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個人類\廖昱霖\"/>
    </mc:Choice>
  </mc:AlternateContent>
  <bookViews>
    <workbookView xWindow="0" yWindow="0" windowWidth="28800" windowHeight="11730" tabRatio="829" activeTab="4"/>
  </bookViews>
  <sheets>
    <sheet name="工作日" sheetId="9" r:id="rId1"/>
    <sheet name="權證非鏢的避險部位" sheetId="37" r:id="rId2"/>
    <sheet name="現股部位" sheetId="42" r:id="rId3"/>
    <sheet name="V3" sheetId="26" r:id="rId4"/>
    <sheet name="指數型權證" sheetId="27" r:id="rId5"/>
    <sheet name="Vol" sheetId="20" r:id="rId6"/>
    <sheet name="策略模擬 (2)" sheetId="43" r:id="rId7"/>
    <sheet name="策略模擬" sheetId="33" r:id="rId8"/>
    <sheet name="Chart3" sheetId="39" r:id="rId9"/>
    <sheet name="台指VIX" sheetId="38" r:id="rId10"/>
    <sheet name="0050" sheetId="30" r:id="rId11"/>
    <sheet name="His_Vol" sheetId="35" r:id="rId12"/>
    <sheet name="自動儲存週選" sheetId="40" r:id="rId13"/>
    <sheet name="自動儲存" sheetId="15" r:id="rId14"/>
    <sheet name="自動儲存次近月" sheetId="41" r:id="rId15"/>
    <sheet name="選擇權週選" sheetId="28" r:id="rId16"/>
    <sheet name="選擇權次週選" sheetId="31" r:id="rId17"/>
    <sheet name="選擇權近月" sheetId="16" r:id="rId18"/>
    <sheet name="選擇權次近月" sheetId="18" r:id="rId19"/>
    <sheet name="選擇權次2月" sheetId="24" r:id="rId20"/>
    <sheet name="選擇權12月" sheetId="22" r:id="rId21"/>
    <sheet name="同業指數" sheetId="29" r:id="rId22"/>
    <sheet name="期貨結算價" sheetId="19" r:id="rId23"/>
  </sheets>
  <functionGroups builtInGroupCount="18"/>
  <externalReferences>
    <externalReference r:id="rId24"/>
    <externalReference r:id="rId25"/>
    <externalReference r:id="rId26"/>
  </externalReferences>
  <definedNames>
    <definedName name="_xlnm._FilterDatabase" localSheetId="0" hidden="1">工作日!$A$1:$C$2451</definedName>
    <definedName name="_xlnm._FilterDatabase" localSheetId="4" hidden="1">指數型權證!$D$46:$O$46</definedName>
    <definedName name="_xlnm._FilterDatabase" localSheetId="1" hidden="1">權證非鏢的避險部位!$A$1:$T$164</definedName>
    <definedName name="AUpdate">1</definedName>
    <definedName name="BUpdate">1</definedName>
    <definedName name="GUpdate">0</definedName>
    <definedName name="_xlnm.Print_Area" localSheetId="10">'0050'!$A$1:$V$12</definedName>
    <definedName name="_xlnm.Print_Area" localSheetId="5">Vol!$B$1:$AG$58</definedName>
    <definedName name="_xlnm.Print_Area" localSheetId="4">指數型權證!$D$1:$Q$66</definedName>
    <definedName name="_xlnm.Print_Area" localSheetId="7">策略模擬!$Q$1:$AD$62</definedName>
    <definedName name="_xlnm.Print_Area" localSheetId="6">'策略模擬 (2)'!#REF!</definedName>
    <definedName name="Startdate" localSheetId="6">#REF!</definedName>
    <definedName name="Startdate">#REF!</definedName>
    <definedName name="Stockposdy" localSheetId="2">現股部位!$A$1:$E$42</definedName>
    <definedName name="tradingday" localSheetId="0">工作日!$A$1:$C$2451</definedName>
    <definedName name="TUpdate">1</definedName>
    <definedName name="warmktmakercfg_query" localSheetId="3">'V3'!$A$1:$AY$97</definedName>
    <definedName name="warrealmkt" localSheetId="1">權證非鏢的避險部位!$A$1:$T$164</definedName>
  </definedNames>
  <calcPr calcId="152511" calcMode="manual"/>
</workbook>
</file>

<file path=xl/calcChain.xml><?xml version="1.0" encoding="utf-8"?>
<calcChain xmlns="http://schemas.openxmlformats.org/spreadsheetml/2006/main">
  <c r="H6" i="27" l="1"/>
  <c r="M46" i="27"/>
  <c r="L46" i="27"/>
  <c r="AI1" i="27"/>
  <c r="AJ1" i="27" s="1"/>
  <c r="AK1" i="27"/>
  <c r="AL1" i="27" s="1"/>
  <c r="AM1" i="27"/>
  <c r="AI2" i="27"/>
  <c r="AJ2" i="27" s="1"/>
  <c r="AK2" i="27"/>
  <c r="AL2" i="27" s="1"/>
  <c r="AM2" i="27"/>
  <c r="AI3" i="27"/>
  <c r="AJ3" i="27" s="1"/>
  <c r="AK3" i="27"/>
  <c r="AL3" i="27"/>
  <c r="AM3" i="27"/>
  <c r="AI4" i="27"/>
  <c r="AJ4" i="27" s="1"/>
  <c r="AK4" i="27"/>
  <c r="AL4" i="27"/>
  <c r="AM4" i="27"/>
  <c r="AI5" i="27"/>
  <c r="AJ5" i="27" s="1"/>
  <c r="AK5" i="27"/>
  <c r="AL5" i="27" s="1"/>
  <c r="AM5" i="27"/>
  <c r="AI6" i="27"/>
  <c r="AJ6" i="27" s="1"/>
  <c r="AK6" i="27"/>
  <c r="AL6" i="27" s="1"/>
  <c r="AM6" i="27"/>
  <c r="G18" i="27"/>
  <c r="G19" i="27" s="1"/>
  <c r="L47" i="27" l="1"/>
  <c r="M47" i="27"/>
  <c r="N47" i="27"/>
  <c r="L48" i="27"/>
  <c r="M48" i="27"/>
  <c r="N48" i="27"/>
  <c r="L51" i="27"/>
  <c r="M51" i="27"/>
  <c r="N51" i="27"/>
  <c r="N62" i="27"/>
  <c r="N63" i="27"/>
  <c r="N64" i="27"/>
  <c r="N61" i="27"/>
  <c r="L62" i="27"/>
  <c r="M62" i="27"/>
  <c r="L63" i="27"/>
  <c r="M63" i="27"/>
  <c r="L64" i="27"/>
  <c r="M64" i="27"/>
  <c r="L60" i="27"/>
  <c r="M60" i="27"/>
  <c r="H8" i="35"/>
  <c r="H7" i="35"/>
  <c r="H6" i="35"/>
  <c r="G8" i="35"/>
  <c r="G7" i="35"/>
  <c r="G6" i="35"/>
  <c r="L61" i="27" l="1"/>
  <c r="M61" i="27"/>
  <c r="K2" i="28"/>
  <c r="J2" i="28"/>
  <c r="I2" i="28"/>
  <c r="P2" i="28" s="1"/>
  <c r="H2" i="28"/>
  <c r="G2" i="28"/>
  <c r="F2" i="28"/>
  <c r="L8" i="28"/>
  <c r="M8" i="28"/>
  <c r="N8" i="28"/>
  <c r="O8" i="28"/>
  <c r="P8" i="28"/>
  <c r="Q8" i="28"/>
  <c r="R8" i="28"/>
  <c r="K30" i="28" l="1"/>
  <c r="K11" i="28"/>
  <c r="M51" i="28"/>
  <c r="L51" i="28"/>
  <c r="K51" i="28"/>
  <c r="G51" i="28"/>
  <c r="F51" i="28"/>
  <c r="E51" i="28"/>
  <c r="M50" i="28"/>
  <c r="L50" i="28"/>
  <c r="K50" i="28"/>
  <c r="G50" i="28"/>
  <c r="F50" i="28"/>
  <c r="E50" i="28"/>
  <c r="M49" i="28"/>
  <c r="L49" i="28"/>
  <c r="K49" i="28"/>
  <c r="G49" i="28"/>
  <c r="F49" i="28"/>
  <c r="E49" i="28"/>
  <c r="M48" i="28"/>
  <c r="L48" i="28"/>
  <c r="K48" i="28"/>
  <c r="G48" i="28"/>
  <c r="F48" i="28"/>
  <c r="E48" i="28"/>
  <c r="M47" i="28"/>
  <c r="L47" i="28"/>
  <c r="K47" i="28"/>
  <c r="G47" i="28"/>
  <c r="F47" i="28"/>
  <c r="E47" i="28"/>
  <c r="M46" i="28"/>
  <c r="L46" i="28"/>
  <c r="K46" i="28"/>
  <c r="G46" i="28"/>
  <c r="F46" i="28"/>
  <c r="E46" i="28"/>
  <c r="M45" i="28"/>
  <c r="L45" i="28"/>
  <c r="K45" i="28"/>
  <c r="G45" i="28"/>
  <c r="F45" i="28"/>
  <c r="E45" i="28"/>
  <c r="M44" i="28"/>
  <c r="L44" i="28"/>
  <c r="K44" i="28"/>
  <c r="G44" i="28"/>
  <c r="F44" i="28"/>
  <c r="E44" i="28"/>
  <c r="M43" i="28"/>
  <c r="L43" i="28"/>
  <c r="K43" i="28"/>
  <c r="G43" i="28"/>
  <c r="F43" i="28"/>
  <c r="E43" i="28"/>
  <c r="M42" i="28"/>
  <c r="L42" i="28"/>
  <c r="K42" i="28"/>
  <c r="G42" i="28"/>
  <c r="F42" i="28"/>
  <c r="E42" i="28"/>
  <c r="M41" i="28"/>
  <c r="L41" i="28"/>
  <c r="K41" i="28"/>
  <c r="G41" i="28"/>
  <c r="F41" i="28"/>
  <c r="E41" i="28"/>
  <c r="M40" i="28"/>
  <c r="L40" i="28"/>
  <c r="K40" i="28"/>
  <c r="G40" i="28"/>
  <c r="F40" i="28"/>
  <c r="E40" i="28"/>
  <c r="M39" i="28"/>
  <c r="L39" i="28"/>
  <c r="K39" i="28"/>
  <c r="G39" i="28"/>
  <c r="F39" i="28"/>
  <c r="E39" i="28"/>
  <c r="M38" i="28"/>
  <c r="L38" i="28"/>
  <c r="K38" i="28"/>
  <c r="G38" i="28"/>
  <c r="F38" i="28"/>
  <c r="E38" i="28"/>
  <c r="M37" i="28"/>
  <c r="L37" i="28"/>
  <c r="K37" i="28"/>
  <c r="G37" i="28"/>
  <c r="F37" i="28"/>
  <c r="E37" i="28"/>
  <c r="M36" i="28"/>
  <c r="L36" i="28"/>
  <c r="K36" i="28"/>
  <c r="G36" i="28"/>
  <c r="F36" i="28"/>
  <c r="E36" i="28"/>
  <c r="M35" i="28"/>
  <c r="L35" i="28"/>
  <c r="K35" i="28"/>
  <c r="G35" i="28"/>
  <c r="F35" i="28"/>
  <c r="E35" i="28"/>
  <c r="M34" i="28"/>
  <c r="L34" i="28"/>
  <c r="K34" i="28"/>
  <c r="G34" i="28"/>
  <c r="F34" i="28"/>
  <c r="E34" i="28"/>
  <c r="M33" i="28"/>
  <c r="L33" i="28"/>
  <c r="K33" i="28"/>
  <c r="G33" i="28"/>
  <c r="F33" i="28"/>
  <c r="E33" i="28"/>
  <c r="M32" i="28"/>
  <c r="L32" i="28"/>
  <c r="K32" i="28"/>
  <c r="G32" i="28"/>
  <c r="F32" i="28"/>
  <c r="E32" i="28"/>
  <c r="M31" i="28"/>
  <c r="L31" i="28"/>
  <c r="K31" i="28"/>
  <c r="G31" i="28"/>
  <c r="F31" i="28"/>
  <c r="E31" i="28"/>
  <c r="M30" i="28"/>
  <c r="L30" i="28"/>
  <c r="G30" i="28"/>
  <c r="F30" i="28"/>
  <c r="E30" i="28"/>
  <c r="M29" i="28"/>
  <c r="L29" i="28"/>
  <c r="K29" i="28"/>
  <c r="G29" i="28"/>
  <c r="F29" i="28"/>
  <c r="E29" i="28"/>
  <c r="M28" i="28"/>
  <c r="L28" i="28"/>
  <c r="K28" i="28"/>
  <c r="G28" i="28"/>
  <c r="F28" i="28"/>
  <c r="E28" i="28"/>
  <c r="M27" i="28"/>
  <c r="L27" i="28"/>
  <c r="K27" i="28"/>
  <c r="G27" i="28"/>
  <c r="F27" i="28"/>
  <c r="E27" i="28"/>
  <c r="M26" i="28"/>
  <c r="L26" i="28"/>
  <c r="K26" i="28"/>
  <c r="G26" i="28"/>
  <c r="F26" i="28"/>
  <c r="E26" i="28"/>
  <c r="M25" i="28"/>
  <c r="L25" i="28"/>
  <c r="K25" i="28"/>
  <c r="G25" i="28"/>
  <c r="F25" i="28"/>
  <c r="E25" i="28"/>
  <c r="M24" i="28"/>
  <c r="L24" i="28"/>
  <c r="K24" i="28"/>
  <c r="G24" i="28"/>
  <c r="F24" i="28"/>
  <c r="E24" i="28"/>
  <c r="M23" i="28"/>
  <c r="L23" i="28"/>
  <c r="K23" i="28"/>
  <c r="G23" i="28"/>
  <c r="F23" i="28"/>
  <c r="E23" i="28"/>
  <c r="M22" i="28"/>
  <c r="L22" i="28"/>
  <c r="K22" i="28"/>
  <c r="G22" i="28"/>
  <c r="F22" i="28"/>
  <c r="E22" i="28"/>
  <c r="M21" i="28"/>
  <c r="L21" i="28"/>
  <c r="K21" i="28"/>
  <c r="G21" i="28"/>
  <c r="F21" i="28"/>
  <c r="E21" i="28"/>
  <c r="M20" i="28"/>
  <c r="L20" i="28"/>
  <c r="K20" i="28"/>
  <c r="G20" i="28"/>
  <c r="F20" i="28"/>
  <c r="E20" i="28"/>
  <c r="M19" i="28"/>
  <c r="L19" i="28"/>
  <c r="K19" i="28"/>
  <c r="G19" i="28"/>
  <c r="F19" i="28"/>
  <c r="E19" i="28"/>
  <c r="M18" i="28"/>
  <c r="L18" i="28"/>
  <c r="K18" i="28"/>
  <c r="G18" i="28"/>
  <c r="F18" i="28"/>
  <c r="E18" i="28"/>
  <c r="M17" i="28"/>
  <c r="L17" i="28"/>
  <c r="K17" i="28"/>
  <c r="G17" i="28"/>
  <c r="F17" i="28"/>
  <c r="E17" i="28"/>
  <c r="M16" i="28"/>
  <c r="L16" i="28"/>
  <c r="K16" i="28"/>
  <c r="G16" i="28"/>
  <c r="F16" i="28"/>
  <c r="E16" i="28"/>
  <c r="M15" i="28"/>
  <c r="L15" i="28"/>
  <c r="K15" i="28"/>
  <c r="G15" i="28"/>
  <c r="F15" i="28"/>
  <c r="E15" i="28"/>
  <c r="M14" i="28"/>
  <c r="L14" i="28"/>
  <c r="K14" i="28"/>
  <c r="G14" i="28"/>
  <c r="F14" i="28"/>
  <c r="E14" i="28"/>
  <c r="M13" i="28"/>
  <c r="L13" i="28"/>
  <c r="K13" i="28"/>
  <c r="G13" i="28"/>
  <c r="F13" i="28"/>
  <c r="E13" i="28"/>
  <c r="M12" i="28"/>
  <c r="L12" i="28"/>
  <c r="K12" i="28"/>
  <c r="G12" i="28"/>
  <c r="F12" i="28"/>
  <c r="E12" i="28"/>
  <c r="M11" i="28"/>
  <c r="L11" i="28"/>
  <c r="G11" i="28"/>
  <c r="F11" i="28"/>
  <c r="E11" i="28"/>
  <c r="K10" i="31" l="1"/>
  <c r="L56" i="27" l="1"/>
  <c r="M56" i="27"/>
  <c r="N56" i="27"/>
  <c r="L55" i="27" l="1"/>
  <c r="M55" i="27"/>
  <c r="N55" i="27"/>
  <c r="K6" i="22" l="1"/>
  <c r="J6" i="22"/>
  <c r="I6" i="22"/>
  <c r="H6" i="22"/>
  <c r="G6" i="22"/>
  <c r="F6" i="22"/>
  <c r="K4" i="22"/>
  <c r="J4" i="22"/>
  <c r="I4" i="22"/>
  <c r="H4" i="22"/>
  <c r="G4" i="22"/>
  <c r="F4" i="22"/>
  <c r="K2" i="22"/>
  <c r="J2" i="22"/>
  <c r="I2" i="22"/>
  <c r="H2" i="22"/>
  <c r="G2" i="22"/>
  <c r="F2" i="22"/>
  <c r="M42" i="22"/>
  <c r="L42" i="22"/>
  <c r="K42" i="22"/>
  <c r="G42" i="22"/>
  <c r="F42" i="22"/>
  <c r="E42" i="22"/>
  <c r="M41" i="22"/>
  <c r="L41" i="22"/>
  <c r="K41" i="22"/>
  <c r="G41" i="22"/>
  <c r="F41" i="22"/>
  <c r="E41" i="22"/>
  <c r="M40" i="22"/>
  <c r="L40" i="22"/>
  <c r="K40" i="22"/>
  <c r="G40" i="22"/>
  <c r="F40" i="22"/>
  <c r="E40" i="22"/>
  <c r="M39" i="22"/>
  <c r="L39" i="22"/>
  <c r="K39" i="22"/>
  <c r="G39" i="22"/>
  <c r="F39" i="22"/>
  <c r="E39" i="22"/>
  <c r="M38" i="22"/>
  <c r="L38" i="22"/>
  <c r="K38" i="22"/>
  <c r="G38" i="22"/>
  <c r="F38" i="22"/>
  <c r="E38" i="22"/>
  <c r="M37" i="22"/>
  <c r="L37" i="22"/>
  <c r="K37" i="22"/>
  <c r="G37" i="22"/>
  <c r="F37" i="22"/>
  <c r="E37" i="22"/>
  <c r="M36" i="22"/>
  <c r="L36" i="22"/>
  <c r="K36" i="22"/>
  <c r="G36" i="22"/>
  <c r="F36" i="22"/>
  <c r="E36" i="22"/>
  <c r="M35" i="22"/>
  <c r="L35" i="22"/>
  <c r="K35" i="22"/>
  <c r="G35" i="22"/>
  <c r="F35" i="22"/>
  <c r="E35" i="22"/>
  <c r="M34" i="22"/>
  <c r="L34" i="22"/>
  <c r="K34" i="22"/>
  <c r="G34" i="22"/>
  <c r="F34" i="22"/>
  <c r="E34" i="22"/>
  <c r="M33" i="22"/>
  <c r="L33" i="22"/>
  <c r="K33" i="22"/>
  <c r="G33" i="22"/>
  <c r="F33" i="22"/>
  <c r="E33" i="22"/>
  <c r="M32" i="22"/>
  <c r="L32" i="22"/>
  <c r="K32" i="22"/>
  <c r="G32" i="22"/>
  <c r="F32" i="22"/>
  <c r="E32" i="22"/>
  <c r="M31" i="22"/>
  <c r="L31" i="22"/>
  <c r="K31" i="22"/>
  <c r="G31" i="22"/>
  <c r="F31" i="22"/>
  <c r="E31" i="22"/>
  <c r="M30" i="22"/>
  <c r="L30" i="22"/>
  <c r="K30" i="22"/>
  <c r="G30" i="22"/>
  <c r="F30" i="22"/>
  <c r="E30" i="22"/>
  <c r="M29" i="22"/>
  <c r="L29" i="22"/>
  <c r="K29" i="22"/>
  <c r="G29" i="22"/>
  <c r="F29" i="22"/>
  <c r="E29" i="22"/>
  <c r="M28" i="22"/>
  <c r="L28" i="22"/>
  <c r="K28" i="22"/>
  <c r="G28" i="22"/>
  <c r="F28" i="22"/>
  <c r="E28" i="22"/>
  <c r="M27" i="22"/>
  <c r="L27" i="22"/>
  <c r="K27" i="22"/>
  <c r="G27" i="22"/>
  <c r="F27" i="22"/>
  <c r="E27" i="22"/>
  <c r="M26" i="22"/>
  <c r="L26" i="22"/>
  <c r="K26" i="22"/>
  <c r="G26" i="22"/>
  <c r="F26" i="22"/>
  <c r="E26" i="22"/>
  <c r="M25" i="22"/>
  <c r="L25" i="22"/>
  <c r="K25" i="22"/>
  <c r="G25" i="22"/>
  <c r="F25" i="22"/>
  <c r="E25" i="22"/>
  <c r="M24" i="22"/>
  <c r="L24" i="22"/>
  <c r="K24" i="22"/>
  <c r="G24" i="22"/>
  <c r="F24" i="22"/>
  <c r="E24" i="22"/>
  <c r="M23" i="22"/>
  <c r="L23" i="22"/>
  <c r="K23" i="22"/>
  <c r="G23" i="22"/>
  <c r="F23" i="22"/>
  <c r="E23" i="22"/>
  <c r="M22" i="22"/>
  <c r="L22" i="22"/>
  <c r="K22" i="22"/>
  <c r="G22" i="22"/>
  <c r="F22" i="22"/>
  <c r="E22" i="22"/>
  <c r="M21" i="22"/>
  <c r="L21" i="22"/>
  <c r="K21" i="22"/>
  <c r="G21" i="22"/>
  <c r="F21" i="22"/>
  <c r="E21" i="22"/>
  <c r="M20" i="22"/>
  <c r="L20" i="22"/>
  <c r="K20" i="22"/>
  <c r="G20" i="22"/>
  <c r="F20" i="22"/>
  <c r="E20" i="22"/>
  <c r="M19" i="22"/>
  <c r="L19" i="22"/>
  <c r="K19" i="22"/>
  <c r="G19" i="22"/>
  <c r="F19" i="22"/>
  <c r="E19" i="22"/>
  <c r="M18" i="22"/>
  <c r="L18" i="22"/>
  <c r="K18" i="22"/>
  <c r="G18" i="22"/>
  <c r="F18" i="22"/>
  <c r="E18" i="22"/>
  <c r="M17" i="22"/>
  <c r="L17" i="22"/>
  <c r="K17" i="22"/>
  <c r="G17" i="22"/>
  <c r="F17" i="22"/>
  <c r="E17" i="22"/>
  <c r="M16" i="22"/>
  <c r="L16" i="22"/>
  <c r="K16" i="22"/>
  <c r="G16" i="22"/>
  <c r="F16" i="22"/>
  <c r="E16" i="22"/>
  <c r="M15" i="22"/>
  <c r="L15" i="22"/>
  <c r="K15" i="22"/>
  <c r="G15" i="22"/>
  <c r="F15" i="22"/>
  <c r="E15" i="22"/>
  <c r="M14" i="22"/>
  <c r="L14" i="22"/>
  <c r="K14" i="22"/>
  <c r="G14" i="22"/>
  <c r="F14" i="22"/>
  <c r="E14" i="22"/>
  <c r="M13" i="22"/>
  <c r="L13" i="22"/>
  <c r="K13" i="22"/>
  <c r="G13" i="22"/>
  <c r="F13" i="22"/>
  <c r="E13" i="22"/>
  <c r="M12" i="22"/>
  <c r="L12" i="22"/>
  <c r="K12" i="22"/>
  <c r="G12" i="22"/>
  <c r="F12" i="22"/>
  <c r="E12" i="22"/>
  <c r="M11" i="22"/>
  <c r="L11" i="22"/>
  <c r="K11" i="22"/>
  <c r="G11" i="22"/>
  <c r="F11" i="22"/>
  <c r="E11" i="22"/>
  <c r="M4" i="22"/>
  <c r="M2" i="22"/>
  <c r="M55" i="18" l="1"/>
  <c r="L55" i="18"/>
  <c r="K55" i="18"/>
  <c r="G55" i="18"/>
  <c r="F55" i="18"/>
  <c r="E55" i="18"/>
  <c r="M54" i="18"/>
  <c r="L54" i="18"/>
  <c r="K54" i="18"/>
  <c r="G54" i="18"/>
  <c r="F54" i="18"/>
  <c r="E54" i="18"/>
  <c r="M53" i="18"/>
  <c r="L53" i="18"/>
  <c r="K53" i="18"/>
  <c r="G53" i="18"/>
  <c r="F53" i="18"/>
  <c r="E53" i="18"/>
  <c r="M52" i="18"/>
  <c r="L52" i="18"/>
  <c r="K52" i="18"/>
  <c r="G52" i="18"/>
  <c r="F52" i="18"/>
  <c r="E52" i="18"/>
  <c r="M51" i="18"/>
  <c r="L51" i="18"/>
  <c r="K51" i="18"/>
  <c r="G51" i="18"/>
  <c r="F51" i="18"/>
  <c r="E51" i="18"/>
  <c r="M50" i="18"/>
  <c r="L50" i="18"/>
  <c r="K50" i="18"/>
  <c r="G50" i="18"/>
  <c r="F50" i="18"/>
  <c r="E50" i="18"/>
  <c r="M49" i="18"/>
  <c r="L49" i="18"/>
  <c r="K49" i="18"/>
  <c r="G49" i="18"/>
  <c r="F49" i="18"/>
  <c r="E49" i="18"/>
  <c r="M48" i="18"/>
  <c r="L48" i="18"/>
  <c r="K48" i="18"/>
  <c r="G48" i="18"/>
  <c r="F48" i="18"/>
  <c r="E48" i="18"/>
  <c r="M47" i="18"/>
  <c r="L47" i="18"/>
  <c r="K47" i="18"/>
  <c r="G47" i="18"/>
  <c r="F47" i="18"/>
  <c r="E47" i="18"/>
  <c r="M46" i="18"/>
  <c r="L46" i="18"/>
  <c r="K46" i="18"/>
  <c r="G46" i="18"/>
  <c r="F46" i="18"/>
  <c r="E46" i="18"/>
  <c r="M45" i="18"/>
  <c r="L45" i="18"/>
  <c r="K45" i="18"/>
  <c r="G45" i="18"/>
  <c r="F45" i="18"/>
  <c r="E45" i="18"/>
  <c r="M44" i="18"/>
  <c r="L44" i="18"/>
  <c r="K44" i="18"/>
  <c r="G44" i="18"/>
  <c r="F44" i="18"/>
  <c r="E44" i="18"/>
  <c r="M43" i="18"/>
  <c r="L43" i="18"/>
  <c r="K43" i="18"/>
  <c r="G43" i="18"/>
  <c r="F43" i="18"/>
  <c r="E43" i="18"/>
  <c r="M42" i="18"/>
  <c r="L42" i="18"/>
  <c r="K42" i="18"/>
  <c r="G42" i="18"/>
  <c r="F42" i="18"/>
  <c r="E42" i="18"/>
  <c r="M41" i="18"/>
  <c r="L41" i="18"/>
  <c r="K41" i="18"/>
  <c r="G41" i="18"/>
  <c r="F41" i="18"/>
  <c r="E41" i="18"/>
  <c r="M40" i="18"/>
  <c r="L40" i="18"/>
  <c r="K40" i="18"/>
  <c r="G40" i="18"/>
  <c r="F40" i="18"/>
  <c r="E40" i="18"/>
  <c r="M39" i="18"/>
  <c r="L39" i="18"/>
  <c r="K39" i="18"/>
  <c r="G39" i="18"/>
  <c r="F39" i="18"/>
  <c r="E39" i="18"/>
  <c r="M38" i="18"/>
  <c r="L38" i="18"/>
  <c r="K38" i="18"/>
  <c r="G38" i="18"/>
  <c r="F38" i="18"/>
  <c r="E38" i="18"/>
  <c r="M37" i="18"/>
  <c r="L37" i="18"/>
  <c r="K37" i="18"/>
  <c r="G37" i="18"/>
  <c r="F37" i="18"/>
  <c r="E37" i="18"/>
  <c r="M36" i="18"/>
  <c r="L36" i="18"/>
  <c r="K36" i="18"/>
  <c r="G36" i="18"/>
  <c r="F36" i="18"/>
  <c r="E36" i="18"/>
  <c r="M35" i="18"/>
  <c r="L35" i="18"/>
  <c r="K35" i="18"/>
  <c r="G35" i="18"/>
  <c r="F35" i="18"/>
  <c r="E35" i="18"/>
  <c r="M34" i="18"/>
  <c r="L34" i="18"/>
  <c r="K34" i="18"/>
  <c r="G34" i="18"/>
  <c r="F34" i="18"/>
  <c r="E34" i="18"/>
  <c r="M33" i="18"/>
  <c r="L33" i="18"/>
  <c r="K33" i="18"/>
  <c r="G33" i="18"/>
  <c r="F33" i="18"/>
  <c r="E33" i="18"/>
  <c r="M32" i="18"/>
  <c r="L32" i="18"/>
  <c r="K32" i="18"/>
  <c r="G32" i="18"/>
  <c r="F32" i="18"/>
  <c r="E32" i="18"/>
  <c r="M31" i="18"/>
  <c r="L31" i="18"/>
  <c r="K31" i="18"/>
  <c r="G31" i="18"/>
  <c r="F31" i="18"/>
  <c r="E31" i="18"/>
  <c r="M30" i="18"/>
  <c r="L30" i="18"/>
  <c r="K30" i="18"/>
  <c r="G30" i="18"/>
  <c r="F30" i="18"/>
  <c r="E30" i="18"/>
  <c r="M29" i="18"/>
  <c r="L29" i="18"/>
  <c r="K29" i="18"/>
  <c r="G29" i="18"/>
  <c r="F29" i="18"/>
  <c r="E29" i="18"/>
  <c r="M28" i="18"/>
  <c r="L28" i="18"/>
  <c r="K28" i="18"/>
  <c r="G28" i="18"/>
  <c r="F28" i="18"/>
  <c r="E28" i="18"/>
  <c r="M27" i="18"/>
  <c r="L27" i="18"/>
  <c r="K27" i="18"/>
  <c r="G27" i="18"/>
  <c r="F27" i="18"/>
  <c r="E27" i="18"/>
  <c r="M26" i="18"/>
  <c r="L26" i="18"/>
  <c r="K26" i="18"/>
  <c r="G26" i="18"/>
  <c r="F26" i="18"/>
  <c r="E26" i="18"/>
  <c r="M25" i="18"/>
  <c r="L25" i="18"/>
  <c r="K25" i="18"/>
  <c r="G25" i="18"/>
  <c r="F25" i="18"/>
  <c r="E25" i="18"/>
  <c r="M24" i="18"/>
  <c r="L24" i="18"/>
  <c r="K24" i="18"/>
  <c r="G24" i="18"/>
  <c r="F24" i="18"/>
  <c r="E24" i="18"/>
  <c r="M23" i="18"/>
  <c r="L23" i="18"/>
  <c r="K23" i="18"/>
  <c r="G23" i="18"/>
  <c r="F23" i="18"/>
  <c r="E23" i="18"/>
  <c r="M22" i="18"/>
  <c r="L22" i="18"/>
  <c r="K22" i="18"/>
  <c r="G22" i="18"/>
  <c r="F22" i="18"/>
  <c r="E22" i="18"/>
  <c r="M21" i="18"/>
  <c r="L21" i="18"/>
  <c r="K21" i="18"/>
  <c r="G21" i="18"/>
  <c r="F21" i="18"/>
  <c r="E21" i="18"/>
  <c r="M20" i="18"/>
  <c r="L20" i="18"/>
  <c r="K20" i="18"/>
  <c r="G20" i="18"/>
  <c r="F20" i="18"/>
  <c r="E20" i="18"/>
  <c r="M19" i="18"/>
  <c r="L19" i="18"/>
  <c r="K19" i="18"/>
  <c r="G19" i="18"/>
  <c r="F19" i="18"/>
  <c r="E19" i="18"/>
  <c r="M18" i="18"/>
  <c r="L18" i="18"/>
  <c r="K18" i="18"/>
  <c r="G18" i="18"/>
  <c r="F18" i="18"/>
  <c r="E18" i="18"/>
  <c r="M17" i="18"/>
  <c r="L17" i="18"/>
  <c r="K17" i="18"/>
  <c r="G17" i="18"/>
  <c r="F17" i="18"/>
  <c r="E17" i="18"/>
  <c r="M16" i="18"/>
  <c r="L16" i="18"/>
  <c r="K16" i="18"/>
  <c r="G16" i="18"/>
  <c r="F16" i="18"/>
  <c r="E16" i="18"/>
  <c r="M15" i="18"/>
  <c r="L15" i="18"/>
  <c r="K15" i="18"/>
  <c r="G15" i="18"/>
  <c r="F15" i="18"/>
  <c r="E15" i="18"/>
  <c r="M14" i="18"/>
  <c r="L14" i="18"/>
  <c r="K14" i="18"/>
  <c r="G14" i="18"/>
  <c r="F14" i="18"/>
  <c r="E14" i="18"/>
  <c r="M13" i="18"/>
  <c r="L13" i="18"/>
  <c r="K13" i="18"/>
  <c r="G13" i="18"/>
  <c r="F13" i="18"/>
  <c r="E13" i="18"/>
  <c r="M12" i="18"/>
  <c r="L12" i="18"/>
  <c r="K12" i="18"/>
  <c r="G12" i="18"/>
  <c r="F12" i="18"/>
  <c r="E12" i="18"/>
  <c r="M11" i="18"/>
  <c r="L11" i="18"/>
  <c r="K11" i="18"/>
  <c r="G11" i="18"/>
  <c r="F11" i="18"/>
  <c r="E11" i="18"/>
  <c r="M50" i="16"/>
  <c r="L50" i="16"/>
  <c r="K50" i="16"/>
  <c r="G50" i="16"/>
  <c r="F50" i="16"/>
  <c r="E50" i="16"/>
  <c r="M49" i="16"/>
  <c r="L49" i="16"/>
  <c r="K49" i="16"/>
  <c r="G49" i="16"/>
  <c r="F49" i="16"/>
  <c r="E49" i="16"/>
  <c r="M48" i="16"/>
  <c r="L48" i="16"/>
  <c r="K48" i="16"/>
  <c r="G48" i="16"/>
  <c r="F48" i="16"/>
  <c r="E48" i="16"/>
  <c r="M47" i="16"/>
  <c r="L47" i="16"/>
  <c r="K47" i="16"/>
  <c r="G47" i="16"/>
  <c r="F47" i="16"/>
  <c r="E47" i="16"/>
  <c r="M46" i="16"/>
  <c r="L46" i="16"/>
  <c r="K46" i="16"/>
  <c r="G46" i="16"/>
  <c r="F46" i="16"/>
  <c r="E46" i="16"/>
  <c r="M45" i="16"/>
  <c r="L45" i="16"/>
  <c r="K45" i="16"/>
  <c r="G45" i="16"/>
  <c r="F45" i="16"/>
  <c r="E45" i="16"/>
  <c r="M44" i="16"/>
  <c r="L44" i="16"/>
  <c r="K44" i="16"/>
  <c r="G44" i="16"/>
  <c r="F44" i="16"/>
  <c r="E44" i="16"/>
  <c r="M43" i="16"/>
  <c r="L43" i="16"/>
  <c r="K43" i="16"/>
  <c r="G43" i="16"/>
  <c r="F43" i="16"/>
  <c r="E43" i="16"/>
  <c r="M42" i="16"/>
  <c r="L42" i="16"/>
  <c r="K42" i="16"/>
  <c r="G42" i="16"/>
  <c r="F42" i="16"/>
  <c r="E42" i="16"/>
  <c r="M41" i="16"/>
  <c r="L41" i="16"/>
  <c r="K41" i="16"/>
  <c r="G41" i="16"/>
  <c r="F41" i="16"/>
  <c r="E41" i="16"/>
  <c r="M40" i="16"/>
  <c r="L40" i="16"/>
  <c r="K40" i="16"/>
  <c r="G40" i="16"/>
  <c r="F40" i="16"/>
  <c r="E40" i="16"/>
  <c r="M39" i="16"/>
  <c r="L39" i="16"/>
  <c r="K39" i="16"/>
  <c r="G39" i="16"/>
  <c r="F39" i="16"/>
  <c r="E39" i="16"/>
  <c r="M38" i="16"/>
  <c r="L38" i="16"/>
  <c r="K38" i="16"/>
  <c r="G38" i="16"/>
  <c r="F38" i="16"/>
  <c r="E38" i="16"/>
  <c r="M37" i="16"/>
  <c r="L37" i="16"/>
  <c r="K37" i="16"/>
  <c r="G37" i="16"/>
  <c r="F37" i="16"/>
  <c r="E37" i="16"/>
  <c r="M36" i="16"/>
  <c r="L36" i="16"/>
  <c r="K36" i="16"/>
  <c r="G36" i="16"/>
  <c r="F36" i="16"/>
  <c r="E36" i="16"/>
  <c r="M35" i="16"/>
  <c r="L35" i="16"/>
  <c r="K35" i="16"/>
  <c r="G35" i="16"/>
  <c r="F35" i="16"/>
  <c r="E35" i="16"/>
  <c r="M34" i="16"/>
  <c r="L34" i="16"/>
  <c r="K34" i="16"/>
  <c r="G34" i="16"/>
  <c r="F34" i="16"/>
  <c r="E34" i="16"/>
  <c r="M33" i="16"/>
  <c r="L33" i="16"/>
  <c r="K33" i="16"/>
  <c r="G33" i="16"/>
  <c r="F33" i="16"/>
  <c r="E33" i="16"/>
  <c r="M32" i="16"/>
  <c r="L32" i="16"/>
  <c r="K32" i="16"/>
  <c r="G32" i="16"/>
  <c r="F32" i="16"/>
  <c r="E32" i="16"/>
  <c r="M31" i="16"/>
  <c r="L31" i="16"/>
  <c r="K31" i="16"/>
  <c r="G31" i="16"/>
  <c r="F31" i="16"/>
  <c r="E31" i="16"/>
  <c r="M30" i="16"/>
  <c r="L30" i="16"/>
  <c r="K30" i="16"/>
  <c r="G30" i="16"/>
  <c r="F30" i="16"/>
  <c r="E30" i="16"/>
  <c r="M29" i="16"/>
  <c r="L29" i="16"/>
  <c r="K29" i="16"/>
  <c r="G29" i="16"/>
  <c r="F29" i="16"/>
  <c r="E29" i="16"/>
  <c r="M28" i="16"/>
  <c r="L28" i="16"/>
  <c r="K28" i="16"/>
  <c r="G28" i="16"/>
  <c r="F28" i="16"/>
  <c r="E28" i="16"/>
  <c r="M27" i="16"/>
  <c r="L27" i="16"/>
  <c r="K27" i="16"/>
  <c r="G27" i="16"/>
  <c r="F27" i="16"/>
  <c r="E27" i="16"/>
  <c r="M26" i="16"/>
  <c r="L26" i="16"/>
  <c r="K26" i="16"/>
  <c r="G26" i="16"/>
  <c r="F26" i="16"/>
  <c r="E26" i="16"/>
  <c r="M25" i="16"/>
  <c r="L25" i="16"/>
  <c r="K25" i="16"/>
  <c r="G25" i="16"/>
  <c r="F25" i="16"/>
  <c r="E25" i="16"/>
  <c r="M24" i="16"/>
  <c r="L24" i="16"/>
  <c r="K24" i="16"/>
  <c r="G24" i="16"/>
  <c r="F24" i="16"/>
  <c r="E24" i="16"/>
  <c r="M23" i="16"/>
  <c r="L23" i="16"/>
  <c r="K23" i="16"/>
  <c r="G23" i="16"/>
  <c r="F23" i="16"/>
  <c r="E23" i="16"/>
  <c r="M22" i="16"/>
  <c r="L22" i="16"/>
  <c r="K22" i="16"/>
  <c r="G22" i="16"/>
  <c r="F22" i="16"/>
  <c r="E22" i="16"/>
  <c r="M21" i="16"/>
  <c r="L21" i="16"/>
  <c r="K21" i="16"/>
  <c r="G21" i="16"/>
  <c r="F21" i="16"/>
  <c r="E21" i="16"/>
  <c r="M20" i="16"/>
  <c r="L20" i="16"/>
  <c r="K20" i="16"/>
  <c r="G20" i="16"/>
  <c r="F20" i="16"/>
  <c r="E20" i="16"/>
  <c r="M19" i="16"/>
  <c r="L19" i="16"/>
  <c r="K19" i="16"/>
  <c r="G19" i="16"/>
  <c r="F19" i="16"/>
  <c r="E19" i="16"/>
  <c r="M18" i="16"/>
  <c r="L18" i="16"/>
  <c r="K18" i="16"/>
  <c r="G18" i="16"/>
  <c r="F18" i="16"/>
  <c r="E18" i="16"/>
  <c r="M17" i="16"/>
  <c r="L17" i="16"/>
  <c r="K17" i="16"/>
  <c r="G17" i="16"/>
  <c r="F17" i="16"/>
  <c r="E17" i="16"/>
  <c r="M16" i="16"/>
  <c r="L16" i="16"/>
  <c r="K16" i="16"/>
  <c r="G16" i="16"/>
  <c r="F16" i="16"/>
  <c r="E16" i="16"/>
  <c r="M15" i="16"/>
  <c r="L15" i="16"/>
  <c r="K15" i="16"/>
  <c r="G15" i="16"/>
  <c r="F15" i="16"/>
  <c r="E15" i="16"/>
  <c r="M14" i="16"/>
  <c r="L14" i="16"/>
  <c r="K14" i="16"/>
  <c r="G14" i="16"/>
  <c r="F14" i="16"/>
  <c r="E14" i="16"/>
  <c r="M13" i="16"/>
  <c r="L13" i="16"/>
  <c r="K13" i="16"/>
  <c r="G13" i="16"/>
  <c r="F13" i="16"/>
  <c r="E13" i="16"/>
  <c r="M12" i="16"/>
  <c r="L12" i="16"/>
  <c r="K12" i="16"/>
  <c r="G12" i="16"/>
  <c r="F12" i="16"/>
  <c r="E12" i="16"/>
  <c r="M11" i="16"/>
  <c r="L11" i="16"/>
  <c r="K11" i="16"/>
  <c r="G11" i="16"/>
  <c r="F11" i="16"/>
  <c r="E11" i="16"/>
  <c r="S5" i="16"/>
  <c r="E2" i="20" l="1"/>
  <c r="E1" i="20"/>
  <c r="L53" i="27"/>
  <c r="M53" i="27"/>
  <c r="N53" i="27"/>
  <c r="L54" i="27"/>
  <c r="M54" i="27"/>
  <c r="N54" i="27"/>
  <c r="U3" i="28"/>
  <c r="U2" i="28"/>
  <c r="U3" i="16"/>
  <c r="U2" i="16"/>
  <c r="U3" i="18"/>
  <c r="S2" i="16" l="1"/>
  <c r="S2" i="28"/>
  <c r="J12" i="28"/>
  <c r="J13" i="28" s="1"/>
  <c r="J14" i="28" s="1"/>
  <c r="J15" i="28" s="1"/>
  <c r="J16" i="28" s="1"/>
  <c r="J17" i="28" s="1"/>
  <c r="J18" i="28" s="1"/>
  <c r="J19" i="28" s="1"/>
  <c r="J20" i="28" s="1"/>
  <c r="J21" i="28" s="1"/>
  <c r="J22" i="28" s="1"/>
  <c r="J23" i="28" s="1"/>
  <c r="J12" i="18"/>
  <c r="J13" i="18" s="1"/>
  <c r="J14" i="18" s="1"/>
  <c r="J15" i="18" s="1"/>
  <c r="J16" i="18" s="1"/>
  <c r="J17" i="18" s="1"/>
  <c r="J18" i="18" s="1"/>
  <c r="J19" i="18" s="1"/>
  <c r="J20" i="18" s="1"/>
  <c r="J21" i="18" s="1"/>
  <c r="Y10" i="18"/>
  <c r="Z10" i="18" s="1"/>
  <c r="AA10" i="18" s="1"/>
  <c r="K7" i="18"/>
  <c r="J7" i="18"/>
  <c r="I7" i="18"/>
  <c r="H7" i="18"/>
  <c r="G7" i="18"/>
  <c r="F7" i="18"/>
  <c r="K6" i="18"/>
  <c r="J6" i="18"/>
  <c r="I6" i="18"/>
  <c r="H6" i="18"/>
  <c r="G6" i="18"/>
  <c r="F6" i="18"/>
  <c r="K5" i="18"/>
  <c r="J5" i="18"/>
  <c r="I5" i="18"/>
  <c r="H5" i="18"/>
  <c r="G5" i="18"/>
  <c r="F5" i="18"/>
  <c r="K4" i="18"/>
  <c r="J4" i="18"/>
  <c r="I4" i="18"/>
  <c r="H4" i="18"/>
  <c r="G4" i="18"/>
  <c r="F4" i="18"/>
  <c r="K3" i="18"/>
  <c r="J3" i="18"/>
  <c r="I3" i="18"/>
  <c r="H3" i="18"/>
  <c r="G3" i="18"/>
  <c r="F3" i="18"/>
  <c r="Y2" i="18"/>
  <c r="W2" i="18"/>
  <c r="U2" i="18"/>
  <c r="S2" i="18" s="1"/>
  <c r="K2" i="18"/>
  <c r="J2" i="18"/>
  <c r="I2" i="18"/>
  <c r="H2" i="18"/>
  <c r="G2" i="18"/>
  <c r="F2" i="18"/>
  <c r="E2" i="18"/>
  <c r="J12" i="16"/>
  <c r="J13" i="16" s="1"/>
  <c r="Y10" i="16"/>
  <c r="Z10" i="16" s="1"/>
  <c r="AA10" i="16" s="1"/>
  <c r="K7" i="16"/>
  <c r="J7" i="16"/>
  <c r="I7" i="16"/>
  <c r="H7" i="16"/>
  <c r="G7" i="16"/>
  <c r="F7" i="16"/>
  <c r="K6" i="16"/>
  <c r="J6" i="16"/>
  <c r="I6" i="16"/>
  <c r="H6" i="16"/>
  <c r="G6" i="16"/>
  <c r="F6" i="16"/>
  <c r="K5" i="16"/>
  <c r="J5" i="16"/>
  <c r="I5" i="16"/>
  <c r="H5" i="16"/>
  <c r="G5" i="16"/>
  <c r="F5" i="16"/>
  <c r="K4" i="16"/>
  <c r="J4" i="16"/>
  <c r="I4" i="16"/>
  <c r="H4" i="16"/>
  <c r="G4" i="16"/>
  <c r="F4" i="16"/>
  <c r="K3" i="16"/>
  <c r="J3" i="16"/>
  <c r="I3" i="16"/>
  <c r="H3" i="16"/>
  <c r="G3" i="16"/>
  <c r="F3" i="16"/>
  <c r="Y2" i="16"/>
  <c r="W2" i="16"/>
  <c r="K2" i="16"/>
  <c r="J2" i="16"/>
  <c r="I2" i="16"/>
  <c r="H2" i="16"/>
  <c r="G2" i="16"/>
  <c r="F2" i="16"/>
  <c r="Y10" i="28"/>
  <c r="Z10" i="28" s="1"/>
  <c r="AA10" i="28" s="1"/>
  <c r="K7" i="28"/>
  <c r="J7" i="28"/>
  <c r="I7" i="28"/>
  <c r="H7" i="28"/>
  <c r="G7" i="28"/>
  <c r="F7" i="28"/>
  <c r="K6" i="28"/>
  <c r="J6" i="28"/>
  <c r="I6" i="28"/>
  <c r="H6" i="28"/>
  <c r="G6" i="28"/>
  <c r="F6" i="28"/>
  <c r="K5" i="28"/>
  <c r="J5" i="28"/>
  <c r="I5" i="28"/>
  <c r="H5" i="28"/>
  <c r="G5" i="28"/>
  <c r="F5" i="28"/>
  <c r="K4" i="28"/>
  <c r="J4" i="28"/>
  <c r="I4" i="28"/>
  <c r="H4" i="28"/>
  <c r="G4" i="28"/>
  <c r="F4" i="28"/>
  <c r="K3" i="28"/>
  <c r="J3" i="28"/>
  <c r="I3" i="28"/>
  <c r="L2" i="28" s="1"/>
  <c r="H3" i="28"/>
  <c r="G3" i="28"/>
  <c r="F3" i="28"/>
  <c r="Y2" i="28"/>
  <c r="W2" i="28"/>
  <c r="M4" i="18"/>
  <c r="M2" i="16"/>
  <c r="M2" i="18"/>
  <c r="M4" i="16"/>
  <c r="O2" i="28" l="1"/>
  <c r="N2" i="28"/>
  <c r="B3" i="16"/>
  <c r="L4" i="18"/>
  <c r="C8" i="28"/>
  <c r="L6" i="28"/>
  <c r="J24" i="28"/>
  <c r="J25" i="28" s="1"/>
  <c r="J26" i="28" s="1"/>
  <c r="J27" i="28" s="1"/>
  <c r="J28" i="28" s="1"/>
  <c r="J29" i="28" s="1"/>
  <c r="J30" i="28" s="1"/>
  <c r="J31" i="28" s="1"/>
  <c r="J32" i="28" s="1"/>
  <c r="J33" i="28" s="1"/>
  <c r="J34" i="28" s="1"/>
  <c r="J35" i="28" s="1"/>
  <c r="J36" i="28" s="1"/>
  <c r="J37" i="28" s="1"/>
  <c r="J38" i="28" s="1"/>
  <c r="J39" i="28" s="1"/>
  <c r="J40" i="28" s="1"/>
  <c r="J41" i="28" s="1"/>
  <c r="J42" i="28" s="1"/>
  <c r="J43" i="28" s="1"/>
  <c r="J44" i="28" s="1"/>
  <c r="J45" i="28" s="1"/>
  <c r="J46" i="28" s="1"/>
  <c r="J47" i="28" s="1"/>
  <c r="J48" i="28" s="1"/>
  <c r="J49" i="28" s="1"/>
  <c r="J50" i="28" s="1"/>
  <c r="J51" i="28" s="1"/>
  <c r="L2" i="18"/>
  <c r="L4" i="28"/>
  <c r="L6" i="18"/>
  <c r="L4" i="16"/>
  <c r="P2" i="16"/>
  <c r="B3" i="18"/>
  <c r="L6" i="16"/>
  <c r="O4" i="28"/>
  <c r="N4" i="28"/>
  <c r="Q4" i="28"/>
  <c r="M6" i="16"/>
  <c r="N4" i="16"/>
  <c r="O4" i="16"/>
  <c r="N2" i="16"/>
  <c r="O2" i="16"/>
  <c r="Q4" i="16"/>
  <c r="N2" i="18"/>
  <c r="Q4" i="18"/>
  <c r="O2" i="18"/>
  <c r="O4" i="18"/>
  <c r="M6" i="18"/>
  <c r="N4" i="18"/>
  <c r="AB10" i="28"/>
  <c r="AB10" i="16"/>
  <c r="B3" i="28"/>
  <c r="J14" i="16"/>
  <c r="L2" i="16"/>
  <c r="W11" i="18"/>
  <c r="J22" i="18"/>
  <c r="AB10" i="18"/>
  <c r="P2" i="18"/>
  <c r="S2" i="24"/>
  <c r="H11" i="28"/>
  <c r="O14" i="28"/>
  <c r="O13" i="28"/>
  <c r="H12" i="28"/>
  <c r="O12" i="28"/>
  <c r="I12" i="28"/>
  <c r="N13" i="28"/>
  <c r="H13" i="28"/>
  <c r="I14" i="28"/>
  <c r="N12" i="28"/>
  <c r="I13" i="28"/>
  <c r="I11" i="28"/>
  <c r="N14" i="28"/>
  <c r="O11" i="28"/>
  <c r="H14" i="28"/>
  <c r="N11" i="28"/>
  <c r="I11" i="18"/>
  <c r="H13" i="18"/>
  <c r="H14" i="16"/>
  <c r="I17" i="18"/>
  <c r="N12" i="18"/>
  <c r="H12" i="16"/>
  <c r="N13" i="16"/>
  <c r="I13" i="16"/>
  <c r="U54" i="28"/>
  <c r="N13" i="18"/>
  <c r="N37" i="28"/>
  <c r="I14" i="16"/>
  <c r="I18" i="18"/>
  <c r="N14" i="18"/>
  <c r="N19" i="18"/>
  <c r="H18" i="18"/>
  <c r="N12" i="16"/>
  <c r="I12" i="18"/>
  <c r="I21" i="18"/>
  <c r="O22" i="18"/>
  <c r="I20" i="18"/>
  <c r="N21" i="18"/>
  <c r="O11" i="16"/>
  <c r="I12" i="16"/>
  <c r="H20" i="18"/>
  <c r="A20" i="18" s="1"/>
  <c r="I11" i="16"/>
  <c r="X11" i="18"/>
  <c r="I22" i="18"/>
  <c r="H21" i="18"/>
  <c r="O20" i="18"/>
  <c r="O13" i="16"/>
  <c r="U57" i="28"/>
  <c r="O14" i="16"/>
  <c r="I14" i="18"/>
  <c r="N16" i="18"/>
  <c r="N11" i="18"/>
  <c r="Z11" i="18"/>
  <c r="I15" i="18"/>
  <c r="H12" i="18"/>
  <c r="O12" i="18"/>
  <c r="O14" i="18"/>
  <c r="N17" i="18"/>
  <c r="O19" i="18"/>
  <c r="H13" i="16"/>
  <c r="U58" i="28"/>
  <c r="H17" i="18"/>
  <c r="U53" i="28"/>
  <c r="N14" i="16"/>
  <c r="I16" i="18"/>
  <c r="O17" i="18"/>
  <c r="H16" i="18"/>
  <c r="N20" i="18"/>
  <c r="O15" i="18"/>
  <c r="N11" i="16"/>
  <c r="H19" i="18"/>
  <c r="I19" i="18"/>
  <c r="H22" i="18"/>
  <c r="N22" i="18"/>
  <c r="H14" i="18"/>
  <c r="U55" i="28"/>
  <c r="O18" i="18"/>
  <c r="N15" i="18"/>
  <c r="R15" i="18" s="1"/>
  <c r="H15" i="18"/>
  <c r="H11" i="18"/>
  <c r="O12" i="16"/>
  <c r="N36" i="28"/>
  <c r="I13" i="18"/>
  <c r="N18" i="18"/>
  <c r="O13" i="18"/>
  <c r="U56" i="28"/>
  <c r="O21" i="18"/>
  <c r="U52" i="28"/>
  <c r="H11" i="16"/>
  <c r="O11" i="18"/>
  <c r="O16" i="18"/>
  <c r="AA12" i="18"/>
  <c r="Y12" i="18"/>
  <c r="Z12" i="18"/>
  <c r="AC10" i="18" l="1"/>
  <c r="N6" i="16"/>
  <c r="O6" i="16"/>
  <c r="AC10" i="28"/>
  <c r="J15" i="16"/>
  <c r="AC10" i="16"/>
  <c r="N6" i="28"/>
  <c r="O6" i="28"/>
  <c r="J23" i="18"/>
  <c r="W12" i="18"/>
  <c r="O6" i="18"/>
  <c r="N6" i="18"/>
  <c r="L49" i="27"/>
  <c r="M49" i="27"/>
  <c r="N49" i="27"/>
  <c r="L50" i="27"/>
  <c r="M50" i="27"/>
  <c r="N50" i="27"/>
  <c r="L52" i="27"/>
  <c r="M52" i="27"/>
  <c r="N52" i="27"/>
  <c r="H15" i="28"/>
  <c r="O15" i="28"/>
  <c r="I15" i="28"/>
  <c r="N15" i="28"/>
  <c r="R36" i="28"/>
  <c r="V19" i="18"/>
  <c r="O15" i="16"/>
  <c r="B20" i="18"/>
  <c r="R11" i="18"/>
  <c r="B18" i="18"/>
  <c r="P15" i="18"/>
  <c r="V12" i="18"/>
  <c r="D12" i="18"/>
  <c r="B14" i="18"/>
  <c r="D19" i="18"/>
  <c r="P18" i="18"/>
  <c r="S13" i="18"/>
  <c r="D15" i="18"/>
  <c r="V11" i="18"/>
  <c r="D16" i="18"/>
  <c r="P20" i="18"/>
  <c r="V18" i="18"/>
  <c r="B15" i="18"/>
  <c r="V14" i="18"/>
  <c r="U12" i="18"/>
  <c r="B17" i="18"/>
  <c r="A16" i="18"/>
  <c r="P22" i="18"/>
  <c r="D14" i="18"/>
  <c r="B13" i="18"/>
  <c r="P17" i="18"/>
  <c r="P14" i="18"/>
  <c r="D18" i="18"/>
  <c r="U11" i="18"/>
  <c r="S22" i="18"/>
  <c r="S18" i="18"/>
  <c r="B11" i="18"/>
  <c r="A19" i="18"/>
  <c r="N23" i="18"/>
  <c r="S11" i="18"/>
  <c r="R12" i="18"/>
  <c r="D13" i="18"/>
  <c r="B21" i="18"/>
  <c r="V16" i="18"/>
  <c r="S16" i="18"/>
  <c r="U22" i="18"/>
  <c r="P23" i="18"/>
  <c r="R14" i="18"/>
  <c r="U15" i="18"/>
  <c r="V15" i="18"/>
  <c r="P11" i="18"/>
  <c r="P13" i="18"/>
  <c r="U18" i="18"/>
  <c r="AA11" i="18"/>
  <c r="D20" i="18"/>
  <c r="U16" i="18"/>
  <c r="O23" i="18"/>
  <c r="S12" i="18"/>
  <c r="A18" i="18"/>
  <c r="AB12" i="18"/>
  <c r="B19" i="18"/>
  <c r="Y13" i="18"/>
  <c r="R19" i="18"/>
  <c r="R13" i="18"/>
  <c r="V17" i="18"/>
  <c r="I15" i="16"/>
  <c r="A11" i="18"/>
  <c r="X12" i="18"/>
  <c r="P19" i="18"/>
  <c r="A17" i="18"/>
  <c r="A13" i="18"/>
  <c r="S15" i="18"/>
  <c r="U21" i="18"/>
  <c r="D11" i="18"/>
  <c r="V21" i="18"/>
  <c r="A14" i="18"/>
  <c r="I23" i="18"/>
  <c r="D17" i="18"/>
  <c r="U14" i="18"/>
  <c r="P16" i="18"/>
  <c r="D21" i="18"/>
  <c r="S20" i="18"/>
  <c r="Y11" i="18"/>
  <c r="S14" i="18"/>
  <c r="R17" i="18"/>
  <c r="P12" i="18"/>
  <c r="S17" i="18"/>
  <c r="A12" i="18"/>
  <c r="A22" i="18"/>
  <c r="S19" i="18"/>
  <c r="X13" i="18"/>
  <c r="R22" i="18"/>
  <c r="N15" i="16"/>
  <c r="R21" i="18"/>
  <c r="D22" i="18"/>
  <c r="R20" i="18"/>
  <c r="B16" i="18"/>
  <c r="V13" i="18"/>
  <c r="S21" i="18"/>
  <c r="H23" i="18"/>
  <c r="U17" i="18"/>
  <c r="V22" i="18"/>
  <c r="H15" i="16"/>
  <c r="U19" i="18"/>
  <c r="U13" i="18"/>
  <c r="R18" i="18"/>
  <c r="U20" i="18"/>
  <c r="AB11" i="18"/>
  <c r="B22" i="18"/>
  <c r="B12" i="18"/>
  <c r="R16" i="18"/>
  <c r="A21" i="18"/>
  <c r="P21" i="18"/>
  <c r="AB13" i="18"/>
  <c r="V20" i="18"/>
  <c r="A15" i="18"/>
  <c r="Z13" i="18"/>
  <c r="AA13" i="18"/>
  <c r="S23" i="18"/>
  <c r="R23" i="18"/>
  <c r="B23" i="18"/>
  <c r="A23" i="18"/>
  <c r="AD10" i="16" l="1"/>
  <c r="AD10" i="28"/>
  <c r="AD10" i="18"/>
  <c r="J24" i="18"/>
  <c r="W13" i="18"/>
  <c r="J16" i="16"/>
  <c r="O16" i="28"/>
  <c r="H16" i="28"/>
  <c r="N16" i="28"/>
  <c r="I16" i="28"/>
  <c r="H16" i="16"/>
  <c r="I24" i="18"/>
  <c r="I16" i="16"/>
  <c r="O24" i="18"/>
  <c r="D23" i="18"/>
  <c r="U23" i="18"/>
  <c r="O16" i="16"/>
  <c r="N24" i="18"/>
  <c r="N16" i="16"/>
  <c r="Y14" i="18"/>
  <c r="AC11" i="18"/>
  <c r="AC14" i="18"/>
  <c r="H24" i="18"/>
  <c r="X14" i="18"/>
  <c r="AA14" i="18"/>
  <c r="AC13" i="18"/>
  <c r="V23" i="18"/>
  <c r="Z14" i="18"/>
  <c r="AC12" i="18"/>
  <c r="S24" i="18"/>
  <c r="D24" i="18"/>
  <c r="P24" i="18"/>
  <c r="R24" i="18"/>
  <c r="A24" i="18"/>
  <c r="B24" i="18"/>
  <c r="AE10" i="18" l="1"/>
  <c r="J17" i="16"/>
  <c r="J25" i="18"/>
  <c r="W14" i="18"/>
  <c r="AE10" i="16"/>
  <c r="AE10" i="28"/>
  <c r="AI20" i="27"/>
  <c r="AJ20" i="27" s="1"/>
  <c r="AK20" i="27"/>
  <c r="AL20" i="27" s="1"/>
  <c r="AM20" i="27"/>
  <c r="AI21" i="27"/>
  <c r="AJ21" i="27" s="1"/>
  <c r="AK21" i="27"/>
  <c r="AL21" i="27" s="1"/>
  <c r="AM21" i="27"/>
  <c r="N17" i="28"/>
  <c r="O17" i="28"/>
  <c r="H17" i="28"/>
  <c r="I17" i="28"/>
  <c r="O25" i="18"/>
  <c r="N25" i="18"/>
  <c r="H17" i="16"/>
  <c r="V24" i="18"/>
  <c r="O17" i="16"/>
  <c r="AD15" i="18"/>
  <c r="Z15" i="18"/>
  <c r="AA15" i="18"/>
  <c r="X15" i="18"/>
  <c r="I17" i="16"/>
  <c r="AD13" i="18"/>
  <c r="Y15" i="18"/>
  <c r="AB14" i="18"/>
  <c r="AC15" i="18"/>
  <c r="R25" i="18"/>
  <c r="P25" i="18"/>
  <c r="H25" i="18"/>
  <c r="AD14" i="18"/>
  <c r="AD11" i="18"/>
  <c r="AD12" i="18"/>
  <c r="I25" i="18"/>
  <c r="N17" i="16"/>
  <c r="AB15" i="18"/>
  <c r="U24" i="18"/>
  <c r="S25" i="18"/>
  <c r="J18" i="16" l="1"/>
  <c r="AF10" i="18"/>
  <c r="AF10" i="16"/>
  <c r="J26" i="18"/>
  <c r="W15" i="18"/>
  <c r="AF10" i="28"/>
  <c r="U3" i="31"/>
  <c r="O18" i="28"/>
  <c r="I18" i="28"/>
  <c r="H18" i="28"/>
  <c r="N18" i="28"/>
  <c r="AE11" i="18"/>
  <c r="O26" i="18"/>
  <c r="I18" i="16"/>
  <c r="AE13" i="18"/>
  <c r="D25" i="18"/>
  <c r="N26" i="18"/>
  <c r="H26" i="18"/>
  <c r="S26" i="18"/>
  <c r="A26" i="18"/>
  <c r="B25" i="18"/>
  <c r="I26" i="18"/>
  <c r="P26" i="18"/>
  <c r="B26" i="18"/>
  <c r="U25" i="18"/>
  <c r="AE16" i="18"/>
  <c r="AD16" i="18"/>
  <c r="H18" i="16"/>
  <c r="N18" i="16"/>
  <c r="AE14" i="18"/>
  <c r="R26" i="18"/>
  <c r="AE15" i="18"/>
  <c r="O18" i="16"/>
  <c r="AA16" i="18"/>
  <c r="Z16" i="18"/>
  <c r="A25" i="18"/>
  <c r="AE12" i="18"/>
  <c r="V25" i="18"/>
  <c r="AC16" i="18"/>
  <c r="AB16" i="18"/>
  <c r="X16" i="18"/>
  <c r="Y16" i="18"/>
  <c r="J19" i="16" l="1"/>
  <c r="AG10" i="16"/>
  <c r="AG10" i="28"/>
  <c r="AG10" i="18"/>
  <c r="W16" i="18"/>
  <c r="J27" i="18"/>
  <c r="J28" i="18" s="1"/>
  <c r="J29" i="18" s="1"/>
  <c r="J30" i="18" s="1"/>
  <c r="J31" i="18" s="1"/>
  <c r="J32" i="18" s="1"/>
  <c r="J33" i="18" s="1"/>
  <c r="J34" i="18" s="1"/>
  <c r="J35" i="18" s="1"/>
  <c r="J36" i="18" s="1"/>
  <c r="J37" i="18" s="1"/>
  <c r="J38" i="18" s="1"/>
  <c r="J8" i="31"/>
  <c r="I8" i="31"/>
  <c r="H8" i="31"/>
  <c r="G8" i="31"/>
  <c r="F8" i="31"/>
  <c r="M36" i="31"/>
  <c r="L36" i="31"/>
  <c r="K36" i="31"/>
  <c r="G36" i="31"/>
  <c r="F36" i="31"/>
  <c r="E36" i="31"/>
  <c r="M35" i="31"/>
  <c r="L35" i="31"/>
  <c r="K35" i="31"/>
  <c r="G35" i="31"/>
  <c r="F35" i="31"/>
  <c r="E35" i="31"/>
  <c r="M34" i="31"/>
  <c r="L34" i="31"/>
  <c r="K34" i="31"/>
  <c r="G34" i="31"/>
  <c r="F34" i="31"/>
  <c r="E34" i="31"/>
  <c r="M33" i="31"/>
  <c r="L33" i="31"/>
  <c r="K33" i="31"/>
  <c r="G33" i="31"/>
  <c r="F33" i="31"/>
  <c r="E33" i="31"/>
  <c r="M32" i="31"/>
  <c r="L32" i="31"/>
  <c r="K32" i="31"/>
  <c r="G32" i="31"/>
  <c r="F32" i="31"/>
  <c r="E32" i="31"/>
  <c r="M31" i="31"/>
  <c r="L31" i="31"/>
  <c r="K31" i="31"/>
  <c r="G31" i="31"/>
  <c r="F31" i="31"/>
  <c r="E31" i="31"/>
  <c r="M30" i="31"/>
  <c r="L30" i="31"/>
  <c r="K30" i="31"/>
  <c r="G30" i="31"/>
  <c r="F30" i="31"/>
  <c r="E30" i="31"/>
  <c r="M29" i="31"/>
  <c r="L29" i="31"/>
  <c r="K29" i="31"/>
  <c r="G29" i="31"/>
  <c r="F29" i="31"/>
  <c r="E29" i="31"/>
  <c r="M28" i="31"/>
  <c r="L28" i="31"/>
  <c r="K28" i="31"/>
  <c r="G28" i="31"/>
  <c r="F28" i="31"/>
  <c r="E28" i="31"/>
  <c r="M27" i="31"/>
  <c r="L27" i="31"/>
  <c r="K27" i="31"/>
  <c r="G27" i="31"/>
  <c r="F27" i="31"/>
  <c r="E27" i="31"/>
  <c r="M26" i="31"/>
  <c r="L26" i="31"/>
  <c r="K26" i="31"/>
  <c r="G26" i="31"/>
  <c r="F26" i="31"/>
  <c r="E26" i="31"/>
  <c r="M25" i="31"/>
  <c r="L25" i="31"/>
  <c r="K25" i="31"/>
  <c r="G25" i="31"/>
  <c r="F25" i="31"/>
  <c r="E25" i="31"/>
  <c r="M24" i="31"/>
  <c r="L24" i="31"/>
  <c r="K24" i="31"/>
  <c r="G24" i="31"/>
  <c r="F24" i="31"/>
  <c r="E24" i="31"/>
  <c r="M23" i="31"/>
  <c r="L23" i="31"/>
  <c r="K23" i="31"/>
  <c r="G23" i="31"/>
  <c r="F23" i="31"/>
  <c r="E23" i="31"/>
  <c r="M22" i="31"/>
  <c r="L22" i="31"/>
  <c r="K22" i="31"/>
  <c r="G22" i="31"/>
  <c r="F22" i="31"/>
  <c r="E22" i="31"/>
  <c r="M21" i="31"/>
  <c r="L21" i="31"/>
  <c r="K21" i="31"/>
  <c r="G21" i="31"/>
  <c r="F21" i="31"/>
  <c r="E21" i="31"/>
  <c r="M20" i="31"/>
  <c r="L20" i="31"/>
  <c r="K20" i="31"/>
  <c r="G20" i="31"/>
  <c r="F20" i="31"/>
  <c r="E20" i="31"/>
  <c r="M19" i="31"/>
  <c r="L19" i="31"/>
  <c r="K19" i="31"/>
  <c r="G19" i="31"/>
  <c r="F19" i="31"/>
  <c r="E19" i="31"/>
  <c r="M18" i="31"/>
  <c r="L18" i="31"/>
  <c r="K18" i="31"/>
  <c r="G18" i="31"/>
  <c r="F18" i="31"/>
  <c r="E18" i="31"/>
  <c r="M17" i="31"/>
  <c r="L17" i="31"/>
  <c r="K17" i="31"/>
  <c r="G17" i="31"/>
  <c r="F17" i="31"/>
  <c r="E17" i="31"/>
  <c r="M16" i="31"/>
  <c r="L16" i="31"/>
  <c r="K16" i="31"/>
  <c r="G16" i="31"/>
  <c r="F16" i="31"/>
  <c r="E16" i="31"/>
  <c r="M15" i="31"/>
  <c r="L15" i="31"/>
  <c r="K15" i="31"/>
  <c r="G15" i="31"/>
  <c r="F15" i="31"/>
  <c r="E15" i="31"/>
  <c r="M14" i="31"/>
  <c r="L14" i="31"/>
  <c r="K14" i="31"/>
  <c r="G14" i="31"/>
  <c r="F14" i="31"/>
  <c r="E14" i="31"/>
  <c r="M13" i="31"/>
  <c r="L13" i="31"/>
  <c r="K13" i="31"/>
  <c r="G13" i="31"/>
  <c r="F13" i="31"/>
  <c r="E13" i="31"/>
  <c r="M12" i="31"/>
  <c r="L12" i="31"/>
  <c r="K12" i="31"/>
  <c r="G12" i="31"/>
  <c r="F12" i="31"/>
  <c r="E12" i="31"/>
  <c r="M11" i="31"/>
  <c r="L11" i="31"/>
  <c r="K11" i="31"/>
  <c r="G11" i="31"/>
  <c r="F11" i="31"/>
  <c r="E11" i="31"/>
  <c r="M10" i="31"/>
  <c r="L10" i="31"/>
  <c r="G10" i="31"/>
  <c r="F10" i="31"/>
  <c r="E10" i="31"/>
  <c r="I19" i="28"/>
  <c r="N19" i="28"/>
  <c r="H19" i="28"/>
  <c r="O19" i="28"/>
  <c r="D26" i="18"/>
  <c r="H19" i="16"/>
  <c r="AF14" i="18"/>
  <c r="AF13" i="18"/>
  <c r="O38" i="18"/>
  <c r="H27" i="18"/>
  <c r="AF12" i="18"/>
  <c r="N19" i="16"/>
  <c r="AF15" i="18"/>
  <c r="N27" i="18"/>
  <c r="S27" i="18"/>
  <c r="I27" i="18"/>
  <c r="AE17" i="18"/>
  <c r="AF16" i="18"/>
  <c r="H38" i="18"/>
  <c r="D38" i="18" s="1"/>
  <c r="N38" i="18"/>
  <c r="AB17" i="18"/>
  <c r="V26" i="18"/>
  <c r="Y17" i="18"/>
  <c r="AF11" i="18"/>
  <c r="O27" i="18"/>
  <c r="O19" i="16"/>
  <c r="AC17" i="18"/>
  <c r="R27" i="18"/>
  <c r="U26" i="18"/>
  <c r="I19" i="16"/>
  <c r="B38" i="18"/>
  <c r="I38" i="18"/>
  <c r="P38" i="18"/>
  <c r="AA17" i="18"/>
  <c r="AF17" i="18"/>
  <c r="Z17" i="18"/>
  <c r="AD17" i="18"/>
  <c r="J39" i="18" l="1"/>
  <c r="J20" i="16"/>
  <c r="AH10" i="18"/>
  <c r="W17" i="18"/>
  <c r="AH10" i="16"/>
  <c r="AH10" i="28"/>
  <c r="T7" i="27"/>
  <c r="S7" i="27"/>
  <c r="T6" i="27"/>
  <c r="S6" i="27"/>
  <c r="T5" i="27"/>
  <c r="S5" i="27"/>
  <c r="T4" i="27"/>
  <c r="S4" i="27"/>
  <c r="T3" i="27"/>
  <c r="S3" i="27"/>
  <c r="T2" i="27"/>
  <c r="S2" i="27"/>
  <c r="AM19" i="27"/>
  <c r="AK19" i="27"/>
  <c r="AL19" i="27" s="1"/>
  <c r="AI19" i="27"/>
  <c r="AJ19" i="27" s="1"/>
  <c r="AM18" i="27"/>
  <c r="AK18" i="27"/>
  <c r="AL18" i="27" s="1"/>
  <c r="AI18" i="27"/>
  <c r="AJ18" i="27" s="1"/>
  <c r="A36" i="43"/>
  <c r="C34" i="43"/>
  <c r="D34" i="43" s="1"/>
  <c r="E34" i="43" s="1"/>
  <c r="F34" i="43" s="1"/>
  <c r="G34" i="43" s="1"/>
  <c r="H34" i="43" s="1"/>
  <c r="I34" i="43" s="1"/>
  <c r="J34" i="43" s="1"/>
  <c r="K34" i="43" s="1"/>
  <c r="L34" i="43" s="1"/>
  <c r="C28" i="43"/>
  <c r="D28" i="43" s="1"/>
  <c r="F28" i="43" s="1"/>
  <c r="C27" i="43"/>
  <c r="D27" i="43" s="1"/>
  <c r="F27" i="43" s="1"/>
  <c r="E26" i="43"/>
  <c r="A14" i="43"/>
  <c r="A15" i="43" s="1"/>
  <c r="A16" i="43" s="1"/>
  <c r="A17" i="43" s="1"/>
  <c r="A18" i="43" s="1"/>
  <c r="A19" i="43" s="1"/>
  <c r="A20" i="43" s="1"/>
  <c r="A21" i="43" s="1"/>
  <c r="A22" i="43" s="1"/>
  <c r="A23" i="43" s="1"/>
  <c r="C12" i="43"/>
  <c r="D12" i="43" s="1"/>
  <c r="E12" i="43" s="1"/>
  <c r="F12" i="43" s="1"/>
  <c r="G12" i="43" s="1"/>
  <c r="H12" i="43" s="1"/>
  <c r="I12" i="43" s="1"/>
  <c r="J12" i="43" s="1"/>
  <c r="K12" i="43" s="1"/>
  <c r="L12" i="43" s="1"/>
  <c r="E4" i="43"/>
  <c r="C6" i="43"/>
  <c r="D6" i="43" s="1"/>
  <c r="F6" i="43" s="1"/>
  <c r="C5" i="43"/>
  <c r="H4" i="43"/>
  <c r="I4" i="43"/>
  <c r="J4" i="43"/>
  <c r="G26" i="43"/>
  <c r="H26" i="43"/>
  <c r="G4" i="43"/>
  <c r="I26" i="43"/>
  <c r="J26" i="43"/>
  <c r="AG12" i="18"/>
  <c r="AG14" i="18"/>
  <c r="A27" i="18"/>
  <c r="O51" i="27"/>
  <c r="I20" i="16"/>
  <c r="P27" i="18"/>
  <c r="O56" i="27"/>
  <c r="I28" i="18"/>
  <c r="AG17" i="18"/>
  <c r="H39" i="18"/>
  <c r="A39" i="18"/>
  <c r="AG13" i="18"/>
  <c r="O64" i="27"/>
  <c r="H20" i="28"/>
  <c r="D39" i="18"/>
  <c r="I39" i="18"/>
  <c r="X17" i="18"/>
  <c r="S38" i="18"/>
  <c r="I20" i="28"/>
  <c r="N20" i="28"/>
  <c r="O20" i="16"/>
  <c r="A38" i="18"/>
  <c r="O28" i="18"/>
  <c r="O55" i="27"/>
  <c r="O62" i="27"/>
  <c r="N20" i="16"/>
  <c r="B39" i="18"/>
  <c r="O48" i="27"/>
  <c r="O20" i="28"/>
  <c r="R38" i="18"/>
  <c r="U38" i="18"/>
  <c r="V27" i="18"/>
  <c r="O47" i="27"/>
  <c r="AG11" i="18"/>
  <c r="B27" i="18"/>
  <c r="O53" i="27"/>
  <c r="V38" i="18"/>
  <c r="O63" i="27"/>
  <c r="O39" i="18"/>
  <c r="N39" i="18"/>
  <c r="R39" i="18" s="1"/>
  <c r="U27" i="18"/>
  <c r="S39" i="18"/>
  <c r="AG16" i="18"/>
  <c r="O61" i="27"/>
  <c r="N28" i="18"/>
  <c r="AG15" i="18"/>
  <c r="H28" i="18"/>
  <c r="D27" i="18"/>
  <c r="O54" i="27"/>
  <c r="H20" i="16"/>
  <c r="Y18" i="18"/>
  <c r="AG18" i="18"/>
  <c r="AB18" i="18"/>
  <c r="AC18" i="18"/>
  <c r="S28" i="18"/>
  <c r="AD18" i="18"/>
  <c r="R28" i="18"/>
  <c r="P28" i="18"/>
  <c r="AA18" i="18"/>
  <c r="AF18" i="18"/>
  <c r="AE18" i="18"/>
  <c r="Z18" i="18"/>
  <c r="X18" i="18"/>
  <c r="O65" i="27" l="1"/>
  <c r="J40" i="18"/>
  <c r="AI10" i="18"/>
  <c r="AI10" i="16"/>
  <c r="W18" i="18"/>
  <c r="AI10" i="28"/>
  <c r="J21" i="16"/>
  <c r="A37" i="43"/>
  <c r="D5" i="43"/>
  <c r="F5" i="43" s="1"/>
  <c r="I4" i="19"/>
  <c r="I5" i="19"/>
  <c r="I6" i="19"/>
  <c r="I7" i="19"/>
  <c r="I8" i="19"/>
  <c r="I9" i="19"/>
  <c r="I10" i="19"/>
  <c r="I11" i="19"/>
  <c r="I12" i="19"/>
  <c r="U28" i="18"/>
  <c r="AH12" i="18"/>
  <c r="O40" i="18"/>
  <c r="B28" i="18"/>
  <c r="O29" i="18"/>
  <c r="N21" i="28"/>
  <c r="P39" i="18"/>
  <c r="AH17" i="18"/>
  <c r="Y11" i="28"/>
  <c r="AH11" i="28"/>
  <c r="N21" i="16"/>
  <c r="AF11" i="28"/>
  <c r="X11" i="16"/>
  <c r="AH18" i="18"/>
  <c r="V28" i="18"/>
  <c r="I40" i="18"/>
  <c r="H21" i="16"/>
  <c r="H21" i="28"/>
  <c r="V39" i="18"/>
  <c r="I21" i="16"/>
  <c r="AE11" i="28"/>
  <c r="O21" i="16"/>
  <c r="Z11" i="28"/>
  <c r="AF11" i="16"/>
  <c r="AE11" i="16"/>
  <c r="X11" i="28"/>
  <c r="AG11" i="28"/>
  <c r="A28" i="18"/>
  <c r="AH15" i="18"/>
  <c r="I21" i="28"/>
  <c r="AH13" i="18"/>
  <c r="I29" i="18"/>
  <c r="AH11" i="18"/>
  <c r="O21" i="28"/>
  <c r="AD11" i="28"/>
  <c r="U39" i="18"/>
  <c r="Z11" i="16"/>
  <c r="Y11" i="16"/>
  <c r="AB11" i="28"/>
  <c r="AH11" i="16"/>
  <c r="AG11" i="16"/>
  <c r="D28" i="18"/>
  <c r="N40" i="18"/>
  <c r="AH16" i="18"/>
  <c r="AH14" i="18"/>
  <c r="H29" i="18"/>
  <c r="N29" i="18"/>
  <c r="H40" i="18"/>
  <c r="A40" i="18" s="1"/>
  <c r="AA11" i="28"/>
  <c r="AC11" i="16"/>
  <c r="AF19" i="18"/>
  <c r="AD11" i="16"/>
  <c r="AB11" i="16"/>
  <c r="AA11" i="16"/>
  <c r="P29" i="18"/>
  <c r="AH19" i="18"/>
  <c r="S29" i="18"/>
  <c r="AE19" i="18"/>
  <c r="AG19" i="18"/>
  <c r="Y19" i="18"/>
  <c r="AD19" i="18"/>
  <c r="R29" i="18"/>
  <c r="Z19" i="18"/>
  <c r="X19" i="18"/>
  <c r="AA19" i="18"/>
  <c r="AC19" i="18"/>
  <c r="AB19" i="18"/>
  <c r="J41" i="18" l="1"/>
  <c r="AJ10" i="28"/>
  <c r="W11" i="16"/>
  <c r="J22" i="16"/>
  <c r="W11" i="28"/>
  <c r="W19" i="18"/>
  <c r="AJ10" i="18"/>
  <c r="AJ10" i="16"/>
  <c r="A38" i="43"/>
  <c r="AI17" i="27"/>
  <c r="AJ17" i="27" s="1"/>
  <c r="AK17" i="27"/>
  <c r="AL17" i="27" s="1"/>
  <c r="AM17" i="27"/>
  <c r="B40" i="18"/>
  <c r="V29" i="18"/>
  <c r="AI12" i="18"/>
  <c r="N22" i="16"/>
  <c r="I30" i="18"/>
  <c r="AI11" i="28"/>
  <c r="H22" i="16"/>
  <c r="AI14" i="18"/>
  <c r="H41" i="18"/>
  <c r="B29" i="18"/>
  <c r="Y12" i="16"/>
  <c r="O41" i="18"/>
  <c r="U29" i="18"/>
  <c r="AI19" i="18"/>
  <c r="AI16" i="18"/>
  <c r="I22" i="28"/>
  <c r="AB12" i="16"/>
  <c r="AI15" i="18"/>
  <c r="AC11" i="28"/>
  <c r="P40" i="18"/>
  <c r="AI18" i="18"/>
  <c r="AH12" i="16"/>
  <c r="N30" i="18"/>
  <c r="Z12" i="16"/>
  <c r="AE12" i="16"/>
  <c r="AC20" i="18"/>
  <c r="H22" i="28"/>
  <c r="A29" i="18"/>
  <c r="R40" i="18"/>
  <c r="U40" i="18"/>
  <c r="B41" i="18"/>
  <c r="AI12" i="16"/>
  <c r="H30" i="18"/>
  <c r="V40" i="18"/>
  <c r="AD12" i="16"/>
  <c r="AI11" i="16"/>
  <c r="AC12" i="16"/>
  <c r="I41" i="18"/>
  <c r="I22" i="16"/>
  <c r="X12" i="16"/>
  <c r="AG20" i="18"/>
  <c r="Y20" i="18"/>
  <c r="AE20" i="18"/>
  <c r="O22" i="16"/>
  <c r="N22" i="28"/>
  <c r="N41" i="18"/>
  <c r="R41" i="18" s="1"/>
  <c r="O22" i="28"/>
  <c r="O30" i="18"/>
  <c r="AA12" i="16"/>
  <c r="S40" i="18"/>
  <c r="AI13" i="18"/>
  <c r="AA12" i="28"/>
  <c r="AI11" i="18"/>
  <c r="AI17" i="18"/>
  <c r="A41" i="18"/>
  <c r="P30" i="18"/>
  <c r="D29" i="18"/>
  <c r="D40" i="18"/>
  <c r="AE12" i="28"/>
  <c r="AF12" i="16"/>
  <c r="AF20" i="18"/>
  <c r="Z20" i="18"/>
  <c r="R30" i="18"/>
  <c r="AB20" i="18"/>
  <c r="AI20" i="18"/>
  <c r="AD20" i="18"/>
  <c r="S30" i="18"/>
  <c r="AH20" i="18"/>
  <c r="AA20" i="18"/>
  <c r="X20" i="18"/>
  <c r="AC12" i="28"/>
  <c r="AB12" i="28"/>
  <c r="AI12" i="28"/>
  <c r="Z12" i="28"/>
  <c r="AH12" i="28"/>
  <c r="AD12" i="28"/>
  <c r="Y12" i="28"/>
  <c r="AF12" i="28"/>
  <c r="AG12" i="28"/>
  <c r="X12" i="28"/>
  <c r="J42" i="18" l="1"/>
  <c r="W12" i="16"/>
  <c r="J23" i="16"/>
  <c r="W20" i="18"/>
  <c r="W12" i="28"/>
  <c r="A39" i="43"/>
  <c r="AI7" i="27"/>
  <c r="AJ7" i="27" s="1"/>
  <c r="AK7" i="27"/>
  <c r="AL7" i="27" s="1"/>
  <c r="AM7" i="27"/>
  <c r="AI8" i="27"/>
  <c r="AJ8" i="27" s="1"/>
  <c r="AK8" i="27"/>
  <c r="AL8" i="27" s="1"/>
  <c r="AM8" i="27"/>
  <c r="AI9" i="27"/>
  <c r="AJ9" i="27" s="1"/>
  <c r="AK9" i="27"/>
  <c r="AL9" i="27" s="1"/>
  <c r="AM9" i="27"/>
  <c r="AI10" i="27"/>
  <c r="AJ10" i="27" s="1"/>
  <c r="AK10" i="27"/>
  <c r="AL10" i="27" s="1"/>
  <c r="AM10" i="27"/>
  <c r="AI11" i="27"/>
  <c r="AJ11" i="27" s="1"/>
  <c r="AK11" i="27"/>
  <c r="AL11" i="27" s="1"/>
  <c r="AM11" i="27"/>
  <c r="AI12" i="27"/>
  <c r="AJ12" i="27" s="1"/>
  <c r="AK12" i="27"/>
  <c r="AL12" i="27" s="1"/>
  <c r="AM12" i="27"/>
  <c r="AI13" i="27"/>
  <c r="AJ13" i="27" s="1"/>
  <c r="AK13" i="27"/>
  <c r="AL13" i="27" s="1"/>
  <c r="AM13" i="27"/>
  <c r="AI14" i="27"/>
  <c r="AJ14" i="27" s="1"/>
  <c r="AK14" i="27"/>
  <c r="AL14" i="27" s="1"/>
  <c r="AM14" i="27"/>
  <c r="AI15" i="27"/>
  <c r="AJ15" i="27" s="1"/>
  <c r="AK15" i="27"/>
  <c r="AL15" i="27" s="1"/>
  <c r="AM15" i="27"/>
  <c r="AI16" i="27"/>
  <c r="AJ16" i="27" s="1"/>
  <c r="AK16" i="27"/>
  <c r="AL16" i="27" s="1"/>
  <c r="AM16" i="27"/>
  <c r="K6" i="31"/>
  <c r="J6" i="31"/>
  <c r="I6" i="31"/>
  <c r="H6" i="31"/>
  <c r="G6" i="31"/>
  <c r="F6" i="31"/>
  <c r="K4" i="31"/>
  <c r="J4" i="31"/>
  <c r="I4" i="31"/>
  <c r="H4" i="31"/>
  <c r="G4" i="31"/>
  <c r="F4" i="31"/>
  <c r="K2" i="31"/>
  <c r="J2" i="31"/>
  <c r="I2" i="31"/>
  <c r="H2" i="31"/>
  <c r="G2" i="31"/>
  <c r="F2" i="31"/>
  <c r="H23" i="16"/>
  <c r="N31" i="18"/>
  <c r="O23" i="16"/>
  <c r="P31" i="18"/>
  <c r="S31" i="18"/>
  <c r="AJ19" i="18"/>
  <c r="V41" i="18"/>
  <c r="N23" i="16"/>
  <c r="AJ17" i="18"/>
  <c r="U30" i="18"/>
  <c r="Z13" i="16"/>
  <c r="I23" i="28"/>
  <c r="AB13" i="16"/>
  <c r="AG12" i="16"/>
  <c r="H31" i="18"/>
  <c r="AJ11" i="18"/>
  <c r="O23" i="28"/>
  <c r="O42" i="18"/>
  <c r="I42" i="18"/>
  <c r="H23" i="28"/>
  <c r="R31" i="18"/>
  <c r="N42" i="18"/>
  <c r="U41" i="18"/>
  <c r="V30" i="18"/>
  <c r="AA13" i="16"/>
  <c r="AJ20" i="18"/>
  <c r="D30" i="18"/>
  <c r="H42" i="18"/>
  <c r="D42" i="18"/>
  <c r="AD13" i="16"/>
  <c r="AJ12" i="18"/>
  <c r="X13" i="16"/>
  <c r="I31" i="18"/>
  <c r="Y13" i="16"/>
  <c r="AJ11" i="28"/>
  <c r="AF13" i="16"/>
  <c r="AJ12" i="16"/>
  <c r="AJ16" i="18"/>
  <c r="AJ15" i="18"/>
  <c r="AH13" i="16"/>
  <c r="AC13" i="16"/>
  <c r="AE13" i="16"/>
  <c r="D41" i="18"/>
  <c r="AJ13" i="18"/>
  <c r="O31" i="18"/>
  <c r="AJ14" i="18"/>
  <c r="AJ12" i="28"/>
  <c r="S41" i="18"/>
  <c r="I23" i="16"/>
  <c r="A30" i="18"/>
  <c r="AJ11" i="16"/>
  <c r="AJ18" i="18"/>
  <c r="AG13" i="16"/>
  <c r="N23" i="28"/>
  <c r="Z13" i="28"/>
  <c r="Y13" i="28"/>
  <c r="AG13" i="28"/>
  <c r="B30" i="18"/>
  <c r="AI13" i="28"/>
  <c r="P41" i="18"/>
  <c r="AF13" i="28"/>
  <c r="AI13" i="16"/>
  <c r="AA13" i="28"/>
  <c r="AJ13" i="16"/>
  <c r="X13" i="28"/>
  <c r="AB13" i="28"/>
  <c r="AC13" i="28"/>
  <c r="AJ13" i="28"/>
  <c r="AH13" i="28"/>
  <c r="AE13" i="28"/>
  <c r="AD13" i="28"/>
  <c r="J43" i="18" l="1"/>
  <c r="J24" i="16"/>
  <c r="W13" i="16"/>
  <c r="W13" i="28"/>
  <c r="A40" i="43"/>
  <c r="P42" i="18"/>
  <c r="N24" i="28"/>
  <c r="N32" i="18"/>
  <c r="AD14" i="28"/>
  <c r="S42" i="18"/>
  <c r="AB14" i="28"/>
  <c r="B31" i="18"/>
  <c r="Z14" i="28"/>
  <c r="R42" i="18"/>
  <c r="AA14" i="28"/>
  <c r="AC14" i="28"/>
  <c r="V42" i="18"/>
  <c r="X14" i="28"/>
  <c r="AE14" i="28"/>
  <c r="N24" i="16"/>
  <c r="D31" i="18"/>
  <c r="AH14" i="28"/>
  <c r="O24" i="28"/>
  <c r="B42" i="18"/>
  <c r="AE14" i="16"/>
  <c r="I32" i="18"/>
  <c r="V31" i="18"/>
  <c r="AG14" i="16"/>
  <c r="N43" i="18"/>
  <c r="H32" i="18"/>
  <c r="AJ14" i="28"/>
  <c r="AA14" i="16"/>
  <c r="I43" i="18"/>
  <c r="I24" i="16"/>
  <c r="AF14" i="16"/>
  <c r="Y14" i="16"/>
  <c r="H24" i="16"/>
  <c r="AF14" i="28"/>
  <c r="X14" i="16"/>
  <c r="O32" i="18"/>
  <c r="U31" i="18"/>
  <c r="AI14" i="16"/>
  <c r="AI14" i="28"/>
  <c r="AG14" i="28"/>
  <c r="O24" i="16"/>
  <c r="R43" i="18"/>
  <c r="O43" i="18"/>
  <c r="Y14" i="28"/>
  <c r="H43" i="18"/>
  <c r="I24" i="28"/>
  <c r="U42" i="18"/>
  <c r="A42" i="18"/>
  <c r="A31" i="18"/>
  <c r="AJ14" i="16"/>
  <c r="H24" i="28"/>
  <c r="S43" i="18"/>
  <c r="AD14" i="16"/>
  <c r="AB14" i="16"/>
  <c r="Z14" i="16"/>
  <c r="AH14" i="16"/>
  <c r="AC14" i="16"/>
  <c r="B43" i="18"/>
  <c r="D43" i="18"/>
  <c r="A43" i="18"/>
  <c r="J44" i="18" l="1"/>
  <c r="W14" i="28"/>
  <c r="J25" i="16"/>
  <c r="W14" i="16"/>
  <c r="A41" i="43"/>
  <c r="I3" i="19"/>
  <c r="N44" i="18"/>
  <c r="I33" i="18"/>
  <c r="R32" i="18"/>
  <c r="N33" i="18"/>
  <c r="H44" i="18"/>
  <c r="D44" i="18"/>
  <c r="I44" i="18"/>
  <c r="I25" i="28"/>
  <c r="P32" i="18"/>
  <c r="R44" i="18"/>
  <c r="O25" i="16"/>
  <c r="V43" i="18"/>
  <c r="N25" i="28"/>
  <c r="S32" i="18"/>
  <c r="B32" i="18"/>
  <c r="O33" i="18"/>
  <c r="AC15" i="28"/>
  <c r="V32" i="18"/>
  <c r="Z15" i="28"/>
  <c r="Y15" i="28"/>
  <c r="A44" i="18"/>
  <c r="O44" i="18"/>
  <c r="S44" i="18"/>
  <c r="I25" i="16"/>
  <c r="X15" i="28"/>
  <c r="AH15" i="28"/>
  <c r="A32" i="18"/>
  <c r="P43" i="18"/>
  <c r="U43" i="18"/>
  <c r="AE15" i="28"/>
  <c r="O25" i="28"/>
  <c r="H25" i="16"/>
  <c r="AA15" i="28"/>
  <c r="B44" i="18"/>
  <c r="D32" i="18"/>
  <c r="H25" i="28"/>
  <c r="H33" i="18"/>
  <c r="AD15" i="28"/>
  <c r="N25" i="16"/>
  <c r="U32" i="18"/>
  <c r="AC15" i="16"/>
  <c r="AB15" i="16"/>
  <c r="AB15" i="28"/>
  <c r="AJ15" i="28"/>
  <c r="AF15" i="28"/>
  <c r="AI15" i="28"/>
  <c r="AG15" i="28"/>
  <c r="B33" i="18"/>
  <c r="D33" i="18"/>
  <c r="A33" i="18"/>
  <c r="Y15" i="16"/>
  <c r="AJ15" i="16"/>
  <c r="AD15" i="16"/>
  <c r="AF15" i="16"/>
  <c r="X15" i="16"/>
  <c r="Z15" i="16"/>
  <c r="AE15" i="16"/>
  <c r="AH15" i="16"/>
  <c r="AG15" i="16"/>
  <c r="AI15" i="16"/>
  <c r="AA15" i="16"/>
  <c r="J45" i="18" l="1"/>
  <c r="J26" i="16"/>
  <c r="W15" i="16"/>
  <c r="W15" i="28"/>
  <c r="A42" i="43"/>
  <c r="O26" i="28"/>
  <c r="V33" i="18"/>
  <c r="I26" i="16"/>
  <c r="P44" i="18"/>
  <c r="N34" i="18"/>
  <c r="R33" i="18"/>
  <c r="N26" i="28"/>
  <c r="O45" i="18"/>
  <c r="AD16" i="28"/>
  <c r="AJ16" i="28"/>
  <c r="H34" i="18"/>
  <c r="AE16" i="28"/>
  <c r="S33" i="18"/>
  <c r="V44" i="18"/>
  <c r="Z16" i="28"/>
  <c r="AH16" i="28"/>
  <c r="I26" i="28"/>
  <c r="AB16" i="28"/>
  <c r="I45" i="18"/>
  <c r="H26" i="16"/>
  <c r="N26" i="16"/>
  <c r="Y16" i="16"/>
  <c r="P33" i="18"/>
  <c r="AG16" i="16"/>
  <c r="O34" i="18"/>
  <c r="AI16" i="28"/>
  <c r="AF16" i="28"/>
  <c r="AB16" i="16"/>
  <c r="AH16" i="16"/>
  <c r="U44" i="18"/>
  <c r="I34" i="18"/>
  <c r="H45" i="18"/>
  <c r="B45" i="18" s="1"/>
  <c r="H26" i="28"/>
  <c r="N45" i="18"/>
  <c r="X16" i="28"/>
  <c r="U33" i="18"/>
  <c r="S45" i="18"/>
  <c r="Y16" i="28"/>
  <c r="AD16" i="16"/>
  <c r="O26" i="16"/>
  <c r="AF16" i="16"/>
  <c r="AI16" i="16"/>
  <c r="AC16" i="28"/>
  <c r="AA16" i="28"/>
  <c r="AG16" i="28"/>
  <c r="AA16" i="16"/>
  <c r="AC16" i="16"/>
  <c r="AJ16" i="16"/>
  <c r="AE16" i="16"/>
  <c r="Z16" i="16"/>
  <c r="X16" i="16"/>
  <c r="J46" i="18" l="1"/>
  <c r="W16" i="28"/>
  <c r="J27" i="16"/>
  <c r="W16" i="16"/>
  <c r="A43" i="43"/>
  <c r="E5" i="27"/>
  <c r="E8" i="27" s="1"/>
  <c r="C3" i="30"/>
  <c r="K3" i="30" s="1"/>
  <c r="C2" i="30"/>
  <c r="K2" i="30" s="1"/>
  <c r="M37" i="24"/>
  <c r="L37" i="24"/>
  <c r="K37" i="24"/>
  <c r="G37" i="24"/>
  <c r="F37" i="24"/>
  <c r="E37" i="24"/>
  <c r="M36" i="24"/>
  <c r="L36" i="24"/>
  <c r="K36" i="24"/>
  <c r="G36" i="24"/>
  <c r="F36" i="24"/>
  <c r="E36" i="24"/>
  <c r="M35" i="24"/>
  <c r="L35" i="24"/>
  <c r="K35" i="24"/>
  <c r="G35" i="24"/>
  <c r="F35" i="24"/>
  <c r="E35" i="24"/>
  <c r="M34" i="24"/>
  <c r="L34" i="24"/>
  <c r="K34" i="24"/>
  <c r="G34" i="24"/>
  <c r="F34" i="24"/>
  <c r="E34" i="24"/>
  <c r="M33" i="24"/>
  <c r="L33" i="24"/>
  <c r="K33" i="24"/>
  <c r="G33" i="24"/>
  <c r="F33" i="24"/>
  <c r="E33" i="24"/>
  <c r="M32" i="24"/>
  <c r="L32" i="24"/>
  <c r="K32" i="24"/>
  <c r="G32" i="24"/>
  <c r="F32" i="24"/>
  <c r="E32" i="24"/>
  <c r="M31" i="24"/>
  <c r="L31" i="24"/>
  <c r="K31" i="24"/>
  <c r="G31" i="24"/>
  <c r="F31" i="24"/>
  <c r="E31" i="24"/>
  <c r="M30" i="24"/>
  <c r="L30" i="24"/>
  <c r="K30" i="24"/>
  <c r="G30" i="24"/>
  <c r="F30" i="24"/>
  <c r="E30" i="24"/>
  <c r="M29" i="24"/>
  <c r="L29" i="24"/>
  <c r="K29" i="24"/>
  <c r="G29" i="24"/>
  <c r="F29" i="24"/>
  <c r="E29" i="24"/>
  <c r="M28" i="24"/>
  <c r="L28" i="24"/>
  <c r="K28" i="24"/>
  <c r="G28" i="24"/>
  <c r="F28" i="24"/>
  <c r="E28" i="24"/>
  <c r="M27" i="24"/>
  <c r="L27" i="24"/>
  <c r="K27" i="24"/>
  <c r="G27" i="24"/>
  <c r="F27" i="24"/>
  <c r="E27" i="24"/>
  <c r="M26" i="24"/>
  <c r="L26" i="24"/>
  <c r="K26" i="24"/>
  <c r="G26" i="24"/>
  <c r="F26" i="24"/>
  <c r="E26" i="24"/>
  <c r="M25" i="24"/>
  <c r="L25" i="24"/>
  <c r="K25" i="24"/>
  <c r="G25" i="24"/>
  <c r="F25" i="24"/>
  <c r="E25" i="24"/>
  <c r="M24" i="24"/>
  <c r="L24" i="24"/>
  <c r="K24" i="24"/>
  <c r="G24" i="24"/>
  <c r="F24" i="24"/>
  <c r="E24" i="24"/>
  <c r="M23" i="24"/>
  <c r="L23" i="24"/>
  <c r="K23" i="24"/>
  <c r="G23" i="24"/>
  <c r="F23" i="24"/>
  <c r="E23" i="24"/>
  <c r="M22" i="24"/>
  <c r="L22" i="24"/>
  <c r="K22" i="24"/>
  <c r="G22" i="24"/>
  <c r="F22" i="24"/>
  <c r="E22" i="24"/>
  <c r="M21" i="24"/>
  <c r="L21" i="24"/>
  <c r="K21" i="24"/>
  <c r="G21" i="24"/>
  <c r="F21" i="24"/>
  <c r="E21" i="24"/>
  <c r="M20" i="24"/>
  <c r="L20" i="24"/>
  <c r="K20" i="24"/>
  <c r="G20" i="24"/>
  <c r="F20" i="24"/>
  <c r="E20" i="24"/>
  <c r="M19" i="24"/>
  <c r="L19" i="24"/>
  <c r="K19" i="24"/>
  <c r="G19" i="24"/>
  <c r="F19" i="24"/>
  <c r="E19" i="24"/>
  <c r="M18" i="24"/>
  <c r="L18" i="24"/>
  <c r="K18" i="24"/>
  <c r="G18" i="24"/>
  <c r="F18" i="24"/>
  <c r="E18" i="24"/>
  <c r="M17" i="24"/>
  <c r="L17" i="24"/>
  <c r="K17" i="24"/>
  <c r="G17" i="24"/>
  <c r="F17" i="24"/>
  <c r="E17" i="24"/>
  <c r="M16" i="24"/>
  <c r="L16" i="24"/>
  <c r="K16" i="24"/>
  <c r="G16" i="24"/>
  <c r="F16" i="24"/>
  <c r="E16" i="24"/>
  <c r="M15" i="24"/>
  <c r="L15" i="24"/>
  <c r="K15" i="24"/>
  <c r="G15" i="24"/>
  <c r="F15" i="24"/>
  <c r="E15" i="24"/>
  <c r="M14" i="24"/>
  <c r="L14" i="24"/>
  <c r="K14" i="24"/>
  <c r="G14" i="24"/>
  <c r="F14" i="24"/>
  <c r="E14" i="24"/>
  <c r="M13" i="24"/>
  <c r="L13" i="24"/>
  <c r="K13" i="24"/>
  <c r="G13" i="24"/>
  <c r="F13" i="24"/>
  <c r="E13" i="24"/>
  <c r="M12" i="24"/>
  <c r="L12" i="24"/>
  <c r="K12" i="24"/>
  <c r="J12" i="24"/>
  <c r="J13" i="24" s="1"/>
  <c r="J14" i="24" s="1"/>
  <c r="J15" i="24" s="1"/>
  <c r="J16" i="24" s="1"/>
  <c r="J17" i="24" s="1"/>
  <c r="J18" i="24" s="1"/>
  <c r="J19" i="24" s="1"/>
  <c r="J20" i="24" s="1"/>
  <c r="J21" i="24" s="1"/>
  <c r="G12" i="24"/>
  <c r="F12" i="24"/>
  <c r="E12" i="24"/>
  <c r="M11" i="24"/>
  <c r="L11" i="24"/>
  <c r="K11" i="24"/>
  <c r="G11" i="24"/>
  <c r="F11" i="24"/>
  <c r="E11" i="24"/>
  <c r="Y10" i="24"/>
  <c r="K7" i="24"/>
  <c r="J7" i="24"/>
  <c r="I7" i="24"/>
  <c r="H7" i="24"/>
  <c r="G7" i="24"/>
  <c r="F7" i="24"/>
  <c r="K6" i="24"/>
  <c r="J6" i="24"/>
  <c r="I6" i="24"/>
  <c r="H6" i="24"/>
  <c r="G6" i="24"/>
  <c r="F6" i="24"/>
  <c r="K5" i="24"/>
  <c r="J5" i="24"/>
  <c r="I5" i="24"/>
  <c r="H5" i="24"/>
  <c r="G5" i="24"/>
  <c r="F5" i="24"/>
  <c r="K4" i="24"/>
  <c r="J4" i="24"/>
  <c r="I4" i="24"/>
  <c r="H4" i="24"/>
  <c r="G4" i="24"/>
  <c r="F4" i="24"/>
  <c r="K3" i="24"/>
  <c r="J3" i="24"/>
  <c r="I3" i="24"/>
  <c r="H3" i="24"/>
  <c r="G3" i="24"/>
  <c r="F3" i="24"/>
  <c r="Y2" i="24"/>
  <c r="W2" i="24"/>
  <c r="U2" i="24"/>
  <c r="K2" i="24"/>
  <c r="J2" i="24"/>
  <c r="I2" i="24"/>
  <c r="B3" i="24" s="1"/>
  <c r="H2" i="24"/>
  <c r="G2" i="24"/>
  <c r="F2" i="24"/>
  <c r="E2" i="24"/>
  <c r="M2" i="24"/>
  <c r="M4" i="24"/>
  <c r="O46" i="18"/>
  <c r="I35" i="18"/>
  <c r="N27" i="28"/>
  <c r="AG17" i="28"/>
  <c r="H46" i="18"/>
  <c r="V34" i="18"/>
  <c r="R34" i="18"/>
  <c r="AF17" i="28"/>
  <c r="Z17" i="28"/>
  <c r="B34" i="18"/>
  <c r="R45" i="18"/>
  <c r="H35" i="18"/>
  <c r="P45" i="18"/>
  <c r="I46" i="18"/>
  <c r="S34" i="18"/>
  <c r="AD17" i="28"/>
  <c r="AH17" i="28"/>
  <c r="AJ17" i="28"/>
  <c r="N46" i="18"/>
  <c r="U45" i="18"/>
  <c r="AE17" i="28"/>
  <c r="AB17" i="28"/>
  <c r="I27" i="28"/>
  <c r="A34" i="18"/>
  <c r="A45" i="18"/>
  <c r="H27" i="28"/>
  <c r="AC17" i="28"/>
  <c r="H27" i="16"/>
  <c r="O27" i="16"/>
  <c r="AA17" i="28"/>
  <c r="O27" i="28"/>
  <c r="D45" i="18"/>
  <c r="I27" i="16"/>
  <c r="P34" i="18"/>
  <c r="O35" i="18"/>
  <c r="D34" i="18"/>
  <c r="AI17" i="28"/>
  <c r="V45" i="18"/>
  <c r="U34" i="18"/>
  <c r="N35" i="18"/>
  <c r="R46" i="18"/>
  <c r="X17" i="28"/>
  <c r="N27" i="16"/>
  <c r="D46" i="18"/>
  <c r="S46" i="18"/>
  <c r="Y17" i="28"/>
  <c r="AI17" i="16"/>
  <c r="AD17" i="16"/>
  <c r="AG17" i="16"/>
  <c r="Y17" i="16"/>
  <c r="X17" i="16"/>
  <c r="AA17" i="16"/>
  <c r="AF17" i="16"/>
  <c r="AE17" i="16"/>
  <c r="Z17" i="16"/>
  <c r="AH17" i="16"/>
  <c r="AJ17" i="16"/>
  <c r="AB17" i="16"/>
  <c r="AC17" i="16"/>
  <c r="D2" i="18" l="1"/>
  <c r="B2" i="18"/>
  <c r="B4" i="18" s="1"/>
  <c r="J47" i="18"/>
  <c r="C2" i="18"/>
  <c r="W17" i="28"/>
  <c r="J28" i="16"/>
  <c r="W17" i="16"/>
  <c r="J22" i="24"/>
  <c r="W11" i="24"/>
  <c r="A44" i="43"/>
  <c r="L4" i="24"/>
  <c r="P2" i="24"/>
  <c r="L2" i="24"/>
  <c r="L6" i="24"/>
  <c r="M6" i="24"/>
  <c r="N4" i="24"/>
  <c r="O4" i="24"/>
  <c r="O2" i="24"/>
  <c r="Q4" i="24"/>
  <c r="N2" i="24"/>
  <c r="W12" i="24"/>
  <c r="J23" i="24"/>
  <c r="Z10" i="24"/>
  <c r="B46" i="18"/>
  <c r="N28" i="28"/>
  <c r="Z18" i="28"/>
  <c r="I36" i="18"/>
  <c r="AG18" i="28"/>
  <c r="D35" i="18"/>
  <c r="H28" i="16"/>
  <c r="AI18" i="28"/>
  <c r="AJ18" i="28"/>
  <c r="O47" i="18"/>
  <c r="O28" i="16"/>
  <c r="P35" i="18"/>
  <c r="X18" i="28"/>
  <c r="N47" i="18"/>
  <c r="S47" i="18" s="1"/>
  <c r="O52" i="27"/>
  <c r="B35" i="18"/>
  <c r="AE18" i="28"/>
  <c r="AA18" i="28"/>
  <c r="R35" i="18"/>
  <c r="Y18" i="28"/>
  <c r="AB18" i="28"/>
  <c r="AF18" i="28"/>
  <c r="V46" i="18"/>
  <c r="O49" i="27"/>
  <c r="O28" i="28"/>
  <c r="V35" i="18"/>
  <c r="P47" i="18"/>
  <c r="I47" i="18"/>
  <c r="I28" i="16"/>
  <c r="U46" i="18"/>
  <c r="AH18" i="28"/>
  <c r="I28" i="28"/>
  <c r="A46" i="18"/>
  <c r="N28" i="16"/>
  <c r="AC18" i="28"/>
  <c r="AI18" i="16"/>
  <c r="Y18" i="16"/>
  <c r="P46" i="18"/>
  <c r="O50" i="27"/>
  <c r="R47" i="18"/>
  <c r="S35" i="18"/>
  <c r="U35" i="18"/>
  <c r="O36" i="18"/>
  <c r="H28" i="28"/>
  <c r="AD18" i="28"/>
  <c r="X18" i="16"/>
  <c r="H47" i="18"/>
  <c r="A47" i="18" s="1"/>
  <c r="AE18" i="16"/>
  <c r="H36" i="18"/>
  <c r="N36" i="18"/>
  <c r="A35" i="18"/>
  <c r="AF18" i="16"/>
  <c r="Z18" i="16"/>
  <c r="AJ18" i="16"/>
  <c r="AD18" i="16"/>
  <c r="AH18" i="16"/>
  <c r="AA18" i="16"/>
  <c r="AG18" i="16"/>
  <c r="AB18" i="16"/>
  <c r="O57" i="27" l="1"/>
  <c r="D4" i="18"/>
  <c r="J48" i="18"/>
  <c r="J29" i="16"/>
  <c r="W18" i="16"/>
  <c r="W18" i="28"/>
  <c r="E28" i="43"/>
  <c r="E6" i="43"/>
  <c r="E27" i="43"/>
  <c r="E5" i="43"/>
  <c r="A45" i="43"/>
  <c r="O6" i="24"/>
  <c r="N6" i="24"/>
  <c r="AA10" i="24"/>
  <c r="W13" i="24"/>
  <c r="J24" i="24"/>
  <c r="H29" i="28"/>
  <c r="N29" i="28"/>
  <c r="O29" i="28"/>
  <c r="I29" i="28"/>
  <c r="D47" i="18"/>
  <c r="O16" i="24"/>
  <c r="U36" i="18"/>
  <c r="O18" i="24"/>
  <c r="N24" i="24"/>
  <c r="H14" i="24"/>
  <c r="N19" i="24"/>
  <c r="N23" i="24"/>
  <c r="H12" i="24"/>
  <c r="N12" i="24"/>
  <c r="H21" i="24"/>
  <c r="I16" i="24"/>
  <c r="X19" i="28"/>
  <c r="H19" i="24"/>
  <c r="H24" i="24"/>
  <c r="O15" i="24"/>
  <c r="I11" i="24"/>
  <c r="N16" i="24"/>
  <c r="O19" i="24"/>
  <c r="U47" i="18"/>
  <c r="A36" i="18"/>
  <c r="O23" i="24"/>
  <c r="I24" i="24"/>
  <c r="AG19" i="28"/>
  <c r="AB19" i="28"/>
  <c r="AC19" i="28"/>
  <c r="I17" i="24"/>
  <c r="J6" i="43"/>
  <c r="AH19" i="28"/>
  <c r="I48" i="18"/>
  <c r="H22" i="24"/>
  <c r="N11" i="24"/>
  <c r="H13" i="24"/>
  <c r="O11" i="24"/>
  <c r="O13" i="24"/>
  <c r="AC18" i="16"/>
  <c r="O21" i="24"/>
  <c r="O20" i="24"/>
  <c r="H6" i="43"/>
  <c r="N37" i="18"/>
  <c r="I6" i="43"/>
  <c r="Z19" i="28"/>
  <c r="N18" i="24"/>
  <c r="I21" i="24"/>
  <c r="O14" i="24"/>
  <c r="V36" i="18"/>
  <c r="R36" i="18"/>
  <c r="B47" i="18"/>
  <c r="S36" i="18"/>
  <c r="I13" i="24"/>
  <c r="H20" i="24"/>
  <c r="AF19" i="28"/>
  <c r="G5" i="43"/>
  <c r="N20" i="24"/>
  <c r="I27" i="43"/>
  <c r="AE19" i="28"/>
  <c r="N17" i="24"/>
  <c r="J5" i="43"/>
  <c r="O17" i="24"/>
  <c r="O22" i="24"/>
  <c r="H5" i="43"/>
  <c r="N29" i="16"/>
  <c r="O12" i="24"/>
  <c r="I18" i="24"/>
  <c r="Y19" i="16"/>
  <c r="I19" i="24"/>
  <c r="I29" i="16"/>
  <c r="I15" i="24"/>
  <c r="P36" i="18"/>
  <c r="Y19" i="28"/>
  <c r="N22" i="24"/>
  <c r="X12" i="24" s="1"/>
  <c r="AA19" i="28"/>
  <c r="B36" i="18"/>
  <c r="H16" i="24"/>
  <c r="V47" i="18"/>
  <c r="P22" i="24"/>
  <c r="AD19" i="28"/>
  <c r="I23" i="24"/>
  <c r="H11" i="24"/>
  <c r="Z19" i="16"/>
  <c r="O48" i="18"/>
  <c r="N14" i="24"/>
  <c r="H18" i="24"/>
  <c r="O24" i="24"/>
  <c r="N15" i="24"/>
  <c r="I22" i="24"/>
  <c r="D36" i="18"/>
  <c r="AC19" i="16"/>
  <c r="H37" i="18"/>
  <c r="I14" i="24"/>
  <c r="H48" i="18"/>
  <c r="AI19" i="28"/>
  <c r="A48" i="18"/>
  <c r="H29" i="16"/>
  <c r="O37" i="18"/>
  <c r="N48" i="18"/>
  <c r="N21" i="24"/>
  <c r="O29" i="16"/>
  <c r="AJ19" i="28"/>
  <c r="H23" i="24"/>
  <c r="H15" i="24"/>
  <c r="X19" i="16"/>
  <c r="G6" i="43"/>
  <c r="H17" i="24"/>
  <c r="I37" i="18"/>
  <c r="N13" i="24"/>
  <c r="AG19" i="16"/>
  <c r="I20" i="24"/>
  <c r="I5" i="43"/>
  <c r="AF19" i="16"/>
  <c r="I12" i="24"/>
  <c r="AB19" i="16"/>
  <c r="AA19" i="16"/>
  <c r="AE19" i="16"/>
  <c r="AH19" i="16"/>
  <c r="AI19" i="16"/>
  <c r="AJ19" i="16"/>
  <c r="AD19" i="16"/>
  <c r="R48" i="18"/>
  <c r="P48" i="18"/>
  <c r="J49" i="18" l="1"/>
  <c r="W19" i="28"/>
  <c r="J30" i="16"/>
  <c r="W19" i="16"/>
  <c r="J8" i="43"/>
  <c r="I8" i="43"/>
  <c r="H8" i="43"/>
  <c r="B7" i="43"/>
  <c r="J25" i="24"/>
  <c r="W14" i="24"/>
  <c r="AB10" i="24"/>
  <c r="P23" i="24"/>
  <c r="S48" i="18"/>
  <c r="B48" i="18"/>
  <c r="J50" i="18" l="1"/>
  <c r="W20" i="28"/>
  <c r="J31" i="16"/>
  <c r="W20" i="16"/>
  <c r="G7" i="43"/>
  <c r="G8" i="43" s="1"/>
  <c r="J26" i="24"/>
  <c r="W15" i="24"/>
  <c r="AC10" i="24"/>
  <c r="J51" i="18" l="1"/>
  <c r="J32" i="16"/>
  <c r="AD10" i="24"/>
  <c r="J27" i="24"/>
  <c r="W16" i="24"/>
  <c r="X11" i="24"/>
  <c r="A24" i="24"/>
  <c r="V16" i="24"/>
  <c r="U37" i="18"/>
  <c r="A21" i="24"/>
  <c r="B37" i="18"/>
  <c r="U16" i="24"/>
  <c r="U19" i="24"/>
  <c r="U13" i="24"/>
  <c r="S20" i="24"/>
  <c r="A37" i="18"/>
  <c r="U14" i="24"/>
  <c r="X14" i="24"/>
  <c r="S17" i="24"/>
  <c r="D37" i="18"/>
  <c r="R21" i="24"/>
  <c r="U17" i="24"/>
  <c r="R14" i="24"/>
  <c r="B21" i="24"/>
  <c r="P19" i="24"/>
  <c r="R23" i="24"/>
  <c r="P16" i="24"/>
  <c r="A13" i="24"/>
  <c r="B20" i="24"/>
  <c r="I25" i="24"/>
  <c r="N25" i="24"/>
  <c r="V21" i="24"/>
  <c r="Z12" i="24"/>
  <c r="P37" i="18"/>
  <c r="A14" i="24"/>
  <c r="V14" i="24"/>
  <c r="B23" i="24"/>
  <c r="D15" i="24"/>
  <c r="AA12" i="24"/>
  <c r="R11" i="24"/>
  <c r="B13" i="24"/>
  <c r="D11" i="24"/>
  <c r="P17" i="24"/>
  <c r="V13" i="24"/>
  <c r="B17" i="24"/>
  <c r="C19" i="43"/>
  <c r="N26" i="24"/>
  <c r="G15" i="43"/>
  <c r="F14" i="43"/>
  <c r="N31" i="16"/>
  <c r="G20" i="43"/>
  <c r="D16" i="43"/>
  <c r="J13" i="43"/>
  <c r="K17" i="43"/>
  <c r="AB14" i="24"/>
  <c r="AB13" i="24"/>
  <c r="F15" i="43"/>
  <c r="I15" i="43"/>
  <c r="B21" i="43"/>
  <c r="H18" i="43"/>
  <c r="J19" i="43"/>
  <c r="H26" i="24"/>
  <c r="J22" i="43"/>
  <c r="F20" i="43"/>
  <c r="B23" i="43"/>
  <c r="N50" i="18"/>
  <c r="I21" i="43"/>
  <c r="B16" i="43"/>
  <c r="G19" i="43"/>
  <c r="K13" i="43"/>
  <c r="Y15" i="24"/>
  <c r="C23" i="43"/>
  <c r="J20" i="43"/>
  <c r="L20" i="43"/>
  <c r="AB11" i="24"/>
  <c r="E17" i="43"/>
  <c r="E22" i="43"/>
  <c r="S50" i="18"/>
  <c r="E15" i="43"/>
  <c r="K22" i="43"/>
  <c r="J28" i="43"/>
  <c r="C16" i="43"/>
  <c r="D15" i="43"/>
  <c r="P25" i="24"/>
  <c r="G17" i="43"/>
  <c r="H31" i="16"/>
  <c r="B17" i="43"/>
  <c r="N31" i="28"/>
  <c r="H22" i="43"/>
  <c r="J17" i="43"/>
  <c r="L19" i="43"/>
  <c r="C18" i="43"/>
  <c r="B20" i="43"/>
  <c r="G14" i="43"/>
  <c r="L18" i="43"/>
  <c r="D13" i="43"/>
  <c r="I13" i="43"/>
  <c r="AB12" i="24"/>
  <c r="C15" i="43"/>
  <c r="F23" i="43"/>
  <c r="K21" i="43"/>
  <c r="L15" i="43"/>
  <c r="C13" i="43"/>
  <c r="I50" i="18"/>
  <c r="I22" i="43"/>
  <c r="I14" i="43"/>
  <c r="B19" i="43"/>
  <c r="P26" i="24"/>
  <c r="I20" i="43"/>
  <c r="K19" i="43"/>
  <c r="D17" i="43"/>
  <c r="D22" i="43"/>
  <c r="D17" i="24"/>
  <c r="X13" i="24"/>
  <c r="B15" i="24"/>
  <c r="AA11" i="24"/>
  <c r="N49" i="18"/>
  <c r="P49" i="18" s="1"/>
  <c r="U20" i="24"/>
  <c r="U11" i="24"/>
  <c r="P13" i="24"/>
  <c r="A15" i="24"/>
  <c r="U24" i="24"/>
  <c r="V20" i="24"/>
  <c r="D14" i="24"/>
  <c r="R24" i="24"/>
  <c r="R37" i="18"/>
  <c r="S12" i="24"/>
  <c r="U12" i="24"/>
  <c r="H49" i="18"/>
  <c r="B49" i="18" s="1"/>
  <c r="Y11" i="24"/>
  <c r="D13" i="24"/>
  <c r="S15" i="24"/>
  <c r="N30" i="16"/>
  <c r="P21" i="24"/>
  <c r="Y12" i="24"/>
  <c r="S18" i="24"/>
  <c r="X20" i="16"/>
  <c r="V11" i="24"/>
  <c r="P18" i="24"/>
  <c r="V12" i="24"/>
  <c r="B11" i="24"/>
  <c r="R16" i="24"/>
  <c r="AA14" i="24"/>
  <c r="U22" i="24"/>
  <c r="I30" i="16"/>
  <c r="B19" i="24"/>
  <c r="Z14" i="24"/>
  <c r="R20" i="24"/>
  <c r="O30" i="16"/>
  <c r="AD20" i="16"/>
  <c r="D18" i="24"/>
  <c r="Z13" i="24"/>
  <c r="V19" i="24"/>
  <c r="AB20" i="16"/>
  <c r="A22" i="24"/>
  <c r="S22" i="24"/>
  <c r="S11" i="24"/>
  <c r="P24" i="24"/>
  <c r="AF20" i="16"/>
  <c r="D24" i="24"/>
  <c r="I17" i="43"/>
  <c r="R25" i="24"/>
  <c r="AA15" i="24"/>
  <c r="H19" i="43"/>
  <c r="O26" i="24"/>
  <c r="H13" i="43"/>
  <c r="O31" i="16"/>
  <c r="K18" i="43"/>
  <c r="C21" i="43"/>
  <c r="S21" i="24"/>
  <c r="V24" i="24"/>
  <c r="A20" i="24"/>
  <c r="B24" i="24"/>
  <c r="V23" i="24"/>
  <c r="S24" i="24"/>
  <c r="H30" i="28"/>
  <c r="U21" i="24"/>
  <c r="V17" i="24"/>
  <c r="R12" i="24"/>
  <c r="P15" i="24"/>
  <c r="D20" i="24"/>
  <c r="H30" i="16"/>
  <c r="D12" i="24"/>
  <c r="R15" i="24"/>
  <c r="D22" i="24"/>
  <c r="G18" i="43"/>
  <c r="AG20" i="16"/>
  <c r="V18" i="24"/>
  <c r="AI20" i="16"/>
  <c r="D23" i="24"/>
  <c r="V37" i="18"/>
  <c r="R18" i="24"/>
  <c r="A23" i="24"/>
  <c r="S14" i="24"/>
  <c r="A49" i="18"/>
  <c r="B14" i="24"/>
  <c r="Y13" i="24"/>
  <c r="R17" i="24"/>
  <c r="D48" i="18"/>
  <c r="D16" i="24"/>
  <c r="S37" i="18"/>
  <c r="O49" i="18"/>
  <c r="P20" i="24"/>
  <c r="B12" i="24"/>
  <c r="B16" i="24"/>
  <c r="R13" i="24"/>
  <c r="AA13" i="24"/>
  <c r="V22" i="24"/>
  <c r="AJ20" i="16"/>
  <c r="V48" i="18"/>
  <c r="P12" i="24"/>
  <c r="A11" i="24"/>
  <c r="U18" i="24"/>
  <c r="O50" i="18"/>
  <c r="H50" i="18"/>
  <c r="X15" i="24"/>
  <c r="I19" i="43"/>
  <c r="C22" i="43"/>
  <c r="AB16" i="24"/>
  <c r="C20" i="43"/>
  <c r="K14" i="43"/>
  <c r="B14" i="43"/>
  <c r="H21" i="43"/>
  <c r="K15" i="43"/>
  <c r="J14" i="43"/>
  <c r="D20" i="43"/>
  <c r="F17" i="43"/>
  <c r="D21" i="43"/>
  <c r="H28" i="43"/>
  <c r="J23" i="43"/>
  <c r="B18" i="43"/>
  <c r="F21" i="43"/>
  <c r="D19" i="43"/>
  <c r="O31" i="28"/>
  <c r="I26" i="24"/>
  <c r="J21" i="43"/>
  <c r="D18" i="43"/>
  <c r="C14" i="43"/>
  <c r="L21" i="43"/>
  <c r="E20" i="43"/>
  <c r="F18" i="43"/>
  <c r="J15" i="43"/>
  <c r="E19" i="43"/>
  <c r="B15" i="43"/>
  <c r="H16" i="43"/>
  <c r="H14" i="43"/>
  <c r="H15" i="43"/>
  <c r="H17" i="43"/>
  <c r="L16" i="43"/>
  <c r="G21" i="43"/>
  <c r="J16" i="43"/>
  <c r="E13" i="43"/>
  <c r="E23" i="43"/>
  <c r="AC20" i="16"/>
  <c r="R49" i="18"/>
  <c r="U15" i="24"/>
  <c r="S16" i="24"/>
  <c r="H25" i="24"/>
  <c r="B25" i="24" s="1"/>
  <c r="Y14" i="24"/>
  <c r="N30" i="28"/>
  <c r="U48" i="18"/>
  <c r="S23" i="24"/>
  <c r="P11" i="24"/>
  <c r="A18" i="24"/>
  <c r="AF20" i="28"/>
  <c r="S19" i="24"/>
  <c r="O30" i="28"/>
  <c r="A19" i="24"/>
  <c r="D21" i="24"/>
  <c r="Z11" i="24"/>
  <c r="R22" i="24"/>
  <c r="D19" i="24"/>
  <c r="A16" i="24"/>
  <c r="R19" i="24"/>
  <c r="B18" i="24"/>
  <c r="A12" i="24"/>
  <c r="V15" i="24"/>
  <c r="S13" i="24"/>
  <c r="I49" i="18"/>
  <c r="Y20" i="16"/>
  <c r="B22" i="24"/>
  <c r="P14" i="24"/>
  <c r="O25" i="24"/>
  <c r="F13" i="43"/>
  <c r="F16" i="43"/>
  <c r="AB15" i="24"/>
  <c r="B22" i="43"/>
  <c r="D14" i="43"/>
  <c r="G23" i="43"/>
  <c r="L22" i="43"/>
  <c r="H20" i="43"/>
  <c r="E14" i="43"/>
  <c r="F19" i="43"/>
  <c r="S49" i="18"/>
  <c r="I30" i="28"/>
  <c r="L23" i="43"/>
  <c r="D23" i="43"/>
  <c r="S25" i="24"/>
  <c r="I31" i="16"/>
  <c r="E16" i="43"/>
  <c r="U23" i="24"/>
  <c r="J18" i="43"/>
  <c r="H31" i="28"/>
  <c r="G16" i="43"/>
  <c r="A25" i="24"/>
  <c r="I18" i="43"/>
  <c r="G22" i="43"/>
  <c r="K20" i="43"/>
  <c r="G28" i="43"/>
  <c r="L14" i="43"/>
  <c r="Y16" i="24"/>
  <c r="Z15" i="24"/>
  <c r="R26" i="24"/>
  <c r="E18" i="43"/>
  <c r="C17" i="43"/>
  <c r="L17" i="43"/>
  <c r="H23" i="43"/>
  <c r="K23" i="43"/>
  <c r="I31" i="28"/>
  <c r="G13" i="43"/>
  <c r="A17" i="24"/>
  <c r="I16" i="43"/>
  <c r="K16" i="43"/>
  <c r="L13" i="43"/>
  <c r="F22" i="43"/>
  <c r="I23" i="43"/>
  <c r="B13" i="43"/>
  <c r="E21" i="43"/>
  <c r="O27" i="24"/>
  <c r="N51" i="18"/>
  <c r="O51" i="18"/>
  <c r="I28" i="43"/>
  <c r="AC11" i="24"/>
  <c r="H32" i="28"/>
  <c r="AC12" i="24"/>
  <c r="I32" i="16"/>
  <c r="AA16" i="24"/>
  <c r="X16" i="24"/>
  <c r="O32" i="16"/>
  <c r="H32" i="16"/>
  <c r="O32" i="28"/>
  <c r="P50" i="18"/>
  <c r="D25" i="24"/>
  <c r="H51" i="18"/>
  <c r="H27" i="24"/>
  <c r="A27" i="24" s="1"/>
  <c r="Z16" i="24"/>
  <c r="N32" i="28"/>
  <c r="D49" i="18"/>
  <c r="AC13" i="24"/>
  <c r="I27" i="24"/>
  <c r="P51" i="18"/>
  <c r="I32" i="28"/>
  <c r="S26" i="24"/>
  <c r="N32" i="16"/>
  <c r="I51" i="18"/>
  <c r="A26" i="24"/>
  <c r="N27" i="24"/>
  <c r="A50" i="18"/>
  <c r="D26" i="24"/>
  <c r="D51" i="18"/>
  <c r="AC14" i="24"/>
  <c r="AC16" i="24"/>
  <c r="AC15" i="24"/>
  <c r="B26" i="24"/>
  <c r="Z20" i="16"/>
  <c r="AA20" i="16"/>
  <c r="AH20" i="16"/>
  <c r="AE20" i="16"/>
  <c r="D50" i="18"/>
  <c r="B50" i="18"/>
  <c r="AJ20" i="28"/>
  <c r="X20" i="28"/>
  <c r="Y20" i="28"/>
  <c r="AH20" i="28"/>
  <c r="AA20" i="28"/>
  <c r="AC20" i="28"/>
  <c r="Z20" i="28"/>
  <c r="AD20" i="28"/>
  <c r="AB20" i="28"/>
  <c r="AG20" i="28"/>
  <c r="AI20" i="28"/>
  <c r="AE20" i="28"/>
  <c r="R2" i="18" l="1"/>
  <c r="J52" i="18"/>
  <c r="J33" i="16"/>
  <c r="I30" i="43"/>
  <c r="J28" i="24"/>
  <c r="W17" i="24"/>
  <c r="AE10" i="24"/>
  <c r="U25" i="24"/>
  <c r="R50" i="18"/>
  <c r="V25" i="24"/>
  <c r="A51" i="18"/>
  <c r="S27" i="24"/>
  <c r="R27" i="24"/>
  <c r="I33" i="16"/>
  <c r="N52" i="18"/>
  <c r="O33" i="16"/>
  <c r="R52" i="18"/>
  <c r="N28" i="24"/>
  <c r="B51" i="18"/>
  <c r="N33" i="28"/>
  <c r="AD14" i="24"/>
  <c r="X18" i="24"/>
  <c r="AA17" i="24"/>
  <c r="H28" i="24"/>
  <c r="X17" i="24"/>
  <c r="U50" i="18"/>
  <c r="V50" i="18"/>
  <c r="P27" i="24"/>
  <c r="I52" i="18"/>
  <c r="O28" i="24"/>
  <c r="AD13" i="24"/>
  <c r="I33" i="28"/>
  <c r="H33" i="16"/>
  <c r="H33" i="28"/>
  <c r="S51" i="18"/>
  <c r="AD16" i="24"/>
  <c r="N33" i="16"/>
  <c r="AA18" i="24"/>
  <c r="Z18" i="24"/>
  <c r="I28" i="24"/>
  <c r="AC17" i="24"/>
  <c r="AB18" i="24"/>
  <c r="U49" i="18"/>
  <c r="U26" i="24"/>
  <c r="V27" i="24"/>
  <c r="Z17" i="24"/>
  <c r="AD12" i="24"/>
  <c r="H52" i="18"/>
  <c r="AB17" i="24"/>
  <c r="U27" i="24"/>
  <c r="O33" i="28"/>
  <c r="U51" i="18"/>
  <c r="Y17" i="24"/>
  <c r="AD18" i="24"/>
  <c r="B27" i="24"/>
  <c r="P52" i="18"/>
  <c r="V49" i="18"/>
  <c r="V26" i="24"/>
  <c r="R51" i="18"/>
  <c r="AD17" i="24"/>
  <c r="AD11" i="24"/>
  <c r="O52" i="18"/>
  <c r="D27" i="24"/>
  <c r="AD15" i="24"/>
  <c r="V51" i="18"/>
  <c r="D52" i="18"/>
  <c r="A52" i="18"/>
  <c r="J53" i="18" l="1"/>
  <c r="J34" i="16"/>
  <c r="AF10" i="24"/>
  <c r="J29" i="24"/>
  <c r="W18" i="24"/>
  <c r="B52" i="18"/>
  <c r="O29" i="24"/>
  <c r="R28" i="24"/>
  <c r="S28" i="24"/>
  <c r="AE11" i="24"/>
  <c r="A28" i="24"/>
  <c r="N34" i="28"/>
  <c r="N34" i="16"/>
  <c r="U28" i="24"/>
  <c r="AE15" i="24"/>
  <c r="H29" i="24"/>
  <c r="S52" i="18"/>
  <c r="H53" i="18"/>
  <c r="A53" i="18" s="1"/>
  <c r="H34" i="16"/>
  <c r="AE13" i="24"/>
  <c r="N53" i="18"/>
  <c r="R53" i="18" s="1"/>
  <c r="S53" i="18"/>
  <c r="AE12" i="24"/>
  <c r="U52" i="18"/>
  <c r="D28" i="24"/>
  <c r="AE16" i="24"/>
  <c r="AE17" i="24"/>
  <c r="H34" i="28"/>
  <c r="O34" i="16"/>
  <c r="I29" i="24"/>
  <c r="D53" i="18"/>
  <c r="N29" i="24"/>
  <c r="V28" i="24"/>
  <c r="I34" i="16"/>
  <c r="AD19" i="24"/>
  <c r="X19" i="24"/>
  <c r="B53" i="18"/>
  <c r="V52" i="18"/>
  <c r="I53" i="18"/>
  <c r="I34" i="28"/>
  <c r="AE14" i="24"/>
  <c r="P28" i="24"/>
  <c r="O34" i="28"/>
  <c r="AB19" i="24"/>
  <c r="AC19" i="24"/>
  <c r="O53" i="18"/>
  <c r="AE18" i="24"/>
  <c r="B28" i="24"/>
  <c r="AC18" i="24"/>
  <c r="Y18" i="24"/>
  <c r="P29" i="24"/>
  <c r="Y19" i="24"/>
  <c r="Z19" i="24"/>
  <c r="S29" i="24"/>
  <c r="R29" i="24"/>
  <c r="AA19" i="24"/>
  <c r="AE19" i="24"/>
  <c r="J54" i="18" l="1"/>
  <c r="J35" i="16"/>
  <c r="J30" i="24"/>
  <c r="W19" i="24"/>
  <c r="AG10" i="24"/>
  <c r="O35" i="16"/>
  <c r="N35" i="28"/>
  <c r="U29" i="24"/>
  <c r="AF12" i="24"/>
  <c r="N54" i="18"/>
  <c r="H54" i="18"/>
  <c r="AF11" i="24"/>
  <c r="D29" i="24"/>
  <c r="P54" i="18"/>
  <c r="AF17" i="24"/>
  <c r="AF16" i="24"/>
  <c r="AF18" i="24"/>
  <c r="I35" i="28"/>
  <c r="B29" i="24"/>
  <c r="I35" i="16"/>
  <c r="O54" i="18"/>
  <c r="O30" i="24"/>
  <c r="I30" i="24"/>
  <c r="H30" i="24"/>
  <c r="O35" i="28"/>
  <c r="I54" i="18"/>
  <c r="H35" i="16"/>
  <c r="AF19" i="24"/>
  <c r="H35" i="28"/>
  <c r="AF14" i="24"/>
  <c r="V29" i="24"/>
  <c r="AF15" i="24"/>
  <c r="S54" i="18"/>
  <c r="U53" i="18"/>
  <c r="AF13" i="24"/>
  <c r="V53" i="18"/>
  <c r="N35" i="16"/>
  <c r="P53" i="18"/>
  <c r="N30" i="24"/>
  <c r="AB20" i="24"/>
  <c r="AE20" i="24"/>
  <c r="A29" i="24"/>
  <c r="S30" i="24"/>
  <c r="P30" i="24"/>
  <c r="AD20" i="24"/>
  <c r="R30" i="24"/>
  <c r="Z20" i="24"/>
  <c r="AC20" i="24"/>
  <c r="AA20" i="24"/>
  <c r="Y20" i="24"/>
  <c r="X20" i="24"/>
  <c r="J55" i="18" l="1"/>
  <c r="J36" i="16"/>
  <c r="AH10" i="24"/>
  <c r="W20" i="24"/>
  <c r="J31" i="24"/>
  <c r="B54" i="18"/>
  <c r="V54" i="18"/>
  <c r="B30" i="24"/>
  <c r="AG17" i="24"/>
  <c r="I55" i="18"/>
  <c r="AG18" i="24"/>
  <c r="H36" i="16"/>
  <c r="AG15" i="24"/>
  <c r="AG11" i="24"/>
  <c r="AG14" i="24"/>
  <c r="R54" i="18"/>
  <c r="I31" i="24"/>
  <c r="U54" i="18"/>
  <c r="A54" i="18"/>
  <c r="D30" i="24"/>
  <c r="N55" i="18"/>
  <c r="AG20" i="24"/>
  <c r="H36" i="28"/>
  <c r="O31" i="24"/>
  <c r="S55" i="18"/>
  <c r="P55" i="18"/>
  <c r="I36" i="28"/>
  <c r="O55" i="18"/>
  <c r="H55" i="18"/>
  <c r="D55" i="18" s="1"/>
  <c r="A55" i="18"/>
  <c r="R35" i="28"/>
  <c r="AG12" i="24"/>
  <c r="U30" i="24"/>
  <c r="N31" i="24"/>
  <c r="AF20" i="24"/>
  <c r="N36" i="16"/>
  <c r="AG16" i="24"/>
  <c r="AG19" i="24"/>
  <c r="I36" i="16"/>
  <c r="H31" i="24"/>
  <c r="V30" i="24"/>
  <c r="B55" i="18"/>
  <c r="D54" i="18"/>
  <c r="O36" i="16"/>
  <c r="AG13" i="24"/>
  <c r="O36" i="28"/>
  <c r="A30" i="24"/>
  <c r="J37" i="16" l="1"/>
  <c r="AI10" i="24"/>
  <c r="J32" i="24"/>
  <c r="R55" i="18"/>
  <c r="V35" i="16"/>
  <c r="AH19" i="24"/>
  <c r="AH13" i="24"/>
  <c r="P35" i="16"/>
  <c r="D31" i="24"/>
  <c r="AH20" i="24"/>
  <c r="A31" i="24"/>
  <c r="AH12" i="24"/>
  <c r="O32" i="24"/>
  <c r="B31" i="24"/>
  <c r="O37" i="28"/>
  <c r="R31" i="24"/>
  <c r="AH17" i="24"/>
  <c r="H37" i="16"/>
  <c r="AH15" i="24"/>
  <c r="H37" i="28"/>
  <c r="AH16" i="24"/>
  <c r="I32" i="24"/>
  <c r="O37" i="16"/>
  <c r="I37" i="28"/>
  <c r="V55" i="18"/>
  <c r="U31" i="24"/>
  <c r="AH18" i="24"/>
  <c r="I37" i="16"/>
  <c r="N32" i="24"/>
  <c r="P31" i="24"/>
  <c r="R35" i="16"/>
  <c r="U55" i="18"/>
  <c r="S35" i="16"/>
  <c r="AH14" i="24"/>
  <c r="AH11" i="24"/>
  <c r="H32" i="24"/>
  <c r="S31" i="24"/>
  <c r="N37" i="16"/>
  <c r="V31" i="24"/>
  <c r="J38" i="16" l="1"/>
  <c r="J33" i="24"/>
  <c r="AJ10" i="24"/>
  <c r="R32" i="24"/>
  <c r="I38" i="28"/>
  <c r="AI13" i="24"/>
  <c r="O38" i="28"/>
  <c r="P32" i="24"/>
  <c r="I38" i="16"/>
  <c r="H38" i="28"/>
  <c r="AI12" i="24"/>
  <c r="B32" i="24"/>
  <c r="AI18" i="24"/>
  <c r="N33" i="24"/>
  <c r="O33" i="24"/>
  <c r="AI17" i="24"/>
  <c r="AI15" i="24"/>
  <c r="H33" i="24"/>
  <c r="AI14" i="24"/>
  <c r="N38" i="16"/>
  <c r="AI11" i="24"/>
  <c r="V32" i="24"/>
  <c r="AI20" i="24"/>
  <c r="AI16" i="24"/>
  <c r="AI19" i="24"/>
  <c r="H38" i="16"/>
  <c r="N38" i="28"/>
  <c r="U32" i="24"/>
  <c r="I33" i="24"/>
  <c r="D32" i="24"/>
  <c r="A32" i="24"/>
  <c r="S32" i="24"/>
  <c r="O38" i="16"/>
  <c r="J39" i="16" l="1"/>
  <c r="J34" i="24"/>
  <c r="O39" i="16"/>
  <c r="AJ12" i="24"/>
  <c r="D33" i="24"/>
  <c r="N39" i="16"/>
  <c r="H34" i="24"/>
  <c r="P33" i="24"/>
  <c r="AJ16" i="24"/>
  <c r="I39" i="16"/>
  <c r="AJ19" i="24"/>
  <c r="H39" i="16"/>
  <c r="H27" i="43"/>
  <c r="AJ15" i="24"/>
  <c r="B33" i="24"/>
  <c r="I34" i="24"/>
  <c r="N34" i="24"/>
  <c r="J27" i="43"/>
  <c r="AJ11" i="24"/>
  <c r="A33" i="24"/>
  <c r="AJ14" i="24"/>
  <c r="O34" i="24"/>
  <c r="I39" i="28"/>
  <c r="AJ20" i="24"/>
  <c r="V33" i="24"/>
  <c r="O39" i="28"/>
  <c r="G27" i="43"/>
  <c r="N39" i="28"/>
  <c r="U33" i="24"/>
  <c r="R33" i="24"/>
  <c r="P38" i="28"/>
  <c r="AJ13" i="24"/>
  <c r="H39" i="28"/>
  <c r="AJ17" i="24"/>
  <c r="S33" i="24"/>
  <c r="AJ18" i="24"/>
  <c r="J40" i="16" l="1"/>
  <c r="H30" i="43"/>
  <c r="B29" i="43"/>
  <c r="J30" i="43"/>
  <c r="J35" i="24"/>
  <c r="I40" i="16"/>
  <c r="O40" i="16"/>
  <c r="I40" i="28"/>
  <c r="O35" i="24"/>
  <c r="N40" i="28"/>
  <c r="D34" i="24"/>
  <c r="O40" i="28"/>
  <c r="I35" i="24"/>
  <c r="N40" i="16"/>
  <c r="B34" i="24"/>
  <c r="S34" i="24"/>
  <c r="N35" i="24"/>
  <c r="H40" i="28"/>
  <c r="H40" i="16"/>
  <c r="R34" i="24"/>
  <c r="V34" i="24"/>
  <c r="U34" i="24"/>
  <c r="A34" i="24"/>
  <c r="P34" i="24"/>
  <c r="H35" i="24"/>
  <c r="J41" i="16" l="1"/>
  <c r="B2" i="24"/>
  <c r="B4" i="24" s="1"/>
  <c r="C2" i="24"/>
  <c r="G29" i="43"/>
  <c r="G30" i="43" s="1"/>
  <c r="D2" i="24"/>
  <c r="J36" i="24"/>
  <c r="L39" i="43"/>
  <c r="D45" i="43"/>
  <c r="C38" i="43"/>
  <c r="C36" i="43"/>
  <c r="H36" i="43"/>
  <c r="N41" i="16"/>
  <c r="D35" i="43"/>
  <c r="G37" i="43"/>
  <c r="B39" i="43"/>
  <c r="H41" i="16"/>
  <c r="G39" i="43"/>
  <c r="K42" i="43"/>
  <c r="I41" i="28"/>
  <c r="V35" i="24"/>
  <c r="D44" i="43"/>
  <c r="F37" i="43"/>
  <c r="J35" i="43"/>
  <c r="D41" i="43"/>
  <c r="H42" i="43"/>
  <c r="C45" i="43"/>
  <c r="L44" i="43"/>
  <c r="K37" i="43"/>
  <c r="E43" i="43"/>
  <c r="I39" i="43"/>
  <c r="A35" i="24"/>
  <c r="I41" i="16"/>
  <c r="K45" i="43"/>
  <c r="F36" i="43"/>
  <c r="G43" i="43"/>
  <c r="F35" i="43"/>
  <c r="E44" i="43"/>
  <c r="I36" i="24"/>
  <c r="I38" i="43"/>
  <c r="F43" i="43"/>
  <c r="O41" i="16"/>
  <c r="C39" i="43"/>
  <c r="F38" i="43"/>
  <c r="C37" i="43"/>
  <c r="H45" i="43"/>
  <c r="L37" i="43"/>
  <c r="B44" i="43"/>
  <c r="B45" i="43"/>
  <c r="G44" i="43"/>
  <c r="J36" i="43"/>
  <c r="F40" i="43"/>
  <c r="I42" i="43"/>
  <c r="G38" i="43"/>
  <c r="G42" i="43"/>
  <c r="F41" i="43"/>
  <c r="E41" i="43"/>
  <c r="U35" i="24"/>
  <c r="C43" i="43"/>
  <c r="G36" i="43"/>
  <c r="E42" i="43"/>
  <c r="I45" i="43"/>
  <c r="F39" i="43"/>
  <c r="O41" i="28"/>
  <c r="G35" i="43"/>
  <c r="J42" i="43"/>
  <c r="H36" i="24"/>
  <c r="B35" i="43"/>
  <c r="F44" i="43"/>
  <c r="L38" i="43"/>
  <c r="K39" i="43"/>
  <c r="H41" i="43"/>
  <c r="I43" i="43"/>
  <c r="O36" i="24"/>
  <c r="B42" i="43"/>
  <c r="D39" i="43"/>
  <c r="E37" i="43"/>
  <c r="H39" i="43"/>
  <c r="L42" i="43"/>
  <c r="B41" i="43"/>
  <c r="H40" i="43"/>
  <c r="J40" i="43"/>
  <c r="G45" i="43"/>
  <c r="J37" i="43"/>
  <c r="H37" i="43"/>
  <c r="E39" i="43"/>
  <c r="C44" i="43"/>
  <c r="D37" i="43"/>
  <c r="L41" i="43"/>
  <c r="C42" i="43"/>
  <c r="C40" i="43"/>
  <c r="C41" i="43"/>
  <c r="J41" i="43"/>
  <c r="K43" i="43"/>
  <c r="K40" i="43"/>
  <c r="I40" i="43"/>
  <c r="E40" i="43"/>
  <c r="I44" i="43"/>
  <c r="F45" i="43"/>
  <c r="F42" i="43"/>
  <c r="B35" i="24"/>
  <c r="K35" i="43"/>
  <c r="L43" i="43"/>
  <c r="I41" i="43"/>
  <c r="B36" i="43"/>
  <c r="D36" i="43"/>
  <c r="E38" i="43"/>
  <c r="S35" i="24"/>
  <c r="K38" i="43"/>
  <c r="G40" i="43"/>
  <c r="R35" i="24"/>
  <c r="L36" i="43"/>
  <c r="H38" i="43"/>
  <c r="H44" i="43"/>
  <c r="D35" i="24"/>
  <c r="I35" i="43"/>
  <c r="I37" i="43"/>
  <c r="B37" i="43"/>
  <c r="N41" i="28"/>
  <c r="I36" i="43"/>
  <c r="E45" i="43"/>
  <c r="J39" i="43"/>
  <c r="N36" i="24"/>
  <c r="D40" i="43"/>
  <c r="J44" i="43"/>
  <c r="C35" i="43"/>
  <c r="G41" i="43"/>
  <c r="B43" i="43"/>
  <c r="J38" i="43"/>
  <c r="L35" i="43"/>
  <c r="J45" i="43"/>
  <c r="H41" i="28"/>
  <c r="B38" i="43"/>
  <c r="H35" i="43"/>
  <c r="H43" i="43"/>
  <c r="K36" i="43"/>
  <c r="L45" i="43"/>
  <c r="K44" i="43"/>
  <c r="E35" i="43"/>
  <c r="P35" i="24"/>
  <c r="D42" i="43"/>
  <c r="K41" i="43"/>
  <c r="E36" i="43"/>
  <c r="B40" i="43"/>
  <c r="D38" i="43"/>
  <c r="J43" i="43"/>
  <c r="D43" i="43"/>
  <c r="L40" i="43"/>
  <c r="J42" i="16" l="1"/>
  <c r="D4" i="24"/>
  <c r="J37" i="24"/>
  <c r="N42" i="16"/>
  <c r="R36" i="24"/>
  <c r="N42" i="28"/>
  <c r="O42" i="16"/>
  <c r="A36" i="24"/>
  <c r="I42" i="28"/>
  <c r="O37" i="24"/>
  <c r="H42" i="16"/>
  <c r="N37" i="24"/>
  <c r="U36" i="24"/>
  <c r="I37" i="24"/>
  <c r="P36" i="24"/>
  <c r="D36" i="24"/>
  <c r="S36" i="24"/>
  <c r="S37" i="24"/>
  <c r="V36" i="24"/>
  <c r="B36" i="24"/>
  <c r="H37" i="24"/>
  <c r="H42" i="28"/>
  <c r="O42" i="28"/>
  <c r="I42" i="16"/>
  <c r="B37" i="24"/>
  <c r="D37" i="24"/>
  <c r="A37" i="24"/>
  <c r="J43" i="16" l="1"/>
  <c r="O43" i="16"/>
  <c r="I43" i="28"/>
  <c r="N43" i="16"/>
  <c r="P37" i="24"/>
  <c r="R37" i="24"/>
  <c r="N43" i="28"/>
  <c r="V37" i="24"/>
  <c r="I43" i="16"/>
  <c r="O43" i="28"/>
  <c r="U37" i="24"/>
  <c r="H43" i="16"/>
  <c r="H43" i="28"/>
  <c r="R2" i="24" l="1"/>
  <c r="J44" i="16"/>
  <c r="J45" i="16" s="1"/>
  <c r="L15" i="27"/>
  <c r="M15" i="27"/>
  <c r="L20" i="27"/>
  <c r="M20" i="27"/>
  <c r="L17" i="27"/>
  <c r="M17" i="27"/>
  <c r="L22" i="27"/>
  <c r="M22" i="27"/>
  <c r="L19" i="27"/>
  <c r="M19" i="27"/>
  <c r="L23" i="27"/>
  <c r="M23" i="27"/>
  <c r="L18" i="27"/>
  <c r="M18" i="27"/>
  <c r="I44" i="16"/>
  <c r="H44" i="16"/>
  <c r="H44" i="28"/>
  <c r="N44" i="16"/>
  <c r="N44" i="28"/>
  <c r="O44" i="16"/>
  <c r="O44" i="28"/>
  <c r="N45" i="16"/>
  <c r="I44" i="28"/>
  <c r="I45" i="16"/>
  <c r="H45" i="16"/>
  <c r="O45" i="16"/>
  <c r="J46" i="16" l="1"/>
  <c r="D11" i="20"/>
  <c r="H46" i="16"/>
  <c r="O45" i="28"/>
  <c r="N45" i="28"/>
  <c r="I45" i="28"/>
  <c r="N46" i="16"/>
  <c r="I46" i="16"/>
  <c r="O46" i="16"/>
  <c r="H45" i="28"/>
  <c r="J47" i="16" l="1"/>
  <c r="E11" i="20"/>
  <c r="F11" i="20"/>
  <c r="O47" i="16"/>
  <c r="O46" i="28"/>
  <c r="N47" i="16"/>
  <c r="H47" i="16"/>
  <c r="I47" i="16"/>
  <c r="N46" i="28"/>
  <c r="I46" i="28"/>
  <c r="H46" i="28"/>
  <c r="J48" i="16" l="1"/>
  <c r="I47" i="28"/>
  <c r="I48" i="16"/>
  <c r="H48" i="16"/>
  <c r="O47" i="28"/>
  <c r="H47" i="28"/>
  <c r="N48" i="16"/>
  <c r="O48" i="16"/>
  <c r="N47" i="28"/>
  <c r="J49" i="16" l="1"/>
  <c r="Q53" i="33"/>
  <c r="Q54" i="33" s="1"/>
  <c r="Q55" i="33" s="1"/>
  <c r="Q56" i="33" s="1"/>
  <c r="Q57" i="33" s="1"/>
  <c r="Q58" i="33" s="1"/>
  <c r="Q59" i="33" s="1"/>
  <c r="Q60" i="33" s="1"/>
  <c r="Q61" i="33" s="1"/>
  <c r="Q62" i="33" s="1"/>
  <c r="S51" i="33"/>
  <c r="Y47" i="33"/>
  <c r="N49" i="16"/>
  <c r="I48" i="28"/>
  <c r="H48" i="28"/>
  <c r="O48" i="28"/>
  <c r="H49" i="16"/>
  <c r="I49" i="16"/>
  <c r="O49" i="16"/>
  <c r="N48" i="28"/>
  <c r="J50" i="16" l="1"/>
  <c r="T51" i="33"/>
  <c r="R24" i="33"/>
  <c r="R4" i="33"/>
  <c r="R5" i="33"/>
  <c r="R6" i="33"/>
  <c r="R7" i="33"/>
  <c r="R8" i="33"/>
  <c r="R9" i="33"/>
  <c r="R10" i="33"/>
  <c r="R11" i="33"/>
  <c r="R12" i="33"/>
  <c r="R13" i="33"/>
  <c r="R14" i="33"/>
  <c r="R15" i="33"/>
  <c r="R16" i="33"/>
  <c r="R17" i="33"/>
  <c r="R18" i="33"/>
  <c r="R19" i="33"/>
  <c r="R20" i="33"/>
  <c r="R21" i="33"/>
  <c r="R22" i="33"/>
  <c r="R23" i="33"/>
  <c r="R3" i="33"/>
  <c r="X29" i="33"/>
  <c r="Y29" i="33" s="1"/>
  <c r="S12" i="33"/>
  <c r="S20" i="33"/>
  <c r="S4" i="33"/>
  <c r="S14" i="33"/>
  <c r="S22" i="33"/>
  <c r="S5" i="33"/>
  <c r="S13" i="33"/>
  <c r="S21" i="33"/>
  <c r="S11" i="33"/>
  <c r="S7" i="33"/>
  <c r="S9" i="33"/>
  <c r="S16" i="33"/>
  <c r="S15" i="33"/>
  <c r="S10" i="33"/>
  <c r="S17" i="33"/>
  <c r="S18" i="33"/>
  <c r="S19" i="33"/>
  <c r="S6" i="33"/>
  <c r="S3" i="33"/>
  <c r="S23" i="33"/>
  <c r="S8" i="33"/>
  <c r="O50" i="16"/>
  <c r="I49" i="28"/>
  <c r="H49" i="28"/>
  <c r="O49" i="28"/>
  <c r="N49" i="28"/>
  <c r="N50" i="16"/>
  <c r="I50" i="16"/>
  <c r="H50" i="16"/>
  <c r="U51" i="33" l="1"/>
  <c r="D27" i="33"/>
  <c r="U47" i="33" s="1"/>
  <c r="T2" i="33"/>
  <c r="T21" i="33"/>
  <c r="T20" i="33"/>
  <c r="T16" i="33"/>
  <c r="T23" i="33"/>
  <c r="T22" i="33"/>
  <c r="T5" i="33"/>
  <c r="T8" i="33"/>
  <c r="T19" i="33"/>
  <c r="T10" i="33"/>
  <c r="T9" i="33"/>
  <c r="T4" i="33"/>
  <c r="T18" i="33"/>
  <c r="T6" i="33"/>
  <c r="T13" i="33"/>
  <c r="T7" i="33"/>
  <c r="T3" i="33"/>
  <c r="T12" i="33"/>
  <c r="T14" i="33"/>
  <c r="T15" i="33"/>
  <c r="T11" i="33"/>
  <c r="T17" i="33"/>
  <c r="H50" i="28"/>
  <c r="O50" i="28"/>
  <c r="I50" i="28"/>
  <c r="N50" i="28"/>
  <c r="AD47" i="33"/>
  <c r="AC47" i="33"/>
  <c r="W47" i="33"/>
  <c r="V51" i="33" l="1"/>
  <c r="U2" i="33"/>
  <c r="E27" i="33"/>
  <c r="T24" i="33" s="1"/>
  <c r="T25" i="33" s="1"/>
  <c r="U11" i="33"/>
  <c r="U10" i="33"/>
  <c r="U18" i="33"/>
  <c r="U6" i="33"/>
  <c r="U17" i="33"/>
  <c r="U20" i="33"/>
  <c r="U5" i="33"/>
  <c r="U22" i="33"/>
  <c r="U7" i="33"/>
  <c r="U14" i="33"/>
  <c r="U4" i="33"/>
  <c r="U15" i="33"/>
  <c r="U12" i="33"/>
  <c r="U21" i="33"/>
  <c r="U9" i="33"/>
  <c r="U19" i="33"/>
  <c r="U23" i="33"/>
  <c r="U16" i="33"/>
  <c r="U8" i="33"/>
  <c r="U3" i="33"/>
  <c r="U13" i="33"/>
  <c r="H51" i="28"/>
  <c r="O51" i="28"/>
  <c r="N51" i="28"/>
  <c r="AB47" i="33"/>
  <c r="AA47" i="33"/>
  <c r="I51" i="28"/>
  <c r="R48" i="33" l="1"/>
  <c r="W51" i="33"/>
  <c r="S24" i="33"/>
  <c r="S25" i="33" s="1"/>
  <c r="V2" i="33"/>
  <c r="V24" i="33" s="1"/>
  <c r="U24" i="33"/>
  <c r="U25" i="33" s="1"/>
  <c r="Q35" i="33"/>
  <c r="Q36" i="33" s="1"/>
  <c r="Q37" i="33" s="1"/>
  <c r="Q38" i="33" s="1"/>
  <c r="Q39" i="33" s="1"/>
  <c r="Q40" i="33" s="1"/>
  <c r="Q41" i="33" s="1"/>
  <c r="Q42" i="33" s="1"/>
  <c r="Q43" i="33" s="1"/>
  <c r="Q44" i="33" s="1"/>
  <c r="S33" i="33"/>
  <c r="T33" i="33" s="1"/>
  <c r="U33" i="33" s="1"/>
  <c r="V33" i="33" s="1"/>
  <c r="W33" i="33" s="1"/>
  <c r="X33" i="33" s="1"/>
  <c r="Y33" i="33" s="1"/>
  <c r="Z33" i="33" s="1"/>
  <c r="AA33" i="33" s="1"/>
  <c r="AB33" i="33" s="1"/>
  <c r="J12" i="22"/>
  <c r="J13" i="22" s="1"/>
  <c r="J14" i="22" s="1"/>
  <c r="J15" i="22" s="1"/>
  <c r="J16" i="22" s="1"/>
  <c r="J17" i="22" s="1"/>
  <c r="J18" i="22" s="1"/>
  <c r="J19" i="22" s="1"/>
  <c r="J20" i="22" s="1"/>
  <c r="J21" i="22" s="1"/>
  <c r="J22" i="22" s="1"/>
  <c r="J23" i="22" s="1"/>
  <c r="J24" i="22" s="1"/>
  <c r="J25" i="22" s="1"/>
  <c r="J26" i="22" s="1"/>
  <c r="J27" i="22" s="1"/>
  <c r="J28" i="22" s="1"/>
  <c r="J29" i="22" s="1"/>
  <c r="J30" i="22" s="1"/>
  <c r="J31" i="22" s="1"/>
  <c r="J32" i="22" s="1"/>
  <c r="J33" i="22" s="1"/>
  <c r="J34" i="22" s="1"/>
  <c r="J35" i="22" s="1"/>
  <c r="J36" i="22" s="1"/>
  <c r="J37" i="22" s="1"/>
  <c r="J38" i="22" s="1"/>
  <c r="J39" i="22" s="1"/>
  <c r="J40" i="22" s="1"/>
  <c r="J41" i="22" s="1"/>
  <c r="J42" i="22" s="1"/>
  <c r="V6" i="33"/>
  <c r="V19" i="33"/>
  <c r="V23" i="33"/>
  <c r="V16" i="33"/>
  <c r="V20" i="33"/>
  <c r="V14" i="33"/>
  <c r="V4" i="33"/>
  <c r="V12" i="33"/>
  <c r="V10" i="33"/>
  <c r="V8" i="33"/>
  <c r="V13" i="33"/>
  <c r="V7" i="33"/>
  <c r="V5" i="33"/>
  <c r="V9" i="33"/>
  <c r="V18" i="33"/>
  <c r="V17" i="33"/>
  <c r="V15" i="33"/>
  <c r="V11" i="33"/>
  <c r="V3" i="33"/>
  <c r="V21" i="33"/>
  <c r="V22" i="33"/>
  <c r="AA48" i="33" l="1"/>
  <c r="X51" i="33"/>
  <c r="V25" i="33"/>
  <c r="W2" i="33"/>
  <c r="F5" i="27"/>
  <c r="F8" i="27" s="1"/>
  <c r="F2" i="27" s="1"/>
  <c r="W3" i="33"/>
  <c r="W5" i="33"/>
  <c r="W11" i="33"/>
  <c r="W16" i="33"/>
  <c r="W6" i="33"/>
  <c r="W18" i="33"/>
  <c r="W14" i="33"/>
  <c r="W15" i="33"/>
  <c r="W10" i="33"/>
  <c r="W9" i="33"/>
  <c r="W4" i="33"/>
  <c r="W22" i="33"/>
  <c r="W7" i="33"/>
  <c r="W21" i="33"/>
  <c r="W13" i="33"/>
  <c r="W19" i="33"/>
  <c r="W20" i="33"/>
  <c r="W8" i="33"/>
  <c r="W17" i="33"/>
  <c r="W23" i="33"/>
  <c r="W12" i="33"/>
  <c r="S53" i="33"/>
  <c r="R59" i="33"/>
  <c r="S56" i="33"/>
  <c r="U55" i="33"/>
  <c r="T61" i="33"/>
  <c r="U58" i="33"/>
  <c r="S60" i="33"/>
  <c r="T57" i="33"/>
  <c r="T55" i="33"/>
  <c r="V57" i="33"/>
  <c r="R54" i="33"/>
  <c r="V60" i="33"/>
  <c r="V55" i="33"/>
  <c r="V54" i="33"/>
  <c r="T60" i="33"/>
  <c r="T52" i="33"/>
  <c r="V53" i="33"/>
  <c r="S52" i="33"/>
  <c r="U59" i="33"/>
  <c r="U56" i="33"/>
  <c r="U60" i="33"/>
  <c r="U53" i="33"/>
  <c r="U52" i="33"/>
  <c r="S54" i="33"/>
  <c r="S61" i="33"/>
  <c r="R61" i="33"/>
  <c r="S62" i="33"/>
  <c r="S55" i="33"/>
  <c r="T58" i="33"/>
  <c r="V58" i="33"/>
  <c r="V52" i="33"/>
  <c r="T54" i="33"/>
  <c r="U57" i="33"/>
  <c r="R53" i="33"/>
  <c r="S59" i="33"/>
  <c r="T56" i="33"/>
  <c r="R56" i="33"/>
  <c r="R58" i="33"/>
  <c r="T59" i="33"/>
  <c r="U54" i="33"/>
  <c r="T53" i="33"/>
  <c r="U62" i="33"/>
  <c r="U61" i="33"/>
  <c r="S57" i="33"/>
  <c r="R60" i="33"/>
  <c r="V56" i="33"/>
  <c r="V59" i="33"/>
  <c r="R55" i="33"/>
  <c r="T62" i="33"/>
  <c r="V62" i="33"/>
  <c r="R57" i="33"/>
  <c r="S58" i="33"/>
  <c r="R62" i="33"/>
  <c r="R52" i="33"/>
  <c r="V61" i="33"/>
  <c r="Y51" i="33" l="1"/>
  <c r="X2" i="33"/>
  <c r="W24" i="33"/>
  <c r="W25" i="33" s="1"/>
  <c r="X21" i="33"/>
  <c r="X16" i="33"/>
  <c r="X5" i="33"/>
  <c r="X4" i="33"/>
  <c r="X12" i="33"/>
  <c r="X15" i="33"/>
  <c r="X17" i="33"/>
  <c r="X22" i="33"/>
  <c r="X10" i="33"/>
  <c r="X8" i="33"/>
  <c r="X14" i="33"/>
  <c r="X19" i="33"/>
  <c r="X20" i="33"/>
  <c r="X13" i="33"/>
  <c r="X6" i="33"/>
  <c r="X11" i="33"/>
  <c r="X18" i="33"/>
  <c r="X23" i="33"/>
  <c r="X7" i="33"/>
  <c r="X9" i="33"/>
  <c r="X3" i="33"/>
  <c r="W52" i="33"/>
  <c r="W61" i="33"/>
  <c r="W62" i="33"/>
  <c r="W55" i="33"/>
  <c r="W56" i="33"/>
  <c r="W54" i="33"/>
  <c r="W59" i="33"/>
  <c r="W58" i="33"/>
  <c r="W60" i="33"/>
  <c r="W53" i="33"/>
  <c r="W57" i="33"/>
  <c r="Q33" i="40" l="1"/>
  <c r="Q37" i="40"/>
  <c r="Q41" i="40"/>
  <c r="Q5" i="40"/>
  <c r="Q9" i="40"/>
  <c r="Q13" i="40"/>
  <c r="Q17" i="40"/>
  <c r="Q21" i="40"/>
  <c r="Q25" i="40"/>
  <c r="Q29" i="40"/>
  <c r="I64" i="27" s="1"/>
  <c r="Q32" i="40"/>
  <c r="Q40" i="40"/>
  <c r="Q8" i="40"/>
  <c r="Q20" i="40"/>
  <c r="Q34" i="40"/>
  <c r="Q38" i="40"/>
  <c r="Q42" i="40"/>
  <c r="Q6" i="40"/>
  <c r="Q10" i="40"/>
  <c r="Q14" i="40"/>
  <c r="Q18" i="40"/>
  <c r="Q22" i="40"/>
  <c r="Q26" i="40"/>
  <c r="I61" i="27" s="1"/>
  <c r="Q30" i="40"/>
  <c r="Q36" i="40"/>
  <c r="Q4" i="40"/>
  <c r="Q12" i="40"/>
  <c r="Q24" i="40"/>
  <c r="Q31" i="40"/>
  <c r="Q35" i="40"/>
  <c r="Q39" i="40"/>
  <c r="Q3" i="40"/>
  <c r="Q7" i="40"/>
  <c r="Q11" i="40"/>
  <c r="Q15" i="40"/>
  <c r="Q19" i="40"/>
  <c r="Q23" i="40"/>
  <c r="Q27" i="40"/>
  <c r="I62" i="27" s="1"/>
  <c r="Q2" i="40"/>
  <c r="Q16" i="40"/>
  <c r="Q28" i="40"/>
  <c r="I63" i="27" s="1"/>
  <c r="Z51" i="33"/>
  <c r="Y2" i="33"/>
  <c r="X24" i="33"/>
  <c r="X25" i="33" s="1"/>
  <c r="Y10" i="33"/>
  <c r="Y17" i="33"/>
  <c r="Y5" i="33"/>
  <c r="Y14" i="33"/>
  <c r="Y16" i="33"/>
  <c r="Y3" i="33"/>
  <c r="Y23" i="33"/>
  <c r="Y6" i="33"/>
  <c r="Y4" i="33"/>
  <c r="Y12" i="33"/>
  <c r="Y11" i="33"/>
  <c r="Y8" i="33"/>
  <c r="Y15" i="33"/>
  <c r="Y7" i="33"/>
  <c r="Y18" i="33"/>
  <c r="Y19" i="33"/>
  <c r="Y21" i="33"/>
  <c r="Y13" i="33"/>
  <c r="Y22" i="33"/>
  <c r="Y9" i="33"/>
  <c r="Y20" i="33"/>
  <c r="P7" i="40"/>
  <c r="P12" i="40"/>
  <c r="P19" i="40"/>
  <c r="P20" i="40"/>
  <c r="P30" i="40"/>
  <c r="P22" i="40"/>
  <c r="P10" i="40"/>
  <c r="X55" i="33"/>
  <c r="P23" i="40"/>
  <c r="X59" i="33"/>
  <c r="P28" i="40"/>
  <c r="P29" i="40"/>
  <c r="P3" i="40"/>
  <c r="P4" i="40"/>
  <c r="P16" i="40"/>
  <c r="X62" i="33"/>
  <c r="X58" i="33"/>
  <c r="X53" i="33"/>
  <c r="P17" i="40"/>
  <c r="P21" i="40"/>
  <c r="P18" i="40"/>
  <c r="P24" i="40"/>
  <c r="P11" i="40"/>
  <c r="P8" i="40"/>
  <c r="P25" i="40"/>
  <c r="X56" i="33"/>
  <c r="X52" i="33"/>
  <c r="X60" i="33"/>
  <c r="P27" i="40"/>
  <c r="P6" i="40"/>
  <c r="P15" i="40"/>
  <c r="P14" i="40"/>
  <c r="P13" i="40"/>
  <c r="P9" i="40"/>
  <c r="P26" i="40"/>
  <c r="P5" i="40"/>
  <c r="X57" i="33"/>
  <c r="X61" i="33"/>
  <c r="X54" i="33"/>
  <c r="I65" i="27" l="1"/>
  <c r="J61" i="27"/>
  <c r="J62" i="27"/>
  <c r="J64" i="27"/>
  <c r="J63" i="27"/>
  <c r="AA51" i="33"/>
  <c r="Z2" i="33"/>
  <c r="Y24" i="33"/>
  <c r="Y25" i="33" s="1"/>
  <c r="Z20" i="33"/>
  <c r="Z6" i="33"/>
  <c r="Z18" i="33"/>
  <c r="Z15" i="33"/>
  <c r="Z14" i="33"/>
  <c r="Z12" i="33"/>
  <c r="Z22" i="33"/>
  <c r="Z11" i="33"/>
  <c r="Z8" i="33"/>
  <c r="Z19" i="33"/>
  <c r="Z16" i="33"/>
  <c r="Z17" i="33"/>
  <c r="Z10" i="33"/>
  <c r="Z21" i="33"/>
  <c r="Z13" i="33"/>
  <c r="Z5" i="33"/>
  <c r="Z7" i="33"/>
  <c r="Z3" i="33"/>
  <c r="Z4" i="33"/>
  <c r="Z9" i="33"/>
  <c r="Z23" i="33"/>
  <c r="Y62" i="33"/>
  <c r="Y53" i="33"/>
  <c r="Y61" i="33"/>
  <c r="Y56" i="33"/>
  <c r="Y55" i="33"/>
  <c r="Y58" i="33"/>
  <c r="Y52" i="33"/>
  <c r="Y54" i="33"/>
  <c r="Y59" i="33"/>
  <c r="Y60" i="33"/>
  <c r="Y57" i="33"/>
  <c r="J65" i="27" l="1"/>
  <c r="AB51" i="33"/>
  <c r="AA2" i="33"/>
  <c r="Z24" i="33"/>
  <c r="Z25" i="33" s="1"/>
  <c r="AA10" i="33"/>
  <c r="AA3" i="33"/>
  <c r="AA8" i="33"/>
  <c r="AA17" i="33"/>
  <c r="AA11" i="33"/>
  <c r="AA20" i="33"/>
  <c r="AA7" i="33"/>
  <c r="AA12" i="33"/>
  <c r="AA22" i="33"/>
  <c r="AA4" i="33"/>
  <c r="AA23" i="33"/>
  <c r="AA13" i="33"/>
  <c r="AA21" i="33"/>
  <c r="AA15" i="33"/>
  <c r="AA16" i="33"/>
  <c r="AA9" i="33"/>
  <c r="AA5" i="33"/>
  <c r="AA6" i="33"/>
  <c r="AA18" i="33"/>
  <c r="AA19" i="33"/>
  <c r="AA14" i="33"/>
  <c r="Z62" i="33"/>
  <c r="Z53" i="33"/>
  <c r="Z59" i="33"/>
  <c r="Z54" i="33"/>
  <c r="Z57" i="33"/>
  <c r="Z52" i="33"/>
  <c r="Z56" i="33"/>
  <c r="Z61" i="33"/>
  <c r="Z60" i="33"/>
  <c r="Z58" i="33"/>
  <c r="Z55" i="33"/>
  <c r="AB2" i="33" l="1"/>
  <c r="AA24" i="33"/>
  <c r="AA25" i="33" s="1"/>
  <c r="AB13" i="33"/>
  <c r="AB4" i="33"/>
  <c r="AB21" i="33"/>
  <c r="AB15" i="33"/>
  <c r="AB12" i="33"/>
  <c r="AB7" i="33"/>
  <c r="AB20" i="33"/>
  <c r="AB11" i="33"/>
  <c r="AB22" i="33"/>
  <c r="AB18" i="33"/>
  <c r="AB3" i="33"/>
  <c r="AB23" i="33"/>
  <c r="AB9" i="33"/>
  <c r="AB14" i="33"/>
  <c r="AB6" i="33"/>
  <c r="AB17" i="33"/>
  <c r="AB19" i="33"/>
  <c r="AB5" i="33"/>
  <c r="AB8" i="33"/>
  <c r="AB10" i="33"/>
  <c r="AB16" i="33"/>
  <c r="AA61" i="33"/>
  <c r="AA53" i="33"/>
  <c r="AA55" i="33"/>
  <c r="AA59" i="33"/>
  <c r="AA56" i="33"/>
  <c r="AA58" i="33"/>
  <c r="AA62" i="33"/>
  <c r="AA52" i="33"/>
  <c r="AA60" i="33"/>
  <c r="AA54" i="33"/>
  <c r="AA57" i="33"/>
  <c r="AC2" i="33" l="1"/>
  <c r="AB24" i="33"/>
  <c r="AB25" i="33" s="1"/>
  <c r="AC12" i="33"/>
  <c r="AC10" i="33"/>
  <c r="AC14" i="33"/>
  <c r="AC6" i="33"/>
  <c r="AC16" i="33"/>
  <c r="AC9" i="33"/>
  <c r="AC13" i="33"/>
  <c r="AC3" i="33"/>
  <c r="AC19" i="33"/>
  <c r="AC20" i="33"/>
  <c r="AC11" i="33"/>
  <c r="AC15" i="33"/>
  <c r="AC22" i="33"/>
  <c r="AC21" i="33"/>
  <c r="AC23" i="33"/>
  <c r="AC18" i="33"/>
  <c r="AC4" i="33"/>
  <c r="AC17" i="33"/>
  <c r="AC7" i="33"/>
  <c r="AC8" i="33"/>
  <c r="AC5" i="33"/>
  <c r="AB60" i="33"/>
  <c r="AB55" i="33"/>
  <c r="AB62" i="33"/>
  <c r="AB61" i="33"/>
  <c r="AB57" i="33"/>
  <c r="AB54" i="33"/>
  <c r="AB59" i="33"/>
  <c r="AB52" i="33"/>
  <c r="AB56" i="33"/>
  <c r="AB58" i="33"/>
  <c r="AB53" i="33"/>
  <c r="AC24" i="33" l="1"/>
  <c r="AC25" i="33" s="1"/>
  <c r="E15" i="27" l="1"/>
  <c r="E20" i="27"/>
  <c r="E17" i="27"/>
  <c r="E22" i="27"/>
  <c r="K22" i="27" s="1"/>
  <c r="E19" i="27"/>
  <c r="E23" i="27"/>
  <c r="K23" i="27" s="1"/>
  <c r="E18" i="27"/>
  <c r="E21" i="27"/>
  <c r="H21" i="27" s="1"/>
  <c r="E16" i="27"/>
  <c r="H16" i="27" s="1"/>
  <c r="K36" i="27"/>
  <c r="K37" i="27"/>
  <c r="K38" i="27"/>
  <c r="K39" i="27"/>
  <c r="K18" i="27" l="1"/>
  <c r="H18" i="27"/>
  <c r="K17" i="27"/>
  <c r="H17" i="27"/>
  <c r="K20" i="27"/>
  <c r="H20" i="27"/>
  <c r="K19" i="27"/>
  <c r="H19" i="27"/>
  <c r="K15" i="27"/>
  <c r="H15" i="27"/>
  <c r="G39" i="27"/>
  <c r="G38" i="27"/>
  <c r="E38" i="27"/>
  <c r="L38" i="27" s="1"/>
  <c r="H38" i="27"/>
  <c r="I38" i="27"/>
  <c r="J38" i="27" s="1"/>
  <c r="E39" i="27"/>
  <c r="L39" i="27" s="1"/>
  <c r="H39" i="27"/>
  <c r="I39" i="27"/>
  <c r="J39" i="27" s="1"/>
  <c r="N38" i="27"/>
  <c r="N39" i="27"/>
  <c r="Q8" i="41" l="1"/>
  <c r="Q16" i="41"/>
  <c r="Q24" i="41"/>
  <c r="Q32" i="41"/>
  <c r="C7" i="41"/>
  <c r="C15" i="41"/>
  <c r="C23" i="41"/>
  <c r="C31" i="41"/>
  <c r="Q9" i="41"/>
  <c r="Q17" i="41"/>
  <c r="Q25" i="41"/>
  <c r="Q33" i="41"/>
  <c r="C8" i="41"/>
  <c r="C16" i="41"/>
  <c r="C24" i="41"/>
  <c r="C32" i="41"/>
  <c r="Q10" i="41"/>
  <c r="Q18" i="41"/>
  <c r="Q26" i="41"/>
  <c r="Q34" i="41"/>
  <c r="C9" i="41"/>
  <c r="C17" i="41"/>
  <c r="C25" i="41"/>
  <c r="C33" i="41"/>
  <c r="Q3" i="41"/>
  <c r="Q11" i="41"/>
  <c r="Q19" i="41"/>
  <c r="Q27" i="41"/>
  <c r="Q35" i="41"/>
  <c r="C10" i="41"/>
  <c r="C18" i="41"/>
  <c r="C26" i="41"/>
  <c r="C34" i="41"/>
  <c r="C14" i="41"/>
  <c r="Q4" i="41"/>
  <c r="Q12" i="41"/>
  <c r="Q20" i="41"/>
  <c r="Q28" i="41"/>
  <c r="C3" i="41"/>
  <c r="C11" i="41"/>
  <c r="C19" i="41"/>
  <c r="C27" i="41"/>
  <c r="C35" i="41"/>
  <c r="C22" i="41"/>
  <c r="Q5" i="41"/>
  <c r="Q13" i="41"/>
  <c r="Q21" i="41"/>
  <c r="Q29" i="41"/>
  <c r="C4" i="41"/>
  <c r="C12" i="41"/>
  <c r="C20" i="41"/>
  <c r="C28" i="41"/>
  <c r="Q2" i="41"/>
  <c r="Q6" i="41"/>
  <c r="Q14" i="41"/>
  <c r="Q22" i="41"/>
  <c r="Q30" i="41"/>
  <c r="C5" i="41"/>
  <c r="C13" i="41"/>
  <c r="C21" i="41"/>
  <c r="C29" i="41"/>
  <c r="C2" i="41"/>
  <c r="Q7" i="41"/>
  <c r="Q15" i="41"/>
  <c r="Q23" i="41"/>
  <c r="Q31" i="41"/>
  <c r="C6" i="41"/>
  <c r="C30" i="41"/>
  <c r="O38" i="27"/>
  <c r="O39" i="27"/>
  <c r="Q39" i="27"/>
  <c r="W29" i="33" l="1"/>
  <c r="U29" i="33" l="1"/>
  <c r="P38" i="27"/>
  <c r="P39" i="27"/>
  <c r="Q38" i="27"/>
  <c r="V9" i="41"/>
  <c r="U8" i="41"/>
  <c r="V19" i="41"/>
  <c r="V28" i="16"/>
  <c r="U9" i="41"/>
  <c r="S34" i="16"/>
  <c r="V28" i="41"/>
  <c r="V24" i="41"/>
  <c r="U18" i="41"/>
  <c r="V27" i="41"/>
  <c r="S36" i="16"/>
  <c r="U20" i="41"/>
  <c r="V2" i="41"/>
  <c r="V7" i="41"/>
  <c r="V3" i="41"/>
  <c r="R5" i="41"/>
  <c r="A34" i="41"/>
  <c r="P13" i="41"/>
  <c r="D4" i="41"/>
  <c r="B26" i="41"/>
  <c r="R24" i="41"/>
  <c r="S14" i="41"/>
  <c r="S30" i="41"/>
  <c r="A19" i="41"/>
  <c r="S27" i="41"/>
  <c r="S11" i="41"/>
  <c r="D10" i="41"/>
  <c r="S28" i="41"/>
  <c r="B23" i="41"/>
  <c r="S10" i="41"/>
  <c r="A14" i="41"/>
  <c r="P17" i="41"/>
  <c r="B7" i="41"/>
  <c r="D25" i="41"/>
  <c r="B22" i="41"/>
  <c r="P16" i="41"/>
  <c r="A21" i="41"/>
  <c r="A35" i="41"/>
  <c r="P3" i="41"/>
  <c r="S17" i="41"/>
  <c r="P20" i="41"/>
  <c r="S6" i="41"/>
  <c r="P21" i="41"/>
  <c r="D24" i="41"/>
  <c r="U13" i="41"/>
  <c r="U22" i="41"/>
  <c r="V8" i="41"/>
  <c r="V6" i="41"/>
  <c r="R36" i="16"/>
  <c r="U23" i="41"/>
  <c r="U28" i="41"/>
  <c r="V12" i="41"/>
  <c r="U7" i="41"/>
  <c r="V18" i="41"/>
  <c r="V11" i="41"/>
  <c r="V36" i="16"/>
  <c r="V25" i="41"/>
  <c r="U27" i="41"/>
  <c r="U29" i="41"/>
  <c r="U17" i="41"/>
  <c r="R34" i="16"/>
  <c r="V21" i="41"/>
  <c r="A15" i="41"/>
  <c r="R10" i="41"/>
  <c r="R9" i="41"/>
  <c r="P11" i="41"/>
  <c r="P8" i="41"/>
  <c r="S20" i="41"/>
  <c r="R34" i="41"/>
  <c r="S3" i="41"/>
  <c r="D28" i="41"/>
  <c r="D31" i="41"/>
  <c r="A3" i="41"/>
  <c r="B25" i="41"/>
  <c r="S22" i="41"/>
  <c r="R23" i="41"/>
  <c r="B29" i="41"/>
  <c r="P22" i="41"/>
  <c r="S2" i="41"/>
  <c r="B20" i="41"/>
  <c r="R20" i="41"/>
  <c r="P30" i="41"/>
  <c r="D18" i="41"/>
  <c r="P18" i="41"/>
  <c r="B28" i="41"/>
  <c r="B8" i="41"/>
  <c r="S31" i="41"/>
  <c r="A2" i="41"/>
  <c r="R12" i="41"/>
  <c r="P19" i="41"/>
  <c r="R28" i="41"/>
  <c r="D30" i="41"/>
  <c r="S23" i="41"/>
  <c r="R29" i="41"/>
  <c r="A17" i="41"/>
  <c r="A26" i="41"/>
  <c r="S13" i="41"/>
  <c r="B2" i="41"/>
  <c r="S21" i="41"/>
  <c r="R31" i="41"/>
  <c r="S4" i="41"/>
  <c r="D11" i="41"/>
  <c r="S9" i="41"/>
  <c r="B21" i="41"/>
  <c r="D19" i="41"/>
  <c r="R4" i="41"/>
  <c r="S12" i="41"/>
  <c r="R15" i="41"/>
  <c r="R3" i="41"/>
  <c r="B19" i="41"/>
  <c r="R27" i="41"/>
  <c r="D17" i="41"/>
  <c r="D15" i="41"/>
  <c r="P32" i="41"/>
  <c r="B27" i="41"/>
  <c r="B4" i="41"/>
  <c r="A25" i="41"/>
  <c r="P35" i="41"/>
  <c r="R25" i="41"/>
  <c r="P4" i="41"/>
  <c r="U15" i="41"/>
  <c r="U10" i="41"/>
  <c r="U26" i="41"/>
  <c r="U24" i="41"/>
  <c r="U12" i="41"/>
  <c r="V16" i="41"/>
  <c r="V13" i="41"/>
  <c r="V34" i="16"/>
  <c r="V23" i="41"/>
  <c r="U4" i="41"/>
  <c r="U21" i="41"/>
  <c r="V29" i="41"/>
  <c r="V14" i="41"/>
  <c r="V4" i="41"/>
  <c r="V17" i="41"/>
  <c r="S28" i="16"/>
  <c r="R28" i="16"/>
  <c r="U14" i="41"/>
  <c r="B3" i="41"/>
  <c r="B12" i="41"/>
  <c r="R17" i="41"/>
  <c r="R16" i="41"/>
  <c r="P14" i="41"/>
  <c r="B5" i="41"/>
  <c r="B18" i="41"/>
  <c r="P34" i="41"/>
  <c r="S15" i="41"/>
  <c r="P12" i="41"/>
  <c r="D3" i="41"/>
  <c r="S5" i="41"/>
  <c r="A11" i="41"/>
  <c r="A5" i="41"/>
  <c r="A22" i="41"/>
  <c r="B32" i="41"/>
  <c r="D12" i="41"/>
  <c r="A28" i="41"/>
  <c r="R32" i="41"/>
  <c r="P23" i="41"/>
  <c r="A16" i="41"/>
  <c r="S7" i="41"/>
  <c r="B13" i="41"/>
  <c r="R26" i="41"/>
  <c r="P28" i="41"/>
  <c r="B31" i="41"/>
  <c r="A13" i="41"/>
  <c r="D23" i="41"/>
  <c r="B10" i="41"/>
  <c r="B34" i="41"/>
  <c r="S18" i="41"/>
  <c r="S24" i="41"/>
  <c r="A30" i="41"/>
  <c r="P2" i="41"/>
  <c r="R14" i="41"/>
  <c r="R35" i="41"/>
  <c r="P33" i="41"/>
  <c r="R7" i="41"/>
  <c r="P27" i="41"/>
  <c r="D26" i="41"/>
  <c r="D13" i="41"/>
  <c r="P6" i="41"/>
  <c r="A10" i="41"/>
  <c r="S19" i="41"/>
  <c r="P29" i="41"/>
  <c r="R13" i="41"/>
  <c r="S35" i="41"/>
  <c r="A33" i="41"/>
  <c r="R33" i="41"/>
  <c r="P15" i="41"/>
  <c r="D6" i="41"/>
  <c r="S29" i="41"/>
  <c r="A12" i="41"/>
  <c r="A6" i="41"/>
  <c r="D5" i="41"/>
  <c r="B9" i="41"/>
  <c r="P24" i="41"/>
  <c r="D16" i="41"/>
  <c r="R18" i="41"/>
  <c r="Z29" i="33"/>
  <c r="V22" i="41"/>
  <c r="U6" i="41"/>
  <c r="U19" i="41"/>
  <c r="U3" i="41"/>
  <c r="P36" i="16"/>
  <c r="V5" i="41"/>
  <c r="U25" i="41"/>
  <c r="U2" i="41"/>
  <c r="U11" i="41"/>
  <c r="V15" i="41"/>
  <c r="U5" i="41"/>
  <c r="V20" i="41"/>
  <c r="V26" i="41"/>
  <c r="V10" i="41"/>
  <c r="P34" i="16"/>
  <c r="P28" i="16"/>
  <c r="U16" i="41"/>
  <c r="R22" i="41"/>
  <c r="D32" i="41"/>
  <c r="B14" i="41"/>
  <c r="A32" i="41"/>
  <c r="B16" i="41"/>
  <c r="D7" i="41"/>
  <c r="D2" i="41"/>
  <c r="R30" i="41"/>
  <c r="S25" i="41"/>
  <c r="D35" i="41"/>
  <c r="D9" i="41"/>
  <c r="D27" i="41"/>
  <c r="R6" i="41"/>
  <c r="A24" i="41"/>
  <c r="A27" i="41"/>
  <c r="R19" i="41"/>
  <c r="P10" i="41"/>
  <c r="A7" i="41"/>
  <c r="B11" i="41"/>
  <c r="B15" i="41"/>
  <c r="S16" i="41"/>
  <c r="A8" i="41"/>
  <c r="S32" i="41"/>
  <c r="B17" i="41"/>
  <c r="S33" i="41"/>
  <c r="P25" i="41"/>
  <c r="A29" i="41"/>
  <c r="D22" i="41"/>
  <c r="P7" i="41"/>
  <c r="S34" i="41"/>
  <c r="A31" i="41"/>
  <c r="A23" i="41"/>
  <c r="A20" i="41"/>
  <c r="D8" i="41"/>
  <c r="S8" i="41"/>
  <c r="B6" i="41"/>
  <c r="P5" i="41"/>
  <c r="R2" i="41"/>
  <c r="R21" i="41"/>
  <c r="P9" i="41"/>
  <c r="A9" i="41"/>
  <c r="S26" i="41"/>
  <c r="D34" i="41"/>
  <c r="A18" i="41"/>
  <c r="D33" i="41"/>
  <c r="D20" i="41"/>
  <c r="D29" i="41"/>
  <c r="B30" i="41"/>
  <c r="D14" i="41"/>
  <c r="B33" i="41"/>
  <c r="P31" i="41"/>
  <c r="P26" i="41"/>
  <c r="R11" i="41"/>
  <c r="B35" i="41"/>
  <c r="D21" i="41"/>
  <c r="R8" i="41"/>
  <c r="B24" i="41"/>
  <c r="A4" i="41"/>
  <c r="Q29" i="15" l="1"/>
  <c r="Q18" i="15"/>
  <c r="I47" i="27" s="1"/>
  <c r="Q24" i="15"/>
  <c r="Q25" i="15"/>
  <c r="I51" i="27" s="1"/>
  <c r="Q31" i="15"/>
  <c r="Q19" i="15"/>
  <c r="Q20" i="15"/>
  <c r="Q21" i="15"/>
  <c r="Q23" i="15"/>
  <c r="I49" i="27" s="1"/>
  <c r="Q27" i="15"/>
  <c r="Q28" i="15"/>
  <c r="Q26" i="15"/>
  <c r="I52" i="27" s="1"/>
  <c r="Q39" i="16"/>
  <c r="Q41" i="16"/>
  <c r="Q43" i="16"/>
  <c r="C45" i="16"/>
  <c r="C49" i="16"/>
  <c r="Q22" i="15"/>
  <c r="I48" i="27" s="1"/>
  <c r="C14" i="15"/>
  <c r="Q40" i="15"/>
  <c r="C21" i="15"/>
  <c r="I56" i="27"/>
  <c r="C23" i="15"/>
  <c r="C33" i="15"/>
  <c r="C13" i="15"/>
  <c r="Q32" i="15"/>
  <c r="C5" i="15"/>
  <c r="C41" i="15"/>
  <c r="C29" i="15"/>
  <c r="C18" i="15"/>
  <c r="C37" i="15"/>
  <c r="C11" i="15"/>
  <c r="Q37" i="15"/>
  <c r="C12" i="15"/>
  <c r="C2" i="15"/>
  <c r="Q12" i="16"/>
  <c r="Q13" i="16"/>
  <c r="C15" i="16"/>
  <c r="Q17" i="16"/>
  <c r="C19" i="16"/>
  <c r="C21" i="16"/>
  <c r="Q23" i="16"/>
  <c r="Q25" i="16"/>
  <c r="C27" i="16"/>
  <c r="C29" i="16"/>
  <c r="Q31" i="16"/>
  <c r="Q33" i="16"/>
  <c r="C37" i="16"/>
  <c r="C39" i="16"/>
  <c r="C43" i="16"/>
  <c r="Q21" i="16"/>
  <c r="Q27" i="16"/>
  <c r="C34" i="16"/>
  <c r="C44" i="16"/>
  <c r="Q47" i="16"/>
  <c r="Q49" i="16"/>
  <c r="Q44" i="16"/>
  <c r="C46" i="16"/>
  <c r="C50" i="16"/>
  <c r="Q30" i="15"/>
  <c r="I55" i="27" s="1"/>
  <c r="C22" i="15"/>
  <c r="C16" i="15"/>
  <c r="Q7" i="15"/>
  <c r="Q39" i="15"/>
  <c r="C31" i="15"/>
  <c r="C26" i="15"/>
  <c r="Q8" i="15"/>
  <c r="C8" i="15"/>
  <c r="Q33" i="15"/>
  <c r="C34" i="15"/>
  <c r="Q34" i="15"/>
  <c r="C42" i="15"/>
  <c r="C19" i="15"/>
  <c r="I53" i="27"/>
  <c r="C20" i="15"/>
  <c r="C12" i="16"/>
  <c r="C13" i="16"/>
  <c r="Q15" i="16"/>
  <c r="Q19" i="16"/>
  <c r="C25" i="16"/>
  <c r="Q32" i="16"/>
  <c r="C40" i="16"/>
  <c r="Q40" i="16"/>
  <c r="Q42" i="16"/>
  <c r="Q45" i="16"/>
  <c r="C47" i="16"/>
  <c r="Q6" i="15"/>
  <c r="Q38" i="15"/>
  <c r="C30" i="15"/>
  <c r="C32" i="15"/>
  <c r="Q15" i="15"/>
  <c r="C7" i="15"/>
  <c r="C39" i="15"/>
  <c r="Q2" i="15"/>
  <c r="Q16" i="15"/>
  <c r="C24" i="15"/>
  <c r="Q9" i="15"/>
  <c r="Q41" i="15"/>
  <c r="Q10" i="15"/>
  <c r="Q42" i="15"/>
  <c r="Q3" i="15"/>
  <c r="Q35" i="15"/>
  <c r="C27" i="15"/>
  <c r="Q4" i="15"/>
  <c r="Q36" i="15"/>
  <c r="C28" i="15"/>
  <c r="Q11" i="16"/>
  <c r="Q14" i="16"/>
  <c r="Q16" i="16"/>
  <c r="C18" i="16"/>
  <c r="Q20" i="16"/>
  <c r="Q22" i="16"/>
  <c r="C24" i="16"/>
  <c r="Q26" i="16"/>
  <c r="C28" i="16"/>
  <c r="C30" i="16"/>
  <c r="C32" i="16"/>
  <c r="C35" i="16"/>
  <c r="C41" i="16"/>
  <c r="Q48" i="16"/>
  <c r="Q50" i="16"/>
  <c r="Q46" i="16"/>
  <c r="C48" i="16"/>
  <c r="Q14" i="15"/>
  <c r="C6" i="15"/>
  <c r="C38" i="15"/>
  <c r="C25" i="15"/>
  <c r="C15" i="15"/>
  <c r="C40" i="15"/>
  <c r="Q5" i="15"/>
  <c r="C17" i="15"/>
  <c r="Q17" i="15"/>
  <c r="C9" i="15"/>
  <c r="Q13" i="15"/>
  <c r="C10" i="15"/>
  <c r="Q11" i="15"/>
  <c r="C3" i="15"/>
  <c r="C35" i="15"/>
  <c r="Q12" i="15"/>
  <c r="C4" i="15"/>
  <c r="C36" i="15"/>
  <c r="I54" i="27"/>
  <c r="C11" i="16"/>
  <c r="C14" i="16"/>
  <c r="C16" i="16"/>
  <c r="Q18" i="16"/>
  <c r="C20" i="16"/>
  <c r="C22" i="16"/>
  <c r="Q24" i="16"/>
  <c r="C26" i="16"/>
  <c r="Q29" i="16"/>
  <c r="C31" i="16"/>
  <c r="C33" i="16"/>
  <c r="C36" i="16"/>
  <c r="C38" i="16"/>
  <c r="C42" i="16"/>
  <c r="C17" i="16"/>
  <c r="C23" i="16"/>
  <c r="Q30" i="16"/>
  <c r="Q37" i="16"/>
  <c r="Q38" i="16"/>
  <c r="C2" i="40"/>
  <c r="C11" i="40"/>
  <c r="C4" i="40"/>
  <c r="C6" i="40"/>
  <c r="C10" i="40"/>
  <c r="C19" i="40"/>
  <c r="C12" i="40"/>
  <c r="C14" i="40"/>
  <c r="C18" i="40"/>
  <c r="C27" i="40"/>
  <c r="C20" i="40"/>
  <c r="C22" i="40"/>
  <c r="C8" i="40"/>
  <c r="C26" i="40"/>
  <c r="C28" i="40"/>
  <c r="C5" i="40"/>
  <c r="C30" i="40"/>
  <c r="C16" i="40"/>
  <c r="C13" i="40"/>
  <c r="C25" i="40"/>
  <c r="C24" i="40"/>
  <c r="C17" i="40"/>
  <c r="C21" i="40"/>
  <c r="C7" i="40"/>
  <c r="C29" i="40"/>
  <c r="C15" i="40"/>
  <c r="C9" i="40"/>
  <c r="C3" i="40"/>
  <c r="C23" i="40"/>
  <c r="Q12" i="28"/>
  <c r="Q54" i="28"/>
  <c r="Q14" i="28"/>
  <c r="Q40" i="28"/>
  <c r="Q42" i="28"/>
  <c r="Q44" i="28"/>
  <c r="C48" i="28"/>
  <c r="Q56" i="28"/>
  <c r="Q57" i="28"/>
  <c r="C14" i="28"/>
  <c r="C22" i="28"/>
  <c r="C26" i="28"/>
  <c r="Q28" i="28"/>
  <c r="Q32" i="28"/>
  <c r="C39" i="28"/>
  <c r="Q41" i="28"/>
  <c r="C43" i="28"/>
  <c r="Q45" i="28"/>
  <c r="C49" i="28"/>
  <c r="Q19" i="28"/>
  <c r="C16" i="28"/>
  <c r="C20" i="28"/>
  <c r="C27" i="28"/>
  <c r="C29" i="28"/>
  <c r="Q39" i="28"/>
  <c r="C41" i="28"/>
  <c r="C45" i="28"/>
  <c r="Q49" i="28"/>
  <c r="Q55" i="28"/>
  <c r="Q16" i="28"/>
  <c r="Q18" i="28"/>
  <c r="C21" i="28"/>
  <c r="Q27" i="28"/>
  <c r="Q29" i="28"/>
  <c r="C37" i="28"/>
  <c r="Q43" i="28"/>
  <c r="Q46" i="28"/>
  <c r="C50" i="28"/>
  <c r="Q53" i="28"/>
  <c r="Q23" i="28"/>
  <c r="C25" i="28"/>
  <c r="Q31" i="28"/>
  <c r="C33" i="28"/>
  <c r="C35" i="28"/>
  <c r="C46" i="28"/>
  <c r="Q50" i="28"/>
  <c r="Q52" i="28"/>
  <c r="Q21" i="28"/>
  <c r="Q13" i="28"/>
  <c r="C15" i="28"/>
  <c r="C23" i="28"/>
  <c r="Q25" i="28"/>
  <c r="C31" i="28"/>
  <c r="C47" i="28"/>
  <c r="Q51" i="28"/>
  <c r="Q11" i="28"/>
  <c r="Q58" i="28"/>
  <c r="C12" i="28"/>
  <c r="Q17" i="28"/>
  <c r="Q22" i="28"/>
  <c r="Q24" i="28"/>
  <c r="Q26" i="28"/>
  <c r="C28" i="28"/>
  <c r="Q30" i="28"/>
  <c r="C32" i="28"/>
  <c r="C34" i="28"/>
  <c r="C36" i="28"/>
  <c r="C38" i="28"/>
  <c r="C44" i="28"/>
  <c r="Q47" i="28"/>
  <c r="C51" i="28"/>
  <c r="C11" i="28"/>
  <c r="C13" i="28"/>
  <c r="Q15" i="28"/>
  <c r="C17" i="28"/>
  <c r="Q20" i="28"/>
  <c r="C24" i="28"/>
  <c r="C30" i="28"/>
  <c r="C40" i="28"/>
  <c r="C42" i="28"/>
  <c r="Q48" i="28"/>
  <c r="V41" i="16"/>
  <c r="D33" i="16"/>
  <c r="V15" i="16"/>
  <c r="U31" i="16"/>
  <c r="B20" i="16"/>
  <c r="D43" i="16"/>
  <c r="B34" i="16"/>
  <c r="V26" i="16"/>
  <c r="A27" i="16"/>
  <c r="A29" i="16"/>
  <c r="A13" i="16"/>
  <c r="B14" i="16"/>
  <c r="V18" i="16"/>
  <c r="R49" i="16"/>
  <c r="A30" i="16"/>
  <c r="S16" i="16"/>
  <c r="V17" i="16"/>
  <c r="D23" i="16"/>
  <c r="P11" i="16"/>
  <c r="B44" i="16"/>
  <c r="R21" i="16"/>
  <c r="A37" i="16"/>
  <c r="D44" i="16"/>
  <c r="S21" i="16"/>
  <c r="A41" i="16"/>
  <c r="A32" i="16"/>
  <c r="R26" i="16"/>
  <c r="U20" i="16"/>
  <c r="R24" i="16"/>
  <c r="V13" i="16"/>
  <c r="U33" i="16"/>
  <c r="U21" i="16"/>
  <c r="V30" i="16"/>
  <c r="U50" i="16"/>
  <c r="R23" i="16"/>
  <c r="A23" i="16"/>
  <c r="R50" i="16"/>
  <c r="P40" i="16"/>
  <c r="A12" i="16"/>
  <c r="P29" i="16"/>
  <c r="B40" i="16"/>
  <c r="S29" i="16"/>
  <c r="V33" i="16"/>
  <c r="D29" i="16"/>
  <c r="V25" i="16"/>
  <c r="D11" i="16"/>
  <c r="D46" i="16"/>
  <c r="R22" i="16"/>
  <c r="V46" i="16"/>
  <c r="R27" i="16"/>
  <c r="B25" i="16"/>
  <c r="R16" i="16"/>
  <c r="V47" i="16"/>
  <c r="S14" i="16"/>
  <c r="U38" i="16"/>
  <c r="V50" i="16"/>
  <c r="V42" i="16"/>
  <c r="S37" i="16"/>
  <c r="S33" i="16"/>
  <c r="U28" i="16"/>
  <c r="P25" i="16"/>
  <c r="R31" i="16"/>
  <c r="V48" i="16"/>
  <c r="V22" i="16"/>
  <c r="B38" i="16"/>
  <c r="P21" i="16"/>
  <c r="V37" i="16"/>
  <c r="S45" i="16"/>
  <c r="D36" i="16"/>
  <c r="P41" i="16"/>
  <c r="D26" i="16"/>
  <c r="D13" i="16"/>
  <c r="S20" i="16"/>
  <c r="R18" i="16"/>
  <c r="A46" i="16"/>
  <c r="A48" i="16"/>
  <c r="B43" i="16"/>
  <c r="A34" i="16"/>
  <c r="P26" i="16"/>
  <c r="U27" i="16"/>
  <c r="U29" i="16"/>
  <c r="S32" i="16"/>
  <c r="A42" i="16"/>
  <c r="B26" i="16"/>
  <c r="V19" i="16"/>
  <c r="U22" i="16"/>
  <c r="U24" i="16"/>
  <c r="S25" i="16"/>
  <c r="R13" i="16"/>
  <c r="V20" i="16"/>
  <c r="V39" i="16"/>
  <c r="D16" i="16"/>
  <c r="R47" i="16"/>
  <c r="P14" i="16"/>
  <c r="D48" i="16"/>
  <c r="P50" i="16"/>
  <c r="D35" i="16"/>
  <c r="B41" i="16"/>
  <c r="P45" i="16"/>
  <c r="U36" i="16"/>
  <c r="P44" i="16"/>
  <c r="A33" i="16"/>
  <c r="A39" i="16"/>
  <c r="D22" i="16"/>
  <c r="A14" i="16"/>
  <c r="B19" i="16"/>
  <c r="B29" i="16"/>
  <c r="D50" i="16"/>
  <c r="A49" i="16"/>
  <c r="P13" i="16"/>
  <c r="A16" i="16"/>
  <c r="V11" i="16"/>
  <c r="S43" i="16"/>
  <c r="V44" i="16"/>
  <c r="U40" i="16"/>
  <c r="A15" i="16"/>
  <c r="B35" i="16"/>
  <c r="R41" i="16"/>
  <c r="U26" i="16"/>
  <c r="S31" i="16"/>
  <c r="D18" i="16"/>
  <c r="D30" i="16"/>
  <c r="V16" i="16"/>
  <c r="P17" i="16"/>
  <c r="U23" i="16"/>
  <c r="R11" i="16"/>
  <c r="S39" i="16"/>
  <c r="B16" i="16"/>
  <c r="D47" i="16"/>
  <c r="R12" i="16"/>
  <c r="U25" i="16"/>
  <c r="U12" i="16"/>
  <c r="U37" i="16"/>
  <c r="A43" i="16"/>
  <c r="S26" i="16"/>
  <c r="B22" i="16"/>
  <c r="S18" i="16"/>
  <c r="V24" i="16"/>
  <c r="P20" i="16"/>
  <c r="P46" i="16"/>
  <c r="U15" i="16"/>
  <c r="B36" i="16"/>
  <c r="S22" i="16"/>
  <c r="B17" i="16"/>
  <c r="A45" i="16"/>
  <c r="P32" i="16"/>
  <c r="B31" i="16"/>
  <c r="D14" i="16"/>
  <c r="U30" i="16"/>
  <c r="A19" i="16"/>
  <c r="R38" i="16"/>
  <c r="AD29" i="33"/>
  <c r="R32" i="16"/>
  <c r="D42" i="16"/>
  <c r="A26" i="16"/>
  <c r="R19" i="16"/>
  <c r="A22" i="16"/>
  <c r="U32" i="16"/>
  <c r="P33" i="16"/>
  <c r="U39" i="16"/>
  <c r="B28" i="16"/>
  <c r="B49" i="16"/>
  <c r="S24" i="16"/>
  <c r="A50" i="16"/>
  <c r="S48" i="16"/>
  <c r="A11" i="16"/>
  <c r="V23" i="16"/>
  <c r="S38" i="16"/>
  <c r="A47" i="16"/>
  <c r="S12" i="16"/>
  <c r="A38" i="16"/>
  <c r="D17" i="16"/>
  <c r="A36" i="16"/>
  <c r="R44" i="16"/>
  <c r="A17" i="16"/>
  <c r="U45" i="16"/>
  <c r="R37" i="16"/>
  <c r="U42" i="16"/>
  <c r="D31" i="16"/>
  <c r="D49" i="16"/>
  <c r="B50" i="16"/>
  <c r="R20" i="16"/>
  <c r="U49" i="16"/>
  <c r="S13" i="16"/>
  <c r="B13" i="16"/>
  <c r="V49" i="16"/>
  <c r="R17" i="16"/>
  <c r="D25" i="16"/>
  <c r="A40" i="16"/>
  <c r="B15" i="16"/>
  <c r="S42" i="16"/>
  <c r="S50" i="16"/>
  <c r="P42" i="16"/>
  <c r="V32" i="16"/>
  <c r="D27" i="16"/>
  <c r="A24" i="16"/>
  <c r="R48" i="16"/>
  <c r="R39" i="16"/>
  <c r="U16" i="16"/>
  <c r="S47" i="16"/>
  <c r="V14" i="16"/>
  <c r="B48" i="16"/>
  <c r="P23" i="16"/>
  <c r="P38" i="16"/>
  <c r="R46" i="16"/>
  <c r="P27" i="16"/>
  <c r="AB29" i="33"/>
  <c r="V21" i="16"/>
  <c r="D41" i="16"/>
  <c r="D32" i="16"/>
  <c r="D39" i="16"/>
  <c r="P31" i="16"/>
  <c r="D19" i="16"/>
  <c r="R25" i="16"/>
  <c r="P39" i="16"/>
  <c r="P12" i="16"/>
  <c r="V45" i="16"/>
  <c r="D45" i="16"/>
  <c r="U48" i="16"/>
  <c r="P43" i="16"/>
  <c r="V40" i="16"/>
  <c r="B42" i="16"/>
  <c r="P19" i="16"/>
  <c r="A18" i="16"/>
  <c r="B24" i="16"/>
  <c r="B11" i="16"/>
  <c r="P47" i="16"/>
  <c r="U17" i="16"/>
  <c r="D37" i="16"/>
  <c r="AA29" i="33"/>
  <c r="B32" i="16"/>
  <c r="R33" i="16"/>
  <c r="B39" i="16"/>
  <c r="D28" i="16"/>
  <c r="S41" i="16"/>
  <c r="B33" i="16"/>
  <c r="R15" i="16"/>
  <c r="A31" i="16"/>
  <c r="D20" i="16"/>
  <c r="V31" i="16"/>
  <c r="B21" i="16"/>
  <c r="U18" i="16"/>
  <c r="U19" i="16"/>
  <c r="S30" i="16"/>
  <c r="B46" i="16"/>
  <c r="P22" i="16"/>
  <c r="S46" i="16"/>
  <c r="V27" i="16"/>
  <c r="A25" i="16"/>
  <c r="V43" i="16"/>
  <c r="B45" i="16"/>
  <c r="P37" i="16"/>
  <c r="R43" i="16"/>
  <c r="B37" i="16"/>
  <c r="U43" i="16"/>
  <c r="S15" i="16"/>
  <c r="S19" i="16"/>
  <c r="U13" i="16"/>
  <c r="P18" i="16"/>
  <c r="R30" i="16"/>
  <c r="D24" i="16"/>
  <c r="S49" i="16"/>
  <c r="A21" i="16"/>
  <c r="P30" i="16"/>
  <c r="U47" i="16"/>
  <c r="U44" i="16"/>
  <c r="R42" i="16"/>
  <c r="R45" i="16"/>
  <c r="S40" i="16"/>
  <c r="B12" i="16"/>
  <c r="R40" i="16"/>
  <c r="D34" i="16"/>
  <c r="A28" i="16"/>
  <c r="D21" i="16"/>
  <c r="P49" i="16"/>
  <c r="S23" i="16"/>
  <c r="V38" i="16"/>
  <c r="B47" i="16"/>
  <c r="V12" i="16"/>
  <c r="D38" i="16"/>
  <c r="U46" i="16"/>
  <c r="S17" i="16"/>
  <c r="B23" i="16"/>
  <c r="S11" i="16"/>
  <c r="A44" i="16"/>
  <c r="A35" i="16"/>
  <c r="S44" i="16"/>
  <c r="U34" i="16"/>
  <c r="B27" i="16"/>
  <c r="P24" i="16"/>
  <c r="U11" i="16"/>
  <c r="B18" i="16"/>
  <c r="P16" i="16"/>
  <c r="S27" i="16"/>
  <c r="D12" i="16"/>
  <c r="U41" i="16"/>
  <c r="D15" i="16"/>
  <c r="D40" i="16"/>
  <c r="V29" i="16"/>
  <c r="P15" i="16"/>
  <c r="A20" i="16"/>
  <c r="P48" i="16"/>
  <c r="U14" i="16"/>
  <c r="B30" i="16"/>
  <c r="R14" i="16"/>
  <c r="U35" i="16"/>
  <c r="R29" i="16"/>
  <c r="R30" i="33" l="1"/>
  <c r="AA30" i="33" s="1"/>
  <c r="M10" i="30"/>
  <c r="L10" i="30"/>
  <c r="K10" i="30"/>
  <c r="B2" i="16"/>
  <c r="B4" i="16" s="1"/>
  <c r="R2" i="16"/>
  <c r="D2" i="16"/>
  <c r="C2" i="16"/>
  <c r="E2" i="16"/>
  <c r="E2" i="28"/>
  <c r="I50" i="27"/>
  <c r="I57" i="27" s="1"/>
  <c r="F44" i="27" s="1"/>
  <c r="I20" i="27"/>
  <c r="J20" i="27" s="1"/>
  <c r="Q20" i="27"/>
  <c r="D4" i="16" l="1"/>
  <c r="P20" i="27"/>
  <c r="N20" i="27"/>
  <c r="V2" i="30" l="1"/>
  <c r="O20" i="27"/>
  <c r="G21" i="27" l="1"/>
  <c r="G16" i="27"/>
  <c r="G23" i="27"/>
  <c r="H9" i="35" l="1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83" i="35"/>
  <c r="H84" i="35"/>
  <c r="H85" i="35"/>
  <c r="H86" i="35"/>
  <c r="H87" i="35"/>
  <c r="H88" i="35"/>
  <c r="H89" i="35"/>
  <c r="H90" i="35"/>
  <c r="H91" i="35"/>
  <c r="H92" i="35"/>
  <c r="H93" i="35"/>
  <c r="H94" i="35"/>
  <c r="H95" i="35"/>
  <c r="H96" i="35"/>
  <c r="H97" i="35"/>
  <c r="H98" i="35"/>
  <c r="H99" i="35"/>
  <c r="H100" i="35"/>
  <c r="H101" i="35"/>
  <c r="H102" i="35"/>
  <c r="H103" i="35"/>
  <c r="H104" i="35"/>
  <c r="H105" i="35"/>
  <c r="H106" i="35"/>
  <c r="H107" i="35"/>
  <c r="H108" i="35"/>
  <c r="H109" i="35"/>
  <c r="H110" i="35"/>
  <c r="H111" i="35"/>
  <c r="H112" i="35"/>
  <c r="H113" i="35"/>
  <c r="H114" i="35"/>
  <c r="H115" i="35"/>
  <c r="H116" i="35"/>
  <c r="H117" i="35"/>
  <c r="H118" i="35"/>
  <c r="H119" i="35"/>
  <c r="H120" i="35"/>
  <c r="H121" i="35"/>
  <c r="H122" i="35"/>
  <c r="H123" i="35"/>
  <c r="H124" i="35"/>
  <c r="L21" i="27" l="1"/>
  <c r="L16" i="27"/>
  <c r="K11" i="27" l="1"/>
  <c r="G9" i="35"/>
  <c r="G10" i="35"/>
  <c r="G11" i="35"/>
  <c r="G12" i="35"/>
  <c r="G13" i="35"/>
  <c r="G14" i="35"/>
  <c r="G15" i="35"/>
  <c r="G16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55" i="35"/>
  <c r="G56" i="35"/>
  <c r="G57" i="35"/>
  <c r="G58" i="35"/>
  <c r="G59" i="35"/>
  <c r="G60" i="35"/>
  <c r="G61" i="35"/>
  <c r="G62" i="35"/>
  <c r="G63" i="35"/>
  <c r="G64" i="35"/>
  <c r="G65" i="35"/>
  <c r="G66" i="35"/>
  <c r="G67" i="35"/>
  <c r="G68" i="35"/>
  <c r="G69" i="35"/>
  <c r="G70" i="35"/>
  <c r="G71" i="35"/>
  <c r="G72" i="35"/>
  <c r="G73" i="35"/>
  <c r="G74" i="35"/>
  <c r="G75" i="35"/>
  <c r="G76" i="35"/>
  <c r="G77" i="35"/>
  <c r="G78" i="35"/>
  <c r="G79" i="35"/>
  <c r="G80" i="35"/>
  <c r="G81" i="35"/>
  <c r="G82" i="35"/>
  <c r="G83" i="35"/>
  <c r="G84" i="35"/>
  <c r="G85" i="35"/>
  <c r="G86" i="35"/>
  <c r="G87" i="35"/>
  <c r="G88" i="35"/>
  <c r="G89" i="35"/>
  <c r="G90" i="35"/>
  <c r="G91" i="35"/>
  <c r="G92" i="35"/>
  <c r="G93" i="35"/>
  <c r="G94" i="35"/>
  <c r="G95" i="35"/>
  <c r="G96" i="35"/>
  <c r="G97" i="35"/>
  <c r="G98" i="35"/>
  <c r="G99" i="35"/>
  <c r="G100" i="35"/>
  <c r="G101" i="35"/>
  <c r="G102" i="35"/>
  <c r="G103" i="35"/>
  <c r="G104" i="35"/>
  <c r="G105" i="35"/>
  <c r="G106" i="35"/>
  <c r="G107" i="35"/>
  <c r="G108" i="35"/>
  <c r="G109" i="35"/>
  <c r="G110" i="35"/>
  <c r="G111" i="35"/>
  <c r="G112" i="35"/>
  <c r="G113" i="35"/>
  <c r="G114" i="35"/>
  <c r="G115" i="35"/>
  <c r="G116" i="35"/>
  <c r="G117" i="35"/>
  <c r="G118" i="35"/>
  <c r="G119" i="35"/>
  <c r="G120" i="35"/>
  <c r="G121" i="35"/>
  <c r="G122" i="35"/>
  <c r="G123" i="35"/>
  <c r="G124" i="35"/>
  <c r="E11" i="27" l="1"/>
  <c r="G11" i="27"/>
  <c r="J11" i="27"/>
  <c r="F11" i="27"/>
  <c r="I11" i="27"/>
  <c r="D33" i="28"/>
  <c r="U20" i="28"/>
  <c r="B14" i="28"/>
  <c r="V25" i="40"/>
  <c r="U30" i="28"/>
  <c r="A19" i="28"/>
  <c r="AA38" i="33"/>
  <c r="R37" i="33"/>
  <c r="V54" i="28"/>
  <c r="A23" i="28"/>
  <c r="S51" i="28"/>
  <c r="S29" i="28"/>
  <c r="A31" i="15"/>
  <c r="P30" i="28"/>
  <c r="A8" i="40"/>
  <c r="A26" i="40"/>
  <c r="U30" i="15"/>
  <c r="V13" i="40"/>
  <c r="S12" i="28"/>
  <c r="V18" i="15"/>
  <c r="T35" i="33"/>
  <c r="U10" i="15"/>
  <c r="R6" i="40"/>
  <c r="S34" i="33"/>
  <c r="D6" i="15"/>
  <c r="A2" i="15"/>
  <c r="S6" i="15"/>
  <c r="A49" i="28"/>
  <c r="V30" i="28"/>
  <c r="S2" i="40"/>
  <c r="S34" i="28"/>
  <c r="S40" i="15"/>
  <c r="B3" i="15"/>
  <c r="V28" i="28"/>
  <c r="D20" i="15"/>
  <c r="R26" i="28"/>
  <c r="B10" i="15"/>
  <c r="Y43" i="33"/>
  <c r="D19" i="15"/>
  <c r="R36" i="15"/>
  <c r="P21" i="28"/>
  <c r="D2" i="40"/>
  <c r="B24" i="40"/>
  <c r="V31" i="28"/>
  <c r="U23" i="40"/>
  <c r="U44" i="28"/>
  <c r="S24" i="40"/>
  <c r="U19" i="15"/>
  <c r="S16" i="15"/>
  <c r="P9" i="15"/>
  <c r="S18" i="28"/>
  <c r="R38" i="28"/>
  <c r="D51" i="28"/>
  <c r="U20" i="40"/>
  <c r="R40" i="28"/>
  <c r="U24" i="28"/>
  <c r="P13" i="15"/>
  <c r="U40" i="15"/>
  <c r="D4" i="15"/>
  <c r="P20" i="28"/>
  <c r="A29" i="28"/>
  <c r="B30" i="15"/>
  <c r="V19" i="40"/>
  <c r="D4" i="40"/>
  <c r="V36" i="33"/>
  <c r="S36" i="15"/>
  <c r="D7" i="40"/>
  <c r="B35" i="15"/>
  <c r="S21" i="40"/>
  <c r="A19" i="40"/>
  <c r="S20" i="40"/>
  <c r="B9" i="15"/>
  <c r="R46" i="28"/>
  <c r="V38" i="33"/>
  <c r="P20" i="15"/>
  <c r="S33" i="15"/>
  <c r="A6" i="15"/>
  <c r="A18" i="28"/>
  <c r="U39" i="15"/>
  <c r="B7" i="15"/>
  <c r="U5" i="40"/>
  <c r="D5" i="15"/>
  <c r="D9" i="40"/>
  <c r="U25" i="28"/>
  <c r="B26" i="28"/>
  <c r="D38" i="15"/>
  <c r="V15" i="40"/>
  <c r="U37" i="15"/>
  <c r="B16" i="28"/>
  <c r="S41" i="15"/>
  <c r="S2" i="15"/>
  <c r="B16" i="15"/>
  <c r="W40" i="33"/>
  <c r="A4" i="15"/>
  <c r="U27" i="40"/>
  <c r="P41" i="15"/>
  <c r="B19" i="40"/>
  <c r="S3" i="15"/>
  <c r="D16" i="40"/>
  <c r="P39" i="15"/>
  <c r="B23" i="15"/>
  <c r="B25" i="15"/>
  <c r="R8" i="15"/>
  <c r="X37" i="33"/>
  <c r="D29" i="28"/>
  <c r="P33" i="15"/>
  <c r="S41" i="33"/>
  <c r="R42" i="28"/>
  <c r="Z34" i="33"/>
  <c r="V15" i="15"/>
  <c r="D42" i="28"/>
  <c r="X43" i="33"/>
  <c r="R34" i="33"/>
  <c r="D31" i="15"/>
  <c r="R16" i="40"/>
  <c r="R39" i="33"/>
  <c r="A24" i="28"/>
  <c r="B6" i="40"/>
  <c r="A37" i="15"/>
  <c r="U9" i="40"/>
  <c r="A25" i="28"/>
  <c r="V44" i="33"/>
  <c r="P32" i="28"/>
  <c r="R41" i="28"/>
  <c r="Z40" i="33"/>
  <c r="T34" i="33"/>
  <c r="S24" i="15"/>
  <c r="R27" i="15"/>
  <c r="B17" i="15"/>
  <c r="P2" i="15"/>
  <c r="S27" i="15"/>
  <c r="D12" i="15"/>
  <c r="B20" i="28"/>
  <c r="R41" i="33"/>
  <c r="R27" i="28"/>
  <c r="V33" i="15"/>
  <c r="S20" i="28"/>
  <c r="B36" i="28"/>
  <c r="D28" i="28"/>
  <c r="Y41" i="33"/>
  <c r="S5" i="40"/>
  <c r="U38" i="33"/>
  <c r="R6" i="15"/>
  <c r="A20" i="40"/>
  <c r="T41" i="33"/>
  <c r="S30" i="28"/>
  <c r="U37" i="28"/>
  <c r="V17" i="28"/>
  <c r="B18" i="40"/>
  <c r="B15" i="40"/>
  <c r="B11" i="28"/>
  <c r="AB40" i="33"/>
  <c r="D11" i="28"/>
  <c r="S13" i="28"/>
  <c r="R8" i="40"/>
  <c r="B18" i="15"/>
  <c r="A5" i="40"/>
  <c r="S37" i="33"/>
  <c r="D44" i="28"/>
  <c r="X44" i="33"/>
  <c r="B29" i="28"/>
  <c r="A8" i="15"/>
  <c r="S4" i="15"/>
  <c r="P15" i="15"/>
  <c r="S19" i="40"/>
  <c r="S43" i="28"/>
  <c r="X35" i="33"/>
  <c r="D11" i="15"/>
  <c r="D27" i="40"/>
  <c r="A35" i="28"/>
  <c r="D16" i="28"/>
  <c r="V23" i="28"/>
  <c r="S19" i="28"/>
  <c r="P48" i="28"/>
  <c r="P31" i="15"/>
  <c r="S48" i="28"/>
  <c r="B26" i="15"/>
  <c r="S17" i="28"/>
  <c r="B5" i="40"/>
  <c r="V4" i="40"/>
  <c r="S7" i="15"/>
  <c r="AB41" i="33"/>
  <c r="U28" i="28"/>
  <c r="R2" i="40"/>
  <c r="R14" i="28"/>
  <c r="S39" i="28"/>
  <c r="P11" i="28"/>
  <c r="B22" i="40"/>
  <c r="P51" i="28"/>
  <c r="A12" i="40"/>
  <c r="P11" i="15"/>
  <c r="D41" i="28"/>
  <c r="S38" i="33"/>
  <c r="R7" i="15"/>
  <c r="U33" i="28"/>
  <c r="V43" i="28"/>
  <c r="D23" i="40"/>
  <c r="S14" i="15"/>
  <c r="B19" i="28"/>
  <c r="A43" i="28"/>
  <c r="B42" i="15"/>
  <c r="P45" i="28"/>
  <c r="B15" i="15"/>
  <c r="U11" i="15"/>
  <c r="B29" i="40"/>
  <c r="V24" i="28"/>
  <c r="D6" i="40"/>
  <c r="A41" i="15"/>
  <c r="B29" i="15"/>
  <c r="B30" i="28"/>
  <c r="V28" i="40"/>
  <c r="P28" i="28"/>
  <c r="V22" i="40"/>
  <c r="R30" i="28"/>
  <c r="D20" i="40"/>
  <c r="S37" i="28"/>
  <c r="D18" i="15"/>
  <c r="R49" i="28"/>
  <c r="U41" i="33"/>
  <c r="U51" i="28"/>
  <c r="B7" i="40"/>
  <c r="R10" i="40"/>
  <c r="A28" i="28"/>
  <c r="U46" i="28"/>
  <c r="X39" i="33"/>
  <c r="S15" i="28"/>
  <c r="V32" i="15"/>
  <c r="V33" i="28"/>
  <c r="U8" i="15"/>
  <c r="A16" i="15"/>
  <c r="U28" i="40"/>
  <c r="W42" i="33"/>
  <c r="D42" i="15"/>
  <c r="U12" i="40"/>
  <c r="A11" i="28"/>
  <c r="D29" i="40"/>
  <c r="AA37" i="33"/>
  <c r="A15" i="28"/>
  <c r="P34" i="15"/>
  <c r="V47" i="28"/>
  <c r="U44" i="33"/>
  <c r="D28" i="40"/>
  <c r="B21" i="28"/>
  <c r="V19" i="28"/>
  <c r="D8" i="40"/>
  <c r="U21" i="40"/>
  <c r="Y36" i="33"/>
  <c r="R12" i="28"/>
  <c r="R17" i="40"/>
  <c r="R37" i="28"/>
  <c r="R34" i="28"/>
  <c r="S25" i="40"/>
  <c r="V15" i="28"/>
  <c r="V16" i="15"/>
  <c r="R15" i="40"/>
  <c r="P40" i="15"/>
  <c r="A40" i="28"/>
  <c r="B13" i="40"/>
  <c r="V5" i="40"/>
  <c r="U16" i="28"/>
  <c r="R35" i="33"/>
  <c r="A15" i="40"/>
  <c r="R21" i="28"/>
  <c r="U34" i="33"/>
  <c r="S9" i="40"/>
  <c r="U17" i="40"/>
  <c r="V57" i="28"/>
  <c r="U21" i="28"/>
  <c r="R21" i="40"/>
  <c r="R19" i="28"/>
  <c r="U47" i="28"/>
  <c r="V9" i="15"/>
  <c r="D36" i="15"/>
  <c r="V35" i="33"/>
  <c r="V25" i="15"/>
  <c r="P31" i="28"/>
  <c r="U3" i="40"/>
  <c r="B23" i="28"/>
  <c r="U18" i="40"/>
  <c r="W38" i="33"/>
  <c r="R11" i="15"/>
  <c r="U40" i="28"/>
  <c r="S18" i="40"/>
  <c r="U41" i="28"/>
  <c r="S11" i="28"/>
  <c r="V56" i="28"/>
  <c r="V50" i="28"/>
  <c r="V26" i="15"/>
  <c r="V10" i="15"/>
  <c r="V34" i="28"/>
  <c r="R34" i="15"/>
  <c r="D22" i="15"/>
  <c r="V32" i="28"/>
  <c r="D34" i="28"/>
  <c r="B22" i="15"/>
  <c r="B6" i="15"/>
  <c r="D45" i="28"/>
  <c r="D10" i="15"/>
  <c r="V29" i="28"/>
  <c r="U2" i="15"/>
  <c r="P5" i="15"/>
  <c r="A11" i="40"/>
  <c r="S16" i="40"/>
  <c r="U40" i="33"/>
  <c r="S26" i="15"/>
  <c r="B26" i="40"/>
  <c r="V21" i="28"/>
  <c r="U34" i="15"/>
  <c r="V53" i="28"/>
  <c r="B3" i="40"/>
  <c r="A17" i="28"/>
  <c r="P39" i="28"/>
  <c r="D7" i="15"/>
  <c r="B47" i="28"/>
  <c r="R50" i="28"/>
  <c r="A20" i="28"/>
  <c r="U13" i="28"/>
  <c r="S49" i="28"/>
  <c r="P6" i="15"/>
  <c r="P35" i="15"/>
  <c r="B51" i="28"/>
  <c r="V17" i="15"/>
  <c r="W36" i="33"/>
  <c r="D11" i="40"/>
  <c r="U36" i="28"/>
  <c r="R40" i="33"/>
  <c r="R39" i="28"/>
  <c r="R25" i="15"/>
  <c r="A22" i="15"/>
  <c r="V14" i="28"/>
  <c r="P3" i="15"/>
  <c r="P23" i="15"/>
  <c r="A32" i="28"/>
  <c r="U15" i="40"/>
  <c r="R47" i="28"/>
  <c r="X41" i="33"/>
  <c r="U39" i="28"/>
  <c r="B40" i="15"/>
  <c r="R29" i="15"/>
  <c r="AB39" i="33"/>
  <c r="D30" i="28"/>
  <c r="V36" i="28"/>
  <c r="P30" i="15"/>
  <c r="S21" i="15"/>
  <c r="A14" i="40"/>
  <c r="Y35" i="33"/>
  <c r="V18" i="40"/>
  <c r="A32" i="15"/>
  <c r="V42" i="33"/>
  <c r="R28" i="15"/>
  <c r="B40" i="28"/>
  <c r="V11" i="40"/>
  <c r="R24" i="28"/>
  <c r="A26" i="28"/>
  <c r="R31" i="15"/>
  <c r="P33" i="28"/>
  <c r="S17" i="15"/>
  <c r="S18" i="15"/>
  <c r="A36" i="28"/>
  <c r="B17" i="28"/>
  <c r="T43" i="33"/>
  <c r="D18" i="28"/>
  <c r="V55" i="28"/>
  <c r="U18" i="28"/>
  <c r="A25" i="40"/>
  <c r="R18" i="40"/>
  <c r="B17" i="40"/>
  <c r="Z43" i="33"/>
  <c r="V52" i="28"/>
  <c r="R28" i="28"/>
  <c r="D17" i="28"/>
  <c r="R44" i="33"/>
  <c r="P37" i="28"/>
  <c r="D3" i="15"/>
  <c r="R18" i="28"/>
  <c r="V31" i="15"/>
  <c r="P44" i="28"/>
  <c r="D40" i="15"/>
  <c r="U14" i="40"/>
  <c r="S6" i="40"/>
  <c r="U4" i="40"/>
  <c r="U42" i="33"/>
  <c r="R51" i="28"/>
  <c r="A21" i="40"/>
  <c r="R5" i="15"/>
  <c r="D37" i="28"/>
  <c r="R28" i="40"/>
  <c r="P46" i="28"/>
  <c r="S14" i="28"/>
  <c r="V40" i="28"/>
  <c r="B48" i="28"/>
  <c r="U32" i="28"/>
  <c r="U29" i="15"/>
  <c r="A41" i="28"/>
  <c r="P17" i="15"/>
  <c r="V34" i="15"/>
  <c r="R4" i="40"/>
  <c r="AB38" i="33"/>
  <c r="S27" i="40"/>
  <c r="U36" i="33"/>
  <c r="P36" i="15"/>
  <c r="R38" i="33"/>
  <c r="R31" i="28"/>
  <c r="P4" i="15"/>
  <c r="S45" i="28"/>
  <c r="S11" i="15"/>
  <c r="U7" i="15"/>
  <c r="R39" i="15"/>
  <c r="V38" i="28"/>
  <c r="A18" i="15"/>
  <c r="R32" i="15"/>
  <c r="U45" i="28"/>
  <c r="V4" i="15"/>
  <c r="U5" i="15"/>
  <c r="U38" i="15"/>
  <c r="D32" i="15"/>
  <c r="D24" i="28"/>
  <c r="V37" i="33"/>
  <c r="R43" i="33"/>
  <c r="B33" i="15"/>
  <c r="AA35" i="33"/>
  <c r="B24" i="15"/>
  <c r="S36" i="28"/>
  <c r="B22" i="28"/>
  <c r="B32" i="15"/>
  <c r="U12" i="15"/>
  <c r="S9" i="15"/>
  <c r="D22" i="28"/>
  <c r="U16" i="40"/>
  <c r="V44" i="28"/>
  <c r="B2" i="40"/>
  <c r="U6" i="15"/>
  <c r="S26" i="40"/>
  <c r="V26" i="40"/>
  <c r="S43" i="33"/>
  <c r="A51" i="28"/>
  <c r="V11" i="28"/>
  <c r="Z38" i="33"/>
  <c r="S5" i="15"/>
  <c r="U8" i="40"/>
  <c r="D46" i="28"/>
  <c r="R45" i="28"/>
  <c r="B30" i="40"/>
  <c r="V37" i="15"/>
  <c r="B11" i="40"/>
  <c r="AA40" i="33"/>
  <c r="S28" i="15"/>
  <c r="B38" i="15"/>
  <c r="A5" i="15"/>
  <c r="U17" i="28"/>
  <c r="P27" i="28"/>
  <c r="D37" i="15"/>
  <c r="S47" i="28"/>
  <c r="P14" i="28"/>
  <c r="A27" i="28"/>
  <c r="A30" i="40"/>
  <c r="D17" i="15"/>
  <c r="A2" i="40"/>
  <c r="D14" i="28"/>
  <c r="S25" i="28"/>
  <c r="Y38" i="33"/>
  <c r="B24" i="28"/>
  <c r="P19" i="15"/>
  <c r="B9" i="40"/>
  <c r="R3" i="15"/>
  <c r="R13" i="28"/>
  <c r="U35" i="15"/>
  <c r="R25" i="40"/>
  <c r="U22" i="40"/>
  <c r="P43" i="28"/>
  <c r="U22" i="28"/>
  <c r="U49" i="28"/>
  <c r="B39" i="28"/>
  <c r="U24" i="40"/>
  <c r="S8" i="15"/>
  <c r="A28" i="15"/>
  <c r="B46" i="28"/>
  <c r="S27" i="28"/>
  <c r="D26" i="15"/>
  <c r="A10" i="15"/>
  <c r="U24" i="15"/>
  <c r="D34" i="15"/>
  <c r="D2" i="15"/>
  <c r="U42" i="15"/>
  <c r="Z42" i="33"/>
  <c r="D49" i="28"/>
  <c r="D19" i="40"/>
  <c r="AA36" i="33"/>
  <c r="B15" i="28"/>
  <c r="A33" i="28"/>
  <c r="B49" i="28"/>
  <c r="R26" i="15"/>
  <c r="R11" i="28"/>
  <c r="P15" i="28"/>
  <c r="D33" i="15"/>
  <c r="D28" i="15"/>
  <c r="B11" i="15"/>
  <c r="S11" i="40"/>
  <c r="S42" i="15"/>
  <c r="P42" i="15"/>
  <c r="R23" i="15"/>
  <c r="R17" i="28"/>
  <c r="T36" i="33"/>
  <c r="P10" i="15"/>
  <c r="V25" i="28"/>
  <c r="S20" i="15"/>
  <c r="R7" i="40"/>
  <c r="A22" i="40"/>
  <c r="D21" i="40"/>
  <c r="S15" i="40"/>
  <c r="U26" i="15"/>
  <c r="B45" i="28"/>
  <c r="R13" i="15"/>
  <c r="U15" i="15"/>
  <c r="V13" i="15"/>
  <c r="AB34" i="33"/>
  <c r="V29" i="15"/>
  <c r="V16" i="40"/>
  <c r="A17" i="15"/>
  <c r="AA42" i="33"/>
  <c r="W44" i="33"/>
  <c r="Z37" i="33"/>
  <c r="S39" i="15"/>
  <c r="P29" i="15"/>
  <c r="Z39" i="33"/>
  <c r="Y37" i="33"/>
  <c r="V5" i="15"/>
  <c r="U15" i="28"/>
  <c r="A12" i="28"/>
  <c r="A14" i="15"/>
  <c r="B37" i="15"/>
  <c r="B27" i="40"/>
  <c r="P13" i="28"/>
  <c r="T37" i="33"/>
  <c r="S21" i="28"/>
  <c r="R33" i="15"/>
  <c r="U13" i="15"/>
  <c r="V2" i="40"/>
  <c r="D29" i="15"/>
  <c r="P25" i="28"/>
  <c r="Z36" i="33"/>
  <c r="B21" i="15"/>
  <c r="P26" i="28"/>
  <c r="U17" i="15"/>
  <c r="U38" i="28"/>
  <c r="R38" i="15"/>
  <c r="A10" i="40"/>
  <c r="R23" i="40"/>
  <c r="D9" i="15"/>
  <c r="B41" i="15"/>
  <c r="R16" i="15"/>
  <c r="S13" i="15"/>
  <c r="B34" i="15"/>
  <c r="R35" i="15"/>
  <c r="V21" i="15"/>
  <c r="AA43" i="33"/>
  <c r="S41" i="28"/>
  <c r="P16" i="28"/>
  <c r="R33" i="28"/>
  <c r="W41" i="33"/>
  <c r="U14" i="15"/>
  <c r="P50" i="28"/>
  <c r="D26" i="40"/>
  <c r="V40" i="33"/>
  <c r="V22" i="28"/>
  <c r="A34" i="15"/>
  <c r="V19" i="15"/>
  <c r="U43" i="33"/>
  <c r="A27" i="15"/>
  <c r="U50" i="28"/>
  <c r="A13" i="28"/>
  <c r="R22" i="15"/>
  <c r="R20" i="28"/>
  <c r="V39" i="33"/>
  <c r="B4" i="40"/>
  <c r="U4" i="15"/>
  <c r="R29" i="40"/>
  <c r="S34" i="15"/>
  <c r="D14" i="15"/>
  <c r="R44" i="28"/>
  <c r="R29" i="28"/>
  <c r="U36" i="15"/>
  <c r="V27" i="40"/>
  <c r="AB44" i="33"/>
  <c r="U23" i="15"/>
  <c r="B13" i="15"/>
  <c r="D39" i="28"/>
  <c r="S23" i="40"/>
  <c r="R30" i="40"/>
  <c r="R21" i="15"/>
  <c r="V12" i="40"/>
  <c r="U41" i="15"/>
  <c r="R15" i="15"/>
  <c r="U19" i="40"/>
  <c r="V12" i="15"/>
  <c r="A38" i="15"/>
  <c r="U31" i="28"/>
  <c r="B4" i="15"/>
  <c r="R25" i="28"/>
  <c r="D5" i="40"/>
  <c r="S8" i="40"/>
  <c r="P19" i="28"/>
  <c r="AB43" i="33"/>
  <c r="V24" i="15"/>
  <c r="D21" i="15"/>
  <c r="D18" i="40"/>
  <c r="S38" i="15"/>
  <c r="B20" i="15"/>
  <c r="S42" i="33"/>
  <c r="V16" i="28"/>
  <c r="S30" i="40"/>
  <c r="B41" i="28"/>
  <c r="A17" i="40"/>
  <c r="D13" i="40"/>
  <c r="A4" i="40"/>
  <c r="R23" i="28"/>
  <c r="B13" i="28"/>
  <c r="B35" i="28"/>
  <c r="R12" i="15"/>
  <c r="D14" i="40"/>
  <c r="T42" i="33"/>
  <c r="U23" i="28"/>
  <c r="B28" i="28"/>
  <c r="D41" i="15"/>
  <c r="V21" i="40"/>
  <c r="V8" i="40"/>
  <c r="P12" i="28"/>
  <c r="R20" i="40"/>
  <c r="U11" i="28"/>
  <c r="V40" i="15"/>
  <c r="U11" i="40"/>
  <c r="A38" i="28"/>
  <c r="A31" i="28"/>
  <c r="U26" i="40"/>
  <c r="T40" i="33"/>
  <c r="S4" i="40"/>
  <c r="P16" i="15"/>
  <c r="R32" i="28"/>
  <c r="A48" i="28"/>
  <c r="D12" i="28"/>
  <c r="V18" i="28"/>
  <c r="P7" i="15"/>
  <c r="A7" i="15"/>
  <c r="S31" i="28"/>
  <c r="V6" i="15"/>
  <c r="R13" i="40"/>
  <c r="V7" i="40"/>
  <c r="D23" i="15"/>
  <c r="V10" i="40"/>
  <c r="R14" i="40"/>
  <c r="B23" i="40"/>
  <c r="R9" i="15"/>
  <c r="B42" i="28"/>
  <c r="U25" i="15"/>
  <c r="V41" i="33"/>
  <c r="P29" i="28"/>
  <c r="B18" i="28"/>
  <c r="D47" i="28"/>
  <c r="V20" i="40"/>
  <c r="P18" i="15"/>
  <c r="B33" i="28"/>
  <c r="A50" i="28"/>
  <c r="P32" i="15"/>
  <c r="S29" i="15"/>
  <c r="D38" i="28"/>
  <c r="U18" i="15"/>
  <c r="R37" i="15"/>
  <c r="R19" i="40"/>
  <c r="R3" i="40"/>
  <c r="A16" i="40"/>
  <c r="U3" i="15"/>
  <c r="B12" i="15"/>
  <c r="U35" i="28"/>
  <c r="R12" i="40"/>
  <c r="AB35" i="33"/>
  <c r="A14" i="28"/>
  <c r="R15" i="28"/>
  <c r="S50" i="28"/>
  <c r="D35" i="28"/>
  <c r="U34" i="28"/>
  <c r="B27" i="15"/>
  <c r="D50" i="28"/>
  <c r="B27" i="28"/>
  <c r="A6" i="40"/>
  <c r="V35" i="28"/>
  <c r="S35" i="28"/>
  <c r="P23" i="28"/>
  <c r="T39" i="33"/>
  <c r="V39" i="28"/>
  <c r="S12" i="40"/>
  <c r="U35" i="33"/>
  <c r="B25" i="28"/>
  <c r="S22" i="40"/>
  <c r="W43" i="33"/>
  <c r="V14" i="15"/>
  <c r="S28" i="40"/>
  <c r="A12" i="15"/>
  <c r="S33" i="28"/>
  <c r="P22" i="15"/>
  <c r="Z44" i="33"/>
  <c r="A18" i="40"/>
  <c r="A25" i="15"/>
  <c r="V6" i="40"/>
  <c r="U30" i="40"/>
  <c r="R42" i="33"/>
  <c r="V20" i="28"/>
  <c r="R14" i="15"/>
  <c r="A26" i="15"/>
  <c r="A28" i="40"/>
  <c r="S23" i="15"/>
  <c r="U16" i="15"/>
  <c r="A9" i="15"/>
  <c r="R40" i="15"/>
  <c r="U27" i="15"/>
  <c r="U29" i="40"/>
  <c r="A21" i="28"/>
  <c r="V58" i="28"/>
  <c r="S15" i="15"/>
  <c r="D16" i="15"/>
  <c r="U9" i="15"/>
  <c r="V7" i="15"/>
  <c r="R27" i="40"/>
  <c r="S23" i="28"/>
  <c r="B50" i="28"/>
  <c r="S12" i="15"/>
  <c r="U2" i="40"/>
  <c r="V49" i="28"/>
  <c r="B14" i="40"/>
  <c r="B25" i="40"/>
  <c r="B36" i="15"/>
  <c r="D30" i="40"/>
  <c r="T38" i="33"/>
  <c r="A33" i="15"/>
  <c r="W37" i="33"/>
  <c r="D3" i="40"/>
  <c r="P8" i="15"/>
  <c r="D30" i="15"/>
  <c r="B5" i="15"/>
  <c r="D13" i="28"/>
  <c r="R19" i="15"/>
  <c r="S40" i="33"/>
  <c r="V13" i="28"/>
  <c r="V28" i="15"/>
  <c r="D24" i="15"/>
  <c r="A40" i="15"/>
  <c r="V35" i="15"/>
  <c r="R43" i="28"/>
  <c r="D27" i="15"/>
  <c r="S19" i="15"/>
  <c r="R17" i="15"/>
  <c r="X42" i="33"/>
  <c r="S35" i="15"/>
  <c r="B16" i="40"/>
  <c r="V37" i="28"/>
  <c r="D26" i="28"/>
  <c r="S35" i="33"/>
  <c r="A3" i="40"/>
  <c r="R26" i="40"/>
  <c r="P42" i="28"/>
  <c r="R10" i="15"/>
  <c r="Y39" i="33"/>
  <c r="Z35" i="33"/>
  <c r="D20" i="28"/>
  <c r="U27" i="28"/>
  <c r="B37" i="28"/>
  <c r="A24" i="40"/>
  <c r="S16" i="28"/>
  <c r="D15" i="40"/>
  <c r="A42" i="28"/>
  <c r="R9" i="40"/>
  <c r="V36" i="15"/>
  <c r="A24" i="15"/>
  <c r="B39" i="15"/>
  <c r="D39" i="15"/>
  <c r="P37" i="15"/>
  <c r="P28" i="15"/>
  <c r="P21" i="15"/>
  <c r="P14" i="15"/>
  <c r="V30" i="40"/>
  <c r="U22" i="15"/>
  <c r="V24" i="40"/>
  <c r="B12" i="40"/>
  <c r="S38" i="28"/>
  <c r="B19" i="15"/>
  <c r="D32" i="28"/>
  <c r="AA34" i="33"/>
  <c r="B31" i="28"/>
  <c r="D24" i="40"/>
  <c r="U28" i="15"/>
  <c r="A19" i="15"/>
  <c r="A37" i="28"/>
  <c r="D35" i="15"/>
  <c r="R41" i="15"/>
  <c r="U31" i="15"/>
  <c r="X34" i="33"/>
  <c r="P34" i="28"/>
  <c r="A47" i="28"/>
  <c r="A13" i="40"/>
  <c r="D15" i="15"/>
  <c r="A16" i="28"/>
  <c r="B43" i="28"/>
  <c r="D21" i="28"/>
  <c r="P22" i="28"/>
  <c r="A3" i="15"/>
  <c r="V42" i="15"/>
  <c r="D25" i="28"/>
  <c r="P36" i="28"/>
  <c r="A20" i="15"/>
  <c r="D10" i="40"/>
  <c r="A22" i="28"/>
  <c r="R4" i="15"/>
  <c r="A13" i="15"/>
  <c r="V9" i="40"/>
  <c r="A23" i="40"/>
  <c r="A46" i="28"/>
  <c r="AB36" i="33"/>
  <c r="D40" i="28"/>
  <c r="V23" i="15"/>
  <c r="S10" i="40"/>
  <c r="V41" i="28"/>
  <c r="T44" i="33"/>
  <c r="S22" i="15"/>
  <c r="V42" i="28"/>
  <c r="P35" i="28"/>
  <c r="U12" i="28"/>
  <c r="R11" i="40"/>
  <c r="S44" i="33"/>
  <c r="A15" i="15"/>
  <c r="A42" i="15"/>
  <c r="B2" i="15"/>
  <c r="V23" i="40"/>
  <c r="D22" i="40"/>
  <c r="U13" i="40"/>
  <c r="R22" i="28"/>
  <c r="R30" i="15"/>
  <c r="V26" i="28"/>
  <c r="R5" i="40"/>
  <c r="V46" i="28"/>
  <c r="B28" i="40"/>
  <c r="P24" i="28"/>
  <c r="A36" i="15"/>
  <c r="U10" i="40"/>
  <c r="AA39" i="33"/>
  <c r="V3" i="40"/>
  <c r="S46" i="28"/>
  <c r="S28" i="28"/>
  <c r="S13" i="40"/>
  <c r="V3" i="15"/>
  <c r="V14" i="40"/>
  <c r="W35" i="33"/>
  <c r="S32" i="28"/>
  <c r="R18" i="15"/>
  <c r="B8" i="15"/>
  <c r="B34" i="28"/>
  <c r="S42" i="28"/>
  <c r="A11" i="15"/>
  <c r="A45" i="28"/>
  <c r="V2" i="15"/>
  <c r="V29" i="40"/>
  <c r="V27" i="15"/>
  <c r="Y40" i="33"/>
  <c r="S14" i="40"/>
  <c r="P41" i="28"/>
  <c r="B14" i="15"/>
  <c r="R24" i="40"/>
  <c r="U33" i="15"/>
  <c r="S37" i="15"/>
  <c r="B10" i="40"/>
  <c r="S26" i="28"/>
  <c r="B21" i="40"/>
  <c r="A30" i="15"/>
  <c r="A29" i="15"/>
  <c r="V30" i="15"/>
  <c r="V38" i="15"/>
  <c r="A27" i="40"/>
  <c r="P24" i="15"/>
  <c r="V11" i="15"/>
  <c r="P17" i="28"/>
  <c r="S30" i="15"/>
  <c r="U7" i="40"/>
  <c r="D43" i="28"/>
  <c r="P40" i="28"/>
  <c r="S39" i="33"/>
  <c r="R36" i="33"/>
  <c r="B32" i="28"/>
  <c r="D31" i="28"/>
  <c r="X40" i="33"/>
  <c r="B38" i="28"/>
  <c r="P47" i="28"/>
  <c r="B20" i="40"/>
  <c r="R42" i="15"/>
  <c r="B44" i="28"/>
  <c r="V27" i="28"/>
  <c r="AB42" i="33"/>
  <c r="W39" i="33"/>
  <c r="A39" i="28"/>
  <c r="P12" i="15"/>
  <c r="P25" i="15"/>
  <c r="D8" i="15"/>
  <c r="V12" i="28"/>
  <c r="S22" i="28"/>
  <c r="S10" i="15"/>
  <c r="R48" i="28"/>
  <c r="S29" i="40"/>
  <c r="R20" i="15"/>
  <c r="R2" i="15"/>
  <c r="S40" i="28"/>
  <c r="U25" i="40"/>
  <c r="A44" i="28"/>
  <c r="A9" i="40"/>
  <c r="P2" i="40"/>
  <c r="S25" i="15"/>
  <c r="D15" i="28"/>
  <c r="U14" i="28"/>
  <c r="A21" i="15"/>
  <c r="X38" i="33"/>
  <c r="A34" i="28"/>
  <c r="A30" i="28"/>
  <c r="P38" i="15"/>
  <c r="V17" i="40"/>
  <c r="D12" i="40"/>
  <c r="U20" i="15"/>
  <c r="U37" i="33"/>
  <c r="U42" i="28"/>
  <c r="V41" i="15"/>
  <c r="W34" i="33"/>
  <c r="A23" i="15"/>
  <c r="V51" i="28"/>
  <c r="D25" i="40"/>
  <c r="S7" i="40"/>
  <c r="V39" i="15"/>
  <c r="S36" i="33"/>
  <c r="U29" i="28"/>
  <c r="AA44" i="33"/>
  <c r="U39" i="33"/>
  <c r="R16" i="28"/>
  <c r="V48" i="28"/>
  <c r="X36" i="33"/>
  <c r="AB37" i="33"/>
  <c r="A29" i="40"/>
  <c r="V34" i="33"/>
  <c r="P27" i="15"/>
  <c r="Y44" i="33"/>
  <c r="Y34" i="33"/>
  <c r="B28" i="15"/>
  <c r="U19" i="28"/>
  <c r="V22" i="15"/>
  <c r="D36" i="28"/>
  <c r="V8" i="15"/>
  <c r="D25" i="15"/>
  <c r="D13" i="15"/>
  <c r="U43" i="28"/>
  <c r="A39" i="15"/>
  <c r="P49" i="28"/>
  <c r="D17" i="40"/>
  <c r="B31" i="15"/>
  <c r="Y42" i="33"/>
  <c r="B12" i="28"/>
  <c r="U21" i="15"/>
  <c r="U32" i="15"/>
  <c r="D19" i="28"/>
  <c r="S44" i="28"/>
  <c r="S32" i="15"/>
  <c r="S3" i="40"/>
  <c r="U6" i="40"/>
  <c r="R24" i="15"/>
  <c r="Z41" i="33"/>
  <c r="R22" i="40"/>
  <c r="V43" i="33"/>
  <c r="D23" i="28"/>
  <c r="U48" i="28"/>
  <c r="S24" i="28"/>
  <c r="V45" i="28"/>
  <c r="A7" i="40"/>
  <c r="P26" i="15"/>
  <c r="P18" i="28"/>
  <c r="D27" i="28"/>
  <c r="V20" i="15"/>
  <c r="AC29" i="33"/>
  <c r="AA41" i="33"/>
  <c r="U26" i="28"/>
  <c r="B8" i="40"/>
  <c r="S17" i="40"/>
  <c r="A35" i="15"/>
  <c r="S31" i="15"/>
  <c r="D48" i="28"/>
  <c r="G56" i="27" l="1"/>
  <c r="J52" i="27"/>
  <c r="H50" i="27"/>
  <c r="L9" i="30"/>
  <c r="K48" i="27"/>
  <c r="G51" i="27"/>
  <c r="G64" i="27"/>
  <c r="J51" i="27"/>
  <c r="G55" i="27"/>
  <c r="J50" i="27"/>
  <c r="K55" i="27"/>
  <c r="K64" i="27"/>
  <c r="H47" i="27"/>
  <c r="H55" i="27"/>
  <c r="G48" i="27"/>
  <c r="K49" i="27"/>
  <c r="J53" i="27"/>
  <c r="H61" i="27"/>
  <c r="K53" i="27"/>
  <c r="H62" i="27"/>
  <c r="G49" i="27"/>
  <c r="J48" i="27"/>
  <c r="G63" i="27"/>
  <c r="G54" i="27"/>
  <c r="J47" i="27"/>
  <c r="R2" i="28"/>
  <c r="K50" i="27"/>
  <c r="K62" i="27"/>
  <c r="H64" i="27"/>
  <c r="H48" i="27"/>
  <c r="J54" i="27"/>
  <c r="K54" i="27"/>
  <c r="H49" i="27"/>
  <c r="H52" i="27"/>
  <c r="G53" i="27"/>
  <c r="K61" i="27"/>
  <c r="G61" i="27"/>
  <c r="G62" i="27"/>
  <c r="H63" i="27"/>
  <c r="K56" i="27"/>
  <c r="G47" i="27"/>
  <c r="H56" i="27"/>
  <c r="H53" i="27"/>
  <c r="J55" i="27"/>
  <c r="H54" i="27"/>
  <c r="J49" i="27"/>
  <c r="H51" i="27"/>
  <c r="G52" i="27"/>
  <c r="G57" i="27" s="1"/>
  <c r="K52" i="27"/>
  <c r="K51" i="27"/>
  <c r="C2" i="28"/>
  <c r="K63" i="27"/>
  <c r="K9" i="30"/>
  <c r="J56" i="27"/>
  <c r="D2" i="28"/>
  <c r="B2" i="28"/>
  <c r="B4" i="28" s="1"/>
  <c r="D4" i="28" s="1"/>
  <c r="G50" i="27"/>
  <c r="K47" i="27"/>
  <c r="M9" i="30"/>
  <c r="H65" i="27"/>
  <c r="I37" i="27"/>
  <c r="J37" i="27" s="1"/>
  <c r="H37" i="27"/>
  <c r="G37" i="27"/>
  <c r="E37" i="27"/>
  <c r="L37" i="27" s="1"/>
  <c r="C4" i="30"/>
  <c r="K4" i="30" s="1"/>
  <c r="Q37" i="27"/>
  <c r="P37" i="27"/>
  <c r="O37" i="27"/>
  <c r="N37" i="27"/>
  <c r="G65" i="27" l="1"/>
  <c r="H57" i="27"/>
  <c r="J57" i="27"/>
  <c r="G44" i="27" s="1"/>
  <c r="K65" i="27"/>
  <c r="K57" i="27"/>
  <c r="D44" i="27"/>
  <c r="E44" i="27"/>
  <c r="H5" i="27"/>
  <c r="H8" i="27" s="1"/>
  <c r="H44" i="27" l="1"/>
  <c r="Q2" i="27"/>
  <c r="N8" i="30" l="1"/>
  <c r="L8" i="31" l="1"/>
  <c r="K8" i="31"/>
  <c r="K7" i="31"/>
  <c r="J7" i="31"/>
  <c r="I7" i="31"/>
  <c r="H7" i="31"/>
  <c r="G7" i="31"/>
  <c r="F7" i="31"/>
  <c r="K5" i="31"/>
  <c r="J5" i="31"/>
  <c r="I5" i="31"/>
  <c r="H5" i="31"/>
  <c r="G5" i="31"/>
  <c r="F5" i="31"/>
  <c r="K3" i="31"/>
  <c r="J3" i="31"/>
  <c r="I3" i="31"/>
  <c r="H3" i="31"/>
  <c r="G3" i="31"/>
  <c r="F3" i="31"/>
  <c r="B4" i="31" l="1"/>
  <c r="L2" i="31"/>
  <c r="L6" i="31"/>
  <c r="L4" i="31"/>
  <c r="C7" i="20"/>
  <c r="C8" i="20" s="1"/>
  <c r="C9" i="20" s="1"/>
  <c r="C10" i="20" s="1"/>
  <c r="C11" i="20" s="1"/>
  <c r="C12" i="20" s="1"/>
  <c r="C13" i="20" s="1"/>
  <c r="C14" i="20" s="1"/>
  <c r="C15" i="20" s="1"/>
  <c r="C16" i="20" s="1"/>
  <c r="W20" i="22"/>
  <c r="W19" i="22"/>
  <c r="W18" i="22"/>
  <c r="W17" i="22"/>
  <c r="W16" i="22"/>
  <c r="W15" i="22"/>
  <c r="W14" i="22"/>
  <c r="W13" i="22"/>
  <c r="W12" i="22"/>
  <c r="W11" i="22"/>
  <c r="Y10" i="22"/>
  <c r="Z10" i="22" s="1"/>
  <c r="AA10" i="22" s="1"/>
  <c r="AB10" i="22" s="1"/>
  <c r="AC10" i="22" s="1"/>
  <c r="AD10" i="22" s="1"/>
  <c r="AE10" i="22" s="1"/>
  <c r="AF10" i="22" s="1"/>
  <c r="AG10" i="22" s="1"/>
  <c r="AH10" i="22" s="1"/>
  <c r="AI10" i="22" s="1"/>
  <c r="AJ10" i="22" s="1"/>
  <c r="K7" i="22"/>
  <c r="J7" i="22"/>
  <c r="I7" i="22"/>
  <c r="H7" i="22"/>
  <c r="G7" i="22"/>
  <c r="F7" i="22"/>
  <c r="K5" i="22"/>
  <c r="J5" i="22"/>
  <c r="I5" i="22"/>
  <c r="H5" i="22"/>
  <c r="G5" i="22"/>
  <c r="F5" i="22"/>
  <c r="K3" i="22"/>
  <c r="J3" i="22"/>
  <c r="I3" i="22"/>
  <c r="H3" i="22"/>
  <c r="G3" i="22"/>
  <c r="F3" i="22"/>
  <c r="Y2" i="22"/>
  <c r="W2" i="22"/>
  <c r="U2" i="22"/>
  <c r="S2" i="22" s="1"/>
  <c r="B3" i="22"/>
  <c r="E2" i="22"/>
  <c r="E2" i="31"/>
  <c r="J11" i="31"/>
  <c r="J12" i="31" s="1"/>
  <c r="J13" i="31" s="1"/>
  <c r="J14" i="31" s="1"/>
  <c r="J15" i="31" s="1"/>
  <c r="J16" i="31" s="1"/>
  <c r="J17" i="31" s="1"/>
  <c r="J18" i="31" s="1"/>
  <c r="J19" i="31" s="1"/>
  <c r="AE9" i="31"/>
  <c r="AF9" i="31" s="1"/>
  <c r="Q8" i="31"/>
  <c r="Q4" i="31"/>
  <c r="B3" i="31"/>
  <c r="Y2" i="31"/>
  <c r="U2" i="31"/>
  <c r="S2" i="31" s="1"/>
  <c r="P2" i="31"/>
  <c r="O8" i="30"/>
  <c r="G8" i="30"/>
  <c r="C8" i="30"/>
  <c r="R8" i="30" s="1"/>
  <c r="O7" i="30"/>
  <c r="N7" i="30"/>
  <c r="G7" i="30"/>
  <c r="C7" i="30"/>
  <c r="R7" i="30" s="1"/>
  <c r="O6" i="30"/>
  <c r="N6" i="30"/>
  <c r="G6" i="30"/>
  <c r="C6" i="30"/>
  <c r="R6" i="30" s="1"/>
  <c r="O5" i="30"/>
  <c r="N5" i="30"/>
  <c r="G5" i="30"/>
  <c r="C5" i="30"/>
  <c r="R5" i="30" s="1"/>
  <c r="I36" i="27"/>
  <c r="J36" i="27" s="1"/>
  <c r="H36" i="27"/>
  <c r="G36" i="27"/>
  <c r="E36" i="27"/>
  <c r="L36" i="27" s="1"/>
  <c r="M16" i="27"/>
  <c r="K16" i="27"/>
  <c r="M21" i="27"/>
  <c r="I21" i="27"/>
  <c r="J21" i="27" s="1"/>
  <c r="I19" i="27"/>
  <c r="J19" i="27" s="1"/>
  <c r="I22" i="27"/>
  <c r="J22" i="27" s="1"/>
  <c r="H22" i="27"/>
  <c r="G22" i="27"/>
  <c r="I17" i="27"/>
  <c r="J17" i="27" s="1"/>
  <c r="I15" i="27"/>
  <c r="J15" i="27" s="1"/>
  <c r="G5" i="27"/>
  <c r="AE32" i="31"/>
  <c r="AF37" i="31"/>
  <c r="AE40" i="31"/>
  <c r="AF35" i="31"/>
  <c r="AF45" i="31"/>
  <c r="AE38" i="31"/>
  <c r="AF36" i="31"/>
  <c r="AE34" i="31"/>
  <c r="O17" i="27"/>
  <c r="AE42" i="31"/>
  <c r="AE37" i="31"/>
  <c r="AE31" i="31"/>
  <c r="AE39" i="31"/>
  <c r="AF38" i="31"/>
  <c r="AE41" i="31"/>
  <c r="AE43" i="31"/>
  <c r="AE36" i="31"/>
  <c r="Q36" i="27"/>
  <c r="AE33" i="31"/>
  <c r="AF33" i="31"/>
  <c r="AF40" i="31"/>
  <c r="AF32" i="31"/>
  <c r="AF42" i="31"/>
  <c r="Q15" i="27"/>
  <c r="AF31" i="31"/>
  <c r="N19" i="27"/>
  <c r="AE45" i="31"/>
  <c r="AF43" i="31"/>
  <c r="AE44" i="31"/>
  <c r="O22" i="27"/>
  <c r="AE35" i="31"/>
  <c r="AF34" i="31"/>
  <c r="AF44" i="31"/>
  <c r="AF41" i="31"/>
  <c r="AF39" i="31"/>
  <c r="Q22" i="27"/>
  <c r="I7" i="30"/>
  <c r="I8" i="30"/>
  <c r="G8" i="27" l="1"/>
  <c r="I2" i="27" s="1"/>
  <c r="O8" i="31"/>
  <c r="N8" i="31"/>
  <c r="O6" i="31"/>
  <c r="N6" i="31"/>
  <c r="O4" i="31"/>
  <c r="N4" i="31"/>
  <c r="O2" i="31"/>
  <c r="N2" i="31"/>
  <c r="J20" i="31"/>
  <c r="J21" i="31" s="1"/>
  <c r="J22" i="31" s="1"/>
  <c r="J23" i="31" s="1"/>
  <c r="J24" i="31" s="1"/>
  <c r="J25" i="31" s="1"/>
  <c r="J26" i="31" s="1"/>
  <c r="J27" i="31" s="1"/>
  <c r="J28" i="31" s="1"/>
  <c r="J29" i="31" s="1"/>
  <c r="J30" i="31" s="1"/>
  <c r="J31" i="31" s="1"/>
  <c r="N2" i="22"/>
  <c r="I16" i="27"/>
  <c r="J16" i="27" s="1"/>
  <c r="H23" i="27"/>
  <c r="I18" i="27"/>
  <c r="J18" i="27" s="1"/>
  <c r="I23" i="27"/>
  <c r="J23" i="27" s="1"/>
  <c r="K21" i="27"/>
  <c r="L2" i="22"/>
  <c r="L4" i="22"/>
  <c r="AE10" i="31"/>
  <c r="AD9" i="31"/>
  <c r="AC9" i="31" s="1"/>
  <c r="L6" i="22"/>
  <c r="AG9" i="31"/>
  <c r="AF10" i="31"/>
  <c r="P2" i="22"/>
  <c r="S11" i="20"/>
  <c r="M6" i="22"/>
  <c r="O6" i="22" s="1"/>
  <c r="Q4" i="22"/>
  <c r="O2" i="22"/>
  <c r="N4" i="22"/>
  <c r="O4" i="22"/>
  <c r="N22" i="31"/>
  <c r="P36" i="27"/>
  <c r="H17" i="31"/>
  <c r="O10" i="31"/>
  <c r="I12" i="31"/>
  <c r="H26" i="31"/>
  <c r="N13" i="31"/>
  <c r="O14" i="31"/>
  <c r="P15" i="27"/>
  <c r="I28" i="31"/>
  <c r="I20" i="31"/>
  <c r="O20" i="31"/>
  <c r="I13" i="31"/>
  <c r="O11" i="31"/>
  <c r="O23" i="27"/>
  <c r="N10" i="31"/>
  <c r="O18" i="31"/>
  <c r="H20" i="31"/>
  <c r="H15" i="31"/>
  <c r="H28" i="31"/>
  <c r="H24" i="31"/>
  <c r="O31" i="31"/>
  <c r="O15" i="31"/>
  <c r="N29" i="31"/>
  <c r="O21" i="31"/>
  <c r="H22" i="31"/>
  <c r="N27" i="31"/>
  <c r="H11" i="31"/>
  <c r="N15" i="31"/>
  <c r="O30" i="31"/>
  <c r="H23" i="31"/>
  <c r="N36" i="27"/>
  <c r="N18" i="31"/>
  <c r="N23" i="31"/>
  <c r="N16" i="31"/>
  <c r="N25" i="31"/>
  <c r="N19" i="31"/>
  <c r="H19" i="31"/>
  <c r="O19" i="31"/>
  <c r="H29" i="31"/>
  <c r="N12" i="31"/>
  <c r="H14" i="31"/>
  <c r="H16" i="31"/>
  <c r="I26" i="31"/>
  <c r="I14" i="31"/>
  <c r="I30" i="31"/>
  <c r="I31" i="31"/>
  <c r="N28" i="31"/>
  <c r="I15" i="31"/>
  <c r="H21" i="31"/>
  <c r="I19" i="31"/>
  <c r="H10" i="31"/>
  <c r="N24" i="31"/>
  <c r="O13" i="31"/>
  <c r="N15" i="27"/>
  <c r="O28" i="31"/>
  <c r="O23" i="31"/>
  <c r="O16" i="31"/>
  <c r="H18" i="31"/>
  <c r="O18" i="27"/>
  <c r="I16" i="31"/>
  <c r="I27" i="31"/>
  <c r="N17" i="27"/>
  <c r="O29" i="31"/>
  <c r="O12" i="31"/>
  <c r="O25" i="31"/>
  <c r="H30" i="31"/>
  <c r="N14" i="31"/>
  <c r="H31" i="31"/>
  <c r="O17" i="31"/>
  <c r="N11" i="31"/>
  <c r="N26" i="31"/>
  <c r="N20" i="31"/>
  <c r="I18" i="31"/>
  <c r="N30" i="31"/>
  <c r="O21" i="27"/>
  <c r="O16" i="27"/>
  <c r="P22" i="27"/>
  <c r="H12" i="31"/>
  <c r="H27" i="31"/>
  <c r="I22" i="31"/>
  <c r="I24" i="31"/>
  <c r="O15" i="27"/>
  <c r="P17" i="27"/>
  <c r="O27" i="31"/>
  <c r="N17" i="31"/>
  <c r="O36" i="27"/>
  <c r="O26" i="31"/>
  <c r="N31" i="31"/>
  <c r="H13" i="31"/>
  <c r="H25" i="31"/>
  <c r="I11" i="31"/>
  <c r="I21" i="31"/>
  <c r="I10" i="31"/>
  <c r="I25" i="31"/>
  <c r="O24" i="31"/>
  <c r="N21" i="31"/>
  <c r="I23" i="31"/>
  <c r="O22" i="31"/>
  <c r="I29" i="31"/>
  <c r="I17" i="31"/>
  <c r="O40" i="22"/>
  <c r="O42" i="22"/>
  <c r="H40" i="22"/>
  <c r="O41" i="22"/>
  <c r="B40" i="22"/>
  <c r="I41" i="22"/>
  <c r="H39" i="22"/>
  <c r="O39" i="22"/>
  <c r="O38" i="22"/>
  <c r="N42" i="22"/>
  <c r="H42" i="22"/>
  <c r="N41" i="22"/>
  <c r="P41" i="22" s="1"/>
  <c r="N38" i="22"/>
  <c r="N39" i="22"/>
  <c r="I39" i="22"/>
  <c r="N40" i="22"/>
  <c r="R41" i="22"/>
  <c r="I38" i="22"/>
  <c r="H41" i="22"/>
  <c r="H38" i="22"/>
  <c r="B38" i="22" s="1"/>
  <c r="S39" i="22"/>
  <c r="I42" i="22"/>
  <c r="I40" i="22"/>
  <c r="O40" i="27" l="1"/>
  <c r="T11" i="20"/>
  <c r="U11" i="20"/>
  <c r="P40" i="27"/>
  <c r="J32" i="31"/>
  <c r="E8" i="31"/>
  <c r="Q40" i="27"/>
  <c r="N6" i="22"/>
  <c r="AD10" i="31"/>
  <c r="AC10" i="31"/>
  <c r="AB9" i="31"/>
  <c r="AG10" i="31"/>
  <c r="AH9" i="31"/>
  <c r="S12" i="20"/>
  <c r="S10" i="20"/>
  <c r="D10" i="20"/>
  <c r="D12" i="20"/>
  <c r="Q19" i="27"/>
  <c r="H21" i="22"/>
  <c r="N32" i="31"/>
  <c r="H17" i="22"/>
  <c r="P23" i="27"/>
  <c r="Q17" i="27"/>
  <c r="B10" i="31"/>
  <c r="I32" i="31"/>
  <c r="AF20" i="31"/>
  <c r="H32" i="31"/>
  <c r="N23" i="27"/>
  <c r="S27" i="31"/>
  <c r="Q23" i="27"/>
  <c r="N18" i="27"/>
  <c r="Q18" i="27"/>
  <c r="I21" i="22"/>
  <c r="O19" i="27"/>
  <c r="P18" i="27"/>
  <c r="O32" i="31"/>
  <c r="N22" i="27"/>
  <c r="AE13" i="31"/>
  <c r="P26" i="31"/>
  <c r="A22" i="31"/>
  <c r="P19" i="27"/>
  <c r="P29" i="31"/>
  <c r="S40" i="22"/>
  <c r="A40" i="22"/>
  <c r="P40" i="22"/>
  <c r="B41" i="22"/>
  <c r="O30" i="22"/>
  <c r="U40" i="22"/>
  <c r="P39" i="22"/>
  <c r="U39" i="22"/>
  <c r="V39" i="22"/>
  <c r="D40" i="22"/>
  <c r="A39" i="22"/>
  <c r="B42" i="22"/>
  <c r="A42" i="22"/>
  <c r="U38" i="22"/>
  <c r="V41" i="22"/>
  <c r="A41" i="22"/>
  <c r="D41" i="22"/>
  <c r="R38" i="22"/>
  <c r="M8" i="30"/>
  <c r="S41" i="22"/>
  <c r="V38" i="22"/>
  <c r="D42" i="22"/>
  <c r="D39" i="22"/>
  <c r="R40" i="22"/>
  <c r="S42" i="22"/>
  <c r="R42" i="22"/>
  <c r="S38" i="22"/>
  <c r="P38" i="22"/>
  <c r="U41" i="22"/>
  <c r="B39" i="22"/>
  <c r="N14" i="22"/>
  <c r="V40" i="22"/>
  <c r="R39" i="22"/>
  <c r="U42" i="22"/>
  <c r="V42" i="22"/>
  <c r="P42" i="22"/>
  <c r="A38" i="22"/>
  <c r="D38" i="22"/>
  <c r="O24" i="27" l="1"/>
  <c r="L2" i="27" s="1"/>
  <c r="E12" i="20"/>
  <c r="F12" i="20"/>
  <c r="F10" i="20"/>
  <c r="E10" i="20"/>
  <c r="T10" i="20"/>
  <c r="U10" i="20"/>
  <c r="T12" i="20"/>
  <c r="U12" i="20"/>
  <c r="J33" i="31"/>
  <c r="R25" i="31"/>
  <c r="H18" i="22"/>
  <c r="D31" i="31"/>
  <c r="A17" i="31"/>
  <c r="H12" i="22"/>
  <c r="AF29" i="31"/>
  <c r="P27" i="31"/>
  <c r="R13" i="31"/>
  <c r="AE11" i="31"/>
  <c r="D13" i="31"/>
  <c r="D24" i="31"/>
  <c r="A24" i="31"/>
  <c r="S25" i="31"/>
  <c r="R22" i="31"/>
  <c r="D18" i="31"/>
  <c r="A23" i="31"/>
  <c r="AF22" i="31"/>
  <c r="AF30" i="31"/>
  <c r="S19" i="31"/>
  <c r="A12" i="31"/>
  <c r="H19" i="22"/>
  <c r="H24" i="22"/>
  <c r="S28" i="31"/>
  <c r="I15" i="22"/>
  <c r="D12" i="31"/>
  <c r="AF24" i="31"/>
  <c r="P16" i="27"/>
  <c r="I33" i="31"/>
  <c r="N33" i="31"/>
  <c r="D27" i="31"/>
  <c r="D11" i="31"/>
  <c r="H15" i="22"/>
  <c r="A15" i="31"/>
  <c r="S24" i="31"/>
  <c r="S15" i="31"/>
  <c r="I23" i="22"/>
  <c r="R12" i="31"/>
  <c r="A14" i="31"/>
  <c r="P22" i="31"/>
  <c r="I14" i="22"/>
  <c r="S23" i="31"/>
  <c r="A25" i="31"/>
  <c r="AF21" i="31"/>
  <c r="AE27" i="31"/>
  <c r="I18" i="22"/>
  <c r="AE22" i="31"/>
  <c r="P15" i="31"/>
  <c r="D15" i="31"/>
  <c r="Q21" i="27"/>
  <c r="S17" i="31"/>
  <c r="AE24" i="31"/>
  <c r="I19" i="22"/>
  <c r="S18" i="31"/>
  <c r="D19" i="31"/>
  <c r="AF27" i="31"/>
  <c r="R21" i="31"/>
  <c r="R20" i="31"/>
  <c r="D32" i="31"/>
  <c r="R32" i="31"/>
  <c r="D16" i="31"/>
  <c r="P32" i="31"/>
  <c r="S21" i="31"/>
  <c r="P16" i="31"/>
  <c r="S14" i="31"/>
  <c r="AE23" i="31"/>
  <c r="A19" i="31"/>
  <c r="A21" i="31"/>
  <c r="AF11" i="31"/>
  <c r="D28" i="31"/>
  <c r="A20" i="31"/>
  <c r="A27" i="31"/>
  <c r="R31" i="31"/>
  <c r="A16" i="31"/>
  <c r="R16" i="31"/>
  <c r="S22" i="31"/>
  <c r="A11" i="31"/>
  <c r="I22" i="22"/>
  <c r="N16" i="27"/>
  <c r="A13" i="31"/>
  <c r="AE18" i="31"/>
  <c r="I16" i="22"/>
  <c r="AF28" i="31"/>
  <c r="AF17" i="31"/>
  <c r="P21" i="31"/>
  <c r="H14" i="22"/>
  <c r="AE25" i="31"/>
  <c r="I11" i="22"/>
  <c r="AE16" i="31"/>
  <c r="I12" i="22"/>
  <c r="AE19" i="31"/>
  <c r="S29" i="31"/>
  <c r="D10" i="31"/>
  <c r="AE28" i="31"/>
  <c r="P28" i="31"/>
  <c r="P19" i="31"/>
  <c r="AE30" i="31"/>
  <c r="P10" i="31"/>
  <c r="I17" i="22"/>
  <c r="P23" i="31"/>
  <c r="S26" i="31"/>
  <c r="S31" i="31"/>
  <c r="P13" i="31"/>
  <c r="R15" i="31"/>
  <c r="N21" i="27"/>
  <c r="AF19" i="31"/>
  <c r="R30" i="31"/>
  <c r="AF14" i="31"/>
  <c r="P17" i="31"/>
  <c r="AF18" i="31"/>
  <c r="H22" i="22"/>
  <c r="H20" i="22"/>
  <c r="P24" i="31"/>
  <c r="S12" i="31"/>
  <c r="AE14" i="31"/>
  <c r="AF23" i="31"/>
  <c r="AE21" i="31"/>
  <c r="P12" i="31"/>
  <c r="AE15" i="31"/>
  <c r="R17" i="31"/>
  <c r="I24" i="22"/>
  <c r="P20" i="31"/>
  <c r="S32" i="31"/>
  <c r="S11" i="31"/>
  <c r="R10" i="31"/>
  <c r="O33" i="31"/>
  <c r="A28" i="31"/>
  <c r="H33" i="31"/>
  <c r="AF12" i="31"/>
  <c r="R11" i="31"/>
  <c r="P21" i="27"/>
  <c r="D26" i="31"/>
  <c r="D17" i="31"/>
  <c r="A29" i="31"/>
  <c r="D25" i="31"/>
  <c r="A31" i="31"/>
  <c r="I13" i="22"/>
  <c r="AF13" i="31"/>
  <c r="AF15" i="31"/>
  <c r="AE12" i="31"/>
  <c r="P14" i="31"/>
  <c r="R24" i="31"/>
  <c r="R23" i="31"/>
  <c r="I20" i="22"/>
  <c r="D14" i="31"/>
  <c r="D20" i="31"/>
  <c r="H11" i="22"/>
  <c r="H13" i="22"/>
  <c r="A26" i="31"/>
  <c r="P11" i="31"/>
  <c r="A32" i="31"/>
  <c r="H16" i="22"/>
  <c r="D23" i="31"/>
  <c r="D22" i="31"/>
  <c r="S30" i="31"/>
  <c r="R19" i="31"/>
  <c r="AE20" i="31"/>
  <c r="AF25" i="31"/>
  <c r="S20" i="31"/>
  <c r="H23" i="22"/>
  <c r="AE26" i="31"/>
  <c r="AF26" i="31"/>
  <c r="D21" i="31"/>
  <c r="Q16" i="27"/>
  <c r="D29" i="31"/>
  <c r="R18" i="31"/>
  <c r="A30" i="31"/>
  <c r="AE17" i="31"/>
  <c r="D30" i="31"/>
  <c r="A18" i="31"/>
  <c r="S16" i="31"/>
  <c r="O32" i="22"/>
  <c r="I25" i="22"/>
  <c r="O18" i="22"/>
  <c r="I37" i="22"/>
  <c r="O37" i="22"/>
  <c r="N13" i="22"/>
  <c r="I36" i="22"/>
  <c r="N20" i="22"/>
  <c r="H35" i="22"/>
  <c r="I5" i="30"/>
  <c r="O35" i="22"/>
  <c r="N27" i="22"/>
  <c r="N18" i="22"/>
  <c r="I30" i="22"/>
  <c r="N34" i="22"/>
  <c r="H30" i="22"/>
  <c r="N29" i="22"/>
  <c r="O36" i="22"/>
  <c r="O11" i="22"/>
  <c r="H28" i="22"/>
  <c r="O28" i="22"/>
  <c r="I26" i="22"/>
  <c r="O15" i="22"/>
  <c r="H33" i="22"/>
  <c r="N17" i="22"/>
  <c r="O31" i="22"/>
  <c r="O26" i="22"/>
  <c r="N25" i="22"/>
  <c r="N37" i="22"/>
  <c r="O21" i="22"/>
  <c r="H32" i="22"/>
  <c r="O33" i="22"/>
  <c r="H26" i="22"/>
  <c r="I34" i="22"/>
  <c r="H29" i="22"/>
  <c r="O23" i="22"/>
  <c r="O22" i="22"/>
  <c r="O19" i="22"/>
  <c r="N33" i="22"/>
  <c r="N30" i="22"/>
  <c r="I28" i="22"/>
  <c r="I35" i="22"/>
  <c r="N28" i="22"/>
  <c r="M7" i="30"/>
  <c r="H37" i="22"/>
  <c r="H27" i="22"/>
  <c r="I31" i="22"/>
  <c r="O29" i="22"/>
  <c r="O27" i="22"/>
  <c r="O20" i="22"/>
  <c r="H31" i="22"/>
  <c r="N26" i="22"/>
  <c r="N11" i="22"/>
  <c r="N12" i="22"/>
  <c r="O12" i="22"/>
  <c r="O17" i="22"/>
  <c r="O14" i="22"/>
  <c r="N32" i="22"/>
  <c r="N35" i="22"/>
  <c r="I6" i="30"/>
  <c r="I32" i="22"/>
  <c r="N22" i="22"/>
  <c r="N31" i="22"/>
  <c r="N16" i="22"/>
  <c r="I33" i="22"/>
  <c r="N21" i="22"/>
  <c r="O34" i="22"/>
  <c r="N15" i="22"/>
  <c r="N23" i="22"/>
  <c r="O13" i="22"/>
  <c r="N24" i="22"/>
  <c r="O24" i="22"/>
  <c r="I29" i="22"/>
  <c r="H36" i="22"/>
  <c r="I27" i="22"/>
  <c r="O16" i="22"/>
  <c r="H34" i="22"/>
  <c r="N36" i="22"/>
  <c r="N19" i="22"/>
  <c r="O25" i="22"/>
  <c r="H25" i="22"/>
  <c r="P24" i="27" l="1"/>
  <c r="N24" i="27"/>
  <c r="E2" i="27" s="1"/>
  <c r="Q24" i="27"/>
  <c r="M2" i="27" s="1"/>
  <c r="J34" i="31"/>
  <c r="S13" i="20"/>
  <c r="S9" i="20"/>
  <c r="D9" i="20"/>
  <c r="D13" i="20"/>
  <c r="N40" i="27"/>
  <c r="G2" i="27" s="1"/>
  <c r="S8" i="31"/>
  <c r="AH10" i="31"/>
  <c r="AI9" i="31"/>
  <c r="AB10" i="31"/>
  <c r="AA9" i="31"/>
  <c r="C8" i="31"/>
  <c r="S33" i="31"/>
  <c r="H34" i="31"/>
  <c r="R33" i="31"/>
  <c r="N34" i="31"/>
  <c r="P33" i="31"/>
  <c r="I34" i="31"/>
  <c r="O34" i="31"/>
  <c r="D33" i="31"/>
  <c r="A33" i="31"/>
  <c r="R31" i="22"/>
  <c r="S35" i="22"/>
  <c r="S34" i="22"/>
  <c r="A36" i="22"/>
  <c r="D37" i="22"/>
  <c r="D32" i="22"/>
  <c r="R33" i="22"/>
  <c r="P35" i="22"/>
  <c r="D31" i="22"/>
  <c r="A37" i="22"/>
  <c r="Q6" i="30"/>
  <c r="B36" i="22"/>
  <c r="R35" i="22"/>
  <c r="P36" i="22"/>
  <c r="U36" i="22"/>
  <c r="D33" i="22"/>
  <c r="P34" i="22"/>
  <c r="V35" i="22"/>
  <c r="P31" i="22"/>
  <c r="U31" i="22"/>
  <c r="R37" i="22"/>
  <c r="V37" i="22"/>
  <c r="D34" i="22"/>
  <c r="V31" i="22"/>
  <c r="M6" i="30"/>
  <c r="R32" i="22"/>
  <c r="A32" i="22"/>
  <c r="M5" i="30"/>
  <c r="R34" i="22"/>
  <c r="P32" i="22"/>
  <c r="V33" i="22"/>
  <c r="P33" i="22"/>
  <c r="U33" i="22"/>
  <c r="U32" i="22"/>
  <c r="R36" i="22"/>
  <c r="B31" i="22"/>
  <c r="A34" i="22"/>
  <c r="A35" i="22"/>
  <c r="V32" i="22"/>
  <c r="B32" i="22"/>
  <c r="V34" i="22"/>
  <c r="U37" i="22"/>
  <c r="B37" i="22"/>
  <c r="P37" i="22"/>
  <c r="B33" i="22"/>
  <c r="A31" i="22"/>
  <c r="B34" i="22"/>
  <c r="D35" i="22"/>
  <c r="U35" i="22"/>
  <c r="D36" i="22"/>
  <c r="S31" i="22"/>
  <c r="U34" i="22"/>
  <c r="S33" i="22"/>
  <c r="A33" i="22"/>
  <c r="S32" i="22"/>
  <c r="B35" i="22"/>
  <c r="S36" i="22"/>
  <c r="S37" i="22"/>
  <c r="V36" i="22"/>
  <c r="J2" i="27" l="1"/>
  <c r="K2" i="27" s="1"/>
  <c r="M12" i="30"/>
  <c r="E13" i="20"/>
  <c r="F13" i="20"/>
  <c r="F9" i="20"/>
  <c r="E9" i="20"/>
  <c r="T9" i="20"/>
  <c r="U9" i="20"/>
  <c r="T13" i="20"/>
  <c r="U13" i="20"/>
  <c r="J35" i="31"/>
  <c r="S8" i="20"/>
  <c r="S14" i="20"/>
  <c r="D8" i="20"/>
  <c r="D14" i="20"/>
  <c r="L6" i="30"/>
  <c r="AJ9" i="31"/>
  <c r="AI10" i="31"/>
  <c r="AA10" i="31"/>
  <c r="Z9" i="31"/>
  <c r="D34" i="31"/>
  <c r="I35" i="31"/>
  <c r="P34" i="31"/>
  <c r="N35" i="31"/>
  <c r="O35" i="31"/>
  <c r="A34" i="31"/>
  <c r="H35" i="31"/>
  <c r="R34" i="31"/>
  <c r="S34" i="31"/>
  <c r="E8" i="20" l="1"/>
  <c r="F8" i="20"/>
  <c r="T8" i="20"/>
  <c r="U8" i="20"/>
  <c r="E14" i="20"/>
  <c r="F14" i="20"/>
  <c r="T14" i="20"/>
  <c r="U14" i="20"/>
  <c r="J36" i="31"/>
  <c r="S7" i="20"/>
  <c r="S15" i="20"/>
  <c r="D15" i="20"/>
  <c r="D7" i="20"/>
  <c r="Z10" i="31"/>
  <c r="Y9" i="31"/>
  <c r="AK9" i="31"/>
  <c r="AJ10" i="31"/>
  <c r="H36" i="31"/>
  <c r="D35" i="31"/>
  <c r="I36" i="31"/>
  <c r="S35" i="31"/>
  <c r="P35" i="31"/>
  <c r="O36" i="31"/>
  <c r="N36" i="31"/>
  <c r="A35" i="31"/>
  <c r="E15" i="20" l="1"/>
  <c r="F15" i="20"/>
  <c r="T7" i="20"/>
  <c r="U7" i="20"/>
  <c r="E7" i="20"/>
  <c r="F7" i="20"/>
  <c r="T15" i="20"/>
  <c r="U15" i="20"/>
  <c r="S16" i="20"/>
  <c r="S6" i="20"/>
  <c r="D6" i="20"/>
  <c r="D16" i="20"/>
  <c r="AK10" i="31"/>
  <c r="AL9" i="31"/>
  <c r="Y10" i="31"/>
  <c r="X9" i="31"/>
  <c r="P36" i="31"/>
  <c r="D36" i="31"/>
  <c r="S36" i="31"/>
  <c r="A36" i="31"/>
  <c r="R36" i="31"/>
  <c r="E16" i="20" l="1"/>
  <c r="F16" i="20"/>
  <c r="T16" i="20"/>
  <c r="U16" i="20"/>
  <c r="T6" i="20"/>
  <c r="U6" i="20"/>
  <c r="E6" i="20"/>
  <c r="F6" i="20"/>
  <c r="S6" i="30"/>
  <c r="AM9" i="31"/>
  <c r="AL10" i="31"/>
  <c r="X10" i="31"/>
  <c r="AN9" i="31" l="1"/>
  <c r="AM10" i="31"/>
  <c r="AN10" i="31" l="1"/>
  <c r="S7" i="30" l="1"/>
  <c r="S5" i="30" l="1"/>
  <c r="S8" i="30"/>
  <c r="B2" i="31" l="1"/>
  <c r="D2" i="31"/>
  <c r="D5" i="31" s="1"/>
  <c r="X42" i="31"/>
  <c r="U34" i="31"/>
  <c r="X33" i="31"/>
  <c r="AN44" i="31"/>
  <c r="Z45" i="31"/>
  <c r="AA33" i="31"/>
  <c r="B18" i="31"/>
  <c r="X26" i="31"/>
  <c r="AN45" i="31"/>
  <c r="AH29" i="31"/>
  <c r="AG36" i="31"/>
  <c r="AL40" i="31"/>
  <c r="X14" i="31"/>
  <c r="AK36" i="31"/>
  <c r="AD19" i="31"/>
  <c r="X22" i="31"/>
  <c r="AJ34" i="31"/>
  <c r="U33" i="31"/>
  <c r="AG40" i="31"/>
  <c r="AB19" i="31"/>
  <c r="AB23" i="31"/>
  <c r="AJ15" i="31"/>
  <c r="AC32" i="31"/>
  <c r="AL24" i="31"/>
  <c r="AA43" i="31"/>
  <c r="P18" i="31"/>
  <c r="Y21" i="31"/>
  <c r="AL42" i="31"/>
  <c r="Y36" i="31"/>
  <c r="B19" i="31"/>
  <c r="X43" i="31"/>
  <c r="AD43" i="31"/>
  <c r="AH16" i="31"/>
  <c r="Y26" i="31"/>
  <c r="AL32" i="31"/>
  <c r="B26" i="31"/>
  <c r="AG24" i="31"/>
  <c r="AA18" i="31"/>
  <c r="AN28" i="31"/>
  <c r="Z30" i="31"/>
  <c r="AL16" i="31"/>
  <c r="AJ37" i="31"/>
  <c r="R28" i="31"/>
  <c r="AH30" i="31"/>
  <c r="AM35" i="31"/>
  <c r="AB22" i="31"/>
  <c r="V23" i="31"/>
  <c r="AN23" i="31"/>
  <c r="AB12" i="31"/>
  <c r="AK11" i="31"/>
  <c r="AK30" i="31"/>
  <c r="X23" i="31"/>
  <c r="AH26" i="31"/>
  <c r="AD45" i="31"/>
  <c r="Y30" i="31"/>
  <c r="U30" i="31"/>
  <c r="AD42" i="31"/>
  <c r="V37" i="31"/>
  <c r="AH22" i="31"/>
  <c r="Y45" i="31"/>
  <c r="U26" i="31"/>
  <c r="Z27" i="31"/>
  <c r="AG22" i="31"/>
  <c r="AL13" i="31"/>
  <c r="AA45" i="31"/>
  <c r="AN15" i="31"/>
  <c r="AJ33" i="31"/>
  <c r="Z11" i="31"/>
  <c r="AN31" i="31"/>
  <c r="AK15" i="31"/>
  <c r="AC18" i="31"/>
  <c r="U27" i="31"/>
  <c r="Z28" i="31"/>
  <c r="AB20" i="31"/>
  <c r="AJ35" i="31"/>
  <c r="V42" i="31"/>
  <c r="B14" i="31"/>
  <c r="B15" i="31"/>
  <c r="B16" i="31"/>
  <c r="AC15" i="31"/>
  <c r="Z31" i="31"/>
  <c r="AB33" i="31"/>
  <c r="AL29" i="31"/>
  <c r="Z21" i="31"/>
  <c r="AB27" i="31"/>
  <c r="AH42" i="31"/>
  <c r="X16" i="31"/>
  <c r="AC24" i="31"/>
  <c r="AJ20" i="31"/>
  <c r="AM36" i="31"/>
  <c r="Y25" i="31"/>
  <c r="AI38" i="31"/>
  <c r="AB26" i="31"/>
  <c r="AJ44" i="31"/>
  <c r="AJ45" i="31"/>
  <c r="AL36" i="31"/>
  <c r="AD20" i="31"/>
  <c r="AH25" i="31"/>
  <c r="AK41" i="31"/>
  <c r="AK45" i="31"/>
  <c r="AA28" i="31"/>
  <c r="AL38" i="31"/>
  <c r="AN43" i="31"/>
  <c r="AB41" i="31"/>
  <c r="AM30" i="31"/>
  <c r="R29" i="31"/>
  <c r="Z41" i="31"/>
  <c r="AM31" i="31"/>
  <c r="AB11" i="31"/>
  <c r="AK22" i="31"/>
  <c r="AK14" i="31"/>
  <c r="Z38" i="31"/>
  <c r="AM25" i="31"/>
  <c r="AJ42" i="31"/>
  <c r="AL41" i="31"/>
  <c r="X40" i="31"/>
  <c r="AL28" i="31"/>
  <c r="AN11" i="31"/>
  <c r="AL17" i="31"/>
  <c r="Y18" i="31"/>
  <c r="AH18" i="31"/>
  <c r="AK12" i="31"/>
  <c r="X34" i="31"/>
  <c r="AD40" i="31"/>
  <c r="AI35" i="31"/>
  <c r="AG38" i="31"/>
  <c r="AA23" i="31"/>
  <c r="X45" i="31"/>
  <c r="AB45" i="31"/>
  <c r="AK39" i="31"/>
  <c r="AM39" i="31"/>
  <c r="AC22" i="31"/>
  <c r="AI42" i="31"/>
  <c r="V30" i="31"/>
  <c r="AI34" i="31"/>
  <c r="U24" i="31"/>
  <c r="AI43" i="31"/>
  <c r="AK37" i="31"/>
  <c r="AI27" i="31"/>
  <c r="Y33" i="31"/>
  <c r="AG15" i="31"/>
  <c r="AG26" i="31"/>
  <c r="AL27" i="31"/>
  <c r="AA16" i="31"/>
  <c r="AD16" i="31"/>
  <c r="AG20" i="31"/>
  <c r="AL18" i="31"/>
  <c r="AJ16" i="31"/>
  <c r="AJ40" i="31"/>
  <c r="AN21" i="31"/>
  <c r="B11" i="31"/>
  <c r="AG44" i="31"/>
  <c r="Y29" i="31"/>
  <c r="AN29" i="31"/>
  <c r="X12" i="31"/>
  <c r="X39" i="31"/>
  <c r="U39" i="31"/>
  <c r="AK40" i="31"/>
  <c r="U29" i="31"/>
  <c r="AL31" i="31"/>
  <c r="V11" i="31"/>
  <c r="AB42" i="31"/>
  <c r="AB30" i="31"/>
  <c r="U16" i="31"/>
  <c r="AB40" i="31"/>
  <c r="Y16" i="31"/>
  <c r="AC35" i="31"/>
  <c r="AA12" i="31"/>
  <c r="AH15" i="31"/>
  <c r="AH32" i="31"/>
  <c r="B30" i="31"/>
  <c r="AL37" i="31"/>
  <c r="U32" i="31"/>
  <c r="AJ24" i="31"/>
  <c r="U14" i="31"/>
  <c r="AH13" i="31"/>
  <c r="AA32" i="31"/>
  <c r="AH40" i="31"/>
  <c r="AD33" i="31"/>
  <c r="AM16" i="31"/>
  <c r="AH45" i="31"/>
  <c r="AA13" i="31"/>
  <c r="AA39" i="31"/>
  <c r="AK18" i="31"/>
  <c r="AH23" i="31"/>
  <c r="X19" i="31"/>
  <c r="P30" i="31"/>
  <c r="AM24" i="31"/>
  <c r="Y40" i="31"/>
  <c r="AG19" i="31"/>
  <c r="U44" i="31"/>
  <c r="B29" i="31"/>
  <c r="AH20" i="31"/>
  <c r="V45" i="31"/>
  <c r="AA25" i="31"/>
  <c r="V40" i="31"/>
  <c r="AI20" i="31"/>
  <c r="S10" i="31"/>
  <c r="AF16" i="31"/>
  <c r="AI13" i="31"/>
  <c r="AM44" i="31"/>
  <c r="U10" i="31"/>
  <c r="AK35" i="31"/>
  <c r="AD41" i="31"/>
  <c r="AG35" i="31"/>
  <c r="AA21" i="31"/>
  <c r="AH21" i="31"/>
  <c r="AA38" i="31"/>
  <c r="X38" i="31"/>
  <c r="Y28" i="31"/>
  <c r="AC40" i="31"/>
  <c r="AL35" i="31"/>
  <c r="Y42" i="31"/>
  <c r="AB37" i="31"/>
  <c r="B33" i="31"/>
  <c r="U22" i="31"/>
  <c r="V24" i="31"/>
  <c r="B21" i="31"/>
  <c r="AA31" i="31"/>
  <c r="AD38" i="31"/>
  <c r="AJ43" i="31"/>
  <c r="AK21" i="31"/>
  <c r="AJ30" i="31"/>
  <c r="AG32" i="31"/>
  <c r="AB35" i="31"/>
  <c r="X11" i="31"/>
  <c r="AJ26" i="31"/>
  <c r="AH37" i="31"/>
  <c r="AI45" i="31"/>
  <c r="AB21" i="31"/>
  <c r="AK25" i="31"/>
  <c r="AL11" i="31"/>
  <c r="AA20" i="31"/>
  <c r="AK17" i="31"/>
  <c r="B13" i="31"/>
  <c r="X21" i="31"/>
  <c r="AH34" i="31"/>
  <c r="AD23" i="31"/>
  <c r="AK19" i="31"/>
  <c r="AG42" i="31"/>
  <c r="B12" i="31"/>
  <c r="AG31" i="31"/>
  <c r="AA26" i="31"/>
  <c r="AM28" i="31"/>
  <c r="AC21" i="31"/>
  <c r="AD13" i="31"/>
  <c r="Z24" i="31"/>
  <c r="V18" i="31"/>
  <c r="Z26" i="31"/>
  <c r="V22" i="31"/>
  <c r="X25" i="31"/>
  <c r="AD37" i="31"/>
  <c r="X13" i="31"/>
  <c r="U25" i="31"/>
  <c r="AJ28" i="31"/>
  <c r="U45" i="31"/>
  <c r="AG33" i="31"/>
  <c r="Y31" i="31"/>
  <c r="AA44" i="31"/>
  <c r="AB34" i="31"/>
  <c r="V38" i="31"/>
  <c r="AI28" i="31"/>
  <c r="AD22" i="31"/>
  <c r="U36" i="31"/>
  <c r="Y20" i="31"/>
  <c r="X17" i="31"/>
  <c r="AH33" i="31"/>
  <c r="AM40" i="31"/>
  <c r="V33" i="31"/>
  <c r="AD34" i="31"/>
  <c r="AB24" i="31"/>
  <c r="AN36" i="31"/>
  <c r="AM12" i="31"/>
  <c r="AN17" i="31"/>
  <c r="AA11" i="31"/>
  <c r="Y27" i="31"/>
  <c r="AK16" i="31"/>
  <c r="AD39" i="31"/>
  <c r="AJ14" i="31"/>
  <c r="X28" i="31"/>
  <c r="AC31" i="31"/>
  <c r="R27" i="31"/>
  <c r="Y15" i="31"/>
  <c r="AM37" i="31"/>
  <c r="Z16" i="31"/>
  <c r="AJ27" i="31"/>
  <c r="X37" i="31"/>
  <c r="V34" i="31"/>
  <c r="AA15" i="31"/>
  <c r="AN33" i="31"/>
  <c r="AI14" i="31"/>
  <c r="AC29" i="31"/>
  <c r="Y23" i="31"/>
  <c r="AN16" i="31"/>
  <c r="X27" i="31"/>
  <c r="Z44" i="31"/>
  <c r="V41" i="31"/>
  <c r="B24" i="31"/>
  <c r="AN24" i="31"/>
  <c r="V20" i="31"/>
  <c r="AL22" i="31"/>
  <c r="AK42" i="31"/>
  <c r="AJ23" i="31"/>
  <c r="AI24" i="31"/>
  <c r="AN20" i="31"/>
  <c r="U35" i="31"/>
  <c r="AG43" i="31"/>
  <c r="AJ13" i="31"/>
  <c r="AC26" i="31"/>
  <c r="V14" i="31"/>
  <c r="V10" i="31"/>
  <c r="AD18" i="31"/>
  <c r="U43" i="31"/>
  <c r="AL26" i="31"/>
  <c r="AG27" i="31"/>
  <c r="AC43" i="31"/>
  <c r="AA24" i="31"/>
  <c r="AM22" i="31"/>
  <c r="AH43" i="31"/>
  <c r="U23" i="31"/>
  <c r="AA36" i="31"/>
  <c r="AD25" i="31"/>
  <c r="AB13" i="31"/>
  <c r="AB43" i="31"/>
  <c r="Z36" i="31"/>
  <c r="AC39" i="31"/>
  <c r="AL20" i="31"/>
  <c r="AD30" i="31"/>
  <c r="U31" i="31"/>
  <c r="Z25" i="31"/>
  <c r="AJ22" i="31"/>
  <c r="Z13" i="31"/>
  <c r="AC41" i="31"/>
  <c r="AC34" i="31"/>
  <c r="AI18" i="31"/>
  <c r="AJ25" i="31"/>
  <c r="Z22" i="31"/>
  <c r="AC19" i="31"/>
  <c r="AI26" i="31"/>
  <c r="AD31" i="31"/>
  <c r="X31" i="31"/>
  <c r="Y24" i="31"/>
  <c r="AB39" i="31"/>
  <c r="AA30" i="31"/>
  <c r="AI36" i="31"/>
  <c r="AI40" i="31"/>
  <c r="AJ12" i="31"/>
  <c r="AJ36" i="31"/>
  <c r="AL14" i="31"/>
  <c r="AA27" i="31"/>
  <c r="AD32" i="31"/>
  <c r="AG25" i="31"/>
  <c r="Z39" i="31"/>
  <c r="V17" i="31"/>
  <c r="AH44" i="31"/>
  <c r="AN35" i="31"/>
  <c r="AL34" i="31"/>
  <c r="Z33" i="31"/>
  <c r="AI31" i="31"/>
  <c r="AM45" i="31"/>
  <c r="X30" i="31"/>
  <c r="AN40" i="31"/>
  <c r="AG37" i="31"/>
  <c r="AA34" i="31"/>
  <c r="B32" i="31"/>
  <c r="AK29" i="31"/>
  <c r="V44" i="31"/>
  <c r="V19" i="31"/>
  <c r="Y39" i="31"/>
  <c r="AH24" i="31"/>
  <c r="AC12" i="31"/>
  <c r="V32" i="31"/>
  <c r="AA35" i="31"/>
  <c r="AC13" i="31"/>
  <c r="P25" i="31"/>
  <c r="U11" i="31"/>
  <c r="AG21" i="31"/>
  <c r="AL30" i="31"/>
  <c r="AM42" i="31"/>
  <c r="Y17" i="31"/>
  <c r="AJ21" i="31"/>
  <c r="AH31" i="31"/>
  <c r="Z34" i="31"/>
  <c r="Z29" i="31"/>
  <c r="AL12" i="31"/>
  <c r="AB16" i="31"/>
  <c r="AK34" i="31"/>
  <c r="V13" i="31"/>
  <c r="U18" i="31"/>
  <c r="AH36" i="31"/>
  <c r="Z32" i="31"/>
  <c r="U38" i="31"/>
  <c r="AI30" i="31"/>
  <c r="AN32" i="31"/>
  <c r="U37" i="31"/>
  <c r="AJ17" i="31"/>
  <c r="AG30" i="31"/>
  <c r="AL43" i="31"/>
  <c r="AC23" i="31"/>
  <c r="B22" i="31"/>
  <c r="AJ38" i="31"/>
  <c r="AI15" i="31"/>
  <c r="AJ18" i="31"/>
  <c r="X24" i="31"/>
  <c r="AG29" i="31"/>
  <c r="AD21" i="31"/>
  <c r="AH35" i="31"/>
  <c r="AM32" i="31"/>
  <c r="AN42" i="31"/>
  <c r="AB31" i="31"/>
  <c r="AH28" i="31"/>
  <c r="AC28" i="31"/>
  <c r="AJ29" i="31"/>
  <c r="AN12" i="31"/>
  <c r="AM14" i="31"/>
  <c r="AM29" i="31"/>
  <c r="Y37" i="31"/>
  <c r="AC33" i="31"/>
  <c r="X15" i="31"/>
  <c r="AM38" i="31"/>
  <c r="U13" i="31"/>
  <c r="AG28" i="31"/>
  <c r="Z19" i="31"/>
  <c r="U42" i="31"/>
  <c r="AG12" i="31"/>
  <c r="AN30" i="31"/>
  <c r="AC14" i="31"/>
  <c r="AG23" i="31"/>
  <c r="U17" i="31"/>
  <c r="AL21" i="31"/>
  <c r="AI39" i="31"/>
  <c r="AJ31" i="31"/>
  <c r="X18" i="31"/>
  <c r="AN34" i="31"/>
  <c r="AG14" i="31"/>
  <c r="AD29" i="31"/>
  <c r="AD15" i="31"/>
  <c r="U40" i="31"/>
  <c r="AD11" i="31"/>
  <c r="AG11" i="31"/>
  <c r="AH27" i="31"/>
  <c r="AN38" i="31"/>
  <c r="AD27" i="31"/>
  <c r="AL25" i="31"/>
  <c r="AK27" i="31"/>
  <c r="U19" i="31"/>
  <c r="AD44" i="31"/>
  <c r="U28" i="31"/>
  <c r="AJ32" i="31"/>
  <c r="R26" i="31"/>
  <c r="AK26" i="31"/>
  <c r="AK24" i="31"/>
  <c r="B17" i="31"/>
  <c r="AD12" i="31"/>
  <c r="X36" i="31"/>
  <c r="P31" i="31"/>
  <c r="U21" i="31"/>
  <c r="Z35" i="31"/>
  <c r="AN39" i="31"/>
  <c r="AA42" i="31"/>
  <c r="V25" i="31"/>
  <c r="Y14" i="31"/>
  <c r="AN26" i="31"/>
  <c r="Y13" i="31"/>
  <c r="AH14" i="31"/>
  <c r="Z14" i="31"/>
  <c r="U41" i="31"/>
  <c r="AN37" i="31"/>
  <c r="Z42" i="31"/>
  <c r="AG39" i="31"/>
  <c r="Z40" i="31"/>
  <c r="AD28" i="31"/>
  <c r="AI41" i="31"/>
  <c r="AB14" i="31"/>
  <c r="AJ39" i="31"/>
  <c r="AK38" i="31"/>
  <c r="AC11" i="31"/>
  <c r="Y41" i="31"/>
  <c r="X20" i="31"/>
  <c r="X29" i="31"/>
  <c r="AH19" i="31"/>
  <c r="X41" i="31"/>
  <c r="X35" i="31"/>
  <c r="AN18" i="31"/>
  <c r="X32" i="31"/>
  <c r="Z20" i="31"/>
  <c r="AK28" i="31"/>
  <c r="AA17" i="31"/>
  <c r="AM26" i="31"/>
  <c r="Y34" i="31"/>
  <c r="AC38" i="31"/>
  <c r="AK31" i="31"/>
  <c r="AC37" i="31"/>
  <c r="AG41" i="31"/>
  <c r="Y38" i="31"/>
  <c r="AA19" i="31"/>
  <c r="B20" i="31"/>
  <c r="U20" i="31"/>
  <c r="AC16" i="31"/>
  <c r="AM15" i="31"/>
  <c r="AC42" i="31"/>
  <c r="AM23" i="31"/>
  <c r="V27" i="31"/>
  <c r="AC27" i="31"/>
  <c r="AL15" i="31"/>
  <c r="Z23" i="31"/>
  <c r="AB17" i="31"/>
  <c r="AD14" i="31"/>
  <c r="AA14" i="31"/>
  <c r="AD26" i="31"/>
  <c r="V15" i="31"/>
  <c r="X44" i="31"/>
  <c r="AC25" i="31"/>
  <c r="AL23" i="31"/>
  <c r="AN41" i="31"/>
  <c r="AM34" i="31"/>
  <c r="AI23" i="31"/>
  <c r="AH41" i="31"/>
  <c r="AE29" i="31"/>
  <c r="B36" i="31"/>
  <c r="AM19" i="31"/>
  <c r="AJ11" i="31"/>
  <c r="AN13" i="31"/>
  <c r="AA41" i="31"/>
  <c r="AN19" i="31"/>
  <c r="V36" i="31"/>
  <c r="B23" i="31"/>
  <c r="AK33" i="31"/>
  <c r="B27" i="31"/>
  <c r="A10" i="31"/>
  <c r="AM21" i="31"/>
  <c r="Z18" i="31"/>
  <c r="AG45" i="31"/>
  <c r="AM17" i="31"/>
  <c r="AH12" i="31"/>
  <c r="AC36" i="31"/>
  <c r="AG17" i="31"/>
  <c r="Y11" i="31"/>
  <c r="AN25" i="31"/>
  <c r="AH11" i="31"/>
  <c r="AI32" i="31"/>
  <c r="AB25" i="31"/>
  <c r="V16" i="31"/>
  <c r="AI16" i="31"/>
  <c r="AH17" i="31"/>
  <c r="AB28" i="31"/>
  <c r="V28" i="31"/>
  <c r="AB15" i="31"/>
  <c r="S13" i="31"/>
  <c r="AH39" i="31"/>
  <c r="AI25" i="31"/>
  <c r="Z15" i="31"/>
  <c r="AM18" i="31"/>
  <c r="AD35" i="31"/>
  <c r="AB32" i="31"/>
  <c r="AL33" i="31"/>
  <c r="Z17" i="31"/>
  <c r="AM11" i="31"/>
  <c r="V21" i="31"/>
  <c r="AA40" i="31"/>
  <c r="AK13" i="31"/>
  <c r="AI33" i="31"/>
  <c r="AM41" i="31"/>
  <c r="AK43" i="31"/>
  <c r="AA37" i="31"/>
  <c r="AM27" i="31"/>
  <c r="AL39" i="31"/>
  <c r="B35" i="31"/>
  <c r="AC17" i="31"/>
  <c r="AD17" i="31"/>
  <c r="AL45" i="31"/>
  <c r="AI29" i="31"/>
  <c r="AM20" i="31"/>
  <c r="AC30" i="31"/>
  <c r="AA29" i="31"/>
  <c r="Y44" i="31"/>
  <c r="AB36" i="31"/>
  <c r="B28" i="31"/>
  <c r="AI19" i="31"/>
  <c r="AI22" i="31"/>
  <c r="AC20" i="31"/>
  <c r="V26" i="31"/>
  <c r="AB44" i="31"/>
  <c r="AI11" i="31"/>
  <c r="AK20" i="31"/>
  <c r="R35" i="31"/>
  <c r="Z37" i="31"/>
  <c r="AD24" i="31"/>
  <c r="AI37" i="31"/>
  <c r="AG13" i="31"/>
  <c r="AJ19" i="31"/>
  <c r="AN22" i="31"/>
  <c r="AK23" i="31"/>
  <c r="V31" i="31"/>
  <c r="V12" i="31"/>
  <c r="AN14" i="31"/>
  <c r="AN27" i="31"/>
  <c r="V29" i="31"/>
  <c r="U15" i="31"/>
  <c r="AM43" i="31"/>
  <c r="AD36" i="31"/>
  <c r="AB18" i="31"/>
  <c r="AC45" i="31"/>
  <c r="B25" i="31"/>
  <c r="R14" i="31"/>
  <c r="AH38" i="31"/>
  <c r="AA22" i="31"/>
  <c r="V35" i="31"/>
  <c r="AG34" i="31"/>
  <c r="Y43" i="31"/>
  <c r="AB38" i="31"/>
  <c r="Z43" i="31"/>
  <c r="B31" i="31"/>
  <c r="AG18" i="31"/>
  <c r="AL19" i="31"/>
  <c r="AM33" i="31"/>
  <c r="Y22" i="31"/>
  <c r="Y35" i="31"/>
  <c r="AI17" i="31"/>
  <c r="AG16" i="31"/>
  <c r="AK32" i="31"/>
  <c r="B34" i="31"/>
  <c r="Y32" i="31"/>
  <c r="AJ41" i="31"/>
  <c r="AB29" i="31"/>
  <c r="U12" i="31"/>
  <c r="AK44" i="31"/>
  <c r="V43" i="31"/>
  <c r="AI44" i="31"/>
  <c r="Y19" i="31"/>
  <c r="AL44" i="31"/>
  <c r="AM13" i="31"/>
  <c r="AC44" i="31"/>
  <c r="Y12" i="31"/>
  <c r="Z12" i="31"/>
  <c r="AI12" i="31"/>
  <c r="V39" i="31"/>
  <c r="AI21" i="31"/>
  <c r="D16" i="22"/>
  <c r="B24" i="22"/>
  <c r="U20" i="22"/>
  <c r="Z14" i="22"/>
  <c r="Z12" i="22"/>
  <c r="D13" i="22"/>
  <c r="P26" i="22"/>
  <c r="A11" i="22"/>
  <c r="AG16" i="22"/>
  <c r="B27" i="22"/>
  <c r="AH13" i="22"/>
  <c r="V12" i="22"/>
  <c r="S22" i="22"/>
  <c r="AD20" i="22"/>
  <c r="X11" i="22"/>
  <c r="S28" i="22"/>
  <c r="R21" i="22"/>
  <c r="R28" i="22"/>
  <c r="Y17" i="22"/>
  <c r="B16" i="22"/>
  <c r="Z16" i="22"/>
  <c r="AB15" i="22"/>
  <c r="B19" i="22"/>
  <c r="AJ18" i="22"/>
  <c r="Z18" i="22"/>
  <c r="AF11" i="22"/>
  <c r="AF12" i="22"/>
  <c r="AC16" i="22"/>
  <c r="Y18" i="22"/>
  <c r="U13" i="22"/>
  <c r="AE11" i="22"/>
  <c r="A27" i="22"/>
  <c r="A17" i="22"/>
  <c r="D23" i="22"/>
  <c r="B25" i="22"/>
  <c r="R16" i="22"/>
  <c r="A14" i="22"/>
  <c r="AB13" i="22"/>
  <c r="A29" i="22"/>
  <c r="AC13" i="22"/>
  <c r="B15" i="22"/>
  <c r="P22" i="22"/>
  <c r="U18" i="22"/>
  <c r="V16" i="22"/>
  <c r="S17" i="22"/>
  <c r="AJ14" i="22"/>
  <c r="P17" i="22"/>
  <c r="V19" i="22"/>
  <c r="D11" i="22"/>
  <c r="S24" i="22"/>
  <c r="X17" i="22"/>
  <c r="Z20" i="22"/>
  <c r="AJ16" i="22"/>
  <c r="AG19" i="22"/>
  <c r="V24" i="22"/>
  <c r="Q5" i="30"/>
  <c r="S21" i="22"/>
  <c r="AD12" i="22"/>
  <c r="AJ19" i="22"/>
  <c r="AH11" i="22"/>
  <c r="D15" i="22"/>
  <c r="B18" i="22"/>
  <c r="X13" i="22"/>
  <c r="Y15" i="22"/>
  <c r="AI12" i="22"/>
  <c r="A30" i="22"/>
  <c r="U11" i="22"/>
  <c r="B20" i="22"/>
  <c r="AB14" i="22"/>
  <c r="R29" i="22"/>
  <c r="X14" i="22"/>
  <c r="P20" i="22"/>
  <c r="A15" i="22"/>
  <c r="X19" i="22"/>
  <c r="Y14" i="22"/>
  <c r="P8" i="30"/>
  <c r="A25" i="22"/>
  <c r="D27" i="22"/>
  <c r="AC18" i="22"/>
  <c r="U12" i="22"/>
  <c r="Z19" i="22"/>
  <c r="AF15" i="22"/>
  <c r="AI16" i="22"/>
  <c r="AD14" i="22"/>
  <c r="AE13" i="22"/>
  <c r="AJ12" i="22"/>
  <c r="Y19" i="22"/>
  <c r="V26" i="22"/>
  <c r="AC11" i="22"/>
  <c r="AA19" i="22"/>
  <c r="AJ17" i="22"/>
  <c r="AF16" i="22"/>
  <c r="AA14" i="22"/>
  <c r="AB19" i="22"/>
  <c r="A26" i="22"/>
  <c r="AB20" i="22"/>
  <c r="AI15" i="22"/>
  <c r="D17" i="22"/>
  <c r="AG14" i="22"/>
  <c r="P14" i="22"/>
  <c r="S23" i="22"/>
  <c r="P24" i="22"/>
  <c r="R27" i="22"/>
  <c r="A16" i="22"/>
  <c r="AF13" i="22"/>
  <c r="AB17" i="22"/>
  <c r="Y12" i="22"/>
  <c r="A19" i="22"/>
  <c r="S20" i="22"/>
  <c r="AB18" i="22"/>
  <c r="Y11" i="22"/>
  <c r="R12" i="22"/>
  <c r="R18" i="22"/>
  <c r="AC14" i="22"/>
  <c r="AD16" i="22"/>
  <c r="A23" i="22"/>
  <c r="S12" i="22"/>
  <c r="AA17" i="22"/>
  <c r="AF20" i="22"/>
  <c r="P6" i="30"/>
  <c r="S29" i="22"/>
  <c r="V13" i="22"/>
  <c r="U24" i="22"/>
  <c r="X18" i="22"/>
  <c r="V30" i="22"/>
  <c r="B12" i="22"/>
  <c r="AH12" i="22"/>
  <c r="P16" i="22"/>
  <c r="R22" i="22"/>
  <c r="U22" i="22"/>
  <c r="B11" i="22"/>
  <c r="V17" i="22"/>
  <c r="AI17" i="22"/>
  <c r="AA18" i="22"/>
  <c r="V20" i="22"/>
  <c r="AE15" i="22"/>
  <c r="AH16" i="22"/>
  <c r="AG11" i="22"/>
  <c r="AI14" i="22"/>
  <c r="P7" i="30"/>
  <c r="V22" i="22"/>
  <c r="U28" i="22"/>
  <c r="A12" i="22"/>
  <c r="Y13" i="22"/>
  <c r="R25" i="22"/>
  <c r="AE16" i="22"/>
  <c r="AG17" i="22"/>
  <c r="AC20" i="22"/>
  <c r="AG18" i="22"/>
  <c r="AA11" i="22"/>
  <c r="P12" i="22"/>
  <c r="Z13" i="22"/>
  <c r="P15" i="22"/>
  <c r="AI13" i="22"/>
  <c r="P23" i="22"/>
  <c r="AC19" i="22"/>
  <c r="D28" i="22"/>
  <c r="B17" i="22"/>
  <c r="Y16" i="22"/>
  <c r="Q7" i="30"/>
  <c r="D24" i="22"/>
  <c r="U16" i="22"/>
  <c r="B23" i="22"/>
  <c r="AD18" i="22"/>
  <c r="P30" i="22"/>
  <c r="S26" i="22"/>
  <c r="B30" i="22"/>
  <c r="V14" i="22"/>
  <c r="AE18" i="22"/>
  <c r="R23" i="22"/>
  <c r="U29" i="22"/>
  <c r="S19" i="22"/>
  <c r="R11" i="22"/>
  <c r="S18" i="22"/>
  <c r="B21" i="22"/>
  <c r="R30" i="22"/>
  <c r="D12" i="22"/>
  <c r="B22" i="22"/>
  <c r="AH15" i="22"/>
  <c r="AE17" i="22"/>
  <c r="X15" i="22"/>
  <c r="V28" i="22"/>
  <c r="D29" i="22"/>
  <c r="AJ11" i="22"/>
  <c r="U21" i="22"/>
  <c r="B29" i="22"/>
  <c r="P21" i="22"/>
  <c r="R26" i="22"/>
  <c r="AC12" i="22"/>
  <c r="D21" i="22"/>
  <c r="P18" i="22"/>
  <c r="D14" i="22"/>
  <c r="AF14" i="22"/>
  <c r="AG13" i="22"/>
  <c r="S15" i="22"/>
  <c r="V15" i="22"/>
  <c r="AG12" i="22"/>
  <c r="P5" i="30"/>
  <c r="B14" i="22"/>
  <c r="S14" i="22"/>
  <c r="AA15" i="22"/>
  <c r="AI20" i="22"/>
  <c r="AJ13" i="22"/>
  <c r="A24" i="22"/>
  <c r="X16" i="22"/>
  <c r="S27" i="22"/>
  <c r="R17" i="22"/>
  <c r="D30" i="22"/>
  <c r="S11" i="22"/>
  <c r="AG15" i="22"/>
  <c r="AE20" i="22"/>
  <c r="U30" i="22"/>
  <c r="X12" i="22"/>
  <c r="AJ20" i="22"/>
  <c r="V25" i="22"/>
  <c r="P27" i="22"/>
  <c r="Z11" i="22"/>
  <c r="S30" i="22"/>
  <c r="S13" i="22"/>
  <c r="R15" i="22"/>
  <c r="Q8" i="30"/>
  <c r="AE12" i="22"/>
  <c r="AI19" i="22"/>
  <c r="B13" i="22"/>
  <c r="U14" i="22"/>
  <c r="D26" i="22"/>
  <c r="AF19" i="22"/>
  <c r="AF18" i="22"/>
  <c r="AB11" i="22"/>
  <c r="B26" i="22"/>
  <c r="AC17" i="22"/>
  <c r="V21" i="22"/>
  <c r="AH19" i="22"/>
  <c r="S25" i="22"/>
  <c r="AH14" i="22"/>
  <c r="P11" i="22"/>
  <c r="U23" i="22"/>
  <c r="U27" i="22"/>
  <c r="A20" i="22"/>
  <c r="D22" i="22"/>
  <c r="U26" i="22"/>
  <c r="D25" i="22"/>
  <c r="AE19" i="22"/>
  <c r="R14" i="22"/>
  <c r="AA20" i="22"/>
  <c r="A21" i="22"/>
  <c r="AD15" i="22"/>
  <c r="A13" i="22"/>
  <c r="U25" i="22"/>
  <c r="R20" i="22"/>
  <c r="D20" i="22"/>
  <c r="AC15" i="22"/>
  <c r="A22" i="22"/>
  <c r="AA12" i="22"/>
  <c r="AA13" i="22"/>
  <c r="A28" i="22"/>
  <c r="D19" i="22"/>
  <c r="U17" i="22"/>
  <c r="V27" i="22"/>
  <c r="AB12" i="22"/>
  <c r="U19" i="22"/>
  <c r="AI11" i="22"/>
  <c r="P25" i="22"/>
  <c r="V18" i="22"/>
  <c r="R24" i="22"/>
  <c r="A18" i="22"/>
  <c r="AD19" i="22"/>
  <c r="AG20" i="22"/>
  <c r="P29" i="22"/>
  <c r="Z17" i="22"/>
  <c r="B28" i="22"/>
  <c r="P13" i="22"/>
  <c r="Z15" i="22"/>
  <c r="AJ15" i="22"/>
  <c r="P19" i="22"/>
  <c r="R13" i="22"/>
  <c r="AH20" i="22"/>
  <c r="AD11" i="22"/>
  <c r="AH17" i="22"/>
  <c r="D18" i="22"/>
  <c r="X20" i="22"/>
  <c r="AB16" i="22"/>
  <c r="AH18" i="22"/>
  <c r="Y20" i="22"/>
  <c r="V23" i="22"/>
  <c r="AI18" i="22"/>
  <c r="AF17" i="22"/>
  <c r="V11" i="22"/>
  <c r="U15" i="22"/>
  <c r="AA16" i="22"/>
  <c r="AE14" i="22"/>
  <c r="R19" i="22"/>
  <c r="AD17" i="22"/>
  <c r="S16" i="22"/>
  <c r="V29" i="22"/>
  <c r="AD13" i="22"/>
  <c r="P28" i="22"/>
  <c r="L8" i="30" l="1"/>
  <c r="R2" i="22"/>
  <c r="C2" i="31"/>
  <c r="K7" i="30"/>
  <c r="B2" i="22"/>
  <c r="B4" i="22" s="1"/>
  <c r="L5" i="30"/>
  <c r="K5" i="30"/>
  <c r="D2" i="22"/>
  <c r="K6" i="30"/>
  <c r="L7" i="30"/>
  <c r="C2" i="22"/>
  <c r="K8" i="30"/>
  <c r="B8" i="31"/>
  <c r="R2" i="31"/>
  <c r="T8" i="30"/>
  <c r="T6" i="30"/>
  <c r="T7" i="30"/>
  <c r="K12" i="30" l="1"/>
  <c r="L12" i="30"/>
  <c r="D4" i="22"/>
  <c r="T5" i="30"/>
</calcChain>
</file>

<file path=xl/connections.xml><?xml version="1.0" encoding="utf-8"?>
<connections xmlns="http://schemas.openxmlformats.org/spreadsheetml/2006/main">
  <connection id="1" name="連線" type="4" refreshedVersion="5" background="1" saveData="1">
    <webPr sourceData="1" parsePre="1" consecutive="1" xl2000="1" url="http://172.16.10.11/hedge/tradingday.php" htmlTables="1">
      <tables count="1">
        <x v="5"/>
      </tables>
    </webPr>
  </connection>
  <connection id="2" name="連線1" type="4" refreshedVersion="5" background="1" saveData="1">
    <webPr sourceData="1" parsePre="1" consecutive="1" xl2000="1" url="http://172.16.10.11/hedge/wmaker/warmktmakercfg_query.php" htmlTables="1"/>
  </connection>
  <connection id="3" name="連線2" type="4" refreshedVersion="5" background="1" saveData="1">
    <webPr sourceData="1" parsePre="1" consecutive="1" xl2000="1" url="http://172.16.10.11/hedge/warrealmkt.php" htmlTables="1"/>
  </connection>
  <connection id="4" name="連線3" type="4" refreshedVersion="5" background="1" saveData="1">
    <webPr sourceData="1" parsePre="1" consecutive="1" xl2000="1" url="http://172.16.10.11/hedge/Stockposdy.php" htmlTables="1"/>
  </connection>
</connections>
</file>

<file path=xl/sharedStrings.xml><?xml version="1.0" encoding="utf-8"?>
<sst xmlns="http://schemas.openxmlformats.org/spreadsheetml/2006/main" count="10823" uniqueCount="3147">
  <si>
    <t>P</t>
    <phoneticPr fontId="4" type="noConversion"/>
  </si>
  <si>
    <t xml:space="preserve"> 買權(Call)</t>
  </si>
  <si>
    <t xml:space="preserve"> 賣權(Put)</t>
  </si>
  <si>
    <t>買 進</t>
  </si>
  <si>
    <t>賣 出</t>
  </si>
  <si>
    <t>成 交</t>
  </si>
  <si>
    <t>履約價</t>
  </si>
  <si>
    <t xml:space="preserve">  漲 跌%</t>
    <phoneticPr fontId="4" type="noConversion"/>
  </si>
  <si>
    <t>本月到期日</t>
    <phoneticPr fontId="4" type="noConversion"/>
  </si>
  <si>
    <t>年化到期日</t>
    <phoneticPr fontId="4" type="noConversion"/>
  </si>
  <si>
    <t xml:space="preserve">  合 約 名 稱</t>
  </si>
  <si>
    <t>最佳買價</t>
  </si>
  <si>
    <t>最佳賣價</t>
  </si>
  <si>
    <t xml:space="preserve">  成 交</t>
  </si>
  <si>
    <t xml:space="preserve">  漲 跌</t>
  </si>
  <si>
    <t>價差</t>
    <phoneticPr fontId="4" type="noConversion"/>
  </si>
  <si>
    <t>BIV</t>
    <phoneticPr fontId="4" type="noConversion"/>
  </si>
  <si>
    <t>AIV</t>
    <phoneticPr fontId="4" type="noConversion"/>
  </si>
  <si>
    <t>1% Gamma</t>
    <phoneticPr fontId="4" type="noConversion"/>
  </si>
  <si>
    <t>1%GAMMA</t>
    <phoneticPr fontId="4" type="noConversion"/>
  </si>
  <si>
    <t>1%下跌點數</t>
  </si>
  <si>
    <t>口數</t>
    <phoneticPr fontId="4" type="noConversion"/>
  </si>
  <si>
    <t>序號</t>
  </si>
  <si>
    <t>交易日期</t>
  </si>
  <si>
    <t>星期</t>
  </si>
  <si>
    <t>五</t>
  </si>
  <si>
    <t>一</t>
  </si>
  <si>
    <t>二</t>
  </si>
  <si>
    <t>三</t>
  </si>
  <si>
    <t>四</t>
  </si>
  <si>
    <t>1%VEGA</t>
    <phoneticPr fontId="4" type="noConversion"/>
  </si>
  <si>
    <t xml:space="preserve"> 日期</t>
  </si>
  <si>
    <t xml:space="preserve"> 星期</t>
  </si>
  <si>
    <t>1月1日</t>
  </si>
  <si>
    <t>1月2日</t>
  </si>
  <si>
    <t>1月30日</t>
  </si>
  <si>
    <t>2月4日</t>
  </si>
  <si>
    <t>2月5日2月6日2月7日2月8日</t>
  </si>
  <si>
    <t>二三四五</t>
  </si>
  <si>
    <t>2月11日</t>
  </si>
  <si>
    <t>2月28日3月1日</t>
  </si>
  <si>
    <t>四五</t>
  </si>
  <si>
    <t>4月4日</t>
  </si>
  <si>
    <t>4月5日</t>
  </si>
  <si>
    <t>5月1日</t>
  </si>
  <si>
    <t>6月7日</t>
  </si>
  <si>
    <t>9月13日</t>
  </si>
  <si>
    <t>10月10日10月11日</t>
  </si>
  <si>
    <t>Delta</t>
    <phoneticPr fontId="4" type="noConversion"/>
  </si>
  <si>
    <t>Theta</t>
    <phoneticPr fontId="4" type="noConversion"/>
  </si>
  <si>
    <t>年化到期日(T-1)</t>
    <phoneticPr fontId="4" type="noConversion"/>
  </si>
  <si>
    <t>Timedecay</t>
    <phoneticPr fontId="4" type="noConversion"/>
  </si>
  <si>
    <t>1%Gamma</t>
    <phoneticPr fontId="4" type="noConversion"/>
  </si>
  <si>
    <t>避險口數</t>
    <phoneticPr fontId="4" type="noConversion"/>
  </si>
  <si>
    <t>S</t>
  </si>
  <si>
    <t>F(D11&gt;0,-F11*D11,-D11*E11)+IF(B11="C",MAX(I$9-C11,0),IF(B11="P",MAX(C11-I$9,0),C34-I$9))*D11</t>
    <phoneticPr fontId="4" type="noConversion"/>
  </si>
  <si>
    <t>IF(Q16&gt;0,L16*50*Q16,-Q16*K16*50)</t>
    <phoneticPr fontId="4" type="noConversion"/>
  </si>
  <si>
    <t>近月期貨</t>
    <phoneticPr fontId="4" type="noConversion"/>
  </si>
  <si>
    <t>遠月期貨</t>
    <phoneticPr fontId="4" type="noConversion"/>
  </si>
  <si>
    <t>K</t>
    <phoneticPr fontId="4" type="noConversion"/>
  </si>
  <si>
    <t>近月Vol</t>
    <phoneticPr fontId="4" type="noConversion"/>
  </si>
  <si>
    <t>遠月Vol</t>
    <phoneticPr fontId="4" type="noConversion"/>
  </si>
  <si>
    <t>VEGA_C</t>
    <phoneticPr fontId="4" type="noConversion"/>
  </si>
  <si>
    <t>VEGA_P</t>
    <phoneticPr fontId="4" type="noConversion"/>
  </si>
  <si>
    <t>Futures</t>
    <phoneticPr fontId="4" type="noConversion"/>
  </si>
  <si>
    <t xml:space="preserve"> 台指03月</t>
    <phoneticPr fontId="4" type="noConversion"/>
  </si>
  <si>
    <t>權證代號</t>
  </si>
  <si>
    <t>權證名稱</t>
  </si>
  <si>
    <t>標的代號</t>
  </si>
  <si>
    <t>標的名稱</t>
  </si>
  <si>
    <t>授權群組</t>
  </si>
  <si>
    <t>造市開關</t>
  </si>
  <si>
    <t>BVol%</t>
  </si>
  <si>
    <t>報價模式</t>
  </si>
  <si>
    <t>Id</t>
  </si>
  <si>
    <t>Iu</t>
  </si>
  <si>
    <t>T:S_Tick</t>
  </si>
  <si>
    <t>S:間距設定</t>
  </si>
  <si>
    <t>Bid1下限</t>
  </si>
  <si>
    <t>Bid1上限</t>
  </si>
  <si>
    <t>Bid1其他</t>
  </si>
  <si>
    <t>Ask1下限</t>
  </si>
  <si>
    <t>Ask1上限</t>
  </si>
  <si>
    <t>Ask1其他</t>
  </si>
  <si>
    <t>權證大單</t>
  </si>
  <si>
    <t>標的大單</t>
  </si>
  <si>
    <t>快市%</t>
  </si>
  <si>
    <t>快市X</t>
  </si>
  <si>
    <t>單日上限</t>
  </si>
  <si>
    <t>買單檔數</t>
  </si>
  <si>
    <t>賣單檔數</t>
  </si>
  <si>
    <t>0914前縮單</t>
  </si>
  <si>
    <t>10萬買限</t>
  </si>
  <si>
    <t>進階快市</t>
  </si>
  <si>
    <t>保守造市</t>
  </si>
  <si>
    <t>保守買單</t>
  </si>
  <si>
    <t>保守賣單</t>
  </si>
  <si>
    <t>緊急縮單</t>
  </si>
  <si>
    <t>尾盤減量</t>
  </si>
  <si>
    <t>僅下買單</t>
  </si>
  <si>
    <t>5分鐘報價</t>
  </si>
  <si>
    <t>△W</t>
  </si>
  <si>
    <t>△X</t>
  </si>
  <si>
    <t>買賣張</t>
  </si>
  <si>
    <t>在外流通</t>
  </si>
  <si>
    <t>在外流通%</t>
  </si>
  <si>
    <t>權證市價</t>
  </si>
  <si>
    <t>權證理論價</t>
  </si>
  <si>
    <t>價內外程度</t>
  </si>
  <si>
    <t>距到期日</t>
  </si>
  <si>
    <t>交易天數</t>
  </si>
  <si>
    <t>行使比例</t>
  </si>
  <si>
    <t>調整Delta</t>
  </si>
  <si>
    <t>PVol%</t>
  </si>
  <si>
    <t>△Vol%</t>
  </si>
  <si>
    <t>Vol限額%</t>
  </si>
  <si>
    <t>△平移值</t>
  </si>
  <si>
    <t>06732P</t>
  </si>
  <si>
    <t>台灣50日盛9A售01</t>
  </si>
  <si>
    <t>元大台灣50</t>
  </si>
  <si>
    <t>Y</t>
  </si>
  <si>
    <t>N</t>
  </si>
  <si>
    <t>06496P</t>
  </si>
  <si>
    <t>台灣50日盛98售01</t>
  </si>
  <si>
    <t>06878P</t>
  </si>
  <si>
    <t>台灣50日盛9B售01</t>
  </si>
  <si>
    <t>T50反1日盛99購01</t>
  </si>
  <si>
    <t>00632R</t>
  </si>
  <si>
    <t>元大台灣50反1</t>
  </si>
  <si>
    <t>B</t>
  </si>
  <si>
    <t>T50反1日盛9C購01</t>
  </si>
  <si>
    <t>T50反1日盛03購01</t>
  </si>
  <si>
    <t>T50反1日盛9A購01</t>
  </si>
  <si>
    <t>T50反1日盛97購01</t>
  </si>
  <si>
    <t>T50反1日盛02購01</t>
  </si>
  <si>
    <t>T50反1日盛9B購01</t>
  </si>
  <si>
    <t>T50反1日盛97售02</t>
  </si>
  <si>
    <t>00637L</t>
  </si>
  <si>
    <t>元大滬深300正2</t>
  </si>
  <si>
    <t>W</t>
  </si>
  <si>
    <t>00672L</t>
  </si>
  <si>
    <t>元大S&amp;P原油正2</t>
  </si>
  <si>
    <t>元油2X日盛9A購01</t>
  </si>
  <si>
    <t>亞德客日盛99購01</t>
  </si>
  <si>
    <t>亞德客-KY</t>
  </si>
  <si>
    <t>上銀日盛9B購01</t>
  </si>
  <si>
    <t>上銀</t>
  </si>
  <si>
    <t>華通日盛97購01</t>
  </si>
  <si>
    <t>華通</t>
  </si>
  <si>
    <t>鴻海</t>
  </si>
  <si>
    <t>鴻海日盛99購01</t>
  </si>
  <si>
    <t>鴻海日盛98購01</t>
  </si>
  <si>
    <t>鴻海日盛9A購01</t>
  </si>
  <si>
    <t>鴻海日盛97購05</t>
  </si>
  <si>
    <t>國巨</t>
  </si>
  <si>
    <t>國巨日盛98購01</t>
  </si>
  <si>
    <t>國巨日盛99購01</t>
  </si>
  <si>
    <t>國巨日盛99購03</t>
  </si>
  <si>
    <t>06956P</t>
  </si>
  <si>
    <t>國巨日盛99售04</t>
  </si>
  <si>
    <t>05975P</t>
  </si>
  <si>
    <t>國巨日盛99售02</t>
  </si>
  <si>
    <t>台積電</t>
  </si>
  <si>
    <t>台積電日盛97購04</t>
  </si>
  <si>
    <t>台積電日盛9A購03</t>
  </si>
  <si>
    <t>台積電日盛9B購01</t>
  </si>
  <si>
    <t>台積電日盛9A購01</t>
  </si>
  <si>
    <t>06666P</t>
  </si>
  <si>
    <t>台積電日盛9A售02</t>
  </si>
  <si>
    <t>技嘉日盛98購01</t>
  </si>
  <si>
    <t>技嘉</t>
  </si>
  <si>
    <t>瑞昱</t>
  </si>
  <si>
    <t>瑞昱日盛99購01</t>
  </si>
  <si>
    <t>台光電</t>
  </si>
  <si>
    <t>台光電日盛9A購01</t>
  </si>
  <si>
    <t>南亞科</t>
  </si>
  <si>
    <t>06412P</t>
  </si>
  <si>
    <t>南亞科日盛97售01</t>
  </si>
  <si>
    <t>友達日盛99購06</t>
  </si>
  <si>
    <t>友達</t>
  </si>
  <si>
    <t>友達日盛99購01</t>
  </si>
  <si>
    <t>友達日盛9B購02</t>
  </si>
  <si>
    <t>友達日盛9A購01</t>
  </si>
  <si>
    <t>友達日盛9B購01</t>
  </si>
  <si>
    <t>美律</t>
  </si>
  <si>
    <t>美律日盛99購01</t>
  </si>
  <si>
    <t>聯發科日盛99購01</t>
  </si>
  <si>
    <t>聯發科</t>
  </si>
  <si>
    <t>聯發科日盛9A購01</t>
  </si>
  <si>
    <t>06577P</t>
  </si>
  <si>
    <t>聯發科日盛9A售02</t>
  </si>
  <si>
    <t>全新日盛9A購01</t>
  </si>
  <si>
    <t>全新</t>
  </si>
  <si>
    <t>可成</t>
  </si>
  <si>
    <t>華新科</t>
  </si>
  <si>
    <t>華新科日盛9A購01</t>
  </si>
  <si>
    <t>華新科日盛99購01</t>
  </si>
  <si>
    <t>M</t>
  </si>
  <si>
    <t>富邦金日盛99購01</t>
  </si>
  <si>
    <t>富邦金</t>
  </si>
  <si>
    <t>開發金日盛9B購01</t>
  </si>
  <si>
    <t>開發金</t>
  </si>
  <si>
    <t>新光金</t>
  </si>
  <si>
    <t>大立光</t>
  </si>
  <si>
    <t>大立光日盛98購01</t>
  </si>
  <si>
    <t>欣興日盛9A購01</t>
  </si>
  <si>
    <t>欣興</t>
  </si>
  <si>
    <t>穩懋</t>
  </si>
  <si>
    <t>穩懋日盛98購01</t>
  </si>
  <si>
    <t>穩懋日盛99購01</t>
  </si>
  <si>
    <t>原相</t>
  </si>
  <si>
    <t>新日興日盛99購01</t>
  </si>
  <si>
    <t>新日興</t>
  </si>
  <si>
    <t>玉晶光</t>
  </si>
  <si>
    <t>玉晶光日盛9A購01</t>
  </si>
  <si>
    <t>群創日盛98購01</t>
  </si>
  <si>
    <t>群創</t>
  </si>
  <si>
    <t>群創日盛99購01</t>
  </si>
  <si>
    <t>05576P</t>
  </si>
  <si>
    <t>群創日盛99售02</t>
  </si>
  <si>
    <t>健策日盛98購01</t>
  </si>
  <si>
    <t>健策</t>
  </si>
  <si>
    <t>日月光日盛9A購01</t>
  </si>
  <si>
    <t>日月光投控</t>
  </si>
  <si>
    <t>和碩日盛9A購01</t>
  </si>
  <si>
    <t>和碩</t>
  </si>
  <si>
    <t>和碩日盛98購01</t>
  </si>
  <si>
    <t>中美晶日盛9A購01</t>
  </si>
  <si>
    <t>中美晶</t>
  </si>
  <si>
    <t>聯茂</t>
  </si>
  <si>
    <t>聯茂日盛99購01</t>
  </si>
  <si>
    <t>矽力-KY</t>
  </si>
  <si>
    <t>矽力日盛99購01</t>
  </si>
  <si>
    <t>GIS日盛97購01</t>
  </si>
  <si>
    <t>GIS-KY</t>
  </si>
  <si>
    <t>環球晶日盛97購01</t>
  </si>
  <si>
    <t>環球晶</t>
  </si>
  <si>
    <t>緯穎日盛99購01</t>
  </si>
  <si>
    <t>緯穎</t>
  </si>
  <si>
    <t>宏捷科日盛99購01</t>
  </si>
  <si>
    <t>宏捷科</t>
  </si>
  <si>
    <t>群聯</t>
  </si>
  <si>
    <t>FITX</t>
  </si>
  <si>
    <t>發行量加權股價指數</t>
  </si>
  <si>
    <t>臺股指日盛98購01</t>
  </si>
  <si>
    <t>臺股指日盛97購03</t>
  </si>
  <si>
    <t>06478P</t>
  </si>
  <si>
    <t>臺股指日盛9A售01</t>
  </si>
  <si>
    <t>06919P</t>
  </si>
  <si>
    <t>臺股指日盛98售02</t>
  </si>
  <si>
    <t>臺股指日盛97售02</t>
  </si>
  <si>
    <t>FITX</t>
    <phoneticPr fontId="4" type="noConversion"/>
  </si>
  <si>
    <t>FITX</t>
    <phoneticPr fontId="4" type="noConversion"/>
  </si>
  <si>
    <t>06919P</t>
    <phoneticPr fontId="4" type="noConversion"/>
  </si>
  <si>
    <t>06757P</t>
    <phoneticPr fontId="4" type="noConversion"/>
  </si>
  <si>
    <t>06942P</t>
    <phoneticPr fontId="4" type="noConversion"/>
  </si>
  <si>
    <t>台灣50元大9B</t>
    <phoneticPr fontId="4" type="noConversion"/>
  </si>
  <si>
    <t>台灣50台新02</t>
    <phoneticPr fontId="4" type="noConversion"/>
  </si>
  <si>
    <t>S</t>
    <phoneticPr fontId="4" type="noConversion"/>
  </si>
  <si>
    <t>06876P</t>
    <phoneticPr fontId="4" type="noConversion"/>
  </si>
  <si>
    <t>台灣50兆豐9B</t>
    <phoneticPr fontId="4" type="noConversion"/>
  </si>
  <si>
    <t>T</t>
    <phoneticPr fontId="4" type="noConversion"/>
  </si>
  <si>
    <t>R</t>
    <phoneticPr fontId="4" type="noConversion"/>
  </si>
  <si>
    <t>ASK</t>
    <phoneticPr fontId="4" type="noConversion"/>
  </si>
  <si>
    <t>IV</t>
    <phoneticPr fontId="4" type="noConversion"/>
  </si>
  <si>
    <t>Delta</t>
    <phoneticPr fontId="4" type="noConversion"/>
  </si>
  <si>
    <t>權證代號</t>
    <phoneticPr fontId="4" type="noConversion"/>
  </si>
  <si>
    <t>權證名稱</t>
    <phoneticPr fontId="4" type="noConversion"/>
  </si>
  <si>
    <t>Gamma</t>
    <phoneticPr fontId="4" type="noConversion"/>
  </si>
  <si>
    <t>$Delta</t>
    <phoneticPr fontId="4" type="noConversion"/>
  </si>
  <si>
    <t>1%Gamma</t>
    <phoneticPr fontId="4" type="noConversion"/>
  </si>
  <si>
    <t>06773P</t>
    <phoneticPr fontId="4" type="noConversion"/>
  </si>
  <si>
    <t>台灣50兆豐9A</t>
    <phoneticPr fontId="4" type="noConversion"/>
  </si>
  <si>
    <t>到期日</t>
    <phoneticPr fontId="4" type="noConversion"/>
  </si>
  <si>
    <t>Bid Vol%</t>
    <phoneticPr fontId="4" type="noConversion"/>
  </si>
  <si>
    <t>Timedecay</t>
    <phoneticPr fontId="4" type="noConversion"/>
  </si>
  <si>
    <t>FITX</t>
    <phoneticPr fontId="4" type="noConversion"/>
  </si>
  <si>
    <t>Delta</t>
    <phoneticPr fontId="4" type="noConversion"/>
  </si>
  <si>
    <t>台灣50日盛99購02</t>
  </si>
  <si>
    <t>台灣50日盛9B購02</t>
  </si>
  <si>
    <t>07140P</t>
  </si>
  <si>
    <t>台灣50日盛99售01</t>
  </si>
  <si>
    <t>T50反1日盛9B購02</t>
  </si>
  <si>
    <t>07115P</t>
  </si>
  <si>
    <t>T50反1日盛9C售02</t>
  </si>
  <si>
    <t>滬深2X日盛9A購01</t>
  </si>
  <si>
    <t>元油2X日盛99購01</t>
  </si>
  <si>
    <t>元油2X日盛99購03</t>
  </si>
  <si>
    <t>A</t>
  </si>
  <si>
    <t>元油2X日盛99購02</t>
  </si>
  <si>
    <t>聯電日盛99購01</t>
  </si>
  <si>
    <t>聯電</t>
  </si>
  <si>
    <t>聯電日盛99購02</t>
  </si>
  <si>
    <t>鴻海日盛9A購02</t>
  </si>
  <si>
    <t>台積電日盛9C購01</t>
  </si>
  <si>
    <t>台積電日盛99購01</t>
  </si>
  <si>
    <t>台積電日盛9A購04</t>
  </si>
  <si>
    <t>南亞科日盛99購01</t>
  </si>
  <si>
    <t>聯發科日盛99購02</t>
  </si>
  <si>
    <t>可成日盛99購02</t>
  </si>
  <si>
    <t>可成日盛99購01</t>
  </si>
  <si>
    <t>華新科日盛99購02</t>
  </si>
  <si>
    <t>新光金日盛99購01</t>
  </si>
  <si>
    <t>欣興日盛99購01</t>
  </si>
  <si>
    <t>原相日盛9B購01</t>
  </si>
  <si>
    <t>06992P</t>
  </si>
  <si>
    <t>玉晶光日盛9B售01</t>
  </si>
  <si>
    <t>中美晶日盛99購01</t>
  </si>
  <si>
    <t>台表科日盛99購01</t>
  </si>
  <si>
    <t>台表科</t>
  </si>
  <si>
    <t>群聯日盛9B購01</t>
  </si>
  <si>
    <t>K</t>
    <phoneticPr fontId="4" type="noConversion"/>
  </si>
  <si>
    <t>大台</t>
    <phoneticPr fontId="4" type="noConversion"/>
  </si>
  <si>
    <t>小台</t>
    <phoneticPr fontId="4" type="noConversion"/>
  </si>
  <si>
    <t>到期日</t>
    <phoneticPr fontId="4" type="noConversion"/>
  </si>
  <si>
    <t>07161P</t>
  </si>
  <si>
    <t>07256P</t>
  </si>
  <si>
    <t>07009P</t>
  </si>
  <si>
    <t>07009P</t>
    <phoneticPr fontId="4" type="noConversion"/>
  </si>
  <si>
    <t>TWA00</t>
  </si>
  <si>
    <t>加權指數</t>
  </si>
  <si>
    <t>03414B</t>
  </si>
  <si>
    <t>臺股指凱基99熊01</t>
  </si>
  <si>
    <t>03419B</t>
  </si>
  <si>
    <t>臺股指元富99熊03</t>
  </si>
  <si>
    <t>03421B</t>
  </si>
  <si>
    <t>臺股指元大99熊01</t>
  </si>
  <si>
    <t>03425B</t>
  </si>
  <si>
    <t>臺股指元大9A熊01</t>
  </si>
  <si>
    <t>03427B</t>
  </si>
  <si>
    <t>臺股指元大9A熊02</t>
  </si>
  <si>
    <t>03428B</t>
  </si>
  <si>
    <t>臺股指凱基97熊18</t>
  </si>
  <si>
    <t>03429B</t>
  </si>
  <si>
    <t>臺股指元富97熊07</t>
  </si>
  <si>
    <t>03430B</t>
  </si>
  <si>
    <t>臺股指元大9B熊01</t>
  </si>
  <si>
    <t>03432B</t>
  </si>
  <si>
    <t>臺股指凱基98熊13</t>
  </si>
  <si>
    <t>03433B</t>
  </si>
  <si>
    <t>臺股指元大9C熊01</t>
  </si>
  <si>
    <t>03674C</t>
  </si>
  <si>
    <t>臺股指元富9C牛02</t>
  </si>
  <si>
    <t>03675C</t>
  </si>
  <si>
    <t>臺股指元大04牛02</t>
  </si>
  <si>
    <t>03676C</t>
  </si>
  <si>
    <t>臺股指元大04牛03</t>
  </si>
  <si>
    <t>03677C</t>
  </si>
  <si>
    <t>臺股指元大05牛02</t>
  </si>
  <si>
    <t>04023P</t>
  </si>
  <si>
    <t>臺股指元富99售02</t>
  </si>
  <si>
    <t>臺股指元富99購01</t>
  </si>
  <si>
    <t>臺股指凱基99購02</t>
  </si>
  <si>
    <t>臺股指中信99購01</t>
  </si>
  <si>
    <t>臺股指凱基97購01</t>
  </si>
  <si>
    <t>臺股指群益99購01</t>
  </si>
  <si>
    <t>臺股指統一99購01</t>
  </si>
  <si>
    <t>臺股指中信99購09</t>
  </si>
  <si>
    <t>臺股指元大99購03</t>
  </si>
  <si>
    <t>臺股指凱基9A購02</t>
  </si>
  <si>
    <t>臺股指永昌97購01</t>
  </si>
  <si>
    <t>臺股指兆豐97購01</t>
  </si>
  <si>
    <t>臺股指群益97購02</t>
  </si>
  <si>
    <t>臺股指群益97購03</t>
  </si>
  <si>
    <t>臺股指群益97購04</t>
  </si>
  <si>
    <t>臺股指群益97購05</t>
  </si>
  <si>
    <t>臺股指群益97購06</t>
  </si>
  <si>
    <t>臺股指凱基97購14</t>
  </si>
  <si>
    <t>臺股指凱基97購15</t>
  </si>
  <si>
    <t>臺股指凱基97購16</t>
  </si>
  <si>
    <t>臺股指國票97購09</t>
  </si>
  <si>
    <t>臺股指國票97購10</t>
  </si>
  <si>
    <t>臺股指國票97購11</t>
  </si>
  <si>
    <t>臺股指國票97購12</t>
  </si>
  <si>
    <t>臺股指元大97購01</t>
  </si>
  <si>
    <t>臺股指元大97購02</t>
  </si>
  <si>
    <t>臺股指元大97購03</t>
  </si>
  <si>
    <t>臺股指元大97購05</t>
  </si>
  <si>
    <t>臺股指元大97購07</t>
  </si>
  <si>
    <t>臺股指元大97購08</t>
  </si>
  <si>
    <t>臺股指元富97購01</t>
  </si>
  <si>
    <t>臺股指群益9C購01</t>
  </si>
  <si>
    <t>臺股指統一97購03</t>
  </si>
  <si>
    <t>臺股指富邦99購01</t>
  </si>
  <si>
    <t>臺股指永豐97購04</t>
  </si>
  <si>
    <t>臺股指群益98購01</t>
  </si>
  <si>
    <t>臺股指凱基99購06</t>
  </si>
  <si>
    <t>臺股指凱基99購07</t>
  </si>
  <si>
    <t>臺股指凱基99購08</t>
  </si>
  <si>
    <t>臺股指永豐98購02</t>
  </si>
  <si>
    <t>臺股指永豐98購03</t>
  </si>
  <si>
    <t>臺股指元大9A購07</t>
  </si>
  <si>
    <t>臺股指元大9A購08</t>
  </si>
  <si>
    <t>臺股指元大9A購09</t>
  </si>
  <si>
    <t>臺股指元大9A購10</t>
  </si>
  <si>
    <t>臺股指群益98購03</t>
  </si>
  <si>
    <t>臺股指麥證98購01</t>
  </si>
  <si>
    <t>臺股指元大99購04</t>
  </si>
  <si>
    <t>臺股指元大99購05</t>
  </si>
  <si>
    <t>臺股指元大99購09</t>
  </si>
  <si>
    <t>05729P</t>
  </si>
  <si>
    <t>臺股指凱基97售02</t>
  </si>
  <si>
    <t>05730P</t>
  </si>
  <si>
    <t>臺股指凱基97售03</t>
  </si>
  <si>
    <t>05738P</t>
  </si>
  <si>
    <t>臺股指統一97售01</t>
  </si>
  <si>
    <t>05739P</t>
  </si>
  <si>
    <t>臺股指統一97售02</t>
  </si>
  <si>
    <t>臺股指群益99購05</t>
  </si>
  <si>
    <t>臺股指群益99購06</t>
  </si>
  <si>
    <t>臺股指群益9C購04</t>
  </si>
  <si>
    <t>臺股指凱基9C購02</t>
  </si>
  <si>
    <t>臺股指統一99購04</t>
  </si>
  <si>
    <t>臺股指富邦99購03</t>
  </si>
  <si>
    <t>05748P</t>
  </si>
  <si>
    <t>臺股指群益99售02</t>
  </si>
  <si>
    <t>05749P</t>
  </si>
  <si>
    <t>臺股指群益99售03</t>
  </si>
  <si>
    <t>05750P</t>
  </si>
  <si>
    <t>臺股指群益99售04</t>
  </si>
  <si>
    <t>05753P</t>
  </si>
  <si>
    <t>臺股指中信99售02</t>
  </si>
  <si>
    <t>05754P</t>
  </si>
  <si>
    <t>臺股指中信99售03</t>
  </si>
  <si>
    <t>05755P</t>
  </si>
  <si>
    <t>臺股指中信99售04</t>
  </si>
  <si>
    <t>05756P</t>
  </si>
  <si>
    <t>臺股指中信99售05</t>
  </si>
  <si>
    <t>臺股指永昌98購01</t>
  </si>
  <si>
    <t>臺股指兆豐98購01</t>
  </si>
  <si>
    <t>臺股指元大98購06</t>
  </si>
  <si>
    <t>臺股指元大98購07</t>
  </si>
  <si>
    <t>臺股指元大98購08</t>
  </si>
  <si>
    <t>臺股指元大98購09</t>
  </si>
  <si>
    <t>臺股指元大98購10</t>
  </si>
  <si>
    <t>臺股指凱基98購10</t>
  </si>
  <si>
    <t>臺股指凱基98購11</t>
  </si>
  <si>
    <t>臺股指凱基98購12</t>
  </si>
  <si>
    <t>臺股指群益98購05</t>
  </si>
  <si>
    <t>臺股指群益98購06</t>
  </si>
  <si>
    <t>臺股指群益98購07</t>
  </si>
  <si>
    <t>臺股指群益98購08</t>
  </si>
  <si>
    <t>臺股指元富98購01</t>
  </si>
  <si>
    <t>臺股指元富98購02</t>
  </si>
  <si>
    <t>05773P</t>
  </si>
  <si>
    <t>臺股指凱基99售03</t>
  </si>
  <si>
    <t>05774P</t>
  </si>
  <si>
    <t>臺股指凱基99售04</t>
  </si>
  <si>
    <t>臺股指國票98購08</t>
  </si>
  <si>
    <t>臺股指國票98購09</t>
  </si>
  <si>
    <t>臺股指國票98購10</t>
  </si>
  <si>
    <t>05781P</t>
  </si>
  <si>
    <t>臺股指統一99售02</t>
  </si>
  <si>
    <t>臺股指元大98購12</t>
  </si>
  <si>
    <t>臺股指永豐98購06</t>
  </si>
  <si>
    <t>05791P</t>
  </si>
  <si>
    <t>臺股指中信99售06</t>
  </si>
  <si>
    <t>05792P</t>
  </si>
  <si>
    <t>臺股指中信99售07</t>
  </si>
  <si>
    <t>05793P</t>
  </si>
  <si>
    <t>臺股指中信99售08</t>
  </si>
  <si>
    <t>臺股指元大98購14</t>
  </si>
  <si>
    <t>臺股指凱基01購01</t>
  </si>
  <si>
    <t>臺股指凱基9C購04</t>
  </si>
  <si>
    <t>臺股指元大9A購16</t>
  </si>
  <si>
    <t>臺股指元大9A購17</t>
  </si>
  <si>
    <t>臺股指元大9A購18</t>
  </si>
  <si>
    <t>臺股指元大9A購19</t>
  </si>
  <si>
    <t>臺股指元大9A購20</t>
  </si>
  <si>
    <t>臺股指凱基99購14</t>
  </si>
  <si>
    <t>臺股指凱基99購15</t>
  </si>
  <si>
    <t>臺股指麥證99購01</t>
  </si>
  <si>
    <t>臺股指永豐99購01</t>
  </si>
  <si>
    <t>臺股指中信9A購05</t>
  </si>
  <si>
    <t>臺股指中信9C購01</t>
  </si>
  <si>
    <t>臺股指元大9A購21</t>
  </si>
  <si>
    <t>臺股指元大9A購22</t>
  </si>
  <si>
    <t>臺股指元大9A購23</t>
  </si>
  <si>
    <t>臺股指國票99購01</t>
  </si>
  <si>
    <t>臺股指國票99購02</t>
  </si>
  <si>
    <t>臺股指國票99購03</t>
  </si>
  <si>
    <t>臺股指國票99購04</t>
  </si>
  <si>
    <t>臺股指國票99購05</t>
  </si>
  <si>
    <t>臺股指永豐99購03</t>
  </si>
  <si>
    <t>05900P</t>
  </si>
  <si>
    <t>臺股指凱基99售05</t>
  </si>
  <si>
    <t>臺股指元大99購12</t>
  </si>
  <si>
    <t>臺股指元大9A購30</t>
  </si>
  <si>
    <t>臺股指元大9A購31</t>
  </si>
  <si>
    <t>臺股指元大9A購32</t>
  </si>
  <si>
    <t>05901P</t>
  </si>
  <si>
    <t>臺股指凱基9C售01</t>
  </si>
  <si>
    <t>臺股指元富99購05</t>
  </si>
  <si>
    <t>臺股指元富99購06</t>
  </si>
  <si>
    <t>臺股指元富99購07</t>
  </si>
  <si>
    <t>臺股指群益99購07</t>
  </si>
  <si>
    <t>臺股指群益99購08</t>
  </si>
  <si>
    <t>臺股指群益99購09</t>
  </si>
  <si>
    <t>臺股指群益99購10</t>
  </si>
  <si>
    <t>臺股指群益99購11</t>
  </si>
  <si>
    <t>臺股指兆豐99購01</t>
  </si>
  <si>
    <t>臺股指國票99購12</t>
  </si>
  <si>
    <t>臺股指國票99購13</t>
  </si>
  <si>
    <t>臺股指國票99購14</t>
  </si>
  <si>
    <t>臺股指國票99購15</t>
  </si>
  <si>
    <t>臺股指國票99購16</t>
  </si>
  <si>
    <t>臺股指凱基99購26</t>
  </si>
  <si>
    <t>臺股指凱基99購27</t>
  </si>
  <si>
    <t>臺股指凱基99購28</t>
  </si>
  <si>
    <t>臺股指凱基99購30</t>
  </si>
  <si>
    <t>臺股指台新99購12</t>
  </si>
  <si>
    <t>臺股指富邦9C購01</t>
  </si>
  <si>
    <t>臺股指元大99購18</t>
  </si>
  <si>
    <t>臺股指元大99購19</t>
  </si>
  <si>
    <t>臺股指元大99購20</t>
  </si>
  <si>
    <t>臺股指元大99購21</t>
  </si>
  <si>
    <t>臺股指元大99購22</t>
  </si>
  <si>
    <t>臺股指凱基99購33</t>
  </si>
  <si>
    <t>臺股指凱基99購34</t>
  </si>
  <si>
    <t>臺股指凱基99購35</t>
  </si>
  <si>
    <t>臺股指中信9B購03</t>
  </si>
  <si>
    <t>臺股指凱基99購38</t>
  </si>
  <si>
    <t>臺股指凱基99購39</t>
  </si>
  <si>
    <t>臺股指凱基99購40</t>
  </si>
  <si>
    <t>臺股指國票99購17</t>
  </si>
  <si>
    <t>臺股指國票99購18</t>
  </si>
  <si>
    <t>臺股指元大99購25</t>
  </si>
  <si>
    <t>臺股指元大99購26</t>
  </si>
  <si>
    <t>臺股指元大99購27</t>
  </si>
  <si>
    <t>臺股指元大99購28</t>
  </si>
  <si>
    <t>臺股指群益99購17</t>
  </si>
  <si>
    <t>臺股指群益99購18</t>
  </si>
  <si>
    <t>臺股指凱基99購41</t>
  </si>
  <si>
    <t>臺股指凱基99購42</t>
  </si>
  <si>
    <t>臺股指元大9A購38</t>
  </si>
  <si>
    <t>臺股指元大9A購39</t>
  </si>
  <si>
    <t>臺股指元大9A購40</t>
  </si>
  <si>
    <t>臺股指元大9A購41</t>
  </si>
  <si>
    <t>臺股指元大9A購42</t>
  </si>
  <si>
    <t>06025P</t>
  </si>
  <si>
    <t>臺股指元大99售02</t>
  </si>
  <si>
    <t>06054P</t>
  </si>
  <si>
    <t>臺股指中信9A售01</t>
  </si>
  <si>
    <t>06078P</t>
  </si>
  <si>
    <t>臺股指凱基9A售01</t>
  </si>
  <si>
    <t>06165P</t>
  </si>
  <si>
    <t>臺股指凱基9A售03</t>
  </si>
  <si>
    <t>06250P</t>
  </si>
  <si>
    <t>臺股指永昌97售02</t>
  </si>
  <si>
    <t>06251P</t>
  </si>
  <si>
    <t>臺股指永昌97售03</t>
  </si>
  <si>
    <t>06252P</t>
  </si>
  <si>
    <t>臺股指兆豐97售02</t>
  </si>
  <si>
    <t>06253P</t>
  </si>
  <si>
    <t>臺股指兆豐97售03</t>
  </si>
  <si>
    <t>06254P</t>
  </si>
  <si>
    <t>臺股指群益97售07</t>
  </si>
  <si>
    <t>06255P</t>
  </si>
  <si>
    <t>臺股指群益97售08</t>
  </si>
  <si>
    <t>06256P</t>
  </si>
  <si>
    <t>臺股指群益97售09</t>
  </si>
  <si>
    <t>06257P</t>
  </si>
  <si>
    <t>臺股指群益97售10</t>
  </si>
  <si>
    <t>06258P</t>
  </si>
  <si>
    <t>臺股指群益97售11</t>
  </si>
  <si>
    <t>06259P</t>
  </si>
  <si>
    <t>臺股指群益97售12</t>
  </si>
  <si>
    <t>06260P</t>
  </si>
  <si>
    <t>臺股指群益97售13</t>
  </si>
  <si>
    <t>06274P</t>
  </si>
  <si>
    <t>臺股指凱基97售06</t>
  </si>
  <si>
    <t>06275P</t>
  </si>
  <si>
    <t>臺股指凱基97售07</t>
  </si>
  <si>
    <t>06276P</t>
  </si>
  <si>
    <t>臺股指凱基97售08</t>
  </si>
  <si>
    <t>06277P</t>
  </si>
  <si>
    <t>臺股指凱基97售09</t>
  </si>
  <si>
    <t>06278P</t>
  </si>
  <si>
    <t>臺股指凱基97售10</t>
  </si>
  <si>
    <t>06279P</t>
  </si>
  <si>
    <t>臺股指凱基97售11</t>
  </si>
  <si>
    <t>06280P</t>
  </si>
  <si>
    <t>臺股指凱基97售12</t>
  </si>
  <si>
    <t>06281P</t>
  </si>
  <si>
    <t>臺股指凱基97售13</t>
  </si>
  <si>
    <t>06287P</t>
  </si>
  <si>
    <t>臺股指國票97售01</t>
  </si>
  <si>
    <t>06288P</t>
  </si>
  <si>
    <t>臺股指國票97售02</t>
  </si>
  <si>
    <t>06289P</t>
  </si>
  <si>
    <t>臺股指國票97售03</t>
  </si>
  <si>
    <t>06290P</t>
  </si>
  <si>
    <t>臺股指國票97售04</t>
  </si>
  <si>
    <t>06291P</t>
  </si>
  <si>
    <t>臺股指國票97售05</t>
  </si>
  <si>
    <t>06292P</t>
  </si>
  <si>
    <t>臺股指國票97售06</t>
  </si>
  <si>
    <t>06293P</t>
  </si>
  <si>
    <t>臺股指國票97售07</t>
  </si>
  <si>
    <t>06294P</t>
  </si>
  <si>
    <t>臺股指國票97售08</t>
  </si>
  <si>
    <t>06301P</t>
  </si>
  <si>
    <t>臺股指元大97售04</t>
  </si>
  <si>
    <t>06302P</t>
  </si>
  <si>
    <t>臺股指元大97售06</t>
  </si>
  <si>
    <t>06303P</t>
  </si>
  <si>
    <t>臺股指元大97售09</t>
  </si>
  <si>
    <t>06304P</t>
  </si>
  <si>
    <t>臺股指元大97售10</t>
  </si>
  <si>
    <t>06305P</t>
  </si>
  <si>
    <t>臺股指元大97售11</t>
  </si>
  <si>
    <t>06306P</t>
  </si>
  <si>
    <t>臺股指元大97售12</t>
  </si>
  <si>
    <t>06315P</t>
  </si>
  <si>
    <t>臺股指元富97售02</t>
  </si>
  <si>
    <t>06316P</t>
  </si>
  <si>
    <t>臺股指元富97售03</t>
  </si>
  <si>
    <t>06317P</t>
  </si>
  <si>
    <t>臺股指元富97售04</t>
  </si>
  <si>
    <t>06318P</t>
  </si>
  <si>
    <t>臺股指元富97售05</t>
  </si>
  <si>
    <t>06319P</t>
  </si>
  <si>
    <t>臺股指元富97售06</t>
  </si>
  <si>
    <t>06333P</t>
  </si>
  <si>
    <t>臺股指群益9C售02</t>
  </si>
  <si>
    <t>06334P</t>
  </si>
  <si>
    <t>臺股指群益9C售03</t>
  </si>
  <si>
    <t>06343P</t>
  </si>
  <si>
    <t>臺股指統一98售01</t>
  </si>
  <si>
    <t>06344P</t>
  </si>
  <si>
    <t>臺股指統一99售03</t>
  </si>
  <si>
    <t>06345P</t>
  </si>
  <si>
    <t>臺股指統一9A售01</t>
  </si>
  <si>
    <t>06349P</t>
  </si>
  <si>
    <t>臺股指台新99售01</t>
  </si>
  <si>
    <t>06350P</t>
  </si>
  <si>
    <t>臺股指台新99售02</t>
  </si>
  <si>
    <t>06351P</t>
  </si>
  <si>
    <t>臺股指台新99售03</t>
  </si>
  <si>
    <t>06352P</t>
  </si>
  <si>
    <t>臺股指富邦99售02</t>
  </si>
  <si>
    <t>06357P</t>
  </si>
  <si>
    <t>臺股指永豐97售03</t>
  </si>
  <si>
    <t>06362P</t>
  </si>
  <si>
    <t>臺股指麥證97售01</t>
  </si>
  <si>
    <t>06363P</t>
  </si>
  <si>
    <t>臺股指麥證97售02</t>
  </si>
  <si>
    <t>06380P</t>
  </si>
  <si>
    <t>臺股指統一98售02</t>
  </si>
  <si>
    <t>06381P</t>
  </si>
  <si>
    <t>臺股指統一98售03</t>
  </si>
  <si>
    <t>06435P</t>
  </si>
  <si>
    <t>臺股指群益98售02</t>
  </si>
  <si>
    <t>06469P</t>
  </si>
  <si>
    <t>臺股指凱基99售09</t>
  </si>
  <si>
    <t>06470P</t>
  </si>
  <si>
    <t>臺股指凱基99售10</t>
  </si>
  <si>
    <t>06471P</t>
  </si>
  <si>
    <t>臺股指凱基99售11</t>
  </si>
  <si>
    <t>06476P</t>
  </si>
  <si>
    <t>臺股指永豐98售01</t>
  </si>
  <si>
    <t>06498P</t>
  </si>
  <si>
    <t>臺股指元大9A售03</t>
  </si>
  <si>
    <t>06499P</t>
  </si>
  <si>
    <t>臺股指元大9A售04</t>
  </si>
  <si>
    <t>06500P</t>
  </si>
  <si>
    <t>臺股指元大9A售05</t>
  </si>
  <si>
    <t>06501P</t>
  </si>
  <si>
    <t>臺股指元大9A售06</t>
  </si>
  <si>
    <t>06503P</t>
  </si>
  <si>
    <t>臺股指中信9A售02</t>
  </si>
  <si>
    <t>06524P</t>
  </si>
  <si>
    <t>臺股指麥證98售02</t>
  </si>
  <si>
    <t>06536P</t>
  </si>
  <si>
    <t>臺股指群益98售04</t>
  </si>
  <si>
    <t>06554P</t>
  </si>
  <si>
    <t>臺股指元大99售06</t>
  </si>
  <si>
    <t>06555P</t>
  </si>
  <si>
    <t>臺股指元大99售07</t>
  </si>
  <si>
    <t>06556P</t>
  </si>
  <si>
    <t>臺股指元大99售08</t>
  </si>
  <si>
    <t>06579P</t>
  </si>
  <si>
    <t>臺股指麥證98售03</t>
  </si>
  <si>
    <t>06601P</t>
  </si>
  <si>
    <t>臺股指永豐98售04</t>
  </si>
  <si>
    <t>06691P</t>
  </si>
  <si>
    <t>臺股指群益9C售05</t>
  </si>
  <si>
    <t>06693P</t>
  </si>
  <si>
    <t>臺股指凱基98售01</t>
  </si>
  <si>
    <t>06694P</t>
  </si>
  <si>
    <t>臺股指凱基99售13</t>
  </si>
  <si>
    <t>06700P</t>
  </si>
  <si>
    <t>臺股指統一99售05</t>
  </si>
  <si>
    <t>06701P</t>
  </si>
  <si>
    <t>臺股指統一99售06</t>
  </si>
  <si>
    <t>06707P</t>
  </si>
  <si>
    <t>臺股指台新99售04</t>
  </si>
  <si>
    <t>06708P</t>
  </si>
  <si>
    <t>臺股指台新99售05</t>
  </si>
  <si>
    <t>06709P</t>
  </si>
  <si>
    <t>臺股指台新99售06</t>
  </si>
  <si>
    <t>06710P</t>
  </si>
  <si>
    <t>臺股指台新99售07</t>
  </si>
  <si>
    <t>06711P</t>
  </si>
  <si>
    <t>臺股指台新99售08</t>
  </si>
  <si>
    <t>06712P</t>
  </si>
  <si>
    <t>臺股指台新99售09</t>
  </si>
  <si>
    <t>06713P</t>
  </si>
  <si>
    <t>臺股指富邦99售04</t>
  </si>
  <si>
    <t>06721P</t>
  </si>
  <si>
    <t>臺股指中信9A售03</t>
  </si>
  <si>
    <t>06722P</t>
  </si>
  <si>
    <t>臺股指中信9A售04</t>
  </si>
  <si>
    <t>06756P</t>
  </si>
  <si>
    <t>臺股指永豐98售05</t>
  </si>
  <si>
    <t>06768P</t>
  </si>
  <si>
    <t>臺股指永昌98售02</t>
  </si>
  <si>
    <t>06769P</t>
  </si>
  <si>
    <t>臺股指永昌98售03</t>
  </si>
  <si>
    <t>06774P</t>
  </si>
  <si>
    <t>臺股指兆豐98售02</t>
  </si>
  <si>
    <t>06775P</t>
  </si>
  <si>
    <t>臺股指兆豐98售03</t>
  </si>
  <si>
    <t>06784P</t>
  </si>
  <si>
    <t>臺股指元大98售01</t>
  </si>
  <si>
    <t>06785P</t>
  </si>
  <si>
    <t>臺股指元大98售02</t>
  </si>
  <si>
    <t>06786P</t>
  </si>
  <si>
    <t>臺股指元大98售03</t>
  </si>
  <si>
    <t>06787P</t>
  </si>
  <si>
    <t>臺股指元大98售04</t>
  </si>
  <si>
    <t>06788P</t>
  </si>
  <si>
    <t>臺股指元大98售05</t>
  </si>
  <si>
    <t>06792P</t>
  </si>
  <si>
    <t>臺股指凱基98售02</t>
  </si>
  <si>
    <t>06793P</t>
  </si>
  <si>
    <t>臺股指凱基98售03</t>
  </si>
  <si>
    <t>06794P</t>
  </si>
  <si>
    <t>臺股指凱基98售04</t>
  </si>
  <si>
    <t>06795P</t>
  </si>
  <si>
    <t>臺股指凱基98售05</t>
  </si>
  <si>
    <t>06796P</t>
  </si>
  <si>
    <t>臺股指凱基98售06</t>
  </si>
  <si>
    <t>06797P</t>
  </si>
  <si>
    <t>臺股指凱基98售07</t>
  </si>
  <si>
    <t>06798P</t>
  </si>
  <si>
    <t>臺股指凱基98售08</t>
  </si>
  <si>
    <t>06799P</t>
  </si>
  <si>
    <t>臺股指凱基98售09</t>
  </si>
  <si>
    <t>06803P</t>
  </si>
  <si>
    <t>臺股指群益98售09</t>
  </si>
  <si>
    <t>06804P</t>
  </si>
  <si>
    <t>臺股指群益98售10</t>
  </si>
  <si>
    <t>06805P</t>
  </si>
  <si>
    <t>臺股指群益98售11</t>
  </si>
  <si>
    <t>06806P</t>
  </si>
  <si>
    <t>臺股指群益98售12</t>
  </si>
  <si>
    <t>06807P</t>
  </si>
  <si>
    <t>臺股指群益98售13</t>
  </si>
  <si>
    <t>06814P</t>
  </si>
  <si>
    <t>臺股指元富98售03</t>
  </si>
  <si>
    <t>06815P</t>
  </si>
  <si>
    <t>臺股指元富98售04</t>
  </si>
  <si>
    <t>06816P</t>
  </si>
  <si>
    <t>臺股指元富98售05</t>
  </si>
  <si>
    <t>06817P</t>
  </si>
  <si>
    <t>臺股指元富98售06</t>
  </si>
  <si>
    <t>06818P</t>
  </si>
  <si>
    <t>臺股指元富98售07</t>
  </si>
  <si>
    <t>06819P</t>
  </si>
  <si>
    <t>臺股指元富98售08</t>
  </si>
  <si>
    <t>06820P</t>
  </si>
  <si>
    <t>臺股指元富98售09</t>
  </si>
  <si>
    <t>06821P</t>
  </si>
  <si>
    <t>臺股指元富98售10</t>
  </si>
  <si>
    <t>06825P</t>
  </si>
  <si>
    <t>臺股指國票98售01</t>
  </si>
  <si>
    <t>06826P</t>
  </si>
  <si>
    <t>臺股指國票98售02</t>
  </si>
  <si>
    <t>06827P</t>
  </si>
  <si>
    <t>臺股指國票98售03</t>
  </si>
  <si>
    <t>06828P</t>
  </si>
  <si>
    <t>臺股指國票98售04</t>
  </si>
  <si>
    <t>06829P</t>
  </si>
  <si>
    <t>臺股指國票98售05</t>
  </si>
  <si>
    <t>06830P</t>
  </si>
  <si>
    <t>臺股指國票98售06</t>
  </si>
  <si>
    <t>06831P</t>
  </si>
  <si>
    <t>臺股指國票98售07</t>
  </si>
  <si>
    <t>06840P</t>
  </si>
  <si>
    <t>臺股指統一98售04</t>
  </si>
  <si>
    <t>06841P</t>
  </si>
  <si>
    <t>臺股指統一9A售02</t>
  </si>
  <si>
    <t>06842P</t>
  </si>
  <si>
    <t>臺股指統一9A售03</t>
  </si>
  <si>
    <t>06852P</t>
  </si>
  <si>
    <t>臺股指元大98售11</t>
  </si>
  <si>
    <t>06889P</t>
  </si>
  <si>
    <t>臺股指元大98售13</t>
  </si>
  <si>
    <t>06964P</t>
  </si>
  <si>
    <t>臺股指凱基9B售01</t>
  </si>
  <si>
    <t>06973P</t>
  </si>
  <si>
    <t>臺股指元大9A售11</t>
  </si>
  <si>
    <t>06974P</t>
  </si>
  <si>
    <t>臺股指元大9A售12</t>
  </si>
  <si>
    <t>06975P</t>
  </si>
  <si>
    <t>臺股指元大9A售13</t>
  </si>
  <si>
    <t>06976P</t>
  </si>
  <si>
    <t>臺股指元大9A售14</t>
  </si>
  <si>
    <t>06977P</t>
  </si>
  <si>
    <t>臺股指元大9A售15</t>
  </si>
  <si>
    <t>06995P</t>
  </si>
  <si>
    <t>臺股指凱基99售16</t>
  </si>
  <si>
    <t>06996P</t>
  </si>
  <si>
    <t>臺股指凱基99售17</t>
  </si>
  <si>
    <t>臺股指中信9B售01</t>
  </si>
  <si>
    <t>07024P</t>
  </si>
  <si>
    <t>臺股指永豐99售02</t>
  </si>
  <si>
    <t>07052P</t>
  </si>
  <si>
    <t>臺股指中信9C售02</t>
  </si>
  <si>
    <t>07056P</t>
  </si>
  <si>
    <t>臺股指麥證99售02</t>
  </si>
  <si>
    <t>07063P</t>
  </si>
  <si>
    <t>臺股指元大9A售24</t>
  </si>
  <si>
    <t>07064P</t>
  </si>
  <si>
    <t>臺股指元大9A售25</t>
  </si>
  <si>
    <t>07065P</t>
  </si>
  <si>
    <t>臺股指元大9A售26</t>
  </si>
  <si>
    <t>07073P</t>
  </si>
  <si>
    <t>臺股指中信9B售02</t>
  </si>
  <si>
    <t>07107P</t>
  </si>
  <si>
    <t>臺股指統一99售07</t>
  </si>
  <si>
    <t>07132P</t>
  </si>
  <si>
    <t>臺股指元大99售11</t>
  </si>
  <si>
    <t>07133P</t>
  </si>
  <si>
    <t>臺股指元大9A售27</t>
  </si>
  <si>
    <t>07134P</t>
  </si>
  <si>
    <t>臺股指元大9A售28</t>
  </si>
  <si>
    <t>07135P</t>
  </si>
  <si>
    <t>臺股指元大9A售29</t>
  </si>
  <si>
    <t>07152P</t>
  </si>
  <si>
    <t>臺股指元富99售08</t>
  </si>
  <si>
    <t>07153P</t>
  </si>
  <si>
    <t>臺股指元富99售09</t>
  </si>
  <si>
    <t>07155P</t>
  </si>
  <si>
    <t>臺股指元富99售10</t>
  </si>
  <si>
    <t>07156P</t>
  </si>
  <si>
    <t>臺股指元富99售11</t>
  </si>
  <si>
    <t>07157P</t>
  </si>
  <si>
    <t>臺股指元富99售12</t>
  </si>
  <si>
    <t>臺股指群益99售12</t>
  </si>
  <si>
    <t>07162P</t>
  </si>
  <si>
    <t>臺股指群益99售13</t>
  </si>
  <si>
    <t>07163P</t>
  </si>
  <si>
    <t>臺股指群益99售14</t>
  </si>
  <si>
    <t>07164P</t>
  </si>
  <si>
    <t>臺股指群益99售15</t>
  </si>
  <si>
    <t>07165P</t>
  </si>
  <si>
    <t>臺股指群益99售16</t>
  </si>
  <si>
    <t>07167P</t>
  </si>
  <si>
    <t>臺股指兆豐99售02</t>
  </si>
  <si>
    <t>07168P</t>
  </si>
  <si>
    <t>臺股指兆豐99售03</t>
  </si>
  <si>
    <t>07169P</t>
  </si>
  <si>
    <t>臺股指國票99售06</t>
  </si>
  <si>
    <t>07170P</t>
  </si>
  <si>
    <t>臺股指國票99售07</t>
  </si>
  <si>
    <t>07171P</t>
  </si>
  <si>
    <t>臺股指國票99售08</t>
  </si>
  <si>
    <t>07172P</t>
  </si>
  <si>
    <t>臺股指國票99售09</t>
  </si>
  <si>
    <t>07173P</t>
  </si>
  <si>
    <t>臺股指國票99售10</t>
  </si>
  <si>
    <t>07174P</t>
  </si>
  <si>
    <t>臺股指國票99售11</t>
  </si>
  <si>
    <t>07176P</t>
  </si>
  <si>
    <t>臺股指凱基99售18</t>
  </si>
  <si>
    <t>07177P</t>
  </si>
  <si>
    <t>臺股指凱基99售19</t>
  </si>
  <si>
    <t>07178P</t>
  </si>
  <si>
    <t>臺股指凱基99售20</t>
  </si>
  <si>
    <t>07179P</t>
  </si>
  <si>
    <t>臺股指凱基99售21</t>
  </si>
  <si>
    <t>07180P</t>
  </si>
  <si>
    <t>臺股指凱基99售22</t>
  </si>
  <si>
    <t>07181P</t>
  </si>
  <si>
    <t>臺股指凱基99售23</t>
  </si>
  <si>
    <t>07182P</t>
  </si>
  <si>
    <t>臺股指凱基99售24</t>
  </si>
  <si>
    <t>07183P</t>
  </si>
  <si>
    <t>臺股指凱基99售25</t>
  </si>
  <si>
    <t>07185P</t>
  </si>
  <si>
    <t>臺股指統一9C售01</t>
  </si>
  <si>
    <t>07186P</t>
  </si>
  <si>
    <t>臺股指統一9C售02</t>
  </si>
  <si>
    <t>07187P</t>
  </si>
  <si>
    <t>臺股指台新99售10</t>
  </si>
  <si>
    <t>07188P</t>
  </si>
  <si>
    <t>臺股指台新99售11</t>
  </si>
  <si>
    <t>07190P</t>
  </si>
  <si>
    <t>臺股指富邦9C售02</t>
  </si>
  <si>
    <t>07197P</t>
  </si>
  <si>
    <t>臺股指元大99售13</t>
  </si>
  <si>
    <t>07198P</t>
  </si>
  <si>
    <t>臺股指元大99售14</t>
  </si>
  <si>
    <t>07199P</t>
  </si>
  <si>
    <t>臺股指元大99售15</t>
  </si>
  <si>
    <t>07200P</t>
  </si>
  <si>
    <t>臺股指元大99售16</t>
  </si>
  <si>
    <t>07201P</t>
  </si>
  <si>
    <t>臺股指元大99售17</t>
  </si>
  <si>
    <t>07218P</t>
  </si>
  <si>
    <t>臺股指凱基99售31</t>
  </si>
  <si>
    <t>07219P</t>
  </si>
  <si>
    <t>臺股指凱基99售32</t>
  </si>
  <si>
    <t>07221P</t>
  </si>
  <si>
    <t>臺股指中信9B售04</t>
  </si>
  <si>
    <t>臺股指凱基99售36</t>
  </si>
  <si>
    <t>07257P</t>
  </si>
  <si>
    <t>臺股指凱基99售37</t>
  </si>
  <si>
    <t>07267P</t>
  </si>
  <si>
    <t>臺股指元大99售23</t>
  </si>
  <si>
    <t>07268P</t>
  </si>
  <si>
    <t>臺股指元大99售24</t>
  </si>
  <si>
    <t>07276P</t>
  </si>
  <si>
    <t>臺股指群益99售19</t>
  </si>
  <si>
    <t>07277P</t>
  </si>
  <si>
    <t>臺股指群益99售20</t>
  </si>
  <si>
    <t>07291P</t>
  </si>
  <si>
    <t>臺股指凱基99售43</t>
  </si>
  <si>
    <t>07292P</t>
  </si>
  <si>
    <t>臺股指凱基99售44</t>
  </si>
  <si>
    <t>07293P</t>
  </si>
  <si>
    <t>臺股指凱基99售45</t>
  </si>
  <si>
    <t>07300P</t>
  </si>
  <si>
    <t>臺股指元大9A售33</t>
  </si>
  <si>
    <t>07301P</t>
  </si>
  <si>
    <t>臺股指元大9A售34</t>
  </si>
  <si>
    <t>07302P</t>
  </si>
  <si>
    <t>臺股指元大9A售35</t>
  </si>
  <si>
    <t>07303P</t>
  </si>
  <si>
    <t>臺股指元大9A售36</t>
  </si>
  <si>
    <t>07304P</t>
  </si>
  <si>
    <t>臺股指元大9A售37</t>
  </si>
  <si>
    <t>K</t>
    <phoneticPr fontId="4" type="noConversion"/>
  </si>
  <si>
    <t>權證代碼</t>
  </si>
  <si>
    <t>標的代碼</t>
  </si>
  <si>
    <t>交易群組</t>
  </si>
  <si>
    <t>商品代號</t>
  </si>
  <si>
    <t>商品名稱</t>
  </si>
  <si>
    <t>即時口(張)數</t>
  </si>
  <si>
    <t>3406</t>
  </si>
  <si>
    <t>2330</t>
  </si>
  <si>
    <t>03365P</t>
  </si>
  <si>
    <t>元油2X富邦98售01</t>
  </si>
  <si>
    <t>03450P</t>
  </si>
  <si>
    <t>元油2X元富98售05</t>
  </si>
  <si>
    <t>04503P</t>
  </si>
  <si>
    <t>元油2X元富98售09</t>
  </si>
  <si>
    <t>06541P</t>
  </si>
  <si>
    <t>元油2X國票9A售02</t>
  </si>
  <si>
    <t>06563P</t>
  </si>
  <si>
    <t>元油2X富邦02售02</t>
  </si>
  <si>
    <t>06580P</t>
  </si>
  <si>
    <t>元油2X凱基9A售06</t>
  </si>
  <si>
    <t>06609P</t>
  </si>
  <si>
    <t>元油2X凱基9B售06</t>
  </si>
  <si>
    <t>06612P</t>
  </si>
  <si>
    <t>元油2X富邦9B售03</t>
  </si>
  <si>
    <t>06909P</t>
  </si>
  <si>
    <t>元油2X元大98售22</t>
  </si>
  <si>
    <t>06910P</t>
  </si>
  <si>
    <t>元油2X元大98售23</t>
  </si>
  <si>
    <t>2317</t>
  </si>
  <si>
    <t>053912</t>
  </si>
  <si>
    <t>T50反1國票97購02</t>
  </si>
  <si>
    <t>2474</t>
  </si>
  <si>
    <t>053919</t>
  </si>
  <si>
    <t>可成國票97購02</t>
  </si>
  <si>
    <t>054628</t>
  </si>
  <si>
    <t>可成凱基98購01</t>
  </si>
  <si>
    <t>2327</t>
  </si>
  <si>
    <t>3008</t>
  </si>
  <si>
    <t>054150</t>
  </si>
  <si>
    <t>國巨國泰97購05</t>
  </si>
  <si>
    <t>2888</t>
  </si>
  <si>
    <t>054158</t>
  </si>
  <si>
    <t>052130</t>
  </si>
  <si>
    <t>國巨凱基9B購01</t>
  </si>
  <si>
    <t>057078</t>
  </si>
  <si>
    <t>國巨統一9A購02</t>
  </si>
  <si>
    <t>2454</t>
  </si>
  <si>
    <t>6213</t>
  </si>
  <si>
    <t>057263</t>
  </si>
  <si>
    <t>可成兆豐99購01</t>
  </si>
  <si>
    <t>057968</t>
  </si>
  <si>
    <t>可成國泰9A購01</t>
  </si>
  <si>
    <t>058634</t>
  </si>
  <si>
    <t>可成兆豐99購03</t>
  </si>
  <si>
    <t>055346</t>
  </si>
  <si>
    <t>國巨凱基98購02</t>
  </si>
  <si>
    <t>056504</t>
  </si>
  <si>
    <t>國巨永豐98購02</t>
  </si>
  <si>
    <t>056147</t>
  </si>
  <si>
    <t>055891</t>
  </si>
  <si>
    <t>鴻海統一9A購01</t>
  </si>
  <si>
    <t>056433</t>
  </si>
  <si>
    <t>鴻海凱基98購09</t>
  </si>
  <si>
    <t>056632</t>
  </si>
  <si>
    <t>鴻海永昌98購01</t>
  </si>
  <si>
    <t>056945</t>
  </si>
  <si>
    <t>鴻海統一98購12</t>
  </si>
  <si>
    <t>057346</t>
  </si>
  <si>
    <t>鴻海統一98購13</t>
  </si>
  <si>
    <t>FICDFI</t>
  </si>
  <si>
    <t>台積電09</t>
  </si>
  <si>
    <t>056636</t>
  </si>
  <si>
    <t>07113P</t>
  </si>
  <si>
    <t>台積電兆豐99售03</t>
  </si>
  <si>
    <t>056869</t>
  </si>
  <si>
    <t>055892</t>
  </si>
  <si>
    <t>國巨統一99購01</t>
  </si>
  <si>
    <t>056275</t>
  </si>
  <si>
    <t>國巨國泰98購04</t>
  </si>
  <si>
    <t>057115</t>
  </si>
  <si>
    <t>03388P</t>
  </si>
  <si>
    <t>元油2X元富98售02</t>
  </si>
  <si>
    <t>06596P</t>
  </si>
  <si>
    <t>元油2X富邦02售03</t>
  </si>
  <si>
    <t>057116</t>
  </si>
  <si>
    <t>058099</t>
  </si>
  <si>
    <t>鴻海國泰9A購02</t>
  </si>
  <si>
    <t>058202</t>
  </si>
  <si>
    <t>鴻海凱基9A購04</t>
  </si>
  <si>
    <t>4938</t>
  </si>
  <si>
    <t>057415</t>
  </si>
  <si>
    <t>057648</t>
  </si>
  <si>
    <t>和碩元大98購01</t>
  </si>
  <si>
    <t>057684</t>
  </si>
  <si>
    <t>057755</t>
  </si>
  <si>
    <t>058043</t>
  </si>
  <si>
    <t>鴻海元大98購13</t>
  </si>
  <si>
    <t>058086</t>
  </si>
  <si>
    <t>鴻海元大98購14</t>
  </si>
  <si>
    <t>058087</t>
  </si>
  <si>
    <t>鴻海元大98購15</t>
  </si>
  <si>
    <t>057992</t>
  </si>
  <si>
    <t>058291</t>
  </si>
  <si>
    <t>08539P</t>
  </si>
  <si>
    <t>元油2X國票99售01</t>
  </si>
  <si>
    <t>058471</t>
  </si>
  <si>
    <t>059540</t>
  </si>
  <si>
    <t>06513P</t>
  </si>
  <si>
    <t>鴻海凱基98售10</t>
  </si>
  <si>
    <t>06543P</t>
  </si>
  <si>
    <t>鴻海元大98售08</t>
  </si>
  <si>
    <t>06638P</t>
  </si>
  <si>
    <t>鴻海統一99售02</t>
  </si>
  <si>
    <t>06014P</t>
  </si>
  <si>
    <t>聯發科富邦97售02</t>
  </si>
  <si>
    <t>0050</t>
  </si>
  <si>
    <t>06757P</t>
  </si>
  <si>
    <t>台灣50元大9B售01</t>
  </si>
  <si>
    <t>06942P</t>
  </si>
  <si>
    <t>台灣50台新02售01</t>
  </si>
  <si>
    <t>3105</t>
  </si>
  <si>
    <t>8299</t>
  </si>
  <si>
    <t>708322</t>
  </si>
  <si>
    <t>群聯元大97購04</t>
  </si>
  <si>
    <t>708776</t>
  </si>
  <si>
    <t>穩懋元大98購01</t>
  </si>
  <si>
    <t>張數</t>
    <phoneticPr fontId="4" type="noConversion"/>
  </si>
  <si>
    <t>行使比例</t>
    <phoneticPr fontId="4" type="noConversion"/>
  </si>
  <si>
    <t>$Delta</t>
    <phoneticPr fontId="4" type="noConversion"/>
  </si>
  <si>
    <t>日盛權證</t>
    <phoneticPr fontId="4" type="noConversion"/>
  </si>
  <si>
    <t>同業權證</t>
    <phoneticPr fontId="4" type="noConversion"/>
  </si>
  <si>
    <t>TXO</t>
    <phoneticPr fontId="4" type="noConversion"/>
  </si>
  <si>
    <t>期貨</t>
    <phoneticPr fontId="4" type="noConversion"/>
  </si>
  <si>
    <t>Total</t>
    <phoneticPr fontId="4" type="noConversion"/>
  </si>
  <si>
    <t>06878P</t>
    <phoneticPr fontId="4" type="noConversion"/>
  </si>
  <si>
    <t>07140P</t>
    <phoneticPr fontId="4" type="noConversion"/>
  </si>
  <si>
    <t>06732P</t>
    <phoneticPr fontId="4" type="noConversion"/>
  </si>
  <si>
    <t>06496P</t>
    <phoneticPr fontId="4" type="noConversion"/>
  </si>
  <si>
    <t>0050</t>
    <phoneticPr fontId="4" type="noConversion"/>
  </si>
  <si>
    <t>0050現股+期貨</t>
    <phoneticPr fontId="4" type="noConversion"/>
  </si>
  <si>
    <t>報價</t>
    <phoneticPr fontId="4" type="noConversion"/>
  </si>
  <si>
    <t>T</t>
    <phoneticPr fontId="4" type="noConversion"/>
  </si>
  <si>
    <t>臺股指群益99購21</t>
  </si>
  <si>
    <t>臺股指國票99購21</t>
  </si>
  <si>
    <t>臺股指凱基99購46</t>
  </si>
  <si>
    <t>臺股指凱基9C購06</t>
  </si>
  <si>
    <t>臺股指國票99購25</t>
  </si>
  <si>
    <t>07354P</t>
  </si>
  <si>
    <t>臺股指國票99售22</t>
  </si>
  <si>
    <t>07355P</t>
  </si>
  <si>
    <t>臺股指國票99售23</t>
  </si>
  <si>
    <t>07356P</t>
  </si>
  <si>
    <t>臺股指國票99售24</t>
  </si>
  <si>
    <t>07334P</t>
  </si>
  <si>
    <t>臺股指國票99售19</t>
  </si>
  <si>
    <t>07335P</t>
  </si>
  <si>
    <t>臺股指國票99售20</t>
  </si>
  <si>
    <t>07331P</t>
  </si>
  <si>
    <t>臺股指群益99售22</t>
  </si>
  <si>
    <t>07332P</t>
  </si>
  <si>
    <t>臺股指群益99售23</t>
  </si>
  <si>
    <t>07333P</t>
  </si>
  <si>
    <t>台灣50國票9B售03</t>
  </si>
  <si>
    <t>07336P</t>
  </si>
  <si>
    <t>台灣50台新99售05</t>
  </si>
  <si>
    <t>07337P</t>
  </si>
  <si>
    <t>台灣50凱基99售09</t>
  </si>
  <si>
    <t>07345P</t>
  </si>
  <si>
    <t>台灣50永豐99售10</t>
  </si>
  <si>
    <t>07350P</t>
  </si>
  <si>
    <t>台灣50國票99售11</t>
  </si>
  <si>
    <t>08679P</t>
  </si>
  <si>
    <t>08818P</t>
  </si>
  <si>
    <t>08852P</t>
  </si>
  <si>
    <t>台灣50台新01售01</t>
  </si>
  <si>
    <t>07306P</t>
  </si>
  <si>
    <t>台灣50凱基9A售09</t>
  </si>
  <si>
    <t>07311P</t>
  </si>
  <si>
    <t>台灣50元大99售09</t>
  </si>
  <si>
    <t>07312P</t>
  </si>
  <si>
    <t>台灣50元大99售10</t>
  </si>
  <si>
    <t>07313P</t>
  </si>
  <si>
    <t>台灣50元大99售11</t>
  </si>
  <si>
    <t>07320P</t>
  </si>
  <si>
    <t>台灣50元大9C售14</t>
  </si>
  <si>
    <t>07321P</t>
  </si>
  <si>
    <t>台灣50元大9C售15</t>
  </si>
  <si>
    <t>07327P</t>
  </si>
  <si>
    <t>台灣50群益9A售06</t>
  </si>
  <si>
    <t>07329P</t>
  </si>
  <si>
    <t>台灣50群益9A售07</t>
  </si>
  <si>
    <t>07330P</t>
  </si>
  <si>
    <t>台灣50群益9A售08</t>
  </si>
  <si>
    <t>07297P</t>
  </si>
  <si>
    <t>台灣50元大9C售11</t>
  </si>
  <si>
    <t>07298P</t>
  </si>
  <si>
    <t>台灣50元大9C售12</t>
  </si>
  <si>
    <t>07299P</t>
  </si>
  <si>
    <t>台灣50元大9C售13</t>
  </si>
  <si>
    <t>07278P</t>
  </si>
  <si>
    <t>台灣50元富9C售03</t>
  </si>
  <si>
    <t>07279P</t>
  </si>
  <si>
    <t>台灣50台新99售02</t>
  </si>
  <si>
    <t>07288P</t>
  </si>
  <si>
    <t>台灣50凱基99售06</t>
  </si>
  <si>
    <t>07289P</t>
  </si>
  <si>
    <t>台灣50凱基99售07</t>
  </si>
  <si>
    <t>07290P</t>
  </si>
  <si>
    <t>台灣50凱基9A售08</t>
  </si>
  <si>
    <t>07269P</t>
  </si>
  <si>
    <t>台灣50元大01售08</t>
  </si>
  <si>
    <t>07270P</t>
  </si>
  <si>
    <t>台灣50元大01售09</t>
  </si>
  <si>
    <t>07271P</t>
  </si>
  <si>
    <t>台灣50元大9C售04</t>
  </si>
  <si>
    <t>07272P</t>
  </si>
  <si>
    <t>台灣50元大9C售05</t>
  </si>
  <si>
    <t>07273P</t>
  </si>
  <si>
    <t>台灣50群益99售03</t>
  </si>
  <si>
    <t>07258P</t>
  </si>
  <si>
    <t>台灣50台新9A售01</t>
  </si>
  <si>
    <t>07260P</t>
  </si>
  <si>
    <t>台灣50元大9A售01</t>
  </si>
  <si>
    <t>07261P</t>
  </si>
  <si>
    <t>台灣50元大9A售04</t>
  </si>
  <si>
    <t>07262P</t>
  </si>
  <si>
    <t>台灣50元大9B售05</t>
  </si>
  <si>
    <t>07220P</t>
  </si>
  <si>
    <t>台灣50中信03售05</t>
  </si>
  <si>
    <t>07166P</t>
  </si>
  <si>
    <t>台灣50兆豐03售01</t>
  </si>
  <si>
    <t>07222P</t>
  </si>
  <si>
    <t>台灣50元大01售04</t>
  </si>
  <si>
    <t>07228P</t>
  </si>
  <si>
    <t>台灣50群益9B售06</t>
  </si>
  <si>
    <t>07231P</t>
  </si>
  <si>
    <t>台灣50元大01售06</t>
  </si>
  <si>
    <t>07232P</t>
  </si>
  <si>
    <t>台灣50元大01售07</t>
  </si>
  <si>
    <t>07233P</t>
  </si>
  <si>
    <t>台灣50元大99售04</t>
  </si>
  <si>
    <t>07234P</t>
  </si>
  <si>
    <t>台灣50元大9B售04</t>
  </si>
  <si>
    <t>07236P</t>
  </si>
  <si>
    <t>台灣50國票99售05</t>
  </si>
  <si>
    <t>07237P</t>
  </si>
  <si>
    <t>台灣50國票99售06</t>
  </si>
  <si>
    <t>07238P</t>
  </si>
  <si>
    <t>台灣50國票99售07</t>
  </si>
  <si>
    <t>07239P</t>
  </si>
  <si>
    <t>台灣50國票9A售04</t>
  </si>
  <si>
    <t>07241P</t>
  </si>
  <si>
    <t>台灣50國票9A售05</t>
  </si>
  <si>
    <t>07242P</t>
  </si>
  <si>
    <t>台灣50凱基9A售03</t>
  </si>
  <si>
    <t>07243P</t>
  </si>
  <si>
    <t>台灣50凱基9A售04</t>
  </si>
  <si>
    <t>07250P</t>
  </si>
  <si>
    <t>台灣50永豐99售07</t>
  </si>
  <si>
    <t>07251P</t>
  </si>
  <si>
    <t>台灣50元富01售04</t>
  </si>
  <si>
    <t>07252P</t>
  </si>
  <si>
    <t>台灣50凱基99售01</t>
  </si>
  <si>
    <t>07253P</t>
  </si>
  <si>
    <t>台灣50凱基9A售05</t>
  </si>
  <si>
    <t>07254P</t>
  </si>
  <si>
    <t>台灣50凱基9C售06</t>
  </si>
  <si>
    <t>07202P</t>
  </si>
  <si>
    <t>台灣50凱基9C售04</t>
  </si>
  <si>
    <t>07160P</t>
  </si>
  <si>
    <t>台灣50中信03售04</t>
  </si>
  <si>
    <t>07110P</t>
  </si>
  <si>
    <t>台灣50群益9B售03</t>
  </si>
  <si>
    <t>07116P</t>
  </si>
  <si>
    <t>台灣50麥證9A售02</t>
  </si>
  <si>
    <t>07090P</t>
  </si>
  <si>
    <t>台灣50凱基01售01</t>
  </si>
  <si>
    <t>07095P</t>
  </si>
  <si>
    <t>台灣50元大9C售03</t>
  </si>
  <si>
    <t>07184P</t>
  </si>
  <si>
    <t>台灣50元富01售01</t>
  </si>
  <si>
    <t>07138P</t>
  </si>
  <si>
    <t>台灣50群益9B售04</t>
  </si>
  <si>
    <t>07141P</t>
  </si>
  <si>
    <t>台灣50國票9A售03</t>
  </si>
  <si>
    <t>07142P</t>
  </si>
  <si>
    <t>台灣50元大01售01</t>
  </si>
  <si>
    <t>07151P</t>
  </si>
  <si>
    <t>台灣50統一9B售04</t>
  </si>
  <si>
    <t>07066P</t>
  </si>
  <si>
    <t>台灣50台新9B售01</t>
  </si>
  <si>
    <t>07053P</t>
  </si>
  <si>
    <t>台灣50兆豐01售01</t>
  </si>
  <si>
    <t>07017P</t>
  </si>
  <si>
    <t>台灣50元富9B售02</t>
  </si>
  <si>
    <t>07018P</t>
  </si>
  <si>
    <t>台灣50統一9B售01</t>
  </si>
  <si>
    <t>07031P</t>
  </si>
  <si>
    <t>台灣50中信03售02</t>
  </si>
  <si>
    <t>07036P</t>
  </si>
  <si>
    <t>台灣50台新9C售01</t>
  </si>
  <si>
    <t>07040P</t>
  </si>
  <si>
    <t>台灣50元大9C售02</t>
  </si>
  <si>
    <t>06997P</t>
  </si>
  <si>
    <t>台灣50中信03售01</t>
  </si>
  <si>
    <t>07007P</t>
  </si>
  <si>
    <t>台灣50台新01售02</t>
  </si>
  <si>
    <t>06979P</t>
  </si>
  <si>
    <t>台灣50永豐9A售02</t>
  </si>
  <si>
    <t>06981P</t>
  </si>
  <si>
    <t>台灣50麥證99售02</t>
  </si>
  <si>
    <t>06920P</t>
  </si>
  <si>
    <t>台灣50凱基9A售01</t>
  </si>
  <si>
    <t>06927P</t>
  </si>
  <si>
    <t>台灣50元大9B售03</t>
  </si>
  <si>
    <t>06895P</t>
  </si>
  <si>
    <t>台灣50統一9A售01</t>
  </si>
  <si>
    <t>06856P</t>
  </si>
  <si>
    <t>台灣50永豐99售03</t>
  </si>
  <si>
    <t>06860P</t>
  </si>
  <si>
    <t>台灣50兆豐98售01</t>
  </si>
  <si>
    <t>06870P</t>
  </si>
  <si>
    <t>台灣50群益9A售03</t>
  </si>
  <si>
    <t>06875P</t>
  </si>
  <si>
    <t>台灣50永昌9A售02</t>
  </si>
  <si>
    <t>06876P</t>
  </si>
  <si>
    <t>台灣50兆豐9B售01</t>
  </si>
  <si>
    <t>06835P</t>
  </si>
  <si>
    <t>台灣50國票9A售01</t>
  </si>
  <si>
    <t>06823P</t>
  </si>
  <si>
    <t>台灣50永豐98售02</t>
  </si>
  <si>
    <t>06824P</t>
  </si>
  <si>
    <t>台灣50國票99售02</t>
  </si>
  <si>
    <t>06812P</t>
  </si>
  <si>
    <t>台灣50元富9C售01</t>
  </si>
  <si>
    <t>06770P</t>
  </si>
  <si>
    <t>台灣50第一9C售01</t>
  </si>
  <si>
    <t>06771P</t>
  </si>
  <si>
    <t>台灣50中信02售01</t>
  </si>
  <si>
    <t>06773P</t>
  </si>
  <si>
    <t>台灣50兆豐9A售01</t>
  </si>
  <si>
    <t>06723P</t>
  </si>
  <si>
    <t>台灣50麥證99售01</t>
  </si>
  <si>
    <t>06724P</t>
  </si>
  <si>
    <t>台灣50國票98售01</t>
  </si>
  <si>
    <t>06740P</t>
  </si>
  <si>
    <t>台灣50國泰9A售02</t>
  </si>
  <si>
    <t>06696P</t>
  </si>
  <si>
    <t>台灣50國票99售01</t>
  </si>
  <si>
    <t>06800P</t>
  </si>
  <si>
    <t>台灣50群益9A售02</t>
  </si>
  <si>
    <t>06719P</t>
  </si>
  <si>
    <t>台灣50群益9A售01</t>
  </si>
  <si>
    <t>06629P</t>
  </si>
  <si>
    <t>台灣50第一98售01</t>
  </si>
  <si>
    <t>06658P</t>
  </si>
  <si>
    <t>台灣50富邦9C售01</t>
  </si>
  <si>
    <t>06561P</t>
  </si>
  <si>
    <t>台灣50國泰9A售01</t>
  </si>
  <si>
    <t>06508P</t>
  </si>
  <si>
    <t>台灣50統一98售01</t>
  </si>
  <si>
    <t>台灣50台新9A購02</t>
  </si>
  <si>
    <t>台灣50元大9C購19</t>
  </si>
  <si>
    <t>台灣50富邦9A購01</t>
  </si>
  <si>
    <t>台灣50永豐99購11</t>
  </si>
  <si>
    <t>台灣50元富01購05</t>
  </si>
  <si>
    <t>台灣50台新99購04</t>
  </si>
  <si>
    <t>台灣50群益99購06</t>
  </si>
  <si>
    <t>台灣50群益9A購09</t>
  </si>
  <si>
    <t>台灣50元大9C購16</t>
  </si>
  <si>
    <t>台灣50元大9C購17</t>
  </si>
  <si>
    <t>台灣50元大9C購18</t>
  </si>
  <si>
    <t>台灣50國票9A購09</t>
  </si>
  <si>
    <t>台灣50永豐99購09</t>
  </si>
  <si>
    <t>台灣50群益9A購04</t>
  </si>
  <si>
    <t>台灣50群益9A購05</t>
  </si>
  <si>
    <t>台灣50台新99購03</t>
  </si>
  <si>
    <t>台灣50元大01購10</t>
  </si>
  <si>
    <t>台灣50元大01購11</t>
  </si>
  <si>
    <t>台灣50元大9C購10</t>
  </si>
  <si>
    <t>台灣50群益99購05</t>
  </si>
  <si>
    <t>台灣50元大99購06</t>
  </si>
  <si>
    <t>台灣50元大99購07</t>
  </si>
  <si>
    <t>台灣50元大99購08</t>
  </si>
  <si>
    <t>台灣50元富9B購04</t>
  </si>
  <si>
    <t>台灣50元富9B購05</t>
  </si>
  <si>
    <t>台灣50兆豐99購02</t>
  </si>
  <si>
    <t>台灣50元富9C購02</t>
  </si>
  <si>
    <t>台灣50台新9B購04</t>
  </si>
  <si>
    <t>台灣50永豐99購08</t>
  </si>
  <si>
    <t>台灣50群益99購04</t>
  </si>
  <si>
    <t>台灣50凱基99購04</t>
  </si>
  <si>
    <t>台灣50凱基99購05</t>
  </si>
  <si>
    <t>台灣50凱基99購08</t>
  </si>
  <si>
    <t>台灣50凱基9A購06</t>
  </si>
  <si>
    <t>台灣50凱基9A購07</t>
  </si>
  <si>
    <t>台灣50凱基9C購07</t>
  </si>
  <si>
    <t>台灣50元大9C購06</t>
  </si>
  <si>
    <t>台灣50元大9C購07</t>
  </si>
  <si>
    <t>台灣50元大9C購08</t>
  </si>
  <si>
    <t>台灣50元大9C購09</t>
  </si>
  <si>
    <t>台灣50元大99購05</t>
  </si>
  <si>
    <t>台灣50元大9A購02</t>
  </si>
  <si>
    <t>台灣50元大9A購03</t>
  </si>
  <si>
    <t>台灣50群益99購01</t>
  </si>
  <si>
    <t>台灣50台新99購01</t>
  </si>
  <si>
    <t>台灣50國票01購01</t>
  </si>
  <si>
    <t>台灣50國票9A購08</t>
  </si>
  <si>
    <t>台灣50國票9B購01</t>
  </si>
  <si>
    <t>台灣50國票9B購02</t>
  </si>
  <si>
    <t>台灣50國票9C購01</t>
  </si>
  <si>
    <t>台灣50元大01購03</t>
  </si>
  <si>
    <t>台灣50元大01購05</t>
  </si>
  <si>
    <t>台灣50元大99購01</t>
  </si>
  <si>
    <t>台灣50富邦9C購03</t>
  </si>
  <si>
    <t>台灣50永豐99購06</t>
  </si>
  <si>
    <t>台灣50元富01購02</t>
  </si>
  <si>
    <t>台灣50元大99購02</t>
  </si>
  <si>
    <t>台灣50元大99購03</t>
  </si>
  <si>
    <t>台灣50國票99購08</t>
  </si>
  <si>
    <t>台灣50國票99購09</t>
  </si>
  <si>
    <t>台灣50國票99購10</t>
  </si>
  <si>
    <t>台灣50國票9A購06</t>
  </si>
  <si>
    <t>台灣50國票9A購07</t>
  </si>
  <si>
    <t>台灣50凱基03購02</t>
  </si>
  <si>
    <t>台灣50凱基9A購02</t>
  </si>
  <si>
    <t>台灣50凱基9C購05</t>
  </si>
  <si>
    <t>台灣50富邦01購01</t>
  </si>
  <si>
    <t>台灣50元富01購03</t>
  </si>
  <si>
    <t>台灣50群益99購02</t>
  </si>
  <si>
    <t>台灣50凱基99購02</t>
  </si>
  <si>
    <t>台灣50凱基99購03</t>
  </si>
  <si>
    <t>台灣50凱基03購01</t>
  </si>
  <si>
    <t>台灣50凱基9C購02</t>
  </si>
  <si>
    <t>台灣50凱基9C購03</t>
  </si>
  <si>
    <t>台灣50永豐99購05</t>
  </si>
  <si>
    <t>台灣50元大01購02</t>
  </si>
  <si>
    <t>台灣50台新9B購03</t>
  </si>
  <si>
    <t>台灣50凱基01購03</t>
  </si>
  <si>
    <t>台灣50富邦9B購01</t>
  </si>
  <si>
    <t>台灣50群益9B購05</t>
  </si>
  <si>
    <t>台灣50台新9B購02</t>
  </si>
  <si>
    <t>台灣50凱基01購02</t>
  </si>
  <si>
    <t>台灣50元大03購01</t>
  </si>
  <si>
    <t>台灣50統一9B購03</t>
  </si>
  <si>
    <t>台灣50兆豐9C購01</t>
  </si>
  <si>
    <t>台灣50群益9B購02</t>
  </si>
  <si>
    <t>台灣50永豐99購04</t>
  </si>
  <si>
    <t>台灣50中信03購03</t>
  </si>
  <si>
    <t>台灣50元富03購01</t>
  </si>
  <si>
    <t>台灣50統一9B購02</t>
  </si>
  <si>
    <t>台灣50元富9B購03</t>
  </si>
  <si>
    <t>台灣50國票99購04</t>
  </si>
  <si>
    <t>台灣50兆豐99購01</t>
  </si>
  <si>
    <t>台灣50麥證9A購01</t>
  </si>
  <si>
    <t>台灣50元大9C購01</t>
  </si>
  <si>
    <t>台灣50國票99購03</t>
  </si>
  <si>
    <t>台灣50國票9A購02</t>
  </si>
  <si>
    <t>台灣50群益9B購01</t>
  </si>
  <si>
    <t>台灣50元富9B購01</t>
  </si>
  <si>
    <t>台灣50國泰99購01</t>
  </si>
  <si>
    <t>台灣50元大9B購02</t>
  </si>
  <si>
    <t>台灣50康和9A購03</t>
  </si>
  <si>
    <t>台灣50富邦9C購02</t>
  </si>
  <si>
    <t>台灣50永豐9A購01</t>
  </si>
  <si>
    <t>台灣50凱基9C購01</t>
  </si>
  <si>
    <t>台灣50康和9A購04</t>
  </si>
  <si>
    <t>台灣50永豐99購02</t>
  </si>
  <si>
    <t>台灣50永豐98購01</t>
  </si>
  <si>
    <t>台灣50康和9A購02</t>
  </si>
  <si>
    <t>台灣50永豐99購01</t>
  </si>
  <si>
    <t>台灣50康和9A購01</t>
  </si>
  <si>
    <t>03025X</t>
  </si>
  <si>
    <t>元展22</t>
  </si>
  <si>
    <t>台灣50台新98購01</t>
  </si>
  <si>
    <t>台灣50元富9A購01</t>
  </si>
  <si>
    <t>台灣50永昌9A購01</t>
  </si>
  <si>
    <t>契約</t>
    <phoneticPr fontId="4" type="noConversion"/>
  </si>
  <si>
    <t>日盛權證</t>
    <phoneticPr fontId="4" type="noConversion"/>
  </si>
  <si>
    <t>同業權證</t>
    <phoneticPr fontId="4" type="noConversion"/>
  </si>
  <si>
    <t>臺股指群益9C購06</t>
  </si>
  <si>
    <t>臺股指永豐99購04</t>
  </si>
  <si>
    <t>07386P</t>
  </si>
  <si>
    <t>臺股指群益99售24</t>
  </si>
  <si>
    <t>07387P</t>
  </si>
  <si>
    <t>臺股指群益99售25</t>
  </si>
  <si>
    <t>07388P</t>
  </si>
  <si>
    <t>臺股指群益9C售07</t>
  </si>
  <si>
    <t>07389P</t>
  </si>
  <si>
    <t>臺股指群益9C售08</t>
  </si>
  <si>
    <t>07391P</t>
  </si>
  <si>
    <t>台灣50國泰02售01</t>
  </si>
  <si>
    <t>07393P</t>
  </si>
  <si>
    <t>台灣50富邦9B售02</t>
  </si>
  <si>
    <t>07380P</t>
  </si>
  <si>
    <t>台灣50群益9A售11</t>
  </si>
  <si>
    <t>台灣50台新9B購05</t>
  </si>
  <si>
    <t>台灣50元大02購01</t>
  </si>
  <si>
    <t>台灣50元大02購02</t>
  </si>
  <si>
    <t>台灣50元大9B購06</t>
  </si>
  <si>
    <t>台灣50元大9B購07</t>
  </si>
  <si>
    <t>台灣50元大9B購08</t>
  </si>
  <si>
    <t>台灣50群益9A購10</t>
  </si>
  <si>
    <t>日期</t>
    <phoneticPr fontId="10" type="noConversion"/>
  </si>
  <si>
    <t>03678C</t>
  </si>
  <si>
    <t>臺股指凱基01牛02</t>
  </si>
  <si>
    <t>臺股指元大9B購06</t>
  </si>
  <si>
    <t>臺股指元大9B購07</t>
  </si>
  <si>
    <t>臺股指元大9B購08</t>
  </si>
  <si>
    <t>臺股指凱基9A購04</t>
  </si>
  <si>
    <t>臺股指凱基9B購02</t>
  </si>
  <si>
    <t>臺股指國票9A購07</t>
  </si>
  <si>
    <t>臺股指國票9A購08</t>
  </si>
  <si>
    <t>臺股指麥證9A購01</t>
  </si>
  <si>
    <t>臺股指麥證9A購02</t>
  </si>
  <si>
    <t>臺股指元大9B購12</t>
  </si>
  <si>
    <t>臺股指元大9B購13</t>
  </si>
  <si>
    <t>臺股指元大9B購14</t>
  </si>
  <si>
    <t>臺股指中信9C購03</t>
  </si>
  <si>
    <t>臺股指中信9B購05</t>
  </si>
  <si>
    <t>07429P</t>
  </si>
  <si>
    <t>臺股指國票9A售01</t>
  </si>
  <si>
    <t>07430P</t>
  </si>
  <si>
    <t>臺股指國票9A售02</t>
  </si>
  <si>
    <t>07431P</t>
  </si>
  <si>
    <t>臺股指國票9A售03</t>
  </si>
  <si>
    <t>07432P</t>
  </si>
  <si>
    <t>臺股指國票9A售04</t>
  </si>
  <si>
    <t>07433P</t>
  </si>
  <si>
    <t>臺股指國票9A售05</t>
  </si>
  <si>
    <t>07434P</t>
  </si>
  <si>
    <t>臺股指國票9A售06</t>
  </si>
  <si>
    <t>07436P</t>
  </si>
  <si>
    <t>臺股指麥證9A售03</t>
  </si>
  <si>
    <t>07437P</t>
  </si>
  <si>
    <t>臺股指麥證9A售04</t>
  </si>
  <si>
    <t>07438P</t>
  </si>
  <si>
    <t>臺股指麥證9A售05</t>
  </si>
  <si>
    <t>07439P</t>
  </si>
  <si>
    <t>臺股指麥證9B售01</t>
  </si>
  <si>
    <t>07440P</t>
  </si>
  <si>
    <t>臺股指麥證9B售02</t>
  </si>
  <si>
    <t>07441P</t>
  </si>
  <si>
    <t>臺股指麥證9B售03</t>
  </si>
  <si>
    <t>07460P</t>
  </si>
  <si>
    <t>臺股指元大9B售03</t>
  </si>
  <si>
    <t>07461P</t>
  </si>
  <si>
    <t>臺股指元大9B售04</t>
  </si>
  <si>
    <t>07462P</t>
  </si>
  <si>
    <t>臺股指元大9B售05</t>
  </si>
  <si>
    <t>07491P</t>
  </si>
  <si>
    <t>臺股指國票9A售09</t>
  </si>
  <si>
    <t>07492P</t>
  </si>
  <si>
    <t>臺股指國票9A售10</t>
  </si>
  <si>
    <t>07518P</t>
  </si>
  <si>
    <t>臺股指元大9B售09</t>
  </si>
  <si>
    <t>07519P</t>
  </si>
  <si>
    <t>臺股指元大9B售10</t>
  </si>
  <si>
    <t>07520P</t>
  </si>
  <si>
    <t>臺股指元大9B售11</t>
  </si>
  <si>
    <t>07524P</t>
  </si>
  <si>
    <t>臺股指中信9B售06</t>
  </si>
  <si>
    <t>07525P</t>
  </si>
  <si>
    <t>臺股指中信9B售07</t>
  </si>
  <si>
    <t>07526P</t>
  </si>
  <si>
    <t>臺股指中信9B售08</t>
  </si>
  <si>
    <t>07533P</t>
  </si>
  <si>
    <t>臺股指中信9C售04</t>
  </si>
  <si>
    <t>07534P</t>
  </si>
  <si>
    <t>台灣50群益9A售12</t>
  </si>
  <si>
    <t>07548P</t>
  </si>
  <si>
    <t>台灣50元大9A售12</t>
  </si>
  <si>
    <t>07549P</t>
  </si>
  <si>
    <t>台灣50元大9A售13</t>
  </si>
  <si>
    <t>07527P</t>
  </si>
  <si>
    <t>台灣50凱基9B售02</t>
  </si>
  <si>
    <t>07532P</t>
  </si>
  <si>
    <t>台灣50中信01售02</t>
  </si>
  <si>
    <t>07493P</t>
  </si>
  <si>
    <t>台灣50元大9A售10</t>
  </si>
  <si>
    <t>07510P</t>
  </si>
  <si>
    <t>台灣50元富04售02</t>
  </si>
  <si>
    <t>07464P</t>
  </si>
  <si>
    <t>台灣50兆豐9A售02</t>
  </si>
  <si>
    <t>07465P</t>
  </si>
  <si>
    <t>台灣50元大9C售24</t>
  </si>
  <si>
    <t>07484P</t>
  </si>
  <si>
    <t>台灣50凱基04售02</t>
  </si>
  <si>
    <t>07485P</t>
  </si>
  <si>
    <t>台灣50凱基04售03</t>
  </si>
  <si>
    <t>07446P</t>
  </si>
  <si>
    <t>台灣50元大9A售06</t>
  </si>
  <si>
    <t>07447P</t>
  </si>
  <si>
    <t>台灣50元大9A售07</t>
  </si>
  <si>
    <t>07448P</t>
  </si>
  <si>
    <t>台灣50元大9A售08</t>
  </si>
  <si>
    <t>07425P</t>
  </si>
  <si>
    <t>台灣50國票9A售10</t>
  </si>
  <si>
    <t>台灣50凱基9B購01</t>
  </si>
  <si>
    <t>台灣50台新9A購03</t>
  </si>
  <si>
    <t>台灣50台新9B購06</t>
  </si>
  <si>
    <t>台灣50凱基04購04</t>
  </si>
  <si>
    <t>台灣50中信01購01</t>
  </si>
  <si>
    <t>台灣50群益9C購01</t>
  </si>
  <si>
    <t>台灣50元富04購01</t>
  </si>
  <si>
    <t>台灣50元大01購12</t>
  </si>
  <si>
    <t>台灣50元大01購13</t>
  </si>
  <si>
    <t>台灣50元大9A購05</t>
  </si>
  <si>
    <t>台灣50元大9A購09</t>
  </si>
  <si>
    <t>台灣50元富02購01</t>
  </si>
  <si>
    <t>台灣50麥證02購01</t>
  </si>
  <si>
    <t>台灣50國票9C購02</t>
  </si>
  <si>
    <t>台灣50元大9C購20</t>
  </si>
  <si>
    <t>台灣50元大9C購21</t>
  </si>
  <si>
    <t>台灣50元大9C購22</t>
  </si>
  <si>
    <t>台灣50元大9C購23</t>
  </si>
  <si>
    <t>台灣50元大9C購25</t>
  </si>
  <si>
    <t>台灣50群益02購01</t>
  </si>
  <si>
    <t>台灣50麥證9A購03</t>
  </si>
  <si>
    <t>台灣50凱基04購01</t>
  </si>
  <si>
    <t>台灣50元大9A購11</t>
  </si>
  <si>
    <t>台灣50元大9C購26</t>
  </si>
  <si>
    <t>台灣50元大9C購27</t>
  </si>
  <si>
    <t>日期</t>
  </si>
  <si>
    <t>口數</t>
    <phoneticPr fontId="4" type="noConversion"/>
  </si>
  <si>
    <t>C/P</t>
    <phoneticPr fontId="4" type="noConversion"/>
  </si>
  <si>
    <t>P</t>
    <phoneticPr fontId="4" type="noConversion"/>
  </si>
  <si>
    <t>台指選擇權</t>
    <phoneticPr fontId="4" type="noConversion"/>
  </si>
  <si>
    <t>1%Gamma</t>
    <phoneticPr fontId="4" type="noConversion"/>
  </si>
  <si>
    <t>0050現股</t>
    <phoneticPr fontId="4" type="noConversion"/>
  </si>
  <si>
    <t>00632R</t>
    <phoneticPr fontId="4" type="noConversion"/>
  </si>
  <si>
    <t>格式：一般排行/衍生金融–權證標的代號表//文字///日期/是/是/</t>
    <phoneticPr fontId="4" type="noConversion"/>
  </si>
  <si>
    <t>基準日:最近一日</t>
    <phoneticPr fontId="4" type="noConversion"/>
  </si>
  <si>
    <t>更新標題:是</t>
    <phoneticPr fontId="4" type="noConversion"/>
  </si>
  <si>
    <t>表格欄位/代號種類^=^Z^;^週期編號^=^D^;^AllCMenuIDs^=^M156,M156,M156,M156,M156^;^是否轉置^=^False^;^檢視方式^=^2^;^AllFields^=^權證代號,權證名稱,到期日期,最新履約價,最新執行比例^;^MainTable^=^^;^ListType^=^B078^;^SelectDate^=^TOP 1|TOP 1|TOP 1|TOP 1|TOP 1^;^SelectCMenuID^=^M156^;^SelectDate種類^=^1|1|1|1|1^;^AllFieldsNO^=^,,,,^;^自訂欄位公式^=^||||^;^自訂欄位Where條件^=^||||^;^多期數值處理方式^=^1|1|1|1|1^;^多欄指定個股方式^=^^;^多欄指定個股^=^^;^多欄指定群組名稱^=^^;^欄位顯示狀態^=^1|1|1|1|1^;^欄位轉換日期方式^=^||||^;^欄位排序方式^=^||||^;^欄位採用各期最新^=^||||^;^樣本表系統定義全部代號^=^B078^;^單項目比較欄位^=^^;^單項目比較欄位編號^=^^;^表格類型^=^</t>
    <phoneticPr fontId="4" type="noConversion"/>
  </si>
  <si>
    <t>資料日期/TWA00,0050,00632R</t>
    <phoneticPr fontId="4" type="noConversion"/>
  </si>
  <si>
    <t>參考標題</t>
    <phoneticPr fontId="4" type="noConversion"/>
  </si>
  <si>
    <t>代號</t>
    <phoneticPr fontId="4" type="noConversion"/>
  </si>
  <si>
    <t>名稱</t>
    <phoneticPr fontId="4" type="noConversion"/>
  </si>
  <si>
    <t>權證評估表(查標的).權證代號/每一期/最近/1/遞增/日//</t>
    <phoneticPr fontId="4" type="noConversion"/>
  </si>
  <si>
    <t>權證評估表(查標的).權證名稱/每一期/最近/1/遞增/日//</t>
    <phoneticPr fontId="4" type="noConversion"/>
  </si>
  <si>
    <t>權證評估表(查標的).到期日期/每一期/最近/1/遞增/日//</t>
    <phoneticPr fontId="4" type="noConversion"/>
  </si>
  <si>
    <t>權證評估表(查標的).最新履約價/每一期/最近/1/遞增/日//</t>
    <phoneticPr fontId="4" type="noConversion"/>
  </si>
  <si>
    <t>權證評估表(查標的).最新執行比例/每一期/最近/1/遞增/日//</t>
    <phoneticPr fontId="4" type="noConversion"/>
  </si>
  <si>
    <t>臺股指凱基9A購06</t>
  </si>
  <si>
    <t>臺股指凱基9A購07</t>
  </si>
  <si>
    <t>臺股指元大9A購43</t>
  </si>
  <si>
    <t>臺股指元大9A購46</t>
  </si>
  <si>
    <t>臺股指元大9A購47</t>
  </si>
  <si>
    <t>臺股指凱基9A購13</t>
  </si>
  <si>
    <t>07564P</t>
  </si>
  <si>
    <t>臺股指中信01售01</t>
  </si>
  <si>
    <t>07581P</t>
  </si>
  <si>
    <t>臺股指元大9A售44</t>
  </si>
  <si>
    <t>07582P</t>
  </si>
  <si>
    <t>臺股指元大9A售45</t>
  </si>
  <si>
    <t>07597P</t>
  </si>
  <si>
    <t>臺股指中信01售02</t>
  </si>
  <si>
    <t>07598P</t>
  </si>
  <si>
    <t>臺股指中信01售03</t>
  </si>
  <si>
    <t>07628P</t>
  </si>
  <si>
    <t>臺股指凱基9A售09</t>
  </si>
  <si>
    <t>07629P</t>
  </si>
  <si>
    <t>臺股指凱基9A售10</t>
  </si>
  <si>
    <t>07630P</t>
  </si>
  <si>
    <t>臺股指凱基9A售11</t>
  </si>
  <si>
    <t>07631P</t>
  </si>
  <si>
    <t>臺股指凱基9A售12</t>
  </si>
  <si>
    <t>07632P</t>
  </si>
  <si>
    <t>臺股指凱基9A售14</t>
  </si>
  <si>
    <t>07593P</t>
  </si>
  <si>
    <t>臺股指凱基9A售08</t>
  </si>
  <si>
    <t>07595P</t>
  </si>
  <si>
    <t>台灣50中信03售07</t>
  </si>
  <si>
    <t>07633P</t>
  </si>
  <si>
    <t>台灣50元大9A售18</t>
  </si>
  <si>
    <t>07599P</t>
  </si>
  <si>
    <t>台灣50凱基04售05</t>
  </si>
  <si>
    <t>07600P</t>
  </si>
  <si>
    <t>台灣50凱基04售06</t>
  </si>
  <si>
    <t>07604P</t>
  </si>
  <si>
    <t>台灣50元大9B售09</t>
  </si>
  <si>
    <t>07605P</t>
  </si>
  <si>
    <t>台灣50元大9B售10</t>
  </si>
  <si>
    <t>07606P</t>
  </si>
  <si>
    <t>台灣50國票01售02</t>
  </si>
  <si>
    <t>07607P</t>
  </si>
  <si>
    <t>台灣50國票01售03</t>
  </si>
  <si>
    <t>07608P</t>
  </si>
  <si>
    <t>台灣50國票9C售03</t>
  </si>
  <si>
    <t>07609P</t>
  </si>
  <si>
    <t>台灣50國票9C售04</t>
  </si>
  <si>
    <t>07624P</t>
  </si>
  <si>
    <t>台灣50台新9B售07</t>
  </si>
  <si>
    <t>07625P</t>
  </si>
  <si>
    <t>台灣50凱基01售06</t>
  </si>
  <si>
    <t>07626P</t>
  </si>
  <si>
    <t>台灣50凱基04售07</t>
  </si>
  <si>
    <t>07585P</t>
  </si>
  <si>
    <t>台灣50中信03售06</t>
  </si>
  <si>
    <t>07587P</t>
  </si>
  <si>
    <t>台灣50國票9A售11</t>
  </si>
  <si>
    <t>07591P</t>
  </si>
  <si>
    <t>台灣50元大9A售16</t>
  </si>
  <si>
    <t>07592P</t>
  </si>
  <si>
    <t>台灣50元大9A售17</t>
  </si>
  <si>
    <t>07565P</t>
  </si>
  <si>
    <t>台灣50台新9C售02</t>
  </si>
  <si>
    <t>07567P</t>
  </si>
  <si>
    <t>台灣50凱基01售05</t>
  </si>
  <si>
    <t>07571P</t>
  </si>
  <si>
    <t>台灣50元大9A售14</t>
  </si>
  <si>
    <t>07572P</t>
  </si>
  <si>
    <t>台灣50元大9A售15</t>
  </si>
  <si>
    <t>07562P</t>
  </si>
  <si>
    <t>台灣50第一9A售01</t>
  </si>
  <si>
    <t>07563P</t>
  </si>
  <si>
    <t>台灣50中信04售01</t>
  </si>
  <si>
    <t>台灣50凱基01購04</t>
  </si>
  <si>
    <t>台灣50第一9A購02</t>
  </si>
  <si>
    <t>台灣50台新9A購04</t>
  </si>
  <si>
    <t>台灣50中信01購03</t>
  </si>
  <si>
    <t>台灣50凱基01購07</t>
  </si>
  <si>
    <t>台灣50群益9A購13</t>
  </si>
  <si>
    <t>T50反1台新9A購01</t>
  </si>
  <si>
    <t>03649C</t>
  </si>
  <si>
    <t>T50反1凱基99牛05</t>
  </si>
  <si>
    <t>03650C</t>
  </si>
  <si>
    <t>T50反1元大98牛05</t>
  </si>
  <si>
    <t>03658C</t>
  </si>
  <si>
    <t>T50反1元大9A牛02</t>
  </si>
  <si>
    <t>T50反1台新9C購01</t>
  </si>
  <si>
    <t>T50反1中信99購01</t>
  </si>
  <si>
    <t>T50反1台新98購01</t>
  </si>
  <si>
    <t>T50反1元大98購02</t>
  </si>
  <si>
    <t>T50反1凱基98購02</t>
  </si>
  <si>
    <t>T50反1統一97購01</t>
  </si>
  <si>
    <t>T50反1台新05購03</t>
  </si>
  <si>
    <t>T50反1元大97購01</t>
  </si>
  <si>
    <t>T50反1元大97購02</t>
  </si>
  <si>
    <t>T50反1台新05購02</t>
  </si>
  <si>
    <t>T50反1國票97購01</t>
  </si>
  <si>
    <t>T50反1中信99購03</t>
  </si>
  <si>
    <t>T50反1凱基98購01</t>
  </si>
  <si>
    <t>T50反1康和98購01</t>
  </si>
  <si>
    <t>T50反1中信99購02</t>
  </si>
  <si>
    <t>T50反1台新05購01</t>
  </si>
  <si>
    <t>T50反1凱基97購01</t>
  </si>
  <si>
    <t>T50反1凱基9A購01</t>
  </si>
  <si>
    <t>05033P</t>
  </si>
  <si>
    <t>T50反1元大98售01</t>
  </si>
  <si>
    <t>T50反1富邦99購01</t>
  </si>
  <si>
    <t>T50反1台新9A購02</t>
  </si>
  <si>
    <t>T50反1國泰9A購01</t>
  </si>
  <si>
    <t>T50反1中信9B購01</t>
  </si>
  <si>
    <t>T50反1凱基99購06</t>
  </si>
  <si>
    <t>T50反1統一9A購01</t>
  </si>
  <si>
    <t>T50反1兆豐99購01</t>
  </si>
  <si>
    <t>T50反1元大98購06</t>
  </si>
  <si>
    <t>T50反1元大98購07</t>
  </si>
  <si>
    <t>T50反1永昌9C購01</t>
  </si>
  <si>
    <t>T50反1統一9A購03</t>
  </si>
  <si>
    <t>T50反1台新02購01</t>
  </si>
  <si>
    <t>T50反1元富98購01</t>
  </si>
  <si>
    <t>T50反1群益97購01</t>
  </si>
  <si>
    <t>T50反1元大97購05</t>
  </si>
  <si>
    <t>T50反1元大97購06</t>
  </si>
  <si>
    <t>T50反1統一99購02</t>
  </si>
  <si>
    <t>T50反1統一99購01</t>
  </si>
  <si>
    <t>T50反1兆豐98購01</t>
  </si>
  <si>
    <t>05511P</t>
  </si>
  <si>
    <t>T50反1台新06售01</t>
  </si>
  <si>
    <t>05518P</t>
  </si>
  <si>
    <t>T50反1凱基98售03</t>
  </si>
  <si>
    <t>T50反1元富97購01</t>
  </si>
  <si>
    <t>T50反1國票98購02</t>
  </si>
  <si>
    <t>T50反1國票99購01</t>
  </si>
  <si>
    <t>T50反1國泰97購02</t>
  </si>
  <si>
    <t>T50反1富邦9A購01</t>
  </si>
  <si>
    <t>T50反1中信9C購01</t>
  </si>
  <si>
    <t>T50反1凱基99購04</t>
  </si>
  <si>
    <t>T50反1凱基9A購02</t>
  </si>
  <si>
    <t>T50反1凱基99購03</t>
  </si>
  <si>
    <t>T50反1台新06購02</t>
  </si>
  <si>
    <t>T50反1元大98購04</t>
  </si>
  <si>
    <t>T50反1富邦97購01</t>
  </si>
  <si>
    <t>T50反1富邦98購01</t>
  </si>
  <si>
    <t>T50反1中信9A購01</t>
  </si>
  <si>
    <t>T50反1國票98購01</t>
  </si>
  <si>
    <t>T50反1凱基99購01</t>
  </si>
  <si>
    <t>T50反1凱基99購02</t>
  </si>
  <si>
    <t>05716P</t>
  </si>
  <si>
    <t>T50反1元大98售03</t>
  </si>
  <si>
    <t>T50反1群益98購01</t>
  </si>
  <si>
    <t>T50反1國票9B購01</t>
  </si>
  <si>
    <t>T50反1凱基9C購01</t>
  </si>
  <si>
    <t>T50反1元大98購08</t>
  </si>
  <si>
    <t>T50反1元大98購09</t>
  </si>
  <si>
    <t>T50反1台新02購02</t>
  </si>
  <si>
    <t>T50反1群益98購02</t>
  </si>
  <si>
    <t>T50反1兆豐99購02</t>
  </si>
  <si>
    <t>T50反1國泰9A購02</t>
  </si>
  <si>
    <t>T50反1元大99購02</t>
  </si>
  <si>
    <t>T50反1群益99購01</t>
  </si>
  <si>
    <t>T50反1台新03購01</t>
  </si>
  <si>
    <t>T50反1元大99購04</t>
  </si>
  <si>
    <t>T50反1元大99購05</t>
  </si>
  <si>
    <t>T50反1富邦01購01</t>
  </si>
  <si>
    <t>T50反1富邦9B購01</t>
  </si>
  <si>
    <t>T50反1凱基9A購04</t>
  </si>
  <si>
    <t>T50反1凱基9A購05</t>
  </si>
  <si>
    <t>T50反1統一9B購01</t>
  </si>
  <si>
    <t>T50反1群益99購02</t>
  </si>
  <si>
    <t>T50反1國泰9B購01</t>
  </si>
  <si>
    <t>T50反1台新03購02</t>
  </si>
  <si>
    <t>T50反1元大99購06</t>
  </si>
  <si>
    <t>T50反1元大99購07</t>
  </si>
  <si>
    <t>T50反1台新99購01</t>
  </si>
  <si>
    <t>T50反1元富99購03</t>
  </si>
  <si>
    <t>T50反1元富99購04</t>
  </si>
  <si>
    <t>T50反1元富99購05</t>
  </si>
  <si>
    <t>T50反1台新03購03</t>
  </si>
  <si>
    <t>T50反1群益99購03</t>
  </si>
  <si>
    <t>T50反1凱基99購07</t>
  </si>
  <si>
    <t>T50反1凱基99購08</t>
  </si>
  <si>
    <t>T50反1元大99購08</t>
  </si>
  <si>
    <t>T50反1元大99購09</t>
  </si>
  <si>
    <t>T50反1元大99購10</t>
  </si>
  <si>
    <t>T50反1元大99購11</t>
  </si>
  <si>
    <t>T50反1元富99購06</t>
  </si>
  <si>
    <t>T50反1元富99購07</t>
  </si>
  <si>
    <t>T50反1元富99購08</t>
  </si>
  <si>
    <t>T50反1元富99購09</t>
  </si>
  <si>
    <t>T50反1元富99購10</t>
  </si>
  <si>
    <t>T50反1富邦99購02</t>
  </si>
  <si>
    <t>T50反1元大99購12</t>
  </si>
  <si>
    <t>T50反1元大99購13</t>
  </si>
  <si>
    <t>T50反1元大99購14</t>
  </si>
  <si>
    <t>T50反1元大99購15</t>
  </si>
  <si>
    <t>T50反1群益9A購01</t>
  </si>
  <si>
    <t>T50反1凱基99購09</t>
  </si>
  <si>
    <t>T50反1國票99購02</t>
  </si>
  <si>
    <t>T50反1國票9A購01</t>
  </si>
  <si>
    <t>T50反1國票9A購02</t>
  </si>
  <si>
    <t>T50反1國票9A購03</t>
  </si>
  <si>
    <t>T50反1國票9A購04</t>
  </si>
  <si>
    <t>T50反1國票9A購05</t>
  </si>
  <si>
    <t>T50反1國票9B購02</t>
  </si>
  <si>
    <t>T50反1元富04購01</t>
  </si>
  <si>
    <t>T50反1元富04購02</t>
  </si>
  <si>
    <t>T50反1元富04購03</t>
  </si>
  <si>
    <t>T50反1元富04購04</t>
  </si>
  <si>
    <t>T50反1元富04購05</t>
  </si>
  <si>
    <t>T50反1元富04購06</t>
  </si>
  <si>
    <t>T50反1國泰9A購03</t>
  </si>
  <si>
    <t>T50反1國泰9B購02</t>
  </si>
  <si>
    <t>T50反1群益99購04</t>
  </si>
  <si>
    <t>T50反1元富99購11</t>
  </si>
  <si>
    <t>T50反1元富99購12</t>
  </si>
  <si>
    <t>T50反1元富99購13</t>
  </si>
  <si>
    <t>T50反1凱基9A購06</t>
  </si>
  <si>
    <t>T50反1元大9A購03</t>
  </si>
  <si>
    <t>T50反1元大9A購04</t>
  </si>
  <si>
    <t>T50反1凱基9A購07</t>
  </si>
  <si>
    <t>T50反1凱基9A購08</t>
  </si>
  <si>
    <t>T50反1元大9A購05</t>
  </si>
  <si>
    <t>T50反1元大9A購06</t>
  </si>
  <si>
    <t>T50反1元大9A購07</t>
  </si>
  <si>
    <t>T50反1第一9A購01</t>
  </si>
  <si>
    <t>T50反1群益9A購02</t>
  </si>
  <si>
    <t>T50反1國票9A購06</t>
  </si>
  <si>
    <t>T50反1國票9A購07</t>
  </si>
  <si>
    <t>T50反1國票9B購03</t>
  </si>
  <si>
    <t>T50反1永豐9A購01</t>
  </si>
  <si>
    <t>T50反1台新9C購02</t>
  </si>
  <si>
    <t>T50反1富邦9C購01</t>
  </si>
  <si>
    <t>06392P</t>
  </si>
  <si>
    <t>T50反1元大9A售01</t>
  </si>
  <si>
    <t>06397P</t>
  </si>
  <si>
    <t>T50反1凱基9A售03</t>
  </si>
  <si>
    <t>06418P</t>
  </si>
  <si>
    <t>T50反1統一9A售02</t>
  </si>
  <si>
    <t>T50反1國票9A購08</t>
  </si>
  <si>
    <t>T50反1國票9A購09</t>
  </si>
  <si>
    <t>T50反1國票9A購10</t>
  </si>
  <si>
    <t>07000P</t>
  </si>
  <si>
    <t>T50反1元大99售03</t>
  </si>
  <si>
    <t>07041P</t>
  </si>
  <si>
    <t>T50反1元大9C售01</t>
  </si>
  <si>
    <t>07042P</t>
  </si>
  <si>
    <t>T50反1元大9C售02</t>
  </si>
  <si>
    <t>07136P</t>
  </si>
  <si>
    <t>T50反1台新01售01</t>
  </si>
  <si>
    <t>07296P</t>
  </si>
  <si>
    <t>T50反1台新99售02</t>
  </si>
  <si>
    <t>0050期貨</t>
    <phoneticPr fontId="4" type="noConversion"/>
  </si>
  <si>
    <t>口/張數</t>
    <phoneticPr fontId="4" type="noConversion"/>
  </si>
  <si>
    <t>Bid</t>
    <phoneticPr fontId="4" type="noConversion"/>
  </si>
  <si>
    <t>台指期履約價</t>
    <phoneticPr fontId="4" type="noConversion"/>
  </si>
  <si>
    <t>TXO Put IV</t>
    <phoneticPr fontId="4" type="noConversion"/>
  </si>
  <si>
    <t>,約當口數</t>
    <phoneticPr fontId="4" type="noConversion"/>
  </si>
  <si>
    <t>基準日:最近一日</t>
  </si>
  <si>
    <t>更新標題:是</t>
  </si>
  <si>
    <t>資料日期/</t>
  </si>
  <si>
    <t>參考標題</t>
  </si>
  <si>
    <t>歷史波動度</t>
    <phoneticPr fontId="4" type="noConversion"/>
  </si>
  <si>
    <t>10日</t>
    <phoneticPr fontId="4" type="noConversion"/>
  </si>
  <si>
    <t>20日</t>
    <phoneticPr fontId="4" type="noConversion"/>
  </si>
  <si>
    <t>60日</t>
    <phoneticPr fontId="4" type="noConversion"/>
  </si>
  <si>
    <t>-</t>
  </si>
  <si>
    <t xml:space="preserve"> 台指07月</t>
    <phoneticPr fontId="4" type="noConversion"/>
  </si>
  <si>
    <t>03679C</t>
  </si>
  <si>
    <t>臺股指元大04牛04</t>
  </si>
  <si>
    <t>臺股指中信9A購06</t>
  </si>
  <si>
    <t>07652P</t>
  </si>
  <si>
    <t>臺股指中信9A售07</t>
  </si>
  <si>
    <t>07654P</t>
  </si>
  <si>
    <t>台灣50凱基01售08</t>
  </si>
  <si>
    <t>07655P</t>
  </si>
  <si>
    <t>台灣50凱基01售09</t>
  </si>
  <si>
    <t>07661P</t>
  </si>
  <si>
    <t>台灣50兆豐9A售03</t>
  </si>
  <si>
    <t>07663P</t>
  </si>
  <si>
    <t>台灣50台新01售03</t>
  </si>
  <si>
    <t>07664P</t>
  </si>
  <si>
    <t>台灣50元大9C售30</t>
  </si>
  <si>
    <t>07665P</t>
  </si>
  <si>
    <t>台灣50元大9C售31</t>
  </si>
  <si>
    <t>07666P</t>
  </si>
  <si>
    <t>台灣50元大9C售32</t>
  </si>
  <si>
    <t>07650P</t>
  </si>
  <si>
    <t>台灣50中信9A售01</t>
  </si>
  <si>
    <t>台灣50麥證9B購01</t>
  </si>
  <si>
    <t>台灣50麥證02購02</t>
  </si>
  <si>
    <t>台灣50元大9C購28</t>
  </si>
  <si>
    <t>台灣50元大9C購29</t>
  </si>
  <si>
    <t>T50反1元大9A購08</t>
  </si>
  <si>
    <t>T50反1元大9A購09</t>
  </si>
  <si>
    <t>T50反1元大9A購10</t>
  </si>
  <si>
    <t>T50反1元大9A購11</t>
  </si>
  <si>
    <t>T50反1群益9A購03</t>
  </si>
  <si>
    <t>T50反1兆豐9A購01</t>
  </si>
  <si>
    <t>日收盤還原表排行.最高價/</t>
  </si>
  <si>
    <t>日收盤還原表排行.最低價/</t>
  </si>
  <si>
    <t>日收盤還原表排行.收盤價/</t>
  </si>
  <si>
    <t>格式：一般總覽/TWA00/最近/120/遞減/日收盤還原表排行/日期/日////每一期</t>
  </si>
  <si>
    <t>表格欄位/代號種類^=^S^;^週期編號^=^D^;^AllCMenuIDs^=^M061,M061,M061^;^是否轉置^=^False^;^檢視方式^=^1^;^AllFields^=^最高價,最低價,收盤價^;^MainTable^=^M061^;^ListType^=^日期^;^SelectDate^=^TOP 120^;^SelectCMenuID^=^M061^;^SelectDate種類^=^1^;^AllFieldsNO^=^,,^;^自訂欄位公式^=^||^;^自訂欄位Where條件^=^||^;^多期數值處理方式^=^1^;^多欄指定個股方式^=^1|1|1^;^多欄指定個股^=^1101|1101|1101^;^多欄指定群組名稱^=^||^;^欄位顯示狀態^=^1|1|1^;^欄位轉換日期方式^=^日^;^欄位排序方式^=^||^;^欄位採用各期最新^=^||^;^樣本表系統定義全部代號^=^^;^單項目比較欄位^=^^;^單項目比較欄位編號^=^^;^表格類型^=^</t>
  </si>
  <si>
    <t>報酬率</t>
    <phoneticPr fontId="4" type="noConversion"/>
  </si>
  <si>
    <t>報酬率_Range Vol</t>
    <phoneticPr fontId="4" type="noConversion"/>
  </si>
  <si>
    <t>Range Vol</t>
    <phoneticPr fontId="4" type="noConversion"/>
  </si>
  <si>
    <t>C/P</t>
  </si>
  <si>
    <t>Theta</t>
  </si>
  <si>
    <t>Delta</t>
  </si>
  <si>
    <t>口數</t>
  </si>
  <si>
    <t>1% Gamma</t>
  </si>
  <si>
    <t>C</t>
  </si>
  <si>
    <t>P</t>
  </si>
  <si>
    <t>Total</t>
  </si>
  <si>
    <t>TX</t>
  </si>
  <si>
    <t>TX2</t>
  </si>
  <si>
    <t>03680C</t>
  </si>
  <si>
    <t>臺股指凱基9A牛26</t>
  </si>
  <si>
    <t>臺股指元大9A購54</t>
  </si>
  <si>
    <t>臺股指元大9A購55</t>
  </si>
  <si>
    <t>臺股指元大9A購56</t>
  </si>
  <si>
    <t>臺股指元大9A購57</t>
  </si>
  <si>
    <t>臺股指元大9A購58</t>
  </si>
  <si>
    <t>臺股指群益9A購01</t>
  </si>
  <si>
    <t>臺股指群益9A購02</t>
  </si>
  <si>
    <t>臺股指群益9A購03</t>
  </si>
  <si>
    <t>臺股指群益9A購04</t>
  </si>
  <si>
    <t>臺股指凱基9A購23</t>
  </si>
  <si>
    <t>臺股指凱基9A購24</t>
  </si>
  <si>
    <t>臺股指凱基9A購25</t>
  </si>
  <si>
    <t>臺股指富邦9A購01</t>
  </si>
  <si>
    <t>臺股指富邦9A購02</t>
  </si>
  <si>
    <t>07716P</t>
  </si>
  <si>
    <t>臺股指群益9A售05</t>
  </si>
  <si>
    <t>07717P</t>
  </si>
  <si>
    <t>臺股指群益9A售06</t>
  </si>
  <si>
    <t>07718P</t>
  </si>
  <si>
    <t>臺股指群益9A售07</t>
  </si>
  <si>
    <t>07719P</t>
  </si>
  <si>
    <t>臺股指群益9A售08</t>
  </si>
  <si>
    <t>07720P</t>
  </si>
  <si>
    <t>臺股指群益9A售09</t>
  </si>
  <si>
    <t>07723P</t>
  </si>
  <si>
    <t>臺股指凱基9A售15</t>
  </si>
  <si>
    <t>07724P</t>
  </si>
  <si>
    <t>臺股指凱基9A售16</t>
  </si>
  <si>
    <t>07725P</t>
  </si>
  <si>
    <t>臺股指凱基9A售17</t>
  </si>
  <si>
    <t>07726P</t>
  </si>
  <si>
    <t>臺股指凱基9A售18</t>
  </si>
  <si>
    <t>07727P</t>
  </si>
  <si>
    <t>臺股指凱基9A售19</t>
  </si>
  <si>
    <t>07728P</t>
  </si>
  <si>
    <t>臺股指凱基9A售20</t>
  </si>
  <si>
    <t>07729P</t>
  </si>
  <si>
    <t>臺股指凱基9A售21</t>
  </si>
  <si>
    <t>07730P</t>
  </si>
  <si>
    <t>臺股指凱基9A售22</t>
  </si>
  <si>
    <t>07731P</t>
  </si>
  <si>
    <t>臺股指凱基9A售28</t>
  </si>
  <si>
    <t>07696P</t>
  </si>
  <si>
    <t>臺股指元大9A售49</t>
  </si>
  <si>
    <t>07697P</t>
  </si>
  <si>
    <t>臺股指元大9A售50</t>
  </si>
  <si>
    <t>07698P</t>
  </si>
  <si>
    <t>臺股指元大9A售51</t>
  </si>
  <si>
    <t>07699P</t>
  </si>
  <si>
    <t>臺股指元大9A售52</t>
  </si>
  <si>
    <t>07700P</t>
  </si>
  <si>
    <t>臺股指元大9A售53</t>
  </si>
  <si>
    <t>07735P</t>
  </si>
  <si>
    <t>臺股指富邦9A售03</t>
  </si>
  <si>
    <t>07740P</t>
  </si>
  <si>
    <t>臺股指永豐9A售01</t>
  </si>
  <si>
    <t>07736P</t>
  </si>
  <si>
    <t>台灣50永豐9A售03</t>
  </si>
  <si>
    <t>07715P</t>
  </si>
  <si>
    <t>台灣50群益9A售14</t>
  </si>
  <si>
    <t>07732P</t>
  </si>
  <si>
    <t>台灣50台新9A售05</t>
  </si>
  <si>
    <t>07679P</t>
  </si>
  <si>
    <t>台灣50凱基01售10</t>
  </si>
  <si>
    <t>台灣50中信9A購02</t>
  </si>
  <si>
    <t>台灣50兆豐9A購04</t>
  </si>
  <si>
    <t>T50反1凱基04購01</t>
  </si>
  <si>
    <t>T50反1中信01購01</t>
  </si>
  <si>
    <t>T50反1台新9A購03</t>
  </si>
  <si>
    <t>Total</t>
    <phoneticPr fontId="4" type="noConversion"/>
  </si>
  <si>
    <t xml:space="preserve">$delta </t>
    <phoneticPr fontId="4" type="noConversion"/>
  </si>
  <si>
    <t>1% gamma$</t>
    <phoneticPr fontId="4" type="noConversion"/>
  </si>
  <si>
    <t>07759P</t>
  </si>
  <si>
    <t>臺股指富邦9A售04</t>
  </si>
  <si>
    <t>07752P</t>
  </si>
  <si>
    <t>台灣50元大9C售33</t>
  </si>
  <si>
    <t>07753P</t>
  </si>
  <si>
    <t>台灣50元大9C售34</t>
  </si>
  <si>
    <t>07755P</t>
  </si>
  <si>
    <t>台灣50國票03售01</t>
  </si>
  <si>
    <t>07756P</t>
  </si>
  <si>
    <t>台灣50國票04售01</t>
  </si>
  <si>
    <t>台灣50兆豐9C購02</t>
  </si>
  <si>
    <t>台灣50群益9B購07</t>
  </si>
  <si>
    <t>台灣50群益9C購02</t>
  </si>
  <si>
    <t>T50反1元大9A購12</t>
  </si>
  <si>
    <t>T50反1元大9A購13</t>
  </si>
  <si>
    <t>T50反1元大9A購14</t>
  </si>
  <si>
    <t>T50反1元大9A購15</t>
  </si>
  <si>
    <t>T50反1元大9A購16</t>
  </si>
  <si>
    <t>T50反1群益9A購04</t>
  </si>
  <si>
    <t>T50反1國泰9B購03</t>
  </si>
  <si>
    <t>日期</t>
    <phoneticPr fontId="4" type="noConversion"/>
  </si>
  <si>
    <t>07773P</t>
  </si>
  <si>
    <t>台灣50群益9A售15</t>
  </si>
  <si>
    <t>07774P</t>
  </si>
  <si>
    <t>台灣50群益9A售16</t>
  </si>
  <si>
    <t>07778P</t>
  </si>
  <si>
    <t>台灣50凱基9C售08</t>
  </si>
  <si>
    <t>07790P</t>
  </si>
  <si>
    <t>台灣50元大9A售19</t>
  </si>
  <si>
    <t>台灣50台新9C購03</t>
  </si>
  <si>
    <t>台灣50永豐9A購04</t>
  </si>
  <si>
    <t>台灣50群益9B購08</t>
  </si>
  <si>
    <t>T50反1國票9B購04</t>
  </si>
  <si>
    <t>T50反1群益9A購05</t>
  </si>
  <si>
    <t>Call</t>
    <phoneticPr fontId="4" type="noConversion"/>
  </si>
  <si>
    <t>P</t>
    <phoneticPr fontId="4" type="noConversion"/>
  </si>
  <si>
    <t>07820P</t>
  </si>
  <si>
    <t>臺股指國票9A售11</t>
  </si>
  <si>
    <t>07821P</t>
  </si>
  <si>
    <t>臺股指國票9A售12</t>
  </si>
  <si>
    <t>07852P</t>
  </si>
  <si>
    <t>臺股指國票9A售13</t>
  </si>
  <si>
    <t>07860P</t>
  </si>
  <si>
    <t>臺股指麥證9A售06</t>
  </si>
  <si>
    <t>07859P</t>
  </si>
  <si>
    <t>台灣50麥證9A售04</t>
  </si>
  <si>
    <t>07827P</t>
  </si>
  <si>
    <t>台灣50中信9C售01</t>
  </si>
  <si>
    <t>07846P</t>
  </si>
  <si>
    <t>台灣50群益9A售17</t>
  </si>
  <si>
    <t>07813P</t>
  </si>
  <si>
    <t>台灣50群益9C售03</t>
  </si>
  <si>
    <t>台灣50元大9A購20</t>
  </si>
  <si>
    <t>台灣50元大9A購21</t>
  </si>
  <si>
    <t>台灣50群益9B購09</t>
  </si>
  <si>
    <t>T50反1中信03購01</t>
  </si>
  <si>
    <t>T50反1國票9B購05</t>
  </si>
  <si>
    <t>T50反1群益9A購06</t>
  </si>
  <si>
    <t>T50反1國票9C購01</t>
  </si>
  <si>
    <t>07861P</t>
  </si>
  <si>
    <t>台灣50中信03售08</t>
  </si>
  <si>
    <t>07869P</t>
  </si>
  <si>
    <t>台灣50群益9C售04</t>
  </si>
  <si>
    <t>07876P</t>
  </si>
  <si>
    <t>台灣50國泰01售01</t>
  </si>
  <si>
    <t>台灣50元大9B購11</t>
  </si>
  <si>
    <t>台灣50元大9B購12</t>
  </si>
  <si>
    <t>T50反1元大9B購01</t>
  </si>
  <si>
    <t>T50反1元大9B購02</t>
  </si>
  <si>
    <t>T50反1國票9B購06</t>
  </si>
  <si>
    <t>06478P</t>
    <phoneticPr fontId="4" type="noConversion"/>
  </si>
  <si>
    <t>臺股指國票9B購04</t>
  </si>
  <si>
    <t>臺股指國票9B購05</t>
  </si>
  <si>
    <t>臺股指元大9B購15</t>
  </si>
  <si>
    <t>臺股指元大9B購18</t>
  </si>
  <si>
    <t>臺股指元大9B購19</t>
  </si>
  <si>
    <t>臺股指凱基9B購05</t>
  </si>
  <si>
    <t>臺股指群益9B購01</t>
  </si>
  <si>
    <t>臺股指元大9B購23</t>
  </si>
  <si>
    <t>臺股指元大9B購24</t>
  </si>
  <si>
    <t>臺股指元大9B購25</t>
  </si>
  <si>
    <t>07891P</t>
  </si>
  <si>
    <t>臺股指國票9B售01</t>
  </si>
  <si>
    <t>07892P</t>
  </si>
  <si>
    <t>臺股指國票9B售02</t>
  </si>
  <si>
    <t>07893P</t>
  </si>
  <si>
    <t>臺股指國票9B售03</t>
  </si>
  <si>
    <t>07896P</t>
  </si>
  <si>
    <t>臺股指元大9B售16</t>
  </si>
  <si>
    <t>07897P</t>
  </si>
  <si>
    <t>臺股指元大9B售17</t>
  </si>
  <si>
    <t>07900P</t>
  </si>
  <si>
    <t>臺股指凱基9B售03</t>
  </si>
  <si>
    <t>07901P</t>
  </si>
  <si>
    <t>臺股指凱基9B售04</t>
  </si>
  <si>
    <t>07914P</t>
  </si>
  <si>
    <t>臺股指元大9B售20</t>
  </si>
  <si>
    <t>07915P</t>
  </si>
  <si>
    <t>臺股指元大9B售21</t>
  </si>
  <si>
    <t>07916P</t>
  </si>
  <si>
    <t>臺股指元大9B售22</t>
  </si>
  <si>
    <t>07881P</t>
  </si>
  <si>
    <t>台灣50凱基01售11</t>
  </si>
  <si>
    <t>07882P</t>
  </si>
  <si>
    <t>台灣50凱基01售12</t>
  </si>
  <si>
    <t>07907P</t>
  </si>
  <si>
    <t>台灣50台新9B售08</t>
  </si>
  <si>
    <t>台灣50富邦9B購03</t>
  </si>
  <si>
    <t>台灣50中信9B購01</t>
  </si>
  <si>
    <t>台灣50元大9C購35</t>
  </si>
  <si>
    <t>台灣50元大9C購36</t>
  </si>
  <si>
    <t>台灣50凱基02購01</t>
  </si>
  <si>
    <t>03681C</t>
  </si>
  <si>
    <t>台灣50凱基02牛02</t>
  </si>
  <si>
    <t>T50反1凱基02購01</t>
  </si>
  <si>
    <t>T50反1凱基9C購02</t>
  </si>
  <si>
    <t>T50反1國票9C購02</t>
  </si>
  <si>
    <t>T50反1凱基02購02</t>
  </si>
  <si>
    <t>約當口(張)數</t>
  </si>
  <si>
    <t>買進口(張)數</t>
  </si>
  <si>
    <t>買進均價</t>
  </si>
  <si>
    <t>買進ImpVol</t>
  </si>
  <si>
    <t>賣出口(張)數</t>
  </si>
  <si>
    <t>賣出均價</t>
  </si>
  <si>
    <t>賣出ImpVol</t>
  </si>
  <si>
    <t>delta</t>
  </si>
  <si>
    <t>避險波動率</t>
  </si>
  <si>
    <t>行使比率</t>
  </si>
  <si>
    <t>標的價格</t>
  </si>
  <si>
    <t>避險商品價格</t>
  </si>
  <si>
    <t>050142</t>
  </si>
  <si>
    <t>聯發科元富9A購01</t>
  </si>
  <si>
    <t>FILXFI</t>
  </si>
  <si>
    <t>國巨09</t>
  </si>
  <si>
    <t>056425</t>
  </si>
  <si>
    <t>052417</t>
  </si>
  <si>
    <t>聯發科兆豐9B購01</t>
  </si>
  <si>
    <t>054425</t>
  </si>
  <si>
    <t>聯發科富邦99購03</t>
  </si>
  <si>
    <t>055530</t>
  </si>
  <si>
    <t>聯發科群益98購01</t>
  </si>
  <si>
    <t>055794</t>
  </si>
  <si>
    <t>聯發科國泰99購01</t>
  </si>
  <si>
    <t>056505</t>
  </si>
  <si>
    <t>聯發科永豐98購01</t>
  </si>
  <si>
    <t>056588</t>
  </si>
  <si>
    <t>聯發科統一9A購02</t>
  </si>
  <si>
    <t>057984</t>
  </si>
  <si>
    <t>聯發科台新98購01</t>
  </si>
  <si>
    <t>058436</t>
  </si>
  <si>
    <t>聯發科統一9B購03</t>
  </si>
  <si>
    <t>057310</t>
  </si>
  <si>
    <t>058539</t>
  </si>
  <si>
    <t>聯發科台新99購01</t>
  </si>
  <si>
    <t>058161</t>
  </si>
  <si>
    <t>06385P</t>
  </si>
  <si>
    <t>聯發科永豐97售02</t>
  </si>
  <si>
    <t>06493P</t>
  </si>
  <si>
    <t>聯發科永豐98售02</t>
  </si>
  <si>
    <t>TXO09400U0</t>
  </si>
  <si>
    <t>07087P</t>
  </si>
  <si>
    <t>聯發科台新99售02</t>
  </si>
  <si>
    <t>709468</t>
  </si>
  <si>
    <t>選擇權</t>
  </si>
  <si>
    <t>Call</t>
  </si>
  <si>
    <t>Put</t>
  </si>
  <si>
    <t>O</t>
  </si>
  <si>
    <t>D</t>
  </si>
  <si>
    <t>E</t>
  </si>
  <si>
    <t>Q</t>
  </si>
  <si>
    <t>F</t>
  </si>
  <si>
    <t>R</t>
  </si>
  <si>
    <t>G</t>
  </si>
  <si>
    <t>S</t>
    <phoneticPr fontId="10" type="noConversion"/>
  </si>
  <si>
    <t>H</t>
  </si>
  <si>
    <t>T</t>
  </si>
  <si>
    <t>I</t>
  </si>
  <si>
    <t>U</t>
  </si>
  <si>
    <t>J</t>
  </si>
  <si>
    <t>V</t>
  </si>
  <si>
    <t>K</t>
  </si>
  <si>
    <t>L</t>
  </si>
  <si>
    <t>X</t>
  </si>
  <si>
    <t>臺股指中信9C購05</t>
  </si>
  <si>
    <t>臺股指國票9B購09</t>
  </si>
  <si>
    <t>07934P</t>
  </si>
  <si>
    <t>臺股指國票9B售06</t>
  </si>
  <si>
    <t>07935P</t>
  </si>
  <si>
    <t>臺股指國票9B售07</t>
  </si>
  <si>
    <t>07936P</t>
  </si>
  <si>
    <t>臺股指國票9B售08</t>
  </si>
  <si>
    <t>台灣50元大9B購13</t>
  </si>
  <si>
    <t>台灣50元大9B購14</t>
  </si>
  <si>
    <t>T50反1國票01購01</t>
  </si>
  <si>
    <t>T50反1國票9B購07</t>
  </si>
  <si>
    <t>T50反1國票9B購08</t>
  </si>
  <si>
    <t>T50反1群益9B購01</t>
  </si>
  <si>
    <t>T50反1元大9B購03</t>
  </si>
  <si>
    <t>1% Vega</t>
    <phoneticPr fontId="4" type="noConversion"/>
  </si>
  <si>
    <t>1%Vega</t>
    <phoneticPr fontId="4" type="noConversion"/>
  </si>
  <si>
    <t>Theta</t>
    <phoneticPr fontId="4" type="noConversion"/>
  </si>
  <si>
    <t>臺股指國票9B購10</t>
  </si>
  <si>
    <t>07969P</t>
  </si>
  <si>
    <t>臺股指元大9B售27</t>
  </si>
  <si>
    <t>07970P</t>
  </si>
  <si>
    <t>臺股指元大9B售28</t>
  </si>
  <si>
    <t>07971P</t>
  </si>
  <si>
    <t>臺股指元大9B售29</t>
  </si>
  <si>
    <t>07980P</t>
  </si>
  <si>
    <t>臺股指凱基02售01</t>
  </si>
  <si>
    <t>07960P</t>
  </si>
  <si>
    <t>台灣50中信9B售02</t>
  </si>
  <si>
    <t>T50反1中信03購02</t>
  </si>
  <si>
    <t>T50反1凱基9C購03</t>
  </si>
  <si>
    <t>059155</t>
  </si>
  <si>
    <t>6278</t>
  </si>
  <si>
    <t>046793</t>
  </si>
  <si>
    <t>聯發科元富99購01</t>
  </si>
  <si>
    <t>051277</t>
  </si>
  <si>
    <t>聯發科中信9A購01</t>
  </si>
  <si>
    <t>052437</t>
  </si>
  <si>
    <t>聯發科富邦99購02</t>
  </si>
  <si>
    <t>054289</t>
  </si>
  <si>
    <t>聯發科元大97購11</t>
  </si>
  <si>
    <t>03682C</t>
  </si>
  <si>
    <t>臺股指凱基9C牛07</t>
  </si>
  <si>
    <t>臺股指群益9B購02</t>
  </si>
  <si>
    <t>臺股指群益9B購03</t>
  </si>
  <si>
    <t>臺股指元大9B購31</t>
  </si>
  <si>
    <t>臺股指元大9B購32</t>
  </si>
  <si>
    <t>臺股指元大9B購33</t>
  </si>
  <si>
    <t>臺股指元大9B購34</t>
  </si>
  <si>
    <t>臺股指元大9B購35</t>
  </si>
  <si>
    <t>臺股指群益9B購05</t>
  </si>
  <si>
    <t>臺股指群益9B購06</t>
  </si>
  <si>
    <t>臺股指群益9B購07</t>
  </si>
  <si>
    <t>臺股指群益9B購08</t>
  </si>
  <si>
    <t>臺股指群益9B購09</t>
  </si>
  <si>
    <t>臺股指群益9B購10</t>
  </si>
  <si>
    <t>臺股指凱基9B購13</t>
  </si>
  <si>
    <t>臺股指凱基9B購14</t>
  </si>
  <si>
    <t>臺股指凱基9B購15</t>
  </si>
  <si>
    <t>臺股指富邦9B購01</t>
  </si>
  <si>
    <t>臺股指富邦9B購02</t>
  </si>
  <si>
    <t>臺股指國票9B購21</t>
  </si>
  <si>
    <t>臺股指國票9B購22</t>
  </si>
  <si>
    <t>臺股指國票9B購23</t>
  </si>
  <si>
    <t>07994P</t>
  </si>
  <si>
    <t>臺股指群益9B售04</t>
  </si>
  <si>
    <t>07995P</t>
  </si>
  <si>
    <t>臺股指麥證9C售01</t>
  </si>
  <si>
    <t>08016P</t>
  </si>
  <si>
    <t>臺股指凱基02售02</t>
  </si>
  <si>
    <t>08020P</t>
  </si>
  <si>
    <t>臺股指凱基9B售06</t>
  </si>
  <si>
    <t>08021P</t>
  </si>
  <si>
    <t>臺股指凱基9B售07</t>
  </si>
  <si>
    <t>08022P</t>
  </si>
  <si>
    <t>臺股指凱基9B售08</t>
  </si>
  <si>
    <t>08023P</t>
  </si>
  <si>
    <t>臺股指凱基9B售09</t>
  </si>
  <si>
    <t>08024P</t>
  </si>
  <si>
    <t>臺股指凱基9B售10</t>
  </si>
  <si>
    <t>08025P</t>
  </si>
  <si>
    <t>臺股指凱基9B售11</t>
  </si>
  <si>
    <t>08026P</t>
  </si>
  <si>
    <t>臺股指凱基9B售12</t>
  </si>
  <si>
    <t>08028P</t>
  </si>
  <si>
    <t>臺股指元大9B售30</t>
  </si>
  <si>
    <t>08029P</t>
  </si>
  <si>
    <t>臺股指元大9B售36</t>
  </si>
  <si>
    <t>08030P</t>
  </si>
  <si>
    <t>臺股指元大9B售37</t>
  </si>
  <si>
    <t>08031P</t>
  </si>
  <si>
    <t>臺股指元大9B售38</t>
  </si>
  <si>
    <t>08038P</t>
  </si>
  <si>
    <t>臺股指群益9B售11</t>
  </si>
  <si>
    <t>08039P</t>
  </si>
  <si>
    <t>臺股指群益9B售12</t>
  </si>
  <si>
    <t>08040P</t>
  </si>
  <si>
    <t>臺股指群益9B售13</t>
  </si>
  <si>
    <t>08041P</t>
  </si>
  <si>
    <t>臺股指群益9B售14</t>
  </si>
  <si>
    <t>08042P</t>
  </si>
  <si>
    <t>臺股指群益9B售15</t>
  </si>
  <si>
    <t>08044P</t>
  </si>
  <si>
    <t>臺股指富邦9B售03</t>
  </si>
  <si>
    <t>08046P</t>
  </si>
  <si>
    <t>臺股指國票9B售11</t>
  </si>
  <si>
    <t>08047P</t>
  </si>
  <si>
    <t>臺股指國票9B售12</t>
  </si>
  <si>
    <t>08048P</t>
  </si>
  <si>
    <t>臺股指國票9B售13</t>
  </si>
  <si>
    <t>08049P</t>
  </si>
  <si>
    <t>臺股指國票9B售14</t>
  </si>
  <si>
    <t>08050P</t>
  </si>
  <si>
    <t>臺股指國票9B售15</t>
  </si>
  <si>
    <t>08051P</t>
  </si>
  <si>
    <t>臺股指國票9B售16</t>
  </si>
  <si>
    <t>08052P</t>
  </si>
  <si>
    <t>臺股指國票9B售17</t>
  </si>
  <si>
    <t>08053P</t>
  </si>
  <si>
    <t>臺股指國票9B售18</t>
  </si>
  <si>
    <t>08054P</t>
  </si>
  <si>
    <t>臺股指國票9B售19</t>
  </si>
  <si>
    <t>08055P</t>
  </si>
  <si>
    <t>臺股指國票9B售20</t>
  </si>
  <si>
    <t>08071P</t>
  </si>
  <si>
    <t>臺股指富邦9B售04</t>
  </si>
  <si>
    <t>08073P</t>
  </si>
  <si>
    <t>台灣50麥證9C售01</t>
  </si>
  <si>
    <t>08081P</t>
  </si>
  <si>
    <t>台灣50元大9B售20</t>
  </si>
  <si>
    <t>08082P</t>
  </si>
  <si>
    <t>台灣50元大9B售21</t>
  </si>
  <si>
    <t>08033P</t>
  </si>
  <si>
    <t>台灣50兆豐9C售03</t>
  </si>
  <si>
    <t>08001P</t>
  </si>
  <si>
    <t>台灣50元大9B售17</t>
  </si>
  <si>
    <t>08012P</t>
  </si>
  <si>
    <t>台灣50凱基01售13</t>
  </si>
  <si>
    <t>08013P</t>
  </si>
  <si>
    <t>台灣50凱基9C售09</t>
  </si>
  <si>
    <t>台灣50兆豐9B購02</t>
  </si>
  <si>
    <t>台灣50凱基02購03</t>
  </si>
  <si>
    <t>台灣50凱基9C購10</t>
  </si>
  <si>
    <t>台灣50元大9B購18</t>
  </si>
  <si>
    <t>台灣50元大9B購19</t>
  </si>
  <si>
    <t>台灣50群益9B購10</t>
  </si>
  <si>
    <t>台灣50元大9B購15</t>
  </si>
  <si>
    <t>台灣50元大9B購16</t>
  </si>
  <si>
    <t>T50反1群益9B購02</t>
  </si>
  <si>
    <t>T50反1元大9B購04</t>
  </si>
  <si>
    <t>T50反1元大9B購05</t>
  </si>
  <si>
    <t>T50反1凱基03購01</t>
  </si>
  <si>
    <t>T50反1元大9B購06</t>
  </si>
  <si>
    <t>T50反1中信02購01</t>
  </si>
  <si>
    <t>T50反1國泰9C購01</t>
  </si>
  <si>
    <t>台指06</t>
    <phoneticPr fontId="4" type="noConversion"/>
  </si>
  <si>
    <t>4</t>
  </si>
  <si>
    <t>1</t>
    <phoneticPr fontId="4" type="noConversion"/>
  </si>
  <si>
    <t>2</t>
  </si>
  <si>
    <t>3</t>
  </si>
  <si>
    <t>5</t>
  </si>
  <si>
    <t>6</t>
  </si>
  <si>
    <t>7</t>
  </si>
  <si>
    <t>8</t>
  </si>
  <si>
    <t>9</t>
  </si>
  <si>
    <t>10</t>
  </si>
  <si>
    <t>11</t>
  </si>
  <si>
    <t>12</t>
  </si>
  <si>
    <t>WK</t>
  </si>
  <si>
    <t>格式：一般總覽/VIX15/指定/20200102-/遞增/日台指選擇權波動率指數(收盤價)/日期/日////每一期</t>
  </si>
  <si>
    <t>表格欄位/代號種類^=^Z^;^週期編號^=^D^;^AllCMenuIDs^=^M216,M216,M216,M216^;^是否轉置^=^False^;^檢視方式^=^1^;^AllFields^=^開盤價,最高價,最低價,收盤價^;^MainTable^=^M216^;^ListType^=^日期^;^SelectDate^=^20200102-^;^SelectCMenuID^=^M216^;^SelectDate種類^=^3^;^AllFieldsNO^=^,,,^;^自訂欄位公式^=^|||^;^自訂欄位Where條件^=^|||^;^多期數值處理方式^=^1^;^多欄指定個股方式^=^1|1|1|1^;^多欄指定個股^=^VIX15|VIX15|VIX15|VIX15^;^多欄指定群組名稱^=^|||^;^欄位顯示狀態^=^1|1|1|1^;^欄位轉換日期方式^=^日^;^欄位排序方式^=^|||^;^欄位採用各期最新^=^|||^;^樣本表系統定義全部代號^=^^;^單項目比較欄位^=^^;^單項目比較欄位編號^=^^;^表格類型^=^</t>
  </si>
  <si>
    <t>日台指選擇權波動率指數(收盤價).開盤價/</t>
  </si>
  <si>
    <t>日台指選擇權波動率指數(收盤價).最高價/</t>
  </si>
  <si>
    <t>日台指選擇權波動率指數(收盤價).最低價/</t>
  </si>
  <si>
    <t>日台指選擇權波動率指數(收盤價).收盤價/</t>
  </si>
  <si>
    <t>週選/月選</t>
    <phoneticPr fontId="4" type="noConversion"/>
  </si>
  <si>
    <t>月選</t>
  </si>
  <si>
    <t>月選</t>
    <phoneticPr fontId="4" type="noConversion"/>
  </si>
  <si>
    <t>0050</t>
    <phoneticPr fontId="4" type="noConversion"/>
  </si>
  <si>
    <t>0050</t>
    <phoneticPr fontId="4" type="noConversion"/>
  </si>
  <si>
    <t>Theta</t>
    <phoneticPr fontId="4" type="noConversion"/>
  </si>
  <si>
    <t>臺股指中信01購04</t>
  </si>
  <si>
    <t>臺股指元大9B購41</t>
  </si>
  <si>
    <t>臺股指元大9B購42</t>
  </si>
  <si>
    <t>08110P</t>
  </si>
  <si>
    <t>臺股指中信01售05</t>
  </si>
  <si>
    <t>08111P</t>
  </si>
  <si>
    <t>臺股指中信01售06</t>
  </si>
  <si>
    <t>08112P</t>
  </si>
  <si>
    <t>臺股指中信01售07</t>
  </si>
  <si>
    <t>08116P</t>
  </si>
  <si>
    <t>臺股指凱基9B售17</t>
  </si>
  <si>
    <t>08133P</t>
  </si>
  <si>
    <t>臺股指元大9B售39</t>
  </si>
  <si>
    <t>08134P</t>
  </si>
  <si>
    <t>臺股指元大9B售40</t>
  </si>
  <si>
    <t>08144P</t>
  </si>
  <si>
    <t>臺股指凱基02售03</t>
  </si>
  <si>
    <t>08145P</t>
  </si>
  <si>
    <t>台灣50群益9B售11</t>
  </si>
  <si>
    <t>08162P</t>
  </si>
  <si>
    <t>台灣50台新9C售06</t>
  </si>
  <si>
    <t>08137P</t>
  </si>
  <si>
    <t>台灣50元大9B售24</t>
  </si>
  <si>
    <t>08138P</t>
  </si>
  <si>
    <t>台灣50元大9B售25</t>
  </si>
  <si>
    <t>08113P</t>
  </si>
  <si>
    <t>台灣50凱基02售04</t>
  </si>
  <si>
    <t>08102P</t>
  </si>
  <si>
    <t>台灣50元大9B售22</t>
  </si>
  <si>
    <t>08103P</t>
  </si>
  <si>
    <t>台灣50元大9B售23</t>
  </si>
  <si>
    <t>08109P</t>
  </si>
  <si>
    <t>台灣50台新9C售04</t>
  </si>
  <si>
    <t>台灣50群益01購01</t>
  </si>
  <si>
    <t>台灣50群益01購02</t>
  </si>
  <si>
    <t>台灣50台新9C購05</t>
  </si>
  <si>
    <t>T50反1兆豐9B購01</t>
  </si>
  <si>
    <t>T50反1元大9B購07</t>
  </si>
  <si>
    <t>T50反1元大9B購08</t>
  </si>
  <si>
    <t>FIMTXI</t>
  </si>
  <si>
    <t>小型09</t>
  </si>
  <si>
    <t>FINYFG</t>
  </si>
  <si>
    <t>元大台灣5007</t>
  </si>
  <si>
    <t>FITXI</t>
  </si>
  <si>
    <t>台指09</t>
  </si>
  <si>
    <t>08223P</t>
  </si>
  <si>
    <t>臺股指凱基9B售18</t>
  </si>
  <si>
    <t>08224P</t>
  </si>
  <si>
    <t>臺股指凱基9B售19</t>
  </si>
  <si>
    <t>08225P</t>
  </si>
  <si>
    <t>臺股指凱基9B售20</t>
  </si>
  <si>
    <t>08208P</t>
  </si>
  <si>
    <t>臺股指群益9B售16</t>
  </si>
  <si>
    <t>08226P</t>
  </si>
  <si>
    <t>台灣50元大9B售26</t>
  </si>
  <si>
    <t>08204P</t>
  </si>
  <si>
    <t>台灣50中信01售04</t>
  </si>
  <si>
    <t>台灣50富邦03購01</t>
  </si>
  <si>
    <t>T50反1群益9B購03</t>
  </si>
  <si>
    <t>T50反1元大9B購10</t>
  </si>
  <si>
    <t>T50反1元大9B購11</t>
  </si>
  <si>
    <t>T50反1富邦02購01</t>
  </si>
  <si>
    <t>08227P</t>
  </si>
  <si>
    <t>T50反1元大9B售09</t>
  </si>
  <si>
    <t>FIMTXG</t>
  </si>
  <si>
    <t>小型07</t>
  </si>
  <si>
    <t>台指09</t>
    <phoneticPr fontId="4" type="noConversion"/>
  </si>
  <si>
    <t>月份</t>
    <phoneticPr fontId="4" type="noConversion"/>
  </si>
  <si>
    <t>C/P</t>
    <phoneticPr fontId="4" type="noConversion"/>
  </si>
  <si>
    <t>K</t>
    <phoneticPr fontId="4" type="noConversion"/>
  </si>
  <si>
    <t>S</t>
    <phoneticPr fontId="4" type="noConversion"/>
  </si>
  <si>
    <t>$Delta</t>
    <phoneticPr fontId="4" type="noConversion"/>
  </si>
  <si>
    <t>Price</t>
    <phoneticPr fontId="4" type="noConversion"/>
  </si>
  <si>
    <t>IV</t>
    <phoneticPr fontId="4" type="noConversion"/>
  </si>
  <si>
    <t>剩餘天期</t>
    <phoneticPr fontId="4" type="noConversion"/>
  </si>
  <si>
    <t>到期日</t>
    <phoneticPr fontId="4" type="noConversion"/>
  </si>
  <si>
    <t>期貨</t>
    <phoneticPr fontId="4" type="noConversion"/>
  </si>
  <si>
    <t>1%Gamma</t>
    <phoneticPr fontId="4" type="noConversion"/>
  </si>
  <si>
    <t>1% Vega</t>
    <phoneticPr fontId="4" type="noConversion"/>
  </si>
  <si>
    <t>Theta</t>
    <phoneticPr fontId="4" type="noConversion"/>
  </si>
  <si>
    <t>商品</t>
    <phoneticPr fontId="4" type="noConversion"/>
  </si>
  <si>
    <t>選擇權</t>
    <phoneticPr fontId="4" type="noConversion"/>
  </si>
  <si>
    <t>口數</t>
    <phoneticPr fontId="4" type="noConversion"/>
  </si>
  <si>
    <t>FITX</t>
    <phoneticPr fontId="4" type="noConversion"/>
  </si>
  <si>
    <t>T</t>
    <phoneticPr fontId="4" type="noConversion"/>
  </si>
  <si>
    <t>FITX</t>
    <phoneticPr fontId="4" type="noConversion"/>
  </si>
  <si>
    <t>06117P</t>
    <phoneticPr fontId="4" type="noConversion"/>
  </si>
  <si>
    <t>06478P</t>
    <phoneticPr fontId="4" type="noConversion"/>
  </si>
  <si>
    <t>06919P</t>
    <phoneticPr fontId="4" type="noConversion"/>
  </si>
  <si>
    <t>07140P</t>
    <phoneticPr fontId="4" type="noConversion"/>
  </si>
  <si>
    <t>06098P</t>
    <phoneticPr fontId="4" type="noConversion"/>
  </si>
  <si>
    <t>避險口數</t>
    <phoneticPr fontId="4" type="noConversion"/>
  </si>
  <si>
    <t>日盛權證</t>
    <phoneticPr fontId="4" type="noConversion"/>
  </si>
  <si>
    <t>期貨</t>
    <phoneticPr fontId="4" type="noConversion"/>
  </si>
  <si>
    <t>損益加總</t>
    <phoneticPr fontId="4" type="noConversion"/>
  </si>
  <si>
    <t>Vol變動</t>
    <phoneticPr fontId="4" type="noConversion"/>
  </si>
  <si>
    <t>股價漲跌幅</t>
    <phoneticPr fontId="4" type="noConversion"/>
  </si>
  <si>
    <t>056148</t>
    <phoneticPr fontId="4" type="noConversion"/>
  </si>
  <si>
    <t>056638</t>
    <phoneticPr fontId="4" type="noConversion"/>
  </si>
  <si>
    <t>058470</t>
    <phoneticPr fontId="4" type="noConversion"/>
  </si>
  <si>
    <t>059550</t>
    <phoneticPr fontId="4" type="noConversion"/>
  </si>
  <si>
    <t>058740</t>
    <phoneticPr fontId="4" type="noConversion"/>
  </si>
  <si>
    <t>053900</t>
    <phoneticPr fontId="4" type="noConversion"/>
  </si>
  <si>
    <t>058161</t>
    <phoneticPr fontId="4" type="noConversion"/>
  </si>
  <si>
    <t>057681</t>
    <phoneticPr fontId="4" type="noConversion"/>
  </si>
  <si>
    <t>049973</t>
    <phoneticPr fontId="4" type="noConversion"/>
  </si>
  <si>
    <t>049406</t>
    <phoneticPr fontId="4" type="noConversion"/>
  </si>
  <si>
    <t>052269</t>
    <phoneticPr fontId="4" type="noConversion"/>
  </si>
  <si>
    <t>056219</t>
    <phoneticPr fontId="4" type="noConversion"/>
  </si>
  <si>
    <t>股價漲跌幅</t>
    <phoneticPr fontId="4" type="noConversion"/>
  </si>
  <si>
    <t>TXO10700G0</t>
  </si>
  <si>
    <t>TXO10800G0</t>
  </si>
  <si>
    <t>臺股指元大9C購08</t>
  </si>
  <si>
    <t>臺股指元大9C購09</t>
  </si>
  <si>
    <t>臺股指元大9C購10</t>
  </si>
  <si>
    <t>08325P</t>
  </si>
  <si>
    <t>臺股指凱基9C售08</t>
  </si>
  <si>
    <t>08326P</t>
  </si>
  <si>
    <t>臺股指凱基9C售09</t>
  </si>
  <si>
    <t>08251P</t>
  </si>
  <si>
    <t>臺股指群益9C售09</t>
  </si>
  <si>
    <t>08265P</t>
  </si>
  <si>
    <t>臺股指元大9C售03</t>
  </si>
  <si>
    <t>08266P</t>
  </si>
  <si>
    <t>臺股指元大9C售04</t>
  </si>
  <si>
    <t>08267P</t>
  </si>
  <si>
    <t>臺股指元大9C售05</t>
  </si>
  <si>
    <t>08268P</t>
  </si>
  <si>
    <t>臺股指元大9C售06</t>
  </si>
  <si>
    <t>08269P</t>
  </si>
  <si>
    <t>臺股指元大9C售07</t>
  </si>
  <si>
    <t>08280P</t>
  </si>
  <si>
    <t>臺股指中信02售01</t>
  </si>
  <si>
    <t>08245P</t>
  </si>
  <si>
    <t>台灣50群益9C售05</t>
  </si>
  <si>
    <t>08317P</t>
  </si>
  <si>
    <t>台灣50台新01售04</t>
  </si>
  <si>
    <t>台灣50永豐9C購01</t>
  </si>
  <si>
    <t>03683C</t>
  </si>
  <si>
    <t>T50反1元大9C牛04</t>
  </si>
  <si>
    <t>T50反1國票01購02</t>
  </si>
  <si>
    <t>T50反1凱基02購03</t>
  </si>
  <si>
    <t>T50反1元大9C購03</t>
  </si>
  <si>
    <t>08283P</t>
  </si>
  <si>
    <t>T50反1凱基01售01</t>
  </si>
  <si>
    <t>058522</t>
  </si>
  <si>
    <t>聯茂元大99購07</t>
  </si>
  <si>
    <t>FITXG</t>
  </si>
  <si>
    <t>台指07</t>
  </si>
  <si>
    <t>股票代號</t>
  </si>
  <si>
    <t>股票名稱</t>
  </si>
  <si>
    <t>庫存股數</t>
  </si>
  <si>
    <t>收盤價</t>
  </si>
  <si>
    <t>市值</t>
  </si>
  <si>
    <t>卜蜂</t>
  </si>
  <si>
    <t>訊連</t>
  </si>
  <si>
    <t>晶心科</t>
  </si>
  <si>
    <t>03448B</t>
  </si>
  <si>
    <t>臺股指元大9C熊11</t>
  </si>
  <si>
    <t>03684C</t>
  </si>
  <si>
    <t>臺股指元大06牛01</t>
  </si>
  <si>
    <t>03685C</t>
  </si>
  <si>
    <t>臺股指元大9B牛43</t>
  </si>
  <si>
    <t>臺股指凱基9C購10</t>
  </si>
  <si>
    <t>臺股指元大9C購12</t>
  </si>
  <si>
    <t>臺股指元大9C購17</t>
  </si>
  <si>
    <t>臺股指元大9C購18</t>
  </si>
  <si>
    <t>臺股指元大9C購19</t>
  </si>
  <si>
    <t>臺股指元大9C購20</t>
  </si>
  <si>
    <t>臺股指元大9C購21</t>
  </si>
  <si>
    <t>臺股指元大9C購22</t>
  </si>
  <si>
    <t>臺股指群益9C購10</t>
  </si>
  <si>
    <t>臺股指群益9C購11</t>
  </si>
  <si>
    <t>08384P</t>
  </si>
  <si>
    <t>臺股指群益9C售12</t>
  </si>
  <si>
    <t>08385P</t>
  </si>
  <si>
    <t>臺股指群益9C售13</t>
  </si>
  <si>
    <t>08386P</t>
  </si>
  <si>
    <t>臺股指群益9C售14</t>
  </si>
  <si>
    <t>08387P</t>
  </si>
  <si>
    <t>臺股指群益9C售15</t>
  </si>
  <si>
    <t>08407P</t>
  </si>
  <si>
    <t>臺股指元大9C售13</t>
  </si>
  <si>
    <t>08408P</t>
  </si>
  <si>
    <t>臺股指元大9C售14</t>
  </si>
  <si>
    <t>08409P</t>
  </si>
  <si>
    <t>臺股指元大9C售15</t>
  </si>
  <si>
    <t>08410P</t>
  </si>
  <si>
    <t>臺股指元大9C售16</t>
  </si>
  <si>
    <t>08350P</t>
  </si>
  <si>
    <t>臺股指中信9C售06</t>
  </si>
  <si>
    <t>08367P</t>
  </si>
  <si>
    <t>臺股指凱基9C售11</t>
  </si>
  <si>
    <t>08381P</t>
  </si>
  <si>
    <t>台灣50群益9C售06</t>
  </si>
  <si>
    <t>08415P</t>
  </si>
  <si>
    <t>台灣50元大9C售42</t>
  </si>
  <si>
    <t>08388P</t>
  </si>
  <si>
    <t>台灣50中信03售09</t>
  </si>
  <si>
    <t>08402P</t>
  </si>
  <si>
    <t>台灣50元大9C售40</t>
  </si>
  <si>
    <t>08337P</t>
  </si>
  <si>
    <t>台灣50凱基01售15</t>
  </si>
  <si>
    <t>08338P</t>
  </si>
  <si>
    <t>台灣50凱基9C售11</t>
  </si>
  <si>
    <t>08343P</t>
  </si>
  <si>
    <t>台灣50元大9C售37</t>
  </si>
  <si>
    <t>台灣50元大9C購41</t>
  </si>
  <si>
    <t>台灣50元大9C購43</t>
  </si>
  <si>
    <t>台灣50凱基01購14</t>
  </si>
  <si>
    <t>台灣50元大9C購38</t>
  </si>
  <si>
    <t>台灣50兆豐01購02</t>
  </si>
  <si>
    <t>台灣50元大9C購39</t>
  </si>
  <si>
    <t>T50反1元大9C購05</t>
  </si>
  <si>
    <t>T50反1元大9C購06</t>
  </si>
  <si>
    <t>T50反1群益9C購01</t>
  </si>
  <si>
    <t>T50反1元大9C購08</t>
  </si>
  <si>
    <t>T50反1國泰01購01</t>
  </si>
  <si>
    <t>08416P</t>
  </si>
  <si>
    <t>T50反1元大9C售07</t>
  </si>
  <si>
    <t>TXO 11000</t>
    <phoneticPr fontId="4" type="noConversion"/>
  </si>
  <si>
    <t>台指 07</t>
  </si>
  <si>
    <t>今日 IV</t>
    <phoneticPr fontId="4" type="noConversion"/>
  </si>
  <si>
    <t>昨日 IV</t>
    <phoneticPr fontId="4" type="noConversion"/>
  </si>
  <si>
    <t>TXO11000L0</t>
  </si>
  <si>
    <t>TXO11000X0</t>
  </si>
  <si>
    <t>063207</t>
  </si>
  <si>
    <t>聯茂統一01購01</t>
  </si>
  <si>
    <t>格式：轉置排行/衍生金融–期貨代號表//文字///日期/</t>
    <phoneticPr fontId="4" type="noConversion"/>
  </si>
  <si>
    <t>TX202008</t>
  </si>
  <si>
    <t>表格欄位/代號種類^=^Z^;^週期編號^=^D^;^AllCMenuIDs^=^M092^;^是否轉置^=^True^;^檢視方式^=^2^;^AllFields^=^結算價^;^MainTable^=^^;^ListType^=^B024^;^SelectDate^=^TOP 10^;^SelectCMenuID^=^M092^;^SelectDate種類^=^1^;^AllFieldsNO^=^^;^自訂欄位公式^=^^;^自訂欄位Where條件^=^^;^多期數值處理方式^=^1^;^多欄指定個股方式^=^^;^多欄指定個股^=^^;^多欄指定群組名稱^=^^;^欄位顯示狀態^=^1^;^欄位轉換日期方式^=^日^;^欄位排序方式^=^^;^欄位採用各期最新^=^^;^樣本表系統定義全部代號^=^B024^;^單項目比較欄位^=^^;^單項目比較欄位編號^=^^;^表格類型^=^</t>
    <phoneticPr fontId="4" type="noConversion"/>
  </si>
  <si>
    <t>資料日期/</t>
    <phoneticPr fontId="4" type="noConversion"/>
  </si>
  <si>
    <t>期貨交易行情表.結算價/每一期/最近/10/遞減/日//</t>
    <phoneticPr fontId="4" type="noConversion"/>
  </si>
  <si>
    <t>期貨交易行情表.結算價</t>
    <phoneticPr fontId="4" type="noConversion"/>
  </si>
  <si>
    <t>期貨交易行情表.結算價</t>
    <phoneticPr fontId="4" type="noConversion"/>
  </si>
  <si>
    <t>期貨交易行情表.結算價</t>
    <phoneticPr fontId="4" type="noConversion"/>
  </si>
  <si>
    <t>台指 08</t>
    <phoneticPr fontId="4" type="noConversion"/>
  </si>
  <si>
    <t>FILXFH</t>
  </si>
  <si>
    <t>國巨08</t>
  </si>
  <si>
    <t>FICDFH</t>
  </si>
  <si>
    <t>台積電08</t>
  </si>
  <si>
    <t>FIDDFG</t>
  </si>
  <si>
    <t>新光金07</t>
  </si>
  <si>
    <t>台指08</t>
    <phoneticPr fontId="4" type="noConversion"/>
  </si>
  <si>
    <t>元大台灣5008</t>
    <phoneticPr fontId="4" type="noConversion"/>
  </si>
  <si>
    <t>週選</t>
    <phoneticPr fontId="4" type="noConversion"/>
  </si>
  <si>
    <t>03449B</t>
  </si>
  <si>
    <t>臺股指元大01熊01</t>
  </si>
  <si>
    <t>03450B</t>
  </si>
  <si>
    <t>臺股指元大9C熊23</t>
  </si>
  <si>
    <t>03451B</t>
  </si>
  <si>
    <t>臺股指凱基9C熊23</t>
  </si>
  <si>
    <t>03686C</t>
  </si>
  <si>
    <t>臺股指元大04牛05</t>
  </si>
  <si>
    <t>03687C</t>
  </si>
  <si>
    <t>臺股指凱基9C牛22</t>
  </si>
  <si>
    <t>臺股指麥證9C購04</t>
  </si>
  <si>
    <t>臺股指凱基02購04</t>
  </si>
  <si>
    <t>臺股指凱基9C購20</t>
  </si>
  <si>
    <t>臺股指凱基9C購21</t>
  </si>
  <si>
    <t>臺股指群益9C購16</t>
  </si>
  <si>
    <t>臺股指群益9C購17</t>
  </si>
  <si>
    <t>臺股指群益9C購18</t>
  </si>
  <si>
    <t>臺股指國票9C購11</t>
  </si>
  <si>
    <t>臺股指國票9C購12</t>
  </si>
  <si>
    <t>臺股指國票9C購13</t>
  </si>
  <si>
    <t>臺股指國票9C購14</t>
  </si>
  <si>
    <t>臺股指富邦9C購03</t>
  </si>
  <si>
    <t>臺股指富邦9C購04</t>
  </si>
  <si>
    <t>臺股指統一9C購03</t>
  </si>
  <si>
    <t>08474P</t>
  </si>
  <si>
    <t>臺股指凱基9C售12</t>
  </si>
  <si>
    <t>08475P</t>
  </si>
  <si>
    <t>臺股指凱基9C售13</t>
  </si>
  <si>
    <t>08476P</t>
  </si>
  <si>
    <t>臺股指凱基9C售14</t>
  </si>
  <si>
    <t>08477P</t>
  </si>
  <si>
    <t>臺股指凱基9C售15</t>
  </si>
  <si>
    <t>08478P</t>
  </si>
  <si>
    <t>臺股指凱基9C售16</t>
  </si>
  <si>
    <t>08479P</t>
  </si>
  <si>
    <t>臺股指凱基9C售17</t>
  </si>
  <si>
    <t>08480P</t>
  </si>
  <si>
    <t>臺股指凱基9C售18</t>
  </si>
  <si>
    <t>08481P</t>
  </si>
  <si>
    <t>臺股指凱基9C售19</t>
  </si>
  <si>
    <t>08488P</t>
  </si>
  <si>
    <t>臺股指群益9C售19</t>
  </si>
  <si>
    <t>08489P</t>
  </si>
  <si>
    <t>臺股指群益9C售20</t>
  </si>
  <si>
    <t>08499P</t>
  </si>
  <si>
    <t>臺股指國票9C售01</t>
  </si>
  <si>
    <t>08500P</t>
  </si>
  <si>
    <t>臺股指國票9C售02</t>
  </si>
  <si>
    <t>08501P</t>
  </si>
  <si>
    <t>臺股指國票9C售03</t>
  </si>
  <si>
    <t>08502P</t>
  </si>
  <si>
    <t>臺股指國票9C售04</t>
  </si>
  <si>
    <t>08503P</t>
  </si>
  <si>
    <t>臺股指國票9C售05</t>
  </si>
  <si>
    <t>08504P</t>
  </si>
  <si>
    <t>臺股指國票9C售06</t>
  </si>
  <si>
    <t>08505P</t>
  </si>
  <si>
    <t>臺股指國票9C售07</t>
  </si>
  <si>
    <t>08556P</t>
  </si>
  <si>
    <t>臺股指中信01售08</t>
  </si>
  <si>
    <t>08557P</t>
  </si>
  <si>
    <t>臺股指中信01售09</t>
  </si>
  <si>
    <t>08568P</t>
  </si>
  <si>
    <t>臺股指富邦9C售05</t>
  </si>
  <si>
    <t>08433P</t>
  </si>
  <si>
    <t>臺股指凱基03售01</t>
  </si>
  <si>
    <t>08434P</t>
  </si>
  <si>
    <t>臺股指凱基03售02</t>
  </si>
  <si>
    <t>08442P</t>
  </si>
  <si>
    <t>臺股指麥證01售01</t>
  </si>
  <si>
    <t>08443P</t>
  </si>
  <si>
    <t>臺股指麥證01售02</t>
  </si>
  <si>
    <t>08444P</t>
  </si>
  <si>
    <t>臺股指麥證9C售02</t>
  </si>
  <si>
    <t>08445P</t>
  </si>
  <si>
    <t>臺股指麥證9C售03</t>
  </si>
  <si>
    <t>08507P</t>
  </si>
  <si>
    <t>臺股指國票9C售08</t>
  </si>
  <si>
    <t>08508P</t>
  </si>
  <si>
    <t>臺股指國票9C售09</t>
  </si>
  <si>
    <t>08509P</t>
  </si>
  <si>
    <t>臺股指國票9C售10</t>
  </si>
  <si>
    <t>08519P</t>
  </si>
  <si>
    <t>台灣50元大9C售46</t>
  </si>
  <si>
    <t>08550P</t>
  </si>
  <si>
    <t>台灣50群益02售04</t>
  </si>
  <si>
    <t>08446P</t>
  </si>
  <si>
    <t>台灣50富邦01售02</t>
  </si>
  <si>
    <t>08448P</t>
  </si>
  <si>
    <t>台灣50中信01售05</t>
  </si>
  <si>
    <t>08454P</t>
  </si>
  <si>
    <t>台灣50凱基9C售12</t>
  </si>
  <si>
    <t>08460P</t>
  </si>
  <si>
    <t>台灣50國票9C售05</t>
  </si>
  <si>
    <t>08463P</t>
  </si>
  <si>
    <t>台灣50國泰02售02</t>
  </si>
  <si>
    <t>台灣50元大9C購48</t>
  </si>
  <si>
    <t>台灣50元大9C購49</t>
  </si>
  <si>
    <t>台灣50群益02購02</t>
  </si>
  <si>
    <t>台灣50群益02購03</t>
  </si>
  <si>
    <t>台灣50永豐9C購02</t>
  </si>
  <si>
    <t>台灣50元大9C購47</t>
  </si>
  <si>
    <t>台灣50元大9C購44</t>
  </si>
  <si>
    <t>台灣50元大9C購45</t>
  </si>
  <si>
    <t>T50反1元大9C購09</t>
  </si>
  <si>
    <t>T50反1元大9C購10</t>
  </si>
  <si>
    <t>T50反1富邦01購02</t>
  </si>
  <si>
    <t>T50反1中信04購01</t>
  </si>
  <si>
    <t>T50反1群益9C購02</t>
  </si>
  <si>
    <t>T50反1群益01購01</t>
  </si>
  <si>
    <t>T50反1群益02購01</t>
  </si>
  <si>
    <t>T50反1群益9C購03</t>
  </si>
  <si>
    <t>T50反1國票01購03</t>
  </si>
  <si>
    <t>T50反1國票01購04</t>
  </si>
  <si>
    <t>T50反1國票02購01</t>
  </si>
  <si>
    <t>T50反1國票9C購03</t>
  </si>
  <si>
    <t>FILXFL</t>
  </si>
  <si>
    <t>國巨12</t>
  </si>
  <si>
    <t>臺股指元大9C購24</t>
  </si>
  <si>
    <t>臺股指元大9C購25</t>
  </si>
  <si>
    <t>臺股指元大9C購26</t>
  </si>
  <si>
    <t>臺股指元大9C購31</t>
  </si>
  <si>
    <t>08579P</t>
  </si>
  <si>
    <t>臺股指元大9C售27</t>
  </si>
  <si>
    <t>08580P</t>
  </si>
  <si>
    <t>臺股指元大9C售28</t>
  </si>
  <si>
    <t>08581P</t>
  </si>
  <si>
    <t>臺股指元大9C售29</t>
  </si>
  <si>
    <t>08582P</t>
  </si>
  <si>
    <t>臺股指元大9C售30</t>
  </si>
  <si>
    <t>08572P</t>
  </si>
  <si>
    <t>台灣50凱基9C售13</t>
  </si>
  <si>
    <t>台灣50台新9C購07</t>
  </si>
  <si>
    <t>台灣50富邦03購02</t>
  </si>
  <si>
    <t>T50反1富邦03購01</t>
  </si>
  <si>
    <t>T50反1凱基01購02</t>
  </si>
  <si>
    <t>T50反1凱基02購04</t>
  </si>
  <si>
    <t>FITXH</t>
  </si>
  <si>
    <t>台指08</t>
  </si>
  <si>
    <t>臺股指元大9C購34</t>
  </si>
  <si>
    <t>臺股指元大9C購35</t>
  </si>
  <si>
    <t>08600P</t>
  </si>
  <si>
    <t>臺股指元大9C售32</t>
  </si>
  <si>
    <t>08601P</t>
  </si>
  <si>
    <t>臺股指元大9C售33</t>
  </si>
  <si>
    <t>08589P</t>
  </si>
  <si>
    <t>台灣50台新9C售08</t>
  </si>
  <si>
    <t>03688C</t>
  </si>
  <si>
    <t>T50反1凱基03牛02</t>
  </si>
  <si>
    <t>T50反1群益9C購04</t>
  </si>
  <si>
    <t>FINYFH</t>
  </si>
  <si>
    <t>元大台灣5008</t>
  </si>
  <si>
    <t>FILEFG</t>
  </si>
  <si>
    <t>玉晶光07</t>
  </si>
  <si>
    <t>Vega 理論損</t>
    <phoneticPr fontId="4" type="noConversion"/>
  </si>
  <si>
    <t>FIDHFH</t>
  </si>
  <si>
    <t>鴻海08</t>
  </si>
  <si>
    <t>709983</t>
  </si>
  <si>
    <t>南六</t>
  </si>
  <si>
    <t>臺股指元大9C購37</t>
  </si>
  <si>
    <t>08608P</t>
  </si>
  <si>
    <t>臺股指富邦9C售06</t>
  </si>
  <si>
    <t>08626P</t>
  </si>
  <si>
    <t>臺股指群益9C售21</t>
  </si>
  <si>
    <t>08627P</t>
  </si>
  <si>
    <t>臺股指群益9C售22</t>
  </si>
  <si>
    <t>08630P</t>
  </si>
  <si>
    <t>臺股指麥證9C售05</t>
  </si>
  <si>
    <t>08631P</t>
  </si>
  <si>
    <t>臺股指麥證9C售06</t>
  </si>
  <si>
    <t>08644P</t>
  </si>
  <si>
    <t>臺股指中信02售02</t>
  </si>
  <si>
    <t>08645P</t>
  </si>
  <si>
    <t>臺股指中信03售01</t>
  </si>
  <si>
    <t>08646P</t>
  </si>
  <si>
    <t>臺股指中信03售02</t>
  </si>
  <si>
    <t>08650P</t>
  </si>
  <si>
    <t>臺股指元大9C售36</t>
  </si>
  <si>
    <t>08651P</t>
  </si>
  <si>
    <t>台灣50群益02售05</t>
  </si>
  <si>
    <t>08660P</t>
  </si>
  <si>
    <t>台灣50麥證9C售02</t>
  </si>
  <si>
    <t>08661P</t>
  </si>
  <si>
    <t>台灣50麥證9C售03</t>
  </si>
  <si>
    <t>08640P</t>
  </si>
  <si>
    <t>台灣50群益9C售07</t>
  </si>
  <si>
    <t>08641P</t>
  </si>
  <si>
    <t>台灣50群益9C售08</t>
  </si>
  <si>
    <t>台灣50元大9C購52</t>
  </si>
  <si>
    <t>台灣50元大9C購50</t>
  </si>
  <si>
    <t>台灣50元大9C購51</t>
  </si>
  <si>
    <t>T50反1兆豐9C購01</t>
  </si>
  <si>
    <t>T50反1國票03購01</t>
  </si>
  <si>
    <t>T50反1國票03購02</t>
  </si>
  <si>
    <t>T50反1國票03購03</t>
  </si>
  <si>
    <t>T50反1群益01購02</t>
  </si>
  <si>
    <t>T50反1元大9C購11</t>
  </si>
  <si>
    <t>K</t>
    <phoneticPr fontId="4" type="noConversion"/>
  </si>
  <si>
    <t>1% Gamma</t>
    <phoneticPr fontId="4" type="noConversion"/>
  </si>
  <si>
    <t>Vega</t>
    <phoneticPr fontId="4" type="noConversion"/>
  </si>
  <si>
    <t>口數</t>
    <phoneticPr fontId="4" type="noConversion"/>
  </si>
  <si>
    <t>週/月選</t>
    <phoneticPr fontId="4" type="noConversion"/>
  </si>
  <si>
    <t>週選</t>
    <phoneticPr fontId="4" type="noConversion"/>
  </si>
  <si>
    <t>月選</t>
    <phoneticPr fontId="4" type="noConversion"/>
  </si>
  <si>
    <t>期貨</t>
    <phoneticPr fontId="4" type="noConversion"/>
  </si>
  <si>
    <t>加總</t>
    <phoneticPr fontId="4" type="noConversion"/>
  </si>
  <si>
    <t>FIOLFH</t>
  </si>
  <si>
    <t>MF大立光08</t>
  </si>
  <si>
    <t>TXO10900H0</t>
  </si>
  <si>
    <t>TXO10900T0</t>
  </si>
  <si>
    <t>709281</t>
  </si>
  <si>
    <t>5483</t>
  </si>
  <si>
    <t>FINOFH</t>
  </si>
  <si>
    <t>中美晶08</t>
  </si>
  <si>
    <t>前日口數</t>
    <phoneticPr fontId="4" type="noConversion"/>
  </si>
  <si>
    <t xml:space="preserve">    成 交</t>
  </si>
  <si>
    <t>delta %</t>
    <phoneticPr fontId="4" type="noConversion"/>
  </si>
  <si>
    <t>TXO10700T0</t>
  </si>
  <si>
    <t>TXO11100T0</t>
  </si>
  <si>
    <t>TXO11200T0</t>
  </si>
  <si>
    <t>TXO11300T0</t>
  </si>
  <si>
    <t>057540</t>
  </si>
  <si>
    <t>6669</t>
  </si>
  <si>
    <t>057969</t>
  </si>
  <si>
    <t>緯穎國泰99購01</t>
  </si>
  <si>
    <t>058193</t>
  </si>
  <si>
    <t>緯穎永豐99購01</t>
  </si>
  <si>
    <t>060203</t>
  </si>
  <si>
    <t>緯穎元富9A購01</t>
  </si>
  <si>
    <t>060367</t>
  </si>
  <si>
    <t>緯穎元富9A購02</t>
  </si>
  <si>
    <t>061511</t>
  </si>
  <si>
    <t>緯穎富邦9B購02</t>
  </si>
  <si>
    <t>063973</t>
  </si>
  <si>
    <t>緯穎國票9C購01</t>
  </si>
  <si>
    <t>064057</t>
  </si>
  <si>
    <t>緯穎統一02購01</t>
  </si>
  <si>
    <t>064167</t>
  </si>
  <si>
    <t>緯穎統一01購03</t>
  </si>
  <si>
    <t>064388</t>
  </si>
  <si>
    <t>緯穎富邦9C購01</t>
  </si>
  <si>
    <t>064412</t>
  </si>
  <si>
    <t>緯穎凱基01購01</t>
  </si>
  <si>
    <t>065543</t>
  </si>
  <si>
    <t>緯穎元富01購01</t>
  </si>
  <si>
    <t>TXO11200H0</t>
  </si>
  <si>
    <t>709719</t>
  </si>
  <si>
    <t>8086</t>
  </si>
  <si>
    <t>709715</t>
  </si>
  <si>
    <t>宏捷科統一9A購01</t>
  </si>
  <si>
    <t>709735</t>
  </si>
  <si>
    <t>宏捷科統一9B購01</t>
  </si>
  <si>
    <t>709832</t>
  </si>
  <si>
    <t>宏捷科元富9C購02</t>
  </si>
  <si>
    <t>FIOLFG</t>
  </si>
  <si>
    <t>MF大立光07</t>
  </si>
  <si>
    <t>056520</t>
  </si>
  <si>
    <t>709026</t>
  </si>
  <si>
    <t>週選</t>
  </si>
  <si>
    <t>057914</t>
  </si>
  <si>
    <t>3711</t>
  </si>
  <si>
    <t>FIOZFG</t>
  </si>
  <si>
    <t>日月光投控07</t>
  </si>
  <si>
    <t>058679</t>
  </si>
  <si>
    <t>059154</t>
  </si>
  <si>
    <t>TXO11700T0</t>
  </si>
  <si>
    <t>TXO11800T0</t>
  </si>
  <si>
    <t>12050</t>
  </si>
  <si>
    <t>TXO 10900</t>
    <phoneticPr fontId="4" type="noConversion"/>
  </si>
  <si>
    <t>Put</t>
    <phoneticPr fontId="4" type="noConversion"/>
  </si>
  <si>
    <t>FIKBFH</t>
  </si>
  <si>
    <t>聯茂08</t>
  </si>
  <si>
    <t>03452B</t>
  </si>
  <si>
    <t>臺股指凱基03熊05</t>
  </si>
  <si>
    <t>03453B</t>
  </si>
  <si>
    <t>臺股指元大02熊02</t>
  </si>
  <si>
    <t>03454B</t>
  </si>
  <si>
    <t>臺股指元大04熊06</t>
  </si>
  <si>
    <t>臺股指凱基03購04</t>
  </si>
  <si>
    <t>臺股指中信04購01</t>
  </si>
  <si>
    <t>臺股指元大01購07</t>
  </si>
  <si>
    <t>臺股指元大01購08</t>
  </si>
  <si>
    <t>臺股指元大01購09</t>
  </si>
  <si>
    <t>臺股指元大01購10</t>
  </si>
  <si>
    <t>臺股指元大01購11</t>
  </si>
  <si>
    <t>臺股指凱基04購01</t>
  </si>
  <si>
    <t>臺股指群益01購03</t>
  </si>
  <si>
    <t>08686P</t>
  </si>
  <si>
    <t>臺股指凱基03售03</t>
  </si>
  <si>
    <t>08705P</t>
  </si>
  <si>
    <t>臺股指群益01售02</t>
  </si>
  <si>
    <t>08721P</t>
  </si>
  <si>
    <t>臺股指元大01售02</t>
  </si>
  <si>
    <t>08722P</t>
  </si>
  <si>
    <t>臺股指元大01售03</t>
  </si>
  <si>
    <t>08723P</t>
  </si>
  <si>
    <t>臺股指元大01售04</t>
  </si>
  <si>
    <t>08724P</t>
  </si>
  <si>
    <t>臺股指元大01售05</t>
  </si>
  <si>
    <t>08725P</t>
  </si>
  <si>
    <t>臺股指元大01售06</t>
  </si>
  <si>
    <t>08732P</t>
  </si>
  <si>
    <t>臺股指麥證01售04</t>
  </si>
  <si>
    <t>08733P</t>
  </si>
  <si>
    <t>臺股指麥證01售05</t>
  </si>
  <si>
    <t>08744P</t>
  </si>
  <si>
    <t>臺股指凱基02售05</t>
  </si>
  <si>
    <t>08745P</t>
  </si>
  <si>
    <t>臺股指凱基02售06</t>
  </si>
  <si>
    <t>08754P</t>
  </si>
  <si>
    <t>臺股指群益01售04</t>
  </si>
  <si>
    <t>08696P</t>
  </si>
  <si>
    <t>臺股指群益01售01</t>
  </si>
  <si>
    <t>08697P</t>
  </si>
  <si>
    <t>臺股指麥證01售03</t>
  </si>
  <si>
    <t>08704P</t>
  </si>
  <si>
    <t>台灣50群益01售03</t>
  </si>
  <si>
    <t>08755P</t>
  </si>
  <si>
    <t>台灣50元大01售17</t>
  </si>
  <si>
    <t>08756P</t>
  </si>
  <si>
    <t>台灣50元大01售18</t>
  </si>
  <si>
    <t>08757P</t>
  </si>
  <si>
    <t>台灣50元大01售19</t>
  </si>
  <si>
    <t>08764P</t>
  </si>
  <si>
    <t>台灣50富邦03售03</t>
  </si>
  <si>
    <t>08750P</t>
  </si>
  <si>
    <t>台灣50群益01售04</t>
  </si>
  <si>
    <t>08731P</t>
  </si>
  <si>
    <t>台灣50麥證01售01</t>
  </si>
  <si>
    <t>08707P</t>
  </si>
  <si>
    <t>台灣50台新01售05</t>
  </si>
  <si>
    <t>08717P</t>
  </si>
  <si>
    <t>台灣50元大01售16</t>
  </si>
  <si>
    <t>08718P</t>
  </si>
  <si>
    <t>台灣50元大02售03</t>
  </si>
  <si>
    <t>08688P</t>
  </si>
  <si>
    <t>台灣50中信04售02</t>
  </si>
  <si>
    <t>08678P</t>
  </si>
  <si>
    <t>台灣50元大01售14</t>
  </si>
  <si>
    <t>台灣50元大01售15</t>
  </si>
  <si>
    <t>08681P</t>
  </si>
  <si>
    <t>台灣50凱基01售16</t>
  </si>
  <si>
    <t>台灣50元大01購20</t>
  </si>
  <si>
    <t>台灣50元大01購21</t>
  </si>
  <si>
    <t>台灣50元大01購22</t>
  </si>
  <si>
    <t>台灣50元大01購23</t>
  </si>
  <si>
    <t>03689C</t>
  </si>
  <si>
    <t>T50反1元大02牛01</t>
  </si>
  <si>
    <t>T50反1凱基03購03</t>
  </si>
  <si>
    <t>T50反1群益02購02</t>
  </si>
  <si>
    <t>T50反1元大01購01</t>
  </si>
  <si>
    <t>T50反1元大01購02</t>
  </si>
  <si>
    <t>T50反1國泰02購01</t>
  </si>
  <si>
    <t>T50反1第一01購01</t>
  </si>
  <si>
    <t>T50反1群益01購03</t>
  </si>
  <si>
    <t>T50反1富邦03購02</t>
  </si>
  <si>
    <t>T50反1元富07購01</t>
  </si>
  <si>
    <t>T50反1元富07購02</t>
  </si>
  <si>
    <t>T50反1群益01購04</t>
  </si>
  <si>
    <t>T50反1群益02購03</t>
  </si>
  <si>
    <t xml:space="preserve"> 台指08月</t>
    <phoneticPr fontId="4" type="noConversion"/>
  </si>
  <si>
    <t xml:space="preserve"> 台指09月</t>
    <phoneticPr fontId="4" type="noConversion"/>
  </si>
  <si>
    <t>059043</t>
  </si>
  <si>
    <t>2303</t>
  </si>
  <si>
    <t>TXO11500T0</t>
  </si>
  <si>
    <t>TXO12000S0</t>
  </si>
  <si>
    <t>TXO12050S0</t>
  </si>
  <si>
    <t>TXO12100S0</t>
  </si>
  <si>
    <t>TXO12150S0</t>
  </si>
  <si>
    <t>711478</t>
  </si>
  <si>
    <t>宏捷科麥證9B購01</t>
  </si>
  <si>
    <t>712587</t>
  </si>
  <si>
    <t>宏捷科元大02購01</t>
  </si>
  <si>
    <t>8月</t>
    <phoneticPr fontId="4" type="noConversion"/>
  </si>
  <si>
    <t>12100</t>
  </si>
  <si>
    <t>12150</t>
  </si>
  <si>
    <t>056500</t>
  </si>
  <si>
    <t>大立光富邦9B購02</t>
  </si>
  <si>
    <t>057600</t>
  </si>
  <si>
    <t>大立光群益99購03</t>
  </si>
  <si>
    <t>058414</t>
  </si>
  <si>
    <t>大立光兆豐99購02</t>
  </si>
  <si>
    <t>058724</t>
  </si>
  <si>
    <t>大立光國泰9B購01</t>
  </si>
  <si>
    <t>062332</t>
  </si>
  <si>
    <t>大立光統一9B購11</t>
  </si>
  <si>
    <t>063922</t>
  </si>
  <si>
    <t>大立光元富9C購04</t>
  </si>
  <si>
    <t>063576</t>
  </si>
  <si>
    <t>台表科元大9B購08</t>
  </si>
  <si>
    <t>064411</t>
  </si>
  <si>
    <t>台表科凱基02購01</t>
  </si>
  <si>
    <t>064465</t>
  </si>
  <si>
    <t>台表科統一01購02</t>
  </si>
  <si>
    <t>064596</t>
  </si>
  <si>
    <t>台表科統一01購03</t>
  </si>
  <si>
    <t>064929</t>
  </si>
  <si>
    <t>台表科統一02購03</t>
  </si>
  <si>
    <t>065327</t>
  </si>
  <si>
    <t>台表科凱基9C購02</t>
  </si>
  <si>
    <t>065451</t>
  </si>
  <si>
    <t>台表科統一02購04</t>
  </si>
  <si>
    <t>FINAFH</t>
  </si>
  <si>
    <t>穩懋08</t>
  </si>
  <si>
    <t>053900</t>
  </si>
  <si>
    <t>FICDFL</t>
  </si>
  <si>
    <t>台積電12</t>
  </si>
  <si>
    <t>TXO11400T0</t>
  </si>
  <si>
    <t>FINOFG</t>
  </si>
  <si>
    <t>中美晶07</t>
  </si>
  <si>
    <t>057414</t>
  </si>
  <si>
    <t>2492</t>
  </si>
  <si>
    <t>FIHBFH</t>
  </si>
  <si>
    <t>華新科08</t>
  </si>
  <si>
    <t>057911</t>
  </si>
  <si>
    <t>062537</t>
  </si>
  <si>
    <t>聯電國泰9C購01</t>
  </si>
  <si>
    <t>062395</t>
  </si>
  <si>
    <t>台表科富邦9C購01</t>
  </si>
  <si>
    <t>064957</t>
  </si>
  <si>
    <t>台表科凱基02購02</t>
  </si>
  <si>
    <t>FIMTXH</t>
  </si>
  <si>
    <t>小型08</t>
  </si>
  <si>
    <t>TXO12000T0</t>
  </si>
  <si>
    <t>京城銀</t>
  </si>
  <si>
    <t>056333</t>
  </si>
  <si>
    <t>058067</t>
  </si>
  <si>
    <t>台積電第一9C購01</t>
  </si>
  <si>
    <t>066085</t>
  </si>
  <si>
    <t>台積電富邦05購01</t>
  </si>
  <si>
    <t>066611</t>
  </si>
  <si>
    <t>台積電麥證01購03</t>
  </si>
  <si>
    <t>067054</t>
  </si>
  <si>
    <t>台積電台新01購03</t>
  </si>
  <si>
    <t>FICDFG</t>
  </si>
  <si>
    <t>台積電07</t>
  </si>
  <si>
    <t>TXO11900T0</t>
  </si>
  <si>
    <t>Theta</t>
    <phoneticPr fontId="4" type="noConversion"/>
  </si>
  <si>
    <t>Delta</t>
    <phoneticPr fontId="4" type="noConversion"/>
  </si>
  <si>
    <t>口數</t>
    <phoneticPr fontId="4" type="noConversion"/>
  </si>
  <si>
    <t>1% Gamma</t>
    <phoneticPr fontId="4" type="noConversion"/>
  </si>
  <si>
    <t>BIV</t>
    <phoneticPr fontId="4" type="noConversion"/>
  </si>
  <si>
    <t>AIV</t>
    <phoneticPr fontId="4" type="noConversion"/>
  </si>
  <si>
    <t>VEGA_C</t>
    <phoneticPr fontId="4" type="noConversion"/>
  </si>
  <si>
    <t>VEGA_P</t>
    <phoneticPr fontId="4" type="noConversion"/>
  </si>
  <si>
    <t>#Get Error</t>
  </si>
  <si>
    <t>057941</t>
  </si>
  <si>
    <t>聯電國票99購01</t>
  </si>
  <si>
    <t>FICCFH</t>
  </si>
  <si>
    <t>聯電08</t>
  </si>
  <si>
    <t>058856</t>
  </si>
  <si>
    <t>新光金兆豐99購01</t>
  </si>
  <si>
    <t>TX412050S0</t>
  </si>
  <si>
    <t>TX412100S0</t>
  </si>
  <si>
    <t>TX412150S0</t>
  </si>
  <si>
    <t>TX412200S0</t>
  </si>
  <si>
    <t>健鼎</t>
  </si>
  <si>
    <t>牧德</t>
  </si>
  <si>
    <t>臻鼎-KY</t>
  </si>
  <si>
    <t>VIX15 台指選擇權波動率指數(新5D)</t>
    <phoneticPr fontId="4" type="noConversion"/>
  </si>
  <si>
    <t>開盤價</t>
    <phoneticPr fontId="4" type="noConversion"/>
  </si>
  <si>
    <t>最高價</t>
    <phoneticPr fontId="4" type="noConversion"/>
  </si>
  <si>
    <t>最低價</t>
    <phoneticPr fontId="4" type="noConversion"/>
  </si>
  <si>
    <t>收盤價</t>
    <phoneticPr fontId="4" type="noConversion"/>
  </si>
  <si>
    <t>收盤價</t>
    <phoneticPr fontId="4" type="noConversion"/>
  </si>
  <si>
    <t>TWA00 加權指數</t>
    <phoneticPr fontId="4" type="noConversion"/>
  </si>
  <si>
    <t>最高價</t>
    <phoneticPr fontId="4" type="noConversion"/>
  </si>
  <si>
    <t>最高價</t>
    <phoneticPr fontId="4" type="noConversion"/>
  </si>
  <si>
    <t>最低價</t>
    <phoneticPr fontId="4" type="noConversion"/>
  </si>
  <si>
    <t>權證代號</t>
    <phoneticPr fontId="4" type="noConversion"/>
  </si>
  <si>
    <t>到期日期</t>
    <phoneticPr fontId="4" type="noConversion"/>
  </si>
  <si>
    <t>最新履約價</t>
    <phoneticPr fontId="4" type="noConversion"/>
  </si>
  <si>
    <t>最新履約價</t>
    <phoneticPr fontId="4" type="noConversion"/>
  </si>
  <si>
    <t>最新執行比例</t>
    <phoneticPr fontId="4" type="noConversion"/>
  </si>
  <si>
    <t>臺股指中信04購02</t>
  </si>
  <si>
    <t>08766P</t>
  </si>
  <si>
    <t>臺股指中信03售03</t>
  </si>
  <si>
    <t>08839P</t>
  </si>
  <si>
    <t>臺股指麥證01售06</t>
  </si>
  <si>
    <t>08840P</t>
  </si>
  <si>
    <t>臺股指麥證01售07</t>
  </si>
  <si>
    <t>08872P</t>
  </si>
  <si>
    <t>臺股指群益01售05</t>
  </si>
  <si>
    <t>08877P</t>
  </si>
  <si>
    <t>臺股指中信04售03</t>
  </si>
  <si>
    <t>08889P</t>
  </si>
  <si>
    <t>台灣50元大01售28</t>
  </si>
  <si>
    <t>08894P</t>
  </si>
  <si>
    <t>台灣50元富01售07</t>
  </si>
  <si>
    <t>08895P</t>
  </si>
  <si>
    <t>台灣50元富02售02</t>
  </si>
  <si>
    <t>08896P</t>
  </si>
  <si>
    <t>台灣50群益01售10</t>
  </si>
  <si>
    <t>08854P</t>
  </si>
  <si>
    <t>台灣50國票01售04</t>
  </si>
  <si>
    <t>08855P</t>
  </si>
  <si>
    <t>台灣50國票01售05</t>
  </si>
  <si>
    <t>08856P</t>
  </si>
  <si>
    <t>台灣50國票01售06</t>
  </si>
  <si>
    <t>08857P</t>
  </si>
  <si>
    <t>台灣50國票01售07</t>
  </si>
  <si>
    <t>08767P</t>
  </si>
  <si>
    <t>台灣50凱基01售17</t>
  </si>
  <si>
    <t>08775P</t>
  </si>
  <si>
    <t>台灣50群益01售05</t>
  </si>
  <si>
    <t>08781P</t>
  </si>
  <si>
    <t>台灣50元大01售25</t>
  </si>
  <si>
    <t>08808P</t>
  </si>
  <si>
    <t>台灣50群益01售06</t>
  </si>
  <si>
    <t>08809P</t>
  </si>
  <si>
    <t>台灣50群益01售07</t>
  </si>
  <si>
    <t>台灣50凱基01售18</t>
  </si>
  <si>
    <t>08823P</t>
  </si>
  <si>
    <t>台灣50元大01售26</t>
  </si>
  <si>
    <t>08838P</t>
  </si>
  <si>
    <t>台灣50麥證01售02</t>
  </si>
  <si>
    <t>台灣50元大01購27</t>
  </si>
  <si>
    <t>台灣50元富01購06</t>
  </si>
  <si>
    <t>台灣50群益01購09</t>
  </si>
  <si>
    <t>台灣50統一04購01</t>
  </si>
  <si>
    <t>台灣50群益01購08</t>
  </si>
  <si>
    <t>台灣50元大01購24</t>
  </si>
  <si>
    <t>T50反1凱基01購03</t>
  </si>
  <si>
    <t>T50反1凱基03購04</t>
  </si>
  <si>
    <t>T50反1中信05購01</t>
  </si>
  <si>
    <t>T50反1元富07購03</t>
  </si>
  <si>
    <t>T50反1元富07購04</t>
  </si>
  <si>
    <t>T50反1元大01購03</t>
  </si>
  <si>
    <t>T50反1國票02購02</t>
  </si>
  <si>
    <t>T50反1群益01購05</t>
  </si>
  <si>
    <t>T50反1群益01購06</t>
  </si>
  <si>
    <t>T50反1國票01購05</t>
  </si>
  <si>
    <t>T50反1群益02購04</t>
  </si>
  <si>
    <t>T50反1元大01購04</t>
  </si>
  <si>
    <t>T50反1國泰03購01</t>
  </si>
  <si>
    <t>08768P</t>
  </si>
  <si>
    <t>T50反1凱基02售05</t>
  </si>
  <si>
    <t>臺股期貨近期</t>
    <phoneticPr fontId="4" type="noConversion"/>
  </si>
  <si>
    <t>臺股期貨次月</t>
    <phoneticPr fontId="4" type="noConversion"/>
  </si>
  <si>
    <t>臺股期貨202008</t>
    <phoneticPr fontId="4" type="noConversion"/>
  </si>
  <si>
    <t>20200715結算價</t>
    <phoneticPr fontId="4" type="noConversion"/>
  </si>
  <si>
    <t>20200715結算價</t>
    <phoneticPr fontId="4" type="noConversion"/>
  </si>
  <si>
    <t>20200714結算價</t>
    <phoneticPr fontId="4" type="noConversion"/>
  </si>
  <si>
    <t>20200713結算價</t>
    <phoneticPr fontId="4" type="noConversion"/>
  </si>
  <si>
    <t>20200713結算價</t>
    <phoneticPr fontId="4" type="noConversion"/>
  </si>
  <si>
    <t>20200710結算價</t>
    <phoneticPr fontId="4" type="noConversion"/>
  </si>
  <si>
    <t>20200710結算價</t>
    <phoneticPr fontId="4" type="noConversion"/>
  </si>
  <si>
    <t>20200709結算價</t>
    <phoneticPr fontId="4" type="noConversion"/>
  </si>
  <si>
    <t>20200709結算價</t>
    <phoneticPr fontId="4" type="noConversion"/>
  </si>
  <si>
    <t>20200708結算價</t>
    <phoneticPr fontId="4" type="noConversion"/>
  </si>
  <si>
    <t>20200708結算價</t>
    <phoneticPr fontId="4" type="noConversion"/>
  </si>
  <si>
    <t>20200707結算價</t>
    <phoneticPr fontId="4" type="noConversion"/>
  </si>
  <si>
    <t>20200706結算價</t>
    <phoneticPr fontId="4" type="noConversion"/>
  </si>
  <si>
    <t>20200703結算價</t>
    <phoneticPr fontId="4" type="noConversion"/>
  </si>
  <si>
    <t>20200702結算價</t>
    <phoneticPr fontId="4" type="noConversion"/>
  </si>
  <si>
    <t>20200702結算價</t>
    <phoneticPr fontId="4" type="noConversion"/>
  </si>
  <si>
    <t>P</t>
    <phoneticPr fontId="4" type="noConversion"/>
  </si>
  <si>
    <t>12200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</si>
</sst>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#,##0_ "/>
    <numFmt numFmtId="177" formatCode="0.0%"/>
    <numFmt numFmtId="178" formatCode="0.0000_);[Red]\(0.0000\)"/>
    <numFmt numFmtId="179" formatCode="0_ "/>
    <numFmt numFmtId="180" formatCode="#,##0_);[Red]\(#,##0\)"/>
    <numFmt numFmtId="181" formatCode="yyyy/m/d\ h:mm;@"/>
    <numFmt numFmtId="182" formatCode="#,##0.0000_ "/>
    <numFmt numFmtId="183" formatCode="#,##0.000_ "/>
    <numFmt numFmtId="184" formatCode="0.0000"/>
    <numFmt numFmtId="185" formatCode="0.000"/>
    <numFmt numFmtId="186" formatCode="_-&quot;$&quot;* #,##0_-;\-&quot;$&quot;* #,##0_-;_-&quot;$&quot;* &quot;-&quot;??_-;_-@_-"/>
  </numFmts>
  <fonts count="13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9"/>
      <name val="新細明體"/>
      <family val="1"/>
      <charset val="136"/>
    </font>
    <font>
      <b/>
      <sz val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rgb="FFFFFFFF"/>
      <name val="新細明體"/>
      <family val="1"/>
      <charset val="136"/>
    </font>
    <font>
      <sz val="12"/>
      <color indexed="23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name val="微軟正黑體"/>
      <family val="2"/>
      <charset val="136"/>
    </font>
  </fonts>
  <fills count="24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688C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thick">
        <color auto="1"/>
      </left>
      <right/>
      <top style="medium">
        <color auto="1"/>
      </top>
      <bottom style="hair">
        <color auto="1"/>
      </bottom>
      <diagonal/>
    </border>
    <border>
      <left style="thick">
        <color auto="1"/>
      </left>
      <right/>
      <top style="hair">
        <color auto="1"/>
      </top>
      <bottom style="hair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medium">
        <color auto="1"/>
      </bottom>
      <diagonal/>
    </border>
  </borders>
  <cellStyleXfs count="8"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313">
    <xf numFmtId="0" fontId="0" fillId="0" borderId="0" xfId="0">
      <alignment vertical="center"/>
    </xf>
    <xf numFmtId="0" fontId="5" fillId="2" borderId="1" xfId="0" applyFont="1" applyFill="1" applyBorder="1">
      <alignment vertical="center"/>
    </xf>
    <xf numFmtId="0" fontId="5" fillId="2" borderId="2" xfId="0" applyFont="1" applyFill="1" applyBorder="1">
      <alignment vertical="center"/>
    </xf>
    <xf numFmtId="179" fontId="0" fillId="0" borderId="0" xfId="0" applyNumberFormat="1">
      <alignment vertical="center"/>
    </xf>
    <xf numFmtId="9" fontId="0" fillId="0" borderId="1" xfId="0" applyNumberFormat="1" applyBorder="1">
      <alignment vertical="center"/>
    </xf>
    <xf numFmtId="10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5" fillId="2" borderId="0" xfId="0" applyFont="1" applyFill="1" applyBorder="1">
      <alignment vertical="center"/>
    </xf>
    <xf numFmtId="178" fontId="5" fillId="3" borderId="0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5" fillId="4" borderId="0" xfId="0" applyFont="1" applyFill="1" applyBorder="1">
      <alignment vertical="center"/>
    </xf>
    <xf numFmtId="176" fontId="6" fillId="0" borderId="1" xfId="0" applyNumberFormat="1" applyFont="1" applyBorder="1">
      <alignment vertical="center"/>
    </xf>
    <xf numFmtId="0" fontId="0" fillId="5" borderId="3" xfId="0" applyFill="1" applyBorder="1">
      <alignment vertical="center"/>
    </xf>
    <xf numFmtId="0" fontId="0" fillId="6" borderId="3" xfId="0" applyFill="1" applyBorder="1">
      <alignment vertical="center"/>
    </xf>
    <xf numFmtId="176" fontId="6" fillId="6" borderId="2" xfId="0" applyNumberFormat="1" applyFont="1" applyFill="1" applyBorder="1">
      <alignment vertical="center"/>
    </xf>
    <xf numFmtId="176" fontId="6" fillId="6" borderId="3" xfId="0" applyNumberFormat="1" applyFont="1" applyFill="1" applyBorder="1">
      <alignment vertical="center"/>
    </xf>
    <xf numFmtId="0" fontId="0" fillId="6" borderId="1" xfId="0" applyFill="1" applyBorder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77" fontId="3" fillId="7" borderId="0" xfId="6" applyNumberFormat="1" applyFont="1" applyFill="1">
      <alignment vertical="center"/>
    </xf>
    <xf numFmtId="0" fontId="0" fillId="7" borderId="0" xfId="0" applyFill="1" applyAlignment="1">
      <alignment vertical="center" wrapText="1"/>
    </xf>
    <xf numFmtId="0" fontId="0" fillId="0" borderId="0" xfId="0" applyNumberFormat="1">
      <alignment vertical="center"/>
    </xf>
    <xf numFmtId="0" fontId="5" fillId="3" borderId="13" xfId="0" applyFont="1" applyFill="1" applyBorder="1">
      <alignment vertical="center"/>
    </xf>
    <xf numFmtId="0" fontId="5" fillId="3" borderId="14" xfId="0" applyFont="1" applyFill="1" applyBorder="1">
      <alignment vertical="center"/>
    </xf>
    <xf numFmtId="43" fontId="5" fillId="3" borderId="14" xfId="5" applyFont="1" applyFill="1" applyBorder="1" applyAlignment="1">
      <alignment horizontal="center" vertical="center"/>
    </xf>
    <xf numFmtId="0" fontId="5" fillId="3" borderId="15" xfId="0" applyFont="1" applyFill="1" applyBorder="1">
      <alignment vertical="center"/>
    </xf>
    <xf numFmtId="0" fontId="5" fillId="3" borderId="16" xfId="0" applyFont="1" applyFill="1" applyBorder="1">
      <alignment vertical="center"/>
    </xf>
    <xf numFmtId="43" fontId="5" fillId="3" borderId="16" xfId="5" applyFont="1" applyFill="1" applyBorder="1" applyAlignment="1">
      <alignment horizontal="center" vertical="center"/>
    </xf>
    <xf numFmtId="0" fontId="5" fillId="3" borderId="17" xfId="0" applyFont="1" applyFill="1" applyBorder="1">
      <alignment vertical="center"/>
    </xf>
    <xf numFmtId="14" fontId="5" fillId="3" borderId="14" xfId="0" applyNumberFormat="1" applyFont="1" applyFill="1" applyBorder="1">
      <alignment vertical="center"/>
    </xf>
    <xf numFmtId="178" fontId="5" fillId="3" borderId="18" xfId="0" applyNumberFormat="1" applyFont="1" applyFill="1" applyBorder="1">
      <alignment vertical="center"/>
    </xf>
    <xf numFmtId="178" fontId="5" fillId="3" borderId="19" xfId="0" applyNumberFormat="1" applyFont="1" applyFill="1" applyBorder="1">
      <alignment vertical="center"/>
    </xf>
    <xf numFmtId="14" fontId="5" fillId="3" borderId="16" xfId="0" applyNumberFormat="1" applyFont="1" applyFill="1" applyBorder="1">
      <alignment vertical="center"/>
    </xf>
    <xf numFmtId="0" fontId="5" fillId="3" borderId="20" xfId="0" applyFont="1" applyFill="1" applyBorder="1">
      <alignment vertical="center"/>
    </xf>
    <xf numFmtId="178" fontId="5" fillId="3" borderId="21" xfId="0" applyNumberFormat="1" applyFont="1" applyFill="1" applyBorder="1">
      <alignment vertical="center"/>
    </xf>
    <xf numFmtId="20" fontId="0" fillId="0" borderId="0" xfId="0" applyNumberFormat="1">
      <alignment vertical="center"/>
    </xf>
    <xf numFmtId="176" fontId="6" fillId="6" borderId="0" xfId="0" applyNumberFormat="1" applyFont="1" applyFill="1" applyBorder="1">
      <alignment vertical="center"/>
    </xf>
    <xf numFmtId="176" fontId="5" fillId="3" borderId="14" xfId="0" applyNumberFormat="1" applyFont="1" applyFill="1" applyBorder="1">
      <alignment vertical="center"/>
    </xf>
    <xf numFmtId="176" fontId="5" fillId="3" borderId="16" xfId="0" applyNumberFormat="1" applyFont="1" applyFill="1" applyBorder="1">
      <alignment vertical="center"/>
    </xf>
    <xf numFmtId="10" fontId="5" fillId="3" borderId="16" xfId="0" applyNumberFormat="1" applyFont="1" applyFill="1" applyBorder="1">
      <alignment vertical="center"/>
    </xf>
    <xf numFmtId="21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0" fillId="9" borderId="0" xfId="0" applyFill="1" applyBorder="1">
      <alignment vertical="center"/>
    </xf>
    <xf numFmtId="180" fontId="0" fillId="9" borderId="4" xfId="0" applyNumberFormat="1" applyFill="1" applyBorder="1">
      <alignment vertical="center"/>
    </xf>
    <xf numFmtId="0" fontId="0" fillId="9" borderId="5" xfId="0" applyFill="1" applyBorder="1">
      <alignment vertical="center"/>
    </xf>
    <xf numFmtId="0" fontId="0" fillId="10" borderId="0" xfId="0" applyFill="1">
      <alignment vertical="center"/>
    </xf>
    <xf numFmtId="0" fontId="0" fillId="6" borderId="0" xfId="0" applyFill="1" applyBorder="1">
      <alignment vertical="center"/>
    </xf>
    <xf numFmtId="0" fontId="0" fillId="9" borderId="22" xfId="0" applyFill="1" applyBorder="1">
      <alignment vertical="center"/>
    </xf>
    <xf numFmtId="176" fontId="0" fillId="9" borderId="23" xfId="0" applyNumberFormat="1" applyFill="1" applyBorder="1">
      <alignment vertical="center"/>
    </xf>
    <xf numFmtId="176" fontId="0" fillId="9" borderId="8" xfId="0" applyNumberFormat="1" applyFill="1" applyBorder="1">
      <alignment vertical="center"/>
    </xf>
    <xf numFmtId="176" fontId="0" fillId="9" borderId="9" xfId="0" applyNumberFormat="1" applyFill="1" applyBorder="1">
      <alignment vertical="center"/>
    </xf>
    <xf numFmtId="180" fontId="0" fillId="9" borderId="0" xfId="0" applyNumberFormat="1" applyFill="1" applyBorder="1">
      <alignment vertical="center"/>
    </xf>
    <xf numFmtId="180" fontId="0" fillId="9" borderId="8" xfId="0" applyNumberFormat="1" applyFill="1" applyBorder="1">
      <alignment vertical="center"/>
    </xf>
    <xf numFmtId="0" fontId="0" fillId="12" borderId="6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180" fontId="0" fillId="12" borderId="7" xfId="0" applyNumberFormat="1" applyFill="1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0" fontId="8" fillId="13" borderId="24" xfId="0" applyFont="1" applyFill="1" applyBorder="1" applyAlignment="1">
      <alignment horizontal="center" vertical="center" wrapText="1"/>
    </xf>
    <xf numFmtId="0" fontId="0" fillId="14" borderId="24" xfId="0" applyFill="1" applyBorder="1" applyAlignment="1">
      <alignment horizontal="center" vertical="center" wrapText="1"/>
    </xf>
    <xf numFmtId="14" fontId="0" fillId="14" borderId="24" xfId="0" applyNumberFormat="1" applyFill="1" applyBorder="1" applyAlignment="1">
      <alignment horizontal="center" vertical="center" wrapText="1"/>
    </xf>
    <xf numFmtId="0" fontId="0" fillId="7" borderId="24" xfId="0" applyFill="1" applyBorder="1" applyAlignment="1">
      <alignment horizontal="center" vertical="center" wrapText="1"/>
    </xf>
    <xf numFmtId="14" fontId="0" fillId="7" borderId="24" xfId="0" applyNumberFormat="1" applyFill="1" applyBorder="1" applyAlignment="1">
      <alignment horizontal="center" vertical="center" wrapText="1"/>
    </xf>
    <xf numFmtId="0" fontId="0" fillId="15" borderId="24" xfId="0" applyFill="1" applyBorder="1" applyAlignment="1">
      <alignment horizontal="center" vertical="center" wrapText="1"/>
    </xf>
    <xf numFmtId="14" fontId="0" fillId="15" borderId="24" xfId="0" applyNumberForma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0" fontId="0" fillId="10" borderId="2" xfId="0" applyFill="1" applyBorder="1">
      <alignment vertical="center"/>
    </xf>
    <xf numFmtId="176" fontId="0" fillId="10" borderId="2" xfId="0" applyNumberFormat="1" applyFill="1" applyBorder="1">
      <alignment vertical="center"/>
    </xf>
    <xf numFmtId="0" fontId="0" fillId="10" borderId="3" xfId="0" applyFill="1" applyBorder="1">
      <alignment vertical="center"/>
    </xf>
    <xf numFmtId="14" fontId="0" fillId="10" borderId="2" xfId="0" applyNumberFormat="1" applyFill="1" applyBorder="1">
      <alignment vertical="center"/>
    </xf>
    <xf numFmtId="0" fontId="0" fillId="10" borderId="2" xfId="0" applyNumberFormat="1" applyFill="1" applyBorder="1">
      <alignment vertical="center"/>
    </xf>
    <xf numFmtId="0" fontId="0" fillId="0" borderId="0" xfId="0" applyBorder="1">
      <alignment vertical="center"/>
    </xf>
    <xf numFmtId="0" fontId="0" fillId="17" borderId="25" xfId="0" applyFill="1" applyBorder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9" fillId="0" borderId="0" xfId="0" applyNumberFormat="1" applyFont="1">
      <alignment vertical="center"/>
    </xf>
    <xf numFmtId="14" fontId="0" fillId="0" borderId="0" xfId="0" applyNumberFormat="1" applyFont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76" fontId="0" fillId="0" borderId="30" xfId="0" applyNumberFormat="1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176" fontId="0" fillId="0" borderId="33" xfId="0" applyNumberFormat="1" applyBorder="1">
      <alignment vertical="center"/>
    </xf>
    <xf numFmtId="0" fontId="0" fillId="18" borderId="25" xfId="0" applyFill="1" applyBorder="1">
      <alignment vertical="center"/>
    </xf>
    <xf numFmtId="0" fontId="0" fillId="18" borderId="26" xfId="0" applyFill="1" applyBorder="1">
      <alignment vertical="center"/>
    </xf>
    <xf numFmtId="0" fontId="0" fillId="18" borderId="27" xfId="0" applyFill="1" applyBorder="1">
      <alignment vertical="center"/>
    </xf>
    <xf numFmtId="176" fontId="0" fillId="0" borderId="32" xfId="0" applyNumberFormat="1" applyBorder="1">
      <alignment vertical="center"/>
    </xf>
    <xf numFmtId="176" fontId="0" fillId="0" borderId="32" xfId="0" applyNumberFormat="1" applyBorder="1" applyAlignment="1">
      <alignment vertical="center"/>
    </xf>
    <xf numFmtId="0" fontId="0" fillId="19" borderId="26" xfId="0" applyFill="1" applyBorder="1">
      <alignment vertical="center"/>
    </xf>
    <xf numFmtId="176" fontId="6" fillId="0" borderId="33" xfId="0" applyNumberFormat="1" applyFont="1" applyBorder="1">
      <alignment vertical="center"/>
    </xf>
    <xf numFmtId="0" fontId="6" fillId="19" borderId="27" xfId="0" applyFont="1" applyFill="1" applyBorder="1">
      <alignment vertical="center"/>
    </xf>
    <xf numFmtId="176" fontId="0" fillId="0" borderId="0" xfId="0" applyNumberFormat="1" applyBorder="1">
      <alignment vertical="center"/>
    </xf>
    <xf numFmtId="176" fontId="0" fillId="0" borderId="0" xfId="0" applyNumberFormat="1" applyBorder="1" applyAlignment="1">
      <alignment vertical="center"/>
    </xf>
    <xf numFmtId="176" fontId="6" fillId="0" borderId="0" xfId="0" applyNumberFormat="1" applyFont="1" applyBorder="1">
      <alignment vertical="center"/>
    </xf>
    <xf numFmtId="0" fontId="0" fillId="10" borderId="0" xfId="0" applyFill="1" applyBorder="1" applyAlignment="1">
      <alignment vertical="center"/>
    </xf>
    <xf numFmtId="0" fontId="0" fillId="0" borderId="28" xfId="0" quotePrefix="1" applyBorder="1">
      <alignment vertical="center"/>
    </xf>
    <xf numFmtId="14" fontId="0" fillId="0" borderId="29" xfId="0" applyNumberFormat="1" applyBorder="1">
      <alignment vertical="center"/>
    </xf>
    <xf numFmtId="0" fontId="7" fillId="0" borderId="29" xfId="1" applyBorder="1">
      <alignment vertical="center"/>
    </xf>
    <xf numFmtId="0" fontId="0" fillId="0" borderId="28" xfId="0" quotePrefix="1" applyFill="1" applyBorder="1">
      <alignment vertical="center"/>
    </xf>
    <xf numFmtId="0" fontId="0" fillId="0" borderId="29" xfId="0" applyNumberFormat="1" applyBorder="1">
      <alignment vertical="center"/>
    </xf>
    <xf numFmtId="0" fontId="0" fillId="17" borderId="1" xfId="0" applyFill="1" applyBorder="1">
      <alignment vertical="center"/>
    </xf>
    <xf numFmtId="0" fontId="0" fillId="19" borderId="26" xfId="0" quotePrefix="1" applyFill="1" applyBorder="1">
      <alignment vertical="center"/>
    </xf>
    <xf numFmtId="0" fontId="0" fillId="0" borderId="1" xfId="0" applyBorder="1">
      <alignment vertical="center"/>
    </xf>
    <xf numFmtId="0" fontId="0" fillId="11" borderId="1" xfId="0" applyFill="1" applyBorder="1">
      <alignment vertical="center"/>
    </xf>
    <xf numFmtId="0" fontId="0" fillId="11" borderId="1" xfId="0" quotePrefix="1" applyFill="1" applyBorder="1">
      <alignment vertical="center"/>
    </xf>
    <xf numFmtId="176" fontId="0" fillId="0" borderId="1" xfId="0" applyNumberFormat="1" applyBorder="1">
      <alignment vertical="center"/>
    </xf>
    <xf numFmtId="0" fontId="0" fillId="0" borderId="29" xfId="0" quotePrefix="1" applyBorder="1">
      <alignment vertical="center"/>
    </xf>
    <xf numFmtId="0" fontId="0" fillId="0" borderId="34" xfId="0" applyBorder="1">
      <alignment vertical="center"/>
    </xf>
    <xf numFmtId="0" fontId="0" fillId="0" borderId="0" xfId="0" applyFill="1" applyBorder="1">
      <alignment vertical="center"/>
    </xf>
    <xf numFmtId="0" fontId="0" fillId="10" borderId="28" xfId="0" applyFill="1" applyBorder="1">
      <alignment vertical="center"/>
    </xf>
    <xf numFmtId="0" fontId="0" fillId="10" borderId="29" xfId="0" applyFill="1" applyBorder="1">
      <alignment vertical="center"/>
    </xf>
    <xf numFmtId="14" fontId="0" fillId="10" borderId="29" xfId="0" applyNumberFormat="1" applyFill="1" applyBorder="1">
      <alignment vertical="center"/>
    </xf>
    <xf numFmtId="0" fontId="0" fillId="11" borderId="35" xfId="0" applyFill="1" applyBorder="1" applyAlignment="1">
      <alignment horizontal="center" vertical="center"/>
    </xf>
    <xf numFmtId="14" fontId="0" fillId="0" borderId="36" xfId="0" applyNumberFormat="1" applyBorder="1" applyAlignment="1">
      <alignment horizontal="center" vertical="center"/>
    </xf>
    <xf numFmtId="9" fontId="0" fillId="0" borderId="29" xfId="6" applyNumberFormat="1" applyFont="1" applyBorder="1">
      <alignment vertical="center"/>
    </xf>
    <xf numFmtId="0" fontId="0" fillId="0" borderId="0" xfId="0" quotePrefix="1" applyFill="1" applyBorder="1">
      <alignment vertical="center"/>
    </xf>
    <xf numFmtId="14" fontId="0" fillId="0" borderId="0" xfId="0" applyNumberFormat="1" applyBorder="1">
      <alignment vertical="center"/>
    </xf>
    <xf numFmtId="0" fontId="0" fillId="0" borderId="0" xfId="0" applyNumberFormat="1" applyBorder="1">
      <alignment vertical="center"/>
    </xf>
    <xf numFmtId="3" fontId="7" fillId="0" borderId="0" xfId="1" applyNumberFormat="1" applyBorder="1">
      <alignment vertical="center"/>
    </xf>
    <xf numFmtId="9" fontId="0" fillId="0" borderId="0" xfId="6" applyNumberFormat="1" applyFont="1" applyBorder="1">
      <alignment vertical="center"/>
    </xf>
    <xf numFmtId="0" fontId="0" fillId="0" borderId="39" xfId="0" applyBorder="1">
      <alignment vertical="center"/>
    </xf>
    <xf numFmtId="14" fontId="0" fillId="0" borderId="39" xfId="0" applyNumberFormat="1" applyBorder="1">
      <alignment vertical="center"/>
    </xf>
    <xf numFmtId="176" fontId="0" fillId="0" borderId="48" xfId="0" applyNumberFormat="1" applyBorder="1">
      <alignment vertical="center"/>
    </xf>
    <xf numFmtId="176" fontId="0" fillId="0" borderId="49" xfId="0" applyNumberFormat="1" applyBorder="1">
      <alignment vertical="center"/>
    </xf>
    <xf numFmtId="0" fontId="0" fillId="0" borderId="52" xfId="0" quotePrefix="1" applyBorder="1">
      <alignment vertical="center"/>
    </xf>
    <xf numFmtId="0" fontId="0" fillId="0" borderId="39" xfId="0" quotePrefix="1" applyBorder="1">
      <alignment vertical="center"/>
    </xf>
    <xf numFmtId="0" fontId="0" fillId="10" borderId="54" xfId="0" applyFill="1" applyBorder="1">
      <alignment vertical="center"/>
    </xf>
    <xf numFmtId="176" fontId="0" fillId="10" borderId="54" xfId="0" applyNumberFormat="1" applyFill="1" applyBorder="1">
      <alignment vertical="center"/>
    </xf>
    <xf numFmtId="177" fontId="0" fillId="10" borderId="2" xfId="6" applyNumberFormat="1" applyFont="1" applyFill="1" applyBorder="1">
      <alignment vertical="center"/>
    </xf>
    <xf numFmtId="177" fontId="0" fillId="10" borderId="55" xfId="6" applyNumberFormat="1" applyFont="1" applyFill="1" applyBorder="1">
      <alignment vertical="center"/>
    </xf>
    <xf numFmtId="0" fontId="0" fillId="10" borderId="56" xfId="0" applyFill="1" applyBorder="1">
      <alignment vertical="center"/>
    </xf>
    <xf numFmtId="176" fontId="0" fillId="0" borderId="56" xfId="0" applyNumberFormat="1" applyBorder="1">
      <alignment vertical="center"/>
    </xf>
    <xf numFmtId="176" fontId="0" fillId="10" borderId="55" xfId="0" applyNumberFormat="1" applyFill="1" applyBorder="1">
      <alignment vertical="center"/>
    </xf>
    <xf numFmtId="176" fontId="0" fillId="0" borderId="57" xfId="0" applyNumberFormat="1" applyBorder="1">
      <alignment vertical="center"/>
    </xf>
    <xf numFmtId="0" fontId="0" fillId="16" borderId="53" xfId="0" applyFill="1" applyBorder="1">
      <alignment vertical="center"/>
    </xf>
    <xf numFmtId="0" fontId="0" fillId="16" borderId="58" xfId="0" applyFill="1" applyBorder="1">
      <alignment vertical="center"/>
    </xf>
    <xf numFmtId="0" fontId="0" fillId="16" borderId="59" xfId="0" applyFill="1" applyBorder="1">
      <alignment vertical="center"/>
    </xf>
    <xf numFmtId="0" fontId="0" fillId="10" borderId="60" xfId="0" applyFill="1" applyBorder="1">
      <alignment vertical="center"/>
    </xf>
    <xf numFmtId="0" fontId="0" fillId="10" borderId="61" xfId="0" applyFill="1" applyBorder="1">
      <alignment vertical="center"/>
    </xf>
    <xf numFmtId="0" fontId="0" fillId="0" borderId="64" xfId="0" applyBorder="1">
      <alignment vertical="center"/>
    </xf>
    <xf numFmtId="0" fontId="0" fillId="0" borderId="4" xfId="0" applyBorder="1">
      <alignment vertical="center"/>
    </xf>
    <xf numFmtId="179" fontId="0" fillId="0" borderId="64" xfId="0" applyNumberFormat="1" applyBorder="1">
      <alignment vertical="center"/>
    </xf>
    <xf numFmtId="176" fontId="0" fillId="0" borderId="4" xfId="0" applyNumberFormat="1" applyBorder="1">
      <alignment vertical="center"/>
    </xf>
    <xf numFmtId="10" fontId="0" fillId="0" borderId="0" xfId="6" applyNumberFormat="1" applyFont="1" applyBorder="1">
      <alignment vertical="center"/>
    </xf>
    <xf numFmtId="179" fontId="0" fillId="0" borderId="62" xfId="0" applyNumberFormat="1" applyBorder="1">
      <alignment vertical="center"/>
    </xf>
    <xf numFmtId="10" fontId="0" fillId="0" borderId="66" xfId="6" applyNumberFormat="1" applyFont="1" applyBorder="1">
      <alignment vertical="center"/>
    </xf>
    <xf numFmtId="176" fontId="0" fillId="0" borderId="63" xfId="0" applyNumberFormat="1" applyBorder="1">
      <alignment vertical="center"/>
    </xf>
    <xf numFmtId="0" fontId="0" fillId="9" borderId="68" xfId="0" applyFill="1" applyBorder="1">
      <alignment vertical="center"/>
    </xf>
    <xf numFmtId="0" fontId="0" fillId="9" borderId="38" xfId="0" applyFill="1" applyBorder="1">
      <alignment vertical="center"/>
    </xf>
    <xf numFmtId="176" fontId="0" fillId="19" borderId="26" xfId="0" applyNumberFormat="1" applyFill="1" applyBorder="1">
      <alignment vertical="center"/>
    </xf>
    <xf numFmtId="176" fontId="0" fillId="19" borderId="27" xfId="0" applyNumberFormat="1" applyFill="1" applyBorder="1">
      <alignment vertical="center"/>
    </xf>
    <xf numFmtId="10" fontId="0" fillId="0" borderId="32" xfId="6" applyNumberFormat="1" applyFont="1" applyBorder="1">
      <alignment vertical="center"/>
    </xf>
    <xf numFmtId="0" fontId="0" fillId="10" borderId="43" xfId="0" applyFill="1" applyBorder="1">
      <alignment vertical="center"/>
    </xf>
    <xf numFmtId="0" fontId="0" fillId="10" borderId="45" xfId="0" applyFill="1" applyBorder="1">
      <alignment vertical="center"/>
    </xf>
    <xf numFmtId="0" fontId="0" fillId="10" borderId="46" xfId="0" applyFill="1" applyBorder="1">
      <alignment vertical="center"/>
    </xf>
    <xf numFmtId="0" fontId="0" fillId="17" borderId="40" xfId="0" applyFill="1" applyBorder="1">
      <alignment vertical="center"/>
    </xf>
    <xf numFmtId="0" fontId="0" fillId="17" borderId="50" xfId="0" applyFill="1" applyBorder="1">
      <alignment vertical="center"/>
    </xf>
    <xf numFmtId="176" fontId="6" fillId="6" borderId="69" xfId="0" applyNumberFormat="1" applyFont="1" applyFill="1" applyBorder="1">
      <alignment vertical="center"/>
    </xf>
    <xf numFmtId="10" fontId="0" fillId="0" borderId="33" xfId="6" applyNumberFormat="1" applyFont="1" applyBorder="1">
      <alignment vertical="center"/>
    </xf>
    <xf numFmtId="177" fontId="0" fillId="0" borderId="0" xfId="6" applyNumberFormat="1" applyFont="1">
      <alignment vertical="center"/>
    </xf>
    <xf numFmtId="0" fontId="0" fillId="10" borderId="6" xfId="0" applyFill="1" applyBorder="1">
      <alignment vertical="center"/>
    </xf>
    <xf numFmtId="0" fontId="0" fillId="10" borderId="22" xfId="0" applyFill="1" applyBorder="1">
      <alignment vertical="center"/>
    </xf>
    <xf numFmtId="176" fontId="0" fillId="10" borderId="22" xfId="0" applyNumberFormat="1" applyFill="1" applyBorder="1">
      <alignment vertical="center"/>
    </xf>
    <xf numFmtId="0" fontId="0" fillId="0" borderId="67" xfId="0" applyBorder="1">
      <alignment vertical="center"/>
    </xf>
    <xf numFmtId="0" fontId="0" fillId="10" borderId="67" xfId="0" applyFill="1" applyBorder="1">
      <alignment vertical="center"/>
    </xf>
    <xf numFmtId="0" fontId="0" fillId="0" borderId="9" xfId="0" applyBorder="1">
      <alignment vertical="center"/>
    </xf>
    <xf numFmtId="0" fontId="0" fillId="0" borderId="65" xfId="0" applyBorder="1">
      <alignment vertical="center"/>
    </xf>
    <xf numFmtId="0" fontId="0" fillId="0" borderId="37" xfId="0" applyBorder="1">
      <alignment vertical="center"/>
    </xf>
    <xf numFmtId="0" fontId="0" fillId="0" borderId="68" xfId="0" applyBorder="1">
      <alignment vertical="center"/>
    </xf>
    <xf numFmtId="0" fontId="0" fillId="0" borderId="22" xfId="0" applyBorder="1">
      <alignment vertical="center"/>
    </xf>
    <xf numFmtId="0" fontId="0" fillId="0" borderId="38" xfId="0" applyBorder="1">
      <alignment vertical="center"/>
    </xf>
    <xf numFmtId="0" fontId="0" fillId="0" borderId="54" xfId="0" applyBorder="1">
      <alignment vertical="center"/>
    </xf>
    <xf numFmtId="0" fontId="0" fillId="18" borderId="70" xfId="0" applyFill="1" applyBorder="1">
      <alignment vertical="center"/>
    </xf>
    <xf numFmtId="176" fontId="0" fillId="0" borderId="71" xfId="0" applyNumberFormat="1" applyBorder="1">
      <alignment vertical="center"/>
    </xf>
    <xf numFmtId="0" fontId="0" fillId="10" borderId="0" xfId="0" applyFill="1" applyBorder="1">
      <alignment vertical="center"/>
    </xf>
    <xf numFmtId="176" fontId="0" fillId="10" borderId="0" xfId="0" applyNumberFormat="1" applyFill="1" applyBorder="1">
      <alignment vertical="center"/>
    </xf>
    <xf numFmtId="0" fontId="0" fillId="0" borderId="52" xfId="0" quotePrefix="1" applyFill="1" applyBorder="1">
      <alignment vertical="center"/>
    </xf>
    <xf numFmtId="9" fontId="0" fillId="0" borderId="39" xfId="6" applyNumberFormat="1" applyFont="1" applyBorder="1">
      <alignment vertical="center"/>
    </xf>
    <xf numFmtId="0" fontId="0" fillId="17" borderId="70" xfId="0" applyFill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9" borderId="35" xfId="0" applyFill="1" applyBorder="1">
      <alignment vertical="center"/>
    </xf>
    <xf numFmtId="14" fontId="0" fillId="0" borderId="36" xfId="0" applyNumberFormat="1" applyBorder="1">
      <alignment vertical="center"/>
    </xf>
    <xf numFmtId="0" fontId="0" fillId="17" borderId="73" xfId="0" applyFill="1" applyBorder="1">
      <alignment vertical="center"/>
    </xf>
    <xf numFmtId="0" fontId="11" fillId="0" borderId="7" xfId="0" applyFont="1" applyBorder="1" applyAlignment="1">
      <alignment horizontal="center" vertical="center"/>
    </xf>
    <xf numFmtId="176" fontId="0" fillId="0" borderId="29" xfId="0" applyNumberFormat="1" applyBorder="1">
      <alignment vertical="center"/>
    </xf>
    <xf numFmtId="0" fontId="0" fillId="17" borderId="77" xfId="0" applyFill="1" applyBorder="1">
      <alignment vertical="center"/>
    </xf>
    <xf numFmtId="49" fontId="11" fillId="0" borderId="7" xfId="0" applyNumberFormat="1" applyFont="1" applyBorder="1" applyAlignment="1">
      <alignment horizontal="center" vertical="center"/>
    </xf>
    <xf numFmtId="180" fontId="12" fillId="10" borderId="0" xfId="0" applyNumberFormat="1" applyFont="1" applyFill="1" applyBorder="1" applyAlignment="1">
      <alignment vertical="center"/>
    </xf>
    <xf numFmtId="176" fontId="0" fillId="10" borderId="0" xfId="0" applyNumberFormat="1" applyFill="1" applyBorder="1" applyAlignment="1">
      <alignment vertical="center"/>
    </xf>
    <xf numFmtId="0" fontId="0" fillId="17" borderId="78" xfId="0" applyFill="1" applyBorder="1">
      <alignment vertical="center"/>
    </xf>
    <xf numFmtId="0" fontId="0" fillId="17" borderId="80" xfId="0" applyFill="1" applyBorder="1">
      <alignment vertical="center"/>
    </xf>
    <xf numFmtId="0" fontId="0" fillId="10" borderId="81" xfId="0" applyFill="1" applyBorder="1">
      <alignment vertical="center"/>
    </xf>
    <xf numFmtId="0" fontId="0" fillId="10" borderId="79" xfId="0" applyFill="1" applyBorder="1">
      <alignment vertical="center"/>
    </xf>
    <xf numFmtId="0" fontId="0" fillId="10" borderId="75" xfId="0" applyFill="1" applyBorder="1">
      <alignment vertical="center"/>
    </xf>
    <xf numFmtId="0" fontId="0" fillId="17" borderId="26" xfId="0" applyFill="1" applyBorder="1">
      <alignment vertical="center"/>
    </xf>
    <xf numFmtId="0" fontId="0" fillId="17" borderId="70" xfId="0" applyFill="1" applyBorder="1">
      <alignment vertical="center"/>
    </xf>
    <xf numFmtId="0" fontId="6" fillId="16" borderId="41" xfId="0" applyFont="1" applyFill="1" applyBorder="1">
      <alignment vertical="center"/>
    </xf>
    <xf numFmtId="0" fontId="6" fillId="16" borderId="40" xfId="0" applyFont="1" applyFill="1" applyBorder="1">
      <alignment vertical="center"/>
    </xf>
    <xf numFmtId="0" fontId="6" fillId="16" borderId="42" xfId="0" applyFont="1" applyFill="1" applyBorder="1">
      <alignment vertical="center"/>
    </xf>
    <xf numFmtId="176" fontId="6" fillId="0" borderId="45" xfId="0" applyNumberFormat="1" applyFont="1" applyFill="1" applyBorder="1">
      <alignment vertical="center"/>
    </xf>
    <xf numFmtId="176" fontId="6" fillId="0" borderId="46" xfId="0" applyNumberFormat="1" applyFont="1" applyFill="1" applyBorder="1">
      <alignment vertical="center"/>
    </xf>
    <xf numFmtId="176" fontId="6" fillId="0" borderId="47" xfId="0" applyNumberFormat="1" applyFont="1" applyFill="1" applyBorder="1">
      <alignment vertical="center"/>
    </xf>
    <xf numFmtId="176" fontId="0" fillId="10" borderId="39" xfId="0" applyNumberFormat="1" applyFont="1" applyFill="1" applyBorder="1">
      <alignment vertical="center"/>
    </xf>
    <xf numFmtId="177" fontId="2" fillId="10" borderId="29" xfId="6" applyNumberFormat="1" applyFont="1" applyFill="1" applyBorder="1">
      <alignment vertical="center"/>
    </xf>
    <xf numFmtId="176" fontId="0" fillId="17" borderId="50" xfId="0" applyNumberFormat="1" applyFont="1" applyFill="1" applyBorder="1">
      <alignment vertical="center"/>
    </xf>
    <xf numFmtId="0" fontId="0" fillId="17" borderId="50" xfId="0" applyFont="1" applyFill="1" applyBorder="1">
      <alignment vertical="center"/>
    </xf>
    <xf numFmtId="176" fontId="0" fillId="10" borderId="75" xfId="0" applyNumberFormat="1" applyFont="1" applyFill="1" applyBorder="1">
      <alignment vertical="center"/>
    </xf>
    <xf numFmtId="176" fontId="0" fillId="10" borderId="76" xfId="0" applyNumberFormat="1" applyFont="1" applyFill="1" applyBorder="1">
      <alignment vertical="center"/>
    </xf>
    <xf numFmtId="0" fontId="6" fillId="19" borderId="26" xfId="0" applyFont="1" applyFill="1" applyBorder="1">
      <alignment vertical="center"/>
    </xf>
    <xf numFmtId="176" fontId="6" fillId="0" borderId="32" xfId="0" applyNumberFormat="1" applyFont="1" applyBorder="1">
      <alignment vertical="center"/>
    </xf>
    <xf numFmtId="177" fontId="0" fillId="10" borderId="29" xfId="6" applyNumberFormat="1" applyFont="1" applyFill="1" applyBorder="1">
      <alignment vertical="center"/>
    </xf>
    <xf numFmtId="176" fontId="0" fillId="10" borderId="29" xfId="0" applyNumberFormat="1" applyFill="1" applyBorder="1">
      <alignment vertical="center"/>
    </xf>
    <xf numFmtId="176" fontId="0" fillId="10" borderId="44" xfId="0" applyNumberFormat="1" applyFill="1" applyBorder="1">
      <alignment vertical="center"/>
    </xf>
    <xf numFmtId="176" fontId="0" fillId="10" borderId="46" xfId="0" applyNumberFormat="1" applyFill="1" applyBorder="1">
      <alignment vertical="center"/>
    </xf>
    <xf numFmtId="176" fontId="0" fillId="10" borderId="47" xfId="0" applyNumberFormat="1" applyFill="1" applyBorder="1">
      <alignment vertical="center"/>
    </xf>
    <xf numFmtId="0" fontId="0" fillId="20" borderId="41" xfId="0" applyFill="1" applyBorder="1">
      <alignment vertical="center"/>
    </xf>
    <xf numFmtId="0" fontId="0" fillId="20" borderId="40" xfId="0" applyFill="1" applyBorder="1">
      <alignment vertical="center"/>
    </xf>
    <xf numFmtId="0" fontId="0" fillId="20" borderId="42" xfId="0" applyFill="1" applyBorder="1">
      <alignment vertical="center"/>
    </xf>
    <xf numFmtId="0" fontId="0" fillId="10" borderId="85" xfId="0" applyFill="1" applyBorder="1">
      <alignment vertical="center"/>
    </xf>
    <xf numFmtId="176" fontId="0" fillId="10" borderId="8" xfId="0" applyNumberFormat="1" applyFill="1" applyBorder="1">
      <alignment vertical="center"/>
    </xf>
    <xf numFmtId="176" fontId="0" fillId="10" borderId="23" xfId="0" applyNumberFormat="1" applyFill="1" applyBorder="1">
      <alignment vertical="center"/>
    </xf>
    <xf numFmtId="176" fontId="0" fillId="10" borderId="93" xfId="0" applyNumberFormat="1" applyFill="1" applyBorder="1">
      <alignment vertical="center"/>
    </xf>
    <xf numFmtId="176" fontId="0" fillId="10" borderId="94" xfId="0" applyNumberFormat="1" applyFill="1" applyBorder="1">
      <alignment vertical="center"/>
    </xf>
    <xf numFmtId="176" fontId="0" fillId="10" borderId="95" xfId="0" applyNumberFormat="1" applyFill="1" applyBorder="1">
      <alignment vertical="center"/>
    </xf>
    <xf numFmtId="9" fontId="0" fillId="21" borderId="88" xfId="0" applyNumberFormat="1" applyFill="1" applyBorder="1">
      <alignment vertical="center"/>
    </xf>
    <xf numFmtId="10" fontId="0" fillId="21" borderId="89" xfId="0" applyNumberFormat="1" applyFill="1" applyBorder="1">
      <alignment vertical="center"/>
    </xf>
    <xf numFmtId="10" fontId="0" fillId="21" borderId="90" xfId="0" applyNumberFormat="1" applyFill="1" applyBorder="1">
      <alignment vertical="center"/>
    </xf>
    <xf numFmtId="176" fontId="0" fillId="10" borderId="98" xfId="0" applyNumberFormat="1" applyFill="1" applyBorder="1">
      <alignment vertical="center"/>
    </xf>
    <xf numFmtId="9" fontId="0" fillId="22" borderId="99" xfId="0" applyNumberFormat="1" applyFill="1" applyBorder="1">
      <alignment vertical="center"/>
    </xf>
    <xf numFmtId="10" fontId="0" fillId="22" borderId="89" xfId="0" applyNumberFormat="1" applyFill="1" applyBorder="1">
      <alignment vertical="center"/>
    </xf>
    <xf numFmtId="10" fontId="0" fillId="22" borderId="90" xfId="0" applyNumberFormat="1" applyFill="1" applyBorder="1">
      <alignment vertical="center"/>
    </xf>
    <xf numFmtId="9" fontId="0" fillId="22" borderId="91" xfId="0" applyNumberFormat="1" applyFill="1" applyBorder="1">
      <alignment vertical="center"/>
    </xf>
    <xf numFmtId="9" fontId="0" fillId="22" borderId="97" xfId="0" applyNumberFormat="1" applyFill="1" applyBorder="1">
      <alignment vertical="center"/>
    </xf>
    <xf numFmtId="176" fontId="0" fillId="10" borderId="4" xfId="0" applyNumberFormat="1" applyFill="1" applyBorder="1">
      <alignment vertical="center"/>
    </xf>
    <xf numFmtId="176" fontId="0" fillId="10" borderId="63" xfId="0" applyNumberFormat="1" applyFill="1" applyBorder="1">
      <alignment vertical="center"/>
    </xf>
    <xf numFmtId="176" fontId="0" fillId="10" borderId="105" xfId="0" applyNumberFormat="1" applyFill="1" applyBorder="1">
      <alignment vertical="center"/>
    </xf>
    <xf numFmtId="0" fontId="0" fillId="10" borderId="106" xfId="0" applyFill="1" applyBorder="1">
      <alignment vertical="center"/>
    </xf>
    <xf numFmtId="0" fontId="0" fillId="10" borderId="92" xfId="0" applyFill="1" applyBorder="1">
      <alignment vertical="center"/>
    </xf>
    <xf numFmtId="0" fontId="0" fillId="10" borderId="91" xfId="0" applyFill="1" applyBorder="1">
      <alignment vertical="center"/>
    </xf>
    <xf numFmtId="179" fontId="0" fillId="10" borderId="29" xfId="0" applyNumberFormat="1" applyFill="1" applyBorder="1">
      <alignment vertical="center"/>
    </xf>
    <xf numFmtId="176" fontId="0" fillId="0" borderId="22" xfId="0" applyNumberFormat="1" applyBorder="1">
      <alignment vertical="center"/>
    </xf>
    <xf numFmtId="0" fontId="0" fillId="10" borderId="0" xfId="0" applyFont="1" applyFill="1">
      <alignment vertical="center"/>
    </xf>
    <xf numFmtId="0" fontId="0" fillId="11" borderId="7" xfId="0" applyFont="1" applyFill="1" applyBorder="1" applyAlignment="1">
      <alignment horizontal="center" vertical="center"/>
    </xf>
    <xf numFmtId="0" fontId="0" fillId="10" borderId="8" xfId="0" applyFont="1" applyFill="1" applyBorder="1" applyAlignment="1">
      <alignment horizontal="center" vertical="center"/>
    </xf>
    <xf numFmtId="177" fontId="0" fillId="10" borderId="8" xfId="6" applyNumberFormat="1" applyFont="1" applyFill="1" applyBorder="1" applyAlignment="1">
      <alignment horizontal="center" vertical="center"/>
    </xf>
    <xf numFmtId="0" fontId="0" fillId="10" borderId="9" xfId="0" applyFont="1" applyFill="1" applyBorder="1" applyAlignment="1">
      <alignment horizontal="center" vertical="center"/>
    </xf>
    <xf numFmtId="177" fontId="0" fillId="10" borderId="9" xfId="6" applyNumberFormat="1" applyFont="1" applyFill="1" applyBorder="1" applyAlignment="1">
      <alignment horizontal="center" vertical="center"/>
    </xf>
    <xf numFmtId="177" fontId="3" fillId="10" borderId="0" xfId="6" applyNumberFormat="1" applyFont="1" applyFill="1">
      <alignment vertical="center"/>
    </xf>
    <xf numFmtId="14" fontId="0" fillId="17" borderId="40" xfId="0" applyNumberFormat="1" applyFill="1" applyBorder="1">
      <alignment vertical="center"/>
    </xf>
    <xf numFmtId="14" fontId="0" fillId="17" borderId="42" xfId="0" applyNumberFormat="1" applyFill="1" applyBorder="1">
      <alignment vertical="center"/>
    </xf>
    <xf numFmtId="14" fontId="0" fillId="17" borderId="77" xfId="0" applyNumberFormat="1" applyFill="1" applyBorder="1">
      <alignment vertical="center"/>
    </xf>
    <xf numFmtId="177" fontId="2" fillId="10" borderId="48" xfId="6" applyNumberFormat="1" applyFont="1" applyFill="1" applyBorder="1">
      <alignment vertical="center"/>
    </xf>
    <xf numFmtId="177" fontId="2" fillId="17" borderId="107" xfId="6" applyNumberFormat="1" applyFont="1" applyFill="1" applyBorder="1">
      <alignment vertical="center"/>
    </xf>
    <xf numFmtId="176" fontId="2" fillId="10" borderId="44" xfId="6" applyNumberFormat="1" applyFont="1" applyFill="1" applyBorder="1">
      <alignment vertical="center"/>
    </xf>
    <xf numFmtId="176" fontId="2" fillId="17" borderId="51" xfId="6" applyNumberFormat="1" applyFont="1" applyFill="1" applyBorder="1">
      <alignment vertical="center"/>
    </xf>
    <xf numFmtId="10" fontId="0" fillId="10" borderId="0" xfId="0" applyNumberFormat="1" applyFill="1">
      <alignment vertical="center"/>
    </xf>
    <xf numFmtId="0" fontId="0" fillId="10" borderId="8" xfId="0" applyFill="1" applyBorder="1" applyAlignment="1">
      <alignment horizontal="center" vertical="center"/>
    </xf>
    <xf numFmtId="184" fontId="0" fillId="10" borderId="8" xfId="0" applyNumberFormat="1" applyFill="1" applyBorder="1" applyAlignment="1">
      <alignment horizontal="center" vertical="center"/>
    </xf>
    <xf numFmtId="9" fontId="0" fillId="10" borderId="8" xfId="0" applyNumberFormat="1" applyFill="1" applyBorder="1" applyAlignment="1">
      <alignment horizontal="center" vertical="center"/>
    </xf>
    <xf numFmtId="176" fontId="0" fillId="10" borderId="8" xfId="0" applyNumberFormat="1" applyFill="1" applyBorder="1" applyAlignment="1">
      <alignment horizontal="center" vertical="center"/>
    </xf>
    <xf numFmtId="185" fontId="0" fillId="10" borderId="8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176" fontId="0" fillId="10" borderId="7" xfId="0" applyNumberFormat="1" applyFill="1" applyBorder="1" applyAlignment="1">
      <alignment horizontal="center" vertical="center"/>
    </xf>
    <xf numFmtId="0" fontId="0" fillId="10" borderId="7" xfId="0" applyFill="1" applyBorder="1">
      <alignment vertical="center"/>
    </xf>
    <xf numFmtId="9" fontId="0" fillId="10" borderId="7" xfId="0" applyNumberFormat="1" applyFill="1" applyBorder="1">
      <alignment vertical="center"/>
    </xf>
    <xf numFmtId="10" fontId="0" fillId="10" borderId="7" xfId="0" applyNumberFormat="1" applyFill="1" applyBorder="1">
      <alignment vertical="center"/>
    </xf>
    <xf numFmtId="180" fontId="0" fillId="10" borderId="23" xfId="0" applyNumberFormat="1" applyFill="1" applyBorder="1">
      <alignment vertical="center"/>
    </xf>
    <xf numFmtId="180" fontId="0" fillId="10" borderId="8" xfId="0" applyNumberFormat="1" applyFill="1" applyBorder="1">
      <alignment vertical="center"/>
    </xf>
    <xf numFmtId="180" fontId="0" fillId="10" borderId="9" xfId="0" applyNumberFormat="1" applyFill="1" applyBorder="1">
      <alignment vertical="center"/>
    </xf>
    <xf numFmtId="10" fontId="6" fillId="0" borderId="32" xfId="6" applyNumberFormat="1" applyFont="1" applyBorder="1">
      <alignment vertical="center"/>
    </xf>
    <xf numFmtId="0" fontId="0" fillId="10" borderId="74" xfId="0" applyNumberFormat="1" applyFill="1" applyBorder="1">
      <alignment vertical="center"/>
    </xf>
    <xf numFmtId="177" fontId="0" fillId="17" borderId="50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186" fontId="0" fillId="0" borderId="0" xfId="7" applyNumberFormat="1" applyFont="1">
      <alignment vertical="center"/>
    </xf>
    <xf numFmtId="0" fontId="0" fillId="10" borderId="0" xfId="0" applyNumberFormat="1" applyFill="1" applyBorder="1">
      <alignment vertical="center"/>
    </xf>
    <xf numFmtId="0" fontId="0" fillId="18" borderId="0" xfId="0" applyFill="1">
      <alignment vertical="center"/>
    </xf>
    <xf numFmtId="0" fontId="0" fillId="18" borderId="0" xfId="0" applyNumberFormat="1" applyFill="1">
      <alignment vertical="center"/>
    </xf>
    <xf numFmtId="0" fontId="0" fillId="18" borderId="0" xfId="0" applyFill="1" applyBorder="1">
      <alignment vertical="center"/>
    </xf>
    <xf numFmtId="0" fontId="0" fillId="18" borderId="0" xfId="0" applyNumberFormat="1" applyFill="1" applyBorder="1">
      <alignment vertical="center"/>
    </xf>
    <xf numFmtId="0" fontId="0" fillId="23" borderId="31" xfId="0" applyFill="1" applyBorder="1">
      <alignment vertical="center"/>
    </xf>
    <xf numFmtId="0" fontId="0" fillId="23" borderId="32" xfId="0" applyFill="1" applyBorder="1">
      <alignment vertical="center"/>
    </xf>
    <xf numFmtId="176" fontId="0" fillId="23" borderId="71" xfId="0" applyNumberFormat="1" applyFill="1" applyBorder="1">
      <alignment vertical="center"/>
    </xf>
    <xf numFmtId="176" fontId="0" fillId="23" borderId="32" xfId="0" applyNumberFormat="1" applyFill="1" applyBorder="1">
      <alignment vertical="center"/>
    </xf>
    <xf numFmtId="176" fontId="0" fillId="23" borderId="33" xfId="0" applyNumberFormat="1" applyFill="1" applyBorder="1">
      <alignment vertical="center"/>
    </xf>
    <xf numFmtId="0" fontId="0" fillId="23" borderId="31" xfId="0" quotePrefix="1" applyFill="1" applyBorder="1">
      <alignment vertical="center"/>
    </xf>
    <xf numFmtId="0" fontId="0" fillId="23" borderId="72" xfId="0" applyFill="1" applyBorder="1">
      <alignment vertical="center"/>
    </xf>
    <xf numFmtId="0" fontId="0" fillId="23" borderId="72" xfId="0" quotePrefix="1" applyFill="1" applyBorder="1">
      <alignment vertical="center"/>
    </xf>
    <xf numFmtId="14" fontId="0" fillId="23" borderId="72" xfId="0" applyNumberFormat="1" applyFill="1" applyBorder="1">
      <alignment vertical="center"/>
    </xf>
    <xf numFmtId="0" fontId="0" fillId="23" borderId="72" xfId="0" applyNumberFormat="1" applyFill="1" applyBorder="1">
      <alignment vertical="center"/>
    </xf>
    <xf numFmtId="3" fontId="7" fillId="23" borderId="72" xfId="1" applyNumberFormat="1" applyFill="1" applyBorder="1">
      <alignment vertical="center"/>
    </xf>
    <xf numFmtId="9" fontId="0" fillId="23" borderId="72" xfId="6" applyNumberFormat="1" applyFont="1" applyFill="1" applyBorder="1">
      <alignment vertical="center"/>
    </xf>
    <xf numFmtId="176" fontId="0" fillId="23" borderId="72" xfId="0" applyNumberFormat="1" applyFill="1" applyBorder="1">
      <alignment vertical="center"/>
    </xf>
    <xf numFmtId="176" fontId="0" fillId="23" borderId="82" xfId="0" applyNumberFormat="1" applyFill="1" applyBorder="1">
      <alignment vertical="center"/>
    </xf>
    <xf numFmtId="0" fontId="0" fillId="19" borderId="25" xfId="0" applyFill="1" applyBorder="1" applyAlignment="1">
      <alignment vertical="center"/>
    </xf>
    <xf numFmtId="0" fontId="0" fillId="19" borderId="31" xfId="0" applyFill="1" applyBorder="1" applyAlignment="1">
      <alignment vertical="center"/>
    </xf>
    <xf numFmtId="0" fontId="0" fillId="21" borderId="104" xfId="0" applyFill="1" applyBorder="1" applyAlignment="1">
      <alignment vertical="center"/>
    </xf>
    <xf numFmtId="0" fontId="0" fillId="0" borderId="84" xfId="0" applyBorder="1" applyAlignment="1">
      <alignment vertical="center"/>
    </xf>
    <xf numFmtId="0" fontId="0" fillId="10" borderId="87" xfId="0" applyFill="1" applyBorder="1" applyAlignment="1">
      <alignment vertical="center"/>
    </xf>
    <xf numFmtId="0" fontId="0" fillId="0" borderId="105" xfId="0" applyBorder="1" applyAlignment="1">
      <alignment vertical="center"/>
    </xf>
    <xf numFmtId="0" fontId="0" fillId="22" borderId="96" xfId="0" applyFill="1" applyBorder="1" applyAlignment="1">
      <alignment vertical="center"/>
    </xf>
    <xf numFmtId="0" fontId="0" fillId="22" borderId="100" xfId="0" applyFill="1" applyBorder="1" applyAlignment="1">
      <alignment vertical="center"/>
    </xf>
    <xf numFmtId="0" fontId="0" fillId="22" borderId="101" xfId="0" applyFill="1" applyBorder="1" applyAlignment="1">
      <alignment horizontal="center" vertical="center"/>
    </xf>
    <xf numFmtId="0" fontId="0" fillId="22" borderId="102" xfId="0" applyFill="1" applyBorder="1" applyAlignment="1">
      <alignment horizontal="center" vertical="center"/>
    </xf>
    <xf numFmtId="0" fontId="0" fillId="22" borderId="103" xfId="0" applyFill="1" applyBorder="1" applyAlignment="1">
      <alignment horizontal="center" vertical="center"/>
    </xf>
    <xf numFmtId="0" fontId="0" fillId="10" borderId="83" xfId="0" applyFill="1" applyBorder="1" applyAlignment="1">
      <alignment vertical="center" textRotation="255"/>
    </xf>
    <xf numFmtId="0" fontId="0" fillId="0" borderId="83" xfId="0" applyBorder="1" applyAlignment="1">
      <alignment vertical="center" textRotation="255"/>
    </xf>
    <xf numFmtId="0" fontId="0" fillId="0" borderId="86" xfId="0" applyBorder="1" applyAlignment="1">
      <alignment vertical="center" textRotation="255"/>
    </xf>
    <xf numFmtId="0" fontId="0" fillId="5" borderId="10" xfId="0" applyFill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</cellXfs>
  <cellStyles count="8">
    <cellStyle name="一般" xfId="0" builtinId="0"/>
    <cellStyle name="一般 2" xfId="1"/>
    <cellStyle name="一般 3" xfId="2"/>
    <cellStyle name="一般 4" xfId="3"/>
    <cellStyle name="一般 5" xfId="4"/>
    <cellStyle name="千分位" xfId="5" builtinId="3"/>
    <cellStyle name="百分比" xfId="6" builtinId="5"/>
    <cellStyle name="貨幣" xfId="7" builtinId="4"/>
  </cellStyles>
  <dxfs count="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3EA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externalLink" Target="externalLinks/externalLink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connections" Target="connection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近月</a:t>
            </a:r>
            <a:r>
              <a:rPr lang="en-US" altLang="zh-TW"/>
              <a:t>Vol</a:t>
            </a:r>
            <a:endParaRPr lang="zh-TW" alt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6107915588565614E-2"/>
          <c:y val="7.9601730114508384E-2"/>
          <c:w val="0.90569532941145137"/>
          <c:h val="0.82836395450568678"/>
        </c:manualLayout>
      </c:layout>
      <c:lineChart>
        <c:grouping val="standard"/>
        <c:varyColors val="0"/>
        <c:ser>
          <c:idx val="0"/>
          <c:order val="0"/>
          <c:tx>
            <c:strRef>
              <c:f>Vol!$E$5</c:f>
              <c:strCache>
                <c:ptCount val="1"/>
                <c:pt idx="0">
                  <c:v>今日 IV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lgDash"/>
              <a:round/>
            </a:ln>
            <a:effectLst/>
          </c:spPr>
          <c:dLbls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 b="1">
                      <a:solidFill>
                        <a:srgbClr val="FF0000"/>
                      </a:solidFill>
                    </a:defRPr>
                  </a:pPr>
                  <a:endParaRPr lang="zh-TW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zh-TW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Vol!$D$6:$D$16</c:f>
              <c:numCache>
                <c:formatCode>General</c:formatCode>
                <c:ptCount val="11"/>
                <c:pt idx="0">
                  <c:v>11600</c:v>
                </c:pt>
                <c:pt idx="1">
                  <c:v>11700</c:v>
                </c:pt>
                <c:pt idx="2">
                  <c:v>11800</c:v>
                </c:pt>
                <c:pt idx="3">
                  <c:v>11900</c:v>
                </c:pt>
                <c:pt idx="4">
                  <c:v>12000</c:v>
                </c:pt>
                <c:pt idx="5">
                  <c:v>12100</c:v>
                </c:pt>
                <c:pt idx="6">
                  <c:v>12200</c:v>
                </c:pt>
                <c:pt idx="7">
                  <c:v>12300</c:v>
                </c:pt>
                <c:pt idx="8">
                  <c:v>12400</c:v>
                </c:pt>
                <c:pt idx="9">
                  <c:v>12500</c:v>
                </c:pt>
                <c:pt idx="10">
                  <c:v>12600</c:v>
                </c:pt>
              </c:numCache>
            </c:numRef>
          </c:cat>
          <c:val>
            <c:numRef>
              <c:f>Vol!$E$6:$E$16</c:f>
              <c:numCache>
                <c:formatCode>0.0%</c:formatCode>
                <c:ptCount val="11"/>
                <c:pt idx="0">
                  <c:v>0.22585775451660156</c:v>
                </c:pt>
                <c:pt idx="1">
                  <c:v>0.2193883514404297</c:v>
                </c:pt>
                <c:pt idx="2">
                  <c:v>0.21194243469238286</c:v>
                </c:pt>
                <c:pt idx="3">
                  <c:v>0.20535096740722658</c:v>
                </c:pt>
                <c:pt idx="4">
                  <c:v>0.19900362854003906</c:v>
                </c:pt>
                <c:pt idx="5">
                  <c:v>0.19265628967285159</c:v>
                </c:pt>
                <c:pt idx="6">
                  <c:v>0.18899436340332035</c:v>
                </c:pt>
                <c:pt idx="7">
                  <c:v>0.18545450134277344</c:v>
                </c:pt>
                <c:pt idx="8">
                  <c:v>0.17922922668457034</c:v>
                </c:pt>
                <c:pt idx="9">
                  <c:v>0.17678794250488286</c:v>
                </c:pt>
                <c:pt idx="10">
                  <c:v>0.17593349304199221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DE-417A-A181-1F9EF3E00433}"/>
            </c:ext>
          </c:extLst>
        </c:ser>
        <c:ser>
          <c:idx val="1"/>
          <c:order val="1"/>
          <c:tx>
            <c:strRef>
              <c:f>Vol!$F$5</c:f>
              <c:strCache>
                <c:ptCount val="1"/>
                <c:pt idx="0">
                  <c:v>昨日 IV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dLbls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 b="1">
                      <a:solidFill>
                        <a:srgbClr val="FF0000"/>
                      </a:solidFill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Vol!$D$6:$D$16</c:f>
              <c:numCache>
                <c:formatCode>General</c:formatCode>
                <c:ptCount val="11"/>
                <c:pt idx="0">
                  <c:v>11600</c:v>
                </c:pt>
                <c:pt idx="1">
                  <c:v>11700</c:v>
                </c:pt>
                <c:pt idx="2">
                  <c:v>11800</c:v>
                </c:pt>
                <c:pt idx="3">
                  <c:v>11900</c:v>
                </c:pt>
                <c:pt idx="4">
                  <c:v>12000</c:v>
                </c:pt>
                <c:pt idx="5">
                  <c:v>12100</c:v>
                </c:pt>
                <c:pt idx="6">
                  <c:v>12200</c:v>
                </c:pt>
                <c:pt idx="7">
                  <c:v>12300</c:v>
                </c:pt>
                <c:pt idx="8">
                  <c:v>12400</c:v>
                </c:pt>
                <c:pt idx="9">
                  <c:v>12500</c:v>
                </c:pt>
                <c:pt idx="10">
                  <c:v>12600</c:v>
                </c:pt>
              </c:numCache>
            </c:numRef>
          </c:cat>
          <c:val>
            <c:numRef>
              <c:f>Vol!$F$6:$F$16</c:f>
              <c:numCache>
                <c:formatCode>0.0%</c:formatCode>
                <c:ptCount val="11"/>
                <c:pt idx="0">
                  <c:v>0.22182963562011718</c:v>
                </c:pt>
                <c:pt idx="1">
                  <c:v>0.21474991149902345</c:v>
                </c:pt>
                <c:pt idx="2">
                  <c:v>0.20864670104980473</c:v>
                </c:pt>
                <c:pt idx="3">
                  <c:v>0.20107872009277344</c:v>
                </c:pt>
                <c:pt idx="4">
                  <c:v>0.19497550964355467</c:v>
                </c:pt>
                <c:pt idx="5">
                  <c:v>0.18960468444824219</c:v>
                </c:pt>
                <c:pt idx="6">
                  <c:v>0.18582069396972659</c:v>
                </c:pt>
                <c:pt idx="7">
                  <c:v>0.18228083190917968</c:v>
                </c:pt>
                <c:pt idx="8">
                  <c:v>0.17983954772949221</c:v>
                </c:pt>
                <c:pt idx="9">
                  <c:v>0.17715413513183598</c:v>
                </c:pt>
                <c:pt idx="10">
                  <c:v>0.17446872253417969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DDE-417A-A181-1F9EF3E00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006408"/>
        <c:axId val="619982496"/>
      </c:lineChart>
      <c:catAx>
        <c:axId val="620006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9982496"/>
        <c:crosses val="autoZero"/>
        <c:auto val="1"/>
        <c:lblAlgn val="ctr"/>
        <c:lblOffset val="100"/>
        <c:noMultiLvlLbl val="0"/>
      </c:catAx>
      <c:valAx>
        <c:axId val="61998249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2000640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416684971116199"/>
          <c:y val="0.95481202730496384"/>
          <c:w val="0.23260723615221857"/>
          <c:h val="3.5798302490566883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遠月</a:t>
            </a:r>
            <a:r>
              <a:rPr lang="en-US" altLang="zh-TW"/>
              <a:t>Vol</a:t>
            </a:r>
            <a:endParaRPr lang="zh-TW" alt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4148786317095154E-2"/>
          <c:y val="0.11174867737253617"/>
          <c:w val="0.90569532941145137"/>
          <c:h val="0.73577136191309422"/>
        </c:manualLayout>
      </c:layout>
      <c:lineChart>
        <c:grouping val="standard"/>
        <c:varyColors val="0"/>
        <c:ser>
          <c:idx val="0"/>
          <c:order val="0"/>
          <c:tx>
            <c:strRef>
              <c:f>Vol!$T$5</c:f>
              <c:strCache>
                <c:ptCount val="1"/>
                <c:pt idx="0">
                  <c:v>今日 IV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lgDash"/>
              <a:round/>
            </a:ln>
            <a:effectLst/>
          </c:spPr>
          <c:dLbls>
            <c:dLbl>
              <c:idx val="5"/>
              <c:tx>
                <c:rich>
                  <a:bodyPr/>
                  <a:lstStyle/>
                  <a:p>
                    <a:fld id="{FEC68D0A-06AE-4D77-9B6B-6D0D0A3577D9}" type="VALUE">
                      <a:rPr lang="en-US" altLang="zh-TW" b="1">
                        <a:solidFill>
                          <a:srgbClr val="FF0000"/>
                        </a:solidFill>
                      </a:rPr>
                      <a:pPr/>
                      <a:t>[值]</a:t>
                    </a:fld>
                    <a:endParaRPr lang="zh-TW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Vol!$S$6:$S$16</c:f>
              <c:numCache>
                <c:formatCode>General</c:formatCode>
                <c:ptCount val="11"/>
                <c:pt idx="0">
                  <c:v>11500</c:v>
                </c:pt>
                <c:pt idx="1">
                  <c:v>11600</c:v>
                </c:pt>
                <c:pt idx="2">
                  <c:v>11700</c:v>
                </c:pt>
                <c:pt idx="3">
                  <c:v>11800</c:v>
                </c:pt>
                <c:pt idx="4">
                  <c:v>11900</c:v>
                </c:pt>
                <c:pt idx="5">
                  <c:v>12000</c:v>
                </c:pt>
                <c:pt idx="6">
                  <c:v>12100</c:v>
                </c:pt>
                <c:pt idx="7">
                  <c:v>12200</c:v>
                </c:pt>
                <c:pt idx="8">
                  <c:v>12300</c:v>
                </c:pt>
                <c:pt idx="9">
                  <c:v>12400</c:v>
                </c:pt>
                <c:pt idx="10">
                  <c:v>12500</c:v>
                </c:pt>
              </c:numCache>
            </c:numRef>
          </c:cat>
          <c:val>
            <c:numRef>
              <c:f>Vol!$T$6:$T$16</c:f>
              <c:numCache>
                <c:formatCode>0.0%</c:formatCode>
                <c:ptCount val="11"/>
                <c:pt idx="0">
                  <c:v>0.22121931457519531</c:v>
                </c:pt>
                <c:pt idx="1">
                  <c:v>0.21877803039550783</c:v>
                </c:pt>
                <c:pt idx="2">
                  <c:v>0.21462784729003909</c:v>
                </c:pt>
                <c:pt idx="3">
                  <c:v>0.20889082946777346</c:v>
                </c:pt>
                <c:pt idx="4">
                  <c:v>0.20413032531738282</c:v>
                </c:pt>
                <c:pt idx="5">
                  <c:v>0.19998014221191407</c:v>
                </c:pt>
                <c:pt idx="6">
                  <c:v>0.19595202331542969</c:v>
                </c:pt>
                <c:pt idx="7">
                  <c:v>0.1925342254638672</c:v>
                </c:pt>
                <c:pt idx="8">
                  <c:v>0.18899436340332035</c:v>
                </c:pt>
                <c:pt idx="9">
                  <c:v>0.18630895080566406</c:v>
                </c:pt>
                <c:pt idx="10">
                  <c:v>0.18203670349121095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84-487D-B231-5EB7122DA57C}"/>
            </c:ext>
          </c:extLst>
        </c:ser>
        <c:ser>
          <c:idx val="1"/>
          <c:order val="1"/>
          <c:tx>
            <c:strRef>
              <c:f>Vol!$U$5</c:f>
              <c:strCache>
                <c:ptCount val="1"/>
                <c:pt idx="0">
                  <c:v>昨日 IV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dLbls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 b="1">
                      <a:solidFill>
                        <a:srgbClr val="FF0000"/>
                      </a:solidFill>
                    </a:defRPr>
                  </a:pPr>
                  <a:endParaRPr lang="zh-TW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zh-TW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Vol!$S$6:$S$16</c:f>
              <c:numCache>
                <c:formatCode>General</c:formatCode>
                <c:ptCount val="11"/>
                <c:pt idx="0">
                  <c:v>11500</c:v>
                </c:pt>
                <c:pt idx="1">
                  <c:v>11600</c:v>
                </c:pt>
                <c:pt idx="2">
                  <c:v>11700</c:v>
                </c:pt>
                <c:pt idx="3">
                  <c:v>11800</c:v>
                </c:pt>
                <c:pt idx="4">
                  <c:v>11900</c:v>
                </c:pt>
                <c:pt idx="5">
                  <c:v>12000</c:v>
                </c:pt>
                <c:pt idx="6">
                  <c:v>12100</c:v>
                </c:pt>
                <c:pt idx="7">
                  <c:v>12200</c:v>
                </c:pt>
                <c:pt idx="8">
                  <c:v>12300</c:v>
                </c:pt>
                <c:pt idx="9">
                  <c:v>12400</c:v>
                </c:pt>
                <c:pt idx="10">
                  <c:v>12500</c:v>
                </c:pt>
              </c:numCache>
            </c:numRef>
          </c:cat>
          <c:val>
            <c:numRef>
              <c:f>Vol!$U$6:$U$16</c:f>
              <c:numCache>
                <c:formatCode>0.0%</c:formatCode>
                <c:ptCount val="11"/>
                <c:pt idx="0">
                  <c:v>0.22146344299316406</c:v>
                </c:pt>
                <c:pt idx="1">
                  <c:v>0.21633674621582036</c:v>
                </c:pt>
                <c:pt idx="2">
                  <c:v>0.21133211364746096</c:v>
                </c:pt>
                <c:pt idx="3">
                  <c:v>0.2062054168701172</c:v>
                </c:pt>
                <c:pt idx="4">
                  <c:v>0.20083459167480469</c:v>
                </c:pt>
                <c:pt idx="5">
                  <c:v>0.19656234436035158</c:v>
                </c:pt>
                <c:pt idx="6">
                  <c:v>0.1925342254638672</c:v>
                </c:pt>
                <c:pt idx="7">
                  <c:v>0.1899708770751953</c:v>
                </c:pt>
                <c:pt idx="8">
                  <c:v>0.1837456024169922</c:v>
                </c:pt>
                <c:pt idx="9">
                  <c:v>0.18020574035644535</c:v>
                </c:pt>
                <c:pt idx="10">
                  <c:v>0.17727619934082037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84-487D-B231-5EB7122DA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981712"/>
        <c:axId val="619982888"/>
      </c:lineChart>
      <c:catAx>
        <c:axId val="61998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9982888"/>
        <c:crosses val="autoZero"/>
        <c:auto val="1"/>
        <c:lblAlgn val="ctr"/>
        <c:lblOffset val="100"/>
        <c:noMultiLvlLbl val="0"/>
      </c:catAx>
      <c:valAx>
        <c:axId val="619982888"/>
        <c:scaling>
          <c:orientation val="minMax"/>
          <c:max val="0.30000000000000004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9981712"/>
        <c:crosses val="autoZero"/>
        <c:crossBetween val="between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7121158946674565"/>
          <c:y val="0.94003885619944494"/>
          <c:w val="0.26912632310744511"/>
          <c:h val="5.0617409902248847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台指</a:t>
            </a:r>
            <a:r>
              <a:rPr lang="en-US" altLang="zh-TW"/>
              <a:t>VIX</a:t>
            </a:r>
            <a:endParaRPr lang="zh-TW" altLang="en-US"/>
          </a:p>
        </c:rich>
      </c:tx>
      <c:layout>
        <c:manualLayout>
          <c:xMode val="edge"/>
          <c:yMode val="edge"/>
          <c:x val="0.46359065632522761"/>
          <c:y val="1.473296785776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tx>
            <c:strRef>
              <c:f>台指VIX!$C$5</c:f>
              <c:strCache>
                <c:ptCount val="1"/>
                <c:pt idx="0">
                  <c:v>開盤價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台指VIX!$B$6:$B$95</c:f>
              <c:numCache>
                <c:formatCode>m/d/yyyy</c:formatCode>
                <c:ptCount val="90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43860</c:v>
                </c:pt>
                <c:pt idx="14">
                  <c:v>43861</c:v>
                </c:pt>
                <c:pt idx="15">
                  <c:v>43864</c:v>
                </c:pt>
                <c:pt idx="16">
                  <c:v>43865</c:v>
                </c:pt>
                <c:pt idx="17">
                  <c:v>43866</c:v>
                </c:pt>
                <c:pt idx="18">
                  <c:v>43867</c:v>
                </c:pt>
                <c:pt idx="19">
                  <c:v>43868</c:v>
                </c:pt>
                <c:pt idx="20">
                  <c:v>43871</c:v>
                </c:pt>
                <c:pt idx="21">
                  <c:v>43872</c:v>
                </c:pt>
                <c:pt idx="22">
                  <c:v>43873</c:v>
                </c:pt>
                <c:pt idx="23">
                  <c:v>43874</c:v>
                </c:pt>
                <c:pt idx="24">
                  <c:v>43875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43892</c:v>
                </c:pt>
                <c:pt idx="35">
                  <c:v>43893</c:v>
                </c:pt>
                <c:pt idx="36">
                  <c:v>43894</c:v>
                </c:pt>
                <c:pt idx="37">
                  <c:v>43895</c:v>
                </c:pt>
                <c:pt idx="38">
                  <c:v>43896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43906</c:v>
                </c:pt>
                <c:pt idx="45">
                  <c:v>43907</c:v>
                </c:pt>
                <c:pt idx="46">
                  <c:v>43908</c:v>
                </c:pt>
                <c:pt idx="47">
                  <c:v>43909</c:v>
                </c:pt>
                <c:pt idx="48">
                  <c:v>43910</c:v>
                </c:pt>
                <c:pt idx="49">
                  <c:v>43913</c:v>
                </c:pt>
                <c:pt idx="50">
                  <c:v>43914</c:v>
                </c:pt>
                <c:pt idx="51">
                  <c:v>43915</c:v>
                </c:pt>
                <c:pt idx="52">
                  <c:v>43916</c:v>
                </c:pt>
                <c:pt idx="53">
                  <c:v>43917</c:v>
                </c:pt>
                <c:pt idx="54">
                  <c:v>43920</c:v>
                </c:pt>
                <c:pt idx="55">
                  <c:v>43921</c:v>
                </c:pt>
                <c:pt idx="56">
                  <c:v>43922</c:v>
                </c:pt>
                <c:pt idx="57">
                  <c:v>43927</c:v>
                </c:pt>
                <c:pt idx="58">
                  <c:v>43928</c:v>
                </c:pt>
                <c:pt idx="59">
                  <c:v>43929</c:v>
                </c:pt>
                <c:pt idx="60">
                  <c:v>43930</c:v>
                </c:pt>
                <c:pt idx="61">
                  <c:v>43931</c:v>
                </c:pt>
                <c:pt idx="62">
                  <c:v>43934</c:v>
                </c:pt>
                <c:pt idx="63">
                  <c:v>43935</c:v>
                </c:pt>
                <c:pt idx="64">
                  <c:v>43936</c:v>
                </c:pt>
                <c:pt idx="65">
                  <c:v>43937</c:v>
                </c:pt>
                <c:pt idx="66">
                  <c:v>43938</c:v>
                </c:pt>
                <c:pt idx="67">
                  <c:v>43941</c:v>
                </c:pt>
                <c:pt idx="68">
                  <c:v>43942</c:v>
                </c:pt>
                <c:pt idx="69">
                  <c:v>43943</c:v>
                </c:pt>
                <c:pt idx="70">
                  <c:v>43944</c:v>
                </c:pt>
                <c:pt idx="71">
                  <c:v>43945</c:v>
                </c:pt>
                <c:pt idx="72">
                  <c:v>43948</c:v>
                </c:pt>
                <c:pt idx="73">
                  <c:v>43949</c:v>
                </c:pt>
                <c:pt idx="74">
                  <c:v>43950</c:v>
                </c:pt>
                <c:pt idx="75">
                  <c:v>43951</c:v>
                </c:pt>
                <c:pt idx="76">
                  <c:v>43955</c:v>
                </c:pt>
                <c:pt idx="77">
                  <c:v>43956</c:v>
                </c:pt>
                <c:pt idx="78">
                  <c:v>43957</c:v>
                </c:pt>
                <c:pt idx="79">
                  <c:v>43958</c:v>
                </c:pt>
                <c:pt idx="80">
                  <c:v>43959</c:v>
                </c:pt>
                <c:pt idx="81">
                  <c:v>43962</c:v>
                </c:pt>
                <c:pt idx="82">
                  <c:v>43963</c:v>
                </c:pt>
                <c:pt idx="83">
                  <c:v>43964</c:v>
                </c:pt>
                <c:pt idx="84">
                  <c:v>43965</c:v>
                </c:pt>
                <c:pt idx="85">
                  <c:v>43966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</c:numCache>
            </c:numRef>
          </c:cat>
          <c:val>
            <c:numRef>
              <c:f>台指VIX!$C$6:$C$95</c:f>
              <c:numCache>
                <c:formatCode>General</c:formatCode>
                <c:ptCount val="90"/>
                <c:pt idx="0">
                  <c:v>14.39</c:v>
                </c:pt>
                <c:pt idx="1">
                  <c:v>14.16</c:v>
                </c:pt>
                <c:pt idx="2">
                  <c:v>15.82</c:v>
                </c:pt>
                <c:pt idx="3">
                  <c:v>14.28</c:v>
                </c:pt>
                <c:pt idx="4">
                  <c:v>15.8</c:v>
                </c:pt>
                <c:pt idx="5">
                  <c:v>13.78</c:v>
                </c:pt>
                <c:pt idx="6">
                  <c:v>13.61</c:v>
                </c:pt>
                <c:pt idx="7">
                  <c:v>12.06</c:v>
                </c:pt>
                <c:pt idx="8">
                  <c:v>11.4</c:v>
                </c:pt>
                <c:pt idx="9">
                  <c:v>11.95</c:v>
                </c:pt>
                <c:pt idx="10">
                  <c:v>12.29</c:v>
                </c:pt>
                <c:pt idx="11">
                  <c:v>11.77</c:v>
                </c:pt>
                <c:pt idx="12">
                  <c:v>12.58</c:v>
                </c:pt>
                <c:pt idx="13">
                  <c:v>16.04</c:v>
                </c:pt>
                <c:pt idx="14">
                  <c:v>18.18</c:v>
                </c:pt>
                <c:pt idx="15">
                  <c:v>21.24</c:v>
                </c:pt>
                <c:pt idx="16">
                  <c:v>18.79</c:v>
                </c:pt>
                <c:pt idx="17">
                  <c:v>18.52</c:v>
                </c:pt>
                <c:pt idx="18">
                  <c:v>18.12</c:v>
                </c:pt>
                <c:pt idx="19">
                  <c:v>18.3</c:v>
                </c:pt>
                <c:pt idx="20">
                  <c:v>20.55</c:v>
                </c:pt>
                <c:pt idx="21">
                  <c:v>18.16</c:v>
                </c:pt>
                <c:pt idx="22">
                  <c:v>17.25</c:v>
                </c:pt>
                <c:pt idx="23">
                  <c:v>16.59</c:v>
                </c:pt>
                <c:pt idx="24">
                  <c:v>16.47</c:v>
                </c:pt>
                <c:pt idx="25">
                  <c:v>16.78</c:v>
                </c:pt>
                <c:pt idx="26">
                  <c:v>16.46</c:v>
                </c:pt>
                <c:pt idx="27">
                  <c:v>16.64</c:v>
                </c:pt>
                <c:pt idx="28">
                  <c:v>15.25</c:v>
                </c:pt>
                <c:pt idx="29">
                  <c:v>15.83</c:v>
                </c:pt>
                <c:pt idx="30">
                  <c:v>18.3</c:v>
                </c:pt>
                <c:pt idx="31">
                  <c:v>19.45</c:v>
                </c:pt>
                <c:pt idx="32">
                  <c:v>20.25</c:v>
                </c:pt>
                <c:pt idx="33">
                  <c:v>20.78</c:v>
                </c:pt>
                <c:pt idx="34">
                  <c:v>26.4</c:v>
                </c:pt>
                <c:pt idx="35">
                  <c:v>21.7</c:v>
                </c:pt>
                <c:pt idx="36">
                  <c:v>22.14</c:v>
                </c:pt>
                <c:pt idx="37">
                  <c:v>20.34</c:v>
                </c:pt>
                <c:pt idx="38">
                  <c:v>20.23</c:v>
                </c:pt>
                <c:pt idx="39">
                  <c:v>26.29</c:v>
                </c:pt>
                <c:pt idx="40">
                  <c:v>28.69</c:v>
                </c:pt>
                <c:pt idx="41">
                  <c:v>26.58</c:v>
                </c:pt>
                <c:pt idx="42">
                  <c:v>30.03</c:v>
                </c:pt>
                <c:pt idx="43">
                  <c:v>43.09</c:v>
                </c:pt>
                <c:pt idx="44">
                  <c:v>43.37</c:v>
                </c:pt>
                <c:pt idx="45">
                  <c:v>49.87</c:v>
                </c:pt>
                <c:pt idx="46">
                  <c:v>48.17</c:v>
                </c:pt>
                <c:pt idx="47">
                  <c:v>49.69</c:v>
                </c:pt>
                <c:pt idx="48">
                  <c:v>53.99</c:v>
                </c:pt>
                <c:pt idx="49">
                  <c:v>55.95</c:v>
                </c:pt>
                <c:pt idx="50">
                  <c:v>48.41</c:v>
                </c:pt>
                <c:pt idx="51">
                  <c:v>42.87</c:v>
                </c:pt>
                <c:pt idx="52">
                  <c:v>42.31</c:v>
                </c:pt>
                <c:pt idx="53">
                  <c:v>42.24</c:v>
                </c:pt>
                <c:pt idx="54">
                  <c:v>47.74</c:v>
                </c:pt>
                <c:pt idx="55">
                  <c:v>42.91</c:v>
                </c:pt>
                <c:pt idx="56">
                  <c:v>43.2</c:v>
                </c:pt>
                <c:pt idx="57">
                  <c:v>38.11</c:v>
                </c:pt>
                <c:pt idx="58">
                  <c:v>33.6</c:v>
                </c:pt>
                <c:pt idx="59">
                  <c:v>33.659999999999997</c:v>
                </c:pt>
                <c:pt idx="60">
                  <c:v>31.91</c:v>
                </c:pt>
                <c:pt idx="61">
                  <c:v>33.17</c:v>
                </c:pt>
                <c:pt idx="62">
                  <c:v>34.130000000000003</c:v>
                </c:pt>
                <c:pt idx="63">
                  <c:v>30.2</c:v>
                </c:pt>
                <c:pt idx="64">
                  <c:v>27.22</c:v>
                </c:pt>
                <c:pt idx="65">
                  <c:v>30.25</c:v>
                </c:pt>
                <c:pt idx="66">
                  <c:v>26.34</c:v>
                </c:pt>
                <c:pt idx="67">
                  <c:v>28.89</c:v>
                </c:pt>
                <c:pt idx="68">
                  <c:v>30.06</c:v>
                </c:pt>
                <c:pt idx="69">
                  <c:v>34.909999999999997</c:v>
                </c:pt>
                <c:pt idx="70">
                  <c:v>32.06</c:v>
                </c:pt>
                <c:pt idx="71">
                  <c:v>30.98</c:v>
                </c:pt>
                <c:pt idx="72">
                  <c:v>28.81</c:v>
                </c:pt>
                <c:pt idx="73">
                  <c:v>27.6</c:v>
                </c:pt>
                <c:pt idx="74">
                  <c:v>27.2</c:v>
                </c:pt>
                <c:pt idx="75">
                  <c:v>27.19</c:v>
                </c:pt>
                <c:pt idx="76">
                  <c:v>33.630000000000003</c:v>
                </c:pt>
                <c:pt idx="77">
                  <c:v>32.200000000000003</c:v>
                </c:pt>
                <c:pt idx="78">
                  <c:v>31.98</c:v>
                </c:pt>
                <c:pt idx="79">
                  <c:v>31.24</c:v>
                </c:pt>
                <c:pt idx="80">
                  <c:v>27.81</c:v>
                </c:pt>
                <c:pt idx="81">
                  <c:v>27.72</c:v>
                </c:pt>
                <c:pt idx="82">
                  <c:v>27.84</c:v>
                </c:pt>
                <c:pt idx="83">
                  <c:v>28.37</c:v>
                </c:pt>
                <c:pt idx="84">
                  <c:v>28.07</c:v>
                </c:pt>
                <c:pt idx="85">
                  <c:v>27.46</c:v>
                </c:pt>
                <c:pt idx="86">
                  <c:v>29.84</c:v>
                </c:pt>
                <c:pt idx="87">
                  <c:v>27.37</c:v>
                </c:pt>
                <c:pt idx="88">
                  <c:v>26.04</c:v>
                </c:pt>
                <c:pt idx="89">
                  <c:v>23.11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台指VIX!$D$5</c:f>
              <c:strCache>
                <c:ptCount val="1"/>
                <c:pt idx="0">
                  <c:v>最高價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台指VIX!$B$6:$B$95</c:f>
              <c:numCache>
                <c:formatCode>m/d/yyyy</c:formatCode>
                <c:ptCount val="90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43860</c:v>
                </c:pt>
                <c:pt idx="14">
                  <c:v>43861</c:v>
                </c:pt>
                <c:pt idx="15">
                  <c:v>43864</c:v>
                </c:pt>
                <c:pt idx="16">
                  <c:v>43865</c:v>
                </c:pt>
                <c:pt idx="17">
                  <c:v>43866</c:v>
                </c:pt>
                <c:pt idx="18">
                  <c:v>43867</c:v>
                </c:pt>
                <c:pt idx="19">
                  <c:v>43868</c:v>
                </c:pt>
                <c:pt idx="20">
                  <c:v>43871</c:v>
                </c:pt>
                <c:pt idx="21">
                  <c:v>43872</c:v>
                </c:pt>
                <c:pt idx="22">
                  <c:v>43873</c:v>
                </c:pt>
                <c:pt idx="23">
                  <c:v>43874</c:v>
                </c:pt>
                <c:pt idx="24">
                  <c:v>43875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43892</c:v>
                </c:pt>
                <c:pt idx="35">
                  <c:v>43893</c:v>
                </c:pt>
                <c:pt idx="36">
                  <c:v>43894</c:v>
                </c:pt>
                <c:pt idx="37">
                  <c:v>43895</c:v>
                </c:pt>
                <c:pt idx="38">
                  <c:v>43896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43906</c:v>
                </c:pt>
                <c:pt idx="45">
                  <c:v>43907</c:v>
                </c:pt>
                <c:pt idx="46">
                  <c:v>43908</c:v>
                </c:pt>
                <c:pt idx="47">
                  <c:v>43909</c:v>
                </c:pt>
                <c:pt idx="48">
                  <c:v>43910</c:v>
                </c:pt>
                <c:pt idx="49">
                  <c:v>43913</c:v>
                </c:pt>
                <c:pt idx="50">
                  <c:v>43914</c:v>
                </c:pt>
                <c:pt idx="51">
                  <c:v>43915</c:v>
                </c:pt>
                <c:pt idx="52">
                  <c:v>43916</c:v>
                </c:pt>
                <c:pt idx="53">
                  <c:v>43917</c:v>
                </c:pt>
                <c:pt idx="54">
                  <c:v>43920</c:v>
                </c:pt>
                <c:pt idx="55">
                  <c:v>43921</c:v>
                </c:pt>
                <c:pt idx="56">
                  <c:v>43922</c:v>
                </c:pt>
                <c:pt idx="57">
                  <c:v>43927</c:v>
                </c:pt>
                <c:pt idx="58">
                  <c:v>43928</c:v>
                </c:pt>
                <c:pt idx="59">
                  <c:v>43929</c:v>
                </c:pt>
                <c:pt idx="60">
                  <c:v>43930</c:v>
                </c:pt>
                <c:pt idx="61">
                  <c:v>43931</c:v>
                </c:pt>
                <c:pt idx="62">
                  <c:v>43934</c:v>
                </c:pt>
                <c:pt idx="63">
                  <c:v>43935</c:v>
                </c:pt>
                <c:pt idx="64">
                  <c:v>43936</c:v>
                </c:pt>
                <c:pt idx="65">
                  <c:v>43937</c:v>
                </c:pt>
                <c:pt idx="66">
                  <c:v>43938</c:v>
                </c:pt>
                <c:pt idx="67">
                  <c:v>43941</c:v>
                </c:pt>
                <c:pt idx="68">
                  <c:v>43942</c:v>
                </c:pt>
                <c:pt idx="69">
                  <c:v>43943</c:v>
                </c:pt>
                <c:pt idx="70">
                  <c:v>43944</c:v>
                </c:pt>
                <c:pt idx="71">
                  <c:v>43945</c:v>
                </c:pt>
                <c:pt idx="72">
                  <c:v>43948</c:v>
                </c:pt>
                <c:pt idx="73">
                  <c:v>43949</c:v>
                </c:pt>
                <c:pt idx="74">
                  <c:v>43950</c:v>
                </c:pt>
                <c:pt idx="75">
                  <c:v>43951</c:v>
                </c:pt>
                <c:pt idx="76">
                  <c:v>43955</c:v>
                </c:pt>
                <c:pt idx="77">
                  <c:v>43956</c:v>
                </c:pt>
                <c:pt idx="78">
                  <c:v>43957</c:v>
                </c:pt>
                <c:pt idx="79">
                  <c:v>43958</c:v>
                </c:pt>
                <c:pt idx="80">
                  <c:v>43959</c:v>
                </c:pt>
                <c:pt idx="81">
                  <c:v>43962</c:v>
                </c:pt>
                <c:pt idx="82">
                  <c:v>43963</c:v>
                </c:pt>
                <c:pt idx="83">
                  <c:v>43964</c:v>
                </c:pt>
                <c:pt idx="84">
                  <c:v>43965</c:v>
                </c:pt>
                <c:pt idx="85">
                  <c:v>43966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</c:numCache>
            </c:numRef>
          </c:cat>
          <c:val>
            <c:numRef>
              <c:f>台指VIX!$D$6:$D$95</c:f>
              <c:numCache>
                <c:formatCode>General</c:formatCode>
                <c:ptCount val="90"/>
                <c:pt idx="0">
                  <c:v>14.79</c:v>
                </c:pt>
                <c:pt idx="1">
                  <c:v>15.41</c:v>
                </c:pt>
                <c:pt idx="2">
                  <c:v>15.96</c:v>
                </c:pt>
                <c:pt idx="3">
                  <c:v>15.07</c:v>
                </c:pt>
                <c:pt idx="4">
                  <c:v>15.8</c:v>
                </c:pt>
                <c:pt idx="5">
                  <c:v>13.94</c:v>
                </c:pt>
                <c:pt idx="6">
                  <c:v>13.69</c:v>
                </c:pt>
                <c:pt idx="7">
                  <c:v>12.63</c:v>
                </c:pt>
                <c:pt idx="8">
                  <c:v>12.19</c:v>
                </c:pt>
                <c:pt idx="9">
                  <c:v>12.51</c:v>
                </c:pt>
                <c:pt idx="10">
                  <c:v>12.38</c:v>
                </c:pt>
                <c:pt idx="11">
                  <c:v>12.36</c:v>
                </c:pt>
                <c:pt idx="12">
                  <c:v>12.8</c:v>
                </c:pt>
                <c:pt idx="13">
                  <c:v>19.809999999999999</c:v>
                </c:pt>
                <c:pt idx="14">
                  <c:v>19.149999999999999</c:v>
                </c:pt>
                <c:pt idx="15">
                  <c:v>21.83</c:v>
                </c:pt>
                <c:pt idx="16">
                  <c:v>18.829999999999998</c:v>
                </c:pt>
                <c:pt idx="17">
                  <c:v>18.95</c:v>
                </c:pt>
                <c:pt idx="18">
                  <c:v>18.12</c:v>
                </c:pt>
                <c:pt idx="19">
                  <c:v>19.100000000000001</c:v>
                </c:pt>
                <c:pt idx="20">
                  <c:v>20.55</c:v>
                </c:pt>
                <c:pt idx="21">
                  <c:v>18.22</c:v>
                </c:pt>
                <c:pt idx="22">
                  <c:v>17.25</c:v>
                </c:pt>
                <c:pt idx="23">
                  <c:v>16.690000000000001</c:v>
                </c:pt>
                <c:pt idx="24">
                  <c:v>16.5</c:v>
                </c:pt>
                <c:pt idx="25">
                  <c:v>16.809999999999999</c:v>
                </c:pt>
                <c:pt idx="26">
                  <c:v>17.21</c:v>
                </c:pt>
                <c:pt idx="27">
                  <c:v>16.87</c:v>
                </c:pt>
                <c:pt idx="28">
                  <c:v>15.97</c:v>
                </c:pt>
                <c:pt idx="29">
                  <c:v>16.72</c:v>
                </c:pt>
                <c:pt idx="30">
                  <c:v>18.940000000000001</c:v>
                </c:pt>
                <c:pt idx="31">
                  <c:v>19.45</c:v>
                </c:pt>
                <c:pt idx="32">
                  <c:v>20.43</c:v>
                </c:pt>
                <c:pt idx="33">
                  <c:v>23.63</c:v>
                </c:pt>
                <c:pt idx="34">
                  <c:v>26.4</c:v>
                </c:pt>
                <c:pt idx="35">
                  <c:v>22.91</c:v>
                </c:pt>
                <c:pt idx="36">
                  <c:v>22.89</c:v>
                </c:pt>
                <c:pt idx="37">
                  <c:v>20.34</c:v>
                </c:pt>
                <c:pt idx="38">
                  <c:v>22.93</c:v>
                </c:pt>
                <c:pt idx="39">
                  <c:v>28.72</c:v>
                </c:pt>
                <c:pt idx="40">
                  <c:v>28.69</c:v>
                </c:pt>
                <c:pt idx="41">
                  <c:v>29.49</c:v>
                </c:pt>
                <c:pt idx="42">
                  <c:v>36.54</c:v>
                </c:pt>
                <c:pt idx="43">
                  <c:v>44.29</c:v>
                </c:pt>
                <c:pt idx="44">
                  <c:v>44.65</c:v>
                </c:pt>
                <c:pt idx="45">
                  <c:v>50.52</c:v>
                </c:pt>
                <c:pt idx="46">
                  <c:v>51.75</c:v>
                </c:pt>
                <c:pt idx="47">
                  <c:v>53.29</c:v>
                </c:pt>
                <c:pt idx="48">
                  <c:v>54.95</c:v>
                </c:pt>
                <c:pt idx="49">
                  <c:v>56.45</c:v>
                </c:pt>
                <c:pt idx="50">
                  <c:v>48.41</c:v>
                </c:pt>
                <c:pt idx="51">
                  <c:v>43.23</c:v>
                </c:pt>
                <c:pt idx="52">
                  <c:v>44</c:v>
                </c:pt>
                <c:pt idx="53">
                  <c:v>45.12</c:v>
                </c:pt>
                <c:pt idx="54">
                  <c:v>48.26</c:v>
                </c:pt>
                <c:pt idx="55">
                  <c:v>44.89</c:v>
                </c:pt>
                <c:pt idx="56">
                  <c:v>43.52</c:v>
                </c:pt>
                <c:pt idx="57">
                  <c:v>39.65</c:v>
                </c:pt>
                <c:pt idx="58">
                  <c:v>33.950000000000003</c:v>
                </c:pt>
                <c:pt idx="59">
                  <c:v>33.729999999999997</c:v>
                </c:pt>
                <c:pt idx="60">
                  <c:v>33.14</c:v>
                </c:pt>
                <c:pt idx="61">
                  <c:v>33.17</c:v>
                </c:pt>
                <c:pt idx="62">
                  <c:v>34.68</c:v>
                </c:pt>
                <c:pt idx="63">
                  <c:v>30.2</c:v>
                </c:pt>
                <c:pt idx="64">
                  <c:v>28.68</c:v>
                </c:pt>
                <c:pt idx="65">
                  <c:v>30.39</c:v>
                </c:pt>
                <c:pt idx="66">
                  <c:v>28.65</c:v>
                </c:pt>
                <c:pt idx="67">
                  <c:v>29.57</c:v>
                </c:pt>
                <c:pt idx="68">
                  <c:v>34.76</c:v>
                </c:pt>
                <c:pt idx="69">
                  <c:v>35.43</c:v>
                </c:pt>
                <c:pt idx="70">
                  <c:v>32.78</c:v>
                </c:pt>
                <c:pt idx="71">
                  <c:v>31.31</c:v>
                </c:pt>
                <c:pt idx="72">
                  <c:v>29.3</c:v>
                </c:pt>
                <c:pt idx="73">
                  <c:v>29.13</c:v>
                </c:pt>
                <c:pt idx="74">
                  <c:v>27.36</c:v>
                </c:pt>
                <c:pt idx="75">
                  <c:v>29.06</c:v>
                </c:pt>
                <c:pt idx="76">
                  <c:v>34.58</c:v>
                </c:pt>
                <c:pt idx="77">
                  <c:v>32.53</c:v>
                </c:pt>
                <c:pt idx="78">
                  <c:v>32.880000000000003</c:v>
                </c:pt>
                <c:pt idx="79">
                  <c:v>31.24</c:v>
                </c:pt>
                <c:pt idx="80">
                  <c:v>28.68</c:v>
                </c:pt>
                <c:pt idx="81">
                  <c:v>28.04</c:v>
                </c:pt>
                <c:pt idx="82">
                  <c:v>27.91</c:v>
                </c:pt>
                <c:pt idx="83">
                  <c:v>28.39</c:v>
                </c:pt>
                <c:pt idx="84">
                  <c:v>29.75</c:v>
                </c:pt>
                <c:pt idx="85">
                  <c:v>29.16</c:v>
                </c:pt>
                <c:pt idx="86">
                  <c:v>29.87</c:v>
                </c:pt>
                <c:pt idx="87">
                  <c:v>28.39</c:v>
                </c:pt>
                <c:pt idx="88">
                  <c:v>26.13</c:v>
                </c:pt>
                <c:pt idx="89">
                  <c:v>23.11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台指VIX!$E$5</c:f>
              <c:strCache>
                <c:ptCount val="1"/>
                <c:pt idx="0">
                  <c:v>最低價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台指VIX!$B$6:$B$95</c:f>
              <c:numCache>
                <c:formatCode>m/d/yyyy</c:formatCode>
                <c:ptCount val="90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43860</c:v>
                </c:pt>
                <c:pt idx="14">
                  <c:v>43861</c:v>
                </c:pt>
                <c:pt idx="15">
                  <c:v>43864</c:v>
                </c:pt>
                <c:pt idx="16">
                  <c:v>43865</c:v>
                </c:pt>
                <c:pt idx="17">
                  <c:v>43866</c:v>
                </c:pt>
                <c:pt idx="18">
                  <c:v>43867</c:v>
                </c:pt>
                <c:pt idx="19">
                  <c:v>43868</c:v>
                </c:pt>
                <c:pt idx="20">
                  <c:v>43871</c:v>
                </c:pt>
                <c:pt idx="21">
                  <c:v>43872</c:v>
                </c:pt>
                <c:pt idx="22">
                  <c:v>43873</c:v>
                </c:pt>
                <c:pt idx="23">
                  <c:v>43874</c:v>
                </c:pt>
                <c:pt idx="24">
                  <c:v>43875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43892</c:v>
                </c:pt>
                <c:pt idx="35">
                  <c:v>43893</c:v>
                </c:pt>
                <c:pt idx="36">
                  <c:v>43894</c:v>
                </c:pt>
                <c:pt idx="37">
                  <c:v>43895</c:v>
                </c:pt>
                <c:pt idx="38">
                  <c:v>43896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43906</c:v>
                </c:pt>
                <c:pt idx="45">
                  <c:v>43907</c:v>
                </c:pt>
                <c:pt idx="46">
                  <c:v>43908</c:v>
                </c:pt>
                <c:pt idx="47">
                  <c:v>43909</c:v>
                </c:pt>
                <c:pt idx="48">
                  <c:v>43910</c:v>
                </c:pt>
                <c:pt idx="49">
                  <c:v>43913</c:v>
                </c:pt>
                <c:pt idx="50">
                  <c:v>43914</c:v>
                </c:pt>
                <c:pt idx="51">
                  <c:v>43915</c:v>
                </c:pt>
                <c:pt idx="52">
                  <c:v>43916</c:v>
                </c:pt>
                <c:pt idx="53">
                  <c:v>43917</c:v>
                </c:pt>
                <c:pt idx="54">
                  <c:v>43920</c:v>
                </c:pt>
                <c:pt idx="55">
                  <c:v>43921</c:v>
                </c:pt>
                <c:pt idx="56">
                  <c:v>43922</c:v>
                </c:pt>
                <c:pt idx="57">
                  <c:v>43927</c:v>
                </c:pt>
                <c:pt idx="58">
                  <c:v>43928</c:v>
                </c:pt>
                <c:pt idx="59">
                  <c:v>43929</c:v>
                </c:pt>
                <c:pt idx="60">
                  <c:v>43930</c:v>
                </c:pt>
                <c:pt idx="61">
                  <c:v>43931</c:v>
                </c:pt>
                <c:pt idx="62">
                  <c:v>43934</c:v>
                </c:pt>
                <c:pt idx="63">
                  <c:v>43935</c:v>
                </c:pt>
                <c:pt idx="64">
                  <c:v>43936</c:v>
                </c:pt>
                <c:pt idx="65">
                  <c:v>43937</c:v>
                </c:pt>
                <c:pt idx="66">
                  <c:v>43938</c:v>
                </c:pt>
                <c:pt idx="67">
                  <c:v>43941</c:v>
                </c:pt>
                <c:pt idx="68">
                  <c:v>43942</c:v>
                </c:pt>
                <c:pt idx="69">
                  <c:v>43943</c:v>
                </c:pt>
                <c:pt idx="70">
                  <c:v>43944</c:v>
                </c:pt>
                <c:pt idx="71">
                  <c:v>43945</c:v>
                </c:pt>
                <c:pt idx="72">
                  <c:v>43948</c:v>
                </c:pt>
                <c:pt idx="73">
                  <c:v>43949</c:v>
                </c:pt>
                <c:pt idx="74">
                  <c:v>43950</c:v>
                </c:pt>
                <c:pt idx="75">
                  <c:v>43951</c:v>
                </c:pt>
                <c:pt idx="76">
                  <c:v>43955</c:v>
                </c:pt>
                <c:pt idx="77">
                  <c:v>43956</c:v>
                </c:pt>
                <c:pt idx="78">
                  <c:v>43957</c:v>
                </c:pt>
                <c:pt idx="79">
                  <c:v>43958</c:v>
                </c:pt>
                <c:pt idx="80">
                  <c:v>43959</c:v>
                </c:pt>
                <c:pt idx="81">
                  <c:v>43962</c:v>
                </c:pt>
                <c:pt idx="82">
                  <c:v>43963</c:v>
                </c:pt>
                <c:pt idx="83">
                  <c:v>43964</c:v>
                </c:pt>
                <c:pt idx="84">
                  <c:v>43965</c:v>
                </c:pt>
                <c:pt idx="85">
                  <c:v>43966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</c:numCache>
            </c:numRef>
          </c:cat>
          <c:val>
            <c:numRef>
              <c:f>台指VIX!$E$6:$E$95</c:f>
              <c:numCache>
                <c:formatCode>General</c:formatCode>
                <c:ptCount val="90"/>
                <c:pt idx="0">
                  <c:v>14.1</c:v>
                </c:pt>
                <c:pt idx="1">
                  <c:v>14.1</c:v>
                </c:pt>
                <c:pt idx="2">
                  <c:v>14.83</c:v>
                </c:pt>
                <c:pt idx="3">
                  <c:v>14.24</c:v>
                </c:pt>
                <c:pt idx="4">
                  <c:v>14.2</c:v>
                </c:pt>
                <c:pt idx="5">
                  <c:v>13.02</c:v>
                </c:pt>
                <c:pt idx="6">
                  <c:v>12.98</c:v>
                </c:pt>
                <c:pt idx="7">
                  <c:v>11.26</c:v>
                </c:pt>
                <c:pt idx="8">
                  <c:v>11.27</c:v>
                </c:pt>
                <c:pt idx="9">
                  <c:v>11.83</c:v>
                </c:pt>
                <c:pt idx="10">
                  <c:v>11.94</c:v>
                </c:pt>
                <c:pt idx="11">
                  <c:v>11.68</c:v>
                </c:pt>
                <c:pt idx="12">
                  <c:v>12.38</c:v>
                </c:pt>
                <c:pt idx="13">
                  <c:v>16.02</c:v>
                </c:pt>
                <c:pt idx="14">
                  <c:v>17.489999999999998</c:v>
                </c:pt>
                <c:pt idx="15">
                  <c:v>19.809999999999999</c:v>
                </c:pt>
                <c:pt idx="16">
                  <c:v>17.989999999999998</c:v>
                </c:pt>
                <c:pt idx="17">
                  <c:v>18.12</c:v>
                </c:pt>
                <c:pt idx="18">
                  <c:v>17.47</c:v>
                </c:pt>
                <c:pt idx="19">
                  <c:v>18.3</c:v>
                </c:pt>
                <c:pt idx="20">
                  <c:v>19.12</c:v>
                </c:pt>
                <c:pt idx="21">
                  <c:v>17.23</c:v>
                </c:pt>
                <c:pt idx="22">
                  <c:v>16.27</c:v>
                </c:pt>
                <c:pt idx="23">
                  <c:v>16.059999999999999</c:v>
                </c:pt>
                <c:pt idx="24">
                  <c:v>15.38</c:v>
                </c:pt>
                <c:pt idx="25">
                  <c:v>16</c:v>
                </c:pt>
                <c:pt idx="26">
                  <c:v>16.27</c:v>
                </c:pt>
                <c:pt idx="27">
                  <c:v>15.61</c:v>
                </c:pt>
                <c:pt idx="28">
                  <c:v>15.09</c:v>
                </c:pt>
                <c:pt idx="29">
                  <c:v>15.53</c:v>
                </c:pt>
                <c:pt idx="30">
                  <c:v>17.95</c:v>
                </c:pt>
                <c:pt idx="31">
                  <c:v>18.07</c:v>
                </c:pt>
                <c:pt idx="32">
                  <c:v>19.29</c:v>
                </c:pt>
                <c:pt idx="33">
                  <c:v>20.41</c:v>
                </c:pt>
                <c:pt idx="34">
                  <c:v>24.24</c:v>
                </c:pt>
                <c:pt idx="35">
                  <c:v>21.46</c:v>
                </c:pt>
                <c:pt idx="36">
                  <c:v>22.07</c:v>
                </c:pt>
                <c:pt idx="37">
                  <c:v>19.13</c:v>
                </c:pt>
                <c:pt idx="38">
                  <c:v>20.23</c:v>
                </c:pt>
                <c:pt idx="39">
                  <c:v>25.22</c:v>
                </c:pt>
                <c:pt idx="40">
                  <c:v>26.59</c:v>
                </c:pt>
                <c:pt idx="41">
                  <c:v>26.29</c:v>
                </c:pt>
                <c:pt idx="42">
                  <c:v>30.03</c:v>
                </c:pt>
                <c:pt idx="43">
                  <c:v>37.24</c:v>
                </c:pt>
                <c:pt idx="44">
                  <c:v>42.67</c:v>
                </c:pt>
                <c:pt idx="45">
                  <c:v>47.11</c:v>
                </c:pt>
                <c:pt idx="46">
                  <c:v>47.85</c:v>
                </c:pt>
                <c:pt idx="47">
                  <c:v>49.55</c:v>
                </c:pt>
                <c:pt idx="48">
                  <c:v>50.59</c:v>
                </c:pt>
                <c:pt idx="49">
                  <c:v>52.45</c:v>
                </c:pt>
                <c:pt idx="50">
                  <c:v>43.04</c:v>
                </c:pt>
                <c:pt idx="51">
                  <c:v>41.08</c:v>
                </c:pt>
                <c:pt idx="52">
                  <c:v>42.31</c:v>
                </c:pt>
                <c:pt idx="53">
                  <c:v>41.85</c:v>
                </c:pt>
                <c:pt idx="54">
                  <c:v>44.37</c:v>
                </c:pt>
                <c:pt idx="55">
                  <c:v>42.81</c:v>
                </c:pt>
                <c:pt idx="56">
                  <c:v>41.54</c:v>
                </c:pt>
                <c:pt idx="57">
                  <c:v>35.53</c:v>
                </c:pt>
                <c:pt idx="58">
                  <c:v>33.159999999999997</c:v>
                </c:pt>
                <c:pt idx="59">
                  <c:v>32.97</c:v>
                </c:pt>
                <c:pt idx="60">
                  <c:v>31.19</c:v>
                </c:pt>
                <c:pt idx="61">
                  <c:v>30.9</c:v>
                </c:pt>
                <c:pt idx="62">
                  <c:v>32.54</c:v>
                </c:pt>
                <c:pt idx="63">
                  <c:v>28.67</c:v>
                </c:pt>
                <c:pt idx="64">
                  <c:v>26.84</c:v>
                </c:pt>
                <c:pt idx="65">
                  <c:v>28.03</c:v>
                </c:pt>
                <c:pt idx="66">
                  <c:v>25.98</c:v>
                </c:pt>
                <c:pt idx="67">
                  <c:v>28.36</c:v>
                </c:pt>
                <c:pt idx="68">
                  <c:v>29.3</c:v>
                </c:pt>
                <c:pt idx="69">
                  <c:v>33.08</c:v>
                </c:pt>
                <c:pt idx="70">
                  <c:v>30.68</c:v>
                </c:pt>
                <c:pt idx="71">
                  <c:v>29.86</c:v>
                </c:pt>
                <c:pt idx="72">
                  <c:v>27.91</c:v>
                </c:pt>
                <c:pt idx="73">
                  <c:v>27.42</c:v>
                </c:pt>
                <c:pt idx="74">
                  <c:v>26.44</c:v>
                </c:pt>
                <c:pt idx="75">
                  <c:v>27.04</c:v>
                </c:pt>
                <c:pt idx="76">
                  <c:v>32.17</c:v>
                </c:pt>
                <c:pt idx="77">
                  <c:v>31.29</c:v>
                </c:pt>
                <c:pt idx="78">
                  <c:v>31.05</c:v>
                </c:pt>
                <c:pt idx="79">
                  <c:v>28.94</c:v>
                </c:pt>
                <c:pt idx="80">
                  <c:v>27.54</c:v>
                </c:pt>
                <c:pt idx="81">
                  <c:v>27</c:v>
                </c:pt>
                <c:pt idx="82">
                  <c:v>26.73</c:v>
                </c:pt>
                <c:pt idx="83">
                  <c:v>27</c:v>
                </c:pt>
                <c:pt idx="84">
                  <c:v>27.35</c:v>
                </c:pt>
                <c:pt idx="85">
                  <c:v>27.35</c:v>
                </c:pt>
                <c:pt idx="86">
                  <c:v>28.73</c:v>
                </c:pt>
                <c:pt idx="87">
                  <c:v>26.26</c:v>
                </c:pt>
                <c:pt idx="88">
                  <c:v>24.69</c:v>
                </c:pt>
                <c:pt idx="89">
                  <c:v>22.27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台指VIX!$F$5</c:f>
              <c:strCache>
                <c:ptCount val="1"/>
                <c:pt idx="0">
                  <c:v>收盤價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38"/>
              <c:layout>
                <c:manualLayout>
                  <c:x val="-1.5065914860379797E-2"/>
                  <c:y val="-1.71884625007298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-3.7664787150949492E-3"/>
                  <c:y val="2.94659357155368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台指VIX!$B$6:$B$95</c:f>
              <c:numCache>
                <c:formatCode>m/d/yyyy</c:formatCode>
                <c:ptCount val="90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43860</c:v>
                </c:pt>
                <c:pt idx="14">
                  <c:v>43861</c:v>
                </c:pt>
                <c:pt idx="15">
                  <c:v>43864</c:v>
                </c:pt>
                <c:pt idx="16">
                  <c:v>43865</c:v>
                </c:pt>
                <c:pt idx="17">
                  <c:v>43866</c:v>
                </c:pt>
                <c:pt idx="18">
                  <c:v>43867</c:v>
                </c:pt>
                <c:pt idx="19">
                  <c:v>43868</c:v>
                </c:pt>
                <c:pt idx="20">
                  <c:v>43871</c:v>
                </c:pt>
                <c:pt idx="21">
                  <c:v>43872</c:v>
                </c:pt>
                <c:pt idx="22">
                  <c:v>43873</c:v>
                </c:pt>
                <c:pt idx="23">
                  <c:v>43874</c:v>
                </c:pt>
                <c:pt idx="24">
                  <c:v>43875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43892</c:v>
                </c:pt>
                <c:pt idx="35">
                  <c:v>43893</c:v>
                </c:pt>
                <c:pt idx="36">
                  <c:v>43894</c:v>
                </c:pt>
                <c:pt idx="37">
                  <c:v>43895</c:v>
                </c:pt>
                <c:pt idx="38">
                  <c:v>43896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43906</c:v>
                </c:pt>
                <c:pt idx="45">
                  <c:v>43907</c:v>
                </c:pt>
                <c:pt idx="46">
                  <c:v>43908</c:v>
                </c:pt>
                <c:pt idx="47">
                  <c:v>43909</c:v>
                </c:pt>
                <c:pt idx="48">
                  <c:v>43910</c:v>
                </c:pt>
                <c:pt idx="49">
                  <c:v>43913</c:v>
                </c:pt>
                <c:pt idx="50">
                  <c:v>43914</c:v>
                </c:pt>
                <c:pt idx="51">
                  <c:v>43915</c:v>
                </c:pt>
                <c:pt idx="52">
                  <c:v>43916</c:v>
                </c:pt>
                <c:pt idx="53">
                  <c:v>43917</c:v>
                </c:pt>
                <c:pt idx="54">
                  <c:v>43920</c:v>
                </c:pt>
                <c:pt idx="55">
                  <c:v>43921</c:v>
                </c:pt>
                <c:pt idx="56">
                  <c:v>43922</c:v>
                </c:pt>
                <c:pt idx="57">
                  <c:v>43927</c:v>
                </c:pt>
                <c:pt idx="58">
                  <c:v>43928</c:v>
                </c:pt>
                <c:pt idx="59">
                  <c:v>43929</c:v>
                </c:pt>
                <c:pt idx="60">
                  <c:v>43930</c:v>
                </c:pt>
                <c:pt idx="61">
                  <c:v>43931</c:v>
                </c:pt>
                <c:pt idx="62">
                  <c:v>43934</c:v>
                </c:pt>
                <c:pt idx="63">
                  <c:v>43935</c:v>
                </c:pt>
                <c:pt idx="64">
                  <c:v>43936</c:v>
                </c:pt>
                <c:pt idx="65">
                  <c:v>43937</c:v>
                </c:pt>
                <c:pt idx="66">
                  <c:v>43938</c:v>
                </c:pt>
                <c:pt idx="67">
                  <c:v>43941</c:v>
                </c:pt>
                <c:pt idx="68">
                  <c:v>43942</c:v>
                </c:pt>
                <c:pt idx="69">
                  <c:v>43943</c:v>
                </c:pt>
                <c:pt idx="70">
                  <c:v>43944</c:v>
                </c:pt>
                <c:pt idx="71">
                  <c:v>43945</c:v>
                </c:pt>
                <c:pt idx="72">
                  <c:v>43948</c:v>
                </c:pt>
                <c:pt idx="73">
                  <c:v>43949</c:v>
                </c:pt>
                <c:pt idx="74">
                  <c:v>43950</c:v>
                </c:pt>
                <c:pt idx="75">
                  <c:v>43951</c:v>
                </c:pt>
                <c:pt idx="76">
                  <c:v>43955</c:v>
                </c:pt>
                <c:pt idx="77">
                  <c:v>43956</c:v>
                </c:pt>
                <c:pt idx="78">
                  <c:v>43957</c:v>
                </c:pt>
                <c:pt idx="79">
                  <c:v>43958</c:v>
                </c:pt>
                <c:pt idx="80">
                  <c:v>43959</c:v>
                </c:pt>
                <c:pt idx="81">
                  <c:v>43962</c:v>
                </c:pt>
                <c:pt idx="82">
                  <c:v>43963</c:v>
                </c:pt>
                <c:pt idx="83">
                  <c:v>43964</c:v>
                </c:pt>
                <c:pt idx="84">
                  <c:v>43965</c:v>
                </c:pt>
                <c:pt idx="85">
                  <c:v>43966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</c:numCache>
            </c:numRef>
          </c:cat>
          <c:val>
            <c:numRef>
              <c:f>台指VIX!$F$6:$F$95</c:f>
              <c:numCache>
                <c:formatCode>General</c:formatCode>
                <c:ptCount val="90"/>
                <c:pt idx="0">
                  <c:v>14.32</c:v>
                </c:pt>
                <c:pt idx="1">
                  <c:v>14.81</c:v>
                </c:pt>
                <c:pt idx="2">
                  <c:v>15.04</c:v>
                </c:pt>
                <c:pt idx="3">
                  <c:v>14.34</c:v>
                </c:pt>
                <c:pt idx="4">
                  <c:v>15.24</c:v>
                </c:pt>
                <c:pt idx="5">
                  <c:v>13.02</c:v>
                </c:pt>
                <c:pt idx="6">
                  <c:v>12.98</c:v>
                </c:pt>
                <c:pt idx="7">
                  <c:v>11.26</c:v>
                </c:pt>
                <c:pt idx="8">
                  <c:v>11.64</c:v>
                </c:pt>
                <c:pt idx="9">
                  <c:v>11.86</c:v>
                </c:pt>
                <c:pt idx="10">
                  <c:v>11.94</c:v>
                </c:pt>
                <c:pt idx="11">
                  <c:v>11.92</c:v>
                </c:pt>
                <c:pt idx="12">
                  <c:v>12.57</c:v>
                </c:pt>
                <c:pt idx="13">
                  <c:v>19.809999999999999</c:v>
                </c:pt>
                <c:pt idx="14">
                  <c:v>19.149999999999999</c:v>
                </c:pt>
                <c:pt idx="15">
                  <c:v>20.260000000000002</c:v>
                </c:pt>
                <c:pt idx="16">
                  <c:v>18.760000000000002</c:v>
                </c:pt>
                <c:pt idx="17">
                  <c:v>18.649999999999999</c:v>
                </c:pt>
                <c:pt idx="18">
                  <c:v>17.96</c:v>
                </c:pt>
                <c:pt idx="19">
                  <c:v>18.78</c:v>
                </c:pt>
                <c:pt idx="20">
                  <c:v>19.329999999999998</c:v>
                </c:pt>
                <c:pt idx="21">
                  <c:v>17.53</c:v>
                </c:pt>
                <c:pt idx="22">
                  <c:v>16.43</c:v>
                </c:pt>
                <c:pt idx="23">
                  <c:v>16.52</c:v>
                </c:pt>
                <c:pt idx="24">
                  <c:v>15.75</c:v>
                </c:pt>
                <c:pt idx="25">
                  <c:v>16.2</c:v>
                </c:pt>
                <c:pt idx="26">
                  <c:v>17.14</c:v>
                </c:pt>
                <c:pt idx="27">
                  <c:v>15.85</c:v>
                </c:pt>
                <c:pt idx="28">
                  <c:v>15.7</c:v>
                </c:pt>
                <c:pt idx="29">
                  <c:v>16.72</c:v>
                </c:pt>
                <c:pt idx="30">
                  <c:v>18.43</c:v>
                </c:pt>
                <c:pt idx="31">
                  <c:v>18.52</c:v>
                </c:pt>
                <c:pt idx="32">
                  <c:v>20</c:v>
                </c:pt>
                <c:pt idx="33">
                  <c:v>22.92</c:v>
                </c:pt>
                <c:pt idx="34">
                  <c:v>25.25</c:v>
                </c:pt>
                <c:pt idx="35">
                  <c:v>22.91</c:v>
                </c:pt>
                <c:pt idx="36">
                  <c:v>22.55</c:v>
                </c:pt>
                <c:pt idx="37">
                  <c:v>19.37</c:v>
                </c:pt>
                <c:pt idx="38">
                  <c:v>22.93</c:v>
                </c:pt>
                <c:pt idx="39">
                  <c:v>28.36</c:v>
                </c:pt>
                <c:pt idx="40">
                  <c:v>26.75</c:v>
                </c:pt>
                <c:pt idx="41">
                  <c:v>29.49</c:v>
                </c:pt>
                <c:pt idx="42">
                  <c:v>33.270000000000003</c:v>
                </c:pt>
                <c:pt idx="43">
                  <c:v>39.76</c:v>
                </c:pt>
                <c:pt idx="44">
                  <c:v>44.65</c:v>
                </c:pt>
                <c:pt idx="45">
                  <c:v>48.54</c:v>
                </c:pt>
                <c:pt idx="46">
                  <c:v>47.85</c:v>
                </c:pt>
                <c:pt idx="47">
                  <c:v>51.14</c:v>
                </c:pt>
                <c:pt idx="48">
                  <c:v>51.66</c:v>
                </c:pt>
                <c:pt idx="49">
                  <c:v>53.84</c:v>
                </c:pt>
                <c:pt idx="50">
                  <c:v>44.78</c:v>
                </c:pt>
                <c:pt idx="51">
                  <c:v>42.43</c:v>
                </c:pt>
                <c:pt idx="52">
                  <c:v>44</c:v>
                </c:pt>
                <c:pt idx="53">
                  <c:v>45.12</c:v>
                </c:pt>
                <c:pt idx="54">
                  <c:v>44.59</c:v>
                </c:pt>
                <c:pt idx="55">
                  <c:v>44.65</c:v>
                </c:pt>
                <c:pt idx="56">
                  <c:v>42.41</c:v>
                </c:pt>
                <c:pt idx="57">
                  <c:v>35.81</c:v>
                </c:pt>
                <c:pt idx="58">
                  <c:v>33.25</c:v>
                </c:pt>
                <c:pt idx="59">
                  <c:v>33.729999999999997</c:v>
                </c:pt>
                <c:pt idx="60">
                  <c:v>32.909999999999997</c:v>
                </c:pt>
                <c:pt idx="61">
                  <c:v>30.9</c:v>
                </c:pt>
                <c:pt idx="62">
                  <c:v>32.54</c:v>
                </c:pt>
                <c:pt idx="63">
                  <c:v>29.38</c:v>
                </c:pt>
                <c:pt idx="64">
                  <c:v>26.84</c:v>
                </c:pt>
                <c:pt idx="65">
                  <c:v>28.22</c:v>
                </c:pt>
                <c:pt idx="66">
                  <c:v>27.04</c:v>
                </c:pt>
                <c:pt idx="67">
                  <c:v>28.65</c:v>
                </c:pt>
                <c:pt idx="68">
                  <c:v>33.96</c:v>
                </c:pt>
                <c:pt idx="69">
                  <c:v>33.46</c:v>
                </c:pt>
                <c:pt idx="70">
                  <c:v>31.45</c:v>
                </c:pt>
                <c:pt idx="71">
                  <c:v>30.97</c:v>
                </c:pt>
                <c:pt idx="72">
                  <c:v>28.77</c:v>
                </c:pt>
                <c:pt idx="73">
                  <c:v>27.9</c:v>
                </c:pt>
                <c:pt idx="74">
                  <c:v>27.32</c:v>
                </c:pt>
                <c:pt idx="75">
                  <c:v>29.06</c:v>
                </c:pt>
                <c:pt idx="76">
                  <c:v>34.29</c:v>
                </c:pt>
                <c:pt idx="77">
                  <c:v>32.53</c:v>
                </c:pt>
                <c:pt idx="78">
                  <c:v>31.74</c:v>
                </c:pt>
                <c:pt idx="79">
                  <c:v>29.62</c:v>
                </c:pt>
                <c:pt idx="80">
                  <c:v>28.33</c:v>
                </c:pt>
                <c:pt idx="81">
                  <c:v>27.88</c:v>
                </c:pt>
                <c:pt idx="82">
                  <c:v>27.4</c:v>
                </c:pt>
                <c:pt idx="83">
                  <c:v>27</c:v>
                </c:pt>
                <c:pt idx="84">
                  <c:v>29.75</c:v>
                </c:pt>
                <c:pt idx="85">
                  <c:v>28.9</c:v>
                </c:pt>
                <c:pt idx="86">
                  <c:v>29.65</c:v>
                </c:pt>
                <c:pt idx="87">
                  <c:v>26.95</c:v>
                </c:pt>
                <c:pt idx="88">
                  <c:v>24.99</c:v>
                </c:pt>
                <c:pt idx="89">
                  <c:v>22.44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00B05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9984456"/>
        <c:axId val="619978184"/>
      </c:stockChart>
      <c:dateAx>
        <c:axId val="619984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9978184"/>
        <c:crosses val="autoZero"/>
        <c:auto val="1"/>
        <c:lblOffset val="100"/>
        <c:baseTimeUnit val="days"/>
      </c:dateAx>
      <c:valAx>
        <c:axId val="61997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9984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圖表3"/>
  <sheetViews>
    <sheetView zoomScale="124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66675</xdr:colOff>
          <xdr:row>0</xdr:row>
          <xdr:rowOff>66675</xdr:rowOff>
        </xdr:from>
        <xdr:to>
          <xdr:col>26</xdr:col>
          <xdr:colOff>161925</xdr:colOff>
          <xdr:row>4</xdr:row>
          <xdr:rowOff>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18</xdr:row>
      <xdr:rowOff>171449</xdr:rowOff>
    </xdr:from>
    <xdr:to>
      <xdr:col>15</xdr:col>
      <xdr:colOff>152400</xdr:colOff>
      <xdr:row>57</xdr:row>
      <xdr:rowOff>114300</xdr:rowOff>
    </xdr:to>
    <xdr:graphicFrame macro="">
      <xdr:nvGraphicFramePr>
        <xdr:cNvPr id="414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105852</xdr:colOff>
      <xdr:row>18</xdr:row>
      <xdr:rowOff>112502</xdr:rowOff>
    </xdr:from>
    <xdr:to>
      <xdr:col>32</xdr:col>
      <xdr:colOff>133350</xdr:colOff>
      <xdr:row>57</xdr:row>
      <xdr:rowOff>95250</xdr:rowOff>
    </xdr:to>
    <xdr:graphicFrame macro="">
      <xdr:nvGraphicFramePr>
        <xdr:cNvPr id="4143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556" cy="6052984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eMidst" ddeTopic="FU">
    <ddeItems>
      <ddeItem name="101070`1003" advise="1">
        <values>
          <value t="str">
            <val>#Get Error</val>
          </value>
        </values>
      </ddeItem>
      <ddeItem name="101070`1004" advise="1">
        <values>
          <value t="str">
            <val>#Get Error</val>
          </value>
        </values>
      </ddeItem>
      <ddeItem name="101070`205" advise="1">
        <values>
          <value t="str">
            <val>#Get Error</val>
          </value>
        </values>
      </ddeItem>
      <ddeItem name="101070`644" advise="1">
        <values>
          <value t="str">
            <val>#Get Error</val>
          </value>
        </values>
      </ddeItem>
      <ddeItem name="101070`743" advise="1">
        <values>
          <value t="str">
            <val>#Get Error</val>
          </value>
        </values>
      </ddeItem>
      <ddeItem name="101070`744" advise="1">
        <values>
          <value t="str">
            <val>#Get Error</val>
          </value>
        </values>
      </ddeItem>
      <ddeItem name="101080`1003" advise="1">
        <values>
          <value>
            <val>25</val>
          </value>
        </values>
      </ddeItem>
      <ddeItem name="101080`1004" advise="1">
        <values>
          <value>
            <val>0.20688500000000001</val>
          </value>
        </values>
      </ddeItem>
      <ddeItem name="101080`205" advise="1">
        <values>
          <value>
            <val>12109</val>
          </value>
        </values>
      </ddeItem>
      <ddeItem name="101080`644" advise="1">
        <values>
          <value t="str">
            <val>台指期080</val>
          </value>
        </values>
      </ddeItem>
      <ddeItem name="101080`743" advise="1">
        <values>
          <value>
            <val>12108</val>
          </value>
        </values>
      </ddeItem>
      <ddeItem name="101080`744" advise="1">
        <values>
          <value>
            <val>12109</val>
          </value>
        </values>
      </ddeItem>
      <ddeItem name="101090`1003" advise="1">
        <values>
          <value>
            <val>29</val>
          </value>
        </values>
      </ddeItem>
      <ddeItem name="101090`1004" advise="1">
        <values>
          <value>
            <val>0.24090300000000001</val>
          </value>
        </values>
      </ddeItem>
      <ddeItem name="101090`205" advise="1">
        <values>
          <value>
            <val>12067</val>
          </value>
        </values>
      </ddeItem>
      <ddeItem name="101090`644" advise="1">
        <values>
          <value t="str">
            <val>台指期090</val>
          </value>
        </values>
      </ddeItem>
      <ddeItem name="101090`743" advise="1">
        <values>
          <value>
            <val>12064</val>
          </value>
        </values>
      </ddeItem>
      <ddeItem name="101090`744" advise="1">
        <values>
          <value>
            <val>12067</val>
          </value>
        </values>
      </ddeItem>
      <ddeItem name="101120`1003" advise="1">
        <values>
          <value>
            <val>18</val>
          </value>
        </values>
      </ddeItem>
      <ddeItem name="101120`1004" advise="1">
        <values>
          <value>
            <val>0.150728</val>
          </value>
        </values>
      </ddeItem>
      <ddeItem name="101120`205" advise="1">
        <values>
          <value>
            <val>11960</val>
          </value>
        </values>
      </ddeItem>
      <ddeItem name="101120`644" advise="1">
        <values>
          <value t="str">
            <val>台指期120</val>
          </value>
        </values>
      </ddeItem>
      <ddeItem name="101120`743" advise="1">
        <values>
          <value>
            <val>11963</val>
          </value>
        </values>
      </ddeItem>
      <ddeItem name="101120`744" advise="1">
        <values>
          <value>
            <val>11967</val>
          </value>
        </values>
      </ddeItem>
      <ddeItem name="101999`1003" advise="1">
        <values>
          <value>
            <val>0</val>
          </value>
        </values>
      </ddeItem>
      <ddeItem name="101999`1004" advise="1">
        <values>
          <value>
            <val>0</val>
          </value>
        </values>
      </ddeItem>
      <ddeItem name="101999`205">
        <values>
          <value t="str">
            <val>-</val>
          </value>
        </values>
      </ddeItem>
      <ddeItem name="101999`644" advise="1">
        <values>
          <value t="str">
            <val>台指期</val>
          </value>
        </values>
      </ddeItem>
      <ddeItem name="101999`743" advise="1">
        <values>
          <value t="str">
            <val>-</val>
          </value>
        </values>
      </ddeItem>
      <ddeItem name="101999`744" advise="1">
        <values>
          <value t="str">
            <val>-</val>
          </value>
        </values>
      </ddeItem>
      <ddeItem name="102070`1003" advise="1">
        <values>
          <value t="str">
            <val>#Get Error</val>
          </value>
        </values>
      </ddeItem>
      <ddeItem name="102070`1004" advise="1">
        <values>
          <value t="str">
            <val>#Get Error</val>
          </value>
        </values>
      </ddeItem>
      <ddeItem name="102070`205" advise="1">
        <values>
          <value t="str">
            <val>#Get Error</val>
          </value>
        </values>
      </ddeItem>
      <ddeItem name="102070`644" advise="1">
        <values>
          <value t="str">
            <val>#Get Error</val>
          </value>
        </values>
      </ddeItem>
      <ddeItem name="102070`743" advise="1">
        <values>
          <value t="str">
            <val>#Get Error</val>
          </value>
        </values>
      </ddeItem>
      <ddeItem name="102070`744" advise="1">
        <values>
          <value t="str">
            <val>#Get Error</val>
          </value>
        </values>
      </ddeItem>
      <ddeItem name="102080`1003" advise="1">
        <values>
          <value>
            <val>0.5</val>
          </value>
        </values>
      </ddeItem>
      <ddeItem name="102080`1004" advise="1">
        <values>
          <value>
            <val>8.9413000000000006E-2</val>
          </value>
        </values>
      </ddeItem>
      <ddeItem name="102080`205" advise="1">
        <values>
          <value>
            <val>559.70000000000005</val>
          </value>
        </values>
      </ddeItem>
      <ddeItem name="102080`644" advise="1">
        <values>
          <value t="str">
            <val>電子期080</val>
          </value>
        </values>
      </ddeItem>
      <ddeItem name="102080`743" advise="1">
        <values>
          <value>
            <val>559.70000000000005</val>
          </value>
        </values>
      </ddeItem>
      <ddeItem name="102080`744" advise="1">
        <values>
          <value>
            <val>559.79999999999995</val>
          </value>
        </values>
      </ddeItem>
      <ddeItem name="102090`1003" advise="1">
        <values>
          <value>
            <val>-16</val>
          </value>
        </values>
      </ddeItem>
      <ddeItem name="102090`1004" advise="1">
        <values>
          <value>
            <val>-2.793539</val>
          </value>
        </values>
      </ddeItem>
      <ddeItem name="102090`205" advise="1">
        <values>
          <value>
            <val>556.75</val>
          </value>
        </values>
      </ddeItem>
      <ddeItem name="102090`644" advise="1">
        <values>
          <value t="str">
            <val>電子期090</val>
          </value>
        </values>
      </ddeItem>
      <ddeItem name="102090`743" advise="1">
        <values>
          <value>
            <val>556.25</val>
          </value>
        </values>
      </ddeItem>
      <ddeItem name="102090`744" advise="1">
        <values>
          <value>
            <val>558.54999999999995</val>
          </value>
        </values>
      </ddeItem>
      <ddeItem name="102120`1003" advise="1">
        <values>
          <value>
            <val>0</val>
          </value>
        </values>
      </ddeItem>
      <ddeItem name="102120`1004" advise="1">
        <values>
          <value>
            <val>0</val>
          </value>
        </values>
      </ddeItem>
      <ddeItem name="102120`205" advise="1">
        <values>
          <value t="str">
            <val>-</val>
          </value>
        </values>
      </ddeItem>
      <ddeItem name="102120`644" advise="1">
        <values>
          <value t="str">
            <val>電子期120</val>
          </value>
        </values>
      </ddeItem>
      <ddeItem name="102120`743" advise="1">
        <values>
          <value>
            <val>546.70000000000005</val>
          </value>
        </values>
      </ddeItem>
      <ddeItem name="102120`744" advise="1">
        <values>
          <value>
            <val>563.79999999999995</val>
          </value>
        </values>
      </ddeItem>
      <ddeItem name="102999`1003" advise="1">
        <values>
          <value>
            <val>0</val>
          </value>
        </values>
      </ddeItem>
      <ddeItem name="102999`1004" advise="1">
        <values>
          <value>
            <val>0</val>
          </value>
        </values>
      </ddeItem>
      <ddeItem name="102999`205">
        <values>
          <value t="str">
            <val>-</val>
          </value>
        </values>
      </ddeItem>
      <ddeItem name="102999`644" advise="1">
        <values>
          <value t="str">
            <val>電子期</val>
          </value>
        </values>
      </ddeItem>
      <ddeItem name="102999`743" advise="1">
        <values>
          <value t="str">
            <val>-</val>
          </value>
        </values>
      </ddeItem>
      <ddeItem name="102999`744" advise="1">
        <values>
          <value t="str">
            <val>-</val>
          </value>
        </values>
      </ddeItem>
      <ddeItem name="103070`1003" advise="1">
        <values>
          <value>
            <val>3</val>
          </value>
        </values>
      </ddeItem>
      <ddeItem name="103070`1004" advise="1">
        <values>
          <value>
            <val>0.234484</val>
          </value>
        </values>
      </ddeItem>
      <ddeItem name="103070`205" advise="1">
        <values>
          <value>
            <val>1282.4000000000001</val>
          </value>
        </values>
      </ddeItem>
      <ddeItem name="103070`644" advise="1">
        <values>
          <value t="str">
            <val>金融期070</val>
          </value>
        </values>
      </ddeItem>
      <ddeItem name="103070`743" advise="1">
        <values>
          <value>
            <val>1282.4000000000001</val>
          </value>
        </values>
      </ddeItem>
      <ddeItem name="103070`744" advise="1">
        <values>
          <value>
            <val>1282.5999999999999</val>
          </value>
        </values>
      </ddeItem>
      <ddeItem name="103080`1003" advise="1">
        <values>
          <value>
            <val>6.2</val>
          </value>
        </values>
      </ddeItem>
      <ddeItem name="103080`1004" advise="1">
        <values>
          <value>
            <val>0.49504900000000002</val>
          </value>
        </values>
      </ddeItem>
      <ddeItem name="103080`205" advise="1">
        <values>
          <value>
            <val>1258.5999999999999</val>
          </value>
        </values>
      </ddeItem>
      <ddeItem name="103080`644" advise="1">
        <values>
          <value t="str">
            <val>金融期080</val>
          </value>
        </values>
      </ddeItem>
      <ddeItem name="103080`743" advise="1">
        <values>
          <value>
            <val>1258.4000000000001</val>
          </value>
        </values>
      </ddeItem>
      <ddeItem name="103080`744" advise="1">
        <values>
          <value>
            <val>1258.8</val>
          </value>
        </values>
      </ddeItem>
      <ddeItem name="103090`1003" advise="1">
        <values>
          <value>
            <val>0</val>
          </value>
        </values>
      </ddeItem>
      <ddeItem name="103090`1004" advise="1">
        <values>
          <value>
            <val>0</val>
          </value>
        </values>
      </ddeItem>
      <ddeItem name="103090`205" advise="1">
        <values>
          <value t="str">
            <val>-</val>
          </value>
        </values>
      </ddeItem>
      <ddeItem name="103090`644" advise="1">
        <values>
          <value t="str">
            <val>金融期090</val>
          </value>
        </values>
      </ddeItem>
      <ddeItem name="103090`743" advise="1">
        <values>
          <value>
            <val>1251.2</val>
          </value>
        </values>
      </ddeItem>
      <ddeItem name="103090`744" advise="1">
        <values>
          <value>
            <val>1255</val>
          </value>
        </values>
      </ddeItem>
      <ddeItem name="103120`1003" advise="1">
        <values>
          <value>
            <val>0</val>
          </value>
        </values>
      </ddeItem>
      <ddeItem name="103120`1004" advise="1">
        <values>
          <value>
            <val>0</val>
          </value>
        </values>
      </ddeItem>
      <ddeItem name="103120`205" advise="1">
        <values>
          <value t="str">
            <val>-</val>
          </value>
        </values>
      </ddeItem>
      <ddeItem name="103120`644" advise="1">
        <values>
          <value t="str">
            <val>金融期120</val>
          </value>
        </values>
      </ddeItem>
      <ddeItem name="103120`743" advise="1">
        <values>
          <value>
            <val>1228.4000000000001</val>
          </value>
        </values>
      </ddeItem>
      <ddeItem name="103120`744" advise="1">
        <values>
          <value>
            <val>1263.8</val>
          </value>
        </values>
      </ddeItem>
      <ddeItem name="103999`1003" advise="1">
        <values>
          <value>
            <val>3.57</val>
          </value>
        </values>
      </ddeItem>
      <ddeItem name="103999`1004" advise="1">
        <values>
          <value>
            <val>0.27896900000000002</val>
          </value>
        </values>
      </ddeItem>
      <ddeItem name="103999`205">
        <values>
          <value>
            <val>1283.28</val>
          </value>
        </values>
      </ddeItem>
      <ddeItem name="103999`644" advise="1">
        <values>
          <value t="str">
            <val>金融期</val>
          </value>
        </values>
      </ddeItem>
      <ddeItem name="103999`743" advise="1">
        <values>
          <value t="str">
            <val>-</val>
          </value>
        </values>
      </ddeItem>
      <ddeItem name="103999`744" advise="1">
        <values>
          <value t="str">
            <val>-</val>
          </value>
        </values>
      </ddeItem>
      <ddeItem name="1042070`1003" advise="1">
        <values>
          <value t="str">
            <val>#Get Error</val>
          </value>
        </values>
      </ddeItem>
      <ddeItem name="1042070`205" advise="1">
        <values>
          <value t="str">
            <val>#Get Error</val>
          </value>
        </values>
      </ddeItem>
      <ddeItem name="1042070`644" advise="1">
        <values>
          <value t="str">
            <val>#Get Error</val>
          </value>
        </values>
      </ddeItem>
      <ddeItem name="1042070`743" advise="1">
        <values>
          <value t="str">
            <val>#Get Error</val>
          </value>
        </values>
      </ddeItem>
      <ddeItem name="1042070`744" advise="1">
        <values>
          <value t="str">
            <val>#Get Error</val>
          </value>
        </values>
      </ddeItem>
      <ddeItem name="1044070`1003" advise="1">
        <values>
          <value>
            <val>27</val>
          </value>
        </values>
      </ddeItem>
      <ddeItem name="1044070`1004" advise="1">
        <values>
          <value>
            <val>0.221112</val>
          </value>
        </values>
      </ddeItem>
      <ddeItem name="1044070`205" advise="1">
        <values>
          <value>
            <val>12238</val>
          </value>
        </values>
      </ddeItem>
      <ddeItem name="1044070`212" advise="1">
        <values>
          <value>
            <val>12197</val>
          </value>
        </values>
      </ddeItem>
      <ddeItem name="1044070`253" advise="1">
        <values>
          <value>
            <val>1</val>
          </value>
        </values>
      </ddeItem>
      <ddeItem name="1044070`644" advise="1">
        <values>
          <value t="str">
            <val>Mi台指4W070</val>
          </value>
        </values>
      </ddeItem>
      <ddeItem name="1044070`743" advise="1">
        <values>
          <value>
            <val>12236</val>
          </value>
        </values>
      </ddeItem>
      <ddeItem name="1044070`744" advise="1">
        <values>
          <value>
            <val>12240</val>
          </value>
        </values>
      </ddeItem>
      <ddeItem name="104889`1004" advise="1">
        <values>
          <value>
            <val>0.20688500000000001</val>
          </value>
        </values>
      </ddeItem>
      <ddeItem name="125031`205" advise="1">
        <values>
          <value>
            <val>11850</val>
          </value>
        </values>
      </ddeItem>
      <ddeItem name="125031`644" advise="1">
        <values>
          <value t="str">
            <val>台指期一般031</val>
          </value>
        </values>
      </ddeItem>
      <ddeItem name="125060`205" advise="1">
        <values>
          <value t="str">
            <val>#Get Error</val>
          </value>
        </values>
      </ddeItem>
      <ddeItem name="125061`205" advise="1">
        <values>
          <value>
            <val>11769</val>
          </value>
        </values>
      </ddeItem>
      <ddeItem name="125061`644" advise="1">
        <values>
          <value t="str">
            <val>台指期一般061</val>
          </value>
        </values>
      </ddeItem>
      <ddeItem name="125070`205" advise="1">
        <values>
          <value>
            <val>12220</val>
          </value>
        </values>
      </ddeItem>
      <ddeItem name="125070`644" advise="1">
        <values>
          <value t="str">
            <val>台指期一般070</val>
          </value>
        </values>
      </ddeItem>
      <ddeItem name="125080`205" advise="1">
        <values>
          <value>
            <val>12081</val>
          </value>
        </values>
      </ddeItem>
      <ddeItem name="125080`644" advise="1">
        <values>
          <value t="str">
            <val>台指期一般080</val>
          </value>
        </values>
      </ddeItem>
      <ddeItem name="125090`205" advise="1">
        <values>
          <value>
            <val>12038</val>
          </value>
        </values>
      </ddeItem>
      <ddeItem name="125090`644" advise="1">
        <values>
          <value t="str">
            <val>台指期一般090</val>
          </value>
        </values>
      </ddeItem>
      <ddeItem name="125120`205" advise="1">
        <values>
          <value>
            <val>11942</val>
          </value>
        </values>
      </ddeItem>
      <ddeItem name="125120`644" advise="1">
        <values>
          <value t="str">
            <val>台指期一般120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eMidst" ddeTopic="SW">
    <ddeItems>
      <ddeItem name="0050`205" advise="1">
        <values>
          <value>
            <val>97.05</val>
          </value>
        </values>
      </ddeItem>
      <ddeItem name="0050`268" advise="1">
        <values>
          <value>
            <val>97.1</val>
          </value>
        </values>
      </ddeItem>
      <ddeItem name="00632R`268" advise="1">
        <values>
          <value>
            <val>8.91</val>
          </value>
        </values>
      </ddeItem>
      <ddeItem name="06757P`267" advise="1">
        <values>
          <value>
            <val>0.56000000000000005</val>
          </value>
        </values>
      </ddeItem>
      <ddeItem name="06757P`268" advise="1">
        <values>
          <value t="str">
            <val>-</val>
          </value>
        </values>
      </ddeItem>
      <ddeItem name="06773P`267" advise="1">
        <values>
          <value>
            <val>0.35</val>
          </value>
        </values>
      </ddeItem>
      <ddeItem name="06876P`267" advise="1">
        <values>
          <value>
            <val>0.59</val>
          </value>
        </values>
      </ddeItem>
      <ddeItem name="06876P`268" advise="1">
        <values>
          <value t="str">
            <val>-</val>
          </value>
        </values>
      </ddeItem>
      <ddeItem name="06942P`267" advise="1">
        <values>
          <value>
            <val>0.24</val>
          </value>
        </values>
      </ddeItem>
      <ddeItem name="06942P`268" advise="1">
        <values>
          <value t="str">
            <val>-</val>
          </value>
        </values>
      </ddeItem>
      <ddeItem name="StdDocumentName" ole="1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eMidst" ddeTopic="TO">
    <ddeItems>
      <ddeItem name="StdDocumentName" ole="1" advise="1"/>
      <ddeItem name="WTX2N0;10400C`205" advise="1">
        <values>
          <value t="str">
            <val>#Get Error</val>
          </value>
        </values>
      </ddeItem>
      <ddeItem name="WTX2N0;10400C`267" advise="1">
        <values>
          <value t="str">
            <val>#Get Error</val>
          </value>
        </values>
      </ddeItem>
      <ddeItem name="WTX2N0;10400C`268" advise="1">
        <values>
          <value t="str">
            <val>#Get Error</val>
          </value>
        </values>
      </ddeItem>
      <ddeItem name="WTX2N0;10400P`205" advise="1">
        <values>
          <value t="str">
            <val>#Get Error</val>
          </value>
        </values>
      </ddeItem>
      <ddeItem name="WTX2N0;10400P`267" advise="1">
        <values>
          <value t="str">
            <val>#Get Error</val>
          </value>
        </values>
      </ddeItem>
      <ddeItem name="WTX2N0;10400P`268" advise="1">
        <values>
          <value t="str">
            <val>#Get Error</val>
          </value>
        </values>
      </ddeItem>
      <ddeItem name="WTX2N0;10500C`205" advise="1">
        <values>
          <value t="str">
            <val>#Get Error</val>
          </value>
        </values>
      </ddeItem>
      <ddeItem name="WTX2N0;10500C`267" advise="1">
        <values>
          <value t="str">
            <val>#Get Error</val>
          </value>
        </values>
      </ddeItem>
      <ddeItem name="WTX2N0;10500C`268" advise="1">
        <values>
          <value t="str">
            <val>#Get Error</val>
          </value>
        </values>
      </ddeItem>
      <ddeItem name="WTX2N0;10500P`205" advise="1">
        <values>
          <value t="str">
            <val>#Get Error</val>
          </value>
        </values>
      </ddeItem>
      <ddeItem name="WTX2N0;10500P`267" advise="1">
        <values>
          <value t="str">
            <val>#Get Error</val>
          </value>
        </values>
      </ddeItem>
      <ddeItem name="WTX2N0;10500P`268" advise="1">
        <values>
          <value t="str">
            <val>#Get Error</val>
          </value>
        </values>
      </ddeItem>
      <ddeItem name="WTX2N0;10600C`205" advise="1">
        <values>
          <value t="str">
            <val>#Get Error</val>
          </value>
        </values>
      </ddeItem>
      <ddeItem name="WTX2N0;10600C`267" advise="1">
        <values>
          <value t="str">
            <val>#Get Error</val>
          </value>
        </values>
      </ddeItem>
      <ddeItem name="WTX2N0;10600C`268" advise="1">
        <values>
          <value t="str">
            <val>#Get Error</val>
          </value>
        </values>
      </ddeItem>
      <ddeItem name="WTX2N0;10600P`205" advise="1">
        <values>
          <value t="str">
            <val>#Get Error</val>
          </value>
        </values>
      </ddeItem>
      <ddeItem name="WTX2N0;10600P`267" advise="1">
        <values>
          <value t="str">
            <val>#Get Error</val>
          </value>
        </values>
      </ddeItem>
      <ddeItem name="WTX2N0;10600P`268" advise="1">
        <values>
          <value t="str">
            <val>#Get Error</val>
          </value>
        </values>
      </ddeItem>
      <ddeItem name="WTX2N0;10700C`205" advise="1">
        <values>
          <value t="str">
            <val>#Get Error</val>
          </value>
        </values>
      </ddeItem>
      <ddeItem name="WTX2N0;10700C`267" advise="1">
        <values>
          <value t="str">
            <val>#Get Error</val>
          </value>
        </values>
      </ddeItem>
      <ddeItem name="WTX2N0;10700C`268" advise="1">
        <values>
          <value t="str">
            <val>#Get Error</val>
          </value>
        </values>
      </ddeItem>
      <ddeItem name="WTX2N0;10700P`205" advise="1">
        <values>
          <value t="str">
            <val>#Get Error</val>
          </value>
        </values>
      </ddeItem>
      <ddeItem name="WTX2N0;10700P`267" advise="1">
        <values>
          <value t="str">
            <val>#Get Error</val>
          </value>
        </values>
      </ddeItem>
      <ddeItem name="WTX2N0;10700P`268" advise="1">
        <values>
          <value t="str">
            <val>#Get Error</val>
          </value>
        </values>
      </ddeItem>
      <ddeItem name="WTX2N0;10800C`205" advise="1">
        <values>
          <value t="str">
            <val>#Get Error</val>
          </value>
        </values>
      </ddeItem>
      <ddeItem name="WTX2N0;10800C`267" advise="1">
        <values>
          <value t="str">
            <val>#Get Error</val>
          </value>
        </values>
      </ddeItem>
      <ddeItem name="WTX2N0;10800C`268" advise="1">
        <values>
          <value t="str">
            <val>#Get Error</val>
          </value>
        </values>
      </ddeItem>
      <ddeItem name="WTX2N0;10800P`205" advise="1">
        <values>
          <value t="str">
            <val>#Get Error</val>
          </value>
        </values>
      </ddeItem>
      <ddeItem name="WTX2N0;10800P`267" advise="1">
        <values>
          <value t="str">
            <val>#Get Error</val>
          </value>
        </values>
      </ddeItem>
      <ddeItem name="WTX2N0;10800P`268" advise="1">
        <values>
          <value t="str">
            <val>#Get Error</val>
          </value>
        </values>
      </ddeItem>
      <ddeItem name="WTX2N0;10900C`205" advise="1">
        <values>
          <value t="str">
            <val>#Get Error</val>
          </value>
        </values>
      </ddeItem>
      <ddeItem name="WTX2N0;10900C`267" advise="1">
        <values>
          <value t="str">
            <val>#Get Error</val>
          </value>
        </values>
      </ddeItem>
      <ddeItem name="WTX2N0;10900C`268" advise="1">
        <values>
          <value t="str">
            <val>#Get Error</val>
          </value>
        </values>
      </ddeItem>
      <ddeItem name="WTX2N0;10900P`205" advise="1">
        <values>
          <value t="str">
            <val>#Get Error</val>
          </value>
        </values>
      </ddeItem>
      <ddeItem name="WTX2N0;10900P`267" advise="1">
        <values>
          <value t="str">
            <val>#Get Error</val>
          </value>
        </values>
      </ddeItem>
      <ddeItem name="WTX2N0;10900P`268" advise="1">
        <values>
          <value t="str">
            <val>#Get Error</val>
          </value>
        </values>
      </ddeItem>
      <ddeItem name="WTX2N0;11000C`205" advise="1">
        <values>
          <value t="str">
            <val>#Get Error</val>
          </value>
        </values>
      </ddeItem>
      <ddeItem name="WTX2N0;11000C`267" advise="1">
        <values>
          <value t="str">
            <val>#Get Error</val>
          </value>
        </values>
      </ddeItem>
      <ddeItem name="WTX2N0;11000C`268" advise="1">
        <values>
          <value t="str">
            <val>#Get Error</val>
          </value>
        </values>
      </ddeItem>
      <ddeItem name="WTX2N0;11000P`205" advise="1">
        <values>
          <value t="str">
            <val>#Get Error</val>
          </value>
        </values>
      </ddeItem>
      <ddeItem name="WTX2N0;11000P`267" advise="1">
        <values>
          <value t="str">
            <val>#Get Error</val>
          </value>
        </values>
      </ddeItem>
      <ddeItem name="WTX2N0;11000P`268" advise="1">
        <values>
          <value t="str">
            <val>#Get Error</val>
          </value>
        </values>
      </ddeItem>
      <ddeItem name="WTX2N0;11100C`205" advise="1">
        <values>
          <value t="str">
            <val>#Get Error</val>
          </value>
        </values>
      </ddeItem>
      <ddeItem name="WTX2N0;11100C`267" advise="1">
        <values>
          <value t="str">
            <val>#Get Error</val>
          </value>
        </values>
      </ddeItem>
      <ddeItem name="WTX2N0;11100C`268" advise="1">
        <values>
          <value t="str">
            <val>#Get Error</val>
          </value>
        </values>
      </ddeItem>
      <ddeItem name="WTX2N0;11100P`205" advise="1">
        <values>
          <value t="str">
            <val>#Get Error</val>
          </value>
        </values>
      </ddeItem>
      <ddeItem name="WTX2N0;11100P`267" advise="1">
        <values>
          <value t="str">
            <val>#Get Error</val>
          </value>
        </values>
      </ddeItem>
      <ddeItem name="WTX2N0;11100P`268" advise="1">
        <values>
          <value t="str">
            <val>#Get Error</val>
          </value>
        </values>
      </ddeItem>
      <ddeItem name="WTX2N0;11200C`205" advise="1">
        <values>
          <value t="str">
            <val>#Get Error</val>
          </value>
        </values>
      </ddeItem>
      <ddeItem name="WTX2N0;11200C`267" advise="1">
        <values>
          <value t="str">
            <val>#Get Error</val>
          </value>
        </values>
      </ddeItem>
      <ddeItem name="WTX2N0;11200C`268" advise="1">
        <values>
          <value t="str">
            <val>#Get Error</val>
          </value>
        </values>
      </ddeItem>
      <ddeItem name="WTX2N0;11200P`205" advise="1">
        <values>
          <value t="str">
            <val>#Get Error</val>
          </value>
        </values>
      </ddeItem>
      <ddeItem name="WTX2N0;11200P`267" advise="1">
        <values>
          <value t="str">
            <val>#Get Error</val>
          </value>
        </values>
      </ddeItem>
      <ddeItem name="WTX2N0;11200P`268" advise="1">
        <values>
          <value t="str">
            <val>#Get Error</val>
          </value>
        </values>
      </ddeItem>
      <ddeItem name="WTX2N0;11300C`205" advise="1">
        <values>
          <value t="str">
            <val>#Get Error</val>
          </value>
        </values>
      </ddeItem>
      <ddeItem name="WTX2N0;11300C`267" advise="1">
        <values>
          <value t="str">
            <val>#Get Error</val>
          </value>
        </values>
      </ddeItem>
      <ddeItem name="WTX2N0;11300C`268" advise="1">
        <values>
          <value t="str">
            <val>#Get Error</val>
          </value>
        </values>
      </ddeItem>
      <ddeItem name="WTX2N0;11300P`205" advise="1">
        <values>
          <value t="str">
            <val>#Get Error</val>
          </value>
        </values>
      </ddeItem>
      <ddeItem name="WTX2N0;11300P`267" advise="1">
        <values>
          <value t="str">
            <val>#Get Error</val>
          </value>
        </values>
      </ddeItem>
      <ddeItem name="WTX2N0;11300P`268" advise="1">
        <values>
          <value t="str">
            <val>#Get Error</val>
          </value>
        </values>
      </ddeItem>
      <ddeItem name="WTX2N0;11350C`205" advise="1">
        <values>
          <value t="str">
            <val>#Get Error</val>
          </value>
        </values>
      </ddeItem>
      <ddeItem name="WTX2N0;11350C`267" advise="1">
        <values>
          <value t="str">
            <val>#Get Error</val>
          </value>
        </values>
      </ddeItem>
      <ddeItem name="WTX2N0;11350C`268" advise="1">
        <values>
          <value t="str">
            <val>#Get Error</val>
          </value>
        </values>
      </ddeItem>
      <ddeItem name="WTX2N0;11350P`205" advise="1">
        <values>
          <value t="str">
            <val>#Get Error</val>
          </value>
        </values>
      </ddeItem>
      <ddeItem name="WTX2N0;11350P`267" advise="1">
        <values>
          <value t="str">
            <val>#Get Error</val>
          </value>
        </values>
      </ddeItem>
      <ddeItem name="WTX2N0;11350P`268" advise="1">
        <values>
          <value t="str">
            <val>#Get Error</val>
          </value>
        </values>
      </ddeItem>
      <ddeItem name="WTX2N0;11400C`205" advise="1">
        <values>
          <value t="str">
            <val>#Get Error</val>
          </value>
        </values>
      </ddeItem>
      <ddeItem name="WTX2N0;11400C`267" advise="1">
        <values>
          <value t="str">
            <val>#Get Error</val>
          </value>
        </values>
      </ddeItem>
      <ddeItem name="WTX2N0;11400C`268" advise="1">
        <values>
          <value t="str">
            <val>#Get Error</val>
          </value>
        </values>
      </ddeItem>
      <ddeItem name="WTX2N0;11400P`205" advise="1">
        <values>
          <value t="str">
            <val>#Get Error</val>
          </value>
        </values>
      </ddeItem>
      <ddeItem name="WTX2N0;11400P`267" advise="1">
        <values>
          <value t="str">
            <val>#Get Error</val>
          </value>
        </values>
      </ddeItem>
      <ddeItem name="WTX2N0;11400P`268" advise="1">
        <values>
          <value t="str">
            <val>#Get Error</val>
          </value>
        </values>
      </ddeItem>
      <ddeItem name="WTX2N0;11450C`205" advise="1">
        <values>
          <value t="str">
            <val>#Get Error</val>
          </value>
        </values>
      </ddeItem>
      <ddeItem name="WTX2N0;11450C`267" advise="1">
        <values>
          <value t="str">
            <val>#Get Error</val>
          </value>
        </values>
      </ddeItem>
      <ddeItem name="WTX2N0;11450C`268" advise="1">
        <values>
          <value t="str">
            <val>#Get Error</val>
          </value>
        </values>
      </ddeItem>
      <ddeItem name="WTX2N0;11450P`205" advise="1">
        <values>
          <value t="str">
            <val>#Get Error</val>
          </value>
        </values>
      </ddeItem>
      <ddeItem name="WTX2N0;11450P`267" advise="1">
        <values>
          <value t="str">
            <val>#Get Error</val>
          </value>
        </values>
      </ddeItem>
      <ddeItem name="WTX2N0;11450P`268" advise="1">
        <values>
          <value t="str">
            <val>#Get Error</val>
          </value>
        </values>
      </ddeItem>
      <ddeItem name="WTX2N0;11500C`205" advise="1">
        <values>
          <value t="str">
            <val>#Get Error</val>
          </value>
        </values>
      </ddeItem>
      <ddeItem name="WTX2N0;11500C`267" advise="1">
        <values>
          <value t="str">
            <val>#Get Error</val>
          </value>
        </values>
      </ddeItem>
      <ddeItem name="WTX2N0;11500C`268" advise="1">
        <values>
          <value t="str">
            <val>#Get Error</val>
          </value>
        </values>
      </ddeItem>
      <ddeItem name="WTX2N0;11500P`205" advise="1">
        <values>
          <value t="str">
            <val>#Get Error</val>
          </value>
        </values>
      </ddeItem>
      <ddeItem name="WTX2N0;11500P`267" advise="1">
        <values>
          <value t="str">
            <val>#Get Error</val>
          </value>
        </values>
      </ddeItem>
      <ddeItem name="WTX2N0;11500P`268" advise="1">
        <values>
          <value t="str">
            <val>#Get Error</val>
          </value>
        </values>
      </ddeItem>
      <ddeItem name="WTX2N0;11550C`205" advise="1">
        <values>
          <value t="str">
            <val>#Get Error</val>
          </value>
        </values>
      </ddeItem>
      <ddeItem name="WTX2N0;11550C`267" advise="1">
        <values>
          <value t="str">
            <val>#Get Error</val>
          </value>
        </values>
      </ddeItem>
      <ddeItem name="WTX2N0;11550C`268" advise="1">
        <values>
          <value t="str">
            <val>#Get Error</val>
          </value>
        </values>
      </ddeItem>
      <ddeItem name="WTX2N0;11550P`205" advise="1">
        <values>
          <value t="str">
            <val>#Get Error</val>
          </value>
        </values>
      </ddeItem>
      <ddeItem name="WTX2N0;11550P`267" advise="1">
        <values>
          <value t="str">
            <val>#Get Error</val>
          </value>
        </values>
      </ddeItem>
      <ddeItem name="WTX2N0;11550P`268" advise="1">
        <values>
          <value t="str">
            <val>#Get Error</val>
          </value>
        </values>
      </ddeItem>
      <ddeItem name="WTX2N0;11600C`205" advise="1">
        <values>
          <value t="str">
            <val>#Get Error</val>
          </value>
        </values>
      </ddeItem>
      <ddeItem name="WTX2N0;11600C`267" advise="1">
        <values>
          <value t="str">
            <val>#Get Error</val>
          </value>
        </values>
      </ddeItem>
      <ddeItem name="WTX2N0;11600C`268" advise="1">
        <values>
          <value t="str">
            <val>#Get Error</val>
          </value>
        </values>
      </ddeItem>
      <ddeItem name="WTX2N0;11600P`205" advise="1">
        <values>
          <value t="str">
            <val>#Get Error</val>
          </value>
        </values>
      </ddeItem>
      <ddeItem name="WTX2N0;11600P`267" advise="1">
        <values>
          <value t="str">
            <val>#Get Error</val>
          </value>
        </values>
      </ddeItem>
      <ddeItem name="WTX2N0;11600P`268" advise="1">
        <values>
          <value t="str">
            <val>#Get Error</val>
          </value>
        </values>
      </ddeItem>
      <ddeItem name="WTX2N0;11650C`205" advise="1">
        <values>
          <value t="str">
            <val>#Get Error</val>
          </value>
        </values>
      </ddeItem>
      <ddeItem name="WTX2N0;11650C`267" advise="1">
        <values>
          <value t="str">
            <val>#Get Error</val>
          </value>
        </values>
      </ddeItem>
      <ddeItem name="WTX2N0;11650C`268" advise="1">
        <values>
          <value t="str">
            <val>#Get Error</val>
          </value>
        </values>
      </ddeItem>
      <ddeItem name="WTX2N0;11650P`205" advise="1">
        <values>
          <value t="str">
            <val>#Get Error</val>
          </value>
        </values>
      </ddeItem>
      <ddeItem name="WTX2N0;11650P`267" advise="1">
        <values>
          <value t="str">
            <val>#Get Error</val>
          </value>
        </values>
      </ddeItem>
      <ddeItem name="WTX2N0;11650P`268" advise="1">
        <values>
          <value t="str">
            <val>#Get Error</val>
          </value>
        </values>
      </ddeItem>
      <ddeItem name="WTX2N0;11700C`205" advise="1">
        <values>
          <value t="str">
            <val>#Get Error</val>
          </value>
        </values>
      </ddeItem>
      <ddeItem name="WTX2N0;11700C`267" advise="1">
        <values>
          <value t="str">
            <val>#Get Error</val>
          </value>
        </values>
      </ddeItem>
      <ddeItem name="WTX2N0;11700C`268" advise="1">
        <values>
          <value t="str">
            <val>#Get Error</val>
          </value>
        </values>
      </ddeItem>
      <ddeItem name="WTX2N0;11700P`205" advise="1">
        <values>
          <value t="str">
            <val>#Get Error</val>
          </value>
        </values>
      </ddeItem>
      <ddeItem name="WTX2N0;11700P`267" advise="1">
        <values>
          <value t="str">
            <val>#Get Error</val>
          </value>
        </values>
      </ddeItem>
      <ddeItem name="WTX2N0;11700P`268" advise="1">
        <values>
          <value t="str">
            <val>#Get Error</val>
          </value>
        </values>
      </ddeItem>
      <ddeItem name="WTX2N0;11750C`205" advise="1">
        <values>
          <value t="str">
            <val>#Get Error</val>
          </value>
        </values>
      </ddeItem>
      <ddeItem name="WTX2N0;11750C`267" advise="1">
        <values>
          <value t="str">
            <val>#Get Error</val>
          </value>
        </values>
      </ddeItem>
      <ddeItem name="WTX2N0;11750C`268" advise="1">
        <values>
          <value t="str">
            <val>#Get Error</val>
          </value>
        </values>
      </ddeItem>
      <ddeItem name="WTX2N0;11750P`205" advise="1">
        <values>
          <value t="str">
            <val>#Get Error</val>
          </value>
        </values>
      </ddeItem>
      <ddeItem name="WTX2N0;11750P`267" advise="1">
        <values>
          <value t="str">
            <val>#Get Error</val>
          </value>
        </values>
      </ddeItem>
      <ddeItem name="WTX2N0;11750P`268" advise="1">
        <values>
          <value t="str">
            <val>#Get Error</val>
          </value>
        </values>
      </ddeItem>
      <ddeItem name="WTX2N0;11800C`205" advise="1">
        <values>
          <value t="str">
            <val>#Get Error</val>
          </value>
        </values>
      </ddeItem>
      <ddeItem name="WTX2N0;11800C`267" advise="1">
        <values>
          <value t="str">
            <val>#Get Error</val>
          </value>
        </values>
      </ddeItem>
      <ddeItem name="WTX2N0;11800C`268" advise="1">
        <values>
          <value t="str">
            <val>#Get Error</val>
          </value>
        </values>
      </ddeItem>
      <ddeItem name="WTX2N0;11800P`205" advise="1">
        <values>
          <value t="str">
            <val>#Get Error</val>
          </value>
        </values>
      </ddeItem>
      <ddeItem name="WTX2N0;11800P`267" advise="1">
        <values>
          <value t="str">
            <val>#Get Error</val>
          </value>
        </values>
      </ddeItem>
      <ddeItem name="WTX2N0;11800P`268" advise="1">
        <values>
          <value t="str">
            <val>#Get Error</val>
          </value>
        </values>
      </ddeItem>
      <ddeItem name="WTX2N0;11850C`205" advise="1">
        <values>
          <value t="str">
            <val>#Get Error</val>
          </value>
        </values>
      </ddeItem>
      <ddeItem name="WTX2N0;11850C`267" advise="1">
        <values>
          <value t="str">
            <val>#Get Error</val>
          </value>
        </values>
      </ddeItem>
      <ddeItem name="WTX2N0;11850C`268" advise="1">
        <values>
          <value t="str">
            <val>#Get Error</val>
          </value>
        </values>
      </ddeItem>
      <ddeItem name="WTX2N0;11850P`205" advise="1">
        <values>
          <value t="str">
            <val>#Get Error</val>
          </value>
        </values>
      </ddeItem>
      <ddeItem name="WTX2N0;11850P`267" advise="1">
        <values>
          <value t="str">
            <val>#Get Error</val>
          </value>
        </values>
      </ddeItem>
      <ddeItem name="WTX2N0;11850P`268" advise="1">
        <values>
          <value t="str">
            <val>#Get Error</val>
          </value>
        </values>
      </ddeItem>
      <ddeItem name="WTX2N0;11900C`205" advise="1">
        <values>
          <value t="str">
            <val>#Get Error</val>
          </value>
        </values>
      </ddeItem>
      <ddeItem name="WTX2N0;11900C`267" advise="1">
        <values>
          <value t="str">
            <val>#Get Error</val>
          </value>
        </values>
      </ddeItem>
      <ddeItem name="WTX2N0;11900C`268" advise="1">
        <values>
          <value t="str">
            <val>#Get Error</val>
          </value>
        </values>
      </ddeItem>
      <ddeItem name="WTX2N0;11900P`205" advise="1">
        <values>
          <value t="str">
            <val>#Get Error</val>
          </value>
        </values>
      </ddeItem>
      <ddeItem name="WTX2N0;11900P`267" advise="1">
        <values>
          <value t="str">
            <val>#Get Error</val>
          </value>
        </values>
      </ddeItem>
      <ddeItem name="WTX2N0;11900P`268" advise="1">
        <values>
          <value t="str">
            <val>#Get Error</val>
          </value>
        </values>
      </ddeItem>
      <ddeItem name="WTX2N0;11950C`205" advise="1">
        <values>
          <value t="str">
            <val>#Get Error</val>
          </value>
        </values>
      </ddeItem>
      <ddeItem name="WTX2N0;11950C`267" advise="1">
        <values>
          <value t="str">
            <val>#Get Error</val>
          </value>
        </values>
      </ddeItem>
      <ddeItem name="WTX2N0;11950C`268" advise="1">
        <values>
          <value t="str">
            <val>#Get Error</val>
          </value>
        </values>
      </ddeItem>
      <ddeItem name="WTX2N0;11950P`205" advise="1">
        <values>
          <value t="str">
            <val>#Get Error</val>
          </value>
        </values>
      </ddeItem>
      <ddeItem name="WTX2N0;11950P`267" advise="1">
        <values>
          <value t="str">
            <val>#Get Error</val>
          </value>
        </values>
      </ddeItem>
      <ddeItem name="WTX2N0;11950P`268" advise="1">
        <values>
          <value t="str">
            <val>#Get Error</val>
          </value>
        </values>
      </ddeItem>
      <ddeItem name="WTX2N0;12000C`205" advise="1">
        <values>
          <value t="str">
            <val>#Get Error</val>
          </value>
        </values>
      </ddeItem>
      <ddeItem name="WTX2N0;12000C`267" advise="1">
        <values>
          <value t="str">
            <val>#Get Error</val>
          </value>
        </values>
      </ddeItem>
      <ddeItem name="WTX2N0;12000C`268" advise="1">
        <values>
          <value t="str">
            <val>#Get Error</val>
          </value>
        </values>
      </ddeItem>
      <ddeItem name="WTX2N0;12000P`205" advise="1">
        <values>
          <value t="str">
            <val>#Get Error</val>
          </value>
        </values>
      </ddeItem>
      <ddeItem name="WTX2N0;12000P`267" advise="1">
        <values>
          <value t="str">
            <val>#Get Error</val>
          </value>
        </values>
      </ddeItem>
      <ddeItem name="WTX2N0;12000P`268" advise="1">
        <values>
          <value t="str">
            <val>#Get Error</val>
          </value>
        </values>
      </ddeItem>
      <ddeItem name="WTX2N0;12100C`205" advise="1">
        <values>
          <value t="str">
            <val>#Get Error</val>
          </value>
        </values>
      </ddeItem>
      <ddeItem name="WTX2N0;12100C`267" advise="1">
        <values>
          <value t="str">
            <val>#Get Error</val>
          </value>
        </values>
      </ddeItem>
      <ddeItem name="WTX2N0;12100C`268" advise="1">
        <values>
          <value t="str">
            <val>#Get Error</val>
          </value>
        </values>
      </ddeItem>
      <ddeItem name="WTX2N0;12100P`205" advise="1">
        <values>
          <value t="str">
            <val>#Get Error</val>
          </value>
        </values>
      </ddeItem>
      <ddeItem name="WTX2N0;12100P`267" advise="1">
        <values>
          <value t="str">
            <val>#Get Error</val>
          </value>
        </values>
      </ddeItem>
      <ddeItem name="WTX2N0;12100P`268" advise="1">
        <values>
          <value t="str">
            <val>#Get Error</val>
          </value>
        </values>
      </ddeItem>
      <ddeItem name="WTX2N0;12200C`205" advise="1">
        <values>
          <value t="str">
            <val>#Get Error</val>
          </value>
        </values>
      </ddeItem>
      <ddeItem name="WTX2N0;12200C`267" advise="1">
        <values>
          <value t="str">
            <val>#Get Error</val>
          </value>
        </values>
      </ddeItem>
      <ddeItem name="WTX2N0;12200C`268" advise="1">
        <values>
          <value t="str">
            <val>#Get Error</val>
          </value>
        </values>
      </ddeItem>
      <ddeItem name="WTX2N0;12200P`205" advise="1">
        <values>
          <value t="str">
            <val>#Get Error</val>
          </value>
        </values>
      </ddeItem>
      <ddeItem name="WTX2N0;12200P`267" advise="1">
        <values>
          <value t="str">
            <val>#Get Error</val>
          </value>
        </values>
      </ddeItem>
      <ddeItem name="WTX2N0;12200P`268" advise="1">
        <values>
          <value t="str">
            <val>#Get Error</val>
          </value>
        </values>
      </ddeItem>
      <ddeItem name="WTX2N0;12300C`205" advise="1">
        <values>
          <value t="str">
            <val>#Get Error</val>
          </value>
        </values>
      </ddeItem>
      <ddeItem name="WTX2N0;12300C`267" advise="1">
        <values>
          <value t="str">
            <val>#Get Error</val>
          </value>
        </values>
      </ddeItem>
      <ddeItem name="WTX2N0;12300C`268" advise="1">
        <values>
          <value t="str">
            <val>#Get Error</val>
          </value>
        </values>
      </ddeItem>
      <ddeItem name="WTX2N0;12300P`205" advise="1">
        <values>
          <value t="str">
            <val>#Get Error</val>
          </value>
        </values>
      </ddeItem>
      <ddeItem name="WTX2N0;12300P`267" advise="1">
        <values>
          <value t="str">
            <val>#Get Error</val>
          </value>
        </values>
      </ddeItem>
      <ddeItem name="WTX2N0;12300P`268" advise="1">
        <values>
          <value t="str">
            <val>#Get Error</val>
          </value>
        </values>
      </ddeItem>
      <ddeItem name="WTX4N0;10000C`205" advise="1">
        <values>
          <value t="str">
            <val>#Get Error</val>
          </value>
        </values>
      </ddeItem>
      <ddeItem name="WTX4N0;10000C`267" advise="1">
        <values>
          <value t="str">
            <val>#Get Error</val>
          </value>
        </values>
      </ddeItem>
      <ddeItem name="WTX4N0;10000C`268" advise="1">
        <values>
          <value t="str">
            <val>#Get Error</val>
          </value>
        </values>
      </ddeItem>
      <ddeItem name="WTX4N0;10000P`205" advise="1">
        <values>
          <value t="str">
            <val>#Get Error</val>
          </value>
        </values>
      </ddeItem>
      <ddeItem name="WTX4N0;10000P`267" advise="1">
        <values>
          <value t="str">
            <val>#Get Error</val>
          </value>
        </values>
      </ddeItem>
      <ddeItem name="WTX4N0;10000P`268" advise="1">
        <values>
          <value t="str">
            <val>#Get Error</val>
          </value>
        </values>
      </ddeItem>
      <ddeItem name="WTX4N0;10100C`205" advise="1">
        <values>
          <value t="str">
            <val>#Get Error</val>
          </value>
        </values>
      </ddeItem>
      <ddeItem name="WTX4N0;10100C`267" advise="1">
        <values>
          <value t="str">
            <val>#Get Error</val>
          </value>
        </values>
      </ddeItem>
      <ddeItem name="WTX4N0;10100C`268" advise="1">
        <values>
          <value t="str">
            <val>#Get Error</val>
          </value>
        </values>
      </ddeItem>
      <ddeItem name="WTX4N0;10100P`205" advise="1">
        <values>
          <value t="str">
            <val>#Get Error</val>
          </value>
        </values>
      </ddeItem>
      <ddeItem name="WTX4N0;10100P`267" advise="1">
        <values>
          <value t="str">
            <val>#Get Error</val>
          </value>
        </values>
      </ddeItem>
      <ddeItem name="WTX4N0;10100P`268" advise="1">
        <values>
          <value t="str">
            <val>#Get Error</val>
          </value>
        </values>
      </ddeItem>
      <ddeItem name="WTX4N0;10200C`205" advise="1">
        <values>
          <value t="str">
            <val>#Get Error</val>
          </value>
        </values>
      </ddeItem>
      <ddeItem name="WTX4N0;10200C`267" advise="1">
        <values>
          <value t="str">
            <val>#Get Error</val>
          </value>
        </values>
      </ddeItem>
      <ddeItem name="WTX4N0;10200C`268" advise="1">
        <values>
          <value t="str">
            <val>#Get Error</val>
          </value>
        </values>
      </ddeItem>
      <ddeItem name="WTX4N0;10200P`205" advise="1">
        <values>
          <value t="str">
            <val>#Get Error</val>
          </value>
        </values>
      </ddeItem>
      <ddeItem name="WTX4N0;10200P`267" advise="1">
        <values>
          <value t="str">
            <val>#Get Error</val>
          </value>
        </values>
      </ddeItem>
      <ddeItem name="WTX4N0;10200P`268" advise="1">
        <values>
          <value t="str">
            <val>#Get Error</val>
          </value>
        </values>
      </ddeItem>
      <ddeItem name="WTX4N0;10300C`205" advise="1">
        <values>
          <value t="str">
            <val>#Get Error</val>
          </value>
        </values>
      </ddeItem>
      <ddeItem name="WTX4N0;10300C`267" advise="1">
        <values>
          <value t="str">
            <val>#Get Error</val>
          </value>
        </values>
      </ddeItem>
      <ddeItem name="WTX4N0;10300C`268" advise="1">
        <values>
          <value t="str">
            <val>#Get Error</val>
          </value>
        </values>
      </ddeItem>
      <ddeItem name="WTX4N0;10300P`205" advise="1">
        <values>
          <value t="str">
            <val>#Get Error</val>
          </value>
        </values>
      </ddeItem>
      <ddeItem name="WTX4N0;10300P`267" advise="1">
        <values>
          <value t="str">
            <val>#Get Error</val>
          </value>
        </values>
      </ddeItem>
      <ddeItem name="WTX4N0;10300P`268" advise="1">
        <values>
          <value t="str">
            <val>#Get Error</val>
          </value>
        </values>
      </ddeItem>
      <ddeItem name="WTX4N0;10400C`205" advise="1">
        <values>
          <value t="str">
            <val>#Get Error</val>
          </value>
        </values>
      </ddeItem>
      <ddeItem name="WTX4N0;10400C`267" advise="1">
        <values>
          <value t="str">
            <val>#Get Error</val>
          </value>
        </values>
      </ddeItem>
      <ddeItem name="WTX4N0;10400C`268" advise="1">
        <values>
          <value t="str">
            <val>#Get Error</val>
          </value>
        </values>
      </ddeItem>
      <ddeItem name="WTX4N0;10400P`205" advise="1">
        <values>
          <value t="str">
            <val>#Get Error</val>
          </value>
        </values>
      </ddeItem>
      <ddeItem name="WTX4N0;10400P`267" advise="1">
        <values>
          <value t="str">
            <val>#Get Error</val>
          </value>
        </values>
      </ddeItem>
      <ddeItem name="WTX4N0;10400P`268" advise="1">
        <values>
          <value t="str">
            <val>#Get Error</val>
          </value>
        </values>
      </ddeItem>
      <ddeItem name="WTX4N0;10500C`205" advise="1">
        <values>
          <value t="str">
            <val>#Get Error</val>
          </value>
        </values>
      </ddeItem>
      <ddeItem name="WTX4N0;10500C`267" advise="1">
        <values>
          <value t="str">
            <val>#Get Error</val>
          </value>
        </values>
      </ddeItem>
      <ddeItem name="WTX4N0;10500C`268" advise="1">
        <values>
          <value t="str">
            <val>#Get Error</val>
          </value>
        </values>
      </ddeItem>
      <ddeItem name="WTX4N0;10500P`205" advise="1">
        <values>
          <value t="str">
            <val>#Get Error</val>
          </value>
        </values>
      </ddeItem>
      <ddeItem name="WTX4N0;10500P`267" advise="1">
        <values>
          <value t="str">
            <val>#Get Error</val>
          </value>
        </values>
      </ddeItem>
      <ddeItem name="WTX4N0;10500P`268" advise="1">
        <values>
          <value t="str">
            <val>#Get Error</val>
          </value>
        </values>
      </ddeItem>
      <ddeItem name="WTX4N0;10600C`205" advise="1">
        <values>
          <value t="str">
            <val>#Get Error</val>
          </value>
        </values>
      </ddeItem>
      <ddeItem name="WTX4N0;10600C`267" advise="1">
        <values>
          <value t="str">
            <val>#Get Error</val>
          </value>
        </values>
      </ddeItem>
      <ddeItem name="WTX4N0;10600C`268" advise="1">
        <values>
          <value t="str">
            <val>#Get Error</val>
          </value>
        </values>
      </ddeItem>
      <ddeItem name="WTX4N0;10600P`205" advise="1">
        <values>
          <value t="str">
            <val>#Get Error</val>
          </value>
        </values>
      </ddeItem>
      <ddeItem name="WTX4N0;10600P`267" advise="1">
        <values>
          <value t="str">
            <val>#Get Error</val>
          </value>
        </values>
      </ddeItem>
      <ddeItem name="WTX4N0;10600P`268" advise="1">
        <values>
          <value t="str">
            <val>#Get Error</val>
          </value>
        </values>
      </ddeItem>
      <ddeItem name="WTX4N0;10700C`205" advise="1">
        <values>
          <value t="str">
            <val>#Get Error</val>
          </value>
        </values>
      </ddeItem>
      <ddeItem name="WTX4N0;10700C`267" advise="1">
        <values>
          <value t="str">
            <val>#Get Error</val>
          </value>
        </values>
      </ddeItem>
      <ddeItem name="WTX4N0;10700C`268" advise="1">
        <values>
          <value t="str">
            <val>#Get Error</val>
          </value>
        </values>
      </ddeItem>
      <ddeItem name="WTX4N0;10700P`205" advise="1">
        <values>
          <value t="str">
            <val>#Get Error</val>
          </value>
        </values>
      </ddeItem>
      <ddeItem name="WTX4N0;10700P`267" advise="1">
        <values>
          <value t="str">
            <val>#Get Error</val>
          </value>
        </values>
      </ddeItem>
      <ddeItem name="WTX4N0;10700P`268" advise="1">
        <values>
          <value t="str">
            <val>#Get Error</val>
          </value>
        </values>
      </ddeItem>
      <ddeItem name="WTX4N0;10800C`205" advise="1">
        <values>
          <value t="str">
            <val>#Get Error</val>
          </value>
        </values>
      </ddeItem>
      <ddeItem name="WTX4N0;10800C`267" advise="1">
        <values>
          <value t="str">
            <val>#Get Error</val>
          </value>
        </values>
      </ddeItem>
      <ddeItem name="WTX4N0;10800C`268" advise="1">
        <values>
          <value t="str">
            <val>#Get Error</val>
          </value>
        </values>
      </ddeItem>
      <ddeItem name="WTX4N0;10800P`205" advise="1">
        <values>
          <value t="str">
            <val>#Get Error</val>
          </value>
        </values>
      </ddeItem>
      <ddeItem name="WTX4N0;10800P`267" advise="1">
        <values>
          <value t="str">
            <val>#Get Error</val>
          </value>
        </values>
      </ddeItem>
      <ddeItem name="WTX4N0;10800P`268" advise="1">
        <values>
          <value t="str">
            <val>#Get Error</val>
          </value>
        </values>
      </ddeItem>
      <ddeItem name="WTX4N0;10900C`205" advise="1">
        <values>
          <value t="str">
            <val>-</val>
          </value>
        </values>
      </ddeItem>
      <ddeItem name="WTX4N0;10900C`267" advise="1">
        <values>
          <value>
            <val>1200</val>
          </value>
        </values>
      </ddeItem>
      <ddeItem name="WTX4N0;10900C`268" advise="1">
        <values>
          <value>
            <val>1430</val>
          </value>
        </values>
      </ddeItem>
      <ddeItem name="WTX4N0;10900P`205" advise="1">
        <values>
          <value>
            <val>1.1000000000000001</val>
          </value>
        </values>
      </ddeItem>
      <ddeItem name="WTX4N0;10900P`267" advise="1">
        <values>
          <value>
            <val>0.2</val>
          </value>
        </values>
      </ddeItem>
      <ddeItem name="WTX4N0;10900P`268" advise="1">
        <values>
          <value>
            <val>1.2</val>
          </value>
        </values>
      </ddeItem>
      <ddeItem name="WTX4N0;11000C`205" advise="1">
        <values>
          <value t="str">
            <val>-</val>
          </value>
        </values>
      </ddeItem>
      <ddeItem name="WTX4N0;11000C`267" advise="1">
        <values>
          <value>
            <val>1100</val>
          </value>
        </values>
      </ddeItem>
      <ddeItem name="WTX4N0;11000C`268" advise="1">
        <values>
          <value>
            <val>1330</val>
          </value>
        </values>
      </ddeItem>
      <ddeItem name="WTX4N0;11000P`205" advise="1">
        <values>
          <value>
            <val>1.2</val>
          </value>
        </values>
      </ddeItem>
      <ddeItem name="WTX4N0;11000P`267" advise="1">
        <values>
          <value>
            <val>1</val>
          </value>
        </values>
      </ddeItem>
      <ddeItem name="WTX4N0;11000P`268" advise="1">
        <values>
          <value>
            <val>1.2</val>
          </value>
        </values>
      </ddeItem>
      <ddeItem name="WTX4N0;11100C`205" advise="1">
        <values>
          <value t="str">
            <val>-</val>
          </value>
        </values>
      </ddeItem>
      <ddeItem name="WTX4N0;11100C`267" advise="1">
        <values>
          <value>
            <val>1000</val>
          </value>
        </values>
      </ddeItem>
      <ddeItem name="WTX4N0;11100C`268" advise="1">
        <values>
          <value>
            <val>1230</val>
          </value>
        </values>
      </ddeItem>
      <ddeItem name="WTX4N0;11100P`205" advise="1">
        <values>
          <value>
            <val>1.6</val>
          </value>
        </values>
      </ddeItem>
      <ddeItem name="WTX4N0;11100P`267" advise="1">
        <values>
          <value>
            <val>1.4</val>
          </value>
        </values>
      </ddeItem>
      <ddeItem name="WTX4N0;11100P`268" advise="1">
        <values>
          <value>
            <val>1.6</val>
          </value>
        </values>
      </ddeItem>
      <ddeItem name="WTX4N0;11200C`205" advise="1">
        <values>
          <value t="str">
            <val>-</val>
          </value>
        </values>
      </ddeItem>
      <ddeItem name="WTX4N0;11200C`267" advise="1">
        <values>
          <value>
            <val>900</val>
          </value>
        </values>
      </ddeItem>
      <ddeItem name="WTX4N0;11200C`268" advise="1">
        <values>
          <value>
            <val>1130</val>
          </value>
        </values>
      </ddeItem>
      <ddeItem name="WTX4N0;11200P`205" advise="1">
        <values>
          <value>
            <val>2</val>
          </value>
        </values>
      </ddeItem>
      <ddeItem name="WTX4N0;11200P`267" advise="1">
        <values>
          <value>
            <val>1.6</val>
          </value>
        </values>
      </ddeItem>
      <ddeItem name="WTX4N0;11200P`268" advise="1">
        <values>
          <value>
            <val>2.1</val>
          </value>
        </values>
      </ddeItem>
      <ddeItem name="WTX4N0;11300C`205" advise="1">
        <values>
          <value t="str">
            <val>-</val>
          </value>
        </values>
      </ddeItem>
      <ddeItem name="WTX4N0;11300C`267" advise="1">
        <values>
          <value>
            <val>925</val>
          </value>
        </values>
      </ddeItem>
      <ddeItem name="WTX4N0;11300C`268" advise="1">
        <values>
          <value>
            <val>950</val>
          </value>
        </values>
      </ddeItem>
      <ddeItem name="WTX4N0;11300P`205" advise="1">
        <values>
          <value>
            <val>2.1</val>
          </value>
        </values>
      </ddeItem>
      <ddeItem name="WTX4N0;11300P`267" advise="1">
        <values>
          <value>
            <val>1.8</val>
          </value>
        </values>
      </ddeItem>
      <ddeItem name="WTX4N0;11300P`268" advise="1">
        <values>
          <value>
            <val>2.1</val>
          </value>
        </values>
      </ddeItem>
      <ddeItem name="WTX4N0;11400C`205" advise="1">
        <values>
          <value t="str">
            <val>-</val>
          </value>
        </values>
      </ddeItem>
      <ddeItem name="WTX4N0;11400C`267" advise="1">
        <values>
          <value>
            <val>830</val>
          </value>
        </values>
      </ddeItem>
      <ddeItem name="WTX4N0;11400C`268" advise="1">
        <values>
          <value>
            <val>855</val>
          </value>
        </values>
      </ddeItem>
      <ddeItem name="WTX4N0;11400P`205" advise="1">
        <values>
          <value>
            <val>3</val>
          </value>
        </values>
      </ddeItem>
      <ddeItem name="WTX4N0;11400P`267" advise="1">
        <values>
          <value>
            <val>2.9</val>
          </value>
        </values>
      </ddeItem>
      <ddeItem name="WTX4N0;11400P`268" advise="1">
        <values>
          <value>
            <val>3.1</val>
          </value>
        </values>
      </ddeItem>
      <ddeItem name="WTX4N0;11500C`205" advise="1">
        <values>
          <value t="str">
            <val>-</val>
          </value>
        </values>
      </ddeItem>
      <ddeItem name="WTX4N0;11500C`267" advise="1">
        <values>
          <value>
            <val>725</val>
          </value>
        </values>
      </ddeItem>
      <ddeItem name="WTX4N0;11500C`268" advise="1">
        <values>
          <value>
            <val>755</val>
          </value>
        </values>
      </ddeItem>
      <ddeItem name="WTX4N0;11500P`205" advise="1">
        <values>
          <value>
            <val>5.4</val>
          </value>
        </values>
      </ddeItem>
      <ddeItem name="WTX4N0;11500P`267" advise="1">
        <values>
          <value>
            <val>4.5</val>
          </value>
        </values>
      </ddeItem>
      <ddeItem name="WTX4N0;11500P`268" advise="1">
        <values>
          <value>
            <val>5.4</val>
          </value>
        </values>
      </ddeItem>
      <ddeItem name="WTX4N0;11600C`205" advise="1">
        <values>
          <value t="str">
            <val>-</val>
          </value>
        </values>
      </ddeItem>
      <ddeItem name="WTX4N0;11600C`267" advise="1">
        <values>
          <value>
            <val>640</val>
          </value>
        </values>
      </ddeItem>
      <ddeItem name="WTX4N0;11600C`268" advise="1">
        <values>
          <value>
            <val>655</val>
          </value>
        </values>
      </ddeItem>
      <ddeItem name="WTX4N0;11600P`205" advise="1">
        <values>
          <value>
            <val>7.4</val>
          </value>
        </values>
      </ddeItem>
      <ddeItem name="WTX4N0;11600P`267" advise="1">
        <values>
          <value>
            <val>7.2</val>
          </value>
        </values>
      </ddeItem>
      <ddeItem name="WTX4N0;11600P`268" advise="1">
        <values>
          <value>
            <val>8</val>
          </value>
        </values>
      </ddeItem>
      <ddeItem name="WTX4N0;11700C`205" advise="1">
        <values>
          <value t="str">
            <val>-</val>
          </value>
        </values>
      </ddeItem>
      <ddeItem name="WTX4N0;11700C`267" advise="1">
        <values>
          <value>
            <val>545</val>
          </value>
        </values>
      </ddeItem>
      <ddeItem name="WTX4N0;11700C`268" advise="1">
        <values>
          <value>
            <val>555</val>
          </value>
        </values>
      </ddeItem>
      <ddeItem name="WTX4N0;11700P`205" advise="1">
        <values>
          <value>
            <val>11</val>
          </value>
        </values>
      </ddeItem>
      <ddeItem name="WTX4N0;11700P`267" advise="1">
        <values>
          <value>
            <val>10.5</val>
          </value>
        </values>
      </ddeItem>
      <ddeItem name="WTX4N0;11700P`268" advise="1">
        <values>
          <value>
            <val>11.5</val>
          </value>
        </values>
      </ddeItem>
      <ddeItem name="WTX4N0;11750C`205" advise="1">
        <values>
          <value t="str">
            <val>#Get Error</val>
          </value>
        </values>
      </ddeItem>
      <ddeItem name="WTX4N0;11750C`267" advise="1">
        <values>
          <value t="str">
            <val>#Get Error</val>
          </value>
        </values>
      </ddeItem>
      <ddeItem name="WTX4N0;11750C`268" advise="1">
        <values>
          <value t="str">
            <val>#Get Error</val>
          </value>
        </values>
      </ddeItem>
      <ddeItem name="WTX4N0;11750P`205" advise="1">
        <values>
          <value t="str">
            <val>#Get Error</val>
          </value>
        </values>
      </ddeItem>
      <ddeItem name="WTX4N0;11750P`267" advise="1">
        <values>
          <value t="str">
            <val>#Get Error</val>
          </value>
        </values>
      </ddeItem>
      <ddeItem name="WTX4N0;11750P`268" advise="1">
        <values>
          <value t="str">
            <val>#Get Error</val>
          </value>
        </values>
      </ddeItem>
      <ddeItem name="WTX4N0;11800C`205" advise="1">
        <values>
          <value>
            <val>449</val>
          </value>
        </values>
      </ddeItem>
      <ddeItem name="WTX4N0;11800C`267" advise="1">
        <values>
          <value>
            <val>449</val>
          </value>
        </values>
      </ddeItem>
      <ddeItem name="WTX4N0;11800C`268" advise="1">
        <values>
          <value>
            <val>461</val>
          </value>
        </values>
      </ddeItem>
      <ddeItem name="WTX4N0;11800P`205" advise="1">
        <values>
          <value>
            <val>18</val>
          </value>
        </values>
      </ddeItem>
      <ddeItem name="WTX4N0;11800P`267" advise="1">
        <values>
          <value>
            <val>18</val>
          </value>
        </values>
      </ddeItem>
      <ddeItem name="WTX4N0;11800P`268" advise="1">
        <values>
          <value>
            <val>18.5</val>
          </value>
        </values>
      </ddeItem>
      <ddeItem name="WTX4N0;11850C`205" advise="1">
        <values>
          <value>
            <val>410</val>
          </value>
        </values>
      </ddeItem>
      <ddeItem name="WTX4N0;11850C`267" advise="1">
        <values>
          <value>
            <val>409</val>
          </value>
        </values>
      </ddeItem>
      <ddeItem name="WTX4N0;11850C`268" advise="1">
        <values>
          <value>
            <val>415</val>
          </value>
        </values>
      </ddeItem>
      <ddeItem name="WTX4N0;11850P`205" advise="1">
        <values>
          <value>
            <val>23.5</val>
          </value>
        </values>
      </ddeItem>
      <ddeItem name="WTX4N0;11850P`267" advise="1">
        <values>
          <value>
            <val>23</val>
          </value>
        </values>
      </ddeItem>
      <ddeItem name="WTX4N0;11850P`268" advise="1">
        <values>
          <value>
            <val>23.5</val>
          </value>
        </values>
      </ddeItem>
      <ddeItem name="WTX4N0;11900C`205" advise="1">
        <values>
          <value>
            <val>359</val>
          </value>
        </values>
      </ddeItem>
      <ddeItem name="WTX4N0;11900C`267" advise="1">
        <values>
          <value>
            <val>365</val>
          </value>
        </values>
      </ddeItem>
      <ddeItem name="WTX4N0;11900C`268" advise="1">
        <values>
          <value>
            <val>369</val>
          </value>
        </values>
      </ddeItem>
      <ddeItem name="WTX4N0;11900P`205" advise="1">
        <values>
          <value>
            <val>29.5</val>
          </value>
        </values>
      </ddeItem>
      <ddeItem name="WTX4N0;11900P`267" advise="1">
        <values>
          <value>
            <val>29</val>
          </value>
        </values>
      </ddeItem>
      <ddeItem name="WTX4N0;11900P`268" advise="1">
        <values>
          <value>
            <val>30</val>
          </value>
        </values>
      </ddeItem>
      <ddeItem name="WTX4N0;11950C`205" advise="1">
        <values>
          <value>
            <val>312</val>
          </value>
        </values>
      </ddeItem>
      <ddeItem name="WTX4N0;11950C`267" advise="1">
        <values>
          <value>
            <val>322</val>
          </value>
        </values>
      </ddeItem>
      <ddeItem name="WTX4N0;11950C`268" advise="1">
        <values>
          <value>
            <val>328</val>
          </value>
        </values>
      </ddeItem>
      <ddeItem name="WTX4N0;11950P`205" advise="1">
        <values>
          <value>
            <val>37</val>
          </value>
        </values>
      </ddeItem>
      <ddeItem name="WTX4N0;11950P`267" advise="1">
        <values>
          <value>
            <val>36.5</val>
          </value>
        </values>
      </ddeItem>
      <ddeItem name="WTX4N0;11950P`268" advise="1">
        <values>
          <value>
            <val>37.5</val>
          </value>
        </values>
      </ddeItem>
      <ddeItem name="WTX4N0;12000C`205" advise="1">
        <values>
          <value>
            <val>284</val>
          </value>
        </values>
      </ddeItem>
      <ddeItem name="WTX4N0;12000C`267" advise="1">
        <values>
          <value>
            <val>283</val>
          </value>
        </values>
      </ddeItem>
      <ddeItem name="WTX4N0;12000C`268" advise="1">
        <values>
          <value>
            <val>286</val>
          </value>
        </values>
      </ddeItem>
      <ddeItem name="WTX4N0;12000P`205" advise="1">
        <values>
          <value>
            <val>46.5</val>
          </value>
        </values>
      </ddeItem>
      <ddeItem name="WTX4N0;12000P`267" advise="1">
        <values>
          <value>
            <val>46</val>
          </value>
        </values>
      </ddeItem>
      <ddeItem name="WTX4N0;12000P`268" advise="1">
        <values>
          <value>
            <val>47</val>
          </value>
        </values>
      </ddeItem>
      <ddeItem name="WTX4N0;12050C`205" advise="1">
        <values>
          <value>
            <val>243</val>
          </value>
        </values>
      </ddeItem>
      <ddeItem name="WTX4N0;12050C`267" advise="1">
        <values>
          <value>
            <val>244</val>
          </value>
        </values>
      </ddeItem>
      <ddeItem name="WTX4N0;12050C`268" advise="1">
        <values>
          <value>
            <val>247</val>
          </value>
        </values>
      </ddeItem>
      <ddeItem name="WTX4N0;12050P`205" advise="1">
        <values>
          <value>
            <val>57</val>
          </value>
        </values>
      </ddeItem>
      <ddeItem name="WTX4N0;12050P`267" advise="1">
        <values>
          <value>
            <val>56</val>
          </value>
        </values>
      </ddeItem>
      <ddeItem name="WTX4N0;12050P`268" advise="1">
        <values>
          <value>
            <val>57</val>
          </value>
        </values>
      </ddeItem>
      <ddeItem name="WTX4N0;12100C`205" advise="1">
        <values>
          <value>
            <val>208</val>
          </value>
        </values>
      </ddeItem>
      <ddeItem name="WTX4N0;12100C`267" advise="1">
        <values>
          <value>
            <val>207</val>
          </value>
        </values>
      </ddeItem>
      <ddeItem name="WTX4N0;12100C`268" advise="1">
        <values>
          <value>
            <val>210</val>
          </value>
        </values>
      </ddeItem>
      <ddeItem name="WTX4N0;12100P`205" advise="1">
        <values>
          <value>
            <val>71</val>
          </value>
        </values>
      </ddeItem>
      <ddeItem name="WTX4N0;12100P`267" advise="1">
        <values>
          <value>
            <val>70</val>
          </value>
        </values>
      </ddeItem>
      <ddeItem name="WTX4N0;12100P`268" advise="1">
        <values>
          <value>
            <val>71</val>
          </value>
        </values>
      </ddeItem>
      <ddeItem name="WTX4N0;12150C`205" advise="1">
        <values>
          <value>
            <val>174</val>
          </value>
        </values>
      </ddeItem>
      <ddeItem name="WTX4N0;12150C`267" advise="1">
        <values>
          <value>
            <val>173</val>
          </value>
        </values>
      </ddeItem>
      <ddeItem name="WTX4N0;12150C`268" advise="1">
        <values>
          <value>
            <val>175</val>
          </value>
        </values>
      </ddeItem>
      <ddeItem name="WTX4N0;12150P`205" advise="1">
        <values>
          <value>
            <val>86</val>
          </value>
        </values>
      </ddeItem>
      <ddeItem name="WTX4N0;12150P`267" advise="1">
        <values>
          <value>
            <val>86</val>
          </value>
        </values>
      </ddeItem>
      <ddeItem name="WTX4N0;12150P`268" advise="1">
        <values>
          <value>
            <val>87</val>
          </value>
        </values>
      </ddeItem>
      <ddeItem name="WTX4N0;12200C`205" advise="1">
        <values>
          <value>
            <val>144</val>
          </value>
        </values>
      </ddeItem>
      <ddeItem name="WTX4N0;12200C`267" advise="1">
        <values>
          <value>
            <val>143</val>
          </value>
        </values>
      </ddeItem>
      <ddeItem name="WTX4N0;12200C`268" advise="1">
        <values>
          <value>
            <val>144</val>
          </value>
        </values>
      </ddeItem>
      <ddeItem name="WTX4N0;12200P`205" advise="1">
        <values>
          <value>
            <val>104</val>
          </value>
        </values>
      </ddeItem>
      <ddeItem name="WTX4N0;12200P`267" advise="1">
        <values>
          <value>
            <val>104</val>
          </value>
        </values>
      </ddeItem>
      <ddeItem name="WTX4N0;12200P`268" advise="1">
        <values>
          <value>
            <val>105</val>
          </value>
        </values>
      </ddeItem>
      <ddeItem name="WTX4N0;12250C`205" advise="1">
        <values>
          <value>
            <val>114</val>
          </value>
        </values>
      </ddeItem>
      <ddeItem name="WTX4N0;12250C`267" advise="1">
        <values>
          <value>
            <val>113</val>
          </value>
        </values>
      </ddeItem>
      <ddeItem name="WTX4N0;12250C`268" advise="1">
        <values>
          <value>
            <val>115</val>
          </value>
        </values>
      </ddeItem>
      <ddeItem name="WTX4N0;12250P`205" advise="1">
        <values>
          <value>
            <val>128</val>
          </value>
        </values>
      </ddeItem>
      <ddeItem name="WTX4N0;12250P`267" advise="1">
        <values>
          <value>
            <val>125</val>
          </value>
        </values>
      </ddeItem>
      <ddeItem name="WTX4N0;12250P`268" advise="1">
        <values>
          <value>
            <val>127</val>
          </value>
        </values>
      </ddeItem>
      <ddeItem name="WTX4N0;12300C`205" advise="1">
        <values>
          <value>
            <val>90</val>
          </value>
        </values>
      </ddeItem>
      <ddeItem name="WTX4N0;12300C`267" advise="1">
        <values>
          <value>
            <val>89</val>
          </value>
        </values>
      </ddeItem>
      <ddeItem name="WTX4N0;12300C`268" advise="1">
        <values>
          <value>
            <val>90</val>
          </value>
        </values>
      </ddeItem>
      <ddeItem name="WTX4N0;12300P`205" advise="1">
        <values>
          <value>
            <val>152</val>
          </value>
        </values>
      </ddeItem>
      <ddeItem name="WTX4N0;12300P`267" advise="1">
        <values>
          <value>
            <val>151</val>
          </value>
        </values>
      </ddeItem>
      <ddeItem name="WTX4N0;12300P`268" advise="1">
        <values>
          <value>
            <val>152</val>
          </value>
        </values>
      </ddeItem>
      <ddeItem name="WTX4N0;12350C`205" advise="1">
        <values>
          <value>
            <val>68</val>
          </value>
        </values>
      </ddeItem>
      <ddeItem name="WTX4N0;12350C`267" advise="1">
        <values>
          <value>
            <val>67</val>
          </value>
        </values>
      </ddeItem>
      <ddeItem name="WTX4N0;12350C`268" advise="1">
        <values>
          <value>
            <val>69</val>
          </value>
        </values>
      </ddeItem>
      <ddeItem name="WTX4N0;12350P`205" advise="1">
        <values>
          <value>
            <val>183</val>
          </value>
        </values>
      </ddeItem>
      <ddeItem name="WTX4N0;12350P`267" advise="1">
        <values>
          <value>
            <val>178</val>
          </value>
        </values>
      </ddeItem>
      <ddeItem name="WTX4N0;12350P`268" advise="1">
        <values>
          <value>
            <val>182</val>
          </value>
        </values>
      </ddeItem>
      <ddeItem name="WTX4N0;12400C`205" advise="1">
        <values>
          <value>
            <val>50</val>
          </value>
        </values>
      </ddeItem>
      <ddeItem name="WTX4N0;12400C`267" advise="1">
        <values>
          <value>
            <val>49.5</val>
          </value>
        </values>
      </ddeItem>
      <ddeItem name="WTX4N0;12400C`268" advise="1">
        <values>
          <value>
            <val>52</val>
          </value>
        </values>
      </ddeItem>
      <ddeItem name="WTX4N0;12400P`205" advise="1">
        <values>
          <value>
            <val>214</val>
          </value>
        </values>
      </ddeItem>
      <ddeItem name="WTX4N0;12400P`267" advise="1">
        <values>
          <value>
            <val>210</val>
          </value>
        </values>
      </ddeItem>
      <ddeItem name="WTX4N0;12400P`268" advise="1">
        <values>
          <value>
            <val>215</val>
          </value>
        </values>
      </ddeItem>
      <ddeItem name="WTX4N0;12450C`205" advise="1">
        <values>
          <value>
            <val>37</val>
          </value>
        </values>
      </ddeItem>
      <ddeItem name="WTX4N0;12450C`267" advise="1">
        <values>
          <value>
            <val>36.5</val>
          </value>
        </values>
      </ddeItem>
      <ddeItem name="WTX4N0;12450C`268" advise="1">
        <values>
          <value>
            <val>37</val>
          </value>
        </values>
      </ddeItem>
      <ddeItem name="WTX4N0;12450P`205" advise="1">
        <values>
          <value>
            <val>266</val>
          </value>
        </values>
      </ddeItem>
      <ddeItem name="WTX4N0;12450P`267" advise="1">
        <values>
          <value>
            <val>245</val>
          </value>
        </values>
      </ddeItem>
      <ddeItem name="WTX4N0;12450P`268" advise="1">
        <values>
          <value>
            <val>251</val>
          </value>
        </values>
      </ddeItem>
      <ddeItem name="WTX4N0;12500C`205" advise="1">
        <values>
          <value>
            <val>25</val>
          </value>
        </values>
      </ddeItem>
      <ddeItem name="WTX4N0;12500C`267" advise="1">
        <values>
          <value>
            <val>25</val>
          </value>
        </values>
      </ddeItem>
      <ddeItem name="WTX4N0;12500C`268" advise="1">
        <values>
          <value>
            <val>25.5</val>
          </value>
        </values>
      </ddeItem>
      <ddeItem name="WTX4N0;12500P`205" advise="1">
        <values>
          <value>
            <val>293</val>
          </value>
        </values>
      </ddeItem>
      <ddeItem name="WTX4N0;12500P`267" advise="1">
        <values>
          <value>
            <val>284</val>
          </value>
        </values>
      </ddeItem>
      <ddeItem name="WTX4N0;12500P`268" advise="1">
        <values>
          <value>
            <val>294</val>
          </value>
        </values>
      </ddeItem>
      <ddeItem name="WTX4N0;12600C`205" advise="1">
        <values>
          <value>
            <val>10.5</val>
          </value>
        </values>
      </ddeItem>
      <ddeItem name="WTX4N0;12600C`267" advise="1">
        <values>
          <value>
            <val>10</val>
          </value>
        </values>
      </ddeItem>
      <ddeItem name="WTX4N0;12600C`268" advise="1">
        <values>
          <value>
            <val>10.5</val>
          </value>
        </values>
      </ddeItem>
      <ddeItem name="WTX4N0;12600P`205" advise="1">
        <values>
          <value t="str">
            <val>-</val>
          </value>
        </values>
      </ddeItem>
      <ddeItem name="WTX4N0;12600P`267" advise="1">
        <values>
          <value>
            <val>274</val>
          </value>
        </values>
      </ddeItem>
      <ddeItem name="WTX4N0;12600P`268" advise="1">
        <values>
          <value>
            <val>378</val>
          </value>
        </values>
      </ddeItem>
      <ddeItem name="WTX4N0;12700C`205" advise="1">
        <values>
          <value>
            <val>5</val>
          </value>
        </values>
      </ddeItem>
      <ddeItem name="WTX4N0;12700C`267" advise="1">
        <values>
          <value>
            <val>4.5999999999999996</val>
          </value>
        </values>
      </ddeItem>
      <ddeItem name="WTX4N0;12700C`268" advise="1">
        <values>
          <value>
            <val>4.9000000000000004</val>
          </value>
        </values>
      </ddeItem>
      <ddeItem name="WTX4N0;12700P`205" advise="1">
        <values>
          <value>
            <val>505</val>
          </value>
        </values>
      </ddeItem>
      <ddeItem name="WTX4N0;12700P`267" advise="1">
        <values>
          <value>
            <val>368</val>
          </value>
        </values>
      </ddeItem>
      <ddeItem name="WTX4N0;12700P`268" advise="1">
        <values>
          <value>
            <val>473</val>
          </value>
        </values>
      </ddeItem>
      <ddeItem name="WTX4N0;12800C`205" advise="1">
        <values>
          <value>
            <val>2.2000000000000002</val>
          </value>
        </values>
      </ddeItem>
      <ddeItem name="WTX4N0;12800C`267" advise="1">
        <values>
          <value>
            <val>1.9</val>
          </value>
        </values>
      </ddeItem>
      <ddeItem name="WTX4N0;12800C`268" advise="1">
        <values>
          <value>
            <val>2.5</val>
          </value>
        </values>
      </ddeItem>
      <ddeItem name="WTX4N0;12800P`205" advise="1">
        <values>
          <value t="str">
            <val>-</val>
          </value>
        </values>
      </ddeItem>
      <ddeItem name="WTX4N0;12800P`267" advise="1">
        <values>
          <value>
            <val>466</val>
          </value>
        </values>
      </ddeItem>
      <ddeItem name="WTX4N0;12800P`268" advise="1">
        <values>
          <value>
            <val>580</val>
          </value>
        </values>
      </ddeItem>
      <ddeItem name="WTX4N0;12900C`205" advise="1">
        <values>
          <value>
            <val>1.2</val>
          </value>
        </values>
      </ddeItem>
      <ddeItem name="WTX4N0;12900C`267" advise="1">
        <values>
          <value>
            <val>1</val>
          </value>
        </values>
      </ddeItem>
      <ddeItem name="WTX4N0;12900C`268" advise="1">
        <values>
          <value>
            <val>1.3</val>
          </value>
        </values>
      </ddeItem>
      <ddeItem name="WTX4N0;12900P`205" advise="1">
        <values>
          <value t="str">
            <val>-</val>
          </value>
        </values>
      </ddeItem>
      <ddeItem name="WTX4N0;12900P`267" advise="1">
        <values>
          <value>
            <val>565</val>
          </value>
        </values>
      </ddeItem>
      <ddeItem name="WTX4N0;12900P`268" advise="1">
        <values>
          <value>
            <val>680</val>
          </value>
        </values>
      </ddeItem>
      <ddeItem name="WTX4N0;13000C`205" advise="1">
        <values>
          <value>
            <val>0.7</val>
          </value>
        </values>
      </ddeItem>
      <ddeItem name="WTX4N0;13000C`267" advise="1">
        <values>
          <value>
            <val>0.2</val>
          </value>
        </values>
      </ddeItem>
      <ddeItem name="WTX4N0;13000C`268" advise="1">
        <values>
          <value>
            <val>0.8</val>
          </value>
        </values>
      </ddeItem>
      <ddeItem name="WTX4N0;13000P`205" advise="1">
        <values>
          <value t="str">
            <val>-</val>
          </value>
        </values>
      </ddeItem>
      <ddeItem name="WTX4N0;13000P`267" advise="1">
        <values>
          <value>
            <val>665</val>
          </value>
        </values>
      </ddeItem>
      <ddeItem name="WTX4N0;13000P`268" advise="1">
        <values>
          <value>
            <val>775</val>
          </value>
        </values>
      </ddeItem>
      <ddeItem name="WTX4N0;13100C`205" advise="1">
        <values>
          <value>
            <val>0.4</val>
          </value>
        </values>
      </ddeItem>
      <ddeItem name="WTX4N0;13100C`267" advise="1">
        <values>
          <value>
            <val>0.1</val>
          </value>
        </values>
      </ddeItem>
      <ddeItem name="WTX4N0;13100C`268" advise="1">
        <values>
          <value>
            <val>0.8</val>
          </value>
        </values>
      </ddeItem>
      <ddeItem name="WTX4N0;13100P`205" advise="1">
        <values>
          <value t="str">
            <val>-</val>
          </value>
        </values>
      </ddeItem>
      <ddeItem name="WTX4N0;13100P`267" advise="1">
        <values>
          <value>
            <val>765</val>
          </value>
        </values>
      </ddeItem>
      <ddeItem name="WTX4N0;13100P`268" advise="1">
        <values>
          <value>
            <val>875</val>
          </value>
        </values>
      </ddeItem>
      <ddeItem name="WTX4N0;13200C`205" advise="1">
        <values>
          <value>
            <val>0.3</val>
          </value>
        </values>
      </ddeItem>
      <ddeItem name="WTX4N0;13200C`267" advise="1">
        <values>
          <value>
            <val>0.2</val>
          </value>
        </values>
      </ddeItem>
      <ddeItem name="WTX4N0;13200C`268" advise="1">
        <values>
          <value>
            <val>0.5</val>
          </value>
        </values>
      </ddeItem>
      <ddeItem name="WTX4N0;13200P`205" advise="1">
        <values>
          <value t="str">
            <val>-</val>
          </value>
        </values>
      </ddeItem>
      <ddeItem name="WTX4N0;13200P`267" advise="1">
        <values>
          <value>
            <val>865</val>
          </value>
        </values>
      </ddeItem>
      <ddeItem name="WTX4N0;13200P`268" advise="1">
        <values>
          <value>
            <val>975</val>
          </value>
        </values>
      </ddeItem>
      <ddeItem name="WTXOQ0;10000C`205" advise="1">
        <values>
          <value>
            <val>2130</val>
          </value>
        </values>
      </ddeItem>
      <ddeItem name="WTXOQ0;10000C`267" advise="1">
        <values>
          <value>
            <val>1980</val>
          </value>
        </values>
      </ddeItem>
      <ddeItem name="WTXOQ0;10000C`268" advise="1">
        <values>
          <value>
            <val>2230</val>
          </value>
        </values>
      </ddeItem>
      <ddeItem name="WTXOQ0;10000P`205" advise="1">
        <values>
          <value>
            <val>17</val>
          </value>
        </values>
      </ddeItem>
      <ddeItem name="WTXOQ0;10000P`267" advise="1">
        <values>
          <value>
            <val>16</val>
          </value>
        </values>
      </ddeItem>
      <ddeItem name="WTXOQ0;10000P`268" advise="1">
        <values>
          <value>
            <val>19</val>
          </value>
        </values>
      </ddeItem>
      <ddeItem name="WTXOQ0;10100C`205" advise="1">
        <values>
          <value t="str">
            <val>-</val>
          </value>
        </values>
      </ddeItem>
      <ddeItem name="WTXOQ0;10100C`267" advise="1">
        <values>
          <value>
            <val>1880</val>
          </value>
        </values>
      </ddeItem>
      <ddeItem name="WTXOQ0;10100C`268" advise="1">
        <values>
          <value>
            <val>2130</val>
          </value>
        </values>
      </ddeItem>
      <ddeItem name="WTXOQ0;10100P`205" advise="1">
        <values>
          <value>
            <val>20</val>
          </value>
        </values>
      </ddeItem>
      <ddeItem name="WTXOQ0;10100P`267" advise="1">
        <values>
          <value>
            <val>17</val>
          </value>
        </values>
      </ddeItem>
      <ddeItem name="WTXOQ0;10100P`268" advise="1">
        <values>
          <value>
            <val>22</val>
          </value>
        </values>
      </ddeItem>
      <ddeItem name="WTXOQ0;10200C`205" advise="1">
        <values>
          <value t="str">
            <val>-</val>
          </value>
        </values>
      </ddeItem>
      <ddeItem name="WTXOQ0;10200C`267" advise="1">
        <values>
          <value>
            <val>1790</val>
          </value>
        </values>
      </ddeItem>
      <ddeItem name="WTXOQ0;10200C`268" advise="1">
        <values>
          <value>
            <val>2040</val>
          </value>
        </values>
      </ddeItem>
      <ddeItem name="WTXOQ0;10200P`205" advise="1">
        <values>
          <value>
            <val>22.5</val>
          </value>
        </values>
      </ddeItem>
      <ddeItem name="WTXOQ0;10200P`267" advise="1">
        <values>
          <value>
            <val>14.5</val>
          </value>
        </values>
      </ddeItem>
      <ddeItem name="WTXOQ0;10200P`268" advise="1">
        <values>
          <value>
            <val>21.5</val>
          </value>
        </values>
      </ddeItem>
      <ddeItem name="WTXOQ0;10300C`205" advise="1">
        <values>
          <value t="str">
            <val>-</val>
          </value>
        </values>
      </ddeItem>
      <ddeItem name="WTXOQ0;10300C`267" advise="1">
        <values>
          <value>
            <val>1690</val>
          </value>
        </values>
      </ddeItem>
      <ddeItem name="WTXOQ0;10300C`268" advise="1">
        <values>
          <value>
            <val>1940</val>
          </value>
        </values>
      </ddeItem>
      <ddeItem name="WTXOQ0;10300P`205" advise="1">
        <values>
          <value>
            <val>24</val>
          </value>
        </values>
      </ddeItem>
      <ddeItem name="WTXOQ0;10300P`267" advise="1">
        <values>
          <value>
            <val>23</val>
          </value>
        </values>
      </ddeItem>
      <ddeItem name="WTXOQ0;10300P`268" advise="1">
        <values>
          <value>
            <val>24.5</val>
          </value>
        </values>
      </ddeItem>
      <ddeItem name="WTXOQ0;10400C`205" advise="1">
        <values>
          <value t="str">
            <val>-</val>
          </value>
        </values>
      </ddeItem>
      <ddeItem name="WTXOQ0;10400C`267" advise="1">
        <values>
          <value>
            <val>1590</val>
          </value>
        </values>
      </ddeItem>
      <ddeItem name="WTXOQ0;10400C`268" advise="1">
        <values>
          <value>
            <val>1840</val>
          </value>
        </values>
      </ddeItem>
      <ddeItem name="WTXOQ0;10400P`205" advise="1">
        <values>
          <value>
            <val>26</val>
          </value>
        </values>
      </ddeItem>
      <ddeItem name="WTXOQ0;10400P`267" advise="1">
        <values>
          <value>
            <val>25.5</val>
          </value>
        </values>
      </ddeItem>
      <ddeItem name="WTXOQ0;10400P`268" advise="1">
        <values>
          <value>
            <val>28</val>
          </value>
        </values>
      </ddeItem>
      <ddeItem name="WTXOQ0;10500C`205" advise="1">
        <values>
          <value t="str">
            <val>-</val>
          </value>
        </values>
      </ddeItem>
      <ddeItem name="WTXOQ0;10500C`267" advise="1">
        <values>
          <value>
            <val>1500</val>
          </value>
        </values>
      </ddeItem>
      <ddeItem name="WTXOQ0;10500C`268" advise="1">
        <values>
          <value>
            <val>1750</val>
          </value>
        </values>
      </ddeItem>
      <ddeItem name="WTXOQ0;10500P`205" advise="1">
        <values>
          <value>
            <val>27</val>
          </value>
        </values>
      </ddeItem>
      <ddeItem name="WTXOQ0;10500P`267" advise="1">
        <values>
          <value>
            <val>26</val>
          </value>
        </values>
      </ddeItem>
      <ddeItem name="WTXOQ0;10500P`268" advise="1">
        <values>
          <value>
            <val>27</val>
          </value>
        </values>
      </ddeItem>
      <ddeItem name="WTXOQ0;10600C`205" advise="1">
        <values>
          <value t="str">
            <val>-</val>
          </value>
        </values>
      </ddeItem>
      <ddeItem name="WTXOQ0;10600C`267" advise="1">
        <values>
          <value>
            <val>1400</val>
          </value>
        </values>
      </ddeItem>
      <ddeItem name="WTXOQ0;10600C`268" advise="1">
        <values>
          <value>
            <val>1640</val>
          </value>
        </values>
      </ddeItem>
      <ddeItem name="WTXOQ0;10600P`205" advise="1">
        <values>
          <value>
            <val>33</val>
          </value>
        </values>
      </ddeItem>
      <ddeItem name="WTXOQ0;10600P`267" advise="1">
        <values>
          <value>
            <val>33</val>
          </value>
        </values>
      </ddeItem>
      <ddeItem name="WTXOQ0;10600P`268" advise="1">
        <values>
          <value>
            <val>38.5</val>
          </value>
        </values>
      </ddeItem>
      <ddeItem name="WTXOQ0;10700C`205" advise="1">
        <values>
          <value t="str">
            <val>-</val>
          </value>
        </values>
      </ddeItem>
      <ddeItem name="WTXOQ0;10700C`267" advise="1">
        <values>
          <value>
            <val>1420</val>
          </value>
        </values>
      </ddeItem>
      <ddeItem name="WTXOQ0;10700C`268" advise="1">
        <values>
          <value>
            <val>1550</val>
          </value>
        </values>
      </ddeItem>
      <ddeItem name="WTXOQ0;10700P`205" advise="1">
        <values>
          <value>
            <val>40.5</val>
          </value>
        </values>
      </ddeItem>
      <ddeItem name="WTXOQ0;10700P`267" advise="1">
        <values>
          <value>
            <val>30.5</val>
          </value>
        </values>
      </ddeItem>
      <ddeItem name="WTXOQ0;10700P`268" advise="1">
        <values>
          <value>
            <val>40</val>
          </value>
        </values>
      </ddeItem>
      <ddeItem name="WTXOQ0;10800C`205" advise="1">
        <values>
          <value>
            <val>1350</val>
          </value>
        </values>
      </ddeItem>
      <ddeItem name="WTXOQ0;10800C`267" advise="1">
        <values>
          <value>
            <val>1220</val>
          </value>
        </values>
      </ddeItem>
      <ddeItem name="WTXOQ0;10800C`268" advise="1">
        <values>
          <value>
            <val>1370</val>
          </value>
        </values>
      </ddeItem>
      <ddeItem name="WTXOQ0;10800P`205" advise="1">
        <values>
          <value>
            <val>43</val>
          </value>
        </values>
      </ddeItem>
      <ddeItem name="WTXOQ0;10800P`267" advise="1">
        <values>
          <value>
            <val>43</val>
          </value>
        </values>
      </ddeItem>
      <ddeItem name="WTXOQ0;10800P`268" advise="1">
        <values>
          <value>
            <val>44.5</val>
          </value>
        </values>
      </ddeItem>
      <ddeItem name="WTXOQ0;10900C`205" advise="1">
        <values>
          <value t="str">
            <val>-</val>
          </value>
        </values>
      </ddeItem>
      <ddeItem name="WTXOQ0;10900C`267" advise="1">
        <values>
          <value>
            <val>1240</val>
          </value>
        </values>
      </ddeItem>
      <ddeItem name="WTXOQ0;10900C`268" advise="1">
        <values>
          <value>
            <val>1290</val>
          </value>
        </values>
      </ddeItem>
      <ddeItem name="WTXOQ0;10900P`205" advise="1">
        <values>
          <value>
            <val>51</val>
          </value>
        </values>
      </ddeItem>
      <ddeItem name="WTXOQ0;10900P`267" advise="1">
        <values>
          <value>
            <val>50</val>
          </value>
        </values>
      </ddeItem>
      <ddeItem name="WTXOQ0;10900P`268" advise="1">
        <values>
          <value>
            <val>56</val>
          </value>
        </values>
      </ddeItem>
      <ddeItem name="WTXOQ0;11000C`205" advise="1">
        <values>
          <value>
            <val>1150</val>
          </value>
        </values>
      </ddeItem>
      <ddeItem name="WTXOQ0;11000C`267" advise="1">
        <values>
          <value>
            <val>1150</val>
          </value>
        </values>
      </ddeItem>
      <ddeItem name="WTXOQ0;11000C`268" advise="1">
        <values>
          <value>
            <val>1180</val>
          </value>
        </values>
      </ddeItem>
      <ddeItem name="WTXOQ0;11000P`205" advise="1">
        <values>
          <value>
            <val>58</val>
          </value>
        </values>
      </ddeItem>
      <ddeItem name="WTXOQ0;11000P`267" advise="1">
        <values>
          <value>
            <val>58</val>
          </value>
        </values>
      </ddeItem>
      <ddeItem name="WTXOQ0;11000P`268" advise="1">
        <values>
          <value>
            <val>59</val>
          </value>
        </values>
      </ddeItem>
      <ddeItem name="WTXOQ0;11100C`205" advise="1">
        <values>
          <value t="str">
            <val>-</val>
          </value>
        </values>
      </ddeItem>
      <ddeItem name="WTXOQ0;11100C`267" advise="1">
        <values>
          <value>
            <val>1060</val>
          </value>
        </values>
      </ddeItem>
      <ddeItem name="WTXOQ0;11100C`268" advise="1">
        <values>
          <value>
            <val>1080</val>
          </value>
        </values>
      </ddeItem>
      <ddeItem name="WTXOQ0;11100P`205" advise="1">
        <values>
          <value>
            <val>68</val>
          </value>
        </values>
      </ddeItem>
      <ddeItem name="WTXOQ0;11100P`267" advise="1">
        <values>
          <value>
            <val>67</val>
          </value>
        </values>
      </ddeItem>
      <ddeItem name="WTXOQ0;11100P`268" advise="1">
        <values>
          <value>
            <val>68</val>
          </value>
        </values>
      </ddeItem>
      <ddeItem name="WTXOQ0;11200C`205" advise="1">
        <values>
          <value t="str">
            <val>-</val>
          </value>
        </values>
      </ddeItem>
      <ddeItem name="WTXOQ0;11200C`267" advise="1">
        <values>
          <value>
            <val>975</val>
          </value>
        </values>
      </ddeItem>
      <ddeItem name="WTXOQ0;11200C`268" advise="1">
        <values>
          <value>
            <val>995</val>
          </value>
        </values>
      </ddeItem>
      <ddeItem name="WTXOQ0;11200P`205" advise="1">
        <values>
          <value>
            <val>78</val>
          </value>
        </values>
      </ddeItem>
      <ddeItem name="WTXOQ0;11200P`267" advise="1">
        <values>
          <value>
            <val>78</val>
          </value>
        </values>
      </ddeItem>
      <ddeItem name="WTXOQ0;11200P`268" advise="1">
        <values>
          <value>
            <val>79</val>
          </value>
        </values>
      </ddeItem>
      <ddeItem name="WTXOQ0;11300C`205" advise="1">
        <values>
          <value t="str">
            <val>-</val>
          </value>
        </values>
      </ddeItem>
      <ddeItem name="WTXOQ0;11300C`267" advise="1">
        <values>
          <value>
            <val>885</val>
          </value>
        </values>
      </ddeItem>
      <ddeItem name="WTXOQ0;11300C`268" advise="1">
        <values>
          <value>
            <val>905</val>
          </value>
        </values>
      </ddeItem>
      <ddeItem name="WTXOQ0;11300P`205" advise="1">
        <values>
          <value>
            <val>88</val>
          </value>
        </values>
      </ddeItem>
      <ddeItem name="WTXOQ0;11300P`267" advise="1">
        <values>
          <value>
            <val>87</val>
          </value>
        </values>
      </ddeItem>
      <ddeItem name="WTXOQ0;11300P`268" advise="1">
        <values>
          <value>
            <val>90</val>
          </value>
        </values>
      </ddeItem>
      <ddeItem name="WTXOQ0;11400C`205" advise="1">
        <values>
          <value>
            <val>780</val>
          </value>
        </values>
      </ddeItem>
      <ddeItem name="WTXOQ0;11400C`267" advise="1">
        <values>
          <value>
            <val>805</val>
          </value>
        </values>
      </ddeItem>
      <ddeItem name="WTXOQ0;11400C`268" advise="1">
        <values>
          <value>
            <val>820</val>
          </value>
        </values>
      </ddeItem>
      <ddeItem name="WTXOQ0;11400P`205" advise="1">
        <values>
          <value>
            <val>104</val>
          </value>
        </values>
      </ddeItem>
      <ddeItem name="WTXOQ0;11400P`267" advise="1">
        <values>
          <value>
            <val>102</val>
          </value>
        </values>
      </ddeItem>
      <ddeItem name="WTXOQ0;11400P`268" advise="1">
        <values>
          <value>
            <val>104</val>
          </value>
        </values>
      </ddeItem>
      <ddeItem name="WTXOQ0;11500C`205" advise="1">
        <values>
          <value>
            <val>710</val>
          </value>
        </values>
      </ddeItem>
      <ddeItem name="WTXOQ0;11500C`267" advise="1">
        <values>
          <value>
            <val>725</val>
          </value>
        </values>
      </ddeItem>
      <ddeItem name="WTXOQ0;11500C`268" advise="1">
        <values>
          <value>
            <val>735</val>
          </value>
        </values>
      </ddeItem>
      <ddeItem name="WTXOQ0;11500P`205" advise="1">
        <values>
          <value>
            <val>119</val>
          </value>
        </values>
      </ddeItem>
      <ddeItem name="WTXOQ0;11500P`267" advise="1">
        <values>
          <value>
            <val>118</val>
          </value>
        </values>
      </ddeItem>
      <ddeItem name="WTXOQ0;11500P`268" advise="1">
        <values>
          <value>
            <val>120</val>
          </value>
        </values>
      </ddeItem>
      <ddeItem name="WTXOQ0;11600C`205" advise="1">
        <values>
          <value>
            <val>650</val>
          </value>
        </values>
      </ddeItem>
      <ddeItem name="WTXOQ0;11600C`267" advise="1">
        <values>
          <value>
            <val>640</val>
          </value>
        </values>
      </ddeItem>
      <ddeItem name="WTXOQ0;11600C`268" advise="1">
        <values>
          <value>
            <val>655</val>
          </value>
        </values>
      </ddeItem>
      <ddeItem name="WTXOQ0;11600P`205" advise="1">
        <values>
          <value>
            <val>140</val>
          </value>
        </values>
      </ddeItem>
      <ddeItem name="WTXOQ0;11600P`267" advise="1">
        <values>
          <value>
            <val>139</val>
          </value>
        </values>
      </ddeItem>
      <ddeItem name="WTXOQ0;11600P`268" advise="1">
        <values>
          <value>
            <val>140</val>
          </value>
        </values>
      </ddeItem>
      <ddeItem name="WTXOQ0;11700C`205" advise="1">
        <values>
          <value>
            <val>570</val>
          </value>
        </values>
      </ddeItem>
      <ddeItem name="WTXOQ0;11700C`267" advise="1">
        <values>
          <value>
            <val>565</val>
          </value>
        </values>
      </ddeItem>
      <ddeItem name="WTXOQ0;11700C`268" advise="1">
        <values>
          <value>
            <val>570</val>
          </value>
        </values>
      </ddeItem>
      <ddeItem name="WTXOQ0;11700P`205" advise="1">
        <values>
          <value>
            <val>161</val>
          </value>
        </values>
      </ddeItem>
      <ddeItem name="WTXOQ0;11700P`267" advise="1">
        <values>
          <value>
            <val>160</val>
          </value>
        </values>
      </ddeItem>
      <ddeItem name="WTXOQ0;11700P`268" advise="1">
        <values>
          <value>
            <val>162</val>
          </value>
        </values>
      </ddeItem>
      <ddeItem name="WTXOQ0;11800C`205" advise="1">
        <values>
          <value>
            <val>492</val>
          </value>
        </values>
      </ddeItem>
      <ddeItem name="WTXOQ0;11800C`267" advise="1">
        <values>
          <value>
            <val>491</val>
          </value>
        </values>
      </ddeItem>
      <ddeItem name="WTXOQ0;11800C`268" advise="1">
        <values>
          <value>
            <val>495</val>
          </value>
        </values>
      </ddeItem>
      <ddeItem name="WTXOQ0;11800P`205" advise="1">
        <values>
          <value>
            <val>185</val>
          </value>
        </values>
      </ddeItem>
      <ddeItem name="WTXOQ0;11800P`267" advise="1">
        <values>
          <value>
            <val>185</val>
          </value>
        </values>
      </ddeItem>
      <ddeItem name="WTXOQ0;11800P`268" advise="1">
        <values>
          <value>
            <val>188</val>
          </value>
        </values>
      </ddeItem>
      <ddeItem name="WTXOQ0;11900C`205" advise="1">
        <values>
          <value>
            <val>417</val>
          </value>
        </values>
      </ddeItem>
      <ddeItem name="WTXOQ0;11900C`267" advise="1">
        <values>
          <value>
            <val>420</val>
          </value>
        </values>
      </ddeItem>
      <ddeItem name="WTXOQ0;11900C`268" advise="1">
        <values>
          <value>
            <val>426</val>
          </value>
        </values>
      </ddeItem>
      <ddeItem name="WTXOQ0;11900P`205" advise="1">
        <values>
          <value>
            <val>212</val>
          </value>
        </values>
      </ddeItem>
      <ddeItem name="WTXOQ0;11900P`267" advise="1">
        <values>
          <value>
            <val>212</val>
          </value>
        </values>
      </ddeItem>
      <ddeItem name="WTXOQ0;11900P`268" advise="1">
        <values>
          <value>
            <val>217</val>
          </value>
        </values>
      </ddeItem>
      <ddeItem name="WTXOQ0;12000C`205" advise="1">
        <values>
          <value>
            <val>357</val>
          </value>
        </values>
      </ddeItem>
      <ddeItem name="WTXOQ0;12000C`267" advise="1">
        <values>
          <value>
            <val>354</val>
          </value>
        </values>
      </ddeItem>
      <ddeItem name="WTXOQ0;12000C`268" advise="1">
        <values>
          <value>
            <val>358</val>
          </value>
        </values>
      </ddeItem>
      <ddeItem name="WTXOQ0;12000P`205" advise="1">
        <values>
          <value>
            <val>251</val>
          </value>
        </values>
      </ddeItem>
      <ddeItem name="WTXOQ0;12000P`267" advise="1">
        <values>
          <value>
            <val>248</val>
          </value>
        </values>
      </ddeItem>
      <ddeItem name="WTXOQ0;12000P`268" advise="1">
        <values>
          <value>
            <val>251</val>
          </value>
        </values>
      </ddeItem>
      <ddeItem name="WTXOQ0;12100C`205" advise="1">
        <values>
          <value>
            <val>295</val>
          </value>
        </values>
      </ddeItem>
      <ddeItem name="WTXOQ0;12100C`267" advise="1">
        <values>
          <value>
            <val>293</val>
          </value>
        </values>
      </ddeItem>
      <ddeItem name="WTXOQ0;12100C`268" advise="1">
        <values>
          <value>
            <val>299</val>
          </value>
        </values>
      </ddeItem>
      <ddeItem name="WTXOQ0;12100P`205" advise="1">
        <values>
          <value>
            <val>290</val>
          </value>
        </values>
      </ddeItem>
      <ddeItem name="WTXOQ0;12100P`267" advise="1">
        <values>
          <value>
            <val>287</val>
          </value>
        </values>
      </ddeItem>
      <ddeItem name="WTXOQ0;12100P`268" advise="1">
        <values>
          <value>
            <val>290</val>
          </value>
        </values>
      </ddeItem>
      <ddeItem name="WTXOQ0;12200C`205" advise="1">
        <values>
          <value>
            <val>243</val>
          </value>
        </values>
      </ddeItem>
      <ddeItem name="WTXOQ0;12200C`267" advise="1">
        <values>
          <value>
            <val>243</val>
          </value>
        </values>
      </ddeItem>
      <ddeItem name="WTXOQ0;12200C`268" advise="1">
        <values>
          <value>
            <val>246</val>
          </value>
        </values>
      </ddeItem>
      <ddeItem name="WTXOQ0;12200P`205" advise="1">
        <values>
          <value>
            <val>333</val>
          </value>
        </values>
      </ddeItem>
      <ddeItem name="WTXOQ0;12200P`267" advise="1">
        <values>
          <value>
            <val>334</val>
          </value>
        </values>
      </ddeItem>
      <ddeItem name="WTXOQ0;12200P`268" advise="1">
        <values>
          <value>
            <val>338</val>
          </value>
        </values>
      </ddeItem>
      <ddeItem name="WTXOQ0;12300C`205" advise="1">
        <values>
          <value>
            <val>199</val>
          </value>
        </values>
      </ddeItem>
      <ddeItem name="WTXOQ0;12300C`267" advise="1">
        <values>
          <value>
            <val>197</val>
          </value>
        </values>
      </ddeItem>
      <ddeItem name="WTXOQ0;12300C`268" advise="1">
        <values>
          <value>
            <val>200</val>
          </value>
        </values>
      </ddeItem>
      <ddeItem name="WTXOQ0;12300P`205" advise="1">
        <values>
          <value>
            <val>390</val>
          </value>
        </values>
      </ddeItem>
      <ddeItem name="WTXOQ0;12300P`267" advise="1">
        <values>
          <value>
            <val>388</val>
          </value>
        </values>
      </ddeItem>
      <ddeItem name="WTXOQ0;12300P`268" advise="1">
        <values>
          <value>
            <val>390</val>
          </value>
        </values>
      </ddeItem>
      <ddeItem name="WTXOQ0;12400C`205" advise="1">
        <values>
          <value>
            <val>156</val>
          </value>
        </values>
      </ddeItem>
      <ddeItem name="WTXOQ0;12400C`267" advise="1">
        <values>
          <value>
            <val>156</val>
          </value>
        </values>
      </ddeItem>
      <ddeItem name="WTXOQ0;12400C`268" advise="1">
        <values>
          <value>
            <val>158</val>
          </value>
        </values>
      </ddeItem>
      <ddeItem name="WTXOQ0;12400P`205" advise="1">
        <values>
          <value>
            <val>446</val>
          </value>
        </values>
      </ddeItem>
      <ddeItem name="WTXOQ0;12400P`267" advise="1">
        <values>
          <value>
            <val>445</val>
          </value>
        </values>
      </ddeItem>
      <ddeItem name="WTXOQ0;12400P`268" advise="1">
        <values>
          <value>
            <val>450</val>
          </value>
        </values>
      </ddeItem>
      <ddeItem name="WTXOQ0;12500C`205" advise="1">
        <values>
          <value>
            <val>126</val>
          </value>
        </values>
      </ddeItem>
      <ddeItem name="WTXOQ0;12500C`267" advise="1">
        <values>
          <value>
            <val>124</val>
          </value>
        </values>
      </ddeItem>
      <ddeItem name="WTXOQ0;12500C`268" advise="1">
        <values>
          <value>
            <val>126</val>
          </value>
        </values>
      </ddeItem>
      <ddeItem name="WTXOQ0;12500P`205" advise="1">
        <values>
          <value>
            <val>550</val>
          </value>
        </values>
      </ddeItem>
      <ddeItem name="WTXOQ0;12500P`267" advise="1">
        <values>
          <value>
            <val>510</val>
          </value>
        </values>
      </ddeItem>
      <ddeItem name="WTXOQ0;12500P`268" advise="1">
        <values>
          <value>
            <val>520</val>
          </value>
        </values>
      </ddeItem>
      <ddeItem name="WTXOQ0;12600C`205" advise="1">
        <values>
          <value>
            <val>97</val>
          </value>
        </values>
      </ddeItem>
      <ddeItem name="WTXOQ0;12600C`267" advise="1">
        <values>
          <value>
            <val>96</val>
          </value>
        </values>
      </ddeItem>
      <ddeItem name="WTXOQ0;12600C`268" advise="1">
        <values>
          <value>
            <val>98</val>
          </value>
        </values>
      </ddeItem>
      <ddeItem name="WTXOQ0;12600P`205" advise="1">
        <values>
          <value t="str">
            <val>-</val>
          </value>
        </values>
      </ddeItem>
      <ddeItem name="WTXOQ0;12600P`267" advise="1">
        <values>
          <value>
            <val>580</val>
          </value>
        </values>
      </ddeItem>
      <ddeItem name="WTXOQ0;12600P`268" advise="1">
        <values>
          <value>
            <val>595</val>
          </value>
        </values>
      </ddeItem>
      <ddeItem name="WTXOQ0;12700C`205" advise="1">
        <values>
          <value>
            <val>75</val>
          </value>
        </values>
      </ddeItem>
      <ddeItem name="WTXOQ0;12700C`267" advise="1">
        <values>
          <value>
            <val>74</val>
          </value>
        </values>
      </ddeItem>
      <ddeItem name="WTXOQ0;12700C`268" advise="1">
        <values>
          <value>
            <val>75</val>
          </value>
        </values>
      </ddeItem>
      <ddeItem name="WTXOQ0;12700P`205" advise="1">
        <values>
          <value>
            <val>695</val>
          </value>
        </values>
      </ddeItem>
      <ddeItem name="WTXOQ0;12700P`267" advise="1">
        <values>
          <value>
            <val>660</val>
          </value>
        </values>
      </ddeItem>
      <ddeItem name="WTXOQ0;12700P`268" advise="1">
        <values>
          <value>
            <val>670</val>
          </value>
        </values>
      </ddeItem>
      <ddeItem name="WTXOQ0;12800C`205" advise="1">
        <values>
          <value>
            <val>58</val>
          </value>
        </values>
      </ddeItem>
      <ddeItem name="WTXOQ0;12800C`267" advise="1">
        <values>
          <value>
            <val>57</val>
          </value>
        </values>
      </ddeItem>
      <ddeItem name="WTXOQ0;12800C`268" advise="1">
        <values>
          <value>
            <val>58</val>
          </value>
        </values>
      </ddeItem>
      <ddeItem name="WTXOQ0;12800P`205" advise="1">
        <values>
          <value>
            <val>780</val>
          </value>
        </values>
      </ddeItem>
      <ddeItem name="WTXOQ0;12800P`267" advise="1">
        <values>
          <value>
            <val>735</val>
          </value>
        </values>
      </ddeItem>
      <ddeItem name="WTXOQ0;12800P`268" advise="1">
        <values>
          <value>
            <val>755</val>
          </value>
        </values>
      </ddeItem>
      <ddeItem name="WTXOQ0;12900C`205" advise="1">
        <values>
          <value>
            <val>42.5</val>
          </value>
        </values>
      </ddeItem>
      <ddeItem name="WTXOQ0;12900C`267" advise="1">
        <values>
          <value>
            <val>41</val>
          </value>
        </values>
      </ddeItem>
      <ddeItem name="WTXOQ0;12900C`268" advise="1">
        <values>
          <value>
            <val>44</val>
          </value>
        </values>
      </ddeItem>
      <ddeItem name="WTXOQ0;12900P`205" advise="1">
        <values>
          <value t="str">
            <val>-</val>
          </value>
        </values>
      </ddeItem>
      <ddeItem name="WTXOQ0;12900P`267" advise="1">
        <values>
          <value>
            <val>730</val>
          </value>
        </values>
      </ddeItem>
      <ddeItem name="WTXOQ0;12900P`268" advise="1">
        <values>
          <value>
            <val>840</val>
          </value>
        </values>
      </ddeItem>
      <ddeItem name="WTXOQ0;13000C`205" advise="1">
        <values>
          <value>
            <val>31</val>
          </value>
        </values>
      </ddeItem>
      <ddeItem name="WTXOQ0;13000C`267" advise="1">
        <values>
          <value>
            <val>31</val>
          </value>
        </values>
      </ddeItem>
      <ddeItem name="WTXOQ0;13000C`268" advise="1">
        <values>
          <value>
            <val>31.5</val>
          </value>
        </values>
      </ddeItem>
      <ddeItem name="WTXOQ0;13000P`205" advise="1">
        <values>
          <value t="str">
            <val>-</val>
          </value>
        </values>
      </ddeItem>
      <ddeItem name="WTXOQ0;13000P`267" advise="1">
        <values>
          <value>
            <val>905</val>
          </value>
        </values>
      </ddeItem>
      <ddeItem name="WTXOQ0;13000P`268" advise="1">
        <values>
          <value>
            <val>935</val>
          </value>
        </values>
      </ddeItem>
      <ddeItem name="WTXOQ0;9100C`205" advise="1">
        <values>
          <value t="str">
            <val>-</val>
          </value>
        </values>
      </ddeItem>
      <ddeItem name="WTXOQ0;9100C`267" advise="1">
        <values>
          <value>
            <val>2870</val>
          </value>
        </values>
      </ddeItem>
      <ddeItem name="WTXOQ0;9100C`268" advise="1">
        <values>
          <value>
            <val>3120</val>
          </value>
        </values>
      </ddeItem>
      <ddeItem name="WTXOQ0;9100P`205" advise="1">
        <values>
          <value>
            <val>7.7</val>
          </value>
        </values>
      </ddeItem>
      <ddeItem name="WTXOQ0;9100P`267" advise="1">
        <values>
          <value>
            <val>7.5</val>
          </value>
        </values>
      </ddeItem>
      <ddeItem name="WTXOQ0;9100P`268" advise="1">
        <values>
          <value>
            <val>8.3000000000000007</val>
          </value>
        </values>
      </ddeItem>
      <ddeItem name="WTXOQ0;9200C`205" advise="1">
        <values>
          <value t="str">
            <val>-</val>
          </value>
        </values>
      </ddeItem>
      <ddeItem name="WTXOQ0;9200C`267" advise="1">
        <values>
          <value>
            <val>2770</val>
          </value>
        </values>
      </ddeItem>
      <ddeItem name="WTXOQ0;9200C`268" advise="1">
        <values>
          <value>
            <val>3020</val>
          </value>
        </values>
      </ddeItem>
      <ddeItem name="WTXOQ0;9200P`205" advise="1">
        <values>
          <value t="str">
            <val>-</val>
          </value>
        </values>
      </ddeItem>
      <ddeItem name="WTXOQ0;9200P`267" advise="1">
        <values>
          <value>
            <val>7</val>
          </value>
        </values>
      </ddeItem>
      <ddeItem name="WTXOQ0;9200P`268" advise="1">
        <values>
          <value>
            <val>10</val>
          </value>
        </values>
      </ddeItem>
      <ddeItem name="WTXOQ0;9300C`205" advise="1">
        <values>
          <value t="str">
            <val>-</val>
          </value>
        </values>
      </ddeItem>
      <ddeItem name="WTXOQ0;9300C`267" advise="1">
        <values>
          <value>
            <val>2670</val>
          </value>
        </values>
      </ddeItem>
      <ddeItem name="WTXOQ0;9300C`268" advise="1">
        <values>
          <value>
            <val>2920</val>
          </value>
        </values>
      </ddeItem>
      <ddeItem name="WTXOQ0;9300P`205" advise="1">
        <values>
          <value>
            <val>9.8000000000000007</val>
          </value>
        </values>
      </ddeItem>
      <ddeItem name="WTXOQ0;9300P`267" advise="1">
        <values>
          <value>
            <val>8.5</val>
          </value>
        </values>
      </ddeItem>
      <ddeItem name="WTXOQ0;9300P`268" advise="1">
        <values>
          <value>
            <val>9.4</val>
          </value>
        </values>
      </ddeItem>
      <ddeItem name="WTXOQ0;9400C`205" advise="1">
        <values>
          <value t="str">
            <val>-</val>
          </value>
        </values>
      </ddeItem>
      <ddeItem name="WTXOQ0;9400C`267" advise="1">
        <values>
          <value>
            <val>2570</val>
          </value>
        </values>
      </ddeItem>
      <ddeItem name="WTXOQ0;9400C`268" advise="1">
        <values>
          <value>
            <val>2820</val>
          </value>
        </values>
      </ddeItem>
      <ddeItem name="WTXOQ0;9400P`205" advise="1">
        <values>
          <value t="str">
            <val>-</val>
          </value>
        </values>
      </ddeItem>
      <ddeItem name="WTXOQ0;9400P`267" advise="1">
        <values>
          <value>
            <val>6</val>
          </value>
        </values>
      </ddeItem>
      <ddeItem name="WTXOQ0;9400P`268" advise="1">
        <values>
          <value>
            <val>11</val>
          </value>
        </values>
      </ddeItem>
      <ddeItem name="WTXOQ0;9500C`205" advise="1">
        <values>
          <value t="str">
            <val>-</val>
          </value>
        </values>
      </ddeItem>
      <ddeItem name="WTXOQ0;9500C`267" advise="1">
        <values>
          <value>
            <val>2470</val>
          </value>
        </values>
      </ddeItem>
      <ddeItem name="WTXOQ0;9500C`268" advise="1">
        <values>
          <value>
            <val>2720</val>
          </value>
        </values>
      </ddeItem>
      <ddeItem name="WTXOQ0;9500P`205" advise="1">
        <values>
          <value>
            <val>10</val>
          </value>
        </values>
      </ddeItem>
      <ddeItem name="WTXOQ0;9500P`267" advise="1">
        <values>
          <value>
            <val>10</val>
          </value>
        </values>
      </ddeItem>
      <ddeItem name="WTXOQ0;9500P`268" advise="1">
        <values>
          <value>
            <val>11</val>
          </value>
        </values>
      </ddeItem>
      <ddeItem name="WTXOQ0;9600C`205" advise="1">
        <values>
          <value t="str">
            <val>-</val>
          </value>
        </values>
      </ddeItem>
      <ddeItem name="WTXOQ0;9600C`267" advise="1">
        <values>
          <value>
            <val>2370</val>
          </value>
        </values>
      </ddeItem>
      <ddeItem name="WTXOQ0;9600C`268" advise="1">
        <values>
          <value>
            <val>2630</val>
          </value>
        </values>
      </ddeItem>
      <ddeItem name="WTXOQ0;9600P`205" advise="1">
        <values>
          <value t="str">
            <val>-</val>
          </value>
        </values>
      </ddeItem>
      <ddeItem name="WTXOQ0;9600P`267" advise="1">
        <values>
          <value>
            <val>9.5</val>
          </value>
        </values>
      </ddeItem>
      <ddeItem name="WTXOQ0;9600P`268" advise="1">
        <values>
          <value>
            <val>17</val>
          </value>
        </values>
      </ddeItem>
      <ddeItem name="WTXOQ0;9700C`205" advise="1">
        <values>
          <value t="str">
            <val>-</val>
          </value>
        </values>
      </ddeItem>
      <ddeItem name="WTXOQ0;9700C`267" advise="1">
        <values>
          <value>
            <val>2270</val>
          </value>
        </values>
      </ddeItem>
      <ddeItem name="WTXOQ0;9700C`268" advise="1">
        <values>
          <value>
            <val>2530</val>
          </value>
        </values>
      </ddeItem>
      <ddeItem name="WTXOQ0;9700P`205" advise="1">
        <values>
          <value>
            <val>15</val>
          </value>
        </values>
      </ddeItem>
      <ddeItem name="WTXOQ0;9700P`267" advise="1">
        <values>
          <value>
            <val>11</val>
          </value>
        </values>
      </ddeItem>
      <ddeItem name="WTXOQ0;9700P`268" advise="1">
        <values>
          <value>
            <val>14</val>
          </value>
        </values>
      </ddeItem>
      <ddeItem name="WTXOQ0;9800C`205" advise="1">
        <values>
          <value t="str">
            <val>-</val>
          </value>
        </values>
      </ddeItem>
      <ddeItem name="WTXOQ0;9800C`267" advise="1">
        <values>
          <value>
            <val>2180</val>
          </value>
        </values>
      </ddeItem>
      <ddeItem name="WTXOQ0;9800C`268" advise="1">
        <values>
          <value>
            <val>2430</val>
          </value>
        </values>
      </ddeItem>
      <ddeItem name="WTXOQ0;9800P`205" advise="1">
        <values>
          <value>
            <val>14</val>
          </value>
        </values>
      </ddeItem>
      <ddeItem name="WTXOQ0;9800P`267" advise="1">
        <values>
          <value>
            <val>14</val>
          </value>
        </values>
      </ddeItem>
      <ddeItem name="WTXOQ0;9800P`268" advise="1">
        <values>
          <value>
            <val>15</val>
          </value>
        </values>
      </ddeItem>
      <ddeItem name="WTXOQ0;9900C`205" advise="1">
        <values>
          <value t="str">
            <val>-</val>
          </value>
        </values>
      </ddeItem>
      <ddeItem name="WTXOQ0;9900C`267" advise="1">
        <values>
          <value>
            <val>2080</val>
          </value>
        </values>
      </ddeItem>
      <ddeItem name="WTXOQ0;9900C`268" advise="1">
        <values>
          <value>
            <val>2330</val>
          </value>
        </values>
      </ddeItem>
      <ddeItem name="WTXOQ0;9900P`205" advise="1">
        <values>
          <value>
            <val>17</val>
          </value>
        </values>
      </ddeItem>
      <ddeItem name="WTXOQ0;9900P`267" advise="1">
        <values>
          <value>
            <val>15</val>
          </value>
        </values>
      </ddeItem>
      <ddeItem name="WTXOQ0;9900P`268" advise="1">
        <values>
          <value>
            <val>24</val>
          </value>
        </values>
      </ddeItem>
      <ddeItem name="WTXOU0;10000C`205" advise="1">
        <values>
          <value t="str">
            <val>-</val>
          </value>
        </values>
      </ddeItem>
      <ddeItem name="WTXOU0;10000C`267" advise="1">
        <values>
          <value>
            <val>1980</val>
          </value>
        </values>
      </ddeItem>
      <ddeItem name="WTXOU0;10000C`268" advise="1">
        <values>
          <value>
            <val>2230</val>
          </value>
        </values>
      </ddeItem>
      <ddeItem name="WTXOU0;10000P`205" advise="1">
        <values>
          <value>
            <val>53</val>
          </value>
        </values>
      </ddeItem>
      <ddeItem name="WTXOU0;10000P`267" advise="1">
        <values>
          <value>
            <val>44</val>
          </value>
        </values>
      </ddeItem>
      <ddeItem name="WTXOU0;10000P`268" advise="1">
        <values>
          <value>
            <val>55</val>
          </value>
        </values>
      </ddeItem>
      <ddeItem name="WTXOU0;10100C`205" advise="1">
        <values>
          <value t="str">
            <val>-</val>
          </value>
        </values>
      </ddeItem>
      <ddeItem name="WTXOU0;10100C`267" advise="1">
        <values>
          <value>
            <val>1880</val>
          </value>
        </values>
      </ddeItem>
      <ddeItem name="WTXOU0;10100C`268" advise="1">
        <values>
          <value>
            <val>2130</val>
          </value>
        </values>
      </ddeItem>
      <ddeItem name="WTXOU0;10100P`205" advise="1">
        <values>
          <value t="str">
            <val>-</val>
          </value>
        </values>
      </ddeItem>
      <ddeItem name="WTXOU0;10100P`267" advise="1">
        <values>
          <value>
            <val>7.5</val>
          </value>
        </values>
      </ddeItem>
      <ddeItem name="WTXOU0;10100P`268" advise="1">
        <values>
          <value>
            <val>64</val>
          </value>
        </values>
      </ddeItem>
      <ddeItem name="WTXOU0;10200C`205" advise="1">
        <values>
          <value t="str">
            <val>-</val>
          </value>
        </values>
      </ddeItem>
      <ddeItem name="WTXOU0;10200C`267" advise="1">
        <values>
          <value>
            <val>1790</val>
          </value>
        </values>
      </ddeItem>
      <ddeItem name="WTXOU0;10200C`268" advise="1">
        <values>
          <value>
            <val>2040</val>
          </value>
        </values>
      </ddeItem>
      <ddeItem name="WTXOU0;10200P`205" advise="1">
        <values>
          <value t="str">
            <val>-</val>
          </value>
        </values>
      </ddeItem>
      <ddeItem name="WTXOU0;10200P`267" advise="1">
        <values>
          <value>
            <val>8.4</val>
          </value>
        </values>
      </ddeItem>
      <ddeItem name="WTXOU0;10200P`268" advise="1">
        <values>
          <value>
            <val>71</val>
          </value>
        </values>
      </ddeItem>
      <ddeItem name="WTXOU0;10300C`205" advise="1">
        <values>
          <value t="str">
            <val>-</val>
          </value>
        </values>
      </ddeItem>
      <ddeItem name="WTXOU0;10300C`267" advise="1">
        <values>
          <value>
            <val>1690</val>
          </value>
        </values>
      </ddeItem>
      <ddeItem name="WTXOU0;10300C`268" advise="1">
        <values>
          <value>
            <val>1950</val>
          </value>
        </values>
      </ddeItem>
      <ddeItem name="WTXOU0;10300P`205" advise="1">
        <values>
          <value t="str">
            <val>-</val>
          </value>
        </values>
      </ddeItem>
      <ddeItem name="WTXOU0;10300P`267" advise="1">
        <values>
          <value>
            <val>9.4</val>
          </value>
        </values>
      </ddeItem>
      <ddeItem name="WTXOU0;10300P`268" advise="1">
        <values>
          <value>
            <val>78</val>
          </value>
        </values>
      </ddeItem>
      <ddeItem name="WTXOU0;10400C`205" advise="1">
        <values>
          <value t="str">
            <val>-</val>
          </value>
        </values>
      </ddeItem>
      <ddeItem name="WTXOU0;10400C`267" advise="1">
        <values>
          <value>
            <val>1600</val>
          </value>
        </values>
      </ddeItem>
      <ddeItem name="WTXOU0;10400C`268" advise="1">
        <values>
          <value>
            <val>1850</val>
          </value>
        </values>
      </ddeItem>
      <ddeItem name="WTXOU0;10400P`205" advise="1">
        <values>
          <value>
            <val>77</val>
          </value>
        </values>
      </ddeItem>
      <ddeItem name="WTXOU0;10400P`267" advise="1">
        <values>
          <value>
            <val>60</val>
          </value>
        </values>
      </ddeItem>
      <ddeItem name="WTXOU0;10400P`268" advise="1">
        <values>
          <value>
            <val>200</val>
          </value>
        </values>
      </ddeItem>
      <ddeItem name="WTXOU0;10500C`205" advise="1">
        <values>
          <value t="str">
            <val>-</val>
          </value>
        </values>
      </ddeItem>
      <ddeItem name="WTXOU0;10500C`267" advise="1">
        <values>
          <value>
            <val>1510</val>
          </value>
        </values>
      </ddeItem>
      <ddeItem name="WTXOU0;10500C`268" advise="1">
        <values>
          <value>
            <val>1760</val>
          </value>
        </values>
      </ddeItem>
      <ddeItem name="WTXOU0;10500P`205" advise="1">
        <values>
          <value>
            <val>83</val>
          </value>
        </values>
      </ddeItem>
      <ddeItem name="WTXOU0;10500P`267" advise="1">
        <values>
          <value>
            <val>18.5</val>
          </value>
        </values>
      </ddeItem>
      <ddeItem name="WTXOU0;10500P`268" advise="1">
        <values>
          <value>
            <val>86</val>
          </value>
        </values>
      </ddeItem>
      <ddeItem name="WTXOU0;10600C`205" advise="1">
        <values>
          <value t="str">
            <val>-</val>
          </value>
        </values>
      </ddeItem>
      <ddeItem name="WTXOU0;10600C`267" advise="1">
        <values>
          <value>
            <val>1420</val>
          </value>
        </values>
      </ddeItem>
      <ddeItem name="WTXOU0;10600C`268" advise="1">
        <values>
          <value>
            <val>1660</val>
          </value>
        </values>
      </ddeItem>
      <ddeItem name="WTXOU0;10600P`205" advise="1">
        <values>
          <value>
            <val>97</val>
          </value>
        </values>
      </ddeItem>
      <ddeItem name="WTXOU0;10600P`267" advise="1">
        <values>
          <value>
            <val>50</val>
          </value>
        </values>
      </ddeItem>
      <ddeItem name="WTXOU0;10600P`268" advise="1">
        <values>
          <value>
            <val>94</val>
          </value>
        </values>
      </ddeItem>
      <ddeItem name="WTXOU0;10700C`205" advise="1">
        <values>
          <value t="str">
            <val>-</val>
          </value>
        </values>
      </ddeItem>
      <ddeItem name="WTXOU0;10700C`267" advise="1">
        <values>
          <value>
            <val>1320</val>
          </value>
        </values>
      </ddeItem>
      <ddeItem name="WTXOU0;10700C`268" advise="1">
        <values>
          <value>
            <val>1580</val>
          </value>
        </values>
      </ddeItem>
      <ddeItem name="WTXOU0;10700P`205" advise="1">
        <values>
          <value>
            <val>103</val>
          </value>
        </values>
      </ddeItem>
      <ddeItem name="WTXOU0;10700P`267" advise="1">
        <values>
          <value>
            <val>51</val>
          </value>
        </values>
      </ddeItem>
      <ddeItem name="WTXOU0;10700P`268" advise="1">
        <values>
          <value>
            <val>223</val>
          </value>
        </values>
      </ddeItem>
      <ddeItem name="WTXOU0;10800C`205" advise="1">
        <values>
          <value t="str">
            <val>-</val>
          </value>
        </values>
      </ddeItem>
      <ddeItem name="WTXOU0;10800C`267" advise="1">
        <values>
          <value>
            <val>1230</val>
          </value>
        </values>
      </ddeItem>
      <ddeItem name="WTXOU0;10800C`268" advise="1">
        <values>
          <value>
            <val>1490</val>
          </value>
        </values>
      </ddeItem>
      <ddeItem name="WTXOU0;10800P`205" advise="1">
        <values>
          <value>
            <val>116</val>
          </value>
        </values>
      </ddeItem>
      <ddeItem name="WTXOU0;10800P`267" advise="1">
        <values>
          <value>
            <val>100</val>
          </value>
        </values>
      </ddeItem>
      <ddeItem name="WTXOU0;10800P`268" advise="1">
        <values>
          <value>
            <val>232</val>
          </value>
        </values>
      </ddeItem>
      <ddeItem name="WTXOU0;10900C`205" advise="1">
        <values>
          <value t="str">
            <val>-</val>
          </value>
        </values>
      </ddeItem>
      <ddeItem name="WTXOU0;10900C`267" advise="1">
        <values>
          <value>
            <val>1140</val>
          </value>
        </values>
      </ddeItem>
      <ddeItem name="WTXOU0;10900C`268" advise="1">
        <values>
          <value>
            <val>1400</val>
          </value>
        </values>
      </ddeItem>
      <ddeItem name="WTXOU0;10900P`205" advise="1">
        <values>
          <value t="str">
            <val>-</val>
          </value>
        </values>
      </ddeItem>
      <ddeItem name="WTXOU0;10900P`267" advise="1">
        <values>
          <value>
            <val>41</val>
          </value>
        </values>
      </ddeItem>
      <ddeItem name="WTXOU0;10900P`268" advise="1">
        <values>
          <value>
            <val>248</val>
          </value>
        </values>
      </ddeItem>
      <ddeItem name="WTXOU0;11000C`205" advise="1">
        <values>
          <value t="str">
            <val>-</val>
          </value>
        </values>
      </ddeItem>
      <ddeItem name="WTXOU0;11000C`267" advise="1">
        <values>
          <value>
            <val>1060</val>
          </value>
        </values>
      </ddeItem>
      <ddeItem name="WTXOU0;11000C`268" advise="1">
        <values>
          <value>
            <val>1310</val>
          </value>
        </values>
      </ddeItem>
      <ddeItem name="WTXOU0;11000P`205" advise="1">
        <values>
          <value>
            <val>138</val>
          </value>
        </values>
      </ddeItem>
      <ddeItem name="WTXOU0;11000P`267" advise="1">
        <values>
          <value>
            <val>111</val>
          </value>
        </values>
      </ddeItem>
      <ddeItem name="WTXOU0;11000P`268" advise="1">
        <values>
          <value>
            <val>140</val>
          </value>
        </values>
      </ddeItem>
      <ddeItem name="WTXOU0;11100C`205" advise="1">
        <values>
          <value t="str">
            <val>-</val>
          </value>
        </values>
      </ddeItem>
      <ddeItem name="WTXOU0;11100C`267" advise="1">
        <values>
          <value>
            <val>975</val>
          </value>
        </values>
      </ddeItem>
      <ddeItem name="WTXOU0;11100C`268" advise="1">
        <values>
          <value>
            <val>1220</val>
          </value>
        </values>
      </ddeItem>
      <ddeItem name="WTXOU0;11100P`205" advise="1">
        <values>
          <value t="str">
            <val>-</val>
          </value>
        </values>
      </ddeItem>
      <ddeItem name="WTXOU0;11100P`267" advise="1">
        <values>
          <value>
            <val>47.5</val>
          </value>
        </values>
      </ddeItem>
      <ddeItem name="WTXOU0;11100P`268" advise="1">
        <values>
          <value>
            <val>166</val>
          </value>
        </values>
      </ddeItem>
      <ddeItem name="WTXOU0;11200C`205" advise="1">
        <values>
          <value>
            <val>1000</val>
          </value>
        </values>
      </ddeItem>
      <ddeItem name="WTXOU0;11200C`267" advise="1">
        <values>
          <value>
            <val>890</val>
          </value>
        </values>
      </ddeItem>
      <ddeItem name="WTXOU0;11200C`268" advise="1">
        <values>
          <value>
            <val>1140</val>
          </value>
        </values>
      </ddeItem>
      <ddeItem name="WTXOU0;11200P`205" advise="1">
        <values>
          <value t="str">
            <val>-</val>
          </value>
        </values>
      </ddeItem>
      <ddeItem name="WTXOU0;11200P`267" advise="1">
        <values>
          <value>
            <val>69</val>
          </value>
        </values>
      </ddeItem>
      <ddeItem name="WTXOU0;11200P`268" advise="1">
        <values>
          <value>
            <val>290</val>
          </value>
        </values>
      </ddeItem>
      <ddeItem name="WTXOU0;11300C`205" advise="1">
        <values>
          <value t="str">
            <val>-</val>
          </value>
        </values>
      </ddeItem>
      <ddeItem name="WTXOU0;11300C`267" advise="1">
        <values>
          <value>
            <val>805</val>
          </value>
        </values>
      </ddeItem>
      <ddeItem name="WTXOU0;11300C`268" advise="1">
        <values>
          <value>
            <val>1060</val>
          </value>
        </values>
      </ddeItem>
      <ddeItem name="WTXOU0;11300P`205" advise="1">
        <values>
          <value t="str">
            <val>-</val>
          </value>
        </values>
      </ddeItem>
      <ddeItem name="WTXOU0;11300P`267" advise="1">
        <values>
          <value>
            <val>65</val>
          </value>
        </values>
      </ddeItem>
      <ddeItem name="WTXOU0;11300P`268" advise="1">
        <values>
          <value>
            <val>307</val>
          </value>
        </values>
      </ddeItem>
      <ddeItem name="WTXOU0;11400C`205" advise="1">
        <values>
          <value t="str">
            <val>-</val>
          </value>
        </values>
      </ddeItem>
      <ddeItem name="WTXOU0;11400C`267" advise="1">
        <values>
          <value>
            <val>725</val>
          </value>
        </values>
      </ddeItem>
      <ddeItem name="WTXOU0;11400C`268" advise="1">
        <values>
          <value>
            <val>970</val>
          </value>
        </values>
      </ddeItem>
      <ddeItem name="WTXOU0;11400P`205" advise="1">
        <values>
          <value>
            <val>213</val>
          </value>
        </values>
      </ddeItem>
      <ddeItem name="WTXOU0;11400P`267" advise="1">
        <values>
          <value>
            <val>86</val>
          </value>
        </values>
      </ddeItem>
      <ddeItem name="WTXOU0;11400P`268" advise="1">
        <values>
          <value>
            <val>212</val>
          </value>
        </values>
      </ddeItem>
      <ddeItem name="WTXOU0;11500C`205" advise="1">
        <values>
          <value t="str">
            <val>-</val>
          </value>
        </values>
      </ddeItem>
      <ddeItem name="WTXOU0;11500C`267" advise="1">
        <values>
          <value>
            <val>770</val>
          </value>
        </values>
      </ddeItem>
      <ddeItem name="WTXOU0;11500C`268" advise="1">
        <values>
          <value>
            <val>890</val>
          </value>
        </values>
      </ddeItem>
      <ddeItem name="WTXOU0;11500P`205" advise="1">
        <values>
          <value>
            <val>224</val>
          </value>
        </values>
      </ddeItem>
      <ddeItem name="WTXOU0;11500P`267" advise="1">
        <values>
          <value>
            <val>202</val>
          </value>
        </values>
      </ddeItem>
      <ddeItem name="WTXOU0;11500P`268" advise="1">
        <values>
          <value>
            <val>225</val>
          </value>
        </values>
      </ddeItem>
      <ddeItem name="WTXOU0;11600C`205" advise="1">
        <values>
          <value t="str">
            <val>-</val>
          </value>
        </values>
      </ddeItem>
      <ddeItem name="WTXOU0;11600C`267" advise="1">
        <values>
          <value>
            <val>700</val>
          </value>
        </values>
      </ddeItem>
      <ddeItem name="WTXOU0;11600C`268" advise="1">
        <values>
          <value>
            <val>715</val>
          </value>
        </values>
      </ddeItem>
      <ddeItem name="WTXOU0;11600P`205" advise="1">
        <values>
          <value>
            <val>261</val>
          </value>
        </values>
      </ddeItem>
      <ddeItem name="WTXOU0;11600P`267" advise="1">
        <values>
          <value>
            <val>241</val>
          </value>
        </values>
      </ddeItem>
      <ddeItem name="WTXOU0;11600P`268" advise="1">
        <values>
          <value>
            <val>247</val>
          </value>
        </values>
      </ddeItem>
      <ddeItem name="WTXOU0;11700C`205" advise="1">
        <values>
          <value t="str">
            <val>-</val>
          </value>
        </values>
      </ddeItem>
      <ddeItem name="WTXOU0;11700C`267" advise="1">
        <values>
          <value>
            <val>630</val>
          </value>
        </values>
      </ddeItem>
      <ddeItem name="WTXOU0;11700C`268" advise="1">
        <values>
          <value>
            <val>645</val>
          </value>
        </values>
      </ddeItem>
      <ddeItem name="WTXOU0;11700P`205" advise="1">
        <values>
          <value t="str">
            <val>-</val>
          </value>
        </values>
      </ddeItem>
      <ddeItem name="WTXOU0;11700P`267" advise="1">
        <values>
          <value>
            <val>266</val>
          </value>
        </values>
      </ddeItem>
      <ddeItem name="WTXOU0;11700P`268" advise="1">
        <values>
          <value>
            <val>276</val>
          </value>
        </values>
      </ddeItem>
      <ddeItem name="WTXOU0;11800C`205" advise="1">
        <values>
          <value>
            <val>535</val>
          </value>
        </values>
      </ddeItem>
      <ddeItem name="WTXOU0;11800C`267" advise="1">
        <values>
          <value>
            <val>560</val>
          </value>
        </values>
      </ddeItem>
      <ddeItem name="WTXOU0;11800C`268" advise="1">
        <values>
          <value>
            <val>570</val>
          </value>
        </values>
      </ddeItem>
      <ddeItem name="WTXOU0;11800P`205" advise="1">
        <values>
          <value>
            <val>297</val>
          </value>
        </values>
      </ddeItem>
      <ddeItem name="WTXOU0;11800P`267" advise="1">
        <values>
          <value>
            <val>296</val>
          </value>
        </values>
      </ddeItem>
      <ddeItem name="WTXOU0;11800P`268" advise="1">
        <values>
          <value>
            <val>306</val>
          </value>
        </values>
      </ddeItem>
      <ddeItem name="WTXOU0;11900C`205" advise="1">
        <values>
          <value>
            <val>485</val>
          </value>
        </values>
      </ddeItem>
      <ddeItem name="WTXOU0;11900C`267" advise="1">
        <values>
          <value>
            <val>495</val>
          </value>
        </values>
      </ddeItem>
      <ddeItem name="WTXOU0;11900C`268" advise="1">
        <values>
          <value>
            <val>500</val>
          </value>
        </values>
      </ddeItem>
      <ddeItem name="WTXOU0;11900P`205" advise="1">
        <values>
          <value t="str">
            <val>-</val>
          </value>
        </values>
      </ddeItem>
      <ddeItem name="WTXOU0;11900P`267" advise="1">
        <values>
          <value>
            <val>331</val>
          </value>
        </values>
      </ddeItem>
      <ddeItem name="WTXOU0;11900P`268" advise="1">
        <values>
          <value>
            <val>339</val>
          </value>
        </values>
      </ddeItem>
      <ddeItem name="WTXOU0;12000C`205" advise="1">
        <values>
          <value>
            <val>422</val>
          </value>
        </values>
      </ddeItem>
      <ddeItem name="WTXOU0;12000C`267" advise="1">
        <values>
          <value>
            <val>430</val>
          </value>
        </values>
      </ddeItem>
      <ddeItem name="WTXOU0;12000C`268" advise="1">
        <values>
          <value>
            <val>441</val>
          </value>
        </values>
      </ddeItem>
      <ddeItem name="WTXOU0;12000P`205" advise="1">
        <values>
          <value>
            <val>381</val>
          </value>
        </values>
      </ddeItem>
      <ddeItem name="WTXOU0;12000P`267" advise="1">
        <values>
          <value>
            <val>369</val>
          </value>
        </values>
      </ddeItem>
      <ddeItem name="WTXOU0;12000P`268" advise="1">
        <values>
          <value>
            <val>377</val>
          </value>
        </values>
      </ddeItem>
      <ddeItem name="WTXOU0;12100C`205" advise="1">
        <values>
          <value t="str">
            <val>-</val>
          </value>
        </values>
      </ddeItem>
      <ddeItem name="WTXOU0;12100C`267" advise="1">
        <values>
          <value>
            <val>377</val>
          </value>
        </values>
      </ddeItem>
      <ddeItem name="WTXOU0;12100C`268" advise="1">
        <values>
          <value>
            <val>385</val>
          </value>
        </values>
      </ddeItem>
      <ddeItem name="WTXOU0;12100P`205" advise="1">
        <values>
          <value t="str">
            <val>-</val>
          </value>
        </values>
      </ddeItem>
      <ddeItem name="WTXOU0;12100P`267" advise="1">
        <values>
          <value>
            <val>411</val>
          </value>
        </values>
      </ddeItem>
      <ddeItem name="WTXOU0;12100P`268" advise="1">
        <values>
          <value>
            <val>420</val>
          </value>
        </values>
      </ddeItem>
      <ddeItem name="WTXOU0;12200C`205" advise="1">
        <values>
          <value>
            <val>329</val>
          </value>
        </values>
      </ddeItem>
      <ddeItem name="WTXOU0;12200C`267" advise="1">
        <values>
          <value>
            <val>324</val>
          </value>
        </values>
      </ddeItem>
      <ddeItem name="WTXOU0;12200C`268" advise="1">
        <values>
          <value>
            <val>333</val>
          </value>
        </values>
      </ddeItem>
      <ddeItem name="WTXOU0;12200P`205" advise="1">
        <values>
          <value>
            <val>475</val>
          </value>
        </values>
      </ddeItem>
      <ddeItem name="WTXOU0;12200P`267" advise="1">
        <values>
          <value>
            <val>458</val>
          </value>
        </values>
      </ddeItem>
      <ddeItem name="WTXOU0;12200P`268" advise="1">
        <values>
          <value>
            <val>468</val>
          </value>
        </values>
      </ddeItem>
      <ddeItem name="WTXOU0;12300C`205" advise="1">
        <values>
          <value>
            <val>275</val>
          </value>
        </values>
      </ddeItem>
      <ddeItem name="WTXOU0;12300C`267" advise="1">
        <values>
          <value>
            <val>276</val>
          </value>
        </values>
      </ddeItem>
      <ddeItem name="WTXOU0;12300C`268" advise="1">
        <values>
          <value>
            <val>285</val>
          </value>
        </values>
      </ddeItem>
      <ddeItem name="WTXOU0;12300P`205" advise="1">
        <values>
          <value>
            <val>535</val>
          </value>
        </values>
      </ddeItem>
      <ddeItem name="WTXOU0;12300P`267" advise="1">
        <values>
          <value>
            <val>505</val>
          </value>
        </values>
      </ddeItem>
      <ddeItem name="WTXOU0;12300P`268" advise="1">
        <values>
          <value>
            <val>525</val>
          </value>
        </values>
      </ddeItem>
      <ddeItem name="WTXOU0;12400C`205" advise="1">
        <values>
          <value>
            <val>230</val>
          </value>
        </values>
      </ddeItem>
      <ddeItem name="WTXOU0;12400C`267" advise="1">
        <values>
          <value>
            <val>232</val>
          </value>
        </values>
      </ddeItem>
      <ddeItem name="WTXOU0;12400C`268" advise="1">
        <values>
          <value>
            <val>242</val>
          </value>
        </values>
      </ddeItem>
      <ddeItem name="WTXOU0;12400P`205" advise="1">
        <values>
          <value>
            <val>605</val>
          </value>
        </values>
      </ddeItem>
      <ddeItem name="WTXOU0;12400P`267" advise="1">
        <values>
          <value>
            <val>565</val>
          </value>
        </values>
      </ddeItem>
      <ddeItem name="WTXOU0;12400P`268" advise="1">
        <values>
          <value>
            <val>580</val>
          </value>
        </values>
      </ddeItem>
      <ddeItem name="WTXOU0;12500C`205" advise="1">
        <values>
          <value>
            <val>204</val>
          </value>
        </values>
      </ddeItem>
      <ddeItem name="WTXOU0;12500C`267" advise="1">
        <values>
          <value>
            <val>196</val>
          </value>
        </values>
      </ddeItem>
      <ddeItem name="WTXOU0;12500C`268" advise="1">
        <values>
          <value>
            <val>204</val>
          </value>
        </values>
      </ddeItem>
      <ddeItem name="WTXOU0;12500P`205" advise="1">
        <values>
          <value>
            <val>670</val>
          </value>
        </values>
      </ddeItem>
      <ddeItem name="WTXOU0;12500P`267" advise="1">
        <values>
          <value>
            <val>625</val>
          </value>
        </values>
      </ddeItem>
      <ddeItem name="WTXOU0;12500P`268" advise="1">
        <values>
          <value>
            <val>645</val>
          </value>
        </values>
      </ddeItem>
      <ddeItem name="WTXOU0;12600C`205" advise="1">
        <values>
          <value>
            <val>169</val>
          </value>
        </values>
      </ddeItem>
      <ddeItem name="WTXOU0;12600C`267" advise="1">
        <values>
          <value>
            <val>160</val>
          </value>
        </values>
      </ddeItem>
      <ddeItem name="WTXOU0;12600C`268" advise="1">
        <values>
          <value>
            <val>172</val>
          </value>
        </values>
      </ddeItem>
      <ddeItem name="WTXOU0;12600P`205" advise="1">
        <values>
          <value t="str">
            <val>-</val>
          </value>
        </values>
      </ddeItem>
      <ddeItem name="WTXOU0;12600P`267" advise="1">
        <values>
          <value>
            <val>600</val>
          </value>
        </values>
      </ddeItem>
      <ddeItem name="WTXOU0;12600P`268" advise="1">
        <values>
          <value>
            <val>835</val>
          </value>
        </values>
      </ddeItem>
      <ddeItem name="WTXOU0;12700C`205" advise="1">
        <values>
          <value t="str">
            <val>-</val>
          </value>
        </values>
      </ddeItem>
      <ddeItem name="WTXOU0;12700C`267" advise="1">
        <values>
          <value>
            <val>30.5</val>
          </value>
        </values>
      </ddeItem>
      <ddeItem name="WTXOU0;12700C`268" advise="1">
        <values>
          <value>
            <val>253</val>
          </value>
        </values>
      </ddeItem>
      <ddeItem name="WTXOU0;12700P`205" advise="1">
        <values>
          <value t="str">
            <val>-</val>
          </value>
        </values>
      </ddeItem>
      <ddeItem name="WTXOU0;12700P`267" advise="1">
        <values>
          <value>
            <val>670</val>
          </value>
        </values>
      </ddeItem>
      <ddeItem name="WTXOU0;12700P`268" advise="1">
        <values>
          <value>
            <val>825</val>
          </value>
        </values>
      </ddeItem>
      <ddeItem name="WTXOU0;12800C`205" advise="1">
        <values>
          <value>
            <val>109</val>
          </value>
        </values>
      </ddeItem>
      <ddeItem name="WTXOU0;12800C`267" advise="1">
        <values>
          <value>
            <val>100</val>
          </value>
        </values>
      </ddeItem>
      <ddeItem name="WTXOU0;12800C`268" advise="1">
        <values>
          <value>
            <val>129</val>
          </value>
        </values>
      </ddeItem>
      <ddeItem name="WTXOU0;12800P`205" advise="1">
        <values>
          <value t="str">
            <val>-</val>
          </value>
        </values>
      </ddeItem>
      <ddeItem name="WTXOU0;12800P`267" advise="1">
        <values>
          <value>
            <val>740</val>
          </value>
        </values>
      </ddeItem>
      <ddeItem name="WTXOU0;12800P`268" advise="1">
        <values>
          <value>
            <val>985</val>
          </value>
        </values>
      </ddeItem>
      <ddeItem name="WTXOU0;6800C`205" advise="1">
        <values>
          <value t="str">
            <val>-</val>
          </value>
        </values>
      </ddeItem>
      <ddeItem name="WTXOU0;6800C`267" advise="1">
        <values>
          <value>
            <val>5130</val>
          </value>
        </values>
      </ddeItem>
      <ddeItem name="WTXOU0;6800C`268" advise="1">
        <values>
          <value>
            <val>5380</val>
          </value>
        </values>
      </ddeItem>
      <ddeItem name="WTXOU0;6800P`205" advise="1">
        <values>
          <value t="str">
            <val>-</val>
          </value>
        </values>
      </ddeItem>
      <ddeItem name="WTXOU0;6800P`267" advise="1">
        <values>
          <value>
            <val>4</val>
          </value>
        </values>
      </ddeItem>
      <ddeItem name="WTXOU0;6800P`268" advise="1">
        <values>
          <value>
            <val>7.5</val>
          </value>
        </values>
      </ddeItem>
      <ddeItem name="WTXOU0;7000C`205" advise="1">
        <values>
          <value t="str">
            <val>-</val>
          </value>
        </values>
      </ddeItem>
      <ddeItem name="WTXOU0;7000C`267" advise="1">
        <values>
          <value>
            <val>4930</val>
          </value>
        </values>
      </ddeItem>
      <ddeItem name="WTXOU0;7000C`268" advise="1">
        <values>
          <value>
            <val>5180</val>
          </value>
        </values>
      </ddeItem>
      <ddeItem name="WTXOU0;7000P`205" advise="1">
        <values>
          <value t="str">
            <val>-</val>
          </value>
        </values>
      </ddeItem>
      <ddeItem name="WTXOU0;7000P`267" advise="1">
        <values>
          <value>
            <val>7</val>
          </value>
        </values>
      </ddeItem>
      <ddeItem name="WTXOU0;7000P`268" advise="1">
        <values>
          <value>
            <val>10</val>
          </value>
        </values>
      </ddeItem>
      <ddeItem name="WTXOU0;7200C`205" advise="1">
        <values>
          <value t="str">
            <val>-</val>
          </value>
        </values>
      </ddeItem>
      <ddeItem name="WTXOU0;7200C`267" advise="1">
        <values>
          <value>
            <val>4730</val>
          </value>
        </values>
      </ddeItem>
      <ddeItem name="WTXOU0;7200C`268" advise="1">
        <values>
          <value>
            <val>4980</val>
          </value>
        </values>
      </ddeItem>
      <ddeItem name="WTXOU0;7200P`205" advise="1">
        <values>
          <value t="str">
            <val>-</val>
          </value>
        </values>
      </ddeItem>
      <ddeItem name="WTXOU0;7200P`267" advise="1">
        <values>
          <value>
            <val>7</val>
          </value>
        </values>
      </ddeItem>
      <ddeItem name="WTXOU0;7200P`268" advise="1">
        <values>
          <value>
            <val>11</val>
          </value>
        </values>
      </ddeItem>
      <ddeItem name="WTXOU0;7400C`205" advise="1">
        <values>
          <value t="str">
            <val>-</val>
          </value>
        </values>
      </ddeItem>
      <ddeItem name="WTXOU0;7400C`267" advise="1">
        <values>
          <value>
            <val>4530</val>
          </value>
        </values>
      </ddeItem>
      <ddeItem name="WTXOU0;7400C`268" advise="1">
        <values>
          <value>
            <val>4780</val>
          </value>
        </values>
      </ddeItem>
      <ddeItem name="WTXOU0;7400P`205" advise="1">
        <values>
          <value t="str">
            <val>-</val>
          </value>
        </values>
      </ddeItem>
      <ddeItem name="WTXOU0;7400P`267" advise="1">
        <values>
          <value>
            <val>8</val>
          </value>
        </values>
      </ddeItem>
      <ddeItem name="WTXOU0;7400P`268" advise="1">
        <values>
          <value>
            <val>12</val>
          </value>
        </values>
      </ddeItem>
      <ddeItem name="WTXOU0;7600C`205" advise="1">
        <values>
          <value t="str">
            <val>-</val>
          </value>
        </values>
      </ddeItem>
      <ddeItem name="WTXOU0;7600C`267" advise="1">
        <values>
          <value>
            <val>4330</val>
          </value>
        </values>
      </ddeItem>
      <ddeItem name="WTXOU0;7600C`268" advise="1">
        <values>
          <value>
            <val>4580</val>
          </value>
        </values>
      </ddeItem>
      <ddeItem name="WTXOU0;7600P`205" advise="1">
        <values>
          <value t="str">
            <val>-</val>
          </value>
        </values>
      </ddeItem>
      <ddeItem name="WTXOU0;7600P`267" advise="1">
        <values>
          <value>
            <val>9</val>
          </value>
        </values>
      </ddeItem>
      <ddeItem name="WTXOU0;7600P`268" advise="1">
        <values>
          <value>
            <val>13</val>
          </value>
        </values>
      </ddeItem>
      <ddeItem name="WTXOU0;7800C`205" advise="1">
        <values>
          <value t="str">
            <val>-</val>
          </value>
        </values>
      </ddeItem>
      <ddeItem name="WTXOU0;7800C`267" advise="1">
        <values>
          <value>
            <val>4130</val>
          </value>
        </values>
      </ddeItem>
      <ddeItem name="WTXOU0;7800C`268" advise="1">
        <values>
          <value>
            <val>4380</val>
          </value>
        </values>
      </ddeItem>
      <ddeItem name="WTXOU0;7800P`205" advise="1">
        <values>
          <value t="str">
            <val>-</val>
          </value>
        </values>
      </ddeItem>
      <ddeItem name="WTXOU0;7800P`267" advise="1">
        <values>
          <value>
            <val>10.5</val>
          </value>
        </values>
      </ddeItem>
      <ddeItem name="WTXOU0;7800P`268" advise="1">
        <values>
          <value>
            <val>14.5</val>
          </value>
        </values>
      </ddeItem>
      <ddeItem name="WTXOU0;8000C`205" advise="1">
        <values>
          <value t="str">
            <val>-</val>
          </value>
        </values>
      </ddeItem>
      <ddeItem name="WTXOU0;8000C`267" advise="1">
        <values>
          <value>
            <val>3930</val>
          </value>
        </values>
      </ddeItem>
      <ddeItem name="WTXOU0;8000C`268" advise="1">
        <values>
          <value>
            <val>4190</val>
          </value>
        </values>
      </ddeItem>
      <ddeItem name="WTXOU0;8000P`205" advise="1">
        <values>
          <value t="str">
            <val>-</val>
          </value>
        </values>
      </ddeItem>
      <ddeItem name="WTXOU0;8000P`267" advise="1">
        <values>
          <value>
            <val>12.5</val>
          </value>
        </values>
      </ddeItem>
      <ddeItem name="WTXOU0;8000P`268" advise="1">
        <values>
          <value>
            <val>16.5</val>
          </value>
        </values>
      </ddeItem>
      <ddeItem name="WTXOU0;8200C`205" advise="1">
        <values>
          <value t="str">
            <val>-</val>
          </value>
        </values>
      </ddeItem>
      <ddeItem name="WTXOU0;8200C`267" advise="1">
        <values>
          <value>
            <val>3740</val>
          </value>
        </values>
      </ddeItem>
      <ddeItem name="WTXOU0;8200C`268" advise="1">
        <values>
          <value>
            <val>3990</val>
          </value>
        </values>
      </ddeItem>
      <ddeItem name="WTXOU0;8200P`205" advise="1">
        <values>
          <value t="str">
            <val>-</val>
          </value>
        </values>
      </ddeItem>
      <ddeItem name="WTXOU0;8200P`267" advise="1">
        <values>
          <value>
            <val>14</val>
          </value>
        </values>
      </ddeItem>
      <ddeItem name="WTXOU0;8200P`268" advise="1">
        <values>
          <value>
            <val>18</val>
          </value>
        </values>
      </ddeItem>
      <ddeItem name="WTXOU0;8400C`205" advise="1">
        <values>
          <value t="str">
            <val>-</val>
          </value>
        </values>
      </ddeItem>
      <ddeItem name="WTXOU0;8400C`267" advise="1">
        <values>
          <value>
            <val>3540</val>
          </value>
        </values>
      </ddeItem>
      <ddeItem name="WTXOU0;8400C`268" advise="1">
        <values>
          <value>
            <val>3790</val>
          </value>
        </values>
      </ddeItem>
      <ddeItem name="WTXOU0;8400P`205" advise="1">
        <values>
          <value t="str">
            <val>-</val>
          </value>
        </values>
      </ddeItem>
      <ddeItem name="WTXOU0;8400P`267" advise="1">
        <values>
          <value>
            <val>15.5</val>
          </value>
        </values>
      </ddeItem>
      <ddeItem name="WTXOU0;8400P`268" advise="1">
        <values>
          <value>
            <val>20.5</val>
          </value>
        </values>
      </ddeItem>
      <ddeItem name="WTXOU0;8600C`205" advise="1">
        <values>
          <value t="str">
            <val>-</val>
          </value>
        </values>
      </ddeItem>
      <ddeItem name="WTXOU0;8600C`267" advise="1">
        <values>
          <value>
            <val>3340</val>
          </value>
        </values>
      </ddeItem>
      <ddeItem name="WTXOU0;8600C`268" advise="1">
        <values>
          <value>
            <val>3590</val>
          </value>
        </values>
      </ddeItem>
      <ddeItem name="WTXOU0;8600P`205" advise="1">
        <values>
          <value t="str">
            <val>-</val>
          </value>
        </values>
      </ddeItem>
      <ddeItem name="WTXOU0;8600P`267" advise="1">
        <values>
          <value>
            <val>17</val>
          </value>
        </values>
      </ddeItem>
      <ddeItem name="WTXOU0;8600P`268" advise="1">
        <values>
          <value>
            <val>22</val>
          </value>
        </values>
      </ddeItem>
      <ddeItem name="WTXOU0;8800C`205" advise="1">
        <values>
          <value t="str">
            <val>-</val>
          </value>
        </values>
      </ddeItem>
      <ddeItem name="WTXOU0;8800C`267" advise="1">
        <values>
          <value>
            <val>3140</val>
          </value>
        </values>
      </ddeItem>
      <ddeItem name="WTXOU0;8800C`268" advise="1">
        <values>
          <value>
            <val>3400</val>
          </value>
        </values>
      </ddeItem>
      <ddeItem name="WTXOU0;8800P`205" advise="1">
        <values>
          <value t="str">
            <val>-</val>
          </value>
        </values>
      </ddeItem>
      <ddeItem name="WTXOU0;8800P`267" advise="1">
        <values>
          <value>
            <val>20</val>
          </value>
        </values>
      </ddeItem>
      <ddeItem name="WTXOU0;8800P`268" advise="1">
        <values>
          <value>
            <val>25</val>
          </value>
        </values>
      </ddeItem>
      <ddeItem name="WTXOU0;9000C`205" advise="1">
        <values>
          <value t="str">
            <val>-</val>
          </value>
        </values>
      </ddeItem>
      <ddeItem name="WTXOU0;9000C`267" advise="1">
        <values>
          <value>
            <val>2950</val>
          </value>
        </values>
      </ddeItem>
      <ddeItem name="WTXOU0;9000C`268" advise="1">
        <values>
          <value>
            <val>3200</val>
          </value>
        </values>
      </ddeItem>
      <ddeItem name="WTXOU0;9000P`205" advise="1">
        <values>
          <value>
            <val>25</val>
          </value>
        </values>
      </ddeItem>
      <ddeItem name="WTXOU0;9000P`267" advise="1">
        <values>
          <value>
            <val>23.5</val>
          </value>
        </values>
      </ddeItem>
      <ddeItem name="WTXOU0;9000P`268" advise="1">
        <values>
          <value>
            <val>28.5</val>
          </value>
        </values>
      </ddeItem>
      <ddeItem name="WTXOU0;9200C`205" advise="1">
        <values>
          <value t="str">
            <val>-</val>
          </value>
        </values>
      </ddeItem>
      <ddeItem name="WTXOU0;9200C`267" advise="1">
        <values>
          <value>
            <val>2750</val>
          </value>
        </values>
      </ddeItem>
      <ddeItem name="WTXOU0;9200C`268" advise="1">
        <values>
          <value>
            <val>3000</val>
          </value>
        </values>
      </ddeItem>
      <ddeItem name="WTXOU0;9200P`205" advise="1">
        <values>
          <value>
            <val>29</val>
          </value>
        </values>
      </ddeItem>
      <ddeItem name="WTXOU0;9200P`267" advise="1">
        <values>
          <value>
            <val>29</val>
          </value>
        </values>
      </ddeItem>
      <ddeItem name="WTXOU0;9200P`268" advise="1">
        <values>
          <value>
            <val>154</val>
          </value>
        </values>
      </ddeItem>
      <ddeItem name="WTXOU0;9400C`205" advise="1">
        <values>
          <value t="str">
            <val>-</val>
          </value>
        </values>
      </ddeItem>
      <ddeItem name="WTXOU0;9400C`267" advise="1">
        <values>
          <value>
            <val>2560</val>
          </value>
        </values>
      </ddeItem>
      <ddeItem name="WTXOU0;9400C`268" advise="1">
        <values>
          <value>
            <val>2810</val>
          </value>
        </values>
      </ddeItem>
      <ddeItem name="WTXOU0;9400P`205" advise="1">
        <values>
          <value t="str">
            <val>-</val>
          </value>
        </values>
      </ddeItem>
      <ddeItem name="WTXOU0;9400P`267" advise="1">
        <values>
          <value>
            <val>15</val>
          </value>
        </values>
      </ddeItem>
      <ddeItem name="WTXOU0;9400P`268" advise="1">
        <values>
          <value>
            <val>49</val>
          </value>
        </values>
      </ddeItem>
      <ddeItem name="WTXOU0;9600C`205" advise="1">
        <values>
          <value t="str">
            <val>-</val>
          </value>
        </values>
      </ddeItem>
      <ddeItem name="WTXOU0;9600C`267" advise="1">
        <values>
          <value>
            <val>2360</val>
          </value>
        </values>
      </ddeItem>
      <ddeItem name="WTXOU0;9600C`268" advise="1">
        <values>
          <value>
            <val>2610</val>
          </value>
        </values>
      </ddeItem>
      <ddeItem name="WTXOU0;9600P`205" advise="1">
        <values>
          <value t="str">
            <val>-</val>
          </value>
        </values>
      </ddeItem>
      <ddeItem name="WTXOU0;9600P`267" advise="1">
        <values>
          <value>
            <val>35</val>
          </value>
        </values>
      </ddeItem>
      <ddeItem name="WTXOU0;9600P`268" advise="1">
        <values>
          <value>
            <val>42</val>
          </value>
        </values>
      </ddeItem>
      <ddeItem name="WTXOU0;9800C`205" advise="1">
        <values>
          <value t="str">
            <val>-</val>
          </value>
        </values>
      </ddeItem>
      <ddeItem name="WTXOU0;9800C`267" advise="1">
        <values>
          <value>
            <val>2180</val>
          </value>
        </values>
      </ddeItem>
      <ddeItem name="WTXOU0;9800C`268" advise="1">
        <values>
          <value>
            <val>2420</val>
          </value>
        </values>
      </ddeItem>
      <ddeItem name="WTXOU0;9800P`205" advise="1">
        <values>
          <value t="str">
            <val>-</val>
          </value>
        </values>
      </ddeItem>
      <ddeItem name="WTXOU0;9800P`267" advise="1">
        <values>
          <value>
            <val>41</val>
          </value>
        </values>
      </ddeItem>
      <ddeItem name="WTXOU0;9800P`268" advise="1">
        <values>
          <value>
            <val>52</val>
          </value>
        </values>
      </ddeItem>
      <ddeItem name="WTXOZ0;10000C`205" advise="1">
        <values>
          <value t="str">
            <val>-</val>
          </value>
        </values>
      </ddeItem>
      <ddeItem name="WTXOZ0;10000C`267" advise="1">
        <values>
          <value>
            <val>1990</val>
          </value>
        </values>
      </ddeItem>
      <ddeItem name="WTXOZ0;10000C`268" advise="1">
        <values>
          <value>
            <val>2240</val>
          </value>
        </values>
      </ddeItem>
      <ddeItem name="WTXOZ0;10000P`205" advise="1">
        <values>
          <value t="str">
            <val>-</val>
          </value>
        </values>
      </ddeItem>
      <ddeItem name="WTXOZ0;10000P`267" advise="1">
        <values>
          <value>
            <val>162</val>
          </value>
        </values>
      </ddeItem>
      <ddeItem name="WTXOZ0;10000P`268" advise="1">
        <values>
          <value>
            <val>294</val>
          </value>
        </values>
      </ddeItem>
      <ddeItem name="WTXOZ0;10200C`205" advise="1">
        <values>
          <value t="str">
            <val>-</val>
          </value>
        </values>
      </ddeItem>
      <ddeItem name="WTXOZ0;10200C`267" advise="1">
        <values>
          <value>
            <val>1810</val>
          </value>
        </values>
      </ddeItem>
      <ddeItem name="WTXOZ0;10200C`268" advise="1">
        <values>
          <value>
            <val>2070</val>
          </value>
        </values>
      </ddeItem>
      <ddeItem name="WTXOZ0;10200P`205" advise="1">
        <values>
          <value t="str">
            <val>-</val>
          </value>
        </values>
      </ddeItem>
      <ddeItem name="WTXOZ0;10200P`267" advise="1">
        <values>
          <value>
            <val>180</val>
          </value>
        </values>
      </ddeItem>
      <ddeItem name="WTXOZ0;10200P`268" advise="1">
        <values>
          <value>
            <val>318</val>
          </value>
        </values>
      </ddeItem>
      <ddeItem name="WTXOZ0;10400C`205" advise="1">
        <values>
          <value t="str">
            <val>-</val>
          </value>
        </values>
      </ddeItem>
      <ddeItem name="WTXOZ0;10400C`267" advise="1">
        <values>
          <value>
            <val>1650</val>
          </value>
        </values>
      </ddeItem>
      <ddeItem name="WTXOZ0;10400C`268" advise="1">
        <values>
          <value>
            <val>1890</val>
          </value>
        </values>
      </ddeItem>
      <ddeItem name="WTXOZ0;10400P`205" advise="1">
        <values>
          <value t="str">
            <val>-</val>
          </value>
        </values>
      </ddeItem>
      <ddeItem name="WTXOZ0;10400P`267" advise="1">
        <values>
          <value>
            <val>212</val>
          </value>
        </values>
      </ddeItem>
      <ddeItem name="WTXOZ0;10400P`268" advise="1">
        <values>
          <value>
            <val>228</val>
          </value>
        </values>
      </ddeItem>
      <ddeItem name="WTXOZ0;10600C`205" advise="1">
        <values>
          <value t="str">
            <val>-</val>
          </value>
        </values>
      </ddeItem>
      <ddeItem name="WTXOZ0;10600C`267" advise="1">
        <values>
          <value>
            <val>1470</val>
          </value>
        </values>
      </ddeItem>
      <ddeItem name="WTXOZ0;10600C`268" advise="1">
        <values>
          <value>
            <val>1720</val>
          </value>
        </values>
      </ddeItem>
      <ddeItem name="WTXOZ0;10600P`205" advise="1">
        <values>
          <value t="str">
            <val>-</val>
          </value>
        </values>
      </ddeItem>
      <ddeItem name="WTXOZ0;10600P`267" advise="1">
        <values>
          <value>
            <val>243</val>
          </value>
        </values>
      </ddeItem>
      <ddeItem name="WTXOZ0;10600P`268" advise="1">
        <values>
          <value>
            <val>259</val>
          </value>
        </values>
      </ddeItem>
      <ddeItem name="WTXOZ0;10800C`205" advise="1">
        <values>
          <value t="str">
            <val>-</val>
          </value>
        </values>
      </ddeItem>
      <ddeItem name="WTXOZ0;10800C`267" advise="1">
        <values>
          <value>
            <val>1310</val>
          </value>
        </values>
      </ddeItem>
      <ddeItem name="WTXOZ0;10800C`268" advise="1">
        <values>
          <value>
            <val>1550</val>
          </value>
        </values>
      </ddeItem>
      <ddeItem name="WTXOZ0;10800P`205" advise="1">
        <values>
          <value t="str">
            <val>-</val>
          </value>
        </values>
      </ddeItem>
      <ddeItem name="WTXOZ0;10800P`267" advise="1">
        <values>
          <value>
            <val>278</val>
          </value>
        </values>
      </ddeItem>
      <ddeItem name="WTXOZ0;10800P`268" advise="1">
        <values>
          <value>
            <val>295</val>
          </value>
        </values>
      </ddeItem>
      <ddeItem name="WTXOZ0;11000C`205" advise="1">
        <values>
          <value t="str">
            <val>-</val>
          </value>
        </values>
      </ddeItem>
      <ddeItem name="WTXOZ0;11000C`267" advise="1">
        <values>
          <value>
            <val>1240</val>
          </value>
        </values>
      </ddeItem>
      <ddeItem name="WTXOZ0;11000C`268" advise="1">
        <values>
          <value>
            <val>1310</val>
          </value>
        </values>
      </ddeItem>
      <ddeItem name="WTXOZ0;11000P`205" advise="1">
        <values>
          <value t="str">
            <val>-</val>
          </value>
        </values>
      </ddeItem>
      <ddeItem name="WTXOZ0;11000P`267" advise="1">
        <values>
          <value>
            <val>319</val>
          </value>
        </values>
      </ddeItem>
      <ddeItem name="WTXOZ0;11000P`268" advise="1">
        <values>
          <value>
            <val>336</val>
          </value>
        </values>
      </ddeItem>
      <ddeItem name="WTXOZ0;11200C`205" advise="1">
        <values>
          <value t="str">
            <val>-</val>
          </value>
        </values>
      </ddeItem>
      <ddeItem name="WTXOZ0;11200C`267" advise="1">
        <values>
          <value>
            <val>1090</val>
          </value>
        </values>
      </ddeItem>
      <ddeItem name="WTXOZ0;11200C`268" advise="1">
        <values>
          <value>
            <val>1160</val>
          </value>
        </values>
      </ddeItem>
      <ddeItem name="WTXOZ0;11200P`205" advise="1">
        <values>
          <value t="str">
            <val>-</val>
          </value>
        </values>
      </ddeItem>
      <ddeItem name="WTXOZ0;11200P`267" advise="1">
        <values>
          <value>
            <val>366</val>
          </value>
        </values>
      </ddeItem>
      <ddeItem name="WTXOZ0;11200P`268" advise="1">
        <values>
          <value>
            <val>384</val>
          </value>
        </values>
      </ddeItem>
      <ddeItem name="WTXOZ0;11400C`205" advise="1">
        <values>
          <value t="str">
            <val>-</val>
          </value>
        </values>
      </ddeItem>
      <ddeItem name="WTXOZ0;11400C`267" advise="1">
        <values>
          <value>
            <val>950</val>
          </value>
        </values>
      </ddeItem>
      <ddeItem name="WTXOZ0;11400C`268" advise="1">
        <values>
          <value>
            <val>1090</val>
          </value>
        </values>
      </ddeItem>
      <ddeItem name="WTXOZ0;11400P`205" advise="1">
        <values>
          <value t="str">
            <val>-</val>
          </value>
        </values>
      </ddeItem>
      <ddeItem name="WTXOZ0;11400P`267" advise="1">
        <values>
          <value>
            <val>421</val>
          </value>
        </values>
      </ddeItem>
      <ddeItem name="WTXOZ0;11400P`268" advise="1">
        <values>
          <value>
            <val>440</val>
          </value>
        </values>
      </ddeItem>
      <ddeItem name="WTXOZ0;11600C`205" advise="1">
        <values>
          <value t="str">
            <val>-</val>
          </value>
        </values>
      </ddeItem>
      <ddeItem name="WTXOZ0;11600C`267" advise="1">
        <values>
          <value>
            <val>845</val>
          </value>
        </values>
      </ddeItem>
      <ddeItem name="WTXOZ0;11600C`268" advise="1">
        <values>
          <value>
            <val>870</val>
          </value>
        </values>
      </ddeItem>
      <ddeItem name="WTXOZ0;11600P`205" advise="1">
        <values>
          <value t="str">
            <val>-</val>
          </value>
        </values>
      </ddeItem>
      <ddeItem name="WTXOZ0;11600P`267" advise="1">
        <values>
          <value>
            <val>483</val>
          </value>
        </values>
      </ddeItem>
      <ddeItem name="WTXOZ0;11600P`268" advise="1">
        <values>
          <value>
            <val>505</val>
          </value>
        </values>
      </ddeItem>
      <ddeItem name="WTXOZ0;11800C`205" advise="1">
        <values>
          <value t="str">
            <val>-</val>
          </value>
        </values>
      </ddeItem>
      <ddeItem name="WTXOZ0;11800C`267" advise="1">
        <values>
          <value>
            <val>720</val>
          </value>
        </values>
      </ddeItem>
      <ddeItem name="WTXOZ0;11800C`268" advise="1">
        <values>
          <value>
            <val>745</val>
          </value>
        </values>
      </ddeItem>
      <ddeItem name="WTXOZ0;11800P`205" advise="1">
        <values>
          <value t="str">
            <val>-</val>
          </value>
        </values>
      </ddeItem>
      <ddeItem name="WTXOZ0;11800P`267" advise="1">
        <values>
          <value>
            <val>555</val>
          </value>
        </values>
      </ddeItem>
      <ddeItem name="WTXOZ0;11800P`268" advise="1">
        <values>
          <value>
            <val>575</val>
          </value>
        </values>
      </ddeItem>
      <ddeItem name="WTXOZ0;12000C`205" advise="1">
        <values>
          <value t="str">
            <val>-</val>
          </value>
        </values>
      </ddeItem>
      <ddeItem name="WTXOZ0;12000C`267" advise="1">
        <values>
          <value>
            <val>600</val>
          </value>
        </values>
      </ddeItem>
      <ddeItem name="WTXOZ0;12000C`268" advise="1">
        <values>
          <value>
            <val>620</val>
          </value>
        </values>
      </ddeItem>
      <ddeItem name="WTXOZ0;12000P`205" advise="1">
        <values>
          <value t="str">
            <val>-</val>
          </value>
        </values>
      </ddeItem>
      <ddeItem name="WTXOZ0;12000P`267" advise="1">
        <values>
          <value>
            <val>635</val>
          </value>
        </values>
      </ddeItem>
      <ddeItem name="WTXOZ0;12000P`268" advise="1">
        <values>
          <value>
            <val>655</val>
          </value>
        </values>
      </ddeItem>
      <ddeItem name="WTXOZ0;12200C`205" advise="1">
        <values>
          <value t="str">
            <val>-</val>
          </value>
        </values>
      </ddeItem>
      <ddeItem name="WTXOZ0;12200C`267" advise="1">
        <values>
          <value>
            <val>495</val>
          </value>
        </values>
      </ddeItem>
      <ddeItem name="WTXOZ0;12200C`268" advise="1">
        <values>
          <value>
            <val>515</val>
          </value>
        </values>
      </ddeItem>
      <ddeItem name="WTXOZ0;12200P`205" advise="1">
        <values>
          <value t="str">
            <val>-</val>
          </value>
        </values>
      </ddeItem>
      <ddeItem name="WTXOZ0;12200P`267" advise="1">
        <values>
          <value>
            <val>725</val>
          </value>
        </values>
      </ddeItem>
      <ddeItem name="WTXOZ0;12200P`268" advise="1">
        <values>
          <value>
            <val>750</val>
          </value>
        </values>
      </ddeItem>
      <ddeItem name="WTXOZ0;12400C`205" advise="1">
        <values>
          <value t="str">
            <val>-</val>
          </value>
        </values>
      </ddeItem>
      <ddeItem name="WTXOZ0;12400C`267" advise="1">
        <values>
          <value>
            <val>402</val>
          </value>
        </values>
      </ddeItem>
      <ddeItem name="WTXOZ0;12400C`268" advise="1">
        <values>
          <value>
            <val>421</val>
          </value>
        </values>
      </ddeItem>
      <ddeItem name="WTXOZ0;12400P`205" advise="1">
        <values>
          <value t="str">
            <val>-</val>
          </value>
        </values>
      </ddeItem>
      <ddeItem name="WTXOZ0;12400P`267" advise="1">
        <values>
          <value>
            <val>745</val>
          </value>
        </values>
      </ddeItem>
      <ddeItem name="WTXOZ0;12400P`268" advise="1">
        <values>
          <value>
            <val>895</val>
          </value>
        </values>
      </ddeItem>
      <ddeItem name="WTXOZ0;12600C`205" advise="1">
        <values>
          <value t="str">
            <val>-</val>
          </value>
        </values>
      </ddeItem>
      <ddeItem name="WTXOZ0;12600C`267" advise="1">
        <values>
          <value>
            <val>322</val>
          </value>
        </values>
      </ddeItem>
      <ddeItem name="WTXOZ0;12600C`268" advise="1">
        <values>
          <value>
            <val>340</val>
          </value>
        </values>
      </ddeItem>
      <ddeItem name="WTXOZ0;12600P`205" advise="1">
        <values>
          <value t="str">
            <val>-</val>
          </value>
        </values>
      </ddeItem>
      <ddeItem name="WTXOZ0;12600P`267" advise="1">
        <values>
          <value>
            <val>870</val>
          </value>
        </values>
      </ddeItem>
      <ddeItem name="WTXOZ0;12600P`268" advise="1">
        <values>
          <value>
            <val>1010</val>
          </value>
        </values>
      </ddeItem>
      <ddeItem name="WTXOZ0;12800C`205" advise="1">
        <values>
          <value t="str">
            <val>-</val>
          </value>
        </values>
      </ddeItem>
      <ddeItem name="WTXOZ0;12800C`267" advise="1">
        <values>
          <value>
            <val>254</val>
          </value>
        </values>
      </ddeItem>
      <ddeItem name="WTXOZ0;12800C`268" advise="1">
        <values>
          <value>
            <val>272</val>
          </value>
        </values>
      </ddeItem>
      <ddeItem name="WTXOZ0;12800P`205" advise="1">
        <values>
          <value t="str">
            <val>-</val>
          </value>
        </values>
      </ddeItem>
      <ddeItem name="WTXOZ0;12800P`267" advise="1">
        <values>
          <value>
            <val>1000</val>
          </value>
        </values>
      </ddeItem>
      <ddeItem name="WTXOZ0;12800P`268" advise="1">
        <values>
          <value>
            <val>1160</val>
          </value>
        </values>
      </ddeItem>
      <ddeItem name="WTXOZ0;13000C`205" advise="1">
        <values>
          <value t="str">
            <val>-</val>
          </value>
        </values>
      </ddeItem>
      <ddeItem name="WTXOZ0;13000C`267" advise="1">
        <values>
          <value>
            <val>198</val>
          </value>
        </values>
      </ddeItem>
      <ddeItem name="WTXOZ0;13000C`268" advise="1">
        <values>
          <value>
            <val>210</val>
          </value>
        </values>
      </ddeItem>
      <ddeItem name="WTXOZ0;13000P`205" advise="1">
        <values>
          <value t="str">
            <val>-</val>
          </value>
        </values>
      </ddeItem>
      <ddeItem name="WTXOZ0;13000P`267" advise="1">
        <values>
          <value>
            <val>1140</val>
          </value>
        </values>
      </ddeItem>
      <ddeItem name="WTXOZ0;13000P`268" advise="1">
        <values>
          <value>
            <val>1330</val>
          </value>
        </values>
      </ddeItem>
      <ddeItem name="WTXOZ0;6800C`205" advise="1">
        <values>
          <value t="str">
            <val>-</val>
          </value>
        </values>
      </ddeItem>
      <ddeItem name="WTXOZ0;6800C`267" advise="1">
        <values>
          <value>
            <val>5040</val>
          </value>
        </values>
      </ddeItem>
      <ddeItem name="WTXOZ0;6800C`268" advise="1">
        <values>
          <value>
            <val>5290</val>
          </value>
        </values>
      </ddeItem>
      <ddeItem name="WTXOZ0;6800P`205" advise="1">
        <values>
          <value t="str">
            <val>-</val>
          </value>
        </values>
      </ddeItem>
      <ddeItem name="WTXOZ0;6800P`267" advise="1">
        <values>
          <value>
            <val>30</val>
          </value>
        </values>
      </ddeItem>
      <ddeItem name="WTXOZ0;6800P`268" advise="1">
        <values>
          <value>
            <val>33.5</val>
          </value>
        </values>
      </ddeItem>
      <ddeItem name="WTXOZ0;7000C`205" advise="1">
        <values>
          <value t="str">
            <val>-</val>
          </value>
        </values>
      </ddeItem>
      <ddeItem name="WTXOZ0;7000C`267" advise="1">
        <values>
          <value>
            <val>4850</val>
          </value>
        </values>
      </ddeItem>
      <ddeItem name="WTXOZ0;7000C`268" advise="1">
        <values>
          <value>
            <val>5100</val>
          </value>
        </values>
      </ddeItem>
      <ddeItem name="WTXOZ0;7000P`205" advise="1">
        <values>
          <value t="str">
            <val>-</val>
          </value>
        </values>
      </ddeItem>
      <ddeItem name="WTXOZ0;7000P`267" advise="1">
        <values>
          <value>
            <val>30</val>
          </value>
        </values>
      </ddeItem>
      <ddeItem name="WTXOZ0;7000P`268" advise="1">
        <values>
          <value>
            <val>37</val>
          </value>
        </values>
      </ddeItem>
      <ddeItem name="WTXOZ0;7200C`205" advise="1">
        <values>
          <value t="str">
            <val>-</val>
          </value>
        </values>
      </ddeItem>
      <ddeItem name="WTXOZ0;7200C`267" advise="1">
        <values>
          <value>
            <val>4650</val>
          </value>
        </values>
      </ddeItem>
      <ddeItem name="WTXOZ0;7200C`268" advise="1">
        <values>
          <value>
            <val>4900</val>
          </value>
        </values>
      </ddeItem>
      <ddeItem name="WTXOZ0;7200P`205" advise="1">
        <values>
          <value t="str">
            <val>-</val>
          </value>
        </values>
      </ddeItem>
      <ddeItem name="WTXOZ0;7200P`267" advise="1">
        <values>
          <value>
            <val>30</val>
          </value>
        </values>
      </ddeItem>
      <ddeItem name="WTXOZ0;7200P`268" advise="1">
        <values>
          <value>
            <val>41</val>
          </value>
        </values>
      </ddeItem>
      <ddeItem name="WTXOZ0;7400C`205" advise="1">
        <values>
          <value t="str">
            <val>-</val>
          </value>
        </values>
      </ddeItem>
      <ddeItem name="WTXOZ0;7400C`267" advise="1">
        <values>
          <value>
            <val>4450</val>
          </value>
        </values>
      </ddeItem>
      <ddeItem name="WTXOZ0;7400C`268" advise="1">
        <values>
          <value>
            <val>4710</val>
          </value>
        </values>
      </ddeItem>
      <ddeItem name="WTXOZ0;7400P`205" advise="1">
        <values>
          <value t="str">
            <val>-</val>
          </value>
        </values>
      </ddeItem>
      <ddeItem name="WTXOZ0;7400P`267" advise="1">
        <values>
          <value>
            <val>33</val>
          </value>
        </values>
      </ddeItem>
      <ddeItem name="WTXOZ0;7400P`268" advise="1">
        <values>
          <value>
            <val>44.5</val>
          </value>
        </values>
      </ddeItem>
      <ddeItem name="WTXOZ0;7600C`205" advise="1">
        <values>
          <value t="str">
            <val>-</val>
          </value>
        </values>
      </ddeItem>
      <ddeItem name="WTXOZ0;7600C`267" advise="1">
        <values>
          <value>
            <val>4260</val>
          </value>
        </values>
      </ddeItem>
      <ddeItem name="WTXOZ0;7600C`268" advise="1">
        <values>
          <value>
            <val>4510</val>
          </value>
        </values>
      </ddeItem>
      <ddeItem name="WTXOZ0;7600P`205" advise="1">
        <values>
          <value t="str">
            <val>-</val>
          </value>
        </values>
      </ddeItem>
      <ddeItem name="WTXOZ0;7600P`267" advise="1">
        <values>
          <value>
            <val>37</val>
          </value>
        </values>
      </ddeItem>
      <ddeItem name="WTXOZ0;7600P`268" advise="1">
        <values>
          <value>
            <val>49</val>
          </value>
        </values>
      </ddeItem>
      <ddeItem name="WTXOZ0;7800C`205" advise="1">
        <values>
          <value t="str">
            <val>-</val>
          </value>
        </values>
      </ddeItem>
      <ddeItem name="WTXOZ0;7800C`267" advise="1">
        <values>
          <value>
            <val>4060</val>
          </value>
        </values>
      </ddeItem>
      <ddeItem name="WTXOZ0;7800C`268" advise="1">
        <values>
          <value>
            <val>4320</val>
          </value>
        </values>
      </ddeItem>
      <ddeItem name="WTXOZ0;7800P`205" advise="1">
        <values>
          <value t="str">
            <val>-</val>
          </value>
        </values>
      </ddeItem>
      <ddeItem name="WTXOZ0;7800P`267" advise="1">
        <values>
          <value>
            <val>42</val>
          </value>
        </values>
      </ddeItem>
      <ddeItem name="WTXOZ0;7800P`268" advise="1">
        <values>
          <value>
            <val>54</val>
          </value>
        </values>
      </ddeItem>
      <ddeItem name="WTXOZ0;8000C`205" advise="1">
        <values>
          <value t="str">
            <val>-</val>
          </value>
        </values>
      </ddeItem>
      <ddeItem name="WTXOZ0;8000C`267" advise="1">
        <values>
          <value>
            <val>3870</val>
          </value>
        </values>
      </ddeItem>
      <ddeItem name="WTXOZ0;8000C`268" advise="1">
        <values>
          <value>
            <val>4120</val>
          </value>
        </values>
      </ddeItem>
      <ddeItem name="WTXOZ0;8000P`205" advise="1">
        <values>
          <value t="str">
            <val>-</val>
          </value>
        </values>
      </ddeItem>
      <ddeItem name="WTXOZ0;8000P`267" advise="1">
        <values>
          <value>
            <val>47.5</val>
          </value>
        </values>
      </ddeItem>
      <ddeItem name="WTXOZ0;8000P`268" advise="1">
        <values>
          <value>
            <val>59</val>
          </value>
        </values>
      </ddeItem>
      <ddeItem name="WTXOZ0;8200C`205" advise="1">
        <values>
          <value t="str">
            <val>-</val>
          </value>
        </values>
      </ddeItem>
      <ddeItem name="WTXOZ0;8200C`267" advise="1">
        <values>
          <value>
            <val>3680</val>
          </value>
        </values>
      </ddeItem>
      <ddeItem name="WTXOZ0;8200C`268" advise="1">
        <values>
          <value>
            <val>3930</val>
          </value>
        </values>
      </ddeItem>
      <ddeItem name="WTXOZ0;8200P`205" advise="1">
        <values>
          <value t="str">
            <val>-</val>
          </value>
        </values>
      </ddeItem>
      <ddeItem name="WTXOZ0;8200P`267" advise="1">
        <values>
          <value>
            <val>53</val>
          </value>
        </values>
      </ddeItem>
      <ddeItem name="WTXOZ0;8200P`268" advise="1">
        <values>
          <value>
            <val>179</val>
          </value>
        </values>
      </ddeItem>
      <ddeItem name="WTXOZ0;8400C`205" advise="1">
        <values>
          <value t="str">
            <val>-</val>
          </value>
        </values>
      </ddeItem>
      <ddeItem name="WTXOZ0;8400C`267" advise="1">
        <values>
          <value>
            <val>3480</val>
          </value>
        </values>
      </ddeItem>
      <ddeItem name="WTXOZ0;8400C`268" advise="1">
        <values>
          <value>
            <val>3740</val>
          </value>
        </values>
      </ddeItem>
      <ddeItem name="WTXOZ0;8400P`205" advise="1">
        <values>
          <value t="str">
            <val>-</val>
          </value>
        </values>
      </ddeItem>
      <ddeItem name="WTXOZ0;8400P`267" advise="1">
        <values>
          <value>
            <val>9</val>
          </value>
        </values>
      </ddeItem>
      <ddeItem name="WTXOZ0;8400P`268" advise="1">
        <values>
          <value>
            <val>186</val>
          </value>
        </values>
      </ddeItem>
      <ddeItem name="WTXOZ0;8600C`205" advise="1">
        <values>
          <value t="str">
            <val>-</val>
          </value>
        </values>
      </ddeItem>
      <ddeItem name="WTXOZ0;8600C`267" advise="1">
        <values>
          <value>
            <val>3290</val>
          </value>
        </values>
      </ddeItem>
      <ddeItem name="WTXOZ0;8600C`268" advise="1">
        <values>
          <value>
            <val>3540</val>
          </value>
        </values>
      </ddeItem>
      <ddeItem name="WTXOZ0;8600P`205" advise="1">
        <values>
          <value t="str">
            <val>-</val>
          </value>
        </values>
      </ddeItem>
      <ddeItem name="WTXOZ0;8600P`267" advise="1">
        <values>
          <value>
            <val>9</val>
          </value>
        </values>
      </ddeItem>
      <ddeItem name="WTXOZ0;8600P`268" advise="1">
        <values>
          <value>
            <val>194</val>
          </value>
        </values>
      </ddeItem>
      <ddeItem name="WTXOZ0;8800C`205" advise="1">
        <values>
          <value t="str">
            <val>-</val>
          </value>
        </values>
      </ddeItem>
      <ddeItem name="WTXOZ0;8800C`267" advise="1">
        <values>
          <value>
            <val>3100</val>
          </value>
        </values>
      </ddeItem>
      <ddeItem name="WTXOZ0;8800C`268" advise="1">
        <values>
          <value>
            <val>3350</val>
          </value>
        </values>
      </ddeItem>
      <ddeItem name="WTXOZ0;8800P`205" advise="1">
        <values>
          <value t="str">
            <val>-</val>
          </value>
        </values>
      </ddeItem>
      <ddeItem name="WTXOZ0;8800P`267" advise="1">
        <values>
          <value>
            <val>22</val>
          </value>
        </values>
      </ddeItem>
      <ddeItem name="WTXOZ0;8800P`268" advise="1">
        <values>
          <value>
            <val>203</val>
          </value>
        </values>
      </ddeItem>
      <ddeItem name="WTXOZ0;9000C`205" advise="1">
        <values>
          <value t="str">
            <val>-</val>
          </value>
        </values>
      </ddeItem>
      <ddeItem name="WTXOZ0;9000C`267" advise="1">
        <values>
          <value>
            <val>2910</val>
          </value>
        </values>
      </ddeItem>
      <ddeItem name="WTXOZ0;9000C`268" advise="1">
        <values>
          <value>
            <val>3160</val>
          </value>
        </values>
      </ddeItem>
      <ddeItem name="WTXOZ0;9000P`205" advise="1">
        <values>
          <value t="str">
            <val>-</val>
          </value>
        </values>
      </ddeItem>
      <ddeItem name="WTXOZ0;9000P`267" advise="1">
        <values>
          <value>
            <val>81</val>
          </value>
        </values>
      </ddeItem>
      <ddeItem name="WTXOZ0;9000P`268" advise="1">
        <values>
          <value>
            <val>213</val>
          </value>
        </values>
      </ddeItem>
      <ddeItem name="WTXOZ0;9200C`205" advise="1">
        <values>
          <value t="str">
            <val>-</val>
          </value>
        </values>
      </ddeItem>
      <ddeItem name="WTXOZ0;9200C`267" advise="1">
        <values>
          <value>
            <val>2720</val>
          </value>
        </values>
      </ddeItem>
      <ddeItem name="WTXOZ0;9200C`268" advise="1">
        <values>
          <value>
            <val>2980</val>
          </value>
        </values>
      </ddeItem>
      <ddeItem name="WTXOZ0;9200P`205" advise="1">
        <values>
          <value t="str">
            <val>-</val>
          </value>
        </values>
      </ddeItem>
      <ddeItem name="WTXOZ0;9200P`267" advise="1">
        <values>
          <value>
            <val>102</val>
          </value>
        </values>
      </ddeItem>
      <ddeItem name="WTXOZ0;9200P`268" advise="1">
        <values>
          <value>
            <val>225</val>
          </value>
        </values>
      </ddeItem>
      <ddeItem name="WTXOZ0;9400C`205" advise="1">
        <values>
          <value t="str">
            <val>-</val>
          </value>
        </values>
      </ddeItem>
      <ddeItem name="WTXOZ0;9400C`267" advise="1">
        <values>
          <value>
            <val>2540</val>
          </value>
        </values>
      </ddeItem>
      <ddeItem name="WTXOZ0;9400C`268" advise="1">
        <values>
          <value>
            <val>2790</val>
          </value>
        </values>
      </ddeItem>
      <ddeItem name="WTXOZ0;9400P`205" advise="1">
        <values>
          <value t="str">
            <val>-</val>
          </value>
        </values>
      </ddeItem>
      <ddeItem name="WTXOZ0;9400P`267" advise="1">
        <values>
          <value>
            <val>116</val>
          </value>
        </values>
      </ddeItem>
      <ddeItem name="WTXOZ0;9400P`268" advise="1">
        <values>
          <value>
            <val>238</val>
          </value>
        </values>
      </ddeItem>
      <ddeItem name="WTXOZ0;9600C`205" advise="1">
        <values>
          <value t="str">
            <val>-</val>
          </value>
        </values>
      </ddeItem>
      <ddeItem name="WTXOZ0;9600C`267" advise="1">
        <values>
          <value>
            <val>2350</val>
          </value>
        </values>
      </ddeItem>
      <ddeItem name="WTXOZ0;9600C`268" advise="1">
        <values>
          <value>
            <val>2600</val>
          </value>
        </values>
      </ddeItem>
      <ddeItem name="WTXOZ0;9600P`205" advise="1">
        <values>
          <value t="str">
            <val>-</val>
          </value>
        </values>
      </ddeItem>
      <ddeItem name="WTXOZ0;9600P`267" advise="1">
        <values>
          <value>
            <val>120</val>
          </value>
        </values>
      </ddeItem>
      <ddeItem name="WTXOZ0;9600P`268" advise="1">
        <values>
          <value>
            <val>257</val>
          </value>
        </values>
      </ddeItem>
      <ddeItem name="WTXOZ0;9800C`205" advise="1">
        <values>
          <value t="str">
            <val>-</val>
          </value>
        </values>
      </ddeItem>
      <ddeItem name="WTXOZ0;9800C`267" advise="1">
        <values>
          <value>
            <val>2180</val>
          </value>
        </values>
      </ddeItem>
      <ddeItem name="WTXOZ0;9800C`268" advise="1">
        <values>
          <value>
            <val>2420</val>
          </value>
        </values>
      </ddeItem>
      <ddeItem name="WTXOZ0;9800P`205" advise="1">
        <values>
          <value t="str">
            <val>-</val>
          </value>
        </values>
      </ddeItem>
      <ddeItem name="WTXOZ0;9800P`267" advise="1">
        <values>
          <value>
            <val>101</val>
          </value>
        </values>
      </ddeItem>
      <ddeItem name="WTXOZ0;9800P`268" advise="1">
        <values>
          <value>
            <val>274</val>
          </value>
        </values>
      </ddeItem>
    </ddeItems>
  </ddeLink>
</externalLink>
</file>

<file path=xl/queryTables/queryTable1.xml><?xml version="1.0" encoding="utf-8"?>
<queryTable xmlns="http://schemas.openxmlformats.org/spreadsheetml/2006/main" name="tradingday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arrealmkt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tockposdy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armktmakercfg_query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2451"/>
  <sheetViews>
    <sheetView workbookViewId="0">
      <selection activeCell="C18" sqref="C18"/>
    </sheetView>
  </sheetViews>
  <sheetFormatPr defaultRowHeight="16.5" x14ac:dyDescent="0.25"/>
  <cols>
    <col min="1" max="1" width="9.5" bestFit="1" customWidth="1"/>
    <col min="2" max="2" width="13.5" bestFit="1" customWidth="1"/>
    <col min="3" max="3" width="9.5" bestFit="1" customWidth="1"/>
    <col min="5" max="5" width="12.625" customWidth="1"/>
  </cols>
  <sheetData>
    <row r="1" spans="1:6" x14ac:dyDescent="0.25">
      <c r="A1" s="59" t="s">
        <v>22</v>
      </c>
      <c r="B1" s="59" t="s">
        <v>23</v>
      </c>
      <c r="C1" s="59" t="s">
        <v>24</v>
      </c>
      <c r="E1" t="s">
        <v>31</v>
      </c>
      <c r="F1" t="s">
        <v>32</v>
      </c>
    </row>
    <row r="2" spans="1:6" x14ac:dyDescent="0.25">
      <c r="A2" s="60">
        <v>1</v>
      </c>
      <c r="B2" s="61">
        <v>44027</v>
      </c>
      <c r="C2" s="60" t="s">
        <v>28</v>
      </c>
      <c r="E2" t="s">
        <v>33</v>
      </c>
      <c r="F2" t="s">
        <v>27</v>
      </c>
    </row>
    <row r="3" spans="1:6" x14ac:dyDescent="0.25">
      <c r="A3" s="62">
        <v>2</v>
      </c>
      <c r="B3" s="63">
        <v>44028</v>
      </c>
      <c r="C3" s="62" t="s">
        <v>29</v>
      </c>
      <c r="E3" t="s">
        <v>34</v>
      </c>
      <c r="F3" t="s">
        <v>28</v>
      </c>
    </row>
    <row r="4" spans="1:6" x14ac:dyDescent="0.25">
      <c r="A4" s="60">
        <v>3</v>
      </c>
      <c r="B4" s="61">
        <v>44029</v>
      </c>
      <c r="C4" s="60" t="s">
        <v>25</v>
      </c>
      <c r="E4" t="s">
        <v>35</v>
      </c>
      <c r="F4" t="s">
        <v>28</v>
      </c>
    </row>
    <row r="5" spans="1:6" x14ac:dyDescent="0.25">
      <c r="A5" s="60">
        <v>4</v>
      </c>
      <c r="B5" s="61">
        <v>44032</v>
      </c>
      <c r="C5" s="60" t="s">
        <v>26</v>
      </c>
      <c r="E5" t="s">
        <v>36</v>
      </c>
      <c r="F5" t="s">
        <v>26</v>
      </c>
    </row>
    <row r="6" spans="1:6" x14ac:dyDescent="0.25">
      <c r="A6" s="60">
        <v>5</v>
      </c>
      <c r="B6" s="61">
        <v>44033</v>
      </c>
      <c r="C6" s="60" t="s">
        <v>27</v>
      </c>
      <c r="E6" t="s">
        <v>37</v>
      </c>
      <c r="F6" t="s">
        <v>38</v>
      </c>
    </row>
    <row r="7" spans="1:6" x14ac:dyDescent="0.25">
      <c r="A7" s="60">
        <v>6</v>
      </c>
      <c r="B7" s="61">
        <v>44034</v>
      </c>
      <c r="C7" s="60" t="s">
        <v>28</v>
      </c>
      <c r="E7" t="s">
        <v>39</v>
      </c>
      <c r="F7" t="s">
        <v>26</v>
      </c>
    </row>
    <row r="8" spans="1:6" x14ac:dyDescent="0.25">
      <c r="A8" s="62">
        <v>7</v>
      </c>
      <c r="B8" s="63">
        <v>44035</v>
      </c>
      <c r="C8" s="62" t="s">
        <v>29</v>
      </c>
      <c r="E8" t="s">
        <v>40</v>
      </c>
      <c r="F8" t="s">
        <v>41</v>
      </c>
    </row>
    <row r="9" spans="1:6" x14ac:dyDescent="0.25">
      <c r="A9" s="60">
        <v>8</v>
      </c>
      <c r="B9" s="61">
        <v>44036</v>
      </c>
      <c r="C9" s="60" t="s">
        <v>25</v>
      </c>
      <c r="E9" t="s">
        <v>42</v>
      </c>
      <c r="F9" t="s">
        <v>29</v>
      </c>
    </row>
    <row r="10" spans="1:6" x14ac:dyDescent="0.25">
      <c r="A10" s="60">
        <v>9</v>
      </c>
      <c r="B10" s="61">
        <v>44039</v>
      </c>
      <c r="C10" s="60" t="s">
        <v>26</v>
      </c>
      <c r="E10" t="s">
        <v>43</v>
      </c>
      <c r="F10" t="s">
        <v>25</v>
      </c>
    </row>
    <row r="11" spans="1:6" x14ac:dyDescent="0.25">
      <c r="A11" s="60">
        <v>10</v>
      </c>
      <c r="B11" s="61">
        <v>44040</v>
      </c>
      <c r="C11" s="60" t="s">
        <v>27</v>
      </c>
      <c r="E11" t="s">
        <v>44</v>
      </c>
      <c r="F11" t="s">
        <v>28</v>
      </c>
    </row>
    <row r="12" spans="1:6" x14ac:dyDescent="0.25">
      <c r="A12" s="62">
        <v>11</v>
      </c>
      <c r="B12" s="63">
        <v>44041</v>
      </c>
      <c r="C12" s="62" t="s">
        <v>28</v>
      </c>
      <c r="E12" t="s">
        <v>45</v>
      </c>
      <c r="F12" t="s">
        <v>25</v>
      </c>
    </row>
    <row r="13" spans="1:6" x14ac:dyDescent="0.25">
      <c r="A13" s="60">
        <v>12</v>
      </c>
      <c r="B13" s="61">
        <v>44042</v>
      </c>
      <c r="C13" s="60" t="s">
        <v>29</v>
      </c>
      <c r="E13" t="s">
        <v>46</v>
      </c>
      <c r="F13" t="s">
        <v>25</v>
      </c>
    </row>
    <row r="14" spans="1:6" x14ac:dyDescent="0.25">
      <c r="A14" s="60">
        <v>13</v>
      </c>
      <c r="B14" s="61">
        <v>44043</v>
      </c>
      <c r="C14" s="60" t="s">
        <v>25</v>
      </c>
      <c r="E14" t="s">
        <v>47</v>
      </c>
      <c r="F14" t="s">
        <v>41</v>
      </c>
    </row>
    <row r="15" spans="1:6" x14ac:dyDescent="0.25">
      <c r="A15" s="60">
        <v>14</v>
      </c>
      <c r="B15" s="61">
        <v>44046</v>
      </c>
      <c r="C15" s="60" t="s">
        <v>26</v>
      </c>
    </row>
    <row r="16" spans="1:6" x14ac:dyDescent="0.25">
      <c r="A16" s="64">
        <v>15</v>
      </c>
      <c r="B16" s="65">
        <v>44047</v>
      </c>
      <c r="C16" s="64" t="s">
        <v>27</v>
      </c>
    </row>
    <row r="17" spans="1:3" x14ac:dyDescent="0.25">
      <c r="A17" s="62">
        <v>16</v>
      </c>
      <c r="B17" s="63">
        <v>44048</v>
      </c>
      <c r="C17" s="62" t="s">
        <v>28</v>
      </c>
    </row>
    <row r="18" spans="1:3" x14ac:dyDescent="0.25">
      <c r="A18" s="60">
        <v>17</v>
      </c>
      <c r="B18" s="61">
        <v>44049</v>
      </c>
      <c r="C18" s="60" t="s">
        <v>29</v>
      </c>
    </row>
    <row r="19" spans="1:3" x14ac:dyDescent="0.25">
      <c r="A19" s="60">
        <v>18</v>
      </c>
      <c r="B19" s="61">
        <v>44050</v>
      </c>
      <c r="C19" s="60" t="s">
        <v>25</v>
      </c>
    </row>
    <row r="20" spans="1:3" x14ac:dyDescent="0.25">
      <c r="A20" s="60">
        <v>19</v>
      </c>
      <c r="B20" s="61">
        <v>44053</v>
      </c>
      <c r="C20" s="60" t="s">
        <v>26</v>
      </c>
    </row>
    <row r="21" spans="1:3" x14ac:dyDescent="0.25">
      <c r="A21" s="60">
        <v>20</v>
      </c>
      <c r="B21" s="61">
        <v>44054</v>
      </c>
      <c r="C21" s="60" t="s">
        <v>27</v>
      </c>
    </row>
    <row r="22" spans="1:3" x14ac:dyDescent="0.25">
      <c r="A22" s="60">
        <v>21</v>
      </c>
      <c r="B22" s="61">
        <v>44055</v>
      </c>
      <c r="C22" s="60" t="s">
        <v>28</v>
      </c>
    </row>
    <row r="23" spans="1:3" x14ac:dyDescent="0.25">
      <c r="A23" s="60">
        <v>22</v>
      </c>
      <c r="B23" s="61">
        <v>44056</v>
      </c>
      <c r="C23" s="60" t="s">
        <v>29</v>
      </c>
    </row>
    <row r="24" spans="1:3" x14ac:dyDescent="0.25">
      <c r="A24" s="60">
        <v>23</v>
      </c>
      <c r="B24" s="61">
        <v>44057</v>
      </c>
      <c r="C24" s="60" t="s">
        <v>25</v>
      </c>
    </row>
    <row r="25" spans="1:3" x14ac:dyDescent="0.25">
      <c r="A25" s="60">
        <v>24</v>
      </c>
      <c r="B25" s="61">
        <v>44060</v>
      </c>
      <c r="C25" s="60" t="s">
        <v>26</v>
      </c>
    </row>
    <row r="26" spans="1:3" x14ac:dyDescent="0.25">
      <c r="A26" s="62">
        <v>25</v>
      </c>
      <c r="B26" s="63">
        <v>44061</v>
      </c>
      <c r="C26" s="62" t="s">
        <v>27</v>
      </c>
    </row>
    <row r="27" spans="1:3" x14ac:dyDescent="0.25">
      <c r="A27" s="60">
        <v>26</v>
      </c>
      <c r="B27" s="61">
        <v>44062</v>
      </c>
      <c r="C27" s="60" t="s">
        <v>28</v>
      </c>
    </row>
    <row r="28" spans="1:3" x14ac:dyDescent="0.25">
      <c r="A28" s="60">
        <v>27</v>
      </c>
      <c r="B28" s="61">
        <v>44063</v>
      </c>
      <c r="C28" s="60" t="s">
        <v>29</v>
      </c>
    </row>
    <row r="29" spans="1:3" x14ac:dyDescent="0.25">
      <c r="A29" s="60">
        <v>28</v>
      </c>
      <c r="B29" s="61">
        <v>44064</v>
      </c>
      <c r="C29" s="60" t="s">
        <v>25</v>
      </c>
    </row>
    <row r="30" spans="1:3" x14ac:dyDescent="0.25">
      <c r="A30" s="60">
        <v>29</v>
      </c>
      <c r="B30" s="61">
        <v>44067</v>
      </c>
      <c r="C30" s="60" t="s">
        <v>26</v>
      </c>
    </row>
    <row r="31" spans="1:3" x14ac:dyDescent="0.25">
      <c r="A31" s="62">
        <v>30</v>
      </c>
      <c r="B31" s="63">
        <v>44068</v>
      </c>
      <c r="C31" s="62" t="s">
        <v>27</v>
      </c>
    </row>
    <row r="32" spans="1:3" x14ac:dyDescent="0.25">
      <c r="A32" s="60">
        <v>31</v>
      </c>
      <c r="B32" s="61">
        <v>44069</v>
      </c>
      <c r="C32" s="60" t="s">
        <v>28</v>
      </c>
    </row>
    <row r="33" spans="1:3" x14ac:dyDescent="0.25">
      <c r="A33" s="60">
        <v>32</v>
      </c>
      <c r="B33" s="61">
        <v>44070</v>
      </c>
      <c r="C33" s="60" t="s">
        <v>29</v>
      </c>
    </row>
    <row r="34" spans="1:3" x14ac:dyDescent="0.25">
      <c r="A34" s="60">
        <v>33</v>
      </c>
      <c r="B34" s="61">
        <v>44071</v>
      </c>
      <c r="C34" s="60" t="s">
        <v>25</v>
      </c>
    </row>
    <row r="35" spans="1:3" x14ac:dyDescent="0.25">
      <c r="A35" s="62">
        <v>34</v>
      </c>
      <c r="B35" s="63">
        <v>44074</v>
      </c>
      <c r="C35" s="62" t="s">
        <v>26</v>
      </c>
    </row>
    <row r="36" spans="1:3" x14ac:dyDescent="0.25">
      <c r="A36" s="64">
        <v>35</v>
      </c>
      <c r="B36" s="65">
        <v>44075</v>
      </c>
      <c r="C36" s="64" t="s">
        <v>27</v>
      </c>
    </row>
    <row r="37" spans="1:3" x14ac:dyDescent="0.25">
      <c r="A37" s="62">
        <v>36</v>
      </c>
      <c r="B37" s="63">
        <v>44076</v>
      </c>
      <c r="C37" s="62" t="s">
        <v>28</v>
      </c>
    </row>
    <row r="38" spans="1:3" x14ac:dyDescent="0.25">
      <c r="A38" s="60">
        <v>37</v>
      </c>
      <c r="B38" s="61">
        <v>44077</v>
      </c>
      <c r="C38" s="60" t="s">
        <v>29</v>
      </c>
    </row>
    <row r="39" spans="1:3" x14ac:dyDescent="0.25">
      <c r="A39" s="60">
        <v>38</v>
      </c>
      <c r="B39" s="61">
        <v>44078</v>
      </c>
      <c r="C39" s="60" t="s">
        <v>25</v>
      </c>
    </row>
    <row r="40" spans="1:3" x14ac:dyDescent="0.25">
      <c r="A40" s="60">
        <v>39</v>
      </c>
      <c r="B40" s="61">
        <v>44081</v>
      </c>
      <c r="C40" s="60" t="s">
        <v>26</v>
      </c>
    </row>
    <row r="41" spans="1:3" x14ac:dyDescent="0.25">
      <c r="A41" s="60">
        <v>40</v>
      </c>
      <c r="B41" s="61">
        <v>44082</v>
      </c>
      <c r="C41" s="60" t="s">
        <v>27</v>
      </c>
    </row>
    <row r="42" spans="1:3" x14ac:dyDescent="0.25">
      <c r="A42" s="60">
        <v>41</v>
      </c>
      <c r="B42" s="61">
        <v>44083</v>
      </c>
      <c r="C42" s="60" t="s">
        <v>28</v>
      </c>
    </row>
    <row r="43" spans="1:3" x14ac:dyDescent="0.25">
      <c r="A43" s="60">
        <v>42</v>
      </c>
      <c r="B43" s="61">
        <v>44084</v>
      </c>
      <c r="C43" s="60" t="s">
        <v>29</v>
      </c>
    </row>
    <row r="44" spans="1:3" x14ac:dyDescent="0.25">
      <c r="A44" s="60">
        <v>43</v>
      </c>
      <c r="B44" s="61">
        <v>44085</v>
      </c>
      <c r="C44" s="60" t="s">
        <v>25</v>
      </c>
    </row>
    <row r="45" spans="1:3" x14ac:dyDescent="0.25">
      <c r="A45" s="60">
        <v>44</v>
      </c>
      <c r="B45" s="61">
        <v>44088</v>
      </c>
      <c r="C45" s="60" t="s">
        <v>26</v>
      </c>
    </row>
    <row r="46" spans="1:3" x14ac:dyDescent="0.25">
      <c r="A46" s="62">
        <v>45</v>
      </c>
      <c r="B46" s="63">
        <v>44089</v>
      </c>
      <c r="C46" s="62" t="s">
        <v>27</v>
      </c>
    </row>
    <row r="47" spans="1:3" x14ac:dyDescent="0.25">
      <c r="A47" s="60">
        <v>46</v>
      </c>
      <c r="B47" s="61">
        <v>44090</v>
      </c>
      <c r="C47" s="60" t="s">
        <v>28</v>
      </c>
    </row>
    <row r="48" spans="1:3" x14ac:dyDescent="0.25">
      <c r="A48" s="60">
        <v>47</v>
      </c>
      <c r="B48" s="61">
        <v>44091</v>
      </c>
      <c r="C48" s="60" t="s">
        <v>29</v>
      </c>
    </row>
    <row r="49" spans="1:3" x14ac:dyDescent="0.25">
      <c r="A49" s="60">
        <v>48</v>
      </c>
      <c r="B49" s="61">
        <v>44092</v>
      </c>
      <c r="C49" s="60" t="s">
        <v>25</v>
      </c>
    </row>
    <row r="50" spans="1:3" x14ac:dyDescent="0.25">
      <c r="A50" s="62">
        <v>49</v>
      </c>
      <c r="B50" s="63">
        <v>44095</v>
      </c>
      <c r="C50" s="62" t="s">
        <v>26</v>
      </c>
    </row>
    <row r="51" spans="1:3" x14ac:dyDescent="0.25">
      <c r="A51" s="60">
        <v>50</v>
      </c>
      <c r="B51" s="61">
        <v>44096</v>
      </c>
      <c r="C51" s="60" t="s">
        <v>27</v>
      </c>
    </row>
    <row r="52" spans="1:3" x14ac:dyDescent="0.25">
      <c r="A52" s="62">
        <v>51</v>
      </c>
      <c r="B52" s="63">
        <v>44097</v>
      </c>
      <c r="C52" s="62" t="s">
        <v>28</v>
      </c>
    </row>
    <row r="53" spans="1:3" x14ac:dyDescent="0.25">
      <c r="A53" s="60">
        <v>52</v>
      </c>
      <c r="B53" s="61">
        <v>44098</v>
      </c>
      <c r="C53" s="60" t="s">
        <v>29</v>
      </c>
    </row>
    <row r="54" spans="1:3" x14ac:dyDescent="0.25">
      <c r="A54" s="60">
        <v>53</v>
      </c>
      <c r="B54" s="61">
        <v>44099</v>
      </c>
      <c r="C54" s="60" t="s">
        <v>25</v>
      </c>
    </row>
    <row r="55" spans="1:3" x14ac:dyDescent="0.25">
      <c r="A55" s="60">
        <v>54</v>
      </c>
      <c r="B55" s="61">
        <v>44102</v>
      </c>
      <c r="C55" s="60" t="s">
        <v>26</v>
      </c>
    </row>
    <row r="56" spans="1:3" x14ac:dyDescent="0.25">
      <c r="A56" s="60">
        <v>55</v>
      </c>
      <c r="B56" s="61">
        <v>44103</v>
      </c>
      <c r="C56" s="60" t="s">
        <v>27</v>
      </c>
    </row>
    <row r="57" spans="1:3" x14ac:dyDescent="0.25">
      <c r="A57" s="60">
        <v>56</v>
      </c>
      <c r="B57" s="61">
        <v>44104</v>
      </c>
      <c r="C57" s="60" t="s">
        <v>28</v>
      </c>
    </row>
    <row r="58" spans="1:3" x14ac:dyDescent="0.25">
      <c r="A58" s="64">
        <v>57</v>
      </c>
      <c r="B58" s="65">
        <v>44109</v>
      </c>
      <c r="C58" s="64" t="s">
        <v>26</v>
      </c>
    </row>
    <row r="59" spans="1:3" x14ac:dyDescent="0.25">
      <c r="A59" s="62">
        <v>58</v>
      </c>
      <c r="B59" s="63">
        <v>44110</v>
      </c>
      <c r="C59" s="62" t="s">
        <v>27</v>
      </c>
    </row>
    <row r="60" spans="1:3" x14ac:dyDescent="0.25">
      <c r="A60" s="60">
        <v>59</v>
      </c>
      <c r="B60" s="61">
        <v>44111</v>
      </c>
      <c r="C60" s="60" t="s">
        <v>28</v>
      </c>
    </row>
    <row r="61" spans="1:3" x14ac:dyDescent="0.25">
      <c r="A61" s="60">
        <v>60</v>
      </c>
      <c r="B61" s="61">
        <v>44112</v>
      </c>
      <c r="C61" s="60" t="s">
        <v>29</v>
      </c>
    </row>
    <row r="62" spans="1:3" x14ac:dyDescent="0.25">
      <c r="A62" s="60">
        <v>61</v>
      </c>
      <c r="B62" s="61">
        <v>44116</v>
      </c>
      <c r="C62" s="60" t="s">
        <v>26</v>
      </c>
    </row>
    <row r="63" spans="1:3" x14ac:dyDescent="0.25">
      <c r="A63" s="60">
        <v>62</v>
      </c>
      <c r="B63" s="61">
        <v>44117</v>
      </c>
      <c r="C63" s="60" t="s">
        <v>27</v>
      </c>
    </row>
    <row r="64" spans="1:3" x14ac:dyDescent="0.25">
      <c r="A64" s="60">
        <v>63</v>
      </c>
      <c r="B64" s="61">
        <v>44118</v>
      </c>
      <c r="C64" s="60" t="s">
        <v>28</v>
      </c>
    </row>
    <row r="65" spans="1:3" x14ac:dyDescent="0.25">
      <c r="A65" s="60">
        <v>64</v>
      </c>
      <c r="B65" s="61">
        <v>44119</v>
      </c>
      <c r="C65" s="60" t="s">
        <v>29</v>
      </c>
    </row>
    <row r="66" spans="1:3" x14ac:dyDescent="0.25">
      <c r="A66" s="60">
        <v>65</v>
      </c>
      <c r="B66" s="61">
        <v>44120</v>
      </c>
      <c r="C66" s="60" t="s">
        <v>25</v>
      </c>
    </row>
    <row r="67" spans="1:3" x14ac:dyDescent="0.25">
      <c r="A67" s="60">
        <v>66</v>
      </c>
      <c r="B67" s="61">
        <v>44123</v>
      </c>
      <c r="C67" s="60" t="s">
        <v>26</v>
      </c>
    </row>
    <row r="68" spans="1:3" x14ac:dyDescent="0.25">
      <c r="A68" s="60">
        <v>67</v>
      </c>
      <c r="B68" s="61">
        <v>44124</v>
      </c>
      <c r="C68" s="60" t="s">
        <v>27</v>
      </c>
    </row>
    <row r="69" spans="1:3" x14ac:dyDescent="0.25">
      <c r="A69" s="60">
        <v>68</v>
      </c>
      <c r="B69" s="61">
        <v>44125</v>
      </c>
      <c r="C69" s="60" t="s">
        <v>28</v>
      </c>
    </row>
    <row r="70" spans="1:3" x14ac:dyDescent="0.25">
      <c r="A70" s="60">
        <v>69</v>
      </c>
      <c r="B70" s="61">
        <v>44126</v>
      </c>
      <c r="C70" s="60" t="s">
        <v>29</v>
      </c>
    </row>
    <row r="71" spans="1:3" x14ac:dyDescent="0.25">
      <c r="A71" s="60">
        <v>70</v>
      </c>
      <c r="B71" s="61">
        <v>44127</v>
      </c>
      <c r="C71" s="60" t="s">
        <v>25</v>
      </c>
    </row>
    <row r="72" spans="1:3" x14ac:dyDescent="0.25">
      <c r="A72" s="60">
        <v>71</v>
      </c>
      <c r="B72" s="61">
        <v>44130</v>
      </c>
      <c r="C72" s="60" t="s">
        <v>26</v>
      </c>
    </row>
    <row r="73" spans="1:3" x14ac:dyDescent="0.25">
      <c r="A73" s="60">
        <v>72</v>
      </c>
      <c r="B73" s="61">
        <v>44131</v>
      </c>
      <c r="C73" s="60" t="s">
        <v>27</v>
      </c>
    </row>
    <row r="74" spans="1:3" x14ac:dyDescent="0.25">
      <c r="A74" s="60">
        <v>73</v>
      </c>
      <c r="B74" s="61">
        <v>44132</v>
      </c>
      <c r="C74" s="60" t="s">
        <v>28</v>
      </c>
    </row>
    <row r="75" spans="1:3" x14ac:dyDescent="0.25">
      <c r="A75" s="60">
        <v>74</v>
      </c>
      <c r="B75" s="61">
        <v>44133</v>
      </c>
      <c r="C75" s="60" t="s">
        <v>29</v>
      </c>
    </row>
    <row r="76" spans="1:3" x14ac:dyDescent="0.25">
      <c r="A76" s="60">
        <v>75</v>
      </c>
      <c r="B76" s="61">
        <v>44134</v>
      </c>
      <c r="C76" s="60" t="s">
        <v>25</v>
      </c>
    </row>
    <row r="77" spans="1:3" x14ac:dyDescent="0.25">
      <c r="A77" s="62">
        <v>76</v>
      </c>
      <c r="B77" s="63">
        <v>44137</v>
      </c>
      <c r="C77" s="62" t="s">
        <v>26</v>
      </c>
    </row>
    <row r="78" spans="1:3" x14ac:dyDescent="0.25">
      <c r="A78" s="60">
        <v>77</v>
      </c>
      <c r="B78" s="61">
        <v>44138</v>
      </c>
      <c r="C78" s="60" t="s">
        <v>27</v>
      </c>
    </row>
    <row r="79" spans="1:3" x14ac:dyDescent="0.25">
      <c r="A79" s="62">
        <v>78</v>
      </c>
      <c r="B79" s="63">
        <v>44139</v>
      </c>
      <c r="C79" s="62" t="s">
        <v>28</v>
      </c>
    </row>
    <row r="80" spans="1:3" x14ac:dyDescent="0.25">
      <c r="A80" s="60">
        <v>79</v>
      </c>
      <c r="B80" s="61">
        <v>44140</v>
      </c>
      <c r="C80" s="60" t="s">
        <v>29</v>
      </c>
    </row>
    <row r="81" spans="1:3" x14ac:dyDescent="0.25">
      <c r="A81" s="60">
        <v>80</v>
      </c>
      <c r="B81" s="61">
        <v>44141</v>
      </c>
      <c r="C81" s="60" t="s">
        <v>25</v>
      </c>
    </row>
    <row r="82" spans="1:3" x14ac:dyDescent="0.25">
      <c r="A82" s="60">
        <v>81</v>
      </c>
      <c r="B82" s="61">
        <v>44144</v>
      </c>
      <c r="C82" s="60" t="s">
        <v>26</v>
      </c>
    </row>
    <row r="83" spans="1:3" x14ac:dyDescent="0.25">
      <c r="A83" s="60">
        <v>82</v>
      </c>
      <c r="B83" s="61">
        <v>44145</v>
      </c>
      <c r="C83" s="60" t="s">
        <v>27</v>
      </c>
    </row>
    <row r="84" spans="1:3" x14ac:dyDescent="0.25">
      <c r="A84" s="60">
        <v>83</v>
      </c>
      <c r="B84" s="61">
        <v>44146</v>
      </c>
      <c r="C84" s="60" t="s">
        <v>28</v>
      </c>
    </row>
    <row r="85" spans="1:3" x14ac:dyDescent="0.25">
      <c r="A85" s="60">
        <v>84</v>
      </c>
      <c r="B85" s="61">
        <v>44147</v>
      </c>
      <c r="C85" s="60" t="s">
        <v>29</v>
      </c>
    </row>
    <row r="86" spans="1:3" x14ac:dyDescent="0.25">
      <c r="A86" s="60">
        <v>85</v>
      </c>
      <c r="B86" s="61">
        <v>44148</v>
      </c>
      <c r="C86" s="60" t="s">
        <v>25</v>
      </c>
    </row>
    <row r="87" spans="1:3" x14ac:dyDescent="0.25">
      <c r="A87" s="60">
        <v>86</v>
      </c>
      <c r="B87" s="61">
        <v>44151</v>
      </c>
      <c r="C87" s="60" t="s">
        <v>26</v>
      </c>
    </row>
    <row r="88" spans="1:3" x14ac:dyDescent="0.25">
      <c r="A88" s="60">
        <v>87</v>
      </c>
      <c r="B88" s="61">
        <v>44152</v>
      </c>
      <c r="C88" s="60" t="s">
        <v>27</v>
      </c>
    </row>
    <row r="89" spans="1:3" x14ac:dyDescent="0.25">
      <c r="A89" s="60">
        <v>88</v>
      </c>
      <c r="B89" s="61">
        <v>44153</v>
      </c>
      <c r="C89" s="60" t="s">
        <v>28</v>
      </c>
    </row>
    <row r="90" spans="1:3" x14ac:dyDescent="0.25">
      <c r="A90" s="60">
        <v>89</v>
      </c>
      <c r="B90" s="61">
        <v>44154</v>
      </c>
      <c r="C90" s="60" t="s">
        <v>29</v>
      </c>
    </row>
    <row r="91" spans="1:3" x14ac:dyDescent="0.25">
      <c r="A91" s="60">
        <v>90</v>
      </c>
      <c r="B91" s="61">
        <v>44155</v>
      </c>
      <c r="C91" s="60" t="s">
        <v>25</v>
      </c>
    </row>
    <row r="92" spans="1:3" x14ac:dyDescent="0.25">
      <c r="A92" s="60">
        <v>91</v>
      </c>
      <c r="B92" s="61">
        <v>44158</v>
      </c>
      <c r="C92" s="60" t="s">
        <v>26</v>
      </c>
    </row>
    <row r="93" spans="1:3" x14ac:dyDescent="0.25">
      <c r="A93" s="60">
        <v>92</v>
      </c>
      <c r="B93" s="61">
        <v>44159</v>
      </c>
      <c r="C93" s="60" t="s">
        <v>27</v>
      </c>
    </row>
    <row r="94" spans="1:3" x14ac:dyDescent="0.25">
      <c r="A94" s="60">
        <v>93</v>
      </c>
      <c r="B94" s="61">
        <v>44160</v>
      </c>
      <c r="C94" s="60" t="s">
        <v>28</v>
      </c>
    </row>
    <row r="95" spans="1:3" x14ac:dyDescent="0.25">
      <c r="A95" s="60">
        <v>94</v>
      </c>
      <c r="B95" s="61">
        <v>44161</v>
      </c>
      <c r="C95" s="60" t="s">
        <v>29</v>
      </c>
    </row>
    <row r="96" spans="1:3" x14ac:dyDescent="0.25">
      <c r="A96" s="60">
        <v>95</v>
      </c>
      <c r="B96" s="61">
        <v>44162</v>
      </c>
      <c r="C96" s="60" t="s">
        <v>25</v>
      </c>
    </row>
    <row r="97" spans="1:3" x14ac:dyDescent="0.25">
      <c r="A97" s="60">
        <v>96</v>
      </c>
      <c r="B97" s="61">
        <v>44165</v>
      </c>
      <c r="C97" s="60" t="s">
        <v>26</v>
      </c>
    </row>
    <row r="98" spans="1:3" x14ac:dyDescent="0.25">
      <c r="A98" s="60">
        <v>97</v>
      </c>
      <c r="B98" s="61">
        <v>44166</v>
      </c>
      <c r="C98" s="60" t="s">
        <v>27</v>
      </c>
    </row>
    <row r="99" spans="1:3" x14ac:dyDescent="0.25">
      <c r="A99" s="60">
        <v>98</v>
      </c>
      <c r="B99" s="61">
        <v>44167</v>
      </c>
      <c r="C99" s="60" t="s">
        <v>28</v>
      </c>
    </row>
    <row r="100" spans="1:3" x14ac:dyDescent="0.25">
      <c r="A100" s="60">
        <v>99</v>
      </c>
      <c r="B100" s="61">
        <v>44168</v>
      </c>
      <c r="C100" s="60" t="s">
        <v>29</v>
      </c>
    </row>
    <row r="101" spans="1:3" x14ac:dyDescent="0.25">
      <c r="A101" s="60">
        <v>100</v>
      </c>
      <c r="B101" s="61">
        <v>44169</v>
      </c>
      <c r="C101" s="60" t="s">
        <v>25</v>
      </c>
    </row>
    <row r="102" spans="1:3" x14ac:dyDescent="0.25">
      <c r="A102" s="60">
        <v>101</v>
      </c>
      <c r="B102" s="61">
        <v>44172</v>
      </c>
      <c r="C102" s="60" t="s">
        <v>26</v>
      </c>
    </row>
    <row r="103" spans="1:3" x14ac:dyDescent="0.25">
      <c r="A103" s="60">
        <v>102</v>
      </c>
      <c r="B103" s="61">
        <v>44173</v>
      </c>
      <c r="C103" s="60" t="s">
        <v>27</v>
      </c>
    </row>
    <row r="104" spans="1:3" x14ac:dyDescent="0.25">
      <c r="A104" s="60">
        <v>103</v>
      </c>
      <c r="B104" s="61">
        <v>44174</v>
      </c>
      <c r="C104" s="60" t="s">
        <v>28</v>
      </c>
    </row>
    <row r="105" spans="1:3" x14ac:dyDescent="0.25">
      <c r="A105" s="60">
        <v>104</v>
      </c>
      <c r="B105" s="61">
        <v>44175</v>
      </c>
      <c r="C105" s="60" t="s">
        <v>29</v>
      </c>
    </row>
    <row r="106" spans="1:3" x14ac:dyDescent="0.25">
      <c r="A106" s="60">
        <v>105</v>
      </c>
      <c r="B106" s="61">
        <v>44176</v>
      </c>
      <c r="C106" s="60" t="s">
        <v>25</v>
      </c>
    </row>
    <row r="107" spans="1:3" x14ac:dyDescent="0.25">
      <c r="A107" s="60">
        <v>106</v>
      </c>
      <c r="B107" s="61">
        <v>44179</v>
      </c>
      <c r="C107" s="60" t="s">
        <v>26</v>
      </c>
    </row>
    <row r="108" spans="1:3" x14ac:dyDescent="0.25">
      <c r="A108" s="62">
        <v>107</v>
      </c>
      <c r="B108" s="63">
        <v>44180</v>
      </c>
      <c r="C108" s="62" t="s">
        <v>27</v>
      </c>
    </row>
    <row r="109" spans="1:3" x14ac:dyDescent="0.25">
      <c r="A109" s="60">
        <v>108</v>
      </c>
      <c r="B109" s="61">
        <v>44181</v>
      </c>
      <c r="C109" s="60" t="s">
        <v>28</v>
      </c>
    </row>
    <row r="110" spans="1:3" x14ac:dyDescent="0.25">
      <c r="A110" s="60">
        <v>109</v>
      </c>
      <c r="B110" s="61">
        <v>44182</v>
      </c>
      <c r="C110" s="60" t="s">
        <v>29</v>
      </c>
    </row>
    <row r="111" spans="1:3" x14ac:dyDescent="0.25">
      <c r="A111" s="60">
        <v>110</v>
      </c>
      <c r="B111" s="61">
        <v>44183</v>
      </c>
      <c r="C111" s="60" t="s">
        <v>25</v>
      </c>
    </row>
    <row r="112" spans="1:3" x14ac:dyDescent="0.25">
      <c r="A112" s="62">
        <v>111</v>
      </c>
      <c r="B112" s="63">
        <v>44186</v>
      </c>
      <c r="C112" s="62" t="s">
        <v>26</v>
      </c>
    </row>
    <row r="113" spans="1:3" x14ac:dyDescent="0.25">
      <c r="A113" s="60">
        <v>112</v>
      </c>
      <c r="B113" s="61">
        <v>44187</v>
      </c>
      <c r="C113" s="60" t="s">
        <v>27</v>
      </c>
    </row>
    <row r="114" spans="1:3" x14ac:dyDescent="0.25">
      <c r="A114" s="62">
        <v>113</v>
      </c>
      <c r="B114" s="63">
        <v>44188</v>
      </c>
      <c r="C114" s="62" t="s">
        <v>28</v>
      </c>
    </row>
    <row r="115" spans="1:3" x14ac:dyDescent="0.25">
      <c r="A115" s="60">
        <v>114</v>
      </c>
      <c r="B115" s="61">
        <v>44189</v>
      </c>
      <c r="C115" s="60" t="s">
        <v>29</v>
      </c>
    </row>
    <row r="116" spans="1:3" x14ac:dyDescent="0.25">
      <c r="A116" s="60">
        <v>115</v>
      </c>
      <c r="B116" s="61">
        <v>44190</v>
      </c>
      <c r="C116" s="60" t="s">
        <v>25</v>
      </c>
    </row>
    <row r="117" spans="1:3" x14ac:dyDescent="0.25">
      <c r="A117" s="60">
        <v>116</v>
      </c>
      <c r="B117" s="61">
        <v>44193</v>
      </c>
      <c r="C117" s="60" t="s">
        <v>26</v>
      </c>
    </row>
    <row r="118" spans="1:3" x14ac:dyDescent="0.25">
      <c r="A118" s="62">
        <v>117</v>
      </c>
      <c r="B118" s="63">
        <v>44194</v>
      </c>
      <c r="C118" s="62" t="s">
        <v>27</v>
      </c>
    </row>
    <row r="119" spans="1:3" x14ac:dyDescent="0.25">
      <c r="A119" s="64">
        <v>118</v>
      </c>
      <c r="B119" s="65">
        <v>44195</v>
      </c>
      <c r="C119" s="64" t="s">
        <v>28</v>
      </c>
    </row>
    <row r="120" spans="1:3" x14ac:dyDescent="0.25">
      <c r="A120" s="60">
        <v>119</v>
      </c>
      <c r="B120" s="61">
        <v>44196</v>
      </c>
      <c r="C120" s="60" t="s">
        <v>29</v>
      </c>
    </row>
    <row r="121" spans="1:3" x14ac:dyDescent="0.25">
      <c r="A121" s="60">
        <v>120</v>
      </c>
      <c r="B121" s="61">
        <v>44200</v>
      </c>
      <c r="C121" s="60" t="s">
        <v>26</v>
      </c>
    </row>
    <row r="122" spans="1:3" x14ac:dyDescent="0.25">
      <c r="A122" s="60">
        <v>121</v>
      </c>
      <c r="B122" s="61">
        <v>44201</v>
      </c>
      <c r="C122" s="60" t="s">
        <v>27</v>
      </c>
    </row>
    <row r="123" spans="1:3" x14ac:dyDescent="0.25">
      <c r="A123" s="60">
        <v>122</v>
      </c>
      <c r="B123" s="61">
        <v>44202</v>
      </c>
      <c r="C123" s="60" t="s">
        <v>28</v>
      </c>
    </row>
    <row r="124" spans="1:3" x14ac:dyDescent="0.25">
      <c r="A124" s="60">
        <v>123</v>
      </c>
      <c r="B124" s="61">
        <v>44203</v>
      </c>
      <c r="C124" s="60" t="s">
        <v>29</v>
      </c>
    </row>
    <row r="125" spans="1:3" x14ac:dyDescent="0.25">
      <c r="A125" s="60">
        <v>124</v>
      </c>
      <c r="B125" s="61">
        <v>44204</v>
      </c>
      <c r="C125" s="60" t="s">
        <v>25</v>
      </c>
    </row>
    <row r="126" spans="1:3" x14ac:dyDescent="0.25">
      <c r="A126" s="60">
        <v>125</v>
      </c>
      <c r="B126" s="61">
        <v>44207</v>
      </c>
      <c r="C126" s="60" t="s">
        <v>26</v>
      </c>
    </row>
    <row r="127" spans="1:3" x14ac:dyDescent="0.25">
      <c r="A127" s="60">
        <v>126</v>
      </c>
      <c r="B127" s="61">
        <v>44208</v>
      </c>
      <c r="C127" s="60" t="s">
        <v>27</v>
      </c>
    </row>
    <row r="128" spans="1:3" x14ac:dyDescent="0.25">
      <c r="A128" s="60">
        <v>127</v>
      </c>
      <c r="B128" s="61">
        <v>44209</v>
      </c>
      <c r="C128" s="60" t="s">
        <v>28</v>
      </c>
    </row>
    <row r="129" spans="1:3" x14ac:dyDescent="0.25">
      <c r="A129" s="60">
        <v>128</v>
      </c>
      <c r="B129" s="61">
        <v>44210</v>
      </c>
      <c r="C129" s="60" t="s">
        <v>29</v>
      </c>
    </row>
    <row r="130" spans="1:3" x14ac:dyDescent="0.25">
      <c r="A130" s="60">
        <v>129</v>
      </c>
      <c r="B130" s="61">
        <v>44211</v>
      </c>
      <c r="C130" s="60" t="s">
        <v>25</v>
      </c>
    </row>
    <row r="131" spans="1:3" x14ac:dyDescent="0.25">
      <c r="A131" s="60">
        <v>130</v>
      </c>
      <c r="B131" s="61">
        <v>44214</v>
      </c>
      <c r="C131" s="60" t="s">
        <v>26</v>
      </c>
    </row>
    <row r="132" spans="1:3" x14ac:dyDescent="0.25">
      <c r="A132" s="60">
        <v>131</v>
      </c>
      <c r="B132" s="61">
        <v>44215</v>
      </c>
      <c r="C132" s="60" t="s">
        <v>27</v>
      </c>
    </row>
    <row r="133" spans="1:3" x14ac:dyDescent="0.25">
      <c r="A133" s="60">
        <v>132</v>
      </c>
      <c r="B133" s="61">
        <v>44216</v>
      </c>
      <c r="C133" s="60" t="s">
        <v>28</v>
      </c>
    </row>
    <row r="134" spans="1:3" x14ac:dyDescent="0.25">
      <c r="A134" s="60">
        <v>133</v>
      </c>
      <c r="B134" s="61">
        <v>44217</v>
      </c>
      <c r="C134" s="60" t="s">
        <v>29</v>
      </c>
    </row>
    <row r="135" spans="1:3" x14ac:dyDescent="0.25">
      <c r="A135" s="60">
        <v>134</v>
      </c>
      <c r="B135" s="61">
        <v>44218</v>
      </c>
      <c r="C135" s="60" t="s">
        <v>25</v>
      </c>
    </row>
    <row r="136" spans="1:3" x14ac:dyDescent="0.25">
      <c r="A136" s="60">
        <v>135</v>
      </c>
      <c r="B136" s="61">
        <v>44221</v>
      </c>
      <c r="C136" s="60" t="s">
        <v>26</v>
      </c>
    </row>
    <row r="137" spans="1:3" x14ac:dyDescent="0.25">
      <c r="A137" s="60">
        <v>136</v>
      </c>
      <c r="B137" s="61">
        <v>44222</v>
      </c>
      <c r="C137" s="60" t="s">
        <v>27</v>
      </c>
    </row>
    <row r="138" spans="1:3" x14ac:dyDescent="0.25">
      <c r="A138" s="60">
        <v>137</v>
      </c>
      <c r="B138" s="61">
        <v>44223</v>
      </c>
      <c r="C138" s="60" t="s">
        <v>28</v>
      </c>
    </row>
    <row r="139" spans="1:3" x14ac:dyDescent="0.25">
      <c r="A139" s="60">
        <v>138</v>
      </c>
      <c r="B139" s="61">
        <v>44224</v>
      </c>
      <c r="C139" s="60" t="s">
        <v>29</v>
      </c>
    </row>
    <row r="140" spans="1:3" x14ac:dyDescent="0.25">
      <c r="A140" s="60">
        <v>139</v>
      </c>
      <c r="B140" s="61">
        <v>44225</v>
      </c>
      <c r="C140" s="60" t="s">
        <v>25</v>
      </c>
    </row>
    <row r="141" spans="1:3" x14ac:dyDescent="0.25">
      <c r="A141" s="60">
        <v>140</v>
      </c>
      <c r="B141" s="61">
        <v>44228</v>
      </c>
      <c r="C141" s="60" t="s">
        <v>26</v>
      </c>
    </row>
    <row r="142" spans="1:3" x14ac:dyDescent="0.25">
      <c r="A142" s="60">
        <v>141</v>
      </c>
      <c r="B142" s="61">
        <v>44229</v>
      </c>
      <c r="C142" s="60" t="s">
        <v>27</v>
      </c>
    </row>
    <row r="143" spans="1:3" x14ac:dyDescent="0.25">
      <c r="A143" s="60">
        <v>142</v>
      </c>
      <c r="B143" s="61">
        <v>44230</v>
      </c>
      <c r="C143" s="60" t="s">
        <v>28</v>
      </c>
    </row>
    <row r="144" spans="1:3" x14ac:dyDescent="0.25">
      <c r="A144" s="60">
        <v>143</v>
      </c>
      <c r="B144" s="61">
        <v>44231</v>
      </c>
      <c r="C144" s="60" t="s">
        <v>29</v>
      </c>
    </row>
    <row r="145" spans="1:3" x14ac:dyDescent="0.25">
      <c r="A145" s="60">
        <v>144</v>
      </c>
      <c r="B145" s="61">
        <v>44232</v>
      </c>
      <c r="C145" s="60" t="s">
        <v>25</v>
      </c>
    </row>
    <row r="146" spans="1:3" x14ac:dyDescent="0.25">
      <c r="A146" s="60">
        <v>145</v>
      </c>
      <c r="B146" s="61">
        <v>44244</v>
      </c>
      <c r="C146" s="60" t="s">
        <v>28</v>
      </c>
    </row>
    <row r="147" spans="1:3" x14ac:dyDescent="0.25">
      <c r="A147" s="60">
        <v>146</v>
      </c>
      <c r="B147" s="61">
        <v>44245</v>
      </c>
      <c r="C147" s="60" t="s">
        <v>29</v>
      </c>
    </row>
    <row r="148" spans="1:3" x14ac:dyDescent="0.25">
      <c r="A148" s="60">
        <v>147</v>
      </c>
      <c r="B148" s="61">
        <v>44246</v>
      </c>
      <c r="C148" s="60" t="s">
        <v>25</v>
      </c>
    </row>
    <row r="149" spans="1:3" x14ac:dyDescent="0.25">
      <c r="A149" s="60">
        <v>148</v>
      </c>
      <c r="B149" s="61">
        <v>44249</v>
      </c>
      <c r="C149" s="60" t="s">
        <v>26</v>
      </c>
    </row>
    <row r="150" spans="1:3" x14ac:dyDescent="0.25">
      <c r="A150" s="60">
        <v>149</v>
      </c>
      <c r="B150" s="61">
        <v>44250</v>
      </c>
      <c r="C150" s="60" t="s">
        <v>27</v>
      </c>
    </row>
    <row r="151" spans="1:3" x14ac:dyDescent="0.25">
      <c r="A151" s="60">
        <v>150</v>
      </c>
      <c r="B151" s="61">
        <v>44251</v>
      </c>
      <c r="C151" s="60" t="s">
        <v>28</v>
      </c>
    </row>
    <row r="152" spans="1:3" x14ac:dyDescent="0.25">
      <c r="A152" s="60">
        <v>151</v>
      </c>
      <c r="B152" s="61">
        <v>44252</v>
      </c>
      <c r="C152" s="60" t="s">
        <v>29</v>
      </c>
    </row>
    <row r="153" spans="1:3" x14ac:dyDescent="0.25">
      <c r="A153" s="60">
        <v>152</v>
      </c>
      <c r="B153" s="61">
        <v>44253</v>
      </c>
      <c r="C153" s="60" t="s">
        <v>25</v>
      </c>
    </row>
    <row r="154" spans="1:3" x14ac:dyDescent="0.25">
      <c r="A154" s="60">
        <v>153</v>
      </c>
      <c r="B154" s="61">
        <v>44257</v>
      </c>
      <c r="C154" s="60" t="s">
        <v>27</v>
      </c>
    </row>
    <row r="155" spans="1:3" x14ac:dyDescent="0.25">
      <c r="A155" s="60">
        <v>154</v>
      </c>
      <c r="B155" s="61">
        <v>44258</v>
      </c>
      <c r="C155" s="60" t="s">
        <v>28</v>
      </c>
    </row>
    <row r="156" spans="1:3" x14ac:dyDescent="0.25">
      <c r="A156" s="60">
        <v>155</v>
      </c>
      <c r="B156" s="61">
        <v>44259</v>
      </c>
      <c r="C156" s="60" t="s">
        <v>29</v>
      </c>
    </row>
    <row r="157" spans="1:3" x14ac:dyDescent="0.25">
      <c r="A157" s="60">
        <v>156</v>
      </c>
      <c r="B157" s="61">
        <v>44260</v>
      </c>
      <c r="C157" s="60" t="s">
        <v>25</v>
      </c>
    </row>
    <row r="158" spans="1:3" x14ac:dyDescent="0.25">
      <c r="A158" s="60">
        <v>157</v>
      </c>
      <c r="B158" s="61">
        <v>44263</v>
      </c>
      <c r="C158" s="60" t="s">
        <v>26</v>
      </c>
    </row>
    <row r="159" spans="1:3" x14ac:dyDescent="0.25">
      <c r="A159" s="60">
        <v>158</v>
      </c>
      <c r="B159" s="61">
        <v>44264</v>
      </c>
      <c r="C159" s="60" t="s">
        <v>27</v>
      </c>
    </row>
    <row r="160" spans="1:3" x14ac:dyDescent="0.25">
      <c r="A160" s="60">
        <v>159</v>
      </c>
      <c r="B160" s="61">
        <v>44265</v>
      </c>
      <c r="C160" s="60" t="s">
        <v>28</v>
      </c>
    </row>
    <row r="161" spans="1:3" x14ac:dyDescent="0.25">
      <c r="A161" s="60">
        <v>160</v>
      </c>
      <c r="B161" s="61">
        <v>44266</v>
      </c>
      <c r="C161" s="60" t="s">
        <v>29</v>
      </c>
    </row>
    <row r="162" spans="1:3" x14ac:dyDescent="0.25">
      <c r="A162" s="62">
        <v>161</v>
      </c>
      <c r="B162" s="63">
        <v>44267</v>
      </c>
      <c r="C162" s="62" t="s">
        <v>25</v>
      </c>
    </row>
    <row r="163" spans="1:3" x14ac:dyDescent="0.25">
      <c r="A163" s="60">
        <v>162</v>
      </c>
      <c r="B163" s="61">
        <v>44270</v>
      </c>
      <c r="C163" s="60" t="s">
        <v>26</v>
      </c>
    </row>
    <row r="164" spans="1:3" x14ac:dyDescent="0.25">
      <c r="A164" s="60">
        <v>163</v>
      </c>
      <c r="B164" s="61">
        <v>44271</v>
      </c>
      <c r="C164" s="60" t="s">
        <v>27</v>
      </c>
    </row>
    <row r="165" spans="1:3" x14ac:dyDescent="0.25">
      <c r="A165" s="60">
        <v>164</v>
      </c>
      <c r="B165" s="61">
        <v>44272</v>
      </c>
      <c r="C165" s="60" t="s">
        <v>28</v>
      </c>
    </row>
    <row r="166" spans="1:3" x14ac:dyDescent="0.25">
      <c r="A166" s="60">
        <v>165</v>
      </c>
      <c r="B166" s="61">
        <v>44273</v>
      </c>
      <c r="C166" s="60" t="s">
        <v>29</v>
      </c>
    </row>
    <row r="167" spans="1:3" x14ac:dyDescent="0.25">
      <c r="A167" s="60">
        <v>166</v>
      </c>
      <c r="B167" s="61">
        <v>44274</v>
      </c>
      <c r="C167" s="60" t="s">
        <v>25</v>
      </c>
    </row>
    <row r="168" spans="1:3" x14ac:dyDescent="0.25">
      <c r="A168" s="60">
        <v>167</v>
      </c>
      <c r="B168" s="61">
        <v>44277</v>
      </c>
      <c r="C168" s="60" t="s">
        <v>26</v>
      </c>
    </row>
    <row r="169" spans="1:3" x14ac:dyDescent="0.25">
      <c r="A169" s="60">
        <v>168</v>
      </c>
      <c r="B169" s="61">
        <v>44278</v>
      </c>
      <c r="C169" s="60" t="s">
        <v>27</v>
      </c>
    </row>
    <row r="170" spans="1:3" x14ac:dyDescent="0.25">
      <c r="A170" s="60">
        <v>169</v>
      </c>
      <c r="B170" s="61">
        <v>44279</v>
      </c>
      <c r="C170" s="60" t="s">
        <v>28</v>
      </c>
    </row>
    <row r="171" spans="1:3" x14ac:dyDescent="0.25">
      <c r="A171" s="60">
        <v>170</v>
      </c>
      <c r="B171" s="61">
        <v>44280</v>
      </c>
      <c r="C171" s="60" t="s">
        <v>29</v>
      </c>
    </row>
    <row r="172" spans="1:3" x14ac:dyDescent="0.25">
      <c r="A172" s="62">
        <v>171</v>
      </c>
      <c r="B172" s="63">
        <v>44281</v>
      </c>
      <c r="C172" s="62" t="s">
        <v>25</v>
      </c>
    </row>
    <row r="173" spans="1:3" x14ac:dyDescent="0.25">
      <c r="A173" s="60">
        <v>172</v>
      </c>
      <c r="B173" s="61">
        <v>44284</v>
      </c>
      <c r="C173" s="60" t="s">
        <v>26</v>
      </c>
    </row>
    <row r="174" spans="1:3" x14ac:dyDescent="0.25">
      <c r="A174" s="60">
        <v>173</v>
      </c>
      <c r="B174" s="61">
        <v>44285</v>
      </c>
      <c r="C174" s="60" t="s">
        <v>27</v>
      </c>
    </row>
    <row r="175" spans="1:3" x14ac:dyDescent="0.25">
      <c r="A175" s="60">
        <v>174</v>
      </c>
      <c r="B175" s="61">
        <v>44286</v>
      </c>
      <c r="C175" s="60" t="s">
        <v>28</v>
      </c>
    </row>
    <row r="176" spans="1:3" x14ac:dyDescent="0.25">
      <c r="A176" s="62">
        <v>175</v>
      </c>
      <c r="B176" s="63">
        <v>44287</v>
      </c>
      <c r="C176" s="62" t="s">
        <v>29</v>
      </c>
    </row>
    <row r="177" spans="1:3" x14ac:dyDescent="0.25">
      <c r="A177" s="60">
        <v>176</v>
      </c>
      <c r="B177" s="61">
        <v>44292</v>
      </c>
      <c r="C177" s="60" t="s">
        <v>27</v>
      </c>
    </row>
    <row r="178" spans="1:3" x14ac:dyDescent="0.25">
      <c r="A178" s="62">
        <v>177</v>
      </c>
      <c r="B178" s="63">
        <v>44293</v>
      </c>
      <c r="C178" s="62" t="s">
        <v>28</v>
      </c>
    </row>
    <row r="179" spans="1:3" x14ac:dyDescent="0.25">
      <c r="A179" s="60">
        <v>178</v>
      </c>
      <c r="B179" s="61">
        <v>44294</v>
      </c>
      <c r="C179" s="60" t="s">
        <v>29</v>
      </c>
    </row>
    <row r="180" spans="1:3" x14ac:dyDescent="0.25">
      <c r="A180" s="60">
        <v>179</v>
      </c>
      <c r="B180" s="61">
        <v>44295</v>
      </c>
      <c r="C180" s="60" t="s">
        <v>25</v>
      </c>
    </row>
    <row r="181" spans="1:3" x14ac:dyDescent="0.25">
      <c r="A181" s="60">
        <v>180</v>
      </c>
      <c r="B181" s="61">
        <v>44298</v>
      </c>
      <c r="C181" s="60" t="s">
        <v>26</v>
      </c>
    </row>
    <row r="182" spans="1:3" x14ac:dyDescent="0.25">
      <c r="A182" s="60">
        <v>181</v>
      </c>
      <c r="B182" s="61">
        <v>44299</v>
      </c>
      <c r="C182" s="60" t="s">
        <v>27</v>
      </c>
    </row>
    <row r="183" spans="1:3" x14ac:dyDescent="0.25">
      <c r="A183" s="60">
        <v>182</v>
      </c>
      <c r="B183" s="61">
        <v>44300</v>
      </c>
      <c r="C183" s="60" t="s">
        <v>28</v>
      </c>
    </row>
    <row r="184" spans="1:3" x14ac:dyDescent="0.25">
      <c r="A184" s="60">
        <v>183</v>
      </c>
      <c r="B184" s="61">
        <v>44301</v>
      </c>
      <c r="C184" s="60" t="s">
        <v>29</v>
      </c>
    </row>
    <row r="185" spans="1:3" x14ac:dyDescent="0.25">
      <c r="A185" s="60">
        <v>184</v>
      </c>
      <c r="B185" s="61">
        <v>44302</v>
      </c>
      <c r="C185" s="60" t="s">
        <v>25</v>
      </c>
    </row>
    <row r="186" spans="1:3" x14ac:dyDescent="0.25">
      <c r="A186" s="64">
        <v>185</v>
      </c>
      <c r="B186" s="65">
        <v>44305</v>
      </c>
      <c r="C186" s="64" t="s">
        <v>26</v>
      </c>
    </row>
    <row r="187" spans="1:3" x14ac:dyDescent="0.25">
      <c r="A187" s="60">
        <v>186</v>
      </c>
      <c r="B187" s="61">
        <v>44306</v>
      </c>
      <c r="C187" s="60" t="s">
        <v>27</v>
      </c>
    </row>
    <row r="188" spans="1:3" x14ac:dyDescent="0.25">
      <c r="A188" s="60">
        <v>187</v>
      </c>
      <c r="B188" s="61">
        <v>44307</v>
      </c>
      <c r="C188" s="60" t="s">
        <v>28</v>
      </c>
    </row>
    <row r="189" spans="1:3" x14ac:dyDescent="0.25">
      <c r="A189" s="60">
        <v>188</v>
      </c>
      <c r="B189" s="61">
        <v>44308</v>
      </c>
      <c r="C189" s="60" t="s">
        <v>29</v>
      </c>
    </row>
    <row r="190" spans="1:3" x14ac:dyDescent="0.25">
      <c r="A190" s="60">
        <v>189</v>
      </c>
      <c r="B190" s="61">
        <v>44309</v>
      </c>
      <c r="C190" s="60" t="s">
        <v>25</v>
      </c>
    </row>
    <row r="191" spans="1:3" x14ac:dyDescent="0.25">
      <c r="A191" s="60">
        <v>190</v>
      </c>
      <c r="B191" s="61">
        <v>44312</v>
      </c>
      <c r="C191" s="60" t="s">
        <v>26</v>
      </c>
    </row>
    <row r="192" spans="1:3" x14ac:dyDescent="0.25">
      <c r="A192" s="60">
        <v>191</v>
      </c>
      <c r="B192" s="61">
        <v>44313</v>
      </c>
      <c r="C192" s="60" t="s">
        <v>27</v>
      </c>
    </row>
    <row r="193" spans="1:3" x14ac:dyDescent="0.25">
      <c r="A193" s="60">
        <v>192</v>
      </c>
      <c r="B193" s="61">
        <v>44314</v>
      </c>
      <c r="C193" s="60" t="s">
        <v>28</v>
      </c>
    </row>
    <row r="194" spans="1:3" x14ac:dyDescent="0.25">
      <c r="A194" s="60">
        <v>193</v>
      </c>
      <c r="B194" s="61">
        <v>44315</v>
      </c>
      <c r="C194" s="60" t="s">
        <v>29</v>
      </c>
    </row>
    <row r="195" spans="1:3" x14ac:dyDescent="0.25">
      <c r="A195" s="60">
        <v>194</v>
      </c>
      <c r="B195" s="61">
        <v>44316</v>
      </c>
      <c r="C195" s="60" t="s">
        <v>25</v>
      </c>
    </row>
    <row r="196" spans="1:3" x14ac:dyDescent="0.25">
      <c r="A196" s="60">
        <v>195</v>
      </c>
      <c r="B196" s="61">
        <v>44319</v>
      </c>
      <c r="C196" s="60" t="s">
        <v>26</v>
      </c>
    </row>
    <row r="197" spans="1:3" x14ac:dyDescent="0.25">
      <c r="A197" s="60">
        <v>196</v>
      </c>
      <c r="B197" s="61">
        <v>44320</v>
      </c>
      <c r="C197" s="60" t="s">
        <v>27</v>
      </c>
    </row>
    <row r="198" spans="1:3" x14ac:dyDescent="0.25">
      <c r="A198" s="60">
        <v>197</v>
      </c>
      <c r="B198" s="61">
        <v>44321</v>
      </c>
      <c r="C198" s="60" t="s">
        <v>28</v>
      </c>
    </row>
    <row r="199" spans="1:3" x14ac:dyDescent="0.25">
      <c r="A199" s="60">
        <v>198</v>
      </c>
      <c r="B199" s="61">
        <v>44322</v>
      </c>
      <c r="C199" s="60" t="s">
        <v>29</v>
      </c>
    </row>
    <row r="200" spans="1:3" x14ac:dyDescent="0.25">
      <c r="A200" s="60">
        <v>199</v>
      </c>
      <c r="B200" s="61">
        <v>44323</v>
      </c>
      <c r="C200" s="60" t="s">
        <v>25</v>
      </c>
    </row>
    <row r="201" spans="1:3" x14ac:dyDescent="0.25">
      <c r="A201" s="60">
        <v>200</v>
      </c>
      <c r="B201" s="61">
        <v>44326</v>
      </c>
      <c r="C201" s="60" t="s">
        <v>26</v>
      </c>
    </row>
    <row r="202" spans="1:3" x14ac:dyDescent="0.25">
      <c r="A202" s="60">
        <v>201</v>
      </c>
      <c r="B202" s="61">
        <v>44327</v>
      </c>
      <c r="C202" s="60" t="s">
        <v>27</v>
      </c>
    </row>
    <row r="203" spans="1:3" x14ac:dyDescent="0.25">
      <c r="A203" s="60">
        <v>202</v>
      </c>
      <c r="B203" s="61">
        <v>44328</v>
      </c>
      <c r="C203" s="60" t="s">
        <v>28</v>
      </c>
    </row>
    <row r="204" spans="1:3" x14ac:dyDescent="0.25">
      <c r="A204" s="62">
        <v>203</v>
      </c>
      <c r="B204" s="63">
        <v>44329</v>
      </c>
      <c r="C204" s="62" t="s">
        <v>29</v>
      </c>
    </row>
    <row r="205" spans="1:3" x14ac:dyDescent="0.25">
      <c r="A205" s="60">
        <v>204</v>
      </c>
      <c r="B205" s="61">
        <v>44330</v>
      </c>
      <c r="C205" s="60" t="s">
        <v>25</v>
      </c>
    </row>
    <row r="206" spans="1:3" x14ac:dyDescent="0.25">
      <c r="A206" s="62">
        <v>205</v>
      </c>
      <c r="B206" s="63">
        <v>44333</v>
      </c>
      <c r="C206" s="62" t="s">
        <v>26</v>
      </c>
    </row>
    <row r="207" spans="1:3" x14ac:dyDescent="0.25">
      <c r="A207" s="60">
        <v>206</v>
      </c>
      <c r="B207" s="61">
        <v>44334</v>
      </c>
      <c r="C207" s="60" t="s">
        <v>27</v>
      </c>
    </row>
    <row r="208" spans="1:3" x14ac:dyDescent="0.25">
      <c r="A208" s="60">
        <v>207</v>
      </c>
      <c r="B208" s="61">
        <v>44335</v>
      </c>
      <c r="C208" s="60" t="s">
        <v>28</v>
      </c>
    </row>
    <row r="209" spans="1:3" x14ac:dyDescent="0.25">
      <c r="A209" s="60">
        <v>208</v>
      </c>
      <c r="B209" s="61">
        <v>44336</v>
      </c>
      <c r="C209" s="60" t="s">
        <v>29</v>
      </c>
    </row>
    <row r="210" spans="1:3" x14ac:dyDescent="0.25">
      <c r="A210" s="60">
        <v>209</v>
      </c>
      <c r="B210" s="61">
        <v>44337</v>
      </c>
      <c r="C210" s="60" t="s">
        <v>25</v>
      </c>
    </row>
    <row r="211" spans="1:3" x14ac:dyDescent="0.25">
      <c r="A211" s="60">
        <v>210</v>
      </c>
      <c r="B211" s="61">
        <v>44340</v>
      </c>
      <c r="C211" s="60" t="s">
        <v>26</v>
      </c>
    </row>
    <row r="212" spans="1:3" x14ac:dyDescent="0.25">
      <c r="A212" s="60">
        <v>211</v>
      </c>
      <c r="B212" s="61">
        <v>44341</v>
      </c>
      <c r="C212" s="60" t="s">
        <v>27</v>
      </c>
    </row>
    <row r="213" spans="1:3" x14ac:dyDescent="0.25">
      <c r="A213" s="60">
        <v>212</v>
      </c>
      <c r="B213" s="61">
        <v>44342</v>
      </c>
      <c r="C213" s="60" t="s">
        <v>28</v>
      </c>
    </row>
    <row r="214" spans="1:3" x14ac:dyDescent="0.25">
      <c r="A214" s="60">
        <v>213</v>
      </c>
      <c r="B214" s="61">
        <v>44343</v>
      </c>
      <c r="C214" s="60" t="s">
        <v>29</v>
      </c>
    </row>
    <row r="215" spans="1:3" x14ac:dyDescent="0.25">
      <c r="A215" s="60">
        <v>214</v>
      </c>
      <c r="B215" s="61">
        <v>44344</v>
      </c>
      <c r="C215" s="60" t="s">
        <v>25</v>
      </c>
    </row>
    <row r="216" spans="1:3" x14ac:dyDescent="0.25">
      <c r="A216" s="60">
        <v>215</v>
      </c>
      <c r="B216" s="61">
        <v>44347</v>
      </c>
      <c r="C216" s="60" t="s">
        <v>26</v>
      </c>
    </row>
    <row r="217" spans="1:3" x14ac:dyDescent="0.25">
      <c r="A217" s="60">
        <v>216</v>
      </c>
      <c r="B217" s="61">
        <v>44348</v>
      </c>
      <c r="C217" s="60" t="s">
        <v>27</v>
      </c>
    </row>
    <row r="218" spans="1:3" x14ac:dyDescent="0.25">
      <c r="A218" s="60">
        <v>217</v>
      </c>
      <c r="B218" s="61">
        <v>44349</v>
      </c>
      <c r="C218" s="60" t="s">
        <v>28</v>
      </c>
    </row>
    <row r="219" spans="1:3" x14ac:dyDescent="0.25">
      <c r="A219" s="60">
        <v>218</v>
      </c>
      <c r="B219" s="61">
        <v>44350</v>
      </c>
      <c r="C219" s="60" t="s">
        <v>29</v>
      </c>
    </row>
    <row r="220" spans="1:3" x14ac:dyDescent="0.25">
      <c r="A220" s="60">
        <v>219</v>
      </c>
      <c r="B220" s="61">
        <v>44351</v>
      </c>
      <c r="C220" s="60" t="s">
        <v>25</v>
      </c>
    </row>
    <row r="221" spans="1:3" x14ac:dyDescent="0.25">
      <c r="A221" s="60">
        <v>220</v>
      </c>
      <c r="B221" s="61">
        <v>44354</v>
      </c>
      <c r="C221" s="60" t="s">
        <v>26</v>
      </c>
    </row>
    <row r="222" spans="1:3" x14ac:dyDescent="0.25">
      <c r="A222" s="60">
        <v>221</v>
      </c>
      <c r="B222" s="61">
        <v>44355</v>
      </c>
      <c r="C222" s="60" t="s">
        <v>27</v>
      </c>
    </row>
    <row r="223" spans="1:3" x14ac:dyDescent="0.25">
      <c r="A223" s="60">
        <v>222</v>
      </c>
      <c r="B223" s="61">
        <v>44356</v>
      </c>
      <c r="C223" s="60" t="s">
        <v>28</v>
      </c>
    </row>
    <row r="224" spans="1:3" x14ac:dyDescent="0.25">
      <c r="A224" s="60">
        <v>223</v>
      </c>
      <c r="B224" s="61">
        <v>44357</v>
      </c>
      <c r="C224" s="60" t="s">
        <v>29</v>
      </c>
    </row>
    <row r="225" spans="1:3" x14ac:dyDescent="0.25">
      <c r="A225" s="60">
        <v>224</v>
      </c>
      <c r="B225" s="61">
        <v>44358</v>
      </c>
      <c r="C225" s="60" t="s">
        <v>25</v>
      </c>
    </row>
    <row r="226" spans="1:3" x14ac:dyDescent="0.25">
      <c r="A226" s="60">
        <v>225</v>
      </c>
      <c r="B226" s="61">
        <v>44362</v>
      </c>
      <c r="C226" s="60" t="s">
        <v>27</v>
      </c>
    </row>
    <row r="227" spans="1:3" x14ac:dyDescent="0.25">
      <c r="A227" s="60">
        <v>226</v>
      </c>
      <c r="B227" s="61">
        <v>44363</v>
      </c>
      <c r="C227" s="60" t="s">
        <v>28</v>
      </c>
    </row>
    <row r="228" spans="1:3" x14ac:dyDescent="0.25">
      <c r="A228" s="60">
        <v>227</v>
      </c>
      <c r="B228" s="61">
        <v>44364</v>
      </c>
      <c r="C228" s="60" t="s">
        <v>29</v>
      </c>
    </row>
    <row r="229" spans="1:3" x14ac:dyDescent="0.25">
      <c r="A229" s="60">
        <v>228</v>
      </c>
      <c r="B229" s="61">
        <v>44365</v>
      </c>
      <c r="C229" s="60" t="s">
        <v>25</v>
      </c>
    </row>
    <row r="230" spans="1:3" x14ac:dyDescent="0.25">
      <c r="A230" s="60">
        <v>229</v>
      </c>
      <c r="B230" s="61">
        <v>44368</v>
      </c>
      <c r="C230" s="60" t="s">
        <v>26</v>
      </c>
    </row>
    <row r="231" spans="1:3" x14ac:dyDescent="0.25">
      <c r="A231" s="60">
        <v>230</v>
      </c>
      <c r="B231" s="61">
        <v>44369</v>
      </c>
      <c r="C231" s="60" t="s">
        <v>27</v>
      </c>
    </row>
    <row r="232" spans="1:3" x14ac:dyDescent="0.25">
      <c r="A232" s="60">
        <v>231</v>
      </c>
      <c r="B232" s="61">
        <v>44370</v>
      </c>
      <c r="C232" s="60" t="s">
        <v>28</v>
      </c>
    </row>
    <row r="233" spans="1:3" x14ac:dyDescent="0.25">
      <c r="A233" s="60">
        <v>232</v>
      </c>
      <c r="B233" s="61">
        <v>44371</v>
      </c>
      <c r="C233" s="60" t="s">
        <v>29</v>
      </c>
    </row>
    <row r="234" spans="1:3" x14ac:dyDescent="0.25">
      <c r="A234" s="60">
        <v>233</v>
      </c>
      <c r="B234" s="61">
        <v>44372</v>
      </c>
      <c r="C234" s="60" t="s">
        <v>25</v>
      </c>
    </row>
    <row r="235" spans="1:3" x14ac:dyDescent="0.25">
      <c r="A235" s="60">
        <v>234</v>
      </c>
      <c r="B235" s="61">
        <v>44375</v>
      </c>
      <c r="C235" s="60" t="s">
        <v>26</v>
      </c>
    </row>
    <row r="236" spans="1:3" x14ac:dyDescent="0.25">
      <c r="A236" s="60">
        <v>235</v>
      </c>
      <c r="B236" s="61">
        <v>44376</v>
      </c>
      <c r="C236" s="60" t="s">
        <v>27</v>
      </c>
    </row>
    <row r="237" spans="1:3" x14ac:dyDescent="0.25">
      <c r="A237" s="60">
        <v>236</v>
      </c>
      <c r="B237" s="61">
        <v>44377</v>
      </c>
      <c r="C237" s="60" t="s">
        <v>28</v>
      </c>
    </row>
    <row r="238" spans="1:3" x14ac:dyDescent="0.25">
      <c r="A238" s="60">
        <v>237</v>
      </c>
      <c r="B238" s="61">
        <v>44378</v>
      </c>
      <c r="C238" s="60" t="s">
        <v>29</v>
      </c>
    </row>
    <row r="239" spans="1:3" x14ac:dyDescent="0.25">
      <c r="A239" s="62">
        <v>238</v>
      </c>
      <c r="B239" s="63">
        <v>44379</v>
      </c>
      <c r="C239" s="62" t="s">
        <v>25</v>
      </c>
    </row>
    <row r="240" spans="1:3" x14ac:dyDescent="0.25">
      <c r="A240" s="60">
        <v>239</v>
      </c>
      <c r="B240" s="61">
        <v>44382</v>
      </c>
      <c r="C240" s="60" t="s">
        <v>26</v>
      </c>
    </row>
    <row r="241" spans="1:3" x14ac:dyDescent="0.25">
      <c r="A241" s="62">
        <v>240</v>
      </c>
      <c r="B241" s="63">
        <v>44383</v>
      </c>
      <c r="C241" s="62" t="s">
        <v>27</v>
      </c>
    </row>
    <row r="242" spans="1:3" x14ac:dyDescent="0.25">
      <c r="A242" s="60">
        <v>241</v>
      </c>
      <c r="B242" s="61">
        <v>44384</v>
      </c>
      <c r="C242" s="60" t="s">
        <v>28</v>
      </c>
    </row>
    <row r="243" spans="1:3" x14ac:dyDescent="0.25">
      <c r="A243" s="60">
        <v>242</v>
      </c>
      <c r="B243" s="61">
        <v>44385</v>
      </c>
      <c r="C243" s="60" t="s">
        <v>29</v>
      </c>
    </row>
    <row r="244" spans="1:3" x14ac:dyDescent="0.25">
      <c r="A244" s="60">
        <v>243</v>
      </c>
      <c r="B244" s="61">
        <v>44386</v>
      </c>
      <c r="C244" s="60" t="s">
        <v>25</v>
      </c>
    </row>
    <row r="245" spans="1:3" x14ac:dyDescent="0.25">
      <c r="A245" s="60">
        <v>244</v>
      </c>
      <c r="B245" s="61">
        <v>44389</v>
      </c>
      <c r="C245" s="60" t="s">
        <v>26</v>
      </c>
    </row>
    <row r="246" spans="1:3" x14ac:dyDescent="0.25">
      <c r="A246" s="60">
        <v>245</v>
      </c>
      <c r="B246" s="61">
        <v>44390</v>
      </c>
      <c r="C246" s="60" t="s">
        <v>27</v>
      </c>
    </row>
    <row r="247" spans="1:3" x14ac:dyDescent="0.25">
      <c r="A247" s="60">
        <v>246</v>
      </c>
      <c r="B247" s="61">
        <v>44391</v>
      </c>
      <c r="C247" s="60" t="s">
        <v>28</v>
      </c>
    </row>
    <row r="248" spans="1:3" x14ac:dyDescent="0.25">
      <c r="A248" s="62">
        <v>247</v>
      </c>
      <c r="B248" s="63">
        <v>44392</v>
      </c>
      <c r="C248" s="62" t="s">
        <v>29</v>
      </c>
    </row>
    <row r="249" spans="1:3" x14ac:dyDescent="0.25">
      <c r="A249" s="64">
        <v>248</v>
      </c>
      <c r="B249" s="65">
        <v>44393</v>
      </c>
      <c r="C249" s="64" t="s">
        <v>25</v>
      </c>
    </row>
    <row r="250" spans="1:3" x14ac:dyDescent="0.25">
      <c r="A250" s="60">
        <v>249</v>
      </c>
      <c r="B250" s="61">
        <v>44396</v>
      </c>
      <c r="C250" s="60" t="s">
        <v>26</v>
      </c>
    </row>
    <row r="251" spans="1:3" x14ac:dyDescent="0.25">
      <c r="A251" s="60">
        <v>250</v>
      </c>
      <c r="B251" s="61">
        <v>44397</v>
      </c>
      <c r="C251" s="60" t="s">
        <v>27</v>
      </c>
    </row>
    <row r="252" spans="1:3" x14ac:dyDescent="0.25">
      <c r="A252" s="60">
        <v>251</v>
      </c>
      <c r="B252" s="61">
        <v>44398</v>
      </c>
      <c r="C252" s="60" t="s">
        <v>28</v>
      </c>
    </row>
    <row r="253" spans="1:3" x14ac:dyDescent="0.25">
      <c r="A253" s="60">
        <v>252</v>
      </c>
      <c r="B253" s="61">
        <v>44399</v>
      </c>
      <c r="C253" s="60" t="s">
        <v>29</v>
      </c>
    </row>
    <row r="254" spans="1:3" x14ac:dyDescent="0.25">
      <c r="A254" s="60">
        <v>253</v>
      </c>
      <c r="B254" s="61">
        <v>44400</v>
      </c>
      <c r="C254" s="60" t="s">
        <v>25</v>
      </c>
    </row>
    <row r="255" spans="1:3" x14ac:dyDescent="0.25">
      <c r="A255" s="60">
        <v>254</v>
      </c>
      <c r="B255" s="61">
        <v>44403</v>
      </c>
      <c r="C255" s="60" t="s">
        <v>26</v>
      </c>
    </row>
    <row r="256" spans="1:3" x14ac:dyDescent="0.25">
      <c r="A256" s="60">
        <v>255</v>
      </c>
      <c r="B256" s="61">
        <v>44404</v>
      </c>
      <c r="C256" s="60" t="s">
        <v>27</v>
      </c>
    </row>
    <row r="257" spans="1:3" x14ac:dyDescent="0.25">
      <c r="A257" s="60">
        <v>256</v>
      </c>
      <c r="B257" s="61">
        <v>44405</v>
      </c>
      <c r="C257" s="60" t="s">
        <v>28</v>
      </c>
    </row>
    <row r="258" spans="1:3" x14ac:dyDescent="0.25">
      <c r="A258" s="60">
        <v>257</v>
      </c>
      <c r="B258" s="61">
        <v>44406</v>
      </c>
      <c r="C258" s="60" t="s">
        <v>29</v>
      </c>
    </row>
    <row r="259" spans="1:3" x14ac:dyDescent="0.25">
      <c r="A259" s="60">
        <v>258</v>
      </c>
      <c r="B259" s="61">
        <v>44407</v>
      </c>
      <c r="C259" s="60" t="s">
        <v>25</v>
      </c>
    </row>
    <row r="260" spans="1:3" x14ac:dyDescent="0.25">
      <c r="A260" s="60">
        <v>259</v>
      </c>
      <c r="B260" s="61">
        <v>44410</v>
      </c>
      <c r="C260" s="60" t="s">
        <v>26</v>
      </c>
    </row>
    <row r="261" spans="1:3" x14ac:dyDescent="0.25">
      <c r="A261" s="60">
        <v>260</v>
      </c>
      <c r="B261" s="61">
        <v>44411</v>
      </c>
      <c r="C261" s="60" t="s">
        <v>27</v>
      </c>
    </row>
    <row r="262" spans="1:3" x14ac:dyDescent="0.25">
      <c r="A262" s="60">
        <v>261</v>
      </c>
      <c r="B262" s="61">
        <v>44412</v>
      </c>
      <c r="C262" s="60" t="s">
        <v>28</v>
      </c>
    </row>
    <row r="263" spans="1:3" x14ac:dyDescent="0.25">
      <c r="A263" s="60">
        <v>262</v>
      </c>
      <c r="B263" s="61">
        <v>44413</v>
      </c>
      <c r="C263" s="60" t="s">
        <v>29</v>
      </c>
    </row>
    <row r="264" spans="1:3" x14ac:dyDescent="0.25">
      <c r="A264" s="60">
        <v>263</v>
      </c>
      <c r="B264" s="61">
        <v>44414</v>
      </c>
      <c r="C264" s="60" t="s">
        <v>25</v>
      </c>
    </row>
    <row r="265" spans="1:3" x14ac:dyDescent="0.25">
      <c r="A265" s="60">
        <v>264</v>
      </c>
      <c r="B265" s="61">
        <v>44417</v>
      </c>
      <c r="C265" s="60" t="s">
        <v>26</v>
      </c>
    </row>
    <row r="266" spans="1:3" x14ac:dyDescent="0.25">
      <c r="A266" s="60">
        <v>265</v>
      </c>
      <c r="B266" s="61">
        <v>44418</v>
      </c>
      <c r="C266" s="60" t="s">
        <v>27</v>
      </c>
    </row>
    <row r="267" spans="1:3" x14ac:dyDescent="0.25">
      <c r="A267" s="60">
        <v>266</v>
      </c>
      <c r="B267" s="61">
        <v>44419</v>
      </c>
      <c r="C267" s="60" t="s">
        <v>28</v>
      </c>
    </row>
    <row r="268" spans="1:3" x14ac:dyDescent="0.25">
      <c r="A268" s="60">
        <v>267</v>
      </c>
      <c r="B268" s="61">
        <v>44420</v>
      </c>
      <c r="C268" s="60" t="s">
        <v>29</v>
      </c>
    </row>
    <row r="269" spans="1:3" x14ac:dyDescent="0.25">
      <c r="A269" s="60">
        <v>268</v>
      </c>
      <c r="B269" s="61">
        <v>44421</v>
      </c>
      <c r="C269" s="60" t="s">
        <v>25</v>
      </c>
    </row>
    <row r="270" spans="1:3" x14ac:dyDescent="0.25">
      <c r="A270" s="60">
        <v>269</v>
      </c>
      <c r="B270" s="61">
        <v>44424</v>
      </c>
      <c r="C270" s="60" t="s">
        <v>26</v>
      </c>
    </row>
    <row r="271" spans="1:3" x14ac:dyDescent="0.25">
      <c r="A271" s="60">
        <v>270</v>
      </c>
      <c r="B271" s="61">
        <v>44425</v>
      </c>
      <c r="C271" s="60" t="s">
        <v>27</v>
      </c>
    </row>
    <row r="272" spans="1:3" x14ac:dyDescent="0.25">
      <c r="A272" s="60">
        <v>271</v>
      </c>
      <c r="B272" s="61">
        <v>44426</v>
      </c>
      <c r="C272" s="60" t="s">
        <v>28</v>
      </c>
    </row>
    <row r="273" spans="1:3" x14ac:dyDescent="0.25">
      <c r="A273" s="60">
        <v>272</v>
      </c>
      <c r="B273" s="61">
        <v>44427</v>
      </c>
      <c r="C273" s="60" t="s">
        <v>29</v>
      </c>
    </row>
    <row r="274" spans="1:3" x14ac:dyDescent="0.25">
      <c r="A274" s="60">
        <v>273</v>
      </c>
      <c r="B274" s="61">
        <v>44428</v>
      </c>
      <c r="C274" s="60" t="s">
        <v>25</v>
      </c>
    </row>
    <row r="275" spans="1:3" x14ac:dyDescent="0.25">
      <c r="A275" s="60">
        <v>274</v>
      </c>
      <c r="B275" s="61">
        <v>44431</v>
      </c>
      <c r="C275" s="60" t="s">
        <v>26</v>
      </c>
    </row>
    <row r="276" spans="1:3" x14ac:dyDescent="0.25">
      <c r="A276" s="60">
        <v>275</v>
      </c>
      <c r="B276" s="61">
        <v>44432</v>
      </c>
      <c r="C276" s="60" t="s">
        <v>27</v>
      </c>
    </row>
    <row r="277" spans="1:3" x14ac:dyDescent="0.25">
      <c r="A277" s="60">
        <v>276</v>
      </c>
      <c r="B277" s="61">
        <v>44433</v>
      </c>
      <c r="C277" s="60" t="s">
        <v>28</v>
      </c>
    </row>
    <row r="278" spans="1:3" x14ac:dyDescent="0.25">
      <c r="A278" s="60">
        <v>277</v>
      </c>
      <c r="B278" s="61">
        <v>44434</v>
      </c>
      <c r="C278" s="60" t="s">
        <v>29</v>
      </c>
    </row>
    <row r="279" spans="1:3" x14ac:dyDescent="0.25">
      <c r="A279" s="60">
        <v>278</v>
      </c>
      <c r="B279" s="61">
        <v>44435</v>
      </c>
      <c r="C279" s="60" t="s">
        <v>25</v>
      </c>
    </row>
    <row r="280" spans="1:3" x14ac:dyDescent="0.25">
      <c r="A280" s="60">
        <v>279</v>
      </c>
      <c r="B280" s="61">
        <v>44438</v>
      </c>
      <c r="C280" s="60" t="s">
        <v>26</v>
      </c>
    </row>
    <row r="281" spans="1:3" x14ac:dyDescent="0.25">
      <c r="A281" s="60">
        <v>280</v>
      </c>
      <c r="B281" s="61">
        <v>44439</v>
      </c>
      <c r="C281" s="60" t="s">
        <v>27</v>
      </c>
    </row>
    <row r="282" spans="1:3" x14ac:dyDescent="0.25">
      <c r="A282" s="60">
        <v>281</v>
      </c>
      <c r="B282" s="61">
        <v>44440</v>
      </c>
      <c r="C282" s="60" t="s">
        <v>28</v>
      </c>
    </row>
    <row r="283" spans="1:3" x14ac:dyDescent="0.25">
      <c r="A283" s="60">
        <v>282</v>
      </c>
      <c r="B283" s="61">
        <v>44441</v>
      </c>
      <c r="C283" s="60" t="s">
        <v>29</v>
      </c>
    </row>
    <row r="284" spans="1:3" x14ac:dyDescent="0.25">
      <c r="A284" s="60">
        <v>283</v>
      </c>
      <c r="B284" s="61">
        <v>44442</v>
      </c>
      <c r="C284" s="60" t="s">
        <v>25</v>
      </c>
    </row>
    <row r="285" spans="1:3" x14ac:dyDescent="0.25">
      <c r="A285" s="60">
        <v>284</v>
      </c>
      <c r="B285" s="61">
        <v>44445</v>
      </c>
      <c r="C285" s="60" t="s">
        <v>26</v>
      </c>
    </row>
    <row r="286" spans="1:3" x14ac:dyDescent="0.25">
      <c r="A286" s="60">
        <v>285</v>
      </c>
      <c r="B286" s="61">
        <v>44446</v>
      </c>
      <c r="C286" s="60" t="s">
        <v>27</v>
      </c>
    </row>
    <row r="287" spans="1:3" x14ac:dyDescent="0.25">
      <c r="A287" s="60">
        <v>286</v>
      </c>
      <c r="B287" s="61">
        <v>44447</v>
      </c>
      <c r="C287" s="60" t="s">
        <v>28</v>
      </c>
    </row>
    <row r="288" spans="1:3" x14ac:dyDescent="0.25">
      <c r="A288" s="60">
        <v>287</v>
      </c>
      <c r="B288" s="61">
        <v>44448</v>
      </c>
      <c r="C288" s="60" t="s">
        <v>29</v>
      </c>
    </row>
    <row r="289" spans="1:3" x14ac:dyDescent="0.25">
      <c r="A289" s="60">
        <v>288</v>
      </c>
      <c r="B289" s="61">
        <v>44449</v>
      </c>
      <c r="C289" s="60" t="s">
        <v>25</v>
      </c>
    </row>
    <row r="290" spans="1:3" x14ac:dyDescent="0.25">
      <c r="A290" s="60">
        <v>289</v>
      </c>
      <c r="B290" s="61">
        <v>44452</v>
      </c>
      <c r="C290" s="60" t="s">
        <v>26</v>
      </c>
    </row>
    <row r="291" spans="1:3" x14ac:dyDescent="0.25">
      <c r="A291" s="60">
        <v>290</v>
      </c>
      <c r="B291" s="61">
        <v>44453</v>
      </c>
      <c r="C291" s="60" t="s">
        <v>27</v>
      </c>
    </row>
    <row r="292" spans="1:3" x14ac:dyDescent="0.25">
      <c r="A292" s="60">
        <v>291</v>
      </c>
      <c r="B292" s="61">
        <v>44454</v>
      </c>
      <c r="C292" s="60" t="s">
        <v>28</v>
      </c>
    </row>
    <row r="293" spans="1:3" x14ac:dyDescent="0.25">
      <c r="A293" s="60">
        <v>292</v>
      </c>
      <c r="B293" s="61">
        <v>44455</v>
      </c>
      <c r="C293" s="60" t="s">
        <v>29</v>
      </c>
    </row>
    <row r="294" spans="1:3" x14ac:dyDescent="0.25">
      <c r="A294" s="60">
        <v>293</v>
      </c>
      <c r="B294" s="61">
        <v>44456</v>
      </c>
      <c r="C294" s="60" t="s">
        <v>25</v>
      </c>
    </row>
    <row r="295" spans="1:3" x14ac:dyDescent="0.25">
      <c r="A295" s="60">
        <v>294</v>
      </c>
      <c r="B295" s="61">
        <v>44461</v>
      </c>
      <c r="C295" s="60" t="s">
        <v>28</v>
      </c>
    </row>
    <row r="296" spans="1:3" x14ac:dyDescent="0.25">
      <c r="A296" s="60">
        <v>295</v>
      </c>
      <c r="B296" s="61">
        <v>44462</v>
      </c>
      <c r="C296" s="60" t="s">
        <v>29</v>
      </c>
    </row>
    <row r="297" spans="1:3" x14ac:dyDescent="0.25">
      <c r="A297" s="60">
        <v>296</v>
      </c>
      <c r="B297" s="61">
        <v>44463</v>
      </c>
      <c r="C297" s="60" t="s">
        <v>25</v>
      </c>
    </row>
    <row r="298" spans="1:3" x14ac:dyDescent="0.25">
      <c r="A298" s="60">
        <v>297</v>
      </c>
      <c r="B298" s="61">
        <v>44466</v>
      </c>
      <c r="C298" s="60" t="s">
        <v>26</v>
      </c>
    </row>
    <row r="299" spans="1:3" x14ac:dyDescent="0.25">
      <c r="A299" s="60">
        <v>298</v>
      </c>
      <c r="B299" s="61">
        <v>44467</v>
      </c>
      <c r="C299" s="60" t="s">
        <v>27</v>
      </c>
    </row>
    <row r="300" spans="1:3" x14ac:dyDescent="0.25">
      <c r="A300" s="60">
        <v>299</v>
      </c>
      <c r="B300" s="61">
        <v>44468</v>
      </c>
      <c r="C300" s="60" t="s">
        <v>28</v>
      </c>
    </row>
    <row r="301" spans="1:3" x14ac:dyDescent="0.25">
      <c r="A301" s="60">
        <v>300</v>
      </c>
      <c r="B301" s="61">
        <v>44469</v>
      </c>
      <c r="C301" s="60" t="s">
        <v>29</v>
      </c>
    </row>
    <row r="302" spans="1:3" x14ac:dyDescent="0.25">
      <c r="A302" s="60">
        <v>301</v>
      </c>
      <c r="B302" s="61">
        <v>44470</v>
      </c>
      <c r="C302" s="60" t="s">
        <v>25</v>
      </c>
    </row>
    <row r="303" spans="1:3" x14ac:dyDescent="0.25">
      <c r="A303" s="60">
        <v>302</v>
      </c>
      <c r="B303" s="61">
        <v>44473</v>
      </c>
      <c r="C303" s="60" t="s">
        <v>26</v>
      </c>
    </row>
    <row r="304" spans="1:3" x14ac:dyDescent="0.25">
      <c r="A304" s="60">
        <v>303</v>
      </c>
      <c r="B304" s="61">
        <v>44474</v>
      </c>
      <c r="C304" s="60" t="s">
        <v>27</v>
      </c>
    </row>
    <row r="305" spans="1:3" x14ac:dyDescent="0.25">
      <c r="A305" s="60">
        <v>304</v>
      </c>
      <c r="B305" s="61">
        <v>44475</v>
      </c>
      <c r="C305" s="60" t="s">
        <v>28</v>
      </c>
    </row>
    <row r="306" spans="1:3" x14ac:dyDescent="0.25">
      <c r="A306" s="62">
        <v>305</v>
      </c>
      <c r="B306" s="63">
        <v>44476</v>
      </c>
      <c r="C306" s="62" t="s">
        <v>29</v>
      </c>
    </row>
    <row r="307" spans="1:3" x14ac:dyDescent="0.25">
      <c r="A307" s="60">
        <v>306</v>
      </c>
      <c r="B307" s="61">
        <v>44477</v>
      </c>
      <c r="C307" s="60" t="s">
        <v>25</v>
      </c>
    </row>
    <row r="308" spans="1:3" x14ac:dyDescent="0.25">
      <c r="A308" s="60">
        <v>307</v>
      </c>
      <c r="B308" s="61">
        <v>44481</v>
      </c>
      <c r="C308" s="60" t="s">
        <v>27</v>
      </c>
    </row>
    <row r="309" spans="1:3" x14ac:dyDescent="0.25">
      <c r="A309" s="60">
        <v>308</v>
      </c>
      <c r="B309" s="61">
        <v>44482</v>
      </c>
      <c r="C309" s="60" t="s">
        <v>28</v>
      </c>
    </row>
    <row r="310" spans="1:3" x14ac:dyDescent="0.25">
      <c r="A310" s="60">
        <v>309</v>
      </c>
      <c r="B310" s="61">
        <v>44483</v>
      </c>
      <c r="C310" s="60" t="s">
        <v>29</v>
      </c>
    </row>
    <row r="311" spans="1:3" x14ac:dyDescent="0.25">
      <c r="A311" s="60">
        <v>310</v>
      </c>
      <c r="B311" s="61">
        <v>44484</v>
      </c>
      <c r="C311" s="60" t="s">
        <v>25</v>
      </c>
    </row>
    <row r="312" spans="1:3" x14ac:dyDescent="0.25">
      <c r="A312" s="60">
        <v>311</v>
      </c>
      <c r="B312" s="61">
        <v>44487</v>
      </c>
      <c r="C312" s="60" t="s">
        <v>26</v>
      </c>
    </row>
    <row r="313" spans="1:3" x14ac:dyDescent="0.25">
      <c r="A313" s="60">
        <v>312</v>
      </c>
      <c r="B313" s="61">
        <v>44488</v>
      </c>
      <c r="C313" s="60" t="s">
        <v>27</v>
      </c>
    </row>
    <row r="314" spans="1:3" x14ac:dyDescent="0.25">
      <c r="A314" s="60">
        <v>313</v>
      </c>
      <c r="B314" s="61">
        <v>44489</v>
      </c>
      <c r="C314" s="60" t="s">
        <v>28</v>
      </c>
    </row>
    <row r="315" spans="1:3" x14ac:dyDescent="0.25">
      <c r="A315" s="60">
        <v>314</v>
      </c>
      <c r="B315" s="61">
        <v>44490</v>
      </c>
      <c r="C315" s="60" t="s">
        <v>29</v>
      </c>
    </row>
    <row r="316" spans="1:3" x14ac:dyDescent="0.25">
      <c r="A316" s="60">
        <v>315</v>
      </c>
      <c r="B316" s="61">
        <v>44491</v>
      </c>
      <c r="C316" s="60" t="s">
        <v>25</v>
      </c>
    </row>
    <row r="317" spans="1:3" x14ac:dyDescent="0.25">
      <c r="A317" s="60">
        <v>316</v>
      </c>
      <c r="B317" s="61">
        <v>44494</v>
      </c>
      <c r="C317" s="60" t="s">
        <v>26</v>
      </c>
    </row>
    <row r="318" spans="1:3" x14ac:dyDescent="0.25">
      <c r="A318" s="60">
        <v>317</v>
      </c>
      <c r="B318" s="61">
        <v>44495</v>
      </c>
      <c r="C318" s="60" t="s">
        <v>27</v>
      </c>
    </row>
    <row r="319" spans="1:3" x14ac:dyDescent="0.25">
      <c r="A319" s="60">
        <v>318</v>
      </c>
      <c r="B319" s="61">
        <v>44496</v>
      </c>
      <c r="C319" s="60" t="s">
        <v>28</v>
      </c>
    </row>
    <row r="320" spans="1:3" x14ac:dyDescent="0.25">
      <c r="A320" s="60">
        <v>319</v>
      </c>
      <c r="B320" s="61">
        <v>44497</v>
      </c>
      <c r="C320" s="60" t="s">
        <v>29</v>
      </c>
    </row>
    <row r="321" spans="1:3" x14ac:dyDescent="0.25">
      <c r="A321" s="60">
        <v>320</v>
      </c>
      <c r="B321" s="61">
        <v>44498</v>
      </c>
      <c r="C321" s="60" t="s">
        <v>25</v>
      </c>
    </row>
    <row r="322" spans="1:3" x14ac:dyDescent="0.25">
      <c r="A322" s="60">
        <v>321</v>
      </c>
      <c r="B322" s="61">
        <v>44501</v>
      </c>
      <c r="C322" s="60" t="s">
        <v>26</v>
      </c>
    </row>
    <row r="323" spans="1:3" x14ac:dyDescent="0.25">
      <c r="A323" s="60">
        <v>322</v>
      </c>
      <c r="B323" s="61">
        <v>44502</v>
      </c>
      <c r="C323" s="60" t="s">
        <v>27</v>
      </c>
    </row>
    <row r="324" spans="1:3" x14ac:dyDescent="0.25">
      <c r="A324" s="60">
        <v>323</v>
      </c>
      <c r="B324" s="61">
        <v>44503</v>
      </c>
      <c r="C324" s="60" t="s">
        <v>28</v>
      </c>
    </row>
    <row r="325" spans="1:3" x14ac:dyDescent="0.25">
      <c r="A325" s="60">
        <v>324</v>
      </c>
      <c r="B325" s="61">
        <v>44504</v>
      </c>
      <c r="C325" s="60" t="s">
        <v>29</v>
      </c>
    </row>
    <row r="326" spans="1:3" x14ac:dyDescent="0.25">
      <c r="A326" s="60">
        <v>325</v>
      </c>
      <c r="B326" s="61">
        <v>44505</v>
      </c>
      <c r="C326" s="60" t="s">
        <v>25</v>
      </c>
    </row>
    <row r="327" spans="1:3" x14ac:dyDescent="0.25">
      <c r="A327" s="60">
        <v>326</v>
      </c>
      <c r="B327" s="61">
        <v>44508</v>
      </c>
      <c r="C327" s="60" t="s">
        <v>26</v>
      </c>
    </row>
    <row r="328" spans="1:3" x14ac:dyDescent="0.25">
      <c r="A328" s="60">
        <v>327</v>
      </c>
      <c r="B328" s="61">
        <v>44509</v>
      </c>
      <c r="C328" s="60" t="s">
        <v>27</v>
      </c>
    </row>
    <row r="329" spans="1:3" x14ac:dyDescent="0.25">
      <c r="A329" s="60">
        <v>328</v>
      </c>
      <c r="B329" s="61">
        <v>44510</v>
      </c>
      <c r="C329" s="60" t="s">
        <v>28</v>
      </c>
    </row>
    <row r="330" spans="1:3" x14ac:dyDescent="0.25">
      <c r="A330" s="60">
        <v>329</v>
      </c>
      <c r="B330" s="61">
        <v>44511</v>
      </c>
      <c r="C330" s="60" t="s">
        <v>29</v>
      </c>
    </row>
    <row r="331" spans="1:3" x14ac:dyDescent="0.25">
      <c r="A331" s="60">
        <v>330</v>
      </c>
      <c r="B331" s="61">
        <v>44512</v>
      </c>
      <c r="C331" s="60" t="s">
        <v>25</v>
      </c>
    </row>
    <row r="332" spans="1:3" x14ac:dyDescent="0.25">
      <c r="A332" s="60">
        <v>331</v>
      </c>
      <c r="B332" s="61">
        <v>44515</v>
      </c>
      <c r="C332" s="60" t="s">
        <v>26</v>
      </c>
    </row>
    <row r="333" spans="1:3" x14ac:dyDescent="0.25">
      <c r="A333" s="60">
        <v>332</v>
      </c>
      <c r="B333" s="61">
        <v>44516</v>
      </c>
      <c r="C333" s="60" t="s">
        <v>27</v>
      </c>
    </row>
    <row r="334" spans="1:3" x14ac:dyDescent="0.25">
      <c r="A334" s="60">
        <v>333</v>
      </c>
      <c r="B334" s="61">
        <v>44517</v>
      </c>
      <c r="C334" s="60" t="s">
        <v>28</v>
      </c>
    </row>
    <row r="335" spans="1:3" x14ac:dyDescent="0.25">
      <c r="A335" s="60">
        <v>334</v>
      </c>
      <c r="B335" s="61">
        <v>44518</v>
      </c>
      <c r="C335" s="60" t="s">
        <v>29</v>
      </c>
    </row>
    <row r="336" spans="1:3" x14ac:dyDescent="0.25">
      <c r="A336" s="60">
        <v>335</v>
      </c>
      <c r="B336" s="61">
        <v>44519</v>
      </c>
      <c r="C336" s="60" t="s">
        <v>25</v>
      </c>
    </row>
    <row r="337" spans="1:3" x14ac:dyDescent="0.25">
      <c r="A337" s="60">
        <v>336</v>
      </c>
      <c r="B337" s="61">
        <v>44522</v>
      </c>
      <c r="C337" s="60" t="s">
        <v>26</v>
      </c>
    </row>
    <row r="338" spans="1:3" x14ac:dyDescent="0.25">
      <c r="A338" s="60">
        <v>337</v>
      </c>
      <c r="B338" s="61">
        <v>44523</v>
      </c>
      <c r="C338" s="60" t="s">
        <v>27</v>
      </c>
    </row>
    <row r="339" spans="1:3" x14ac:dyDescent="0.25">
      <c r="A339" s="60">
        <v>338</v>
      </c>
      <c r="B339" s="61">
        <v>44524</v>
      </c>
      <c r="C339" s="60" t="s">
        <v>28</v>
      </c>
    </row>
    <row r="340" spans="1:3" x14ac:dyDescent="0.25">
      <c r="A340" s="60">
        <v>339</v>
      </c>
      <c r="B340" s="61">
        <v>44525</v>
      </c>
      <c r="C340" s="60" t="s">
        <v>29</v>
      </c>
    </row>
    <row r="341" spans="1:3" x14ac:dyDescent="0.25">
      <c r="A341" s="60">
        <v>340</v>
      </c>
      <c r="B341" s="61">
        <v>44526</v>
      </c>
      <c r="C341" s="60" t="s">
        <v>25</v>
      </c>
    </row>
    <row r="342" spans="1:3" x14ac:dyDescent="0.25">
      <c r="A342" s="60">
        <v>341</v>
      </c>
      <c r="B342" s="61">
        <v>44529</v>
      </c>
      <c r="C342" s="60" t="s">
        <v>26</v>
      </c>
    </row>
    <row r="343" spans="1:3" x14ac:dyDescent="0.25">
      <c r="A343" s="60">
        <v>342</v>
      </c>
      <c r="B343" s="61">
        <v>44530</v>
      </c>
      <c r="C343" s="60" t="s">
        <v>27</v>
      </c>
    </row>
    <row r="344" spans="1:3" x14ac:dyDescent="0.25">
      <c r="A344" s="60">
        <v>343</v>
      </c>
      <c r="B344" s="61">
        <v>44531</v>
      </c>
      <c r="C344" s="60" t="s">
        <v>28</v>
      </c>
    </row>
    <row r="345" spans="1:3" x14ac:dyDescent="0.25">
      <c r="A345" s="60">
        <v>344</v>
      </c>
      <c r="B345" s="61">
        <v>44532</v>
      </c>
      <c r="C345" s="60" t="s">
        <v>29</v>
      </c>
    </row>
    <row r="346" spans="1:3" x14ac:dyDescent="0.25">
      <c r="A346" s="60">
        <v>345</v>
      </c>
      <c r="B346" s="61">
        <v>44533</v>
      </c>
      <c r="C346" s="60" t="s">
        <v>25</v>
      </c>
    </row>
    <row r="347" spans="1:3" x14ac:dyDescent="0.25">
      <c r="A347" s="60">
        <v>346</v>
      </c>
      <c r="B347" s="61">
        <v>44536</v>
      </c>
      <c r="C347" s="60" t="s">
        <v>26</v>
      </c>
    </row>
    <row r="348" spans="1:3" x14ac:dyDescent="0.25">
      <c r="A348" s="60">
        <v>347</v>
      </c>
      <c r="B348" s="61">
        <v>44537</v>
      </c>
      <c r="C348" s="60" t="s">
        <v>27</v>
      </c>
    </row>
    <row r="349" spans="1:3" x14ac:dyDescent="0.25">
      <c r="A349" s="60">
        <v>348</v>
      </c>
      <c r="B349" s="61">
        <v>44538</v>
      </c>
      <c r="C349" s="60" t="s">
        <v>28</v>
      </c>
    </row>
    <row r="350" spans="1:3" x14ac:dyDescent="0.25">
      <c r="A350" s="60">
        <v>349</v>
      </c>
      <c r="B350" s="61">
        <v>44539</v>
      </c>
      <c r="C350" s="60" t="s">
        <v>29</v>
      </c>
    </row>
    <row r="351" spans="1:3" x14ac:dyDescent="0.25">
      <c r="A351" s="60">
        <v>350</v>
      </c>
      <c r="B351" s="61">
        <v>44540</v>
      </c>
      <c r="C351" s="60" t="s">
        <v>25</v>
      </c>
    </row>
    <row r="352" spans="1:3" x14ac:dyDescent="0.25">
      <c r="A352" s="60">
        <v>351</v>
      </c>
      <c r="B352" s="61">
        <v>44543</v>
      </c>
      <c r="C352" s="60" t="s">
        <v>26</v>
      </c>
    </row>
    <row r="353" spans="1:3" x14ac:dyDescent="0.25">
      <c r="A353" s="60">
        <v>352</v>
      </c>
      <c r="B353" s="61">
        <v>44544</v>
      </c>
      <c r="C353" s="60" t="s">
        <v>27</v>
      </c>
    </row>
    <row r="354" spans="1:3" x14ac:dyDescent="0.25">
      <c r="A354" s="60">
        <v>353</v>
      </c>
      <c r="B354" s="61">
        <v>44545</v>
      </c>
      <c r="C354" s="60" t="s">
        <v>28</v>
      </c>
    </row>
    <row r="355" spans="1:3" x14ac:dyDescent="0.25">
      <c r="A355" s="60">
        <v>354</v>
      </c>
      <c r="B355" s="61">
        <v>44546</v>
      </c>
      <c r="C355" s="60" t="s">
        <v>29</v>
      </c>
    </row>
    <row r="356" spans="1:3" x14ac:dyDescent="0.25">
      <c r="A356" s="60">
        <v>355</v>
      </c>
      <c r="B356" s="61">
        <v>44547</v>
      </c>
      <c r="C356" s="60" t="s">
        <v>25</v>
      </c>
    </row>
    <row r="357" spans="1:3" x14ac:dyDescent="0.25">
      <c r="A357" s="60">
        <v>356</v>
      </c>
      <c r="B357" s="61">
        <v>44550</v>
      </c>
      <c r="C357" s="60" t="s">
        <v>26</v>
      </c>
    </row>
    <row r="358" spans="1:3" x14ac:dyDescent="0.25">
      <c r="A358" s="60">
        <v>357</v>
      </c>
      <c r="B358" s="61">
        <v>44551</v>
      </c>
      <c r="C358" s="60" t="s">
        <v>27</v>
      </c>
    </row>
    <row r="359" spans="1:3" x14ac:dyDescent="0.25">
      <c r="A359" s="60">
        <v>358</v>
      </c>
      <c r="B359" s="61">
        <v>44552</v>
      </c>
      <c r="C359" s="60" t="s">
        <v>28</v>
      </c>
    </row>
    <row r="360" spans="1:3" x14ac:dyDescent="0.25">
      <c r="A360" s="60">
        <v>359</v>
      </c>
      <c r="B360" s="61">
        <v>44553</v>
      </c>
      <c r="C360" s="60" t="s">
        <v>29</v>
      </c>
    </row>
    <row r="361" spans="1:3" x14ac:dyDescent="0.25">
      <c r="A361" s="60">
        <v>360</v>
      </c>
      <c r="B361" s="61">
        <v>44554</v>
      </c>
      <c r="C361" s="60" t="s">
        <v>25</v>
      </c>
    </row>
    <row r="362" spans="1:3" x14ac:dyDescent="0.25">
      <c r="A362" s="60">
        <v>361</v>
      </c>
      <c r="B362" s="61">
        <v>44557</v>
      </c>
      <c r="C362" s="60" t="s">
        <v>26</v>
      </c>
    </row>
    <row r="363" spans="1:3" x14ac:dyDescent="0.25">
      <c r="A363" s="60">
        <v>362</v>
      </c>
      <c r="B363" s="61">
        <v>44558</v>
      </c>
      <c r="C363" s="60" t="s">
        <v>27</v>
      </c>
    </row>
    <row r="364" spans="1:3" x14ac:dyDescent="0.25">
      <c r="A364" s="60">
        <v>363</v>
      </c>
      <c r="B364" s="61">
        <v>44559</v>
      </c>
      <c r="C364" s="60" t="s">
        <v>28</v>
      </c>
    </row>
    <row r="365" spans="1:3" x14ac:dyDescent="0.25">
      <c r="A365" s="60">
        <v>364</v>
      </c>
      <c r="B365" s="61">
        <v>44560</v>
      </c>
      <c r="C365" s="60" t="s">
        <v>29</v>
      </c>
    </row>
    <row r="366" spans="1:3" x14ac:dyDescent="0.25">
      <c r="A366" s="60">
        <v>365</v>
      </c>
      <c r="B366" s="61">
        <v>44564</v>
      </c>
      <c r="C366" s="60" t="s">
        <v>26</v>
      </c>
    </row>
    <row r="367" spans="1:3" x14ac:dyDescent="0.25">
      <c r="A367" s="60">
        <v>366</v>
      </c>
      <c r="B367" s="61">
        <v>44565</v>
      </c>
      <c r="C367" s="60" t="s">
        <v>27</v>
      </c>
    </row>
    <row r="368" spans="1:3" x14ac:dyDescent="0.25">
      <c r="A368" s="60">
        <v>367</v>
      </c>
      <c r="B368" s="61">
        <v>44566</v>
      </c>
      <c r="C368" s="60" t="s">
        <v>28</v>
      </c>
    </row>
    <row r="369" spans="1:3" x14ac:dyDescent="0.25">
      <c r="A369" s="60">
        <v>368</v>
      </c>
      <c r="B369" s="61">
        <v>44567</v>
      </c>
      <c r="C369" s="60" t="s">
        <v>29</v>
      </c>
    </row>
    <row r="370" spans="1:3" x14ac:dyDescent="0.25">
      <c r="A370" s="60">
        <v>369</v>
      </c>
      <c r="B370" s="61">
        <v>44568</v>
      </c>
      <c r="C370" s="60" t="s">
        <v>25</v>
      </c>
    </row>
    <row r="371" spans="1:3" x14ac:dyDescent="0.25">
      <c r="A371" s="60">
        <v>370</v>
      </c>
      <c r="B371" s="61">
        <v>44571</v>
      </c>
      <c r="C371" s="60" t="s">
        <v>26</v>
      </c>
    </row>
    <row r="372" spans="1:3" x14ac:dyDescent="0.25">
      <c r="A372" s="60">
        <v>371</v>
      </c>
      <c r="B372" s="61">
        <v>44572</v>
      </c>
      <c r="C372" s="60" t="s">
        <v>27</v>
      </c>
    </row>
    <row r="373" spans="1:3" x14ac:dyDescent="0.25">
      <c r="A373" s="60">
        <v>372</v>
      </c>
      <c r="B373" s="61">
        <v>44573</v>
      </c>
      <c r="C373" s="60" t="s">
        <v>28</v>
      </c>
    </row>
    <row r="374" spans="1:3" x14ac:dyDescent="0.25">
      <c r="A374" s="60">
        <v>373</v>
      </c>
      <c r="B374" s="61">
        <v>44574</v>
      </c>
      <c r="C374" s="60" t="s">
        <v>29</v>
      </c>
    </row>
    <row r="375" spans="1:3" x14ac:dyDescent="0.25">
      <c r="A375" s="60">
        <v>374</v>
      </c>
      <c r="B375" s="61">
        <v>44575</v>
      </c>
      <c r="C375" s="60" t="s">
        <v>25</v>
      </c>
    </row>
    <row r="376" spans="1:3" x14ac:dyDescent="0.25">
      <c r="A376" s="60">
        <v>375</v>
      </c>
      <c r="B376" s="61">
        <v>44578</v>
      </c>
      <c r="C376" s="60" t="s">
        <v>26</v>
      </c>
    </row>
    <row r="377" spans="1:3" x14ac:dyDescent="0.25">
      <c r="A377" s="60">
        <v>376</v>
      </c>
      <c r="B377" s="61">
        <v>44579</v>
      </c>
      <c r="C377" s="60" t="s">
        <v>27</v>
      </c>
    </row>
    <row r="378" spans="1:3" x14ac:dyDescent="0.25">
      <c r="A378" s="60">
        <v>377</v>
      </c>
      <c r="B378" s="61">
        <v>44580</v>
      </c>
      <c r="C378" s="60" t="s">
        <v>28</v>
      </c>
    </row>
    <row r="379" spans="1:3" x14ac:dyDescent="0.25">
      <c r="A379" s="60">
        <v>378</v>
      </c>
      <c r="B379" s="61">
        <v>44581</v>
      </c>
      <c r="C379" s="60" t="s">
        <v>29</v>
      </c>
    </row>
    <row r="380" spans="1:3" x14ac:dyDescent="0.25">
      <c r="A380" s="60">
        <v>379</v>
      </c>
      <c r="B380" s="61">
        <v>44582</v>
      </c>
      <c r="C380" s="60" t="s">
        <v>25</v>
      </c>
    </row>
    <row r="381" spans="1:3" x14ac:dyDescent="0.25">
      <c r="A381" s="60">
        <v>380</v>
      </c>
      <c r="B381" s="61">
        <v>44585</v>
      </c>
      <c r="C381" s="60" t="s">
        <v>26</v>
      </c>
    </row>
    <row r="382" spans="1:3" x14ac:dyDescent="0.25">
      <c r="A382" s="60">
        <v>381</v>
      </c>
      <c r="B382" s="61">
        <v>44586</v>
      </c>
      <c r="C382" s="60" t="s">
        <v>27</v>
      </c>
    </row>
    <row r="383" spans="1:3" x14ac:dyDescent="0.25">
      <c r="A383" s="60">
        <v>382</v>
      </c>
      <c r="B383" s="61">
        <v>44587</v>
      </c>
      <c r="C383" s="60" t="s">
        <v>28</v>
      </c>
    </row>
    <row r="384" spans="1:3" x14ac:dyDescent="0.25">
      <c r="A384" s="60">
        <v>383</v>
      </c>
      <c r="B384" s="61">
        <v>44588</v>
      </c>
      <c r="C384" s="60" t="s">
        <v>29</v>
      </c>
    </row>
    <row r="385" spans="1:3" x14ac:dyDescent="0.25">
      <c r="A385" s="60">
        <v>384</v>
      </c>
      <c r="B385" s="61">
        <v>44589</v>
      </c>
      <c r="C385" s="60" t="s">
        <v>25</v>
      </c>
    </row>
    <row r="386" spans="1:3" x14ac:dyDescent="0.25">
      <c r="A386" s="60">
        <v>385</v>
      </c>
      <c r="B386" s="61">
        <v>44592</v>
      </c>
      <c r="C386" s="60" t="s">
        <v>26</v>
      </c>
    </row>
    <row r="387" spans="1:3" x14ac:dyDescent="0.25">
      <c r="A387" s="60">
        <v>386</v>
      </c>
      <c r="B387" s="61">
        <v>44593</v>
      </c>
      <c r="C387" s="60" t="s">
        <v>27</v>
      </c>
    </row>
    <row r="388" spans="1:3" x14ac:dyDescent="0.25">
      <c r="A388" s="60">
        <v>387</v>
      </c>
      <c r="B388" s="61">
        <v>44594</v>
      </c>
      <c r="C388" s="60" t="s">
        <v>28</v>
      </c>
    </row>
    <row r="389" spans="1:3" x14ac:dyDescent="0.25">
      <c r="A389" s="60">
        <v>388</v>
      </c>
      <c r="B389" s="61">
        <v>44595</v>
      </c>
      <c r="C389" s="60" t="s">
        <v>29</v>
      </c>
    </row>
    <row r="390" spans="1:3" x14ac:dyDescent="0.25">
      <c r="A390" s="60">
        <v>389</v>
      </c>
      <c r="B390" s="61">
        <v>44596</v>
      </c>
      <c r="C390" s="60" t="s">
        <v>25</v>
      </c>
    </row>
    <row r="391" spans="1:3" x14ac:dyDescent="0.25">
      <c r="A391" s="60">
        <v>390</v>
      </c>
      <c r="B391" s="61">
        <v>44599</v>
      </c>
      <c r="C391" s="60" t="s">
        <v>26</v>
      </c>
    </row>
    <row r="392" spans="1:3" x14ac:dyDescent="0.25">
      <c r="A392" s="60">
        <v>391</v>
      </c>
      <c r="B392" s="61">
        <v>44600</v>
      </c>
      <c r="C392" s="60" t="s">
        <v>27</v>
      </c>
    </row>
    <row r="393" spans="1:3" x14ac:dyDescent="0.25">
      <c r="A393" s="60">
        <v>392</v>
      </c>
      <c r="B393" s="61">
        <v>44601</v>
      </c>
      <c r="C393" s="60" t="s">
        <v>28</v>
      </c>
    </row>
    <row r="394" spans="1:3" x14ac:dyDescent="0.25">
      <c r="A394" s="60">
        <v>393</v>
      </c>
      <c r="B394" s="61">
        <v>44602</v>
      </c>
      <c r="C394" s="60" t="s">
        <v>29</v>
      </c>
    </row>
    <row r="395" spans="1:3" x14ac:dyDescent="0.25">
      <c r="A395" s="60">
        <v>394</v>
      </c>
      <c r="B395" s="61">
        <v>44603</v>
      </c>
      <c r="C395" s="60" t="s">
        <v>25</v>
      </c>
    </row>
    <row r="396" spans="1:3" x14ac:dyDescent="0.25">
      <c r="A396" s="60">
        <v>395</v>
      </c>
      <c r="B396" s="61">
        <v>44606</v>
      </c>
      <c r="C396" s="60" t="s">
        <v>26</v>
      </c>
    </row>
    <row r="397" spans="1:3" x14ac:dyDescent="0.25">
      <c r="A397" s="60">
        <v>396</v>
      </c>
      <c r="B397" s="61">
        <v>44607</v>
      </c>
      <c r="C397" s="60" t="s">
        <v>27</v>
      </c>
    </row>
    <row r="398" spans="1:3" x14ac:dyDescent="0.25">
      <c r="A398" s="60">
        <v>397</v>
      </c>
      <c r="B398" s="61">
        <v>44608</v>
      </c>
      <c r="C398" s="60" t="s">
        <v>28</v>
      </c>
    </row>
    <row r="399" spans="1:3" x14ac:dyDescent="0.25">
      <c r="A399" s="60">
        <v>398</v>
      </c>
      <c r="B399" s="61">
        <v>44609</v>
      </c>
      <c r="C399" s="60" t="s">
        <v>29</v>
      </c>
    </row>
    <row r="400" spans="1:3" x14ac:dyDescent="0.25">
      <c r="A400" s="60">
        <v>399</v>
      </c>
      <c r="B400" s="61">
        <v>44610</v>
      </c>
      <c r="C400" s="60" t="s">
        <v>25</v>
      </c>
    </row>
    <row r="401" spans="1:3" x14ac:dyDescent="0.25">
      <c r="A401" s="60">
        <v>400</v>
      </c>
      <c r="B401" s="61">
        <v>44613</v>
      </c>
      <c r="C401" s="60" t="s">
        <v>26</v>
      </c>
    </row>
    <row r="402" spans="1:3" x14ac:dyDescent="0.25">
      <c r="A402" s="60">
        <v>401</v>
      </c>
      <c r="B402" s="61">
        <v>44614</v>
      </c>
      <c r="C402" s="60" t="s">
        <v>27</v>
      </c>
    </row>
    <row r="403" spans="1:3" x14ac:dyDescent="0.25">
      <c r="A403" s="60">
        <v>402</v>
      </c>
      <c r="B403" s="61">
        <v>44615</v>
      </c>
      <c r="C403" s="60" t="s">
        <v>28</v>
      </c>
    </row>
    <row r="404" spans="1:3" x14ac:dyDescent="0.25">
      <c r="A404" s="60">
        <v>403</v>
      </c>
      <c r="B404" s="61">
        <v>44616</v>
      </c>
      <c r="C404" s="60" t="s">
        <v>29</v>
      </c>
    </row>
    <row r="405" spans="1:3" x14ac:dyDescent="0.25">
      <c r="A405" s="60">
        <v>404</v>
      </c>
      <c r="B405" s="61">
        <v>44617</v>
      </c>
      <c r="C405" s="60" t="s">
        <v>25</v>
      </c>
    </row>
    <row r="406" spans="1:3" x14ac:dyDescent="0.25">
      <c r="A406" s="60">
        <v>405</v>
      </c>
      <c r="B406" s="61">
        <v>44620</v>
      </c>
      <c r="C406" s="60" t="s">
        <v>26</v>
      </c>
    </row>
    <row r="407" spans="1:3" x14ac:dyDescent="0.25">
      <c r="A407" s="60">
        <v>406</v>
      </c>
      <c r="B407" s="61">
        <v>44621</v>
      </c>
      <c r="C407" s="60" t="s">
        <v>27</v>
      </c>
    </row>
    <row r="408" spans="1:3" x14ac:dyDescent="0.25">
      <c r="A408" s="60">
        <v>407</v>
      </c>
      <c r="B408" s="61">
        <v>44622</v>
      </c>
      <c r="C408" s="60" t="s">
        <v>28</v>
      </c>
    </row>
    <row r="409" spans="1:3" x14ac:dyDescent="0.25">
      <c r="A409" s="60">
        <v>408</v>
      </c>
      <c r="B409" s="61">
        <v>44623</v>
      </c>
      <c r="C409" s="60" t="s">
        <v>29</v>
      </c>
    </row>
    <row r="410" spans="1:3" x14ac:dyDescent="0.25">
      <c r="A410" s="60">
        <v>409</v>
      </c>
      <c r="B410" s="61">
        <v>44624</v>
      </c>
      <c r="C410" s="60" t="s">
        <v>25</v>
      </c>
    </row>
    <row r="411" spans="1:3" x14ac:dyDescent="0.25">
      <c r="A411" s="60">
        <v>410</v>
      </c>
      <c r="B411" s="61">
        <v>44627</v>
      </c>
      <c r="C411" s="60" t="s">
        <v>26</v>
      </c>
    </row>
    <row r="412" spans="1:3" x14ac:dyDescent="0.25">
      <c r="A412" s="60">
        <v>411</v>
      </c>
      <c r="B412" s="61">
        <v>44628</v>
      </c>
      <c r="C412" s="60" t="s">
        <v>27</v>
      </c>
    </row>
    <row r="413" spans="1:3" x14ac:dyDescent="0.25">
      <c r="A413" s="60">
        <v>412</v>
      </c>
      <c r="B413" s="61">
        <v>44629</v>
      </c>
      <c r="C413" s="60" t="s">
        <v>28</v>
      </c>
    </row>
    <row r="414" spans="1:3" x14ac:dyDescent="0.25">
      <c r="A414" s="60">
        <v>413</v>
      </c>
      <c r="B414" s="61">
        <v>44630</v>
      </c>
      <c r="C414" s="60" t="s">
        <v>29</v>
      </c>
    </row>
    <row r="415" spans="1:3" x14ac:dyDescent="0.25">
      <c r="A415" s="60">
        <v>414</v>
      </c>
      <c r="B415" s="61">
        <v>44631</v>
      </c>
      <c r="C415" s="60" t="s">
        <v>25</v>
      </c>
    </row>
    <row r="416" spans="1:3" x14ac:dyDescent="0.25">
      <c r="A416" s="60">
        <v>415</v>
      </c>
      <c r="B416" s="61">
        <v>44634</v>
      </c>
      <c r="C416" s="60" t="s">
        <v>26</v>
      </c>
    </row>
    <row r="417" spans="1:3" x14ac:dyDescent="0.25">
      <c r="A417" s="60">
        <v>416</v>
      </c>
      <c r="B417" s="61">
        <v>44635</v>
      </c>
      <c r="C417" s="60" t="s">
        <v>27</v>
      </c>
    </row>
    <row r="418" spans="1:3" x14ac:dyDescent="0.25">
      <c r="A418" s="60">
        <v>417</v>
      </c>
      <c r="B418" s="61">
        <v>44636</v>
      </c>
      <c r="C418" s="60" t="s">
        <v>28</v>
      </c>
    </row>
    <row r="419" spans="1:3" x14ac:dyDescent="0.25">
      <c r="A419" s="60">
        <v>418</v>
      </c>
      <c r="B419" s="61">
        <v>44637</v>
      </c>
      <c r="C419" s="60" t="s">
        <v>29</v>
      </c>
    </row>
    <row r="420" spans="1:3" x14ac:dyDescent="0.25">
      <c r="A420" s="60">
        <v>419</v>
      </c>
      <c r="B420" s="61">
        <v>44638</v>
      </c>
      <c r="C420" s="60" t="s">
        <v>25</v>
      </c>
    </row>
    <row r="421" spans="1:3" x14ac:dyDescent="0.25">
      <c r="A421" s="60">
        <v>420</v>
      </c>
      <c r="B421" s="61">
        <v>44641</v>
      </c>
      <c r="C421" s="60" t="s">
        <v>26</v>
      </c>
    </row>
    <row r="422" spans="1:3" x14ac:dyDescent="0.25">
      <c r="A422" s="60">
        <v>421</v>
      </c>
      <c r="B422" s="61">
        <v>44642</v>
      </c>
      <c r="C422" s="60" t="s">
        <v>27</v>
      </c>
    </row>
    <row r="423" spans="1:3" x14ac:dyDescent="0.25">
      <c r="A423" s="60">
        <v>422</v>
      </c>
      <c r="B423" s="61">
        <v>44643</v>
      </c>
      <c r="C423" s="60" t="s">
        <v>28</v>
      </c>
    </row>
    <row r="424" spans="1:3" x14ac:dyDescent="0.25">
      <c r="A424" s="60">
        <v>423</v>
      </c>
      <c r="B424" s="61">
        <v>44644</v>
      </c>
      <c r="C424" s="60" t="s">
        <v>29</v>
      </c>
    </row>
    <row r="425" spans="1:3" x14ac:dyDescent="0.25">
      <c r="A425" s="60">
        <v>424</v>
      </c>
      <c r="B425" s="61">
        <v>44645</v>
      </c>
      <c r="C425" s="60" t="s">
        <v>25</v>
      </c>
    </row>
    <row r="426" spans="1:3" x14ac:dyDescent="0.25">
      <c r="A426" s="60">
        <v>425</v>
      </c>
      <c r="B426" s="61">
        <v>44648</v>
      </c>
      <c r="C426" s="60" t="s">
        <v>26</v>
      </c>
    </row>
    <row r="427" spans="1:3" x14ac:dyDescent="0.25">
      <c r="A427" s="60">
        <v>426</v>
      </c>
      <c r="B427" s="61">
        <v>44649</v>
      </c>
      <c r="C427" s="60" t="s">
        <v>27</v>
      </c>
    </row>
    <row r="428" spans="1:3" x14ac:dyDescent="0.25">
      <c r="A428" s="60">
        <v>427</v>
      </c>
      <c r="B428" s="61">
        <v>44650</v>
      </c>
      <c r="C428" s="60" t="s">
        <v>28</v>
      </c>
    </row>
    <row r="429" spans="1:3" x14ac:dyDescent="0.25">
      <c r="A429" s="60">
        <v>428</v>
      </c>
      <c r="B429" s="61">
        <v>44651</v>
      </c>
      <c r="C429" s="60" t="s">
        <v>29</v>
      </c>
    </row>
    <row r="430" spans="1:3" x14ac:dyDescent="0.25">
      <c r="A430" s="60">
        <v>429</v>
      </c>
      <c r="B430" s="61">
        <v>44652</v>
      </c>
      <c r="C430" s="60" t="s">
        <v>25</v>
      </c>
    </row>
    <row r="431" spans="1:3" x14ac:dyDescent="0.25">
      <c r="A431" s="60">
        <v>430</v>
      </c>
      <c r="B431" s="61">
        <v>44655</v>
      </c>
      <c r="C431" s="60" t="s">
        <v>26</v>
      </c>
    </row>
    <row r="432" spans="1:3" x14ac:dyDescent="0.25">
      <c r="A432" s="60">
        <v>431</v>
      </c>
      <c r="B432" s="61">
        <v>44656</v>
      </c>
      <c r="C432" s="60" t="s">
        <v>27</v>
      </c>
    </row>
    <row r="433" spans="1:3" x14ac:dyDescent="0.25">
      <c r="A433" s="60">
        <v>432</v>
      </c>
      <c r="B433" s="61">
        <v>44657</v>
      </c>
      <c r="C433" s="60" t="s">
        <v>28</v>
      </c>
    </row>
    <row r="434" spans="1:3" x14ac:dyDescent="0.25">
      <c r="A434" s="60">
        <v>433</v>
      </c>
      <c r="B434" s="61">
        <v>44658</v>
      </c>
      <c r="C434" s="60" t="s">
        <v>29</v>
      </c>
    </row>
    <row r="435" spans="1:3" x14ac:dyDescent="0.25">
      <c r="A435" s="60">
        <v>434</v>
      </c>
      <c r="B435" s="61">
        <v>44659</v>
      </c>
      <c r="C435" s="60" t="s">
        <v>25</v>
      </c>
    </row>
    <row r="436" spans="1:3" x14ac:dyDescent="0.25">
      <c r="A436" s="60">
        <v>435</v>
      </c>
      <c r="B436" s="61">
        <v>44662</v>
      </c>
      <c r="C436" s="60" t="s">
        <v>26</v>
      </c>
    </row>
    <row r="437" spans="1:3" x14ac:dyDescent="0.25">
      <c r="A437" s="60">
        <v>436</v>
      </c>
      <c r="B437" s="61">
        <v>44663</v>
      </c>
      <c r="C437" s="60" t="s">
        <v>27</v>
      </c>
    </row>
    <row r="438" spans="1:3" x14ac:dyDescent="0.25">
      <c r="A438" s="60">
        <v>437</v>
      </c>
      <c r="B438" s="61">
        <v>44664</v>
      </c>
      <c r="C438" s="60" t="s">
        <v>28</v>
      </c>
    </row>
    <row r="439" spans="1:3" x14ac:dyDescent="0.25">
      <c r="A439" s="60">
        <v>438</v>
      </c>
      <c r="B439" s="61">
        <v>44665</v>
      </c>
      <c r="C439" s="60" t="s">
        <v>29</v>
      </c>
    </row>
    <row r="440" spans="1:3" x14ac:dyDescent="0.25">
      <c r="A440" s="60">
        <v>439</v>
      </c>
      <c r="B440" s="61">
        <v>44666</v>
      </c>
      <c r="C440" s="60" t="s">
        <v>25</v>
      </c>
    </row>
    <row r="441" spans="1:3" x14ac:dyDescent="0.25">
      <c r="A441" s="60">
        <v>440</v>
      </c>
      <c r="B441" s="61">
        <v>44669</v>
      </c>
      <c r="C441" s="60" t="s">
        <v>26</v>
      </c>
    </row>
    <row r="442" spans="1:3" x14ac:dyDescent="0.25">
      <c r="A442" s="60">
        <v>441</v>
      </c>
      <c r="B442" s="61">
        <v>44670</v>
      </c>
      <c r="C442" s="60" t="s">
        <v>27</v>
      </c>
    </row>
    <row r="443" spans="1:3" x14ac:dyDescent="0.25">
      <c r="A443" s="60">
        <v>442</v>
      </c>
      <c r="B443" s="61">
        <v>44671</v>
      </c>
      <c r="C443" s="60" t="s">
        <v>28</v>
      </c>
    </row>
    <row r="444" spans="1:3" x14ac:dyDescent="0.25">
      <c r="A444" s="60">
        <v>443</v>
      </c>
      <c r="B444" s="61">
        <v>44672</v>
      </c>
      <c r="C444" s="60" t="s">
        <v>29</v>
      </c>
    </row>
    <row r="445" spans="1:3" x14ac:dyDescent="0.25">
      <c r="A445" s="60">
        <v>444</v>
      </c>
      <c r="B445" s="61">
        <v>44673</v>
      </c>
      <c r="C445" s="60" t="s">
        <v>25</v>
      </c>
    </row>
    <row r="446" spans="1:3" x14ac:dyDescent="0.25">
      <c r="A446" s="60">
        <v>445</v>
      </c>
      <c r="B446" s="61">
        <v>44676</v>
      </c>
      <c r="C446" s="60" t="s">
        <v>26</v>
      </c>
    </row>
    <row r="447" spans="1:3" x14ac:dyDescent="0.25">
      <c r="A447" s="60">
        <v>446</v>
      </c>
      <c r="B447" s="61">
        <v>44677</v>
      </c>
      <c r="C447" s="60" t="s">
        <v>27</v>
      </c>
    </row>
    <row r="448" spans="1:3" x14ac:dyDescent="0.25">
      <c r="A448" s="60">
        <v>447</v>
      </c>
      <c r="B448" s="61">
        <v>44678</v>
      </c>
      <c r="C448" s="60" t="s">
        <v>28</v>
      </c>
    </row>
    <row r="449" spans="1:3" x14ac:dyDescent="0.25">
      <c r="A449" s="60">
        <v>448</v>
      </c>
      <c r="B449" s="61">
        <v>44679</v>
      </c>
      <c r="C449" s="60" t="s">
        <v>29</v>
      </c>
    </row>
    <row r="450" spans="1:3" x14ac:dyDescent="0.25">
      <c r="A450" s="60">
        <v>449</v>
      </c>
      <c r="B450" s="61">
        <v>44680</v>
      </c>
      <c r="C450" s="60" t="s">
        <v>25</v>
      </c>
    </row>
    <row r="451" spans="1:3" x14ac:dyDescent="0.25">
      <c r="A451" s="60">
        <v>450</v>
      </c>
      <c r="B451" s="61">
        <v>44683</v>
      </c>
      <c r="C451" s="60" t="s">
        <v>26</v>
      </c>
    </row>
    <row r="452" spans="1:3" x14ac:dyDescent="0.25">
      <c r="A452" s="60">
        <v>451</v>
      </c>
      <c r="B452" s="61">
        <v>44684</v>
      </c>
      <c r="C452" s="60" t="s">
        <v>27</v>
      </c>
    </row>
    <row r="453" spans="1:3" x14ac:dyDescent="0.25">
      <c r="A453" s="60">
        <v>452</v>
      </c>
      <c r="B453" s="61">
        <v>44685</v>
      </c>
      <c r="C453" s="60" t="s">
        <v>28</v>
      </c>
    </row>
    <row r="454" spans="1:3" x14ac:dyDescent="0.25">
      <c r="A454" s="60">
        <v>453</v>
      </c>
      <c r="B454" s="61">
        <v>44686</v>
      </c>
      <c r="C454" s="60" t="s">
        <v>29</v>
      </c>
    </row>
    <row r="455" spans="1:3" x14ac:dyDescent="0.25">
      <c r="A455" s="60">
        <v>454</v>
      </c>
      <c r="B455" s="61">
        <v>44687</v>
      </c>
      <c r="C455" s="60" t="s">
        <v>25</v>
      </c>
    </row>
    <row r="456" spans="1:3" x14ac:dyDescent="0.25">
      <c r="A456" s="60">
        <v>455</v>
      </c>
      <c r="B456" s="61">
        <v>44690</v>
      </c>
      <c r="C456" s="60" t="s">
        <v>26</v>
      </c>
    </row>
    <row r="457" spans="1:3" x14ac:dyDescent="0.25">
      <c r="A457" s="60">
        <v>456</v>
      </c>
      <c r="B457" s="61">
        <v>44691</v>
      </c>
      <c r="C457" s="60" t="s">
        <v>27</v>
      </c>
    </row>
    <row r="458" spans="1:3" x14ac:dyDescent="0.25">
      <c r="A458" s="60">
        <v>457</v>
      </c>
      <c r="B458" s="61">
        <v>44692</v>
      </c>
      <c r="C458" s="60" t="s">
        <v>28</v>
      </c>
    </row>
    <row r="459" spans="1:3" x14ac:dyDescent="0.25">
      <c r="A459" s="60">
        <v>458</v>
      </c>
      <c r="B459" s="61">
        <v>44693</v>
      </c>
      <c r="C459" s="60" t="s">
        <v>29</v>
      </c>
    </row>
    <row r="460" spans="1:3" x14ac:dyDescent="0.25">
      <c r="A460" s="60">
        <v>459</v>
      </c>
      <c r="B460" s="61">
        <v>44694</v>
      </c>
      <c r="C460" s="60" t="s">
        <v>25</v>
      </c>
    </row>
    <row r="461" spans="1:3" x14ac:dyDescent="0.25">
      <c r="A461" s="60">
        <v>460</v>
      </c>
      <c r="B461" s="61">
        <v>44697</v>
      </c>
      <c r="C461" s="60" t="s">
        <v>26</v>
      </c>
    </row>
    <row r="462" spans="1:3" x14ac:dyDescent="0.25">
      <c r="A462" s="60">
        <v>461</v>
      </c>
      <c r="B462" s="61">
        <v>44698</v>
      </c>
      <c r="C462" s="60" t="s">
        <v>27</v>
      </c>
    </row>
    <row r="463" spans="1:3" x14ac:dyDescent="0.25">
      <c r="A463" s="60">
        <v>462</v>
      </c>
      <c r="B463" s="61">
        <v>44699</v>
      </c>
      <c r="C463" s="60" t="s">
        <v>28</v>
      </c>
    </row>
    <row r="464" spans="1:3" x14ac:dyDescent="0.25">
      <c r="A464" s="60">
        <v>463</v>
      </c>
      <c r="B464" s="61">
        <v>44700</v>
      </c>
      <c r="C464" s="60" t="s">
        <v>29</v>
      </c>
    </row>
    <row r="465" spans="1:3" x14ac:dyDescent="0.25">
      <c r="A465" s="60">
        <v>464</v>
      </c>
      <c r="B465" s="61">
        <v>44701</v>
      </c>
      <c r="C465" s="60" t="s">
        <v>25</v>
      </c>
    </row>
    <row r="466" spans="1:3" x14ac:dyDescent="0.25">
      <c r="A466" s="60">
        <v>465</v>
      </c>
      <c r="B466" s="61">
        <v>44704</v>
      </c>
      <c r="C466" s="60" t="s">
        <v>26</v>
      </c>
    </row>
    <row r="467" spans="1:3" x14ac:dyDescent="0.25">
      <c r="A467" s="60">
        <v>466</v>
      </c>
      <c r="B467" s="61">
        <v>44705</v>
      </c>
      <c r="C467" s="60" t="s">
        <v>27</v>
      </c>
    </row>
    <row r="468" spans="1:3" x14ac:dyDescent="0.25">
      <c r="A468" s="60">
        <v>467</v>
      </c>
      <c r="B468" s="61">
        <v>44706</v>
      </c>
      <c r="C468" s="60" t="s">
        <v>28</v>
      </c>
    </row>
    <row r="469" spans="1:3" x14ac:dyDescent="0.25">
      <c r="A469" s="60">
        <v>468</v>
      </c>
      <c r="B469" s="61">
        <v>44707</v>
      </c>
      <c r="C469" s="60" t="s">
        <v>29</v>
      </c>
    </row>
    <row r="470" spans="1:3" x14ac:dyDescent="0.25">
      <c r="A470" s="60">
        <v>469</v>
      </c>
      <c r="B470" s="61">
        <v>44708</v>
      </c>
      <c r="C470" s="60" t="s">
        <v>25</v>
      </c>
    </row>
    <row r="471" spans="1:3" x14ac:dyDescent="0.25">
      <c r="A471" s="60">
        <v>470</v>
      </c>
      <c r="B471" s="61">
        <v>44711</v>
      </c>
      <c r="C471" s="60" t="s">
        <v>26</v>
      </c>
    </row>
    <row r="472" spans="1:3" x14ac:dyDescent="0.25">
      <c r="A472" s="60">
        <v>471</v>
      </c>
      <c r="B472" s="61">
        <v>44712</v>
      </c>
      <c r="C472" s="60" t="s">
        <v>27</v>
      </c>
    </row>
    <row r="473" spans="1:3" x14ac:dyDescent="0.25">
      <c r="A473" s="60">
        <v>472</v>
      </c>
      <c r="B473" s="61">
        <v>44713</v>
      </c>
      <c r="C473" s="60" t="s">
        <v>28</v>
      </c>
    </row>
    <row r="474" spans="1:3" x14ac:dyDescent="0.25">
      <c r="A474" s="60">
        <v>473</v>
      </c>
      <c r="B474" s="61">
        <v>44714</v>
      </c>
      <c r="C474" s="60" t="s">
        <v>29</v>
      </c>
    </row>
    <row r="475" spans="1:3" x14ac:dyDescent="0.25">
      <c r="A475" s="60">
        <v>474</v>
      </c>
      <c r="B475" s="61">
        <v>44715</v>
      </c>
      <c r="C475" s="60" t="s">
        <v>25</v>
      </c>
    </row>
    <row r="476" spans="1:3" x14ac:dyDescent="0.25">
      <c r="A476" s="60">
        <v>475</v>
      </c>
      <c r="B476" s="61">
        <v>44718</v>
      </c>
      <c r="C476" s="60" t="s">
        <v>26</v>
      </c>
    </row>
    <row r="477" spans="1:3" x14ac:dyDescent="0.25">
      <c r="A477" s="60">
        <v>476</v>
      </c>
      <c r="B477" s="61">
        <v>44719</v>
      </c>
      <c r="C477" s="60" t="s">
        <v>27</v>
      </c>
    </row>
    <row r="478" spans="1:3" x14ac:dyDescent="0.25">
      <c r="A478" s="60">
        <v>477</v>
      </c>
      <c r="B478" s="61">
        <v>44720</v>
      </c>
      <c r="C478" s="60" t="s">
        <v>28</v>
      </c>
    </row>
    <row r="479" spans="1:3" x14ac:dyDescent="0.25">
      <c r="A479" s="60">
        <v>478</v>
      </c>
      <c r="B479" s="61">
        <v>44721</v>
      </c>
      <c r="C479" s="60" t="s">
        <v>29</v>
      </c>
    </row>
    <row r="480" spans="1:3" x14ac:dyDescent="0.25">
      <c r="A480" s="60">
        <v>479</v>
      </c>
      <c r="B480" s="61">
        <v>44722</v>
      </c>
      <c r="C480" s="60" t="s">
        <v>25</v>
      </c>
    </row>
    <row r="481" spans="1:3" x14ac:dyDescent="0.25">
      <c r="A481" s="60">
        <v>480</v>
      </c>
      <c r="B481" s="61">
        <v>44725</v>
      </c>
      <c r="C481" s="60" t="s">
        <v>26</v>
      </c>
    </row>
    <row r="482" spans="1:3" x14ac:dyDescent="0.25">
      <c r="A482" s="60">
        <v>481</v>
      </c>
      <c r="B482" s="61">
        <v>44726</v>
      </c>
      <c r="C482" s="60" t="s">
        <v>27</v>
      </c>
    </row>
    <row r="483" spans="1:3" x14ac:dyDescent="0.25">
      <c r="A483" s="60">
        <v>482</v>
      </c>
      <c r="B483" s="61">
        <v>44727</v>
      </c>
      <c r="C483" s="60" t="s">
        <v>28</v>
      </c>
    </row>
    <row r="484" spans="1:3" x14ac:dyDescent="0.25">
      <c r="A484" s="60">
        <v>483</v>
      </c>
      <c r="B484" s="61">
        <v>44728</v>
      </c>
      <c r="C484" s="60" t="s">
        <v>29</v>
      </c>
    </row>
    <row r="485" spans="1:3" x14ac:dyDescent="0.25">
      <c r="A485" s="60">
        <v>484</v>
      </c>
      <c r="B485" s="61">
        <v>44729</v>
      </c>
      <c r="C485" s="60" t="s">
        <v>25</v>
      </c>
    </row>
    <row r="486" spans="1:3" x14ac:dyDescent="0.25">
      <c r="A486" s="60">
        <v>485</v>
      </c>
      <c r="B486" s="61">
        <v>44732</v>
      </c>
      <c r="C486" s="60" t="s">
        <v>26</v>
      </c>
    </row>
    <row r="487" spans="1:3" x14ac:dyDescent="0.25">
      <c r="A487" s="60">
        <v>486</v>
      </c>
      <c r="B487" s="61">
        <v>44733</v>
      </c>
      <c r="C487" s="60" t="s">
        <v>27</v>
      </c>
    </row>
    <row r="488" spans="1:3" x14ac:dyDescent="0.25">
      <c r="A488" s="60">
        <v>487</v>
      </c>
      <c r="B488" s="61">
        <v>44734</v>
      </c>
      <c r="C488" s="60" t="s">
        <v>28</v>
      </c>
    </row>
    <row r="489" spans="1:3" x14ac:dyDescent="0.25">
      <c r="A489" s="60">
        <v>488</v>
      </c>
      <c r="B489" s="61">
        <v>44735</v>
      </c>
      <c r="C489" s="60" t="s">
        <v>29</v>
      </c>
    </row>
    <row r="490" spans="1:3" x14ac:dyDescent="0.25">
      <c r="A490" s="60">
        <v>489</v>
      </c>
      <c r="B490" s="61">
        <v>44736</v>
      </c>
      <c r="C490" s="60" t="s">
        <v>25</v>
      </c>
    </row>
    <row r="491" spans="1:3" x14ac:dyDescent="0.25">
      <c r="A491" s="60">
        <v>490</v>
      </c>
      <c r="B491" s="61">
        <v>44739</v>
      </c>
      <c r="C491" s="60" t="s">
        <v>26</v>
      </c>
    </row>
    <row r="492" spans="1:3" x14ac:dyDescent="0.25">
      <c r="A492" s="60">
        <v>491</v>
      </c>
      <c r="B492" s="61">
        <v>44740</v>
      </c>
      <c r="C492" s="60" t="s">
        <v>27</v>
      </c>
    </row>
    <row r="493" spans="1:3" x14ac:dyDescent="0.25">
      <c r="A493" s="60">
        <v>492</v>
      </c>
      <c r="B493" s="61">
        <v>44741</v>
      </c>
      <c r="C493" s="60" t="s">
        <v>28</v>
      </c>
    </row>
    <row r="494" spans="1:3" x14ac:dyDescent="0.25">
      <c r="A494" s="60">
        <v>493</v>
      </c>
      <c r="B494" s="61">
        <v>44742</v>
      </c>
      <c r="C494" s="60" t="s">
        <v>29</v>
      </c>
    </row>
    <row r="495" spans="1:3" x14ac:dyDescent="0.25">
      <c r="A495" s="60">
        <v>494</v>
      </c>
      <c r="B495" s="61">
        <v>44743</v>
      </c>
      <c r="C495" s="60" t="s">
        <v>25</v>
      </c>
    </row>
    <row r="496" spans="1:3" x14ac:dyDescent="0.25">
      <c r="A496" s="60">
        <v>495</v>
      </c>
      <c r="B496" s="61">
        <v>44746</v>
      </c>
      <c r="C496" s="60" t="s">
        <v>26</v>
      </c>
    </row>
    <row r="497" spans="1:3" x14ac:dyDescent="0.25">
      <c r="A497" s="60">
        <v>496</v>
      </c>
      <c r="B497" s="61">
        <v>44747</v>
      </c>
      <c r="C497" s="60" t="s">
        <v>27</v>
      </c>
    </row>
    <row r="498" spans="1:3" x14ac:dyDescent="0.25">
      <c r="A498" s="60">
        <v>497</v>
      </c>
      <c r="B498" s="61">
        <v>44748</v>
      </c>
      <c r="C498" s="60" t="s">
        <v>28</v>
      </c>
    </row>
    <row r="499" spans="1:3" x14ac:dyDescent="0.25">
      <c r="A499" s="60">
        <v>498</v>
      </c>
      <c r="B499" s="61">
        <v>44749</v>
      </c>
      <c r="C499" s="60" t="s">
        <v>29</v>
      </c>
    </row>
    <row r="500" spans="1:3" x14ac:dyDescent="0.25">
      <c r="A500" s="60">
        <v>499</v>
      </c>
      <c r="B500" s="61">
        <v>44750</v>
      </c>
      <c r="C500" s="60" t="s">
        <v>25</v>
      </c>
    </row>
    <row r="501" spans="1:3" x14ac:dyDescent="0.25">
      <c r="A501" s="60">
        <v>500</v>
      </c>
      <c r="B501" s="61">
        <v>44753</v>
      </c>
      <c r="C501" s="60" t="s">
        <v>26</v>
      </c>
    </row>
    <row r="502" spans="1:3" x14ac:dyDescent="0.25">
      <c r="A502" s="60">
        <v>501</v>
      </c>
      <c r="B502" s="61">
        <v>44754</v>
      </c>
      <c r="C502" s="60" t="s">
        <v>27</v>
      </c>
    </row>
    <row r="503" spans="1:3" x14ac:dyDescent="0.25">
      <c r="A503" s="60">
        <v>502</v>
      </c>
      <c r="B503" s="61">
        <v>44755</v>
      </c>
      <c r="C503" s="60" t="s">
        <v>28</v>
      </c>
    </row>
    <row r="504" spans="1:3" x14ac:dyDescent="0.25">
      <c r="A504" s="60">
        <v>503</v>
      </c>
      <c r="B504" s="61">
        <v>44756</v>
      </c>
      <c r="C504" s="60" t="s">
        <v>29</v>
      </c>
    </row>
    <row r="505" spans="1:3" x14ac:dyDescent="0.25">
      <c r="A505" s="60">
        <v>504</v>
      </c>
      <c r="B505" s="61">
        <v>44757</v>
      </c>
      <c r="C505" s="60" t="s">
        <v>25</v>
      </c>
    </row>
    <row r="506" spans="1:3" x14ac:dyDescent="0.25">
      <c r="A506" s="60">
        <v>505</v>
      </c>
      <c r="B506" s="61">
        <v>44760</v>
      </c>
      <c r="C506" s="60" t="s">
        <v>26</v>
      </c>
    </row>
    <row r="507" spans="1:3" x14ac:dyDescent="0.25">
      <c r="A507" s="60">
        <v>506</v>
      </c>
      <c r="B507" s="61">
        <v>44761</v>
      </c>
      <c r="C507" s="60" t="s">
        <v>27</v>
      </c>
    </row>
    <row r="508" spans="1:3" x14ac:dyDescent="0.25">
      <c r="A508" s="60">
        <v>507</v>
      </c>
      <c r="B508" s="61">
        <v>44762</v>
      </c>
      <c r="C508" s="60" t="s">
        <v>28</v>
      </c>
    </row>
    <row r="509" spans="1:3" x14ac:dyDescent="0.25">
      <c r="A509" s="60">
        <v>508</v>
      </c>
      <c r="B509" s="61">
        <v>44763</v>
      </c>
      <c r="C509" s="60" t="s">
        <v>29</v>
      </c>
    </row>
    <row r="510" spans="1:3" x14ac:dyDescent="0.25">
      <c r="A510" s="60">
        <v>509</v>
      </c>
      <c r="B510" s="61">
        <v>44764</v>
      </c>
      <c r="C510" s="60" t="s">
        <v>25</v>
      </c>
    </row>
    <row r="511" spans="1:3" x14ac:dyDescent="0.25">
      <c r="A511" s="60">
        <v>510</v>
      </c>
      <c r="B511" s="61">
        <v>44767</v>
      </c>
      <c r="C511" s="60" t="s">
        <v>26</v>
      </c>
    </row>
    <row r="512" spans="1:3" x14ac:dyDescent="0.25">
      <c r="A512" s="60">
        <v>511</v>
      </c>
      <c r="B512" s="61">
        <v>44768</v>
      </c>
      <c r="C512" s="60" t="s">
        <v>27</v>
      </c>
    </row>
    <row r="513" spans="1:3" x14ac:dyDescent="0.25">
      <c r="A513" s="60">
        <v>512</v>
      </c>
      <c r="B513" s="61">
        <v>44769</v>
      </c>
      <c r="C513" s="60" t="s">
        <v>28</v>
      </c>
    </row>
    <row r="514" spans="1:3" x14ac:dyDescent="0.25">
      <c r="A514" s="60">
        <v>513</v>
      </c>
      <c r="B514" s="61">
        <v>44770</v>
      </c>
      <c r="C514" s="60" t="s">
        <v>29</v>
      </c>
    </row>
    <row r="515" spans="1:3" x14ac:dyDescent="0.25">
      <c r="A515" s="60">
        <v>514</v>
      </c>
      <c r="B515" s="61">
        <v>44771</v>
      </c>
      <c r="C515" s="60" t="s">
        <v>25</v>
      </c>
    </row>
    <row r="516" spans="1:3" x14ac:dyDescent="0.25">
      <c r="A516" s="60">
        <v>515</v>
      </c>
      <c r="B516" s="61">
        <v>44774</v>
      </c>
      <c r="C516" s="60" t="s">
        <v>26</v>
      </c>
    </row>
    <row r="517" spans="1:3" x14ac:dyDescent="0.25">
      <c r="A517" s="60">
        <v>516</v>
      </c>
      <c r="B517" s="61">
        <v>44775</v>
      </c>
      <c r="C517" s="60" t="s">
        <v>27</v>
      </c>
    </row>
    <row r="518" spans="1:3" x14ac:dyDescent="0.25">
      <c r="A518" s="60">
        <v>517</v>
      </c>
      <c r="B518" s="61">
        <v>44776</v>
      </c>
      <c r="C518" s="60" t="s">
        <v>28</v>
      </c>
    </row>
    <row r="519" spans="1:3" x14ac:dyDescent="0.25">
      <c r="A519" s="60">
        <v>518</v>
      </c>
      <c r="B519" s="61">
        <v>44777</v>
      </c>
      <c r="C519" s="60" t="s">
        <v>29</v>
      </c>
    </row>
    <row r="520" spans="1:3" x14ac:dyDescent="0.25">
      <c r="A520" s="60">
        <v>519</v>
      </c>
      <c r="B520" s="61">
        <v>44778</v>
      </c>
      <c r="C520" s="60" t="s">
        <v>25</v>
      </c>
    </row>
    <row r="521" spans="1:3" x14ac:dyDescent="0.25">
      <c r="A521" s="60">
        <v>520</v>
      </c>
      <c r="B521" s="61">
        <v>44781</v>
      </c>
      <c r="C521" s="60" t="s">
        <v>26</v>
      </c>
    </row>
    <row r="522" spans="1:3" x14ac:dyDescent="0.25">
      <c r="A522" s="60">
        <v>521</v>
      </c>
      <c r="B522" s="61">
        <v>44782</v>
      </c>
      <c r="C522" s="60" t="s">
        <v>27</v>
      </c>
    </row>
    <row r="523" spans="1:3" x14ac:dyDescent="0.25">
      <c r="A523" s="60">
        <v>522</v>
      </c>
      <c r="B523" s="61">
        <v>44783</v>
      </c>
      <c r="C523" s="60" t="s">
        <v>28</v>
      </c>
    </row>
    <row r="524" spans="1:3" x14ac:dyDescent="0.25">
      <c r="A524" s="60">
        <v>523</v>
      </c>
      <c r="B524" s="61">
        <v>44784</v>
      </c>
      <c r="C524" s="60" t="s">
        <v>29</v>
      </c>
    </row>
    <row r="525" spans="1:3" x14ac:dyDescent="0.25">
      <c r="A525" s="60">
        <v>524</v>
      </c>
      <c r="B525" s="61">
        <v>44785</v>
      </c>
      <c r="C525" s="60" t="s">
        <v>25</v>
      </c>
    </row>
    <row r="526" spans="1:3" x14ac:dyDescent="0.25">
      <c r="A526" s="60">
        <v>525</v>
      </c>
      <c r="B526" s="61">
        <v>44788</v>
      </c>
      <c r="C526" s="60" t="s">
        <v>26</v>
      </c>
    </row>
    <row r="527" spans="1:3" x14ac:dyDescent="0.25">
      <c r="A527" s="60">
        <v>526</v>
      </c>
      <c r="B527" s="61">
        <v>44789</v>
      </c>
      <c r="C527" s="60" t="s">
        <v>27</v>
      </c>
    </row>
    <row r="528" spans="1:3" x14ac:dyDescent="0.25">
      <c r="A528" s="60">
        <v>527</v>
      </c>
      <c r="B528" s="61">
        <v>44790</v>
      </c>
      <c r="C528" s="60" t="s">
        <v>28</v>
      </c>
    </row>
    <row r="529" spans="1:3" x14ac:dyDescent="0.25">
      <c r="A529" s="60">
        <v>528</v>
      </c>
      <c r="B529" s="61">
        <v>44791</v>
      </c>
      <c r="C529" s="60" t="s">
        <v>29</v>
      </c>
    </row>
    <row r="530" spans="1:3" x14ac:dyDescent="0.25">
      <c r="A530" s="60">
        <v>529</v>
      </c>
      <c r="B530" s="61">
        <v>44792</v>
      </c>
      <c r="C530" s="60" t="s">
        <v>25</v>
      </c>
    </row>
    <row r="531" spans="1:3" x14ac:dyDescent="0.25">
      <c r="A531" s="60">
        <v>530</v>
      </c>
      <c r="B531" s="61">
        <v>44795</v>
      </c>
      <c r="C531" s="60" t="s">
        <v>26</v>
      </c>
    </row>
    <row r="532" spans="1:3" x14ac:dyDescent="0.25">
      <c r="A532" s="60">
        <v>531</v>
      </c>
      <c r="B532" s="61">
        <v>44796</v>
      </c>
      <c r="C532" s="60" t="s">
        <v>27</v>
      </c>
    </row>
    <row r="533" spans="1:3" x14ac:dyDescent="0.25">
      <c r="A533" s="60">
        <v>532</v>
      </c>
      <c r="B533" s="61">
        <v>44797</v>
      </c>
      <c r="C533" s="60" t="s">
        <v>28</v>
      </c>
    </row>
    <row r="534" spans="1:3" x14ac:dyDescent="0.25">
      <c r="A534" s="60">
        <v>533</v>
      </c>
      <c r="B534" s="61">
        <v>44798</v>
      </c>
      <c r="C534" s="60" t="s">
        <v>29</v>
      </c>
    </row>
    <row r="535" spans="1:3" x14ac:dyDescent="0.25">
      <c r="A535" s="60">
        <v>534</v>
      </c>
      <c r="B535" s="61">
        <v>44799</v>
      </c>
      <c r="C535" s="60" t="s">
        <v>25</v>
      </c>
    </row>
    <row r="536" spans="1:3" x14ac:dyDescent="0.25">
      <c r="A536" s="60">
        <v>535</v>
      </c>
      <c r="B536" s="61">
        <v>44802</v>
      </c>
      <c r="C536" s="60" t="s">
        <v>26</v>
      </c>
    </row>
    <row r="537" spans="1:3" x14ac:dyDescent="0.25">
      <c r="A537" s="60">
        <v>536</v>
      </c>
      <c r="B537" s="61">
        <v>44803</v>
      </c>
      <c r="C537" s="60" t="s">
        <v>27</v>
      </c>
    </row>
    <row r="538" spans="1:3" x14ac:dyDescent="0.25">
      <c r="A538" s="60">
        <v>537</v>
      </c>
      <c r="B538" s="61">
        <v>44804</v>
      </c>
      <c r="C538" s="60" t="s">
        <v>28</v>
      </c>
    </row>
    <row r="539" spans="1:3" x14ac:dyDescent="0.25">
      <c r="A539" s="60">
        <v>538</v>
      </c>
      <c r="B539" s="61">
        <v>44805</v>
      </c>
      <c r="C539" s="60" t="s">
        <v>29</v>
      </c>
    </row>
    <row r="540" spans="1:3" x14ac:dyDescent="0.25">
      <c r="A540" s="60">
        <v>539</v>
      </c>
      <c r="B540" s="61">
        <v>44806</v>
      </c>
      <c r="C540" s="60" t="s">
        <v>25</v>
      </c>
    </row>
    <row r="541" spans="1:3" x14ac:dyDescent="0.25">
      <c r="A541" s="60">
        <v>540</v>
      </c>
      <c r="B541" s="61">
        <v>44809</v>
      </c>
      <c r="C541" s="60" t="s">
        <v>26</v>
      </c>
    </row>
    <row r="542" spans="1:3" x14ac:dyDescent="0.25">
      <c r="A542" s="60">
        <v>541</v>
      </c>
      <c r="B542" s="61">
        <v>44810</v>
      </c>
      <c r="C542" s="60" t="s">
        <v>27</v>
      </c>
    </row>
    <row r="543" spans="1:3" x14ac:dyDescent="0.25">
      <c r="A543" s="60">
        <v>542</v>
      </c>
      <c r="B543" s="61">
        <v>44811</v>
      </c>
      <c r="C543" s="60" t="s">
        <v>28</v>
      </c>
    </row>
    <row r="544" spans="1:3" x14ac:dyDescent="0.25">
      <c r="A544" s="60">
        <v>543</v>
      </c>
      <c r="B544" s="61">
        <v>44812</v>
      </c>
      <c r="C544" s="60" t="s">
        <v>29</v>
      </c>
    </row>
    <row r="545" spans="1:3" x14ac:dyDescent="0.25">
      <c r="A545" s="60">
        <v>544</v>
      </c>
      <c r="B545" s="61">
        <v>44813</v>
      </c>
      <c r="C545" s="60" t="s">
        <v>25</v>
      </c>
    </row>
    <row r="546" spans="1:3" x14ac:dyDescent="0.25">
      <c r="A546" s="60">
        <v>545</v>
      </c>
      <c r="B546" s="61">
        <v>44816</v>
      </c>
      <c r="C546" s="60" t="s">
        <v>26</v>
      </c>
    </row>
    <row r="547" spans="1:3" x14ac:dyDescent="0.25">
      <c r="A547" s="60">
        <v>546</v>
      </c>
      <c r="B547" s="61">
        <v>44817</v>
      </c>
      <c r="C547" s="60" t="s">
        <v>27</v>
      </c>
    </row>
    <row r="548" spans="1:3" x14ac:dyDescent="0.25">
      <c r="A548" s="60">
        <v>547</v>
      </c>
      <c r="B548" s="61">
        <v>44818</v>
      </c>
      <c r="C548" s="60" t="s">
        <v>28</v>
      </c>
    </row>
    <row r="549" spans="1:3" x14ac:dyDescent="0.25">
      <c r="A549" s="60">
        <v>548</v>
      </c>
      <c r="B549" s="61">
        <v>44819</v>
      </c>
      <c r="C549" s="60" t="s">
        <v>29</v>
      </c>
    </row>
    <row r="550" spans="1:3" x14ac:dyDescent="0.25">
      <c r="A550" s="60">
        <v>549</v>
      </c>
      <c r="B550" s="61">
        <v>44820</v>
      </c>
      <c r="C550" s="60" t="s">
        <v>25</v>
      </c>
    </row>
    <row r="551" spans="1:3" x14ac:dyDescent="0.25">
      <c r="A551" s="60">
        <v>550</v>
      </c>
      <c r="B551" s="61">
        <v>44823</v>
      </c>
      <c r="C551" s="60" t="s">
        <v>26</v>
      </c>
    </row>
    <row r="552" spans="1:3" x14ac:dyDescent="0.25">
      <c r="A552" s="60">
        <v>551</v>
      </c>
      <c r="B552" s="61">
        <v>44824</v>
      </c>
      <c r="C552" s="60" t="s">
        <v>27</v>
      </c>
    </row>
    <row r="553" spans="1:3" x14ac:dyDescent="0.25">
      <c r="A553" s="60">
        <v>552</v>
      </c>
      <c r="B553" s="61">
        <v>44825</v>
      </c>
      <c r="C553" s="60" t="s">
        <v>28</v>
      </c>
    </row>
    <row r="554" spans="1:3" x14ac:dyDescent="0.25">
      <c r="A554" s="60">
        <v>553</v>
      </c>
      <c r="B554" s="61">
        <v>44826</v>
      </c>
      <c r="C554" s="60" t="s">
        <v>29</v>
      </c>
    </row>
    <row r="555" spans="1:3" x14ac:dyDescent="0.25">
      <c r="A555" s="60">
        <v>554</v>
      </c>
      <c r="B555" s="61">
        <v>44827</v>
      </c>
      <c r="C555" s="60" t="s">
        <v>25</v>
      </c>
    </row>
    <row r="556" spans="1:3" x14ac:dyDescent="0.25">
      <c r="A556" s="60">
        <v>555</v>
      </c>
      <c r="B556" s="61">
        <v>44830</v>
      </c>
      <c r="C556" s="60" t="s">
        <v>26</v>
      </c>
    </row>
    <row r="557" spans="1:3" x14ac:dyDescent="0.25">
      <c r="A557" s="60">
        <v>556</v>
      </c>
      <c r="B557" s="61">
        <v>44831</v>
      </c>
      <c r="C557" s="60" t="s">
        <v>27</v>
      </c>
    </row>
    <row r="558" spans="1:3" x14ac:dyDescent="0.25">
      <c r="A558" s="60">
        <v>557</v>
      </c>
      <c r="B558" s="61">
        <v>44832</v>
      </c>
      <c r="C558" s="60" t="s">
        <v>28</v>
      </c>
    </row>
    <row r="559" spans="1:3" x14ac:dyDescent="0.25">
      <c r="A559" s="60">
        <v>558</v>
      </c>
      <c r="B559" s="61">
        <v>44833</v>
      </c>
      <c r="C559" s="60" t="s">
        <v>29</v>
      </c>
    </row>
    <row r="560" spans="1:3" x14ac:dyDescent="0.25">
      <c r="A560" s="60">
        <v>559</v>
      </c>
      <c r="B560" s="61">
        <v>44834</v>
      </c>
      <c r="C560" s="60" t="s">
        <v>25</v>
      </c>
    </row>
    <row r="561" spans="1:3" x14ac:dyDescent="0.25">
      <c r="A561" s="60">
        <v>560</v>
      </c>
      <c r="B561" s="61">
        <v>44837</v>
      </c>
      <c r="C561" s="60" t="s">
        <v>26</v>
      </c>
    </row>
    <row r="562" spans="1:3" x14ac:dyDescent="0.25">
      <c r="A562" s="60">
        <v>561</v>
      </c>
      <c r="B562" s="61">
        <v>44838</v>
      </c>
      <c r="C562" s="60" t="s">
        <v>27</v>
      </c>
    </row>
    <row r="563" spans="1:3" x14ac:dyDescent="0.25">
      <c r="A563" s="60">
        <v>562</v>
      </c>
      <c r="B563" s="61">
        <v>44839</v>
      </c>
      <c r="C563" s="60" t="s">
        <v>28</v>
      </c>
    </row>
    <row r="564" spans="1:3" x14ac:dyDescent="0.25">
      <c r="A564" s="60">
        <v>563</v>
      </c>
      <c r="B564" s="61">
        <v>44840</v>
      </c>
      <c r="C564" s="60" t="s">
        <v>29</v>
      </c>
    </row>
    <row r="565" spans="1:3" x14ac:dyDescent="0.25">
      <c r="A565" s="60">
        <v>564</v>
      </c>
      <c r="B565" s="61">
        <v>44841</v>
      </c>
      <c r="C565" s="60" t="s">
        <v>25</v>
      </c>
    </row>
    <row r="566" spans="1:3" x14ac:dyDescent="0.25">
      <c r="A566" s="60">
        <v>565</v>
      </c>
      <c r="B566" s="61">
        <v>44844</v>
      </c>
      <c r="C566" s="60" t="s">
        <v>26</v>
      </c>
    </row>
    <row r="567" spans="1:3" x14ac:dyDescent="0.25">
      <c r="A567" s="60">
        <v>566</v>
      </c>
      <c r="B567" s="61">
        <v>44845</v>
      </c>
      <c r="C567" s="60" t="s">
        <v>27</v>
      </c>
    </row>
    <row r="568" spans="1:3" x14ac:dyDescent="0.25">
      <c r="A568" s="60">
        <v>567</v>
      </c>
      <c r="B568" s="61">
        <v>44846</v>
      </c>
      <c r="C568" s="60" t="s">
        <v>28</v>
      </c>
    </row>
    <row r="569" spans="1:3" x14ac:dyDescent="0.25">
      <c r="A569" s="60">
        <v>568</v>
      </c>
      <c r="B569" s="61">
        <v>44847</v>
      </c>
      <c r="C569" s="60" t="s">
        <v>29</v>
      </c>
    </row>
    <row r="570" spans="1:3" x14ac:dyDescent="0.25">
      <c r="A570" s="60">
        <v>569</v>
      </c>
      <c r="B570" s="61">
        <v>44848</v>
      </c>
      <c r="C570" s="60" t="s">
        <v>25</v>
      </c>
    </row>
    <row r="571" spans="1:3" x14ac:dyDescent="0.25">
      <c r="A571" s="60">
        <v>570</v>
      </c>
      <c r="B571" s="61">
        <v>44851</v>
      </c>
      <c r="C571" s="60" t="s">
        <v>26</v>
      </c>
    </row>
    <row r="572" spans="1:3" x14ac:dyDescent="0.25">
      <c r="A572" s="60">
        <v>571</v>
      </c>
      <c r="B572" s="61">
        <v>44852</v>
      </c>
      <c r="C572" s="60" t="s">
        <v>27</v>
      </c>
    </row>
    <row r="573" spans="1:3" x14ac:dyDescent="0.25">
      <c r="A573" s="60">
        <v>572</v>
      </c>
      <c r="B573" s="61">
        <v>44853</v>
      </c>
      <c r="C573" s="60" t="s">
        <v>28</v>
      </c>
    </row>
    <row r="574" spans="1:3" x14ac:dyDescent="0.25">
      <c r="A574" s="60">
        <v>573</v>
      </c>
      <c r="B574" s="61">
        <v>44854</v>
      </c>
      <c r="C574" s="60" t="s">
        <v>29</v>
      </c>
    </row>
    <row r="575" spans="1:3" x14ac:dyDescent="0.25">
      <c r="A575" s="60">
        <v>574</v>
      </c>
      <c r="B575" s="61">
        <v>44855</v>
      </c>
      <c r="C575" s="60" t="s">
        <v>25</v>
      </c>
    </row>
    <row r="576" spans="1:3" x14ac:dyDescent="0.25">
      <c r="A576" s="60">
        <v>575</v>
      </c>
      <c r="B576" s="61">
        <v>44858</v>
      </c>
      <c r="C576" s="60" t="s">
        <v>26</v>
      </c>
    </row>
    <row r="577" spans="1:3" x14ac:dyDescent="0.25">
      <c r="A577" s="60">
        <v>576</v>
      </c>
      <c r="B577" s="61">
        <v>44859</v>
      </c>
      <c r="C577" s="60" t="s">
        <v>27</v>
      </c>
    </row>
    <row r="578" spans="1:3" x14ac:dyDescent="0.25">
      <c r="A578" s="60">
        <v>577</v>
      </c>
      <c r="B578" s="61">
        <v>44860</v>
      </c>
      <c r="C578" s="60" t="s">
        <v>28</v>
      </c>
    </row>
    <row r="579" spans="1:3" x14ac:dyDescent="0.25">
      <c r="A579" s="60">
        <v>578</v>
      </c>
      <c r="B579" s="61">
        <v>44861</v>
      </c>
      <c r="C579" s="60" t="s">
        <v>29</v>
      </c>
    </row>
    <row r="580" spans="1:3" x14ac:dyDescent="0.25">
      <c r="A580" s="60">
        <v>579</v>
      </c>
      <c r="B580" s="61">
        <v>44862</v>
      </c>
      <c r="C580" s="60" t="s">
        <v>25</v>
      </c>
    </row>
    <row r="581" spans="1:3" x14ac:dyDescent="0.25">
      <c r="A581" s="60">
        <v>580</v>
      </c>
      <c r="B581" s="61">
        <v>44865</v>
      </c>
      <c r="C581" s="60" t="s">
        <v>26</v>
      </c>
    </row>
    <row r="582" spans="1:3" x14ac:dyDescent="0.25">
      <c r="A582" s="60">
        <v>581</v>
      </c>
      <c r="B582" s="61">
        <v>44866</v>
      </c>
      <c r="C582" s="60" t="s">
        <v>27</v>
      </c>
    </row>
    <row r="583" spans="1:3" x14ac:dyDescent="0.25">
      <c r="A583" s="60">
        <v>582</v>
      </c>
      <c r="B583" s="61">
        <v>44867</v>
      </c>
      <c r="C583" s="60" t="s">
        <v>28</v>
      </c>
    </row>
    <row r="584" spans="1:3" x14ac:dyDescent="0.25">
      <c r="A584" s="60">
        <v>583</v>
      </c>
      <c r="B584" s="61">
        <v>44868</v>
      </c>
      <c r="C584" s="60" t="s">
        <v>29</v>
      </c>
    </row>
    <row r="585" spans="1:3" x14ac:dyDescent="0.25">
      <c r="A585" s="60">
        <v>584</v>
      </c>
      <c r="B585" s="61">
        <v>44869</v>
      </c>
      <c r="C585" s="60" t="s">
        <v>25</v>
      </c>
    </row>
    <row r="586" spans="1:3" x14ac:dyDescent="0.25">
      <c r="A586" s="60">
        <v>585</v>
      </c>
      <c r="B586" s="61">
        <v>44872</v>
      </c>
      <c r="C586" s="60" t="s">
        <v>26</v>
      </c>
    </row>
    <row r="587" spans="1:3" x14ac:dyDescent="0.25">
      <c r="A587" s="60">
        <v>586</v>
      </c>
      <c r="B587" s="61">
        <v>44873</v>
      </c>
      <c r="C587" s="60" t="s">
        <v>27</v>
      </c>
    </row>
    <row r="588" spans="1:3" x14ac:dyDescent="0.25">
      <c r="A588" s="60">
        <v>587</v>
      </c>
      <c r="B588" s="61">
        <v>44874</v>
      </c>
      <c r="C588" s="60" t="s">
        <v>28</v>
      </c>
    </row>
    <row r="589" spans="1:3" x14ac:dyDescent="0.25">
      <c r="A589" s="60">
        <v>588</v>
      </c>
      <c r="B589" s="61">
        <v>44875</v>
      </c>
      <c r="C589" s="60" t="s">
        <v>29</v>
      </c>
    </row>
    <row r="590" spans="1:3" x14ac:dyDescent="0.25">
      <c r="A590" s="60">
        <v>589</v>
      </c>
      <c r="B590" s="61">
        <v>44876</v>
      </c>
      <c r="C590" s="60" t="s">
        <v>25</v>
      </c>
    </row>
    <row r="591" spans="1:3" x14ac:dyDescent="0.25">
      <c r="A591" s="60">
        <v>590</v>
      </c>
      <c r="B591" s="61">
        <v>44879</v>
      </c>
      <c r="C591" s="60" t="s">
        <v>26</v>
      </c>
    </row>
    <row r="592" spans="1:3" x14ac:dyDescent="0.25">
      <c r="A592" s="60">
        <v>591</v>
      </c>
      <c r="B592" s="61">
        <v>44880</v>
      </c>
      <c r="C592" s="60" t="s">
        <v>27</v>
      </c>
    </row>
    <row r="593" spans="1:3" x14ac:dyDescent="0.25">
      <c r="A593" s="60">
        <v>592</v>
      </c>
      <c r="B593" s="61">
        <v>44881</v>
      </c>
      <c r="C593" s="60" t="s">
        <v>28</v>
      </c>
    </row>
    <row r="594" spans="1:3" x14ac:dyDescent="0.25">
      <c r="A594" s="60">
        <v>593</v>
      </c>
      <c r="B594" s="61">
        <v>44882</v>
      </c>
      <c r="C594" s="60" t="s">
        <v>29</v>
      </c>
    </row>
    <row r="595" spans="1:3" x14ac:dyDescent="0.25">
      <c r="A595" s="60">
        <v>594</v>
      </c>
      <c r="B595" s="61">
        <v>44883</v>
      </c>
      <c r="C595" s="60" t="s">
        <v>25</v>
      </c>
    </row>
    <row r="596" spans="1:3" x14ac:dyDescent="0.25">
      <c r="A596" s="60">
        <v>595</v>
      </c>
      <c r="B596" s="61">
        <v>44886</v>
      </c>
      <c r="C596" s="60" t="s">
        <v>26</v>
      </c>
    </row>
    <row r="597" spans="1:3" x14ac:dyDescent="0.25">
      <c r="A597" s="60">
        <v>596</v>
      </c>
      <c r="B597" s="61">
        <v>44887</v>
      </c>
      <c r="C597" s="60" t="s">
        <v>27</v>
      </c>
    </row>
    <row r="598" spans="1:3" x14ac:dyDescent="0.25">
      <c r="A598" s="60">
        <v>597</v>
      </c>
      <c r="B598" s="61">
        <v>44888</v>
      </c>
      <c r="C598" s="60" t="s">
        <v>28</v>
      </c>
    </row>
    <row r="599" spans="1:3" x14ac:dyDescent="0.25">
      <c r="A599" s="60">
        <v>598</v>
      </c>
      <c r="B599" s="61">
        <v>44889</v>
      </c>
      <c r="C599" s="60" t="s">
        <v>29</v>
      </c>
    </row>
    <row r="600" spans="1:3" x14ac:dyDescent="0.25">
      <c r="A600" s="60">
        <v>599</v>
      </c>
      <c r="B600" s="61">
        <v>44890</v>
      </c>
      <c r="C600" s="60" t="s">
        <v>25</v>
      </c>
    </row>
    <row r="601" spans="1:3" x14ac:dyDescent="0.25">
      <c r="A601" s="60">
        <v>600</v>
      </c>
      <c r="B601" s="61">
        <v>44893</v>
      </c>
      <c r="C601" s="60" t="s">
        <v>26</v>
      </c>
    </row>
    <row r="602" spans="1:3" x14ac:dyDescent="0.25">
      <c r="A602" s="60">
        <v>601</v>
      </c>
      <c r="B602" s="61">
        <v>44894</v>
      </c>
      <c r="C602" s="60" t="s">
        <v>27</v>
      </c>
    </row>
    <row r="603" spans="1:3" x14ac:dyDescent="0.25">
      <c r="A603" s="60">
        <v>602</v>
      </c>
      <c r="B603" s="61">
        <v>44895</v>
      </c>
      <c r="C603" s="60" t="s">
        <v>28</v>
      </c>
    </row>
    <row r="604" spans="1:3" x14ac:dyDescent="0.25">
      <c r="A604" s="60">
        <v>603</v>
      </c>
      <c r="B604" s="61">
        <v>44896</v>
      </c>
      <c r="C604" s="60" t="s">
        <v>29</v>
      </c>
    </row>
    <row r="605" spans="1:3" x14ac:dyDescent="0.25">
      <c r="A605" s="60">
        <v>604</v>
      </c>
      <c r="B605" s="61">
        <v>44897</v>
      </c>
      <c r="C605" s="60" t="s">
        <v>25</v>
      </c>
    </row>
    <row r="606" spans="1:3" x14ac:dyDescent="0.25">
      <c r="A606" s="60">
        <v>605</v>
      </c>
      <c r="B606" s="61">
        <v>44900</v>
      </c>
      <c r="C606" s="60" t="s">
        <v>26</v>
      </c>
    </row>
    <row r="607" spans="1:3" x14ac:dyDescent="0.25">
      <c r="A607" s="60">
        <v>606</v>
      </c>
      <c r="B607" s="61">
        <v>44901</v>
      </c>
      <c r="C607" s="60" t="s">
        <v>27</v>
      </c>
    </row>
    <row r="608" spans="1:3" x14ac:dyDescent="0.25">
      <c r="A608" s="60">
        <v>607</v>
      </c>
      <c r="B608" s="61">
        <v>44902</v>
      </c>
      <c r="C608" s="60" t="s">
        <v>28</v>
      </c>
    </row>
    <row r="609" spans="1:3" x14ac:dyDescent="0.25">
      <c r="A609" s="60">
        <v>608</v>
      </c>
      <c r="B609" s="61">
        <v>44903</v>
      </c>
      <c r="C609" s="60" t="s">
        <v>29</v>
      </c>
    </row>
    <row r="610" spans="1:3" x14ac:dyDescent="0.25">
      <c r="A610" s="60">
        <v>609</v>
      </c>
      <c r="B610" s="61">
        <v>44904</v>
      </c>
      <c r="C610" s="60" t="s">
        <v>25</v>
      </c>
    </row>
    <row r="611" spans="1:3" x14ac:dyDescent="0.25">
      <c r="A611" s="60">
        <v>610</v>
      </c>
      <c r="B611" s="61">
        <v>44907</v>
      </c>
      <c r="C611" s="60" t="s">
        <v>26</v>
      </c>
    </row>
    <row r="612" spans="1:3" x14ac:dyDescent="0.25">
      <c r="A612" s="60">
        <v>611</v>
      </c>
      <c r="B612" s="61">
        <v>44908</v>
      </c>
      <c r="C612" s="60" t="s">
        <v>27</v>
      </c>
    </row>
    <row r="613" spans="1:3" x14ac:dyDescent="0.25">
      <c r="A613" s="60">
        <v>612</v>
      </c>
      <c r="B613" s="61">
        <v>44909</v>
      </c>
      <c r="C613" s="60" t="s">
        <v>28</v>
      </c>
    </row>
    <row r="614" spans="1:3" x14ac:dyDescent="0.25">
      <c r="A614" s="60">
        <v>613</v>
      </c>
      <c r="B614" s="61">
        <v>44910</v>
      </c>
      <c r="C614" s="60" t="s">
        <v>29</v>
      </c>
    </row>
    <row r="615" spans="1:3" x14ac:dyDescent="0.25">
      <c r="A615" s="60">
        <v>614</v>
      </c>
      <c r="B615" s="61">
        <v>44911</v>
      </c>
      <c r="C615" s="60" t="s">
        <v>25</v>
      </c>
    </row>
    <row r="616" spans="1:3" x14ac:dyDescent="0.25">
      <c r="A616" s="60">
        <v>615</v>
      </c>
      <c r="B616" s="61">
        <v>44914</v>
      </c>
      <c r="C616" s="60" t="s">
        <v>26</v>
      </c>
    </row>
    <row r="617" spans="1:3" x14ac:dyDescent="0.25">
      <c r="A617" s="60">
        <v>616</v>
      </c>
      <c r="B617" s="61">
        <v>44915</v>
      </c>
      <c r="C617" s="60" t="s">
        <v>27</v>
      </c>
    </row>
    <row r="618" spans="1:3" x14ac:dyDescent="0.25">
      <c r="A618" s="60">
        <v>617</v>
      </c>
      <c r="B618" s="61">
        <v>44916</v>
      </c>
      <c r="C618" s="60" t="s">
        <v>28</v>
      </c>
    </row>
    <row r="619" spans="1:3" x14ac:dyDescent="0.25">
      <c r="A619" s="60">
        <v>618</v>
      </c>
      <c r="B619" s="61">
        <v>44917</v>
      </c>
      <c r="C619" s="60" t="s">
        <v>29</v>
      </c>
    </row>
    <row r="620" spans="1:3" x14ac:dyDescent="0.25">
      <c r="A620" s="60">
        <v>619</v>
      </c>
      <c r="B620" s="61">
        <v>44918</v>
      </c>
      <c r="C620" s="60" t="s">
        <v>25</v>
      </c>
    </row>
    <row r="621" spans="1:3" x14ac:dyDescent="0.25">
      <c r="A621" s="60">
        <v>620</v>
      </c>
      <c r="B621" s="61">
        <v>44921</v>
      </c>
      <c r="C621" s="60" t="s">
        <v>26</v>
      </c>
    </row>
    <row r="622" spans="1:3" x14ac:dyDescent="0.25">
      <c r="A622" s="60">
        <v>621</v>
      </c>
      <c r="B622" s="61">
        <v>44922</v>
      </c>
      <c r="C622" s="60" t="s">
        <v>27</v>
      </c>
    </row>
    <row r="623" spans="1:3" x14ac:dyDescent="0.25">
      <c r="A623" s="60">
        <v>622</v>
      </c>
      <c r="B623" s="61">
        <v>44923</v>
      </c>
      <c r="C623" s="60" t="s">
        <v>28</v>
      </c>
    </row>
    <row r="624" spans="1:3" x14ac:dyDescent="0.25">
      <c r="A624" s="60">
        <v>623</v>
      </c>
      <c r="B624" s="61">
        <v>44924</v>
      </c>
      <c r="C624" s="60" t="s">
        <v>29</v>
      </c>
    </row>
    <row r="625" spans="1:3" x14ac:dyDescent="0.25">
      <c r="A625" s="60">
        <v>624</v>
      </c>
      <c r="B625" s="61">
        <v>44925</v>
      </c>
      <c r="C625" s="60" t="s">
        <v>25</v>
      </c>
    </row>
    <row r="626" spans="1:3" x14ac:dyDescent="0.25">
      <c r="A626" s="60">
        <v>625</v>
      </c>
      <c r="B626" s="61">
        <v>44928</v>
      </c>
      <c r="C626" s="60" t="s">
        <v>26</v>
      </c>
    </row>
    <row r="627" spans="1:3" x14ac:dyDescent="0.25">
      <c r="A627" s="60">
        <v>626</v>
      </c>
      <c r="B627" s="61">
        <v>44929</v>
      </c>
      <c r="C627" s="60" t="s">
        <v>27</v>
      </c>
    </row>
    <row r="628" spans="1:3" x14ac:dyDescent="0.25">
      <c r="A628" s="60">
        <v>627</v>
      </c>
      <c r="B628" s="61">
        <v>44930</v>
      </c>
      <c r="C628" s="60" t="s">
        <v>28</v>
      </c>
    </row>
    <row r="629" spans="1:3" x14ac:dyDescent="0.25">
      <c r="A629" s="60">
        <v>628</v>
      </c>
      <c r="B629" s="61">
        <v>44931</v>
      </c>
      <c r="C629" s="60" t="s">
        <v>29</v>
      </c>
    </row>
    <row r="630" spans="1:3" x14ac:dyDescent="0.25">
      <c r="A630" s="60">
        <v>629</v>
      </c>
      <c r="B630" s="61">
        <v>44932</v>
      </c>
      <c r="C630" s="60" t="s">
        <v>25</v>
      </c>
    </row>
    <row r="631" spans="1:3" x14ac:dyDescent="0.25">
      <c r="A631" s="60">
        <v>630</v>
      </c>
      <c r="B631" s="61">
        <v>44935</v>
      </c>
      <c r="C631" s="60" t="s">
        <v>26</v>
      </c>
    </row>
    <row r="632" spans="1:3" x14ac:dyDescent="0.25">
      <c r="A632" s="60">
        <v>631</v>
      </c>
      <c r="B632" s="61">
        <v>44936</v>
      </c>
      <c r="C632" s="60" t="s">
        <v>27</v>
      </c>
    </row>
    <row r="633" spans="1:3" x14ac:dyDescent="0.25">
      <c r="A633" s="60">
        <v>632</v>
      </c>
      <c r="B633" s="61">
        <v>44937</v>
      </c>
      <c r="C633" s="60" t="s">
        <v>28</v>
      </c>
    </row>
    <row r="634" spans="1:3" x14ac:dyDescent="0.25">
      <c r="A634" s="60">
        <v>633</v>
      </c>
      <c r="B634" s="61">
        <v>44938</v>
      </c>
      <c r="C634" s="60" t="s">
        <v>29</v>
      </c>
    </row>
    <row r="635" spans="1:3" x14ac:dyDescent="0.25">
      <c r="A635" s="60">
        <v>634</v>
      </c>
      <c r="B635" s="61">
        <v>44939</v>
      </c>
      <c r="C635" s="60" t="s">
        <v>25</v>
      </c>
    </row>
    <row r="636" spans="1:3" x14ac:dyDescent="0.25">
      <c r="A636" s="60">
        <v>635</v>
      </c>
      <c r="B636" s="61">
        <v>44942</v>
      </c>
      <c r="C636" s="60" t="s">
        <v>26</v>
      </c>
    </row>
    <row r="637" spans="1:3" x14ac:dyDescent="0.25">
      <c r="A637" s="60">
        <v>636</v>
      </c>
      <c r="B637" s="61">
        <v>44943</v>
      </c>
      <c r="C637" s="60" t="s">
        <v>27</v>
      </c>
    </row>
    <row r="638" spans="1:3" x14ac:dyDescent="0.25">
      <c r="A638" s="60">
        <v>637</v>
      </c>
      <c r="B638" s="61">
        <v>44944</v>
      </c>
      <c r="C638" s="60" t="s">
        <v>28</v>
      </c>
    </row>
    <row r="639" spans="1:3" x14ac:dyDescent="0.25">
      <c r="A639" s="60">
        <v>638</v>
      </c>
      <c r="B639" s="61">
        <v>44945</v>
      </c>
      <c r="C639" s="60" t="s">
        <v>29</v>
      </c>
    </row>
    <row r="640" spans="1:3" x14ac:dyDescent="0.25">
      <c r="A640" s="60">
        <v>639</v>
      </c>
      <c r="B640" s="61">
        <v>44946</v>
      </c>
      <c r="C640" s="60" t="s">
        <v>25</v>
      </c>
    </row>
    <row r="641" spans="1:3" x14ac:dyDescent="0.25">
      <c r="A641" s="60">
        <v>640</v>
      </c>
      <c r="B641" s="61">
        <v>44949</v>
      </c>
      <c r="C641" s="60" t="s">
        <v>26</v>
      </c>
    </row>
    <row r="642" spans="1:3" x14ac:dyDescent="0.25">
      <c r="A642" s="60">
        <v>641</v>
      </c>
      <c r="B642" s="61">
        <v>44950</v>
      </c>
      <c r="C642" s="60" t="s">
        <v>27</v>
      </c>
    </row>
    <row r="643" spans="1:3" x14ac:dyDescent="0.25">
      <c r="A643" s="60">
        <v>642</v>
      </c>
      <c r="B643" s="61">
        <v>44951</v>
      </c>
      <c r="C643" s="60" t="s">
        <v>28</v>
      </c>
    </row>
    <row r="644" spans="1:3" x14ac:dyDescent="0.25">
      <c r="A644" s="60">
        <v>643</v>
      </c>
      <c r="B644" s="61">
        <v>44952</v>
      </c>
      <c r="C644" s="60" t="s">
        <v>29</v>
      </c>
    </row>
    <row r="645" spans="1:3" x14ac:dyDescent="0.25">
      <c r="A645" s="60">
        <v>644</v>
      </c>
      <c r="B645" s="61">
        <v>44953</v>
      </c>
      <c r="C645" s="60" t="s">
        <v>25</v>
      </c>
    </row>
    <row r="646" spans="1:3" x14ac:dyDescent="0.25">
      <c r="A646" s="60">
        <v>645</v>
      </c>
      <c r="B646" s="61">
        <v>44956</v>
      </c>
      <c r="C646" s="60" t="s">
        <v>26</v>
      </c>
    </row>
    <row r="647" spans="1:3" x14ac:dyDescent="0.25">
      <c r="A647" s="60">
        <v>646</v>
      </c>
      <c r="B647" s="61">
        <v>44957</v>
      </c>
      <c r="C647" s="60" t="s">
        <v>27</v>
      </c>
    </row>
    <row r="648" spans="1:3" x14ac:dyDescent="0.25">
      <c r="A648" s="60">
        <v>647</v>
      </c>
      <c r="B648" s="61">
        <v>44958</v>
      </c>
      <c r="C648" s="60" t="s">
        <v>28</v>
      </c>
    </row>
    <row r="649" spans="1:3" x14ac:dyDescent="0.25">
      <c r="A649" s="60">
        <v>648</v>
      </c>
      <c r="B649" s="61">
        <v>44959</v>
      </c>
      <c r="C649" s="60" t="s">
        <v>29</v>
      </c>
    </row>
    <row r="650" spans="1:3" x14ac:dyDescent="0.25">
      <c r="A650" s="60">
        <v>649</v>
      </c>
      <c r="B650" s="61">
        <v>44960</v>
      </c>
      <c r="C650" s="60" t="s">
        <v>25</v>
      </c>
    </row>
    <row r="651" spans="1:3" x14ac:dyDescent="0.25">
      <c r="A651" s="60">
        <v>650</v>
      </c>
      <c r="B651" s="61">
        <v>44963</v>
      </c>
      <c r="C651" s="60" t="s">
        <v>26</v>
      </c>
    </row>
    <row r="652" spans="1:3" x14ac:dyDescent="0.25">
      <c r="A652" s="60">
        <v>651</v>
      </c>
      <c r="B652" s="61">
        <v>44964</v>
      </c>
      <c r="C652" s="60" t="s">
        <v>27</v>
      </c>
    </row>
    <row r="653" spans="1:3" x14ac:dyDescent="0.25">
      <c r="A653" s="60">
        <v>652</v>
      </c>
      <c r="B653" s="61">
        <v>44965</v>
      </c>
      <c r="C653" s="60" t="s">
        <v>28</v>
      </c>
    </row>
    <row r="654" spans="1:3" x14ac:dyDescent="0.25">
      <c r="A654" s="60">
        <v>653</v>
      </c>
      <c r="B654" s="61">
        <v>44966</v>
      </c>
      <c r="C654" s="60" t="s">
        <v>29</v>
      </c>
    </row>
    <row r="655" spans="1:3" x14ac:dyDescent="0.25">
      <c r="A655" s="60">
        <v>654</v>
      </c>
      <c r="B655" s="61">
        <v>44967</v>
      </c>
      <c r="C655" s="60" t="s">
        <v>25</v>
      </c>
    </row>
    <row r="656" spans="1:3" x14ac:dyDescent="0.25">
      <c r="A656" s="60">
        <v>655</v>
      </c>
      <c r="B656" s="61">
        <v>44970</v>
      </c>
      <c r="C656" s="60" t="s">
        <v>26</v>
      </c>
    </row>
    <row r="657" spans="1:3" x14ac:dyDescent="0.25">
      <c r="A657" s="60">
        <v>656</v>
      </c>
      <c r="B657" s="61">
        <v>44971</v>
      </c>
      <c r="C657" s="60" t="s">
        <v>27</v>
      </c>
    </row>
    <row r="658" spans="1:3" x14ac:dyDescent="0.25">
      <c r="A658" s="60">
        <v>657</v>
      </c>
      <c r="B658" s="61">
        <v>44972</v>
      </c>
      <c r="C658" s="60" t="s">
        <v>28</v>
      </c>
    </row>
    <row r="659" spans="1:3" x14ac:dyDescent="0.25">
      <c r="A659" s="60">
        <v>658</v>
      </c>
      <c r="B659" s="61">
        <v>44973</v>
      </c>
      <c r="C659" s="60" t="s">
        <v>29</v>
      </c>
    </row>
    <row r="660" spans="1:3" x14ac:dyDescent="0.25">
      <c r="A660" s="60">
        <v>659</v>
      </c>
      <c r="B660" s="61">
        <v>44974</v>
      </c>
      <c r="C660" s="60" t="s">
        <v>25</v>
      </c>
    </row>
    <row r="661" spans="1:3" x14ac:dyDescent="0.25">
      <c r="A661" s="60">
        <v>660</v>
      </c>
      <c r="B661" s="61">
        <v>44977</v>
      </c>
      <c r="C661" s="60" t="s">
        <v>26</v>
      </c>
    </row>
    <row r="662" spans="1:3" x14ac:dyDescent="0.25">
      <c r="A662" s="60">
        <v>661</v>
      </c>
      <c r="B662" s="61">
        <v>44978</v>
      </c>
      <c r="C662" s="60" t="s">
        <v>27</v>
      </c>
    </row>
    <row r="663" spans="1:3" x14ac:dyDescent="0.25">
      <c r="A663" s="60">
        <v>662</v>
      </c>
      <c r="B663" s="61">
        <v>44979</v>
      </c>
      <c r="C663" s="60" t="s">
        <v>28</v>
      </c>
    </row>
    <row r="664" spans="1:3" x14ac:dyDescent="0.25">
      <c r="A664" s="60">
        <v>663</v>
      </c>
      <c r="B664" s="61">
        <v>44980</v>
      </c>
      <c r="C664" s="60" t="s">
        <v>29</v>
      </c>
    </row>
    <row r="665" spans="1:3" x14ac:dyDescent="0.25">
      <c r="A665" s="60">
        <v>664</v>
      </c>
      <c r="B665" s="61">
        <v>44981</v>
      </c>
      <c r="C665" s="60" t="s">
        <v>25</v>
      </c>
    </row>
    <row r="666" spans="1:3" x14ac:dyDescent="0.25">
      <c r="A666" s="60">
        <v>665</v>
      </c>
      <c r="B666" s="61">
        <v>44984</v>
      </c>
      <c r="C666" s="60" t="s">
        <v>26</v>
      </c>
    </row>
    <row r="667" spans="1:3" x14ac:dyDescent="0.25">
      <c r="A667" s="60">
        <v>666</v>
      </c>
      <c r="B667" s="61">
        <v>44985</v>
      </c>
      <c r="C667" s="60" t="s">
        <v>27</v>
      </c>
    </row>
    <row r="668" spans="1:3" x14ac:dyDescent="0.25">
      <c r="A668" s="60">
        <v>667</v>
      </c>
      <c r="B668" s="61">
        <v>44986</v>
      </c>
      <c r="C668" s="60" t="s">
        <v>28</v>
      </c>
    </row>
    <row r="669" spans="1:3" x14ac:dyDescent="0.25">
      <c r="A669" s="60">
        <v>668</v>
      </c>
      <c r="B669" s="61">
        <v>44987</v>
      </c>
      <c r="C669" s="60" t="s">
        <v>29</v>
      </c>
    </row>
    <row r="670" spans="1:3" x14ac:dyDescent="0.25">
      <c r="A670" s="60">
        <v>669</v>
      </c>
      <c r="B670" s="61">
        <v>44988</v>
      </c>
      <c r="C670" s="60" t="s">
        <v>25</v>
      </c>
    </row>
    <row r="671" spans="1:3" x14ac:dyDescent="0.25">
      <c r="A671" s="60">
        <v>670</v>
      </c>
      <c r="B671" s="61">
        <v>44991</v>
      </c>
      <c r="C671" s="60" t="s">
        <v>26</v>
      </c>
    </row>
    <row r="672" spans="1:3" x14ac:dyDescent="0.25">
      <c r="A672" s="60">
        <v>671</v>
      </c>
      <c r="B672" s="61">
        <v>44992</v>
      </c>
      <c r="C672" s="60" t="s">
        <v>27</v>
      </c>
    </row>
    <row r="673" spans="1:3" x14ac:dyDescent="0.25">
      <c r="A673" s="60">
        <v>672</v>
      </c>
      <c r="B673" s="61">
        <v>44993</v>
      </c>
      <c r="C673" s="60" t="s">
        <v>28</v>
      </c>
    </row>
    <row r="674" spans="1:3" x14ac:dyDescent="0.25">
      <c r="A674" s="60">
        <v>673</v>
      </c>
      <c r="B674" s="61">
        <v>44994</v>
      </c>
      <c r="C674" s="60" t="s">
        <v>29</v>
      </c>
    </row>
    <row r="675" spans="1:3" x14ac:dyDescent="0.25">
      <c r="A675" s="60">
        <v>674</v>
      </c>
      <c r="B675" s="61">
        <v>44995</v>
      </c>
      <c r="C675" s="60" t="s">
        <v>25</v>
      </c>
    </row>
    <row r="676" spans="1:3" x14ac:dyDescent="0.25">
      <c r="A676" s="60">
        <v>675</v>
      </c>
      <c r="B676" s="61">
        <v>44998</v>
      </c>
      <c r="C676" s="60" t="s">
        <v>26</v>
      </c>
    </row>
    <row r="677" spans="1:3" x14ac:dyDescent="0.25">
      <c r="A677" s="60">
        <v>676</v>
      </c>
      <c r="B677" s="61">
        <v>44999</v>
      </c>
      <c r="C677" s="60" t="s">
        <v>27</v>
      </c>
    </row>
    <row r="678" spans="1:3" x14ac:dyDescent="0.25">
      <c r="A678" s="60">
        <v>677</v>
      </c>
      <c r="B678" s="61">
        <v>45000</v>
      </c>
      <c r="C678" s="60" t="s">
        <v>28</v>
      </c>
    </row>
    <row r="679" spans="1:3" x14ac:dyDescent="0.25">
      <c r="A679" s="60">
        <v>678</v>
      </c>
      <c r="B679" s="61">
        <v>45001</v>
      </c>
      <c r="C679" s="60" t="s">
        <v>29</v>
      </c>
    </row>
    <row r="680" spans="1:3" x14ac:dyDescent="0.25">
      <c r="A680" s="60">
        <v>679</v>
      </c>
      <c r="B680" s="61">
        <v>45002</v>
      </c>
      <c r="C680" s="60" t="s">
        <v>25</v>
      </c>
    </row>
    <row r="681" spans="1:3" x14ac:dyDescent="0.25">
      <c r="A681" s="60">
        <v>680</v>
      </c>
      <c r="B681" s="61">
        <v>45005</v>
      </c>
      <c r="C681" s="60" t="s">
        <v>26</v>
      </c>
    </row>
    <row r="682" spans="1:3" x14ac:dyDescent="0.25">
      <c r="A682" s="60">
        <v>681</v>
      </c>
      <c r="B682" s="61">
        <v>45006</v>
      </c>
      <c r="C682" s="60" t="s">
        <v>27</v>
      </c>
    </row>
    <row r="683" spans="1:3" x14ac:dyDescent="0.25">
      <c r="A683" s="60">
        <v>682</v>
      </c>
      <c r="B683" s="61">
        <v>45007</v>
      </c>
      <c r="C683" s="60" t="s">
        <v>28</v>
      </c>
    </row>
    <row r="684" spans="1:3" x14ac:dyDescent="0.25">
      <c r="A684" s="60">
        <v>683</v>
      </c>
      <c r="B684" s="61">
        <v>45008</v>
      </c>
      <c r="C684" s="60" t="s">
        <v>29</v>
      </c>
    </row>
    <row r="685" spans="1:3" x14ac:dyDescent="0.25">
      <c r="A685" s="60">
        <v>684</v>
      </c>
      <c r="B685" s="61">
        <v>45009</v>
      </c>
      <c r="C685" s="60" t="s">
        <v>25</v>
      </c>
    </row>
    <row r="686" spans="1:3" x14ac:dyDescent="0.25">
      <c r="A686" s="60">
        <v>685</v>
      </c>
      <c r="B686" s="61">
        <v>45012</v>
      </c>
      <c r="C686" s="60" t="s">
        <v>26</v>
      </c>
    </row>
    <row r="687" spans="1:3" x14ac:dyDescent="0.25">
      <c r="A687" s="60">
        <v>686</v>
      </c>
      <c r="B687" s="61">
        <v>45013</v>
      </c>
      <c r="C687" s="60" t="s">
        <v>27</v>
      </c>
    </row>
    <row r="688" spans="1:3" x14ac:dyDescent="0.25">
      <c r="A688" s="60">
        <v>687</v>
      </c>
      <c r="B688" s="61">
        <v>45014</v>
      </c>
      <c r="C688" s="60" t="s">
        <v>28</v>
      </c>
    </row>
    <row r="689" spans="1:3" x14ac:dyDescent="0.25">
      <c r="A689" s="60">
        <v>688</v>
      </c>
      <c r="B689" s="61">
        <v>45015</v>
      </c>
      <c r="C689" s="60" t="s">
        <v>29</v>
      </c>
    </row>
    <row r="690" spans="1:3" x14ac:dyDescent="0.25">
      <c r="A690" s="60">
        <v>689</v>
      </c>
      <c r="B690" s="61">
        <v>45016</v>
      </c>
      <c r="C690" s="60" t="s">
        <v>25</v>
      </c>
    </row>
    <row r="691" spans="1:3" x14ac:dyDescent="0.25">
      <c r="A691" s="60">
        <v>690</v>
      </c>
      <c r="B691" s="61">
        <v>45019</v>
      </c>
      <c r="C691" s="60" t="s">
        <v>26</v>
      </c>
    </row>
    <row r="692" spans="1:3" x14ac:dyDescent="0.25">
      <c r="A692" s="60">
        <v>691</v>
      </c>
      <c r="B692" s="61">
        <v>45020</v>
      </c>
      <c r="C692" s="60" t="s">
        <v>27</v>
      </c>
    </row>
    <row r="693" spans="1:3" x14ac:dyDescent="0.25">
      <c r="A693" s="60">
        <v>692</v>
      </c>
      <c r="B693" s="61">
        <v>45021</v>
      </c>
      <c r="C693" s="60" t="s">
        <v>28</v>
      </c>
    </row>
    <row r="694" spans="1:3" x14ac:dyDescent="0.25">
      <c r="A694" s="60">
        <v>693</v>
      </c>
      <c r="B694" s="61">
        <v>45022</v>
      </c>
      <c r="C694" s="60" t="s">
        <v>29</v>
      </c>
    </row>
    <row r="695" spans="1:3" x14ac:dyDescent="0.25">
      <c r="A695" s="60">
        <v>694</v>
      </c>
      <c r="B695" s="61">
        <v>45023</v>
      </c>
      <c r="C695" s="60" t="s">
        <v>25</v>
      </c>
    </row>
    <row r="696" spans="1:3" x14ac:dyDescent="0.25">
      <c r="A696" s="60">
        <v>695</v>
      </c>
      <c r="B696" s="61">
        <v>45026</v>
      </c>
      <c r="C696" s="60" t="s">
        <v>26</v>
      </c>
    </row>
    <row r="697" spans="1:3" x14ac:dyDescent="0.25">
      <c r="A697" s="60">
        <v>696</v>
      </c>
      <c r="B697" s="61">
        <v>45027</v>
      </c>
      <c r="C697" s="60" t="s">
        <v>27</v>
      </c>
    </row>
    <row r="698" spans="1:3" x14ac:dyDescent="0.25">
      <c r="A698" s="60">
        <v>697</v>
      </c>
      <c r="B698" s="61">
        <v>45028</v>
      </c>
      <c r="C698" s="60" t="s">
        <v>28</v>
      </c>
    </row>
    <row r="699" spans="1:3" x14ac:dyDescent="0.25">
      <c r="A699" s="60">
        <v>698</v>
      </c>
      <c r="B699" s="61">
        <v>45029</v>
      </c>
      <c r="C699" s="60" t="s">
        <v>29</v>
      </c>
    </row>
    <row r="700" spans="1:3" x14ac:dyDescent="0.25">
      <c r="A700" s="60">
        <v>699</v>
      </c>
      <c r="B700" s="61">
        <v>45030</v>
      </c>
      <c r="C700" s="60" t="s">
        <v>25</v>
      </c>
    </row>
    <row r="701" spans="1:3" x14ac:dyDescent="0.25">
      <c r="A701" s="60">
        <v>700</v>
      </c>
      <c r="B701" s="61">
        <v>45033</v>
      </c>
      <c r="C701" s="60" t="s">
        <v>26</v>
      </c>
    </row>
    <row r="702" spans="1:3" x14ac:dyDescent="0.25">
      <c r="A702" s="60">
        <v>701</v>
      </c>
      <c r="B702" s="61">
        <v>45034</v>
      </c>
      <c r="C702" s="60" t="s">
        <v>27</v>
      </c>
    </row>
    <row r="703" spans="1:3" x14ac:dyDescent="0.25">
      <c r="A703" s="60">
        <v>702</v>
      </c>
      <c r="B703" s="61">
        <v>45035</v>
      </c>
      <c r="C703" s="60" t="s">
        <v>28</v>
      </c>
    </row>
    <row r="704" spans="1:3" x14ac:dyDescent="0.25">
      <c r="A704" s="60">
        <v>703</v>
      </c>
      <c r="B704" s="61">
        <v>45036</v>
      </c>
      <c r="C704" s="60" t="s">
        <v>29</v>
      </c>
    </row>
    <row r="705" spans="1:3" x14ac:dyDescent="0.25">
      <c r="A705" s="60">
        <v>704</v>
      </c>
      <c r="B705" s="61">
        <v>45037</v>
      </c>
      <c r="C705" s="60" t="s">
        <v>25</v>
      </c>
    </row>
    <row r="706" spans="1:3" x14ac:dyDescent="0.25">
      <c r="A706" s="60">
        <v>705</v>
      </c>
      <c r="B706" s="61">
        <v>45040</v>
      </c>
      <c r="C706" s="60" t="s">
        <v>26</v>
      </c>
    </row>
    <row r="707" spans="1:3" x14ac:dyDescent="0.25">
      <c r="A707" s="60">
        <v>706</v>
      </c>
      <c r="B707" s="61">
        <v>45041</v>
      </c>
      <c r="C707" s="60" t="s">
        <v>27</v>
      </c>
    </row>
    <row r="708" spans="1:3" x14ac:dyDescent="0.25">
      <c r="A708" s="60">
        <v>707</v>
      </c>
      <c r="B708" s="61">
        <v>45042</v>
      </c>
      <c r="C708" s="60" t="s">
        <v>28</v>
      </c>
    </row>
    <row r="709" spans="1:3" x14ac:dyDescent="0.25">
      <c r="A709" s="60">
        <v>708</v>
      </c>
      <c r="B709" s="61">
        <v>45043</v>
      </c>
      <c r="C709" s="60" t="s">
        <v>29</v>
      </c>
    </row>
    <row r="710" spans="1:3" x14ac:dyDescent="0.25">
      <c r="A710" s="60">
        <v>709</v>
      </c>
      <c r="B710" s="61">
        <v>45044</v>
      </c>
      <c r="C710" s="60" t="s">
        <v>25</v>
      </c>
    </row>
    <row r="711" spans="1:3" x14ac:dyDescent="0.25">
      <c r="A711" s="60">
        <v>710</v>
      </c>
      <c r="B711" s="61">
        <v>45047</v>
      </c>
      <c r="C711" s="60" t="s">
        <v>26</v>
      </c>
    </row>
    <row r="712" spans="1:3" x14ac:dyDescent="0.25">
      <c r="A712" s="60">
        <v>711</v>
      </c>
      <c r="B712" s="61">
        <v>45048</v>
      </c>
      <c r="C712" s="60" t="s">
        <v>27</v>
      </c>
    </row>
    <row r="713" spans="1:3" x14ac:dyDescent="0.25">
      <c r="A713" s="60">
        <v>712</v>
      </c>
      <c r="B713" s="61">
        <v>45049</v>
      </c>
      <c r="C713" s="60" t="s">
        <v>28</v>
      </c>
    </row>
    <row r="714" spans="1:3" x14ac:dyDescent="0.25">
      <c r="A714" s="60">
        <v>713</v>
      </c>
      <c r="B714" s="61">
        <v>45050</v>
      </c>
      <c r="C714" s="60" t="s">
        <v>29</v>
      </c>
    </row>
    <row r="715" spans="1:3" x14ac:dyDescent="0.25">
      <c r="A715" s="60">
        <v>714</v>
      </c>
      <c r="B715" s="61">
        <v>45051</v>
      </c>
      <c r="C715" s="60" t="s">
        <v>25</v>
      </c>
    </row>
    <row r="716" spans="1:3" x14ac:dyDescent="0.25">
      <c r="A716" s="60">
        <v>715</v>
      </c>
      <c r="B716" s="61">
        <v>45054</v>
      </c>
      <c r="C716" s="60" t="s">
        <v>26</v>
      </c>
    </row>
    <row r="717" spans="1:3" x14ac:dyDescent="0.25">
      <c r="A717" s="60">
        <v>716</v>
      </c>
      <c r="B717" s="61">
        <v>45055</v>
      </c>
      <c r="C717" s="60" t="s">
        <v>27</v>
      </c>
    </row>
    <row r="718" spans="1:3" x14ac:dyDescent="0.25">
      <c r="A718" s="60">
        <v>717</v>
      </c>
      <c r="B718" s="61">
        <v>45056</v>
      </c>
      <c r="C718" s="60" t="s">
        <v>28</v>
      </c>
    </row>
    <row r="719" spans="1:3" x14ac:dyDescent="0.25">
      <c r="A719" s="60">
        <v>718</v>
      </c>
      <c r="B719" s="61">
        <v>45057</v>
      </c>
      <c r="C719" s="60" t="s">
        <v>29</v>
      </c>
    </row>
    <row r="720" spans="1:3" x14ac:dyDescent="0.25">
      <c r="A720" s="60">
        <v>719</v>
      </c>
      <c r="B720" s="61">
        <v>45058</v>
      </c>
      <c r="C720" s="60" t="s">
        <v>25</v>
      </c>
    </row>
    <row r="721" spans="1:3" x14ac:dyDescent="0.25">
      <c r="A721" s="60">
        <v>720</v>
      </c>
      <c r="B721" s="61">
        <v>45061</v>
      </c>
      <c r="C721" s="60" t="s">
        <v>26</v>
      </c>
    </row>
    <row r="722" spans="1:3" x14ac:dyDescent="0.25">
      <c r="A722" s="60">
        <v>721</v>
      </c>
      <c r="B722" s="61">
        <v>45062</v>
      </c>
      <c r="C722" s="60" t="s">
        <v>27</v>
      </c>
    </row>
    <row r="723" spans="1:3" x14ac:dyDescent="0.25">
      <c r="A723" s="60">
        <v>722</v>
      </c>
      <c r="B723" s="61">
        <v>45063</v>
      </c>
      <c r="C723" s="60" t="s">
        <v>28</v>
      </c>
    </row>
    <row r="724" spans="1:3" x14ac:dyDescent="0.25">
      <c r="A724" s="60">
        <v>723</v>
      </c>
      <c r="B724" s="61">
        <v>45064</v>
      </c>
      <c r="C724" s="60" t="s">
        <v>29</v>
      </c>
    </row>
    <row r="725" spans="1:3" x14ac:dyDescent="0.25">
      <c r="A725" s="60">
        <v>724</v>
      </c>
      <c r="B725" s="61">
        <v>45065</v>
      </c>
      <c r="C725" s="60" t="s">
        <v>25</v>
      </c>
    </row>
    <row r="726" spans="1:3" x14ac:dyDescent="0.25">
      <c r="A726" s="60">
        <v>725</v>
      </c>
      <c r="B726" s="61">
        <v>45068</v>
      </c>
      <c r="C726" s="60" t="s">
        <v>26</v>
      </c>
    </row>
    <row r="727" spans="1:3" x14ac:dyDescent="0.25">
      <c r="A727" s="60">
        <v>726</v>
      </c>
      <c r="B727" s="61">
        <v>45069</v>
      </c>
      <c r="C727" s="60" t="s">
        <v>27</v>
      </c>
    </row>
    <row r="728" spans="1:3" x14ac:dyDescent="0.25">
      <c r="A728" s="60">
        <v>727</v>
      </c>
      <c r="B728" s="61">
        <v>45070</v>
      </c>
      <c r="C728" s="60" t="s">
        <v>28</v>
      </c>
    </row>
    <row r="729" spans="1:3" x14ac:dyDescent="0.25">
      <c r="A729" s="60">
        <v>728</v>
      </c>
      <c r="B729" s="61">
        <v>45071</v>
      </c>
      <c r="C729" s="60" t="s">
        <v>29</v>
      </c>
    </row>
    <row r="730" spans="1:3" x14ac:dyDescent="0.25">
      <c r="A730" s="60">
        <v>729</v>
      </c>
      <c r="B730" s="61">
        <v>45072</v>
      </c>
      <c r="C730" s="60" t="s">
        <v>25</v>
      </c>
    </row>
    <row r="731" spans="1:3" x14ac:dyDescent="0.25">
      <c r="A731" s="60">
        <v>730</v>
      </c>
      <c r="B731" s="61">
        <v>45075</v>
      </c>
      <c r="C731" s="60" t="s">
        <v>26</v>
      </c>
    </row>
    <row r="732" spans="1:3" x14ac:dyDescent="0.25">
      <c r="A732" s="60">
        <v>731</v>
      </c>
      <c r="B732" s="61">
        <v>45076</v>
      </c>
      <c r="C732" s="60" t="s">
        <v>27</v>
      </c>
    </row>
    <row r="733" spans="1:3" x14ac:dyDescent="0.25">
      <c r="A733" s="60">
        <v>732</v>
      </c>
      <c r="B733" s="61">
        <v>45077</v>
      </c>
      <c r="C733" s="60" t="s">
        <v>28</v>
      </c>
    </row>
    <row r="734" spans="1:3" x14ac:dyDescent="0.25">
      <c r="A734" s="60">
        <v>733</v>
      </c>
      <c r="B734" s="61">
        <v>45078</v>
      </c>
      <c r="C734" s="60" t="s">
        <v>29</v>
      </c>
    </row>
    <row r="735" spans="1:3" x14ac:dyDescent="0.25">
      <c r="A735" s="60">
        <v>734</v>
      </c>
      <c r="B735" s="61">
        <v>45079</v>
      </c>
      <c r="C735" s="60" t="s">
        <v>25</v>
      </c>
    </row>
    <row r="736" spans="1:3" x14ac:dyDescent="0.25">
      <c r="A736" s="60">
        <v>735</v>
      </c>
      <c r="B736" s="61">
        <v>45082</v>
      </c>
      <c r="C736" s="60" t="s">
        <v>26</v>
      </c>
    </row>
    <row r="737" spans="1:3" x14ac:dyDescent="0.25">
      <c r="A737" s="60">
        <v>736</v>
      </c>
      <c r="B737" s="61">
        <v>45083</v>
      </c>
      <c r="C737" s="60" t="s">
        <v>27</v>
      </c>
    </row>
    <row r="738" spans="1:3" x14ac:dyDescent="0.25">
      <c r="A738" s="60">
        <v>737</v>
      </c>
      <c r="B738" s="61">
        <v>45084</v>
      </c>
      <c r="C738" s="60" t="s">
        <v>28</v>
      </c>
    </row>
    <row r="739" spans="1:3" x14ac:dyDescent="0.25">
      <c r="A739" s="60">
        <v>738</v>
      </c>
      <c r="B739" s="61">
        <v>45085</v>
      </c>
      <c r="C739" s="60" t="s">
        <v>29</v>
      </c>
    </row>
    <row r="740" spans="1:3" x14ac:dyDescent="0.25">
      <c r="A740" s="60">
        <v>739</v>
      </c>
      <c r="B740" s="61">
        <v>45086</v>
      </c>
      <c r="C740" s="60" t="s">
        <v>25</v>
      </c>
    </row>
    <row r="741" spans="1:3" x14ac:dyDescent="0.25">
      <c r="A741" s="60">
        <v>740</v>
      </c>
      <c r="B741" s="61">
        <v>45089</v>
      </c>
      <c r="C741" s="60" t="s">
        <v>26</v>
      </c>
    </row>
    <row r="742" spans="1:3" x14ac:dyDescent="0.25">
      <c r="A742" s="60">
        <v>741</v>
      </c>
      <c r="B742" s="61">
        <v>45090</v>
      </c>
      <c r="C742" s="60" t="s">
        <v>27</v>
      </c>
    </row>
    <row r="743" spans="1:3" x14ac:dyDescent="0.25">
      <c r="A743" s="60">
        <v>742</v>
      </c>
      <c r="B743" s="61">
        <v>45091</v>
      </c>
      <c r="C743" s="60" t="s">
        <v>28</v>
      </c>
    </row>
    <row r="744" spans="1:3" x14ac:dyDescent="0.25">
      <c r="A744" s="60">
        <v>743</v>
      </c>
      <c r="B744" s="61">
        <v>45092</v>
      </c>
      <c r="C744" s="60" t="s">
        <v>29</v>
      </c>
    </row>
    <row r="745" spans="1:3" x14ac:dyDescent="0.25">
      <c r="A745" s="60">
        <v>744</v>
      </c>
      <c r="B745" s="61">
        <v>45093</v>
      </c>
      <c r="C745" s="60" t="s">
        <v>25</v>
      </c>
    </row>
    <row r="746" spans="1:3" x14ac:dyDescent="0.25">
      <c r="A746" s="60">
        <v>745</v>
      </c>
      <c r="B746" s="61">
        <v>45096</v>
      </c>
      <c r="C746" s="60" t="s">
        <v>26</v>
      </c>
    </row>
    <row r="747" spans="1:3" x14ac:dyDescent="0.25">
      <c r="A747" s="60">
        <v>746</v>
      </c>
      <c r="B747" s="61">
        <v>45097</v>
      </c>
      <c r="C747" s="60" t="s">
        <v>27</v>
      </c>
    </row>
    <row r="748" spans="1:3" x14ac:dyDescent="0.25">
      <c r="A748" s="60">
        <v>747</v>
      </c>
      <c r="B748" s="61">
        <v>45098</v>
      </c>
      <c r="C748" s="60" t="s">
        <v>28</v>
      </c>
    </row>
    <row r="749" spans="1:3" x14ac:dyDescent="0.25">
      <c r="A749" s="60">
        <v>748</v>
      </c>
      <c r="B749" s="61">
        <v>45099</v>
      </c>
      <c r="C749" s="60" t="s">
        <v>29</v>
      </c>
    </row>
    <row r="750" spans="1:3" x14ac:dyDescent="0.25">
      <c r="A750" s="60">
        <v>749</v>
      </c>
      <c r="B750" s="61">
        <v>45100</v>
      </c>
      <c r="C750" s="60" t="s">
        <v>25</v>
      </c>
    </row>
    <row r="751" spans="1:3" x14ac:dyDescent="0.25">
      <c r="A751" s="60">
        <v>750</v>
      </c>
      <c r="B751" s="61">
        <v>45103</v>
      </c>
      <c r="C751" s="60" t="s">
        <v>26</v>
      </c>
    </row>
    <row r="752" spans="1:3" x14ac:dyDescent="0.25">
      <c r="A752" s="60">
        <v>751</v>
      </c>
      <c r="B752" s="61">
        <v>45104</v>
      </c>
      <c r="C752" s="60" t="s">
        <v>27</v>
      </c>
    </row>
    <row r="753" spans="1:3" x14ac:dyDescent="0.25">
      <c r="A753" s="60">
        <v>752</v>
      </c>
      <c r="B753" s="61">
        <v>45105</v>
      </c>
      <c r="C753" s="60" t="s">
        <v>28</v>
      </c>
    </row>
    <row r="754" spans="1:3" x14ac:dyDescent="0.25">
      <c r="A754" s="60">
        <v>753</v>
      </c>
      <c r="B754" s="61">
        <v>45106</v>
      </c>
      <c r="C754" s="60" t="s">
        <v>29</v>
      </c>
    </row>
    <row r="755" spans="1:3" x14ac:dyDescent="0.25">
      <c r="A755" s="60">
        <v>754</v>
      </c>
      <c r="B755" s="61">
        <v>45107</v>
      </c>
      <c r="C755" s="60" t="s">
        <v>25</v>
      </c>
    </row>
    <row r="756" spans="1:3" x14ac:dyDescent="0.25">
      <c r="A756" s="60">
        <v>755</v>
      </c>
      <c r="B756" s="61">
        <v>45110</v>
      </c>
      <c r="C756" s="60" t="s">
        <v>26</v>
      </c>
    </row>
    <row r="757" spans="1:3" x14ac:dyDescent="0.25">
      <c r="A757" s="60">
        <v>756</v>
      </c>
      <c r="B757" s="61">
        <v>45111</v>
      </c>
      <c r="C757" s="60" t="s">
        <v>27</v>
      </c>
    </row>
    <row r="758" spans="1:3" x14ac:dyDescent="0.25">
      <c r="A758" s="60">
        <v>757</v>
      </c>
      <c r="B758" s="61">
        <v>45112</v>
      </c>
      <c r="C758" s="60" t="s">
        <v>28</v>
      </c>
    </row>
    <row r="759" spans="1:3" x14ac:dyDescent="0.25">
      <c r="A759" s="60">
        <v>758</v>
      </c>
      <c r="B759" s="61">
        <v>45113</v>
      </c>
      <c r="C759" s="60" t="s">
        <v>29</v>
      </c>
    </row>
    <row r="760" spans="1:3" x14ac:dyDescent="0.25">
      <c r="A760" s="60">
        <v>759</v>
      </c>
      <c r="B760" s="61">
        <v>45114</v>
      </c>
      <c r="C760" s="60" t="s">
        <v>25</v>
      </c>
    </row>
    <row r="761" spans="1:3" x14ac:dyDescent="0.25">
      <c r="A761" s="60">
        <v>760</v>
      </c>
      <c r="B761" s="61">
        <v>45117</v>
      </c>
      <c r="C761" s="60" t="s">
        <v>26</v>
      </c>
    </row>
    <row r="762" spans="1:3" x14ac:dyDescent="0.25">
      <c r="A762" s="60">
        <v>761</v>
      </c>
      <c r="B762" s="61">
        <v>45118</v>
      </c>
      <c r="C762" s="60" t="s">
        <v>27</v>
      </c>
    </row>
    <row r="763" spans="1:3" x14ac:dyDescent="0.25">
      <c r="A763" s="60">
        <v>762</v>
      </c>
      <c r="B763" s="61">
        <v>45119</v>
      </c>
      <c r="C763" s="60" t="s">
        <v>28</v>
      </c>
    </row>
    <row r="764" spans="1:3" x14ac:dyDescent="0.25">
      <c r="A764" s="60">
        <v>763</v>
      </c>
      <c r="B764" s="61">
        <v>45120</v>
      </c>
      <c r="C764" s="60" t="s">
        <v>29</v>
      </c>
    </row>
    <row r="765" spans="1:3" x14ac:dyDescent="0.25">
      <c r="A765" s="60">
        <v>764</v>
      </c>
      <c r="B765" s="61">
        <v>45121</v>
      </c>
      <c r="C765" s="60" t="s">
        <v>25</v>
      </c>
    </row>
    <row r="766" spans="1:3" x14ac:dyDescent="0.25">
      <c r="A766" s="60">
        <v>765</v>
      </c>
      <c r="B766" s="61">
        <v>45124</v>
      </c>
      <c r="C766" s="60" t="s">
        <v>26</v>
      </c>
    </row>
    <row r="767" spans="1:3" x14ac:dyDescent="0.25">
      <c r="A767" s="60">
        <v>766</v>
      </c>
      <c r="B767" s="61">
        <v>45125</v>
      </c>
      <c r="C767" s="60" t="s">
        <v>27</v>
      </c>
    </row>
    <row r="768" spans="1:3" x14ac:dyDescent="0.25">
      <c r="A768" s="60">
        <v>767</v>
      </c>
      <c r="B768" s="61">
        <v>45126</v>
      </c>
      <c r="C768" s="60" t="s">
        <v>28</v>
      </c>
    </row>
    <row r="769" spans="1:3" x14ac:dyDescent="0.25">
      <c r="A769" s="60">
        <v>768</v>
      </c>
      <c r="B769" s="61">
        <v>45127</v>
      </c>
      <c r="C769" s="60" t="s">
        <v>29</v>
      </c>
    </row>
    <row r="770" spans="1:3" x14ac:dyDescent="0.25">
      <c r="A770" s="60">
        <v>769</v>
      </c>
      <c r="B770" s="61">
        <v>45128</v>
      </c>
      <c r="C770" s="60" t="s">
        <v>25</v>
      </c>
    </row>
    <row r="771" spans="1:3" x14ac:dyDescent="0.25">
      <c r="A771" s="60">
        <v>770</v>
      </c>
      <c r="B771" s="61">
        <v>45131</v>
      </c>
      <c r="C771" s="60" t="s">
        <v>26</v>
      </c>
    </row>
    <row r="772" spans="1:3" x14ac:dyDescent="0.25">
      <c r="A772" s="60">
        <v>771</v>
      </c>
      <c r="B772" s="61">
        <v>45132</v>
      </c>
      <c r="C772" s="60" t="s">
        <v>27</v>
      </c>
    </row>
    <row r="773" spans="1:3" x14ac:dyDescent="0.25">
      <c r="A773" s="60">
        <v>772</v>
      </c>
      <c r="B773" s="61">
        <v>45133</v>
      </c>
      <c r="C773" s="60" t="s">
        <v>28</v>
      </c>
    </row>
    <row r="774" spans="1:3" x14ac:dyDescent="0.25">
      <c r="A774" s="60">
        <v>773</v>
      </c>
      <c r="B774" s="61">
        <v>45134</v>
      </c>
      <c r="C774" s="60" t="s">
        <v>29</v>
      </c>
    </row>
    <row r="775" spans="1:3" x14ac:dyDescent="0.25">
      <c r="A775" s="60">
        <v>774</v>
      </c>
      <c r="B775" s="61">
        <v>45135</v>
      </c>
      <c r="C775" s="60" t="s">
        <v>25</v>
      </c>
    </row>
    <row r="776" spans="1:3" x14ac:dyDescent="0.25">
      <c r="A776" s="60">
        <v>775</v>
      </c>
      <c r="B776" s="61">
        <v>45138</v>
      </c>
      <c r="C776" s="60" t="s">
        <v>26</v>
      </c>
    </row>
    <row r="777" spans="1:3" x14ac:dyDescent="0.25">
      <c r="A777" s="60">
        <v>776</v>
      </c>
      <c r="B777" s="61">
        <v>45139</v>
      </c>
      <c r="C777" s="60" t="s">
        <v>27</v>
      </c>
    </row>
    <row r="778" spans="1:3" x14ac:dyDescent="0.25">
      <c r="A778" s="60">
        <v>777</v>
      </c>
      <c r="B778" s="61">
        <v>45140</v>
      </c>
      <c r="C778" s="60" t="s">
        <v>28</v>
      </c>
    </row>
    <row r="779" spans="1:3" x14ac:dyDescent="0.25">
      <c r="A779" s="60">
        <v>778</v>
      </c>
      <c r="B779" s="61">
        <v>45141</v>
      </c>
      <c r="C779" s="60" t="s">
        <v>29</v>
      </c>
    </row>
    <row r="780" spans="1:3" x14ac:dyDescent="0.25">
      <c r="A780" s="60">
        <v>779</v>
      </c>
      <c r="B780" s="61">
        <v>45142</v>
      </c>
      <c r="C780" s="60" t="s">
        <v>25</v>
      </c>
    </row>
    <row r="781" spans="1:3" x14ac:dyDescent="0.25">
      <c r="A781" s="60">
        <v>780</v>
      </c>
      <c r="B781" s="61">
        <v>45145</v>
      </c>
      <c r="C781" s="60" t="s">
        <v>26</v>
      </c>
    </row>
    <row r="782" spans="1:3" x14ac:dyDescent="0.25">
      <c r="A782" s="60">
        <v>781</v>
      </c>
      <c r="B782" s="61">
        <v>45146</v>
      </c>
      <c r="C782" s="60" t="s">
        <v>27</v>
      </c>
    </row>
    <row r="783" spans="1:3" x14ac:dyDescent="0.25">
      <c r="A783" s="60">
        <v>782</v>
      </c>
      <c r="B783" s="61">
        <v>45147</v>
      </c>
      <c r="C783" s="60" t="s">
        <v>28</v>
      </c>
    </row>
    <row r="784" spans="1:3" x14ac:dyDescent="0.25">
      <c r="A784" s="60">
        <v>783</v>
      </c>
      <c r="B784" s="61">
        <v>45148</v>
      </c>
      <c r="C784" s="60" t="s">
        <v>29</v>
      </c>
    </row>
    <row r="785" spans="1:3" x14ac:dyDescent="0.25">
      <c r="A785" s="60">
        <v>784</v>
      </c>
      <c r="B785" s="61">
        <v>45149</v>
      </c>
      <c r="C785" s="60" t="s">
        <v>25</v>
      </c>
    </row>
    <row r="786" spans="1:3" x14ac:dyDescent="0.25">
      <c r="A786" s="60">
        <v>785</v>
      </c>
      <c r="B786" s="61">
        <v>45152</v>
      </c>
      <c r="C786" s="60" t="s">
        <v>26</v>
      </c>
    </row>
    <row r="787" spans="1:3" x14ac:dyDescent="0.25">
      <c r="A787" s="60">
        <v>786</v>
      </c>
      <c r="B787" s="61">
        <v>45153</v>
      </c>
      <c r="C787" s="60" t="s">
        <v>27</v>
      </c>
    </row>
    <row r="788" spans="1:3" x14ac:dyDescent="0.25">
      <c r="A788" s="60">
        <v>787</v>
      </c>
      <c r="B788" s="61">
        <v>45154</v>
      </c>
      <c r="C788" s="60" t="s">
        <v>28</v>
      </c>
    </row>
    <row r="789" spans="1:3" x14ac:dyDescent="0.25">
      <c r="A789" s="60">
        <v>788</v>
      </c>
      <c r="B789" s="61">
        <v>45155</v>
      </c>
      <c r="C789" s="60" t="s">
        <v>29</v>
      </c>
    </row>
    <row r="790" spans="1:3" x14ac:dyDescent="0.25">
      <c r="A790" s="60">
        <v>789</v>
      </c>
      <c r="B790" s="61">
        <v>45156</v>
      </c>
      <c r="C790" s="60" t="s">
        <v>25</v>
      </c>
    </row>
    <row r="791" spans="1:3" x14ac:dyDescent="0.25">
      <c r="A791" s="60">
        <v>790</v>
      </c>
      <c r="B791" s="61">
        <v>45159</v>
      </c>
      <c r="C791" s="60" t="s">
        <v>26</v>
      </c>
    </row>
    <row r="792" spans="1:3" x14ac:dyDescent="0.25">
      <c r="A792" s="60">
        <v>791</v>
      </c>
      <c r="B792" s="61">
        <v>45160</v>
      </c>
      <c r="C792" s="60" t="s">
        <v>27</v>
      </c>
    </row>
    <row r="793" spans="1:3" x14ac:dyDescent="0.25">
      <c r="A793" s="60">
        <v>792</v>
      </c>
      <c r="B793" s="61">
        <v>45161</v>
      </c>
      <c r="C793" s="60" t="s">
        <v>28</v>
      </c>
    </row>
    <row r="794" spans="1:3" x14ac:dyDescent="0.25">
      <c r="A794" s="60">
        <v>793</v>
      </c>
      <c r="B794" s="61">
        <v>45162</v>
      </c>
      <c r="C794" s="60" t="s">
        <v>29</v>
      </c>
    </row>
    <row r="795" spans="1:3" x14ac:dyDescent="0.25">
      <c r="A795" s="60">
        <v>794</v>
      </c>
      <c r="B795" s="61">
        <v>45163</v>
      </c>
      <c r="C795" s="60" t="s">
        <v>25</v>
      </c>
    </row>
    <row r="796" spans="1:3" x14ac:dyDescent="0.25">
      <c r="A796" s="60">
        <v>795</v>
      </c>
      <c r="B796" s="61">
        <v>45166</v>
      </c>
      <c r="C796" s="60" t="s">
        <v>26</v>
      </c>
    </row>
    <row r="797" spans="1:3" x14ac:dyDescent="0.25">
      <c r="A797" s="60">
        <v>796</v>
      </c>
      <c r="B797" s="61">
        <v>45167</v>
      </c>
      <c r="C797" s="60" t="s">
        <v>27</v>
      </c>
    </row>
    <row r="798" spans="1:3" x14ac:dyDescent="0.25">
      <c r="A798" s="60">
        <v>797</v>
      </c>
      <c r="B798" s="61">
        <v>45168</v>
      </c>
      <c r="C798" s="60" t="s">
        <v>28</v>
      </c>
    </row>
    <row r="799" spans="1:3" x14ac:dyDescent="0.25">
      <c r="A799" s="60">
        <v>798</v>
      </c>
      <c r="B799" s="61">
        <v>45169</v>
      </c>
      <c r="C799" s="60" t="s">
        <v>29</v>
      </c>
    </row>
    <row r="800" spans="1:3" x14ac:dyDescent="0.25">
      <c r="A800" s="60">
        <v>799</v>
      </c>
      <c r="B800" s="61">
        <v>45170</v>
      </c>
      <c r="C800" s="60" t="s">
        <v>25</v>
      </c>
    </row>
    <row r="801" spans="1:3" x14ac:dyDescent="0.25">
      <c r="A801" s="60">
        <v>800</v>
      </c>
      <c r="B801" s="61">
        <v>45173</v>
      </c>
      <c r="C801" s="60" t="s">
        <v>26</v>
      </c>
    </row>
    <row r="802" spans="1:3" x14ac:dyDescent="0.25">
      <c r="A802" s="60">
        <v>801</v>
      </c>
      <c r="B802" s="61">
        <v>45174</v>
      </c>
      <c r="C802" s="60" t="s">
        <v>27</v>
      </c>
    </row>
    <row r="803" spans="1:3" x14ac:dyDescent="0.25">
      <c r="A803" s="60">
        <v>802</v>
      </c>
      <c r="B803" s="61">
        <v>45175</v>
      </c>
      <c r="C803" s="60" t="s">
        <v>28</v>
      </c>
    </row>
    <row r="804" spans="1:3" x14ac:dyDescent="0.25">
      <c r="A804" s="60">
        <v>803</v>
      </c>
      <c r="B804" s="61">
        <v>45176</v>
      </c>
      <c r="C804" s="60" t="s">
        <v>29</v>
      </c>
    </row>
    <row r="805" spans="1:3" x14ac:dyDescent="0.25">
      <c r="A805" s="60">
        <v>804</v>
      </c>
      <c r="B805" s="61">
        <v>45177</v>
      </c>
      <c r="C805" s="60" t="s">
        <v>25</v>
      </c>
    </row>
    <row r="806" spans="1:3" x14ac:dyDescent="0.25">
      <c r="A806" s="60">
        <v>805</v>
      </c>
      <c r="B806" s="61">
        <v>45180</v>
      </c>
      <c r="C806" s="60" t="s">
        <v>26</v>
      </c>
    </row>
    <row r="807" spans="1:3" x14ac:dyDescent="0.25">
      <c r="A807" s="60">
        <v>806</v>
      </c>
      <c r="B807" s="61">
        <v>45181</v>
      </c>
      <c r="C807" s="60" t="s">
        <v>27</v>
      </c>
    </row>
    <row r="808" spans="1:3" x14ac:dyDescent="0.25">
      <c r="A808" s="60">
        <v>807</v>
      </c>
      <c r="B808" s="61">
        <v>45182</v>
      </c>
      <c r="C808" s="60" t="s">
        <v>28</v>
      </c>
    </row>
    <row r="809" spans="1:3" x14ac:dyDescent="0.25">
      <c r="A809" s="60">
        <v>808</v>
      </c>
      <c r="B809" s="61">
        <v>45183</v>
      </c>
      <c r="C809" s="60" t="s">
        <v>29</v>
      </c>
    </row>
    <row r="810" spans="1:3" x14ac:dyDescent="0.25">
      <c r="A810" s="60">
        <v>809</v>
      </c>
      <c r="B810" s="61">
        <v>45184</v>
      </c>
      <c r="C810" s="60" t="s">
        <v>25</v>
      </c>
    </row>
    <row r="811" spans="1:3" x14ac:dyDescent="0.25">
      <c r="A811" s="60">
        <v>810</v>
      </c>
      <c r="B811" s="61">
        <v>45187</v>
      </c>
      <c r="C811" s="60" t="s">
        <v>26</v>
      </c>
    </row>
    <row r="812" spans="1:3" x14ac:dyDescent="0.25">
      <c r="A812" s="60">
        <v>811</v>
      </c>
      <c r="B812" s="61">
        <v>45188</v>
      </c>
      <c r="C812" s="60" t="s">
        <v>27</v>
      </c>
    </row>
    <row r="813" spans="1:3" x14ac:dyDescent="0.25">
      <c r="A813" s="60">
        <v>812</v>
      </c>
      <c r="B813" s="61">
        <v>45189</v>
      </c>
      <c r="C813" s="60" t="s">
        <v>28</v>
      </c>
    </row>
    <row r="814" spans="1:3" x14ac:dyDescent="0.25">
      <c r="A814" s="60">
        <v>813</v>
      </c>
      <c r="B814" s="61">
        <v>45190</v>
      </c>
      <c r="C814" s="60" t="s">
        <v>29</v>
      </c>
    </row>
    <row r="815" spans="1:3" x14ac:dyDescent="0.25">
      <c r="A815" s="60">
        <v>814</v>
      </c>
      <c r="B815" s="61">
        <v>45191</v>
      </c>
      <c r="C815" s="60" t="s">
        <v>25</v>
      </c>
    </row>
    <row r="816" spans="1:3" x14ac:dyDescent="0.25">
      <c r="A816" s="60">
        <v>815</v>
      </c>
      <c r="B816" s="61">
        <v>45194</v>
      </c>
      <c r="C816" s="60" t="s">
        <v>26</v>
      </c>
    </row>
    <row r="817" spans="1:3" x14ac:dyDescent="0.25">
      <c r="A817" s="60">
        <v>816</v>
      </c>
      <c r="B817" s="61">
        <v>45195</v>
      </c>
      <c r="C817" s="60" t="s">
        <v>27</v>
      </c>
    </row>
    <row r="818" spans="1:3" x14ac:dyDescent="0.25">
      <c r="A818" s="60">
        <v>817</v>
      </c>
      <c r="B818" s="61">
        <v>45196</v>
      </c>
      <c r="C818" s="60" t="s">
        <v>28</v>
      </c>
    </row>
    <row r="819" spans="1:3" x14ac:dyDescent="0.25">
      <c r="A819" s="60">
        <v>818</v>
      </c>
      <c r="B819" s="61">
        <v>45197</v>
      </c>
      <c r="C819" s="60" t="s">
        <v>29</v>
      </c>
    </row>
    <row r="820" spans="1:3" x14ac:dyDescent="0.25">
      <c r="A820" s="60">
        <v>819</v>
      </c>
      <c r="B820" s="61">
        <v>45198</v>
      </c>
      <c r="C820" s="60" t="s">
        <v>25</v>
      </c>
    </row>
    <row r="821" spans="1:3" x14ac:dyDescent="0.25">
      <c r="A821" s="60">
        <v>820</v>
      </c>
      <c r="B821" s="61">
        <v>45201</v>
      </c>
      <c r="C821" s="60" t="s">
        <v>26</v>
      </c>
    </row>
    <row r="822" spans="1:3" x14ac:dyDescent="0.25">
      <c r="A822" s="60">
        <v>821</v>
      </c>
      <c r="B822" s="61">
        <v>45202</v>
      </c>
      <c r="C822" s="60" t="s">
        <v>27</v>
      </c>
    </row>
    <row r="823" spans="1:3" x14ac:dyDescent="0.25">
      <c r="A823" s="60">
        <v>822</v>
      </c>
      <c r="B823" s="61">
        <v>45203</v>
      </c>
      <c r="C823" s="60" t="s">
        <v>28</v>
      </c>
    </row>
    <row r="824" spans="1:3" x14ac:dyDescent="0.25">
      <c r="A824" s="60">
        <v>823</v>
      </c>
      <c r="B824" s="61">
        <v>45204</v>
      </c>
      <c r="C824" s="60" t="s">
        <v>29</v>
      </c>
    </row>
    <row r="825" spans="1:3" x14ac:dyDescent="0.25">
      <c r="A825" s="60">
        <v>824</v>
      </c>
      <c r="B825" s="61">
        <v>45205</v>
      </c>
      <c r="C825" s="60" t="s">
        <v>25</v>
      </c>
    </row>
    <row r="826" spans="1:3" x14ac:dyDescent="0.25">
      <c r="A826" s="60">
        <v>825</v>
      </c>
      <c r="B826" s="61">
        <v>45208</v>
      </c>
      <c r="C826" s="60" t="s">
        <v>26</v>
      </c>
    </row>
    <row r="827" spans="1:3" x14ac:dyDescent="0.25">
      <c r="A827" s="60">
        <v>826</v>
      </c>
      <c r="B827" s="61">
        <v>45209</v>
      </c>
      <c r="C827" s="60" t="s">
        <v>27</v>
      </c>
    </row>
    <row r="828" spans="1:3" x14ac:dyDescent="0.25">
      <c r="A828" s="60">
        <v>827</v>
      </c>
      <c r="B828" s="61">
        <v>45210</v>
      </c>
      <c r="C828" s="60" t="s">
        <v>28</v>
      </c>
    </row>
    <row r="829" spans="1:3" x14ac:dyDescent="0.25">
      <c r="A829" s="60">
        <v>828</v>
      </c>
      <c r="B829" s="61">
        <v>45211</v>
      </c>
      <c r="C829" s="60" t="s">
        <v>29</v>
      </c>
    </row>
    <row r="830" spans="1:3" x14ac:dyDescent="0.25">
      <c r="A830" s="60">
        <v>829</v>
      </c>
      <c r="B830" s="61">
        <v>45212</v>
      </c>
      <c r="C830" s="60" t="s">
        <v>25</v>
      </c>
    </row>
    <row r="831" spans="1:3" x14ac:dyDescent="0.25">
      <c r="A831" s="60">
        <v>830</v>
      </c>
      <c r="B831" s="61">
        <v>45215</v>
      </c>
      <c r="C831" s="60" t="s">
        <v>26</v>
      </c>
    </row>
    <row r="832" spans="1:3" x14ac:dyDescent="0.25">
      <c r="A832" s="60">
        <v>831</v>
      </c>
      <c r="B832" s="61">
        <v>45216</v>
      </c>
      <c r="C832" s="60" t="s">
        <v>27</v>
      </c>
    </row>
    <row r="833" spans="1:3" x14ac:dyDescent="0.25">
      <c r="A833" s="60">
        <v>832</v>
      </c>
      <c r="B833" s="61">
        <v>45217</v>
      </c>
      <c r="C833" s="60" t="s">
        <v>28</v>
      </c>
    </row>
    <row r="834" spans="1:3" x14ac:dyDescent="0.25">
      <c r="A834" s="60">
        <v>833</v>
      </c>
      <c r="B834" s="61">
        <v>45218</v>
      </c>
      <c r="C834" s="60" t="s">
        <v>29</v>
      </c>
    </row>
    <row r="835" spans="1:3" x14ac:dyDescent="0.25">
      <c r="A835" s="60">
        <v>834</v>
      </c>
      <c r="B835" s="61">
        <v>45219</v>
      </c>
      <c r="C835" s="60" t="s">
        <v>25</v>
      </c>
    </row>
    <row r="836" spans="1:3" x14ac:dyDescent="0.25">
      <c r="A836" s="60">
        <v>835</v>
      </c>
      <c r="B836" s="61">
        <v>45222</v>
      </c>
      <c r="C836" s="60" t="s">
        <v>26</v>
      </c>
    </row>
    <row r="837" spans="1:3" x14ac:dyDescent="0.25">
      <c r="A837" s="60">
        <v>836</v>
      </c>
      <c r="B837" s="61">
        <v>45223</v>
      </c>
      <c r="C837" s="60" t="s">
        <v>27</v>
      </c>
    </row>
    <row r="838" spans="1:3" x14ac:dyDescent="0.25">
      <c r="A838" s="60">
        <v>837</v>
      </c>
      <c r="B838" s="61">
        <v>45224</v>
      </c>
      <c r="C838" s="60" t="s">
        <v>28</v>
      </c>
    </row>
    <row r="839" spans="1:3" x14ac:dyDescent="0.25">
      <c r="A839" s="60">
        <v>838</v>
      </c>
      <c r="B839" s="61">
        <v>45225</v>
      </c>
      <c r="C839" s="60" t="s">
        <v>29</v>
      </c>
    </row>
    <row r="840" spans="1:3" x14ac:dyDescent="0.25">
      <c r="A840" s="60">
        <v>839</v>
      </c>
      <c r="B840" s="61">
        <v>45226</v>
      </c>
      <c r="C840" s="60" t="s">
        <v>25</v>
      </c>
    </row>
    <row r="841" spans="1:3" x14ac:dyDescent="0.25">
      <c r="A841" s="60">
        <v>840</v>
      </c>
      <c r="B841" s="61">
        <v>45229</v>
      </c>
      <c r="C841" s="60" t="s">
        <v>26</v>
      </c>
    </row>
    <row r="842" spans="1:3" x14ac:dyDescent="0.25">
      <c r="A842" s="60">
        <v>841</v>
      </c>
      <c r="B842" s="61">
        <v>45230</v>
      </c>
      <c r="C842" s="60" t="s">
        <v>27</v>
      </c>
    </row>
    <row r="843" spans="1:3" x14ac:dyDescent="0.25">
      <c r="A843" s="60">
        <v>842</v>
      </c>
      <c r="B843" s="61">
        <v>45231</v>
      </c>
      <c r="C843" s="60" t="s">
        <v>28</v>
      </c>
    </row>
    <row r="844" spans="1:3" x14ac:dyDescent="0.25">
      <c r="A844" s="60">
        <v>843</v>
      </c>
      <c r="B844" s="61">
        <v>45232</v>
      </c>
      <c r="C844" s="60" t="s">
        <v>29</v>
      </c>
    </row>
    <row r="845" spans="1:3" x14ac:dyDescent="0.25">
      <c r="A845" s="60">
        <v>844</v>
      </c>
      <c r="B845" s="61">
        <v>45233</v>
      </c>
      <c r="C845" s="60" t="s">
        <v>25</v>
      </c>
    </row>
    <row r="846" spans="1:3" x14ac:dyDescent="0.25">
      <c r="A846" s="60">
        <v>845</v>
      </c>
      <c r="B846" s="61">
        <v>45236</v>
      </c>
      <c r="C846" s="60" t="s">
        <v>26</v>
      </c>
    </row>
    <row r="847" spans="1:3" x14ac:dyDescent="0.25">
      <c r="A847" s="60">
        <v>846</v>
      </c>
      <c r="B847" s="61">
        <v>45237</v>
      </c>
      <c r="C847" s="60" t="s">
        <v>27</v>
      </c>
    </row>
    <row r="848" spans="1:3" x14ac:dyDescent="0.25">
      <c r="A848" s="60">
        <v>847</v>
      </c>
      <c r="B848" s="61">
        <v>45238</v>
      </c>
      <c r="C848" s="60" t="s">
        <v>28</v>
      </c>
    </row>
    <row r="849" spans="1:3" x14ac:dyDescent="0.25">
      <c r="A849" s="60">
        <v>848</v>
      </c>
      <c r="B849" s="61">
        <v>45239</v>
      </c>
      <c r="C849" s="60" t="s">
        <v>29</v>
      </c>
    </row>
    <row r="850" spans="1:3" x14ac:dyDescent="0.25">
      <c r="A850" s="60">
        <v>849</v>
      </c>
      <c r="B850" s="61">
        <v>45240</v>
      </c>
      <c r="C850" s="60" t="s">
        <v>25</v>
      </c>
    </row>
    <row r="851" spans="1:3" x14ac:dyDescent="0.25">
      <c r="A851" s="60">
        <v>850</v>
      </c>
      <c r="B851" s="61">
        <v>45243</v>
      </c>
      <c r="C851" s="60" t="s">
        <v>26</v>
      </c>
    </row>
    <row r="852" spans="1:3" x14ac:dyDescent="0.25">
      <c r="A852" s="60">
        <v>851</v>
      </c>
      <c r="B852" s="61">
        <v>45244</v>
      </c>
      <c r="C852" s="60" t="s">
        <v>27</v>
      </c>
    </row>
    <row r="853" spans="1:3" x14ac:dyDescent="0.25">
      <c r="A853" s="60">
        <v>852</v>
      </c>
      <c r="B853" s="61">
        <v>45245</v>
      </c>
      <c r="C853" s="60" t="s">
        <v>28</v>
      </c>
    </row>
    <row r="854" spans="1:3" x14ac:dyDescent="0.25">
      <c r="A854" s="60">
        <v>853</v>
      </c>
      <c r="B854" s="61">
        <v>45246</v>
      </c>
      <c r="C854" s="60" t="s">
        <v>29</v>
      </c>
    </row>
    <row r="855" spans="1:3" x14ac:dyDescent="0.25">
      <c r="A855" s="60">
        <v>854</v>
      </c>
      <c r="B855" s="61">
        <v>45247</v>
      </c>
      <c r="C855" s="60" t="s">
        <v>25</v>
      </c>
    </row>
    <row r="856" spans="1:3" x14ac:dyDescent="0.25">
      <c r="A856" s="60">
        <v>855</v>
      </c>
      <c r="B856" s="61">
        <v>45250</v>
      </c>
      <c r="C856" s="60" t="s">
        <v>26</v>
      </c>
    </row>
    <row r="857" spans="1:3" x14ac:dyDescent="0.25">
      <c r="A857" s="60">
        <v>856</v>
      </c>
      <c r="B857" s="61">
        <v>45251</v>
      </c>
      <c r="C857" s="60" t="s">
        <v>27</v>
      </c>
    </row>
    <row r="858" spans="1:3" x14ac:dyDescent="0.25">
      <c r="A858" s="60">
        <v>857</v>
      </c>
      <c r="B858" s="61">
        <v>45252</v>
      </c>
      <c r="C858" s="60" t="s">
        <v>28</v>
      </c>
    </row>
    <row r="859" spans="1:3" x14ac:dyDescent="0.25">
      <c r="A859" s="60">
        <v>858</v>
      </c>
      <c r="B859" s="61">
        <v>45253</v>
      </c>
      <c r="C859" s="60" t="s">
        <v>29</v>
      </c>
    </row>
    <row r="860" spans="1:3" x14ac:dyDescent="0.25">
      <c r="A860" s="60">
        <v>859</v>
      </c>
      <c r="B860" s="61">
        <v>45254</v>
      </c>
      <c r="C860" s="60" t="s">
        <v>25</v>
      </c>
    </row>
    <row r="861" spans="1:3" x14ac:dyDescent="0.25">
      <c r="A861" s="60">
        <v>860</v>
      </c>
      <c r="B861" s="61">
        <v>45257</v>
      </c>
      <c r="C861" s="60" t="s">
        <v>26</v>
      </c>
    </row>
    <row r="862" spans="1:3" x14ac:dyDescent="0.25">
      <c r="A862" s="60">
        <v>861</v>
      </c>
      <c r="B862" s="61">
        <v>45258</v>
      </c>
      <c r="C862" s="60" t="s">
        <v>27</v>
      </c>
    </row>
    <row r="863" spans="1:3" x14ac:dyDescent="0.25">
      <c r="A863" s="60">
        <v>862</v>
      </c>
      <c r="B863" s="61">
        <v>45259</v>
      </c>
      <c r="C863" s="60" t="s">
        <v>28</v>
      </c>
    </row>
    <row r="864" spans="1:3" x14ac:dyDescent="0.25">
      <c r="A864" s="60">
        <v>863</v>
      </c>
      <c r="B864" s="61">
        <v>45260</v>
      </c>
      <c r="C864" s="60" t="s">
        <v>29</v>
      </c>
    </row>
    <row r="865" spans="1:3" x14ac:dyDescent="0.25">
      <c r="A865" s="60">
        <v>864</v>
      </c>
      <c r="B865" s="61">
        <v>45261</v>
      </c>
      <c r="C865" s="60" t="s">
        <v>25</v>
      </c>
    </row>
    <row r="866" spans="1:3" x14ac:dyDescent="0.25">
      <c r="A866" s="60">
        <v>865</v>
      </c>
      <c r="B866" s="61">
        <v>45264</v>
      </c>
      <c r="C866" s="60" t="s">
        <v>26</v>
      </c>
    </row>
    <row r="867" spans="1:3" x14ac:dyDescent="0.25">
      <c r="A867" s="60">
        <v>866</v>
      </c>
      <c r="B867" s="61">
        <v>45265</v>
      </c>
      <c r="C867" s="60" t="s">
        <v>27</v>
      </c>
    </row>
    <row r="868" spans="1:3" x14ac:dyDescent="0.25">
      <c r="A868" s="60">
        <v>867</v>
      </c>
      <c r="B868" s="61">
        <v>45266</v>
      </c>
      <c r="C868" s="60" t="s">
        <v>28</v>
      </c>
    </row>
    <row r="869" spans="1:3" x14ac:dyDescent="0.25">
      <c r="A869" s="60">
        <v>868</v>
      </c>
      <c r="B869" s="61">
        <v>45267</v>
      </c>
      <c r="C869" s="60" t="s">
        <v>29</v>
      </c>
    </row>
    <row r="870" spans="1:3" x14ac:dyDescent="0.25">
      <c r="A870" s="60">
        <v>869</v>
      </c>
      <c r="B870" s="61">
        <v>45268</v>
      </c>
      <c r="C870" s="60" t="s">
        <v>25</v>
      </c>
    </row>
    <row r="871" spans="1:3" x14ac:dyDescent="0.25">
      <c r="A871" s="60">
        <v>870</v>
      </c>
      <c r="B871" s="61">
        <v>45271</v>
      </c>
      <c r="C871" s="60" t="s">
        <v>26</v>
      </c>
    </row>
    <row r="872" spans="1:3" x14ac:dyDescent="0.25">
      <c r="A872" s="60">
        <v>871</v>
      </c>
      <c r="B872" s="61">
        <v>45272</v>
      </c>
      <c r="C872" s="60" t="s">
        <v>27</v>
      </c>
    </row>
    <row r="873" spans="1:3" x14ac:dyDescent="0.25">
      <c r="A873" s="60">
        <v>872</v>
      </c>
      <c r="B873" s="61">
        <v>45273</v>
      </c>
      <c r="C873" s="60" t="s">
        <v>28</v>
      </c>
    </row>
    <row r="874" spans="1:3" x14ac:dyDescent="0.25">
      <c r="A874" s="60">
        <v>873</v>
      </c>
      <c r="B874" s="61">
        <v>45274</v>
      </c>
      <c r="C874" s="60" t="s">
        <v>29</v>
      </c>
    </row>
    <row r="875" spans="1:3" x14ac:dyDescent="0.25">
      <c r="A875" s="60">
        <v>874</v>
      </c>
      <c r="B875" s="61">
        <v>45275</v>
      </c>
      <c r="C875" s="60" t="s">
        <v>25</v>
      </c>
    </row>
    <row r="876" spans="1:3" x14ac:dyDescent="0.25">
      <c r="A876" s="60">
        <v>875</v>
      </c>
      <c r="B876" s="61">
        <v>45278</v>
      </c>
      <c r="C876" s="60" t="s">
        <v>26</v>
      </c>
    </row>
    <row r="877" spans="1:3" x14ac:dyDescent="0.25">
      <c r="A877" s="60">
        <v>876</v>
      </c>
      <c r="B877" s="61">
        <v>45279</v>
      </c>
      <c r="C877" s="60" t="s">
        <v>27</v>
      </c>
    </row>
    <row r="878" spans="1:3" x14ac:dyDescent="0.25">
      <c r="A878" s="60">
        <v>877</v>
      </c>
      <c r="B878" s="61">
        <v>45280</v>
      </c>
      <c r="C878" s="60" t="s">
        <v>28</v>
      </c>
    </row>
    <row r="879" spans="1:3" x14ac:dyDescent="0.25">
      <c r="A879" s="60">
        <v>878</v>
      </c>
      <c r="B879" s="61">
        <v>45281</v>
      </c>
      <c r="C879" s="60" t="s">
        <v>29</v>
      </c>
    </row>
    <row r="880" spans="1:3" x14ac:dyDescent="0.25">
      <c r="A880" s="60">
        <v>879</v>
      </c>
      <c r="B880" s="61">
        <v>45282</v>
      </c>
      <c r="C880" s="60" t="s">
        <v>25</v>
      </c>
    </row>
    <row r="881" spans="1:3" x14ac:dyDescent="0.25">
      <c r="A881" s="60">
        <v>880</v>
      </c>
      <c r="B881" s="61">
        <v>45285</v>
      </c>
      <c r="C881" s="60" t="s">
        <v>26</v>
      </c>
    </row>
    <row r="882" spans="1:3" x14ac:dyDescent="0.25">
      <c r="A882" s="60">
        <v>881</v>
      </c>
      <c r="B882" s="61">
        <v>45286</v>
      </c>
      <c r="C882" s="60" t="s">
        <v>27</v>
      </c>
    </row>
    <row r="883" spans="1:3" x14ac:dyDescent="0.25">
      <c r="A883" s="60">
        <v>882</v>
      </c>
      <c r="B883" s="61">
        <v>45287</v>
      </c>
      <c r="C883" s="60" t="s">
        <v>28</v>
      </c>
    </row>
    <row r="884" spans="1:3" x14ac:dyDescent="0.25">
      <c r="A884" s="60">
        <v>883</v>
      </c>
      <c r="B884" s="61">
        <v>45288</v>
      </c>
      <c r="C884" s="60" t="s">
        <v>29</v>
      </c>
    </row>
    <row r="885" spans="1:3" x14ac:dyDescent="0.25">
      <c r="A885" s="60">
        <v>884</v>
      </c>
      <c r="B885" s="61">
        <v>45289</v>
      </c>
      <c r="C885" s="60" t="s">
        <v>25</v>
      </c>
    </row>
    <row r="886" spans="1:3" x14ac:dyDescent="0.25">
      <c r="A886" s="60">
        <v>885</v>
      </c>
      <c r="B886" s="61">
        <v>45292</v>
      </c>
      <c r="C886" s="60" t="s">
        <v>26</v>
      </c>
    </row>
    <row r="887" spans="1:3" x14ac:dyDescent="0.25">
      <c r="A887" s="60">
        <v>886</v>
      </c>
      <c r="B887" s="61">
        <v>45293</v>
      </c>
      <c r="C887" s="60" t="s">
        <v>27</v>
      </c>
    </row>
    <row r="888" spans="1:3" x14ac:dyDescent="0.25">
      <c r="A888" s="60">
        <v>887</v>
      </c>
      <c r="B888" s="61">
        <v>45294</v>
      </c>
      <c r="C888" s="60" t="s">
        <v>28</v>
      </c>
    </row>
    <row r="889" spans="1:3" x14ac:dyDescent="0.25">
      <c r="A889" s="60">
        <v>888</v>
      </c>
      <c r="B889" s="61">
        <v>45295</v>
      </c>
      <c r="C889" s="60" t="s">
        <v>29</v>
      </c>
    </row>
    <row r="890" spans="1:3" x14ac:dyDescent="0.25">
      <c r="A890" s="60">
        <v>889</v>
      </c>
      <c r="B890" s="61">
        <v>45296</v>
      </c>
      <c r="C890" s="60" t="s">
        <v>25</v>
      </c>
    </row>
    <row r="891" spans="1:3" x14ac:dyDescent="0.25">
      <c r="A891" s="60">
        <v>890</v>
      </c>
      <c r="B891" s="61">
        <v>45299</v>
      </c>
      <c r="C891" s="60" t="s">
        <v>26</v>
      </c>
    </row>
    <row r="892" spans="1:3" x14ac:dyDescent="0.25">
      <c r="A892" s="60">
        <v>891</v>
      </c>
      <c r="B892" s="61">
        <v>45300</v>
      </c>
      <c r="C892" s="60" t="s">
        <v>27</v>
      </c>
    </row>
    <row r="893" spans="1:3" x14ac:dyDescent="0.25">
      <c r="A893" s="60">
        <v>892</v>
      </c>
      <c r="B893" s="61">
        <v>45301</v>
      </c>
      <c r="C893" s="60" t="s">
        <v>28</v>
      </c>
    </row>
    <row r="894" spans="1:3" x14ac:dyDescent="0.25">
      <c r="A894" s="60">
        <v>893</v>
      </c>
      <c r="B894" s="61">
        <v>45302</v>
      </c>
      <c r="C894" s="60" t="s">
        <v>29</v>
      </c>
    </row>
    <row r="895" spans="1:3" x14ac:dyDescent="0.25">
      <c r="A895" s="60">
        <v>894</v>
      </c>
      <c r="B895" s="61">
        <v>45303</v>
      </c>
      <c r="C895" s="60" t="s">
        <v>25</v>
      </c>
    </row>
    <row r="896" spans="1:3" x14ac:dyDescent="0.25">
      <c r="A896" s="60">
        <v>895</v>
      </c>
      <c r="B896" s="61">
        <v>45306</v>
      </c>
      <c r="C896" s="60" t="s">
        <v>26</v>
      </c>
    </row>
    <row r="897" spans="1:3" x14ac:dyDescent="0.25">
      <c r="A897" s="60">
        <v>896</v>
      </c>
      <c r="B897" s="61">
        <v>45307</v>
      </c>
      <c r="C897" s="60" t="s">
        <v>27</v>
      </c>
    </row>
    <row r="898" spans="1:3" x14ac:dyDescent="0.25">
      <c r="A898" s="60">
        <v>897</v>
      </c>
      <c r="B898" s="61">
        <v>45308</v>
      </c>
      <c r="C898" s="60" t="s">
        <v>28</v>
      </c>
    </row>
    <row r="899" spans="1:3" x14ac:dyDescent="0.25">
      <c r="A899" s="60">
        <v>898</v>
      </c>
      <c r="B899" s="61">
        <v>45309</v>
      </c>
      <c r="C899" s="60" t="s">
        <v>29</v>
      </c>
    </row>
    <row r="900" spans="1:3" x14ac:dyDescent="0.25">
      <c r="A900" s="60">
        <v>899</v>
      </c>
      <c r="B900" s="61">
        <v>45310</v>
      </c>
      <c r="C900" s="60" t="s">
        <v>25</v>
      </c>
    </row>
    <row r="901" spans="1:3" x14ac:dyDescent="0.25">
      <c r="A901" s="60">
        <v>900</v>
      </c>
      <c r="B901" s="61">
        <v>45313</v>
      </c>
      <c r="C901" s="60" t="s">
        <v>26</v>
      </c>
    </row>
    <row r="902" spans="1:3" x14ac:dyDescent="0.25">
      <c r="A902" s="60">
        <v>901</v>
      </c>
      <c r="B902" s="61">
        <v>45314</v>
      </c>
      <c r="C902" s="60" t="s">
        <v>27</v>
      </c>
    </row>
    <row r="903" spans="1:3" x14ac:dyDescent="0.25">
      <c r="A903" s="60">
        <v>902</v>
      </c>
      <c r="B903" s="61">
        <v>45315</v>
      </c>
      <c r="C903" s="60" t="s">
        <v>28</v>
      </c>
    </row>
    <row r="904" spans="1:3" x14ac:dyDescent="0.25">
      <c r="A904" s="60">
        <v>903</v>
      </c>
      <c r="B904" s="61">
        <v>45316</v>
      </c>
      <c r="C904" s="60" t="s">
        <v>29</v>
      </c>
    </row>
    <row r="905" spans="1:3" x14ac:dyDescent="0.25">
      <c r="A905" s="60">
        <v>904</v>
      </c>
      <c r="B905" s="61">
        <v>45317</v>
      </c>
      <c r="C905" s="60" t="s">
        <v>25</v>
      </c>
    </row>
    <row r="906" spans="1:3" x14ac:dyDescent="0.25">
      <c r="A906" s="60">
        <v>905</v>
      </c>
      <c r="B906" s="61">
        <v>45320</v>
      </c>
      <c r="C906" s="60" t="s">
        <v>26</v>
      </c>
    </row>
    <row r="907" spans="1:3" x14ac:dyDescent="0.25">
      <c r="A907" s="60">
        <v>906</v>
      </c>
      <c r="B907" s="61">
        <v>45321</v>
      </c>
      <c r="C907" s="60" t="s">
        <v>27</v>
      </c>
    </row>
    <row r="908" spans="1:3" x14ac:dyDescent="0.25">
      <c r="A908" s="60">
        <v>907</v>
      </c>
      <c r="B908" s="61">
        <v>45322</v>
      </c>
      <c r="C908" s="60" t="s">
        <v>28</v>
      </c>
    </row>
    <row r="909" spans="1:3" x14ac:dyDescent="0.25">
      <c r="A909" s="60">
        <v>908</v>
      </c>
      <c r="B909" s="61">
        <v>45323</v>
      </c>
      <c r="C909" s="60" t="s">
        <v>29</v>
      </c>
    </row>
    <row r="910" spans="1:3" x14ac:dyDescent="0.25">
      <c r="A910" s="60">
        <v>909</v>
      </c>
      <c r="B910" s="61">
        <v>45324</v>
      </c>
      <c r="C910" s="60" t="s">
        <v>25</v>
      </c>
    </row>
    <row r="911" spans="1:3" x14ac:dyDescent="0.25">
      <c r="A911" s="60">
        <v>910</v>
      </c>
      <c r="B911" s="61">
        <v>45327</v>
      </c>
      <c r="C911" s="60" t="s">
        <v>26</v>
      </c>
    </row>
    <row r="912" spans="1:3" x14ac:dyDescent="0.25">
      <c r="A912" s="60">
        <v>911</v>
      </c>
      <c r="B912" s="61">
        <v>45328</v>
      </c>
      <c r="C912" s="60" t="s">
        <v>27</v>
      </c>
    </row>
    <row r="913" spans="1:3" x14ac:dyDescent="0.25">
      <c r="A913" s="60">
        <v>912</v>
      </c>
      <c r="B913" s="61">
        <v>45329</v>
      </c>
      <c r="C913" s="60" t="s">
        <v>28</v>
      </c>
    </row>
    <row r="914" spans="1:3" x14ac:dyDescent="0.25">
      <c r="A914" s="60">
        <v>913</v>
      </c>
      <c r="B914" s="61">
        <v>45330</v>
      </c>
      <c r="C914" s="60" t="s">
        <v>29</v>
      </c>
    </row>
    <row r="915" spans="1:3" x14ac:dyDescent="0.25">
      <c r="A915" s="60">
        <v>914</v>
      </c>
      <c r="B915" s="61">
        <v>45331</v>
      </c>
      <c r="C915" s="60" t="s">
        <v>25</v>
      </c>
    </row>
    <row r="916" spans="1:3" x14ac:dyDescent="0.25">
      <c r="A916" s="60">
        <v>915</v>
      </c>
      <c r="B916" s="61">
        <v>45334</v>
      </c>
      <c r="C916" s="60" t="s">
        <v>26</v>
      </c>
    </row>
    <row r="917" spans="1:3" x14ac:dyDescent="0.25">
      <c r="A917" s="60">
        <v>916</v>
      </c>
      <c r="B917" s="61">
        <v>45335</v>
      </c>
      <c r="C917" s="60" t="s">
        <v>27</v>
      </c>
    </row>
    <row r="918" spans="1:3" x14ac:dyDescent="0.25">
      <c r="A918" s="60">
        <v>917</v>
      </c>
      <c r="B918" s="61">
        <v>45336</v>
      </c>
      <c r="C918" s="60" t="s">
        <v>28</v>
      </c>
    </row>
    <row r="919" spans="1:3" x14ac:dyDescent="0.25">
      <c r="A919" s="60">
        <v>918</v>
      </c>
      <c r="B919" s="61">
        <v>45337</v>
      </c>
      <c r="C919" s="60" t="s">
        <v>29</v>
      </c>
    </row>
    <row r="920" spans="1:3" x14ac:dyDescent="0.25">
      <c r="A920" s="60">
        <v>919</v>
      </c>
      <c r="B920" s="61">
        <v>45338</v>
      </c>
      <c r="C920" s="60" t="s">
        <v>25</v>
      </c>
    </row>
    <row r="921" spans="1:3" x14ac:dyDescent="0.25">
      <c r="A921" s="60">
        <v>920</v>
      </c>
      <c r="B921" s="61">
        <v>45341</v>
      </c>
      <c r="C921" s="60" t="s">
        <v>26</v>
      </c>
    </row>
    <row r="922" spans="1:3" x14ac:dyDescent="0.25">
      <c r="A922" s="60">
        <v>921</v>
      </c>
      <c r="B922" s="61">
        <v>45342</v>
      </c>
      <c r="C922" s="60" t="s">
        <v>27</v>
      </c>
    </row>
    <row r="923" spans="1:3" x14ac:dyDescent="0.25">
      <c r="A923" s="60">
        <v>922</v>
      </c>
      <c r="B923" s="61">
        <v>45343</v>
      </c>
      <c r="C923" s="60" t="s">
        <v>28</v>
      </c>
    </row>
    <row r="924" spans="1:3" x14ac:dyDescent="0.25">
      <c r="A924" s="60">
        <v>923</v>
      </c>
      <c r="B924" s="61">
        <v>45344</v>
      </c>
      <c r="C924" s="60" t="s">
        <v>29</v>
      </c>
    </row>
    <row r="925" spans="1:3" x14ac:dyDescent="0.25">
      <c r="A925" s="60">
        <v>924</v>
      </c>
      <c r="B925" s="61">
        <v>45345</v>
      </c>
      <c r="C925" s="60" t="s">
        <v>25</v>
      </c>
    </row>
    <row r="926" spans="1:3" x14ac:dyDescent="0.25">
      <c r="A926" s="60">
        <v>925</v>
      </c>
      <c r="B926" s="61">
        <v>45348</v>
      </c>
      <c r="C926" s="60" t="s">
        <v>26</v>
      </c>
    </row>
    <row r="927" spans="1:3" x14ac:dyDescent="0.25">
      <c r="A927" s="60">
        <v>926</v>
      </c>
      <c r="B927" s="61">
        <v>45349</v>
      </c>
      <c r="C927" s="60" t="s">
        <v>27</v>
      </c>
    </row>
    <row r="928" spans="1:3" x14ac:dyDescent="0.25">
      <c r="A928" s="60">
        <v>927</v>
      </c>
      <c r="B928" s="61">
        <v>45350</v>
      </c>
      <c r="C928" s="60" t="s">
        <v>28</v>
      </c>
    </row>
    <row r="929" spans="1:3" x14ac:dyDescent="0.25">
      <c r="A929" s="60">
        <v>928</v>
      </c>
      <c r="B929" s="61">
        <v>45351</v>
      </c>
      <c r="C929" s="60" t="s">
        <v>29</v>
      </c>
    </row>
    <row r="930" spans="1:3" x14ac:dyDescent="0.25">
      <c r="A930" s="60">
        <v>929</v>
      </c>
      <c r="B930" s="61">
        <v>45352</v>
      </c>
      <c r="C930" s="60" t="s">
        <v>25</v>
      </c>
    </row>
    <row r="931" spans="1:3" x14ac:dyDescent="0.25">
      <c r="A931" s="60">
        <v>930</v>
      </c>
      <c r="B931" s="61">
        <v>45355</v>
      </c>
      <c r="C931" s="60" t="s">
        <v>26</v>
      </c>
    </row>
    <row r="932" spans="1:3" x14ac:dyDescent="0.25">
      <c r="A932" s="60">
        <v>931</v>
      </c>
      <c r="B932" s="61">
        <v>45356</v>
      </c>
      <c r="C932" s="60" t="s">
        <v>27</v>
      </c>
    </row>
    <row r="933" spans="1:3" x14ac:dyDescent="0.25">
      <c r="A933" s="60">
        <v>932</v>
      </c>
      <c r="B933" s="61">
        <v>45357</v>
      </c>
      <c r="C933" s="60" t="s">
        <v>28</v>
      </c>
    </row>
    <row r="934" spans="1:3" x14ac:dyDescent="0.25">
      <c r="A934" s="60">
        <v>933</v>
      </c>
      <c r="B934" s="61">
        <v>45358</v>
      </c>
      <c r="C934" s="60" t="s">
        <v>29</v>
      </c>
    </row>
    <row r="935" spans="1:3" x14ac:dyDescent="0.25">
      <c r="A935" s="60">
        <v>934</v>
      </c>
      <c r="B935" s="61">
        <v>45359</v>
      </c>
      <c r="C935" s="60" t="s">
        <v>25</v>
      </c>
    </row>
    <row r="936" spans="1:3" x14ac:dyDescent="0.25">
      <c r="A936" s="60">
        <v>935</v>
      </c>
      <c r="B936" s="61">
        <v>45362</v>
      </c>
      <c r="C936" s="60" t="s">
        <v>26</v>
      </c>
    </row>
    <row r="937" spans="1:3" x14ac:dyDescent="0.25">
      <c r="A937" s="60">
        <v>936</v>
      </c>
      <c r="B937" s="61">
        <v>45363</v>
      </c>
      <c r="C937" s="60" t="s">
        <v>27</v>
      </c>
    </row>
    <row r="938" spans="1:3" x14ac:dyDescent="0.25">
      <c r="A938" s="60">
        <v>937</v>
      </c>
      <c r="B938" s="61">
        <v>45364</v>
      </c>
      <c r="C938" s="60" t="s">
        <v>28</v>
      </c>
    </row>
    <row r="939" spans="1:3" x14ac:dyDescent="0.25">
      <c r="A939" s="60">
        <v>938</v>
      </c>
      <c r="B939" s="61">
        <v>45365</v>
      </c>
      <c r="C939" s="60" t="s">
        <v>29</v>
      </c>
    </row>
    <row r="940" spans="1:3" x14ac:dyDescent="0.25">
      <c r="A940" s="60">
        <v>939</v>
      </c>
      <c r="B940" s="61">
        <v>45366</v>
      </c>
      <c r="C940" s="60" t="s">
        <v>25</v>
      </c>
    </row>
    <row r="941" spans="1:3" x14ac:dyDescent="0.25">
      <c r="A941" s="60">
        <v>940</v>
      </c>
      <c r="B941" s="61">
        <v>45369</v>
      </c>
      <c r="C941" s="60" t="s">
        <v>26</v>
      </c>
    </row>
    <row r="942" spans="1:3" x14ac:dyDescent="0.25">
      <c r="A942" s="60">
        <v>941</v>
      </c>
      <c r="B942" s="61">
        <v>45370</v>
      </c>
      <c r="C942" s="60" t="s">
        <v>27</v>
      </c>
    </row>
    <row r="943" spans="1:3" x14ac:dyDescent="0.25">
      <c r="A943" s="60">
        <v>942</v>
      </c>
      <c r="B943" s="61">
        <v>45371</v>
      </c>
      <c r="C943" s="60" t="s">
        <v>28</v>
      </c>
    </row>
    <row r="944" spans="1:3" x14ac:dyDescent="0.25">
      <c r="A944" s="60">
        <v>943</v>
      </c>
      <c r="B944" s="61">
        <v>45372</v>
      </c>
      <c r="C944" s="60" t="s">
        <v>29</v>
      </c>
    </row>
    <row r="945" spans="1:3" x14ac:dyDescent="0.25">
      <c r="A945" s="60">
        <v>944</v>
      </c>
      <c r="B945" s="61">
        <v>45373</v>
      </c>
      <c r="C945" s="60" t="s">
        <v>25</v>
      </c>
    </row>
    <row r="946" spans="1:3" x14ac:dyDescent="0.25">
      <c r="A946" s="60">
        <v>945</v>
      </c>
      <c r="B946" s="61">
        <v>45376</v>
      </c>
      <c r="C946" s="60" t="s">
        <v>26</v>
      </c>
    </row>
    <row r="947" spans="1:3" x14ac:dyDescent="0.25">
      <c r="A947" s="60">
        <v>946</v>
      </c>
      <c r="B947" s="61">
        <v>45377</v>
      </c>
      <c r="C947" s="60" t="s">
        <v>27</v>
      </c>
    </row>
    <row r="948" spans="1:3" x14ac:dyDescent="0.25">
      <c r="A948" s="60">
        <v>947</v>
      </c>
      <c r="B948" s="61">
        <v>45378</v>
      </c>
      <c r="C948" s="60" t="s">
        <v>28</v>
      </c>
    </row>
    <row r="949" spans="1:3" x14ac:dyDescent="0.25">
      <c r="A949" s="60">
        <v>948</v>
      </c>
      <c r="B949" s="61">
        <v>45379</v>
      </c>
      <c r="C949" s="60" t="s">
        <v>29</v>
      </c>
    </row>
    <row r="950" spans="1:3" x14ac:dyDescent="0.25">
      <c r="A950" s="60">
        <v>949</v>
      </c>
      <c r="B950" s="61">
        <v>45380</v>
      </c>
      <c r="C950" s="60" t="s">
        <v>25</v>
      </c>
    </row>
    <row r="951" spans="1:3" x14ac:dyDescent="0.25">
      <c r="A951" s="60">
        <v>950</v>
      </c>
      <c r="B951" s="61">
        <v>45383</v>
      </c>
      <c r="C951" s="60" t="s">
        <v>26</v>
      </c>
    </row>
    <row r="952" spans="1:3" x14ac:dyDescent="0.25">
      <c r="A952" s="60">
        <v>951</v>
      </c>
      <c r="B952" s="61">
        <v>45384</v>
      </c>
      <c r="C952" s="60" t="s">
        <v>27</v>
      </c>
    </row>
    <row r="953" spans="1:3" x14ac:dyDescent="0.25">
      <c r="A953" s="60">
        <v>952</v>
      </c>
      <c r="B953" s="61">
        <v>45385</v>
      </c>
      <c r="C953" s="60" t="s">
        <v>28</v>
      </c>
    </row>
    <row r="954" spans="1:3" x14ac:dyDescent="0.25">
      <c r="A954" s="60">
        <v>953</v>
      </c>
      <c r="B954" s="61">
        <v>45386</v>
      </c>
      <c r="C954" s="60" t="s">
        <v>29</v>
      </c>
    </row>
    <row r="955" spans="1:3" x14ac:dyDescent="0.25">
      <c r="A955" s="60">
        <v>954</v>
      </c>
      <c r="B955" s="61">
        <v>45387</v>
      </c>
      <c r="C955" s="60" t="s">
        <v>25</v>
      </c>
    </row>
    <row r="956" spans="1:3" x14ac:dyDescent="0.25">
      <c r="A956" s="60">
        <v>955</v>
      </c>
      <c r="B956" s="61">
        <v>45390</v>
      </c>
      <c r="C956" s="60" t="s">
        <v>26</v>
      </c>
    </row>
    <row r="957" spans="1:3" x14ac:dyDescent="0.25">
      <c r="A957" s="60">
        <v>956</v>
      </c>
      <c r="B957" s="61">
        <v>45391</v>
      </c>
      <c r="C957" s="60" t="s">
        <v>27</v>
      </c>
    </row>
    <row r="958" spans="1:3" x14ac:dyDescent="0.25">
      <c r="A958" s="60">
        <v>957</v>
      </c>
      <c r="B958" s="61">
        <v>45392</v>
      </c>
      <c r="C958" s="60" t="s">
        <v>28</v>
      </c>
    </row>
    <row r="959" spans="1:3" x14ac:dyDescent="0.25">
      <c r="A959" s="60">
        <v>958</v>
      </c>
      <c r="B959" s="61">
        <v>45393</v>
      </c>
      <c r="C959" s="60" t="s">
        <v>29</v>
      </c>
    </row>
    <row r="960" spans="1:3" x14ac:dyDescent="0.25">
      <c r="A960" s="60">
        <v>959</v>
      </c>
      <c r="B960" s="61">
        <v>45394</v>
      </c>
      <c r="C960" s="60" t="s">
        <v>25</v>
      </c>
    </row>
    <row r="961" spans="1:3" x14ac:dyDescent="0.25">
      <c r="A961" s="60">
        <v>960</v>
      </c>
      <c r="B961" s="61">
        <v>45397</v>
      </c>
      <c r="C961" s="60" t="s">
        <v>26</v>
      </c>
    </row>
    <row r="962" spans="1:3" x14ac:dyDescent="0.25">
      <c r="A962" s="60">
        <v>961</v>
      </c>
      <c r="B962" s="61">
        <v>45398</v>
      </c>
      <c r="C962" s="60" t="s">
        <v>27</v>
      </c>
    </row>
    <row r="963" spans="1:3" x14ac:dyDescent="0.25">
      <c r="A963" s="60">
        <v>962</v>
      </c>
      <c r="B963" s="61">
        <v>45399</v>
      </c>
      <c r="C963" s="60" t="s">
        <v>28</v>
      </c>
    </row>
    <row r="964" spans="1:3" x14ac:dyDescent="0.25">
      <c r="A964" s="60">
        <v>963</v>
      </c>
      <c r="B964" s="61">
        <v>45400</v>
      </c>
      <c r="C964" s="60" t="s">
        <v>29</v>
      </c>
    </row>
    <row r="965" spans="1:3" x14ac:dyDescent="0.25">
      <c r="A965" s="60">
        <v>964</v>
      </c>
      <c r="B965" s="61">
        <v>45401</v>
      </c>
      <c r="C965" s="60" t="s">
        <v>25</v>
      </c>
    </row>
    <row r="966" spans="1:3" x14ac:dyDescent="0.25">
      <c r="A966" s="60">
        <v>965</v>
      </c>
      <c r="B966" s="61">
        <v>45404</v>
      </c>
      <c r="C966" s="60" t="s">
        <v>26</v>
      </c>
    </row>
    <row r="967" spans="1:3" x14ac:dyDescent="0.25">
      <c r="A967" s="60">
        <v>966</v>
      </c>
      <c r="B967" s="61">
        <v>45405</v>
      </c>
      <c r="C967" s="60" t="s">
        <v>27</v>
      </c>
    </row>
    <row r="968" spans="1:3" x14ac:dyDescent="0.25">
      <c r="A968" s="60">
        <v>967</v>
      </c>
      <c r="B968" s="61">
        <v>45406</v>
      </c>
      <c r="C968" s="60" t="s">
        <v>28</v>
      </c>
    </row>
    <row r="969" spans="1:3" x14ac:dyDescent="0.25">
      <c r="A969" s="60">
        <v>968</v>
      </c>
      <c r="B969" s="61">
        <v>45407</v>
      </c>
      <c r="C969" s="60" t="s">
        <v>29</v>
      </c>
    </row>
    <row r="970" spans="1:3" x14ac:dyDescent="0.25">
      <c r="A970" s="60">
        <v>969</v>
      </c>
      <c r="B970" s="61">
        <v>45408</v>
      </c>
      <c r="C970" s="60" t="s">
        <v>25</v>
      </c>
    </row>
    <row r="971" spans="1:3" x14ac:dyDescent="0.25">
      <c r="A971" s="60">
        <v>970</v>
      </c>
      <c r="B971" s="61">
        <v>45411</v>
      </c>
      <c r="C971" s="60" t="s">
        <v>26</v>
      </c>
    </row>
    <row r="972" spans="1:3" x14ac:dyDescent="0.25">
      <c r="A972" s="60">
        <v>971</v>
      </c>
      <c r="B972" s="61">
        <v>45412</v>
      </c>
      <c r="C972" s="60" t="s">
        <v>27</v>
      </c>
    </row>
    <row r="973" spans="1:3" x14ac:dyDescent="0.25">
      <c r="A973" s="60">
        <v>972</v>
      </c>
      <c r="B973" s="61">
        <v>45413</v>
      </c>
      <c r="C973" s="60" t="s">
        <v>28</v>
      </c>
    </row>
    <row r="974" spans="1:3" x14ac:dyDescent="0.25">
      <c r="A974" s="60">
        <v>973</v>
      </c>
      <c r="B974" s="61">
        <v>45414</v>
      </c>
      <c r="C974" s="60" t="s">
        <v>29</v>
      </c>
    </row>
    <row r="975" spans="1:3" x14ac:dyDescent="0.25">
      <c r="A975" s="60">
        <v>974</v>
      </c>
      <c r="B975" s="61">
        <v>45415</v>
      </c>
      <c r="C975" s="60" t="s">
        <v>25</v>
      </c>
    </row>
    <row r="976" spans="1:3" x14ac:dyDescent="0.25">
      <c r="A976" s="60">
        <v>975</v>
      </c>
      <c r="B976" s="61">
        <v>45418</v>
      </c>
      <c r="C976" s="60" t="s">
        <v>26</v>
      </c>
    </row>
    <row r="977" spans="1:3" x14ac:dyDescent="0.25">
      <c r="A977" s="60">
        <v>976</v>
      </c>
      <c r="B977" s="61">
        <v>45419</v>
      </c>
      <c r="C977" s="60" t="s">
        <v>27</v>
      </c>
    </row>
    <row r="978" spans="1:3" x14ac:dyDescent="0.25">
      <c r="A978" s="60">
        <v>977</v>
      </c>
      <c r="B978" s="61">
        <v>45420</v>
      </c>
      <c r="C978" s="60" t="s">
        <v>28</v>
      </c>
    </row>
    <row r="979" spans="1:3" x14ac:dyDescent="0.25">
      <c r="A979" s="60">
        <v>978</v>
      </c>
      <c r="B979" s="61">
        <v>45421</v>
      </c>
      <c r="C979" s="60" t="s">
        <v>29</v>
      </c>
    </row>
    <row r="980" spans="1:3" x14ac:dyDescent="0.25">
      <c r="A980" s="60">
        <v>979</v>
      </c>
      <c r="B980" s="61">
        <v>45422</v>
      </c>
      <c r="C980" s="60" t="s">
        <v>25</v>
      </c>
    </row>
    <row r="981" spans="1:3" x14ac:dyDescent="0.25">
      <c r="A981" s="60">
        <v>980</v>
      </c>
      <c r="B981" s="61">
        <v>45425</v>
      </c>
      <c r="C981" s="60" t="s">
        <v>26</v>
      </c>
    </row>
    <row r="982" spans="1:3" x14ac:dyDescent="0.25">
      <c r="A982" s="60">
        <v>981</v>
      </c>
      <c r="B982" s="61">
        <v>45426</v>
      </c>
      <c r="C982" s="60" t="s">
        <v>27</v>
      </c>
    </row>
    <row r="983" spans="1:3" x14ac:dyDescent="0.25">
      <c r="A983" s="60">
        <v>982</v>
      </c>
      <c r="B983" s="61">
        <v>45427</v>
      </c>
      <c r="C983" s="60" t="s">
        <v>28</v>
      </c>
    </row>
    <row r="984" spans="1:3" x14ac:dyDescent="0.25">
      <c r="A984" s="60">
        <v>983</v>
      </c>
      <c r="B984" s="61">
        <v>45428</v>
      </c>
      <c r="C984" s="60" t="s">
        <v>29</v>
      </c>
    </row>
    <row r="985" spans="1:3" x14ac:dyDescent="0.25">
      <c r="A985" s="60">
        <v>984</v>
      </c>
      <c r="B985" s="61">
        <v>45429</v>
      </c>
      <c r="C985" s="60" t="s">
        <v>25</v>
      </c>
    </row>
    <row r="986" spans="1:3" x14ac:dyDescent="0.25">
      <c r="A986" s="60">
        <v>985</v>
      </c>
      <c r="B986" s="61">
        <v>45432</v>
      </c>
      <c r="C986" s="60" t="s">
        <v>26</v>
      </c>
    </row>
    <row r="987" spans="1:3" x14ac:dyDescent="0.25">
      <c r="A987" s="60">
        <v>986</v>
      </c>
      <c r="B987" s="61">
        <v>45433</v>
      </c>
      <c r="C987" s="60" t="s">
        <v>27</v>
      </c>
    </row>
    <row r="988" spans="1:3" x14ac:dyDescent="0.25">
      <c r="A988" s="60">
        <v>987</v>
      </c>
      <c r="B988" s="61">
        <v>45434</v>
      </c>
      <c r="C988" s="60" t="s">
        <v>28</v>
      </c>
    </row>
    <row r="989" spans="1:3" x14ac:dyDescent="0.25">
      <c r="A989" s="60">
        <v>988</v>
      </c>
      <c r="B989" s="61">
        <v>45435</v>
      </c>
      <c r="C989" s="60" t="s">
        <v>29</v>
      </c>
    </row>
    <row r="990" spans="1:3" x14ac:dyDescent="0.25">
      <c r="A990" s="60">
        <v>989</v>
      </c>
      <c r="B990" s="61">
        <v>45436</v>
      </c>
      <c r="C990" s="60" t="s">
        <v>25</v>
      </c>
    </row>
    <row r="991" spans="1:3" x14ac:dyDescent="0.25">
      <c r="A991" s="60">
        <v>990</v>
      </c>
      <c r="B991" s="61">
        <v>45439</v>
      </c>
      <c r="C991" s="60" t="s">
        <v>26</v>
      </c>
    </row>
    <row r="992" spans="1:3" x14ac:dyDescent="0.25">
      <c r="A992" s="60">
        <v>991</v>
      </c>
      <c r="B992" s="61">
        <v>45440</v>
      </c>
      <c r="C992" s="60" t="s">
        <v>27</v>
      </c>
    </row>
    <row r="993" spans="1:3" x14ac:dyDescent="0.25">
      <c r="A993" s="60">
        <v>992</v>
      </c>
      <c r="B993" s="61">
        <v>45441</v>
      </c>
      <c r="C993" s="60" t="s">
        <v>28</v>
      </c>
    </row>
    <row r="994" spans="1:3" x14ac:dyDescent="0.25">
      <c r="A994" s="60">
        <v>993</v>
      </c>
      <c r="B994" s="61">
        <v>45442</v>
      </c>
      <c r="C994" s="60" t="s">
        <v>29</v>
      </c>
    </row>
    <row r="995" spans="1:3" x14ac:dyDescent="0.25">
      <c r="A995" s="60">
        <v>994</v>
      </c>
      <c r="B995" s="61">
        <v>45443</v>
      </c>
      <c r="C995" s="60" t="s">
        <v>25</v>
      </c>
    </row>
    <row r="996" spans="1:3" x14ac:dyDescent="0.25">
      <c r="A996" s="60">
        <v>995</v>
      </c>
      <c r="B996" s="61">
        <v>45446</v>
      </c>
      <c r="C996" s="60" t="s">
        <v>26</v>
      </c>
    </row>
    <row r="997" spans="1:3" x14ac:dyDescent="0.25">
      <c r="A997" s="60">
        <v>996</v>
      </c>
      <c r="B997" s="61">
        <v>45447</v>
      </c>
      <c r="C997" s="60" t="s">
        <v>27</v>
      </c>
    </row>
    <row r="998" spans="1:3" x14ac:dyDescent="0.25">
      <c r="A998" s="60">
        <v>997</v>
      </c>
      <c r="B998" s="61">
        <v>45448</v>
      </c>
      <c r="C998" s="60" t="s">
        <v>28</v>
      </c>
    </row>
    <row r="999" spans="1:3" x14ac:dyDescent="0.25">
      <c r="A999" s="60">
        <v>998</v>
      </c>
      <c r="B999" s="61">
        <v>45449</v>
      </c>
      <c r="C999" s="60" t="s">
        <v>29</v>
      </c>
    </row>
    <row r="1000" spans="1:3" x14ac:dyDescent="0.25">
      <c r="A1000" s="60">
        <v>999</v>
      </c>
      <c r="B1000" s="61">
        <v>45450</v>
      </c>
      <c r="C1000" s="60" t="s">
        <v>25</v>
      </c>
    </row>
    <row r="1001" spans="1:3" x14ac:dyDescent="0.25">
      <c r="A1001" s="60">
        <v>1000</v>
      </c>
      <c r="B1001" s="61">
        <v>45453</v>
      </c>
      <c r="C1001" s="60" t="s">
        <v>26</v>
      </c>
    </row>
    <row r="1002" spans="1:3" x14ac:dyDescent="0.25">
      <c r="A1002" s="60">
        <v>1001</v>
      </c>
      <c r="B1002" s="61">
        <v>45454</v>
      </c>
      <c r="C1002" s="60" t="s">
        <v>27</v>
      </c>
    </row>
    <row r="1003" spans="1:3" x14ac:dyDescent="0.25">
      <c r="A1003" s="60">
        <v>1002</v>
      </c>
      <c r="B1003" s="61">
        <v>45455</v>
      </c>
      <c r="C1003" s="60" t="s">
        <v>28</v>
      </c>
    </row>
    <row r="1004" spans="1:3" x14ac:dyDescent="0.25">
      <c r="A1004" s="60">
        <v>1003</v>
      </c>
      <c r="B1004" s="61">
        <v>45456</v>
      </c>
      <c r="C1004" s="60" t="s">
        <v>29</v>
      </c>
    </row>
    <row r="1005" spans="1:3" x14ac:dyDescent="0.25">
      <c r="A1005" s="60">
        <v>1004</v>
      </c>
      <c r="B1005" s="61">
        <v>45457</v>
      </c>
      <c r="C1005" s="60" t="s">
        <v>25</v>
      </c>
    </row>
    <row r="1006" spans="1:3" x14ac:dyDescent="0.25">
      <c r="A1006" s="60">
        <v>1005</v>
      </c>
      <c r="B1006" s="61">
        <v>45460</v>
      </c>
      <c r="C1006" s="60" t="s">
        <v>26</v>
      </c>
    </row>
    <row r="1007" spans="1:3" x14ac:dyDescent="0.25">
      <c r="A1007" s="60">
        <v>1006</v>
      </c>
      <c r="B1007" s="61">
        <v>45461</v>
      </c>
      <c r="C1007" s="60" t="s">
        <v>27</v>
      </c>
    </row>
    <row r="1008" spans="1:3" x14ac:dyDescent="0.25">
      <c r="A1008" s="60">
        <v>1007</v>
      </c>
      <c r="B1008" s="61">
        <v>45462</v>
      </c>
      <c r="C1008" s="60" t="s">
        <v>28</v>
      </c>
    </row>
    <row r="1009" spans="1:3" x14ac:dyDescent="0.25">
      <c r="A1009" s="60">
        <v>1008</v>
      </c>
      <c r="B1009" s="61">
        <v>45463</v>
      </c>
      <c r="C1009" s="60" t="s">
        <v>29</v>
      </c>
    </row>
    <row r="1010" spans="1:3" x14ac:dyDescent="0.25">
      <c r="A1010" s="60">
        <v>1009</v>
      </c>
      <c r="B1010" s="61">
        <v>45464</v>
      </c>
      <c r="C1010" s="60" t="s">
        <v>25</v>
      </c>
    </row>
    <row r="1011" spans="1:3" x14ac:dyDescent="0.25">
      <c r="A1011" s="60">
        <v>1010</v>
      </c>
      <c r="B1011" s="61">
        <v>45467</v>
      </c>
      <c r="C1011" s="60" t="s">
        <v>26</v>
      </c>
    </row>
    <row r="1012" spans="1:3" x14ac:dyDescent="0.25">
      <c r="A1012" s="60">
        <v>1011</v>
      </c>
      <c r="B1012" s="61">
        <v>45468</v>
      </c>
      <c r="C1012" s="60" t="s">
        <v>27</v>
      </c>
    </row>
    <row r="1013" spans="1:3" x14ac:dyDescent="0.25">
      <c r="A1013" s="60">
        <v>1012</v>
      </c>
      <c r="B1013" s="61">
        <v>45469</v>
      </c>
      <c r="C1013" s="60" t="s">
        <v>28</v>
      </c>
    </row>
    <row r="1014" spans="1:3" x14ac:dyDescent="0.25">
      <c r="A1014" s="60">
        <v>1013</v>
      </c>
      <c r="B1014" s="61">
        <v>45470</v>
      </c>
      <c r="C1014" s="60" t="s">
        <v>29</v>
      </c>
    </row>
    <row r="1015" spans="1:3" x14ac:dyDescent="0.25">
      <c r="A1015" s="60">
        <v>1014</v>
      </c>
      <c r="B1015" s="61">
        <v>45471</v>
      </c>
      <c r="C1015" s="60" t="s">
        <v>25</v>
      </c>
    </row>
    <row r="1016" spans="1:3" x14ac:dyDescent="0.25">
      <c r="A1016" s="60">
        <v>1015</v>
      </c>
      <c r="B1016" s="61">
        <v>45474</v>
      </c>
      <c r="C1016" s="60" t="s">
        <v>26</v>
      </c>
    </row>
    <row r="1017" spans="1:3" x14ac:dyDescent="0.25">
      <c r="A1017" s="60">
        <v>1016</v>
      </c>
      <c r="B1017" s="61">
        <v>45475</v>
      </c>
      <c r="C1017" s="60" t="s">
        <v>27</v>
      </c>
    </row>
    <row r="1018" spans="1:3" x14ac:dyDescent="0.25">
      <c r="A1018" s="60">
        <v>1017</v>
      </c>
      <c r="B1018" s="61">
        <v>45476</v>
      </c>
      <c r="C1018" s="60" t="s">
        <v>28</v>
      </c>
    </row>
    <row r="1019" spans="1:3" x14ac:dyDescent="0.25">
      <c r="A1019" s="60">
        <v>1018</v>
      </c>
      <c r="B1019" s="61">
        <v>45477</v>
      </c>
      <c r="C1019" s="60" t="s">
        <v>29</v>
      </c>
    </row>
    <row r="1020" spans="1:3" x14ac:dyDescent="0.25">
      <c r="A1020" s="60">
        <v>1019</v>
      </c>
      <c r="B1020" s="61">
        <v>45478</v>
      </c>
      <c r="C1020" s="60" t="s">
        <v>25</v>
      </c>
    </row>
    <row r="1021" spans="1:3" x14ac:dyDescent="0.25">
      <c r="A1021" s="60">
        <v>1020</v>
      </c>
      <c r="B1021" s="61">
        <v>45481</v>
      </c>
      <c r="C1021" s="60" t="s">
        <v>26</v>
      </c>
    </row>
    <row r="1022" spans="1:3" x14ac:dyDescent="0.25">
      <c r="A1022" s="60">
        <v>1021</v>
      </c>
      <c r="B1022" s="61">
        <v>45482</v>
      </c>
      <c r="C1022" s="60" t="s">
        <v>27</v>
      </c>
    </row>
    <row r="1023" spans="1:3" x14ac:dyDescent="0.25">
      <c r="A1023" s="60">
        <v>1022</v>
      </c>
      <c r="B1023" s="61">
        <v>45483</v>
      </c>
      <c r="C1023" s="60" t="s">
        <v>28</v>
      </c>
    </row>
    <row r="1024" spans="1:3" x14ac:dyDescent="0.25">
      <c r="A1024" s="60">
        <v>1023</v>
      </c>
      <c r="B1024" s="61">
        <v>45484</v>
      </c>
      <c r="C1024" s="60" t="s">
        <v>29</v>
      </c>
    </row>
    <row r="1025" spans="1:3" x14ac:dyDescent="0.25">
      <c r="A1025" s="60">
        <v>1024</v>
      </c>
      <c r="B1025" s="61">
        <v>45485</v>
      </c>
      <c r="C1025" s="60" t="s">
        <v>25</v>
      </c>
    </row>
    <row r="1026" spans="1:3" x14ac:dyDescent="0.25">
      <c r="A1026" s="60">
        <v>1025</v>
      </c>
      <c r="B1026" s="61">
        <v>45488</v>
      </c>
      <c r="C1026" s="60" t="s">
        <v>26</v>
      </c>
    </row>
    <row r="1027" spans="1:3" x14ac:dyDescent="0.25">
      <c r="A1027" s="60">
        <v>1026</v>
      </c>
      <c r="B1027" s="61">
        <v>45489</v>
      </c>
      <c r="C1027" s="60" t="s">
        <v>27</v>
      </c>
    </row>
    <row r="1028" spans="1:3" x14ac:dyDescent="0.25">
      <c r="A1028" s="60">
        <v>1027</v>
      </c>
      <c r="B1028" s="61">
        <v>45490</v>
      </c>
      <c r="C1028" s="60" t="s">
        <v>28</v>
      </c>
    </row>
    <row r="1029" spans="1:3" x14ac:dyDescent="0.25">
      <c r="A1029" s="60">
        <v>1028</v>
      </c>
      <c r="B1029" s="61">
        <v>45491</v>
      </c>
      <c r="C1029" s="60" t="s">
        <v>29</v>
      </c>
    </row>
    <row r="1030" spans="1:3" x14ac:dyDescent="0.25">
      <c r="A1030" s="60">
        <v>1029</v>
      </c>
      <c r="B1030" s="61">
        <v>45492</v>
      </c>
      <c r="C1030" s="60" t="s">
        <v>25</v>
      </c>
    </row>
    <row r="1031" spans="1:3" x14ac:dyDescent="0.25">
      <c r="A1031" s="60">
        <v>1030</v>
      </c>
      <c r="B1031" s="61">
        <v>45495</v>
      </c>
      <c r="C1031" s="60" t="s">
        <v>26</v>
      </c>
    </row>
    <row r="1032" spans="1:3" x14ac:dyDescent="0.25">
      <c r="A1032" s="60">
        <v>1031</v>
      </c>
      <c r="B1032" s="61">
        <v>45496</v>
      </c>
      <c r="C1032" s="60" t="s">
        <v>27</v>
      </c>
    </row>
    <row r="1033" spans="1:3" x14ac:dyDescent="0.25">
      <c r="A1033" s="60">
        <v>1032</v>
      </c>
      <c r="B1033" s="61">
        <v>45497</v>
      </c>
      <c r="C1033" s="60" t="s">
        <v>28</v>
      </c>
    </row>
    <row r="1034" spans="1:3" x14ac:dyDescent="0.25">
      <c r="A1034" s="60">
        <v>1033</v>
      </c>
      <c r="B1034" s="61">
        <v>45498</v>
      </c>
      <c r="C1034" s="60" t="s">
        <v>29</v>
      </c>
    </row>
    <row r="1035" spans="1:3" x14ac:dyDescent="0.25">
      <c r="A1035" s="60">
        <v>1034</v>
      </c>
      <c r="B1035" s="61">
        <v>45499</v>
      </c>
      <c r="C1035" s="60" t="s">
        <v>25</v>
      </c>
    </row>
    <row r="1036" spans="1:3" x14ac:dyDescent="0.25">
      <c r="A1036" s="60">
        <v>1035</v>
      </c>
      <c r="B1036" s="61">
        <v>45502</v>
      </c>
      <c r="C1036" s="60" t="s">
        <v>26</v>
      </c>
    </row>
    <row r="1037" spans="1:3" x14ac:dyDescent="0.25">
      <c r="A1037" s="60">
        <v>1036</v>
      </c>
      <c r="B1037" s="61">
        <v>45503</v>
      </c>
      <c r="C1037" s="60" t="s">
        <v>27</v>
      </c>
    </row>
    <row r="1038" spans="1:3" x14ac:dyDescent="0.25">
      <c r="A1038" s="60">
        <v>1037</v>
      </c>
      <c r="B1038" s="61">
        <v>45504</v>
      </c>
      <c r="C1038" s="60" t="s">
        <v>28</v>
      </c>
    </row>
    <row r="1039" spans="1:3" x14ac:dyDescent="0.25">
      <c r="A1039" s="60">
        <v>1038</v>
      </c>
      <c r="B1039" s="61">
        <v>45505</v>
      </c>
      <c r="C1039" s="60" t="s">
        <v>29</v>
      </c>
    </row>
    <row r="1040" spans="1:3" x14ac:dyDescent="0.25">
      <c r="A1040" s="60">
        <v>1039</v>
      </c>
      <c r="B1040" s="61">
        <v>45506</v>
      </c>
      <c r="C1040" s="60" t="s">
        <v>25</v>
      </c>
    </row>
    <row r="1041" spans="1:3" x14ac:dyDescent="0.25">
      <c r="A1041" s="60">
        <v>1040</v>
      </c>
      <c r="B1041" s="61">
        <v>45509</v>
      </c>
      <c r="C1041" s="60" t="s">
        <v>26</v>
      </c>
    </row>
    <row r="1042" spans="1:3" x14ac:dyDescent="0.25">
      <c r="A1042" s="60">
        <v>1041</v>
      </c>
      <c r="B1042" s="61">
        <v>45510</v>
      </c>
      <c r="C1042" s="60" t="s">
        <v>27</v>
      </c>
    </row>
    <row r="1043" spans="1:3" x14ac:dyDescent="0.25">
      <c r="A1043" s="60">
        <v>1042</v>
      </c>
      <c r="B1043" s="61">
        <v>45511</v>
      </c>
      <c r="C1043" s="60" t="s">
        <v>28</v>
      </c>
    </row>
    <row r="1044" spans="1:3" x14ac:dyDescent="0.25">
      <c r="A1044" s="60">
        <v>1043</v>
      </c>
      <c r="B1044" s="61">
        <v>45512</v>
      </c>
      <c r="C1044" s="60" t="s">
        <v>29</v>
      </c>
    </row>
    <row r="1045" spans="1:3" x14ac:dyDescent="0.25">
      <c r="A1045" s="60">
        <v>1044</v>
      </c>
      <c r="B1045" s="61">
        <v>45513</v>
      </c>
      <c r="C1045" s="60" t="s">
        <v>25</v>
      </c>
    </row>
    <row r="1046" spans="1:3" x14ac:dyDescent="0.25">
      <c r="A1046" s="60">
        <v>1045</v>
      </c>
      <c r="B1046" s="61">
        <v>45516</v>
      </c>
      <c r="C1046" s="60" t="s">
        <v>26</v>
      </c>
    </row>
    <row r="1047" spans="1:3" x14ac:dyDescent="0.25">
      <c r="A1047" s="60">
        <v>1046</v>
      </c>
      <c r="B1047" s="61">
        <v>45517</v>
      </c>
      <c r="C1047" s="60" t="s">
        <v>27</v>
      </c>
    </row>
    <row r="1048" spans="1:3" x14ac:dyDescent="0.25">
      <c r="A1048" s="60">
        <v>1047</v>
      </c>
      <c r="B1048" s="61">
        <v>45518</v>
      </c>
      <c r="C1048" s="60" t="s">
        <v>28</v>
      </c>
    </row>
    <row r="1049" spans="1:3" x14ac:dyDescent="0.25">
      <c r="A1049" s="60">
        <v>1048</v>
      </c>
      <c r="B1049" s="61">
        <v>45519</v>
      </c>
      <c r="C1049" s="60" t="s">
        <v>29</v>
      </c>
    </row>
    <row r="1050" spans="1:3" x14ac:dyDescent="0.25">
      <c r="A1050" s="60">
        <v>1049</v>
      </c>
      <c r="B1050" s="61">
        <v>45520</v>
      </c>
      <c r="C1050" s="60" t="s">
        <v>25</v>
      </c>
    </row>
    <row r="1051" spans="1:3" x14ac:dyDescent="0.25">
      <c r="A1051" s="60">
        <v>1050</v>
      </c>
      <c r="B1051" s="61">
        <v>45523</v>
      </c>
      <c r="C1051" s="60" t="s">
        <v>26</v>
      </c>
    </row>
    <row r="1052" spans="1:3" x14ac:dyDescent="0.25">
      <c r="A1052" s="60">
        <v>1051</v>
      </c>
      <c r="B1052" s="61">
        <v>45524</v>
      </c>
      <c r="C1052" s="60" t="s">
        <v>27</v>
      </c>
    </row>
    <row r="1053" spans="1:3" x14ac:dyDescent="0.25">
      <c r="A1053" s="60">
        <v>1052</v>
      </c>
      <c r="B1053" s="61">
        <v>45525</v>
      </c>
      <c r="C1053" s="60" t="s">
        <v>28</v>
      </c>
    </row>
    <row r="1054" spans="1:3" x14ac:dyDescent="0.25">
      <c r="A1054" s="60">
        <v>1053</v>
      </c>
      <c r="B1054" s="61">
        <v>45526</v>
      </c>
      <c r="C1054" s="60" t="s">
        <v>29</v>
      </c>
    </row>
    <row r="1055" spans="1:3" x14ac:dyDescent="0.25">
      <c r="A1055" s="60">
        <v>1054</v>
      </c>
      <c r="B1055" s="61">
        <v>45527</v>
      </c>
      <c r="C1055" s="60" t="s">
        <v>25</v>
      </c>
    </row>
    <row r="1056" spans="1:3" x14ac:dyDescent="0.25">
      <c r="A1056" s="60">
        <v>1055</v>
      </c>
      <c r="B1056" s="61">
        <v>45530</v>
      </c>
      <c r="C1056" s="60" t="s">
        <v>26</v>
      </c>
    </row>
    <row r="1057" spans="1:3" x14ac:dyDescent="0.25">
      <c r="A1057" s="60">
        <v>1056</v>
      </c>
      <c r="B1057" s="61">
        <v>45531</v>
      </c>
      <c r="C1057" s="60" t="s">
        <v>27</v>
      </c>
    </row>
    <row r="1058" spans="1:3" x14ac:dyDescent="0.25">
      <c r="A1058" s="60">
        <v>1057</v>
      </c>
      <c r="B1058" s="61">
        <v>45532</v>
      </c>
      <c r="C1058" s="60" t="s">
        <v>28</v>
      </c>
    </row>
    <row r="1059" spans="1:3" x14ac:dyDescent="0.25">
      <c r="A1059" s="60">
        <v>1058</v>
      </c>
      <c r="B1059" s="61">
        <v>45533</v>
      </c>
      <c r="C1059" s="60" t="s">
        <v>29</v>
      </c>
    </row>
    <row r="1060" spans="1:3" x14ac:dyDescent="0.25">
      <c r="A1060" s="60">
        <v>1059</v>
      </c>
      <c r="B1060" s="61">
        <v>45534</v>
      </c>
      <c r="C1060" s="60" t="s">
        <v>25</v>
      </c>
    </row>
    <row r="1061" spans="1:3" x14ac:dyDescent="0.25">
      <c r="A1061" s="60">
        <v>1060</v>
      </c>
      <c r="B1061" s="61">
        <v>45537</v>
      </c>
      <c r="C1061" s="60" t="s">
        <v>26</v>
      </c>
    </row>
    <row r="1062" spans="1:3" x14ac:dyDescent="0.25">
      <c r="A1062" s="60">
        <v>1061</v>
      </c>
      <c r="B1062" s="61">
        <v>45538</v>
      </c>
      <c r="C1062" s="60" t="s">
        <v>27</v>
      </c>
    </row>
    <row r="1063" spans="1:3" x14ac:dyDescent="0.25">
      <c r="A1063" s="60">
        <v>1062</v>
      </c>
      <c r="B1063" s="61">
        <v>45539</v>
      </c>
      <c r="C1063" s="60" t="s">
        <v>28</v>
      </c>
    </row>
    <row r="1064" spans="1:3" x14ac:dyDescent="0.25">
      <c r="A1064" s="60">
        <v>1063</v>
      </c>
      <c r="B1064" s="61">
        <v>45540</v>
      </c>
      <c r="C1064" s="60" t="s">
        <v>29</v>
      </c>
    </row>
    <row r="1065" spans="1:3" x14ac:dyDescent="0.25">
      <c r="A1065" s="60">
        <v>1064</v>
      </c>
      <c r="B1065" s="61">
        <v>45541</v>
      </c>
      <c r="C1065" s="60" t="s">
        <v>25</v>
      </c>
    </row>
    <row r="1066" spans="1:3" x14ac:dyDescent="0.25">
      <c r="A1066" s="60">
        <v>1065</v>
      </c>
      <c r="B1066" s="61">
        <v>45544</v>
      </c>
      <c r="C1066" s="60" t="s">
        <v>26</v>
      </c>
    </row>
    <row r="1067" spans="1:3" x14ac:dyDescent="0.25">
      <c r="A1067" s="60">
        <v>1066</v>
      </c>
      <c r="B1067" s="61">
        <v>45545</v>
      </c>
      <c r="C1067" s="60" t="s">
        <v>27</v>
      </c>
    </row>
    <row r="1068" spans="1:3" x14ac:dyDescent="0.25">
      <c r="A1068" s="60">
        <v>1067</v>
      </c>
      <c r="B1068" s="61">
        <v>45546</v>
      </c>
      <c r="C1068" s="60" t="s">
        <v>28</v>
      </c>
    </row>
    <row r="1069" spans="1:3" x14ac:dyDescent="0.25">
      <c r="A1069" s="60">
        <v>1068</v>
      </c>
      <c r="B1069" s="61">
        <v>45547</v>
      </c>
      <c r="C1069" s="60" t="s">
        <v>29</v>
      </c>
    </row>
    <row r="1070" spans="1:3" x14ac:dyDescent="0.25">
      <c r="A1070" s="60">
        <v>1069</v>
      </c>
      <c r="B1070" s="61">
        <v>45548</v>
      </c>
      <c r="C1070" s="60" t="s">
        <v>25</v>
      </c>
    </row>
    <row r="1071" spans="1:3" x14ac:dyDescent="0.25">
      <c r="A1071" s="60">
        <v>1070</v>
      </c>
      <c r="B1071" s="61">
        <v>45551</v>
      </c>
      <c r="C1071" s="60" t="s">
        <v>26</v>
      </c>
    </row>
    <row r="1072" spans="1:3" x14ac:dyDescent="0.25">
      <c r="A1072" s="60">
        <v>1071</v>
      </c>
      <c r="B1072" s="61">
        <v>45552</v>
      </c>
      <c r="C1072" s="60" t="s">
        <v>27</v>
      </c>
    </row>
    <row r="1073" spans="1:3" x14ac:dyDescent="0.25">
      <c r="A1073" s="60">
        <v>1072</v>
      </c>
      <c r="B1073" s="61">
        <v>45553</v>
      </c>
      <c r="C1073" s="60" t="s">
        <v>28</v>
      </c>
    </row>
    <row r="1074" spans="1:3" x14ac:dyDescent="0.25">
      <c r="A1074" s="60">
        <v>1073</v>
      </c>
      <c r="B1074" s="61">
        <v>45554</v>
      </c>
      <c r="C1074" s="60" t="s">
        <v>29</v>
      </c>
    </row>
    <row r="1075" spans="1:3" x14ac:dyDescent="0.25">
      <c r="A1075" s="60">
        <v>1074</v>
      </c>
      <c r="B1075" s="61">
        <v>45555</v>
      </c>
      <c r="C1075" s="60" t="s">
        <v>25</v>
      </c>
    </row>
    <row r="1076" spans="1:3" x14ac:dyDescent="0.25">
      <c r="A1076" s="60">
        <v>1075</v>
      </c>
      <c r="B1076" s="61">
        <v>45558</v>
      </c>
      <c r="C1076" s="60" t="s">
        <v>26</v>
      </c>
    </row>
    <row r="1077" spans="1:3" x14ac:dyDescent="0.25">
      <c r="A1077" s="60">
        <v>1076</v>
      </c>
      <c r="B1077" s="61">
        <v>45559</v>
      </c>
      <c r="C1077" s="60" t="s">
        <v>27</v>
      </c>
    </row>
    <row r="1078" spans="1:3" x14ac:dyDescent="0.25">
      <c r="A1078" s="60">
        <v>1077</v>
      </c>
      <c r="B1078" s="61">
        <v>45560</v>
      </c>
      <c r="C1078" s="60" t="s">
        <v>28</v>
      </c>
    </row>
    <row r="1079" spans="1:3" x14ac:dyDescent="0.25">
      <c r="A1079" s="60">
        <v>1078</v>
      </c>
      <c r="B1079" s="61">
        <v>45561</v>
      </c>
      <c r="C1079" s="60" t="s">
        <v>29</v>
      </c>
    </row>
    <row r="1080" spans="1:3" x14ac:dyDescent="0.25">
      <c r="A1080" s="60">
        <v>1079</v>
      </c>
      <c r="B1080" s="61">
        <v>45562</v>
      </c>
      <c r="C1080" s="60" t="s">
        <v>25</v>
      </c>
    </row>
    <row r="1081" spans="1:3" x14ac:dyDescent="0.25">
      <c r="A1081" s="60">
        <v>1080</v>
      </c>
      <c r="B1081" s="61">
        <v>45565</v>
      </c>
      <c r="C1081" s="60" t="s">
        <v>26</v>
      </c>
    </row>
    <row r="1082" spans="1:3" x14ac:dyDescent="0.25">
      <c r="A1082" s="60">
        <v>1081</v>
      </c>
      <c r="B1082" s="61">
        <v>45566</v>
      </c>
      <c r="C1082" s="60" t="s">
        <v>27</v>
      </c>
    </row>
    <row r="1083" spans="1:3" x14ac:dyDescent="0.25">
      <c r="A1083" s="60">
        <v>1082</v>
      </c>
      <c r="B1083" s="61">
        <v>45567</v>
      </c>
      <c r="C1083" s="60" t="s">
        <v>28</v>
      </c>
    </row>
    <row r="1084" spans="1:3" x14ac:dyDescent="0.25">
      <c r="A1084" s="60">
        <v>1083</v>
      </c>
      <c r="B1084" s="61">
        <v>45568</v>
      </c>
      <c r="C1084" s="60" t="s">
        <v>29</v>
      </c>
    </row>
    <row r="1085" spans="1:3" x14ac:dyDescent="0.25">
      <c r="A1085" s="60">
        <v>1084</v>
      </c>
      <c r="B1085" s="61">
        <v>45569</v>
      </c>
      <c r="C1085" s="60" t="s">
        <v>25</v>
      </c>
    </row>
    <row r="1086" spans="1:3" x14ac:dyDescent="0.25">
      <c r="A1086" s="60">
        <v>1085</v>
      </c>
      <c r="B1086" s="61">
        <v>45572</v>
      </c>
      <c r="C1086" s="60" t="s">
        <v>26</v>
      </c>
    </row>
    <row r="1087" spans="1:3" x14ac:dyDescent="0.25">
      <c r="A1087" s="60">
        <v>1086</v>
      </c>
      <c r="B1087" s="61">
        <v>45573</v>
      </c>
      <c r="C1087" s="60" t="s">
        <v>27</v>
      </c>
    </row>
    <row r="1088" spans="1:3" x14ac:dyDescent="0.25">
      <c r="A1088" s="60">
        <v>1087</v>
      </c>
      <c r="B1088" s="61">
        <v>45574</v>
      </c>
      <c r="C1088" s="60" t="s">
        <v>28</v>
      </c>
    </row>
    <row r="1089" spans="1:3" x14ac:dyDescent="0.25">
      <c r="A1089" s="60">
        <v>1088</v>
      </c>
      <c r="B1089" s="61">
        <v>45575</v>
      </c>
      <c r="C1089" s="60" t="s">
        <v>29</v>
      </c>
    </row>
    <row r="1090" spans="1:3" x14ac:dyDescent="0.25">
      <c r="A1090" s="60">
        <v>1089</v>
      </c>
      <c r="B1090" s="61">
        <v>45576</v>
      </c>
      <c r="C1090" s="60" t="s">
        <v>25</v>
      </c>
    </row>
    <row r="1091" spans="1:3" x14ac:dyDescent="0.25">
      <c r="A1091" s="60">
        <v>1090</v>
      </c>
      <c r="B1091" s="61">
        <v>45579</v>
      </c>
      <c r="C1091" s="60" t="s">
        <v>26</v>
      </c>
    </row>
    <row r="1092" spans="1:3" x14ac:dyDescent="0.25">
      <c r="A1092" s="60">
        <v>1091</v>
      </c>
      <c r="B1092" s="61">
        <v>45580</v>
      </c>
      <c r="C1092" s="60" t="s">
        <v>27</v>
      </c>
    </row>
    <row r="1093" spans="1:3" x14ac:dyDescent="0.25">
      <c r="A1093" s="60">
        <v>1092</v>
      </c>
      <c r="B1093" s="61">
        <v>45581</v>
      </c>
      <c r="C1093" s="60" t="s">
        <v>28</v>
      </c>
    </row>
    <row r="1094" spans="1:3" x14ac:dyDescent="0.25">
      <c r="A1094" s="60">
        <v>1093</v>
      </c>
      <c r="B1094" s="61">
        <v>45582</v>
      </c>
      <c r="C1094" s="60" t="s">
        <v>29</v>
      </c>
    </row>
    <row r="1095" spans="1:3" x14ac:dyDescent="0.25">
      <c r="A1095" s="60">
        <v>1094</v>
      </c>
      <c r="B1095" s="61">
        <v>45583</v>
      </c>
      <c r="C1095" s="60" t="s">
        <v>25</v>
      </c>
    </row>
    <row r="1096" spans="1:3" x14ac:dyDescent="0.25">
      <c r="A1096" s="60">
        <v>1095</v>
      </c>
      <c r="B1096" s="61">
        <v>45586</v>
      </c>
      <c r="C1096" s="60" t="s">
        <v>26</v>
      </c>
    </row>
    <row r="1097" spans="1:3" x14ac:dyDescent="0.25">
      <c r="A1097" s="60">
        <v>1096</v>
      </c>
      <c r="B1097" s="61">
        <v>45587</v>
      </c>
      <c r="C1097" s="60" t="s">
        <v>27</v>
      </c>
    </row>
    <row r="1098" spans="1:3" x14ac:dyDescent="0.25">
      <c r="A1098" s="60">
        <v>1097</v>
      </c>
      <c r="B1098" s="61">
        <v>45588</v>
      </c>
      <c r="C1098" s="60" t="s">
        <v>28</v>
      </c>
    </row>
    <row r="1099" spans="1:3" x14ac:dyDescent="0.25">
      <c r="A1099" s="60">
        <v>1098</v>
      </c>
      <c r="B1099" s="61">
        <v>45589</v>
      </c>
      <c r="C1099" s="60" t="s">
        <v>29</v>
      </c>
    </row>
    <row r="1100" spans="1:3" x14ac:dyDescent="0.25">
      <c r="A1100" s="60">
        <v>1099</v>
      </c>
      <c r="B1100" s="61">
        <v>45590</v>
      </c>
      <c r="C1100" s="60" t="s">
        <v>25</v>
      </c>
    </row>
    <row r="1101" spans="1:3" x14ac:dyDescent="0.25">
      <c r="A1101" s="60">
        <v>1100</v>
      </c>
      <c r="B1101" s="61">
        <v>45593</v>
      </c>
      <c r="C1101" s="60" t="s">
        <v>26</v>
      </c>
    </row>
    <row r="1102" spans="1:3" x14ac:dyDescent="0.25">
      <c r="A1102" s="60">
        <v>1101</v>
      </c>
      <c r="B1102" s="61">
        <v>45594</v>
      </c>
      <c r="C1102" s="60" t="s">
        <v>27</v>
      </c>
    </row>
    <row r="1103" spans="1:3" x14ac:dyDescent="0.25">
      <c r="A1103" s="60">
        <v>1102</v>
      </c>
      <c r="B1103" s="61">
        <v>45595</v>
      </c>
      <c r="C1103" s="60" t="s">
        <v>28</v>
      </c>
    </row>
    <row r="1104" spans="1:3" x14ac:dyDescent="0.25">
      <c r="A1104" s="60">
        <v>1103</v>
      </c>
      <c r="B1104" s="61">
        <v>45596</v>
      </c>
      <c r="C1104" s="60" t="s">
        <v>29</v>
      </c>
    </row>
    <row r="1105" spans="1:3" x14ac:dyDescent="0.25">
      <c r="A1105" s="60">
        <v>1104</v>
      </c>
      <c r="B1105" s="61">
        <v>45597</v>
      </c>
      <c r="C1105" s="60" t="s">
        <v>25</v>
      </c>
    </row>
    <row r="1106" spans="1:3" x14ac:dyDescent="0.25">
      <c r="A1106" s="60">
        <v>1105</v>
      </c>
      <c r="B1106" s="61">
        <v>45600</v>
      </c>
      <c r="C1106" s="60" t="s">
        <v>26</v>
      </c>
    </row>
    <row r="1107" spans="1:3" x14ac:dyDescent="0.25">
      <c r="A1107" s="60">
        <v>1106</v>
      </c>
      <c r="B1107" s="61">
        <v>45601</v>
      </c>
      <c r="C1107" s="60" t="s">
        <v>27</v>
      </c>
    </row>
    <row r="1108" spans="1:3" x14ac:dyDescent="0.25">
      <c r="A1108" s="60">
        <v>1107</v>
      </c>
      <c r="B1108" s="61">
        <v>45602</v>
      </c>
      <c r="C1108" s="60" t="s">
        <v>28</v>
      </c>
    </row>
    <row r="1109" spans="1:3" x14ac:dyDescent="0.25">
      <c r="A1109" s="60">
        <v>1108</v>
      </c>
      <c r="B1109" s="61">
        <v>45603</v>
      </c>
      <c r="C1109" s="60" t="s">
        <v>29</v>
      </c>
    </row>
    <row r="1110" spans="1:3" x14ac:dyDescent="0.25">
      <c r="A1110" s="60">
        <v>1109</v>
      </c>
      <c r="B1110" s="61">
        <v>45604</v>
      </c>
      <c r="C1110" s="60" t="s">
        <v>25</v>
      </c>
    </row>
    <row r="1111" spans="1:3" x14ac:dyDescent="0.25">
      <c r="A1111" s="60">
        <v>1110</v>
      </c>
      <c r="B1111" s="61">
        <v>45607</v>
      </c>
      <c r="C1111" s="60" t="s">
        <v>26</v>
      </c>
    </row>
    <row r="1112" spans="1:3" x14ac:dyDescent="0.25">
      <c r="A1112" s="60">
        <v>1111</v>
      </c>
      <c r="B1112" s="61">
        <v>45608</v>
      </c>
      <c r="C1112" s="60" t="s">
        <v>27</v>
      </c>
    </row>
    <row r="1113" spans="1:3" x14ac:dyDescent="0.25">
      <c r="A1113" s="60">
        <v>1112</v>
      </c>
      <c r="B1113" s="61">
        <v>45609</v>
      </c>
      <c r="C1113" s="60" t="s">
        <v>28</v>
      </c>
    </row>
    <row r="1114" spans="1:3" x14ac:dyDescent="0.25">
      <c r="A1114" s="60">
        <v>1113</v>
      </c>
      <c r="B1114" s="61">
        <v>45610</v>
      </c>
      <c r="C1114" s="60" t="s">
        <v>29</v>
      </c>
    </row>
    <row r="1115" spans="1:3" x14ac:dyDescent="0.25">
      <c r="A1115" s="60">
        <v>1114</v>
      </c>
      <c r="B1115" s="61">
        <v>45611</v>
      </c>
      <c r="C1115" s="60" t="s">
        <v>25</v>
      </c>
    </row>
    <row r="1116" spans="1:3" x14ac:dyDescent="0.25">
      <c r="A1116" s="60">
        <v>1115</v>
      </c>
      <c r="B1116" s="61">
        <v>45614</v>
      </c>
      <c r="C1116" s="60" t="s">
        <v>26</v>
      </c>
    </row>
    <row r="1117" spans="1:3" x14ac:dyDescent="0.25">
      <c r="A1117" s="60">
        <v>1116</v>
      </c>
      <c r="B1117" s="61">
        <v>45615</v>
      </c>
      <c r="C1117" s="60" t="s">
        <v>27</v>
      </c>
    </row>
    <row r="1118" spans="1:3" x14ac:dyDescent="0.25">
      <c r="A1118" s="60">
        <v>1117</v>
      </c>
      <c r="B1118" s="61">
        <v>45616</v>
      </c>
      <c r="C1118" s="60" t="s">
        <v>28</v>
      </c>
    </row>
    <row r="1119" spans="1:3" x14ac:dyDescent="0.25">
      <c r="A1119" s="60">
        <v>1118</v>
      </c>
      <c r="B1119" s="61">
        <v>45617</v>
      </c>
      <c r="C1119" s="60" t="s">
        <v>29</v>
      </c>
    </row>
    <row r="1120" spans="1:3" x14ac:dyDescent="0.25">
      <c r="A1120" s="60">
        <v>1119</v>
      </c>
      <c r="B1120" s="61">
        <v>45618</v>
      </c>
      <c r="C1120" s="60" t="s">
        <v>25</v>
      </c>
    </row>
    <row r="1121" spans="1:3" x14ac:dyDescent="0.25">
      <c r="A1121" s="60">
        <v>1120</v>
      </c>
      <c r="B1121" s="61">
        <v>45621</v>
      </c>
      <c r="C1121" s="60" t="s">
        <v>26</v>
      </c>
    </row>
    <row r="1122" spans="1:3" x14ac:dyDescent="0.25">
      <c r="A1122" s="60">
        <v>1121</v>
      </c>
      <c r="B1122" s="61">
        <v>45622</v>
      </c>
      <c r="C1122" s="60" t="s">
        <v>27</v>
      </c>
    </row>
    <row r="1123" spans="1:3" x14ac:dyDescent="0.25">
      <c r="A1123" s="60">
        <v>1122</v>
      </c>
      <c r="B1123" s="61">
        <v>45623</v>
      </c>
      <c r="C1123" s="60" t="s">
        <v>28</v>
      </c>
    </row>
    <row r="1124" spans="1:3" x14ac:dyDescent="0.25">
      <c r="A1124" s="60">
        <v>1123</v>
      </c>
      <c r="B1124" s="61">
        <v>45624</v>
      </c>
      <c r="C1124" s="60" t="s">
        <v>29</v>
      </c>
    </row>
    <row r="1125" spans="1:3" x14ac:dyDescent="0.25">
      <c r="A1125" s="60">
        <v>1124</v>
      </c>
      <c r="B1125" s="61">
        <v>45625</v>
      </c>
      <c r="C1125" s="60" t="s">
        <v>25</v>
      </c>
    </row>
    <row r="1126" spans="1:3" x14ac:dyDescent="0.25">
      <c r="A1126" s="60">
        <v>1125</v>
      </c>
      <c r="B1126" s="61">
        <v>45628</v>
      </c>
      <c r="C1126" s="60" t="s">
        <v>26</v>
      </c>
    </row>
    <row r="1127" spans="1:3" x14ac:dyDescent="0.25">
      <c r="A1127" s="60">
        <v>1126</v>
      </c>
      <c r="B1127" s="61">
        <v>45629</v>
      </c>
      <c r="C1127" s="60" t="s">
        <v>27</v>
      </c>
    </row>
    <row r="1128" spans="1:3" x14ac:dyDescent="0.25">
      <c r="A1128" s="60">
        <v>1127</v>
      </c>
      <c r="B1128" s="61">
        <v>45630</v>
      </c>
      <c r="C1128" s="60" t="s">
        <v>28</v>
      </c>
    </row>
    <row r="1129" spans="1:3" x14ac:dyDescent="0.25">
      <c r="A1129" s="60">
        <v>1128</v>
      </c>
      <c r="B1129" s="61">
        <v>45631</v>
      </c>
      <c r="C1129" s="60" t="s">
        <v>29</v>
      </c>
    </row>
    <row r="1130" spans="1:3" x14ac:dyDescent="0.25">
      <c r="A1130" s="60">
        <v>1129</v>
      </c>
      <c r="B1130" s="61">
        <v>45632</v>
      </c>
      <c r="C1130" s="60" t="s">
        <v>25</v>
      </c>
    </row>
    <row r="1131" spans="1:3" x14ac:dyDescent="0.25">
      <c r="A1131" s="60">
        <v>1130</v>
      </c>
      <c r="B1131" s="61">
        <v>45635</v>
      </c>
      <c r="C1131" s="60" t="s">
        <v>26</v>
      </c>
    </row>
    <row r="1132" spans="1:3" x14ac:dyDescent="0.25">
      <c r="A1132" s="60">
        <v>1131</v>
      </c>
      <c r="B1132" s="61">
        <v>45636</v>
      </c>
      <c r="C1132" s="60" t="s">
        <v>27</v>
      </c>
    </row>
    <row r="1133" spans="1:3" x14ac:dyDescent="0.25">
      <c r="A1133" s="60">
        <v>1132</v>
      </c>
      <c r="B1133" s="61">
        <v>45637</v>
      </c>
      <c r="C1133" s="60" t="s">
        <v>28</v>
      </c>
    </row>
    <row r="1134" spans="1:3" x14ac:dyDescent="0.25">
      <c r="A1134" s="60">
        <v>1133</v>
      </c>
      <c r="B1134" s="61">
        <v>45638</v>
      </c>
      <c r="C1134" s="60" t="s">
        <v>29</v>
      </c>
    </row>
    <row r="1135" spans="1:3" x14ac:dyDescent="0.25">
      <c r="A1135" s="60">
        <v>1134</v>
      </c>
      <c r="B1135" s="61">
        <v>45639</v>
      </c>
      <c r="C1135" s="60" t="s">
        <v>25</v>
      </c>
    </row>
    <row r="1136" spans="1:3" x14ac:dyDescent="0.25">
      <c r="A1136" s="60">
        <v>1135</v>
      </c>
      <c r="B1136" s="61">
        <v>45642</v>
      </c>
      <c r="C1136" s="60" t="s">
        <v>26</v>
      </c>
    </row>
    <row r="1137" spans="1:3" x14ac:dyDescent="0.25">
      <c r="A1137" s="60">
        <v>1136</v>
      </c>
      <c r="B1137" s="61">
        <v>45643</v>
      </c>
      <c r="C1137" s="60" t="s">
        <v>27</v>
      </c>
    </row>
    <row r="1138" spans="1:3" x14ac:dyDescent="0.25">
      <c r="A1138" s="60">
        <v>1137</v>
      </c>
      <c r="B1138" s="61">
        <v>45644</v>
      </c>
      <c r="C1138" s="60" t="s">
        <v>28</v>
      </c>
    </row>
    <row r="1139" spans="1:3" x14ac:dyDescent="0.25">
      <c r="A1139" s="60">
        <v>1138</v>
      </c>
      <c r="B1139" s="61">
        <v>45645</v>
      </c>
      <c r="C1139" s="60" t="s">
        <v>29</v>
      </c>
    </row>
    <row r="1140" spans="1:3" x14ac:dyDescent="0.25">
      <c r="A1140" s="60">
        <v>1139</v>
      </c>
      <c r="B1140" s="61">
        <v>45646</v>
      </c>
      <c r="C1140" s="60" t="s">
        <v>25</v>
      </c>
    </row>
    <row r="1141" spans="1:3" x14ac:dyDescent="0.25">
      <c r="A1141" s="60">
        <v>1140</v>
      </c>
      <c r="B1141" s="61">
        <v>45649</v>
      </c>
      <c r="C1141" s="60" t="s">
        <v>26</v>
      </c>
    </row>
    <row r="1142" spans="1:3" x14ac:dyDescent="0.25">
      <c r="A1142" s="60">
        <v>1141</v>
      </c>
      <c r="B1142" s="61">
        <v>45650</v>
      </c>
      <c r="C1142" s="60" t="s">
        <v>27</v>
      </c>
    </row>
    <row r="1143" spans="1:3" x14ac:dyDescent="0.25">
      <c r="A1143" s="60">
        <v>1142</v>
      </c>
      <c r="B1143" s="61">
        <v>45651</v>
      </c>
      <c r="C1143" s="60" t="s">
        <v>28</v>
      </c>
    </row>
    <row r="1144" spans="1:3" x14ac:dyDescent="0.25">
      <c r="A1144" s="60">
        <v>1143</v>
      </c>
      <c r="B1144" s="61">
        <v>45652</v>
      </c>
      <c r="C1144" s="60" t="s">
        <v>29</v>
      </c>
    </row>
    <row r="1145" spans="1:3" x14ac:dyDescent="0.25">
      <c r="A1145" s="60">
        <v>1144</v>
      </c>
      <c r="B1145" s="61">
        <v>45653</v>
      </c>
      <c r="C1145" s="60" t="s">
        <v>25</v>
      </c>
    </row>
    <row r="1146" spans="1:3" x14ac:dyDescent="0.25">
      <c r="A1146" s="60">
        <v>1145</v>
      </c>
      <c r="B1146" s="61">
        <v>45656</v>
      </c>
      <c r="C1146" s="60" t="s">
        <v>26</v>
      </c>
    </row>
    <row r="1147" spans="1:3" x14ac:dyDescent="0.25">
      <c r="A1147" s="60">
        <v>1146</v>
      </c>
      <c r="B1147" s="61">
        <v>45657</v>
      </c>
      <c r="C1147" s="60" t="s">
        <v>27</v>
      </c>
    </row>
    <row r="1148" spans="1:3" x14ac:dyDescent="0.25">
      <c r="A1148" s="60">
        <v>1147</v>
      </c>
      <c r="B1148" s="61">
        <v>45658</v>
      </c>
      <c r="C1148" s="60" t="s">
        <v>28</v>
      </c>
    </row>
    <row r="1149" spans="1:3" x14ac:dyDescent="0.25">
      <c r="A1149" s="60">
        <v>1148</v>
      </c>
      <c r="B1149" s="61">
        <v>45659</v>
      </c>
      <c r="C1149" s="60" t="s">
        <v>29</v>
      </c>
    </row>
    <row r="1150" spans="1:3" x14ac:dyDescent="0.25">
      <c r="A1150" s="60">
        <v>1149</v>
      </c>
      <c r="B1150" s="61">
        <v>45660</v>
      </c>
      <c r="C1150" s="60" t="s">
        <v>25</v>
      </c>
    </row>
    <row r="1151" spans="1:3" x14ac:dyDescent="0.25">
      <c r="A1151" s="60">
        <v>1150</v>
      </c>
      <c r="B1151" s="61">
        <v>45663</v>
      </c>
      <c r="C1151" s="60" t="s">
        <v>26</v>
      </c>
    </row>
    <row r="1152" spans="1:3" x14ac:dyDescent="0.25">
      <c r="A1152" s="60">
        <v>1151</v>
      </c>
      <c r="B1152" s="61">
        <v>45664</v>
      </c>
      <c r="C1152" s="60" t="s">
        <v>27</v>
      </c>
    </row>
    <row r="1153" spans="1:3" x14ac:dyDescent="0.25">
      <c r="A1153" s="60">
        <v>1152</v>
      </c>
      <c r="B1153" s="61">
        <v>45665</v>
      </c>
      <c r="C1153" s="60" t="s">
        <v>28</v>
      </c>
    </row>
    <row r="1154" spans="1:3" x14ac:dyDescent="0.25">
      <c r="A1154" s="60">
        <v>1153</v>
      </c>
      <c r="B1154" s="61">
        <v>45666</v>
      </c>
      <c r="C1154" s="60" t="s">
        <v>29</v>
      </c>
    </row>
    <row r="1155" spans="1:3" x14ac:dyDescent="0.25">
      <c r="A1155" s="60">
        <v>1154</v>
      </c>
      <c r="B1155" s="61">
        <v>45667</v>
      </c>
      <c r="C1155" s="60" t="s">
        <v>25</v>
      </c>
    </row>
    <row r="1156" spans="1:3" x14ac:dyDescent="0.25">
      <c r="A1156" s="60">
        <v>1155</v>
      </c>
      <c r="B1156" s="61">
        <v>45670</v>
      </c>
      <c r="C1156" s="60" t="s">
        <v>26</v>
      </c>
    </row>
    <row r="1157" spans="1:3" x14ac:dyDescent="0.25">
      <c r="A1157" s="60">
        <v>1156</v>
      </c>
      <c r="B1157" s="61">
        <v>45671</v>
      </c>
      <c r="C1157" s="60" t="s">
        <v>27</v>
      </c>
    </row>
    <row r="1158" spans="1:3" x14ac:dyDescent="0.25">
      <c r="A1158" s="60">
        <v>1157</v>
      </c>
      <c r="B1158" s="61">
        <v>45672</v>
      </c>
      <c r="C1158" s="60" t="s">
        <v>28</v>
      </c>
    </row>
    <row r="1159" spans="1:3" x14ac:dyDescent="0.25">
      <c r="A1159" s="60">
        <v>1158</v>
      </c>
      <c r="B1159" s="61">
        <v>45673</v>
      </c>
      <c r="C1159" s="60" t="s">
        <v>29</v>
      </c>
    </row>
    <row r="1160" spans="1:3" x14ac:dyDescent="0.25">
      <c r="A1160" s="60">
        <v>1159</v>
      </c>
      <c r="B1160" s="61">
        <v>45674</v>
      </c>
      <c r="C1160" s="60" t="s">
        <v>25</v>
      </c>
    </row>
    <row r="1161" spans="1:3" x14ac:dyDescent="0.25">
      <c r="A1161" s="60">
        <v>1160</v>
      </c>
      <c r="B1161" s="61">
        <v>45677</v>
      </c>
      <c r="C1161" s="60" t="s">
        <v>26</v>
      </c>
    </row>
    <row r="1162" spans="1:3" x14ac:dyDescent="0.25">
      <c r="A1162" s="60">
        <v>1161</v>
      </c>
      <c r="B1162" s="61">
        <v>45678</v>
      </c>
      <c r="C1162" s="60" t="s">
        <v>27</v>
      </c>
    </row>
    <row r="1163" spans="1:3" x14ac:dyDescent="0.25">
      <c r="A1163" s="60">
        <v>1162</v>
      </c>
      <c r="B1163" s="61">
        <v>45679</v>
      </c>
      <c r="C1163" s="60" t="s">
        <v>28</v>
      </c>
    </row>
    <row r="1164" spans="1:3" x14ac:dyDescent="0.25">
      <c r="A1164" s="60">
        <v>1163</v>
      </c>
      <c r="B1164" s="61">
        <v>45680</v>
      </c>
      <c r="C1164" s="60" t="s">
        <v>29</v>
      </c>
    </row>
    <row r="1165" spans="1:3" x14ac:dyDescent="0.25">
      <c r="A1165" s="60">
        <v>1164</v>
      </c>
      <c r="B1165" s="61">
        <v>45681</v>
      </c>
      <c r="C1165" s="60" t="s">
        <v>25</v>
      </c>
    </row>
    <row r="1166" spans="1:3" x14ac:dyDescent="0.25">
      <c r="A1166" s="60">
        <v>1165</v>
      </c>
      <c r="B1166" s="61">
        <v>45684</v>
      </c>
      <c r="C1166" s="60" t="s">
        <v>26</v>
      </c>
    </row>
    <row r="1167" spans="1:3" x14ac:dyDescent="0.25">
      <c r="A1167" s="60">
        <v>1166</v>
      </c>
      <c r="B1167" s="61">
        <v>45685</v>
      </c>
      <c r="C1167" s="60" t="s">
        <v>27</v>
      </c>
    </row>
    <row r="1168" spans="1:3" x14ac:dyDescent="0.25">
      <c r="A1168" s="60">
        <v>1167</v>
      </c>
      <c r="B1168" s="61">
        <v>45686</v>
      </c>
      <c r="C1168" s="60" t="s">
        <v>28</v>
      </c>
    </row>
    <row r="1169" spans="1:3" x14ac:dyDescent="0.25">
      <c r="A1169" s="60">
        <v>1168</v>
      </c>
      <c r="B1169" s="61">
        <v>45687</v>
      </c>
      <c r="C1169" s="60" t="s">
        <v>29</v>
      </c>
    </row>
    <row r="1170" spans="1:3" x14ac:dyDescent="0.25">
      <c r="A1170" s="60">
        <v>1169</v>
      </c>
      <c r="B1170" s="61">
        <v>45688</v>
      </c>
      <c r="C1170" s="60" t="s">
        <v>25</v>
      </c>
    </row>
    <row r="1171" spans="1:3" x14ac:dyDescent="0.25">
      <c r="A1171" s="60">
        <v>1170</v>
      </c>
      <c r="B1171" s="61">
        <v>45691</v>
      </c>
      <c r="C1171" s="60" t="s">
        <v>26</v>
      </c>
    </row>
    <row r="1172" spans="1:3" x14ac:dyDescent="0.25">
      <c r="A1172" s="60">
        <v>1171</v>
      </c>
      <c r="B1172" s="61">
        <v>45692</v>
      </c>
      <c r="C1172" s="60" t="s">
        <v>27</v>
      </c>
    </row>
    <row r="1173" spans="1:3" x14ac:dyDescent="0.25">
      <c r="A1173" s="60">
        <v>1172</v>
      </c>
      <c r="B1173" s="61">
        <v>45693</v>
      </c>
      <c r="C1173" s="60" t="s">
        <v>28</v>
      </c>
    </row>
    <row r="1174" spans="1:3" x14ac:dyDescent="0.25">
      <c r="A1174" s="60">
        <v>1173</v>
      </c>
      <c r="B1174" s="61">
        <v>45694</v>
      </c>
      <c r="C1174" s="60" t="s">
        <v>29</v>
      </c>
    </row>
    <row r="1175" spans="1:3" x14ac:dyDescent="0.25">
      <c r="A1175" s="60">
        <v>1174</v>
      </c>
      <c r="B1175" s="61">
        <v>45695</v>
      </c>
      <c r="C1175" s="60" t="s">
        <v>25</v>
      </c>
    </row>
    <row r="1176" spans="1:3" x14ac:dyDescent="0.25">
      <c r="A1176" s="60">
        <v>1175</v>
      </c>
      <c r="B1176" s="61">
        <v>45698</v>
      </c>
      <c r="C1176" s="60" t="s">
        <v>26</v>
      </c>
    </row>
    <row r="1177" spans="1:3" x14ac:dyDescent="0.25">
      <c r="A1177" s="60">
        <v>1176</v>
      </c>
      <c r="B1177" s="61">
        <v>45699</v>
      </c>
      <c r="C1177" s="60" t="s">
        <v>27</v>
      </c>
    </row>
    <row r="1178" spans="1:3" x14ac:dyDescent="0.25">
      <c r="A1178" s="60">
        <v>1177</v>
      </c>
      <c r="B1178" s="61">
        <v>45700</v>
      </c>
      <c r="C1178" s="60" t="s">
        <v>28</v>
      </c>
    </row>
    <row r="1179" spans="1:3" x14ac:dyDescent="0.25">
      <c r="A1179" s="60">
        <v>1178</v>
      </c>
      <c r="B1179" s="61">
        <v>45701</v>
      </c>
      <c r="C1179" s="60" t="s">
        <v>29</v>
      </c>
    </row>
    <row r="1180" spans="1:3" x14ac:dyDescent="0.25">
      <c r="A1180" s="60">
        <v>1179</v>
      </c>
      <c r="B1180" s="61">
        <v>45702</v>
      </c>
      <c r="C1180" s="60" t="s">
        <v>25</v>
      </c>
    </row>
    <row r="1181" spans="1:3" x14ac:dyDescent="0.25">
      <c r="A1181" s="60">
        <v>1180</v>
      </c>
      <c r="B1181" s="61">
        <v>45705</v>
      </c>
      <c r="C1181" s="60" t="s">
        <v>26</v>
      </c>
    </row>
    <row r="1182" spans="1:3" x14ac:dyDescent="0.25">
      <c r="A1182" s="60">
        <v>1181</v>
      </c>
      <c r="B1182" s="61">
        <v>45706</v>
      </c>
      <c r="C1182" s="60" t="s">
        <v>27</v>
      </c>
    </row>
    <row r="1183" spans="1:3" x14ac:dyDescent="0.25">
      <c r="A1183" s="60">
        <v>1182</v>
      </c>
      <c r="B1183" s="61">
        <v>45707</v>
      </c>
      <c r="C1183" s="60" t="s">
        <v>28</v>
      </c>
    </row>
    <row r="1184" spans="1:3" x14ac:dyDescent="0.25">
      <c r="A1184" s="60">
        <v>1183</v>
      </c>
      <c r="B1184" s="61">
        <v>45708</v>
      </c>
      <c r="C1184" s="60" t="s">
        <v>29</v>
      </c>
    </row>
    <row r="1185" spans="1:3" x14ac:dyDescent="0.25">
      <c r="A1185" s="60">
        <v>1184</v>
      </c>
      <c r="B1185" s="61">
        <v>45709</v>
      </c>
      <c r="C1185" s="60" t="s">
        <v>25</v>
      </c>
    </row>
    <row r="1186" spans="1:3" x14ac:dyDescent="0.25">
      <c r="A1186" s="60">
        <v>1185</v>
      </c>
      <c r="B1186" s="61">
        <v>45712</v>
      </c>
      <c r="C1186" s="60" t="s">
        <v>26</v>
      </c>
    </row>
    <row r="1187" spans="1:3" x14ac:dyDescent="0.25">
      <c r="A1187" s="60">
        <v>1186</v>
      </c>
      <c r="B1187" s="61">
        <v>45713</v>
      </c>
      <c r="C1187" s="60" t="s">
        <v>27</v>
      </c>
    </row>
    <row r="1188" spans="1:3" x14ac:dyDescent="0.25">
      <c r="A1188" s="60">
        <v>1187</v>
      </c>
      <c r="B1188" s="61">
        <v>45714</v>
      </c>
      <c r="C1188" s="60" t="s">
        <v>28</v>
      </c>
    </row>
    <row r="1189" spans="1:3" x14ac:dyDescent="0.25">
      <c r="A1189" s="60">
        <v>1188</v>
      </c>
      <c r="B1189" s="61">
        <v>45715</v>
      </c>
      <c r="C1189" s="60" t="s">
        <v>29</v>
      </c>
    </row>
    <row r="1190" spans="1:3" x14ac:dyDescent="0.25">
      <c r="A1190" s="60">
        <v>1189</v>
      </c>
      <c r="B1190" s="61">
        <v>45716</v>
      </c>
      <c r="C1190" s="60" t="s">
        <v>25</v>
      </c>
    </row>
    <row r="1191" spans="1:3" x14ac:dyDescent="0.25">
      <c r="A1191" s="60">
        <v>1190</v>
      </c>
      <c r="B1191" s="61">
        <v>45719</v>
      </c>
      <c r="C1191" s="60" t="s">
        <v>26</v>
      </c>
    </row>
    <row r="1192" spans="1:3" x14ac:dyDescent="0.25">
      <c r="A1192" s="60">
        <v>1191</v>
      </c>
      <c r="B1192" s="61">
        <v>45720</v>
      </c>
      <c r="C1192" s="60" t="s">
        <v>27</v>
      </c>
    </row>
    <row r="1193" spans="1:3" x14ac:dyDescent="0.25">
      <c r="A1193" s="60">
        <v>1192</v>
      </c>
      <c r="B1193" s="61">
        <v>45721</v>
      </c>
      <c r="C1193" s="60" t="s">
        <v>28</v>
      </c>
    </row>
    <row r="1194" spans="1:3" x14ac:dyDescent="0.25">
      <c r="A1194" s="60">
        <v>1193</v>
      </c>
      <c r="B1194" s="61">
        <v>45722</v>
      </c>
      <c r="C1194" s="60" t="s">
        <v>29</v>
      </c>
    </row>
    <row r="1195" spans="1:3" x14ac:dyDescent="0.25">
      <c r="A1195" s="60">
        <v>1194</v>
      </c>
      <c r="B1195" s="61">
        <v>45723</v>
      </c>
      <c r="C1195" s="60" t="s">
        <v>25</v>
      </c>
    </row>
    <row r="1196" spans="1:3" x14ac:dyDescent="0.25">
      <c r="A1196" s="60">
        <v>1195</v>
      </c>
      <c r="B1196" s="61">
        <v>45726</v>
      </c>
      <c r="C1196" s="60" t="s">
        <v>26</v>
      </c>
    </row>
    <row r="1197" spans="1:3" x14ac:dyDescent="0.25">
      <c r="A1197" s="60">
        <v>1196</v>
      </c>
      <c r="B1197" s="61">
        <v>45727</v>
      </c>
      <c r="C1197" s="60" t="s">
        <v>27</v>
      </c>
    </row>
    <row r="1198" spans="1:3" x14ac:dyDescent="0.25">
      <c r="A1198" s="60">
        <v>1197</v>
      </c>
      <c r="B1198" s="61">
        <v>45728</v>
      </c>
      <c r="C1198" s="60" t="s">
        <v>28</v>
      </c>
    </row>
    <row r="1199" spans="1:3" x14ac:dyDescent="0.25">
      <c r="A1199" s="60">
        <v>1198</v>
      </c>
      <c r="B1199" s="61">
        <v>45729</v>
      </c>
      <c r="C1199" s="60" t="s">
        <v>29</v>
      </c>
    </row>
    <row r="1200" spans="1:3" x14ac:dyDescent="0.25">
      <c r="A1200" s="60">
        <v>1199</v>
      </c>
      <c r="B1200" s="61">
        <v>45730</v>
      </c>
      <c r="C1200" s="60" t="s">
        <v>25</v>
      </c>
    </row>
    <row r="1201" spans="1:3" x14ac:dyDescent="0.25">
      <c r="A1201" s="60">
        <v>1200</v>
      </c>
      <c r="B1201" s="61">
        <v>45733</v>
      </c>
      <c r="C1201" s="60" t="s">
        <v>26</v>
      </c>
    </row>
    <row r="1202" spans="1:3" x14ac:dyDescent="0.25">
      <c r="A1202" s="60">
        <v>1201</v>
      </c>
      <c r="B1202" s="61">
        <v>45734</v>
      </c>
      <c r="C1202" s="60" t="s">
        <v>27</v>
      </c>
    </row>
    <row r="1203" spans="1:3" x14ac:dyDescent="0.25">
      <c r="A1203" s="60">
        <v>1202</v>
      </c>
      <c r="B1203" s="61">
        <v>45735</v>
      </c>
      <c r="C1203" s="60" t="s">
        <v>28</v>
      </c>
    </row>
    <row r="1204" spans="1:3" x14ac:dyDescent="0.25">
      <c r="A1204" s="60">
        <v>1203</v>
      </c>
      <c r="B1204" s="61">
        <v>45736</v>
      </c>
      <c r="C1204" s="60" t="s">
        <v>29</v>
      </c>
    </row>
    <row r="1205" spans="1:3" x14ac:dyDescent="0.25">
      <c r="A1205" s="60">
        <v>1204</v>
      </c>
      <c r="B1205" s="61">
        <v>45737</v>
      </c>
      <c r="C1205" s="60" t="s">
        <v>25</v>
      </c>
    </row>
    <row r="1206" spans="1:3" x14ac:dyDescent="0.25">
      <c r="A1206" s="60">
        <v>1205</v>
      </c>
      <c r="B1206" s="61">
        <v>45740</v>
      </c>
      <c r="C1206" s="60" t="s">
        <v>26</v>
      </c>
    </row>
    <row r="1207" spans="1:3" x14ac:dyDescent="0.25">
      <c r="A1207" s="60">
        <v>1206</v>
      </c>
      <c r="B1207" s="61">
        <v>45741</v>
      </c>
      <c r="C1207" s="60" t="s">
        <v>27</v>
      </c>
    </row>
    <row r="1208" spans="1:3" x14ac:dyDescent="0.25">
      <c r="A1208" s="60">
        <v>1207</v>
      </c>
      <c r="B1208" s="61">
        <v>45742</v>
      </c>
      <c r="C1208" s="60" t="s">
        <v>28</v>
      </c>
    </row>
    <row r="1209" spans="1:3" x14ac:dyDescent="0.25">
      <c r="A1209" s="60">
        <v>1208</v>
      </c>
      <c r="B1209" s="61">
        <v>45743</v>
      </c>
      <c r="C1209" s="60" t="s">
        <v>29</v>
      </c>
    </row>
    <row r="1210" spans="1:3" x14ac:dyDescent="0.25">
      <c r="A1210" s="60">
        <v>1209</v>
      </c>
      <c r="B1210" s="61">
        <v>45744</v>
      </c>
      <c r="C1210" s="60" t="s">
        <v>25</v>
      </c>
    </row>
    <row r="1211" spans="1:3" x14ac:dyDescent="0.25">
      <c r="A1211" s="60">
        <v>1210</v>
      </c>
      <c r="B1211" s="61">
        <v>45747</v>
      </c>
      <c r="C1211" s="60" t="s">
        <v>26</v>
      </c>
    </row>
    <row r="1212" spans="1:3" x14ac:dyDescent="0.25">
      <c r="A1212" s="60">
        <v>1211</v>
      </c>
      <c r="B1212" s="61">
        <v>45748</v>
      </c>
      <c r="C1212" s="60" t="s">
        <v>27</v>
      </c>
    </row>
    <row r="1213" spans="1:3" x14ac:dyDescent="0.25">
      <c r="A1213" s="60">
        <v>1212</v>
      </c>
      <c r="B1213" s="61">
        <v>45749</v>
      </c>
      <c r="C1213" s="60" t="s">
        <v>28</v>
      </c>
    </row>
    <row r="1214" spans="1:3" x14ac:dyDescent="0.25">
      <c r="A1214" s="60">
        <v>1213</v>
      </c>
      <c r="B1214" s="61">
        <v>45750</v>
      </c>
      <c r="C1214" s="60" t="s">
        <v>29</v>
      </c>
    </row>
    <row r="1215" spans="1:3" x14ac:dyDescent="0.25">
      <c r="A1215" s="60">
        <v>1214</v>
      </c>
      <c r="B1215" s="61">
        <v>45751</v>
      </c>
      <c r="C1215" s="60" t="s">
        <v>25</v>
      </c>
    </row>
    <row r="1216" spans="1:3" x14ac:dyDescent="0.25">
      <c r="A1216" s="60">
        <v>1215</v>
      </c>
      <c r="B1216" s="61">
        <v>45754</v>
      </c>
      <c r="C1216" s="60" t="s">
        <v>26</v>
      </c>
    </row>
    <row r="1217" spans="1:3" x14ac:dyDescent="0.25">
      <c r="A1217" s="60">
        <v>1216</v>
      </c>
      <c r="B1217" s="61">
        <v>45755</v>
      </c>
      <c r="C1217" s="60" t="s">
        <v>27</v>
      </c>
    </row>
    <row r="1218" spans="1:3" x14ac:dyDescent="0.25">
      <c r="A1218" s="60">
        <v>1217</v>
      </c>
      <c r="B1218" s="61">
        <v>45756</v>
      </c>
      <c r="C1218" s="60" t="s">
        <v>28</v>
      </c>
    </row>
    <row r="1219" spans="1:3" x14ac:dyDescent="0.25">
      <c r="A1219" s="60">
        <v>1218</v>
      </c>
      <c r="B1219" s="61">
        <v>45757</v>
      </c>
      <c r="C1219" s="60" t="s">
        <v>29</v>
      </c>
    </row>
    <row r="1220" spans="1:3" x14ac:dyDescent="0.25">
      <c r="A1220" s="60">
        <v>1219</v>
      </c>
      <c r="B1220" s="61">
        <v>45758</v>
      </c>
      <c r="C1220" s="60" t="s">
        <v>25</v>
      </c>
    </row>
    <row r="1221" spans="1:3" x14ac:dyDescent="0.25">
      <c r="A1221" s="60">
        <v>1220</v>
      </c>
      <c r="B1221" s="61">
        <v>45761</v>
      </c>
      <c r="C1221" s="60" t="s">
        <v>26</v>
      </c>
    </row>
    <row r="1222" spans="1:3" x14ac:dyDescent="0.25">
      <c r="A1222" s="60">
        <v>1221</v>
      </c>
      <c r="B1222" s="61">
        <v>45762</v>
      </c>
      <c r="C1222" s="60" t="s">
        <v>27</v>
      </c>
    </row>
    <row r="1223" spans="1:3" x14ac:dyDescent="0.25">
      <c r="A1223" s="60">
        <v>1222</v>
      </c>
      <c r="B1223" s="61">
        <v>45763</v>
      </c>
      <c r="C1223" s="60" t="s">
        <v>28</v>
      </c>
    </row>
    <row r="1224" spans="1:3" x14ac:dyDescent="0.25">
      <c r="A1224" s="60">
        <v>1223</v>
      </c>
      <c r="B1224" s="61">
        <v>45764</v>
      </c>
      <c r="C1224" s="60" t="s">
        <v>29</v>
      </c>
    </row>
    <row r="1225" spans="1:3" x14ac:dyDescent="0.25">
      <c r="A1225" s="60">
        <v>1224</v>
      </c>
      <c r="B1225" s="61">
        <v>45765</v>
      </c>
      <c r="C1225" s="60" t="s">
        <v>25</v>
      </c>
    </row>
    <row r="1226" spans="1:3" x14ac:dyDescent="0.25">
      <c r="A1226" s="60">
        <v>1225</v>
      </c>
      <c r="B1226" s="61">
        <v>45768</v>
      </c>
      <c r="C1226" s="60" t="s">
        <v>26</v>
      </c>
    </row>
    <row r="1227" spans="1:3" x14ac:dyDescent="0.25">
      <c r="A1227" s="60">
        <v>1226</v>
      </c>
      <c r="B1227" s="61">
        <v>45769</v>
      </c>
      <c r="C1227" s="60" t="s">
        <v>27</v>
      </c>
    </row>
    <row r="1228" spans="1:3" x14ac:dyDescent="0.25">
      <c r="A1228" s="60">
        <v>1227</v>
      </c>
      <c r="B1228" s="61">
        <v>45770</v>
      </c>
      <c r="C1228" s="60" t="s">
        <v>28</v>
      </c>
    </row>
    <row r="1229" spans="1:3" x14ac:dyDescent="0.25">
      <c r="A1229" s="60">
        <v>1228</v>
      </c>
      <c r="B1229" s="61">
        <v>45771</v>
      </c>
      <c r="C1229" s="60" t="s">
        <v>29</v>
      </c>
    </row>
    <row r="1230" spans="1:3" x14ac:dyDescent="0.25">
      <c r="A1230" s="60">
        <v>1229</v>
      </c>
      <c r="B1230" s="61">
        <v>45772</v>
      </c>
      <c r="C1230" s="60" t="s">
        <v>25</v>
      </c>
    </row>
    <row r="1231" spans="1:3" x14ac:dyDescent="0.25">
      <c r="A1231" s="60">
        <v>1230</v>
      </c>
      <c r="B1231" s="61">
        <v>45775</v>
      </c>
      <c r="C1231" s="60" t="s">
        <v>26</v>
      </c>
    </row>
    <row r="1232" spans="1:3" x14ac:dyDescent="0.25">
      <c r="A1232" s="60">
        <v>1231</v>
      </c>
      <c r="B1232" s="61">
        <v>45776</v>
      </c>
      <c r="C1232" s="60" t="s">
        <v>27</v>
      </c>
    </row>
    <row r="1233" spans="1:3" x14ac:dyDescent="0.25">
      <c r="A1233" s="60">
        <v>1232</v>
      </c>
      <c r="B1233" s="61">
        <v>45777</v>
      </c>
      <c r="C1233" s="60" t="s">
        <v>28</v>
      </c>
    </row>
    <row r="1234" spans="1:3" x14ac:dyDescent="0.25">
      <c r="A1234" s="60">
        <v>1233</v>
      </c>
      <c r="B1234" s="61">
        <v>45778</v>
      </c>
      <c r="C1234" s="60" t="s">
        <v>29</v>
      </c>
    </row>
    <row r="1235" spans="1:3" x14ac:dyDescent="0.25">
      <c r="A1235" s="60">
        <v>1234</v>
      </c>
      <c r="B1235" s="61">
        <v>45779</v>
      </c>
      <c r="C1235" s="60" t="s">
        <v>25</v>
      </c>
    </row>
    <row r="1236" spans="1:3" x14ac:dyDescent="0.25">
      <c r="A1236" s="60">
        <v>1235</v>
      </c>
      <c r="B1236" s="61">
        <v>45782</v>
      </c>
      <c r="C1236" s="60" t="s">
        <v>26</v>
      </c>
    </row>
    <row r="1237" spans="1:3" x14ac:dyDescent="0.25">
      <c r="A1237" s="60">
        <v>1236</v>
      </c>
      <c r="B1237" s="61">
        <v>45783</v>
      </c>
      <c r="C1237" s="60" t="s">
        <v>27</v>
      </c>
    </row>
    <row r="1238" spans="1:3" x14ac:dyDescent="0.25">
      <c r="A1238" s="60">
        <v>1237</v>
      </c>
      <c r="B1238" s="61">
        <v>45784</v>
      </c>
      <c r="C1238" s="60" t="s">
        <v>28</v>
      </c>
    </row>
    <row r="1239" spans="1:3" x14ac:dyDescent="0.25">
      <c r="A1239" s="60">
        <v>1238</v>
      </c>
      <c r="B1239" s="61">
        <v>45785</v>
      </c>
      <c r="C1239" s="60" t="s">
        <v>29</v>
      </c>
    </row>
    <row r="1240" spans="1:3" x14ac:dyDescent="0.25">
      <c r="A1240" s="60">
        <v>1239</v>
      </c>
      <c r="B1240" s="61">
        <v>45786</v>
      </c>
      <c r="C1240" s="60" t="s">
        <v>25</v>
      </c>
    </row>
    <row r="1241" spans="1:3" x14ac:dyDescent="0.25">
      <c r="A1241" s="60">
        <v>1240</v>
      </c>
      <c r="B1241" s="61">
        <v>45789</v>
      </c>
      <c r="C1241" s="60" t="s">
        <v>26</v>
      </c>
    </row>
    <row r="1242" spans="1:3" x14ac:dyDescent="0.25">
      <c r="A1242" s="60">
        <v>1241</v>
      </c>
      <c r="B1242" s="61">
        <v>45790</v>
      </c>
      <c r="C1242" s="60" t="s">
        <v>27</v>
      </c>
    </row>
    <row r="1243" spans="1:3" x14ac:dyDescent="0.25">
      <c r="A1243" s="60">
        <v>1242</v>
      </c>
      <c r="B1243" s="61">
        <v>45791</v>
      </c>
      <c r="C1243" s="60" t="s">
        <v>28</v>
      </c>
    </row>
    <row r="1244" spans="1:3" x14ac:dyDescent="0.25">
      <c r="A1244" s="60">
        <v>1243</v>
      </c>
      <c r="B1244" s="61">
        <v>45792</v>
      </c>
      <c r="C1244" s="60" t="s">
        <v>29</v>
      </c>
    </row>
    <row r="1245" spans="1:3" x14ac:dyDescent="0.25">
      <c r="A1245" s="60">
        <v>1244</v>
      </c>
      <c r="B1245" s="61">
        <v>45793</v>
      </c>
      <c r="C1245" s="60" t="s">
        <v>25</v>
      </c>
    </row>
    <row r="1246" spans="1:3" x14ac:dyDescent="0.25">
      <c r="A1246" s="60">
        <v>1245</v>
      </c>
      <c r="B1246" s="61">
        <v>45796</v>
      </c>
      <c r="C1246" s="60" t="s">
        <v>26</v>
      </c>
    </row>
    <row r="1247" spans="1:3" x14ac:dyDescent="0.25">
      <c r="A1247" s="60">
        <v>1246</v>
      </c>
      <c r="B1247" s="61">
        <v>45797</v>
      </c>
      <c r="C1247" s="60" t="s">
        <v>27</v>
      </c>
    </row>
    <row r="1248" spans="1:3" x14ac:dyDescent="0.25">
      <c r="A1248" s="60">
        <v>1247</v>
      </c>
      <c r="B1248" s="61">
        <v>45798</v>
      </c>
      <c r="C1248" s="60" t="s">
        <v>28</v>
      </c>
    </row>
    <row r="1249" spans="1:3" x14ac:dyDescent="0.25">
      <c r="A1249" s="60">
        <v>1248</v>
      </c>
      <c r="B1249" s="61">
        <v>45799</v>
      </c>
      <c r="C1249" s="60" t="s">
        <v>29</v>
      </c>
    </row>
    <row r="1250" spans="1:3" x14ac:dyDescent="0.25">
      <c r="A1250" s="60">
        <v>1249</v>
      </c>
      <c r="B1250" s="61">
        <v>45800</v>
      </c>
      <c r="C1250" s="60" t="s">
        <v>25</v>
      </c>
    </row>
    <row r="1251" spans="1:3" x14ac:dyDescent="0.25">
      <c r="A1251" s="60">
        <v>1250</v>
      </c>
      <c r="B1251" s="61">
        <v>45803</v>
      </c>
      <c r="C1251" s="60" t="s">
        <v>26</v>
      </c>
    </row>
    <row r="1252" spans="1:3" x14ac:dyDescent="0.25">
      <c r="A1252" s="60">
        <v>1251</v>
      </c>
      <c r="B1252" s="61">
        <v>45804</v>
      </c>
      <c r="C1252" s="60" t="s">
        <v>27</v>
      </c>
    </row>
    <row r="1253" spans="1:3" x14ac:dyDescent="0.25">
      <c r="A1253" s="60">
        <v>1252</v>
      </c>
      <c r="B1253" s="61">
        <v>45805</v>
      </c>
      <c r="C1253" s="60" t="s">
        <v>28</v>
      </c>
    </row>
    <row r="1254" spans="1:3" x14ac:dyDescent="0.25">
      <c r="A1254" s="60">
        <v>1253</v>
      </c>
      <c r="B1254" s="61">
        <v>45806</v>
      </c>
      <c r="C1254" s="60" t="s">
        <v>29</v>
      </c>
    </row>
    <row r="1255" spans="1:3" x14ac:dyDescent="0.25">
      <c r="A1255" s="60">
        <v>1254</v>
      </c>
      <c r="B1255" s="61">
        <v>45807</v>
      </c>
      <c r="C1255" s="60" t="s">
        <v>25</v>
      </c>
    </row>
    <row r="1256" spans="1:3" x14ac:dyDescent="0.25">
      <c r="A1256" s="60">
        <v>1255</v>
      </c>
      <c r="B1256" s="61">
        <v>45810</v>
      </c>
      <c r="C1256" s="60" t="s">
        <v>26</v>
      </c>
    </row>
    <row r="1257" spans="1:3" x14ac:dyDescent="0.25">
      <c r="A1257" s="60">
        <v>1256</v>
      </c>
      <c r="B1257" s="61">
        <v>45811</v>
      </c>
      <c r="C1257" s="60" t="s">
        <v>27</v>
      </c>
    </row>
    <row r="1258" spans="1:3" x14ac:dyDescent="0.25">
      <c r="A1258" s="60">
        <v>1257</v>
      </c>
      <c r="B1258" s="61">
        <v>45812</v>
      </c>
      <c r="C1258" s="60" t="s">
        <v>28</v>
      </c>
    </row>
    <row r="1259" spans="1:3" x14ac:dyDescent="0.25">
      <c r="A1259" s="60">
        <v>1258</v>
      </c>
      <c r="B1259" s="61">
        <v>45813</v>
      </c>
      <c r="C1259" s="60" t="s">
        <v>29</v>
      </c>
    </row>
    <row r="1260" spans="1:3" x14ac:dyDescent="0.25">
      <c r="A1260" s="60">
        <v>1259</v>
      </c>
      <c r="B1260" s="61">
        <v>45814</v>
      </c>
      <c r="C1260" s="60" t="s">
        <v>25</v>
      </c>
    </row>
    <row r="1261" spans="1:3" x14ac:dyDescent="0.25">
      <c r="A1261" s="60">
        <v>1260</v>
      </c>
      <c r="B1261" s="61">
        <v>45817</v>
      </c>
      <c r="C1261" s="60" t="s">
        <v>26</v>
      </c>
    </row>
    <row r="1262" spans="1:3" x14ac:dyDescent="0.25">
      <c r="A1262" s="60">
        <v>1261</v>
      </c>
      <c r="B1262" s="61">
        <v>45818</v>
      </c>
      <c r="C1262" s="60" t="s">
        <v>27</v>
      </c>
    </row>
    <row r="1263" spans="1:3" x14ac:dyDescent="0.25">
      <c r="A1263" s="60">
        <v>1262</v>
      </c>
      <c r="B1263" s="61">
        <v>45819</v>
      </c>
      <c r="C1263" s="60" t="s">
        <v>28</v>
      </c>
    </row>
    <row r="1264" spans="1:3" x14ac:dyDescent="0.25">
      <c r="A1264" s="60">
        <v>1263</v>
      </c>
      <c r="B1264" s="61">
        <v>45820</v>
      </c>
      <c r="C1264" s="60" t="s">
        <v>29</v>
      </c>
    </row>
    <row r="1265" spans="1:3" x14ac:dyDescent="0.25">
      <c r="A1265" s="60">
        <v>1264</v>
      </c>
      <c r="B1265" s="61">
        <v>45821</v>
      </c>
      <c r="C1265" s="60" t="s">
        <v>25</v>
      </c>
    </row>
    <row r="1266" spans="1:3" x14ac:dyDescent="0.25">
      <c r="A1266" s="60">
        <v>1265</v>
      </c>
      <c r="B1266" s="61">
        <v>45824</v>
      </c>
      <c r="C1266" s="60" t="s">
        <v>26</v>
      </c>
    </row>
    <row r="1267" spans="1:3" x14ac:dyDescent="0.25">
      <c r="A1267" s="60">
        <v>1266</v>
      </c>
      <c r="B1267" s="61">
        <v>45825</v>
      </c>
      <c r="C1267" s="60" t="s">
        <v>27</v>
      </c>
    </row>
    <row r="1268" spans="1:3" x14ac:dyDescent="0.25">
      <c r="A1268" s="60">
        <v>1267</v>
      </c>
      <c r="B1268" s="61">
        <v>45826</v>
      </c>
      <c r="C1268" s="60" t="s">
        <v>28</v>
      </c>
    </row>
    <row r="1269" spans="1:3" x14ac:dyDescent="0.25">
      <c r="A1269" s="60">
        <v>1268</v>
      </c>
      <c r="B1269" s="61">
        <v>45827</v>
      </c>
      <c r="C1269" s="60" t="s">
        <v>29</v>
      </c>
    </row>
    <row r="1270" spans="1:3" x14ac:dyDescent="0.25">
      <c r="A1270" s="60">
        <v>1269</v>
      </c>
      <c r="B1270" s="61">
        <v>45828</v>
      </c>
      <c r="C1270" s="60" t="s">
        <v>25</v>
      </c>
    </row>
    <row r="1271" spans="1:3" x14ac:dyDescent="0.25">
      <c r="A1271" s="60">
        <v>1270</v>
      </c>
      <c r="B1271" s="61">
        <v>45831</v>
      </c>
      <c r="C1271" s="60" t="s">
        <v>26</v>
      </c>
    </row>
    <row r="1272" spans="1:3" x14ac:dyDescent="0.25">
      <c r="A1272" s="60">
        <v>1271</v>
      </c>
      <c r="B1272" s="61">
        <v>45832</v>
      </c>
      <c r="C1272" s="60" t="s">
        <v>27</v>
      </c>
    </row>
    <row r="1273" spans="1:3" x14ac:dyDescent="0.25">
      <c r="A1273" s="60">
        <v>1272</v>
      </c>
      <c r="B1273" s="61">
        <v>45833</v>
      </c>
      <c r="C1273" s="60" t="s">
        <v>28</v>
      </c>
    </row>
    <row r="1274" spans="1:3" x14ac:dyDescent="0.25">
      <c r="A1274" s="60">
        <v>1273</v>
      </c>
      <c r="B1274" s="61">
        <v>45834</v>
      </c>
      <c r="C1274" s="60" t="s">
        <v>29</v>
      </c>
    </row>
    <row r="1275" spans="1:3" x14ac:dyDescent="0.25">
      <c r="A1275" s="60">
        <v>1274</v>
      </c>
      <c r="B1275" s="61">
        <v>45835</v>
      </c>
      <c r="C1275" s="60" t="s">
        <v>25</v>
      </c>
    </row>
    <row r="1276" spans="1:3" x14ac:dyDescent="0.25">
      <c r="A1276" s="60">
        <v>1275</v>
      </c>
      <c r="B1276" s="61">
        <v>45838</v>
      </c>
      <c r="C1276" s="60" t="s">
        <v>26</v>
      </c>
    </row>
    <row r="1277" spans="1:3" x14ac:dyDescent="0.25">
      <c r="A1277" s="60">
        <v>1276</v>
      </c>
      <c r="B1277" s="61">
        <v>45839</v>
      </c>
      <c r="C1277" s="60" t="s">
        <v>27</v>
      </c>
    </row>
    <row r="1278" spans="1:3" x14ac:dyDescent="0.25">
      <c r="A1278" s="60">
        <v>1277</v>
      </c>
      <c r="B1278" s="61">
        <v>45840</v>
      </c>
      <c r="C1278" s="60" t="s">
        <v>28</v>
      </c>
    </row>
    <row r="1279" spans="1:3" x14ac:dyDescent="0.25">
      <c r="A1279" s="60">
        <v>1278</v>
      </c>
      <c r="B1279" s="61">
        <v>45841</v>
      </c>
      <c r="C1279" s="60" t="s">
        <v>29</v>
      </c>
    </row>
    <row r="1280" spans="1:3" x14ac:dyDescent="0.25">
      <c r="A1280" s="60">
        <v>1279</v>
      </c>
      <c r="B1280" s="61">
        <v>45842</v>
      </c>
      <c r="C1280" s="60" t="s">
        <v>25</v>
      </c>
    </row>
    <row r="1281" spans="1:3" x14ac:dyDescent="0.25">
      <c r="A1281" s="60">
        <v>1280</v>
      </c>
      <c r="B1281" s="61">
        <v>45845</v>
      </c>
      <c r="C1281" s="60" t="s">
        <v>26</v>
      </c>
    </row>
    <row r="1282" spans="1:3" x14ac:dyDescent="0.25">
      <c r="A1282" s="60">
        <v>1281</v>
      </c>
      <c r="B1282" s="61">
        <v>45846</v>
      </c>
      <c r="C1282" s="60" t="s">
        <v>27</v>
      </c>
    </row>
    <row r="1283" spans="1:3" x14ac:dyDescent="0.25">
      <c r="A1283" s="60">
        <v>1282</v>
      </c>
      <c r="B1283" s="61">
        <v>45847</v>
      </c>
      <c r="C1283" s="60" t="s">
        <v>28</v>
      </c>
    </row>
    <row r="1284" spans="1:3" x14ac:dyDescent="0.25">
      <c r="A1284" s="60">
        <v>1283</v>
      </c>
      <c r="B1284" s="61">
        <v>45848</v>
      </c>
      <c r="C1284" s="60" t="s">
        <v>29</v>
      </c>
    </row>
    <row r="1285" spans="1:3" x14ac:dyDescent="0.25">
      <c r="A1285" s="60">
        <v>1284</v>
      </c>
      <c r="B1285" s="61">
        <v>45849</v>
      </c>
      <c r="C1285" s="60" t="s">
        <v>25</v>
      </c>
    </row>
    <row r="1286" spans="1:3" x14ac:dyDescent="0.25">
      <c r="A1286" s="60">
        <v>1285</v>
      </c>
      <c r="B1286" s="61">
        <v>45852</v>
      </c>
      <c r="C1286" s="60" t="s">
        <v>26</v>
      </c>
    </row>
    <row r="1287" spans="1:3" x14ac:dyDescent="0.25">
      <c r="A1287" s="60">
        <v>1286</v>
      </c>
      <c r="B1287" s="61">
        <v>45853</v>
      </c>
      <c r="C1287" s="60" t="s">
        <v>27</v>
      </c>
    </row>
    <row r="1288" spans="1:3" x14ac:dyDescent="0.25">
      <c r="A1288" s="60">
        <v>1287</v>
      </c>
      <c r="B1288" s="61">
        <v>45854</v>
      </c>
      <c r="C1288" s="60" t="s">
        <v>28</v>
      </c>
    </row>
    <row r="1289" spans="1:3" x14ac:dyDescent="0.25">
      <c r="A1289" s="60">
        <v>1288</v>
      </c>
      <c r="B1289" s="61">
        <v>45855</v>
      </c>
      <c r="C1289" s="60" t="s">
        <v>29</v>
      </c>
    </row>
    <row r="1290" spans="1:3" x14ac:dyDescent="0.25">
      <c r="A1290" s="60">
        <v>1289</v>
      </c>
      <c r="B1290" s="61">
        <v>45856</v>
      </c>
      <c r="C1290" s="60" t="s">
        <v>25</v>
      </c>
    </row>
    <row r="1291" spans="1:3" x14ac:dyDescent="0.25">
      <c r="A1291" s="60">
        <v>1290</v>
      </c>
      <c r="B1291" s="61">
        <v>45859</v>
      </c>
      <c r="C1291" s="60" t="s">
        <v>26</v>
      </c>
    </row>
    <row r="1292" spans="1:3" x14ac:dyDescent="0.25">
      <c r="A1292" s="60">
        <v>1291</v>
      </c>
      <c r="B1292" s="61">
        <v>45860</v>
      </c>
      <c r="C1292" s="60" t="s">
        <v>27</v>
      </c>
    </row>
    <row r="1293" spans="1:3" x14ac:dyDescent="0.25">
      <c r="A1293" s="60">
        <v>1292</v>
      </c>
      <c r="B1293" s="61">
        <v>45861</v>
      </c>
      <c r="C1293" s="60" t="s">
        <v>28</v>
      </c>
    </row>
    <row r="1294" spans="1:3" x14ac:dyDescent="0.25">
      <c r="A1294" s="60">
        <v>1293</v>
      </c>
      <c r="B1294" s="61">
        <v>45862</v>
      </c>
      <c r="C1294" s="60" t="s">
        <v>29</v>
      </c>
    </row>
    <row r="1295" spans="1:3" x14ac:dyDescent="0.25">
      <c r="A1295" s="60">
        <v>1294</v>
      </c>
      <c r="B1295" s="61">
        <v>45863</v>
      </c>
      <c r="C1295" s="60" t="s">
        <v>25</v>
      </c>
    </row>
    <row r="1296" spans="1:3" x14ac:dyDescent="0.25">
      <c r="A1296" s="60">
        <v>1295</v>
      </c>
      <c r="B1296" s="61">
        <v>45866</v>
      </c>
      <c r="C1296" s="60" t="s">
        <v>26</v>
      </c>
    </row>
    <row r="1297" spans="1:3" x14ac:dyDescent="0.25">
      <c r="A1297" s="60">
        <v>1296</v>
      </c>
      <c r="B1297" s="61">
        <v>45867</v>
      </c>
      <c r="C1297" s="60" t="s">
        <v>27</v>
      </c>
    </row>
    <row r="1298" spans="1:3" x14ac:dyDescent="0.25">
      <c r="A1298" s="60">
        <v>1297</v>
      </c>
      <c r="B1298" s="61">
        <v>45868</v>
      </c>
      <c r="C1298" s="60" t="s">
        <v>28</v>
      </c>
    </row>
    <row r="1299" spans="1:3" x14ac:dyDescent="0.25">
      <c r="A1299" s="60">
        <v>1298</v>
      </c>
      <c r="B1299" s="61">
        <v>45869</v>
      </c>
      <c r="C1299" s="60" t="s">
        <v>29</v>
      </c>
    </row>
    <row r="1300" spans="1:3" x14ac:dyDescent="0.25">
      <c r="A1300" s="60">
        <v>1299</v>
      </c>
      <c r="B1300" s="61">
        <v>45870</v>
      </c>
      <c r="C1300" s="60" t="s">
        <v>25</v>
      </c>
    </row>
    <row r="1301" spans="1:3" x14ac:dyDescent="0.25">
      <c r="A1301" s="60">
        <v>1300</v>
      </c>
      <c r="B1301" s="61">
        <v>45873</v>
      </c>
      <c r="C1301" s="60" t="s">
        <v>26</v>
      </c>
    </row>
    <row r="1302" spans="1:3" x14ac:dyDescent="0.25">
      <c r="A1302" s="60">
        <v>1301</v>
      </c>
      <c r="B1302" s="61">
        <v>45874</v>
      </c>
      <c r="C1302" s="60" t="s">
        <v>27</v>
      </c>
    </row>
    <row r="1303" spans="1:3" x14ac:dyDescent="0.25">
      <c r="A1303" s="60">
        <v>1302</v>
      </c>
      <c r="B1303" s="61">
        <v>45875</v>
      </c>
      <c r="C1303" s="60" t="s">
        <v>28</v>
      </c>
    </row>
    <row r="1304" spans="1:3" x14ac:dyDescent="0.25">
      <c r="A1304" s="60">
        <v>1303</v>
      </c>
      <c r="B1304" s="61">
        <v>45876</v>
      </c>
      <c r="C1304" s="60" t="s">
        <v>29</v>
      </c>
    </row>
    <row r="1305" spans="1:3" x14ac:dyDescent="0.25">
      <c r="A1305" s="60">
        <v>1304</v>
      </c>
      <c r="B1305" s="61">
        <v>45877</v>
      </c>
      <c r="C1305" s="60" t="s">
        <v>25</v>
      </c>
    </row>
    <row r="1306" spans="1:3" x14ac:dyDescent="0.25">
      <c r="A1306" s="60">
        <v>1305</v>
      </c>
      <c r="B1306" s="61">
        <v>45880</v>
      </c>
      <c r="C1306" s="60" t="s">
        <v>26</v>
      </c>
    </row>
    <row r="1307" spans="1:3" x14ac:dyDescent="0.25">
      <c r="A1307" s="60">
        <v>1306</v>
      </c>
      <c r="B1307" s="61">
        <v>45881</v>
      </c>
      <c r="C1307" s="60" t="s">
        <v>27</v>
      </c>
    </row>
    <row r="1308" spans="1:3" x14ac:dyDescent="0.25">
      <c r="A1308" s="60">
        <v>1307</v>
      </c>
      <c r="B1308" s="61">
        <v>45882</v>
      </c>
      <c r="C1308" s="60" t="s">
        <v>28</v>
      </c>
    </row>
    <row r="1309" spans="1:3" x14ac:dyDescent="0.25">
      <c r="A1309" s="60">
        <v>1308</v>
      </c>
      <c r="B1309" s="61">
        <v>45883</v>
      </c>
      <c r="C1309" s="60" t="s">
        <v>29</v>
      </c>
    </row>
    <row r="1310" spans="1:3" x14ac:dyDescent="0.25">
      <c r="A1310" s="60">
        <v>1309</v>
      </c>
      <c r="B1310" s="61">
        <v>45884</v>
      </c>
      <c r="C1310" s="60" t="s">
        <v>25</v>
      </c>
    </row>
    <row r="1311" spans="1:3" x14ac:dyDescent="0.25">
      <c r="A1311" s="60">
        <v>1310</v>
      </c>
      <c r="B1311" s="61">
        <v>45887</v>
      </c>
      <c r="C1311" s="60" t="s">
        <v>26</v>
      </c>
    </row>
    <row r="1312" spans="1:3" x14ac:dyDescent="0.25">
      <c r="A1312" s="60">
        <v>1311</v>
      </c>
      <c r="B1312" s="61">
        <v>45888</v>
      </c>
      <c r="C1312" s="60" t="s">
        <v>27</v>
      </c>
    </row>
    <row r="1313" spans="1:3" x14ac:dyDescent="0.25">
      <c r="A1313" s="60">
        <v>1312</v>
      </c>
      <c r="B1313" s="61">
        <v>45889</v>
      </c>
      <c r="C1313" s="60" t="s">
        <v>28</v>
      </c>
    </row>
    <row r="1314" spans="1:3" x14ac:dyDescent="0.25">
      <c r="A1314" s="60">
        <v>1313</v>
      </c>
      <c r="B1314" s="61">
        <v>45890</v>
      </c>
      <c r="C1314" s="60" t="s">
        <v>29</v>
      </c>
    </row>
    <row r="1315" spans="1:3" x14ac:dyDescent="0.25">
      <c r="A1315" s="60">
        <v>1314</v>
      </c>
      <c r="B1315" s="61">
        <v>45891</v>
      </c>
      <c r="C1315" s="60" t="s">
        <v>25</v>
      </c>
    </row>
    <row r="1316" spans="1:3" x14ac:dyDescent="0.25">
      <c r="A1316" s="60">
        <v>1315</v>
      </c>
      <c r="B1316" s="61">
        <v>45894</v>
      </c>
      <c r="C1316" s="60" t="s">
        <v>26</v>
      </c>
    </row>
    <row r="1317" spans="1:3" x14ac:dyDescent="0.25">
      <c r="A1317" s="60">
        <v>1316</v>
      </c>
      <c r="B1317" s="61">
        <v>45895</v>
      </c>
      <c r="C1317" s="60" t="s">
        <v>27</v>
      </c>
    </row>
    <row r="1318" spans="1:3" x14ac:dyDescent="0.25">
      <c r="A1318" s="60">
        <v>1317</v>
      </c>
      <c r="B1318" s="61">
        <v>45896</v>
      </c>
      <c r="C1318" s="60" t="s">
        <v>28</v>
      </c>
    </row>
    <row r="1319" spans="1:3" x14ac:dyDescent="0.25">
      <c r="A1319" s="60">
        <v>1318</v>
      </c>
      <c r="B1319" s="61">
        <v>45897</v>
      </c>
      <c r="C1319" s="60" t="s">
        <v>29</v>
      </c>
    </row>
    <row r="1320" spans="1:3" x14ac:dyDescent="0.25">
      <c r="A1320" s="60">
        <v>1319</v>
      </c>
      <c r="B1320" s="61">
        <v>45898</v>
      </c>
      <c r="C1320" s="60" t="s">
        <v>25</v>
      </c>
    </row>
    <row r="1321" spans="1:3" x14ac:dyDescent="0.25">
      <c r="A1321" s="60">
        <v>1320</v>
      </c>
      <c r="B1321" s="61">
        <v>45901</v>
      </c>
      <c r="C1321" s="60" t="s">
        <v>26</v>
      </c>
    </row>
    <row r="1322" spans="1:3" x14ac:dyDescent="0.25">
      <c r="A1322" s="60">
        <v>1321</v>
      </c>
      <c r="B1322" s="61">
        <v>45902</v>
      </c>
      <c r="C1322" s="60" t="s">
        <v>27</v>
      </c>
    </row>
    <row r="1323" spans="1:3" x14ac:dyDescent="0.25">
      <c r="A1323" s="60">
        <v>1322</v>
      </c>
      <c r="B1323" s="61">
        <v>45903</v>
      </c>
      <c r="C1323" s="60" t="s">
        <v>28</v>
      </c>
    </row>
    <row r="1324" spans="1:3" x14ac:dyDescent="0.25">
      <c r="A1324" s="60">
        <v>1323</v>
      </c>
      <c r="B1324" s="61">
        <v>45904</v>
      </c>
      <c r="C1324" s="60" t="s">
        <v>29</v>
      </c>
    </row>
    <row r="1325" spans="1:3" x14ac:dyDescent="0.25">
      <c r="A1325" s="60">
        <v>1324</v>
      </c>
      <c r="B1325" s="61">
        <v>45905</v>
      </c>
      <c r="C1325" s="60" t="s">
        <v>25</v>
      </c>
    </row>
    <row r="1326" spans="1:3" x14ac:dyDescent="0.25">
      <c r="A1326" s="60">
        <v>1325</v>
      </c>
      <c r="B1326" s="61">
        <v>45908</v>
      </c>
      <c r="C1326" s="60" t="s">
        <v>26</v>
      </c>
    </row>
    <row r="1327" spans="1:3" x14ac:dyDescent="0.25">
      <c r="A1327" s="60">
        <v>1326</v>
      </c>
      <c r="B1327" s="61">
        <v>45909</v>
      </c>
      <c r="C1327" s="60" t="s">
        <v>27</v>
      </c>
    </row>
    <row r="1328" spans="1:3" x14ac:dyDescent="0.25">
      <c r="A1328" s="60">
        <v>1327</v>
      </c>
      <c r="B1328" s="61">
        <v>45910</v>
      </c>
      <c r="C1328" s="60" t="s">
        <v>28</v>
      </c>
    </row>
    <row r="1329" spans="1:3" x14ac:dyDescent="0.25">
      <c r="A1329" s="60">
        <v>1328</v>
      </c>
      <c r="B1329" s="61">
        <v>45911</v>
      </c>
      <c r="C1329" s="60" t="s">
        <v>29</v>
      </c>
    </row>
    <row r="1330" spans="1:3" x14ac:dyDescent="0.25">
      <c r="A1330" s="60">
        <v>1329</v>
      </c>
      <c r="B1330" s="61">
        <v>45912</v>
      </c>
      <c r="C1330" s="60" t="s">
        <v>25</v>
      </c>
    </row>
    <row r="1331" spans="1:3" x14ac:dyDescent="0.25">
      <c r="A1331" s="60">
        <v>1330</v>
      </c>
      <c r="B1331" s="61">
        <v>45915</v>
      </c>
      <c r="C1331" s="60" t="s">
        <v>26</v>
      </c>
    </row>
    <row r="1332" spans="1:3" x14ac:dyDescent="0.25">
      <c r="A1332" s="60">
        <v>1331</v>
      </c>
      <c r="B1332" s="61">
        <v>45916</v>
      </c>
      <c r="C1332" s="60" t="s">
        <v>27</v>
      </c>
    </row>
    <row r="1333" spans="1:3" x14ac:dyDescent="0.25">
      <c r="A1333" s="60">
        <v>1332</v>
      </c>
      <c r="B1333" s="61">
        <v>45917</v>
      </c>
      <c r="C1333" s="60" t="s">
        <v>28</v>
      </c>
    </row>
    <row r="1334" spans="1:3" x14ac:dyDescent="0.25">
      <c r="A1334" s="60">
        <v>1333</v>
      </c>
      <c r="B1334" s="61">
        <v>45918</v>
      </c>
      <c r="C1334" s="60" t="s">
        <v>29</v>
      </c>
    </row>
    <row r="1335" spans="1:3" x14ac:dyDescent="0.25">
      <c r="A1335" s="60">
        <v>1334</v>
      </c>
      <c r="B1335" s="61">
        <v>45919</v>
      </c>
      <c r="C1335" s="60" t="s">
        <v>25</v>
      </c>
    </row>
    <row r="1336" spans="1:3" x14ac:dyDescent="0.25">
      <c r="A1336" s="60">
        <v>1335</v>
      </c>
      <c r="B1336" s="61">
        <v>45922</v>
      </c>
      <c r="C1336" s="60" t="s">
        <v>26</v>
      </c>
    </row>
    <row r="1337" spans="1:3" x14ac:dyDescent="0.25">
      <c r="A1337" s="60">
        <v>1336</v>
      </c>
      <c r="B1337" s="61">
        <v>45923</v>
      </c>
      <c r="C1337" s="60" t="s">
        <v>27</v>
      </c>
    </row>
    <row r="1338" spans="1:3" x14ac:dyDescent="0.25">
      <c r="A1338" s="60">
        <v>1337</v>
      </c>
      <c r="B1338" s="61">
        <v>45924</v>
      </c>
      <c r="C1338" s="60" t="s">
        <v>28</v>
      </c>
    </row>
    <row r="1339" spans="1:3" x14ac:dyDescent="0.25">
      <c r="A1339" s="60">
        <v>1338</v>
      </c>
      <c r="B1339" s="61">
        <v>45925</v>
      </c>
      <c r="C1339" s="60" t="s">
        <v>29</v>
      </c>
    </row>
    <row r="1340" spans="1:3" x14ac:dyDescent="0.25">
      <c r="A1340" s="60">
        <v>1339</v>
      </c>
      <c r="B1340" s="61">
        <v>45926</v>
      </c>
      <c r="C1340" s="60" t="s">
        <v>25</v>
      </c>
    </row>
    <row r="1341" spans="1:3" x14ac:dyDescent="0.25">
      <c r="A1341" s="60">
        <v>1340</v>
      </c>
      <c r="B1341" s="61">
        <v>45929</v>
      </c>
      <c r="C1341" s="60" t="s">
        <v>26</v>
      </c>
    </row>
    <row r="1342" spans="1:3" x14ac:dyDescent="0.25">
      <c r="A1342" s="60">
        <v>1341</v>
      </c>
      <c r="B1342" s="61">
        <v>45930</v>
      </c>
      <c r="C1342" s="60" t="s">
        <v>27</v>
      </c>
    </row>
    <row r="1343" spans="1:3" x14ac:dyDescent="0.25">
      <c r="A1343" s="60">
        <v>1342</v>
      </c>
      <c r="B1343" s="61">
        <v>45931</v>
      </c>
      <c r="C1343" s="60" t="s">
        <v>28</v>
      </c>
    </row>
    <row r="1344" spans="1:3" x14ac:dyDescent="0.25">
      <c r="A1344" s="60">
        <v>1343</v>
      </c>
      <c r="B1344" s="61">
        <v>45932</v>
      </c>
      <c r="C1344" s="60" t="s">
        <v>29</v>
      </c>
    </row>
    <row r="1345" spans="1:3" x14ac:dyDescent="0.25">
      <c r="A1345" s="60">
        <v>1344</v>
      </c>
      <c r="B1345" s="61">
        <v>45933</v>
      </c>
      <c r="C1345" s="60" t="s">
        <v>25</v>
      </c>
    </row>
    <row r="1346" spans="1:3" x14ac:dyDescent="0.25">
      <c r="A1346" s="60">
        <v>1345</v>
      </c>
      <c r="B1346" s="61">
        <v>45936</v>
      </c>
      <c r="C1346" s="60" t="s">
        <v>26</v>
      </c>
    </row>
    <row r="1347" spans="1:3" x14ac:dyDescent="0.25">
      <c r="A1347" s="60">
        <v>1346</v>
      </c>
      <c r="B1347" s="61">
        <v>45937</v>
      </c>
      <c r="C1347" s="60" t="s">
        <v>27</v>
      </c>
    </row>
    <row r="1348" spans="1:3" x14ac:dyDescent="0.25">
      <c r="A1348" s="60">
        <v>1347</v>
      </c>
      <c r="B1348" s="61">
        <v>45938</v>
      </c>
      <c r="C1348" s="60" t="s">
        <v>28</v>
      </c>
    </row>
    <row r="1349" spans="1:3" x14ac:dyDescent="0.25">
      <c r="A1349" s="60">
        <v>1348</v>
      </c>
      <c r="B1349" s="61">
        <v>45939</v>
      </c>
      <c r="C1349" s="60" t="s">
        <v>29</v>
      </c>
    </row>
    <row r="1350" spans="1:3" x14ac:dyDescent="0.25">
      <c r="A1350" s="60">
        <v>1349</v>
      </c>
      <c r="B1350" s="61">
        <v>45940</v>
      </c>
      <c r="C1350" s="60" t="s">
        <v>25</v>
      </c>
    </row>
    <row r="1351" spans="1:3" x14ac:dyDescent="0.25">
      <c r="A1351" s="60">
        <v>1350</v>
      </c>
      <c r="B1351" s="61">
        <v>45943</v>
      </c>
      <c r="C1351" s="60" t="s">
        <v>26</v>
      </c>
    </row>
    <row r="1352" spans="1:3" x14ac:dyDescent="0.25">
      <c r="A1352" s="60">
        <v>1351</v>
      </c>
      <c r="B1352" s="61">
        <v>45944</v>
      </c>
      <c r="C1352" s="60" t="s">
        <v>27</v>
      </c>
    </row>
    <row r="1353" spans="1:3" x14ac:dyDescent="0.25">
      <c r="A1353" s="60">
        <v>1352</v>
      </c>
      <c r="B1353" s="61">
        <v>45945</v>
      </c>
      <c r="C1353" s="60" t="s">
        <v>28</v>
      </c>
    </row>
    <row r="1354" spans="1:3" x14ac:dyDescent="0.25">
      <c r="A1354" s="60">
        <v>1353</v>
      </c>
      <c r="B1354" s="61">
        <v>45946</v>
      </c>
      <c r="C1354" s="60" t="s">
        <v>29</v>
      </c>
    </row>
    <row r="1355" spans="1:3" x14ac:dyDescent="0.25">
      <c r="A1355" s="60">
        <v>1354</v>
      </c>
      <c r="B1355" s="61">
        <v>45947</v>
      </c>
      <c r="C1355" s="60" t="s">
        <v>25</v>
      </c>
    </row>
    <row r="1356" spans="1:3" x14ac:dyDescent="0.25">
      <c r="A1356" s="60">
        <v>1355</v>
      </c>
      <c r="B1356" s="61">
        <v>45950</v>
      </c>
      <c r="C1356" s="60" t="s">
        <v>26</v>
      </c>
    </row>
    <row r="1357" spans="1:3" x14ac:dyDescent="0.25">
      <c r="A1357" s="60">
        <v>1356</v>
      </c>
      <c r="B1357" s="61">
        <v>45951</v>
      </c>
      <c r="C1357" s="60" t="s">
        <v>27</v>
      </c>
    </row>
    <row r="1358" spans="1:3" x14ac:dyDescent="0.25">
      <c r="A1358" s="60">
        <v>1357</v>
      </c>
      <c r="B1358" s="61">
        <v>45952</v>
      </c>
      <c r="C1358" s="60" t="s">
        <v>28</v>
      </c>
    </row>
    <row r="1359" spans="1:3" x14ac:dyDescent="0.25">
      <c r="A1359" s="60">
        <v>1358</v>
      </c>
      <c r="B1359" s="61">
        <v>45953</v>
      </c>
      <c r="C1359" s="60" t="s">
        <v>29</v>
      </c>
    </row>
    <row r="1360" spans="1:3" x14ac:dyDescent="0.25">
      <c r="A1360" s="60">
        <v>1359</v>
      </c>
      <c r="B1360" s="61">
        <v>45954</v>
      </c>
      <c r="C1360" s="60" t="s">
        <v>25</v>
      </c>
    </row>
    <row r="1361" spans="1:3" x14ac:dyDescent="0.25">
      <c r="A1361" s="60">
        <v>1360</v>
      </c>
      <c r="B1361" s="61">
        <v>45957</v>
      </c>
      <c r="C1361" s="60" t="s">
        <v>26</v>
      </c>
    </row>
    <row r="1362" spans="1:3" x14ac:dyDescent="0.25">
      <c r="A1362" s="60">
        <v>1361</v>
      </c>
      <c r="B1362" s="61">
        <v>45958</v>
      </c>
      <c r="C1362" s="60" t="s">
        <v>27</v>
      </c>
    </row>
    <row r="1363" spans="1:3" x14ac:dyDescent="0.25">
      <c r="A1363" s="60">
        <v>1362</v>
      </c>
      <c r="B1363" s="61">
        <v>45959</v>
      </c>
      <c r="C1363" s="60" t="s">
        <v>28</v>
      </c>
    </row>
    <row r="1364" spans="1:3" x14ac:dyDescent="0.25">
      <c r="A1364" s="60">
        <v>1363</v>
      </c>
      <c r="B1364" s="61">
        <v>45960</v>
      </c>
      <c r="C1364" s="60" t="s">
        <v>29</v>
      </c>
    </row>
    <row r="1365" spans="1:3" x14ac:dyDescent="0.25">
      <c r="A1365" s="60">
        <v>1364</v>
      </c>
      <c r="B1365" s="61">
        <v>45961</v>
      </c>
      <c r="C1365" s="60" t="s">
        <v>25</v>
      </c>
    </row>
    <row r="1366" spans="1:3" x14ac:dyDescent="0.25">
      <c r="A1366" s="60">
        <v>1365</v>
      </c>
      <c r="B1366" s="61">
        <v>45964</v>
      </c>
      <c r="C1366" s="60" t="s">
        <v>26</v>
      </c>
    </row>
    <row r="1367" spans="1:3" x14ac:dyDescent="0.25">
      <c r="A1367" s="60">
        <v>1366</v>
      </c>
      <c r="B1367" s="61">
        <v>45965</v>
      </c>
      <c r="C1367" s="60" t="s">
        <v>27</v>
      </c>
    </row>
    <row r="1368" spans="1:3" x14ac:dyDescent="0.25">
      <c r="A1368" s="60">
        <v>1367</v>
      </c>
      <c r="B1368" s="61">
        <v>45966</v>
      </c>
      <c r="C1368" s="60" t="s">
        <v>28</v>
      </c>
    </row>
    <row r="1369" spans="1:3" x14ac:dyDescent="0.25">
      <c r="A1369" s="60">
        <v>1368</v>
      </c>
      <c r="B1369" s="61">
        <v>45967</v>
      </c>
      <c r="C1369" s="60" t="s">
        <v>29</v>
      </c>
    </row>
    <row r="1370" spans="1:3" x14ac:dyDescent="0.25">
      <c r="A1370" s="60">
        <v>1369</v>
      </c>
      <c r="B1370" s="61">
        <v>45968</v>
      </c>
      <c r="C1370" s="60" t="s">
        <v>25</v>
      </c>
    </row>
    <row r="1371" spans="1:3" x14ac:dyDescent="0.25">
      <c r="A1371" s="60">
        <v>1370</v>
      </c>
      <c r="B1371" s="61">
        <v>45971</v>
      </c>
      <c r="C1371" s="60" t="s">
        <v>26</v>
      </c>
    </row>
    <row r="1372" spans="1:3" x14ac:dyDescent="0.25">
      <c r="A1372" s="60">
        <v>1371</v>
      </c>
      <c r="B1372" s="61">
        <v>45972</v>
      </c>
      <c r="C1372" s="60" t="s">
        <v>27</v>
      </c>
    </row>
    <row r="1373" spans="1:3" x14ac:dyDescent="0.25">
      <c r="A1373" s="60">
        <v>1372</v>
      </c>
      <c r="B1373" s="61">
        <v>45973</v>
      </c>
      <c r="C1373" s="60" t="s">
        <v>28</v>
      </c>
    </row>
    <row r="1374" spans="1:3" x14ac:dyDescent="0.25">
      <c r="A1374" s="60">
        <v>1373</v>
      </c>
      <c r="B1374" s="61">
        <v>45974</v>
      </c>
      <c r="C1374" s="60" t="s">
        <v>29</v>
      </c>
    </row>
    <row r="1375" spans="1:3" x14ac:dyDescent="0.25">
      <c r="A1375" s="60">
        <v>1374</v>
      </c>
      <c r="B1375" s="61">
        <v>45975</v>
      </c>
      <c r="C1375" s="60" t="s">
        <v>25</v>
      </c>
    </row>
    <row r="1376" spans="1:3" x14ac:dyDescent="0.25">
      <c r="A1376" s="60">
        <v>1375</v>
      </c>
      <c r="B1376" s="61">
        <v>45978</v>
      </c>
      <c r="C1376" s="60" t="s">
        <v>26</v>
      </c>
    </row>
    <row r="1377" spans="1:3" x14ac:dyDescent="0.25">
      <c r="A1377" s="60">
        <v>1376</v>
      </c>
      <c r="B1377" s="61">
        <v>45979</v>
      </c>
      <c r="C1377" s="60" t="s">
        <v>27</v>
      </c>
    </row>
    <row r="1378" spans="1:3" x14ac:dyDescent="0.25">
      <c r="A1378" s="60">
        <v>1377</v>
      </c>
      <c r="B1378" s="61">
        <v>45980</v>
      </c>
      <c r="C1378" s="60" t="s">
        <v>28</v>
      </c>
    </row>
    <row r="1379" spans="1:3" x14ac:dyDescent="0.25">
      <c r="A1379" s="60">
        <v>1378</v>
      </c>
      <c r="B1379" s="61">
        <v>45981</v>
      </c>
      <c r="C1379" s="60" t="s">
        <v>29</v>
      </c>
    </row>
    <row r="1380" spans="1:3" x14ac:dyDescent="0.25">
      <c r="A1380" s="60">
        <v>1379</v>
      </c>
      <c r="B1380" s="61">
        <v>45982</v>
      </c>
      <c r="C1380" s="60" t="s">
        <v>25</v>
      </c>
    </row>
    <row r="1381" spans="1:3" x14ac:dyDescent="0.25">
      <c r="A1381" s="60">
        <v>1380</v>
      </c>
      <c r="B1381" s="61">
        <v>45985</v>
      </c>
      <c r="C1381" s="60" t="s">
        <v>26</v>
      </c>
    </row>
    <row r="1382" spans="1:3" x14ac:dyDescent="0.25">
      <c r="A1382" s="60">
        <v>1381</v>
      </c>
      <c r="B1382" s="61">
        <v>45986</v>
      </c>
      <c r="C1382" s="60" t="s">
        <v>27</v>
      </c>
    </row>
    <row r="1383" spans="1:3" x14ac:dyDescent="0.25">
      <c r="A1383" s="60">
        <v>1382</v>
      </c>
      <c r="B1383" s="61">
        <v>45987</v>
      </c>
      <c r="C1383" s="60" t="s">
        <v>28</v>
      </c>
    </row>
    <row r="1384" spans="1:3" x14ac:dyDescent="0.25">
      <c r="A1384" s="60">
        <v>1383</v>
      </c>
      <c r="B1384" s="61">
        <v>45988</v>
      </c>
      <c r="C1384" s="60" t="s">
        <v>29</v>
      </c>
    </row>
    <row r="1385" spans="1:3" x14ac:dyDescent="0.25">
      <c r="A1385" s="60">
        <v>1384</v>
      </c>
      <c r="B1385" s="61">
        <v>45989</v>
      </c>
      <c r="C1385" s="60" t="s">
        <v>25</v>
      </c>
    </row>
    <row r="1386" spans="1:3" x14ac:dyDescent="0.25">
      <c r="A1386" s="60">
        <v>1385</v>
      </c>
      <c r="B1386" s="61">
        <v>45992</v>
      </c>
      <c r="C1386" s="60" t="s">
        <v>26</v>
      </c>
    </row>
    <row r="1387" spans="1:3" x14ac:dyDescent="0.25">
      <c r="A1387" s="60">
        <v>1386</v>
      </c>
      <c r="B1387" s="61">
        <v>45993</v>
      </c>
      <c r="C1387" s="60" t="s">
        <v>27</v>
      </c>
    </row>
    <row r="1388" spans="1:3" x14ac:dyDescent="0.25">
      <c r="A1388" s="60">
        <v>1387</v>
      </c>
      <c r="B1388" s="61">
        <v>45994</v>
      </c>
      <c r="C1388" s="60" t="s">
        <v>28</v>
      </c>
    </row>
    <row r="1389" spans="1:3" x14ac:dyDescent="0.25">
      <c r="A1389" s="60">
        <v>1388</v>
      </c>
      <c r="B1389" s="61">
        <v>45995</v>
      </c>
      <c r="C1389" s="60" t="s">
        <v>29</v>
      </c>
    </row>
    <row r="1390" spans="1:3" x14ac:dyDescent="0.25">
      <c r="A1390" s="60">
        <v>1389</v>
      </c>
      <c r="B1390" s="61">
        <v>45996</v>
      </c>
      <c r="C1390" s="60" t="s">
        <v>25</v>
      </c>
    </row>
    <row r="1391" spans="1:3" x14ac:dyDescent="0.25">
      <c r="A1391" s="60">
        <v>1390</v>
      </c>
      <c r="B1391" s="61">
        <v>45999</v>
      </c>
      <c r="C1391" s="60" t="s">
        <v>26</v>
      </c>
    </row>
    <row r="1392" spans="1:3" x14ac:dyDescent="0.25">
      <c r="A1392" s="60">
        <v>1391</v>
      </c>
      <c r="B1392" s="61">
        <v>46000</v>
      </c>
      <c r="C1392" s="60" t="s">
        <v>27</v>
      </c>
    </row>
    <row r="1393" spans="1:3" x14ac:dyDescent="0.25">
      <c r="A1393" s="60">
        <v>1392</v>
      </c>
      <c r="B1393" s="61">
        <v>46001</v>
      </c>
      <c r="C1393" s="60" t="s">
        <v>28</v>
      </c>
    </row>
    <row r="1394" spans="1:3" x14ac:dyDescent="0.25">
      <c r="A1394" s="60">
        <v>1393</v>
      </c>
      <c r="B1394" s="61">
        <v>46002</v>
      </c>
      <c r="C1394" s="60" t="s">
        <v>29</v>
      </c>
    </row>
    <row r="1395" spans="1:3" x14ac:dyDescent="0.25">
      <c r="A1395" s="60">
        <v>1394</v>
      </c>
      <c r="B1395" s="61">
        <v>46003</v>
      </c>
      <c r="C1395" s="60" t="s">
        <v>25</v>
      </c>
    </row>
    <row r="1396" spans="1:3" x14ac:dyDescent="0.25">
      <c r="A1396" s="60">
        <v>1395</v>
      </c>
      <c r="B1396" s="61">
        <v>46006</v>
      </c>
      <c r="C1396" s="60" t="s">
        <v>26</v>
      </c>
    </row>
    <row r="1397" spans="1:3" x14ac:dyDescent="0.25">
      <c r="A1397" s="60">
        <v>1396</v>
      </c>
      <c r="B1397" s="61">
        <v>46007</v>
      </c>
      <c r="C1397" s="60" t="s">
        <v>27</v>
      </c>
    </row>
    <row r="1398" spans="1:3" x14ac:dyDescent="0.25">
      <c r="A1398" s="60">
        <v>1397</v>
      </c>
      <c r="B1398" s="61">
        <v>46008</v>
      </c>
      <c r="C1398" s="60" t="s">
        <v>28</v>
      </c>
    </row>
    <row r="1399" spans="1:3" x14ac:dyDescent="0.25">
      <c r="A1399" s="60">
        <v>1398</v>
      </c>
      <c r="B1399" s="61">
        <v>46009</v>
      </c>
      <c r="C1399" s="60" t="s">
        <v>29</v>
      </c>
    </row>
    <row r="1400" spans="1:3" x14ac:dyDescent="0.25">
      <c r="A1400" s="60">
        <v>1399</v>
      </c>
      <c r="B1400" s="61">
        <v>46010</v>
      </c>
      <c r="C1400" s="60" t="s">
        <v>25</v>
      </c>
    </row>
    <row r="1401" spans="1:3" x14ac:dyDescent="0.25">
      <c r="A1401" s="60">
        <v>1400</v>
      </c>
      <c r="B1401" s="61">
        <v>46013</v>
      </c>
      <c r="C1401" s="60" t="s">
        <v>26</v>
      </c>
    </row>
    <row r="1402" spans="1:3" x14ac:dyDescent="0.25">
      <c r="A1402" s="60">
        <v>1401</v>
      </c>
      <c r="B1402" s="61">
        <v>46014</v>
      </c>
      <c r="C1402" s="60" t="s">
        <v>27</v>
      </c>
    </row>
    <row r="1403" spans="1:3" x14ac:dyDescent="0.25">
      <c r="A1403" s="60">
        <v>1402</v>
      </c>
      <c r="B1403" s="61">
        <v>46015</v>
      </c>
      <c r="C1403" s="60" t="s">
        <v>28</v>
      </c>
    </row>
    <row r="1404" spans="1:3" x14ac:dyDescent="0.25">
      <c r="A1404" s="60">
        <v>1403</v>
      </c>
      <c r="B1404" s="61">
        <v>46016</v>
      </c>
      <c r="C1404" s="60" t="s">
        <v>29</v>
      </c>
    </row>
    <row r="1405" spans="1:3" x14ac:dyDescent="0.25">
      <c r="A1405" s="60">
        <v>1404</v>
      </c>
      <c r="B1405" s="61">
        <v>46017</v>
      </c>
      <c r="C1405" s="60" t="s">
        <v>25</v>
      </c>
    </row>
    <row r="1406" spans="1:3" x14ac:dyDescent="0.25">
      <c r="A1406" s="60">
        <v>1405</v>
      </c>
      <c r="B1406" s="61">
        <v>46020</v>
      </c>
      <c r="C1406" s="60" t="s">
        <v>26</v>
      </c>
    </row>
    <row r="1407" spans="1:3" x14ac:dyDescent="0.25">
      <c r="A1407" s="60">
        <v>1406</v>
      </c>
      <c r="B1407" s="61">
        <v>46021</v>
      </c>
      <c r="C1407" s="60" t="s">
        <v>27</v>
      </c>
    </row>
    <row r="1408" spans="1:3" x14ac:dyDescent="0.25">
      <c r="A1408" s="60">
        <v>1407</v>
      </c>
      <c r="B1408" s="61">
        <v>46022</v>
      </c>
      <c r="C1408" s="60" t="s">
        <v>28</v>
      </c>
    </row>
    <row r="1409" spans="1:3" x14ac:dyDescent="0.25">
      <c r="A1409" s="60">
        <v>1408</v>
      </c>
      <c r="B1409" s="61">
        <v>46023</v>
      </c>
      <c r="C1409" s="60" t="s">
        <v>29</v>
      </c>
    </row>
    <row r="1410" spans="1:3" x14ac:dyDescent="0.25">
      <c r="A1410" s="60">
        <v>1409</v>
      </c>
      <c r="B1410" s="61">
        <v>46024</v>
      </c>
      <c r="C1410" s="60" t="s">
        <v>25</v>
      </c>
    </row>
    <row r="1411" spans="1:3" x14ac:dyDescent="0.25">
      <c r="A1411" s="60">
        <v>1410</v>
      </c>
      <c r="B1411" s="61">
        <v>46027</v>
      </c>
      <c r="C1411" s="60" t="s">
        <v>26</v>
      </c>
    </row>
    <row r="1412" spans="1:3" x14ac:dyDescent="0.25">
      <c r="A1412" s="60">
        <v>1411</v>
      </c>
      <c r="B1412" s="61">
        <v>46028</v>
      </c>
      <c r="C1412" s="60" t="s">
        <v>27</v>
      </c>
    </row>
    <row r="1413" spans="1:3" x14ac:dyDescent="0.25">
      <c r="A1413" s="60">
        <v>1412</v>
      </c>
      <c r="B1413" s="61">
        <v>46029</v>
      </c>
      <c r="C1413" s="60" t="s">
        <v>28</v>
      </c>
    </row>
    <row r="1414" spans="1:3" x14ac:dyDescent="0.25">
      <c r="A1414" s="60">
        <v>1413</v>
      </c>
      <c r="B1414" s="61">
        <v>46030</v>
      </c>
      <c r="C1414" s="60" t="s">
        <v>29</v>
      </c>
    </row>
    <row r="1415" spans="1:3" x14ac:dyDescent="0.25">
      <c r="A1415" s="60">
        <v>1414</v>
      </c>
      <c r="B1415" s="61">
        <v>46031</v>
      </c>
      <c r="C1415" s="60" t="s">
        <v>25</v>
      </c>
    </row>
    <row r="1416" spans="1:3" x14ac:dyDescent="0.25">
      <c r="A1416" s="60">
        <v>1415</v>
      </c>
      <c r="B1416" s="61">
        <v>46034</v>
      </c>
      <c r="C1416" s="60" t="s">
        <v>26</v>
      </c>
    </row>
    <row r="1417" spans="1:3" x14ac:dyDescent="0.25">
      <c r="A1417" s="60">
        <v>1416</v>
      </c>
      <c r="B1417" s="61">
        <v>46035</v>
      </c>
      <c r="C1417" s="60" t="s">
        <v>27</v>
      </c>
    </row>
    <row r="1418" spans="1:3" x14ac:dyDescent="0.25">
      <c r="A1418" s="60">
        <v>1417</v>
      </c>
      <c r="B1418" s="61">
        <v>46036</v>
      </c>
      <c r="C1418" s="60" t="s">
        <v>28</v>
      </c>
    </row>
    <row r="1419" spans="1:3" x14ac:dyDescent="0.25">
      <c r="A1419" s="60">
        <v>1418</v>
      </c>
      <c r="B1419" s="61">
        <v>46037</v>
      </c>
      <c r="C1419" s="60" t="s">
        <v>29</v>
      </c>
    </row>
    <row r="1420" spans="1:3" x14ac:dyDescent="0.25">
      <c r="A1420" s="60">
        <v>1419</v>
      </c>
      <c r="B1420" s="61">
        <v>46038</v>
      </c>
      <c r="C1420" s="60" t="s">
        <v>25</v>
      </c>
    </row>
    <row r="1421" spans="1:3" x14ac:dyDescent="0.25">
      <c r="A1421" s="60">
        <v>1420</v>
      </c>
      <c r="B1421" s="61">
        <v>46041</v>
      </c>
      <c r="C1421" s="60" t="s">
        <v>26</v>
      </c>
    </row>
    <row r="1422" spans="1:3" x14ac:dyDescent="0.25">
      <c r="A1422" s="60">
        <v>1421</v>
      </c>
      <c r="B1422" s="61">
        <v>46042</v>
      </c>
      <c r="C1422" s="60" t="s">
        <v>27</v>
      </c>
    </row>
    <row r="1423" spans="1:3" x14ac:dyDescent="0.25">
      <c r="A1423" s="60">
        <v>1422</v>
      </c>
      <c r="B1423" s="61">
        <v>46043</v>
      </c>
      <c r="C1423" s="60" t="s">
        <v>28</v>
      </c>
    </row>
    <row r="1424" spans="1:3" x14ac:dyDescent="0.25">
      <c r="A1424" s="60">
        <v>1423</v>
      </c>
      <c r="B1424" s="61">
        <v>46044</v>
      </c>
      <c r="C1424" s="60" t="s">
        <v>29</v>
      </c>
    </row>
    <row r="1425" spans="1:3" x14ac:dyDescent="0.25">
      <c r="A1425" s="60">
        <v>1424</v>
      </c>
      <c r="B1425" s="61">
        <v>46045</v>
      </c>
      <c r="C1425" s="60" t="s">
        <v>25</v>
      </c>
    </row>
    <row r="1426" spans="1:3" x14ac:dyDescent="0.25">
      <c r="A1426" s="60">
        <v>1425</v>
      </c>
      <c r="B1426" s="61">
        <v>46048</v>
      </c>
      <c r="C1426" s="60" t="s">
        <v>26</v>
      </c>
    </row>
    <row r="1427" spans="1:3" x14ac:dyDescent="0.25">
      <c r="A1427" s="60">
        <v>1426</v>
      </c>
      <c r="B1427" s="61">
        <v>46049</v>
      </c>
      <c r="C1427" s="60" t="s">
        <v>27</v>
      </c>
    </row>
    <row r="1428" spans="1:3" x14ac:dyDescent="0.25">
      <c r="A1428" s="60">
        <v>1427</v>
      </c>
      <c r="B1428" s="61">
        <v>46050</v>
      </c>
      <c r="C1428" s="60" t="s">
        <v>28</v>
      </c>
    </row>
    <row r="1429" spans="1:3" x14ac:dyDescent="0.25">
      <c r="A1429" s="60">
        <v>1428</v>
      </c>
      <c r="B1429" s="61">
        <v>46051</v>
      </c>
      <c r="C1429" s="60" t="s">
        <v>29</v>
      </c>
    </row>
    <row r="1430" spans="1:3" x14ac:dyDescent="0.25">
      <c r="A1430" s="60">
        <v>1429</v>
      </c>
      <c r="B1430" s="61">
        <v>46052</v>
      </c>
      <c r="C1430" s="60" t="s">
        <v>25</v>
      </c>
    </row>
    <row r="1431" spans="1:3" x14ac:dyDescent="0.25">
      <c r="A1431" s="60">
        <v>1430</v>
      </c>
      <c r="B1431" s="61">
        <v>46055</v>
      </c>
      <c r="C1431" s="60" t="s">
        <v>26</v>
      </c>
    </row>
    <row r="1432" spans="1:3" x14ac:dyDescent="0.25">
      <c r="A1432" s="60">
        <v>1431</v>
      </c>
      <c r="B1432" s="61">
        <v>46056</v>
      </c>
      <c r="C1432" s="60" t="s">
        <v>27</v>
      </c>
    </row>
    <row r="1433" spans="1:3" x14ac:dyDescent="0.25">
      <c r="A1433" s="60">
        <v>1432</v>
      </c>
      <c r="B1433" s="61">
        <v>46057</v>
      </c>
      <c r="C1433" s="60" t="s">
        <v>28</v>
      </c>
    </row>
    <row r="1434" spans="1:3" x14ac:dyDescent="0.25">
      <c r="A1434" s="60">
        <v>1433</v>
      </c>
      <c r="B1434" s="61">
        <v>46058</v>
      </c>
      <c r="C1434" s="60" t="s">
        <v>29</v>
      </c>
    </row>
    <row r="1435" spans="1:3" x14ac:dyDescent="0.25">
      <c r="A1435" s="60">
        <v>1434</v>
      </c>
      <c r="B1435" s="61">
        <v>46059</v>
      </c>
      <c r="C1435" s="60" t="s">
        <v>25</v>
      </c>
    </row>
    <row r="1436" spans="1:3" x14ac:dyDescent="0.25">
      <c r="A1436" s="60">
        <v>1435</v>
      </c>
      <c r="B1436" s="61">
        <v>46062</v>
      </c>
      <c r="C1436" s="60" t="s">
        <v>26</v>
      </c>
    </row>
    <row r="1437" spans="1:3" x14ac:dyDescent="0.25">
      <c r="A1437" s="60">
        <v>1436</v>
      </c>
      <c r="B1437" s="61">
        <v>46063</v>
      </c>
      <c r="C1437" s="60" t="s">
        <v>27</v>
      </c>
    </row>
    <row r="1438" spans="1:3" x14ac:dyDescent="0.25">
      <c r="A1438" s="60">
        <v>1437</v>
      </c>
      <c r="B1438" s="61">
        <v>46064</v>
      </c>
      <c r="C1438" s="60" t="s">
        <v>28</v>
      </c>
    </row>
    <row r="1439" spans="1:3" x14ac:dyDescent="0.25">
      <c r="A1439" s="60">
        <v>1438</v>
      </c>
      <c r="B1439" s="61">
        <v>46065</v>
      </c>
      <c r="C1439" s="60" t="s">
        <v>29</v>
      </c>
    </row>
    <row r="1440" spans="1:3" x14ac:dyDescent="0.25">
      <c r="A1440" s="60">
        <v>1439</v>
      </c>
      <c r="B1440" s="61">
        <v>46066</v>
      </c>
      <c r="C1440" s="60" t="s">
        <v>25</v>
      </c>
    </row>
    <row r="1441" spans="1:3" x14ac:dyDescent="0.25">
      <c r="A1441" s="60">
        <v>1440</v>
      </c>
      <c r="B1441" s="61">
        <v>46069</v>
      </c>
      <c r="C1441" s="60" t="s">
        <v>26</v>
      </c>
    </row>
    <row r="1442" spans="1:3" x14ac:dyDescent="0.25">
      <c r="A1442" s="60">
        <v>1441</v>
      </c>
      <c r="B1442" s="61">
        <v>46070</v>
      </c>
      <c r="C1442" s="60" t="s">
        <v>27</v>
      </c>
    </row>
    <row r="1443" spans="1:3" x14ac:dyDescent="0.25">
      <c r="A1443" s="60">
        <v>1442</v>
      </c>
      <c r="B1443" s="61">
        <v>46071</v>
      </c>
      <c r="C1443" s="60" t="s">
        <v>28</v>
      </c>
    </row>
    <row r="1444" spans="1:3" x14ac:dyDescent="0.25">
      <c r="A1444" s="60">
        <v>1443</v>
      </c>
      <c r="B1444" s="61">
        <v>46072</v>
      </c>
      <c r="C1444" s="60" t="s">
        <v>29</v>
      </c>
    </row>
    <row r="1445" spans="1:3" x14ac:dyDescent="0.25">
      <c r="A1445" s="60">
        <v>1444</v>
      </c>
      <c r="B1445" s="61">
        <v>46073</v>
      </c>
      <c r="C1445" s="60" t="s">
        <v>25</v>
      </c>
    </row>
    <row r="1446" spans="1:3" x14ac:dyDescent="0.25">
      <c r="A1446" s="60">
        <v>1445</v>
      </c>
      <c r="B1446" s="61">
        <v>46076</v>
      </c>
      <c r="C1446" s="60" t="s">
        <v>26</v>
      </c>
    </row>
    <row r="1447" spans="1:3" x14ac:dyDescent="0.25">
      <c r="A1447" s="60">
        <v>1446</v>
      </c>
      <c r="B1447" s="61">
        <v>46077</v>
      </c>
      <c r="C1447" s="60" t="s">
        <v>27</v>
      </c>
    </row>
    <row r="1448" spans="1:3" x14ac:dyDescent="0.25">
      <c r="A1448" s="60">
        <v>1447</v>
      </c>
      <c r="B1448" s="61">
        <v>46078</v>
      </c>
      <c r="C1448" s="60" t="s">
        <v>28</v>
      </c>
    </row>
    <row r="1449" spans="1:3" x14ac:dyDescent="0.25">
      <c r="A1449" s="60">
        <v>1448</v>
      </c>
      <c r="B1449" s="61">
        <v>46079</v>
      </c>
      <c r="C1449" s="60" t="s">
        <v>29</v>
      </c>
    </row>
    <row r="1450" spans="1:3" x14ac:dyDescent="0.25">
      <c r="A1450" s="60">
        <v>1449</v>
      </c>
      <c r="B1450" s="61">
        <v>46080</v>
      </c>
      <c r="C1450" s="60" t="s">
        <v>25</v>
      </c>
    </row>
    <row r="1451" spans="1:3" x14ac:dyDescent="0.25">
      <c r="A1451" s="60">
        <v>1450</v>
      </c>
      <c r="B1451" s="61">
        <v>46083</v>
      </c>
      <c r="C1451" s="60" t="s">
        <v>26</v>
      </c>
    </row>
    <row r="1452" spans="1:3" x14ac:dyDescent="0.25">
      <c r="A1452" s="60">
        <v>1451</v>
      </c>
      <c r="B1452" s="61">
        <v>46084</v>
      </c>
      <c r="C1452" s="60" t="s">
        <v>27</v>
      </c>
    </row>
    <row r="1453" spans="1:3" x14ac:dyDescent="0.25">
      <c r="A1453" s="60">
        <v>1452</v>
      </c>
      <c r="B1453" s="61">
        <v>46085</v>
      </c>
      <c r="C1453" s="60" t="s">
        <v>28</v>
      </c>
    </row>
    <row r="1454" spans="1:3" x14ac:dyDescent="0.25">
      <c r="A1454" s="60">
        <v>1453</v>
      </c>
      <c r="B1454" s="61">
        <v>46086</v>
      </c>
      <c r="C1454" s="60" t="s">
        <v>29</v>
      </c>
    </row>
    <row r="1455" spans="1:3" x14ac:dyDescent="0.25">
      <c r="A1455" s="60">
        <v>1454</v>
      </c>
      <c r="B1455" s="61">
        <v>46087</v>
      </c>
      <c r="C1455" s="60" t="s">
        <v>25</v>
      </c>
    </row>
    <row r="1456" spans="1:3" x14ac:dyDescent="0.25">
      <c r="A1456" s="60">
        <v>1455</v>
      </c>
      <c r="B1456" s="61">
        <v>46090</v>
      </c>
      <c r="C1456" s="60" t="s">
        <v>26</v>
      </c>
    </row>
    <row r="1457" spans="1:3" x14ac:dyDescent="0.25">
      <c r="A1457" s="60">
        <v>1456</v>
      </c>
      <c r="B1457" s="61">
        <v>46091</v>
      </c>
      <c r="C1457" s="60" t="s">
        <v>27</v>
      </c>
    </row>
    <row r="1458" spans="1:3" x14ac:dyDescent="0.25">
      <c r="A1458" s="60">
        <v>1457</v>
      </c>
      <c r="B1458" s="61">
        <v>46092</v>
      </c>
      <c r="C1458" s="60" t="s">
        <v>28</v>
      </c>
    </row>
    <row r="1459" spans="1:3" x14ac:dyDescent="0.25">
      <c r="A1459" s="60">
        <v>1458</v>
      </c>
      <c r="B1459" s="61">
        <v>46093</v>
      </c>
      <c r="C1459" s="60" t="s">
        <v>29</v>
      </c>
    </row>
    <row r="1460" spans="1:3" x14ac:dyDescent="0.25">
      <c r="A1460" s="60">
        <v>1459</v>
      </c>
      <c r="B1460" s="61">
        <v>46094</v>
      </c>
      <c r="C1460" s="60" t="s">
        <v>25</v>
      </c>
    </row>
    <row r="1461" spans="1:3" x14ac:dyDescent="0.25">
      <c r="A1461" s="60">
        <v>1460</v>
      </c>
      <c r="B1461" s="61">
        <v>46097</v>
      </c>
      <c r="C1461" s="60" t="s">
        <v>26</v>
      </c>
    </row>
    <row r="1462" spans="1:3" x14ac:dyDescent="0.25">
      <c r="A1462" s="60">
        <v>1461</v>
      </c>
      <c r="B1462" s="61">
        <v>46098</v>
      </c>
      <c r="C1462" s="60" t="s">
        <v>27</v>
      </c>
    </row>
    <row r="1463" spans="1:3" x14ac:dyDescent="0.25">
      <c r="A1463" s="60">
        <v>1462</v>
      </c>
      <c r="B1463" s="61">
        <v>46099</v>
      </c>
      <c r="C1463" s="60" t="s">
        <v>28</v>
      </c>
    </row>
    <row r="1464" spans="1:3" x14ac:dyDescent="0.25">
      <c r="A1464" s="60">
        <v>1463</v>
      </c>
      <c r="B1464" s="61">
        <v>46100</v>
      </c>
      <c r="C1464" s="60" t="s">
        <v>29</v>
      </c>
    </row>
    <row r="1465" spans="1:3" x14ac:dyDescent="0.25">
      <c r="A1465" s="60">
        <v>1464</v>
      </c>
      <c r="B1465" s="61">
        <v>46101</v>
      </c>
      <c r="C1465" s="60" t="s">
        <v>25</v>
      </c>
    </row>
    <row r="1466" spans="1:3" x14ac:dyDescent="0.25">
      <c r="A1466" s="60">
        <v>1465</v>
      </c>
      <c r="B1466" s="61">
        <v>46104</v>
      </c>
      <c r="C1466" s="60" t="s">
        <v>26</v>
      </c>
    </row>
    <row r="1467" spans="1:3" x14ac:dyDescent="0.25">
      <c r="A1467" s="60">
        <v>1466</v>
      </c>
      <c r="B1467" s="61">
        <v>46105</v>
      </c>
      <c r="C1467" s="60" t="s">
        <v>27</v>
      </c>
    </row>
    <row r="1468" spans="1:3" x14ac:dyDescent="0.25">
      <c r="A1468" s="60">
        <v>1467</v>
      </c>
      <c r="B1468" s="61">
        <v>46106</v>
      </c>
      <c r="C1468" s="60" t="s">
        <v>28</v>
      </c>
    </row>
    <row r="1469" spans="1:3" x14ac:dyDescent="0.25">
      <c r="A1469" s="60">
        <v>1468</v>
      </c>
      <c r="B1469" s="61">
        <v>46107</v>
      </c>
      <c r="C1469" s="60" t="s">
        <v>29</v>
      </c>
    </row>
    <row r="1470" spans="1:3" x14ac:dyDescent="0.25">
      <c r="A1470" s="60">
        <v>1469</v>
      </c>
      <c r="B1470" s="61">
        <v>46108</v>
      </c>
      <c r="C1470" s="60" t="s">
        <v>25</v>
      </c>
    </row>
    <row r="1471" spans="1:3" x14ac:dyDescent="0.25">
      <c r="A1471" s="60">
        <v>1470</v>
      </c>
      <c r="B1471" s="61">
        <v>46111</v>
      </c>
      <c r="C1471" s="60" t="s">
        <v>26</v>
      </c>
    </row>
    <row r="1472" spans="1:3" x14ac:dyDescent="0.25">
      <c r="A1472" s="60">
        <v>1471</v>
      </c>
      <c r="B1472" s="61">
        <v>46112</v>
      </c>
      <c r="C1472" s="60" t="s">
        <v>27</v>
      </c>
    </row>
    <row r="1473" spans="1:3" x14ac:dyDescent="0.25">
      <c r="A1473" s="60">
        <v>1472</v>
      </c>
      <c r="B1473" s="61">
        <v>46113</v>
      </c>
      <c r="C1473" s="60" t="s">
        <v>28</v>
      </c>
    </row>
    <row r="1474" spans="1:3" x14ac:dyDescent="0.25">
      <c r="A1474" s="60">
        <v>1473</v>
      </c>
      <c r="B1474" s="61">
        <v>46114</v>
      </c>
      <c r="C1474" s="60" t="s">
        <v>29</v>
      </c>
    </row>
    <row r="1475" spans="1:3" x14ac:dyDescent="0.25">
      <c r="A1475" s="60">
        <v>1474</v>
      </c>
      <c r="B1475" s="61">
        <v>46115</v>
      </c>
      <c r="C1475" s="60" t="s">
        <v>25</v>
      </c>
    </row>
    <row r="1476" spans="1:3" x14ac:dyDescent="0.25">
      <c r="A1476" s="60">
        <v>1475</v>
      </c>
      <c r="B1476" s="61">
        <v>46118</v>
      </c>
      <c r="C1476" s="60" t="s">
        <v>26</v>
      </c>
    </row>
    <row r="1477" spans="1:3" x14ac:dyDescent="0.25">
      <c r="A1477" s="60">
        <v>1476</v>
      </c>
      <c r="B1477" s="61">
        <v>46119</v>
      </c>
      <c r="C1477" s="60" t="s">
        <v>27</v>
      </c>
    </row>
    <row r="1478" spans="1:3" x14ac:dyDescent="0.25">
      <c r="A1478" s="60">
        <v>1477</v>
      </c>
      <c r="B1478" s="61">
        <v>46120</v>
      </c>
      <c r="C1478" s="60" t="s">
        <v>28</v>
      </c>
    </row>
    <row r="1479" spans="1:3" x14ac:dyDescent="0.25">
      <c r="A1479" s="60">
        <v>1478</v>
      </c>
      <c r="B1479" s="61">
        <v>46121</v>
      </c>
      <c r="C1479" s="60" t="s">
        <v>29</v>
      </c>
    </row>
    <row r="1480" spans="1:3" x14ac:dyDescent="0.25">
      <c r="A1480" s="60">
        <v>1479</v>
      </c>
      <c r="B1480" s="61">
        <v>46122</v>
      </c>
      <c r="C1480" s="60" t="s">
        <v>25</v>
      </c>
    </row>
    <row r="1481" spans="1:3" x14ac:dyDescent="0.25">
      <c r="A1481" s="60">
        <v>1480</v>
      </c>
      <c r="B1481" s="61">
        <v>46125</v>
      </c>
      <c r="C1481" s="60" t="s">
        <v>26</v>
      </c>
    </row>
    <row r="1482" spans="1:3" x14ac:dyDescent="0.25">
      <c r="A1482" s="60">
        <v>1481</v>
      </c>
      <c r="B1482" s="61">
        <v>46126</v>
      </c>
      <c r="C1482" s="60" t="s">
        <v>27</v>
      </c>
    </row>
    <row r="1483" spans="1:3" x14ac:dyDescent="0.25">
      <c r="A1483" s="60">
        <v>1482</v>
      </c>
      <c r="B1483" s="61">
        <v>46127</v>
      </c>
      <c r="C1483" s="60" t="s">
        <v>28</v>
      </c>
    </row>
    <row r="1484" spans="1:3" x14ac:dyDescent="0.25">
      <c r="A1484" s="60">
        <v>1483</v>
      </c>
      <c r="B1484" s="61">
        <v>46128</v>
      </c>
      <c r="C1484" s="60" t="s">
        <v>29</v>
      </c>
    </row>
    <row r="1485" spans="1:3" x14ac:dyDescent="0.25">
      <c r="A1485" s="60">
        <v>1484</v>
      </c>
      <c r="B1485" s="61">
        <v>46129</v>
      </c>
      <c r="C1485" s="60" t="s">
        <v>25</v>
      </c>
    </row>
    <row r="1486" spans="1:3" x14ac:dyDescent="0.25">
      <c r="A1486" s="60">
        <v>1485</v>
      </c>
      <c r="B1486" s="61">
        <v>46132</v>
      </c>
      <c r="C1486" s="60" t="s">
        <v>26</v>
      </c>
    </row>
    <row r="1487" spans="1:3" x14ac:dyDescent="0.25">
      <c r="A1487" s="60">
        <v>1486</v>
      </c>
      <c r="B1487" s="61">
        <v>46133</v>
      </c>
      <c r="C1487" s="60" t="s">
        <v>27</v>
      </c>
    </row>
    <row r="1488" spans="1:3" x14ac:dyDescent="0.25">
      <c r="A1488" s="60">
        <v>1487</v>
      </c>
      <c r="B1488" s="61">
        <v>46134</v>
      </c>
      <c r="C1488" s="60" t="s">
        <v>28</v>
      </c>
    </row>
    <row r="1489" spans="1:3" x14ac:dyDescent="0.25">
      <c r="A1489" s="60">
        <v>1488</v>
      </c>
      <c r="B1489" s="61">
        <v>46135</v>
      </c>
      <c r="C1489" s="60" t="s">
        <v>29</v>
      </c>
    </row>
    <row r="1490" spans="1:3" x14ac:dyDescent="0.25">
      <c r="A1490" s="60">
        <v>1489</v>
      </c>
      <c r="B1490" s="61">
        <v>46136</v>
      </c>
      <c r="C1490" s="60" t="s">
        <v>25</v>
      </c>
    </row>
    <row r="1491" spans="1:3" x14ac:dyDescent="0.25">
      <c r="A1491" s="60">
        <v>1490</v>
      </c>
      <c r="B1491" s="61">
        <v>46139</v>
      </c>
      <c r="C1491" s="60" t="s">
        <v>26</v>
      </c>
    </row>
    <row r="1492" spans="1:3" x14ac:dyDescent="0.25">
      <c r="A1492" s="60">
        <v>1491</v>
      </c>
      <c r="B1492" s="61">
        <v>46140</v>
      </c>
      <c r="C1492" s="60" t="s">
        <v>27</v>
      </c>
    </row>
    <row r="1493" spans="1:3" x14ac:dyDescent="0.25">
      <c r="A1493" s="60">
        <v>1492</v>
      </c>
      <c r="B1493" s="61">
        <v>46141</v>
      </c>
      <c r="C1493" s="60" t="s">
        <v>28</v>
      </c>
    </row>
    <row r="1494" spans="1:3" x14ac:dyDescent="0.25">
      <c r="A1494" s="60">
        <v>1493</v>
      </c>
      <c r="B1494" s="61">
        <v>46142</v>
      </c>
      <c r="C1494" s="60" t="s">
        <v>29</v>
      </c>
    </row>
    <row r="1495" spans="1:3" x14ac:dyDescent="0.25">
      <c r="A1495" s="60">
        <v>1494</v>
      </c>
      <c r="B1495" s="61">
        <v>46143</v>
      </c>
      <c r="C1495" s="60" t="s">
        <v>25</v>
      </c>
    </row>
    <row r="1496" spans="1:3" x14ac:dyDescent="0.25">
      <c r="A1496" s="60">
        <v>1495</v>
      </c>
      <c r="B1496" s="61">
        <v>46146</v>
      </c>
      <c r="C1496" s="60" t="s">
        <v>26</v>
      </c>
    </row>
    <row r="1497" spans="1:3" x14ac:dyDescent="0.25">
      <c r="A1497" s="60">
        <v>1496</v>
      </c>
      <c r="B1497" s="61">
        <v>46147</v>
      </c>
      <c r="C1497" s="60" t="s">
        <v>27</v>
      </c>
    </row>
    <row r="1498" spans="1:3" x14ac:dyDescent="0.25">
      <c r="A1498" s="60">
        <v>1497</v>
      </c>
      <c r="B1498" s="61">
        <v>46148</v>
      </c>
      <c r="C1498" s="60" t="s">
        <v>28</v>
      </c>
    </row>
    <row r="1499" spans="1:3" x14ac:dyDescent="0.25">
      <c r="A1499" s="60">
        <v>1498</v>
      </c>
      <c r="B1499" s="61">
        <v>46149</v>
      </c>
      <c r="C1499" s="60" t="s">
        <v>29</v>
      </c>
    </row>
    <row r="1500" spans="1:3" x14ac:dyDescent="0.25">
      <c r="A1500" s="60">
        <v>1499</v>
      </c>
      <c r="B1500" s="61">
        <v>46150</v>
      </c>
      <c r="C1500" s="60" t="s">
        <v>25</v>
      </c>
    </row>
    <row r="1501" spans="1:3" x14ac:dyDescent="0.25">
      <c r="A1501" s="60">
        <v>1500</v>
      </c>
      <c r="B1501" s="61">
        <v>46153</v>
      </c>
      <c r="C1501" s="60" t="s">
        <v>26</v>
      </c>
    </row>
    <row r="1502" spans="1:3" x14ac:dyDescent="0.25">
      <c r="A1502" s="60">
        <v>1501</v>
      </c>
      <c r="B1502" s="61">
        <v>46154</v>
      </c>
      <c r="C1502" s="60" t="s">
        <v>27</v>
      </c>
    </row>
    <row r="1503" spans="1:3" x14ac:dyDescent="0.25">
      <c r="A1503" s="60">
        <v>1502</v>
      </c>
      <c r="B1503" s="61">
        <v>46155</v>
      </c>
      <c r="C1503" s="60" t="s">
        <v>28</v>
      </c>
    </row>
    <row r="1504" spans="1:3" x14ac:dyDescent="0.25">
      <c r="A1504" s="60">
        <v>1503</v>
      </c>
      <c r="B1504" s="61">
        <v>46156</v>
      </c>
      <c r="C1504" s="60" t="s">
        <v>29</v>
      </c>
    </row>
    <row r="1505" spans="1:3" x14ac:dyDescent="0.25">
      <c r="A1505" s="60">
        <v>1504</v>
      </c>
      <c r="B1505" s="61">
        <v>46157</v>
      </c>
      <c r="C1505" s="60" t="s">
        <v>25</v>
      </c>
    </row>
    <row r="1506" spans="1:3" x14ac:dyDescent="0.25">
      <c r="A1506" s="60">
        <v>1505</v>
      </c>
      <c r="B1506" s="61">
        <v>46160</v>
      </c>
      <c r="C1506" s="60" t="s">
        <v>26</v>
      </c>
    </row>
    <row r="1507" spans="1:3" x14ac:dyDescent="0.25">
      <c r="A1507" s="60">
        <v>1506</v>
      </c>
      <c r="B1507" s="61">
        <v>46161</v>
      </c>
      <c r="C1507" s="60" t="s">
        <v>27</v>
      </c>
    </row>
    <row r="1508" spans="1:3" x14ac:dyDescent="0.25">
      <c r="A1508" s="60">
        <v>1507</v>
      </c>
      <c r="B1508" s="61">
        <v>46162</v>
      </c>
      <c r="C1508" s="60" t="s">
        <v>28</v>
      </c>
    </row>
    <row r="1509" spans="1:3" x14ac:dyDescent="0.25">
      <c r="A1509" s="60">
        <v>1508</v>
      </c>
      <c r="B1509" s="61">
        <v>46163</v>
      </c>
      <c r="C1509" s="60" t="s">
        <v>29</v>
      </c>
    </row>
    <row r="1510" spans="1:3" x14ac:dyDescent="0.25">
      <c r="A1510" s="60">
        <v>1509</v>
      </c>
      <c r="B1510" s="61">
        <v>46164</v>
      </c>
      <c r="C1510" s="60" t="s">
        <v>25</v>
      </c>
    </row>
    <row r="1511" spans="1:3" x14ac:dyDescent="0.25">
      <c r="A1511" s="60">
        <v>1510</v>
      </c>
      <c r="B1511" s="61">
        <v>46167</v>
      </c>
      <c r="C1511" s="60" t="s">
        <v>26</v>
      </c>
    </row>
    <row r="1512" spans="1:3" x14ac:dyDescent="0.25">
      <c r="A1512" s="60">
        <v>1511</v>
      </c>
      <c r="B1512" s="61">
        <v>46168</v>
      </c>
      <c r="C1512" s="60" t="s">
        <v>27</v>
      </c>
    </row>
    <row r="1513" spans="1:3" x14ac:dyDescent="0.25">
      <c r="A1513" s="60">
        <v>1512</v>
      </c>
      <c r="B1513" s="61">
        <v>46169</v>
      </c>
      <c r="C1513" s="60" t="s">
        <v>28</v>
      </c>
    </row>
    <row r="1514" spans="1:3" x14ac:dyDescent="0.25">
      <c r="A1514" s="60">
        <v>1513</v>
      </c>
      <c r="B1514" s="61">
        <v>46170</v>
      </c>
      <c r="C1514" s="60" t="s">
        <v>29</v>
      </c>
    </row>
    <row r="1515" spans="1:3" x14ac:dyDescent="0.25">
      <c r="A1515" s="60">
        <v>1514</v>
      </c>
      <c r="B1515" s="61">
        <v>46171</v>
      </c>
      <c r="C1515" s="60" t="s">
        <v>25</v>
      </c>
    </row>
    <row r="1516" spans="1:3" x14ac:dyDescent="0.25">
      <c r="A1516" s="60">
        <v>1515</v>
      </c>
      <c r="B1516" s="61">
        <v>46174</v>
      </c>
      <c r="C1516" s="60" t="s">
        <v>26</v>
      </c>
    </row>
    <row r="1517" spans="1:3" x14ac:dyDescent="0.25">
      <c r="A1517" s="60">
        <v>1516</v>
      </c>
      <c r="B1517" s="61">
        <v>46175</v>
      </c>
      <c r="C1517" s="60" t="s">
        <v>27</v>
      </c>
    </row>
    <row r="1518" spans="1:3" x14ac:dyDescent="0.25">
      <c r="A1518" s="60">
        <v>1517</v>
      </c>
      <c r="B1518" s="61">
        <v>46176</v>
      </c>
      <c r="C1518" s="60" t="s">
        <v>28</v>
      </c>
    </row>
    <row r="1519" spans="1:3" x14ac:dyDescent="0.25">
      <c r="A1519" s="60">
        <v>1518</v>
      </c>
      <c r="B1519" s="61">
        <v>46177</v>
      </c>
      <c r="C1519" s="60" t="s">
        <v>29</v>
      </c>
    </row>
    <row r="1520" spans="1:3" x14ac:dyDescent="0.25">
      <c r="A1520" s="60">
        <v>1519</v>
      </c>
      <c r="B1520" s="61">
        <v>46178</v>
      </c>
      <c r="C1520" s="60" t="s">
        <v>25</v>
      </c>
    </row>
    <row r="1521" spans="1:3" x14ac:dyDescent="0.25">
      <c r="A1521" s="60">
        <v>1520</v>
      </c>
      <c r="B1521" s="61">
        <v>46181</v>
      </c>
      <c r="C1521" s="60" t="s">
        <v>26</v>
      </c>
    </row>
    <row r="1522" spans="1:3" x14ac:dyDescent="0.25">
      <c r="A1522" s="60">
        <v>1521</v>
      </c>
      <c r="B1522" s="61">
        <v>46182</v>
      </c>
      <c r="C1522" s="60" t="s">
        <v>27</v>
      </c>
    </row>
    <row r="1523" spans="1:3" x14ac:dyDescent="0.25">
      <c r="A1523" s="60">
        <v>1522</v>
      </c>
      <c r="B1523" s="61">
        <v>46183</v>
      </c>
      <c r="C1523" s="60" t="s">
        <v>28</v>
      </c>
    </row>
    <row r="1524" spans="1:3" x14ac:dyDescent="0.25">
      <c r="A1524" s="60">
        <v>1523</v>
      </c>
      <c r="B1524" s="61">
        <v>46184</v>
      </c>
      <c r="C1524" s="60" t="s">
        <v>29</v>
      </c>
    </row>
    <row r="1525" spans="1:3" x14ac:dyDescent="0.25">
      <c r="A1525" s="60">
        <v>1524</v>
      </c>
      <c r="B1525" s="61">
        <v>46185</v>
      </c>
      <c r="C1525" s="60" t="s">
        <v>25</v>
      </c>
    </row>
    <row r="1526" spans="1:3" x14ac:dyDescent="0.25">
      <c r="A1526" s="60">
        <v>1525</v>
      </c>
      <c r="B1526" s="61">
        <v>46188</v>
      </c>
      <c r="C1526" s="60" t="s">
        <v>26</v>
      </c>
    </row>
    <row r="1527" spans="1:3" x14ac:dyDescent="0.25">
      <c r="A1527" s="60">
        <v>1526</v>
      </c>
      <c r="B1527" s="61">
        <v>46189</v>
      </c>
      <c r="C1527" s="60" t="s">
        <v>27</v>
      </c>
    </row>
    <row r="1528" spans="1:3" x14ac:dyDescent="0.25">
      <c r="A1528" s="60">
        <v>1527</v>
      </c>
      <c r="B1528" s="61">
        <v>46190</v>
      </c>
      <c r="C1528" s="60" t="s">
        <v>28</v>
      </c>
    </row>
    <row r="1529" spans="1:3" x14ac:dyDescent="0.25">
      <c r="A1529" s="60">
        <v>1528</v>
      </c>
      <c r="B1529" s="61">
        <v>46191</v>
      </c>
      <c r="C1529" s="60" t="s">
        <v>29</v>
      </c>
    </row>
    <row r="1530" spans="1:3" x14ac:dyDescent="0.25">
      <c r="A1530" s="60">
        <v>1529</v>
      </c>
      <c r="B1530" s="61">
        <v>46192</v>
      </c>
      <c r="C1530" s="60" t="s">
        <v>25</v>
      </c>
    </row>
    <row r="1531" spans="1:3" x14ac:dyDescent="0.25">
      <c r="A1531" s="60">
        <v>1530</v>
      </c>
      <c r="B1531" s="61">
        <v>46195</v>
      </c>
      <c r="C1531" s="60" t="s">
        <v>26</v>
      </c>
    </row>
    <row r="1532" spans="1:3" x14ac:dyDescent="0.25">
      <c r="A1532" s="60">
        <v>1531</v>
      </c>
      <c r="B1532" s="61">
        <v>46196</v>
      </c>
      <c r="C1532" s="60" t="s">
        <v>27</v>
      </c>
    </row>
    <row r="1533" spans="1:3" x14ac:dyDescent="0.25">
      <c r="A1533" s="60">
        <v>1532</v>
      </c>
      <c r="B1533" s="61">
        <v>46197</v>
      </c>
      <c r="C1533" s="60" t="s">
        <v>28</v>
      </c>
    </row>
    <row r="1534" spans="1:3" x14ac:dyDescent="0.25">
      <c r="A1534" s="60">
        <v>1533</v>
      </c>
      <c r="B1534" s="61">
        <v>46198</v>
      </c>
      <c r="C1534" s="60" t="s">
        <v>29</v>
      </c>
    </row>
    <row r="1535" spans="1:3" x14ac:dyDescent="0.25">
      <c r="A1535" s="60">
        <v>1534</v>
      </c>
      <c r="B1535" s="61">
        <v>46199</v>
      </c>
      <c r="C1535" s="60" t="s">
        <v>25</v>
      </c>
    </row>
    <row r="1536" spans="1:3" x14ac:dyDescent="0.25">
      <c r="A1536" s="60">
        <v>1535</v>
      </c>
      <c r="B1536" s="61">
        <v>46202</v>
      </c>
      <c r="C1536" s="60" t="s">
        <v>26</v>
      </c>
    </row>
    <row r="1537" spans="1:3" x14ac:dyDescent="0.25">
      <c r="A1537" s="60">
        <v>1536</v>
      </c>
      <c r="B1537" s="61">
        <v>46203</v>
      </c>
      <c r="C1537" s="60" t="s">
        <v>27</v>
      </c>
    </row>
    <row r="1538" spans="1:3" x14ac:dyDescent="0.25">
      <c r="A1538" s="60">
        <v>1537</v>
      </c>
      <c r="B1538" s="61">
        <v>46204</v>
      </c>
      <c r="C1538" s="60" t="s">
        <v>28</v>
      </c>
    </row>
    <row r="1539" spans="1:3" x14ac:dyDescent="0.25">
      <c r="A1539" s="60">
        <v>1538</v>
      </c>
      <c r="B1539" s="61">
        <v>46205</v>
      </c>
      <c r="C1539" s="60" t="s">
        <v>29</v>
      </c>
    </row>
    <row r="1540" spans="1:3" x14ac:dyDescent="0.25">
      <c r="A1540" s="60">
        <v>1539</v>
      </c>
      <c r="B1540" s="61">
        <v>46206</v>
      </c>
      <c r="C1540" s="60" t="s">
        <v>25</v>
      </c>
    </row>
    <row r="1541" spans="1:3" x14ac:dyDescent="0.25">
      <c r="A1541" s="60">
        <v>1540</v>
      </c>
      <c r="B1541" s="61">
        <v>46209</v>
      </c>
      <c r="C1541" s="60" t="s">
        <v>26</v>
      </c>
    </row>
    <row r="1542" spans="1:3" x14ac:dyDescent="0.25">
      <c r="A1542" s="60">
        <v>1541</v>
      </c>
      <c r="B1542" s="61">
        <v>46210</v>
      </c>
      <c r="C1542" s="60" t="s">
        <v>27</v>
      </c>
    </row>
    <row r="1543" spans="1:3" x14ac:dyDescent="0.25">
      <c r="A1543" s="60">
        <v>1542</v>
      </c>
      <c r="B1543" s="61">
        <v>46211</v>
      </c>
      <c r="C1543" s="60" t="s">
        <v>28</v>
      </c>
    </row>
    <row r="1544" spans="1:3" x14ac:dyDescent="0.25">
      <c r="A1544" s="60">
        <v>1543</v>
      </c>
      <c r="B1544" s="61">
        <v>46212</v>
      </c>
      <c r="C1544" s="60" t="s">
        <v>29</v>
      </c>
    </row>
    <row r="1545" spans="1:3" x14ac:dyDescent="0.25">
      <c r="A1545" s="60">
        <v>1544</v>
      </c>
      <c r="B1545" s="61">
        <v>46213</v>
      </c>
      <c r="C1545" s="60" t="s">
        <v>25</v>
      </c>
    </row>
    <row r="1546" spans="1:3" x14ac:dyDescent="0.25">
      <c r="A1546" s="60">
        <v>1545</v>
      </c>
      <c r="B1546" s="61">
        <v>46216</v>
      </c>
      <c r="C1546" s="60" t="s">
        <v>26</v>
      </c>
    </row>
    <row r="1547" spans="1:3" x14ac:dyDescent="0.25">
      <c r="A1547" s="60">
        <v>1546</v>
      </c>
      <c r="B1547" s="61">
        <v>46217</v>
      </c>
      <c r="C1547" s="60" t="s">
        <v>27</v>
      </c>
    </row>
    <row r="1548" spans="1:3" x14ac:dyDescent="0.25">
      <c r="A1548" s="60">
        <v>1547</v>
      </c>
      <c r="B1548" s="61">
        <v>46218</v>
      </c>
      <c r="C1548" s="60" t="s">
        <v>28</v>
      </c>
    </row>
    <row r="1549" spans="1:3" x14ac:dyDescent="0.25">
      <c r="A1549" s="60">
        <v>1548</v>
      </c>
      <c r="B1549" s="61">
        <v>46219</v>
      </c>
      <c r="C1549" s="60" t="s">
        <v>29</v>
      </c>
    </row>
    <row r="1550" spans="1:3" x14ac:dyDescent="0.25">
      <c r="A1550" s="60">
        <v>1549</v>
      </c>
      <c r="B1550" s="61">
        <v>46220</v>
      </c>
      <c r="C1550" s="60" t="s">
        <v>25</v>
      </c>
    </row>
    <row r="1551" spans="1:3" x14ac:dyDescent="0.25">
      <c r="A1551" s="60">
        <v>1550</v>
      </c>
      <c r="B1551" s="61">
        <v>46223</v>
      </c>
      <c r="C1551" s="60" t="s">
        <v>26</v>
      </c>
    </row>
    <row r="1552" spans="1:3" x14ac:dyDescent="0.25">
      <c r="A1552" s="60">
        <v>1551</v>
      </c>
      <c r="B1552" s="61">
        <v>46224</v>
      </c>
      <c r="C1552" s="60" t="s">
        <v>27</v>
      </c>
    </row>
    <row r="1553" spans="1:3" x14ac:dyDescent="0.25">
      <c r="A1553" s="60">
        <v>1552</v>
      </c>
      <c r="B1553" s="61">
        <v>46225</v>
      </c>
      <c r="C1553" s="60" t="s">
        <v>28</v>
      </c>
    </row>
    <row r="1554" spans="1:3" x14ac:dyDescent="0.25">
      <c r="A1554" s="60">
        <v>1553</v>
      </c>
      <c r="B1554" s="61">
        <v>46226</v>
      </c>
      <c r="C1554" s="60" t="s">
        <v>29</v>
      </c>
    </row>
    <row r="1555" spans="1:3" x14ac:dyDescent="0.25">
      <c r="A1555" s="60">
        <v>1554</v>
      </c>
      <c r="B1555" s="61">
        <v>46227</v>
      </c>
      <c r="C1555" s="60" t="s">
        <v>25</v>
      </c>
    </row>
    <row r="1556" spans="1:3" x14ac:dyDescent="0.25">
      <c r="A1556" s="60">
        <v>1555</v>
      </c>
      <c r="B1556" s="61">
        <v>46230</v>
      </c>
      <c r="C1556" s="60" t="s">
        <v>26</v>
      </c>
    </row>
    <row r="1557" spans="1:3" x14ac:dyDescent="0.25">
      <c r="A1557" s="60">
        <v>1556</v>
      </c>
      <c r="B1557" s="61">
        <v>46231</v>
      </c>
      <c r="C1557" s="60" t="s">
        <v>27</v>
      </c>
    </row>
    <row r="1558" spans="1:3" x14ac:dyDescent="0.25">
      <c r="A1558" s="60">
        <v>1557</v>
      </c>
      <c r="B1558" s="61">
        <v>46232</v>
      </c>
      <c r="C1558" s="60" t="s">
        <v>28</v>
      </c>
    </row>
    <row r="1559" spans="1:3" x14ac:dyDescent="0.25">
      <c r="A1559" s="60">
        <v>1558</v>
      </c>
      <c r="B1559" s="61">
        <v>46233</v>
      </c>
      <c r="C1559" s="60" t="s">
        <v>29</v>
      </c>
    </row>
    <row r="1560" spans="1:3" x14ac:dyDescent="0.25">
      <c r="A1560" s="60">
        <v>1559</v>
      </c>
      <c r="B1560" s="61">
        <v>46234</v>
      </c>
      <c r="C1560" s="60" t="s">
        <v>25</v>
      </c>
    </row>
    <row r="1561" spans="1:3" x14ac:dyDescent="0.25">
      <c r="A1561" s="60">
        <v>1560</v>
      </c>
      <c r="B1561" s="61">
        <v>46237</v>
      </c>
      <c r="C1561" s="60" t="s">
        <v>26</v>
      </c>
    </row>
    <row r="1562" spans="1:3" x14ac:dyDescent="0.25">
      <c r="A1562" s="60">
        <v>1561</v>
      </c>
      <c r="B1562" s="61">
        <v>46238</v>
      </c>
      <c r="C1562" s="60" t="s">
        <v>27</v>
      </c>
    </row>
    <row r="1563" spans="1:3" x14ac:dyDescent="0.25">
      <c r="A1563" s="60">
        <v>1562</v>
      </c>
      <c r="B1563" s="61">
        <v>46239</v>
      </c>
      <c r="C1563" s="60" t="s">
        <v>28</v>
      </c>
    </row>
    <row r="1564" spans="1:3" x14ac:dyDescent="0.25">
      <c r="A1564" s="60">
        <v>1563</v>
      </c>
      <c r="B1564" s="61">
        <v>46240</v>
      </c>
      <c r="C1564" s="60" t="s">
        <v>29</v>
      </c>
    </row>
    <row r="1565" spans="1:3" x14ac:dyDescent="0.25">
      <c r="A1565" s="60">
        <v>1564</v>
      </c>
      <c r="B1565" s="61">
        <v>46241</v>
      </c>
      <c r="C1565" s="60" t="s">
        <v>25</v>
      </c>
    </row>
    <row r="1566" spans="1:3" x14ac:dyDescent="0.25">
      <c r="A1566" s="60">
        <v>1565</v>
      </c>
      <c r="B1566" s="61">
        <v>46244</v>
      </c>
      <c r="C1566" s="60" t="s">
        <v>26</v>
      </c>
    </row>
    <row r="1567" spans="1:3" x14ac:dyDescent="0.25">
      <c r="A1567" s="60">
        <v>1566</v>
      </c>
      <c r="B1567" s="61">
        <v>46245</v>
      </c>
      <c r="C1567" s="60" t="s">
        <v>27</v>
      </c>
    </row>
    <row r="1568" spans="1:3" x14ac:dyDescent="0.25">
      <c r="A1568" s="60">
        <v>1567</v>
      </c>
      <c r="B1568" s="61">
        <v>46246</v>
      </c>
      <c r="C1568" s="60" t="s">
        <v>28</v>
      </c>
    </row>
    <row r="1569" spans="1:3" x14ac:dyDescent="0.25">
      <c r="A1569" s="60">
        <v>1568</v>
      </c>
      <c r="B1569" s="61">
        <v>46247</v>
      </c>
      <c r="C1569" s="60" t="s">
        <v>29</v>
      </c>
    </row>
    <row r="1570" spans="1:3" x14ac:dyDescent="0.25">
      <c r="A1570" s="60">
        <v>1569</v>
      </c>
      <c r="B1570" s="61">
        <v>46248</v>
      </c>
      <c r="C1570" s="60" t="s">
        <v>25</v>
      </c>
    </row>
    <row r="1571" spans="1:3" x14ac:dyDescent="0.25">
      <c r="A1571" s="60">
        <v>1570</v>
      </c>
      <c r="B1571" s="61">
        <v>46251</v>
      </c>
      <c r="C1571" s="60" t="s">
        <v>26</v>
      </c>
    </row>
    <row r="1572" spans="1:3" x14ac:dyDescent="0.25">
      <c r="A1572" s="60">
        <v>1571</v>
      </c>
      <c r="B1572" s="61">
        <v>46252</v>
      </c>
      <c r="C1572" s="60" t="s">
        <v>27</v>
      </c>
    </row>
    <row r="1573" spans="1:3" x14ac:dyDescent="0.25">
      <c r="A1573" s="60">
        <v>1572</v>
      </c>
      <c r="B1573" s="61">
        <v>46253</v>
      </c>
      <c r="C1573" s="60" t="s">
        <v>28</v>
      </c>
    </row>
    <row r="1574" spans="1:3" x14ac:dyDescent="0.25">
      <c r="A1574" s="60">
        <v>1573</v>
      </c>
      <c r="B1574" s="61">
        <v>46254</v>
      </c>
      <c r="C1574" s="60" t="s">
        <v>29</v>
      </c>
    </row>
    <row r="1575" spans="1:3" x14ac:dyDescent="0.25">
      <c r="A1575" s="60">
        <v>1574</v>
      </c>
      <c r="B1575" s="61">
        <v>46255</v>
      </c>
      <c r="C1575" s="60" t="s">
        <v>25</v>
      </c>
    </row>
    <row r="1576" spans="1:3" x14ac:dyDescent="0.25">
      <c r="A1576" s="60">
        <v>1575</v>
      </c>
      <c r="B1576" s="61">
        <v>46258</v>
      </c>
      <c r="C1576" s="60" t="s">
        <v>26</v>
      </c>
    </row>
    <row r="1577" spans="1:3" x14ac:dyDescent="0.25">
      <c r="A1577" s="60">
        <v>1576</v>
      </c>
      <c r="B1577" s="61">
        <v>46259</v>
      </c>
      <c r="C1577" s="60" t="s">
        <v>27</v>
      </c>
    </row>
    <row r="1578" spans="1:3" x14ac:dyDescent="0.25">
      <c r="A1578" s="60">
        <v>1577</v>
      </c>
      <c r="B1578" s="61">
        <v>46260</v>
      </c>
      <c r="C1578" s="60" t="s">
        <v>28</v>
      </c>
    </row>
    <row r="1579" spans="1:3" x14ac:dyDescent="0.25">
      <c r="A1579" s="60">
        <v>1578</v>
      </c>
      <c r="B1579" s="61">
        <v>46261</v>
      </c>
      <c r="C1579" s="60" t="s">
        <v>29</v>
      </c>
    </row>
    <row r="1580" spans="1:3" x14ac:dyDescent="0.25">
      <c r="A1580" s="60">
        <v>1579</v>
      </c>
      <c r="B1580" s="61">
        <v>46262</v>
      </c>
      <c r="C1580" s="60" t="s">
        <v>25</v>
      </c>
    </row>
    <row r="1581" spans="1:3" x14ac:dyDescent="0.25">
      <c r="A1581" s="60">
        <v>1580</v>
      </c>
      <c r="B1581" s="61">
        <v>46265</v>
      </c>
      <c r="C1581" s="60" t="s">
        <v>26</v>
      </c>
    </row>
    <row r="1582" spans="1:3" x14ac:dyDescent="0.25">
      <c r="A1582" s="60">
        <v>1581</v>
      </c>
      <c r="B1582" s="61">
        <v>46266</v>
      </c>
      <c r="C1582" s="60" t="s">
        <v>27</v>
      </c>
    </row>
    <row r="1583" spans="1:3" x14ac:dyDescent="0.25">
      <c r="A1583" s="60">
        <v>1582</v>
      </c>
      <c r="B1583" s="61">
        <v>46267</v>
      </c>
      <c r="C1583" s="60" t="s">
        <v>28</v>
      </c>
    </row>
    <row r="1584" spans="1:3" x14ac:dyDescent="0.25">
      <c r="A1584" s="60">
        <v>1583</v>
      </c>
      <c r="B1584" s="61">
        <v>46268</v>
      </c>
      <c r="C1584" s="60" t="s">
        <v>29</v>
      </c>
    </row>
    <row r="1585" spans="1:3" x14ac:dyDescent="0.25">
      <c r="A1585" s="60">
        <v>1584</v>
      </c>
      <c r="B1585" s="61">
        <v>46269</v>
      </c>
      <c r="C1585" s="60" t="s">
        <v>25</v>
      </c>
    </row>
    <row r="1586" spans="1:3" x14ac:dyDescent="0.25">
      <c r="A1586" s="60">
        <v>1585</v>
      </c>
      <c r="B1586" s="61">
        <v>46272</v>
      </c>
      <c r="C1586" s="60" t="s">
        <v>26</v>
      </c>
    </row>
    <row r="1587" spans="1:3" x14ac:dyDescent="0.25">
      <c r="A1587" s="60">
        <v>1586</v>
      </c>
      <c r="B1587" s="61">
        <v>46273</v>
      </c>
      <c r="C1587" s="60" t="s">
        <v>27</v>
      </c>
    </row>
    <row r="1588" spans="1:3" x14ac:dyDescent="0.25">
      <c r="A1588" s="60">
        <v>1587</v>
      </c>
      <c r="B1588" s="61">
        <v>46274</v>
      </c>
      <c r="C1588" s="60" t="s">
        <v>28</v>
      </c>
    </row>
    <row r="1589" spans="1:3" x14ac:dyDescent="0.25">
      <c r="A1589" s="60">
        <v>1588</v>
      </c>
      <c r="B1589" s="61">
        <v>46275</v>
      </c>
      <c r="C1589" s="60" t="s">
        <v>29</v>
      </c>
    </row>
    <row r="1590" spans="1:3" x14ac:dyDescent="0.25">
      <c r="A1590" s="60">
        <v>1589</v>
      </c>
      <c r="B1590" s="61">
        <v>46276</v>
      </c>
      <c r="C1590" s="60" t="s">
        <v>25</v>
      </c>
    </row>
    <row r="1591" spans="1:3" x14ac:dyDescent="0.25">
      <c r="A1591" s="60">
        <v>1590</v>
      </c>
      <c r="B1591" s="61">
        <v>46279</v>
      </c>
      <c r="C1591" s="60" t="s">
        <v>26</v>
      </c>
    </row>
    <row r="1592" spans="1:3" x14ac:dyDescent="0.25">
      <c r="A1592" s="60">
        <v>1591</v>
      </c>
      <c r="B1592" s="61">
        <v>46280</v>
      </c>
      <c r="C1592" s="60" t="s">
        <v>27</v>
      </c>
    </row>
    <row r="1593" spans="1:3" x14ac:dyDescent="0.25">
      <c r="A1593" s="60">
        <v>1592</v>
      </c>
      <c r="B1593" s="61">
        <v>46281</v>
      </c>
      <c r="C1593" s="60" t="s">
        <v>28</v>
      </c>
    </row>
    <row r="1594" spans="1:3" x14ac:dyDescent="0.25">
      <c r="A1594" s="60">
        <v>1593</v>
      </c>
      <c r="B1594" s="61">
        <v>46282</v>
      </c>
      <c r="C1594" s="60" t="s">
        <v>29</v>
      </c>
    </row>
    <row r="1595" spans="1:3" x14ac:dyDescent="0.25">
      <c r="A1595" s="60">
        <v>1594</v>
      </c>
      <c r="B1595" s="61">
        <v>46283</v>
      </c>
      <c r="C1595" s="60" t="s">
        <v>25</v>
      </c>
    </row>
    <row r="1596" spans="1:3" x14ac:dyDescent="0.25">
      <c r="A1596" s="60">
        <v>1595</v>
      </c>
      <c r="B1596" s="61">
        <v>46286</v>
      </c>
      <c r="C1596" s="60" t="s">
        <v>26</v>
      </c>
    </row>
    <row r="1597" spans="1:3" x14ac:dyDescent="0.25">
      <c r="A1597" s="60">
        <v>1596</v>
      </c>
      <c r="B1597" s="61">
        <v>46287</v>
      </c>
      <c r="C1597" s="60" t="s">
        <v>27</v>
      </c>
    </row>
    <row r="1598" spans="1:3" x14ac:dyDescent="0.25">
      <c r="A1598" s="60">
        <v>1597</v>
      </c>
      <c r="B1598" s="61">
        <v>46288</v>
      </c>
      <c r="C1598" s="60" t="s">
        <v>28</v>
      </c>
    </row>
    <row r="1599" spans="1:3" x14ac:dyDescent="0.25">
      <c r="A1599" s="60">
        <v>1598</v>
      </c>
      <c r="B1599" s="61">
        <v>46289</v>
      </c>
      <c r="C1599" s="60" t="s">
        <v>29</v>
      </c>
    </row>
    <row r="1600" spans="1:3" x14ac:dyDescent="0.25">
      <c r="A1600" s="60">
        <v>1599</v>
      </c>
      <c r="B1600" s="61">
        <v>46290</v>
      </c>
      <c r="C1600" s="60" t="s">
        <v>25</v>
      </c>
    </row>
    <row r="1601" spans="1:3" x14ac:dyDescent="0.25">
      <c r="A1601" s="60">
        <v>1600</v>
      </c>
      <c r="B1601" s="61">
        <v>46293</v>
      </c>
      <c r="C1601" s="60" t="s">
        <v>26</v>
      </c>
    </row>
    <row r="1602" spans="1:3" x14ac:dyDescent="0.25">
      <c r="A1602" s="60">
        <v>1601</v>
      </c>
      <c r="B1602" s="61">
        <v>46294</v>
      </c>
      <c r="C1602" s="60" t="s">
        <v>27</v>
      </c>
    </row>
    <row r="1603" spans="1:3" x14ac:dyDescent="0.25">
      <c r="A1603" s="60">
        <v>1602</v>
      </c>
      <c r="B1603" s="61">
        <v>46295</v>
      </c>
      <c r="C1603" s="60" t="s">
        <v>28</v>
      </c>
    </row>
    <row r="1604" spans="1:3" x14ac:dyDescent="0.25">
      <c r="A1604" s="60">
        <v>1603</v>
      </c>
      <c r="B1604" s="61">
        <v>46296</v>
      </c>
      <c r="C1604" s="60" t="s">
        <v>29</v>
      </c>
    </row>
    <row r="1605" spans="1:3" x14ac:dyDescent="0.25">
      <c r="A1605" s="60">
        <v>1604</v>
      </c>
      <c r="B1605" s="61">
        <v>46297</v>
      </c>
      <c r="C1605" s="60" t="s">
        <v>25</v>
      </c>
    </row>
    <row r="1606" spans="1:3" x14ac:dyDescent="0.25">
      <c r="A1606" s="60">
        <v>1605</v>
      </c>
      <c r="B1606" s="61">
        <v>46300</v>
      </c>
      <c r="C1606" s="60" t="s">
        <v>26</v>
      </c>
    </row>
    <row r="1607" spans="1:3" x14ac:dyDescent="0.25">
      <c r="A1607" s="60">
        <v>1606</v>
      </c>
      <c r="B1607" s="61">
        <v>46301</v>
      </c>
      <c r="C1607" s="60" t="s">
        <v>27</v>
      </c>
    </row>
    <row r="1608" spans="1:3" x14ac:dyDescent="0.25">
      <c r="A1608" s="60">
        <v>1607</v>
      </c>
      <c r="B1608" s="61">
        <v>46302</v>
      </c>
      <c r="C1608" s="60" t="s">
        <v>28</v>
      </c>
    </row>
    <row r="1609" spans="1:3" x14ac:dyDescent="0.25">
      <c r="A1609" s="60">
        <v>1608</v>
      </c>
      <c r="B1609" s="61">
        <v>46303</v>
      </c>
      <c r="C1609" s="60" t="s">
        <v>29</v>
      </c>
    </row>
    <row r="1610" spans="1:3" x14ac:dyDescent="0.25">
      <c r="A1610" s="60">
        <v>1609</v>
      </c>
      <c r="B1610" s="61">
        <v>46304</v>
      </c>
      <c r="C1610" s="60" t="s">
        <v>25</v>
      </c>
    </row>
    <row r="1611" spans="1:3" x14ac:dyDescent="0.25">
      <c r="A1611" s="60">
        <v>1610</v>
      </c>
      <c r="B1611" s="61">
        <v>46307</v>
      </c>
      <c r="C1611" s="60" t="s">
        <v>26</v>
      </c>
    </row>
    <row r="1612" spans="1:3" x14ac:dyDescent="0.25">
      <c r="A1612" s="60">
        <v>1611</v>
      </c>
      <c r="B1612" s="61">
        <v>46308</v>
      </c>
      <c r="C1612" s="60" t="s">
        <v>27</v>
      </c>
    </row>
    <row r="1613" spans="1:3" x14ac:dyDescent="0.25">
      <c r="A1613" s="60">
        <v>1612</v>
      </c>
      <c r="B1613" s="61">
        <v>46309</v>
      </c>
      <c r="C1613" s="60" t="s">
        <v>28</v>
      </c>
    </row>
    <row r="1614" spans="1:3" x14ac:dyDescent="0.25">
      <c r="A1614" s="60">
        <v>1613</v>
      </c>
      <c r="B1614" s="61">
        <v>46310</v>
      </c>
      <c r="C1614" s="60" t="s">
        <v>29</v>
      </c>
    </row>
    <row r="1615" spans="1:3" x14ac:dyDescent="0.25">
      <c r="A1615" s="60">
        <v>1614</v>
      </c>
      <c r="B1615" s="61">
        <v>46311</v>
      </c>
      <c r="C1615" s="60" t="s">
        <v>25</v>
      </c>
    </row>
    <row r="1616" spans="1:3" x14ac:dyDescent="0.25">
      <c r="A1616" s="60">
        <v>1615</v>
      </c>
      <c r="B1616" s="61">
        <v>46314</v>
      </c>
      <c r="C1616" s="60" t="s">
        <v>26</v>
      </c>
    </row>
    <row r="1617" spans="1:3" x14ac:dyDescent="0.25">
      <c r="A1617" s="60">
        <v>1616</v>
      </c>
      <c r="B1617" s="61">
        <v>46315</v>
      </c>
      <c r="C1617" s="60" t="s">
        <v>27</v>
      </c>
    </row>
    <row r="1618" spans="1:3" x14ac:dyDescent="0.25">
      <c r="A1618" s="60">
        <v>1617</v>
      </c>
      <c r="B1618" s="61">
        <v>46316</v>
      </c>
      <c r="C1618" s="60" t="s">
        <v>28</v>
      </c>
    </row>
    <row r="1619" spans="1:3" x14ac:dyDescent="0.25">
      <c r="A1619" s="60">
        <v>1618</v>
      </c>
      <c r="B1619" s="61">
        <v>46317</v>
      </c>
      <c r="C1619" s="60" t="s">
        <v>29</v>
      </c>
    </row>
    <row r="1620" spans="1:3" x14ac:dyDescent="0.25">
      <c r="A1620" s="60">
        <v>1619</v>
      </c>
      <c r="B1620" s="61">
        <v>46318</v>
      </c>
      <c r="C1620" s="60" t="s">
        <v>25</v>
      </c>
    </row>
    <row r="1621" spans="1:3" x14ac:dyDescent="0.25">
      <c r="A1621" s="60">
        <v>1620</v>
      </c>
      <c r="B1621" s="61">
        <v>46321</v>
      </c>
      <c r="C1621" s="60" t="s">
        <v>26</v>
      </c>
    </row>
    <row r="1622" spans="1:3" x14ac:dyDescent="0.25">
      <c r="A1622" s="60">
        <v>1621</v>
      </c>
      <c r="B1622" s="61">
        <v>46322</v>
      </c>
      <c r="C1622" s="60" t="s">
        <v>27</v>
      </c>
    </row>
    <row r="1623" spans="1:3" x14ac:dyDescent="0.25">
      <c r="A1623" s="60">
        <v>1622</v>
      </c>
      <c r="B1623" s="61">
        <v>46323</v>
      </c>
      <c r="C1623" s="60" t="s">
        <v>28</v>
      </c>
    </row>
    <row r="1624" spans="1:3" x14ac:dyDescent="0.25">
      <c r="A1624" s="60">
        <v>1623</v>
      </c>
      <c r="B1624" s="61">
        <v>46324</v>
      </c>
      <c r="C1624" s="60" t="s">
        <v>29</v>
      </c>
    </row>
    <row r="1625" spans="1:3" x14ac:dyDescent="0.25">
      <c r="A1625" s="60">
        <v>1624</v>
      </c>
      <c r="B1625" s="61">
        <v>46325</v>
      </c>
      <c r="C1625" s="60" t="s">
        <v>25</v>
      </c>
    </row>
    <row r="1626" spans="1:3" x14ac:dyDescent="0.25">
      <c r="A1626" s="60">
        <v>1625</v>
      </c>
      <c r="B1626" s="61">
        <v>46328</v>
      </c>
      <c r="C1626" s="60" t="s">
        <v>26</v>
      </c>
    </row>
    <row r="1627" spans="1:3" x14ac:dyDescent="0.25">
      <c r="A1627" s="60">
        <v>1626</v>
      </c>
      <c r="B1627" s="61">
        <v>46329</v>
      </c>
      <c r="C1627" s="60" t="s">
        <v>27</v>
      </c>
    </row>
    <row r="1628" spans="1:3" x14ac:dyDescent="0.25">
      <c r="A1628" s="60">
        <v>1627</v>
      </c>
      <c r="B1628" s="61">
        <v>46330</v>
      </c>
      <c r="C1628" s="60" t="s">
        <v>28</v>
      </c>
    </row>
    <row r="1629" spans="1:3" x14ac:dyDescent="0.25">
      <c r="A1629" s="60">
        <v>1628</v>
      </c>
      <c r="B1629" s="61">
        <v>46331</v>
      </c>
      <c r="C1629" s="60" t="s">
        <v>29</v>
      </c>
    </row>
    <row r="1630" spans="1:3" x14ac:dyDescent="0.25">
      <c r="A1630" s="60">
        <v>1629</v>
      </c>
      <c r="B1630" s="61">
        <v>46332</v>
      </c>
      <c r="C1630" s="60" t="s">
        <v>25</v>
      </c>
    </row>
    <row r="1631" spans="1:3" x14ac:dyDescent="0.25">
      <c r="A1631" s="60">
        <v>1630</v>
      </c>
      <c r="B1631" s="61">
        <v>46335</v>
      </c>
      <c r="C1631" s="60" t="s">
        <v>26</v>
      </c>
    </row>
    <row r="1632" spans="1:3" x14ac:dyDescent="0.25">
      <c r="A1632" s="60">
        <v>1631</v>
      </c>
      <c r="B1632" s="61">
        <v>46336</v>
      </c>
      <c r="C1632" s="60" t="s">
        <v>27</v>
      </c>
    </row>
    <row r="1633" spans="1:3" x14ac:dyDescent="0.25">
      <c r="A1633" s="60">
        <v>1632</v>
      </c>
      <c r="B1633" s="61">
        <v>46337</v>
      </c>
      <c r="C1633" s="60" t="s">
        <v>28</v>
      </c>
    </row>
    <row r="1634" spans="1:3" x14ac:dyDescent="0.25">
      <c r="A1634" s="60">
        <v>1633</v>
      </c>
      <c r="B1634" s="61">
        <v>46338</v>
      </c>
      <c r="C1634" s="60" t="s">
        <v>29</v>
      </c>
    </row>
    <row r="1635" spans="1:3" x14ac:dyDescent="0.25">
      <c r="A1635" s="60">
        <v>1634</v>
      </c>
      <c r="B1635" s="61">
        <v>46339</v>
      </c>
      <c r="C1635" s="60" t="s">
        <v>25</v>
      </c>
    </row>
    <row r="1636" spans="1:3" x14ac:dyDescent="0.25">
      <c r="A1636" s="60">
        <v>1635</v>
      </c>
      <c r="B1636" s="61">
        <v>46342</v>
      </c>
      <c r="C1636" s="60" t="s">
        <v>26</v>
      </c>
    </row>
    <row r="1637" spans="1:3" x14ac:dyDescent="0.25">
      <c r="A1637" s="60">
        <v>1636</v>
      </c>
      <c r="B1637" s="61">
        <v>46343</v>
      </c>
      <c r="C1637" s="60" t="s">
        <v>27</v>
      </c>
    </row>
    <row r="1638" spans="1:3" x14ac:dyDescent="0.25">
      <c r="A1638" s="60">
        <v>1637</v>
      </c>
      <c r="B1638" s="61">
        <v>46344</v>
      </c>
      <c r="C1638" s="60" t="s">
        <v>28</v>
      </c>
    </row>
    <row r="1639" spans="1:3" x14ac:dyDescent="0.25">
      <c r="A1639" s="60">
        <v>1638</v>
      </c>
      <c r="B1639" s="61">
        <v>46345</v>
      </c>
      <c r="C1639" s="60" t="s">
        <v>29</v>
      </c>
    </row>
    <row r="1640" spans="1:3" x14ac:dyDescent="0.25">
      <c r="A1640" s="60">
        <v>1639</v>
      </c>
      <c r="B1640" s="61">
        <v>46346</v>
      </c>
      <c r="C1640" s="60" t="s">
        <v>25</v>
      </c>
    </row>
    <row r="1641" spans="1:3" x14ac:dyDescent="0.25">
      <c r="A1641" s="60">
        <v>1640</v>
      </c>
      <c r="B1641" s="61">
        <v>46349</v>
      </c>
      <c r="C1641" s="60" t="s">
        <v>26</v>
      </c>
    </row>
    <row r="1642" spans="1:3" x14ac:dyDescent="0.25">
      <c r="A1642" s="60">
        <v>1641</v>
      </c>
      <c r="B1642" s="61">
        <v>46350</v>
      </c>
      <c r="C1642" s="60" t="s">
        <v>27</v>
      </c>
    </row>
    <row r="1643" spans="1:3" x14ac:dyDescent="0.25">
      <c r="A1643" s="60">
        <v>1642</v>
      </c>
      <c r="B1643" s="61">
        <v>46351</v>
      </c>
      <c r="C1643" s="60" t="s">
        <v>28</v>
      </c>
    </row>
    <row r="1644" spans="1:3" x14ac:dyDescent="0.25">
      <c r="A1644" s="60">
        <v>1643</v>
      </c>
      <c r="B1644" s="61">
        <v>46352</v>
      </c>
      <c r="C1644" s="60" t="s">
        <v>29</v>
      </c>
    </row>
    <row r="1645" spans="1:3" x14ac:dyDescent="0.25">
      <c r="A1645" s="60">
        <v>1644</v>
      </c>
      <c r="B1645" s="61">
        <v>46353</v>
      </c>
      <c r="C1645" s="60" t="s">
        <v>25</v>
      </c>
    </row>
    <row r="1646" spans="1:3" x14ac:dyDescent="0.25">
      <c r="A1646" s="60">
        <v>1645</v>
      </c>
      <c r="B1646" s="61">
        <v>46356</v>
      </c>
      <c r="C1646" s="60" t="s">
        <v>26</v>
      </c>
    </row>
    <row r="1647" spans="1:3" x14ac:dyDescent="0.25">
      <c r="A1647" s="60">
        <v>1646</v>
      </c>
      <c r="B1647" s="61">
        <v>46357</v>
      </c>
      <c r="C1647" s="60" t="s">
        <v>27</v>
      </c>
    </row>
    <row r="1648" spans="1:3" x14ac:dyDescent="0.25">
      <c r="A1648" s="60">
        <v>1647</v>
      </c>
      <c r="B1648" s="61">
        <v>46358</v>
      </c>
      <c r="C1648" s="60" t="s">
        <v>28</v>
      </c>
    </row>
    <row r="1649" spans="1:3" x14ac:dyDescent="0.25">
      <c r="A1649" s="60">
        <v>1648</v>
      </c>
      <c r="B1649" s="61">
        <v>46359</v>
      </c>
      <c r="C1649" s="60" t="s">
        <v>29</v>
      </c>
    </row>
    <row r="1650" spans="1:3" x14ac:dyDescent="0.25">
      <c r="A1650" s="60">
        <v>1649</v>
      </c>
      <c r="B1650" s="61">
        <v>46360</v>
      </c>
      <c r="C1650" s="60" t="s">
        <v>25</v>
      </c>
    </row>
    <row r="1651" spans="1:3" x14ac:dyDescent="0.25">
      <c r="A1651" s="60">
        <v>1650</v>
      </c>
      <c r="B1651" s="61">
        <v>46363</v>
      </c>
      <c r="C1651" s="60" t="s">
        <v>26</v>
      </c>
    </row>
    <row r="1652" spans="1:3" x14ac:dyDescent="0.25">
      <c r="A1652" s="60">
        <v>1651</v>
      </c>
      <c r="B1652" s="61">
        <v>46364</v>
      </c>
      <c r="C1652" s="60" t="s">
        <v>27</v>
      </c>
    </row>
    <row r="1653" spans="1:3" x14ac:dyDescent="0.25">
      <c r="A1653" s="60">
        <v>1652</v>
      </c>
      <c r="B1653" s="61">
        <v>46365</v>
      </c>
      <c r="C1653" s="60" t="s">
        <v>28</v>
      </c>
    </row>
    <row r="1654" spans="1:3" x14ac:dyDescent="0.25">
      <c r="A1654" s="60">
        <v>1653</v>
      </c>
      <c r="B1654" s="61">
        <v>46366</v>
      </c>
      <c r="C1654" s="60" t="s">
        <v>29</v>
      </c>
    </row>
    <row r="1655" spans="1:3" x14ac:dyDescent="0.25">
      <c r="A1655" s="60">
        <v>1654</v>
      </c>
      <c r="B1655" s="61">
        <v>46367</v>
      </c>
      <c r="C1655" s="60" t="s">
        <v>25</v>
      </c>
    </row>
    <row r="1656" spans="1:3" x14ac:dyDescent="0.25">
      <c r="A1656" s="60">
        <v>1655</v>
      </c>
      <c r="B1656" s="61">
        <v>46370</v>
      </c>
      <c r="C1656" s="60" t="s">
        <v>26</v>
      </c>
    </row>
    <row r="1657" spans="1:3" x14ac:dyDescent="0.25">
      <c r="A1657" s="60">
        <v>1656</v>
      </c>
      <c r="B1657" s="61">
        <v>46371</v>
      </c>
      <c r="C1657" s="60" t="s">
        <v>27</v>
      </c>
    </row>
    <row r="1658" spans="1:3" x14ac:dyDescent="0.25">
      <c r="A1658" s="60">
        <v>1657</v>
      </c>
      <c r="B1658" s="61">
        <v>46372</v>
      </c>
      <c r="C1658" s="60" t="s">
        <v>28</v>
      </c>
    </row>
    <row r="1659" spans="1:3" x14ac:dyDescent="0.25">
      <c r="A1659" s="60">
        <v>1658</v>
      </c>
      <c r="B1659" s="61">
        <v>46373</v>
      </c>
      <c r="C1659" s="60" t="s">
        <v>29</v>
      </c>
    </row>
    <row r="1660" spans="1:3" x14ac:dyDescent="0.25">
      <c r="A1660" s="60">
        <v>1659</v>
      </c>
      <c r="B1660" s="61">
        <v>46374</v>
      </c>
      <c r="C1660" s="60" t="s">
        <v>25</v>
      </c>
    </row>
    <row r="1661" spans="1:3" x14ac:dyDescent="0.25">
      <c r="A1661" s="60">
        <v>1660</v>
      </c>
      <c r="B1661" s="61">
        <v>46377</v>
      </c>
      <c r="C1661" s="60" t="s">
        <v>26</v>
      </c>
    </row>
    <row r="1662" spans="1:3" x14ac:dyDescent="0.25">
      <c r="A1662" s="60">
        <v>1661</v>
      </c>
      <c r="B1662" s="61">
        <v>46378</v>
      </c>
      <c r="C1662" s="60" t="s">
        <v>27</v>
      </c>
    </row>
    <row r="1663" spans="1:3" x14ac:dyDescent="0.25">
      <c r="A1663" s="60">
        <v>1662</v>
      </c>
      <c r="B1663" s="61">
        <v>46379</v>
      </c>
      <c r="C1663" s="60" t="s">
        <v>28</v>
      </c>
    </row>
    <row r="1664" spans="1:3" x14ac:dyDescent="0.25">
      <c r="A1664" s="60">
        <v>1663</v>
      </c>
      <c r="B1664" s="61">
        <v>46380</v>
      </c>
      <c r="C1664" s="60" t="s">
        <v>29</v>
      </c>
    </row>
    <row r="1665" spans="1:3" x14ac:dyDescent="0.25">
      <c r="A1665" s="60">
        <v>1664</v>
      </c>
      <c r="B1665" s="61">
        <v>46381</v>
      </c>
      <c r="C1665" s="60" t="s">
        <v>25</v>
      </c>
    </row>
    <row r="1666" spans="1:3" x14ac:dyDescent="0.25">
      <c r="A1666" s="60">
        <v>1665</v>
      </c>
      <c r="B1666" s="61">
        <v>46384</v>
      </c>
      <c r="C1666" s="60" t="s">
        <v>26</v>
      </c>
    </row>
    <row r="1667" spans="1:3" x14ac:dyDescent="0.25">
      <c r="A1667" s="60">
        <v>1666</v>
      </c>
      <c r="B1667" s="61">
        <v>46385</v>
      </c>
      <c r="C1667" s="60" t="s">
        <v>27</v>
      </c>
    </row>
    <row r="1668" spans="1:3" x14ac:dyDescent="0.25">
      <c r="A1668" s="60">
        <v>1667</v>
      </c>
      <c r="B1668" s="61">
        <v>46386</v>
      </c>
      <c r="C1668" s="60" t="s">
        <v>28</v>
      </c>
    </row>
    <row r="1669" spans="1:3" x14ac:dyDescent="0.25">
      <c r="A1669" s="60">
        <v>1668</v>
      </c>
      <c r="B1669" s="61">
        <v>46387</v>
      </c>
      <c r="C1669" s="60" t="s">
        <v>29</v>
      </c>
    </row>
    <row r="1670" spans="1:3" x14ac:dyDescent="0.25">
      <c r="A1670" s="60">
        <v>1669</v>
      </c>
      <c r="B1670" s="61">
        <v>46388</v>
      </c>
      <c r="C1670" s="60" t="s">
        <v>25</v>
      </c>
    </row>
    <row r="1671" spans="1:3" x14ac:dyDescent="0.25">
      <c r="A1671" s="60">
        <v>1670</v>
      </c>
      <c r="B1671" s="61">
        <v>46391</v>
      </c>
      <c r="C1671" s="60" t="s">
        <v>26</v>
      </c>
    </row>
    <row r="1672" spans="1:3" x14ac:dyDescent="0.25">
      <c r="A1672" s="60">
        <v>1671</v>
      </c>
      <c r="B1672" s="61">
        <v>46392</v>
      </c>
      <c r="C1672" s="60" t="s">
        <v>27</v>
      </c>
    </row>
    <row r="1673" spans="1:3" x14ac:dyDescent="0.25">
      <c r="A1673" s="60">
        <v>1672</v>
      </c>
      <c r="B1673" s="61">
        <v>46393</v>
      </c>
      <c r="C1673" s="60" t="s">
        <v>28</v>
      </c>
    </row>
    <row r="1674" spans="1:3" x14ac:dyDescent="0.25">
      <c r="A1674" s="60">
        <v>1673</v>
      </c>
      <c r="B1674" s="61">
        <v>46394</v>
      </c>
      <c r="C1674" s="60" t="s">
        <v>29</v>
      </c>
    </row>
    <row r="1675" spans="1:3" x14ac:dyDescent="0.25">
      <c r="A1675" s="60">
        <v>1674</v>
      </c>
      <c r="B1675" s="61">
        <v>46395</v>
      </c>
      <c r="C1675" s="60" t="s">
        <v>25</v>
      </c>
    </row>
    <row r="1676" spans="1:3" x14ac:dyDescent="0.25">
      <c r="A1676" s="60">
        <v>1675</v>
      </c>
      <c r="B1676" s="61">
        <v>46398</v>
      </c>
      <c r="C1676" s="60" t="s">
        <v>26</v>
      </c>
    </row>
    <row r="1677" spans="1:3" x14ac:dyDescent="0.25">
      <c r="A1677" s="60">
        <v>1676</v>
      </c>
      <c r="B1677" s="61">
        <v>46399</v>
      </c>
      <c r="C1677" s="60" t="s">
        <v>27</v>
      </c>
    </row>
    <row r="1678" spans="1:3" x14ac:dyDescent="0.25">
      <c r="A1678" s="60">
        <v>1677</v>
      </c>
      <c r="B1678" s="61">
        <v>46400</v>
      </c>
      <c r="C1678" s="60" t="s">
        <v>28</v>
      </c>
    </row>
    <row r="1679" spans="1:3" x14ac:dyDescent="0.25">
      <c r="A1679" s="60">
        <v>1678</v>
      </c>
      <c r="B1679" s="61">
        <v>46401</v>
      </c>
      <c r="C1679" s="60" t="s">
        <v>29</v>
      </c>
    </row>
    <row r="1680" spans="1:3" x14ac:dyDescent="0.25">
      <c r="A1680" s="60">
        <v>1679</v>
      </c>
      <c r="B1680" s="61">
        <v>46402</v>
      </c>
      <c r="C1680" s="60" t="s">
        <v>25</v>
      </c>
    </row>
    <row r="1681" spans="1:3" x14ac:dyDescent="0.25">
      <c r="A1681" s="60">
        <v>1680</v>
      </c>
      <c r="B1681" s="61">
        <v>46405</v>
      </c>
      <c r="C1681" s="60" t="s">
        <v>26</v>
      </c>
    </row>
    <row r="1682" spans="1:3" x14ac:dyDescent="0.25">
      <c r="A1682" s="60">
        <v>1681</v>
      </c>
      <c r="B1682" s="61">
        <v>46406</v>
      </c>
      <c r="C1682" s="60" t="s">
        <v>27</v>
      </c>
    </row>
    <row r="1683" spans="1:3" x14ac:dyDescent="0.25">
      <c r="A1683" s="60">
        <v>1682</v>
      </c>
      <c r="B1683" s="61">
        <v>46407</v>
      </c>
      <c r="C1683" s="60" t="s">
        <v>28</v>
      </c>
    </row>
    <row r="1684" spans="1:3" x14ac:dyDescent="0.25">
      <c r="A1684" s="60">
        <v>1683</v>
      </c>
      <c r="B1684" s="61">
        <v>46408</v>
      </c>
      <c r="C1684" s="60" t="s">
        <v>29</v>
      </c>
    </row>
    <row r="1685" spans="1:3" x14ac:dyDescent="0.25">
      <c r="A1685" s="60">
        <v>1684</v>
      </c>
      <c r="B1685" s="61">
        <v>46409</v>
      </c>
      <c r="C1685" s="60" t="s">
        <v>25</v>
      </c>
    </row>
    <row r="1686" spans="1:3" x14ac:dyDescent="0.25">
      <c r="A1686" s="60">
        <v>1685</v>
      </c>
      <c r="B1686" s="61">
        <v>46412</v>
      </c>
      <c r="C1686" s="60" t="s">
        <v>26</v>
      </c>
    </row>
    <row r="1687" spans="1:3" x14ac:dyDescent="0.25">
      <c r="A1687" s="60">
        <v>1686</v>
      </c>
      <c r="B1687" s="61">
        <v>46413</v>
      </c>
      <c r="C1687" s="60" t="s">
        <v>27</v>
      </c>
    </row>
    <row r="1688" spans="1:3" x14ac:dyDescent="0.25">
      <c r="A1688" s="60">
        <v>1687</v>
      </c>
      <c r="B1688" s="61">
        <v>46414</v>
      </c>
      <c r="C1688" s="60" t="s">
        <v>28</v>
      </c>
    </row>
    <row r="1689" spans="1:3" x14ac:dyDescent="0.25">
      <c r="A1689" s="60">
        <v>1688</v>
      </c>
      <c r="B1689" s="61">
        <v>46415</v>
      </c>
      <c r="C1689" s="60" t="s">
        <v>29</v>
      </c>
    </row>
    <row r="1690" spans="1:3" x14ac:dyDescent="0.25">
      <c r="A1690" s="60">
        <v>1689</v>
      </c>
      <c r="B1690" s="61">
        <v>46416</v>
      </c>
      <c r="C1690" s="60" t="s">
        <v>25</v>
      </c>
    </row>
    <row r="1691" spans="1:3" x14ac:dyDescent="0.25">
      <c r="A1691" s="60">
        <v>1690</v>
      </c>
      <c r="B1691" s="61">
        <v>46419</v>
      </c>
      <c r="C1691" s="60" t="s">
        <v>26</v>
      </c>
    </row>
    <row r="1692" spans="1:3" x14ac:dyDescent="0.25">
      <c r="A1692" s="60">
        <v>1691</v>
      </c>
      <c r="B1692" s="61">
        <v>46420</v>
      </c>
      <c r="C1692" s="60" t="s">
        <v>27</v>
      </c>
    </row>
    <row r="1693" spans="1:3" x14ac:dyDescent="0.25">
      <c r="A1693" s="60">
        <v>1692</v>
      </c>
      <c r="B1693" s="61">
        <v>46421</v>
      </c>
      <c r="C1693" s="60" t="s">
        <v>28</v>
      </c>
    </row>
    <row r="1694" spans="1:3" x14ac:dyDescent="0.25">
      <c r="A1694" s="60">
        <v>1693</v>
      </c>
      <c r="B1694" s="61">
        <v>46422</v>
      </c>
      <c r="C1694" s="60" t="s">
        <v>29</v>
      </c>
    </row>
    <row r="1695" spans="1:3" x14ac:dyDescent="0.25">
      <c r="A1695" s="60">
        <v>1694</v>
      </c>
      <c r="B1695" s="61">
        <v>46423</v>
      </c>
      <c r="C1695" s="60" t="s">
        <v>25</v>
      </c>
    </row>
    <row r="1696" spans="1:3" x14ac:dyDescent="0.25">
      <c r="A1696" s="60">
        <v>1695</v>
      </c>
      <c r="B1696" s="61">
        <v>46426</v>
      </c>
      <c r="C1696" s="60" t="s">
        <v>26</v>
      </c>
    </row>
    <row r="1697" spans="1:3" x14ac:dyDescent="0.25">
      <c r="A1697" s="60">
        <v>1696</v>
      </c>
      <c r="B1697" s="61">
        <v>46427</v>
      </c>
      <c r="C1697" s="60" t="s">
        <v>27</v>
      </c>
    </row>
    <row r="1698" spans="1:3" x14ac:dyDescent="0.25">
      <c r="A1698" s="60">
        <v>1697</v>
      </c>
      <c r="B1698" s="61">
        <v>46428</v>
      </c>
      <c r="C1698" s="60" t="s">
        <v>28</v>
      </c>
    </row>
    <row r="1699" spans="1:3" x14ac:dyDescent="0.25">
      <c r="A1699" s="60">
        <v>1698</v>
      </c>
      <c r="B1699" s="61">
        <v>46429</v>
      </c>
      <c r="C1699" s="60" t="s">
        <v>29</v>
      </c>
    </row>
    <row r="1700" spans="1:3" x14ac:dyDescent="0.25">
      <c r="A1700" s="60">
        <v>1699</v>
      </c>
      <c r="B1700" s="61">
        <v>46430</v>
      </c>
      <c r="C1700" s="60" t="s">
        <v>25</v>
      </c>
    </row>
    <row r="1701" spans="1:3" x14ac:dyDescent="0.25">
      <c r="A1701" s="60">
        <v>1700</v>
      </c>
      <c r="B1701" s="61">
        <v>46433</v>
      </c>
      <c r="C1701" s="60" t="s">
        <v>26</v>
      </c>
    </row>
    <row r="1702" spans="1:3" x14ac:dyDescent="0.25">
      <c r="A1702" s="60">
        <v>1701</v>
      </c>
      <c r="B1702" s="61">
        <v>46434</v>
      </c>
      <c r="C1702" s="60" t="s">
        <v>27</v>
      </c>
    </row>
    <row r="1703" spans="1:3" x14ac:dyDescent="0.25">
      <c r="A1703" s="60">
        <v>1702</v>
      </c>
      <c r="B1703" s="61">
        <v>46435</v>
      </c>
      <c r="C1703" s="60" t="s">
        <v>28</v>
      </c>
    </row>
    <row r="1704" spans="1:3" x14ac:dyDescent="0.25">
      <c r="A1704" s="60">
        <v>1703</v>
      </c>
      <c r="B1704" s="61">
        <v>46436</v>
      </c>
      <c r="C1704" s="60" t="s">
        <v>29</v>
      </c>
    </row>
    <row r="1705" spans="1:3" x14ac:dyDescent="0.25">
      <c r="A1705" s="60">
        <v>1704</v>
      </c>
      <c r="B1705" s="61">
        <v>46437</v>
      </c>
      <c r="C1705" s="60" t="s">
        <v>25</v>
      </c>
    </row>
    <row r="1706" spans="1:3" x14ac:dyDescent="0.25">
      <c r="A1706" s="60">
        <v>1705</v>
      </c>
      <c r="B1706" s="61">
        <v>46440</v>
      </c>
      <c r="C1706" s="60" t="s">
        <v>26</v>
      </c>
    </row>
    <row r="1707" spans="1:3" x14ac:dyDescent="0.25">
      <c r="A1707" s="60">
        <v>1706</v>
      </c>
      <c r="B1707" s="61">
        <v>46441</v>
      </c>
      <c r="C1707" s="60" t="s">
        <v>27</v>
      </c>
    </row>
    <row r="1708" spans="1:3" x14ac:dyDescent="0.25">
      <c r="A1708" s="60">
        <v>1707</v>
      </c>
      <c r="B1708" s="61">
        <v>46442</v>
      </c>
      <c r="C1708" s="60" t="s">
        <v>28</v>
      </c>
    </row>
    <row r="1709" spans="1:3" x14ac:dyDescent="0.25">
      <c r="A1709" s="60">
        <v>1708</v>
      </c>
      <c r="B1709" s="61">
        <v>46443</v>
      </c>
      <c r="C1709" s="60" t="s">
        <v>29</v>
      </c>
    </row>
    <row r="1710" spans="1:3" x14ac:dyDescent="0.25">
      <c r="A1710" s="60">
        <v>1709</v>
      </c>
      <c r="B1710" s="61">
        <v>46444</v>
      </c>
      <c r="C1710" s="60" t="s">
        <v>25</v>
      </c>
    </row>
    <row r="1711" spans="1:3" x14ac:dyDescent="0.25">
      <c r="A1711" s="60">
        <v>1710</v>
      </c>
      <c r="B1711" s="61">
        <v>46447</v>
      </c>
      <c r="C1711" s="60" t="s">
        <v>26</v>
      </c>
    </row>
    <row r="1712" spans="1:3" x14ac:dyDescent="0.25">
      <c r="A1712" s="60">
        <v>1711</v>
      </c>
      <c r="B1712" s="61">
        <v>46448</v>
      </c>
      <c r="C1712" s="60" t="s">
        <v>27</v>
      </c>
    </row>
    <row r="1713" spans="1:3" x14ac:dyDescent="0.25">
      <c r="A1713" s="60">
        <v>1712</v>
      </c>
      <c r="B1713" s="61">
        <v>46449</v>
      </c>
      <c r="C1713" s="60" t="s">
        <v>28</v>
      </c>
    </row>
    <row r="1714" spans="1:3" x14ac:dyDescent="0.25">
      <c r="A1714" s="60">
        <v>1713</v>
      </c>
      <c r="B1714" s="61">
        <v>46450</v>
      </c>
      <c r="C1714" s="60" t="s">
        <v>29</v>
      </c>
    </row>
    <row r="1715" spans="1:3" x14ac:dyDescent="0.25">
      <c r="A1715" s="60">
        <v>1714</v>
      </c>
      <c r="B1715" s="61">
        <v>46451</v>
      </c>
      <c r="C1715" s="60" t="s">
        <v>25</v>
      </c>
    </row>
    <row r="1716" spans="1:3" x14ac:dyDescent="0.25">
      <c r="A1716" s="60">
        <v>1715</v>
      </c>
      <c r="B1716" s="61">
        <v>46454</v>
      </c>
      <c r="C1716" s="60" t="s">
        <v>26</v>
      </c>
    </row>
    <row r="1717" spans="1:3" x14ac:dyDescent="0.25">
      <c r="A1717" s="60">
        <v>1716</v>
      </c>
      <c r="B1717" s="61">
        <v>46455</v>
      </c>
      <c r="C1717" s="60" t="s">
        <v>27</v>
      </c>
    </row>
    <row r="1718" spans="1:3" x14ac:dyDescent="0.25">
      <c r="A1718" s="60">
        <v>1717</v>
      </c>
      <c r="B1718" s="61">
        <v>46456</v>
      </c>
      <c r="C1718" s="60" t="s">
        <v>28</v>
      </c>
    </row>
    <row r="1719" spans="1:3" x14ac:dyDescent="0.25">
      <c r="A1719" s="60">
        <v>1718</v>
      </c>
      <c r="B1719" s="61">
        <v>46457</v>
      </c>
      <c r="C1719" s="60" t="s">
        <v>29</v>
      </c>
    </row>
    <row r="1720" spans="1:3" x14ac:dyDescent="0.25">
      <c r="A1720" s="60">
        <v>1719</v>
      </c>
      <c r="B1720" s="61">
        <v>46458</v>
      </c>
      <c r="C1720" s="60" t="s">
        <v>25</v>
      </c>
    </row>
    <row r="1721" spans="1:3" x14ac:dyDescent="0.25">
      <c r="A1721" s="60">
        <v>1720</v>
      </c>
      <c r="B1721" s="61">
        <v>46461</v>
      </c>
      <c r="C1721" s="60" t="s">
        <v>26</v>
      </c>
    </row>
    <row r="1722" spans="1:3" x14ac:dyDescent="0.25">
      <c r="A1722" s="60">
        <v>1721</v>
      </c>
      <c r="B1722" s="61">
        <v>46462</v>
      </c>
      <c r="C1722" s="60" t="s">
        <v>27</v>
      </c>
    </row>
    <row r="1723" spans="1:3" x14ac:dyDescent="0.25">
      <c r="A1723" s="60">
        <v>1722</v>
      </c>
      <c r="B1723" s="61">
        <v>46463</v>
      </c>
      <c r="C1723" s="60" t="s">
        <v>28</v>
      </c>
    </row>
    <row r="1724" spans="1:3" x14ac:dyDescent="0.25">
      <c r="A1724" s="60">
        <v>1723</v>
      </c>
      <c r="B1724" s="61">
        <v>46464</v>
      </c>
      <c r="C1724" s="60" t="s">
        <v>29</v>
      </c>
    </row>
    <row r="1725" spans="1:3" x14ac:dyDescent="0.25">
      <c r="A1725" s="60">
        <v>1724</v>
      </c>
      <c r="B1725" s="61">
        <v>46465</v>
      </c>
      <c r="C1725" s="60" t="s">
        <v>25</v>
      </c>
    </row>
    <row r="1726" spans="1:3" x14ac:dyDescent="0.25">
      <c r="A1726" s="60">
        <v>1725</v>
      </c>
      <c r="B1726" s="61">
        <v>46468</v>
      </c>
      <c r="C1726" s="60" t="s">
        <v>26</v>
      </c>
    </row>
    <row r="1727" spans="1:3" x14ac:dyDescent="0.25">
      <c r="A1727" s="60">
        <v>1726</v>
      </c>
      <c r="B1727" s="61">
        <v>46469</v>
      </c>
      <c r="C1727" s="60" t="s">
        <v>27</v>
      </c>
    </row>
    <row r="1728" spans="1:3" x14ac:dyDescent="0.25">
      <c r="A1728" s="60">
        <v>1727</v>
      </c>
      <c r="B1728" s="61">
        <v>46470</v>
      </c>
      <c r="C1728" s="60" t="s">
        <v>28</v>
      </c>
    </row>
    <row r="1729" spans="1:3" x14ac:dyDescent="0.25">
      <c r="A1729" s="60">
        <v>1728</v>
      </c>
      <c r="B1729" s="61">
        <v>46471</v>
      </c>
      <c r="C1729" s="60" t="s">
        <v>29</v>
      </c>
    </row>
    <row r="1730" spans="1:3" x14ac:dyDescent="0.25">
      <c r="A1730" s="60">
        <v>1729</v>
      </c>
      <c r="B1730" s="61">
        <v>46472</v>
      </c>
      <c r="C1730" s="60" t="s">
        <v>25</v>
      </c>
    </row>
    <row r="1731" spans="1:3" x14ac:dyDescent="0.25">
      <c r="A1731" s="60">
        <v>1730</v>
      </c>
      <c r="B1731" s="61">
        <v>46475</v>
      </c>
      <c r="C1731" s="60" t="s">
        <v>26</v>
      </c>
    </row>
    <row r="1732" spans="1:3" x14ac:dyDescent="0.25">
      <c r="A1732" s="60">
        <v>1731</v>
      </c>
      <c r="B1732" s="61">
        <v>46476</v>
      </c>
      <c r="C1732" s="60" t="s">
        <v>27</v>
      </c>
    </row>
    <row r="1733" spans="1:3" x14ac:dyDescent="0.25">
      <c r="A1733" s="60">
        <v>1732</v>
      </c>
      <c r="B1733" s="61">
        <v>46477</v>
      </c>
      <c r="C1733" s="60" t="s">
        <v>28</v>
      </c>
    </row>
    <row r="1734" spans="1:3" x14ac:dyDescent="0.25">
      <c r="A1734" s="60">
        <v>1733</v>
      </c>
      <c r="B1734" s="61">
        <v>46478</v>
      </c>
      <c r="C1734" s="60" t="s">
        <v>29</v>
      </c>
    </row>
    <row r="1735" spans="1:3" x14ac:dyDescent="0.25">
      <c r="A1735" s="60">
        <v>1734</v>
      </c>
      <c r="B1735" s="61">
        <v>46479</v>
      </c>
      <c r="C1735" s="60" t="s">
        <v>25</v>
      </c>
    </row>
    <row r="1736" spans="1:3" x14ac:dyDescent="0.25">
      <c r="A1736" s="60">
        <v>1735</v>
      </c>
      <c r="B1736" s="61">
        <v>46482</v>
      </c>
      <c r="C1736" s="60" t="s">
        <v>26</v>
      </c>
    </row>
    <row r="1737" spans="1:3" x14ac:dyDescent="0.25">
      <c r="A1737" s="60">
        <v>1736</v>
      </c>
      <c r="B1737" s="61">
        <v>46483</v>
      </c>
      <c r="C1737" s="60" t="s">
        <v>27</v>
      </c>
    </row>
    <row r="1738" spans="1:3" x14ac:dyDescent="0.25">
      <c r="A1738" s="60">
        <v>1737</v>
      </c>
      <c r="B1738" s="61">
        <v>46484</v>
      </c>
      <c r="C1738" s="60" t="s">
        <v>28</v>
      </c>
    </row>
    <row r="1739" spans="1:3" x14ac:dyDescent="0.25">
      <c r="A1739" s="60">
        <v>1738</v>
      </c>
      <c r="B1739" s="61">
        <v>46485</v>
      </c>
      <c r="C1739" s="60" t="s">
        <v>29</v>
      </c>
    </row>
    <row r="1740" spans="1:3" x14ac:dyDescent="0.25">
      <c r="A1740" s="60">
        <v>1739</v>
      </c>
      <c r="B1740" s="61">
        <v>46486</v>
      </c>
      <c r="C1740" s="60" t="s">
        <v>25</v>
      </c>
    </row>
    <row r="1741" spans="1:3" x14ac:dyDescent="0.25">
      <c r="A1741" s="60">
        <v>1740</v>
      </c>
      <c r="B1741" s="61">
        <v>46489</v>
      </c>
      <c r="C1741" s="60" t="s">
        <v>26</v>
      </c>
    </row>
    <row r="1742" spans="1:3" x14ac:dyDescent="0.25">
      <c r="A1742" s="60">
        <v>1741</v>
      </c>
      <c r="B1742" s="61">
        <v>46490</v>
      </c>
      <c r="C1742" s="60" t="s">
        <v>27</v>
      </c>
    </row>
    <row r="1743" spans="1:3" x14ac:dyDescent="0.25">
      <c r="A1743" s="60">
        <v>1742</v>
      </c>
      <c r="B1743" s="61">
        <v>46491</v>
      </c>
      <c r="C1743" s="60" t="s">
        <v>28</v>
      </c>
    </row>
    <row r="1744" spans="1:3" x14ac:dyDescent="0.25">
      <c r="A1744" s="60">
        <v>1743</v>
      </c>
      <c r="B1744" s="61">
        <v>46492</v>
      </c>
      <c r="C1744" s="60" t="s">
        <v>29</v>
      </c>
    </row>
    <row r="1745" spans="1:3" x14ac:dyDescent="0.25">
      <c r="A1745" s="60">
        <v>1744</v>
      </c>
      <c r="B1745" s="61">
        <v>46493</v>
      </c>
      <c r="C1745" s="60" t="s">
        <v>25</v>
      </c>
    </row>
    <row r="1746" spans="1:3" x14ac:dyDescent="0.25">
      <c r="A1746" s="60">
        <v>1745</v>
      </c>
      <c r="B1746" s="61">
        <v>46496</v>
      </c>
      <c r="C1746" s="60" t="s">
        <v>26</v>
      </c>
    </row>
    <row r="1747" spans="1:3" x14ac:dyDescent="0.25">
      <c r="A1747" s="60">
        <v>1746</v>
      </c>
      <c r="B1747" s="61">
        <v>46497</v>
      </c>
      <c r="C1747" s="60" t="s">
        <v>27</v>
      </c>
    </row>
    <row r="1748" spans="1:3" x14ac:dyDescent="0.25">
      <c r="A1748" s="60">
        <v>1747</v>
      </c>
      <c r="B1748" s="61">
        <v>46498</v>
      </c>
      <c r="C1748" s="60" t="s">
        <v>28</v>
      </c>
    </row>
    <row r="1749" spans="1:3" x14ac:dyDescent="0.25">
      <c r="A1749" s="60">
        <v>1748</v>
      </c>
      <c r="B1749" s="61">
        <v>46499</v>
      </c>
      <c r="C1749" s="60" t="s">
        <v>29</v>
      </c>
    </row>
    <row r="1750" spans="1:3" x14ac:dyDescent="0.25">
      <c r="A1750" s="60">
        <v>1749</v>
      </c>
      <c r="B1750" s="61">
        <v>46500</v>
      </c>
      <c r="C1750" s="60" t="s">
        <v>25</v>
      </c>
    </row>
    <row r="1751" spans="1:3" x14ac:dyDescent="0.25">
      <c r="A1751" s="60">
        <v>1750</v>
      </c>
      <c r="B1751" s="61">
        <v>46503</v>
      </c>
      <c r="C1751" s="60" t="s">
        <v>26</v>
      </c>
    </row>
    <row r="1752" spans="1:3" x14ac:dyDescent="0.25">
      <c r="A1752" s="60">
        <v>1751</v>
      </c>
      <c r="B1752" s="61">
        <v>46504</v>
      </c>
      <c r="C1752" s="60" t="s">
        <v>27</v>
      </c>
    </row>
    <row r="1753" spans="1:3" x14ac:dyDescent="0.25">
      <c r="A1753" s="60">
        <v>1752</v>
      </c>
      <c r="B1753" s="61">
        <v>46505</v>
      </c>
      <c r="C1753" s="60" t="s">
        <v>28</v>
      </c>
    </row>
    <row r="1754" spans="1:3" x14ac:dyDescent="0.25">
      <c r="A1754" s="60">
        <v>1753</v>
      </c>
      <c r="B1754" s="61">
        <v>46506</v>
      </c>
      <c r="C1754" s="60" t="s">
        <v>29</v>
      </c>
    </row>
    <row r="1755" spans="1:3" x14ac:dyDescent="0.25">
      <c r="A1755" s="60">
        <v>1754</v>
      </c>
      <c r="B1755" s="61">
        <v>46507</v>
      </c>
      <c r="C1755" s="60" t="s">
        <v>25</v>
      </c>
    </row>
    <row r="1756" spans="1:3" x14ac:dyDescent="0.25">
      <c r="A1756" s="60">
        <v>1755</v>
      </c>
      <c r="B1756" s="61">
        <v>46510</v>
      </c>
      <c r="C1756" s="60" t="s">
        <v>26</v>
      </c>
    </row>
    <row r="1757" spans="1:3" x14ac:dyDescent="0.25">
      <c r="A1757" s="60">
        <v>1756</v>
      </c>
      <c r="B1757" s="61">
        <v>46511</v>
      </c>
      <c r="C1757" s="60" t="s">
        <v>27</v>
      </c>
    </row>
    <row r="1758" spans="1:3" x14ac:dyDescent="0.25">
      <c r="A1758" s="60">
        <v>1757</v>
      </c>
      <c r="B1758" s="61">
        <v>46512</v>
      </c>
      <c r="C1758" s="60" t="s">
        <v>28</v>
      </c>
    </row>
    <row r="1759" spans="1:3" x14ac:dyDescent="0.25">
      <c r="A1759" s="60">
        <v>1758</v>
      </c>
      <c r="B1759" s="61">
        <v>46513</v>
      </c>
      <c r="C1759" s="60" t="s">
        <v>29</v>
      </c>
    </row>
    <row r="1760" spans="1:3" x14ac:dyDescent="0.25">
      <c r="A1760" s="60">
        <v>1759</v>
      </c>
      <c r="B1760" s="61">
        <v>46514</v>
      </c>
      <c r="C1760" s="60" t="s">
        <v>25</v>
      </c>
    </row>
    <row r="1761" spans="1:3" x14ac:dyDescent="0.25">
      <c r="A1761" s="60">
        <v>1760</v>
      </c>
      <c r="B1761" s="61">
        <v>46517</v>
      </c>
      <c r="C1761" s="60" t="s">
        <v>26</v>
      </c>
    </row>
    <row r="1762" spans="1:3" x14ac:dyDescent="0.25">
      <c r="A1762" s="60">
        <v>1761</v>
      </c>
      <c r="B1762" s="61">
        <v>46518</v>
      </c>
      <c r="C1762" s="60" t="s">
        <v>27</v>
      </c>
    </row>
    <row r="1763" spans="1:3" x14ac:dyDescent="0.25">
      <c r="A1763" s="60">
        <v>1762</v>
      </c>
      <c r="B1763" s="61">
        <v>46519</v>
      </c>
      <c r="C1763" s="60" t="s">
        <v>28</v>
      </c>
    </row>
    <row r="1764" spans="1:3" x14ac:dyDescent="0.25">
      <c r="A1764" s="60">
        <v>1763</v>
      </c>
      <c r="B1764" s="61">
        <v>46520</v>
      </c>
      <c r="C1764" s="60" t="s">
        <v>29</v>
      </c>
    </row>
    <row r="1765" spans="1:3" x14ac:dyDescent="0.25">
      <c r="A1765" s="60">
        <v>1764</v>
      </c>
      <c r="B1765" s="61">
        <v>46521</v>
      </c>
      <c r="C1765" s="60" t="s">
        <v>25</v>
      </c>
    </row>
    <row r="1766" spans="1:3" x14ac:dyDescent="0.25">
      <c r="A1766" s="60">
        <v>1765</v>
      </c>
      <c r="B1766" s="61">
        <v>46524</v>
      </c>
      <c r="C1766" s="60" t="s">
        <v>26</v>
      </c>
    </row>
    <row r="1767" spans="1:3" x14ac:dyDescent="0.25">
      <c r="A1767" s="60">
        <v>1766</v>
      </c>
      <c r="B1767" s="61">
        <v>46525</v>
      </c>
      <c r="C1767" s="60" t="s">
        <v>27</v>
      </c>
    </row>
    <row r="1768" spans="1:3" x14ac:dyDescent="0.25">
      <c r="A1768" s="60">
        <v>1767</v>
      </c>
      <c r="B1768" s="61">
        <v>46526</v>
      </c>
      <c r="C1768" s="60" t="s">
        <v>28</v>
      </c>
    </row>
    <row r="1769" spans="1:3" x14ac:dyDescent="0.25">
      <c r="A1769" s="60">
        <v>1768</v>
      </c>
      <c r="B1769" s="61">
        <v>46527</v>
      </c>
      <c r="C1769" s="60" t="s">
        <v>29</v>
      </c>
    </row>
    <row r="1770" spans="1:3" x14ac:dyDescent="0.25">
      <c r="A1770" s="60">
        <v>1769</v>
      </c>
      <c r="B1770" s="61">
        <v>46528</v>
      </c>
      <c r="C1770" s="60" t="s">
        <v>25</v>
      </c>
    </row>
    <row r="1771" spans="1:3" x14ac:dyDescent="0.25">
      <c r="A1771" s="60">
        <v>1770</v>
      </c>
      <c r="B1771" s="61">
        <v>46531</v>
      </c>
      <c r="C1771" s="60" t="s">
        <v>26</v>
      </c>
    </row>
    <row r="1772" spans="1:3" x14ac:dyDescent="0.25">
      <c r="A1772" s="60">
        <v>1771</v>
      </c>
      <c r="B1772" s="61">
        <v>46532</v>
      </c>
      <c r="C1772" s="60" t="s">
        <v>27</v>
      </c>
    </row>
    <row r="1773" spans="1:3" x14ac:dyDescent="0.25">
      <c r="A1773" s="60">
        <v>1772</v>
      </c>
      <c r="B1773" s="61">
        <v>46533</v>
      </c>
      <c r="C1773" s="60" t="s">
        <v>28</v>
      </c>
    </row>
    <row r="1774" spans="1:3" x14ac:dyDescent="0.25">
      <c r="A1774" s="60">
        <v>1773</v>
      </c>
      <c r="B1774" s="61">
        <v>46534</v>
      </c>
      <c r="C1774" s="60" t="s">
        <v>29</v>
      </c>
    </row>
    <row r="1775" spans="1:3" x14ac:dyDescent="0.25">
      <c r="A1775" s="60">
        <v>1774</v>
      </c>
      <c r="B1775" s="61">
        <v>46535</v>
      </c>
      <c r="C1775" s="60" t="s">
        <v>25</v>
      </c>
    </row>
    <row r="1776" spans="1:3" x14ac:dyDescent="0.25">
      <c r="A1776" s="60">
        <v>1775</v>
      </c>
      <c r="B1776" s="61">
        <v>46538</v>
      </c>
      <c r="C1776" s="60" t="s">
        <v>26</v>
      </c>
    </row>
    <row r="1777" spans="1:3" x14ac:dyDescent="0.25">
      <c r="A1777" s="60">
        <v>1776</v>
      </c>
      <c r="B1777" s="61">
        <v>46539</v>
      </c>
      <c r="C1777" s="60" t="s">
        <v>27</v>
      </c>
    </row>
    <row r="1778" spans="1:3" x14ac:dyDescent="0.25">
      <c r="A1778" s="60">
        <v>1777</v>
      </c>
      <c r="B1778" s="61">
        <v>46540</v>
      </c>
      <c r="C1778" s="60" t="s">
        <v>28</v>
      </c>
    </row>
    <row r="1779" spans="1:3" x14ac:dyDescent="0.25">
      <c r="A1779" s="60">
        <v>1778</v>
      </c>
      <c r="B1779" s="61">
        <v>46541</v>
      </c>
      <c r="C1779" s="60" t="s">
        <v>29</v>
      </c>
    </row>
    <row r="1780" spans="1:3" x14ac:dyDescent="0.25">
      <c r="A1780" s="60">
        <v>1779</v>
      </c>
      <c r="B1780" s="61">
        <v>46542</v>
      </c>
      <c r="C1780" s="60" t="s">
        <v>25</v>
      </c>
    </row>
    <row r="1781" spans="1:3" x14ac:dyDescent="0.25">
      <c r="A1781" s="60">
        <v>1780</v>
      </c>
      <c r="B1781" s="61">
        <v>46545</v>
      </c>
      <c r="C1781" s="60" t="s">
        <v>26</v>
      </c>
    </row>
    <row r="1782" spans="1:3" x14ac:dyDescent="0.25">
      <c r="A1782" s="60">
        <v>1781</v>
      </c>
      <c r="B1782" s="61">
        <v>46546</v>
      </c>
      <c r="C1782" s="60" t="s">
        <v>27</v>
      </c>
    </row>
    <row r="1783" spans="1:3" x14ac:dyDescent="0.25">
      <c r="A1783" s="60">
        <v>1782</v>
      </c>
      <c r="B1783" s="61">
        <v>46547</v>
      </c>
      <c r="C1783" s="60" t="s">
        <v>28</v>
      </c>
    </row>
    <row r="1784" spans="1:3" x14ac:dyDescent="0.25">
      <c r="A1784" s="60">
        <v>1783</v>
      </c>
      <c r="B1784" s="61">
        <v>46548</v>
      </c>
      <c r="C1784" s="60" t="s">
        <v>29</v>
      </c>
    </row>
    <row r="1785" spans="1:3" x14ac:dyDescent="0.25">
      <c r="A1785" s="60">
        <v>1784</v>
      </c>
      <c r="B1785" s="61">
        <v>46549</v>
      </c>
      <c r="C1785" s="60" t="s">
        <v>25</v>
      </c>
    </row>
    <row r="1786" spans="1:3" x14ac:dyDescent="0.25">
      <c r="A1786" s="60">
        <v>1785</v>
      </c>
      <c r="B1786" s="61">
        <v>46552</v>
      </c>
      <c r="C1786" s="60" t="s">
        <v>26</v>
      </c>
    </row>
    <row r="1787" spans="1:3" x14ac:dyDescent="0.25">
      <c r="A1787" s="60">
        <v>1786</v>
      </c>
      <c r="B1787" s="61">
        <v>46553</v>
      </c>
      <c r="C1787" s="60" t="s">
        <v>27</v>
      </c>
    </row>
    <row r="1788" spans="1:3" x14ac:dyDescent="0.25">
      <c r="A1788" s="60">
        <v>1787</v>
      </c>
      <c r="B1788" s="61">
        <v>46554</v>
      </c>
      <c r="C1788" s="60" t="s">
        <v>28</v>
      </c>
    </row>
    <row r="1789" spans="1:3" x14ac:dyDescent="0.25">
      <c r="A1789" s="60">
        <v>1788</v>
      </c>
      <c r="B1789" s="61">
        <v>46555</v>
      </c>
      <c r="C1789" s="60" t="s">
        <v>29</v>
      </c>
    </row>
    <row r="1790" spans="1:3" x14ac:dyDescent="0.25">
      <c r="A1790" s="60">
        <v>1789</v>
      </c>
      <c r="B1790" s="61">
        <v>46556</v>
      </c>
      <c r="C1790" s="60" t="s">
        <v>25</v>
      </c>
    </row>
    <row r="1791" spans="1:3" x14ac:dyDescent="0.25">
      <c r="A1791" s="60">
        <v>1790</v>
      </c>
      <c r="B1791" s="61">
        <v>46559</v>
      </c>
      <c r="C1791" s="60" t="s">
        <v>26</v>
      </c>
    </row>
    <row r="1792" spans="1:3" x14ac:dyDescent="0.25">
      <c r="A1792" s="60">
        <v>1791</v>
      </c>
      <c r="B1792" s="61">
        <v>46560</v>
      </c>
      <c r="C1792" s="60" t="s">
        <v>27</v>
      </c>
    </row>
    <row r="1793" spans="1:3" x14ac:dyDescent="0.25">
      <c r="A1793" s="60">
        <v>1792</v>
      </c>
      <c r="B1793" s="61">
        <v>46561</v>
      </c>
      <c r="C1793" s="60" t="s">
        <v>28</v>
      </c>
    </row>
    <row r="1794" spans="1:3" x14ac:dyDescent="0.25">
      <c r="A1794" s="60">
        <v>1793</v>
      </c>
      <c r="B1794" s="61">
        <v>46562</v>
      </c>
      <c r="C1794" s="60" t="s">
        <v>29</v>
      </c>
    </row>
    <row r="1795" spans="1:3" x14ac:dyDescent="0.25">
      <c r="A1795" s="60">
        <v>1794</v>
      </c>
      <c r="B1795" s="61">
        <v>46563</v>
      </c>
      <c r="C1795" s="60" t="s">
        <v>25</v>
      </c>
    </row>
    <row r="1796" spans="1:3" x14ac:dyDescent="0.25">
      <c r="A1796" s="60">
        <v>1795</v>
      </c>
      <c r="B1796" s="61">
        <v>46566</v>
      </c>
      <c r="C1796" s="60" t="s">
        <v>26</v>
      </c>
    </row>
    <row r="1797" spans="1:3" x14ac:dyDescent="0.25">
      <c r="A1797" s="60">
        <v>1796</v>
      </c>
      <c r="B1797" s="61">
        <v>46567</v>
      </c>
      <c r="C1797" s="60" t="s">
        <v>27</v>
      </c>
    </row>
    <row r="1798" spans="1:3" x14ac:dyDescent="0.25">
      <c r="A1798" s="60">
        <v>1797</v>
      </c>
      <c r="B1798" s="61">
        <v>46568</v>
      </c>
      <c r="C1798" s="60" t="s">
        <v>28</v>
      </c>
    </row>
    <row r="1799" spans="1:3" x14ac:dyDescent="0.25">
      <c r="A1799" s="60">
        <v>1798</v>
      </c>
      <c r="B1799" s="61">
        <v>46569</v>
      </c>
      <c r="C1799" s="60" t="s">
        <v>29</v>
      </c>
    </row>
    <row r="1800" spans="1:3" x14ac:dyDescent="0.25">
      <c r="A1800" s="60">
        <v>1799</v>
      </c>
      <c r="B1800" s="61">
        <v>46570</v>
      </c>
      <c r="C1800" s="60" t="s">
        <v>25</v>
      </c>
    </row>
    <row r="1801" spans="1:3" x14ac:dyDescent="0.25">
      <c r="A1801" s="60">
        <v>1800</v>
      </c>
      <c r="B1801" s="61">
        <v>46573</v>
      </c>
      <c r="C1801" s="60" t="s">
        <v>26</v>
      </c>
    </row>
    <row r="1802" spans="1:3" x14ac:dyDescent="0.25">
      <c r="A1802" s="60">
        <v>1801</v>
      </c>
      <c r="B1802" s="61">
        <v>46574</v>
      </c>
      <c r="C1802" s="60" t="s">
        <v>27</v>
      </c>
    </row>
    <row r="1803" spans="1:3" x14ac:dyDescent="0.25">
      <c r="A1803" s="60">
        <v>1802</v>
      </c>
      <c r="B1803" s="61">
        <v>46575</v>
      </c>
      <c r="C1803" s="60" t="s">
        <v>28</v>
      </c>
    </row>
    <row r="1804" spans="1:3" x14ac:dyDescent="0.25">
      <c r="A1804" s="60">
        <v>1803</v>
      </c>
      <c r="B1804" s="61">
        <v>46576</v>
      </c>
      <c r="C1804" s="60" t="s">
        <v>29</v>
      </c>
    </row>
    <row r="1805" spans="1:3" x14ac:dyDescent="0.25">
      <c r="A1805" s="60">
        <v>1804</v>
      </c>
      <c r="B1805" s="61">
        <v>46577</v>
      </c>
      <c r="C1805" s="60" t="s">
        <v>25</v>
      </c>
    </row>
    <row r="1806" spans="1:3" x14ac:dyDescent="0.25">
      <c r="A1806" s="60">
        <v>1805</v>
      </c>
      <c r="B1806" s="61">
        <v>46580</v>
      </c>
      <c r="C1806" s="60" t="s">
        <v>26</v>
      </c>
    </row>
    <row r="1807" spans="1:3" x14ac:dyDescent="0.25">
      <c r="A1807" s="60">
        <v>1806</v>
      </c>
      <c r="B1807" s="61">
        <v>46581</v>
      </c>
      <c r="C1807" s="60" t="s">
        <v>27</v>
      </c>
    </row>
    <row r="1808" spans="1:3" x14ac:dyDescent="0.25">
      <c r="A1808" s="60">
        <v>1807</v>
      </c>
      <c r="B1808" s="61">
        <v>46582</v>
      </c>
      <c r="C1808" s="60" t="s">
        <v>28</v>
      </c>
    </row>
    <row r="1809" spans="1:3" x14ac:dyDescent="0.25">
      <c r="A1809" s="60">
        <v>1808</v>
      </c>
      <c r="B1809" s="61">
        <v>46583</v>
      </c>
      <c r="C1809" s="60" t="s">
        <v>29</v>
      </c>
    </row>
    <row r="1810" spans="1:3" x14ac:dyDescent="0.25">
      <c r="A1810" s="60">
        <v>1809</v>
      </c>
      <c r="B1810" s="61">
        <v>46584</v>
      </c>
      <c r="C1810" s="60" t="s">
        <v>25</v>
      </c>
    </row>
    <row r="1811" spans="1:3" x14ac:dyDescent="0.25">
      <c r="A1811" s="60">
        <v>1810</v>
      </c>
      <c r="B1811" s="61">
        <v>46587</v>
      </c>
      <c r="C1811" s="60" t="s">
        <v>26</v>
      </c>
    </row>
    <row r="1812" spans="1:3" x14ac:dyDescent="0.25">
      <c r="A1812" s="60">
        <v>1811</v>
      </c>
      <c r="B1812" s="61">
        <v>46588</v>
      </c>
      <c r="C1812" s="60" t="s">
        <v>27</v>
      </c>
    </row>
    <row r="1813" spans="1:3" x14ac:dyDescent="0.25">
      <c r="A1813" s="60">
        <v>1812</v>
      </c>
      <c r="B1813" s="61">
        <v>46589</v>
      </c>
      <c r="C1813" s="60" t="s">
        <v>28</v>
      </c>
    </row>
    <row r="1814" spans="1:3" x14ac:dyDescent="0.25">
      <c r="A1814" s="60">
        <v>1813</v>
      </c>
      <c r="B1814" s="61">
        <v>46590</v>
      </c>
      <c r="C1814" s="60" t="s">
        <v>29</v>
      </c>
    </row>
    <row r="1815" spans="1:3" x14ac:dyDescent="0.25">
      <c r="A1815" s="60">
        <v>1814</v>
      </c>
      <c r="B1815" s="61">
        <v>46591</v>
      </c>
      <c r="C1815" s="60" t="s">
        <v>25</v>
      </c>
    </row>
    <row r="1816" spans="1:3" x14ac:dyDescent="0.25">
      <c r="A1816" s="60">
        <v>1815</v>
      </c>
      <c r="B1816" s="61">
        <v>46594</v>
      </c>
      <c r="C1816" s="60" t="s">
        <v>26</v>
      </c>
    </row>
    <row r="1817" spans="1:3" x14ac:dyDescent="0.25">
      <c r="A1817" s="60">
        <v>1816</v>
      </c>
      <c r="B1817" s="61">
        <v>46595</v>
      </c>
      <c r="C1817" s="60" t="s">
        <v>27</v>
      </c>
    </row>
    <row r="1818" spans="1:3" x14ac:dyDescent="0.25">
      <c r="A1818" s="60">
        <v>1817</v>
      </c>
      <c r="B1818" s="61">
        <v>46596</v>
      </c>
      <c r="C1818" s="60" t="s">
        <v>28</v>
      </c>
    </row>
    <row r="1819" spans="1:3" x14ac:dyDescent="0.25">
      <c r="A1819" s="60">
        <v>1818</v>
      </c>
      <c r="B1819" s="61">
        <v>46597</v>
      </c>
      <c r="C1819" s="60" t="s">
        <v>29</v>
      </c>
    </row>
    <row r="1820" spans="1:3" x14ac:dyDescent="0.25">
      <c r="A1820" s="60">
        <v>1819</v>
      </c>
      <c r="B1820" s="61">
        <v>46598</v>
      </c>
      <c r="C1820" s="60" t="s">
        <v>25</v>
      </c>
    </row>
    <row r="1821" spans="1:3" x14ac:dyDescent="0.25">
      <c r="A1821" s="60">
        <v>1820</v>
      </c>
      <c r="B1821" s="61">
        <v>46601</v>
      </c>
      <c r="C1821" s="60" t="s">
        <v>26</v>
      </c>
    </row>
    <row r="1822" spans="1:3" x14ac:dyDescent="0.25">
      <c r="A1822" s="60">
        <v>1821</v>
      </c>
      <c r="B1822" s="61">
        <v>46602</v>
      </c>
      <c r="C1822" s="60" t="s">
        <v>27</v>
      </c>
    </row>
    <row r="1823" spans="1:3" x14ac:dyDescent="0.25">
      <c r="A1823" s="60">
        <v>1822</v>
      </c>
      <c r="B1823" s="61">
        <v>46603</v>
      </c>
      <c r="C1823" s="60" t="s">
        <v>28</v>
      </c>
    </row>
    <row r="1824" spans="1:3" x14ac:dyDescent="0.25">
      <c r="A1824" s="60">
        <v>1823</v>
      </c>
      <c r="B1824" s="61">
        <v>46604</v>
      </c>
      <c r="C1824" s="60" t="s">
        <v>29</v>
      </c>
    </row>
    <row r="1825" spans="1:3" x14ac:dyDescent="0.25">
      <c r="A1825" s="60">
        <v>1824</v>
      </c>
      <c r="B1825" s="61">
        <v>46605</v>
      </c>
      <c r="C1825" s="60" t="s">
        <v>25</v>
      </c>
    </row>
    <row r="1826" spans="1:3" x14ac:dyDescent="0.25">
      <c r="A1826" s="60">
        <v>1825</v>
      </c>
      <c r="B1826" s="61">
        <v>46608</v>
      </c>
      <c r="C1826" s="60" t="s">
        <v>26</v>
      </c>
    </row>
    <row r="1827" spans="1:3" x14ac:dyDescent="0.25">
      <c r="A1827" s="60">
        <v>1826</v>
      </c>
      <c r="B1827" s="61">
        <v>46609</v>
      </c>
      <c r="C1827" s="60" t="s">
        <v>27</v>
      </c>
    </row>
    <row r="1828" spans="1:3" x14ac:dyDescent="0.25">
      <c r="A1828" s="60">
        <v>1827</v>
      </c>
      <c r="B1828" s="61">
        <v>46610</v>
      </c>
      <c r="C1828" s="60" t="s">
        <v>28</v>
      </c>
    </row>
    <row r="1829" spans="1:3" x14ac:dyDescent="0.25">
      <c r="A1829" s="60">
        <v>1828</v>
      </c>
      <c r="B1829" s="61">
        <v>46611</v>
      </c>
      <c r="C1829" s="60" t="s">
        <v>29</v>
      </c>
    </row>
    <row r="1830" spans="1:3" x14ac:dyDescent="0.25">
      <c r="A1830" s="60">
        <v>1829</v>
      </c>
      <c r="B1830" s="61">
        <v>46612</v>
      </c>
      <c r="C1830" s="60" t="s">
        <v>25</v>
      </c>
    </row>
    <row r="1831" spans="1:3" x14ac:dyDescent="0.25">
      <c r="A1831" s="60">
        <v>1830</v>
      </c>
      <c r="B1831" s="61">
        <v>46615</v>
      </c>
      <c r="C1831" s="60" t="s">
        <v>26</v>
      </c>
    </row>
    <row r="1832" spans="1:3" x14ac:dyDescent="0.25">
      <c r="A1832" s="60">
        <v>1831</v>
      </c>
      <c r="B1832" s="61">
        <v>46616</v>
      </c>
      <c r="C1832" s="60" t="s">
        <v>27</v>
      </c>
    </row>
    <row r="1833" spans="1:3" x14ac:dyDescent="0.25">
      <c r="A1833" s="60">
        <v>1832</v>
      </c>
      <c r="B1833" s="61">
        <v>46617</v>
      </c>
      <c r="C1833" s="60" t="s">
        <v>28</v>
      </c>
    </row>
    <row r="1834" spans="1:3" x14ac:dyDescent="0.25">
      <c r="A1834" s="60">
        <v>1833</v>
      </c>
      <c r="B1834" s="61">
        <v>46618</v>
      </c>
      <c r="C1834" s="60" t="s">
        <v>29</v>
      </c>
    </row>
    <row r="1835" spans="1:3" x14ac:dyDescent="0.25">
      <c r="A1835" s="60">
        <v>1834</v>
      </c>
      <c r="B1835" s="61">
        <v>46619</v>
      </c>
      <c r="C1835" s="60" t="s">
        <v>25</v>
      </c>
    </row>
    <row r="1836" spans="1:3" x14ac:dyDescent="0.25">
      <c r="A1836" s="60">
        <v>1835</v>
      </c>
      <c r="B1836" s="61">
        <v>46622</v>
      </c>
      <c r="C1836" s="60" t="s">
        <v>26</v>
      </c>
    </row>
    <row r="1837" spans="1:3" x14ac:dyDescent="0.25">
      <c r="A1837" s="60">
        <v>1836</v>
      </c>
      <c r="B1837" s="61">
        <v>46623</v>
      </c>
      <c r="C1837" s="60" t="s">
        <v>27</v>
      </c>
    </row>
    <row r="1838" spans="1:3" x14ac:dyDescent="0.25">
      <c r="A1838" s="60">
        <v>1837</v>
      </c>
      <c r="B1838" s="61">
        <v>46624</v>
      </c>
      <c r="C1838" s="60" t="s">
        <v>28</v>
      </c>
    </row>
    <row r="1839" spans="1:3" x14ac:dyDescent="0.25">
      <c r="A1839" s="60">
        <v>1838</v>
      </c>
      <c r="B1839" s="61">
        <v>46625</v>
      </c>
      <c r="C1839" s="60" t="s">
        <v>29</v>
      </c>
    </row>
    <row r="1840" spans="1:3" x14ac:dyDescent="0.25">
      <c r="A1840" s="60">
        <v>1839</v>
      </c>
      <c r="B1840" s="61">
        <v>46626</v>
      </c>
      <c r="C1840" s="60" t="s">
        <v>25</v>
      </c>
    </row>
    <row r="1841" spans="1:3" x14ac:dyDescent="0.25">
      <c r="A1841" s="60">
        <v>1840</v>
      </c>
      <c r="B1841" s="61">
        <v>46629</v>
      </c>
      <c r="C1841" s="60" t="s">
        <v>26</v>
      </c>
    </row>
    <row r="1842" spans="1:3" x14ac:dyDescent="0.25">
      <c r="A1842" s="60">
        <v>1841</v>
      </c>
      <c r="B1842" s="61">
        <v>46630</v>
      </c>
      <c r="C1842" s="60" t="s">
        <v>27</v>
      </c>
    </row>
    <row r="1843" spans="1:3" x14ac:dyDescent="0.25">
      <c r="A1843" s="60">
        <v>1842</v>
      </c>
      <c r="B1843" s="61">
        <v>46631</v>
      </c>
      <c r="C1843" s="60" t="s">
        <v>28</v>
      </c>
    </row>
    <row r="1844" spans="1:3" x14ac:dyDescent="0.25">
      <c r="A1844" s="60">
        <v>1843</v>
      </c>
      <c r="B1844" s="61">
        <v>46632</v>
      </c>
      <c r="C1844" s="60" t="s">
        <v>29</v>
      </c>
    </row>
    <row r="1845" spans="1:3" x14ac:dyDescent="0.25">
      <c r="A1845" s="60">
        <v>1844</v>
      </c>
      <c r="B1845" s="61">
        <v>46633</v>
      </c>
      <c r="C1845" s="60" t="s">
        <v>25</v>
      </c>
    </row>
    <row r="1846" spans="1:3" x14ac:dyDescent="0.25">
      <c r="A1846" s="60">
        <v>1845</v>
      </c>
      <c r="B1846" s="61">
        <v>46636</v>
      </c>
      <c r="C1846" s="60" t="s">
        <v>26</v>
      </c>
    </row>
    <row r="1847" spans="1:3" x14ac:dyDescent="0.25">
      <c r="A1847" s="60">
        <v>1846</v>
      </c>
      <c r="B1847" s="61">
        <v>46637</v>
      </c>
      <c r="C1847" s="60" t="s">
        <v>27</v>
      </c>
    </row>
    <row r="1848" spans="1:3" x14ac:dyDescent="0.25">
      <c r="A1848" s="60">
        <v>1847</v>
      </c>
      <c r="B1848" s="61">
        <v>46638</v>
      </c>
      <c r="C1848" s="60" t="s">
        <v>28</v>
      </c>
    </row>
    <row r="1849" spans="1:3" x14ac:dyDescent="0.25">
      <c r="A1849" s="60">
        <v>1848</v>
      </c>
      <c r="B1849" s="61">
        <v>46639</v>
      </c>
      <c r="C1849" s="60" t="s">
        <v>29</v>
      </c>
    </row>
    <row r="1850" spans="1:3" x14ac:dyDescent="0.25">
      <c r="A1850" s="60">
        <v>1849</v>
      </c>
      <c r="B1850" s="61">
        <v>46640</v>
      </c>
      <c r="C1850" s="60" t="s">
        <v>25</v>
      </c>
    </row>
    <row r="1851" spans="1:3" x14ac:dyDescent="0.25">
      <c r="A1851" s="60">
        <v>1850</v>
      </c>
      <c r="B1851" s="61">
        <v>46643</v>
      </c>
      <c r="C1851" s="60" t="s">
        <v>26</v>
      </c>
    </row>
    <row r="1852" spans="1:3" x14ac:dyDescent="0.25">
      <c r="A1852" s="60">
        <v>1851</v>
      </c>
      <c r="B1852" s="61">
        <v>46644</v>
      </c>
      <c r="C1852" s="60" t="s">
        <v>27</v>
      </c>
    </row>
    <row r="1853" spans="1:3" x14ac:dyDescent="0.25">
      <c r="A1853" s="60">
        <v>1852</v>
      </c>
      <c r="B1853" s="61">
        <v>46645</v>
      </c>
      <c r="C1853" s="60" t="s">
        <v>28</v>
      </c>
    </row>
    <row r="1854" spans="1:3" x14ac:dyDescent="0.25">
      <c r="A1854" s="60">
        <v>1853</v>
      </c>
      <c r="B1854" s="61">
        <v>46646</v>
      </c>
      <c r="C1854" s="60" t="s">
        <v>29</v>
      </c>
    </row>
    <row r="1855" spans="1:3" x14ac:dyDescent="0.25">
      <c r="A1855" s="60">
        <v>1854</v>
      </c>
      <c r="B1855" s="61">
        <v>46647</v>
      </c>
      <c r="C1855" s="60" t="s">
        <v>25</v>
      </c>
    </row>
    <row r="1856" spans="1:3" x14ac:dyDescent="0.25">
      <c r="A1856" s="60">
        <v>1855</v>
      </c>
      <c r="B1856" s="61">
        <v>46650</v>
      </c>
      <c r="C1856" s="60" t="s">
        <v>26</v>
      </c>
    </row>
    <row r="1857" spans="1:3" x14ac:dyDescent="0.25">
      <c r="A1857" s="60">
        <v>1856</v>
      </c>
      <c r="B1857" s="61">
        <v>46651</v>
      </c>
      <c r="C1857" s="60" t="s">
        <v>27</v>
      </c>
    </row>
    <row r="1858" spans="1:3" x14ac:dyDescent="0.25">
      <c r="A1858" s="60">
        <v>1857</v>
      </c>
      <c r="B1858" s="61">
        <v>46652</v>
      </c>
      <c r="C1858" s="60" t="s">
        <v>28</v>
      </c>
    </row>
    <row r="1859" spans="1:3" x14ac:dyDescent="0.25">
      <c r="A1859" s="60">
        <v>1858</v>
      </c>
      <c r="B1859" s="61">
        <v>46653</v>
      </c>
      <c r="C1859" s="60" t="s">
        <v>29</v>
      </c>
    </row>
    <row r="1860" spans="1:3" x14ac:dyDescent="0.25">
      <c r="A1860" s="60">
        <v>1859</v>
      </c>
      <c r="B1860" s="61">
        <v>46654</v>
      </c>
      <c r="C1860" s="60" t="s">
        <v>25</v>
      </c>
    </row>
    <row r="1861" spans="1:3" x14ac:dyDescent="0.25">
      <c r="A1861" s="60">
        <v>1860</v>
      </c>
      <c r="B1861" s="61">
        <v>46657</v>
      </c>
      <c r="C1861" s="60" t="s">
        <v>26</v>
      </c>
    </row>
    <row r="1862" spans="1:3" x14ac:dyDescent="0.25">
      <c r="A1862" s="60">
        <v>1861</v>
      </c>
      <c r="B1862" s="61">
        <v>46658</v>
      </c>
      <c r="C1862" s="60" t="s">
        <v>27</v>
      </c>
    </row>
    <row r="1863" spans="1:3" x14ac:dyDescent="0.25">
      <c r="A1863" s="60">
        <v>1862</v>
      </c>
      <c r="B1863" s="61">
        <v>46659</v>
      </c>
      <c r="C1863" s="60" t="s">
        <v>28</v>
      </c>
    </row>
    <row r="1864" spans="1:3" x14ac:dyDescent="0.25">
      <c r="A1864" s="60">
        <v>1863</v>
      </c>
      <c r="B1864" s="61">
        <v>46660</v>
      </c>
      <c r="C1864" s="60" t="s">
        <v>29</v>
      </c>
    </row>
    <row r="1865" spans="1:3" x14ac:dyDescent="0.25">
      <c r="A1865" s="60">
        <v>1864</v>
      </c>
      <c r="B1865" s="61">
        <v>46661</v>
      </c>
      <c r="C1865" s="60" t="s">
        <v>25</v>
      </c>
    </row>
    <row r="1866" spans="1:3" x14ac:dyDescent="0.25">
      <c r="A1866" s="60">
        <v>1865</v>
      </c>
      <c r="B1866" s="61">
        <v>46664</v>
      </c>
      <c r="C1866" s="60" t="s">
        <v>26</v>
      </c>
    </row>
    <row r="1867" spans="1:3" x14ac:dyDescent="0.25">
      <c r="A1867" s="60">
        <v>1866</v>
      </c>
      <c r="B1867" s="61">
        <v>46665</v>
      </c>
      <c r="C1867" s="60" t="s">
        <v>27</v>
      </c>
    </row>
    <row r="1868" spans="1:3" x14ac:dyDescent="0.25">
      <c r="A1868" s="60">
        <v>1867</v>
      </c>
      <c r="B1868" s="61">
        <v>46666</v>
      </c>
      <c r="C1868" s="60" t="s">
        <v>28</v>
      </c>
    </row>
    <row r="1869" spans="1:3" x14ac:dyDescent="0.25">
      <c r="A1869" s="60">
        <v>1868</v>
      </c>
      <c r="B1869" s="61">
        <v>46667</v>
      </c>
      <c r="C1869" s="60" t="s">
        <v>29</v>
      </c>
    </row>
    <row r="1870" spans="1:3" x14ac:dyDescent="0.25">
      <c r="A1870" s="60">
        <v>1869</v>
      </c>
      <c r="B1870" s="61">
        <v>46668</v>
      </c>
      <c r="C1870" s="60" t="s">
        <v>25</v>
      </c>
    </row>
    <row r="1871" spans="1:3" x14ac:dyDescent="0.25">
      <c r="A1871" s="60">
        <v>1870</v>
      </c>
      <c r="B1871" s="61">
        <v>46671</v>
      </c>
      <c r="C1871" s="60" t="s">
        <v>26</v>
      </c>
    </row>
    <row r="1872" spans="1:3" x14ac:dyDescent="0.25">
      <c r="A1872" s="60">
        <v>1871</v>
      </c>
      <c r="B1872" s="61">
        <v>46672</v>
      </c>
      <c r="C1872" s="60" t="s">
        <v>27</v>
      </c>
    </row>
    <row r="1873" spans="1:3" x14ac:dyDescent="0.25">
      <c r="A1873" s="60">
        <v>1872</v>
      </c>
      <c r="B1873" s="61">
        <v>46673</v>
      </c>
      <c r="C1873" s="60" t="s">
        <v>28</v>
      </c>
    </row>
    <row r="1874" spans="1:3" x14ac:dyDescent="0.25">
      <c r="A1874" s="60">
        <v>1873</v>
      </c>
      <c r="B1874" s="61">
        <v>46674</v>
      </c>
      <c r="C1874" s="60" t="s">
        <v>29</v>
      </c>
    </row>
    <row r="1875" spans="1:3" x14ac:dyDescent="0.25">
      <c r="A1875" s="60">
        <v>1874</v>
      </c>
      <c r="B1875" s="61">
        <v>46675</v>
      </c>
      <c r="C1875" s="60" t="s">
        <v>25</v>
      </c>
    </row>
    <row r="1876" spans="1:3" x14ac:dyDescent="0.25">
      <c r="A1876" s="60">
        <v>1875</v>
      </c>
      <c r="B1876" s="61">
        <v>46678</v>
      </c>
      <c r="C1876" s="60" t="s">
        <v>26</v>
      </c>
    </row>
    <row r="1877" spans="1:3" x14ac:dyDescent="0.25">
      <c r="A1877" s="60">
        <v>1876</v>
      </c>
      <c r="B1877" s="61">
        <v>46679</v>
      </c>
      <c r="C1877" s="60" t="s">
        <v>27</v>
      </c>
    </row>
    <row r="1878" spans="1:3" x14ac:dyDescent="0.25">
      <c r="A1878" s="60">
        <v>1877</v>
      </c>
      <c r="B1878" s="61">
        <v>46680</v>
      </c>
      <c r="C1878" s="60" t="s">
        <v>28</v>
      </c>
    </row>
    <row r="1879" spans="1:3" x14ac:dyDescent="0.25">
      <c r="A1879" s="60">
        <v>1878</v>
      </c>
      <c r="B1879" s="61">
        <v>46681</v>
      </c>
      <c r="C1879" s="60" t="s">
        <v>29</v>
      </c>
    </row>
    <row r="1880" spans="1:3" x14ac:dyDescent="0.25">
      <c r="A1880" s="60">
        <v>1879</v>
      </c>
      <c r="B1880" s="61">
        <v>46682</v>
      </c>
      <c r="C1880" s="60" t="s">
        <v>25</v>
      </c>
    </row>
    <row r="1881" spans="1:3" x14ac:dyDescent="0.25">
      <c r="A1881" s="60">
        <v>1880</v>
      </c>
      <c r="B1881" s="61">
        <v>46685</v>
      </c>
      <c r="C1881" s="60" t="s">
        <v>26</v>
      </c>
    </row>
    <row r="1882" spans="1:3" x14ac:dyDescent="0.25">
      <c r="A1882" s="60">
        <v>1881</v>
      </c>
      <c r="B1882" s="61">
        <v>46686</v>
      </c>
      <c r="C1882" s="60" t="s">
        <v>27</v>
      </c>
    </row>
    <row r="1883" spans="1:3" x14ac:dyDescent="0.25">
      <c r="A1883" s="60">
        <v>1882</v>
      </c>
      <c r="B1883" s="61">
        <v>46687</v>
      </c>
      <c r="C1883" s="60" t="s">
        <v>28</v>
      </c>
    </row>
    <row r="1884" spans="1:3" x14ac:dyDescent="0.25">
      <c r="A1884" s="60">
        <v>1883</v>
      </c>
      <c r="B1884" s="61">
        <v>46688</v>
      </c>
      <c r="C1884" s="60" t="s">
        <v>29</v>
      </c>
    </row>
    <row r="1885" spans="1:3" x14ac:dyDescent="0.25">
      <c r="A1885" s="60">
        <v>1884</v>
      </c>
      <c r="B1885" s="61">
        <v>46689</v>
      </c>
      <c r="C1885" s="60" t="s">
        <v>25</v>
      </c>
    </row>
    <row r="1886" spans="1:3" x14ac:dyDescent="0.25">
      <c r="A1886" s="60">
        <v>1885</v>
      </c>
      <c r="B1886" s="61">
        <v>46692</v>
      </c>
      <c r="C1886" s="60" t="s">
        <v>26</v>
      </c>
    </row>
    <row r="1887" spans="1:3" x14ac:dyDescent="0.25">
      <c r="A1887" s="60">
        <v>1886</v>
      </c>
      <c r="B1887" s="61">
        <v>46693</v>
      </c>
      <c r="C1887" s="60" t="s">
        <v>27</v>
      </c>
    </row>
    <row r="1888" spans="1:3" x14ac:dyDescent="0.25">
      <c r="A1888" s="60">
        <v>1887</v>
      </c>
      <c r="B1888" s="61">
        <v>46694</v>
      </c>
      <c r="C1888" s="60" t="s">
        <v>28</v>
      </c>
    </row>
    <row r="1889" spans="1:3" x14ac:dyDescent="0.25">
      <c r="A1889" s="60">
        <v>1888</v>
      </c>
      <c r="B1889" s="61">
        <v>46695</v>
      </c>
      <c r="C1889" s="60" t="s">
        <v>29</v>
      </c>
    </row>
    <row r="1890" spans="1:3" x14ac:dyDescent="0.25">
      <c r="A1890" s="60">
        <v>1889</v>
      </c>
      <c r="B1890" s="61">
        <v>46696</v>
      </c>
      <c r="C1890" s="60" t="s">
        <v>25</v>
      </c>
    </row>
    <row r="1891" spans="1:3" x14ac:dyDescent="0.25">
      <c r="A1891" s="60">
        <v>1890</v>
      </c>
      <c r="B1891" s="61">
        <v>46699</v>
      </c>
      <c r="C1891" s="60" t="s">
        <v>26</v>
      </c>
    </row>
    <row r="1892" spans="1:3" x14ac:dyDescent="0.25">
      <c r="A1892" s="60">
        <v>1891</v>
      </c>
      <c r="B1892" s="61">
        <v>46700</v>
      </c>
      <c r="C1892" s="60" t="s">
        <v>27</v>
      </c>
    </row>
    <row r="1893" spans="1:3" x14ac:dyDescent="0.25">
      <c r="A1893" s="60">
        <v>1892</v>
      </c>
      <c r="B1893" s="61">
        <v>46701</v>
      </c>
      <c r="C1893" s="60" t="s">
        <v>28</v>
      </c>
    </row>
    <row r="1894" spans="1:3" x14ac:dyDescent="0.25">
      <c r="A1894" s="60">
        <v>1893</v>
      </c>
      <c r="B1894" s="61">
        <v>46702</v>
      </c>
      <c r="C1894" s="60" t="s">
        <v>29</v>
      </c>
    </row>
    <row r="1895" spans="1:3" x14ac:dyDescent="0.25">
      <c r="A1895" s="60">
        <v>1894</v>
      </c>
      <c r="B1895" s="61">
        <v>46703</v>
      </c>
      <c r="C1895" s="60" t="s">
        <v>25</v>
      </c>
    </row>
    <row r="1896" spans="1:3" x14ac:dyDescent="0.25">
      <c r="A1896" s="60">
        <v>1895</v>
      </c>
      <c r="B1896" s="61">
        <v>46706</v>
      </c>
      <c r="C1896" s="60" t="s">
        <v>26</v>
      </c>
    </row>
    <row r="1897" spans="1:3" x14ac:dyDescent="0.25">
      <c r="A1897" s="60">
        <v>1896</v>
      </c>
      <c r="B1897" s="61">
        <v>46707</v>
      </c>
      <c r="C1897" s="60" t="s">
        <v>27</v>
      </c>
    </row>
    <row r="1898" spans="1:3" x14ac:dyDescent="0.25">
      <c r="A1898" s="60">
        <v>1897</v>
      </c>
      <c r="B1898" s="61">
        <v>46708</v>
      </c>
      <c r="C1898" s="60" t="s">
        <v>28</v>
      </c>
    </row>
    <row r="1899" spans="1:3" x14ac:dyDescent="0.25">
      <c r="A1899" s="60">
        <v>1898</v>
      </c>
      <c r="B1899" s="61">
        <v>46709</v>
      </c>
      <c r="C1899" s="60" t="s">
        <v>29</v>
      </c>
    </row>
    <row r="1900" spans="1:3" x14ac:dyDescent="0.25">
      <c r="A1900" s="60">
        <v>1899</v>
      </c>
      <c r="B1900" s="61">
        <v>46710</v>
      </c>
      <c r="C1900" s="60" t="s">
        <v>25</v>
      </c>
    </row>
    <row r="1901" spans="1:3" x14ac:dyDescent="0.25">
      <c r="A1901" s="60">
        <v>1900</v>
      </c>
      <c r="B1901" s="61">
        <v>46713</v>
      </c>
      <c r="C1901" s="60" t="s">
        <v>26</v>
      </c>
    </row>
    <row r="1902" spans="1:3" x14ac:dyDescent="0.25">
      <c r="A1902" s="60">
        <v>1901</v>
      </c>
      <c r="B1902" s="61">
        <v>46714</v>
      </c>
      <c r="C1902" s="60" t="s">
        <v>27</v>
      </c>
    </row>
    <row r="1903" spans="1:3" x14ac:dyDescent="0.25">
      <c r="A1903" s="60">
        <v>1902</v>
      </c>
      <c r="B1903" s="61">
        <v>46715</v>
      </c>
      <c r="C1903" s="60" t="s">
        <v>28</v>
      </c>
    </row>
    <row r="1904" spans="1:3" x14ac:dyDescent="0.25">
      <c r="A1904" s="60">
        <v>1903</v>
      </c>
      <c r="B1904" s="61">
        <v>46716</v>
      </c>
      <c r="C1904" s="60" t="s">
        <v>29</v>
      </c>
    </row>
    <row r="1905" spans="1:3" x14ac:dyDescent="0.25">
      <c r="A1905" s="60">
        <v>1904</v>
      </c>
      <c r="B1905" s="61">
        <v>46717</v>
      </c>
      <c r="C1905" s="60" t="s">
        <v>25</v>
      </c>
    </row>
    <row r="1906" spans="1:3" x14ac:dyDescent="0.25">
      <c r="A1906" s="60">
        <v>1905</v>
      </c>
      <c r="B1906" s="61">
        <v>46720</v>
      </c>
      <c r="C1906" s="60" t="s">
        <v>26</v>
      </c>
    </row>
    <row r="1907" spans="1:3" x14ac:dyDescent="0.25">
      <c r="A1907" s="60">
        <v>1906</v>
      </c>
      <c r="B1907" s="61">
        <v>46721</v>
      </c>
      <c r="C1907" s="60" t="s">
        <v>27</v>
      </c>
    </row>
    <row r="1908" spans="1:3" x14ac:dyDescent="0.25">
      <c r="A1908" s="60">
        <v>1907</v>
      </c>
      <c r="B1908" s="61">
        <v>46722</v>
      </c>
      <c r="C1908" s="60" t="s">
        <v>28</v>
      </c>
    </row>
    <row r="1909" spans="1:3" x14ac:dyDescent="0.25">
      <c r="A1909" s="60">
        <v>1908</v>
      </c>
      <c r="B1909" s="61">
        <v>46723</v>
      </c>
      <c r="C1909" s="60" t="s">
        <v>29</v>
      </c>
    </row>
    <row r="1910" spans="1:3" x14ac:dyDescent="0.25">
      <c r="A1910" s="60">
        <v>1909</v>
      </c>
      <c r="B1910" s="61">
        <v>46724</v>
      </c>
      <c r="C1910" s="60" t="s">
        <v>25</v>
      </c>
    </row>
    <row r="1911" spans="1:3" x14ac:dyDescent="0.25">
      <c r="A1911" s="60">
        <v>1910</v>
      </c>
      <c r="B1911" s="61">
        <v>46727</v>
      </c>
      <c r="C1911" s="60" t="s">
        <v>26</v>
      </c>
    </row>
    <row r="1912" spans="1:3" x14ac:dyDescent="0.25">
      <c r="A1912" s="60">
        <v>1911</v>
      </c>
      <c r="B1912" s="61">
        <v>46728</v>
      </c>
      <c r="C1912" s="60" t="s">
        <v>27</v>
      </c>
    </row>
    <row r="1913" spans="1:3" x14ac:dyDescent="0.25">
      <c r="A1913" s="60">
        <v>1912</v>
      </c>
      <c r="B1913" s="61">
        <v>46729</v>
      </c>
      <c r="C1913" s="60" t="s">
        <v>28</v>
      </c>
    </row>
    <row r="1914" spans="1:3" x14ac:dyDescent="0.25">
      <c r="A1914" s="60">
        <v>1913</v>
      </c>
      <c r="B1914" s="61">
        <v>46730</v>
      </c>
      <c r="C1914" s="60" t="s">
        <v>29</v>
      </c>
    </row>
    <row r="1915" spans="1:3" x14ac:dyDescent="0.25">
      <c r="A1915" s="60">
        <v>1914</v>
      </c>
      <c r="B1915" s="61">
        <v>46731</v>
      </c>
      <c r="C1915" s="60" t="s">
        <v>25</v>
      </c>
    </row>
    <row r="1916" spans="1:3" x14ac:dyDescent="0.25">
      <c r="A1916" s="60">
        <v>1915</v>
      </c>
      <c r="B1916" s="61">
        <v>46734</v>
      </c>
      <c r="C1916" s="60" t="s">
        <v>26</v>
      </c>
    </row>
    <row r="1917" spans="1:3" x14ac:dyDescent="0.25">
      <c r="A1917" s="60">
        <v>1916</v>
      </c>
      <c r="B1917" s="61">
        <v>46735</v>
      </c>
      <c r="C1917" s="60" t="s">
        <v>27</v>
      </c>
    </row>
    <row r="1918" spans="1:3" x14ac:dyDescent="0.25">
      <c r="A1918" s="60">
        <v>1917</v>
      </c>
      <c r="B1918" s="61">
        <v>46736</v>
      </c>
      <c r="C1918" s="60" t="s">
        <v>28</v>
      </c>
    </row>
    <row r="1919" spans="1:3" x14ac:dyDescent="0.25">
      <c r="A1919" s="60">
        <v>1918</v>
      </c>
      <c r="B1919" s="61">
        <v>46737</v>
      </c>
      <c r="C1919" s="60" t="s">
        <v>29</v>
      </c>
    </row>
    <row r="1920" spans="1:3" x14ac:dyDescent="0.25">
      <c r="A1920" s="60">
        <v>1919</v>
      </c>
      <c r="B1920" s="61">
        <v>46738</v>
      </c>
      <c r="C1920" s="60" t="s">
        <v>25</v>
      </c>
    </row>
    <row r="1921" spans="1:3" x14ac:dyDescent="0.25">
      <c r="A1921" s="60">
        <v>1920</v>
      </c>
      <c r="B1921" s="61">
        <v>46741</v>
      </c>
      <c r="C1921" s="60" t="s">
        <v>26</v>
      </c>
    </row>
    <row r="1922" spans="1:3" x14ac:dyDescent="0.25">
      <c r="A1922" s="60">
        <v>1921</v>
      </c>
      <c r="B1922" s="61">
        <v>46742</v>
      </c>
      <c r="C1922" s="60" t="s">
        <v>27</v>
      </c>
    </row>
    <row r="1923" spans="1:3" x14ac:dyDescent="0.25">
      <c r="A1923" s="60">
        <v>1922</v>
      </c>
      <c r="B1923" s="61">
        <v>46743</v>
      </c>
      <c r="C1923" s="60" t="s">
        <v>28</v>
      </c>
    </row>
    <row r="1924" spans="1:3" x14ac:dyDescent="0.25">
      <c r="A1924" s="60">
        <v>1923</v>
      </c>
      <c r="B1924" s="61">
        <v>46744</v>
      </c>
      <c r="C1924" s="60" t="s">
        <v>29</v>
      </c>
    </row>
    <row r="1925" spans="1:3" x14ac:dyDescent="0.25">
      <c r="A1925" s="60">
        <v>1924</v>
      </c>
      <c r="B1925" s="61">
        <v>46745</v>
      </c>
      <c r="C1925" s="60" t="s">
        <v>25</v>
      </c>
    </row>
    <row r="1926" spans="1:3" x14ac:dyDescent="0.25">
      <c r="A1926" s="60">
        <v>1925</v>
      </c>
      <c r="B1926" s="61">
        <v>46748</v>
      </c>
      <c r="C1926" s="60" t="s">
        <v>26</v>
      </c>
    </row>
    <row r="1927" spans="1:3" x14ac:dyDescent="0.25">
      <c r="A1927" s="60">
        <v>1926</v>
      </c>
      <c r="B1927" s="61">
        <v>46749</v>
      </c>
      <c r="C1927" s="60" t="s">
        <v>27</v>
      </c>
    </row>
    <row r="1928" spans="1:3" x14ac:dyDescent="0.25">
      <c r="A1928" s="60">
        <v>1927</v>
      </c>
      <c r="B1928" s="61">
        <v>46750</v>
      </c>
      <c r="C1928" s="60" t="s">
        <v>28</v>
      </c>
    </row>
    <row r="1929" spans="1:3" x14ac:dyDescent="0.25">
      <c r="A1929" s="60">
        <v>1928</v>
      </c>
      <c r="B1929" s="61">
        <v>46751</v>
      </c>
      <c r="C1929" s="60" t="s">
        <v>29</v>
      </c>
    </row>
    <row r="1930" spans="1:3" x14ac:dyDescent="0.25">
      <c r="A1930" s="60">
        <v>1929</v>
      </c>
      <c r="B1930" s="61">
        <v>46752</v>
      </c>
      <c r="C1930" s="60" t="s">
        <v>25</v>
      </c>
    </row>
    <row r="1931" spans="1:3" x14ac:dyDescent="0.25">
      <c r="A1931" s="60">
        <v>1930</v>
      </c>
      <c r="B1931" s="61">
        <v>46755</v>
      </c>
      <c r="C1931" s="60" t="s">
        <v>26</v>
      </c>
    </row>
    <row r="1932" spans="1:3" x14ac:dyDescent="0.25">
      <c r="A1932" s="60">
        <v>1931</v>
      </c>
      <c r="B1932" s="61">
        <v>46756</v>
      </c>
      <c r="C1932" s="60" t="s">
        <v>27</v>
      </c>
    </row>
    <row r="1933" spans="1:3" x14ac:dyDescent="0.25">
      <c r="A1933" s="60">
        <v>1932</v>
      </c>
      <c r="B1933" s="61">
        <v>46757</v>
      </c>
      <c r="C1933" s="60" t="s">
        <v>28</v>
      </c>
    </row>
    <row r="1934" spans="1:3" x14ac:dyDescent="0.25">
      <c r="A1934" s="60">
        <v>1933</v>
      </c>
      <c r="B1934" s="61">
        <v>46758</v>
      </c>
      <c r="C1934" s="60" t="s">
        <v>29</v>
      </c>
    </row>
    <row r="1935" spans="1:3" x14ac:dyDescent="0.25">
      <c r="A1935" s="60">
        <v>1934</v>
      </c>
      <c r="B1935" s="61">
        <v>46759</v>
      </c>
      <c r="C1935" s="60" t="s">
        <v>25</v>
      </c>
    </row>
    <row r="1936" spans="1:3" x14ac:dyDescent="0.25">
      <c r="A1936" s="60">
        <v>1935</v>
      </c>
      <c r="B1936" s="61">
        <v>46762</v>
      </c>
      <c r="C1936" s="60" t="s">
        <v>26</v>
      </c>
    </row>
    <row r="1937" spans="1:3" x14ac:dyDescent="0.25">
      <c r="A1937" s="60">
        <v>1936</v>
      </c>
      <c r="B1937" s="61">
        <v>46763</v>
      </c>
      <c r="C1937" s="60" t="s">
        <v>27</v>
      </c>
    </row>
    <row r="1938" spans="1:3" x14ac:dyDescent="0.25">
      <c r="A1938" s="60">
        <v>1937</v>
      </c>
      <c r="B1938" s="61">
        <v>46764</v>
      </c>
      <c r="C1938" s="60" t="s">
        <v>28</v>
      </c>
    </row>
    <row r="1939" spans="1:3" x14ac:dyDescent="0.25">
      <c r="A1939" s="60">
        <v>1938</v>
      </c>
      <c r="B1939" s="61">
        <v>46765</v>
      </c>
      <c r="C1939" s="60" t="s">
        <v>29</v>
      </c>
    </row>
    <row r="1940" spans="1:3" x14ac:dyDescent="0.25">
      <c r="A1940" s="60">
        <v>1939</v>
      </c>
      <c r="B1940" s="61">
        <v>46766</v>
      </c>
      <c r="C1940" s="60" t="s">
        <v>25</v>
      </c>
    </row>
    <row r="1941" spans="1:3" x14ac:dyDescent="0.25">
      <c r="A1941" s="60">
        <v>1940</v>
      </c>
      <c r="B1941" s="61">
        <v>46769</v>
      </c>
      <c r="C1941" s="60" t="s">
        <v>26</v>
      </c>
    </row>
    <row r="1942" spans="1:3" x14ac:dyDescent="0.25">
      <c r="A1942" s="60">
        <v>1941</v>
      </c>
      <c r="B1942" s="61">
        <v>46770</v>
      </c>
      <c r="C1942" s="60" t="s">
        <v>27</v>
      </c>
    </row>
    <row r="1943" spans="1:3" x14ac:dyDescent="0.25">
      <c r="A1943" s="60">
        <v>1942</v>
      </c>
      <c r="B1943" s="61">
        <v>46771</v>
      </c>
      <c r="C1943" s="60" t="s">
        <v>28</v>
      </c>
    </row>
    <row r="1944" spans="1:3" x14ac:dyDescent="0.25">
      <c r="A1944" s="60">
        <v>1943</v>
      </c>
      <c r="B1944" s="61">
        <v>46772</v>
      </c>
      <c r="C1944" s="60" t="s">
        <v>29</v>
      </c>
    </row>
    <row r="1945" spans="1:3" x14ac:dyDescent="0.25">
      <c r="A1945" s="60">
        <v>1944</v>
      </c>
      <c r="B1945" s="61">
        <v>46773</v>
      </c>
      <c r="C1945" s="60" t="s">
        <v>25</v>
      </c>
    </row>
    <row r="1946" spans="1:3" x14ac:dyDescent="0.25">
      <c r="A1946" s="60">
        <v>1945</v>
      </c>
      <c r="B1946" s="61">
        <v>46776</v>
      </c>
      <c r="C1946" s="60" t="s">
        <v>26</v>
      </c>
    </row>
    <row r="1947" spans="1:3" x14ac:dyDescent="0.25">
      <c r="A1947" s="60">
        <v>1946</v>
      </c>
      <c r="B1947" s="61">
        <v>46777</v>
      </c>
      <c r="C1947" s="60" t="s">
        <v>27</v>
      </c>
    </row>
    <row r="1948" spans="1:3" x14ac:dyDescent="0.25">
      <c r="A1948" s="60">
        <v>1947</v>
      </c>
      <c r="B1948" s="61">
        <v>46778</v>
      </c>
      <c r="C1948" s="60" t="s">
        <v>28</v>
      </c>
    </row>
    <row r="1949" spans="1:3" x14ac:dyDescent="0.25">
      <c r="A1949" s="60">
        <v>1948</v>
      </c>
      <c r="B1949" s="61">
        <v>46779</v>
      </c>
      <c r="C1949" s="60" t="s">
        <v>29</v>
      </c>
    </row>
    <row r="1950" spans="1:3" x14ac:dyDescent="0.25">
      <c r="A1950" s="60">
        <v>1949</v>
      </c>
      <c r="B1950" s="61">
        <v>46780</v>
      </c>
      <c r="C1950" s="60" t="s">
        <v>25</v>
      </c>
    </row>
    <row r="1951" spans="1:3" x14ac:dyDescent="0.25">
      <c r="A1951" s="60">
        <v>1950</v>
      </c>
      <c r="B1951" s="61">
        <v>46783</v>
      </c>
      <c r="C1951" s="60" t="s">
        <v>26</v>
      </c>
    </row>
    <row r="1952" spans="1:3" x14ac:dyDescent="0.25">
      <c r="A1952" s="60">
        <v>1951</v>
      </c>
      <c r="B1952" s="61">
        <v>46784</v>
      </c>
      <c r="C1952" s="60" t="s">
        <v>27</v>
      </c>
    </row>
    <row r="1953" spans="1:3" x14ac:dyDescent="0.25">
      <c r="A1953" s="60">
        <v>1952</v>
      </c>
      <c r="B1953" s="61">
        <v>46785</v>
      </c>
      <c r="C1953" s="60" t="s">
        <v>28</v>
      </c>
    </row>
    <row r="1954" spans="1:3" x14ac:dyDescent="0.25">
      <c r="A1954" s="60">
        <v>1953</v>
      </c>
      <c r="B1954" s="61">
        <v>46786</v>
      </c>
      <c r="C1954" s="60" t="s">
        <v>29</v>
      </c>
    </row>
    <row r="1955" spans="1:3" x14ac:dyDescent="0.25">
      <c r="A1955" s="60">
        <v>1954</v>
      </c>
      <c r="B1955" s="61">
        <v>46787</v>
      </c>
      <c r="C1955" s="60" t="s">
        <v>25</v>
      </c>
    </row>
    <row r="1956" spans="1:3" x14ac:dyDescent="0.25">
      <c r="A1956" s="60">
        <v>1955</v>
      </c>
      <c r="B1956" s="61">
        <v>46790</v>
      </c>
      <c r="C1956" s="60" t="s">
        <v>26</v>
      </c>
    </row>
    <row r="1957" spans="1:3" x14ac:dyDescent="0.25">
      <c r="A1957" s="60">
        <v>1956</v>
      </c>
      <c r="B1957" s="61">
        <v>46791</v>
      </c>
      <c r="C1957" s="60" t="s">
        <v>27</v>
      </c>
    </row>
    <row r="1958" spans="1:3" x14ac:dyDescent="0.25">
      <c r="A1958" s="60">
        <v>1957</v>
      </c>
      <c r="B1958" s="61">
        <v>46792</v>
      </c>
      <c r="C1958" s="60" t="s">
        <v>28</v>
      </c>
    </row>
    <row r="1959" spans="1:3" x14ac:dyDescent="0.25">
      <c r="A1959" s="60">
        <v>1958</v>
      </c>
      <c r="B1959" s="61">
        <v>46793</v>
      </c>
      <c r="C1959" s="60" t="s">
        <v>29</v>
      </c>
    </row>
    <row r="1960" spans="1:3" x14ac:dyDescent="0.25">
      <c r="A1960" s="60">
        <v>1959</v>
      </c>
      <c r="B1960" s="61">
        <v>46794</v>
      </c>
      <c r="C1960" s="60" t="s">
        <v>25</v>
      </c>
    </row>
    <row r="1961" spans="1:3" x14ac:dyDescent="0.25">
      <c r="A1961" s="60">
        <v>1960</v>
      </c>
      <c r="B1961" s="61">
        <v>46797</v>
      </c>
      <c r="C1961" s="60" t="s">
        <v>26</v>
      </c>
    </row>
    <row r="1962" spans="1:3" x14ac:dyDescent="0.25">
      <c r="A1962" s="60">
        <v>1961</v>
      </c>
      <c r="B1962" s="61">
        <v>46798</v>
      </c>
      <c r="C1962" s="60" t="s">
        <v>27</v>
      </c>
    </row>
    <row r="1963" spans="1:3" x14ac:dyDescent="0.25">
      <c r="A1963" s="60">
        <v>1962</v>
      </c>
      <c r="B1963" s="61">
        <v>46799</v>
      </c>
      <c r="C1963" s="60" t="s">
        <v>28</v>
      </c>
    </row>
    <row r="1964" spans="1:3" x14ac:dyDescent="0.25">
      <c r="A1964" s="60">
        <v>1963</v>
      </c>
      <c r="B1964" s="61">
        <v>46800</v>
      </c>
      <c r="C1964" s="60" t="s">
        <v>29</v>
      </c>
    </row>
    <row r="1965" spans="1:3" x14ac:dyDescent="0.25">
      <c r="A1965" s="60">
        <v>1964</v>
      </c>
      <c r="B1965" s="61">
        <v>46801</v>
      </c>
      <c r="C1965" s="60" t="s">
        <v>25</v>
      </c>
    </row>
    <row r="1966" spans="1:3" x14ac:dyDescent="0.25">
      <c r="A1966" s="60">
        <v>1965</v>
      </c>
      <c r="B1966" s="61">
        <v>46804</v>
      </c>
      <c r="C1966" s="60" t="s">
        <v>26</v>
      </c>
    </row>
    <row r="1967" spans="1:3" x14ac:dyDescent="0.25">
      <c r="A1967" s="60">
        <v>1966</v>
      </c>
      <c r="B1967" s="61">
        <v>46805</v>
      </c>
      <c r="C1967" s="60" t="s">
        <v>27</v>
      </c>
    </row>
    <row r="1968" spans="1:3" x14ac:dyDescent="0.25">
      <c r="A1968" s="60">
        <v>1967</v>
      </c>
      <c r="B1968" s="61">
        <v>46806</v>
      </c>
      <c r="C1968" s="60" t="s">
        <v>28</v>
      </c>
    </row>
    <row r="1969" spans="1:3" x14ac:dyDescent="0.25">
      <c r="A1969" s="60">
        <v>1968</v>
      </c>
      <c r="B1969" s="61">
        <v>46807</v>
      </c>
      <c r="C1969" s="60" t="s">
        <v>29</v>
      </c>
    </row>
    <row r="1970" spans="1:3" x14ac:dyDescent="0.25">
      <c r="A1970" s="60">
        <v>1969</v>
      </c>
      <c r="B1970" s="61">
        <v>46808</v>
      </c>
      <c r="C1970" s="60" t="s">
        <v>25</v>
      </c>
    </row>
    <row r="1971" spans="1:3" x14ac:dyDescent="0.25">
      <c r="A1971" s="60">
        <v>1970</v>
      </c>
      <c r="B1971" s="61">
        <v>46811</v>
      </c>
      <c r="C1971" s="60" t="s">
        <v>26</v>
      </c>
    </row>
    <row r="1972" spans="1:3" x14ac:dyDescent="0.25">
      <c r="A1972" s="60">
        <v>1971</v>
      </c>
      <c r="B1972" s="61">
        <v>46812</v>
      </c>
      <c r="C1972" s="60" t="s">
        <v>27</v>
      </c>
    </row>
    <row r="1973" spans="1:3" x14ac:dyDescent="0.25">
      <c r="A1973" s="60">
        <v>1972</v>
      </c>
      <c r="B1973" s="61">
        <v>46813</v>
      </c>
      <c r="C1973" s="60" t="s">
        <v>28</v>
      </c>
    </row>
    <row r="1974" spans="1:3" x14ac:dyDescent="0.25">
      <c r="A1974" s="60">
        <v>1973</v>
      </c>
      <c r="B1974" s="61">
        <v>46814</v>
      </c>
      <c r="C1974" s="60" t="s">
        <v>29</v>
      </c>
    </row>
    <row r="1975" spans="1:3" x14ac:dyDescent="0.25">
      <c r="A1975" s="60">
        <v>1974</v>
      </c>
      <c r="B1975" s="61">
        <v>46815</v>
      </c>
      <c r="C1975" s="60" t="s">
        <v>25</v>
      </c>
    </row>
    <row r="1976" spans="1:3" x14ac:dyDescent="0.25">
      <c r="A1976" s="60">
        <v>1975</v>
      </c>
      <c r="B1976" s="61">
        <v>46818</v>
      </c>
      <c r="C1976" s="60" t="s">
        <v>26</v>
      </c>
    </row>
    <row r="1977" spans="1:3" x14ac:dyDescent="0.25">
      <c r="A1977" s="60">
        <v>1976</v>
      </c>
      <c r="B1977" s="61">
        <v>46819</v>
      </c>
      <c r="C1977" s="60" t="s">
        <v>27</v>
      </c>
    </row>
    <row r="1978" spans="1:3" x14ac:dyDescent="0.25">
      <c r="A1978" s="60">
        <v>1977</v>
      </c>
      <c r="B1978" s="61">
        <v>46820</v>
      </c>
      <c r="C1978" s="60" t="s">
        <v>28</v>
      </c>
    </row>
    <row r="1979" spans="1:3" x14ac:dyDescent="0.25">
      <c r="A1979" s="60">
        <v>1978</v>
      </c>
      <c r="B1979" s="61">
        <v>46821</v>
      </c>
      <c r="C1979" s="60" t="s">
        <v>29</v>
      </c>
    </row>
    <row r="1980" spans="1:3" x14ac:dyDescent="0.25">
      <c r="A1980" s="60">
        <v>1979</v>
      </c>
      <c r="B1980" s="61">
        <v>46822</v>
      </c>
      <c r="C1980" s="60" t="s">
        <v>25</v>
      </c>
    </row>
    <row r="1981" spans="1:3" x14ac:dyDescent="0.25">
      <c r="A1981" s="60">
        <v>1980</v>
      </c>
      <c r="B1981" s="61">
        <v>46825</v>
      </c>
      <c r="C1981" s="60" t="s">
        <v>26</v>
      </c>
    </row>
    <row r="1982" spans="1:3" x14ac:dyDescent="0.25">
      <c r="A1982" s="60">
        <v>1981</v>
      </c>
      <c r="B1982" s="61">
        <v>46826</v>
      </c>
      <c r="C1982" s="60" t="s">
        <v>27</v>
      </c>
    </row>
    <row r="1983" spans="1:3" x14ac:dyDescent="0.25">
      <c r="A1983" s="60">
        <v>1982</v>
      </c>
      <c r="B1983" s="61">
        <v>46827</v>
      </c>
      <c r="C1983" s="60" t="s">
        <v>28</v>
      </c>
    </row>
    <row r="1984" spans="1:3" x14ac:dyDescent="0.25">
      <c r="A1984" s="60">
        <v>1983</v>
      </c>
      <c r="B1984" s="61">
        <v>46828</v>
      </c>
      <c r="C1984" s="60" t="s">
        <v>29</v>
      </c>
    </row>
    <row r="1985" spans="1:3" x14ac:dyDescent="0.25">
      <c r="A1985" s="60">
        <v>1984</v>
      </c>
      <c r="B1985" s="61">
        <v>46829</v>
      </c>
      <c r="C1985" s="60" t="s">
        <v>25</v>
      </c>
    </row>
    <row r="1986" spans="1:3" x14ac:dyDescent="0.25">
      <c r="A1986" s="60">
        <v>1985</v>
      </c>
      <c r="B1986" s="61">
        <v>46832</v>
      </c>
      <c r="C1986" s="60" t="s">
        <v>26</v>
      </c>
    </row>
    <row r="1987" spans="1:3" x14ac:dyDescent="0.25">
      <c r="A1987" s="60">
        <v>1986</v>
      </c>
      <c r="B1987" s="61">
        <v>46833</v>
      </c>
      <c r="C1987" s="60" t="s">
        <v>27</v>
      </c>
    </row>
    <row r="1988" spans="1:3" x14ac:dyDescent="0.25">
      <c r="A1988" s="60">
        <v>1987</v>
      </c>
      <c r="B1988" s="61">
        <v>46834</v>
      </c>
      <c r="C1988" s="60" t="s">
        <v>28</v>
      </c>
    </row>
    <row r="1989" spans="1:3" x14ac:dyDescent="0.25">
      <c r="A1989" s="60">
        <v>1988</v>
      </c>
      <c r="B1989" s="61">
        <v>46835</v>
      </c>
      <c r="C1989" s="60" t="s">
        <v>29</v>
      </c>
    </row>
    <row r="1990" spans="1:3" x14ac:dyDescent="0.25">
      <c r="A1990" s="60">
        <v>1989</v>
      </c>
      <c r="B1990" s="61">
        <v>46836</v>
      </c>
      <c r="C1990" s="60" t="s">
        <v>25</v>
      </c>
    </row>
    <row r="1991" spans="1:3" x14ac:dyDescent="0.25">
      <c r="A1991" s="60">
        <v>1990</v>
      </c>
      <c r="B1991" s="61">
        <v>46839</v>
      </c>
      <c r="C1991" s="60" t="s">
        <v>26</v>
      </c>
    </row>
    <row r="1992" spans="1:3" x14ac:dyDescent="0.25">
      <c r="A1992" s="60">
        <v>1991</v>
      </c>
      <c r="B1992" s="61">
        <v>46840</v>
      </c>
      <c r="C1992" s="60" t="s">
        <v>27</v>
      </c>
    </row>
    <row r="1993" spans="1:3" x14ac:dyDescent="0.25">
      <c r="A1993" s="60">
        <v>1992</v>
      </c>
      <c r="B1993" s="61">
        <v>46841</v>
      </c>
      <c r="C1993" s="60" t="s">
        <v>28</v>
      </c>
    </row>
    <row r="1994" spans="1:3" x14ac:dyDescent="0.25">
      <c r="A1994" s="60">
        <v>1993</v>
      </c>
      <c r="B1994" s="61">
        <v>46842</v>
      </c>
      <c r="C1994" s="60" t="s">
        <v>29</v>
      </c>
    </row>
    <row r="1995" spans="1:3" x14ac:dyDescent="0.25">
      <c r="A1995" s="60">
        <v>1994</v>
      </c>
      <c r="B1995" s="61">
        <v>46843</v>
      </c>
      <c r="C1995" s="60" t="s">
        <v>25</v>
      </c>
    </row>
    <row r="1996" spans="1:3" x14ac:dyDescent="0.25">
      <c r="A1996" s="60">
        <v>1995</v>
      </c>
      <c r="B1996" s="61">
        <v>46846</v>
      </c>
      <c r="C1996" s="60" t="s">
        <v>26</v>
      </c>
    </row>
    <row r="1997" spans="1:3" x14ac:dyDescent="0.25">
      <c r="A1997" s="60">
        <v>1996</v>
      </c>
      <c r="B1997" s="61">
        <v>46847</v>
      </c>
      <c r="C1997" s="60" t="s">
        <v>27</v>
      </c>
    </row>
    <row r="1998" spans="1:3" x14ac:dyDescent="0.25">
      <c r="A1998" s="60">
        <v>1997</v>
      </c>
      <c r="B1998" s="61">
        <v>46848</v>
      </c>
      <c r="C1998" s="60" t="s">
        <v>28</v>
      </c>
    </row>
    <row r="1999" spans="1:3" x14ac:dyDescent="0.25">
      <c r="A1999" s="60">
        <v>1998</v>
      </c>
      <c r="B1999" s="61">
        <v>46849</v>
      </c>
      <c r="C1999" s="60" t="s">
        <v>29</v>
      </c>
    </row>
    <row r="2000" spans="1:3" x14ac:dyDescent="0.25">
      <c r="A2000" s="60">
        <v>1999</v>
      </c>
      <c r="B2000" s="61">
        <v>46850</v>
      </c>
      <c r="C2000" s="60" t="s">
        <v>25</v>
      </c>
    </row>
    <row r="2001" spans="1:3" x14ac:dyDescent="0.25">
      <c r="A2001" s="60">
        <v>2000</v>
      </c>
      <c r="B2001" s="61">
        <v>46853</v>
      </c>
      <c r="C2001" s="60" t="s">
        <v>26</v>
      </c>
    </row>
    <row r="2002" spans="1:3" x14ac:dyDescent="0.25">
      <c r="A2002" s="60">
        <v>2001</v>
      </c>
      <c r="B2002" s="61">
        <v>46854</v>
      </c>
      <c r="C2002" s="60" t="s">
        <v>27</v>
      </c>
    </row>
    <row r="2003" spans="1:3" x14ac:dyDescent="0.25">
      <c r="A2003" s="60">
        <v>2002</v>
      </c>
      <c r="B2003" s="61">
        <v>46855</v>
      </c>
      <c r="C2003" s="60" t="s">
        <v>28</v>
      </c>
    </row>
    <row r="2004" spans="1:3" x14ac:dyDescent="0.25">
      <c r="A2004" s="60">
        <v>2003</v>
      </c>
      <c r="B2004" s="61">
        <v>46856</v>
      </c>
      <c r="C2004" s="60" t="s">
        <v>29</v>
      </c>
    </row>
    <row r="2005" spans="1:3" x14ac:dyDescent="0.25">
      <c r="A2005" s="60">
        <v>2004</v>
      </c>
      <c r="B2005" s="61">
        <v>46857</v>
      </c>
      <c r="C2005" s="60" t="s">
        <v>25</v>
      </c>
    </row>
    <row r="2006" spans="1:3" x14ac:dyDescent="0.25">
      <c r="A2006" s="60">
        <v>2005</v>
      </c>
      <c r="B2006" s="61">
        <v>46860</v>
      </c>
      <c r="C2006" s="60" t="s">
        <v>26</v>
      </c>
    </row>
    <row r="2007" spans="1:3" x14ac:dyDescent="0.25">
      <c r="A2007" s="60">
        <v>2006</v>
      </c>
      <c r="B2007" s="61">
        <v>46861</v>
      </c>
      <c r="C2007" s="60" t="s">
        <v>27</v>
      </c>
    </row>
    <row r="2008" spans="1:3" x14ac:dyDescent="0.25">
      <c r="A2008" s="60">
        <v>2007</v>
      </c>
      <c r="B2008" s="61">
        <v>46862</v>
      </c>
      <c r="C2008" s="60" t="s">
        <v>28</v>
      </c>
    </row>
    <row r="2009" spans="1:3" x14ac:dyDescent="0.25">
      <c r="A2009" s="60">
        <v>2008</v>
      </c>
      <c r="B2009" s="61">
        <v>46863</v>
      </c>
      <c r="C2009" s="60" t="s">
        <v>29</v>
      </c>
    </row>
    <row r="2010" spans="1:3" x14ac:dyDescent="0.25">
      <c r="A2010" s="60">
        <v>2009</v>
      </c>
      <c r="B2010" s="61">
        <v>46864</v>
      </c>
      <c r="C2010" s="60" t="s">
        <v>25</v>
      </c>
    </row>
    <row r="2011" spans="1:3" x14ac:dyDescent="0.25">
      <c r="A2011" s="60">
        <v>2010</v>
      </c>
      <c r="B2011" s="61">
        <v>46867</v>
      </c>
      <c r="C2011" s="60" t="s">
        <v>26</v>
      </c>
    </row>
    <row r="2012" spans="1:3" x14ac:dyDescent="0.25">
      <c r="A2012" s="60">
        <v>2011</v>
      </c>
      <c r="B2012" s="61">
        <v>46868</v>
      </c>
      <c r="C2012" s="60" t="s">
        <v>27</v>
      </c>
    </row>
    <row r="2013" spans="1:3" x14ac:dyDescent="0.25">
      <c r="A2013" s="60">
        <v>2012</v>
      </c>
      <c r="B2013" s="61">
        <v>46869</v>
      </c>
      <c r="C2013" s="60" t="s">
        <v>28</v>
      </c>
    </row>
    <row r="2014" spans="1:3" x14ac:dyDescent="0.25">
      <c r="A2014" s="60">
        <v>2013</v>
      </c>
      <c r="B2014" s="61">
        <v>46870</v>
      </c>
      <c r="C2014" s="60" t="s">
        <v>29</v>
      </c>
    </row>
    <row r="2015" spans="1:3" x14ac:dyDescent="0.25">
      <c r="A2015" s="60">
        <v>2014</v>
      </c>
      <c r="B2015" s="61">
        <v>46871</v>
      </c>
      <c r="C2015" s="60" t="s">
        <v>25</v>
      </c>
    </row>
    <row r="2016" spans="1:3" x14ac:dyDescent="0.25">
      <c r="A2016" s="60">
        <v>2015</v>
      </c>
      <c r="B2016" s="61">
        <v>46874</v>
      </c>
      <c r="C2016" s="60" t="s">
        <v>26</v>
      </c>
    </row>
    <row r="2017" spans="1:3" x14ac:dyDescent="0.25">
      <c r="A2017" s="60">
        <v>2016</v>
      </c>
      <c r="B2017" s="61">
        <v>46875</v>
      </c>
      <c r="C2017" s="60" t="s">
        <v>27</v>
      </c>
    </row>
    <row r="2018" spans="1:3" x14ac:dyDescent="0.25">
      <c r="A2018" s="60">
        <v>2017</v>
      </c>
      <c r="B2018" s="61">
        <v>46876</v>
      </c>
      <c r="C2018" s="60" t="s">
        <v>28</v>
      </c>
    </row>
    <row r="2019" spans="1:3" x14ac:dyDescent="0.25">
      <c r="A2019" s="60">
        <v>2018</v>
      </c>
      <c r="B2019" s="61">
        <v>46877</v>
      </c>
      <c r="C2019" s="60" t="s">
        <v>29</v>
      </c>
    </row>
    <row r="2020" spans="1:3" x14ac:dyDescent="0.25">
      <c r="A2020" s="60">
        <v>2019</v>
      </c>
      <c r="B2020" s="61">
        <v>46878</v>
      </c>
      <c r="C2020" s="60" t="s">
        <v>25</v>
      </c>
    </row>
    <row r="2021" spans="1:3" x14ac:dyDescent="0.25">
      <c r="A2021" s="60">
        <v>2020</v>
      </c>
      <c r="B2021" s="61">
        <v>46881</v>
      </c>
      <c r="C2021" s="60" t="s">
        <v>26</v>
      </c>
    </row>
    <row r="2022" spans="1:3" x14ac:dyDescent="0.25">
      <c r="A2022" s="60">
        <v>2021</v>
      </c>
      <c r="B2022" s="61">
        <v>46882</v>
      </c>
      <c r="C2022" s="60" t="s">
        <v>27</v>
      </c>
    </row>
    <row r="2023" spans="1:3" x14ac:dyDescent="0.25">
      <c r="A2023" s="60">
        <v>2022</v>
      </c>
      <c r="B2023" s="61">
        <v>46883</v>
      </c>
      <c r="C2023" s="60" t="s">
        <v>28</v>
      </c>
    </row>
    <row r="2024" spans="1:3" x14ac:dyDescent="0.25">
      <c r="A2024" s="60">
        <v>2023</v>
      </c>
      <c r="B2024" s="61">
        <v>46884</v>
      </c>
      <c r="C2024" s="60" t="s">
        <v>29</v>
      </c>
    </row>
    <row r="2025" spans="1:3" x14ac:dyDescent="0.25">
      <c r="A2025" s="60">
        <v>2024</v>
      </c>
      <c r="B2025" s="61">
        <v>46885</v>
      </c>
      <c r="C2025" s="60" t="s">
        <v>25</v>
      </c>
    </row>
    <row r="2026" spans="1:3" x14ac:dyDescent="0.25">
      <c r="A2026" s="60">
        <v>2025</v>
      </c>
      <c r="B2026" s="61">
        <v>46888</v>
      </c>
      <c r="C2026" s="60" t="s">
        <v>26</v>
      </c>
    </row>
    <row r="2027" spans="1:3" x14ac:dyDescent="0.25">
      <c r="A2027" s="60">
        <v>2026</v>
      </c>
      <c r="B2027" s="61">
        <v>46889</v>
      </c>
      <c r="C2027" s="60" t="s">
        <v>27</v>
      </c>
    </row>
    <row r="2028" spans="1:3" x14ac:dyDescent="0.25">
      <c r="A2028" s="60">
        <v>2027</v>
      </c>
      <c r="B2028" s="61">
        <v>46890</v>
      </c>
      <c r="C2028" s="60" t="s">
        <v>28</v>
      </c>
    </row>
    <row r="2029" spans="1:3" x14ac:dyDescent="0.25">
      <c r="A2029" s="60">
        <v>2028</v>
      </c>
      <c r="B2029" s="61">
        <v>46891</v>
      </c>
      <c r="C2029" s="60" t="s">
        <v>29</v>
      </c>
    </row>
    <row r="2030" spans="1:3" x14ac:dyDescent="0.25">
      <c r="A2030" s="60">
        <v>2029</v>
      </c>
      <c r="B2030" s="61">
        <v>46892</v>
      </c>
      <c r="C2030" s="60" t="s">
        <v>25</v>
      </c>
    </row>
    <row r="2031" spans="1:3" x14ac:dyDescent="0.25">
      <c r="A2031" s="60">
        <v>2030</v>
      </c>
      <c r="B2031" s="61">
        <v>46895</v>
      </c>
      <c r="C2031" s="60" t="s">
        <v>26</v>
      </c>
    </row>
    <row r="2032" spans="1:3" x14ac:dyDescent="0.25">
      <c r="A2032" s="60">
        <v>2031</v>
      </c>
      <c r="B2032" s="61">
        <v>46896</v>
      </c>
      <c r="C2032" s="60" t="s">
        <v>27</v>
      </c>
    </row>
    <row r="2033" spans="1:3" x14ac:dyDescent="0.25">
      <c r="A2033" s="60">
        <v>2032</v>
      </c>
      <c r="B2033" s="61">
        <v>46897</v>
      </c>
      <c r="C2033" s="60" t="s">
        <v>28</v>
      </c>
    </row>
    <row r="2034" spans="1:3" x14ac:dyDescent="0.25">
      <c r="A2034" s="60">
        <v>2033</v>
      </c>
      <c r="B2034" s="61">
        <v>46898</v>
      </c>
      <c r="C2034" s="60" t="s">
        <v>29</v>
      </c>
    </row>
    <row r="2035" spans="1:3" x14ac:dyDescent="0.25">
      <c r="A2035" s="60">
        <v>2034</v>
      </c>
      <c r="B2035" s="61">
        <v>46899</v>
      </c>
      <c r="C2035" s="60" t="s">
        <v>25</v>
      </c>
    </row>
    <row r="2036" spans="1:3" x14ac:dyDescent="0.25">
      <c r="A2036" s="60">
        <v>2035</v>
      </c>
      <c r="B2036" s="61">
        <v>46902</v>
      </c>
      <c r="C2036" s="60" t="s">
        <v>26</v>
      </c>
    </row>
    <row r="2037" spans="1:3" x14ac:dyDescent="0.25">
      <c r="A2037" s="60">
        <v>2036</v>
      </c>
      <c r="B2037" s="61">
        <v>46903</v>
      </c>
      <c r="C2037" s="60" t="s">
        <v>27</v>
      </c>
    </row>
    <row r="2038" spans="1:3" x14ac:dyDescent="0.25">
      <c r="A2038" s="60">
        <v>2037</v>
      </c>
      <c r="B2038" s="61">
        <v>46904</v>
      </c>
      <c r="C2038" s="60" t="s">
        <v>28</v>
      </c>
    </row>
    <row r="2039" spans="1:3" x14ac:dyDescent="0.25">
      <c r="A2039" s="60">
        <v>2038</v>
      </c>
      <c r="B2039" s="61">
        <v>46905</v>
      </c>
      <c r="C2039" s="60" t="s">
        <v>29</v>
      </c>
    </row>
    <row r="2040" spans="1:3" x14ac:dyDescent="0.25">
      <c r="A2040" s="60">
        <v>2039</v>
      </c>
      <c r="B2040" s="61">
        <v>46906</v>
      </c>
      <c r="C2040" s="60" t="s">
        <v>25</v>
      </c>
    </row>
    <row r="2041" spans="1:3" x14ac:dyDescent="0.25">
      <c r="A2041" s="60">
        <v>2040</v>
      </c>
      <c r="B2041" s="61">
        <v>46909</v>
      </c>
      <c r="C2041" s="60" t="s">
        <v>26</v>
      </c>
    </row>
    <row r="2042" spans="1:3" x14ac:dyDescent="0.25">
      <c r="A2042" s="60">
        <v>2041</v>
      </c>
      <c r="B2042" s="61">
        <v>46910</v>
      </c>
      <c r="C2042" s="60" t="s">
        <v>27</v>
      </c>
    </row>
    <row r="2043" spans="1:3" x14ac:dyDescent="0.25">
      <c r="A2043" s="60">
        <v>2042</v>
      </c>
      <c r="B2043" s="61">
        <v>46911</v>
      </c>
      <c r="C2043" s="60" t="s">
        <v>28</v>
      </c>
    </row>
    <row r="2044" spans="1:3" x14ac:dyDescent="0.25">
      <c r="A2044" s="60">
        <v>2043</v>
      </c>
      <c r="B2044" s="61">
        <v>46912</v>
      </c>
      <c r="C2044" s="60" t="s">
        <v>29</v>
      </c>
    </row>
    <row r="2045" spans="1:3" x14ac:dyDescent="0.25">
      <c r="A2045" s="60">
        <v>2044</v>
      </c>
      <c r="B2045" s="61">
        <v>46913</v>
      </c>
      <c r="C2045" s="60" t="s">
        <v>25</v>
      </c>
    </row>
    <row r="2046" spans="1:3" x14ac:dyDescent="0.25">
      <c r="A2046" s="60">
        <v>2045</v>
      </c>
      <c r="B2046" s="61">
        <v>46916</v>
      </c>
      <c r="C2046" s="60" t="s">
        <v>26</v>
      </c>
    </row>
    <row r="2047" spans="1:3" x14ac:dyDescent="0.25">
      <c r="A2047" s="60">
        <v>2046</v>
      </c>
      <c r="B2047" s="61">
        <v>46917</v>
      </c>
      <c r="C2047" s="60" t="s">
        <v>27</v>
      </c>
    </row>
    <row r="2048" spans="1:3" x14ac:dyDescent="0.25">
      <c r="A2048" s="60">
        <v>2047</v>
      </c>
      <c r="B2048" s="61">
        <v>46918</v>
      </c>
      <c r="C2048" s="60" t="s">
        <v>28</v>
      </c>
    </row>
    <row r="2049" spans="1:3" x14ac:dyDescent="0.25">
      <c r="A2049" s="60">
        <v>2048</v>
      </c>
      <c r="B2049" s="61">
        <v>46919</v>
      </c>
      <c r="C2049" s="60" t="s">
        <v>29</v>
      </c>
    </row>
    <row r="2050" spans="1:3" x14ac:dyDescent="0.25">
      <c r="A2050" s="60">
        <v>2049</v>
      </c>
      <c r="B2050" s="61">
        <v>46920</v>
      </c>
      <c r="C2050" s="60" t="s">
        <v>25</v>
      </c>
    </row>
    <row r="2051" spans="1:3" x14ac:dyDescent="0.25">
      <c r="A2051" s="60">
        <v>2050</v>
      </c>
      <c r="B2051" s="61">
        <v>46923</v>
      </c>
      <c r="C2051" s="60" t="s">
        <v>26</v>
      </c>
    </row>
    <row r="2052" spans="1:3" x14ac:dyDescent="0.25">
      <c r="A2052" s="60">
        <v>2051</v>
      </c>
      <c r="B2052" s="61">
        <v>46924</v>
      </c>
      <c r="C2052" s="60" t="s">
        <v>27</v>
      </c>
    </row>
    <row r="2053" spans="1:3" x14ac:dyDescent="0.25">
      <c r="A2053" s="60">
        <v>2052</v>
      </c>
      <c r="B2053" s="61">
        <v>46925</v>
      </c>
      <c r="C2053" s="60" t="s">
        <v>28</v>
      </c>
    </row>
    <row r="2054" spans="1:3" x14ac:dyDescent="0.25">
      <c r="A2054" s="60">
        <v>2053</v>
      </c>
      <c r="B2054" s="61">
        <v>46926</v>
      </c>
      <c r="C2054" s="60" t="s">
        <v>29</v>
      </c>
    </row>
    <row r="2055" spans="1:3" x14ac:dyDescent="0.25">
      <c r="A2055" s="60">
        <v>2054</v>
      </c>
      <c r="B2055" s="61">
        <v>46927</v>
      </c>
      <c r="C2055" s="60" t="s">
        <v>25</v>
      </c>
    </row>
    <row r="2056" spans="1:3" x14ac:dyDescent="0.25">
      <c r="A2056" s="60">
        <v>2055</v>
      </c>
      <c r="B2056" s="61">
        <v>46930</v>
      </c>
      <c r="C2056" s="60" t="s">
        <v>26</v>
      </c>
    </row>
    <row r="2057" spans="1:3" x14ac:dyDescent="0.25">
      <c r="A2057" s="60">
        <v>2056</v>
      </c>
      <c r="B2057" s="61">
        <v>46931</v>
      </c>
      <c r="C2057" s="60" t="s">
        <v>27</v>
      </c>
    </row>
    <row r="2058" spans="1:3" x14ac:dyDescent="0.25">
      <c r="A2058" s="60">
        <v>2057</v>
      </c>
      <c r="B2058" s="61">
        <v>46932</v>
      </c>
      <c r="C2058" s="60" t="s">
        <v>28</v>
      </c>
    </row>
    <row r="2059" spans="1:3" x14ac:dyDescent="0.25">
      <c r="A2059" s="60">
        <v>2058</v>
      </c>
      <c r="B2059" s="61">
        <v>46933</v>
      </c>
      <c r="C2059" s="60" t="s">
        <v>29</v>
      </c>
    </row>
    <row r="2060" spans="1:3" x14ac:dyDescent="0.25">
      <c r="A2060" s="60">
        <v>2059</v>
      </c>
      <c r="B2060" s="61">
        <v>46934</v>
      </c>
      <c r="C2060" s="60" t="s">
        <v>25</v>
      </c>
    </row>
    <row r="2061" spans="1:3" x14ac:dyDescent="0.25">
      <c r="A2061" s="60">
        <v>2060</v>
      </c>
      <c r="B2061" s="61">
        <v>46937</v>
      </c>
      <c r="C2061" s="60" t="s">
        <v>26</v>
      </c>
    </row>
    <row r="2062" spans="1:3" x14ac:dyDescent="0.25">
      <c r="A2062" s="60">
        <v>2061</v>
      </c>
      <c r="B2062" s="61">
        <v>46938</v>
      </c>
      <c r="C2062" s="60" t="s">
        <v>27</v>
      </c>
    </row>
    <row r="2063" spans="1:3" x14ac:dyDescent="0.25">
      <c r="A2063" s="60">
        <v>2062</v>
      </c>
      <c r="B2063" s="61">
        <v>46939</v>
      </c>
      <c r="C2063" s="60" t="s">
        <v>28</v>
      </c>
    </row>
    <row r="2064" spans="1:3" x14ac:dyDescent="0.25">
      <c r="A2064" s="60">
        <v>2063</v>
      </c>
      <c r="B2064" s="61">
        <v>46940</v>
      </c>
      <c r="C2064" s="60" t="s">
        <v>29</v>
      </c>
    </row>
    <row r="2065" spans="1:3" x14ac:dyDescent="0.25">
      <c r="A2065" s="60">
        <v>2064</v>
      </c>
      <c r="B2065" s="61">
        <v>46941</v>
      </c>
      <c r="C2065" s="60" t="s">
        <v>25</v>
      </c>
    </row>
    <row r="2066" spans="1:3" x14ac:dyDescent="0.25">
      <c r="A2066" s="60">
        <v>2065</v>
      </c>
      <c r="B2066" s="61">
        <v>46944</v>
      </c>
      <c r="C2066" s="60" t="s">
        <v>26</v>
      </c>
    </row>
    <row r="2067" spans="1:3" x14ac:dyDescent="0.25">
      <c r="A2067" s="60">
        <v>2066</v>
      </c>
      <c r="B2067" s="61">
        <v>46945</v>
      </c>
      <c r="C2067" s="60" t="s">
        <v>27</v>
      </c>
    </row>
    <row r="2068" spans="1:3" x14ac:dyDescent="0.25">
      <c r="A2068" s="60">
        <v>2067</v>
      </c>
      <c r="B2068" s="61">
        <v>46946</v>
      </c>
      <c r="C2068" s="60" t="s">
        <v>28</v>
      </c>
    </row>
    <row r="2069" spans="1:3" x14ac:dyDescent="0.25">
      <c r="A2069" s="60">
        <v>2068</v>
      </c>
      <c r="B2069" s="61">
        <v>46947</v>
      </c>
      <c r="C2069" s="60" t="s">
        <v>29</v>
      </c>
    </row>
    <row r="2070" spans="1:3" x14ac:dyDescent="0.25">
      <c r="A2070" s="60">
        <v>2069</v>
      </c>
      <c r="B2070" s="61">
        <v>46948</v>
      </c>
      <c r="C2070" s="60" t="s">
        <v>25</v>
      </c>
    </row>
    <row r="2071" spans="1:3" x14ac:dyDescent="0.25">
      <c r="A2071" s="60">
        <v>2070</v>
      </c>
      <c r="B2071" s="61">
        <v>46951</v>
      </c>
      <c r="C2071" s="60" t="s">
        <v>26</v>
      </c>
    </row>
    <row r="2072" spans="1:3" x14ac:dyDescent="0.25">
      <c r="A2072" s="60">
        <v>2071</v>
      </c>
      <c r="B2072" s="61">
        <v>46952</v>
      </c>
      <c r="C2072" s="60" t="s">
        <v>27</v>
      </c>
    </row>
    <row r="2073" spans="1:3" x14ac:dyDescent="0.25">
      <c r="A2073" s="60">
        <v>2072</v>
      </c>
      <c r="B2073" s="61">
        <v>46953</v>
      </c>
      <c r="C2073" s="60" t="s">
        <v>28</v>
      </c>
    </row>
    <row r="2074" spans="1:3" x14ac:dyDescent="0.25">
      <c r="A2074" s="60">
        <v>2073</v>
      </c>
      <c r="B2074" s="61">
        <v>46954</v>
      </c>
      <c r="C2074" s="60" t="s">
        <v>29</v>
      </c>
    </row>
    <row r="2075" spans="1:3" x14ac:dyDescent="0.25">
      <c r="A2075" s="60">
        <v>2074</v>
      </c>
      <c r="B2075" s="61">
        <v>46955</v>
      </c>
      <c r="C2075" s="60" t="s">
        <v>25</v>
      </c>
    </row>
    <row r="2076" spans="1:3" x14ac:dyDescent="0.25">
      <c r="A2076" s="60">
        <v>2075</v>
      </c>
      <c r="B2076" s="61">
        <v>46958</v>
      </c>
      <c r="C2076" s="60" t="s">
        <v>26</v>
      </c>
    </row>
    <row r="2077" spans="1:3" x14ac:dyDescent="0.25">
      <c r="A2077" s="60">
        <v>2076</v>
      </c>
      <c r="B2077" s="61">
        <v>46959</v>
      </c>
      <c r="C2077" s="60" t="s">
        <v>27</v>
      </c>
    </row>
    <row r="2078" spans="1:3" x14ac:dyDescent="0.25">
      <c r="A2078" s="60">
        <v>2077</v>
      </c>
      <c r="B2078" s="61">
        <v>46960</v>
      </c>
      <c r="C2078" s="60" t="s">
        <v>28</v>
      </c>
    </row>
    <row r="2079" spans="1:3" x14ac:dyDescent="0.25">
      <c r="A2079" s="60">
        <v>2078</v>
      </c>
      <c r="B2079" s="61">
        <v>46961</v>
      </c>
      <c r="C2079" s="60" t="s">
        <v>29</v>
      </c>
    </row>
    <row r="2080" spans="1:3" x14ac:dyDescent="0.25">
      <c r="A2080" s="60">
        <v>2079</v>
      </c>
      <c r="B2080" s="61">
        <v>46962</v>
      </c>
      <c r="C2080" s="60" t="s">
        <v>25</v>
      </c>
    </row>
    <row r="2081" spans="1:3" x14ac:dyDescent="0.25">
      <c r="A2081" s="60">
        <v>2080</v>
      </c>
      <c r="B2081" s="61">
        <v>46965</v>
      </c>
      <c r="C2081" s="60" t="s">
        <v>26</v>
      </c>
    </row>
    <row r="2082" spans="1:3" x14ac:dyDescent="0.25">
      <c r="A2082" s="60">
        <v>2081</v>
      </c>
      <c r="B2082" s="61">
        <v>46966</v>
      </c>
      <c r="C2082" s="60" t="s">
        <v>27</v>
      </c>
    </row>
    <row r="2083" spans="1:3" x14ac:dyDescent="0.25">
      <c r="A2083" s="60">
        <v>2082</v>
      </c>
      <c r="B2083" s="61">
        <v>46967</v>
      </c>
      <c r="C2083" s="60" t="s">
        <v>28</v>
      </c>
    </row>
    <row r="2084" spans="1:3" x14ac:dyDescent="0.25">
      <c r="A2084" s="60">
        <v>2083</v>
      </c>
      <c r="B2084" s="61">
        <v>46968</v>
      </c>
      <c r="C2084" s="60" t="s">
        <v>29</v>
      </c>
    </row>
    <row r="2085" spans="1:3" x14ac:dyDescent="0.25">
      <c r="A2085" s="60">
        <v>2084</v>
      </c>
      <c r="B2085" s="61">
        <v>46969</v>
      </c>
      <c r="C2085" s="60" t="s">
        <v>25</v>
      </c>
    </row>
    <row r="2086" spans="1:3" x14ac:dyDescent="0.25">
      <c r="A2086" s="60">
        <v>2085</v>
      </c>
      <c r="B2086" s="61">
        <v>46972</v>
      </c>
      <c r="C2086" s="60" t="s">
        <v>26</v>
      </c>
    </row>
    <row r="2087" spans="1:3" x14ac:dyDescent="0.25">
      <c r="A2087" s="60">
        <v>2086</v>
      </c>
      <c r="B2087" s="61">
        <v>46973</v>
      </c>
      <c r="C2087" s="60" t="s">
        <v>27</v>
      </c>
    </row>
    <row r="2088" spans="1:3" x14ac:dyDescent="0.25">
      <c r="A2088" s="60">
        <v>2087</v>
      </c>
      <c r="B2088" s="61">
        <v>46974</v>
      </c>
      <c r="C2088" s="60" t="s">
        <v>28</v>
      </c>
    </row>
    <row r="2089" spans="1:3" x14ac:dyDescent="0.25">
      <c r="A2089" s="60">
        <v>2088</v>
      </c>
      <c r="B2089" s="61">
        <v>46975</v>
      </c>
      <c r="C2089" s="60" t="s">
        <v>29</v>
      </c>
    </row>
    <row r="2090" spans="1:3" x14ac:dyDescent="0.25">
      <c r="A2090" s="60">
        <v>2089</v>
      </c>
      <c r="B2090" s="61">
        <v>46976</v>
      </c>
      <c r="C2090" s="60" t="s">
        <v>25</v>
      </c>
    </row>
    <row r="2091" spans="1:3" x14ac:dyDescent="0.25">
      <c r="A2091" s="60">
        <v>2090</v>
      </c>
      <c r="B2091" s="61">
        <v>46979</v>
      </c>
      <c r="C2091" s="60" t="s">
        <v>26</v>
      </c>
    </row>
    <row r="2092" spans="1:3" x14ac:dyDescent="0.25">
      <c r="A2092" s="60">
        <v>2091</v>
      </c>
      <c r="B2092" s="61">
        <v>46980</v>
      </c>
      <c r="C2092" s="60" t="s">
        <v>27</v>
      </c>
    </row>
    <row r="2093" spans="1:3" x14ac:dyDescent="0.25">
      <c r="A2093" s="60">
        <v>2092</v>
      </c>
      <c r="B2093" s="61">
        <v>46981</v>
      </c>
      <c r="C2093" s="60" t="s">
        <v>28</v>
      </c>
    </row>
    <row r="2094" spans="1:3" x14ac:dyDescent="0.25">
      <c r="A2094" s="60">
        <v>2093</v>
      </c>
      <c r="B2094" s="61">
        <v>46982</v>
      </c>
      <c r="C2094" s="60" t="s">
        <v>29</v>
      </c>
    </row>
    <row r="2095" spans="1:3" x14ac:dyDescent="0.25">
      <c r="A2095" s="60">
        <v>2094</v>
      </c>
      <c r="B2095" s="61">
        <v>46983</v>
      </c>
      <c r="C2095" s="60" t="s">
        <v>25</v>
      </c>
    </row>
    <row r="2096" spans="1:3" x14ac:dyDescent="0.25">
      <c r="A2096" s="60">
        <v>2095</v>
      </c>
      <c r="B2096" s="61">
        <v>46986</v>
      </c>
      <c r="C2096" s="60" t="s">
        <v>26</v>
      </c>
    </row>
    <row r="2097" spans="1:3" x14ac:dyDescent="0.25">
      <c r="A2097" s="60">
        <v>2096</v>
      </c>
      <c r="B2097" s="61">
        <v>46987</v>
      </c>
      <c r="C2097" s="60" t="s">
        <v>27</v>
      </c>
    </row>
    <row r="2098" spans="1:3" x14ac:dyDescent="0.25">
      <c r="A2098" s="60">
        <v>2097</v>
      </c>
      <c r="B2098" s="61">
        <v>46988</v>
      </c>
      <c r="C2098" s="60" t="s">
        <v>28</v>
      </c>
    </row>
    <row r="2099" spans="1:3" x14ac:dyDescent="0.25">
      <c r="A2099" s="60">
        <v>2098</v>
      </c>
      <c r="B2099" s="61">
        <v>46989</v>
      </c>
      <c r="C2099" s="60" t="s">
        <v>29</v>
      </c>
    </row>
    <row r="2100" spans="1:3" x14ac:dyDescent="0.25">
      <c r="A2100" s="60">
        <v>2099</v>
      </c>
      <c r="B2100" s="61">
        <v>46990</v>
      </c>
      <c r="C2100" s="60" t="s">
        <v>25</v>
      </c>
    </row>
    <row r="2101" spans="1:3" x14ac:dyDescent="0.25">
      <c r="A2101" s="60">
        <v>2100</v>
      </c>
      <c r="B2101" s="61">
        <v>46993</v>
      </c>
      <c r="C2101" s="60" t="s">
        <v>26</v>
      </c>
    </row>
    <row r="2102" spans="1:3" x14ac:dyDescent="0.25">
      <c r="A2102" s="60">
        <v>2101</v>
      </c>
      <c r="B2102" s="61">
        <v>46994</v>
      </c>
      <c r="C2102" s="60" t="s">
        <v>27</v>
      </c>
    </row>
    <row r="2103" spans="1:3" x14ac:dyDescent="0.25">
      <c r="A2103" s="60">
        <v>2102</v>
      </c>
      <c r="B2103" s="61">
        <v>46995</v>
      </c>
      <c r="C2103" s="60" t="s">
        <v>28</v>
      </c>
    </row>
    <row r="2104" spans="1:3" x14ac:dyDescent="0.25">
      <c r="A2104" s="60">
        <v>2103</v>
      </c>
      <c r="B2104" s="61">
        <v>46996</v>
      </c>
      <c r="C2104" s="60" t="s">
        <v>29</v>
      </c>
    </row>
    <row r="2105" spans="1:3" x14ac:dyDescent="0.25">
      <c r="A2105" s="60">
        <v>2104</v>
      </c>
      <c r="B2105" s="61">
        <v>46997</v>
      </c>
      <c r="C2105" s="60" t="s">
        <v>25</v>
      </c>
    </row>
    <row r="2106" spans="1:3" x14ac:dyDescent="0.25">
      <c r="A2106" s="60">
        <v>2105</v>
      </c>
      <c r="B2106" s="61">
        <v>47000</v>
      </c>
      <c r="C2106" s="60" t="s">
        <v>26</v>
      </c>
    </row>
    <row r="2107" spans="1:3" x14ac:dyDescent="0.25">
      <c r="A2107" s="60">
        <v>2106</v>
      </c>
      <c r="B2107" s="61">
        <v>47001</v>
      </c>
      <c r="C2107" s="60" t="s">
        <v>27</v>
      </c>
    </row>
    <row r="2108" spans="1:3" x14ac:dyDescent="0.25">
      <c r="A2108" s="60">
        <v>2107</v>
      </c>
      <c r="B2108" s="61">
        <v>47002</v>
      </c>
      <c r="C2108" s="60" t="s">
        <v>28</v>
      </c>
    </row>
    <row r="2109" spans="1:3" x14ac:dyDescent="0.25">
      <c r="A2109" s="60">
        <v>2108</v>
      </c>
      <c r="B2109" s="61">
        <v>47003</v>
      </c>
      <c r="C2109" s="60" t="s">
        <v>29</v>
      </c>
    </row>
    <row r="2110" spans="1:3" x14ac:dyDescent="0.25">
      <c r="A2110" s="60">
        <v>2109</v>
      </c>
      <c r="B2110" s="61">
        <v>47004</v>
      </c>
      <c r="C2110" s="60" t="s">
        <v>25</v>
      </c>
    </row>
    <row r="2111" spans="1:3" x14ac:dyDescent="0.25">
      <c r="A2111" s="60">
        <v>2110</v>
      </c>
      <c r="B2111" s="61">
        <v>47007</v>
      </c>
      <c r="C2111" s="60" t="s">
        <v>26</v>
      </c>
    </row>
    <row r="2112" spans="1:3" x14ac:dyDescent="0.25">
      <c r="A2112" s="60">
        <v>2111</v>
      </c>
      <c r="B2112" s="61">
        <v>47008</v>
      </c>
      <c r="C2112" s="60" t="s">
        <v>27</v>
      </c>
    </row>
    <row r="2113" spans="1:3" x14ac:dyDescent="0.25">
      <c r="A2113" s="60">
        <v>2112</v>
      </c>
      <c r="B2113" s="61">
        <v>47009</v>
      </c>
      <c r="C2113" s="60" t="s">
        <v>28</v>
      </c>
    </row>
    <row r="2114" spans="1:3" x14ac:dyDescent="0.25">
      <c r="A2114" s="60">
        <v>2113</v>
      </c>
      <c r="B2114" s="61">
        <v>47010</v>
      </c>
      <c r="C2114" s="60" t="s">
        <v>29</v>
      </c>
    </row>
    <row r="2115" spans="1:3" x14ac:dyDescent="0.25">
      <c r="A2115" s="60">
        <v>2114</v>
      </c>
      <c r="B2115" s="61">
        <v>47011</v>
      </c>
      <c r="C2115" s="60" t="s">
        <v>25</v>
      </c>
    </row>
    <row r="2116" spans="1:3" x14ac:dyDescent="0.25">
      <c r="A2116" s="60">
        <v>2115</v>
      </c>
      <c r="B2116" s="61">
        <v>47014</v>
      </c>
      <c r="C2116" s="60" t="s">
        <v>26</v>
      </c>
    </row>
    <row r="2117" spans="1:3" x14ac:dyDescent="0.25">
      <c r="A2117" s="60">
        <v>2116</v>
      </c>
      <c r="B2117" s="61">
        <v>47015</v>
      </c>
      <c r="C2117" s="60" t="s">
        <v>27</v>
      </c>
    </row>
    <row r="2118" spans="1:3" x14ac:dyDescent="0.25">
      <c r="A2118" s="60">
        <v>2117</v>
      </c>
      <c r="B2118" s="61">
        <v>47016</v>
      </c>
      <c r="C2118" s="60" t="s">
        <v>28</v>
      </c>
    </row>
    <row r="2119" spans="1:3" x14ac:dyDescent="0.25">
      <c r="A2119" s="60">
        <v>2118</v>
      </c>
      <c r="B2119" s="61">
        <v>47017</v>
      </c>
      <c r="C2119" s="60" t="s">
        <v>29</v>
      </c>
    </row>
    <row r="2120" spans="1:3" x14ac:dyDescent="0.25">
      <c r="A2120" s="60">
        <v>2119</v>
      </c>
      <c r="B2120" s="61">
        <v>47018</v>
      </c>
      <c r="C2120" s="60" t="s">
        <v>25</v>
      </c>
    </row>
    <row r="2121" spans="1:3" x14ac:dyDescent="0.25">
      <c r="A2121" s="60">
        <v>2120</v>
      </c>
      <c r="B2121" s="61">
        <v>47021</v>
      </c>
      <c r="C2121" s="60" t="s">
        <v>26</v>
      </c>
    </row>
    <row r="2122" spans="1:3" x14ac:dyDescent="0.25">
      <c r="A2122" s="60">
        <v>2121</v>
      </c>
      <c r="B2122" s="61">
        <v>47022</v>
      </c>
      <c r="C2122" s="60" t="s">
        <v>27</v>
      </c>
    </row>
    <row r="2123" spans="1:3" x14ac:dyDescent="0.25">
      <c r="A2123" s="60">
        <v>2122</v>
      </c>
      <c r="B2123" s="61">
        <v>47023</v>
      </c>
      <c r="C2123" s="60" t="s">
        <v>28</v>
      </c>
    </row>
    <row r="2124" spans="1:3" x14ac:dyDescent="0.25">
      <c r="A2124" s="60">
        <v>2123</v>
      </c>
      <c r="B2124" s="61">
        <v>47024</v>
      </c>
      <c r="C2124" s="60" t="s">
        <v>29</v>
      </c>
    </row>
    <row r="2125" spans="1:3" x14ac:dyDescent="0.25">
      <c r="A2125" s="60">
        <v>2124</v>
      </c>
      <c r="B2125" s="61">
        <v>47025</v>
      </c>
      <c r="C2125" s="60" t="s">
        <v>25</v>
      </c>
    </row>
    <row r="2126" spans="1:3" x14ac:dyDescent="0.25">
      <c r="A2126" s="60">
        <v>2125</v>
      </c>
      <c r="B2126" s="61">
        <v>47028</v>
      </c>
      <c r="C2126" s="60" t="s">
        <v>26</v>
      </c>
    </row>
    <row r="2127" spans="1:3" x14ac:dyDescent="0.25">
      <c r="A2127" s="60">
        <v>2126</v>
      </c>
      <c r="B2127" s="61">
        <v>47029</v>
      </c>
      <c r="C2127" s="60" t="s">
        <v>27</v>
      </c>
    </row>
    <row r="2128" spans="1:3" x14ac:dyDescent="0.25">
      <c r="A2128" s="60">
        <v>2127</v>
      </c>
      <c r="B2128" s="61">
        <v>47030</v>
      </c>
      <c r="C2128" s="60" t="s">
        <v>28</v>
      </c>
    </row>
    <row r="2129" spans="1:3" x14ac:dyDescent="0.25">
      <c r="A2129" s="60">
        <v>2128</v>
      </c>
      <c r="B2129" s="61">
        <v>47031</v>
      </c>
      <c r="C2129" s="60" t="s">
        <v>29</v>
      </c>
    </row>
    <row r="2130" spans="1:3" x14ac:dyDescent="0.25">
      <c r="A2130" s="60">
        <v>2129</v>
      </c>
      <c r="B2130" s="61">
        <v>47032</v>
      </c>
      <c r="C2130" s="60" t="s">
        <v>25</v>
      </c>
    </row>
    <row r="2131" spans="1:3" x14ac:dyDescent="0.25">
      <c r="A2131" s="60">
        <v>2130</v>
      </c>
      <c r="B2131" s="61">
        <v>47035</v>
      </c>
      <c r="C2131" s="60" t="s">
        <v>26</v>
      </c>
    </row>
    <row r="2132" spans="1:3" x14ac:dyDescent="0.25">
      <c r="A2132" s="60">
        <v>2131</v>
      </c>
      <c r="B2132" s="61">
        <v>47036</v>
      </c>
      <c r="C2132" s="60" t="s">
        <v>27</v>
      </c>
    </row>
    <row r="2133" spans="1:3" x14ac:dyDescent="0.25">
      <c r="A2133" s="60">
        <v>2132</v>
      </c>
      <c r="B2133" s="61">
        <v>47037</v>
      </c>
      <c r="C2133" s="60" t="s">
        <v>28</v>
      </c>
    </row>
    <row r="2134" spans="1:3" x14ac:dyDescent="0.25">
      <c r="A2134" s="60">
        <v>2133</v>
      </c>
      <c r="B2134" s="61">
        <v>47038</v>
      </c>
      <c r="C2134" s="60" t="s">
        <v>29</v>
      </c>
    </row>
    <row r="2135" spans="1:3" x14ac:dyDescent="0.25">
      <c r="A2135" s="60">
        <v>2134</v>
      </c>
      <c r="B2135" s="61">
        <v>47039</v>
      </c>
      <c r="C2135" s="60" t="s">
        <v>25</v>
      </c>
    </row>
    <row r="2136" spans="1:3" x14ac:dyDescent="0.25">
      <c r="A2136" s="60">
        <v>2135</v>
      </c>
      <c r="B2136" s="61">
        <v>47042</v>
      </c>
      <c r="C2136" s="60" t="s">
        <v>26</v>
      </c>
    </row>
    <row r="2137" spans="1:3" x14ac:dyDescent="0.25">
      <c r="A2137" s="60">
        <v>2136</v>
      </c>
      <c r="B2137" s="61">
        <v>47043</v>
      </c>
      <c r="C2137" s="60" t="s">
        <v>27</v>
      </c>
    </row>
    <row r="2138" spans="1:3" x14ac:dyDescent="0.25">
      <c r="A2138" s="60">
        <v>2137</v>
      </c>
      <c r="B2138" s="61">
        <v>47044</v>
      </c>
      <c r="C2138" s="60" t="s">
        <v>28</v>
      </c>
    </row>
    <row r="2139" spans="1:3" x14ac:dyDescent="0.25">
      <c r="A2139" s="60">
        <v>2138</v>
      </c>
      <c r="B2139" s="61">
        <v>47045</v>
      </c>
      <c r="C2139" s="60" t="s">
        <v>29</v>
      </c>
    </row>
    <row r="2140" spans="1:3" x14ac:dyDescent="0.25">
      <c r="A2140" s="60">
        <v>2139</v>
      </c>
      <c r="B2140" s="61">
        <v>47046</v>
      </c>
      <c r="C2140" s="60" t="s">
        <v>25</v>
      </c>
    </row>
    <row r="2141" spans="1:3" x14ac:dyDescent="0.25">
      <c r="A2141" s="60">
        <v>2140</v>
      </c>
      <c r="B2141" s="61">
        <v>47049</v>
      </c>
      <c r="C2141" s="60" t="s">
        <v>26</v>
      </c>
    </row>
    <row r="2142" spans="1:3" x14ac:dyDescent="0.25">
      <c r="A2142" s="60">
        <v>2141</v>
      </c>
      <c r="B2142" s="61">
        <v>47050</v>
      </c>
      <c r="C2142" s="60" t="s">
        <v>27</v>
      </c>
    </row>
    <row r="2143" spans="1:3" x14ac:dyDescent="0.25">
      <c r="A2143" s="60">
        <v>2142</v>
      </c>
      <c r="B2143" s="61">
        <v>47051</v>
      </c>
      <c r="C2143" s="60" t="s">
        <v>28</v>
      </c>
    </row>
    <row r="2144" spans="1:3" x14ac:dyDescent="0.25">
      <c r="A2144" s="60">
        <v>2143</v>
      </c>
      <c r="B2144" s="61">
        <v>47052</v>
      </c>
      <c r="C2144" s="60" t="s">
        <v>29</v>
      </c>
    </row>
    <row r="2145" spans="1:3" x14ac:dyDescent="0.25">
      <c r="A2145" s="60">
        <v>2144</v>
      </c>
      <c r="B2145" s="61">
        <v>47053</v>
      </c>
      <c r="C2145" s="60" t="s">
        <v>25</v>
      </c>
    </row>
    <row r="2146" spans="1:3" x14ac:dyDescent="0.25">
      <c r="A2146" s="60">
        <v>2145</v>
      </c>
      <c r="B2146" s="61">
        <v>47056</v>
      </c>
      <c r="C2146" s="60" t="s">
        <v>26</v>
      </c>
    </row>
    <row r="2147" spans="1:3" x14ac:dyDescent="0.25">
      <c r="A2147" s="60">
        <v>2146</v>
      </c>
      <c r="B2147" s="61">
        <v>47057</v>
      </c>
      <c r="C2147" s="60" t="s">
        <v>27</v>
      </c>
    </row>
    <row r="2148" spans="1:3" x14ac:dyDescent="0.25">
      <c r="A2148" s="60">
        <v>2147</v>
      </c>
      <c r="B2148" s="61">
        <v>47058</v>
      </c>
      <c r="C2148" s="60" t="s">
        <v>28</v>
      </c>
    </row>
    <row r="2149" spans="1:3" x14ac:dyDescent="0.25">
      <c r="A2149" s="60">
        <v>2148</v>
      </c>
      <c r="B2149" s="61">
        <v>47059</v>
      </c>
      <c r="C2149" s="60" t="s">
        <v>29</v>
      </c>
    </row>
    <row r="2150" spans="1:3" x14ac:dyDescent="0.25">
      <c r="A2150" s="60">
        <v>2149</v>
      </c>
      <c r="B2150" s="61">
        <v>47060</v>
      </c>
      <c r="C2150" s="60" t="s">
        <v>25</v>
      </c>
    </row>
    <row r="2151" spans="1:3" x14ac:dyDescent="0.25">
      <c r="A2151" s="60">
        <v>2150</v>
      </c>
      <c r="B2151" s="61">
        <v>47063</v>
      </c>
      <c r="C2151" s="60" t="s">
        <v>26</v>
      </c>
    </row>
    <row r="2152" spans="1:3" x14ac:dyDescent="0.25">
      <c r="A2152" s="60">
        <v>2151</v>
      </c>
      <c r="B2152" s="61">
        <v>47064</v>
      </c>
      <c r="C2152" s="60" t="s">
        <v>27</v>
      </c>
    </row>
    <row r="2153" spans="1:3" x14ac:dyDescent="0.25">
      <c r="A2153" s="60">
        <v>2152</v>
      </c>
      <c r="B2153" s="61">
        <v>47065</v>
      </c>
      <c r="C2153" s="60" t="s">
        <v>28</v>
      </c>
    </row>
    <row r="2154" spans="1:3" x14ac:dyDescent="0.25">
      <c r="A2154" s="60">
        <v>2153</v>
      </c>
      <c r="B2154" s="61">
        <v>47066</v>
      </c>
      <c r="C2154" s="60" t="s">
        <v>29</v>
      </c>
    </row>
    <row r="2155" spans="1:3" x14ac:dyDescent="0.25">
      <c r="A2155" s="60">
        <v>2154</v>
      </c>
      <c r="B2155" s="61">
        <v>47067</v>
      </c>
      <c r="C2155" s="60" t="s">
        <v>25</v>
      </c>
    </row>
    <row r="2156" spans="1:3" x14ac:dyDescent="0.25">
      <c r="A2156" s="60">
        <v>2155</v>
      </c>
      <c r="B2156" s="61">
        <v>47070</v>
      </c>
      <c r="C2156" s="60" t="s">
        <v>26</v>
      </c>
    </row>
    <row r="2157" spans="1:3" x14ac:dyDescent="0.25">
      <c r="A2157" s="60">
        <v>2156</v>
      </c>
      <c r="B2157" s="61">
        <v>47071</v>
      </c>
      <c r="C2157" s="60" t="s">
        <v>27</v>
      </c>
    </row>
    <row r="2158" spans="1:3" x14ac:dyDescent="0.25">
      <c r="A2158" s="60">
        <v>2157</v>
      </c>
      <c r="B2158" s="61">
        <v>47072</v>
      </c>
      <c r="C2158" s="60" t="s">
        <v>28</v>
      </c>
    </row>
    <row r="2159" spans="1:3" x14ac:dyDescent="0.25">
      <c r="A2159" s="60">
        <v>2158</v>
      </c>
      <c r="B2159" s="61">
        <v>47073</v>
      </c>
      <c r="C2159" s="60" t="s">
        <v>29</v>
      </c>
    </row>
    <row r="2160" spans="1:3" x14ac:dyDescent="0.25">
      <c r="A2160" s="60">
        <v>2159</v>
      </c>
      <c r="B2160" s="61">
        <v>47074</v>
      </c>
      <c r="C2160" s="60" t="s">
        <v>25</v>
      </c>
    </row>
    <row r="2161" spans="1:3" x14ac:dyDescent="0.25">
      <c r="A2161" s="60">
        <v>2160</v>
      </c>
      <c r="B2161" s="61">
        <v>47077</v>
      </c>
      <c r="C2161" s="60" t="s">
        <v>26</v>
      </c>
    </row>
    <row r="2162" spans="1:3" x14ac:dyDescent="0.25">
      <c r="A2162" s="60">
        <v>2161</v>
      </c>
      <c r="B2162" s="61">
        <v>47078</v>
      </c>
      <c r="C2162" s="60" t="s">
        <v>27</v>
      </c>
    </row>
    <row r="2163" spans="1:3" x14ac:dyDescent="0.25">
      <c r="A2163" s="60">
        <v>2162</v>
      </c>
      <c r="B2163" s="61">
        <v>47079</v>
      </c>
      <c r="C2163" s="60" t="s">
        <v>28</v>
      </c>
    </row>
    <row r="2164" spans="1:3" x14ac:dyDescent="0.25">
      <c r="A2164" s="60">
        <v>2163</v>
      </c>
      <c r="B2164" s="61">
        <v>47080</v>
      </c>
      <c r="C2164" s="60" t="s">
        <v>29</v>
      </c>
    </row>
    <row r="2165" spans="1:3" x14ac:dyDescent="0.25">
      <c r="A2165" s="60">
        <v>2164</v>
      </c>
      <c r="B2165" s="61">
        <v>47081</v>
      </c>
      <c r="C2165" s="60" t="s">
        <v>25</v>
      </c>
    </row>
    <row r="2166" spans="1:3" x14ac:dyDescent="0.25">
      <c r="A2166" s="60">
        <v>2165</v>
      </c>
      <c r="B2166" s="61">
        <v>47084</v>
      </c>
      <c r="C2166" s="60" t="s">
        <v>26</v>
      </c>
    </row>
    <row r="2167" spans="1:3" x14ac:dyDescent="0.25">
      <c r="A2167" s="60">
        <v>2166</v>
      </c>
      <c r="B2167" s="61">
        <v>47085</v>
      </c>
      <c r="C2167" s="60" t="s">
        <v>27</v>
      </c>
    </row>
    <row r="2168" spans="1:3" x14ac:dyDescent="0.25">
      <c r="A2168" s="60">
        <v>2167</v>
      </c>
      <c r="B2168" s="61">
        <v>47086</v>
      </c>
      <c r="C2168" s="60" t="s">
        <v>28</v>
      </c>
    </row>
    <row r="2169" spans="1:3" x14ac:dyDescent="0.25">
      <c r="A2169" s="60">
        <v>2168</v>
      </c>
      <c r="B2169" s="61">
        <v>47087</v>
      </c>
      <c r="C2169" s="60" t="s">
        <v>29</v>
      </c>
    </row>
    <row r="2170" spans="1:3" x14ac:dyDescent="0.25">
      <c r="A2170" s="60">
        <v>2169</v>
      </c>
      <c r="B2170" s="61">
        <v>47088</v>
      </c>
      <c r="C2170" s="60" t="s">
        <v>25</v>
      </c>
    </row>
    <row r="2171" spans="1:3" x14ac:dyDescent="0.25">
      <c r="A2171" s="60">
        <v>2170</v>
      </c>
      <c r="B2171" s="61">
        <v>47091</v>
      </c>
      <c r="C2171" s="60" t="s">
        <v>26</v>
      </c>
    </row>
    <row r="2172" spans="1:3" x14ac:dyDescent="0.25">
      <c r="A2172" s="60">
        <v>2171</v>
      </c>
      <c r="B2172" s="61">
        <v>47092</v>
      </c>
      <c r="C2172" s="60" t="s">
        <v>27</v>
      </c>
    </row>
    <row r="2173" spans="1:3" x14ac:dyDescent="0.25">
      <c r="A2173" s="60">
        <v>2172</v>
      </c>
      <c r="B2173" s="61">
        <v>47093</v>
      </c>
      <c r="C2173" s="60" t="s">
        <v>28</v>
      </c>
    </row>
    <row r="2174" spans="1:3" x14ac:dyDescent="0.25">
      <c r="A2174" s="60">
        <v>2173</v>
      </c>
      <c r="B2174" s="61">
        <v>47094</v>
      </c>
      <c r="C2174" s="60" t="s">
        <v>29</v>
      </c>
    </row>
    <row r="2175" spans="1:3" x14ac:dyDescent="0.25">
      <c r="A2175" s="60">
        <v>2174</v>
      </c>
      <c r="B2175" s="61">
        <v>47095</v>
      </c>
      <c r="C2175" s="60" t="s">
        <v>25</v>
      </c>
    </row>
    <row r="2176" spans="1:3" x14ac:dyDescent="0.25">
      <c r="A2176" s="60">
        <v>2175</v>
      </c>
      <c r="B2176" s="61">
        <v>47098</v>
      </c>
      <c r="C2176" s="60" t="s">
        <v>26</v>
      </c>
    </row>
    <row r="2177" spans="1:3" x14ac:dyDescent="0.25">
      <c r="A2177" s="60">
        <v>2176</v>
      </c>
      <c r="B2177" s="61">
        <v>47099</v>
      </c>
      <c r="C2177" s="60" t="s">
        <v>27</v>
      </c>
    </row>
    <row r="2178" spans="1:3" x14ac:dyDescent="0.25">
      <c r="A2178" s="60">
        <v>2177</v>
      </c>
      <c r="B2178" s="61">
        <v>47100</v>
      </c>
      <c r="C2178" s="60" t="s">
        <v>28</v>
      </c>
    </row>
    <row r="2179" spans="1:3" x14ac:dyDescent="0.25">
      <c r="A2179" s="60">
        <v>2178</v>
      </c>
      <c r="B2179" s="61">
        <v>47101</v>
      </c>
      <c r="C2179" s="60" t="s">
        <v>29</v>
      </c>
    </row>
    <row r="2180" spans="1:3" x14ac:dyDescent="0.25">
      <c r="A2180" s="60">
        <v>2179</v>
      </c>
      <c r="B2180" s="61">
        <v>47102</v>
      </c>
      <c r="C2180" s="60" t="s">
        <v>25</v>
      </c>
    </row>
    <row r="2181" spans="1:3" x14ac:dyDescent="0.25">
      <c r="A2181" s="60">
        <v>2180</v>
      </c>
      <c r="B2181" s="61">
        <v>47105</v>
      </c>
      <c r="C2181" s="60" t="s">
        <v>26</v>
      </c>
    </row>
    <row r="2182" spans="1:3" x14ac:dyDescent="0.25">
      <c r="A2182" s="60">
        <v>2181</v>
      </c>
      <c r="B2182" s="61">
        <v>47106</v>
      </c>
      <c r="C2182" s="60" t="s">
        <v>27</v>
      </c>
    </row>
    <row r="2183" spans="1:3" x14ac:dyDescent="0.25">
      <c r="A2183" s="60">
        <v>2182</v>
      </c>
      <c r="B2183" s="61">
        <v>47107</v>
      </c>
      <c r="C2183" s="60" t="s">
        <v>28</v>
      </c>
    </row>
    <row r="2184" spans="1:3" x14ac:dyDescent="0.25">
      <c r="A2184" s="60">
        <v>2183</v>
      </c>
      <c r="B2184" s="61">
        <v>47108</v>
      </c>
      <c r="C2184" s="60" t="s">
        <v>29</v>
      </c>
    </row>
    <row r="2185" spans="1:3" x14ac:dyDescent="0.25">
      <c r="A2185" s="60">
        <v>2184</v>
      </c>
      <c r="B2185" s="61">
        <v>47109</v>
      </c>
      <c r="C2185" s="60" t="s">
        <v>25</v>
      </c>
    </row>
    <row r="2186" spans="1:3" x14ac:dyDescent="0.25">
      <c r="A2186" s="60">
        <v>2185</v>
      </c>
      <c r="B2186" s="61">
        <v>47112</v>
      </c>
      <c r="C2186" s="60" t="s">
        <v>26</v>
      </c>
    </row>
    <row r="2187" spans="1:3" x14ac:dyDescent="0.25">
      <c r="A2187" s="60">
        <v>2186</v>
      </c>
      <c r="B2187" s="61">
        <v>47113</v>
      </c>
      <c r="C2187" s="60" t="s">
        <v>27</v>
      </c>
    </row>
    <row r="2188" spans="1:3" x14ac:dyDescent="0.25">
      <c r="A2188" s="60">
        <v>2187</v>
      </c>
      <c r="B2188" s="61">
        <v>47114</v>
      </c>
      <c r="C2188" s="60" t="s">
        <v>28</v>
      </c>
    </row>
    <row r="2189" spans="1:3" x14ac:dyDescent="0.25">
      <c r="A2189" s="60">
        <v>2188</v>
      </c>
      <c r="B2189" s="61">
        <v>47115</v>
      </c>
      <c r="C2189" s="60" t="s">
        <v>29</v>
      </c>
    </row>
    <row r="2190" spans="1:3" x14ac:dyDescent="0.25">
      <c r="A2190" s="60">
        <v>2189</v>
      </c>
      <c r="B2190" s="61">
        <v>47116</v>
      </c>
      <c r="C2190" s="60" t="s">
        <v>25</v>
      </c>
    </row>
    <row r="2191" spans="1:3" x14ac:dyDescent="0.25">
      <c r="A2191" s="60">
        <v>2190</v>
      </c>
      <c r="B2191" s="61">
        <v>47119</v>
      </c>
      <c r="C2191" s="60" t="s">
        <v>26</v>
      </c>
    </row>
    <row r="2192" spans="1:3" x14ac:dyDescent="0.25">
      <c r="A2192" s="60">
        <v>2191</v>
      </c>
      <c r="B2192" s="61">
        <v>47120</v>
      </c>
      <c r="C2192" s="60" t="s">
        <v>27</v>
      </c>
    </row>
    <row r="2193" spans="1:3" x14ac:dyDescent="0.25">
      <c r="A2193" s="60">
        <v>2192</v>
      </c>
      <c r="B2193" s="61">
        <v>47121</v>
      </c>
      <c r="C2193" s="60" t="s">
        <v>28</v>
      </c>
    </row>
    <row r="2194" spans="1:3" x14ac:dyDescent="0.25">
      <c r="A2194" s="60">
        <v>2193</v>
      </c>
      <c r="B2194" s="61">
        <v>47122</v>
      </c>
      <c r="C2194" s="60" t="s">
        <v>29</v>
      </c>
    </row>
    <row r="2195" spans="1:3" x14ac:dyDescent="0.25">
      <c r="A2195" s="60">
        <v>2194</v>
      </c>
      <c r="B2195" s="61">
        <v>47123</v>
      </c>
      <c r="C2195" s="60" t="s">
        <v>25</v>
      </c>
    </row>
    <row r="2196" spans="1:3" x14ac:dyDescent="0.25">
      <c r="A2196" s="60">
        <v>2195</v>
      </c>
      <c r="B2196" s="61">
        <v>47126</v>
      </c>
      <c r="C2196" s="60" t="s">
        <v>26</v>
      </c>
    </row>
    <row r="2197" spans="1:3" x14ac:dyDescent="0.25">
      <c r="A2197" s="60">
        <v>2196</v>
      </c>
      <c r="B2197" s="61">
        <v>47127</v>
      </c>
      <c r="C2197" s="60" t="s">
        <v>27</v>
      </c>
    </row>
    <row r="2198" spans="1:3" x14ac:dyDescent="0.25">
      <c r="A2198" s="60">
        <v>2197</v>
      </c>
      <c r="B2198" s="61">
        <v>47128</v>
      </c>
      <c r="C2198" s="60" t="s">
        <v>28</v>
      </c>
    </row>
    <row r="2199" spans="1:3" x14ac:dyDescent="0.25">
      <c r="A2199" s="60">
        <v>2198</v>
      </c>
      <c r="B2199" s="61">
        <v>47129</v>
      </c>
      <c r="C2199" s="60" t="s">
        <v>29</v>
      </c>
    </row>
    <row r="2200" spans="1:3" x14ac:dyDescent="0.25">
      <c r="A2200" s="60">
        <v>2199</v>
      </c>
      <c r="B2200" s="61">
        <v>47130</v>
      </c>
      <c r="C2200" s="60" t="s">
        <v>25</v>
      </c>
    </row>
    <row r="2201" spans="1:3" x14ac:dyDescent="0.25">
      <c r="A2201" s="60">
        <v>2200</v>
      </c>
      <c r="B2201" s="61">
        <v>47133</v>
      </c>
      <c r="C2201" s="60" t="s">
        <v>26</v>
      </c>
    </row>
    <row r="2202" spans="1:3" x14ac:dyDescent="0.25">
      <c r="A2202" s="60">
        <v>2201</v>
      </c>
      <c r="B2202" s="61">
        <v>47134</v>
      </c>
      <c r="C2202" s="60" t="s">
        <v>27</v>
      </c>
    </row>
    <row r="2203" spans="1:3" x14ac:dyDescent="0.25">
      <c r="A2203" s="60">
        <v>2202</v>
      </c>
      <c r="B2203" s="61">
        <v>47135</v>
      </c>
      <c r="C2203" s="60" t="s">
        <v>28</v>
      </c>
    </row>
    <row r="2204" spans="1:3" x14ac:dyDescent="0.25">
      <c r="A2204" s="60">
        <v>2203</v>
      </c>
      <c r="B2204" s="61">
        <v>47136</v>
      </c>
      <c r="C2204" s="60" t="s">
        <v>29</v>
      </c>
    </row>
    <row r="2205" spans="1:3" x14ac:dyDescent="0.25">
      <c r="A2205" s="60">
        <v>2204</v>
      </c>
      <c r="B2205" s="61">
        <v>47137</v>
      </c>
      <c r="C2205" s="60" t="s">
        <v>25</v>
      </c>
    </row>
    <row r="2206" spans="1:3" x14ac:dyDescent="0.25">
      <c r="A2206" s="60">
        <v>2205</v>
      </c>
      <c r="B2206" s="61">
        <v>47140</v>
      </c>
      <c r="C2206" s="60" t="s">
        <v>26</v>
      </c>
    </row>
    <row r="2207" spans="1:3" x14ac:dyDescent="0.25">
      <c r="A2207" s="60">
        <v>2206</v>
      </c>
      <c r="B2207" s="61">
        <v>47141</v>
      </c>
      <c r="C2207" s="60" t="s">
        <v>27</v>
      </c>
    </row>
    <row r="2208" spans="1:3" x14ac:dyDescent="0.25">
      <c r="A2208" s="60">
        <v>2207</v>
      </c>
      <c r="B2208" s="61">
        <v>47142</v>
      </c>
      <c r="C2208" s="60" t="s">
        <v>28</v>
      </c>
    </row>
    <row r="2209" spans="1:3" x14ac:dyDescent="0.25">
      <c r="A2209" s="60">
        <v>2208</v>
      </c>
      <c r="B2209" s="61">
        <v>47143</v>
      </c>
      <c r="C2209" s="60" t="s">
        <v>29</v>
      </c>
    </row>
    <row r="2210" spans="1:3" x14ac:dyDescent="0.25">
      <c r="A2210" s="60">
        <v>2209</v>
      </c>
      <c r="B2210" s="61">
        <v>47144</v>
      </c>
      <c r="C2210" s="60" t="s">
        <v>25</v>
      </c>
    </row>
    <row r="2211" spans="1:3" x14ac:dyDescent="0.25">
      <c r="A2211" s="60">
        <v>2210</v>
      </c>
      <c r="B2211" s="61">
        <v>47147</v>
      </c>
      <c r="C2211" s="60" t="s">
        <v>26</v>
      </c>
    </row>
    <row r="2212" spans="1:3" x14ac:dyDescent="0.25">
      <c r="A2212" s="60">
        <v>2211</v>
      </c>
      <c r="B2212" s="61">
        <v>47148</v>
      </c>
      <c r="C2212" s="60" t="s">
        <v>27</v>
      </c>
    </row>
    <row r="2213" spans="1:3" x14ac:dyDescent="0.25">
      <c r="A2213" s="60">
        <v>2212</v>
      </c>
      <c r="B2213" s="61">
        <v>47149</v>
      </c>
      <c r="C2213" s="60" t="s">
        <v>28</v>
      </c>
    </row>
    <row r="2214" spans="1:3" x14ac:dyDescent="0.25">
      <c r="A2214" s="60">
        <v>2213</v>
      </c>
      <c r="B2214" s="61">
        <v>47150</v>
      </c>
      <c r="C2214" s="60" t="s">
        <v>29</v>
      </c>
    </row>
    <row r="2215" spans="1:3" x14ac:dyDescent="0.25">
      <c r="A2215" s="60">
        <v>2214</v>
      </c>
      <c r="B2215" s="61">
        <v>47151</v>
      </c>
      <c r="C2215" s="60" t="s">
        <v>25</v>
      </c>
    </row>
    <row r="2216" spans="1:3" x14ac:dyDescent="0.25">
      <c r="A2216" s="60">
        <v>2215</v>
      </c>
      <c r="B2216" s="61">
        <v>47154</v>
      </c>
      <c r="C2216" s="60" t="s">
        <v>26</v>
      </c>
    </row>
    <row r="2217" spans="1:3" x14ac:dyDescent="0.25">
      <c r="A2217" s="60">
        <v>2216</v>
      </c>
      <c r="B2217" s="61">
        <v>47155</v>
      </c>
      <c r="C2217" s="60" t="s">
        <v>27</v>
      </c>
    </row>
    <row r="2218" spans="1:3" x14ac:dyDescent="0.25">
      <c r="A2218" s="60">
        <v>2217</v>
      </c>
      <c r="B2218" s="61">
        <v>47156</v>
      </c>
      <c r="C2218" s="60" t="s">
        <v>28</v>
      </c>
    </row>
    <row r="2219" spans="1:3" x14ac:dyDescent="0.25">
      <c r="A2219" s="60">
        <v>2218</v>
      </c>
      <c r="B2219" s="61">
        <v>47157</v>
      </c>
      <c r="C2219" s="60" t="s">
        <v>29</v>
      </c>
    </row>
    <row r="2220" spans="1:3" x14ac:dyDescent="0.25">
      <c r="A2220" s="60">
        <v>2219</v>
      </c>
      <c r="B2220" s="61">
        <v>47158</v>
      </c>
      <c r="C2220" s="60" t="s">
        <v>25</v>
      </c>
    </row>
    <row r="2221" spans="1:3" x14ac:dyDescent="0.25">
      <c r="A2221" s="60">
        <v>2220</v>
      </c>
      <c r="B2221" s="61">
        <v>47161</v>
      </c>
      <c r="C2221" s="60" t="s">
        <v>26</v>
      </c>
    </row>
    <row r="2222" spans="1:3" x14ac:dyDescent="0.25">
      <c r="A2222" s="60">
        <v>2221</v>
      </c>
      <c r="B2222" s="61">
        <v>47162</v>
      </c>
      <c r="C2222" s="60" t="s">
        <v>27</v>
      </c>
    </row>
    <row r="2223" spans="1:3" x14ac:dyDescent="0.25">
      <c r="A2223" s="60">
        <v>2222</v>
      </c>
      <c r="B2223" s="61">
        <v>47163</v>
      </c>
      <c r="C2223" s="60" t="s">
        <v>28</v>
      </c>
    </row>
    <row r="2224" spans="1:3" x14ac:dyDescent="0.25">
      <c r="A2224" s="60">
        <v>2223</v>
      </c>
      <c r="B2224" s="61">
        <v>47164</v>
      </c>
      <c r="C2224" s="60" t="s">
        <v>29</v>
      </c>
    </row>
    <row r="2225" spans="1:3" x14ac:dyDescent="0.25">
      <c r="A2225" s="60">
        <v>2224</v>
      </c>
      <c r="B2225" s="61">
        <v>47165</v>
      </c>
      <c r="C2225" s="60" t="s">
        <v>25</v>
      </c>
    </row>
    <row r="2226" spans="1:3" x14ac:dyDescent="0.25">
      <c r="A2226" s="60">
        <v>2225</v>
      </c>
      <c r="B2226" s="61">
        <v>47168</v>
      </c>
      <c r="C2226" s="60" t="s">
        <v>26</v>
      </c>
    </row>
    <row r="2227" spans="1:3" x14ac:dyDescent="0.25">
      <c r="A2227" s="60">
        <v>2226</v>
      </c>
      <c r="B2227" s="61">
        <v>47169</v>
      </c>
      <c r="C2227" s="60" t="s">
        <v>27</v>
      </c>
    </row>
    <row r="2228" spans="1:3" x14ac:dyDescent="0.25">
      <c r="A2228" s="60">
        <v>2227</v>
      </c>
      <c r="B2228" s="61">
        <v>47170</v>
      </c>
      <c r="C2228" s="60" t="s">
        <v>28</v>
      </c>
    </row>
    <row r="2229" spans="1:3" x14ac:dyDescent="0.25">
      <c r="A2229" s="60">
        <v>2228</v>
      </c>
      <c r="B2229" s="61">
        <v>47171</v>
      </c>
      <c r="C2229" s="60" t="s">
        <v>29</v>
      </c>
    </row>
    <row r="2230" spans="1:3" x14ac:dyDescent="0.25">
      <c r="A2230" s="60">
        <v>2229</v>
      </c>
      <c r="B2230" s="61">
        <v>47172</v>
      </c>
      <c r="C2230" s="60" t="s">
        <v>25</v>
      </c>
    </row>
    <row r="2231" spans="1:3" x14ac:dyDescent="0.25">
      <c r="A2231" s="60">
        <v>2230</v>
      </c>
      <c r="B2231" s="61">
        <v>47175</v>
      </c>
      <c r="C2231" s="60" t="s">
        <v>26</v>
      </c>
    </row>
    <row r="2232" spans="1:3" x14ac:dyDescent="0.25">
      <c r="A2232" s="60">
        <v>2231</v>
      </c>
      <c r="B2232" s="61">
        <v>47176</v>
      </c>
      <c r="C2232" s="60" t="s">
        <v>27</v>
      </c>
    </row>
    <row r="2233" spans="1:3" x14ac:dyDescent="0.25">
      <c r="A2233" s="60">
        <v>2232</v>
      </c>
      <c r="B2233" s="61">
        <v>47177</v>
      </c>
      <c r="C2233" s="60" t="s">
        <v>28</v>
      </c>
    </row>
    <row r="2234" spans="1:3" x14ac:dyDescent="0.25">
      <c r="A2234" s="60">
        <v>2233</v>
      </c>
      <c r="B2234" s="61">
        <v>47178</v>
      </c>
      <c r="C2234" s="60" t="s">
        <v>29</v>
      </c>
    </row>
    <row r="2235" spans="1:3" x14ac:dyDescent="0.25">
      <c r="A2235" s="60">
        <v>2234</v>
      </c>
      <c r="B2235" s="61">
        <v>47179</v>
      </c>
      <c r="C2235" s="60" t="s">
        <v>25</v>
      </c>
    </row>
    <row r="2236" spans="1:3" x14ac:dyDescent="0.25">
      <c r="A2236" s="60">
        <v>2235</v>
      </c>
      <c r="B2236" s="61">
        <v>47182</v>
      </c>
      <c r="C2236" s="60" t="s">
        <v>26</v>
      </c>
    </row>
    <row r="2237" spans="1:3" x14ac:dyDescent="0.25">
      <c r="A2237" s="60">
        <v>2236</v>
      </c>
      <c r="B2237" s="61">
        <v>47183</v>
      </c>
      <c r="C2237" s="60" t="s">
        <v>27</v>
      </c>
    </row>
    <row r="2238" spans="1:3" x14ac:dyDescent="0.25">
      <c r="A2238" s="60">
        <v>2237</v>
      </c>
      <c r="B2238" s="61">
        <v>47184</v>
      </c>
      <c r="C2238" s="60" t="s">
        <v>28</v>
      </c>
    </row>
    <row r="2239" spans="1:3" x14ac:dyDescent="0.25">
      <c r="A2239" s="60">
        <v>2238</v>
      </c>
      <c r="B2239" s="61">
        <v>47185</v>
      </c>
      <c r="C2239" s="60" t="s">
        <v>29</v>
      </c>
    </row>
    <row r="2240" spans="1:3" x14ac:dyDescent="0.25">
      <c r="A2240" s="60">
        <v>2239</v>
      </c>
      <c r="B2240" s="61">
        <v>47186</v>
      </c>
      <c r="C2240" s="60" t="s">
        <v>25</v>
      </c>
    </row>
    <row r="2241" spans="1:3" x14ac:dyDescent="0.25">
      <c r="A2241" s="60">
        <v>2240</v>
      </c>
      <c r="B2241" s="61">
        <v>47189</v>
      </c>
      <c r="C2241" s="60" t="s">
        <v>26</v>
      </c>
    </row>
    <row r="2242" spans="1:3" x14ac:dyDescent="0.25">
      <c r="A2242" s="60">
        <v>2241</v>
      </c>
      <c r="B2242" s="61">
        <v>47190</v>
      </c>
      <c r="C2242" s="60" t="s">
        <v>27</v>
      </c>
    </row>
    <row r="2243" spans="1:3" x14ac:dyDescent="0.25">
      <c r="A2243" s="60">
        <v>2242</v>
      </c>
      <c r="B2243" s="61">
        <v>47191</v>
      </c>
      <c r="C2243" s="60" t="s">
        <v>28</v>
      </c>
    </row>
    <row r="2244" spans="1:3" x14ac:dyDescent="0.25">
      <c r="A2244" s="60">
        <v>2243</v>
      </c>
      <c r="B2244" s="61">
        <v>47192</v>
      </c>
      <c r="C2244" s="60" t="s">
        <v>29</v>
      </c>
    </row>
    <row r="2245" spans="1:3" x14ac:dyDescent="0.25">
      <c r="A2245" s="60">
        <v>2244</v>
      </c>
      <c r="B2245" s="61">
        <v>47193</v>
      </c>
      <c r="C2245" s="60" t="s">
        <v>25</v>
      </c>
    </row>
    <row r="2246" spans="1:3" x14ac:dyDescent="0.25">
      <c r="A2246" s="60">
        <v>2245</v>
      </c>
      <c r="B2246" s="61">
        <v>47196</v>
      </c>
      <c r="C2246" s="60" t="s">
        <v>26</v>
      </c>
    </row>
    <row r="2247" spans="1:3" x14ac:dyDescent="0.25">
      <c r="A2247" s="60">
        <v>2246</v>
      </c>
      <c r="B2247" s="61">
        <v>47197</v>
      </c>
      <c r="C2247" s="60" t="s">
        <v>27</v>
      </c>
    </row>
    <row r="2248" spans="1:3" x14ac:dyDescent="0.25">
      <c r="A2248" s="60">
        <v>2247</v>
      </c>
      <c r="B2248" s="61">
        <v>47198</v>
      </c>
      <c r="C2248" s="60" t="s">
        <v>28</v>
      </c>
    </row>
    <row r="2249" spans="1:3" x14ac:dyDescent="0.25">
      <c r="A2249" s="60">
        <v>2248</v>
      </c>
      <c r="B2249" s="61">
        <v>47199</v>
      </c>
      <c r="C2249" s="60" t="s">
        <v>29</v>
      </c>
    </row>
    <row r="2250" spans="1:3" x14ac:dyDescent="0.25">
      <c r="A2250" s="60">
        <v>2249</v>
      </c>
      <c r="B2250" s="61">
        <v>47200</v>
      </c>
      <c r="C2250" s="60" t="s">
        <v>25</v>
      </c>
    </row>
    <row r="2251" spans="1:3" x14ac:dyDescent="0.25">
      <c r="A2251" s="60">
        <v>2250</v>
      </c>
      <c r="B2251" s="61">
        <v>47203</v>
      </c>
      <c r="C2251" s="60" t="s">
        <v>26</v>
      </c>
    </row>
    <row r="2252" spans="1:3" x14ac:dyDescent="0.25">
      <c r="A2252" s="60">
        <v>2251</v>
      </c>
      <c r="B2252" s="61">
        <v>47204</v>
      </c>
      <c r="C2252" s="60" t="s">
        <v>27</v>
      </c>
    </row>
    <row r="2253" spans="1:3" x14ac:dyDescent="0.25">
      <c r="A2253" s="60">
        <v>2252</v>
      </c>
      <c r="B2253" s="61">
        <v>47205</v>
      </c>
      <c r="C2253" s="60" t="s">
        <v>28</v>
      </c>
    </row>
    <row r="2254" spans="1:3" x14ac:dyDescent="0.25">
      <c r="A2254" s="60">
        <v>2253</v>
      </c>
      <c r="B2254" s="61">
        <v>47206</v>
      </c>
      <c r="C2254" s="60" t="s">
        <v>29</v>
      </c>
    </row>
    <row r="2255" spans="1:3" x14ac:dyDescent="0.25">
      <c r="A2255" s="60">
        <v>2254</v>
      </c>
      <c r="B2255" s="61">
        <v>47207</v>
      </c>
      <c r="C2255" s="60" t="s">
        <v>25</v>
      </c>
    </row>
    <row r="2256" spans="1:3" x14ac:dyDescent="0.25">
      <c r="A2256" s="60">
        <v>2255</v>
      </c>
      <c r="B2256" s="61">
        <v>47210</v>
      </c>
      <c r="C2256" s="60" t="s">
        <v>26</v>
      </c>
    </row>
    <row r="2257" spans="1:3" x14ac:dyDescent="0.25">
      <c r="A2257" s="60">
        <v>2256</v>
      </c>
      <c r="B2257" s="61">
        <v>47211</v>
      </c>
      <c r="C2257" s="60" t="s">
        <v>27</v>
      </c>
    </row>
    <row r="2258" spans="1:3" x14ac:dyDescent="0.25">
      <c r="A2258" s="60">
        <v>2257</v>
      </c>
      <c r="B2258" s="61">
        <v>47212</v>
      </c>
      <c r="C2258" s="60" t="s">
        <v>28</v>
      </c>
    </row>
    <row r="2259" spans="1:3" x14ac:dyDescent="0.25">
      <c r="A2259" s="60">
        <v>2258</v>
      </c>
      <c r="B2259" s="61">
        <v>47213</v>
      </c>
      <c r="C2259" s="60" t="s">
        <v>29</v>
      </c>
    </row>
    <row r="2260" spans="1:3" x14ac:dyDescent="0.25">
      <c r="A2260" s="60">
        <v>2259</v>
      </c>
      <c r="B2260" s="61">
        <v>47214</v>
      </c>
      <c r="C2260" s="60" t="s">
        <v>25</v>
      </c>
    </row>
    <row r="2261" spans="1:3" x14ac:dyDescent="0.25">
      <c r="A2261" s="60">
        <v>2260</v>
      </c>
      <c r="B2261" s="61">
        <v>47217</v>
      </c>
      <c r="C2261" s="60" t="s">
        <v>26</v>
      </c>
    </row>
    <row r="2262" spans="1:3" x14ac:dyDescent="0.25">
      <c r="A2262" s="60">
        <v>2261</v>
      </c>
      <c r="B2262" s="61">
        <v>47218</v>
      </c>
      <c r="C2262" s="60" t="s">
        <v>27</v>
      </c>
    </row>
    <row r="2263" spans="1:3" x14ac:dyDescent="0.25">
      <c r="A2263" s="60">
        <v>2262</v>
      </c>
      <c r="B2263" s="61">
        <v>47219</v>
      </c>
      <c r="C2263" s="60" t="s">
        <v>28</v>
      </c>
    </row>
    <row r="2264" spans="1:3" x14ac:dyDescent="0.25">
      <c r="A2264" s="60">
        <v>2263</v>
      </c>
      <c r="B2264" s="61">
        <v>47220</v>
      </c>
      <c r="C2264" s="60" t="s">
        <v>29</v>
      </c>
    </row>
    <row r="2265" spans="1:3" x14ac:dyDescent="0.25">
      <c r="A2265" s="60">
        <v>2264</v>
      </c>
      <c r="B2265" s="61">
        <v>47221</v>
      </c>
      <c r="C2265" s="60" t="s">
        <v>25</v>
      </c>
    </row>
    <row r="2266" spans="1:3" x14ac:dyDescent="0.25">
      <c r="A2266" s="60">
        <v>2265</v>
      </c>
      <c r="B2266" s="61">
        <v>47224</v>
      </c>
      <c r="C2266" s="60" t="s">
        <v>26</v>
      </c>
    </row>
    <row r="2267" spans="1:3" x14ac:dyDescent="0.25">
      <c r="A2267" s="60">
        <v>2266</v>
      </c>
      <c r="B2267" s="61">
        <v>47225</v>
      </c>
      <c r="C2267" s="60" t="s">
        <v>27</v>
      </c>
    </row>
    <row r="2268" spans="1:3" x14ac:dyDescent="0.25">
      <c r="A2268" s="60">
        <v>2267</v>
      </c>
      <c r="B2268" s="61">
        <v>47226</v>
      </c>
      <c r="C2268" s="60" t="s">
        <v>28</v>
      </c>
    </row>
    <row r="2269" spans="1:3" x14ac:dyDescent="0.25">
      <c r="A2269" s="60">
        <v>2268</v>
      </c>
      <c r="B2269" s="61">
        <v>47227</v>
      </c>
      <c r="C2269" s="60" t="s">
        <v>29</v>
      </c>
    </row>
    <row r="2270" spans="1:3" x14ac:dyDescent="0.25">
      <c r="A2270" s="60">
        <v>2269</v>
      </c>
      <c r="B2270" s="61">
        <v>47228</v>
      </c>
      <c r="C2270" s="60" t="s">
        <v>25</v>
      </c>
    </row>
    <row r="2271" spans="1:3" x14ac:dyDescent="0.25">
      <c r="A2271" s="60">
        <v>2270</v>
      </c>
      <c r="B2271" s="61">
        <v>47231</v>
      </c>
      <c r="C2271" s="60" t="s">
        <v>26</v>
      </c>
    </row>
    <row r="2272" spans="1:3" x14ac:dyDescent="0.25">
      <c r="A2272" s="60">
        <v>2271</v>
      </c>
      <c r="B2272" s="61">
        <v>47232</v>
      </c>
      <c r="C2272" s="60" t="s">
        <v>27</v>
      </c>
    </row>
    <row r="2273" spans="1:3" x14ac:dyDescent="0.25">
      <c r="A2273" s="60">
        <v>2272</v>
      </c>
      <c r="B2273" s="61">
        <v>47233</v>
      </c>
      <c r="C2273" s="60" t="s">
        <v>28</v>
      </c>
    </row>
    <row r="2274" spans="1:3" x14ac:dyDescent="0.25">
      <c r="A2274" s="60">
        <v>2273</v>
      </c>
      <c r="B2274" s="61">
        <v>47234</v>
      </c>
      <c r="C2274" s="60" t="s">
        <v>29</v>
      </c>
    </row>
    <row r="2275" spans="1:3" x14ac:dyDescent="0.25">
      <c r="A2275" s="60">
        <v>2274</v>
      </c>
      <c r="B2275" s="61">
        <v>47235</v>
      </c>
      <c r="C2275" s="60" t="s">
        <v>25</v>
      </c>
    </row>
    <row r="2276" spans="1:3" x14ac:dyDescent="0.25">
      <c r="A2276" s="60">
        <v>2275</v>
      </c>
      <c r="B2276" s="61">
        <v>47238</v>
      </c>
      <c r="C2276" s="60" t="s">
        <v>26</v>
      </c>
    </row>
    <row r="2277" spans="1:3" x14ac:dyDescent="0.25">
      <c r="A2277" s="60">
        <v>2276</v>
      </c>
      <c r="B2277" s="61">
        <v>47239</v>
      </c>
      <c r="C2277" s="60" t="s">
        <v>27</v>
      </c>
    </row>
    <row r="2278" spans="1:3" x14ac:dyDescent="0.25">
      <c r="A2278" s="60">
        <v>2277</v>
      </c>
      <c r="B2278" s="61">
        <v>47240</v>
      </c>
      <c r="C2278" s="60" t="s">
        <v>28</v>
      </c>
    </row>
    <row r="2279" spans="1:3" x14ac:dyDescent="0.25">
      <c r="A2279" s="60">
        <v>2278</v>
      </c>
      <c r="B2279" s="61">
        <v>47241</v>
      </c>
      <c r="C2279" s="60" t="s">
        <v>29</v>
      </c>
    </row>
    <row r="2280" spans="1:3" x14ac:dyDescent="0.25">
      <c r="A2280" s="60">
        <v>2279</v>
      </c>
      <c r="B2280" s="61">
        <v>47242</v>
      </c>
      <c r="C2280" s="60" t="s">
        <v>25</v>
      </c>
    </row>
    <row r="2281" spans="1:3" x14ac:dyDescent="0.25">
      <c r="A2281" s="60">
        <v>2280</v>
      </c>
      <c r="B2281" s="61">
        <v>47245</v>
      </c>
      <c r="C2281" s="60" t="s">
        <v>26</v>
      </c>
    </row>
    <row r="2282" spans="1:3" x14ac:dyDescent="0.25">
      <c r="A2282" s="60">
        <v>2281</v>
      </c>
      <c r="B2282" s="61">
        <v>47246</v>
      </c>
      <c r="C2282" s="60" t="s">
        <v>27</v>
      </c>
    </row>
    <row r="2283" spans="1:3" x14ac:dyDescent="0.25">
      <c r="A2283" s="60">
        <v>2282</v>
      </c>
      <c r="B2283" s="61">
        <v>47247</v>
      </c>
      <c r="C2283" s="60" t="s">
        <v>28</v>
      </c>
    </row>
    <row r="2284" spans="1:3" x14ac:dyDescent="0.25">
      <c r="A2284" s="60">
        <v>2283</v>
      </c>
      <c r="B2284" s="61">
        <v>47248</v>
      </c>
      <c r="C2284" s="60" t="s">
        <v>29</v>
      </c>
    </row>
    <row r="2285" spans="1:3" x14ac:dyDescent="0.25">
      <c r="A2285" s="60">
        <v>2284</v>
      </c>
      <c r="B2285" s="61">
        <v>47249</v>
      </c>
      <c r="C2285" s="60" t="s">
        <v>25</v>
      </c>
    </row>
    <row r="2286" spans="1:3" x14ac:dyDescent="0.25">
      <c r="A2286" s="60">
        <v>2285</v>
      </c>
      <c r="B2286" s="61">
        <v>47252</v>
      </c>
      <c r="C2286" s="60" t="s">
        <v>26</v>
      </c>
    </row>
    <row r="2287" spans="1:3" x14ac:dyDescent="0.25">
      <c r="A2287" s="60">
        <v>2286</v>
      </c>
      <c r="B2287" s="61">
        <v>47253</v>
      </c>
      <c r="C2287" s="60" t="s">
        <v>27</v>
      </c>
    </row>
    <row r="2288" spans="1:3" x14ac:dyDescent="0.25">
      <c r="A2288" s="60">
        <v>2287</v>
      </c>
      <c r="B2288" s="61">
        <v>47254</v>
      </c>
      <c r="C2288" s="60" t="s">
        <v>28</v>
      </c>
    </row>
    <row r="2289" spans="1:3" x14ac:dyDescent="0.25">
      <c r="A2289" s="60">
        <v>2288</v>
      </c>
      <c r="B2289" s="61">
        <v>47255</v>
      </c>
      <c r="C2289" s="60" t="s">
        <v>29</v>
      </c>
    </row>
    <row r="2290" spans="1:3" x14ac:dyDescent="0.25">
      <c r="A2290" s="60">
        <v>2289</v>
      </c>
      <c r="B2290" s="61">
        <v>47256</v>
      </c>
      <c r="C2290" s="60" t="s">
        <v>25</v>
      </c>
    </row>
    <row r="2291" spans="1:3" x14ac:dyDescent="0.25">
      <c r="A2291" s="60">
        <v>2290</v>
      </c>
      <c r="B2291" s="61">
        <v>47259</v>
      </c>
      <c r="C2291" s="60" t="s">
        <v>26</v>
      </c>
    </row>
    <row r="2292" spans="1:3" x14ac:dyDescent="0.25">
      <c r="A2292" s="60">
        <v>2291</v>
      </c>
      <c r="B2292" s="61">
        <v>47260</v>
      </c>
      <c r="C2292" s="60" t="s">
        <v>27</v>
      </c>
    </row>
    <row r="2293" spans="1:3" x14ac:dyDescent="0.25">
      <c r="A2293" s="60">
        <v>2292</v>
      </c>
      <c r="B2293" s="61">
        <v>47261</v>
      </c>
      <c r="C2293" s="60" t="s">
        <v>28</v>
      </c>
    </row>
    <row r="2294" spans="1:3" x14ac:dyDescent="0.25">
      <c r="A2294" s="60">
        <v>2293</v>
      </c>
      <c r="B2294" s="61">
        <v>47262</v>
      </c>
      <c r="C2294" s="60" t="s">
        <v>29</v>
      </c>
    </row>
    <row r="2295" spans="1:3" x14ac:dyDescent="0.25">
      <c r="A2295" s="60">
        <v>2294</v>
      </c>
      <c r="B2295" s="61">
        <v>47263</v>
      </c>
      <c r="C2295" s="60" t="s">
        <v>25</v>
      </c>
    </row>
    <row r="2296" spans="1:3" x14ac:dyDescent="0.25">
      <c r="A2296" s="60">
        <v>2295</v>
      </c>
      <c r="B2296" s="61">
        <v>47266</v>
      </c>
      <c r="C2296" s="60" t="s">
        <v>26</v>
      </c>
    </row>
    <row r="2297" spans="1:3" x14ac:dyDescent="0.25">
      <c r="A2297" s="60">
        <v>2296</v>
      </c>
      <c r="B2297" s="61">
        <v>47267</v>
      </c>
      <c r="C2297" s="60" t="s">
        <v>27</v>
      </c>
    </row>
    <row r="2298" spans="1:3" x14ac:dyDescent="0.25">
      <c r="A2298" s="60">
        <v>2297</v>
      </c>
      <c r="B2298" s="61">
        <v>47268</v>
      </c>
      <c r="C2298" s="60" t="s">
        <v>28</v>
      </c>
    </row>
    <row r="2299" spans="1:3" x14ac:dyDescent="0.25">
      <c r="A2299" s="60">
        <v>2298</v>
      </c>
      <c r="B2299" s="61">
        <v>47269</v>
      </c>
      <c r="C2299" s="60" t="s">
        <v>29</v>
      </c>
    </row>
    <row r="2300" spans="1:3" x14ac:dyDescent="0.25">
      <c r="A2300" s="60">
        <v>2299</v>
      </c>
      <c r="B2300" s="61">
        <v>47270</v>
      </c>
      <c r="C2300" s="60" t="s">
        <v>25</v>
      </c>
    </row>
    <row r="2301" spans="1:3" x14ac:dyDescent="0.25">
      <c r="A2301" s="60">
        <v>2300</v>
      </c>
      <c r="B2301" s="61">
        <v>47273</v>
      </c>
      <c r="C2301" s="60" t="s">
        <v>26</v>
      </c>
    </row>
    <row r="2302" spans="1:3" x14ac:dyDescent="0.25">
      <c r="A2302" s="60">
        <v>2301</v>
      </c>
      <c r="B2302" s="61">
        <v>47274</v>
      </c>
      <c r="C2302" s="60" t="s">
        <v>27</v>
      </c>
    </row>
    <row r="2303" spans="1:3" x14ac:dyDescent="0.25">
      <c r="A2303" s="60">
        <v>2302</v>
      </c>
      <c r="B2303" s="61">
        <v>47275</v>
      </c>
      <c r="C2303" s="60" t="s">
        <v>28</v>
      </c>
    </row>
    <row r="2304" spans="1:3" x14ac:dyDescent="0.25">
      <c r="A2304" s="60">
        <v>2303</v>
      </c>
      <c r="B2304" s="61">
        <v>47276</v>
      </c>
      <c r="C2304" s="60" t="s">
        <v>29</v>
      </c>
    </row>
    <row r="2305" spans="1:3" x14ac:dyDescent="0.25">
      <c r="A2305" s="60">
        <v>2304</v>
      </c>
      <c r="B2305" s="61">
        <v>47277</v>
      </c>
      <c r="C2305" s="60" t="s">
        <v>25</v>
      </c>
    </row>
    <row r="2306" spans="1:3" x14ac:dyDescent="0.25">
      <c r="A2306" s="60">
        <v>2305</v>
      </c>
      <c r="B2306" s="61">
        <v>47280</v>
      </c>
      <c r="C2306" s="60" t="s">
        <v>26</v>
      </c>
    </row>
    <row r="2307" spans="1:3" x14ac:dyDescent="0.25">
      <c r="A2307" s="60">
        <v>2306</v>
      </c>
      <c r="B2307" s="61">
        <v>47281</v>
      </c>
      <c r="C2307" s="60" t="s">
        <v>27</v>
      </c>
    </row>
    <row r="2308" spans="1:3" x14ac:dyDescent="0.25">
      <c r="A2308" s="60">
        <v>2307</v>
      </c>
      <c r="B2308" s="61">
        <v>47282</v>
      </c>
      <c r="C2308" s="60" t="s">
        <v>28</v>
      </c>
    </row>
    <row r="2309" spans="1:3" x14ac:dyDescent="0.25">
      <c r="A2309" s="60">
        <v>2308</v>
      </c>
      <c r="B2309" s="61">
        <v>47283</v>
      </c>
      <c r="C2309" s="60" t="s">
        <v>29</v>
      </c>
    </row>
    <row r="2310" spans="1:3" x14ac:dyDescent="0.25">
      <c r="A2310" s="60">
        <v>2309</v>
      </c>
      <c r="B2310" s="61">
        <v>47284</v>
      </c>
      <c r="C2310" s="60" t="s">
        <v>25</v>
      </c>
    </row>
    <row r="2311" spans="1:3" x14ac:dyDescent="0.25">
      <c r="A2311" s="60">
        <v>2310</v>
      </c>
      <c r="B2311" s="61">
        <v>47287</v>
      </c>
      <c r="C2311" s="60" t="s">
        <v>26</v>
      </c>
    </row>
    <row r="2312" spans="1:3" x14ac:dyDescent="0.25">
      <c r="A2312" s="60">
        <v>2311</v>
      </c>
      <c r="B2312" s="61">
        <v>47288</v>
      </c>
      <c r="C2312" s="60" t="s">
        <v>27</v>
      </c>
    </row>
    <row r="2313" spans="1:3" x14ac:dyDescent="0.25">
      <c r="A2313" s="60">
        <v>2312</v>
      </c>
      <c r="B2313" s="61">
        <v>47289</v>
      </c>
      <c r="C2313" s="60" t="s">
        <v>28</v>
      </c>
    </row>
    <row r="2314" spans="1:3" x14ac:dyDescent="0.25">
      <c r="A2314" s="60">
        <v>2313</v>
      </c>
      <c r="B2314" s="61">
        <v>47290</v>
      </c>
      <c r="C2314" s="60" t="s">
        <v>29</v>
      </c>
    </row>
    <row r="2315" spans="1:3" x14ac:dyDescent="0.25">
      <c r="A2315" s="60">
        <v>2314</v>
      </c>
      <c r="B2315" s="61">
        <v>47291</v>
      </c>
      <c r="C2315" s="60" t="s">
        <v>25</v>
      </c>
    </row>
    <row r="2316" spans="1:3" x14ac:dyDescent="0.25">
      <c r="A2316" s="60">
        <v>2315</v>
      </c>
      <c r="B2316" s="61">
        <v>47294</v>
      </c>
      <c r="C2316" s="60" t="s">
        <v>26</v>
      </c>
    </row>
    <row r="2317" spans="1:3" x14ac:dyDescent="0.25">
      <c r="A2317" s="60">
        <v>2316</v>
      </c>
      <c r="B2317" s="61">
        <v>47295</v>
      </c>
      <c r="C2317" s="60" t="s">
        <v>27</v>
      </c>
    </row>
    <row r="2318" spans="1:3" x14ac:dyDescent="0.25">
      <c r="A2318" s="60">
        <v>2317</v>
      </c>
      <c r="B2318" s="61">
        <v>47296</v>
      </c>
      <c r="C2318" s="60" t="s">
        <v>28</v>
      </c>
    </row>
    <row r="2319" spans="1:3" x14ac:dyDescent="0.25">
      <c r="A2319" s="60">
        <v>2318</v>
      </c>
      <c r="B2319" s="61">
        <v>47297</v>
      </c>
      <c r="C2319" s="60" t="s">
        <v>29</v>
      </c>
    </row>
    <row r="2320" spans="1:3" x14ac:dyDescent="0.25">
      <c r="A2320" s="60">
        <v>2319</v>
      </c>
      <c r="B2320" s="61">
        <v>47298</v>
      </c>
      <c r="C2320" s="60" t="s">
        <v>25</v>
      </c>
    </row>
    <row r="2321" spans="1:3" x14ac:dyDescent="0.25">
      <c r="A2321" s="60">
        <v>2320</v>
      </c>
      <c r="B2321" s="61">
        <v>47301</v>
      </c>
      <c r="C2321" s="60" t="s">
        <v>26</v>
      </c>
    </row>
    <row r="2322" spans="1:3" x14ac:dyDescent="0.25">
      <c r="A2322" s="60">
        <v>2321</v>
      </c>
      <c r="B2322" s="61">
        <v>47302</v>
      </c>
      <c r="C2322" s="60" t="s">
        <v>27</v>
      </c>
    </row>
    <row r="2323" spans="1:3" x14ac:dyDescent="0.25">
      <c r="A2323" s="60">
        <v>2322</v>
      </c>
      <c r="B2323" s="61">
        <v>47303</v>
      </c>
      <c r="C2323" s="60" t="s">
        <v>28</v>
      </c>
    </row>
    <row r="2324" spans="1:3" x14ac:dyDescent="0.25">
      <c r="A2324" s="60">
        <v>2323</v>
      </c>
      <c r="B2324" s="61">
        <v>47304</v>
      </c>
      <c r="C2324" s="60" t="s">
        <v>29</v>
      </c>
    </row>
    <row r="2325" spans="1:3" x14ac:dyDescent="0.25">
      <c r="A2325" s="60">
        <v>2324</v>
      </c>
      <c r="B2325" s="61">
        <v>47305</v>
      </c>
      <c r="C2325" s="60" t="s">
        <v>25</v>
      </c>
    </row>
    <row r="2326" spans="1:3" x14ac:dyDescent="0.25">
      <c r="A2326" s="60">
        <v>2325</v>
      </c>
      <c r="B2326" s="61">
        <v>47308</v>
      </c>
      <c r="C2326" s="60" t="s">
        <v>26</v>
      </c>
    </row>
    <row r="2327" spans="1:3" x14ac:dyDescent="0.25">
      <c r="A2327" s="60">
        <v>2326</v>
      </c>
      <c r="B2327" s="61">
        <v>47309</v>
      </c>
      <c r="C2327" s="60" t="s">
        <v>27</v>
      </c>
    </row>
    <row r="2328" spans="1:3" x14ac:dyDescent="0.25">
      <c r="A2328" s="60">
        <v>2327</v>
      </c>
      <c r="B2328" s="61">
        <v>47310</v>
      </c>
      <c r="C2328" s="60" t="s">
        <v>28</v>
      </c>
    </row>
    <row r="2329" spans="1:3" x14ac:dyDescent="0.25">
      <c r="A2329" s="60">
        <v>2328</v>
      </c>
      <c r="B2329" s="61">
        <v>47311</v>
      </c>
      <c r="C2329" s="60" t="s">
        <v>29</v>
      </c>
    </row>
    <row r="2330" spans="1:3" x14ac:dyDescent="0.25">
      <c r="A2330" s="60">
        <v>2329</v>
      </c>
      <c r="B2330" s="61">
        <v>47312</v>
      </c>
      <c r="C2330" s="60" t="s">
        <v>25</v>
      </c>
    </row>
    <row r="2331" spans="1:3" x14ac:dyDescent="0.25">
      <c r="A2331" s="60">
        <v>2330</v>
      </c>
      <c r="B2331" s="61">
        <v>47315</v>
      </c>
      <c r="C2331" s="60" t="s">
        <v>26</v>
      </c>
    </row>
    <row r="2332" spans="1:3" x14ac:dyDescent="0.25">
      <c r="A2332" s="60">
        <v>2331</v>
      </c>
      <c r="B2332" s="61">
        <v>47316</v>
      </c>
      <c r="C2332" s="60" t="s">
        <v>27</v>
      </c>
    </row>
    <row r="2333" spans="1:3" x14ac:dyDescent="0.25">
      <c r="A2333" s="60">
        <v>2332</v>
      </c>
      <c r="B2333" s="61">
        <v>47317</v>
      </c>
      <c r="C2333" s="60" t="s">
        <v>28</v>
      </c>
    </row>
    <row r="2334" spans="1:3" x14ac:dyDescent="0.25">
      <c r="A2334" s="60">
        <v>2333</v>
      </c>
      <c r="B2334" s="61">
        <v>47318</v>
      </c>
      <c r="C2334" s="60" t="s">
        <v>29</v>
      </c>
    </row>
    <row r="2335" spans="1:3" x14ac:dyDescent="0.25">
      <c r="A2335" s="60">
        <v>2334</v>
      </c>
      <c r="B2335" s="61">
        <v>47319</v>
      </c>
      <c r="C2335" s="60" t="s">
        <v>25</v>
      </c>
    </row>
    <row r="2336" spans="1:3" x14ac:dyDescent="0.25">
      <c r="A2336" s="60">
        <v>2335</v>
      </c>
      <c r="B2336" s="61">
        <v>47322</v>
      </c>
      <c r="C2336" s="60" t="s">
        <v>26</v>
      </c>
    </row>
    <row r="2337" spans="1:3" x14ac:dyDescent="0.25">
      <c r="A2337" s="60">
        <v>2336</v>
      </c>
      <c r="B2337" s="61">
        <v>47323</v>
      </c>
      <c r="C2337" s="60" t="s">
        <v>27</v>
      </c>
    </row>
    <row r="2338" spans="1:3" x14ac:dyDescent="0.25">
      <c r="A2338" s="60">
        <v>2337</v>
      </c>
      <c r="B2338" s="61">
        <v>47324</v>
      </c>
      <c r="C2338" s="60" t="s">
        <v>28</v>
      </c>
    </row>
    <row r="2339" spans="1:3" x14ac:dyDescent="0.25">
      <c r="A2339" s="60">
        <v>2338</v>
      </c>
      <c r="B2339" s="61">
        <v>47325</v>
      </c>
      <c r="C2339" s="60" t="s">
        <v>29</v>
      </c>
    </row>
    <row r="2340" spans="1:3" x14ac:dyDescent="0.25">
      <c r="A2340" s="60">
        <v>2339</v>
      </c>
      <c r="B2340" s="61">
        <v>47326</v>
      </c>
      <c r="C2340" s="60" t="s">
        <v>25</v>
      </c>
    </row>
    <row r="2341" spans="1:3" x14ac:dyDescent="0.25">
      <c r="A2341" s="60">
        <v>2340</v>
      </c>
      <c r="B2341" s="61">
        <v>47329</v>
      </c>
      <c r="C2341" s="60" t="s">
        <v>26</v>
      </c>
    </row>
    <row r="2342" spans="1:3" x14ac:dyDescent="0.25">
      <c r="A2342" s="60">
        <v>2341</v>
      </c>
      <c r="B2342" s="61">
        <v>47330</v>
      </c>
      <c r="C2342" s="60" t="s">
        <v>27</v>
      </c>
    </row>
    <row r="2343" spans="1:3" x14ac:dyDescent="0.25">
      <c r="A2343" s="60">
        <v>2342</v>
      </c>
      <c r="B2343" s="61">
        <v>47331</v>
      </c>
      <c r="C2343" s="60" t="s">
        <v>28</v>
      </c>
    </row>
    <row r="2344" spans="1:3" x14ac:dyDescent="0.25">
      <c r="A2344" s="60">
        <v>2343</v>
      </c>
      <c r="B2344" s="61">
        <v>47332</v>
      </c>
      <c r="C2344" s="60" t="s">
        <v>29</v>
      </c>
    </row>
    <row r="2345" spans="1:3" x14ac:dyDescent="0.25">
      <c r="A2345" s="60">
        <v>2344</v>
      </c>
      <c r="B2345" s="61">
        <v>47333</v>
      </c>
      <c r="C2345" s="60" t="s">
        <v>25</v>
      </c>
    </row>
    <row r="2346" spans="1:3" x14ac:dyDescent="0.25">
      <c r="A2346" s="60">
        <v>2345</v>
      </c>
      <c r="B2346" s="61">
        <v>47336</v>
      </c>
      <c r="C2346" s="60" t="s">
        <v>26</v>
      </c>
    </row>
    <row r="2347" spans="1:3" x14ac:dyDescent="0.25">
      <c r="A2347" s="60">
        <v>2346</v>
      </c>
      <c r="B2347" s="61">
        <v>47337</v>
      </c>
      <c r="C2347" s="60" t="s">
        <v>27</v>
      </c>
    </row>
    <row r="2348" spans="1:3" x14ac:dyDescent="0.25">
      <c r="A2348" s="60">
        <v>2347</v>
      </c>
      <c r="B2348" s="61">
        <v>47338</v>
      </c>
      <c r="C2348" s="60" t="s">
        <v>28</v>
      </c>
    </row>
    <row r="2349" spans="1:3" x14ac:dyDescent="0.25">
      <c r="A2349" s="60">
        <v>2348</v>
      </c>
      <c r="B2349" s="61">
        <v>47339</v>
      </c>
      <c r="C2349" s="60" t="s">
        <v>29</v>
      </c>
    </row>
    <row r="2350" spans="1:3" x14ac:dyDescent="0.25">
      <c r="A2350" s="60">
        <v>2349</v>
      </c>
      <c r="B2350" s="61">
        <v>47340</v>
      </c>
      <c r="C2350" s="60" t="s">
        <v>25</v>
      </c>
    </row>
    <row r="2351" spans="1:3" x14ac:dyDescent="0.25">
      <c r="A2351" s="60">
        <v>2350</v>
      </c>
      <c r="B2351" s="61">
        <v>47343</v>
      </c>
      <c r="C2351" s="60" t="s">
        <v>26</v>
      </c>
    </row>
    <row r="2352" spans="1:3" x14ac:dyDescent="0.25">
      <c r="A2352" s="60">
        <v>2351</v>
      </c>
      <c r="B2352" s="61">
        <v>47344</v>
      </c>
      <c r="C2352" s="60" t="s">
        <v>27</v>
      </c>
    </row>
    <row r="2353" spans="1:3" x14ac:dyDescent="0.25">
      <c r="A2353" s="60">
        <v>2352</v>
      </c>
      <c r="B2353" s="61">
        <v>47345</v>
      </c>
      <c r="C2353" s="60" t="s">
        <v>28</v>
      </c>
    </row>
    <row r="2354" spans="1:3" x14ac:dyDescent="0.25">
      <c r="A2354" s="60">
        <v>2353</v>
      </c>
      <c r="B2354" s="61">
        <v>47346</v>
      </c>
      <c r="C2354" s="60" t="s">
        <v>29</v>
      </c>
    </row>
    <row r="2355" spans="1:3" x14ac:dyDescent="0.25">
      <c r="A2355" s="60">
        <v>2354</v>
      </c>
      <c r="B2355" s="61">
        <v>47347</v>
      </c>
      <c r="C2355" s="60" t="s">
        <v>25</v>
      </c>
    </row>
    <row r="2356" spans="1:3" x14ac:dyDescent="0.25">
      <c r="A2356" s="60">
        <v>2355</v>
      </c>
      <c r="B2356" s="61">
        <v>47350</v>
      </c>
      <c r="C2356" s="60" t="s">
        <v>26</v>
      </c>
    </row>
    <row r="2357" spans="1:3" x14ac:dyDescent="0.25">
      <c r="A2357" s="60">
        <v>2356</v>
      </c>
      <c r="B2357" s="61">
        <v>47351</v>
      </c>
      <c r="C2357" s="60" t="s">
        <v>27</v>
      </c>
    </row>
    <row r="2358" spans="1:3" x14ac:dyDescent="0.25">
      <c r="A2358" s="60">
        <v>2357</v>
      </c>
      <c r="B2358" s="61">
        <v>47352</v>
      </c>
      <c r="C2358" s="60" t="s">
        <v>28</v>
      </c>
    </row>
    <row r="2359" spans="1:3" x14ac:dyDescent="0.25">
      <c r="A2359" s="60">
        <v>2358</v>
      </c>
      <c r="B2359" s="61">
        <v>47353</v>
      </c>
      <c r="C2359" s="60" t="s">
        <v>29</v>
      </c>
    </row>
    <row r="2360" spans="1:3" x14ac:dyDescent="0.25">
      <c r="A2360" s="60">
        <v>2359</v>
      </c>
      <c r="B2360" s="61">
        <v>47354</v>
      </c>
      <c r="C2360" s="60" t="s">
        <v>25</v>
      </c>
    </row>
    <row r="2361" spans="1:3" x14ac:dyDescent="0.25">
      <c r="A2361" s="60">
        <v>2360</v>
      </c>
      <c r="B2361" s="61">
        <v>47357</v>
      </c>
      <c r="C2361" s="60" t="s">
        <v>26</v>
      </c>
    </row>
    <row r="2362" spans="1:3" x14ac:dyDescent="0.25">
      <c r="A2362" s="60">
        <v>2361</v>
      </c>
      <c r="B2362" s="61">
        <v>47358</v>
      </c>
      <c r="C2362" s="60" t="s">
        <v>27</v>
      </c>
    </row>
    <row r="2363" spans="1:3" x14ac:dyDescent="0.25">
      <c r="A2363" s="60">
        <v>2362</v>
      </c>
      <c r="B2363" s="61">
        <v>47359</v>
      </c>
      <c r="C2363" s="60" t="s">
        <v>28</v>
      </c>
    </row>
    <row r="2364" spans="1:3" x14ac:dyDescent="0.25">
      <c r="A2364" s="60">
        <v>2363</v>
      </c>
      <c r="B2364" s="61">
        <v>47360</v>
      </c>
      <c r="C2364" s="60" t="s">
        <v>29</v>
      </c>
    </row>
    <row r="2365" spans="1:3" x14ac:dyDescent="0.25">
      <c r="A2365" s="60">
        <v>2364</v>
      </c>
      <c r="B2365" s="61">
        <v>47361</v>
      </c>
      <c r="C2365" s="60" t="s">
        <v>25</v>
      </c>
    </row>
    <row r="2366" spans="1:3" x14ac:dyDescent="0.25">
      <c r="A2366" s="60">
        <v>2365</v>
      </c>
      <c r="B2366" s="61">
        <v>47364</v>
      </c>
      <c r="C2366" s="60" t="s">
        <v>26</v>
      </c>
    </row>
    <row r="2367" spans="1:3" x14ac:dyDescent="0.25">
      <c r="A2367" s="60">
        <v>2366</v>
      </c>
      <c r="B2367" s="61">
        <v>47365</v>
      </c>
      <c r="C2367" s="60" t="s">
        <v>27</v>
      </c>
    </row>
    <row r="2368" spans="1:3" x14ac:dyDescent="0.25">
      <c r="A2368" s="60">
        <v>2367</v>
      </c>
      <c r="B2368" s="61">
        <v>47366</v>
      </c>
      <c r="C2368" s="60" t="s">
        <v>28</v>
      </c>
    </row>
    <row r="2369" spans="1:3" x14ac:dyDescent="0.25">
      <c r="A2369" s="60">
        <v>2368</v>
      </c>
      <c r="B2369" s="61">
        <v>47367</v>
      </c>
      <c r="C2369" s="60" t="s">
        <v>29</v>
      </c>
    </row>
    <row r="2370" spans="1:3" x14ac:dyDescent="0.25">
      <c r="A2370" s="60">
        <v>2369</v>
      </c>
      <c r="B2370" s="61">
        <v>47368</v>
      </c>
      <c r="C2370" s="60" t="s">
        <v>25</v>
      </c>
    </row>
    <row r="2371" spans="1:3" x14ac:dyDescent="0.25">
      <c r="A2371" s="60">
        <v>2370</v>
      </c>
      <c r="B2371" s="61">
        <v>47371</v>
      </c>
      <c r="C2371" s="60" t="s">
        <v>26</v>
      </c>
    </row>
    <row r="2372" spans="1:3" x14ac:dyDescent="0.25">
      <c r="A2372" s="60">
        <v>2371</v>
      </c>
      <c r="B2372" s="61">
        <v>47372</v>
      </c>
      <c r="C2372" s="60" t="s">
        <v>27</v>
      </c>
    </row>
    <row r="2373" spans="1:3" x14ac:dyDescent="0.25">
      <c r="A2373" s="60">
        <v>2372</v>
      </c>
      <c r="B2373" s="61">
        <v>47373</v>
      </c>
      <c r="C2373" s="60" t="s">
        <v>28</v>
      </c>
    </row>
    <row r="2374" spans="1:3" x14ac:dyDescent="0.25">
      <c r="A2374" s="60">
        <v>2373</v>
      </c>
      <c r="B2374" s="61">
        <v>47374</v>
      </c>
      <c r="C2374" s="60" t="s">
        <v>29</v>
      </c>
    </row>
    <row r="2375" spans="1:3" x14ac:dyDescent="0.25">
      <c r="A2375" s="60">
        <v>2374</v>
      </c>
      <c r="B2375" s="61">
        <v>47375</v>
      </c>
      <c r="C2375" s="60" t="s">
        <v>25</v>
      </c>
    </row>
    <row r="2376" spans="1:3" x14ac:dyDescent="0.25">
      <c r="A2376" s="60">
        <v>2375</v>
      </c>
      <c r="B2376" s="61">
        <v>47378</v>
      </c>
      <c r="C2376" s="60" t="s">
        <v>26</v>
      </c>
    </row>
    <row r="2377" spans="1:3" x14ac:dyDescent="0.25">
      <c r="A2377" s="60">
        <v>2376</v>
      </c>
      <c r="B2377" s="61">
        <v>47379</v>
      </c>
      <c r="C2377" s="60" t="s">
        <v>27</v>
      </c>
    </row>
    <row r="2378" spans="1:3" x14ac:dyDescent="0.25">
      <c r="A2378" s="60">
        <v>2377</v>
      </c>
      <c r="B2378" s="61">
        <v>47380</v>
      </c>
      <c r="C2378" s="60" t="s">
        <v>28</v>
      </c>
    </row>
    <row r="2379" spans="1:3" x14ac:dyDescent="0.25">
      <c r="A2379" s="60">
        <v>2378</v>
      </c>
      <c r="B2379" s="61">
        <v>47381</v>
      </c>
      <c r="C2379" s="60" t="s">
        <v>29</v>
      </c>
    </row>
    <row r="2380" spans="1:3" x14ac:dyDescent="0.25">
      <c r="A2380" s="60">
        <v>2379</v>
      </c>
      <c r="B2380" s="61">
        <v>47382</v>
      </c>
      <c r="C2380" s="60" t="s">
        <v>25</v>
      </c>
    </row>
    <row r="2381" spans="1:3" x14ac:dyDescent="0.25">
      <c r="A2381" s="60">
        <v>2380</v>
      </c>
      <c r="B2381" s="61">
        <v>47385</v>
      </c>
      <c r="C2381" s="60" t="s">
        <v>26</v>
      </c>
    </row>
    <row r="2382" spans="1:3" x14ac:dyDescent="0.25">
      <c r="A2382" s="60">
        <v>2381</v>
      </c>
      <c r="B2382" s="61">
        <v>47386</v>
      </c>
      <c r="C2382" s="60" t="s">
        <v>27</v>
      </c>
    </row>
    <row r="2383" spans="1:3" x14ac:dyDescent="0.25">
      <c r="A2383" s="60">
        <v>2382</v>
      </c>
      <c r="B2383" s="61">
        <v>47387</v>
      </c>
      <c r="C2383" s="60" t="s">
        <v>28</v>
      </c>
    </row>
    <row r="2384" spans="1:3" x14ac:dyDescent="0.25">
      <c r="A2384" s="60">
        <v>2383</v>
      </c>
      <c r="B2384" s="61">
        <v>47388</v>
      </c>
      <c r="C2384" s="60" t="s">
        <v>29</v>
      </c>
    </row>
    <row r="2385" spans="1:3" x14ac:dyDescent="0.25">
      <c r="A2385" s="60">
        <v>2384</v>
      </c>
      <c r="B2385" s="61">
        <v>47389</v>
      </c>
      <c r="C2385" s="60" t="s">
        <v>25</v>
      </c>
    </row>
    <row r="2386" spans="1:3" x14ac:dyDescent="0.25">
      <c r="A2386" s="60">
        <v>2385</v>
      </c>
      <c r="B2386" s="61">
        <v>47392</v>
      </c>
      <c r="C2386" s="60" t="s">
        <v>26</v>
      </c>
    </row>
    <row r="2387" spans="1:3" x14ac:dyDescent="0.25">
      <c r="A2387" s="60">
        <v>2386</v>
      </c>
      <c r="B2387" s="61">
        <v>47393</v>
      </c>
      <c r="C2387" s="60" t="s">
        <v>27</v>
      </c>
    </row>
    <row r="2388" spans="1:3" x14ac:dyDescent="0.25">
      <c r="A2388" s="60">
        <v>2387</v>
      </c>
      <c r="B2388" s="61">
        <v>47394</v>
      </c>
      <c r="C2388" s="60" t="s">
        <v>28</v>
      </c>
    </row>
    <row r="2389" spans="1:3" x14ac:dyDescent="0.25">
      <c r="A2389" s="60">
        <v>2388</v>
      </c>
      <c r="B2389" s="61">
        <v>47395</v>
      </c>
      <c r="C2389" s="60" t="s">
        <v>29</v>
      </c>
    </row>
    <row r="2390" spans="1:3" x14ac:dyDescent="0.25">
      <c r="A2390" s="60">
        <v>2389</v>
      </c>
      <c r="B2390" s="61">
        <v>47396</v>
      </c>
      <c r="C2390" s="60" t="s">
        <v>25</v>
      </c>
    </row>
    <row r="2391" spans="1:3" x14ac:dyDescent="0.25">
      <c r="A2391" s="60">
        <v>2390</v>
      </c>
      <c r="B2391" s="61">
        <v>47399</v>
      </c>
      <c r="C2391" s="60" t="s">
        <v>26</v>
      </c>
    </row>
    <row r="2392" spans="1:3" x14ac:dyDescent="0.25">
      <c r="A2392" s="60">
        <v>2391</v>
      </c>
      <c r="B2392" s="61">
        <v>47400</v>
      </c>
      <c r="C2392" s="60" t="s">
        <v>27</v>
      </c>
    </row>
    <row r="2393" spans="1:3" x14ac:dyDescent="0.25">
      <c r="A2393" s="60">
        <v>2392</v>
      </c>
      <c r="B2393" s="61">
        <v>47401</v>
      </c>
      <c r="C2393" s="60" t="s">
        <v>28</v>
      </c>
    </row>
    <row r="2394" spans="1:3" x14ac:dyDescent="0.25">
      <c r="A2394" s="60">
        <v>2393</v>
      </c>
      <c r="B2394" s="61">
        <v>47402</v>
      </c>
      <c r="C2394" s="60" t="s">
        <v>29</v>
      </c>
    </row>
    <row r="2395" spans="1:3" x14ac:dyDescent="0.25">
      <c r="A2395" s="60">
        <v>2394</v>
      </c>
      <c r="B2395" s="61">
        <v>47403</v>
      </c>
      <c r="C2395" s="60" t="s">
        <v>25</v>
      </c>
    </row>
    <row r="2396" spans="1:3" x14ac:dyDescent="0.25">
      <c r="A2396" s="60">
        <v>2395</v>
      </c>
      <c r="B2396" s="61">
        <v>47406</v>
      </c>
      <c r="C2396" s="60" t="s">
        <v>26</v>
      </c>
    </row>
    <row r="2397" spans="1:3" x14ac:dyDescent="0.25">
      <c r="A2397" s="60">
        <v>2396</v>
      </c>
      <c r="B2397" s="61">
        <v>47407</v>
      </c>
      <c r="C2397" s="60" t="s">
        <v>27</v>
      </c>
    </row>
    <row r="2398" spans="1:3" x14ac:dyDescent="0.25">
      <c r="A2398" s="60">
        <v>2397</v>
      </c>
      <c r="B2398" s="61">
        <v>47408</v>
      </c>
      <c r="C2398" s="60" t="s">
        <v>28</v>
      </c>
    </row>
    <row r="2399" spans="1:3" x14ac:dyDescent="0.25">
      <c r="A2399" s="60">
        <v>2398</v>
      </c>
      <c r="B2399" s="61">
        <v>47409</v>
      </c>
      <c r="C2399" s="60" t="s">
        <v>29</v>
      </c>
    </row>
    <row r="2400" spans="1:3" x14ac:dyDescent="0.25">
      <c r="A2400" s="60">
        <v>2399</v>
      </c>
      <c r="B2400" s="61">
        <v>47410</v>
      </c>
      <c r="C2400" s="60" t="s">
        <v>25</v>
      </c>
    </row>
    <row r="2401" spans="1:3" x14ac:dyDescent="0.25">
      <c r="A2401" s="60">
        <v>2400</v>
      </c>
      <c r="B2401" s="61">
        <v>47413</v>
      </c>
      <c r="C2401" s="60" t="s">
        <v>26</v>
      </c>
    </row>
    <row r="2402" spans="1:3" x14ac:dyDescent="0.25">
      <c r="A2402" s="60">
        <v>2401</v>
      </c>
      <c r="B2402" s="61">
        <v>47414</v>
      </c>
      <c r="C2402" s="60" t="s">
        <v>27</v>
      </c>
    </row>
    <row r="2403" spans="1:3" x14ac:dyDescent="0.25">
      <c r="A2403" s="60">
        <v>2402</v>
      </c>
      <c r="B2403" s="61">
        <v>47415</v>
      </c>
      <c r="C2403" s="60" t="s">
        <v>28</v>
      </c>
    </row>
    <row r="2404" spans="1:3" x14ac:dyDescent="0.25">
      <c r="A2404" s="60">
        <v>2403</v>
      </c>
      <c r="B2404" s="61">
        <v>47416</v>
      </c>
      <c r="C2404" s="60" t="s">
        <v>29</v>
      </c>
    </row>
    <row r="2405" spans="1:3" x14ac:dyDescent="0.25">
      <c r="A2405" s="60">
        <v>2404</v>
      </c>
      <c r="B2405" s="61">
        <v>47417</v>
      </c>
      <c r="C2405" s="60" t="s">
        <v>25</v>
      </c>
    </row>
    <row r="2406" spans="1:3" x14ac:dyDescent="0.25">
      <c r="A2406" s="60">
        <v>2405</v>
      </c>
      <c r="B2406" s="61">
        <v>47420</v>
      </c>
      <c r="C2406" s="60" t="s">
        <v>26</v>
      </c>
    </row>
    <row r="2407" spans="1:3" x14ac:dyDescent="0.25">
      <c r="A2407" s="60">
        <v>2406</v>
      </c>
      <c r="B2407" s="61">
        <v>47421</v>
      </c>
      <c r="C2407" s="60" t="s">
        <v>27</v>
      </c>
    </row>
    <row r="2408" spans="1:3" x14ac:dyDescent="0.25">
      <c r="A2408" s="60">
        <v>2407</v>
      </c>
      <c r="B2408" s="61">
        <v>47422</v>
      </c>
      <c r="C2408" s="60" t="s">
        <v>28</v>
      </c>
    </row>
    <row r="2409" spans="1:3" x14ac:dyDescent="0.25">
      <c r="A2409" s="60">
        <v>2408</v>
      </c>
      <c r="B2409" s="61">
        <v>47423</v>
      </c>
      <c r="C2409" s="60" t="s">
        <v>29</v>
      </c>
    </row>
    <row r="2410" spans="1:3" x14ac:dyDescent="0.25">
      <c r="A2410" s="60">
        <v>2409</v>
      </c>
      <c r="B2410" s="61">
        <v>47424</v>
      </c>
      <c r="C2410" s="60" t="s">
        <v>25</v>
      </c>
    </row>
    <row r="2411" spans="1:3" x14ac:dyDescent="0.25">
      <c r="A2411" s="60">
        <v>2410</v>
      </c>
      <c r="B2411" s="61">
        <v>47427</v>
      </c>
      <c r="C2411" s="60" t="s">
        <v>26</v>
      </c>
    </row>
    <row r="2412" spans="1:3" x14ac:dyDescent="0.25">
      <c r="A2412" s="60">
        <v>2411</v>
      </c>
      <c r="B2412" s="61">
        <v>47428</v>
      </c>
      <c r="C2412" s="60" t="s">
        <v>27</v>
      </c>
    </row>
    <row r="2413" spans="1:3" x14ac:dyDescent="0.25">
      <c r="A2413" s="60">
        <v>2412</v>
      </c>
      <c r="B2413" s="61">
        <v>47429</v>
      </c>
      <c r="C2413" s="60" t="s">
        <v>28</v>
      </c>
    </row>
    <row r="2414" spans="1:3" x14ac:dyDescent="0.25">
      <c r="A2414" s="60">
        <v>2413</v>
      </c>
      <c r="B2414" s="61">
        <v>47430</v>
      </c>
      <c r="C2414" s="60" t="s">
        <v>29</v>
      </c>
    </row>
    <row r="2415" spans="1:3" x14ac:dyDescent="0.25">
      <c r="A2415" s="60">
        <v>2414</v>
      </c>
      <c r="B2415" s="61">
        <v>47431</v>
      </c>
      <c r="C2415" s="60" t="s">
        <v>25</v>
      </c>
    </row>
    <row r="2416" spans="1:3" x14ac:dyDescent="0.25">
      <c r="A2416" s="60">
        <v>2415</v>
      </c>
      <c r="B2416" s="61">
        <v>47434</v>
      </c>
      <c r="C2416" s="60" t="s">
        <v>26</v>
      </c>
    </row>
    <row r="2417" spans="1:3" x14ac:dyDescent="0.25">
      <c r="A2417" s="60">
        <v>2416</v>
      </c>
      <c r="B2417" s="61">
        <v>47435</v>
      </c>
      <c r="C2417" s="60" t="s">
        <v>27</v>
      </c>
    </row>
    <row r="2418" spans="1:3" x14ac:dyDescent="0.25">
      <c r="A2418" s="60">
        <v>2417</v>
      </c>
      <c r="B2418" s="61">
        <v>47436</v>
      </c>
      <c r="C2418" s="60" t="s">
        <v>28</v>
      </c>
    </row>
    <row r="2419" spans="1:3" x14ac:dyDescent="0.25">
      <c r="A2419" s="60">
        <v>2418</v>
      </c>
      <c r="B2419" s="61">
        <v>47437</v>
      </c>
      <c r="C2419" s="60" t="s">
        <v>29</v>
      </c>
    </row>
    <row r="2420" spans="1:3" x14ac:dyDescent="0.25">
      <c r="A2420" s="60">
        <v>2419</v>
      </c>
      <c r="B2420" s="61">
        <v>47438</v>
      </c>
      <c r="C2420" s="60" t="s">
        <v>25</v>
      </c>
    </row>
    <row r="2421" spans="1:3" x14ac:dyDescent="0.25">
      <c r="A2421" s="60">
        <v>2420</v>
      </c>
      <c r="B2421" s="61">
        <v>47441</v>
      </c>
      <c r="C2421" s="60" t="s">
        <v>26</v>
      </c>
    </row>
    <row r="2422" spans="1:3" x14ac:dyDescent="0.25">
      <c r="A2422" s="60">
        <v>2421</v>
      </c>
      <c r="B2422" s="61">
        <v>47442</v>
      </c>
      <c r="C2422" s="60" t="s">
        <v>27</v>
      </c>
    </row>
    <row r="2423" spans="1:3" x14ac:dyDescent="0.25">
      <c r="A2423" s="60">
        <v>2422</v>
      </c>
      <c r="B2423" s="61">
        <v>47443</v>
      </c>
      <c r="C2423" s="60" t="s">
        <v>28</v>
      </c>
    </row>
    <row r="2424" spans="1:3" x14ac:dyDescent="0.25">
      <c r="A2424" s="60">
        <v>2423</v>
      </c>
      <c r="B2424" s="61">
        <v>47444</v>
      </c>
      <c r="C2424" s="60" t="s">
        <v>29</v>
      </c>
    </row>
    <row r="2425" spans="1:3" x14ac:dyDescent="0.25">
      <c r="A2425" s="60">
        <v>2424</v>
      </c>
      <c r="B2425" s="61">
        <v>47445</v>
      </c>
      <c r="C2425" s="60" t="s">
        <v>25</v>
      </c>
    </row>
    <row r="2426" spans="1:3" x14ac:dyDescent="0.25">
      <c r="A2426" s="60">
        <v>2425</v>
      </c>
      <c r="B2426" s="61">
        <v>47448</v>
      </c>
      <c r="C2426" s="60" t="s">
        <v>26</v>
      </c>
    </row>
    <row r="2427" spans="1:3" x14ac:dyDescent="0.25">
      <c r="A2427" s="60">
        <v>2426</v>
      </c>
      <c r="B2427" s="61">
        <v>47449</v>
      </c>
      <c r="C2427" s="60" t="s">
        <v>27</v>
      </c>
    </row>
    <row r="2428" spans="1:3" x14ac:dyDescent="0.25">
      <c r="A2428" s="60">
        <v>2427</v>
      </c>
      <c r="B2428" s="61">
        <v>47450</v>
      </c>
      <c r="C2428" s="60" t="s">
        <v>28</v>
      </c>
    </row>
    <row r="2429" spans="1:3" x14ac:dyDescent="0.25">
      <c r="A2429" s="60">
        <v>2428</v>
      </c>
      <c r="B2429" s="61">
        <v>47451</v>
      </c>
      <c r="C2429" s="60" t="s">
        <v>29</v>
      </c>
    </row>
    <row r="2430" spans="1:3" x14ac:dyDescent="0.25">
      <c r="A2430" s="60">
        <v>2429</v>
      </c>
      <c r="B2430" s="61">
        <v>47452</v>
      </c>
      <c r="C2430" s="60" t="s">
        <v>25</v>
      </c>
    </row>
    <row r="2431" spans="1:3" x14ac:dyDescent="0.25">
      <c r="A2431" s="60">
        <v>2430</v>
      </c>
      <c r="B2431" s="61">
        <v>47455</v>
      </c>
      <c r="C2431" s="60" t="s">
        <v>26</v>
      </c>
    </row>
    <row r="2432" spans="1:3" x14ac:dyDescent="0.25">
      <c r="A2432" s="60">
        <v>2431</v>
      </c>
      <c r="B2432" s="61">
        <v>47456</v>
      </c>
      <c r="C2432" s="60" t="s">
        <v>27</v>
      </c>
    </row>
    <row r="2433" spans="1:3" x14ac:dyDescent="0.25">
      <c r="A2433" s="60">
        <v>2432</v>
      </c>
      <c r="B2433" s="61">
        <v>47457</v>
      </c>
      <c r="C2433" s="60" t="s">
        <v>28</v>
      </c>
    </row>
    <row r="2434" spans="1:3" x14ac:dyDescent="0.25">
      <c r="A2434" s="60">
        <v>2433</v>
      </c>
      <c r="B2434" s="61">
        <v>47458</v>
      </c>
      <c r="C2434" s="60" t="s">
        <v>29</v>
      </c>
    </row>
    <row r="2435" spans="1:3" x14ac:dyDescent="0.25">
      <c r="A2435" s="60">
        <v>2434</v>
      </c>
      <c r="B2435" s="61">
        <v>47459</v>
      </c>
      <c r="C2435" s="60" t="s">
        <v>25</v>
      </c>
    </row>
    <row r="2436" spans="1:3" x14ac:dyDescent="0.25">
      <c r="A2436" s="60">
        <v>2435</v>
      </c>
      <c r="B2436" s="61">
        <v>47462</v>
      </c>
      <c r="C2436" s="60" t="s">
        <v>26</v>
      </c>
    </row>
    <row r="2437" spans="1:3" x14ac:dyDescent="0.25">
      <c r="A2437" s="60">
        <v>2436</v>
      </c>
      <c r="B2437" s="61">
        <v>47463</v>
      </c>
      <c r="C2437" s="60" t="s">
        <v>27</v>
      </c>
    </row>
    <row r="2438" spans="1:3" x14ac:dyDescent="0.25">
      <c r="A2438" s="60">
        <v>2437</v>
      </c>
      <c r="B2438" s="61">
        <v>47464</v>
      </c>
      <c r="C2438" s="60" t="s">
        <v>28</v>
      </c>
    </row>
    <row r="2439" spans="1:3" x14ac:dyDescent="0.25">
      <c r="A2439" s="60">
        <v>2438</v>
      </c>
      <c r="B2439" s="61">
        <v>47465</v>
      </c>
      <c r="C2439" s="60" t="s">
        <v>29</v>
      </c>
    </row>
    <row r="2440" spans="1:3" x14ac:dyDescent="0.25">
      <c r="A2440" s="60">
        <v>2439</v>
      </c>
      <c r="B2440" s="61">
        <v>47466</v>
      </c>
      <c r="C2440" s="60" t="s">
        <v>25</v>
      </c>
    </row>
    <row r="2441" spans="1:3" x14ac:dyDescent="0.25">
      <c r="A2441" s="60">
        <v>2440</v>
      </c>
      <c r="B2441" s="61">
        <v>47469</v>
      </c>
      <c r="C2441" s="60" t="s">
        <v>26</v>
      </c>
    </row>
    <row r="2442" spans="1:3" x14ac:dyDescent="0.25">
      <c r="A2442" s="60">
        <v>2441</v>
      </c>
      <c r="B2442" s="61">
        <v>47470</v>
      </c>
      <c r="C2442" s="60" t="s">
        <v>27</v>
      </c>
    </row>
    <row r="2443" spans="1:3" x14ac:dyDescent="0.25">
      <c r="A2443" s="60">
        <v>2442</v>
      </c>
      <c r="B2443" s="61">
        <v>47471</v>
      </c>
      <c r="C2443" s="60" t="s">
        <v>28</v>
      </c>
    </row>
    <row r="2444" spans="1:3" x14ac:dyDescent="0.25">
      <c r="A2444" s="60">
        <v>2443</v>
      </c>
      <c r="B2444" s="61">
        <v>47472</v>
      </c>
      <c r="C2444" s="60" t="s">
        <v>29</v>
      </c>
    </row>
    <row r="2445" spans="1:3" x14ac:dyDescent="0.25">
      <c r="A2445" s="60">
        <v>2444</v>
      </c>
      <c r="B2445" s="61">
        <v>47473</v>
      </c>
      <c r="C2445" s="60" t="s">
        <v>25</v>
      </c>
    </row>
    <row r="2446" spans="1:3" x14ac:dyDescent="0.25">
      <c r="A2446" s="60">
        <v>2445</v>
      </c>
      <c r="B2446" s="61">
        <v>47476</v>
      </c>
      <c r="C2446" s="60" t="s">
        <v>26</v>
      </c>
    </row>
    <row r="2447" spans="1:3" x14ac:dyDescent="0.25">
      <c r="A2447" s="60">
        <v>2446</v>
      </c>
      <c r="B2447" s="61">
        <v>47477</v>
      </c>
      <c r="C2447" s="60" t="s">
        <v>27</v>
      </c>
    </row>
    <row r="2448" spans="1:3" x14ac:dyDescent="0.25">
      <c r="A2448" s="60">
        <v>2447</v>
      </c>
      <c r="B2448" s="61">
        <v>47478</v>
      </c>
      <c r="C2448" s="60" t="s">
        <v>28</v>
      </c>
    </row>
    <row r="2449" spans="1:3" x14ac:dyDescent="0.25">
      <c r="A2449" s="60">
        <v>2448</v>
      </c>
      <c r="B2449" s="61">
        <v>47479</v>
      </c>
      <c r="C2449" s="60" t="s">
        <v>29</v>
      </c>
    </row>
    <row r="2450" spans="1:3" x14ac:dyDescent="0.25">
      <c r="A2450" s="60">
        <v>2449</v>
      </c>
      <c r="B2450" s="61">
        <v>47480</v>
      </c>
      <c r="C2450" s="60" t="s">
        <v>25</v>
      </c>
    </row>
    <row r="2451" spans="1:3" x14ac:dyDescent="0.25">
      <c r="A2451" s="60">
        <v>2450</v>
      </c>
      <c r="B2451" s="61">
        <v>47483</v>
      </c>
      <c r="C2451" s="60" t="s">
        <v>26</v>
      </c>
    </row>
  </sheetData>
  <autoFilter ref="A1:C2451"/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T164"/>
  <sheetViews>
    <sheetView workbookViewId="0">
      <selection activeCell="F28" sqref="F28"/>
    </sheetView>
  </sheetViews>
  <sheetFormatPr defaultRowHeight="16.5" x14ac:dyDescent="0.25"/>
  <cols>
    <col min="1" max="3" width="11.5" bestFit="1" customWidth="1"/>
    <col min="4" max="4" width="13" bestFit="1" customWidth="1"/>
    <col min="5" max="5" width="19.125" customWidth="1"/>
    <col min="6" max="8" width="15" bestFit="1" customWidth="1"/>
    <col min="9" max="9" width="11.5" bestFit="1" customWidth="1"/>
    <col min="10" max="10" width="13.625" bestFit="1" customWidth="1"/>
    <col min="11" max="11" width="15" bestFit="1" customWidth="1"/>
    <col min="12" max="12" width="11.5" bestFit="1" customWidth="1"/>
    <col min="13" max="13" width="13.625" bestFit="1" customWidth="1"/>
    <col min="14" max="14" width="10.125" bestFit="1" customWidth="1"/>
    <col min="15" max="15" width="11.5" bestFit="1" customWidth="1"/>
    <col min="16" max="16" width="13.625" bestFit="1" customWidth="1"/>
    <col min="17" max="17" width="9.5" customWidth="1"/>
    <col min="18" max="19" width="11.5" bestFit="1" customWidth="1"/>
    <col min="20" max="20" width="15.875" bestFit="1" customWidth="1"/>
  </cols>
  <sheetData>
    <row r="1" spans="1:20" x14ac:dyDescent="0.25">
      <c r="A1" t="s">
        <v>945</v>
      </c>
      <c r="B1" t="s">
        <v>946</v>
      </c>
      <c r="C1" t="s">
        <v>947</v>
      </c>
      <c r="D1" t="s">
        <v>948</v>
      </c>
      <c r="E1" t="s">
        <v>949</v>
      </c>
      <c r="F1" t="s">
        <v>950</v>
      </c>
      <c r="G1" t="s">
        <v>2097</v>
      </c>
      <c r="H1" t="s">
        <v>2098</v>
      </c>
      <c r="I1" t="s">
        <v>2099</v>
      </c>
      <c r="J1" t="s">
        <v>2100</v>
      </c>
      <c r="K1" t="s">
        <v>2101</v>
      </c>
      <c r="L1" t="s">
        <v>2102</v>
      </c>
      <c r="M1" t="s">
        <v>2103</v>
      </c>
      <c r="N1" t="s">
        <v>2104</v>
      </c>
      <c r="O1" t="s">
        <v>109</v>
      </c>
      <c r="P1" t="s">
        <v>2105</v>
      </c>
      <c r="Q1" t="s">
        <v>6</v>
      </c>
      <c r="R1" t="s">
        <v>2106</v>
      </c>
      <c r="S1" t="s">
        <v>2107</v>
      </c>
      <c r="T1" t="s">
        <v>2108</v>
      </c>
    </row>
    <row r="2" spans="1:20" x14ac:dyDescent="0.25">
      <c r="A2" t="s">
        <v>2993</v>
      </c>
      <c r="B2" t="s">
        <v>127</v>
      </c>
      <c r="C2">
        <v>9700</v>
      </c>
      <c r="D2" t="s">
        <v>974</v>
      </c>
      <c r="E2" t="s">
        <v>975</v>
      </c>
      <c r="F2">
        <v>210</v>
      </c>
      <c r="G2">
        <v>3.8029999999999999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1.8110000000000001E-2</v>
      </c>
      <c r="O2">
        <v>7</v>
      </c>
      <c r="P2">
        <v>0.18</v>
      </c>
      <c r="Q2">
        <v>9.4</v>
      </c>
      <c r="R2">
        <v>1</v>
      </c>
      <c r="S2">
        <v>8.91</v>
      </c>
      <c r="T2">
        <v>0.02</v>
      </c>
    </row>
    <row r="3" spans="1:20" x14ac:dyDescent="0.25">
      <c r="A3" t="s">
        <v>986</v>
      </c>
      <c r="B3" t="s">
        <v>981</v>
      </c>
      <c r="C3">
        <v>9070</v>
      </c>
      <c r="D3" t="s">
        <v>987</v>
      </c>
      <c r="E3" t="s">
        <v>988</v>
      </c>
      <c r="F3">
        <v>1</v>
      </c>
      <c r="G3">
        <v>1.2999999999999999E-2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1.2825E-2</v>
      </c>
      <c r="O3">
        <v>131</v>
      </c>
      <c r="P3">
        <v>0.4</v>
      </c>
      <c r="Q3">
        <v>454.82</v>
      </c>
      <c r="R3">
        <v>5.1999999999999998E-2</v>
      </c>
      <c r="S3">
        <v>374.5</v>
      </c>
      <c r="T3">
        <v>1.34</v>
      </c>
    </row>
    <row r="4" spans="1:20" x14ac:dyDescent="0.25">
      <c r="A4" t="s">
        <v>986</v>
      </c>
      <c r="B4" t="s">
        <v>981</v>
      </c>
      <c r="C4">
        <v>9070</v>
      </c>
      <c r="D4" t="s">
        <v>989</v>
      </c>
      <c r="E4" t="s">
        <v>990</v>
      </c>
      <c r="F4">
        <v>18</v>
      </c>
      <c r="G4">
        <v>8.5000000000000006E-2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4.7489999999999997E-3</v>
      </c>
      <c r="O4">
        <v>89</v>
      </c>
      <c r="P4">
        <v>0.4</v>
      </c>
      <c r="Q4">
        <v>424.15</v>
      </c>
      <c r="R4">
        <v>1.6E-2</v>
      </c>
      <c r="S4">
        <v>374.5</v>
      </c>
      <c r="T4">
        <v>0.36</v>
      </c>
    </row>
    <row r="5" spans="1:20" x14ac:dyDescent="0.25">
      <c r="A5" t="s">
        <v>986</v>
      </c>
      <c r="B5" t="s">
        <v>981</v>
      </c>
      <c r="C5">
        <v>9070</v>
      </c>
      <c r="D5" t="s">
        <v>2580</v>
      </c>
      <c r="E5" t="s">
        <v>2581</v>
      </c>
      <c r="F5">
        <v>19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0.4</v>
      </c>
      <c r="Q5">
        <v>0</v>
      </c>
      <c r="R5">
        <v>0</v>
      </c>
      <c r="S5">
        <v>374.5</v>
      </c>
      <c r="T5">
        <v>375</v>
      </c>
    </row>
    <row r="6" spans="1:20" x14ac:dyDescent="0.25">
      <c r="A6" t="s">
        <v>986</v>
      </c>
      <c r="B6" t="s">
        <v>981</v>
      </c>
      <c r="C6">
        <v>9070</v>
      </c>
      <c r="D6" t="s">
        <v>2111</v>
      </c>
      <c r="E6" t="s">
        <v>2112</v>
      </c>
      <c r="F6">
        <v>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0.4</v>
      </c>
      <c r="Q6">
        <v>0</v>
      </c>
      <c r="R6">
        <v>0</v>
      </c>
      <c r="S6">
        <v>374.5</v>
      </c>
      <c r="T6">
        <v>373</v>
      </c>
    </row>
    <row r="7" spans="1:20" x14ac:dyDescent="0.25">
      <c r="A7" t="s">
        <v>986</v>
      </c>
      <c r="B7" t="s">
        <v>981</v>
      </c>
      <c r="C7">
        <v>9070</v>
      </c>
      <c r="D7" t="s">
        <v>2705</v>
      </c>
      <c r="E7" t="s">
        <v>2706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0.4</v>
      </c>
      <c r="Q7">
        <v>0</v>
      </c>
      <c r="R7">
        <v>0</v>
      </c>
      <c r="S7">
        <v>374.5</v>
      </c>
      <c r="T7">
        <v>370.5</v>
      </c>
    </row>
    <row r="8" spans="1:20" x14ac:dyDescent="0.25">
      <c r="A8" t="s">
        <v>1003</v>
      </c>
      <c r="B8" t="s">
        <v>973</v>
      </c>
      <c r="C8">
        <v>9070</v>
      </c>
      <c r="D8" t="s">
        <v>1004</v>
      </c>
      <c r="E8" t="s">
        <v>1005</v>
      </c>
      <c r="F8">
        <v>2</v>
      </c>
      <c r="G8">
        <v>0.16500000000000001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8.2667000000000004E-2</v>
      </c>
      <c r="O8">
        <v>92</v>
      </c>
      <c r="P8">
        <v>0.18</v>
      </c>
      <c r="Q8">
        <v>80</v>
      </c>
      <c r="R8">
        <v>0.1</v>
      </c>
      <c r="S8">
        <v>86.6</v>
      </c>
      <c r="T8">
        <v>0.96</v>
      </c>
    </row>
    <row r="9" spans="1:20" x14ac:dyDescent="0.25">
      <c r="A9" t="s">
        <v>1003</v>
      </c>
      <c r="B9" t="s">
        <v>973</v>
      </c>
      <c r="C9">
        <v>9070</v>
      </c>
      <c r="D9" t="s">
        <v>1006</v>
      </c>
      <c r="E9" t="s">
        <v>1007</v>
      </c>
      <c r="F9">
        <v>8</v>
      </c>
      <c r="G9">
        <v>2.4969999999999999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0.31211899999999998</v>
      </c>
      <c r="O9">
        <v>19</v>
      </c>
      <c r="P9">
        <v>0.18</v>
      </c>
      <c r="Q9">
        <v>80</v>
      </c>
      <c r="R9">
        <v>0.32</v>
      </c>
      <c r="S9">
        <v>86.6</v>
      </c>
      <c r="T9">
        <v>2.4700000000000002</v>
      </c>
    </row>
    <row r="10" spans="1:20" x14ac:dyDescent="0.25">
      <c r="A10" t="s">
        <v>1003</v>
      </c>
      <c r="B10" t="s">
        <v>973</v>
      </c>
      <c r="C10">
        <v>9070</v>
      </c>
      <c r="D10" t="s">
        <v>1008</v>
      </c>
      <c r="E10" t="s">
        <v>1009</v>
      </c>
      <c r="F10">
        <v>8</v>
      </c>
      <c r="G10">
        <v>2.3199999999999998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0.29001399999999999</v>
      </c>
      <c r="O10">
        <v>21</v>
      </c>
      <c r="P10">
        <v>0.18</v>
      </c>
      <c r="Q10">
        <v>80</v>
      </c>
      <c r="R10">
        <v>0.3</v>
      </c>
      <c r="S10">
        <v>86.6</v>
      </c>
      <c r="T10">
        <v>2.1800000000000002</v>
      </c>
    </row>
    <row r="11" spans="1:20" x14ac:dyDescent="0.25">
      <c r="A11" t="s">
        <v>1003</v>
      </c>
      <c r="B11" t="s">
        <v>973</v>
      </c>
      <c r="C11">
        <v>9070</v>
      </c>
      <c r="D11" t="s">
        <v>1010</v>
      </c>
      <c r="E11" t="s">
        <v>1011</v>
      </c>
      <c r="F11">
        <v>2</v>
      </c>
      <c r="G11">
        <v>0.29599999999999999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0.147948</v>
      </c>
      <c r="O11">
        <v>26</v>
      </c>
      <c r="P11">
        <v>0.18</v>
      </c>
      <c r="Q11">
        <v>78</v>
      </c>
      <c r="R11">
        <v>0.15</v>
      </c>
      <c r="S11">
        <v>86.6</v>
      </c>
      <c r="T11">
        <v>1.4</v>
      </c>
    </row>
    <row r="12" spans="1:20" x14ac:dyDescent="0.25">
      <c r="A12" t="s">
        <v>1003</v>
      </c>
      <c r="B12" t="s">
        <v>973</v>
      </c>
      <c r="C12">
        <v>9070</v>
      </c>
      <c r="D12" t="s">
        <v>1012</v>
      </c>
      <c r="E12" t="s">
        <v>1013</v>
      </c>
      <c r="F12">
        <v>2</v>
      </c>
      <c r="G12">
        <v>0.31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0.15499499999999999</v>
      </c>
      <c r="O12">
        <v>29</v>
      </c>
      <c r="P12">
        <v>0.18</v>
      </c>
      <c r="Q12">
        <v>82</v>
      </c>
      <c r="R12">
        <v>0.18</v>
      </c>
      <c r="S12">
        <v>86.6</v>
      </c>
      <c r="T12">
        <v>1.43</v>
      </c>
    </row>
    <row r="13" spans="1:20" x14ac:dyDescent="0.25">
      <c r="A13" t="s">
        <v>1003</v>
      </c>
      <c r="B13" t="s">
        <v>973</v>
      </c>
      <c r="C13">
        <v>9070</v>
      </c>
      <c r="D13" t="s">
        <v>1052</v>
      </c>
      <c r="E13" t="s">
        <v>1053</v>
      </c>
      <c r="F13">
        <v>3</v>
      </c>
      <c r="G13">
        <v>-5.0000000000000001E-3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-1.6509999999999999E-3</v>
      </c>
      <c r="O13">
        <v>22</v>
      </c>
      <c r="P13">
        <v>0.18</v>
      </c>
      <c r="Q13">
        <v>77.5</v>
      </c>
      <c r="R13">
        <v>0.25</v>
      </c>
      <c r="S13">
        <v>86.6</v>
      </c>
      <c r="T13" s="67">
        <v>0.38</v>
      </c>
    </row>
    <row r="14" spans="1:20" x14ac:dyDescent="0.25">
      <c r="A14" t="s">
        <v>3014</v>
      </c>
      <c r="B14" t="s">
        <v>952</v>
      </c>
      <c r="C14">
        <v>9700</v>
      </c>
      <c r="D14" t="s">
        <v>3015</v>
      </c>
      <c r="E14" t="s">
        <v>3016</v>
      </c>
      <c r="F14">
        <v>200</v>
      </c>
      <c r="G14">
        <v>4.7590000000000003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2.3796000000000001E-2</v>
      </c>
      <c r="O14">
        <v>166</v>
      </c>
      <c r="P14">
        <v>0.32</v>
      </c>
      <c r="Q14">
        <v>361.86</v>
      </c>
      <c r="R14">
        <v>4.2999999999999997E-2</v>
      </c>
      <c r="S14">
        <v>363</v>
      </c>
      <c r="T14" s="67">
        <v>1.3</v>
      </c>
    </row>
    <row r="15" spans="1:20" x14ac:dyDescent="0.25">
      <c r="A15" t="s">
        <v>2113</v>
      </c>
      <c r="B15" t="s">
        <v>991</v>
      </c>
      <c r="C15">
        <v>9020</v>
      </c>
      <c r="D15" t="s">
        <v>2195</v>
      </c>
      <c r="E15" t="s">
        <v>2196</v>
      </c>
      <c r="F15">
        <v>6</v>
      </c>
      <c r="G15">
        <v>0.41699999999999998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6.9433999999999996E-2</v>
      </c>
      <c r="O15">
        <v>48</v>
      </c>
      <c r="P15">
        <v>0.46</v>
      </c>
      <c r="Q15">
        <v>491.02</v>
      </c>
      <c r="R15">
        <v>7.5999999999999998E-2</v>
      </c>
      <c r="S15">
        <v>609</v>
      </c>
      <c r="T15">
        <v>9.5500000000000007</v>
      </c>
    </row>
    <row r="16" spans="1:20" x14ac:dyDescent="0.25">
      <c r="A16" t="s">
        <v>2113</v>
      </c>
      <c r="B16" t="s">
        <v>991</v>
      </c>
      <c r="C16">
        <v>9020</v>
      </c>
      <c r="D16" t="s">
        <v>2197</v>
      </c>
      <c r="E16" t="s">
        <v>2198</v>
      </c>
      <c r="F16">
        <v>378</v>
      </c>
      <c r="G16">
        <v>6.9740000000000002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1.8450999999999999E-2</v>
      </c>
      <c r="O16">
        <v>89</v>
      </c>
      <c r="P16">
        <v>0.46</v>
      </c>
      <c r="Q16">
        <v>578.30999999999995</v>
      </c>
      <c r="R16">
        <v>2.9000000000000001E-2</v>
      </c>
      <c r="S16">
        <v>609</v>
      </c>
      <c r="T16">
        <v>2.09</v>
      </c>
    </row>
    <row r="17" spans="1:20" x14ac:dyDescent="0.25">
      <c r="A17" t="s">
        <v>2113</v>
      </c>
      <c r="B17" t="s">
        <v>991</v>
      </c>
      <c r="C17">
        <v>9020</v>
      </c>
      <c r="D17" t="s">
        <v>2114</v>
      </c>
      <c r="E17" t="s">
        <v>2115</v>
      </c>
      <c r="F17">
        <v>83</v>
      </c>
      <c r="G17">
        <v>4.8600000000000003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5.8557999999999999E-2</v>
      </c>
      <c r="O17">
        <v>135</v>
      </c>
      <c r="P17">
        <v>0.46</v>
      </c>
      <c r="Q17">
        <v>515.58000000000004</v>
      </c>
      <c r="R17">
        <v>7.5999999999999998E-2</v>
      </c>
      <c r="S17">
        <v>609</v>
      </c>
      <c r="T17" s="67">
        <v>8.5500000000000007</v>
      </c>
    </row>
    <row r="18" spans="1:20" x14ac:dyDescent="0.25">
      <c r="A18" t="s">
        <v>2113</v>
      </c>
      <c r="B18" t="s">
        <v>991</v>
      </c>
      <c r="C18">
        <v>9020</v>
      </c>
      <c r="D18" t="s">
        <v>2199</v>
      </c>
      <c r="E18" t="s">
        <v>2200</v>
      </c>
      <c r="F18">
        <v>5</v>
      </c>
      <c r="G18">
        <v>0.222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4.4427000000000001E-2</v>
      </c>
      <c r="O18">
        <v>75</v>
      </c>
      <c r="P18">
        <v>0.46</v>
      </c>
      <c r="Q18">
        <v>491.02</v>
      </c>
      <c r="R18">
        <v>5.0999999999999997E-2</v>
      </c>
      <c r="S18">
        <v>609</v>
      </c>
      <c r="T18" s="67">
        <v>8.65</v>
      </c>
    </row>
    <row r="19" spans="1:20" x14ac:dyDescent="0.25">
      <c r="A19" t="s">
        <v>2113</v>
      </c>
      <c r="B19" t="s">
        <v>991</v>
      </c>
      <c r="C19">
        <v>9020</v>
      </c>
      <c r="D19" t="s">
        <v>2201</v>
      </c>
      <c r="E19" t="s">
        <v>2202</v>
      </c>
      <c r="F19">
        <v>30</v>
      </c>
      <c r="G19">
        <v>1.02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3.3998E-2</v>
      </c>
      <c r="O19">
        <v>12</v>
      </c>
      <c r="P19">
        <v>0.46</v>
      </c>
      <c r="Q19">
        <v>446.83</v>
      </c>
      <c r="R19">
        <v>3.4000000000000002E-2</v>
      </c>
      <c r="S19">
        <v>609</v>
      </c>
      <c r="T19">
        <v>6.15</v>
      </c>
    </row>
    <row r="20" spans="1:20" x14ac:dyDescent="0.25">
      <c r="A20" t="s">
        <v>2113</v>
      </c>
      <c r="B20" t="s">
        <v>991</v>
      </c>
      <c r="C20">
        <v>9020</v>
      </c>
      <c r="D20" t="s">
        <v>2116</v>
      </c>
      <c r="E20" t="s">
        <v>2117</v>
      </c>
      <c r="F20">
        <v>413</v>
      </c>
      <c r="G20">
        <v>7.8230000000000004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1.8943000000000002E-2</v>
      </c>
      <c r="O20">
        <v>76</v>
      </c>
      <c r="P20">
        <v>0.46</v>
      </c>
      <c r="Q20">
        <v>441.92</v>
      </c>
      <c r="R20">
        <v>0.02</v>
      </c>
      <c r="S20">
        <v>609</v>
      </c>
      <c r="T20">
        <v>3.39</v>
      </c>
    </row>
    <row r="21" spans="1:20" x14ac:dyDescent="0.25">
      <c r="A21" t="s">
        <v>2113</v>
      </c>
      <c r="B21" t="s">
        <v>991</v>
      </c>
      <c r="C21">
        <v>9020</v>
      </c>
      <c r="D21" t="s">
        <v>2118</v>
      </c>
      <c r="E21" t="s">
        <v>2119</v>
      </c>
      <c r="F21">
        <v>10</v>
      </c>
      <c r="G21">
        <v>1.7030000000000001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0.17031299999999999</v>
      </c>
      <c r="O21">
        <v>29</v>
      </c>
      <c r="P21">
        <v>0.46</v>
      </c>
      <c r="Q21">
        <v>540.13</v>
      </c>
      <c r="R21">
        <v>0.20399999999999999</v>
      </c>
      <c r="S21">
        <v>609</v>
      </c>
      <c r="T21">
        <v>25.1</v>
      </c>
    </row>
    <row r="22" spans="1:20" x14ac:dyDescent="0.25">
      <c r="A22" t="s">
        <v>2113</v>
      </c>
      <c r="B22" t="s">
        <v>991</v>
      </c>
      <c r="C22">
        <v>9020</v>
      </c>
      <c r="D22" t="s">
        <v>2120</v>
      </c>
      <c r="E22" t="s">
        <v>2121</v>
      </c>
      <c r="F22">
        <v>60</v>
      </c>
      <c r="G22">
        <v>4.1210000000000004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6.8681000000000006E-2</v>
      </c>
      <c r="O22">
        <v>62</v>
      </c>
      <c r="P22">
        <v>0.46</v>
      </c>
      <c r="Q22">
        <v>569.59</v>
      </c>
      <c r="R22">
        <v>0.10199999999999999</v>
      </c>
      <c r="S22">
        <v>609</v>
      </c>
      <c r="T22">
        <v>9</v>
      </c>
    </row>
    <row r="23" spans="1:20" x14ac:dyDescent="0.25">
      <c r="A23" t="s">
        <v>2113</v>
      </c>
      <c r="B23" t="s">
        <v>991</v>
      </c>
      <c r="C23">
        <v>9020</v>
      </c>
      <c r="D23" t="s">
        <v>2122</v>
      </c>
      <c r="E23" t="s">
        <v>2123</v>
      </c>
      <c r="F23">
        <v>103</v>
      </c>
      <c r="G23">
        <v>4.8410000000000002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4.6996000000000003E-2</v>
      </c>
      <c r="O23">
        <v>19</v>
      </c>
      <c r="P23">
        <v>0.46</v>
      </c>
      <c r="Q23">
        <v>414.28</v>
      </c>
      <c r="R23">
        <v>4.7E-2</v>
      </c>
      <c r="S23">
        <v>609</v>
      </c>
      <c r="T23">
        <v>9.1999999999999993</v>
      </c>
    </row>
    <row r="24" spans="1:20" x14ac:dyDescent="0.25">
      <c r="A24" t="s">
        <v>2113</v>
      </c>
      <c r="B24" t="s">
        <v>991</v>
      </c>
      <c r="C24">
        <v>9020</v>
      </c>
      <c r="D24" t="s">
        <v>2124</v>
      </c>
      <c r="E24" t="s">
        <v>2125</v>
      </c>
      <c r="F24">
        <v>653</v>
      </c>
      <c r="G24">
        <v>32.896999999999998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5.0379E-2</v>
      </c>
      <c r="O24">
        <v>82</v>
      </c>
      <c r="P24">
        <v>0.46</v>
      </c>
      <c r="Q24">
        <v>383.1</v>
      </c>
      <c r="R24">
        <v>5.0999999999999997E-2</v>
      </c>
      <c r="S24">
        <v>609</v>
      </c>
      <c r="T24">
        <v>12.1</v>
      </c>
    </row>
    <row r="25" spans="1:20" x14ac:dyDescent="0.25">
      <c r="A25" t="s">
        <v>2113</v>
      </c>
      <c r="B25" t="s">
        <v>991</v>
      </c>
      <c r="C25">
        <v>9020</v>
      </c>
      <c r="D25" t="s">
        <v>2126</v>
      </c>
      <c r="E25" t="s">
        <v>2127</v>
      </c>
      <c r="F25">
        <v>50</v>
      </c>
      <c r="G25">
        <v>2.294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4.5886000000000003E-2</v>
      </c>
      <c r="O25">
        <v>40</v>
      </c>
      <c r="P25">
        <v>0.46</v>
      </c>
      <c r="Q25">
        <v>400.68</v>
      </c>
      <c r="R25">
        <v>4.5999999999999999E-2</v>
      </c>
      <c r="S25">
        <v>609</v>
      </c>
      <c r="T25">
        <v>9.6999999999999993</v>
      </c>
    </row>
    <row r="26" spans="1:20" x14ac:dyDescent="0.25">
      <c r="A26" t="s">
        <v>2113</v>
      </c>
      <c r="B26" t="s">
        <v>991</v>
      </c>
      <c r="C26">
        <v>9020</v>
      </c>
      <c r="D26" t="s">
        <v>2128</v>
      </c>
      <c r="E26" t="s">
        <v>2129</v>
      </c>
      <c r="F26">
        <v>20</v>
      </c>
      <c r="G26">
        <v>0.69699999999999995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3.4862999999999998E-2</v>
      </c>
      <c r="O26">
        <v>112</v>
      </c>
      <c r="P26">
        <v>0.46</v>
      </c>
      <c r="Q26">
        <v>392.82</v>
      </c>
      <c r="R26">
        <v>3.5999999999999997E-2</v>
      </c>
      <c r="S26">
        <v>609</v>
      </c>
      <c r="T26">
        <v>7.95</v>
      </c>
    </row>
    <row r="27" spans="1:20" x14ac:dyDescent="0.25">
      <c r="A27" t="s">
        <v>2845</v>
      </c>
      <c r="B27" t="s">
        <v>973</v>
      </c>
      <c r="C27">
        <v>9070</v>
      </c>
      <c r="D27" t="s">
        <v>1056</v>
      </c>
      <c r="E27" t="s">
        <v>1057</v>
      </c>
      <c r="F27">
        <v>20</v>
      </c>
      <c r="G27">
        <v>-0.26200000000000001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-1.3113E-2</v>
      </c>
      <c r="O27">
        <v>61</v>
      </c>
      <c r="P27">
        <v>0.24</v>
      </c>
      <c r="Q27">
        <v>75</v>
      </c>
      <c r="R27">
        <v>0.2</v>
      </c>
      <c r="S27">
        <v>86.6</v>
      </c>
      <c r="T27">
        <v>0.28000000000000003</v>
      </c>
    </row>
    <row r="28" spans="1:20" x14ac:dyDescent="0.25">
      <c r="A28" t="s">
        <v>1016</v>
      </c>
      <c r="B28" t="s">
        <v>952</v>
      </c>
      <c r="C28">
        <v>9700</v>
      </c>
      <c r="D28" t="s">
        <v>1017</v>
      </c>
      <c r="E28" t="s">
        <v>1018</v>
      </c>
      <c r="F28">
        <v>851</v>
      </c>
      <c r="G28">
        <v>-6.7000000000000004E-2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-7.8999999999999996E-5</v>
      </c>
      <c r="O28">
        <v>61</v>
      </c>
      <c r="P28">
        <v>0.25</v>
      </c>
      <c r="Q28">
        <v>260.37</v>
      </c>
      <c r="R28">
        <v>0.152</v>
      </c>
      <c r="S28">
        <v>363</v>
      </c>
      <c r="T28">
        <v>0.02</v>
      </c>
    </row>
    <row r="29" spans="1:20" x14ac:dyDescent="0.25">
      <c r="A29" t="s">
        <v>1019</v>
      </c>
      <c r="B29" t="s">
        <v>981</v>
      </c>
      <c r="C29">
        <v>9070</v>
      </c>
      <c r="D29" t="s">
        <v>1020</v>
      </c>
      <c r="E29" t="s">
        <v>1021</v>
      </c>
      <c r="F29">
        <v>1</v>
      </c>
      <c r="G29">
        <v>0.01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9.7540000000000005E-3</v>
      </c>
      <c r="O29">
        <v>62</v>
      </c>
      <c r="P29">
        <v>0.41</v>
      </c>
      <c r="Q29">
        <v>442.82</v>
      </c>
      <c r="R29">
        <v>5.1999999999999998E-2</v>
      </c>
      <c r="S29">
        <v>374.5</v>
      </c>
      <c r="T29">
        <v>0.67</v>
      </c>
    </row>
    <row r="30" spans="1:20" x14ac:dyDescent="0.25">
      <c r="A30" t="s">
        <v>1019</v>
      </c>
      <c r="B30" t="s">
        <v>981</v>
      </c>
      <c r="C30">
        <v>9070</v>
      </c>
      <c r="D30" t="s">
        <v>1022</v>
      </c>
      <c r="E30" t="s">
        <v>1023</v>
      </c>
      <c r="F30">
        <v>6</v>
      </c>
      <c r="G30">
        <v>5.3999999999999999E-2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9.0600000000000003E-3</v>
      </c>
      <c r="O30">
        <v>47</v>
      </c>
      <c r="P30">
        <v>0.41</v>
      </c>
      <c r="Q30">
        <v>435.47</v>
      </c>
      <c r="R30">
        <v>5.1999999999999998E-2</v>
      </c>
      <c r="S30">
        <v>374.5</v>
      </c>
      <c r="T30" s="67">
        <v>0.93</v>
      </c>
    </row>
    <row r="31" spans="1:20" x14ac:dyDescent="0.25">
      <c r="A31" t="s">
        <v>1024</v>
      </c>
      <c r="B31" t="s">
        <v>140</v>
      </c>
      <c r="C31">
        <v>9070</v>
      </c>
      <c r="D31" t="s">
        <v>1025</v>
      </c>
      <c r="E31" t="s">
        <v>1026</v>
      </c>
      <c r="F31">
        <v>72</v>
      </c>
      <c r="G31">
        <v>-71.89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-0.99846900000000005</v>
      </c>
      <c r="O31">
        <v>30</v>
      </c>
      <c r="P31">
        <v>1.63</v>
      </c>
      <c r="Q31">
        <v>7.39</v>
      </c>
      <c r="R31">
        <v>1</v>
      </c>
      <c r="S31">
        <v>1.58</v>
      </c>
      <c r="T31" s="67">
        <v>5.75</v>
      </c>
    </row>
    <row r="32" spans="1:20" x14ac:dyDescent="0.25">
      <c r="A32" t="s">
        <v>1024</v>
      </c>
      <c r="B32" t="s">
        <v>140</v>
      </c>
      <c r="C32">
        <v>9070</v>
      </c>
      <c r="D32" t="s">
        <v>959</v>
      </c>
      <c r="E32" t="s">
        <v>960</v>
      </c>
      <c r="F32">
        <v>105</v>
      </c>
      <c r="G32">
        <v>-99.697000000000003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-0.94949799999999995</v>
      </c>
      <c r="O32">
        <v>89</v>
      </c>
      <c r="P32">
        <v>1.63</v>
      </c>
      <c r="Q32">
        <v>8</v>
      </c>
      <c r="R32">
        <v>1</v>
      </c>
      <c r="S32">
        <v>1.58</v>
      </c>
      <c r="T32" s="67">
        <v>6.35</v>
      </c>
    </row>
    <row r="33" spans="1:20" x14ac:dyDescent="0.25">
      <c r="A33" t="s">
        <v>1024</v>
      </c>
      <c r="B33" t="s">
        <v>140</v>
      </c>
      <c r="C33">
        <v>9070</v>
      </c>
      <c r="D33" t="s">
        <v>961</v>
      </c>
      <c r="E33" t="s">
        <v>962</v>
      </c>
      <c r="F33">
        <v>80</v>
      </c>
      <c r="G33">
        <v>-51.856999999999999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-0.64820900000000004</v>
      </c>
      <c r="O33">
        <v>217</v>
      </c>
      <c r="P33">
        <v>1.63</v>
      </c>
      <c r="Q33">
        <v>10</v>
      </c>
      <c r="R33">
        <v>0.8</v>
      </c>
      <c r="S33">
        <v>1.58</v>
      </c>
      <c r="T33">
        <v>6.65</v>
      </c>
    </row>
    <row r="34" spans="1:20" x14ac:dyDescent="0.25">
      <c r="A34" t="s">
        <v>1024</v>
      </c>
      <c r="B34" t="s">
        <v>140</v>
      </c>
      <c r="C34">
        <v>9070</v>
      </c>
      <c r="D34" t="s">
        <v>963</v>
      </c>
      <c r="E34" t="s">
        <v>964</v>
      </c>
      <c r="F34">
        <v>100</v>
      </c>
      <c r="G34">
        <v>-39.369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-0.39368599999999998</v>
      </c>
      <c r="O34">
        <v>89</v>
      </c>
      <c r="P34">
        <v>1.63</v>
      </c>
      <c r="Q34">
        <v>12</v>
      </c>
      <c r="R34">
        <v>0.4</v>
      </c>
      <c r="S34">
        <v>1.58</v>
      </c>
      <c r="T34">
        <v>4.1399999999999997</v>
      </c>
    </row>
    <row r="35" spans="1:20" x14ac:dyDescent="0.25">
      <c r="A35" t="s">
        <v>1024</v>
      </c>
      <c r="B35" t="s">
        <v>140</v>
      </c>
      <c r="C35">
        <v>9070</v>
      </c>
      <c r="D35" t="s">
        <v>1027</v>
      </c>
      <c r="E35" t="s">
        <v>1028</v>
      </c>
      <c r="F35">
        <v>110</v>
      </c>
      <c r="G35">
        <v>-66.646000000000001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-0.60587000000000002</v>
      </c>
      <c r="O35">
        <v>217</v>
      </c>
      <c r="P35">
        <v>1.63</v>
      </c>
      <c r="Q35">
        <v>8</v>
      </c>
      <c r="R35">
        <v>0.8</v>
      </c>
      <c r="S35">
        <v>1.58</v>
      </c>
      <c r="T35">
        <v>5.05</v>
      </c>
    </row>
    <row r="36" spans="1:20" x14ac:dyDescent="0.25">
      <c r="A36" t="s">
        <v>1024</v>
      </c>
      <c r="B36" t="s">
        <v>140</v>
      </c>
      <c r="C36">
        <v>9070</v>
      </c>
      <c r="D36" t="s">
        <v>965</v>
      </c>
      <c r="E36" t="s">
        <v>966</v>
      </c>
      <c r="F36">
        <v>100</v>
      </c>
      <c r="G36">
        <v>-38.561999999999998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-0.38562099999999999</v>
      </c>
      <c r="O36">
        <v>119</v>
      </c>
      <c r="P36">
        <v>1.63</v>
      </c>
      <c r="Q36">
        <v>13</v>
      </c>
      <c r="R36">
        <v>0.4</v>
      </c>
      <c r="S36">
        <v>1.58</v>
      </c>
      <c r="T36">
        <v>4.54</v>
      </c>
    </row>
    <row r="37" spans="1:20" x14ac:dyDescent="0.25">
      <c r="A37" t="s">
        <v>1024</v>
      </c>
      <c r="B37" t="s">
        <v>140</v>
      </c>
      <c r="C37">
        <v>9070</v>
      </c>
      <c r="D37" t="s">
        <v>967</v>
      </c>
      <c r="E37" t="s">
        <v>968</v>
      </c>
      <c r="F37">
        <v>10</v>
      </c>
      <c r="G37">
        <v>-4.7839999999999998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-0.47835299999999997</v>
      </c>
      <c r="O37">
        <v>119</v>
      </c>
      <c r="P37">
        <v>1.63</v>
      </c>
      <c r="Q37">
        <v>12</v>
      </c>
      <c r="R37">
        <v>0.5</v>
      </c>
      <c r="S37">
        <v>1.58</v>
      </c>
      <c r="T37">
        <v>5.15</v>
      </c>
    </row>
    <row r="38" spans="1:20" x14ac:dyDescent="0.25">
      <c r="A38" t="s">
        <v>1029</v>
      </c>
      <c r="B38" t="s">
        <v>973</v>
      </c>
      <c r="C38">
        <v>9070</v>
      </c>
      <c r="D38" t="s">
        <v>1030</v>
      </c>
      <c r="E38" t="s">
        <v>1031</v>
      </c>
      <c r="F38">
        <v>3</v>
      </c>
      <c r="G38">
        <v>0.22800000000000001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7.5867000000000004E-2</v>
      </c>
      <c r="O38">
        <v>103</v>
      </c>
      <c r="P38">
        <v>0.24</v>
      </c>
      <c r="Q38">
        <v>80</v>
      </c>
      <c r="R38">
        <v>0.1</v>
      </c>
      <c r="S38">
        <v>86.6</v>
      </c>
      <c r="T38">
        <v>0.95</v>
      </c>
    </row>
    <row r="39" spans="1:20" x14ac:dyDescent="0.25">
      <c r="A39" t="s">
        <v>1029</v>
      </c>
      <c r="B39" t="s">
        <v>973</v>
      </c>
      <c r="C39">
        <v>9070</v>
      </c>
      <c r="D39" t="s">
        <v>1032</v>
      </c>
      <c r="E39" t="s">
        <v>1033</v>
      </c>
      <c r="F39">
        <v>3</v>
      </c>
      <c r="G39">
        <v>0.29199999999999998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9.7242999999999996E-2</v>
      </c>
      <c r="O39">
        <v>82</v>
      </c>
      <c r="P39">
        <v>0.24</v>
      </c>
      <c r="Q39">
        <v>79</v>
      </c>
      <c r="R39">
        <v>0.12</v>
      </c>
      <c r="S39">
        <v>86.6</v>
      </c>
      <c r="T39">
        <v>1.24</v>
      </c>
    </row>
    <row r="40" spans="1:20" x14ac:dyDescent="0.25">
      <c r="A40" t="s">
        <v>1029</v>
      </c>
      <c r="B40" t="s">
        <v>973</v>
      </c>
      <c r="C40">
        <v>9070</v>
      </c>
      <c r="D40" t="s">
        <v>2744</v>
      </c>
      <c r="E40" t="s">
        <v>2745</v>
      </c>
      <c r="F40">
        <v>-132</v>
      </c>
      <c r="G40">
        <v>0</v>
      </c>
      <c r="H40">
        <v>0</v>
      </c>
      <c r="I40">
        <v>0</v>
      </c>
      <c r="J40">
        <v>0</v>
      </c>
      <c r="K40">
        <v>10</v>
      </c>
      <c r="L40">
        <v>87.15</v>
      </c>
      <c r="M40">
        <v>0</v>
      </c>
      <c r="N40">
        <v>0</v>
      </c>
      <c r="O40">
        <v>0</v>
      </c>
      <c r="P40">
        <v>0.24</v>
      </c>
      <c r="Q40">
        <v>0</v>
      </c>
      <c r="R40">
        <v>0</v>
      </c>
      <c r="S40">
        <v>86.6</v>
      </c>
      <c r="T40">
        <v>87.1</v>
      </c>
    </row>
    <row r="41" spans="1:20" x14ac:dyDescent="0.25">
      <c r="A41" t="s">
        <v>2130</v>
      </c>
      <c r="B41" t="s">
        <v>991</v>
      </c>
      <c r="C41">
        <v>9020</v>
      </c>
      <c r="D41" t="s">
        <v>2131</v>
      </c>
      <c r="E41" t="s">
        <v>2132</v>
      </c>
      <c r="F41">
        <v>10</v>
      </c>
      <c r="G41">
        <v>0.50900000000000001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5.0907000000000001E-2</v>
      </c>
      <c r="O41">
        <v>54</v>
      </c>
      <c r="P41">
        <v>0.4</v>
      </c>
      <c r="Q41">
        <v>392.82</v>
      </c>
      <c r="R41">
        <v>5.0999999999999997E-2</v>
      </c>
      <c r="S41">
        <v>609</v>
      </c>
      <c r="T41">
        <v>11.1</v>
      </c>
    </row>
    <row r="42" spans="1:20" x14ac:dyDescent="0.25">
      <c r="A42" t="s">
        <v>2130</v>
      </c>
      <c r="B42" t="s">
        <v>991</v>
      </c>
      <c r="C42">
        <v>9020</v>
      </c>
      <c r="D42" t="s">
        <v>1058</v>
      </c>
      <c r="E42" t="s">
        <v>1059</v>
      </c>
      <c r="F42">
        <v>10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12</v>
      </c>
      <c r="P42">
        <v>0.4</v>
      </c>
      <c r="Q42">
        <v>353.54</v>
      </c>
      <c r="R42">
        <v>5.0999999999999997E-2</v>
      </c>
      <c r="S42">
        <v>609</v>
      </c>
      <c r="T42">
        <v>0.01</v>
      </c>
    </row>
    <row r="43" spans="1:20" x14ac:dyDescent="0.25">
      <c r="A43" t="s">
        <v>2130</v>
      </c>
      <c r="B43" t="s">
        <v>991</v>
      </c>
      <c r="C43">
        <v>9020</v>
      </c>
      <c r="D43" t="s">
        <v>2134</v>
      </c>
      <c r="E43" t="s">
        <v>2135</v>
      </c>
      <c r="F43">
        <v>97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5</v>
      </c>
      <c r="P43">
        <v>0.4</v>
      </c>
      <c r="Q43">
        <v>371.88</v>
      </c>
      <c r="R43">
        <v>0.05</v>
      </c>
      <c r="S43">
        <v>609</v>
      </c>
      <c r="T43">
        <v>0.04</v>
      </c>
    </row>
    <row r="44" spans="1:20" x14ac:dyDescent="0.25">
      <c r="A44" t="s">
        <v>2130</v>
      </c>
      <c r="B44" t="s">
        <v>991</v>
      </c>
      <c r="C44">
        <v>9020</v>
      </c>
      <c r="D44" t="s">
        <v>2136</v>
      </c>
      <c r="E44" t="s">
        <v>2137</v>
      </c>
      <c r="F44">
        <v>40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20</v>
      </c>
      <c r="P44">
        <v>0.4</v>
      </c>
      <c r="Q44">
        <v>289.58999999999997</v>
      </c>
      <c r="R44">
        <v>0.127</v>
      </c>
      <c r="S44">
        <v>609</v>
      </c>
      <c r="T44">
        <v>0.01</v>
      </c>
    </row>
    <row r="45" spans="1:20" x14ac:dyDescent="0.25">
      <c r="A45" t="s">
        <v>2999</v>
      </c>
      <c r="B45" t="s">
        <v>3000</v>
      </c>
      <c r="C45">
        <v>9070</v>
      </c>
      <c r="D45" t="s">
        <v>3001</v>
      </c>
      <c r="E45" t="s">
        <v>3002</v>
      </c>
      <c r="F45">
        <v>-1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0.47</v>
      </c>
      <c r="Q45">
        <v>0</v>
      </c>
      <c r="R45">
        <v>0</v>
      </c>
      <c r="S45">
        <v>177.5</v>
      </c>
      <c r="T45">
        <v>176.5</v>
      </c>
    </row>
    <row r="46" spans="1:20" x14ac:dyDescent="0.25">
      <c r="A46" t="s">
        <v>1035</v>
      </c>
      <c r="B46" t="s">
        <v>1034</v>
      </c>
      <c r="C46">
        <v>9070</v>
      </c>
      <c r="D46" t="s">
        <v>1036</v>
      </c>
      <c r="E46" t="s">
        <v>1037</v>
      </c>
      <c r="F46">
        <v>4</v>
      </c>
      <c r="G46">
        <v>1.0249999999999999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0.25620700000000002</v>
      </c>
      <c r="O46">
        <v>34</v>
      </c>
      <c r="P46">
        <v>0.18</v>
      </c>
      <c r="Q46">
        <v>63.15</v>
      </c>
      <c r="R46">
        <v>0.42799999999999999</v>
      </c>
      <c r="S46">
        <v>63.9</v>
      </c>
      <c r="T46">
        <v>2.02</v>
      </c>
    </row>
    <row r="47" spans="1:20" x14ac:dyDescent="0.25">
      <c r="A47" t="s">
        <v>2810</v>
      </c>
      <c r="B47" t="s">
        <v>2811</v>
      </c>
      <c r="C47">
        <v>9070</v>
      </c>
      <c r="D47" t="s">
        <v>2812</v>
      </c>
      <c r="E47" t="s">
        <v>2813</v>
      </c>
      <c r="F47">
        <v>12</v>
      </c>
      <c r="G47">
        <v>0.111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9.2879999999999994E-3</v>
      </c>
      <c r="O47">
        <v>71</v>
      </c>
      <c r="P47">
        <v>0.56999999999999995</v>
      </c>
      <c r="Q47">
        <v>826.84</v>
      </c>
      <c r="R47">
        <v>2.1000000000000001E-2</v>
      </c>
      <c r="S47">
        <v>770</v>
      </c>
      <c r="T47">
        <v>1.75</v>
      </c>
    </row>
    <row r="48" spans="1:20" x14ac:dyDescent="0.25">
      <c r="A48" t="s">
        <v>2810</v>
      </c>
      <c r="B48" t="s">
        <v>2811</v>
      </c>
      <c r="C48">
        <v>9070</v>
      </c>
      <c r="D48" t="s">
        <v>2814</v>
      </c>
      <c r="E48" t="s">
        <v>2815</v>
      </c>
      <c r="F48">
        <v>19</v>
      </c>
      <c r="G48">
        <v>0.161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8.4759999999999992E-3</v>
      </c>
      <c r="O48">
        <v>48</v>
      </c>
      <c r="P48">
        <v>0.56999999999999995</v>
      </c>
      <c r="Q48">
        <v>819.98</v>
      </c>
      <c r="R48">
        <v>0.02</v>
      </c>
      <c r="S48">
        <v>770</v>
      </c>
      <c r="T48">
        <v>1.56</v>
      </c>
    </row>
    <row r="49" spans="1:20" x14ac:dyDescent="0.25">
      <c r="A49" t="s">
        <v>2810</v>
      </c>
      <c r="B49" t="s">
        <v>2811</v>
      </c>
      <c r="C49">
        <v>9070</v>
      </c>
      <c r="D49" t="s">
        <v>2816</v>
      </c>
      <c r="E49" t="s">
        <v>2817</v>
      </c>
      <c r="F49">
        <v>19</v>
      </c>
      <c r="G49">
        <v>0.20799999999999999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1.0959E-2</v>
      </c>
      <c r="O49">
        <v>82</v>
      </c>
      <c r="P49">
        <v>0.56999999999999995</v>
      </c>
      <c r="Q49">
        <v>758.75</v>
      </c>
      <c r="R49">
        <v>1.9E-2</v>
      </c>
      <c r="S49">
        <v>770</v>
      </c>
      <c r="T49">
        <v>2.42</v>
      </c>
    </row>
    <row r="50" spans="1:20" x14ac:dyDescent="0.25">
      <c r="A50" t="s">
        <v>2810</v>
      </c>
      <c r="B50" t="s">
        <v>2811</v>
      </c>
      <c r="C50">
        <v>9070</v>
      </c>
      <c r="D50" t="s">
        <v>2818</v>
      </c>
      <c r="E50" t="s">
        <v>2819</v>
      </c>
      <c r="F50">
        <v>19</v>
      </c>
      <c r="G50">
        <v>0.18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9.4750000000000008E-3</v>
      </c>
      <c r="O50">
        <v>83</v>
      </c>
      <c r="P50">
        <v>0.56999999999999995</v>
      </c>
      <c r="Q50">
        <v>826.84</v>
      </c>
      <c r="R50">
        <v>2.1000000000000001E-2</v>
      </c>
      <c r="S50">
        <v>770</v>
      </c>
      <c r="T50">
        <v>1.8</v>
      </c>
    </row>
    <row r="51" spans="1:20" x14ac:dyDescent="0.25">
      <c r="A51" t="s">
        <v>2810</v>
      </c>
      <c r="B51" t="s">
        <v>2811</v>
      </c>
      <c r="C51">
        <v>9070</v>
      </c>
      <c r="D51" t="s">
        <v>2820</v>
      </c>
      <c r="E51" t="s">
        <v>2821</v>
      </c>
      <c r="F51">
        <v>19</v>
      </c>
      <c r="G51">
        <v>6.4000000000000001E-2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3.3540000000000002E-3</v>
      </c>
      <c r="O51">
        <v>134</v>
      </c>
      <c r="P51">
        <v>0.56999999999999995</v>
      </c>
      <c r="Q51">
        <v>778.2</v>
      </c>
      <c r="R51">
        <v>6.0000000000000001E-3</v>
      </c>
      <c r="S51">
        <v>770</v>
      </c>
      <c r="T51" s="67">
        <v>0.79</v>
      </c>
    </row>
    <row r="52" spans="1:20" x14ac:dyDescent="0.25">
      <c r="A52" t="s">
        <v>2810</v>
      </c>
      <c r="B52" t="s">
        <v>2811</v>
      </c>
      <c r="C52">
        <v>9070</v>
      </c>
      <c r="D52" t="s">
        <v>2822</v>
      </c>
      <c r="E52" t="s">
        <v>2823</v>
      </c>
      <c r="F52">
        <v>19</v>
      </c>
      <c r="G52">
        <v>0.107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5.607E-3</v>
      </c>
      <c r="O52">
        <v>140</v>
      </c>
      <c r="P52">
        <v>0.56999999999999995</v>
      </c>
      <c r="Q52">
        <v>778.2</v>
      </c>
      <c r="R52">
        <v>0.01</v>
      </c>
      <c r="S52">
        <v>770</v>
      </c>
      <c r="T52" s="67">
        <v>1.1399999999999999</v>
      </c>
    </row>
    <row r="53" spans="1:20" x14ac:dyDescent="0.25">
      <c r="A53" t="s">
        <v>2810</v>
      </c>
      <c r="B53" t="s">
        <v>2811</v>
      </c>
      <c r="C53">
        <v>9070</v>
      </c>
      <c r="D53" t="s">
        <v>2824</v>
      </c>
      <c r="E53" t="s">
        <v>2825</v>
      </c>
      <c r="F53" s="66">
        <v>19</v>
      </c>
      <c r="G53">
        <v>0.05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2.6059999999999998E-3</v>
      </c>
      <c r="O53">
        <v>203</v>
      </c>
      <c r="P53">
        <v>0.56999999999999995</v>
      </c>
      <c r="Q53">
        <v>826.84</v>
      </c>
      <c r="R53">
        <v>5.0000000000000001E-3</v>
      </c>
      <c r="S53">
        <v>770</v>
      </c>
      <c r="T53" s="67">
        <v>0.75</v>
      </c>
    </row>
    <row r="54" spans="1:20" x14ac:dyDescent="0.25">
      <c r="A54" t="s">
        <v>2810</v>
      </c>
      <c r="B54" t="s">
        <v>2811</v>
      </c>
      <c r="C54">
        <v>9070</v>
      </c>
      <c r="D54" t="s">
        <v>2826</v>
      </c>
      <c r="E54" t="s">
        <v>2827</v>
      </c>
      <c r="F54" s="66">
        <v>19</v>
      </c>
      <c r="G54" s="67">
        <v>6.7000000000000004E-2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3.5339999999999998E-3</v>
      </c>
      <c r="O54">
        <v>173</v>
      </c>
      <c r="P54">
        <v>0.56999999999999995</v>
      </c>
      <c r="Q54">
        <v>829.56</v>
      </c>
      <c r="R54">
        <v>7.0000000000000001E-3</v>
      </c>
      <c r="S54">
        <v>770</v>
      </c>
      <c r="T54">
        <v>1</v>
      </c>
    </row>
    <row r="55" spans="1:20" x14ac:dyDescent="0.25">
      <c r="A55" t="s">
        <v>2810</v>
      </c>
      <c r="B55" t="s">
        <v>2811</v>
      </c>
      <c r="C55">
        <v>9070</v>
      </c>
      <c r="D55" t="s">
        <v>2828</v>
      </c>
      <c r="E55" t="s">
        <v>2829</v>
      </c>
      <c r="F55" s="66">
        <v>19</v>
      </c>
      <c r="G55">
        <v>4.7E-2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2.4780000000000002E-3</v>
      </c>
      <c r="O55">
        <v>146</v>
      </c>
      <c r="P55">
        <v>0.56999999999999995</v>
      </c>
      <c r="Q55">
        <v>826.84</v>
      </c>
      <c r="R55">
        <v>5.0000000000000001E-3</v>
      </c>
      <c r="S55">
        <v>770</v>
      </c>
      <c r="T55">
        <v>0.57999999999999996</v>
      </c>
    </row>
    <row r="56" spans="1:20" x14ac:dyDescent="0.25">
      <c r="A56" t="s">
        <v>2810</v>
      </c>
      <c r="B56" t="s">
        <v>2811</v>
      </c>
      <c r="C56">
        <v>9070</v>
      </c>
      <c r="D56" t="s">
        <v>2830</v>
      </c>
      <c r="E56" t="s">
        <v>2831</v>
      </c>
      <c r="F56">
        <v>19</v>
      </c>
      <c r="G56">
        <v>0.109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5.7109999999999999E-3</v>
      </c>
      <c r="O56">
        <v>177</v>
      </c>
      <c r="P56">
        <v>0.56999999999999995</v>
      </c>
      <c r="Q56">
        <v>778.2</v>
      </c>
      <c r="R56">
        <v>0.01</v>
      </c>
      <c r="S56">
        <v>770</v>
      </c>
      <c r="T56" s="67">
        <v>1.63</v>
      </c>
    </row>
    <row r="57" spans="1:20" x14ac:dyDescent="0.25">
      <c r="A57" t="s">
        <v>2810</v>
      </c>
      <c r="B57" t="s">
        <v>2811</v>
      </c>
      <c r="C57">
        <v>9070</v>
      </c>
      <c r="D57" t="s">
        <v>2832</v>
      </c>
      <c r="E57" t="s">
        <v>2833</v>
      </c>
      <c r="F57">
        <v>19</v>
      </c>
      <c r="G57">
        <v>0.109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5.751E-3</v>
      </c>
      <c r="O57">
        <v>194</v>
      </c>
      <c r="P57">
        <v>0.56999999999999995</v>
      </c>
      <c r="Q57">
        <v>778.2</v>
      </c>
      <c r="R57">
        <v>0.01</v>
      </c>
      <c r="S57">
        <v>770</v>
      </c>
      <c r="T57" s="67">
        <v>1.45</v>
      </c>
    </row>
    <row r="58" spans="1:20" x14ac:dyDescent="0.25">
      <c r="A58" t="s">
        <v>1038</v>
      </c>
      <c r="B58" t="s">
        <v>992</v>
      </c>
      <c r="C58">
        <v>9070</v>
      </c>
      <c r="D58" t="s">
        <v>2488</v>
      </c>
      <c r="E58" t="s">
        <v>2489</v>
      </c>
      <c r="F58">
        <v>3</v>
      </c>
      <c r="G58">
        <v>6.3E-2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2.1087000000000002E-2</v>
      </c>
      <c r="O58">
        <v>54</v>
      </c>
      <c r="P58">
        <v>0.5</v>
      </c>
      <c r="Q58">
        <v>148.88</v>
      </c>
      <c r="R58">
        <v>4.1000000000000002E-2</v>
      </c>
      <c r="S58">
        <v>147</v>
      </c>
      <c r="T58" s="67">
        <v>0.81</v>
      </c>
    </row>
    <row r="59" spans="1:20" x14ac:dyDescent="0.25">
      <c r="A59" t="s">
        <v>1038</v>
      </c>
      <c r="B59" t="s">
        <v>992</v>
      </c>
      <c r="C59">
        <v>9070</v>
      </c>
      <c r="D59" t="s">
        <v>2569</v>
      </c>
      <c r="E59" t="s">
        <v>2570</v>
      </c>
      <c r="F59">
        <v>5</v>
      </c>
      <c r="G59">
        <v>8.3000000000000004E-2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1.6586E-2</v>
      </c>
      <c r="O59">
        <v>194</v>
      </c>
      <c r="P59">
        <v>0.5</v>
      </c>
      <c r="Q59">
        <v>138.54</v>
      </c>
      <c r="R59">
        <v>2.5999999999999999E-2</v>
      </c>
      <c r="S59">
        <v>147</v>
      </c>
      <c r="T59">
        <v>0.94</v>
      </c>
    </row>
    <row r="60" spans="1:20" x14ac:dyDescent="0.25">
      <c r="A60" t="s">
        <v>1038</v>
      </c>
      <c r="B60" t="s">
        <v>992</v>
      </c>
      <c r="C60">
        <v>9070</v>
      </c>
      <c r="D60" t="s">
        <v>2859</v>
      </c>
      <c r="E60" t="s">
        <v>2860</v>
      </c>
      <c r="F60" s="66">
        <v>3</v>
      </c>
      <c r="G60">
        <v>0</v>
      </c>
      <c r="H60">
        <v>2</v>
      </c>
      <c r="I60">
        <v>148.5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0.5</v>
      </c>
      <c r="Q60">
        <v>0</v>
      </c>
      <c r="R60">
        <v>0</v>
      </c>
      <c r="S60">
        <v>147</v>
      </c>
      <c r="T60">
        <v>146.5</v>
      </c>
    </row>
    <row r="61" spans="1:20" x14ac:dyDescent="0.25">
      <c r="A61" t="s">
        <v>1039</v>
      </c>
      <c r="B61" t="s">
        <v>973</v>
      </c>
      <c r="C61">
        <v>9070</v>
      </c>
      <c r="D61" t="s">
        <v>1040</v>
      </c>
      <c r="E61" t="s">
        <v>1041</v>
      </c>
      <c r="F61" s="66">
        <v>2</v>
      </c>
      <c r="G61">
        <v>0.47499999999999998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0.23736599999999999</v>
      </c>
      <c r="O61">
        <v>41</v>
      </c>
      <c r="P61">
        <v>0.21</v>
      </c>
      <c r="Q61">
        <v>82</v>
      </c>
      <c r="R61">
        <v>0.3</v>
      </c>
      <c r="S61">
        <v>86.6</v>
      </c>
      <c r="T61">
        <v>2.83</v>
      </c>
    </row>
    <row r="62" spans="1:20" x14ac:dyDescent="0.25">
      <c r="A62" t="s">
        <v>1039</v>
      </c>
      <c r="B62" t="s">
        <v>973</v>
      </c>
      <c r="C62">
        <v>9070</v>
      </c>
      <c r="D62" t="s">
        <v>1042</v>
      </c>
      <c r="E62" t="s">
        <v>1043</v>
      </c>
      <c r="F62" s="66">
        <v>2</v>
      </c>
      <c r="G62">
        <v>0.66700000000000004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0.33338000000000001</v>
      </c>
      <c r="O62">
        <v>42</v>
      </c>
      <c r="P62">
        <v>0.21</v>
      </c>
      <c r="Q62">
        <v>81</v>
      </c>
      <c r="R62">
        <v>0.4</v>
      </c>
      <c r="S62">
        <v>86.6</v>
      </c>
      <c r="T62">
        <v>4.05</v>
      </c>
    </row>
    <row r="63" spans="1:20" x14ac:dyDescent="0.25">
      <c r="A63" t="s">
        <v>1039</v>
      </c>
      <c r="B63" t="s">
        <v>973</v>
      </c>
      <c r="C63">
        <v>9070</v>
      </c>
      <c r="D63" t="s">
        <v>1044</v>
      </c>
      <c r="E63" t="s">
        <v>1045</v>
      </c>
      <c r="F63">
        <v>2</v>
      </c>
      <c r="G63">
        <v>0.52400000000000002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0.26181599999999999</v>
      </c>
      <c r="O63">
        <v>42</v>
      </c>
      <c r="P63">
        <v>0.21</v>
      </c>
      <c r="Q63">
        <v>80</v>
      </c>
      <c r="R63">
        <v>0.3</v>
      </c>
      <c r="S63">
        <v>86.6</v>
      </c>
      <c r="T63">
        <v>2.5099999999999998</v>
      </c>
    </row>
    <row r="64" spans="1:20" x14ac:dyDescent="0.25">
      <c r="A64" t="s">
        <v>1039</v>
      </c>
      <c r="B64" t="s">
        <v>973</v>
      </c>
      <c r="C64">
        <v>9070</v>
      </c>
      <c r="D64" t="s">
        <v>1054</v>
      </c>
      <c r="E64" t="s">
        <v>1055</v>
      </c>
      <c r="F64">
        <v>1</v>
      </c>
      <c r="G64">
        <v>-1E-3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-1.2539999999999999E-3</v>
      </c>
      <c r="O64">
        <v>26</v>
      </c>
      <c r="P64">
        <v>0.21</v>
      </c>
      <c r="Q64">
        <v>74</v>
      </c>
      <c r="R64">
        <v>0.55000000000000004</v>
      </c>
      <c r="S64">
        <v>86.6</v>
      </c>
      <c r="T64">
        <v>0.56000000000000005</v>
      </c>
    </row>
    <row r="65" spans="1:20" x14ac:dyDescent="0.25">
      <c r="A65" t="s">
        <v>3003</v>
      </c>
      <c r="B65" t="s">
        <v>981</v>
      </c>
      <c r="C65">
        <v>9070</v>
      </c>
      <c r="D65" t="s">
        <v>983</v>
      </c>
      <c r="E65" t="s">
        <v>984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2.4000000000000001E-5</v>
      </c>
      <c r="O65">
        <v>9</v>
      </c>
      <c r="P65">
        <v>0.33</v>
      </c>
      <c r="Q65">
        <v>454.82</v>
      </c>
      <c r="R65">
        <v>0.10299999999999999</v>
      </c>
      <c r="S65">
        <v>374.5</v>
      </c>
      <c r="T65">
        <v>0.17</v>
      </c>
    </row>
    <row r="66" spans="1:20" x14ac:dyDescent="0.25">
      <c r="A66" t="s">
        <v>3003</v>
      </c>
      <c r="B66" t="s">
        <v>981</v>
      </c>
      <c r="C66">
        <v>9070</v>
      </c>
      <c r="D66" t="s">
        <v>999</v>
      </c>
      <c r="E66" t="s">
        <v>1000</v>
      </c>
      <c r="F66">
        <v>11</v>
      </c>
      <c r="G66">
        <v>5.0000000000000001E-3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4.3399999999999998E-4</v>
      </c>
      <c r="O66">
        <v>26</v>
      </c>
      <c r="P66">
        <v>0.33</v>
      </c>
      <c r="Q66">
        <v>464.5</v>
      </c>
      <c r="R66">
        <v>5.1999999999999998E-2</v>
      </c>
      <c r="S66">
        <v>374.5</v>
      </c>
      <c r="T66">
        <v>0.2</v>
      </c>
    </row>
    <row r="67" spans="1:20" x14ac:dyDescent="0.25">
      <c r="A67" t="s">
        <v>3003</v>
      </c>
      <c r="B67" t="s">
        <v>981</v>
      </c>
      <c r="C67">
        <v>9070</v>
      </c>
      <c r="D67" t="s">
        <v>1001</v>
      </c>
      <c r="E67" t="s">
        <v>1002</v>
      </c>
      <c r="F67">
        <v>2</v>
      </c>
      <c r="G67">
        <v>2E-3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1.2030000000000001E-3</v>
      </c>
      <c r="O67">
        <v>19</v>
      </c>
      <c r="P67">
        <v>0.33</v>
      </c>
      <c r="Q67">
        <v>433.19</v>
      </c>
      <c r="R67">
        <v>4.2000000000000003E-2</v>
      </c>
      <c r="S67">
        <v>374.5</v>
      </c>
      <c r="T67">
        <v>0.7</v>
      </c>
    </row>
    <row r="68" spans="1:20" x14ac:dyDescent="0.25">
      <c r="A68" t="s">
        <v>2848</v>
      </c>
      <c r="B68" t="s">
        <v>2849</v>
      </c>
      <c r="C68">
        <v>9020</v>
      </c>
      <c r="D68" t="s">
        <v>2850</v>
      </c>
      <c r="E68" t="s">
        <v>2851</v>
      </c>
      <c r="F68">
        <v>0</v>
      </c>
      <c r="G68">
        <v>0</v>
      </c>
      <c r="H68">
        <v>0</v>
      </c>
      <c r="I68">
        <v>0</v>
      </c>
      <c r="J68">
        <v>0</v>
      </c>
      <c r="K68">
        <v>5</v>
      </c>
      <c r="L68">
        <v>70.8</v>
      </c>
      <c r="M68">
        <v>0</v>
      </c>
      <c r="N68">
        <v>0</v>
      </c>
      <c r="O68">
        <v>0</v>
      </c>
      <c r="P68">
        <v>0.36</v>
      </c>
      <c r="Q68">
        <v>0</v>
      </c>
      <c r="R68">
        <v>0</v>
      </c>
      <c r="S68">
        <v>70.7</v>
      </c>
      <c r="T68">
        <v>71.14</v>
      </c>
    </row>
    <row r="69" spans="1:20" x14ac:dyDescent="0.25">
      <c r="A69" t="s">
        <v>1046</v>
      </c>
      <c r="B69" t="s">
        <v>982</v>
      </c>
      <c r="C69">
        <v>9700</v>
      </c>
      <c r="D69" t="s">
        <v>2965</v>
      </c>
      <c r="E69" t="s">
        <v>2966</v>
      </c>
      <c r="F69">
        <v>21</v>
      </c>
      <c r="G69">
        <v>6.0000000000000001E-3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2.81E-4</v>
      </c>
      <c r="O69">
        <v>111</v>
      </c>
      <c r="P69">
        <v>0.41</v>
      </c>
      <c r="Q69" s="67">
        <v>4700</v>
      </c>
      <c r="R69">
        <v>1E-3</v>
      </c>
      <c r="S69">
        <v>4015</v>
      </c>
      <c r="T69">
        <v>0.39</v>
      </c>
    </row>
    <row r="70" spans="1:20" x14ac:dyDescent="0.25">
      <c r="A70" t="s">
        <v>1046</v>
      </c>
      <c r="B70" t="s">
        <v>982</v>
      </c>
      <c r="C70">
        <v>9700</v>
      </c>
      <c r="D70" t="s">
        <v>2967</v>
      </c>
      <c r="E70" t="s">
        <v>2968</v>
      </c>
      <c r="F70">
        <v>5</v>
      </c>
      <c r="G70">
        <v>4.0000000000000001E-3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7.5699999999999997E-4</v>
      </c>
      <c r="O70">
        <v>65</v>
      </c>
      <c r="P70">
        <v>0.41</v>
      </c>
      <c r="Q70" s="67">
        <v>5000</v>
      </c>
      <c r="R70">
        <v>6.0000000000000001E-3</v>
      </c>
      <c r="S70">
        <v>4015</v>
      </c>
      <c r="T70">
        <v>0.44</v>
      </c>
    </row>
    <row r="71" spans="1:20" x14ac:dyDescent="0.25">
      <c r="A71" t="s">
        <v>1046</v>
      </c>
      <c r="B71" t="s">
        <v>982</v>
      </c>
      <c r="C71">
        <v>9700</v>
      </c>
      <c r="D71" t="s">
        <v>2969</v>
      </c>
      <c r="E71" t="s">
        <v>2970</v>
      </c>
      <c r="F71">
        <v>1</v>
      </c>
      <c r="G71">
        <v>1E-3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7.8100000000000001E-4</v>
      </c>
      <c r="O71">
        <v>51</v>
      </c>
      <c r="P71">
        <v>0.41</v>
      </c>
      <c r="Q71" s="67">
        <v>4500</v>
      </c>
      <c r="R71">
        <v>3.0000000000000001E-3</v>
      </c>
      <c r="S71">
        <v>4015</v>
      </c>
      <c r="T71">
        <v>0.31</v>
      </c>
    </row>
    <row r="72" spans="1:20" x14ac:dyDescent="0.25">
      <c r="A72" t="s">
        <v>1046</v>
      </c>
      <c r="B72" t="s">
        <v>982</v>
      </c>
      <c r="C72">
        <v>9700</v>
      </c>
      <c r="D72" t="s">
        <v>2971</v>
      </c>
      <c r="E72" t="s">
        <v>2972</v>
      </c>
      <c r="F72">
        <v>6</v>
      </c>
      <c r="G72">
        <v>4.0000000000000001E-3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6.8999999999999997E-4</v>
      </c>
      <c r="O72">
        <v>117</v>
      </c>
      <c r="P72">
        <v>0.41</v>
      </c>
      <c r="Q72" s="67">
        <v>4900</v>
      </c>
      <c r="R72">
        <v>3.0000000000000001E-3</v>
      </c>
      <c r="S72">
        <v>4015</v>
      </c>
      <c r="T72">
        <v>0.44</v>
      </c>
    </row>
    <row r="73" spans="1:20" x14ac:dyDescent="0.25">
      <c r="A73" t="s">
        <v>1046</v>
      </c>
      <c r="B73" t="s">
        <v>982</v>
      </c>
      <c r="C73">
        <v>9700</v>
      </c>
      <c r="D73" t="s">
        <v>2973</v>
      </c>
      <c r="E73" t="s">
        <v>2974</v>
      </c>
      <c r="F73">
        <v>94</v>
      </c>
      <c r="G73">
        <v>8.3000000000000004E-2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8.8199999999999997E-4</v>
      </c>
      <c r="O73">
        <v>119</v>
      </c>
      <c r="P73">
        <v>0.41</v>
      </c>
      <c r="Q73" s="67">
        <v>4280</v>
      </c>
      <c r="R73">
        <v>2E-3</v>
      </c>
      <c r="S73">
        <v>4015</v>
      </c>
      <c r="T73">
        <v>0.75</v>
      </c>
    </row>
    <row r="74" spans="1:20" x14ac:dyDescent="0.25">
      <c r="A74" t="s">
        <v>1046</v>
      </c>
      <c r="B74" t="s">
        <v>982</v>
      </c>
      <c r="C74">
        <v>9700</v>
      </c>
      <c r="D74" t="s">
        <v>2975</v>
      </c>
      <c r="E74" t="s">
        <v>2976</v>
      </c>
      <c r="F74">
        <v>123</v>
      </c>
      <c r="G74">
        <v>0.29699999999999999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2.4169999999999999E-3</v>
      </c>
      <c r="O74">
        <v>140</v>
      </c>
      <c r="P74">
        <v>0.41</v>
      </c>
      <c r="Q74" s="67">
        <v>4200</v>
      </c>
      <c r="R74">
        <v>5.0000000000000001E-3</v>
      </c>
      <c r="S74">
        <v>4015</v>
      </c>
      <c r="T74">
        <v>2.61</v>
      </c>
    </row>
    <row r="75" spans="1:20" x14ac:dyDescent="0.25">
      <c r="A75" t="s">
        <v>1046</v>
      </c>
      <c r="B75" t="s">
        <v>982</v>
      </c>
      <c r="C75">
        <v>9700</v>
      </c>
      <c r="D75" t="s">
        <v>2843</v>
      </c>
      <c r="E75" t="s">
        <v>2844</v>
      </c>
      <c r="F75">
        <v>0</v>
      </c>
      <c r="G75">
        <v>0</v>
      </c>
      <c r="H75">
        <v>14</v>
      </c>
      <c r="I75" s="67">
        <v>4048.75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0.41</v>
      </c>
      <c r="Q75" s="67">
        <v>0</v>
      </c>
      <c r="R75">
        <v>0</v>
      </c>
      <c r="S75">
        <v>4015</v>
      </c>
      <c r="T75" s="67">
        <v>4048.75</v>
      </c>
    </row>
    <row r="76" spans="1:20" x14ac:dyDescent="0.25">
      <c r="A76" t="s">
        <v>1046</v>
      </c>
      <c r="B76" t="s">
        <v>982</v>
      </c>
      <c r="C76">
        <v>9700</v>
      </c>
      <c r="D76" t="s">
        <v>2795</v>
      </c>
      <c r="E76" t="s">
        <v>2796</v>
      </c>
      <c r="F76">
        <v>5</v>
      </c>
      <c r="G76">
        <v>0</v>
      </c>
      <c r="H76">
        <v>0</v>
      </c>
      <c r="I76">
        <v>0</v>
      </c>
      <c r="J76">
        <v>0</v>
      </c>
      <c r="K76">
        <v>4</v>
      </c>
      <c r="L76" s="67">
        <v>4045</v>
      </c>
      <c r="M76">
        <v>0</v>
      </c>
      <c r="N76">
        <v>0</v>
      </c>
      <c r="O76">
        <v>0</v>
      </c>
      <c r="P76">
        <v>0.41</v>
      </c>
      <c r="Q76" s="67">
        <v>0</v>
      </c>
      <c r="R76">
        <v>0</v>
      </c>
      <c r="S76">
        <v>4015</v>
      </c>
      <c r="T76" s="67">
        <v>4025</v>
      </c>
    </row>
    <row r="77" spans="1:20" x14ac:dyDescent="0.25">
      <c r="A77" t="s">
        <v>2133</v>
      </c>
      <c r="B77" t="s">
        <v>127</v>
      </c>
      <c r="C77">
        <v>9700</v>
      </c>
      <c r="D77" t="s">
        <v>2384</v>
      </c>
      <c r="E77" t="s">
        <v>2385</v>
      </c>
      <c r="F77">
        <v>0</v>
      </c>
      <c r="G77">
        <v>0</v>
      </c>
      <c r="H77">
        <v>17</v>
      </c>
      <c r="I77">
        <v>97.28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0.26</v>
      </c>
      <c r="Q77" s="67">
        <v>0</v>
      </c>
      <c r="R77">
        <v>0</v>
      </c>
      <c r="S77">
        <v>8.91</v>
      </c>
      <c r="T77">
        <v>97.42</v>
      </c>
    </row>
    <row r="78" spans="1:20" x14ac:dyDescent="0.25">
      <c r="A78" t="s">
        <v>2133</v>
      </c>
      <c r="B78" t="s">
        <v>127</v>
      </c>
      <c r="C78">
        <v>9700</v>
      </c>
      <c r="D78" t="s">
        <v>2739</v>
      </c>
      <c r="E78" t="s">
        <v>2740</v>
      </c>
      <c r="F78">
        <v>-17</v>
      </c>
      <c r="G78">
        <v>0</v>
      </c>
      <c r="H78">
        <v>0</v>
      </c>
      <c r="I78">
        <v>0</v>
      </c>
      <c r="J78">
        <v>0</v>
      </c>
      <c r="K78">
        <v>17</v>
      </c>
      <c r="L78">
        <v>97.28</v>
      </c>
      <c r="M78">
        <v>0</v>
      </c>
      <c r="N78">
        <v>0</v>
      </c>
      <c r="O78">
        <v>0</v>
      </c>
      <c r="P78">
        <v>0.26</v>
      </c>
      <c r="Q78" s="67">
        <v>0</v>
      </c>
      <c r="R78">
        <v>0</v>
      </c>
      <c r="S78">
        <v>8.91</v>
      </c>
      <c r="T78">
        <v>97.25</v>
      </c>
    </row>
    <row r="79" spans="1:20" x14ac:dyDescent="0.25">
      <c r="A79" t="s">
        <v>2133</v>
      </c>
      <c r="B79" t="s">
        <v>127</v>
      </c>
      <c r="C79">
        <v>9700</v>
      </c>
      <c r="D79" t="s">
        <v>2490</v>
      </c>
      <c r="E79" t="s">
        <v>2491</v>
      </c>
      <c r="F79">
        <v>0</v>
      </c>
      <c r="G79">
        <v>0</v>
      </c>
      <c r="H79">
        <v>12</v>
      </c>
      <c r="I79" s="67">
        <v>12220</v>
      </c>
      <c r="J79">
        <v>0</v>
      </c>
      <c r="K79">
        <v>0</v>
      </c>
      <c r="L79" s="67">
        <v>0</v>
      </c>
      <c r="M79">
        <v>0</v>
      </c>
      <c r="N79">
        <v>0</v>
      </c>
      <c r="O79">
        <v>0</v>
      </c>
      <c r="P79">
        <v>0.26</v>
      </c>
      <c r="Q79" s="67">
        <v>0</v>
      </c>
      <c r="R79">
        <v>0</v>
      </c>
      <c r="S79">
        <v>8.91</v>
      </c>
      <c r="T79" s="67">
        <v>12220</v>
      </c>
    </row>
    <row r="80" spans="1:20" x14ac:dyDescent="0.25">
      <c r="A80" t="s">
        <v>2133</v>
      </c>
      <c r="B80" t="s">
        <v>127</v>
      </c>
      <c r="C80">
        <v>9700</v>
      </c>
      <c r="D80" t="s">
        <v>2726</v>
      </c>
      <c r="E80" t="s">
        <v>2727</v>
      </c>
      <c r="F80">
        <v>14</v>
      </c>
      <c r="G80">
        <v>0</v>
      </c>
      <c r="H80">
        <v>21</v>
      </c>
      <c r="I80" s="67">
        <v>12084.52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0.26</v>
      </c>
      <c r="Q80" s="67">
        <v>0</v>
      </c>
      <c r="R80">
        <v>0</v>
      </c>
      <c r="S80">
        <v>8.91</v>
      </c>
      <c r="T80" s="67">
        <v>12084</v>
      </c>
    </row>
    <row r="81" spans="1:20" x14ac:dyDescent="0.25">
      <c r="A81" t="s">
        <v>2133</v>
      </c>
      <c r="B81" t="s">
        <v>127</v>
      </c>
      <c r="C81">
        <v>9700</v>
      </c>
      <c r="D81" t="s">
        <v>2453</v>
      </c>
      <c r="E81" t="s">
        <v>2453</v>
      </c>
      <c r="F81">
        <v>0</v>
      </c>
      <c r="G81">
        <v>0</v>
      </c>
      <c r="H81">
        <v>0</v>
      </c>
      <c r="I81">
        <v>0</v>
      </c>
      <c r="J81">
        <v>0</v>
      </c>
      <c r="K81">
        <v>50</v>
      </c>
      <c r="L81" s="67">
        <v>1520</v>
      </c>
      <c r="M81">
        <v>0</v>
      </c>
      <c r="N81">
        <v>1</v>
      </c>
      <c r="O81">
        <v>0</v>
      </c>
      <c r="P81">
        <v>0.26</v>
      </c>
      <c r="Q81" s="67">
        <v>0</v>
      </c>
      <c r="R81">
        <v>0</v>
      </c>
      <c r="S81">
        <v>8.91</v>
      </c>
      <c r="T81" s="67">
        <v>1520</v>
      </c>
    </row>
    <row r="82" spans="1:20" x14ac:dyDescent="0.25">
      <c r="A82" t="s">
        <v>2133</v>
      </c>
      <c r="B82" t="s">
        <v>127</v>
      </c>
      <c r="C82">
        <v>9700</v>
      </c>
      <c r="D82" t="s">
        <v>2454</v>
      </c>
      <c r="E82" t="s">
        <v>2454</v>
      </c>
      <c r="F82">
        <v>0</v>
      </c>
      <c r="G82">
        <v>0</v>
      </c>
      <c r="H82">
        <v>0</v>
      </c>
      <c r="I82">
        <v>0</v>
      </c>
      <c r="J82">
        <v>0</v>
      </c>
      <c r="K82">
        <v>80</v>
      </c>
      <c r="L82" s="67">
        <v>1420</v>
      </c>
      <c r="M82">
        <v>0</v>
      </c>
      <c r="N82">
        <v>1</v>
      </c>
      <c r="O82">
        <v>0</v>
      </c>
      <c r="P82">
        <v>0.26</v>
      </c>
      <c r="Q82" s="67">
        <v>0</v>
      </c>
      <c r="R82">
        <v>0</v>
      </c>
      <c r="S82">
        <v>8.91</v>
      </c>
      <c r="T82" s="67">
        <v>1420</v>
      </c>
    </row>
    <row r="83" spans="1:20" x14ac:dyDescent="0.25">
      <c r="A83" t="s">
        <v>2133</v>
      </c>
      <c r="B83" t="s">
        <v>127</v>
      </c>
      <c r="C83">
        <v>9700</v>
      </c>
      <c r="D83" t="s">
        <v>2797</v>
      </c>
      <c r="E83" t="s">
        <v>2797</v>
      </c>
      <c r="F83">
        <v>18</v>
      </c>
      <c r="G83">
        <v>16.684999999999999</v>
      </c>
      <c r="H83">
        <v>0</v>
      </c>
      <c r="I83">
        <v>0</v>
      </c>
      <c r="J83">
        <v>0</v>
      </c>
      <c r="K83">
        <v>0</v>
      </c>
      <c r="L83" s="67">
        <v>0</v>
      </c>
      <c r="M83">
        <v>0</v>
      </c>
      <c r="N83">
        <v>0.92694600000000005</v>
      </c>
      <c r="O83">
        <v>0</v>
      </c>
      <c r="P83">
        <v>0.26</v>
      </c>
      <c r="Q83" s="67">
        <v>0</v>
      </c>
      <c r="R83">
        <v>0</v>
      </c>
      <c r="S83">
        <v>8.91</v>
      </c>
      <c r="T83" s="67">
        <v>1240</v>
      </c>
    </row>
    <row r="84" spans="1:20" x14ac:dyDescent="0.25">
      <c r="A84" t="s">
        <v>2133</v>
      </c>
      <c r="B84" t="s">
        <v>127</v>
      </c>
      <c r="C84">
        <v>9700</v>
      </c>
      <c r="D84" t="s">
        <v>2798</v>
      </c>
      <c r="E84" t="s">
        <v>2798</v>
      </c>
      <c r="F84">
        <v>40</v>
      </c>
      <c r="G84">
        <v>-4.2960000000000003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-0.10739600000000001</v>
      </c>
      <c r="O84">
        <v>0</v>
      </c>
      <c r="P84">
        <v>0.26</v>
      </c>
      <c r="Q84" s="67">
        <v>0</v>
      </c>
      <c r="R84">
        <v>0</v>
      </c>
      <c r="S84">
        <v>8.91</v>
      </c>
      <c r="T84" s="67">
        <v>57</v>
      </c>
    </row>
    <row r="85" spans="1:20" x14ac:dyDescent="0.25">
      <c r="A85" t="s">
        <v>2133</v>
      </c>
      <c r="B85" t="s">
        <v>127</v>
      </c>
      <c r="C85">
        <v>9700</v>
      </c>
      <c r="D85" t="s">
        <v>2567</v>
      </c>
      <c r="E85" t="s">
        <v>2567</v>
      </c>
      <c r="F85">
        <v>25</v>
      </c>
      <c r="G85">
        <v>19.398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0.77592399999999995</v>
      </c>
      <c r="O85">
        <v>0</v>
      </c>
      <c r="P85">
        <v>0.26</v>
      </c>
      <c r="Q85" s="67">
        <v>0</v>
      </c>
      <c r="R85">
        <v>0</v>
      </c>
      <c r="S85">
        <v>8.91</v>
      </c>
      <c r="T85" s="67">
        <v>1270</v>
      </c>
    </row>
    <row r="86" spans="1:20" x14ac:dyDescent="0.25">
      <c r="A86" t="s">
        <v>2133</v>
      </c>
      <c r="B86" t="s">
        <v>127</v>
      </c>
      <c r="C86">
        <v>9700</v>
      </c>
      <c r="D86" t="s">
        <v>2568</v>
      </c>
      <c r="E86" t="s">
        <v>2568</v>
      </c>
      <c r="F86">
        <v>63</v>
      </c>
      <c r="G86">
        <v>-16.372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-0.25987900000000003</v>
      </c>
      <c r="O86">
        <v>0</v>
      </c>
      <c r="P86">
        <v>0.26</v>
      </c>
      <c r="Q86" s="67">
        <v>0</v>
      </c>
      <c r="R86">
        <v>0</v>
      </c>
      <c r="S86">
        <v>8.91</v>
      </c>
      <c r="T86" s="67">
        <v>332</v>
      </c>
    </row>
    <row r="87" spans="1:20" x14ac:dyDescent="0.25">
      <c r="A87" t="s">
        <v>2133</v>
      </c>
      <c r="B87" t="s">
        <v>127</v>
      </c>
      <c r="C87">
        <v>9700</v>
      </c>
      <c r="D87" t="s">
        <v>2834</v>
      </c>
      <c r="E87" t="s">
        <v>2834</v>
      </c>
      <c r="F87">
        <v>15</v>
      </c>
      <c r="G87">
        <v>12.906000000000001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0.86041599999999996</v>
      </c>
      <c r="O87">
        <v>0</v>
      </c>
      <c r="P87">
        <v>0.26</v>
      </c>
      <c r="Q87" s="67">
        <v>0</v>
      </c>
      <c r="R87">
        <v>0</v>
      </c>
      <c r="S87">
        <v>8.91</v>
      </c>
      <c r="T87" s="67">
        <v>970</v>
      </c>
    </row>
    <row r="88" spans="1:20" x14ac:dyDescent="0.25">
      <c r="A88" t="s">
        <v>2133</v>
      </c>
      <c r="B88" t="s">
        <v>127</v>
      </c>
      <c r="C88">
        <v>9700</v>
      </c>
      <c r="D88" t="s">
        <v>2808</v>
      </c>
      <c r="E88" t="s">
        <v>2808</v>
      </c>
      <c r="F88">
        <v>30</v>
      </c>
      <c r="G88">
        <v>-4.726</v>
      </c>
      <c r="H88">
        <v>0</v>
      </c>
      <c r="I88" s="67">
        <v>0</v>
      </c>
      <c r="J88">
        <v>0</v>
      </c>
      <c r="K88">
        <v>0</v>
      </c>
      <c r="L88">
        <v>0</v>
      </c>
      <c r="M88">
        <v>0</v>
      </c>
      <c r="N88">
        <v>-0.15753200000000001</v>
      </c>
      <c r="O88">
        <v>0</v>
      </c>
      <c r="P88">
        <v>0.26</v>
      </c>
      <c r="Q88" s="67">
        <v>0</v>
      </c>
      <c r="R88">
        <v>0</v>
      </c>
      <c r="S88">
        <v>8.91</v>
      </c>
      <c r="T88" s="67">
        <v>84</v>
      </c>
    </row>
    <row r="89" spans="1:20" x14ac:dyDescent="0.25">
      <c r="A89" t="s">
        <v>1047</v>
      </c>
      <c r="B89" t="s">
        <v>140</v>
      </c>
      <c r="C89">
        <v>9070</v>
      </c>
      <c r="D89" t="s">
        <v>953</v>
      </c>
      <c r="E89" t="s">
        <v>954</v>
      </c>
      <c r="F89">
        <v>40</v>
      </c>
      <c r="G89">
        <v>-32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-0.8</v>
      </c>
      <c r="O89">
        <v>29</v>
      </c>
      <c r="P89">
        <v>0.88</v>
      </c>
      <c r="Q89" s="67">
        <v>10</v>
      </c>
      <c r="R89">
        <v>0.8</v>
      </c>
      <c r="S89">
        <v>1.58</v>
      </c>
      <c r="T89" s="67">
        <v>6.75</v>
      </c>
    </row>
    <row r="90" spans="1:20" x14ac:dyDescent="0.25">
      <c r="A90" t="s">
        <v>1047</v>
      </c>
      <c r="B90" t="s">
        <v>140</v>
      </c>
      <c r="C90">
        <v>9070</v>
      </c>
      <c r="D90" t="s">
        <v>955</v>
      </c>
      <c r="E90" t="s">
        <v>956</v>
      </c>
      <c r="F90">
        <v>20</v>
      </c>
      <c r="G90">
        <v>-14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-0.7</v>
      </c>
      <c r="O90">
        <v>34</v>
      </c>
      <c r="P90">
        <v>0.88</v>
      </c>
      <c r="Q90" s="67">
        <v>10.82</v>
      </c>
      <c r="R90">
        <v>0.7</v>
      </c>
      <c r="S90">
        <v>1.58</v>
      </c>
      <c r="T90" s="67">
        <v>6.4</v>
      </c>
    </row>
    <row r="91" spans="1:20" x14ac:dyDescent="0.25">
      <c r="A91" t="s">
        <v>1047</v>
      </c>
      <c r="B91" t="s">
        <v>140</v>
      </c>
      <c r="C91">
        <v>9070</v>
      </c>
      <c r="D91" t="s">
        <v>957</v>
      </c>
      <c r="E91" t="s">
        <v>958</v>
      </c>
      <c r="F91">
        <v>30</v>
      </c>
      <c r="G91">
        <v>-30</v>
      </c>
      <c r="H91">
        <v>0</v>
      </c>
      <c r="I91" s="67">
        <v>0</v>
      </c>
      <c r="J91">
        <v>0</v>
      </c>
      <c r="K91">
        <v>0</v>
      </c>
      <c r="L91" s="67">
        <v>0</v>
      </c>
      <c r="M91">
        <v>0</v>
      </c>
      <c r="N91">
        <v>-1</v>
      </c>
      <c r="O91">
        <v>23</v>
      </c>
      <c r="P91">
        <v>0.88</v>
      </c>
      <c r="Q91" s="67">
        <v>11.9</v>
      </c>
      <c r="R91">
        <v>1</v>
      </c>
      <c r="S91">
        <v>1.58</v>
      </c>
      <c r="T91" s="67">
        <v>10.199999999999999</v>
      </c>
    </row>
    <row r="92" spans="1:20" x14ac:dyDescent="0.25">
      <c r="A92" t="s">
        <v>1047</v>
      </c>
      <c r="B92" t="s">
        <v>140</v>
      </c>
      <c r="C92">
        <v>9070</v>
      </c>
      <c r="D92" t="s">
        <v>969</v>
      </c>
      <c r="E92" t="s">
        <v>970</v>
      </c>
      <c r="F92">
        <v>10</v>
      </c>
      <c r="G92">
        <v>-5</v>
      </c>
      <c r="H92">
        <v>0</v>
      </c>
      <c r="I92">
        <v>0</v>
      </c>
      <c r="J92">
        <v>0</v>
      </c>
      <c r="K92">
        <v>0</v>
      </c>
      <c r="L92" s="67">
        <v>0</v>
      </c>
      <c r="M92">
        <v>0</v>
      </c>
      <c r="N92">
        <v>-0.5</v>
      </c>
      <c r="O92">
        <v>41</v>
      </c>
      <c r="P92">
        <v>0.88</v>
      </c>
      <c r="Q92" s="67">
        <v>12.5</v>
      </c>
      <c r="R92">
        <v>0.5</v>
      </c>
      <c r="S92">
        <v>1.58</v>
      </c>
      <c r="T92" s="67">
        <v>5.4</v>
      </c>
    </row>
    <row r="93" spans="1:20" x14ac:dyDescent="0.25">
      <c r="A93" t="s">
        <v>1047</v>
      </c>
      <c r="B93" t="s">
        <v>140</v>
      </c>
      <c r="C93">
        <v>9070</v>
      </c>
      <c r="D93" t="s">
        <v>971</v>
      </c>
      <c r="E93" t="s">
        <v>972</v>
      </c>
      <c r="F93">
        <v>30</v>
      </c>
      <c r="G93">
        <v>-15</v>
      </c>
      <c r="H93">
        <v>0</v>
      </c>
      <c r="I93" s="67">
        <v>0</v>
      </c>
      <c r="J93">
        <v>0</v>
      </c>
      <c r="K93">
        <v>0</v>
      </c>
      <c r="L93">
        <v>0</v>
      </c>
      <c r="M93">
        <v>0</v>
      </c>
      <c r="N93">
        <v>-0.5</v>
      </c>
      <c r="O93">
        <v>41</v>
      </c>
      <c r="P93">
        <v>0.88</v>
      </c>
      <c r="Q93" s="67">
        <v>11.5</v>
      </c>
      <c r="R93">
        <v>0.5</v>
      </c>
      <c r="S93">
        <v>1.58</v>
      </c>
      <c r="T93" s="67">
        <v>4.9400000000000004</v>
      </c>
    </row>
    <row r="94" spans="1:20" x14ac:dyDescent="0.25">
      <c r="A94" t="s">
        <v>1047</v>
      </c>
      <c r="B94" t="s">
        <v>140</v>
      </c>
      <c r="C94">
        <v>9070</v>
      </c>
      <c r="D94" t="s">
        <v>1048</v>
      </c>
      <c r="E94" t="s">
        <v>1049</v>
      </c>
      <c r="F94">
        <v>20</v>
      </c>
      <c r="G94">
        <v>-19.998000000000001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-0.99990199999999996</v>
      </c>
      <c r="O94">
        <v>65</v>
      </c>
      <c r="P94">
        <v>0.88</v>
      </c>
      <c r="Q94" s="67">
        <v>7</v>
      </c>
      <c r="R94">
        <v>1</v>
      </c>
      <c r="S94">
        <v>1.58</v>
      </c>
      <c r="T94" s="67">
        <v>5.35</v>
      </c>
    </row>
    <row r="95" spans="1:20" x14ac:dyDescent="0.25">
      <c r="A95" t="s">
        <v>1050</v>
      </c>
      <c r="B95" t="s">
        <v>952</v>
      </c>
      <c r="C95">
        <v>9700</v>
      </c>
      <c r="D95" t="s">
        <v>3017</v>
      </c>
      <c r="E95" t="s">
        <v>3018</v>
      </c>
      <c r="F95">
        <v>499</v>
      </c>
      <c r="G95">
        <v>14.305999999999999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2.8670000000000001E-2</v>
      </c>
      <c r="O95">
        <v>292</v>
      </c>
      <c r="P95">
        <v>0.32</v>
      </c>
      <c r="Q95" s="67">
        <v>360</v>
      </c>
      <c r="R95">
        <v>0.05</v>
      </c>
      <c r="S95">
        <v>363</v>
      </c>
      <c r="T95" s="67">
        <v>1.93</v>
      </c>
    </row>
    <row r="96" spans="1:20" x14ac:dyDescent="0.25">
      <c r="A96" t="s">
        <v>1050</v>
      </c>
      <c r="B96" t="s">
        <v>952</v>
      </c>
      <c r="C96">
        <v>9700</v>
      </c>
      <c r="D96" t="s">
        <v>3019</v>
      </c>
      <c r="E96" t="s">
        <v>3020</v>
      </c>
      <c r="F96">
        <v>600</v>
      </c>
      <c r="G96">
        <v>28.033000000000001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4.6720999999999999E-2</v>
      </c>
      <c r="O96">
        <v>176</v>
      </c>
      <c r="P96">
        <v>0.32</v>
      </c>
      <c r="Q96" s="67">
        <v>380</v>
      </c>
      <c r="R96">
        <v>0.1</v>
      </c>
      <c r="S96">
        <v>363</v>
      </c>
      <c r="T96" s="67">
        <v>2.59</v>
      </c>
    </row>
    <row r="97" spans="1:20" x14ac:dyDescent="0.25">
      <c r="A97" t="s">
        <v>1050</v>
      </c>
      <c r="B97" t="s">
        <v>952</v>
      </c>
      <c r="C97">
        <v>9700</v>
      </c>
      <c r="D97" t="s">
        <v>3021</v>
      </c>
      <c r="E97" t="s">
        <v>3022</v>
      </c>
      <c r="F97">
        <v>699</v>
      </c>
      <c r="G97">
        <v>17.132000000000001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2.4510000000000001E-2</v>
      </c>
      <c r="O97">
        <v>182</v>
      </c>
      <c r="P97">
        <v>0.32</v>
      </c>
      <c r="Q97" s="67">
        <v>350</v>
      </c>
      <c r="R97">
        <v>0.04</v>
      </c>
      <c r="S97">
        <v>363</v>
      </c>
      <c r="T97" s="67">
        <v>1.45</v>
      </c>
    </row>
    <row r="98" spans="1:20" x14ac:dyDescent="0.25">
      <c r="A98" t="s">
        <v>1050</v>
      </c>
      <c r="B98" t="s">
        <v>952</v>
      </c>
      <c r="C98">
        <v>9700</v>
      </c>
      <c r="D98" t="s">
        <v>3023</v>
      </c>
      <c r="E98" t="s">
        <v>3024</v>
      </c>
      <c r="F98">
        <v>0</v>
      </c>
      <c r="G98">
        <v>0</v>
      </c>
      <c r="H98">
        <v>20</v>
      </c>
      <c r="I98">
        <v>369</v>
      </c>
      <c r="J98">
        <v>0</v>
      </c>
      <c r="K98">
        <v>52</v>
      </c>
      <c r="L98">
        <v>363.86</v>
      </c>
      <c r="M98">
        <v>0</v>
      </c>
      <c r="N98">
        <v>0</v>
      </c>
      <c r="O98">
        <v>0</v>
      </c>
      <c r="P98">
        <v>0.32</v>
      </c>
      <c r="Q98" s="67">
        <v>0</v>
      </c>
      <c r="R98">
        <v>0</v>
      </c>
      <c r="S98">
        <v>363</v>
      </c>
      <c r="T98" s="67">
        <v>363.86</v>
      </c>
    </row>
    <row r="99" spans="1:20" x14ac:dyDescent="0.25">
      <c r="A99" t="s">
        <v>1050</v>
      </c>
      <c r="B99" t="s">
        <v>952</v>
      </c>
      <c r="C99">
        <v>9700</v>
      </c>
      <c r="D99" t="s">
        <v>2582</v>
      </c>
      <c r="E99" t="s">
        <v>2583</v>
      </c>
      <c r="F99">
        <v>2</v>
      </c>
      <c r="G99">
        <v>0</v>
      </c>
      <c r="H99">
        <v>14</v>
      </c>
      <c r="I99">
        <v>369.43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0.32</v>
      </c>
      <c r="Q99" s="67">
        <v>0</v>
      </c>
      <c r="R99">
        <v>0</v>
      </c>
      <c r="S99">
        <v>363</v>
      </c>
      <c r="T99" s="67">
        <v>365</v>
      </c>
    </row>
    <row r="100" spans="1:20" x14ac:dyDescent="0.25">
      <c r="A100" t="s">
        <v>1050</v>
      </c>
      <c r="B100" t="s">
        <v>952</v>
      </c>
      <c r="C100">
        <v>9700</v>
      </c>
      <c r="D100" t="s">
        <v>1014</v>
      </c>
      <c r="E100" t="s">
        <v>1015</v>
      </c>
      <c r="F100">
        <v>131</v>
      </c>
      <c r="G100">
        <v>0</v>
      </c>
      <c r="H100">
        <v>0</v>
      </c>
      <c r="I100">
        <v>0</v>
      </c>
      <c r="J100">
        <v>0</v>
      </c>
      <c r="K100">
        <v>0</v>
      </c>
      <c r="L100" s="67">
        <v>0</v>
      </c>
      <c r="M100">
        <v>0</v>
      </c>
      <c r="N100">
        <v>0</v>
      </c>
      <c r="O100">
        <v>0</v>
      </c>
      <c r="P100">
        <v>0.32</v>
      </c>
      <c r="Q100" s="67">
        <v>0</v>
      </c>
      <c r="R100">
        <v>0</v>
      </c>
      <c r="S100">
        <v>363</v>
      </c>
      <c r="T100" s="67">
        <v>364.5</v>
      </c>
    </row>
    <row r="101" spans="1:20" x14ac:dyDescent="0.25">
      <c r="A101" t="s">
        <v>1050</v>
      </c>
      <c r="B101" t="s">
        <v>952</v>
      </c>
      <c r="C101">
        <v>9700</v>
      </c>
      <c r="D101" t="s">
        <v>2994</v>
      </c>
      <c r="E101" t="s">
        <v>2995</v>
      </c>
      <c r="F101">
        <v>27</v>
      </c>
      <c r="G101">
        <v>0</v>
      </c>
      <c r="H101">
        <v>0</v>
      </c>
      <c r="I101" s="67">
        <v>0</v>
      </c>
      <c r="J101">
        <v>0</v>
      </c>
      <c r="K101">
        <v>0</v>
      </c>
      <c r="L101" s="67">
        <v>0</v>
      </c>
      <c r="M101">
        <v>0</v>
      </c>
      <c r="N101">
        <v>0</v>
      </c>
      <c r="O101">
        <v>0</v>
      </c>
      <c r="P101">
        <v>0.32</v>
      </c>
      <c r="Q101" s="67">
        <v>0</v>
      </c>
      <c r="R101">
        <v>0</v>
      </c>
      <c r="S101">
        <v>363</v>
      </c>
      <c r="T101" s="67">
        <v>364.5</v>
      </c>
    </row>
    <row r="102" spans="1:20" x14ac:dyDescent="0.25">
      <c r="A102" t="s">
        <v>2852</v>
      </c>
      <c r="B102" t="s">
        <v>976</v>
      </c>
      <c r="C102">
        <v>9600</v>
      </c>
      <c r="D102" t="s">
        <v>977</v>
      </c>
      <c r="E102" t="s">
        <v>978</v>
      </c>
      <c r="F102">
        <v>7</v>
      </c>
      <c r="G102">
        <v>1.7999999999999999E-2</v>
      </c>
      <c r="H102">
        <v>0</v>
      </c>
      <c r="I102">
        <v>0</v>
      </c>
      <c r="J102">
        <v>0</v>
      </c>
      <c r="K102">
        <v>0</v>
      </c>
      <c r="L102" s="67">
        <v>0</v>
      </c>
      <c r="M102">
        <v>0</v>
      </c>
      <c r="N102">
        <v>2.562E-3</v>
      </c>
      <c r="O102">
        <v>7</v>
      </c>
      <c r="P102">
        <v>0.3</v>
      </c>
      <c r="Q102" s="67">
        <v>250</v>
      </c>
      <c r="R102">
        <v>0.1</v>
      </c>
      <c r="S102">
        <v>230</v>
      </c>
      <c r="T102" s="67">
        <v>0.13</v>
      </c>
    </row>
    <row r="103" spans="1:20" x14ac:dyDescent="0.25">
      <c r="A103" t="s">
        <v>2852</v>
      </c>
      <c r="B103" t="s">
        <v>976</v>
      </c>
      <c r="C103">
        <v>9600</v>
      </c>
      <c r="D103" t="s">
        <v>979</v>
      </c>
      <c r="E103" t="s">
        <v>980</v>
      </c>
      <c r="F103">
        <v>40</v>
      </c>
      <c r="G103">
        <v>0.66900000000000004</v>
      </c>
      <c r="H103">
        <v>0</v>
      </c>
      <c r="I103" s="67">
        <v>0</v>
      </c>
      <c r="J103">
        <v>0</v>
      </c>
      <c r="K103">
        <v>0</v>
      </c>
      <c r="L103">
        <v>0</v>
      </c>
      <c r="M103">
        <v>0</v>
      </c>
      <c r="N103">
        <v>1.6729000000000001E-2</v>
      </c>
      <c r="O103">
        <v>19</v>
      </c>
      <c r="P103">
        <v>0.3</v>
      </c>
      <c r="Q103" s="67">
        <v>240</v>
      </c>
      <c r="R103">
        <v>0.06</v>
      </c>
      <c r="S103">
        <v>230</v>
      </c>
      <c r="T103" s="67">
        <v>0.37</v>
      </c>
    </row>
    <row r="104" spans="1:20" x14ac:dyDescent="0.25">
      <c r="A104" t="s">
        <v>2852</v>
      </c>
      <c r="B104" t="s">
        <v>976</v>
      </c>
      <c r="C104">
        <v>9600</v>
      </c>
      <c r="D104" t="s">
        <v>997</v>
      </c>
      <c r="E104" t="s">
        <v>998</v>
      </c>
      <c r="F104">
        <v>32</v>
      </c>
      <c r="G104">
        <v>0.26500000000000001</v>
      </c>
      <c r="H104">
        <v>0</v>
      </c>
      <c r="I104" s="67">
        <v>0</v>
      </c>
      <c r="J104">
        <v>0</v>
      </c>
      <c r="K104">
        <v>0</v>
      </c>
      <c r="L104" s="67">
        <v>0</v>
      </c>
      <c r="M104">
        <v>0</v>
      </c>
      <c r="N104">
        <v>8.2690000000000003E-3</v>
      </c>
      <c r="O104">
        <v>55</v>
      </c>
      <c r="P104">
        <v>0.3</v>
      </c>
      <c r="Q104" s="67">
        <v>260</v>
      </c>
      <c r="R104">
        <v>0.05</v>
      </c>
      <c r="S104">
        <v>230</v>
      </c>
      <c r="T104" s="67">
        <v>0.51</v>
      </c>
    </row>
    <row r="105" spans="1:20" x14ac:dyDescent="0.25">
      <c r="A105" t="s">
        <v>2951</v>
      </c>
      <c r="B105" t="s">
        <v>2952</v>
      </c>
      <c r="C105">
        <v>9020</v>
      </c>
      <c r="D105" t="s">
        <v>3035</v>
      </c>
      <c r="E105" t="s">
        <v>3036</v>
      </c>
      <c r="F105">
        <v>80</v>
      </c>
      <c r="G105">
        <v>31.196000000000002</v>
      </c>
      <c r="H105">
        <v>80</v>
      </c>
      <c r="I105" s="67">
        <v>0.94</v>
      </c>
      <c r="J105">
        <v>0.374</v>
      </c>
      <c r="K105">
        <v>0</v>
      </c>
      <c r="L105" s="67">
        <v>0</v>
      </c>
      <c r="M105">
        <v>0</v>
      </c>
      <c r="N105">
        <v>0.38995600000000002</v>
      </c>
      <c r="O105">
        <v>71</v>
      </c>
      <c r="P105">
        <v>0.23</v>
      </c>
      <c r="Q105" s="67">
        <v>16.66</v>
      </c>
      <c r="R105">
        <v>1.05</v>
      </c>
      <c r="S105">
        <v>16</v>
      </c>
      <c r="T105" s="67">
        <v>0.88</v>
      </c>
    </row>
    <row r="106" spans="1:20" x14ac:dyDescent="0.25">
      <c r="A106" t="s">
        <v>2951</v>
      </c>
      <c r="B106" t="s">
        <v>2952</v>
      </c>
      <c r="C106">
        <v>9020</v>
      </c>
      <c r="D106" t="s">
        <v>3004</v>
      </c>
      <c r="E106" t="s">
        <v>3005</v>
      </c>
      <c r="F106">
        <v>0</v>
      </c>
      <c r="G106">
        <v>0</v>
      </c>
      <c r="H106">
        <v>0</v>
      </c>
      <c r="I106" s="67">
        <v>0</v>
      </c>
      <c r="J106">
        <v>0</v>
      </c>
      <c r="K106">
        <v>60</v>
      </c>
      <c r="L106" s="67">
        <v>1.67</v>
      </c>
      <c r="M106">
        <v>0.37</v>
      </c>
      <c r="N106">
        <v>0.52927299999999999</v>
      </c>
      <c r="O106">
        <v>152</v>
      </c>
      <c r="P106">
        <v>0.23</v>
      </c>
      <c r="Q106" s="67">
        <v>16.190000000000001</v>
      </c>
      <c r="R106">
        <v>1.05</v>
      </c>
      <c r="S106">
        <v>16</v>
      </c>
      <c r="T106" s="67">
        <v>1.65</v>
      </c>
    </row>
    <row r="107" spans="1:20" x14ac:dyDescent="0.25">
      <c r="A107" t="s">
        <v>2951</v>
      </c>
      <c r="B107" t="s">
        <v>2952</v>
      </c>
      <c r="C107">
        <v>9020</v>
      </c>
      <c r="D107" t="s">
        <v>3037</v>
      </c>
      <c r="E107" t="s">
        <v>3038</v>
      </c>
      <c r="F107">
        <v>6</v>
      </c>
      <c r="G107">
        <v>0</v>
      </c>
      <c r="H107">
        <v>6</v>
      </c>
      <c r="I107" s="67">
        <v>16.25</v>
      </c>
      <c r="J107">
        <v>0</v>
      </c>
      <c r="K107">
        <v>0</v>
      </c>
      <c r="L107" s="67">
        <v>0</v>
      </c>
      <c r="M107">
        <v>0</v>
      </c>
      <c r="N107">
        <v>0</v>
      </c>
      <c r="O107">
        <v>0</v>
      </c>
      <c r="P107">
        <v>0.23</v>
      </c>
      <c r="Q107" s="67">
        <v>0</v>
      </c>
      <c r="R107">
        <v>0</v>
      </c>
      <c r="S107">
        <v>16</v>
      </c>
      <c r="T107" s="67">
        <v>16.05</v>
      </c>
    </row>
    <row r="108" spans="1:20" x14ac:dyDescent="0.25">
      <c r="A108" t="s">
        <v>2853</v>
      </c>
      <c r="B108" t="s">
        <v>976</v>
      </c>
      <c r="C108">
        <v>9600</v>
      </c>
      <c r="D108" t="s">
        <v>993</v>
      </c>
      <c r="E108" t="s">
        <v>994</v>
      </c>
      <c r="F108">
        <v>17</v>
      </c>
      <c r="G108">
        <v>0.27</v>
      </c>
      <c r="H108">
        <v>0</v>
      </c>
      <c r="I108">
        <v>0</v>
      </c>
      <c r="J108">
        <v>0</v>
      </c>
      <c r="K108">
        <v>0</v>
      </c>
      <c r="L108" s="67">
        <v>0</v>
      </c>
      <c r="M108">
        <v>0</v>
      </c>
      <c r="N108">
        <v>1.5852999999999999E-2</v>
      </c>
      <c r="O108">
        <v>61</v>
      </c>
      <c r="P108">
        <v>0.31</v>
      </c>
      <c r="Q108" s="67">
        <v>230</v>
      </c>
      <c r="R108">
        <v>0.03</v>
      </c>
      <c r="S108">
        <v>230</v>
      </c>
      <c r="T108" s="67">
        <v>0.53</v>
      </c>
    </row>
    <row r="109" spans="1:20" x14ac:dyDescent="0.25">
      <c r="A109" t="s">
        <v>2853</v>
      </c>
      <c r="B109" t="s">
        <v>976</v>
      </c>
      <c r="C109">
        <v>9600</v>
      </c>
      <c r="D109" t="s">
        <v>995</v>
      </c>
      <c r="E109" t="s">
        <v>996</v>
      </c>
      <c r="F109">
        <v>33</v>
      </c>
      <c r="G109">
        <v>0.35</v>
      </c>
      <c r="H109">
        <v>0</v>
      </c>
      <c r="I109">
        <v>0</v>
      </c>
      <c r="J109">
        <v>0</v>
      </c>
      <c r="K109">
        <v>0</v>
      </c>
      <c r="L109" s="67">
        <v>0</v>
      </c>
      <c r="M109">
        <v>0</v>
      </c>
      <c r="N109">
        <v>1.0607999999999999E-2</v>
      </c>
      <c r="O109">
        <v>103</v>
      </c>
      <c r="P109">
        <v>0.31</v>
      </c>
      <c r="Q109" s="67">
        <v>266</v>
      </c>
      <c r="R109">
        <v>0.05</v>
      </c>
      <c r="S109">
        <v>230</v>
      </c>
      <c r="T109" s="67">
        <v>0.4</v>
      </c>
    </row>
    <row r="110" spans="1:20" x14ac:dyDescent="0.25">
      <c r="A110" t="s">
        <v>2193</v>
      </c>
      <c r="B110" t="s">
        <v>2194</v>
      </c>
      <c r="C110">
        <v>9070</v>
      </c>
      <c r="D110" t="s">
        <v>3006</v>
      </c>
      <c r="E110" t="s">
        <v>3007</v>
      </c>
      <c r="F110">
        <v>18</v>
      </c>
      <c r="G110">
        <v>0.48899999999999999</v>
      </c>
      <c r="H110">
        <v>0</v>
      </c>
      <c r="I110" s="67">
        <v>0</v>
      </c>
      <c r="J110">
        <v>0</v>
      </c>
      <c r="K110">
        <v>0</v>
      </c>
      <c r="L110">
        <v>0</v>
      </c>
      <c r="M110">
        <v>0</v>
      </c>
      <c r="N110">
        <v>2.7139E-2</v>
      </c>
      <c r="O110">
        <v>149</v>
      </c>
      <c r="P110">
        <v>0.61</v>
      </c>
      <c r="Q110" s="67">
        <v>125</v>
      </c>
      <c r="R110">
        <v>0.04</v>
      </c>
      <c r="S110">
        <v>138.5</v>
      </c>
      <c r="T110" s="67">
        <v>1.35</v>
      </c>
    </row>
    <row r="111" spans="1:20" x14ac:dyDescent="0.25">
      <c r="A111" t="s">
        <v>2193</v>
      </c>
      <c r="B111" t="s">
        <v>2194</v>
      </c>
      <c r="C111">
        <v>9070</v>
      </c>
      <c r="D111" t="s">
        <v>2977</v>
      </c>
      <c r="E111" t="s">
        <v>2978</v>
      </c>
      <c r="F111">
        <v>6</v>
      </c>
      <c r="G111">
        <v>0.253</v>
      </c>
      <c r="H111">
        <v>0</v>
      </c>
      <c r="I111" s="67">
        <v>0</v>
      </c>
      <c r="J111">
        <v>0</v>
      </c>
      <c r="K111">
        <v>0</v>
      </c>
      <c r="L111" s="67">
        <v>0</v>
      </c>
      <c r="M111">
        <v>0</v>
      </c>
      <c r="N111">
        <v>4.2189999999999998E-2</v>
      </c>
      <c r="O111">
        <v>135</v>
      </c>
      <c r="P111">
        <v>0.61</v>
      </c>
      <c r="Q111" s="67">
        <v>145</v>
      </c>
      <c r="R111">
        <v>0.08</v>
      </c>
      <c r="S111">
        <v>138.5</v>
      </c>
      <c r="T111" s="67">
        <v>2.4900000000000002</v>
      </c>
    </row>
    <row r="112" spans="1:20" x14ac:dyDescent="0.25">
      <c r="A112" t="s">
        <v>2193</v>
      </c>
      <c r="B112" t="s">
        <v>2194</v>
      </c>
      <c r="C112">
        <v>9070</v>
      </c>
      <c r="D112" t="s">
        <v>2979</v>
      </c>
      <c r="E112" t="s">
        <v>2980</v>
      </c>
      <c r="F112">
        <v>34</v>
      </c>
      <c r="G112">
        <v>1.093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3.2160000000000001E-2</v>
      </c>
      <c r="O112">
        <v>217</v>
      </c>
      <c r="P112">
        <v>0.61</v>
      </c>
      <c r="Q112" s="67">
        <v>140</v>
      </c>
      <c r="R112">
        <v>5.5E-2</v>
      </c>
      <c r="S112">
        <v>138.5</v>
      </c>
      <c r="T112" s="67">
        <v>1.85</v>
      </c>
    </row>
    <row r="113" spans="1:20" x14ac:dyDescent="0.25">
      <c r="A113" t="s">
        <v>2193</v>
      </c>
      <c r="B113" t="s">
        <v>2194</v>
      </c>
      <c r="C113">
        <v>9070</v>
      </c>
      <c r="D113" t="s">
        <v>2981</v>
      </c>
      <c r="E113" t="s">
        <v>2982</v>
      </c>
      <c r="F113">
        <v>29</v>
      </c>
      <c r="G113">
        <v>0.59599999999999997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2.0535000000000001E-2</v>
      </c>
      <c r="O113">
        <v>180</v>
      </c>
      <c r="P113">
        <v>0.61</v>
      </c>
      <c r="Q113" s="67">
        <v>133.19999999999999</v>
      </c>
      <c r="R113">
        <v>3.3000000000000002E-2</v>
      </c>
      <c r="S113">
        <v>138.5</v>
      </c>
      <c r="T113" s="67">
        <v>1.26</v>
      </c>
    </row>
    <row r="114" spans="1:20" x14ac:dyDescent="0.25">
      <c r="A114" t="s">
        <v>2193</v>
      </c>
      <c r="B114" t="s">
        <v>2194</v>
      </c>
      <c r="C114">
        <v>9070</v>
      </c>
      <c r="D114" t="s">
        <v>2983</v>
      </c>
      <c r="E114" t="s">
        <v>2984</v>
      </c>
      <c r="F114">
        <v>29</v>
      </c>
      <c r="G114">
        <v>0.52600000000000002</v>
      </c>
      <c r="H114">
        <v>0</v>
      </c>
      <c r="I114" s="67">
        <v>0</v>
      </c>
      <c r="J114">
        <v>0</v>
      </c>
      <c r="K114">
        <v>0</v>
      </c>
      <c r="L114">
        <v>0</v>
      </c>
      <c r="M114">
        <v>0</v>
      </c>
      <c r="N114">
        <v>1.813E-2</v>
      </c>
      <c r="O114">
        <v>180</v>
      </c>
      <c r="P114">
        <v>0.61</v>
      </c>
      <c r="Q114" s="67">
        <v>135.9</v>
      </c>
      <c r="R114">
        <v>0.03</v>
      </c>
      <c r="S114">
        <v>138.5</v>
      </c>
      <c r="T114" s="67">
        <v>1.1599999999999999</v>
      </c>
    </row>
    <row r="115" spans="1:20" x14ac:dyDescent="0.25">
      <c r="A115" t="s">
        <v>2193</v>
      </c>
      <c r="B115" t="s">
        <v>2194</v>
      </c>
      <c r="C115">
        <v>9070</v>
      </c>
      <c r="D115" t="s">
        <v>2985</v>
      </c>
      <c r="E115" t="s">
        <v>2986</v>
      </c>
      <c r="F115">
        <v>29</v>
      </c>
      <c r="G115">
        <v>0.48299999999999998</v>
      </c>
      <c r="H115">
        <v>0</v>
      </c>
      <c r="I115" s="67">
        <v>0</v>
      </c>
      <c r="J115">
        <v>0</v>
      </c>
      <c r="K115">
        <v>0</v>
      </c>
      <c r="L115" s="67">
        <v>0</v>
      </c>
      <c r="M115">
        <v>0</v>
      </c>
      <c r="N115">
        <v>1.6664000000000002E-2</v>
      </c>
      <c r="O115">
        <v>217</v>
      </c>
      <c r="P115">
        <v>0.61</v>
      </c>
      <c r="Q115" s="67">
        <v>126.7</v>
      </c>
      <c r="R115">
        <v>2.5000000000000001E-2</v>
      </c>
      <c r="S115">
        <v>138.5</v>
      </c>
      <c r="T115" s="67">
        <v>1.0900000000000001</v>
      </c>
    </row>
    <row r="116" spans="1:20" x14ac:dyDescent="0.25">
      <c r="A116" t="s">
        <v>2193</v>
      </c>
      <c r="B116" t="s">
        <v>2194</v>
      </c>
      <c r="C116">
        <v>9070</v>
      </c>
      <c r="D116" t="s">
        <v>3008</v>
      </c>
      <c r="E116" t="s">
        <v>3009</v>
      </c>
      <c r="F116">
        <v>23</v>
      </c>
      <c r="G116">
        <v>0.60499999999999998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2.6283999999999998E-2</v>
      </c>
      <c r="O116">
        <v>217</v>
      </c>
      <c r="P116">
        <v>0.61</v>
      </c>
      <c r="Q116" s="67">
        <v>150</v>
      </c>
      <c r="R116">
        <v>0.05</v>
      </c>
      <c r="S116">
        <v>138.5</v>
      </c>
      <c r="T116" s="67">
        <v>1.55</v>
      </c>
    </row>
    <row r="117" spans="1:20" x14ac:dyDescent="0.25">
      <c r="A117" t="s">
        <v>2193</v>
      </c>
      <c r="B117" t="s">
        <v>2194</v>
      </c>
      <c r="C117">
        <v>9070</v>
      </c>
      <c r="D117" t="s">
        <v>2987</v>
      </c>
      <c r="E117" t="s">
        <v>2988</v>
      </c>
      <c r="F117">
        <v>6</v>
      </c>
      <c r="G117">
        <v>0.20300000000000001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3.3896999999999997E-2</v>
      </c>
      <c r="O117">
        <v>159</v>
      </c>
      <c r="P117">
        <v>0.61</v>
      </c>
      <c r="Q117" s="67">
        <v>125</v>
      </c>
      <c r="R117">
        <v>0.05</v>
      </c>
      <c r="S117">
        <v>138.5</v>
      </c>
      <c r="T117">
        <v>1.72</v>
      </c>
    </row>
    <row r="118" spans="1:20" x14ac:dyDescent="0.25">
      <c r="A118" t="s">
        <v>2193</v>
      </c>
      <c r="B118" t="s">
        <v>2194</v>
      </c>
      <c r="C118">
        <v>9070</v>
      </c>
      <c r="D118" t="s">
        <v>2989</v>
      </c>
      <c r="E118" t="s">
        <v>2990</v>
      </c>
      <c r="F118">
        <v>6</v>
      </c>
      <c r="G118">
        <v>0.10100000000000001</v>
      </c>
      <c r="H118">
        <v>0</v>
      </c>
      <c r="I118" s="67">
        <v>0</v>
      </c>
      <c r="J118">
        <v>0</v>
      </c>
      <c r="K118">
        <v>0</v>
      </c>
      <c r="L118">
        <v>0</v>
      </c>
      <c r="M118">
        <v>0</v>
      </c>
      <c r="N118">
        <v>1.6861999999999999E-2</v>
      </c>
      <c r="O118">
        <v>222</v>
      </c>
      <c r="P118">
        <v>0.61</v>
      </c>
      <c r="Q118" s="67">
        <v>144</v>
      </c>
      <c r="R118">
        <v>0.03</v>
      </c>
      <c r="S118">
        <v>138.5</v>
      </c>
      <c r="T118" s="67">
        <v>1.05</v>
      </c>
    </row>
    <row r="119" spans="1:20" x14ac:dyDescent="0.25">
      <c r="A119" t="s">
        <v>1051</v>
      </c>
      <c r="B119" t="s">
        <v>985</v>
      </c>
      <c r="C119">
        <v>9020</v>
      </c>
      <c r="D119" t="s">
        <v>3039</v>
      </c>
      <c r="E119" t="s">
        <v>3040</v>
      </c>
      <c r="F119">
        <v>175</v>
      </c>
      <c r="G119">
        <v>75.766999999999996</v>
      </c>
      <c r="H119">
        <v>175</v>
      </c>
      <c r="I119">
        <v>0.43</v>
      </c>
      <c r="J119">
        <v>0.35</v>
      </c>
      <c r="K119">
        <v>0</v>
      </c>
      <c r="L119" s="67">
        <v>0</v>
      </c>
      <c r="M119">
        <v>0</v>
      </c>
      <c r="N119">
        <v>0.43295499999999998</v>
      </c>
      <c r="O119">
        <v>58</v>
      </c>
      <c r="P119">
        <v>0.23</v>
      </c>
      <c r="Q119" s="67">
        <v>8.98</v>
      </c>
      <c r="R119">
        <v>1.002</v>
      </c>
      <c r="S119">
        <v>8.7899999999999991</v>
      </c>
      <c r="T119" s="67">
        <v>0.42</v>
      </c>
    </row>
    <row r="120" spans="1:20" x14ac:dyDescent="0.25">
      <c r="A120" t="s">
        <v>1051</v>
      </c>
      <c r="B120" t="s">
        <v>985</v>
      </c>
      <c r="C120">
        <v>9020</v>
      </c>
      <c r="D120" t="s">
        <v>2584</v>
      </c>
      <c r="E120" t="s">
        <v>2585</v>
      </c>
      <c r="F120">
        <v>0</v>
      </c>
      <c r="G120">
        <v>0</v>
      </c>
      <c r="H120">
        <v>0</v>
      </c>
      <c r="I120" s="67">
        <v>0</v>
      </c>
      <c r="J120">
        <v>0</v>
      </c>
      <c r="K120">
        <v>28</v>
      </c>
      <c r="L120" s="67">
        <v>8.7899999999999991</v>
      </c>
      <c r="M120">
        <v>0</v>
      </c>
      <c r="N120">
        <v>0</v>
      </c>
      <c r="O120">
        <v>0</v>
      </c>
      <c r="P120">
        <v>0.23</v>
      </c>
      <c r="Q120" s="67">
        <v>0</v>
      </c>
      <c r="R120">
        <v>0</v>
      </c>
      <c r="S120">
        <v>8.7899999999999991</v>
      </c>
      <c r="T120" s="67">
        <v>8.8000000000000007</v>
      </c>
    </row>
    <row r="121" spans="1:20" x14ac:dyDescent="0.25">
      <c r="A121" t="s">
        <v>246</v>
      </c>
      <c r="B121" t="s">
        <v>242</v>
      </c>
      <c r="C121">
        <v>9070</v>
      </c>
      <c r="D121" t="s">
        <v>317</v>
      </c>
      <c r="E121" t="s">
        <v>815</v>
      </c>
      <c r="F121">
        <v>10</v>
      </c>
      <c r="G121">
        <v>0</v>
      </c>
      <c r="H121">
        <v>0</v>
      </c>
      <c r="I121" s="67">
        <v>0</v>
      </c>
      <c r="J121">
        <v>0</v>
      </c>
      <c r="K121">
        <v>0</v>
      </c>
      <c r="L121" s="67">
        <v>0</v>
      </c>
      <c r="M121">
        <v>0</v>
      </c>
      <c r="N121">
        <v>-3.0000000000000001E-5</v>
      </c>
      <c r="O121">
        <v>113</v>
      </c>
      <c r="P121">
        <v>0.17</v>
      </c>
      <c r="Q121" s="67">
        <v>10000</v>
      </c>
      <c r="R121">
        <v>2E-3</v>
      </c>
      <c r="S121">
        <v>12202.85</v>
      </c>
      <c r="T121" s="67">
        <v>0.45</v>
      </c>
    </row>
    <row r="122" spans="1:20" x14ac:dyDescent="0.25">
      <c r="A122" t="s">
        <v>246</v>
      </c>
      <c r="B122" t="s">
        <v>242</v>
      </c>
      <c r="C122">
        <v>9070</v>
      </c>
      <c r="D122" t="s">
        <v>2407</v>
      </c>
      <c r="E122" t="s">
        <v>2408</v>
      </c>
      <c r="F122">
        <v>0</v>
      </c>
      <c r="G122">
        <v>0</v>
      </c>
      <c r="H122">
        <v>0</v>
      </c>
      <c r="I122" s="67">
        <v>0</v>
      </c>
      <c r="J122">
        <v>0</v>
      </c>
      <c r="K122">
        <v>1</v>
      </c>
      <c r="L122" s="67">
        <v>12220</v>
      </c>
      <c r="M122">
        <v>0</v>
      </c>
      <c r="N122">
        <v>0</v>
      </c>
      <c r="O122">
        <v>0</v>
      </c>
      <c r="P122">
        <v>0.17</v>
      </c>
      <c r="Q122">
        <v>0</v>
      </c>
      <c r="R122">
        <v>0</v>
      </c>
      <c r="S122">
        <v>12202.85</v>
      </c>
      <c r="T122" s="67">
        <v>12220</v>
      </c>
    </row>
    <row r="123" spans="1:20" x14ac:dyDescent="0.25">
      <c r="A123" t="s">
        <v>246</v>
      </c>
      <c r="B123" t="s">
        <v>242</v>
      </c>
      <c r="C123">
        <v>9070</v>
      </c>
      <c r="D123" t="s">
        <v>3010</v>
      </c>
      <c r="E123" t="s">
        <v>3011</v>
      </c>
      <c r="F123">
        <v>2</v>
      </c>
      <c r="G123">
        <v>0</v>
      </c>
      <c r="H123">
        <v>0</v>
      </c>
      <c r="I123">
        <v>0</v>
      </c>
      <c r="J123">
        <v>0</v>
      </c>
      <c r="K123">
        <v>0</v>
      </c>
      <c r="L123" s="67">
        <v>0</v>
      </c>
      <c r="M123">
        <v>0</v>
      </c>
      <c r="N123">
        <v>0</v>
      </c>
      <c r="O123">
        <v>0</v>
      </c>
      <c r="P123">
        <v>0.17</v>
      </c>
      <c r="Q123">
        <v>0</v>
      </c>
      <c r="R123">
        <v>0</v>
      </c>
      <c r="S123">
        <v>12202.85</v>
      </c>
      <c r="T123" s="67">
        <v>12084</v>
      </c>
    </row>
    <row r="124" spans="1:20" x14ac:dyDescent="0.25">
      <c r="A124" t="s">
        <v>246</v>
      </c>
      <c r="B124" t="s">
        <v>242</v>
      </c>
      <c r="C124">
        <v>9070</v>
      </c>
      <c r="D124" t="s">
        <v>2490</v>
      </c>
      <c r="E124" t="s">
        <v>2491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31</v>
      </c>
      <c r="L124" s="67">
        <v>12220</v>
      </c>
      <c r="M124">
        <v>0</v>
      </c>
      <c r="N124">
        <v>0</v>
      </c>
      <c r="O124">
        <v>0</v>
      </c>
      <c r="P124">
        <v>0.17</v>
      </c>
      <c r="Q124" s="67">
        <v>0</v>
      </c>
      <c r="R124">
        <v>0</v>
      </c>
      <c r="S124">
        <v>12202.85</v>
      </c>
      <c r="T124" s="67">
        <v>12220</v>
      </c>
    </row>
    <row r="125" spans="1:20" x14ac:dyDescent="0.25">
      <c r="A125" t="s">
        <v>246</v>
      </c>
      <c r="B125" t="s">
        <v>242</v>
      </c>
      <c r="C125">
        <v>9070</v>
      </c>
      <c r="D125" t="s">
        <v>2726</v>
      </c>
      <c r="E125" t="s">
        <v>2727</v>
      </c>
      <c r="F125">
        <v>13</v>
      </c>
      <c r="G125">
        <v>2.6</v>
      </c>
      <c r="H125">
        <v>3</v>
      </c>
      <c r="I125" s="67">
        <v>12085.67</v>
      </c>
      <c r="J125">
        <v>0</v>
      </c>
      <c r="K125">
        <v>0</v>
      </c>
      <c r="L125" s="67">
        <v>0</v>
      </c>
      <c r="M125">
        <v>0</v>
      </c>
      <c r="N125">
        <v>0</v>
      </c>
      <c r="O125">
        <v>0</v>
      </c>
      <c r="P125">
        <v>0.17</v>
      </c>
      <c r="Q125">
        <v>0</v>
      </c>
      <c r="R125">
        <v>0</v>
      </c>
      <c r="S125">
        <v>12202.85</v>
      </c>
      <c r="T125" s="67">
        <v>12084</v>
      </c>
    </row>
    <row r="126" spans="1:20" x14ac:dyDescent="0.25">
      <c r="A126" t="s">
        <v>246</v>
      </c>
      <c r="B126" t="s">
        <v>242</v>
      </c>
      <c r="C126">
        <v>9070</v>
      </c>
      <c r="D126" t="s">
        <v>3041</v>
      </c>
      <c r="E126" t="s">
        <v>3041</v>
      </c>
      <c r="F126">
        <v>10</v>
      </c>
      <c r="G126">
        <v>-3.089</v>
      </c>
      <c r="H126">
        <v>10</v>
      </c>
      <c r="I126">
        <v>78</v>
      </c>
      <c r="J126">
        <v>0</v>
      </c>
      <c r="K126">
        <v>0</v>
      </c>
      <c r="L126" s="67">
        <v>0</v>
      </c>
      <c r="M126">
        <v>0</v>
      </c>
      <c r="N126">
        <v>-0.30888399999999999</v>
      </c>
      <c r="O126">
        <v>0</v>
      </c>
      <c r="P126">
        <v>0.17</v>
      </c>
      <c r="Q126">
        <v>0</v>
      </c>
      <c r="R126">
        <v>0</v>
      </c>
      <c r="S126">
        <v>12202.85</v>
      </c>
      <c r="T126" s="67">
        <v>68</v>
      </c>
    </row>
    <row r="127" spans="1:20" x14ac:dyDescent="0.25">
      <c r="A127" t="s">
        <v>246</v>
      </c>
      <c r="B127" t="s">
        <v>242</v>
      </c>
      <c r="C127">
        <v>9070</v>
      </c>
      <c r="D127" t="s">
        <v>3042</v>
      </c>
      <c r="E127" t="s">
        <v>3042</v>
      </c>
      <c r="F127">
        <v>20</v>
      </c>
      <c r="G127">
        <v>-7.2030000000000003</v>
      </c>
      <c r="H127">
        <v>20</v>
      </c>
      <c r="I127">
        <v>91</v>
      </c>
      <c r="J127">
        <v>0</v>
      </c>
      <c r="K127">
        <v>0</v>
      </c>
      <c r="L127">
        <v>0</v>
      </c>
      <c r="M127">
        <v>0</v>
      </c>
      <c r="N127">
        <v>-0.360126</v>
      </c>
      <c r="O127">
        <v>0</v>
      </c>
      <c r="P127">
        <v>0.17</v>
      </c>
      <c r="Q127" s="67">
        <v>0</v>
      </c>
      <c r="R127">
        <v>0</v>
      </c>
      <c r="S127">
        <v>12202.85</v>
      </c>
      <c r="T127" s="67">
        <v>85</v>
      </c>
    </row>
    <row r="128" spans="1:20" x14ac:dyDescent="0.25">
      <c r="A128" t="s">
        <v>246</v>
      </c>
      <c r="B128" t="s">
        <v>242</v>
      </c>
      <c r="C128">
        <v>9070</v>
      </c>
      <c r="D128" t="s">
        <v>3043</v>
      </c>
      <c r="E128" t="s">
        <v>3043</v>
      </c>
      <c r="F128">
        <v>13</v>
      </c>
      <c r="G128">
        <v>-5.4219999999999997</v>
      </c>
      <c r="H128">
        <v>13</v>
      </c>
      <c r="I128">
        <v>78.150000000000006</v>
      </c>
      <c r="J128">
        <v>0</v>
      </c>
      <c r="K128">
        <v>0</v>
      </c>
      <c r="L128">
        <v>0</v>
      </c>
      <c r="M128">
        <v>0</v>
      </c>
      <c r="N128">
        <v>-0.41704000000000002</v>
      </c>
      <c r="O128">
        <v>0</v>
      </c>
      <c r="P128">
        <v>0.17</v>
      </c>
      <c r="Q128">
        <v>0</v>
      </c>
      <c r="R128">
        <v>0</v>
      </c>
      <c r="S128">
        <v>12202.85</v>
      </c>
      <c r="T128" s="67">
        <v>99</v>
      </c>
    </row>
    <row r="129" spans="1:20" x14ac:dyDescent="0.25">
      <c r="A129" t="s">
        <v>246</v>
      </c>
      <c r="B129" t="s">
        <v>242</v>
      </c>
      <c r="C129">
        <v>9070</v>
      </c>
      <c r="D129" t="s">
        <v>3044</v>
      </c>
      <c r="E129" t="s">
        <v>3044</v>
      </c>
      <c r="F129">
        <v>10</v>
      </c>
      <c r="G129">
        <v>-4.782</v>
      </c>
      <c r="H129">
        <v>10</v>
      </c>
      <c r="I129" s="67">
        <v>96.5</v>
      </c>
      <c r="J129">
        <v>0</v>
      </c>
      <c r="K129">
        <v>0</v>
      </c>
      <c r="L129" s="67">
        <v>0</v>
      </c>
      <c r="M129">
        <v>0</v>
      </c>
      <c r="N129">
        <v>-0.47822199999999998</v>
      </c>
      <c r="O129">
        <v>0</v>
      </c>
      <c r="P129">
        <v>0.17</v>
      </c>
      <c r="Q129">
        <v>0</v>
      </c>
      <c r="R129">
        <v>0</v>
      </c>
      <c r="S129">
        <v>12202.85</v>
      </c>
      <c r="T129" s="67">
        <v>118</v>
      </c>
    </row>
    <row r="130" spans="1:20" x14ac:dyDescent="0.25">
      <c r="A130" t="s">
        <v>246</v>
      </c>
      <c r="B130" t="s">
        <v>242</v>
      </c>
      <c r="C130">
        <v>9070</v>
      </c>
      <c r="D130" t="s">
        <v>2138</v>
      </c>
      <c r="E130" t="s">
        <v>2138</v>
      </c>
      <c r="F130">
        <v>30</v>
      </c>
      <c r="G130">
        <v>-1.254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-4.1797000000000001E-2</v>
      </c>
      <c r="O130">
        <v>0</v>
      </c>
      <c r="P130">
        <v>0.17</v>
      </c>
      <c r="Q130">
        <v>0</v>
      </c>
      <c r="R130">
        <v>0</v>
      </c>
      <c r="S130">
        <v>12202.85</v>
      </c>
      <c r="T130" s="67">
        <v>34</v>
      </c>
    </row>
    <row r="131" spans="1:20" x14ac:dyDescent="0.25">
      <c r="A131" t="s">
        <v>246</v>
      </c>
      <c r="B131" t="s">
        <v>242</v>
      </c>
      <c r="C131">
        <v>9070</v>
      </c>
      <c r="D131" t="s">
        <v>2806</v>
      </c>
      <c r="E131" t="s">
        <v>2806</v>
      </c>
      <c r="F131">
        <v>-150</v>
      </c>
      <c r="G131">
        <v>11.943</v>
      </c>
      <c r="H131">
        <v>0</v>
      </c>
      <c r="I131" s="67">
        <v>0</v>
      </c>
      <c r="J131">
        <v>0</v>
      </c>
      <c r="K131">
        <v>0</v>
      </c>
      <c r="L131" s="67">
        <v>0</v>
      </c>
      <c r="M131">
        <v>0</v>
      </c>
      <c r="N131">
        <v>-7.9620999999999997E-2</v>
      </c>
      <c r="O131">
        <v>0</v>
      </c>
      <c r="P131">
        <v>0.17</v>
      </c>
      <c r="Q131" s="67">
        <v>0</v>
      </c>
      <c r="R131">
        <v>0</v>
      </c>
      <c r="S131">
        <v>12202.85</v>
      </c>
      <c r="T131" s="67">
        <v>42.5</v>
      </c>
    </row>
    <row r="132" spans="1:20" x14ac:dyDescent="0.25">
      <c r="A132" t="s">
        <v>246</v>
      </c>
      <c r="B132" t="s">
        <v>242</v>
      </c>
      <c r="C132">
        <v>9070</v>
      </c>
      <c r="D132" t="s">
        <v>2454</v>
      </c>
      <c r="E132" t="s">
        <v>2454</v>
      </c>
      <c r="F132">
        <v>0</v>
      </c>
      <c r="G132">
        <v>0</v>
      </c>
      <c r="H132">
        <v>124</v>
      </c>
      <c r="I132" s="67">
        <v>1420</v>
      </c>
      <c r="J132">
        <v>0</v>
      </c>
      <c r="K132">
        <v>0</v>
      </c>
      <c r="L132">
        <v>0</v>
      </c>
      <c r="M132">
        <v>0</v>
      </c>
      <c r="N132">
        <v>1</v>
      </c>
      <c r="O132">
        <v>0</v>
      </c>
      <c r="P132">
        <v>0.17</v>
      </c>
      <c r="Q132">
        <v>0</v>
      </c>
      <c r="R132">
        <v>0</v>
      </c>
      <c r="S132">
        <v>12202.85</v>
      </c>
      <c r="T132" s="67">
        <v>1420</v>
      </c>
    </row>
    <row r="133" spans="1:20" x14ac:dyDescent="0.25">
      <c r="A133" t="s">
        <v>246</v>
      </c>
      <c r="B133" t="s">
        <v>242</v>
      </c>
      <c r="C133">
        <v>9070</v>
      </c>
      <c r="D133" t="s">
        <v>2807</v>
      </c>
      <c r="E133" t="s">
        <v>2807</v>
      </c>
      <c r="F133">
        <v>20</v>
      </c>
      <c r="G133">
        <v>-2.7280000000000002</v>
      </c>
      <c r="H133">
        <v>0</v>
      </c>
      <c r="I133" s="67">
        <v>0</v>
      </c>
      <c r="J133">
        <v>0</v>
      </c>
      <c r="K133">
        <v>0</v>
      </c>
      <c r="L133" s="67">
        <v>0</v>
      </c>
      <c r="M133">
        <v>0</v>
      </c>
      <c r="N133">
        <v>-0.13639599999999999</v>
      </c>
      <c r="O133">
        <v>0</v>
      </c>
      <c r="P133">
        <v>0.17</v>
      </c>
      <c r="Q133" s="67">
        <v>0</v>
      </c>
      <c r="R133">
        <v>0</v>
      </c>
      <c r="S133">
        <v>12202.85</v>
      </c>
      <c r="T133" s="67">
        <v>72</v>
      </c>
    </row>
    <row r="134" spans="1:20" x14ac:dyDescent="0.25">
      <c r="A134" t="s">
        <v>246</v>
      </c>
      <c r="B134" t="s">
        <v>242</v>
      </c>
      <c r="C134">
        <v>9070</v>
      </c>
      <c r="D134" t="s">
        <v>2808</v>
      </c>
      <c r="E134" t="s">
        <v>2808</v>
      </c>
      <c r="F134">
        <v>57</v>
      </c>
      <c r="G134">
        <v>-8.9789999999999992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-0.15753200000000001</v>
      </c>
      <c r="O134">
        <v>0</v>
      </c>
      <c r="P134">
        <v>0.17</v>
      </c>
      <c r="Q134">
        <v>0</v>
      </c>
      <c r="R134">
        <v>0</v>
      </c>
      <c r="S134">
        <v>12202.85</v>
      </c>
      <c r="T134" s="67">
        <v>84</v>
      </c>
    </row>
    <row r="135" spans="1:20" x14ac:dyDescent="0.25">
      <c r="A135" t="s">
        <v>246</v>
      </c>
      <c r="B135" t="s">
        <v>242</v>
      </c>
      <c r="C135">
        <v>9070</v>
      </c>
      <c r="D135" t="s">
        <v>2809</v>
      </c>
      <c r="E135" t="s">
        <v>2809</v>
      </c>
      <c r="F135">
        <v>100</v>
      </c>
      <c r="G135">
        <v>-17.606000000000002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-0.17605899999999999</v>
      </c>
      <c r="O135">
        <v>0</v>
      </c>
      <c r="P135">
        <v>0.17</v>
      </c>
      <c r="Q135">
        <v>0</v>
      </c>
      <c r="R135">
        <v>0</v>
      </c>
      <c r="S135">
        <v>12202.85</v>
      </c>
      <c r="T135" s="67">
        <v>97</v>
      </c>
    </row>
    <row r="136" spans="1:20" x14ac:dyDescent="0.25">
      <c r="A136" t="s">
        <v>246</v>
      </c>
      <c r="B136" t="s">
        <v>242</v>
      </c>
      <c r="C136">
        <v>9070</v>
      </c>
      <c r="D136" t="s">
        <v>2996</v>
      </c>
      <c r="E136" t="s">
        <v>2996</v>
      </c>
      <c r="F136">
        <v>-80</v>
      </c>
      <c r="G136">
        <v>16.539000000000001</v>
      </c>
      <c r="H136">
        <v>0</v>
      </c>
      <c r="I136" s="67">
        <v>0</v>
      </c>
      <c r="J136">
        <v>0</v>
      </c>
      <c r="K136">
        <v>0</v>
      </c>
      <c r="L136" s="67">
        <v>0</v>
      </c>
      <c r="M136">
        <v>0</v>
      </c>
      <c r="N136">
        <v>-0.20674200000000001</v>
      </c>
      <c r="O136">
        <v>0</v>
      </c>
      <c r="P136">
        <v>0.17</v>
      </c>
      <c r="Q136" s="67">
        <v>0</v>
      </c>
      <c r="R136">
        <v>0</v>
      </c>
      <c r="S136">
        <v>12202.85</v>
      </c>
      <c r="T136" s="67">
        <v>111</v>
      </c>
    </row>
    <row r="137" spans="1:20" x14ac:dyDescent="0.25">
      <c r="A137" t="s">
        <v>246</v>
      </c>
      <c r="B137" t="s">
        <v>242</v>
      </c>
      <c r="C137">
        <v>9070</v>
      </c>
      <c r="D137" t="s">
        <v>2953</v>
      </c>
      <c r="E137" t="s">
        <v>2953</v>
      </c>
      <c r="F137">
        <v>-95</v>
      </c>
      <c r="G137">
        <v>22.204000000000001</v>
      </c>
      <c r="H137">
        <v>0</v>
      </c>
      <c r="I137" s="67">
        <v>0</v>
      </c>
      <c r="J137">
        <v>0</v>
      </c>
      <c r="K137">
        <v>0</v>
      </c>
      <c r="L137" s="67">
        <v>0</v>
      </c>
      <c r="M137">
        <v>0</v>
      </c>
      <c r="N137">
        <v>-0.23372299999999999</v>
      </c>
      <c r="O137">
        <v>0</v>
      </c>
      <c r="P137">
        <v>0.17</v>
      </c>
      <c r="Q137" s="67">
        <v>0</v>
      </c>
      <c r="R137">
        <v>0</v>
      </c>
      <c r="S137">
        <v>12202.85</v>
      </c>
      <c r="T137" s="67">
        <v>128</v>
      </c>
    </row>
    <row r="138" spans="1:20" x14ac:dyDescent="0.25">
      <c r="A138" t="s">
        <v>246</v>
      </c>
      <c r="B138" t="s">
        <v>242</v>
      </c>
      <c r="C138">
        <v>9070</v>
      </c>
      <c r="D138" t="s">
        <v>2854</v>
      </c>
      <c r="E138" t="s">
        <v>2854</v>
      </c>
      <c r="F138">
        <v>40</v>
      </c>
      <c r="G138">
        <v>-12.148999999999999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-0.30373</v>
      </c>
      <c r="O138">
        <v>0</v>
      </c>
      <c r="P138">
        <v>0.17</v>
      </c>
      <c r="Q138" s="67">
        <v>0</v>
      </c>
      <c r="R138">
        <v>0</v>
      </c>
      <c r="S138">
        <v>12202.85</v>
      </c>
      <c r="T138" s="67">
        <v>168</v>
      </c>
    </row>
    <row r="139" spans="1:20" x14ac:dyDescent="0.25">
      <c r="A139" t="s">
        <v>246</v>
      </c>
      <c r="B139" t="s">
        <v>242</v>
      </c>
      <c r="C139">
        <v>9070</v>
      </c>
      <c r="D139" t="s">
        <v>2855</v>
      </c>
      <c r="E139" t="s">
        <v>2855</v>
      </c>
      <c r="F139">
        <v>60</v>
      </c>
      <c r="G139">
        <v>-20.693000000000001</v>
      </c>
      <c r="H139">
        <v>0</v>
      </c>
      <c r="I139" s="67">
        <v>0</v>
      </c>
      <c r="J139">
        <v>0</v>
      </c>
      <c r="K139">
        <v>0</v>
      </c>
      <c r="L139" s="67">
        <v>0</v>
      </c>
      <c r="M139">
        <v>0</v>
      </c>
      <c r="N139">
        <v>-0.344883</v>
      </c>
      <c r="O139">
        <v>0</v>
      </c>
      <c r="P139">
        <v>0.17</v>
      </c>
      <c r="Q139" s="67">
        <v>0</v>
      </c>
      <c r="R139">
        <v>0</v>
      </c>
      <c r="S139">
        <v>12202.85</v>
      </c>
      <c r="T139" s="67">
        <v>196</v>
      </c>
    </row>
    <row r="140" spans="1:20" x14ac:dyDescent="0.25">
      <c r="A140" t="s">
        <v>246</v>
      </c>
      <c r="B140" t="s">
        <v>242</v>
      </c>
      <c r="C140">
        <v>9070</v>
      </c>
      <c r="D140" t="s">
        <v>3025</v>
      </c>
      <c r="E140" t="s">
        <v>3025</v>
      </c>
      <c r="F140">
        <v>27</v>
      </c>
      <c r="G140" s="67">
        <v>-10.523</v>
      </c>
      <c r="H140">
        <v>0</v>
      </c>
      <c r="I140" s="67">
        <v>0</v>
      </c>
      <c r="J140">
        <v>0</v>
      </c>
      <c r="K140">
        <v>0</v>
      </c>
      <c r="L140" s="67">
        <v>0</v>
      </c>
      <c r="M140">
        <v>0</v>
      </c>
      <c r="N140">
        <v>-0.38974999999999999</v>
      </c>
      <c r="O140">
        <v>0</v>
      </c>
      <c r="P140">
        <v>0.17</v>
      </c>
      <c r="Q140">
        <v>0</v>
      </c>
      <c r="R140">
        <v>0</v>
      </c>
      <c r="S140">
        <v>12202.85</v>
      </c>
      <c r="T140" s="67">
        <v>221</v>
      </c>
    </row>
    <row r="141" spans="1:20" x14ac:dyDescent="0.25">
      <c r="A141" t="s">
        <v>246</v>
      </c>
      <c r="B141" t="s">
        <v>242</v>
      </c>
      <c r="C141">
        <v>9070</v>
      </c>
      <c r="D141" t="s">
        <v>2954</v>
      </c>
      <c r="E141" t="s">
        <v>2954</v>
      </c>
      <c r="F141">
        <v>0</v>
      </c>
      <c r="G141">
        <v>0</v>
      </c>
      <c r="H141">
        <v>0</v>
      </c>
      <c r="I141" s="67">
        <v>0</v>
      </c>
      <c r="J141">
        <v>0</v>
      </c>
      <c r="K141">
        <v>50</v>
      </c>
      <c r="L141" s="67">
        <v>0</v>
      </c>
      <c r="M141">
        <v>0</v>
      </c>
      <c r="N141">
        <v>0</v>
      </c>
      <c r="O141">
        <v>0</v>
      </c>
      <c r="P141">
        <v>0.17</v>
      </c>
      <c r="Q141" s="67">
        <v>0</v>
      </c>
      <c r="R141">
        <v>0</v>
      </c>
      <c r="S141">
        <v>12202.85</v>
      </c>
      <c r="T141" s="67">
        <v>0</v>
      </c>
    </row>
    <row r="142" spans="1:20" x14ac:dyDescent="0.25">
      <c r="A142" t="s">
        <v>246</v>
      </c>
      <c r="B142" t="s">
        <v>242</v>
      </c>
      <c r="C142">
        <v>9070</v>
      </c>
      <c r="D142" t="s">
        <v>3012</v>
      </c>
      <c r="E142" t="s">
        <v>3012</v>
      </c>
      <c r="F142">
        <v>50</v>
      </c>
      <c r="G142">
        <v>-22.015999999999998</v>
      </c>
      <c r="H142">
        <v>0</v>
      </c>
      <c r="I142">
        <v>0</v>
      </c>
      <c r="J142">
        <v>0</v>
      </c>
      <c r="K142">
        <v>0</v>
      </c>
      <c r="L142" s="67">
        <v>0</v>
      </c>
      <c r="M142">
        <v>0</v>
      </c>
      <c r="N142">
        <v>-0.44031799999999999</v>
      </c>
      <c r="O142">
        <v>0</v>
      </c>
      <c r="P142">
        <v>0.17</v>
      </c>
      <c r="Q142" s="67">
        <v>0</v>
      </c>
      <c r="R142">
        <v>0</v>
      </c>
      <c r="S142">
        <v>12202.85</v>
      </c>
      <c r="T142" s="67">
        <v>259</v>
      </c>
    </row>
    <row r="143" spans="1:20" x14ac:dyDescent="0.25">
      <c r="A143" t="s">
        <v>246</v>
      </c>
      <c r="B143" t="s">
        <v>242</v>
      </c>
      <c r="C143">
        <v>9070</v>
      </c>
      <c r="D143" t="s">
        <v>2955</v>
      </c>
      <c r="E143" t="s">
        <v>2955</v>
      </c>
      <c r="F143">
        <v>0</v>
      </c>
      <c r="G143">
        <v>0</v>
      </c>
      <c r="H143">
        <v>0</v>
      </c>
      <c r="I143" s="67">
        <v>0</v>
      </c>
      <c r="J143">
        <v>0</v>
      </c>
      <c r="K143">
        <v>55</v>
      </c>
      <c r="L143" s="67">
        <v>0</v>
      </c>
      <c r="M143">
        <v>0</v>
      </c>
      <c r="N143">
        <v>0</v>
      </c>
      <c r="O143">
        <v>0</v>
      </c>
      <c r="P143">
        <v>0.17</v>
      </c>
      <c r="Q143" s="67">
        <v>0</v>
      </c>
      <c r="R143">
        <v>0</v>
      </c>
      <c r="S143">
        <v>12202.85</v>
      </c>
      <c r="T143" s="67">
        <v>0</v>
      </c>
    </row>
    <row r="144" spans="1:20" x14ac:dyDescent="0.25">
      <c r="A144" t="s">
        <v>246</v>
      </c>
      <c r="B144" t="s">
        <v>242</v>
      </c>
      <c r="C144">
        <v>9070</v>
      </c>
      <c r="D144" t="s">
        <v>2956</v>
      </c>
      <c r="E144" t="s">
        <v>2956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55</v>
      </c>
      <c r="L144">
        <v>0</v>
      </c>
      <c r="M144">
        <v>0</v>
      </c>
      <c r="N144">
        <v>0</v>
      </c>
      <c r="O144">
        <v>0</v>
      </c>
      <c r="P144">
        <v>0.17</v>
      </c>
      <c r="Q144" s="67">
        <v>0</v>
      </c>
      <c r="R144">
        <v>0</v>
      </c>
      <c r="S144">
        <v>12202.85</v>
      </c>
      <c r="T144" s="67">
        <v>0</v>
      </c>
    </row>
    <row r="145" spans="1:20" x14ac:dyDescent="0.25">
      <c r="A145" t="s">
        <v>246</v>
      </c>
      <c r="B145" t="s">
        <v>242</v>
      </c>
      <c r="C145">
        <v>9070</v>
      </c>
      <c r="D145" t="s">
        <v>2957</v>
      </c>
      <c r="E145" t="s">
        <v>2957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60</v>
      </c>
      <c r="L145" s="67">
        <v>0</v>
      </c>
      <c r="M145">
        <v>0</v>
      </c>
      <c r="N145">
        <v>0</v>
      </c>
      <c r="O145">
        <v>0</v>
      </c>
      <c r="P145">
        <v>0.17</v>
      </c>
      <c r="Q145" s="67">
        <v>0</v>
      </c>
      <c r="R145">
        <v>0</v>
      </c>
      <c r="S145">
        <v>12202.85</v>
      </c>
      <c r="T145" s="67">
        <v>0</v>
      </c>
    </row>
    <row r="146" spans="1:20" x14ac:dyDescent="0.25">
      <c r="A146" t="s">
        <v>189</v>
      </c>
      <c r="B146" t="s">
        <v>991</v>
      </c>
      <c r="C146">
        <v>9020</v>
      </c>
      <c r="D146" t="s">
        <v>2109</v>
      </c>
      <c r="E146" t="s">
        <v>2110</v>
      </c>
      <c r="F146">
        <v>99</v>
      </c>
      <c r="G146" s="67">
        <v>2.9950000000000001</v>
      </c>
      <c r="H146">
        <v>0</v>
      </c>
      <c r="I146" s="67">
        <v>0</v>
      </c>
      <c r="J146">
        <v>0</v>
      </c>
      <c r="K146">
        <v>0</v>
      </c>
      <c r="L146" s="67">
        <v>0</v>
      </c>
      <c r="M146">
        <v>0</v>
      </c>
      <c r="N146">
        <v>3.0249999999999999E-2</v>
      </c>
      <c r="O146">
        <v>99</v>
      </c>
      <c r="P146">
        <v>0.39</v>
      </c>
      <c r="Q146">
        <v>417.37</v>
      </c>
      <c r="R146">
        <v>3.1E-2</v>
      </c>
      <c r="S146">
        <v>609</v>
      </c>
      <c r="T146" s="67">
        <v>6</v>
      </c>
    </row>
    <row r="147" spans="1:20" x14ac:dyDescent="0.25">
      <c r="A147" t="s">
        <v>189</v>
      </c>
      <c r="B147" t="s">
        <v>991</v>
      </c>
      <c r="C147">
        <v>9020</v>
      </c>
      <c r="D147" t="s">
        <v>2139</v>
      </c>
      <c r="E147" t="s">
        <v>2140</v>
      </c>
      <c r="F147">
        <v>30</v>
      </c>
      <c r="G147">
        <v>0</v>
      </c>
      <c r="H147">
        <v>0</v>
      </c>
      <c r="I147" s="67">
        <v>0</v>
      </c>
      <c r="J147">
        <v>0</v>
      </c>
      <c r="K147">
        <v>0</v>
      </c>
      <c r="L147" s="67">
        <v>0</v>
      </c>
      <c r="M147">
        <v>0</v>
      </c>
      <c r="N147">
        <v>-5.0000000000000004E-6</v>
      </c>
      <c r="O147">
        <v>57</v>
      </c>
      <c r="P147">
        <v>0.39</v>
      </c>
      <c r="Q147">
        <v>345.19</v>
      </c>
      <c r="R147">
        <v>4.1000000000000002E-2</v>
      </c>
      <c r="S147">
        <v>609</v>
      </c>
      <c r="T147" s="67">
        <v>0.01</v>
      </c>
    </row>
    <row r="148" spans="1:20" x14ac:dyDescent="0.25">
      <c r="A148" t="s">
        <v>117</v>
      </c>
      <c r="B148" t="s">
        <v>1060</v>
      </c>
      <c r="C148">
        <v>9070</v>
      </c>
      <c r="D148" t="s">
        <v>1061</v>
      </c>
      <c r="E148" t="s">
        <v>1062</v>
      </c>
      <c r="F148">
        <v>30</v>
      </c>
      <c r="G148">
        <v>-2.3330000000000002</v>
      </c>
      <c r="H148">
        <v>0</v>
      </c>
      <c r="I148" s="67">
        <v>0</v>
      </c>
      <c r="J148">
        <v>0</v>
      </c>
      <c r="K148">
        <v>0</v>
      </c>
      <c r="L148">
        <v>0</v>
      </c>
      <c r="M148">
        <v>0</v>
      </c>
      <c r="N148">
        <v>-7.7775999999999998E-2</v>
      </c>
      <c r="O148">
        <v>126</v>
      </c>
      <c r="P148">
        <v>0.22</v>
      </c>
      <c r="Q148" s="67">
        <v>92</v>
      </c>
      <c r="R148">
        <v>0.25</v>
      </c>
      <c r="S148">
        <v>97.05</v>
      </c>
      <c r="T148" s="67">
        <v>0.52</v>
      </c>
    </row>
    <row r="149" spans="1:20" x14ac:dyDescent="0.25">
      <c r="A149" t="s">
        <v>124</v>
      </c>
      <c r="B149" t="s">
        <v>1060</v>
      </c>
      <c r="C149">
        <v>9070</v>
      </c>
      <c r="D149" t="s">
        <v>1063</v>
      </c>
      <c r="E149" t="s">
        <v>1064</v>
      </c>
      <c r="F149">
        <v>509</v>
      </c>
      <c r="G149">
        <v>-49.423000000000002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-9.7098000000000004E-2</v>
      </c>
      <c r="O149">
        <v>226</v>
      </c>
      <c r="P149">
        <v>0.3</v>
      </c>
      <c r="Q149" s="67">
        <v>80.91</v>
      </c>
      <c r="R149">
        <v>0.53800000000000003</v>
      </c>
      <c r="S149">
        <v>97.05</v>
      </c>
      <c r="T149" s="67">
        <v>0.67</v>
      </c>
    </row>
    <row r="150" spans="1:20" x14ac:dyDescent="0.25">
      <c r="A150" t="s">
        <v>124</v>
      </c>
      <c r="B150" t="s">
        <v>1060</v>
      </c>
      <c r="C150">
        <v>9070</v>
      </c>
      <c r="D150" t="s">
        <v>2382</v>
      </c>
      <c r="E150" t="s">
        <v>2383</v>
      </c>
      <c r="F150">
        <v>1</v>
      </c>
      <c r="G150">
        <v>6.202</v>
      </c>
      <c r="H150">
        <v>0</v>
      </c>
      <c r="I150" s="67">
        <v>0</v>
      </c>
      <c r="J150">
        <v>0</v>
      </c>
      <c r="K150">
        <v>0</v>
      </c>
      <c r="L150" s="67">
        <v>0</v>
      </c>
      <c r="M150">
        <v>0</v>
      </c>
      <c r="N150">
        <v>0</v>
      </c>
      <c r="O150">
        <v>0</v>
      </c>
      <c r="P150">
        <v>0.3</v>
      </c>
      <c r="Q150" s="67">
        <v>0</v>
      </c>
      <c r="R150">
        <v>0</v>
      </c>
      <c r="S150">
        <v>97.05</v>
      </c>
      <c r="T150" s="67">
        <v>12038</v>
      </c>
    </row>
    <row r="151" spans="1:20" x14ac:dyDescent="0.25">
      <c r="A151" t="s">
        <v>124</v>
      </c>
      <c r="B151" t="s">
        <v>1060</v>
      </c>
      <c r="C151">
        <v>9070</v>
      </c>
      <c r="D151" t="s">
        <v>2739</v>
      </c>
      <c r="E151" t="s">
        <v>2740</v>
      </c>
      <c r="F151">
        <v>-67</v>
      </c>
      <c r="G151" s="67">
        <v>-671.38099999999997</v>
      </c>
      <c r="H151">
        <v>0</v>
      </c>
      <c r="I151" s="67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0.3</v>
      </c>
      <c r="Q151">
        <v>0</v>
      </c>
      <c r="R151">
        <v>0</v>
      </c>
      <c r="S151">
        <v>97.05</v>
      </c>
      <c r="T151" s="67">
        <v>97.25</v>
      </c>
    </row>
    <row r="152" spans="1:20" x14ac:dyDescent="0.25">
      <c r="A152" t="s">
        <v>124</v>
      </c>
      <c r="B152" t="s">
        <v>1060</v>
      </c>
      <c r="C152">
        <v>9070</v>
      </c>
      <c r="D152" t="s">
        <v>2726</v>
      </c>
      <c r="E152" t="s">
        <v>2727</v>
      </c>
      <c r="F152">
        <v>2</v>
      </c>
      <c r="G152">
        <v>49.805</v>
      </c>
      <c r="H152">
        <v>0</v>
      </c>
      <c r="I152" s="67">
        <v>0</v>
      </c>
      <c r="J152">
        <v>0</v>
      </c>
      <c r="K152">
        <v>0</v>
      </c>
      <c r="L152" s="67">
        <v>0</v>
      </c>
      <c r="M152">
        <v>0</v>
      </c>
      <c r="N152">
        <v>0</v>
      </c>
      <c r="O152">
        <v>0</v>
      </c>
      <c r="P152">
        <v>0.3</v>
      </c>
      <c r="Q152">
        <v>0</v>
      </c>
      <c r="R152">
        <v>0</v>
      </c>
      <c r="S152">
        <v>97.05</v>
      </c>
      <c r="T152" s="67">
        <v>12084</v>
      </c>
    </row>
    <row r="153" spans="1:20" x14ac:dyDescent="0.25">
      <c r="A153" t="s">
        <v>124</v>
      </c>
      <c r="B153" t="s">
        <v>1060</v>
      </c>
      <c r="C153">
        <v>9070</v>
      </c>
      <c r="D153" t="s">
        <v>2386</v>
      </c>
      <c r="E153" t="s">
        <v>2387</v>
      </c>
      <c r="F153">
        <v>10</v>
      </c>
      <c r="G153">
        <v>248.078</v>
      </c>
      <c r="H153">
        <v>0</v>
      </c>
      <c r="I153" s="67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0.3</v>
      </c>
      <c r="Q153">
        <v>0</v>
      </c>
      <c r="R153">
        <v>0</v>
      </c>
      <c r="S153">
        <v>97.05</v>
      </c>
      <c r="T153" s="67">
        <v>12038</v>
      </c>
    </row>
    <row r="154" spans="1:20" x14ac:dyDescent="0.25">
      <c r="A154" t="s">
        <v>305</v>
      </c>
      <c r="B154" t="s">
        <v>951</v>
      </c>
      <c r="C154">
        <v>9600</v>
      </c>
      <c r="D154" t="s">
        <v>2741</v>
      </c>
      <c r="E154" t="s">
        <v>2742</v>
      </c>
      <c r="F154">
        <v>0</v>
      </c>
      <c r="G154">
        <v>0</v>
      </c>
      <c r="H154">
        <v>1</v>
      </c>
      <c r="I154">
        <v>763.16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0.6</v>
      </c>
      <c r="Q154">
        <v>0</v>
      </c>
      <c r="R154">
        <v>0</v>
      </c>
      <c r="S154">
        <v>756</v>
      </c>
      <c r="T154">
        <v>763.16</v>
      </c>
    </row>
    <row r="155" spans="1:20" x14ac:dyDescent="0.25">
      <c r="A155" t="s">
        <v>2846</v>
      </c>
      <c r="B155" t="s">
        <v>1065</v>
      </c>
      <c r="C155">
        <v>9070</v>
      </c>
      <c r="D155" t="s">
        <v>1069</v>
      </c>
      <c r="E155" t="s">
        <v>1070</v>
      </c>
      <c r="F155">
        <v>1</v>
      </c>
      <c r="G155">
        <v>0.03</v>
      </c>
      <c r="H155">
        <v>0</v>
      </c>
      <c r="I155" s="67">
        <v>0</v>
      </c>
      <c r="J155">
        <v>0</v>
      </c>
      <c r="K155">
        <v>0</v>
      </c>
      <c r="L155">
        <v>0</v>
      </c>
      <c r="M155">
        <v>0</v>
      </c>
      <c r="N155">
        <v>2.964E-2</v>
      </c>
      <c r="O155">
        <v>29</v>
      </c>
      <c r="P155">
        <v>0.31</v>
      </c>
      <c r="Q155">
        <v>268.56</v>
      </c>
      <c r="R155">
        <v>3.1E-2</v>
      </c>
      <c r="S155">
        <v>311.5</v>
      </c>
      <c r="T155" s="67">
        <v>1.6</v>
      </c>
    </row>
    <row r="156" spans="1:20" x14ac:dyDescent="0.25">
      <c r="A156" t="s">
        <v>2799</v>
      </c>
      <c r="B156" t="s">
        <v>2800</v>
      </c>
      <c r="C156">
        <v>9700</v>
      </c>
      <c r="D156" t="s">
        <v>2997</v>
      </c>
      <c r="E156" t="s">
        <v>2998</v>
      </c>
      <c r="F156">
        <v>0</v>
      </c>
      <c r="G156">
        <v>0</v>
      </c>
      <c r="H156">
        <v>6</v>
      </c>
      <c r="I156" s="67">
        <v>101.24</v>
      </c>
      <c r="J156">
        <v>0</v>
      </c>
      <c r="K156">
        <v>0</v>
      </c>
      <c r="L156" s="67">
        <v>0</v>
      </c>
      <c r="M156">
        <v>0</v>
      </c>
      <c r="N156">
        <v>0</v>
      </c>
      <c r="O156">
        <v>0</v>
      </c>
      <c r="P156">
        <v>0.34</v>
      </c>
      <c r="Q156">
        <v>0</v>
      </c>
      <c r="R156">
        <v>0</v>
      </c>
      <c r="S156">
        <v>101</v>
      </c>
      <c r="T156" s="67">
        <v>101.24</v>
      </c>
    </row>
    <row r="157" spans="1:20" x14ac:dyDescent="0.25">
      <c r="A157" t="s">
        <v>2799</v>
      </c>
      <c r="B157" t="s">
        <v>2800</v>
      </c>
      <c r="C157">
        <v>9700</v>
      </c>
      <c r="D157" t="s">
        <v>2801</v>
      </c>
      <c r="E157" t="s">
        <v>2802</v>
      </c>
      <c r="F157">
        <v>-1</v>
      </c>
      <c r="G157">
        <v>0</v>
      </c>
      <c r="H157">
        <v>0</v>
      </c>
      <c r="I157" s="67">
        <v>0</v>
      </c>
      <c r="J157">
        <v>0</v>
      </c>
      <c r="K157">
        <v>7</v>
      </c>
      <c r="L157">
        <v>101.14</v>
      </c>
      <c r="M157">
        <v>0</v>
      </c>
      <c r="N157">
        <v>0</v>
      </c>
      <c r="O157">
        <v>0</v>
      </c>
      <c r="P157">
        <v>0.34</v>
      </c>
      <c r="Q157" s="67">
        <v>0</v>
      </c>
      <c r="R157">
        <v>0</v>
      </c>
      <c r="S157">
        <v>101</v>
      </c>
      <c r="T157" s="67">
        <v>101</v>
      </c>
    </row>
    <row r="158" spans="1:20" x14ac:dyDescent="0.25">
      <c r="A158" t="s">
        <v>2141</v>
      </c>
      <c r="B158" t="s">
        <v>1065</v>
      </c>
      <c r="C158">
        <v>9070</v>
      </c>
      <c r="D158" t="s">
        <v>2991</v>
      </c>
      <c r="E158" t="s">
        <v>2992</v>
      </c>
      <c r="F158">
        <v>-2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0.42</v>
      </c>
      <c r="Q158">
        <v>0</v>
      </c>
      <c r="R158">
        <v>0</v>
      </c>
      <c r="S158">
        <v>311.5</v>
      </c>
      <c r="T158" s="67">
        <v>312.5</v>
      </c>
    </row>
    <row r="159" spans="1:20" x14ac:dyDescent="0.25">
      <c r="A159" t="s">
        <v>2835</v>
      </c>
      <c r="B159" t="s">
        <v>2836</v>
      </c>
      <c r="C159">
        <v>9070</v>
      </c>
      <c r="D159" t="s">
        <v>2837</v>
      </c>
      <c r="E159" t="s">
        <v>2838</v>
      </c>
      <c r="F159">
        <v>4</v>
      </c>
      <c r="G159" s="67">
        <v>7.3999999999999996E-2</v>
      </c>
      <c r="H159">
        <v>0</v>
      </c>
      <c r="I159" s="67">
        <v>0</v>
      </c>
      <c r="J159">
        <v>0</v>
      </c>
      <c r="K159">
        <v>0</v>
      </c>
      <c r="L159" s="67">
        <v>0</v>
      </c>
      <c r="M159">
        <v>0</v>
      </c>
      <c r="N159">
        <v>1.8446000000000001E-2</v>
      </c>
      <c r="O159">
        <v>82</v>
      </c>
      <c r="P159">
        <v>0.45</v>
      </c>
      <c r="Q159">
        <v>105.97</v>
      </c>
      <c r="R159">
        <v>5.0999999999999997E-2</v>
      </c>
      <c r="S159">
        <v>96</v>
      </c>
      <c r="T159" s="67">
        <v>0.56999999999999995</v>
      </c>
    </row>
    <row r="160" spans="1:20" x14ac:dyDescent="0.25">
      <c r="A160" t="s">
        <v>2835</v>
      </c>
      <c r="B160" t="s">
        <v>2836</v>
      </c>
      <c r="C160">
        <v>9070</v>
      </c>
      <c r="D160" t="s">
        <v>2839</v>
      </c>
      <c r="E160" t="s">
        <v>2840</v>
      </c>
      <c r="F160">
        <v>4</v>
      </c>
      <c r="G160">
        <v>8.5999999999999993E-2</v>
      </c>
      <c r="H160">
        <v>0</v>
      </c>
      <c r="I160" s="67">
        <v>0</v>
      </c>
      <c r="J160">
        <v>0</v>
      </c>
      <c r="K160">
        <v>0</v>
      </c>
      <c r="L160" s="67">
        <v>0</v>
      </c>
      <c r="M160">
        <v>0</v>
      </c>
      <c r="N160">
        <v>2.1517000000000001E-2</v>
      </c>
      <c r="O160">
        <v>110</v>
      </c>
      <c r="P160">
        <v>0.45</v>
      </c>
      <c r="Q160">
        <v>104.01</v>
      </c>
      <c r="R160">
        <v>5.0999999999999997E-2</v>
      </c>
      <c r="S160">
        <v>96</v>
      </c>
      <c r="T160" s="67">
        <v>0.85</v>
      </c>
    </row>
    <row r="161" spans="1:20" x14ac:dyDescent="0.25">
      <c r="A161" t="s">
        <v>2835</v>
      </c>
      <c r="B161" t="s">
        <v>2836</v>
      </c>
      <c r="C161">
        <v>9070</v>
      </c>
      <c r="D161" t="s">
        <v>2841</v>
      </c>
      <c r="E161" t="s">
        <v>2842</v>
      </c>
      <c r="F161">
        <v>4</v>
      </c>
      <c r="G161">
        <v>0.16200000000000001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4.0376000000000002E-2</v>
      </c>
      <c r="O161">
        <v>145</v>
      </c>
      <c r="P161">
        <v>0.45</v>
      </c>
      <c r="Q161">
        <v>107.94</v>
      </c>
      <c r="R161">
        <v>0.10199999999999999</v>
      </c>
      <c r="S161">
        <v>96</v>
      </c>
      <c r="T161" s="67">
        <v>1.71</v>
      </c>
    </row>
    <row r="162" spans="1:20" x14ac:dyDescent="0.25">
      <c r="A162" t="s">
        <v>2835</v>
      </c>
      <c r="B162" t="s">
        <v>2836</v>
      </c>
      <c r="C162">
        <v>9070</v>
      </c>
      <c r="D162" t="s">
        <v>2958</v>
      </c>
      <c r="E162" t="s">
        <v>2959</v>
      </c>
      <c r="F162">
        <v>7</v>
      </c>
      <c r="G162">
        <v>0.17899999999999999</v>
      </c>
      <c r="H162">
        <v>0</v>
      </c>
      <c r="I162" s="67">
        <v>0</v>
      </c>
      <c r="J162">
        <v>0</v>
      </c>
      <c r="K162">
        <v>0</v>
      </c>
      <c r="L162">
        <v>0</v>
      </c>
      <c r="M162">
        <v>0</v>
      </c>
      <c r="N162">
        <v>2.5554E-2</v>
      </c>
      <c r="O162">
        <v>138</v>
      </c>
      <c r="P162">
        <v>0.45</v>
      </c>
      <c r="Q162">
        <v>96.16</v>
      </c>
      <c r="R162">
        <v>4.5999999999999999E-2</v>
      </c>
      <c r="S162">
        <v>96</v>
      </c>
      <c r="T162" s="67">
        <v>0.9</v>
      </c>
    </row>
    <row r="163" spans="1:20" x14ac:dyDescent="0.25">
      <c r="A163" t="s">
        <v>2835</v>
      </c>
      <c r="B163" t="s">
        <v>2836</v>
      </c>
      <c r="C163">
        <v>9070</v>
      </c>
      <c r="D163" t="s">
        <v>2960</v>
      </c>
      <c r="E163" t="s">
        <v>2961</v>
      </c>
      <c r="F163">
        <v>3</v>
      </c>
      <c r="G163">
        <v>7.6999999999999999E-2</v>
      </c>
      <c r="H163">
        <v>0</v>
      </c>
      <c r="I163" s="67">
        <v>0</v>
      </c>
      <c r="J163">
        <v>0</v>
      </c>
      <c r="K163">
        <v>0</v>
      </c>
      <c r="L163">
        <v>0</v>
      </c>
      <c r="M163">
        <v>0</v>
      </c>
      <c r="N163">
        <v>2.5656000000000002E-2</v>
      </c>
      <c r="O163">
        <v>217</v>
      </c>
      <c r="P163">
        <v>0.45</v>
      </c>
      <c r="Q163">
        <v>105</v>
      </c>
      <c r="R163">
        <v>5.5E-2</v>
      </c>
      <c r="S163">
        <v>96</v>
      </c>
      <c r="T163" s="67">
        <v>1.1000000000000001</v>
      </c>
    </row>
    <row r="164" spans="1:20" x14ac:dyDescent="0.25">
      <c r="A164" t="s">
        <v>2746</v>
      </c>
      <c r="B164" t="s">
        <v>1066</v>
      </c>
      <c r="C164">
        <v>9070</v>
      </c>
      <c r="D164" t="s">
        <v>1067</v>
      </c>
      <c r="E164" t="s">
        <v>1068</v>
      </c>
      <c r="F164">
        <v>3</v>
      </c>
      <c r="G164" s="67">
        <v>8.1000000000000003E-2</v>
      </c>
      <c r="H164">
        <v>0</v>
      </c>
      <c r="I164" s="67">
        <v>0</v>
      </c>
      <c r="J164">
        <v>0</v>
      </c>
      <c r="K164">
        <v>0</v>
      </c>
      <c r="L164">
        <v>0</v>
      </c>
      <c r="M164">
        <v>0</v>
      </c>
      <c r="N164">
        <v>2.7028E-2</v>
      </c>
      <c r="O164">
        <v>12</v>
      </c>
      <c r="P164">
        <v>0.52</v>
      </c>
      <c r="Q164" s="67">
        <v>315</v>
      </c>
      <c r="R164">
        <v>0.06</v>
      </c>
      <c r="S164">
        <v>310</v>
      </c>
      <c r="T164" s="67">
        <v>0.47</v>
      </c>
    </row>
  </sheetData>
  <autoFilter ref="A1:T164"/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E42"/>
  <sheetViews>
    <sheetView workbookViewId="0">
      <selection sqref="A1:XFD1048576"/>
    </sheetView>
  </sheetViews>
  <sheetFormatPr defaultRowHeight="16.5" x14ac:dyDescent="0.25"/>
  <cols>
    <col min="1" max="1" width="9.5" bestFit="1" customWidth="1"/>
    <col min="2" max="2" width="16.625" bestFit="1" customWidth="1"/>
    <col min="3" max="3" width="9.5" bestFit="1" customWidth="1"/>
    <col min="4" max="4" width="7.5" customWidth="1"/>
    <col min="5" max="5" width="14.375" bestFit="1" customWidth="1"/>
  </cols>
  <sheetData>
    <row r="1" spans="1:5" x14ac:dyDescent="0.25">
      <c r="A1" t="s">
        <v>2492</v>
      </c>
      <c r="B1" t="s">
        <v>2493</v>
      </c>
      <c r="C1" t="s">
        <v>2494</v>
      </c>
      <c r="D1" t="s">
        <v>2495</v>
      </c>
      <c r="E1" t="s">
        <v>2496</v>
      </c>
    </row>
    <row r="2" spans="1:5" x14ac:dyDescent="0.25">
      <c r="A2">
        <v>50</v>
      </c>
      <c r="B2" t="s">
        <v>119</v>
      </c>
      <c r="C2" s="66">
        <v>81000</v>
      </c>
      <c r="D2">
        <v>97.05</v>
      </c>
      <c r="E2" s="67">
        <v>7861050</v>
      </c>
    </row>
    <row r="3" spans="1:5" x14ac:dyDescent="0.25">
      <c r="A3" t="s">
        <v>127</v>
      </c>
      <c r="B3" t="s">
        <v>128</v>
      </c>
      <c r="C3" s="66">
        <v>7859000</v>
      </c>
      <c r="D3">
        <v>8.91</v>
      </c>
      <c r="E3" s="67">
        <v>70023690</v>
      </c>
    </row>
    <row r="4" spans="1:5" x14ac:dyDescent="0.25">
      <c r="A4" t="s">
        <v>140</v>
      </c>
      <c r="B4" t="s">
        <v>141</v>
      </c>
      <c r="C4" s="66">
        <v>463000</v>
      </c>
      <c r="D4">
        <v>1.58</v>
      </c>
      <c r="E4" s="67">
        <v>731540</v>
      </c>
    </row>
    <row r="5" spans="1:5" x14ac:dyDescent="0.25">
      <c r="A5">
        <v>1215</v>
      </c>
      <c r="B5" t="s">
        <v>2497</v>
      </c>
      <c r="C5" s="66">
        <v>740000</v>
      </c>
      <c r="D5">
        <v>68.3</v>
      </c>
      <c r="E5" s="67">
        <v>50542000</v>
      </c>
    </row>
    <row r="6" spans="1:5" x14ac:dyDescent="0.25">
      <c r="A6">
        <v>1590</v>
      </c>
      <c r="B6" t="s">
        <v>144</v>
      </c>
      <c r="C6" s="66">
        <v>3000</v>
      </c>
      <c r="D6">
        <v>579</v>
      </c>
      <c r="E6" s="67">
        <v>1737000</v>
      </c>
    </row>
    <row r="7" spans="1:5" x14ac:dyDescent="0.25">
      <c r="A7">
        <v>2049</v>
      </c>
      <c r="B7" t="s">
        <v>146</v>
      </c>
      <c r="C7" s="66">
        <v>1000</v>
      </c>
      <c r="D7">
        <v>306</v>
      </c>
      <c r="E7" s="67">
        <v>306000</v>
      </c>
    </row>
    <row r="8" spans="1:5" x14ac:dyDescent="0.25">
      <c r="A8">
        <v>2303</v>
      </c>
      <c r="B8" t="s">
        <v>291</v>
      </c>
      <c r="C8" s="66">
        <v>96000</v>
      </c>
      <c r="D8">
        <v>16</v>
      </c>
      <c r="E8" s="67">
        <v>1536000</v>
      </c>
    </row>
    <row r="9" spans="1:5" x14ac:dyDescent="0.25">
      <c r="A9">
        <v>2317</v>
      </c>
      <c r="B9" t="s">
        <v>149</v>
      </c>
      <c r="C9" s="66">
        <v>1358000</v>
      </c>
      <c r="D9">
        <v>86.6</v>
      </c>
      <c r="E9" s="67">
        <v>117602800</v>
      </c>
    </row>
    <row r="10" spans="1:5" x14ac:dyDescent="0.25">
      <c r="A10">
        <v>2327</v>
      </c>
      <c r="B10" t="s">
        <v>154</v>
      </c>
      <c r="C10" s="66">
        <v>15000</v>
      </c>
      <c r="D10">
        <v>374.5</v>
      </c>
      <c r="E10" s="67">
        <v>5617500</v>
      </c>
    </row>
    <row r="11" spans="1:5" x14ac:dyDescent="0.25">
      <c r="A11">
        <v>2330</v>
      </c>
      <c r="B11" t="s">
        <v>162</v>
      </c>
      <c r="C11" s="66">
        <v>352000</v>
      </c>
      <c r="D11">
        <v>363</v>
      </c>
      <c r="E11" s="67">
        <v>127776000</v>
      </c>
    </row>
    <row r="12" spans="1:5" x14ac:dyDescent="0.25">
      <c r="A12">
        <v>2376</v>
      </c>
      <c r="B12" t="s">
        <v>170</v>
      </c>
      <c r="C12" s="66">
        <v>10000</v>
      </c>
      <c r="D12">
        <v>72</v>
      </c>
      <c r="E12" s="67">
        <v>720000</v>
      </c>
    </row>
    <row r="13" spans="1:5" x14ac:dyDescent="0.25">
      <c r="A13">
        <v>2383</v>
      </c>
      <c r="B13" t="s">
        <v>173</v>
      </c>
      <c r="C13" s="66">
        <v>15000</v>
      </c>
      <c r="D13">
        <v>158.5</v>
      </c>
      <c r="E13" s="67">
        <v>2377500</v>
      </c>
    </row>
    <row r="14" spans="1:5" x14ac:dyDescent="0.25">
      <c r="A14">
        <v>2409</v>
      </c>
      <c r="B14" t="s">
        <v>179</v>
      </c>
      <c r="C14" s="66">
        <v>506000</v>
      </c>
      <c r="D14">
        <v>9.8000000000000007</v>
      </c>
      <c r="E14" s="67">
        <v>4958800</v>
      </c>
    </row>
    <row r="15" spans="1:5" x14ac:dyDescent="0.25">
      <c r="A15">
        <v>2439</v>
      </c>
      <c r="B15" t="s">
        <v>184</v>
      </c>
      <c r="C15" s="66">
        <v>5817</v>
      </c>
      <c r="D15">
        <v>138</v>
      </c>
      <c r="E15" s="67">
        <v>802746</v>
      </c>
    </row>
    <row r="16" spans="1:5" x14ac:dyDescent="0.25">
      <c r="A16">
        <v>2454</v>
      </c>
      <c r="B16" t="s">
        <v>187</v>
      </c>
      <c r="C16" s="66">
        <v>71000</v>
      </c>
      <c r="D16">
        <v>609</v>
      </c>
      <c r="E16" s="67">
        <v>43239000</v>
      </c>
    </row>
    <row r="17" spans="1:5" x14ac:dyDescent="0.25">
      <c r="A17">
        <v>2455</v>
      </c>
      <c r="B17" t="s">
        <v>192</v>
      </c>
      <c r="C17" s="66">
        <v>1000</v>
      </c>
      <c r="D17">
        <v>93.9</v>
      </c>
      <c r="E17" s="67">
        <v>93900</v>
      </c>
    </row>
    <row r="18" spans="1:5" x14ac:dyDescent="0.25">
      <c r="A18">
        <v>2474</v>
      </c>
      <c r="B18" t="s">
        <v>193</v>
      </c>
      <c r="C18" s="66">
        <v>7000</v>
      </c>
      <c r="D18">
        <v>230</v>
      </c>
      <c r="E18" s="67">
        <v>1610000</v>
      </c>
    </row>
    <row r="19" spans="1:5" x14ac:dyDescent="0.25">
      <c r="A19">
        <v>2492</v>
      </c>
      <c r="B19" t="s">
        <v>194</v>
      </c>
      <c r="C19" s="66">
        <v>18000</v>
      </c>
      <c r="D19">
        <v>177.5</v>
      </c>
      <c r="E19" s="67">
        <v>3195000</v>
      </c>
    </row>
    <row r="20" spans="1:5" x14ac:dyDescent="0.25">
      <c r="A20">
        <v>2809</v>
      </c>
      <c r="B20" t="s">
        <v>3013</v>
      </c>
      <c r="C20" s="66">
        <v>60000</v>
      </c>
      <c r="D20">
        <v>35.5</v>
      </c>
      <c r="E20" s="67">
        <v>2130000</v>
      </c>
    </row>
    <row r="21" spans="1:5" x14ac:dyDescent="0.25">
      <c r="A21">
        <v>2881</v>
      </c>
      <c r="B21" t="s">
        <v>199</v>
      </c>
      <c r="C21" s="66">
        <v>1000</v>
      </c>
      <c r="D21">
        <v>42.8</v>
      </c>
      <c r="E21" s="67">
        <v>42800</v>
      </c>
    </row>
    <row r="22" spans="1:5" x14ac:dyDescent="0.25">
      <c r="A22">
        <v>2883</v>
      </c>
      <c r="B22" t="s">
        <v>201</v>
      </c>
      <c r="C22" s="66">
        <v>149000</v>
      </c>
      <c r="D22">
        <v>8.86</v>
      </c>
      <c r="E22" s="67">
        <v>1320140</v>
      </c>
    </row>
    <row r="23" spans="1:5" x14ac:dyDescent="0.25">
      <c r="A23">
        <v>2888</v>
      </c>
      <c r="B23" t="s">
        <v>202</v>
      </c>
      <c r="C23" s="66">
        <v>409293</v>
      </c>
      <c r="D23">
        <v>8.7899999999999991</v>
      </c>
      <c r="E23" s="67">
        <v>3597685.5</v>
      </c>
    </row>
    <row r="24" spans="1:5" x14ac:dyDescent="0.25">
      <c r="A24">
        <v>3037</v>
      </c>
      <c r="B24" t="s">
        <v>206</v>
      </c>
      <c r="C24" s="66">
        <v>87000</v>
      </c>
      <c r="D24">
        <v>51.8</v>
      </c>
      <c r="E24" s="67">
        <v>4506600</v>
      </c>
    </row>
    <row r="25" spans="1:5" x14ac:dyDescent="0.25">
      <c r="A25">
        <v>3044</v>
      </c>
      <c r="B25" t="s">
        <v>3045</v>
      </c>
      <c r="C25" s="66">
        <v>7000</v>
      </c>
      <c r="D25">
        <v>115.5</v>
      </c>
      <c r="E25" s="67">
        <v>808500</v>
      </c>
    </row>
    <row r="26" spans="1:5" x14ac:dyDescent="0.25">
      <c r="A26">
        <v>3105</v>
      </c>
      <c r="B26" t="s">
        <v>207</v>
      </c>
      <c r="C26" s="66">
        <v>20000</v>
      </c>
      <c r="D26">
        <v>311.5</v>
      </c>
      <c r="E26" s="67">
        <v>6230000</v>
      </c>
    </row>
    <row r="27" spans="1:5" x14ac:dyDescent="0.25">
      <c r="A27">
        <v>3227</v>
      </c>
      <c r="B27" t="s">
        <v>210</v>
      </c>
      <c r="C27" s="66">
        <v>2000</v>
      </c>
      <c r="D27">
        <v>218</v>
      </c>
      <c r="E27" s="67">
        <v>436000</v>
      </c>
    </row>
    <row r="28" spans="1:5" x14ac:dyDescent="0.25">
      <c r="A28">
        <v>3376</v>
      </c>
      <c r="B28" t="s">
        <v>212</v>
      </c>
      <c r="C28" s="66">
        <v>8000</v>
      </c>
      <c r="D28">
        <v>160</v>
      </c>
      <c r="E28" s="67">
        <v>1280000</v>
      </c>
    </row>
    <row r="29" spans="1:5" x14ac:dyDescent="0.25">
      <c r="A29">
        <v>3406</v>
      </c>
      <c r="B29" t="s">
        <v>213</v>
      </c>
      <c r="C29" s="66">
        <v>1951</v>
      </c>
      <c r="D29">
        <v>756</v>
      </c>
      <c r="E29" s="67">
        <v>1474956</v>
      </c>
    </row>
    <row r="30" spans="1:5" x14ac:dyDescent="0.25">
      <c r="A30">
        <v>3481</v>
      </c>
      <c r="B30" t="s">
        <v>216</v>
      </c>
      <c r="C30" s="66">
        <v>913000</v>
      </c>
      <c r="D30">
        <v>8.5</v>
      </c>
      <c r="E30" s="67">
        <v>7760500</v>
      </c>
    </row>
    <row r="31" spans="1:5" x14ac:dyDescent="0.25">
      <c r="A31">
        <v>3563</v>
      </c>
      <c r="B31" t="s">
        <v>3046</v>
      </c>
      <c r="C31" s="66">
        <v>40000</v>
      </c>
      <c r="D31">
        <v>296.5</v>
      </c>
      <c r="E31" s="67">
        <v>11860000</v>
      </c>
    </row>
    <row r="32" spans="1:5" x14ac:dyDescent="0.25">
      <c r="A32">
        <v>3711</v>
      </c>
      <c r="B32" t="s">
        <v>223</v>
      </c>
      <c r="C32" s="66">
        <v>9000</v>
      </c>
      <c r="D32">
        <v>70.7</v>
      </c>
      <c r="E32" s="67">
        <v>636300</v>
      </c>
    </row>
    <row r="33" spans="1:5" x14ac:dyDescent="0.25">
      <c r="A33">
        <v>4938</v>
      </c>
      <c r="B33" t="s">
        <v>225</v>
      </c>
      <c r="C33" s="66">
        <v>26000</v>
      </c>
      <c r="D33">
        <v>63.9</v>
      </c>
      <c r="E33" s="67">
        <v>1661400</v>
      </c>
    </row>
    <row r="34" spans="1:5" x14ac:dyDescent="0.25">
      <c r="A34">
        <v>4958</v>
      </c>
      <c r="B34" t="s">
        <v>3047</v>
      </c>
      <c r="C34" s="66">
        <v>1000</v>
      </c>
      <c r="D34">
        <v>133.5</v>
      </c>
      <c r="E34" s="67">
        <v>133500</v>
      </c>
    </row>
    <row r="35" spans="1:5" x14ac:dyDescent="0.25">
      <c r="A35">
        <v>5203</v>
      </c>
      <c r="B35" t="s">
        <v>2498</v>
      </c>
      <c r="C35" s="66">
        <v>267000</v>
      </c>
      <c r="D35">
        <v>113.5</v>
      </c>
      <c r="E35" s="67">
        <v>30304500</v>
      </c>
    </row>
    <row r="36" spans="1:5" x14ac:dyDescent="0.25">
      <c r="A36">
        <v>5483</v>
      </c>
      <c r="B36" t="s">
        <v>228</v>
      </c>
      <c r="C36" s="66">
        <v>43000</v>
      </c>
      <c r="D36">
        <v>101</v>
      </c>
      <c r="E36" s="67">
        <v>4343000</v>
      </c>
    </row>
    <row r="37" spans="1:5" x14ac:dyDescent="0.25">
      <c r="A37">
        <v>6213</v>
      </c>
      <c r="B37" t="s">
        <v>229</v>
      </c>
      <c r="C37" s="66">
        <v>189</v>
      </c>
      <c r="D37">
        <v>147</v>
      </c>
      <c r="E37" s="67">
        <v>27783</v>
      </c>
    </row>
    <row r="38" spans="1:5" x14ac:dyDescent="0.25">
      <c r="A38">
        <v>6504</v>
      </c>
      <c r="B38" t="s">
        <v>2747</v>
      </c>
      <c r="C38" s="66">
        <v>140000</v>
      </c>
      <c r="D38">
        <v>255</v>
      </c>
      <c r="E38" s="67">
        <v>35700000</v>
      </c>
    </row>
    <row r="39" spans="1:5" x14ac:dyDescent="0.25">
      <c r="A39">
        <v>6533</v>
      </c>
      <c r="B39" t="s">
        <v>2499</v>
      </c>
      <c r="C39" s="66">
        <v>245000</v>
      </c>
      <c r="D39">
        <v>142</v>
      </c>
      <c r="E39" s="67">
        <v>34790000</v>
      </c>
    </row>
    <row r="40" spans="1:5" x14ac:dyDescent="0.25">
      <c r="A40">
        <v>6669</v>
      </c>
      <c r="B40" t="s">
        <v>238</v>
      </c>
      <c r="C40" s="66">
        <v>8000</v>
      </c>
      <c r="D40">
        <v>770</v>
      </c>
      <c r="E40" s="67">
        <v>6160000</v>
      </c>
    </row>
    <row r="41" spans="1:5" x14ac:dyDescent="0.25">
      <c r="A41">
        <v>8086</v>
      </c>
      <c r="B41" t="s">
        <v>240</v>
      </c>
      <c r="C41" s="66">
        <v>3000</v>
      </c>
      <c r="D41">
        <v>96</v>
      </c>
      <c r="E41" s="67">
        <v>288000</v>
      </c>
    </row>
    <row r="42" spans="1:5" x14ac:dyDescent="0.25">
      <c r="A42">
        <v>8299</v>
      </c>
      <c r="B42" t="s">
        <v>241</v>
      </c>
      <c r="C42" s="66">
        <v>16000</v>
      </c>
      <c r="D42">
        <v>310</v>
      </c>
      <c r="E42" s="67">
        <v>4960000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AY97"/>
  <sheetViews>
    <sheetView workbookViewId="0">
      <selection activeCell="D15" sqref="D15"/>
    </sheetView>
  </sheetViews>
  <sheetFormatPr defaultRowHeight="16.5" x14ac:dyDescent="0.25"/>
  <cols>
    <col min="1" max="1" width="9.5" bestFit="1" customWidth="1"/>
    <col min="2" max="2" width="19.125" bestFit="1" customWidth="1"/>
    <col min="3" max="3" width="9.5" bestFit="1" customWidth="1"/>
    <col min="4" max="4" width="20.5" bestFit="1" customWidth="1"/>
    <col min="5" max="6" width="9.5" bestFit="1" customWidth="1"/>
    <col min="7" max="7" width="7.25" bestFit="1" customWidth="1"/>
    <col min="8" max="8" width="9.5" bestFit="1" customWidth="1"/>
    <col min="9" max="10" width="3.5" bestFit="1" customWidth="1"/>
    <col min="11" max="11" width="8.625" bestFit="1" customWidth="1"/>
    <col min="12" max="12" width="11.125" bestFit="1" customWidth="1"/>
    <col min="13" max="15" width="9.25" bestFit="1" customWidth="1"/>
    <col min="16" max="18" width="9.625" bestFit="1" customWidth="1"/>
    <col min="19" max="20" width="9.5" bestFit="1" customWidth="1"/>
    <col min="21" max="21" width="7.125" bestFit="1" customWidth="1"/>
    <col min="22" max="22" width="6.875" bestFit="1" customWidth="1"/>
    <col min="23" max="25" width="9.5" bestFit="1" customWidth="1"/>
    <col min="26" max="26" width="11.625" bestFit="1" customWidth="1"/>
    <col min="27" max="34" width="9.5" bestFit="1" customWidth="1"/>
    <col min="35" max="35" width="10.5" bestFit="1" customWidth="1"/>
    <col min="36" max="36" width="6.125" bestFit="1" customWidth="1"/>
    <col min="37" max="37" width="6.5" bestFit="1" customWidth="1"/>
    <col min="38" max="38" width="7.5" bestFit="1" customWidth="1"/>
    <col min="39" max="39" width="9.5" bestFit="1" customWidth="1"/>
    <col min="40" max="40" width="11.25" bestFit="1" customWidth="1"/>
    <col min="41" max="41" width="9.5" bestFit="1" customWidth="1"/>
    <col min="42" max="43" width="11.625" bestFit="1" customWidth="1"/>
    <col min="44" max="46" width="9.5" bestFit="1" customWidth="1"/>
    <col min="47" max="47" width="9.625" bestFit="1" customWidth="1"/>
    <col min="48" max="48" width="7" bestFit="1" customWidth="1"/>
    <col min="49" max="49" width="8" bestFit="1" customWidth="1"/>
    <col min="50" max="50" width="10" bestFit="1" customWidth="1"/>
    <col min="51" max="51" width="9.5" bestFit="1" customWidth="1"/>
  </cols>
  <sheetData>
    <row r="1" spans="1:51" x14ac:dyDescent="0.25">
      <c r="A1" t="s">
        <v>66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80</v>
      </c>
      <c r="P1" t="s">
        <v>81</v>
      </c>
      <c r="Q1" t="s">
        <v>82</v>
      </c>
      <c r="R1" t="s">
        <v>83</v>
      </c>
      <c r="S1" t="s">
        <v>84</v>
      </c>
      <c r="T1" t="s">
        <v>85</v>
      </c>
      <c r="U1" t="s">
        <v>86</v>
      </c>
      <c r="V1" t="s">
        <v>87</v>
      </c>
      <c r="W1" t="s">
        <v>88</v>
      </c>
      <c r="X1" t="s">
        <v>89</v>
      </c>
      <c r="Y1" t="s">
        <v>90</v>
      </c>
      <c r="Z1" t="s">
        <v>91</v>
      </c>
      <c r="AA1" t="s">
        <v>92</v>
      </c>
      <c r="AB1" t="s">
        <v>93</v>
      </c>
      <c r="AC1" t="s">
        <v>94</v>
      </c>
      <c r="AD1" t="s">
        <v>95</v>
      </c>
      <c r="AE1" t="s">
        <v>96</v>
      </c>
      <c r="AF1" t="s">
        <v>97</v>
      </c>
      <c r="AG1" t="s">
        <v>98</v>
      </c>
      <c r="AH1" t="s">
        <v>99</v>
      </c>
      <c r="AI1" t="s">
        <v>100</v>
      </c>
      <c r="AJ1" t="s">
        <v>101</v>
      </c>
      <c r="AK1" t="s">
        <v>102</v>
      </c>
      <c r="AL1" t="s">
        <v>103</v>
      </c>
      <c r="AM1" t="s">
        <v>104</v>
      </c>
      <c r="AN1" t="s">
        <v>105</v>
      </c>
      <c r="AO1" t="s">
        <v>106</v>
      </c>
      <c r="AP1" t="s">
        <v>107</v>
      </c>
      <c r="AQ1" t="s">
        <v>108</v>
      </c>
      <c r="AR1" t="s">
        <v>109</v>
      </c>
      <c r="AS1" t="s">
        <v>110</v>
      </c>
      <c r="AT1" t="s">
        <v>111</v>
      </c>
      <c r="AU1" t="s">
        <v>112</v>
      </c>
      <c r="AV1" t="s">
        <v>113</v>
      </c>
      <c r="AW1" t="s">
        <v>114</v>
      </c>
      <c r="AX1" t="s">
        <v>115</v>
      </c>
      <c r="AY1" t="s">
        <v>116</v>
      </c>
    </row>
    <row r="2" spans="1:51" x14ac:dyDescent="0.25">
      <c r="A2">
        <v>58470</v>
      </c>
      <c r="B2" t="s">
        <v>279</v>
      </c>
      <c r="C2">
        <v>50</v>
      </c>
      <c r="D2" t="s">
        <v>119</v>
      </c>
      <c r="E2">
        <v>9070</v>
      </c>
      <c r="F2" t="s">
        <v>120</v>
      </c>
      <c r="G2">
        <v>18.399999999999999</v>
      </c>
      <c r="H2" t="s">
        <v>129</v>
      </c>
      <c r="I2">
        <v>10</v>
      </c>
      <c r="J2">
        <v>10</v>
      </c>
      <c r="K2">
        <v>1</v>
      </c>
      <c r="L2">
        <v>1</v>
      </c>
      <c r="M2">
        <v>499</v>
      </c>
      <c r="N2">
        <v>499</v>
      </c>
      <c r="O2">
        <v>499</v>
      </c>
      <c r="P2">
        <v>10</v>
      </c>
      <c r="Q2">
        <v>10</v>
      </c>
      <c r="R2">
        <v>10</v>
      </c>
      <c r="S2">
        <v>100</v>
      </c>
      <c r="T2">
        <v>500</v>
      </c>
      <c r="U2">
        <v>1</v>
      </c>
      <c r="V2">
        <v>5</v>
      </c>
      <c r="W2">
        <v>500</v>
      </c>
      <c r="X2">
        <v>1</v>
      </c>
      <c r="Y2">
        <v>1</v>
      </c>
      <c r="Z2" t="s">
        <v>121</v>
      </c>
      <c r="AA2" t="s">
        <v>121</v>
      </c>
      <c r="AB2" t="s">
        <v>121</v>
      </c>
      <c r="AC2" t="s">
        <v>121</v>
      </c>
      <c r="AD2">
        <v>100</v>
      </c>
      <c r="AE2">
        <v>10</v>
      </c>
      <c r="AF2" t="s">
        <v>120</v>
      </c>
      <c r="AG2" t="s">
        <v>120</v>
      </c>
      <c r="AH2" t="s">
        <v>121</v>
      </c>
      <c r="AI2" t="s">
        <v>121</v>
      </c>
      <c r="AJ2">
        <v>0.9</v>
      </c>
      <c r="AK2">
        <v>1.6</v>
      </c>
      <c r="AL2" s="66">
        <v>-1130</v>
      </c>
      <c r="AM2" s="66">
        <v>3993</v>
      </c>
      <c r="AN2">
        <v>0.4</v>
      </c>
      <c r="AO2">
        <v>1.8</v>
      </c>
      <c r="AP2">
        <v>2.3058999999999998</v>
      </c>
      <c r="AQ2">
        <v>0.05</v>
      </c>
      <c r="AR2">
        <v>78</v>
      </c>
      <c r="AS2">
        <v>89</v>
      </c>
      <c r="AT2">
        <v>0.25</v>
      </c>
      <c r="AU2">
        <v>0.66</v>
      </c>
      <c r="AV2">
        <v>30</v>
      </c>
      <c r="AW2">
        <v>0</v>
      </c>
      <c r="AX2">
        <v>0.22</v>
      </c>
      <c r="AY2" s="67">
        <v>0</v>
      </c>
    </row>
    <row r="3" spans="1:51" x14ac:dyDescent="0.25">
      <c r="A3">
        <v>59550</v>
      </c>
      <c r="B3" t="s">
        <v>278</v>
      </c>
      <c r="C3">
        <v>50</v>
      </c>
      <c r="D3" t="s">
        <v>119</v>
      </c>
      <c r="E3">
        <v>9070</v>
      </c>
      <c r="F3" t="s">
        <v>120</v>
      </c>
      <c r="G3">
        <v>33.5</v>
      </c>
      <c r="H3" t="s">
        <v>129</v>
      </c>
      <c r="I3">
        <v>1</v>
      </c>
      <c r="J3">
        <v>9</v>
      </c>
      <c r="K3">
        <v>1</v>
      </c>
      <c r="L3">
        <v>1</v>
      </c>
      <c r="M3">
        <v>499</v>
      </c>
      <c r="N3">
        <v>499</v>
      </c>
      <c r="O3">
        <v>499</v>
      </c>
      <c r="P3">
        <v>200</v>
      </c>
      <c r="Q3">
        <v>350</v>
      </c>
      <c r="R3">
        <v>150</v>
      </c>
      <c r="S3">
        <v>100</v>
      </c>
      <c r="T3">
        <v>500</v>
      </c>
      <c r="U3">
        <v>1</v>
      </c>
      <c r="V3">
        <v>5</v>
      </c>
      <c r="W3">
        <v>500</v>
      </c>
      <c r="X3">
        <v>1</v>
      </c>
      <c r="Y3">
        <v>1</v>
      </c>
      <c r="Z3" t="s">
        <v>121</v>
      </c>
      <c r="AA3" t="s">
        <v>121</v>
      </c>
      <c r="AB3" t="s">
        <v>121</v>
      </c>
      <c r="AC3" t="s">
        <v>121</v>
      </c>
      <c r="AD3">
        <v>100</v>
      </c>
      <c r="AE3">
        <v>100</v>
      </c>
      <c r="AF3" t="s">
        <v>121</v>
      </c>
      <c r="AG3" t="s">
        <v>120</v>
      </c>
      <c r="AH3" t="s">
        <v>121</v>
      </c>
      <c r="AI3" t="s">
        <v>121</v>
      </c>
      <c r="AJ3">
        <v>0.25</v>
      </c>
      <c r="AK3">
        <v>0.49</v>
      </c>
      <c r="AL3">
        <v>0</v>
      </c>
      <c r="AM3" s="66">
        <v>0</v>
      </c>
      <c r="AN3">
        <v>0</v>
      </c>
      <c r="AO3">
        <v>13.4</v>
      </c>
      <c r="AP3">
        <v>13.5632</v>
      </c>
      <c r="AQ3">
        <v>0.39</v>
      </c>
      <c r="AR3">
        <v>50</v>
      </c>
      <c r="AS3">
        <v>77</v>
      </c>
      <c r="AT3">
        <v>0.5</v>
      </c>
      <c r="AU3">
        <v>1</v>
      </c>
      <c r="AV3">
        <v>16</v>
      </c>
      <c r="AW3">
        <v>0</v>
      </c>
      <c r="AX3">
        <v>0</v>
      </c>
      <c r="AY3">
        <v>0</v>
      </c>
    </row>
    <row r="4" spans="1:51" x14ac:dyDescent="0.25">
      <c r="A4" t="s">
        <v>122</v>
      </c>
      <c r="B4" t="s">
        <v>123</v>
      </c>
      <c r="C4">
        <v>50</v>
      </c>
      <c r="D4" t="s">
        <v>119</v>
      </c>
      <c r="E4">
        <v>9070</v>
      </c>
      <c r="F4" t="s">
        <v>120</v>
      </c>
      <c r="G4">
        <v>17.8</v>
      </c>
      <c r="H4" t="s">
        <v>54</v>
      </c>
      <c r="I4">
        <v>10</v>
      </c>
      <c r="J4">
        <v>10</v>
      </c>
      <c r="K4">
        <v>1</v>
      </c>
      <c r="L4">
        <v>1</v>
      </c>
      <c r="M4">
        <v>499</v>
      </c>
      <c r="N4">
        <v>499</v>
      </c>
      <c r="O4">
        <v>499</v>
      </c>
      <c r="P4">
        <v>10</v>
      </c>
      <c r="Q4">
        <v>10</v>
      </c>
      <c r="R4">
        <v>10</v>
      </c>
      <c r="S4">
        <v>100</v>
      </c>
      <c r="T4">
        <v>500</v>
      </c>
      <c r="U4">
        <v>1</v>
      </c>
      <c r="V4">
        <v>10</v>
      </c>
      <c r="W4">
        <v>500</v>
      </c>
      <c r="X4">
        <v>1</v>
      </c>
      <c r="Y4">
        <v>1</v>
      </c>
      <c r="Z4" t="s">
        <v>121</v>
      </c>
      <c r="AA4" t="s">
        <v>121</v>
      </c>
      <c r="AB4" t="s">
        <v>121</v>
      </c>
      <c r="AC4" t="s">
        <v>121</v>
      </c>
      <c r="AD4">
        <v>100</v>
      </c>
      <c r="AE4">
        <v>10</v>
      </c>
      <c r="AF4" t="s">
        <v>121</v>
      </c>
      <c r="AG4" t="s">
        <v>120</v>
      </c>
      <c r="AH4" t="s">
        <v>120</v>
      </c>
      <c r="AI4" t="s">
        <v>121</v>
      </c>
      <c r="AJ4">
        <v>-0.03</v>
      </c>
      <c r="AK4">
        <v>-0.05</v>
      </c>
      <c r="AL4">
        <v>0</v>
      </c>
      <c r="AM4" s="66">
        <v>5995</v>
      </c>
      <c r="AN4">
        <v>1</v>
      </c>
      <c r="AO4">
        <v>7.0000000000000007E-2</v>
      </c>
      <c r="AP4">
        <v>6.8999999999999999E-3</v>
      </c>
      <c r="AQ4">
        <v>-0.1</v>
      </c>
      <c r="AR4">
        <v>15</v>
      </c>
      <c r="AS4">
        <v>109</v>
      </c>
      <c r="AT4">
        <v>0.6</v>
      </c>
      <c r="AU4">
        <v>-0.01</v>
      </c>
      <c r="AV4">
        <v>17</v>
      </c>
      <c r="AW4">
        <v>0</v>
      </c>
      <c r="AX4">
        <v>0.69</v>
      </c>
      <c r="AY4">
        <v>0</v>
      </c>
    </row>
    <row r="5" spans="1:51" x14ac:dyDescent="0.25">
      <c r="A5" t="s">
        <v>124</v>
      </c>
      <c r="B5" t="s">
        <v>125</v>
      </c>
      <c r="C5">
        <v>50</v>
      </c>
      <c r="D5" t="s">
        <v>119</v>
      </c>
      <c r="E5">
        <v>9070</v>
      </c>
      <c r="F5" t="s">
        <v>120</v>
      </c>
      <c r="G5">
        <v>24.1</v>
      </c>
      <c r="H5" t="s">
        <v>54</v>
      </c>
      <c r="I5">
        <v>10</v>
      </c>
      <c r="J5">
        <v>10</v>
      </c>
      <c r="K5">
        <v>1</v>
      </c>
      <c r="L5">
        <v>1</v>
      </c>
      <c r="M5">
        <v>499</v>
      </c>
      <c r="N5">
        <v>499</v>
      </c>
      <c r="O5">
        <v>499</v>
      </c>
      <c r="P5">
        <v>10</v>
      </c>
      <c r="Q5">
        <v>10</v>
      </c>
      <c r="R5">
        <v>10</v>
      </c>
      <c r="S5">
        <v>100</v>
      </c>
      <c r="T5">
        <v>500</v>
      </c>
      <c r="U5">
        <v>1</v>
      </c>
      <c r="V5">
        <v>7</v>
      </c>
      <c r="W5">
        <v>500</v>
      </c>
      <c r="X5">
        <v>1</v>
      </c>
      <c r="Y5">
        <v>1</v>
      </c>
      <c r="Z5" t="s">
        <v>121</v>
      </c>
      <c r="AA5" t="s">
        <v>121</v>
      </c>
      <c r="AB5" t="s">
        <v>121</v>
      </c>
      <c r="AC5" t="s">
        <v>121</v>
      </c>
      <c r="AD5">
        <v>100</v>
      </c>
      <c r="AE5">
        <v>10</v>
      </c>
      <c r="AF5" t="s">
        <v>121</v>
      </c>
      <c r="AG5" t="s">
        <v>120</v>
      </c>
      <c r="AH5" t="s">
        <v>121</v>
      </c>
      <c r="AI5" t="s">
        <v>121</v>
      </c>
      <c r="AJ5">
        <v>-0.26</v>
      </c>
      <c r="AK5">
        <v>-0.51</v>
      </c>
      <c r="AL5" s="66">
        <v>-363</v>
      </c>
      <c r="AM5" s="66">
        <v>9112</v>
      </c>
      <c r="AN5">
        <v>0.91</v>
      </c>
      <c r="AO5">
        <v>0.68</v>
      </c>
      <c r="AP5">
        <v>0.75880000000000003</v>
      </c>
      <c r="AQ5">
        <v>-0.01</v>
      </c>
      <c r="AR5">
        <v>91</v>
      </c>
      <c r="AS5">
        <v>96</v>
      </c>
      <c r="AT5">
        <v>0.12</v>
      </c>
      <c r="AU5">
        <v>-0.44</v>
      </c>
      <c r="AV5">
        <v>30</v>
      </c>
      <c r="AW5">
        <v>0</v>
      </c>
      <c r="AX5">
        <v>0.36</v>
      </c>
      <c r="AY5">
        <v>0</v>
      </c>
    </row>
    <row r="6" spans="1:51" x14ac:dyDescent="0.25">
      <c r="A6" t="s">
        <v>280</v>
      </c>
      <c r="B6" t="s">
        <v>281</v>
      </c>
      <c r="C6">
        <v>50</v>
      </c>
      <c r="D6" t="s">
        <v>119</v>
      </c>
      <c r="E6">
        <v>9070</v>
      </c>
      <c r="F6" t="s">
        <v>120</v>
      </c>
      <c r="G6">
        <v>21.2</v>
      </c>
      <c r="H6" t="s">
        <v>54</v>
      </c>
      <c r="I6">
        <v>10</v>
      </c>
      <c r="J6">
        <v>10</v>
      </c>
      <c r="K6">
        <v>1</v>
      </c>
      <c r="L6">
        <v>1</v>
      </c>
      <c r="M6">
        <v>499</v>
      </c>
      <c r="N6">
        <v>499</v>
      </c>
      <c r="O6">
        <v>499</v>
      </c>
      <c r="P6">
        <v>10</v>
      </c>
      <c r="Q6">
        <v>10</v>
      </c>
      <c r="R6">
        <v>10</v>
      </c>
      <c r="S6">
        <v>100</v>
      </c>
      <c r="T6">
        <v>500</v>
      </c>
      <c r="U6">
        <v>1</v>
      </c>
      <c r="V6">
        <v>5</v>
      </c>
      <c r="W6">
        <v>500</v>
      </c>
      <c r="X6">
        <v>1</v>
      </c>
      <c r="Y6">
        <v>1</v>
      </c>
      <c r="Z6" t="s">
        <v>121</v>
      </c>
      <c r="AA6" t="s">
        <v>121</v>
      </c>
      <c r="AB6" t="s">
        <v>121</v>
      </c>
      <c r="AC6" t="s">
        <v>121</v>
      </c>
      <c r="AD6">
        <v>100</v>
      </c>
      <c r="AE6">
        <v>10</v>
      </c>
      <c r="AF6" t="s">
        <v>121</v>
      </c>
      <c r="AG6" t="s">
        <v>120</v>
      </c>
      <c r="AH6" t="s">
        <v>120</v>
      </c>
      <c r="AI6" t="s">
        <v>54</v>
      </c>
      <c r="AJ6">
        <v>-0.06</v>
      </c>
      <c r="AK6">
        <v>0</v>
      </c>
      <c r="AL6" s="66">
        <v>0</v>
      </c>
      <c r="AM6" s="66">
        <v>9992</v>
      </c>
      <c r="AN6">
        <v>1</v>
      </c>
      <c r="AO6">
        <v>0.25</v>
      </c>
      <c r="AP6">
        <v>5.9999999999999995E-4</v>
      </c>
      <c r="AQ6">
        <v>-0.21</v>
      </c>
      <c r="AR6">
        <v>44</v>
      </c>
      <c r="AS6">
        <v>83</v>
      </c>
      <c r="AT6">
        <v>1</v>
      </c>
      <c r="AU6">
        <v>0</v>
      </c>
      <c r="AV6">
        <v>14</v>
      </c>
      <c r="AW6">
        <v>0</v>
      </c>
      <c r="AX6">
        <v>0.24</v>
      </c>
      <c r="AY6">
        <v>0</v>
      </c>
    </row>
    <row r="7" spans="1:51" x14ac:dyDescent="0.25">
      <c r="A7" t="s">
        <v>117</v>
      </c>
      <c r="B7" t="s">
        <v>118</v>
      </c>
      <c r="C7">
        <v>50</v>
      </c>
      <c r="D7" t="s">
        <v>119</v>
      </c>
      <c r="E7">
        <v>9070</v>
      </c>
      <c r="F7" t="s">
        <v>120</v>
      </c>
      <c r="G7">
        <v>21</v>
      </c>
      <c r="H7" t="s">
        <v>54</v>
      </c>
      <c r="I7">
        <v>10</v>
      </c>
      <c r="J7">
        <v>10</v>
      </c>
      <c r="K7">
        <v>1</v>
      </c>
      <c r="L7">
        <v>1</v>
      </c>
      <c r="M7">
        <v>499</v>
      </c>
      <c r="N7">
        <v>499</v>
      </c>
      <c r="O7">
        <v>499</v>
      </c>
      <c r="P7">
        <v>50</v>
      </c>
      <c r="Q7">
        <v>50</v>
      </c>
      <c r="R7">
        <v>50</v>
      </c>
      <c r="S7">
        <v>100</v>
      </c>
      <c r="T7">
        <v>500</v>
      </c>
      <c r="U7">
        <v>1</v>
      </c>
      <c r="V7">
        <v>7</v>
      </c>
      <c r="W7">
        <v>500</v>
      </c>
      <c r="X7">
        <v>1</v>
      </c>
      <c r="Y7">
        <v>1</v>
      </c>
      <c r="Z7" t="s">
        <v>121</v>
      </c>
      <c r="AA7" t="s">
        <v>121</v>
      </c>
      <c r="AB7" t="s">
        <v>121</v>
      </c>
      <c r="AC7" t="s">
        <v>121</v>
      </c>
      <c r="AD7">
        <v>100</v>
      </c>
      <c r="AE7">
        <v>50</v>
      </c>
      <c r="AF7" t="s">
        <v>120</v>
      </c>
      <c r="AG7" t="s">
        <v>120</v>
      </c>
      <c r="AH7" t="s">
        <v>121</v>
      </c>
      <c r="AI7" t="s">
        <v>121</v>
      </c>
      <c r="AJ7">
        <v>-0.44</v>
      </c>
      <c r="AK7">
        <v>-0.89</v>
      </c>
      <c r="AL7" s="66">
        <v>-2160</v>
      </c>
      <c r="AM7" s="66">
        <v>3130</v>
      </c>
      <c r="AN7">
        <v>0.31</v>
      </c>
      <c r="AO7">
        <v>0.62</v>
      </c>
      <c r="AP7">
        <v>0.60840000000000005</v>
      </c>
      <c r="AQ7">
        <v>-0.08</v>
      </c>
      <c r="AR7">
        <v>65</v>
      </c>
      <c r="AS7">
        <v>101</v>
      </c>
      <c r="AT7">
        <v>0.4</v>
      </c>
      <c r="AU7">
        <v>-0.23</v>
      </c>
      <c r="AV7">
        <v>22</v>
      </c>
      <c r="AW7">
        <v>0</v>
      </c>
      <c r="AX7">
        <v>0.17</v>
      </c>
      <c r="AY7" s="67">
        <v>0</v>
      </c>
    </row>
    <row r="8" spans="1:51" x14ac:dyDescent="0.25">
      <c r="A8">
        <v>58740</v>
      </c>
      <c r="B8" t="s">
        <v>282</v>
      </c>
      <c r="C8" t="s">
        <v>127</v>
      </c>
      <c r="D8" t="s">
        <v>128</v>
      </c>
      <c r="E8">
        <v>9700</v>
      </c>
      <c r="F8" t="s">
        <v>120</v>
      </c>
      <c r="G8">
        <v>18</v>
      </c>
      <c r="H8" t="s">
        <v>129</v>
      </c>
      <c r="I8">
        <v>10</v>
      </c>
      <c r="J8">
        <v>10</v>
      </c>
      <c r="K8">
        <v>1</v>
      </c>
      <c r="L8">
        <v>1</v>
      </c>
      <c r="M8">
        <v>499</v>
      </c>
      <c r="N8">
        <v>499</v>
      </c>
      <c r="O8">
        <v>499</v>
      </c>
      <c r="P8">
        <v>100</v>
      </c>
      <c r="Q8">
        <v>100</v>
      </c>
      <c r="R8">
        <v>100</v>
      </c>
      <c r="S8">
        <v>100</v>
      </c>
      <c r="T8">
        <v>500</v>
      </c>
      <c r="U8">
        <v>1</v>
      </c>
      <c r="V8">
        <v>3</v>
      </c>
      <c r="W8">
        <v>500</v>
      </c>
      <c r="X8">
        <v>1</v>
      </c>
      <c r="Y8">
        <v>1</v>
      </c>
      <c r="Z8" t="s">
        <v>121</v>
      </c>
      <c r="AA8" t="s">
        <v>121</v>
      </c>
      <c r="AB8" t="s">
        <v>121</v>
      </c>
      <c r="AC8" t="s">
        <v>121</v>
      </c>
      <c r="AD8">
        <v>100</v>
      </c>
      <c r="AE8">
        <v>10</v>
      </c>
      <c r="AF8" t="s">
        <v>121</v>
      </c>
      <c r="AG8" t="s">
        <v>120</v>
      </c>
      <c r="AH8" t="s">
        <v>121</v>
      </c>
      <c r="AI8" t="s">
        <v>121</v>
      </c>
      <c r="AJ8">
        <v>0.14000000000000001</v>
      </c>
      <c r="AK8">
        <v>0.25</v>
      </c>
      <c r="AL8">
        <v>0</v>
      </c>
      <c r="AM8" s="66">
        <v>1661</v>
      </c>
      <c r="AN8">
        <v>0.08</v>
      </c>
      <c r="AO8">
        <v>0.17</v>
      </c>
      <c r="AP8">
        <v>0.24129999999999999</v>
      </c>
      <c r="AQ8">
        <v>-0.11</v>
      </c>
      <c r="AR8">
        <v>81</v>
      </c>
      <c r="AS8">
        <v>86</v>
      </c>
      <c r="AT8">
        <v>1</v>
      </c>
      <c r="AU8">
        <v>0.28000000000000003</v>
      </c>
      <c r="AV8">
        <v>30</v>
      </c>
      <c r="AW8">
        <v>0</v>
      </c>
      <c r="AX8">
        <v>0.64</v>
      </c>
      <c r="AY8">
        <v>0</v>
      </c>
    </row>
    <row r="9" spans="1:51" x14ac:dyDescent="0.25">
      <c r="A9">
        <v>53900</v>
      </c>
      <c r="B9" t="s">
        <v>126</v>
      </c>
      <c r="C9" t="s">
        <v>127</v>
      </c>
      <c r="D9" t="s">
        <v>128</v>
      </c>
      <c r="E9">
        <v>9700</v>
      </c>
      <c r="F9" t="s">
        <v>120</v>
      </c>
      <c r="G9">
        <v>16</v>
      </c>
      <c r="H9" t="s">
        <v>129</v>
      </c>
      <c r="I9">
        <v>10</v>
      </c>
      <c r="J9">
        <v>10</v>
      </c>
      <c r="K9">
        <v>1</v>
      </c>
      <c r="L9">
        <v>3</v>
      </c>
      <c r="M9">
        <v>499</v>
      </c>
      <c r="N9">
        <v>499</v>
      </c>
      <c r="O9">
        <v>499</v>
      </c>
      <c r="P9">
        <v>10</v>
      </c>
      <c r="Q9">
        <v>10</v>
      </c>
      <c r="R9">
        <v>10</v>
      </c>
      <c r="S9">
        <v>100</v>
      </c>
      <c r="T9">
        <v>500</v>
      </c>
      <c r="U9">
        <v>1</v>
      </c>
      <c r="V9">
        <v>3</v>
      </c>
      <c r="W9">
        <v>500</v>
      </c>
      <c r="X9">
        <v>1</v>
      </c>
      <c r="Y9">
        <v>1</v>
      </c>
      <c r="Z9" t="s">
        <v>121</v>
      </c>
      <c r="AA9" t="s">
        <v>121</v>
      </c>
      <c r="AB9" t="s">
        <v>121</v>
      </c>
      <c r="AC9" t="s">
        <v>121</v>
      </c>
      <c r="AD9">
        <v>100</v>
      </c>
      <c r="AE9">
        <v>10</v>
      </c>
      <c r="AF9" t="s">
        <v>121</v>
      </c>
      <c r="AG9" t="s">
        <v>120</v>
      </c>
      <c r="AH9" t="s">
        <v>120</v>
      </c>
      <c r="AI9" t="s">
        <v>54</v>
      </c>
      <c r="AJ9">
        <v>0.01</v>
      </c>
      <c r="AK9">
        <v>0.02</v>
      </c>
      <c r="AL9">
        <v>0</v>
      </c>
      <c r="AM9" s="66">
        <v>9991</v>
      </c>
      <c r="AN9">
        <v>1</v>
      </c>
      <c r="AO9">
        <v>7.0000000000000007E-2</v>
      </c>
      <c r="AP9">
        <v>5.5999999999999999E-3</v>
      </c>
      <c r="AQ9">
        <v>-0.15</v>
      </c>
      <c r="AR9">
        <v>49</v>
      </c>
      <c r="AS9">
        <v>136</v>
      </c>
      <c r="AT9">
        <v>1</v>
      </c>
      <c r="AU9">
        <v>0.02</v>
      </c>
      <c r="AV9">
        <v>18</v>
      </c>
      <c r="AW9">
        <v>0</v>
      </c>
      <c r="AX9">
        <v>1.21</v>
      </c>
      <c r="AY9">
        <v>0</v>
      </c>
    </row>
    <row r="10" spans="1:51" x14ac:dyDescent="0.25">
      <c r="A10">
        <v>57681</v>
      </c>
      <c r="B10" t="s">
        <v>130</v>
      </c>
      <c r="C10" t="s">
        <v>127</v>
      </c>
      <c r="D10" t="s">
        <v>128</v>
      </c>
      <c r="E10">
        <v>9700</v>
      </c>
      <c r="F10" t="s">
        <v>120</v>
      </c>
      <c r="G10">
        <v>28</v>
      </c>
      <c r="H10" t="s">
        <v>129</v>
      </c>
      <c r="I10">
        <v>1</v>
      </c>
      <c r="J10">
        <v>10</v>
      </c>
      <c r="K10">
        <v>1</v>
      </c>
      <c r="L10">
        <v>1</v>
      </c>
      <c r="M10">
        <v>499</v>
      </c>
      <c r="N10">
        <v>499</v>
      </c>
      <c r="O10">
        <v>499</v>
      </c>
      <c r="P10">
        <v>499</v>
      </c>
      <c r="Q10">
        <v>499</v>
      </c>
      <c r="R10">
        <v>499</v>
      </c>
      <c r="S10">
        <v>100</v>
      </c>
      <c r="T10">
        <v>500</v>
      </c>
      <c r="U10">
        <v>1</v>
      </c>
      <c r="V10">
        <v>3</v>
      </c>
      <c r="W10">
        <v>500</v>
      </c>
      <c r="X10">
        <v>1</v>
      </c>
      <c r="Y10">
        <v>1</v>
      </c>
      <c r="Z10" t="s">
        <v>121</v>
      </c>
      <c r="AA10" t="s">
        <v>121</v>
      </c>
      <c r="AB10" t="s">
        <v>121</v>
      </c>
      <c r="AC10" t="s">
        <v>121</v>
      </c>
      <c r="AD10">
        <v>100</v>
      </c>
      <c r="AE10">
        <v>20</v>
      </c>
      <c r="AF10" t="s">
        <v>121</v>
      </c>
      <c r="AG10" t="s">
        <v>120</v>
      </c>
      <c r="AH10" t="s">
        <v>121</v>
      </c>
      <c r="AI10" t="s">
        <v>121</v>
      </c>
      <c r="AJ10">
        <v>0.26</v>
      </c>
      <c r="AK10">
        <v>0.23</v>
      </c>
      <c r="AL10" s="66">
        <v>-350</v>
      </c>
      <c r="AM10" s="66">
        <v>1139</v>
      </c>
      <c r="AN10">
        <v>0.06</v>
      </c>
      <c r="AO10">
        <v>0.24</v>
      </c>
      <c r="AP10">
        <v>0.23330000000000001</v>
      </c>
      <c r="AQ10">
        <v>-0.13</v>
      </c>
      <c r="AR10">
        <v>110</v>
      </c>
      <c r="AS10">
        <v>99</v>
      </c>
      <c r="AT10">
        <v>1</v>
      </c>
      <c r="AU10">
        <v>0.26</v>
      </c>
      <c r="AV10">
        <v>28</v>
      </c>
      <c r="AW10">
        <v>0</v>
      </c>
      <c r="AX10">
        <v>0.52</v>
      </c>
      <c r="AY10">
        <v>0</v>
      </c>
    </row>
    <row r="11" spans="1:51" x14ac:dyDescent="0.25">
      <c r="A11">
        <v>58161</v>
      </c>
      <c r="B11" t="s">
        <v>131</v>
      </c>
      <c r="C11" t="s">
        <v>127</v>
      </c>
      <c r="D11" t="s">
        <v>128</v>
      </c>
      <c r="E11">
        <v>9700</v>
      </c>
      <c r="F11" t="s">
        <v>120</v>
      </c>
      <c r="G11">
        <v>19.8</v>
      </c>
      <c r="H11" t="s">
        <v>129</v>
      </c>
      <c r="I11">
        <v>10</v>
      </c>
      <c r="J11">
        <v>10</v>
      </c>
      <c r="K11">
        <v>1</v>
      </c>
      <c r="L11">
        <v>3</v>
      </c>
      <c r="M11">
        <v>499</v>
      </c>
      <c r="N11">
        <v>499</v>
      </c>
      <c r="O11">
        <v>499</v>
      </c>
      <c r="P11">
        <v>100</v>
      </c>
      <c r="Q11">
        <v>100</v>
      </c>
      <c r="R11">
        <v>100</v>
      </c>
      <c r="S11">
        <v>100</v>
      </c>
      <c r="T11">
        <v>500</v>
      </c>
      <c r="U11">
        <v>1</v>
      </c>
      <c r="V11">
        <v>3</v>
      </c>
      <c r="W11">
        <v>500</v>
      </c>
      <c r="X11">
        <v>1</v>
      </c>
      <c r="Y11">
        <v>1</v>
      </c>
      <c r="Z11" t="s">
        <v>121</v>
      </c>
      <c r="AA11" t="s">
        <v>121</v>
      </c>
      <c r="AB11" t="s">
        <v>121</v>
      </c>
      <c r="AC11" t="s">
        <v>121</v>
      </c>
      <c r="AD11">
        <v>100</v>
      </c>
      <c r="AE11">
        <v>10</v>
      </c>
      <c r="AF11" t="s">
        <v>121</v>
      </c>
      <c r="AG11" t="s">
        <v>120</v>
      </c>
      <c r="AH11" t="s">
        <v>121</v>
      </c>
      <c r="AI11" t="s">
        <v>121</v>
      </c>
      <c r="AJ11">
        <v>0.2</v>
      </c>
      <c r="AK11">
        <v>0.25</v>
      </c>
      <c r="AL11" s="66">
        <v>0</v>
      </c>
      <c r="AM11" s="66">
        <v>3025</v>
      </c>
      <c r="AN11">
        <v>0.15</v>
      </c>
      <c r="AO11">
        <v>0.2</v>
      </c>
      <c r="AP11">
        <v>0.27850000000000003</v>
      </c>
      <c r="AQ11">
        <v>-0.13</v>
      </c>
      <c r="AR11">
        <v>154</v>
      </c>
      <c r="AS11">
        <v>93</v>
      </c>
      <c r="AT11">
        <v>1</v>
      </c>
      <c r="AU11">
        <v>0.28000000000000003</v>
      </c>
      <c r="AV11">
        <v>26</v>
      </c>
      <c r="AW11">
        <v>0</v>
      </c>
      <c r="AX11">
        <v>0.46</v>
      </c>
      <c r="AY11">
        <v>0</v>
      </c>
    </row>
    <row r="12" spans="1:51" x14ac:dyDescent="0.25">
      <c r="A12">
        <v>49973</v>
      </c>
      <c r="B12" t="s">
        <v>132</v>
      </c>
      <c r="C12" t="s">
        <v>127</v>
      </c>
      <c r="D12" t="s">
        <v>128</v>
      </c>
      <c r="E12">
        <v>9700</v>
      </c>
      <c r="F12" t="s">
        <v>120</v>
      </c>
      <c r="G12">
        <v>16</v>
      </c>
      <c r="H12" t="s">
        <v>129</v>
      </c>
      <c r="I12">
        <v>10</v>
      </c>
      <c r="J12">
        <v>10</v>
      </c>
      <c r="K12">
        <v>1</v>
      </c>
      <c r="L12">
        <v>3</v>
      </c>
      <c r="M12">
        <v>499</v>
      </c>
      <c r="N12">
        <v>499</v>
      </c>
      <c r="O12">
        <v>499</v>
      </c>
      <c r="P12">
        <v>10</v>
      </c>
      <c r="Q12">
        <v>10</v>
      </c>
      <c r="R12">
        <v>10</v>
      </c>
      <c r="S12">
        <v>100</v>
      </c>
      <c r="T12">
        <v>500</v>
      </c>
      <c r="U12">
        <v>1</v>
      </c>
      <c r="V12">
        <v>3</v>
      </c>
      <c r="W12">
        <v>500</v>
      </c>
      <c r="X12">
        <v>1</v>
      </c>
      <c r="Y12">
        <v>1</v>
      </c>
      <c r="Z12" t="s">
        <v>121</v>
      </c>
      <c r="AA12" t="s">
        <v>121</v>
      </c>
      <c r="AB12" t="s">
        <v>121</v>
      </c>
      <c r="AC12" t="s">
        <v>121</v>
      </c>
      <c r="AD12">
        <v>100</v>
      </c>
      <c r="AE12">
        <v>10</v>
      </c>
      <c r="AF12" t="s">
        <v>121</v>
      </c>
      <c r="AG12" t="s">
        <v>120</v>
      </c>
      <c r="AH12" t="s">
        <v>120</v>
      </c>
      <c r="AI12" t="s">
        <v>54</v>
      </c>
      <c r="AJ12">
        <v>0.01</v>
      </c>
      <c r="AK12">
        <v>0.04</v>
      </c>
      <c r="AL12">
        <v>0</v>
      </c>
      <c r="AM12" s="66">
        <v>9998</v>
      </c>
      <c r="AN12">
        <v>1</v>
      </c>
      <c r="AO12">
        <v>0.08</v>
      </c>
      <c r="AP12">
        <v>1.8499999999999999E-2</v>
      </c>
      <c r="AQ12">
        <v>-0.18</v>
      </c>
      <c r="AR12">
        <v>66</v>
      </c>
      <c r="AS12">
        <v>181</v>
      </c>
      <c r="AT12">
        <v>1</v>
      </c>
      <c r="AU12">
        <v>0.05</v>
      </c>
      <c r="AV12">
        <v>22</v>
      </c>
      <c r="AW12">
        <v>0</v>
      </c>
      <c r="AX12">
        <v>1.05</v>
      </c>
      <c r="AY12">
        <v>0</v>
      </c>
    </row>
    <row r="13" spans="1:51" x14ac:dyDescent="0.25">
      <c r="A13">
        <v>56219</v>
      </c>
      <c r="B13" t="s">
        <v>134</v>
      </c>
      <c r="C13" t="s">
        <v>127</v>
      </c>
      <c r="D13" t="s">
        <v>128</v>
      </c>
      <c r="E13">
        <v>9700</v>
      </c>
      <c r="F13" t="s">
        <v>120</v>
      </c>
      <c r="G13">
        <v>18</v>
      </c>
      <c r="H13" t="s">
        <v>129</v>
      </c>
      <c r="I13">
        <v>10</v>
      </c>
      <c r="J13">
        <v>10</v>
      </c>
      <c r="K13">
        <v>1</v>
      </c>
      <c r="L13">
        <v>1</v>
      </c>
      <c r="M13">
        <v>499</v>
      </c>
      <c r="N13">
        <v>499</v>
      </c>
      <c r="O13">
        <v>499</v>
      </c>
      <c r="P13">
        <v>10</v>
      </c>
      <c r="Q13">
        <v>10</v>
      </c>
      <c r="R13">
        <v>10</v>
      </c>
      <c r="S13">
        <v>100</v>
      </c>
      <c r="T13">
        <v>500</v>
      </c>
      <c r="U13">
        <v>1</v>
      </c>
      <c r="V13">
        <v>3</v>
      </c>
      <c r="W13">
        <v>500</v>
      </c>
      <c r="X13">
        <v>1</v>
      </c>
      <c r="Y13">
        <v>1</v>
      </c>
      <c r="Z13" t="s">
        <v>121</v>
      </c>
      <c r="AA13" t="s">
        <v>121</v>
      </c>
      <c r="AB13" t="s">
        <v>121</v>
      </c>
      <c r="AC13" t="s">
        <v>121</v>
      </c>
      <c r="AD13">
        <v>100</v>
      </c>
      <c r="AE13">
        <v>10</v>
      </c>
      <c r="AF13" t="s">
        <v>121</v>
      </c>
      <c r="AG13" t="s">
        <v>120</v>
      </c>
      <c r="AH13" t="s">
        <v>121</v>
      </c>
      <c r="AI13" t="s">
        <v>54</v>
      </c>
      <c r="AJ13">
        <v>0.26</v>
      </c>
      <c r="AK13">
        <v>0.31</v>
      </c>
      <c r="AL13" s="66">
        <v>-490</v>
      </c>
      <c r="AM13" s="66">
        <v>8860</v>
      </c>
      <c r="AN13">
        <v>0.89</v>
      </c>
      <c r="AO13">
        <v>0.32</v>
      </c>
      <c r="AP13">
        <v>0.34379999999999999</v>
      </c>
      <c r="AQ13">
        <v>-0.09</v>
      </c>
      <c r="AR13">
        <v>139</v>
      </c>
      <c r="AS13">
        <v>113</v>
      </c>
      <c r="AT13">
        <v>1</v>
      </c>
      <c r="AU13">
        <v>0.34</v>
      </c>
      <c r="AV13">
        <v>25</v>
      </c>
      <c r="AW13">
        <v>0</v>
      </c>
      <c r="AX13">
        <v>0.42</v>
      </c>
      <c r="AY13" s="67">
        <v>0</v>
      </c>
    </row>
    <row r="14" spans="1:51" x14ac:dyDescent="0.25">
      <c r="A14">
        <v>52269</v>
      </c>
      <c r="B14" t="s">
        <v>135</v>
      </c>
      <c r="C14" t="s">
        <v>127</v>
      </c>
      <c r="D14" t="s">
        <v>128</v>
      </c>
      <c r="E14">
        <v>9700</v>
      </c>
      <c r="F14" t="s">
        <v>120</v>
      </c>
      <c r="G14">
        <v>16</v>
      </c>
      <c r="H14" t="s">
        <v>129</v>
      </c>
      <c r="I14">
        <v>10</v>
      </c>
      <c r="J14">
        <v>10</v>
      </c>
      <c r="K14">
        <v>1</v>
      </c>
      <c r="L14">
        <v>3</v>
      </c>
      <c r="M14">
        <v>499</v>
      </c>
      <c r="N14">
        <v>499</v>
      </c>
      <c r="O14">
        <v>499</v>
      </c>
      <c r="P14">
        <v>10</v>
      </c>
      <c r="Q14">
        <v>10</v>
      </c>
      <c r="R14">
        <v>10</v>
      </c>
      <c r="S14">
        <v>100</v>
      </c>
      <c r="T14">
        <v>500</v>
      </c>
      <c r="U14">
        <v>1</v>
      </c>
      <c r="V14">
        <v>3</v>
      </c>
      <c r="W14">
        <v>500</v>
      </c>
      <c r="X14">
        <v>1</v>
      </c>
      <c r="Y14">
        <v>1</v>
      </c>
      <c r="Z14" t="s">
        <v>121</v>
      </c>
      <c r="AA14" t="s">
        <v>121</v>
      </c>
      <c r="AB14" t="s">
        <v>121</v>
      </c>
      <c r="AC14" t="s">
        <v>121</v>
      </c>
      <c r="AD14">
        <v>100</v>
      </c>
      <c r="AE14">
        <v>10</v>
      </c>
      <c r="AF14" t="s">
        <v>121</v>
      </c>
      <c r="AG14" t="s">
        <v>120</v>
      </c>
      <c r="AH14" t="s">
        <v>120</v>
      </c>
      <c r="AI14" t="s">
        <v>54</v>
      </c>
      <c r="AJ14">
        <v>0.06</v>
      </c>
      <c r="AK14">
        <v>0.19</v>
      </c>
      <c r="AL14" s="66">
        <v>0</v>
      </c>
      <c r="AM14" s="66">
        <v>9993</v>
      </c>
      <c r="AN14">
        <v>1</v>
      </c>
      <c r="AO14">
        <v>0.15</v>
      </c>
      <c r="AP14">
        <v>0.17460000000000001</v>
      </c>
      <c r="AQ14">
        <v>-0.14000000000000001</v>
      </c>
      <c r="AR14">
        <v>92</v>
      </c>
      <c r="AS14">
        <v>155</v>
      </c>
      <c r="AT14">
        <v>1</v>
      </c>
      <c r="AU14">
        <v>0.21</v>
      </c>
      <c r="AV14">
        <v>29</v>
      </c>
      <c r="AW14">
        <v>0</v>
      </c>
      <c r="AX14">
        <v>0.66</v>
      </c>
      <c r="AY14">
        <v>0</v>
      </c>
    </row>
    <row r="15" spans="1:51" x14ac:dyDescent="0.25">
      <c r="A15" t="s">
        <v>283</v>
      </c>
      <c r="B15" t="s">
        <v>284</v>
      </c>
      <c r="C15" t="s">
        <v>127</v>
      </c>
      <c r="D15" t="s">
        <v>128</v>
      </c>
      <c r="E15">
        <v>9700</v>
      </c>
      <c r="F15" t="s">
        <v>120</v>
      </c>
      <c r="G15">
        <v>27</v>
      </c>
      <c r="H15" t="s">
        <v>54</v>
      </c>
      <c r="I15">
        <v>2</v>
      </c>
      <c r="J15">
        <v>10</v>
      </c>
      <c r="K15">
        <v>1</v>
      </c>
      <c r="L15">
        <v>1</v>
      </c>
      <c r="M15">
        <v>499</v>
      </c>
      <c r="N15">
        <v>499</v>
      </c>
      <c r="O15">
        <v>499</v>
      </c>
      <c r="P15">
        <v>10</v>
      </c>
      <c r="Q15">
        <v>10</v>
      </c>
      <c r="R15">
        <v>10</v>
      </c>
      <c r="S15">
        <v>100</v>
      </c>
      <c r="T15">
        <v>500</v>
      </c>
      <c r="U15">
        <v>1</v>
      </c>
      <c r="V15">
        <v>3</v>
      </c>
      <c r="W15">
        <v>500</v>
      </c>
      <c r="X15">
        <v>1</v>
      </c>
      <c r="Y15">
        <v>1</v>
      </c>
      <c r="Z15" t="s">
        <v>121</v>
      </c>
      <c r="AA15" t="s">
        <v>121</v>
      </c>
      <c r="AB15" t="s">
        <v>121</v>
      </c>
      <c r="AC15" t="s">
        <v>121</v>
      </c>
      <c r="AD15">
        <v>100</v>
      </c>
      <c r="AE15">
        <v>10</v>
      </c>
      <c r="AF15" t="s">
        <v>121</v>
      </c>
      <c r="AG15" t="s">
        <v>120</v>
      </c>
      <c r="AH15" t="s">
        <v>121</v>
      </c>
      <c r="AI15" t="s">
        <v>121</v>
      </c>
      <c r="AJ15">
        <v>-0.87</v>
      </c>
      <c r="AK15">
        <v>-0.75</v>
      </c>
      <c r="AL15">
        <v>0</v>
      </c>
      <c r="AM15" s="66">
        <v>41</v>
      </c>
      <c r="AN15">
        <v>0</v>
      </c>
      <c r="AO15">
        <v>2.12</v>
      </c>
      <c r="AP15">
        <v>2.2021000000000002</v>
      </c>
      <c r="AQ15">
        <v>0.19</v>
      </c>
      <c r="AR15">
        <v>105</v>
      </c>
      <c r="AS15">
        <v>84</v>
      </c>
      <c r="AT15">
        <v>1</v>
      </c>
      <c r="AU15">
        <v>-0.84</v>
      </c>
      <c r="AV15">
        <v>30</v>
      </c>
      <c r="AW15">
        <v>0</v>
      </c>
      <c r="AX15">
        <v>1</v>
      </c>
      <c r="AY15">
        <v>0</v>
      </c>
    </row>
    <row r="16" spans="1:51" x14ac:dyDescent="0.25">
      <c r="A16">
        <v>58349</v>
      </c>
      <c r="B16" t="s">
        <v>285</v>
      </c>
      <c r="C16" t="s">
        <v>137</v>
      </c>
      <c r="D16" t="s">
        <v>138</v>
      </c>
      <c r="E16">
        <v>9070</v>
      </c>
      <c r="F16" t="s">
        <v>120</v>
      </c>
      <c r="G16">
        <v>67.099999999999994</v>
      </c>
      <c r="H16" t="s">
        <v>129</v>
      </c>
      <c r="I16">
        <v>1</v>
      </c>
      <c r="J16">
        <v>9</v>
      </c>
      <c r="K16">
        <v>1</v>
      </c>
      <c r="L16">
        <v>1</v>
      </c>
      <c r="M16">
        <v>499</v>
      </c>
      <c r="N16">
        <v>499</v>
      </c>
      <c r="O16">
        <v>499</v>
      </c>
      <c r="P16">
        <v>200</v>
      </c>
      <c r="Q16">
        <v>300</v>
      </c>
      <c r="R16">
        <v>300</v>
      </c>
      <c r="S16">
        <v>100</v>
      </c>
      <c r="T16">
        <v>500</v>
      </c>
      <c r="U16">
        <v>1</v>
      </c>
      <c r="V16">
        <v>8</v>
      </c>
      <c r="W16">
        <v>500</v>
      </c>
      <c r="X16">
        <v>1</v>
      </c>
      <c r="Y16">
        <v>1</v>
      </c>
      <c r="Z16" t="s">
        <v>121</v>
      </c>
      <c r="AA16" t="s">
        <v>121</v>
      </c>
      <c r="AB16" t="s">
        <v>121</v>
      </c>
      <c r="AC16" t="s">
        <v>121</v>
      </c>
      <c r="AD16">
        <v>100</v>
      </c>
      <c r="AE16">
        <v>10</v>
      </c>
      <c r="AF16" t="s">
        <v>121</v>
      </c>
      <c r="AG16" t="s">
        <v>120</v>
      </c>
      <c r="AH16" t="s">
        <v>121</v>
      </c>
      <c r="AI16" t="s">
        <v>288</v>
      </c>
      <c r="AJ16">
        <v>0.43</v>
      </c>
      <c r="AK16">
        <v>1.07</v>
      </c>
      <c r="AL16">
        <v>18</v>
      </c>
      <c r="AM16" s="66">
        <v>10</v>
      </c>
      <c r="AN16">
        <v>0</v>
      </c>
      <c r="AO16">
        <v>3.28</v>
      </c>
      <c r="AP16">
        <v>3.0304000000000002</v>
      </c>
      <c r="AQ16">
        <v>0.35</v>
      </c>
      <c r="AR16">
        <v>56</v>
      </c>
      <c r="AS16">
        <v>90</v>
      </c>
      <c r="AT16">
        <v>0.5</v>
      </c>
      <c r="AU16">
        <v>0.94</v>
      </c>
      <c r="AV16">
        <v>45</v>
      </c>
      <c r="AW16">
        <v>0</v>
      </c>
      <c r="AX16">
        <v>0.82</v>
      </c>
      <c r="AY16">
        <v>0</v>
      </c>
    </row>
    <row r="17" spans="1:51" x14ac:dyDescent="0.25">
      <c r="A17">
        <v>58291</v>
      </c>
      <c r="B17" t="s">
        <v>286</v>
      </c>
      <c r="C17" t="s">
        <v>140</v>
      </c>
      <c r="D17" t="s">
        <v>141</v>
      </c>
      <c r="E17">
        <v>9070</v>
      </c>
      <c r="F17" t="s">
        <v>120</v>
      </c>
      <c r="G17">
        <v>66</v>
      </c>
      <c r="H17" t="s">
        <v>129</v>
      </c>
      <c r="I17">
        <v>9</v>
      </c>
      <c r="J17">
        <v>9</v>
      </c>
      <c r="K17">
        <v>1</v>
      </c>
      <c r="L17">
        <v>1</v>
      </c>
      <c r="M17">
        <v>499</v>
      </c>
      <c r="N17">
        <v>499</v>
      </c>
      <c r="O17">
        <v>499</v>
      </c>
      <c r="P17">
        <v>10</v>
      </c>
      <c r="Q17">
        <v>10</v>
      </c>
      <c r="R17">
        <v>10</v>
      </c>
      <c r="S17">
        <v>100</v>
      </c>
      <c r="T17">
        <v>500</v>
      </c>
      <c r="U17">
        <v>1</v>
      </c>
      <c r="V17">
        <v>10</v>
      </c>
      <c r="W17">
        <v>500</v>
      </c>
      <c r="X17">
        <v>1</v>
      </c>
      <c r="Y17">
        <v>1</v>
      </c>
      <c r="Z17" t="s">
        <v>121</v>
      </c>
      <c r="AA17" t="s">
        <v>121</v>
      </c>
      <c r="AB17" t="s">
        <v>121</v>
      </c>
      <c r="AC17" t="s">
        <v>121</v>
      </c>
      <c r="AD17">
        <v>100</v>
      </c>
      <c r="AE17">
        <v>10</v>
      </c>
      <c r="AF17" t="s">
        <v>121</v>
      </c>
      <c r="AG17" t="s">
        <v>120</v>
      </c>
      <c r="AH17" t="s">
        <v>121</v>
      </c>
      <c r="AI17" t="s">
        <v>54</v>
      </c>
      <c r="AJ17">
        <v>0</v>
      </c>
      <c r="AK17">
        <v>0</v>
      </c>
      <c r="AL17" s="66">
        <v>0</v>
      </c>
      <c r="AM17" s="66">
        <v>737</v>
      </c>
      <c r="AN17">
        <v>7.0000000000000007E-2</v>
      </c>
      <c r="AO17">
        <v>0.01</v>
      </c>
      <c r="AP17">
        <v>0</v>
      </c>
      <c r="AQ17">
        <v>-0.88</v>
      </c>
      <c r="AR17">
        <v>36</v>
      </c>
      <c r="AS17">
        <v>91</v>
      </c>
      <c r="AT17">
        <v>1</v>
      </c>
      <c r="AU17">
        <v>0</v>
      </c>
      <c r="AV17">
        <v>88</v>
      </c>
      <c r="AW17">
        <v>0</v>
      </c>
      <c r="AX17">
        <v>0</v>
      </c>
      <c r="AY17" s="67">
        <v>0</v>
      </c>
    </row>
    <row r="18" spans="1:51" x14ac:dyDescent="0.25">
      <c r="A18">
        <v>57115</v>
      </c>
      <c r="B18" t="s">
        <v>142</v>
      </c>
      <c r="C18" t="s">
        <v>140</v>
      </c>
      <c r="D18" t="s">
        <v>141</v>
      </c>
      <c r="E18">
        <v>9070</v>
      </c>
      <c r="F18" t="s">
        <v>120</v>
      </c>
      <c r="G18">
        <v>68.3</v>
      </c>
      <c r="H18" t="s">
        <v>129</v>
      </c>
      <c r="I18">
        <v>9</v>
      </c>
      <c r="J18">
        <v>9</v>
      </c>
      <c r="K18">
        <v>1</v>
      </c>
      <c r="L18">
        <v>1</v>
      </c>
      <c r="M18">
        <v>499</v>
      </c>
      <c r="N18">
        <v>499</v>
      </c>
      <c r="O18">
        <v>499</v>
      </c>
      <c r="P18">
        <v>10</v>
      </c>
      <c r="Q18">
        <v>10</v>
      </c>
      <c r="R18">
        <v>10</v>
      </c>
      <c r="S18">
        <v>100</v>
      </c>
      <c r="T18">
        <v>500</v>
      </c>
      <c r="U18">
        <v>1</v>
      </c>
      <c r="V18">
        <v>8</v>
      </c>
      <c r="W18">
        <v>500</v>
      </c>
      <c r="X18">
        <v>1</v>
      </c>
      <c r="Y18">
        <v>1</v>
      </c>
      <c r="Z18" t="s">
        <v>121</v>
      </c>
      <c r="AA18" t="s">
        <v>121</v>
      </c>
      <c r="AB18" t="s">
        <v>121</v>
      </c>
      <c r="AC18" t="s">
        <v>121</v>
      </c>
      <c r="AD18">
        <v>100</v>
      </c>
      <c r="AE18">
        <v>10</v>
      </c>
      <c r="AF18" t="s">
        <v>121</v>
      </c>
      <c r="AG18" t="s">
        <v>120</v>
      </c>
      <c r="AH18" t="s">
        <v>121</v>
      </c>
      <c r="AI18" t="s">
        <v>54</v>
      </c>
      <c r="AJ18">
        <v>0</v>
      </c>
      <c r="AK18">
        <v>0</v>
      </c>
      <c r="AL18">
        <v>0</v>
      </c>
      <c r="AM18">
        <v>349</v>
      </c>
      <c r="AN18">
        <v>0.04</v>
      </c>
      <c r="AO18">
        <v>0.08</v>
      </c>
      <c r="AP18">
        <v>3.0000000000000001E-3</v>
      </c>
      <c r="AQ18">
        <v>-0.89</v>
      </c>
      <c r="AR18">
        <v>60</v>
      </c>
      <c r="AS18">
        <v>105</v>
      </c>
      <c r="AT18">
        <v>1</v>
      </c>
      <c r="AU18">
        <v>0.01</v>
      </c>
      <c r="AV18">
        <v>163</v>
      </c>
      <c r="AW18">
        <v>0</v>
      </c>
      <c r="AX18">
        <v>0</v>
      </c>
      <c r="AY18" s="67">
        <v>0</v>
      </c>
    </row>
    <row r="19" spans="1:51" x14ac:dyDescent="0.25">
      <c r="A19">
        <v>58966</v>
      </c>
      <c r="B19" t="s">
        <v>287</v>
      </c>
      <c r="C19" t="s">
        <v>140</v>
      </c>
      <c r="D19" t="s">
        <v>141</v>
      </c>
      <c r="E19">
        <v>9070</v>
      </c>
      <c r="F19" t="s">
        <v>120</v>
      </c>
      <c r="G19">
        <v>99.1</v>
      </c>
      <c r="H19" t="s">
        <v>129</v>
      </c>
      <c r="I19">
        <v>10</v>
      </c>
      <c r="J19">
        <v>10</v>
      </c>
      <c r="K19">
        <v>1</v>
      </c>
      <c r="L19">
        <v>1</v>
      </c>
      <c r="M19">
        <v>100</v>
      </c>
      <c r="N19">
        <v>200</v>
      </c>
      <c r="O19">
        <v>250</v>
      </c>
      <c r="P19">
        <v>10</v>
      </c>
      <c r="Q19">
        <v>10</v>
      </c>
      <c r="R19">
        <v>10</v>
      </c>
      <c r="S19">
        <v>100</v>
      </c>
      <c r="T19">
        <v>500</v>
      </c>
      <c r="U19">
        <v>1</v>
      </c>
      <c r="V19">
        <v>3</v>
      </c>
      <c r="W19">
        <v>500</v>
      </c>
      <c r="X19">
        <v>1</v>
      </c>
      <c r="Y19">
        <v>1</v>
      </c>
      <c r="Z19" t="s">
        <v>121</v>
      </c>
      <c r="AA19" t="s">
        <v>121</v>
      </c>
      <c r="AB19" t="s">
        <v>121</v>
      </c>
      <c r="AC19" t="s">
        <v>121</v>
      </c>
      <c r="AD19">
        <v>100</v>
      </c>
      <c r="AE19">
        <v>10</v>
      </c>
      <c r="AF19" t="s">
        <v>121</v>
      </c>
      <c r="AG19" t="s">
        <v>120</v>
      </c>
      <c r="AH19" t="s">
        <v>121</v>
      </c>
      <c r="AI19" t="s">
        <v>54</v>
      </c>
      <c r="AJ19">
        <v>0.03</v>
      </c>
      <c r="AK19">
        <v>0.01</v>
      </c>
      <c r="AL19">
        <v>0</v>
      </c>
      <c r="AM19" s="66">
        <v>6116</v>
      </c>
      <c r="AN19">
        <v>0.61</v>
      </c>
      <c r="AO19">
        <v>0.11</v>
      </c>
      <c r="AP19">
        <v>2.07E-2</v>
      </c>
      <c r="AQ19">
        <v>-0.56999999999999995</v>
      </c>
      <c r="AR19">
        <v>43</v>
      </c>
      <c r="AS19">
        <v>84</v>
      </c>
      <c r="AT19">
        <v>1</v>
      </c>
      <c r="AU19">
        <v>7.0000000000000007E-2</v>
      </c>
      <c r="AV19">
        <v>120</v>
      </c>
      <c r="AW19">
        <v>0</v>
      </c>
      <c r="AX19">
        <v>5.0599999999999996</v>
      </c>
      <c r="AY19" s="67">
        <v>0</v>
      </c>
    </row>
    <row r="20" spans="1:51" x14ac:dyDescent="0.25">
      <c r="A20">
        <v>58857</v>
      </c>
      <c r="B20" t="s">
        <v>289</v>
      </c>
      <c r="C20" t="s">
        <v>140</v>
      </c>
      <c r="D20" t="s">
        <v>141</v>
      </c>
      <c r="E20">
        <v>9070</v>
      </c>
      <c r="F20" t="s">
        <v>120</v>
      </c>
      <c r="G20">
        <v>71</v>
      </c>
      <c r="H20" t="s">
        <v>129</v>
      </c>
      <c r="I20">
        <v>10</v>
      </c>
      <c r="J20">
        <v>10</v>
      </c>
      <c r="K20">
        <v>1</v>
      </c>
      <c r="L20">
        <v>1</v>
      </c>
      <c r="M20">
        <v>499</v>
      </c>
      <c r="N20">
        <v>499</v>
      </c>
      <c r="O20">
        <v>499</v>
      </c>
      <c r="P20">
        <v>10</v>
      </c>
      <c r="Q20">
        <v>10</v>
      </c>
      <c r="R20">
        <v>10</v>
      </c>
      <c r="S20">
        <v>100</v>
      </c>
      <c r="T20">
        <v>500</v>
      </c>
      <c r="U20">
        <v>1</v>
      </c>
      <c r="V20">
        <v>8</v>
      </c>
      <c r="W20">
        <v>500</v>
      </c>
      <c r="X20">
        <v>1</v>
      </c>
      <c r="Y20">
        <v>1</v>
      </c>
      <c r="Z20" t="s">
        <v>121</v>
      </c>
      <c r="AA20" t="s">
        <v>121</v>
      </c>
      <c r="AB20" t="s">
        <v>121</v>
      </c>
      <c r="AC20" t="s">
        <v>121</v>
      </c>
      <c r="AD20">
        <v>100</v>
      </c>
      <c r="AE20">
        <v>10</v>
      </c>
      <c r="AF20" t="s">
        <v>121</v>
      </c>
      <c r="AG20" t="s">
        <v>120</v>
      </c>
      <c r="AH20" t="s">
        <v>121</v>
      </c>
      <c r="AI20" t="s">
        <v>54</v>
      </c>
      <c r="AJ20">
        <v>0</v>
      </c>
      <c r="AK20">
        <v>0</v>
      </c>
      <c r="AL20" s="66">
        <v>111</v>
      </c>
      <c r="AM20" s="66">
        <v>1520</v>
      </c>
      <c r="AN20">
        <v>0.15</v>
      </c>
      <c r="AO20">
        <v>0.01</v>
      </c>
      <c r="AP20">
        <v>5.9999999999999995E-4</v>
      </c>
      <c r="AQ20">
        <v>-0.77</v>
      </c>
      <c r="AR20">
        <v>42</v>
      </c>
      <c r="AS20">
        <v>85</v>
      </c>
      <c r="AT20">
        <v>1</v>
      </c>
      <c r="AU20">
        <v>0</v>
      </c>
      <c r="AV20">
        <v>121</v>
      </c>
      <c r="AW20">
        <v>0</v>
      </c>
      <c r="AX20">
        <v>0</v>
      </c>
      <c r="AY20">
        <v>0</v>
      </c>
    </row>
    <row r="21" spans="1:51" x14ac:dyDescent="0.25">
      <c r="A21">
        <v>56635</v>
      </c>
      <c r="B21" t="s">
        <v>143</v>
      </c>
      <c r="C21">
        <v>1590</v>
      </c>
      <c r="D21" t="s">
        <v>144</v>
      </c>
      <c r="E21">
        <v>9600</v>
      </c>
      <c r="F21" t="s">
        <v>120</v>
      </c>
      <c r="G21">
        <v>90</v>
      </c>
      <c r="H21" t="s">
        <v>129</v>
      </c>
      <c r="I21">
        <v>4</v>
      </c>
      <c r="J21">
        <v>9</v>
      </c>
      <c r="K21">
        <v>1</v>
      </c>
      <c r="L21">
        <v>1</v>
      </c>
      <c r="M21">
        <v>100</v>
      </c>
      <c r="N21">
        <v>100</v>
      </c>
      <c r="O21">
        <v>100</v>
      </c>
      <c r="P21">
        <v>100</v>
      </c>
      <c r="Q21">
        <v>100</v>
      </c>
      <c r="R21">
        <v>100</v>
      </c>
      <c r="S21">
        <v>100</v>
      </c>
      <c r="T21">
        <v>500</v>
      </c>
      <c r="U21">
        <v>1</v>
      </c>
      <c r="V21">
        <v>3</v>
      </c>
      <c r="W21">
        <v>500</v>
      </c>
      <c r="X21">
        <v>1</v>
      </c>
      <c r="Y21">
        <v>1</v>
      </c>
      <c r="Z21" t="s">
        <v>121</v>
      </c>
      <c r="AA21" t="s">
        <v>121</v>
      </c>
      <c r="AB21" t="s">
        <v>121</v>
      </c>
      <c r="AC21" t="s">
        <v>121</v>
      </c>
      <c r="AD21">
        <v>100</v>
      </c>
      <c r="AE21">
        <v>10</v>
      </c>
      <c r="AF21" t="s">
        <v>121</v>
      </c>
      <c r="AG21" t="s">
        <v>120</v>
      </c>
      <c r="AH21" t="s">
        <v>121</v>
      </c>
      <c r="AI21" t="s">
        <v>121</v>
      </c>
      <c r="AJ21">
        <v>1.62</v>
      </c>
      <c r="AK21">
        <v>2.93</v>
      </c>
      <c r="AL21">
        <v>-183</v>
      </c>
      <c r="AM21" s="66">
        <v>198</v>
      </c>
      <c r="AN21">
        <v>0.02</v>
      </c>
      <c r="AO21">
        <v>2.5299999999999998</v>
      </c>
      <c r="AP21">
        <v>1.7556</v>
      </c>
      <c r="AQ21">
        <v>0.08</v>
      </c>
      <c r="AR21">
        <v>38</v>
      </c>
      <c r="AS21">
        <v>109</v>
      </c>
      <c r="AT21">
        <v>2.5000000000000001E-2</v>
      </c>
      <c r="AU21">
        <v>0.68</v>
      </c>
      <c r="AV21">
        <v>54</v>
      </c>
      <c r="AW21">
        <v>-0.5</v>
      </c>
      <c r="AX21">
        <v>0.48</v>
      </c>
      <c r="AY21">
        <v>-1</v>
      </c>
    </row>
    <row r="22" spans="1:51" x14ac:dyDescent="0.25">
      <c r="A22">
        <v>58162</v>
      </c>
      <c r="B22" t="s">
        <v>145</v>
      </c>
      <c r="C22">
        <v>2049</v>
      </c>
      <c r="D22" t="s">
        <v>146</v>
      </c>
      <c r="E22">
        <v>9600</v>
      </c>
      <c r="F22" t="s">
        <v>120</v>
      </c>
      <c r="G22">
        <v>75</v>
      </c>
      <c r="H22" t="s">
        <v>129</v>
      </c>
      <c r="I22">
        <v>1</v>
      </c>
      <c r="J22">
        <v>9</v>
      </c>
      <c r="K22">
        <v>1</v>
      </c>
      <c r="L22">
        <v>1</v>
      </c>
      <c r="M22">
        <v>100</v>
      </c>
      <c r="N22">
        <v>499</v>
      </c>
      <c r="O22">
        <v>499</v>
      </c>
      <c r="P22">
        <v>100</v>
      </c>
      <c r="Q22">
        <v>100</v>
      </c>
      <c r="R22">
        <v>100</v>
      </c>
      <c r="S22">
        <v>100</v>
      </c>
      <c r="T22">
        <v>500</v>
      </c>
      <c r="U22">
        <v>1</v>
      </c>
      <c r="V22">
        <v>3</v>
      </c>
      <c r="W22">
        <v>500</v>
      </c>
      <c r="X22">
        <v>1</v>
      </c>
      <c r="Y22">
        <v>1</v>
      </c>
      <c r="Z22" t="s">
        <v>121</v>
      </c>
      <c r="AA22" t="s">
        <v>121</v>
      </c>
      <c r="AB22" t="s">
        <v>121</v>
      </c>
      <c r="AC22" t="s">
        <v>121</v>
      </c>
      <c r="AD22">
        <v>100</v>
      </c>
      <c r="AE22">
        <v>10</v>
      </c>
      <c r="AF22" t="s">
        <v>121</v>
      </c>
      <c r="AG22" t="s">
        <v>120</v>
      </c>
      <c r="AH22" t="s">
        <v>121</v>
      </c>
      <c r="AI22" t="s">
        <v>121</v>
      </c>
      <c r="AJ22">
        <v>0.51</v>
      </c>
      <c r="AK22">
        <v>0.87</v>
      </c>
      <c r="AL22">
        <v>-130</v>
      </c>
      <c r="AM22" s="66">
        <v>130</v>
      </c>
      <c r="AN22">
        <v>0.01</v>
      </c>
      <c r="AO22">
        <v>0.82</v>
      </c>
      <c r="AP22">
        <v>0.59899999999999998</v>
      </c>
      <c r="AQ22">
        <v>-7.0000000000000007E-2</v>
      </c>
      <c r="AR22">
        <v>75</v>
      </c>
      <c r="AS22">
        <v>93</v>
      </c>
      <c r="AT22">
        <v>0.02</v>
      </c>
      <c r="AU22">
        <v>0.47</v>
      </c>
      <c r="AV22">
        <v>59</v>
      </c>
      <c r="AW22">
        <v>0</v>
      </c>
      <c r="AX22">
        <v>0.75</v>
      </c>
      <c r="AY22">
        <v>0</v>
      </c>
    </row>
    <row r="23" spans="1:51" x14ac:dyDescent="0.25">
      <c r="A23">
        <v>59043</v>
      </c>
      <c r="B23" t="s">
        <v>290</v>
      </c>
      <c r="C23">
        <v>2303</v>
      </c>
      <c r="D23" t="s">
        <v>291</v>
      </c>
      <c r="E23">
        <v>9020</v>
      </c>
      <c r="F23" t="s">
        <v>120</v>
      </c>
      <c r="G23">
        <v>55.5</v>
      </c>
      <c r="H23" t="s">
        <v>129</v>
      </c>
      <c r="I23">
        <v>4</v>
      </c>
      <c r="J23">
        <v>10</v>
      </c>
      <c r="K23">
        <v>1</v>
      </c>
      <c r="L23">
        <v>3</v>
      </c>
      <c r="M23">
        <v>100</v>
      </c>
      <c r="N23">
        <v>100</v>
      </c>
      <c r="O23">
        <v>100</v>
      </c>
      <c r="P23">
        <v>10</v>
      </c>
      <c r="Q23">
        <v>200</v>
      </c>
      <c r="R23">
        <v>200</v>
      </c>
      <c r="S23">
        <v>100</v>
      </c>
      <c r="T23">
        <v>200</v>
      </c>
      <c r="U23">
        <v>1</v>
      </c>
      <c r="V23">
        <v>3</v>
      </c>
      <c r="W23">
        <v>500</v>
      </c>
      <c r="X23">
        <v>2</v>
      </c>
      <c r="Y23">
        <v>2</v>
      </c>
      <c r="Z23" t="s">
        <v>121</v>
      </c>
      <c r="AA23" t="s">
        <v>121</v>
      </c>
      <c r="AB23" t="s">
        <v>121</v>
      </c>
      <c r="AC23" t="s">
        <v>121</v>
      </c>
      <c r="AD23">
        <v>100</v>
      </c>
      <c r="AE23">
        <v>10</v>
      </c>
      <c r="AF23" t="s">
        <v>121</v>
      </c>
      <c r="AG23" t="s">
        <v>120</v>
      </c>
      <c r="AH23" t="s">
        <v>121</v>
      </c>
      <c r="AI23" t="s">
        <v>121</v>
      </c>
      <c r="AJ23">
        <v>3.42</v>
      </c>
      <c r="AK23">
        <v>3.82</v>
      </c>
      <c r="AL23">
        <v>0</v>
      </c>
      <c r="AM23" s="66">
        <v>200</v>
      </c>
      <c r="AN23">
        <v>0.01</v>
      </c>
      <c r="AO23">
        <v>2.11</v>
      </c>
      <c r="AP23">
        <v>1.2645999999999999</v>
      </c>
      <c r="AQ23">
        <v>0.06</v>
      </c>
      <c r="AR23">
        <v>44</v>
      </c>
      <c r="AS23">
        <v>83</v>
      </c>
      <c r="AT23">
        <v>1.05</v>
      </c>
      <c r="AU23">
        <v>0.76</v>
      </c>
      <c r="AV23">
        <v>23</v>
      </c>
      <c r="AW23">
        <v>0</v>
      </c>
      <c r="AX23">
        <v>0.38</v>
      </c>
      <c r="AY23" s="67">
        <v>0</v>
      </c>
    </row>
    <row r="24" spans="1:51" x14ac:dyDescent="0.25">
      <c r="A24">
        <v>59044</v>
      </c>
      <c r="B24" t="s">
        <v>292</v>
      </c>
      <c r="C24">
        <v>2303</v>
      </c>
      <c r="D24" t="s">
        <v>291</v>
      </c>
      <c r="E24">
        <v>9020</v>
      </c>
      <c r="F24" t="s">
        <v>120</v>
      </c>
      <c r="G24">
        <v>56</v>
      </c>
      <c r="H24" t="s">
        <v>129</v>
      </c>
      <c r="I24">
        <v>4</v>
      </c>
      <c r="J24">
        <v>10</v>
      </c>
      <c r="K24">
        <v>1</v>
      </c>
      <c r="L24">
        <v>3</v>
      </c>
      <c r="M24">
        <v>100</v>
      </c>
      <c r="N24">
        <v>100</v>
      </c>
      <c r="O24">
        <v>100</v>
      </c>
      <c r="P24">
        <v>10</v>
      </c>
      <c r="Q24">
        <v>200</v>
      </c>
      <c r="R24">
        <v>200</v>
      </c>
      <c r="S24">
        <v>100</v>
      </c>
      <c r="T24">
        <v>200</v>
      </c>
      <c r="U24">
        <v>1</v>
      </c>
      <c r="V24">
        <v>3</v>
      </c>
      <c r="W24">
        <v>500</v>
      </c>
      <c r="X24">
        <v>2</v>
      </c>
      <c r="Y24">
        <v>2</v>
      </c>
      <c r="Z24" t="s">
        <v>121</v>
      </c>
      <c r="AA24" t="s">
        <v>121</v>
      </c>
      <c r="AB24" t="s">
        <v>121</v>
      </c>
      <c r="AC24" t="s">
        <v>121</v>
      </c>
      <c r="AD24">
        <v>100</v>
      </c>
      <c r="AE24">
        <v>10</v>
      </c>
      <c r="AF24" t="s">
        <v>121</v>
      </c>
      <c r="AG24" t="s">
        <v>120</v>
      </c>
      <c r="AH24" t="s">
        <v>121</v>
      </c>
      <c r="AI24" t="s">
        <v>121</v>
      </c>
      <c r="AJ24">
        <v>2.52</v>
      </c>
      <c r="AK24">
        <v>1.81</v>
      </c>
      <c r="AL24">
        <v>0</v>
      </c>
      <c r="AM24" s="66">
        <v>0</v>
      </c>
      <c r="AN24">
        <v>0</v>
      </c>
      <c r="AO24">
        <v>1.32</v>
      </c>
      <c r="AP24">
        <v>0.37330000000000002</v>
      </c>
      <c r="AQ24">
        <v>-0.04</v>
      </c>
      <c r="AR24">
        <v>44</v>
      </c>
      <c r="AS24">
        <v>83</v>
      </c>
      <c r="AT24">
        <v>1.05</v>
      </c>
      <c r="AU24">
        <v>0.36</v>
      </c>
      <c r="AV24">
        <v>23</v>
      </c>
      <c r="AW24">
        <v>0</v>
      </c>
      <c r="AX24">
        <v>0.36</v>
      </c>
      <c r="AY24" s="67">
        <v>0</v>
      </c>
    </row>
    <row r="25" spans="1:51" x14ac:dyDescent="0.25">
      <c r="A25">
        <v>56030</v>
      </c>
      <c r="B25" t="s">
        <v>147</v>
      </c>
      <c r="C25">
        <v>2313</v>
      </c>
      <c r="D25" t="s">
        <v>148</v>
      </c>
      <c r="E25">
        <v>9600</v>
      </c>
      <c r="F25" t="s">
        <v>120</v>
      </c>
      <c r="G25">
        <v>50</v>
      </c>
      <c r="H25" t="s">
        <v>129</v>
      </c>
      <c r="I25">
        <v>10</v>
      </c>
      <c r="J25">
        <v>10</v>
      </c>
      <c r="K25">
        <v>1</v>
      </c>
      <c r="L25">
        <v>1</v>
      </c>
      <c r="M25">
        <v>100</v>
      </c>
      <c r="N25">
        <v>100</v>
      </c>
      <c r="O25">
        <v>100</v>
      </c>
      <c r="P25">
        <v>10</v>
      </c>
      <c r="Q25">
        <v>10</v>
      </c>
      <c r="R25">
        <v>10</v>
      </c>
      <c r="S25">
        <v>100</v>
      </c>
      <c r="T25">
        <v>500</v>
      </c>
      <c r="U25">
        <v>1</v>
      </c>
      <c r="V25">
        <v>3</v>
      </c>
      <c r="W25">
        <v>500</v>
      </c>
      <c r="X25">
        <v>1</v>
      </c>
      <c r="Y25">
        <v>1</v>
      </c>
      <c r="Z25" t="s">
        <v>121</v>
      </c>
      <c r="AA25" t="s">
        <v>121</v>
      </c>
      <c r="AB25" t="s">
        <v>121</v>
      </c>
      <c r="AC25" t="s">
        <v>121</v>
      </c>
      <c r="AD25">
        <v>100</v>
      </c>
      <c r="AE25">
        <v>10</v>
      </c>
      <c r="AF25" t="s">
        <v>121</v>
      </c>
      <c r="AG25" t="s">
        <v>120</v>
      </c>
      <c r="AH25" t="s">
        <v>121</v>
      </c>
      <c r="AI25" t="s">
        <v>54</v>
      </c>
      <c r="AJ25">
        <v>0.47</v>
      </c>
      <c r="AK25">
        <v>1.24</v>
      </c>
      <c r="AL25">
        <v>0</v>
      </c>
      <c r="AM25" s="66">
        <v>10</v>
      </c>
      <c r="AN25">
        <v>0.01</v>
      </c>
      <c r="AO25">
        <v>0.38</v>
      </c>
      <c r="AP25">
        <v>0.13669999999999999</v>
      </c>
      <c r="AQ25">
        <v>-0.03</v>
      </c>
      <c r="AR25">
        <v>3</v>
      </c>
      <c r="AS25">
        <v>117</v>
      </c>
      <c r="AT25">
        <v>0.307</v>
      </c>
      <c r="AU25">
        <v>0.3</v>
      </c>
      <c r="AV25">
        <v>49</v>
      </c>
      <c r="AW25">
        <v>0</v>
      </c>
      <c r="AX25">
        <v>1.73</v>
      </c>
      <c r="AY25" s="67">
        <v>0</v>
      </c>
    </row>
    <row r="26" spans="1:51" x14ac:dyDescent="0.25">
      <c r="A26">
        <v>56520</v>
      </c>
      <c r="B26" t="s">
        <v>150</v>
      </c>
      <c r="C26">
        <v>2317</v>
      </c>
      <c r="D26" t="s">
        <v>149</v>
      </c>
      <c r="E26">
        <v>9070</v>
      </c>
      <c r="F26" t="s">
        <v>120</v>
      </c>
      <c r="G26">
        <v>36</v>
      </c>
      <c r="H26" t="s">
        <v>129</v>
      </c>
      <c r="I26">
        <v>1</v>
      </c>
      <c r="J26">
        <v>1</v>
      </c>
      <c r="K26">
        <v>1</v>
      </c>
      <c r="L26">
        <v>1</v>
      </c>
      <c r="M26">
        <v>499</v>
      </c>
      <c r="N26">
        <v>499</v>
      </c>
      <c r="O26">
        <v>499</v>
      </c>
      <c r="P26">
        <v>300</v>
      </c>
      <c r="Q26">
        <v>300</v>
      </c>
      <c r="R26">
        <v>300</v>
      </c>
      <c r="S26">
        <v>100</v>
      </c>
      <c r="T26">
        <v>500</v>
      </c>
      <c r="U26">
        <v>1</v>
      </c>
      <c r="V26">
        <v>3</v>
      </c>
      <c r="W26">
        <v>500</v>
      </c>
      <c r="X26">
        <v>1</v>
      </c>
      <c r="Y26">
        <v>1</v>
      </c>
      <c r="Z26" t="s">
        <v>121</v>
      </c>
      <c r="AA26" t="s">
        <v>121</v>
      </c>
      <c r="AB26" t="s">
        <v>121</v>
      </c>
      <c r="AC26" t="s">
        <v>121</v>
      </c>
      <c r="AD26">
        <v>100</v>
      </c>
      <c r="AE26">
        <v>10</v>
      </c>
      <c r="AF26" t="s">
        <v>121</v>
      </c>
      <c r="AG26" t="s">
        <v>120</v>
      </c>
      <c r="AH26" t="s">
        <v>121</v>
      </c>
      <c r="AI26" t="s">
        <v>121</v>
      </c>
      <c r="AJ26">
        <v>1.66</v>
      </c>
      <c r="AK26">
        <v>1.7</v>
      </c>
      <c r="AL26">
        <v>162</v>
      </c>
      <c r="AM26" s="66">
        <v>850</v>
      </c>
      <c r="AN26">
        <v>0.09</v>
      </c>
      <c r="AO26">
        <v>1.03</v>
      </c>
      <c r="AP26">
        <v>0.22040000000000001</v>
      </c>
      <c r="AQ26">
        <v>-0.13</v>
      </c>
      <c r="AR26">
        <v>37</v>
      </c>
      <c r="AS26">
        <v>110</v>
      </c>
      <c r="AT26">
        <v>1</v>
      </c>
      <c r="AU26">
        <v>7.0000000000000007E-2</v>
      </c>
      <c r="AV26">
        <v>24</v>
      </c>
      <c r="AW26">
        <v>0</v>
      </c>
      <c r="AX26">
        <v>0.12</v>
      </c>
      <c r="AY26" s="67">
        <v>0</v>
      </c>
    </row>
    <row r="27" spans="1:51" x14ac:dyDescent="0.25">
      <c r="A27">
        <v>57755</v>
      </c>
      <c r="B27" t="s">
        <v>151</v>
      </c>
      <c r="C27">
        <v>2317</v>
      </c>
      <c r="D27" t="s">
        <v>149</v>
      </c>
      <c r="E27">
        <v>9070</v>
      </c>
      <c r="F27" t="s">
        <v>120</v>
      </c>
      <c r="G27">
        <v>27</v>
      </c>
      <c r="H27" t="s">
        <v>129</v>
      </c>
      <c r="I27">
        <v>10</v>
      </c>
      <c r="J27">
        <v>10</v>
      </c>
      <c r="K27">
        <v>1</v>
      </c>
      <c r="L27">
        <v>1</v>
      </c>
      <c r="M27">
        <v>499</v>
      </c>
      <c r="N27">
        <v>499</v>
      </c>
      <c r="O27">
        <v>499</v>
      </c>
      <c r="P27">
        <v>10</v>
      </c>
      <c r="Q27">
        <v>10</v>
      </c>
      <c r="R27">
        <v>10</v>
      </c>
      <c r="S27">
        <v>100</v>
      </c>
      <c r="T27">
        <v>500</v>
      </c>
      <c r="U27">
        <v>1</v>
      </c>
      <c r="V27">
        <v>3</v>
      </c>
      <c r="W27">
        <v>500</v>
      </c>
      <c r="X27">
        <v>1</v>
      </c>
      <c r="Y27">
        <v>1</v>
      </c>
      <c r="Z27" t="s">
        <v>121</v>
      </c>
      <c r="AA27" t="s">
        <v>121</v>
      </c>
      <c r="AB27" t="s">
        <v>121</v>
      </c>
      <c r="AC27" t="s">
        <v>121</v>
      </c>
      <c r="AD27">
        <v>100</v>
      </c>
      <c r="AE27">
        <v>10</v>
      </c>
      <c r="AF27" t="s">
        <v>121</v>
      </c>
      <c r="AG27" t="s">
        <v>120</v>
      </c>
      <c r="AH27" t="s">
        <v>121</v>
      </c>
      <c r="AI27" t="s">
        <v>54</v>
      </c>
      <c r="AJ27">
        <v>1.01</v>
      </c>
      <c r="AK27">
        <v>1.78</v>
      </c>
      <c r="AL27">
        <v>0</v>
      </c>
      <c r="AM27" s="66">
        <v>112</v>
      </c>
      <c r="AN27">
        <v>0.01</v>
      </c>
      <c r="AO27">
        <v>0.53</v>
      </c>
      <c r="AP27">
        <v>0.1968</v>
      </c>
      <c r="AQ27">
        <v>-7.0000000000000007E-2</v>
      </c>
      <c r="AR27">
        <v>26</v>
      </c>
      <c r="AS27">
        <v>98</v>
      </c>
      <c r="AT27">
        <v>0.5</v>
      </c>
      <c r="AU27">
        <v>0.14000000000000001</v>
      </c>
      <c r="AV27">
        <v>21</v>
      </c>
      <c r="AW27">
        <v>0</v>
      </c>
      <c r="AX27">
        <v>0.24</v>
      </c>
      <c r="AY27">
        <v>0</v>
      </c>
    </row>
    <row r="28" spans="1:51" x14ac:dyDescent="0.25">
      <c r="A28">
        <v>57116</v>
      </c>
      <c r="B28" t="s">
        <v>152</v>
      </c>
      <c r="C28">
        <v>2317</v>
      </c>
      <c r="D28" t="s">
        <v>149</v>
      </c>
      <c r="E28">
        <v>9070</v>
      </c>
      <c r="F28" t="s">
        <v>120</v>
      </c>
      <c r="G28">
        <v>28.1</v>
      </c>
      <c r="H28" t="s">
        <v>129</v>
      </c>
      <c r="I28">
        <v>6</v>
      </c>
      <c r="J28">
        <v>10</v>
      </c>
      <c r="K28">
        <v>1</v>
      </c>
      <c r="L28">
        <v>1</v>
      </c>
      <c r="M28">
        <v>499</v>
      </c>
      <c r="N28">
        <v>499</v>
      </c>
      <c r="O28">
        <v>499</v>
      </c>
      <c r="P28">
        <v>150</v>
      </c>
      <c r="Q28">
        <v>200</v>
      </c>
      <c r="R28">
        <v>200</v>
      </c>
      <c r="S28">
        <v>100</v>
      </c>
      <c r="T28">
        <v>500</v>
      </c>
      <c r="U28">
        <v>1</v>
      </c>
      <c r="V28">
        <v>3</v>
      </c>
      <c r="W28">
        <v>500</v>
      </c>
      <c r="X28">
        <v>1</v>
      </c>
      <c r="Y28">
        <v>1</v>
      </c>
      <c r="Z28" t="s">
        <v>121</v>
      </c>
      <c r="AA28" t="s">
        <v>121</v>
      </c>
      <c r="AB28" t="s">
        <v>121</v>
      </c>
      <c r="AC28" t="s">
        <v>121</v>
      </c>
      <c r="AD28">
        <v>100</v>
      </c>
      <c r="AE28">
        <v>100</v>
      </c>
      <c r="AF28" t="s">
        <v>121</v>
      </c>
      <c r="AG28" t="s">
        <v>120</v>
      </c>
      <c r="AH28" t="s">
        <v>121</v>
      </c>
      <c r="AI28" t="s">
        <v>121</v>
      </c>
      <c r="AJ28">
        <v>1.75</v>
      </c>
      <c r="AK28">
        <v>4.5999999999999996</v>
      </c>
      <c r="AL28">
        <v>0</v>
      </c>
      <c r="AM28" s="66">
        <v>3780</v>
      </c>
      <c r="AN28">
        <v>0.38</v>
      </c>
      <c r="AO28">
        <v>1.67</v>
      </c>
      <c r="AP28">
        <v>1.4752000000000001</v>
      </c>
      <c r="AQ28">
        <v>0.02</v>
      </c>
      <c r="AR28">
        <v>60</v>
      </c>
      <c r="AS28">
        <v>105</v>
      </c>
      <c r="AT28">
        <v>0.3</v>
      </c>
      <c r="AU28">
        <v>0.59</v>
      </c>
      <c r="AV28">
        <v>24</v>
      </c>
      <c r="AW28">
        <v>0</v>
      </c>
      <c r="AX28">
        <v>0.2</v>
      </c>
      <c r="AY28" s="67">
        <v>0</v>
      </c>
    </row>
    <row r="29" spans="1:51" x14ac:dyDescent="0.25">
      <c r="A29">
        <v>56147</v>
      </c>
      <c r="B29" t="s">
        <v>153</v>
      </c>
      <c r="C29">
        <v>2317</v>
      </c>
      <c r="D29" t="s">
        <v>149</v>
      </c>
      <c r="E29">
        <v>9070</v>
      </c>
      <c r="F29" t="s">
        <v>120</v>
      </c>
      <c r="G29">
        <v>23.5</v>
      </c>
      <c r="H29" t="s">
        <v>129</v>
      </c>
      <c r="I29">
        <v>10</v>
      </c>
      <c r="J29">
        <v>10</v>
      </c>
      <c r="K29">
        <v>1</v>
      </c>
      <c r="L29">
        <v>1</v>
      </c>
      <c r="M29">
        <v>499</v>
      </c>
      <c r="N29">
        <v>499</v>
      </c>
      <c r="O29">
        <v>499</v>
      </c>
      <c r="P29">
        <v>10</v>
      </c>
      <c r="Q29">
        <v>10</v>
      </c>
      <c r="R29">
        <v>10</v>
      </c>
      <c r="S29">
        <v>100</v>
      </c>
      <c r="T29">
        <v>500</v>
      </c>
      <c r="U29">
        <v>1</v>
      </c>
      <c r="V29">
        <v>3</v>
      </c>
      <c r="W29">
        <v>500</v>
      </c>
      <c r="X29">
        <v>1</v>
      </c>
      <c r="Y29">
        <v>1</v>
      </c>
      <c r="Z29" t="s">
        <v>121</v>
      </c>
      <c r="AA29" t="s">
        <v>121</v>
      </c>
      <c r="AB29" t="s">
        <v>121</v>
      </c>
      <c r="AC29" t="s">
        <v>121</v>
      </c>
      <c r="AD29">
        <v>100</v>
      </c>
      <c r="AE29">
        <v>10</v>
      </c>
      <c r="AF29" t="s">
        <v>121</v>
      </c>
      <c r="AG29" t="s">
        <v>120</v>
      </c>
      <c r="AH29" t="s">
        <v>121</v>
      </c>
      <c r="AI29" t="s">
        <v>54</v>
      </c>
      <c r="AJ29">
        <v>0.09</v>
      </c>
      <c r="AK29">
        <v>0.05</v>
      </c>
      <c r="AL29">
        <v>0</v>
      </c>
      <c r="AM29" s="66">
        <v>6979</v>
      </c>
      <c r="AN29">
        <v>0.7</v>
      </c>
      <c r="AO29">
        <v>0.1</v>
      </c>
      <c r="AP29">
        <v>1.8E-3</v>
      </c>
      <c r="AQ29">
        <v>-0.09</v>
      </c>
      <c r="AR29">
        <v>10</v>
      </c>
      <c r="AS29">
        <v>114</v>
      </c>
      <c r="AT29">
        <v>0.35</v>
      </c>
      <c r="AU29">
        <v>0.01</v>
      </c>
      <c r="AV29">
        <v>18</v>
      </c>
      <c r="AW29">
        <v>0</v>
      </c>
      <c r="AX29">
        <v>0.91</v>
      </c>
      <c r="AY29" s="67">
        <v>0</v>
      </c>
    </row>
    <row r="30" spans="1:51" x14ac:dyDescent="0.25">
      <c r="A30">
        <v>58558</v>
      </c>
      <c r="B30" t="s">
        <v>293</v>
      </c>
      <c r="C30">
        <v>2317</v>
      </c>
      <c r="D30" t="s">
        <v>149</v>
      </c>
      <c r="E30">
        <v>9070</v>
      </c>
      <c r="F30" t="s">
        <v>120</v>
      </c>
      <c r="G30">
        <v>31.4</v>
      </c>
      <c r="H30" t="s">
        <v>129</v>
      </c>
      <c r="I30">
        <v>1</v>
      </c>
      <c r="J30">
        <v>1</v>
      </c>
      <c r="K30">
        <v>1</v>
      </c>
      <c r="L30">
        <v>1</v>
      </c>
      <c r="M30">
        <v>499</v>
      </c>
      <c r="N30">
        <v>499</v>
      </c>
      <c r="O30">
        <v>499</v>
      </c>
      <c r="P30">
        <v>300</v>
      </c>
      <c r="Q30">
        <v>350</v>
      </c>
      <c r="R30">
        <v>350</v>
      </c>
      <c r="S30">
        <v>100</v>
      </c>
      <c r="T30">
        <v>500</v>
      </c>
      <c r="U30">
        <v>1</v>
      </c>
      <c r="V30">
        <v>3</v>
      </c>
      <c r="W30">
        <v>500</v>
      </c>
      <c r="X30">
        <v>1</v>
      </c>
      <c r="Y30">
        <v>1</v>
      </c>
      <c r="Z30" t="s">
        <v>121</v>
      </c>
      <c r="AA30" t="s">
        <v>121</v>
      </c>
      <c r="AB30" t="s">
        <v>121</v>
      </c>
      <c r="AC30" t="s">
        <v>121</v>
      </c>
      <c r="AD30">
        <v>100</v>
      </c>
      <c r="AE30">
        <v>100</v>
      </c>
      <c r="AF30" t="s">
        <v>121</v>
      </c>
      <c r="AG30" t="s">
        <v>120</v>
      </c>
      <c r="AH30" t="s">
        <v>121</v>
      </c>
      <c r="AI30" t="s">
        <v>121</v>
      </c>
      <c r="AJ30">
        <v>1.94</v>
      </c>
      <c r="AK30">
        <v>3.14</v>
      </c>
      <c r="AL30">
        <v>-359</v>
      </c>
      <c r="AM30" s="66">
        <v>1358</v>
      </c>
      <c r="AN30">
        <v>0.14000000000000001</v>
      </c>
      <c r="AO30">
        <v>1.33</v>
      </c>
      <c r="AP30">
        <v>0.57150000000000001</v>
      </c>
      <c r="AQ30">
        <v>-0.13</v>
      </c>
      <c r="AR30">
        <v>59</v>
      </c>
      <c r="AS30">
        <v>88</v>
      </c>
      <c r="AT30">
        <v>1</v>
      </c>
      <c r="AU30">
        <v>0.12</v>
      </c>
      <c r="AV30">
        <v>24</v>
      </c>
      <c r="AW30">
        <v>0</v>
      </c>
      <c r="AX30">
        <v>0.09</v>
      </c>
      <c r="AY30" s="67">
        <v>0</v>
      </c>
    </row>
    <row r="31" spans="1:51" x14ac:dyDescent="0.25">
      <c r="A31">
        <v>57911</v>
      </c>
      <c r="B31" t="s">
        <v>155</v>
      </c>
      <c r="C31">
        <v>2327</v>
      </c>
      <c r="D31" t="s">
        <v>154</v>
      </c>
      <c r="E31">
        <v>9070</v>
      </c>
      <c r="F31" t="s">
        <v>120</v>
      </c>
      <c r="G31">
        <v>49.5</v>
      </c>
      <c r="H31" t="s">
        <v>129</v>
      </c>
      <c r="I31">
        <v>10</v>
      </c>
      <c r="J31">
        <v>10</v>
      </c>
      <c r="K31">
        <v>1</v>
      </c>
      <c r="L31">
        <v>1</v>
      </c>
      <c r="M31">
        <v>499</v>
      </c>
      <c r="N31">
        <v>499</v>
      </c>
      <c r="O31">
        <v>499</v>
      </c>
      <c r="P31">
        <v>10</v>
      </c>
      <c r="Q31">
        <v>10</v>
      </c>
      <c r="R31">
        <v>10</v>
      </c>
      <c r="S31">
        <v>100</v>
      </c>
      <c r="T31">
        <v>500</v>
      </c>
      <c r="U31">
        <v>1</v>
      </c>
      <c r="V31">
        <v>3</v>
      </c>
      <c r="W31">
        <v>500</v>
      </c>
      <c r="X31">
        <v>1</v>
      </c>
      <c r="Y31">
        <v>1</v>
      </c>
      <c r="Z31" t="s">
        <v>121</v>
      </c>
      <c r="AA31" t="s">
        <v>121</v>
      </c>
      <c r="AB31" t="s">
        <v>121</v>
      </c>
      <c r="AC31" t="s">
        <v>121</v>
      </c>
      <c r="AD31">
        <v>100</v>
      </c>
      <c r="AE31">
        <v>10</v>
      </c>
      <c r="AF31" t="s">
        <v>121</v>
      </c>
      <c r="AG31" t="s">
        <v>120</v>
      </c>
      <c r="AH31" t="s">
        <v>121</v>
      </c>
      <c r="AI31" t="s">
        <v>54</v>
      </c>
      <c r="AJ31">
        <v>0.06</v>
      </c>
      <c r="AK31">
        <v>0.01</v>
      </c>
      <c r="AL31" s="66">
        <v>0</v>
      </c>
      <c r="AM31" s="66">
        <v>825</v>
      </c>
      <c r="AN31">
        <v>0.08</v>
      </c>
      <c r="AO31">
        <v>0.14000000000000001</v>
      </c>
      <c r="AP31">
        <v>8.9999999999999998E-4</v>
      </c>
      <c r="AQ31">
        <v>-0.28000000000000003</v>
      </c>
      <c r="AR31">
        <v>28</v>
      </c>
      <c r="AS31">
        <v>96</v>
      </c>
      <c r="AT31">
        <v>4.1000000000000002E-2</v>
      </c>
      <c r="AU31">
        <v>0</v>
      </c>
      <c r="AV31">
        <v>33</v>
      </c>
      <c r="AW31">
        <v>0</v>
      </c>
      <c r="AX31">
        <v>1.1399999999999999</v>
      </c>
      <c r="AY31">
        <v>0</v>
      </c>
    </row>
    <row r="32" spans="1:51" x14ac:dyDescent="0.25">
      <c r="A32">
        <v>54158</v>
      </c>
      <c r="B32" t="s">
        <v>156</v>
      </c>
      <c r="C32">
        <v>2327</v>
      </c>
      <c r="D32" t="s">
        <v>154</v>
      </c>
      <c r="E32">
        <v>9070</v>
      </c>
      <c r="F32" t="s">
        <v>120</v>
      </c>
      <c r="G32">
        <v>41.5</v>
      </c>
      <c r="H32" t="s">
        <v>129</v>
      </c>
      <c r="I32">
        <v>10</v>
      </c>
      <c r="J32">
        <v>10</v>
      </c>
      <c r="K32">
        <v>1</v>
      </c>
      <c r="L32">
        <v>1</v>
      </c>
      <c r="M32">
        <v>499</v>
      </c>
      <c r="N32">
        <v>499</v>
      </c>
      <c r="O32">
        <v>499</v>
      </c>
      <c r="P32">
        <v>10</v>
      </c>
      <c r="Q32">
        <v>10</v>
      </c>
      <c r="R32">
        <v>10</v>
      </c>
      <c r="S32">
        <v>100</v>
      </c>
      <c r="T32">
        <v>500</v>
      </c>
      <c r="U32">
        <v>1</v>
      </c>
      <c r="V32">
        <v>3</v>
      </c>
      <c r="W32">
        <v>500</v>
      </c>
      <c r="X32">
        <v>1</v>
      </c>
      <c r="Y32">
        <v>1</v>
      </c>
      <c r="Z32" t="s">
        <v>121</v>
      </c>
      <c r="AA32" t="s">
        <v>121</v>
      </c>
      <c r="AB32" t="s">
        <v>121</v>
      </c>
      <c r="AC32" t="s">
        <v>121</v>
      </c>
      <c r="AD32">
        <v>100</v>
      </c>
      <c r="AE32">
        <v>10</v>
      </c>
      <c r="AF32" t="s">
        <v>121</v>
      </c>
      <c r="AG32" t="s">
        <v>120</v>
      </c>
      <c r="AH32" t="s">
        <v>121</v>
      </c>
      <c r="AI32" t="s">
        <v>54</v>
      </c>
      <c r="AJ32">
        <v>0.31</v>
      </c>
      <c r="AK32">
        <v>0.65</v>
      </c>
      <c r="AL32" s="66">
        <v>-8</v>
      </c>
      <c r="AM32" s="66">
        <v>6582</v>
      </c>
      <c r="AN32">
        <v>0.66</v>
      </c>
      <c r="AO32">
        <v>0.31</v>
      </c>
      <c r="AP32">
        <v>0.18540000000000001</v>
      </c>
      <c r="AQ32">
        <v>-0.19</v>
      </c>
      <c r="AR32">
        <v>52</v>
      </c>
      <c r="AS32">
        <v>133</v>
      </c>
      <c r="AT32">
        <v>4.1000000000000002E-2</v>
      </c>
      <c r="AU32">
        <v>0.14000000000000001</v>
      </c>
      <c r="AV32">
        <v>40</v>
      </c>
      <c r="AW32">
        <v>0</v>
      </c>
      <c r="AX32">
        <v>0.53</v>
      </c>
      <c r="AY32" s="67">
        <v>0</v>
      </c>
    </row>
    <row r="33" spans="1:51" x14ac:dyDescent="0.25">
      <c r="A33">
        <v>56869</v>
      </c>
      <c r="B33" t="s">
        <v>157</v>
      </c>
      <c r="C33">
        <v>2327</v>
      </c>
      <c r="D33" t="s">
        <v>154</v>
      </c>
      <c r="E33">
        <v>9070</v>
      </c>
      <c r="F33" t="s">
        <v>120</v>
      </c>
      <c r="G33">
        <v>65</v>
      </c>
      <c r="H33" t="s">
        <v>129</v>
      </c>
      <c r="I33">
        <v>1</v>
      </c>
      <c r="J33">
        <v>1</v>
      </c>
      <c r="K33">
        <v>1</v>
      </c>
      <c r="L33">
        <v>1</v>
      </c>
      <c r="M33">
        <v>499</v>
      </c>
      <c r="N33">
        <v>499</v>
      </c>
      <c r="O33">
        <v>499</v>
      </c>
      <c r="P33">
        <v>200</v>
      </c>
      <c r="Q33">
        <v>250</v>
      </c>
      <c r="R33">
        <v>250</v>
      </c>
      <c r="S33">
        <v>100</v>
      </c>
      <c r="T33">
        <v>500</v>
      </c>
      <c r="U33">
        <v>1</v>
      </c>
      <c r="V33">
        <v>3</v>
      </c>
      <c r="W33">
        <v>500</v>
      </c>
      <c r="X33">
        <v>1</v>
      </c>
      <c r="Y33">
        <v>1</v>
      </c>
      <c r="Z33" t="s">
        <v>121</v>
      </c>
      <c r="AA33" t="s">
        <v>121</v>
      </c>
      <c r="AB33" t="s">
        <v>121</v>
      </c>
      <c r="AC33" t="s">
        <v>121</v>
      </c>
      <c r="AD33">
        <v>100</v>
      </c>
      <c r="AE33">
        <v>100</v>
      </c>
      <c r="AF33" t="s">
        <v>121</v>
      </c>
      <c r="AG33" t="s">
        <v>120</v>
      </c>
      <c r="AH33" t="s">
        <v>121</v>
      </c>
      <c r="AI33" t="s">
        <v>121</v>
      </c>
      <c r="AJ33">
        <v>0.61</v>
      </c>
      <c r="AK33">
        <v>1</v>
      </c>
      <c r="AL33">
        <v>0</v>
      </c>
      <c r="AM33" s="66">
        <v>3</v>
      </c>
      <c r="AN33">
        <v>0</v>
      </c>
      <c r="AO33">
        <v>0.83</v>
      </c>
      <c r="AP33">
        <v>0.31519999999999998</v>
      </c>
      <c r="AQ33">
        <v>-0.1</v>
      </c>
      <c r="AR33">
        <v>40</v>
      </c>
      <c r="AS33">
        <v>107</v>
      </c>
      <c r="AT33">
        <v>3.1E-2</v>
      </c>
      <c r="AU33">
        <v>0.28999999999999998</v>
      </c>
      <c r="AV33">
        <v>41</v>
      </c>
      <c r="AW33">
        <v>0</v>
      </c>
      <c r="AX33">
        <v>0.56000000000000005</v>
      </c>
      <c r="AY33" s="67">
        <v>0</v>
      </c>
    </row>
    <row r="34" spans="1:51" x14ac:dyDescent="0.25">
      <c r="A34" t="s">
        <v>160</v>
      </c>
      <c r="B34" t="s">
        <v>161</v>
      </c>
      <c r="C34">
        <v>2327</v>
      </c>
      <c r="D34" t="s">
        <v>154</v>
      </c>
      <c r="E34">
        <v>9070</v>
      </c>
      <c r="F34" t="s">
        <v>120</v>
      </c>
      <c r="G34">
        <v>56.5</v>
      </c>
      <c r="H34" t="s">
        <v>54</v>
      </c>
      <c r="I34">
        <v>9</v>
      </c>
      <c r="J34">
        <v>9</v>
      </c>
      <c r="K34">
        <v>1</v>
      </c>
      <c r="L34">
        <v>1</v>
      </c>
      <c r="M34">
        <v>499</v>
      </c>
      <c r="N34">
        <v>499</v>
      </c>
      <c r="O34">
        <v>499</v>
      </c>
      <c r="P34">
        <v>10</v>
      </c>
      <c r="Q34">
        <v>10</v>
      </c>
      <c r="R34">
        <v>10</v>
      </c>
      <c r="S34">
        <v>100</v>
      </c>
      <c r="T34">
        <v>500</v>
      </c>
      <c r="U34">
        <v>1</v>
      </c>
      <c r="V34">
        <v>3</v>
      </c>
      <c r="W34">
        <v>500</v>
      </c>
      <c r="X34">
        <v>1</v>
      </c>
      <c r="Y34">
        <v>1</v>
      </c>
      <c r="Z34" t="s">
        <v>121</v>
      </c>
      <c r="AA34" t="s">
        <v>121</v>
      </c>
      <c r="AB34" t="s">
        <v>121</v>
      </c>
      <c r="AC34" t="s">
        <v>121</v>
      </c>
      <c r="AD34">
        <v>100</v>
      </c>
      <c r="AE34">
        <v>10</v>
      </c>
      <c r="AF34" t="s">
        <v>121</v>
      </c>
      <c r="AG34" t="s">
        <v>120</v>
      </c>
      <c r="AH34" t="s">
        <v>121</v>
      </c>
      <c r="AI34" t="s">
        <v>54</v>
      </c>
      <c r="AJ34">
        <v>-0.39</v>
      </c>
      <c r="AK34">
        <v>-0.57999999999999996</v>
      </c>
      <c r="AL34">
        <v>0</v>
      </c>
      <c r="AM34" s="66">
        <v>471</v>
      </c>
      <c r="AN34">
        <v>0.05</v>
      </c>
      <c r="AO34">
        <v>0.52</v>
      </c>
      <c r="AP34">
        <v>0.1905</v>
      </c>
      <c r="AQ34">
        <v>-0.21</v>
      </c>
      <c r="AR34">
        <v>52</v>
      </c>
      <c r="AS34">
        <v>133</v>
      </c>
      <c r="AT34">
        <v>4.1000000000000002E-2</v>
      </c>
      <c r="AU34">
        <v>-0.13</v>
      </c>
      <c r="AV34">
        <v>40</v>
      </c>
      <c r="AW34">
        <v>0</v>
      </c>
      <c r="AX34">
        <v>0.51</v>
      </c>
      <c r="AY34" s="67">
        <v>0</v>
      </c>
    </row>
    <row r="35" spans="1:51" x14ac:dyDescent="0.25">
      <c r="A35" t="s">
        <v>158</v>
      </c>
      <c r="B35" t="s">
        <v>159</v>
      </c>
      <c r="C35">
        <v>2327</v>
      </c>
      <c r="D35" t="s">
        <v>154</v>
      </c>
      <c r="E35">
        <v>9070</v>
      </c>
      <c r="F35" t="s">
        <v>120</v>
      </c>
      <c r="G35">
        <v>83.5</v>
      </c>
      <c r="H35" t="s">
        <v>54</v>
      </c>
      <c r="I35">
        <v>1</v>
      </c>
      <c r="J35">
        <v>3</v>
      </c>
      <c r="K35">
        <v>1</v>
      </c>
      <c r="L35">
        <v>1</v>
      </c>
      <c r="M35">
        <v>499</v>
      </c>
      <c r="N35">
        <v>499</v>
      </c>
      <c r="O35">
        <v>499</v>
      </c>
      <c r="P35">
        <v>100</v>
      </c>
      <c r="Q35">
        <v>200</v>
      </c>
      <c r="R35">
        <v>200</v>
      </c>
      <c r="S35">
        <v>100</v>
      </c>
      <c r="T35">
        <v>500</v>
      </c>
      <c r="U35">
        <v>1</v>
      </c>
      <c r="V35">
        <v>3</v>
      </c>
      <c r="W35">
        <v>500</v>
      </c>
      <c r="X35">
        <v>1</v>
      </c>
      <c r="Y35">
        <v>1</v>
      </c>
      <c r="Z35" t="s">
        <v>121</v>
      </c>
      <c r="AA35" t="s">
        <v>121</v>
      </c>
      <c r="AB35" t="s">
        <v>121</v>
      </c>
      <c r="AC35" t="s">
        <v>121</v>
      </c>
      <c r="AD35">
        <v>100</v>
      </c>
      <c r="AE35">
        <v>100</v>
      </c>
      <c r="AF35" t="s">
        <v>121</v>
      </c>
      <c r="AG35" t="s">
        <v>120</v>
      </c>
      <c r="AH35" t="s">
        <v>121</v>
      </c>
      <c r="AI35" t="s">
        <v>121</v>
      </c>
      <c r="AJ35">
        <v>-0.74</v>
      </c>
      <c r="AK35">
        <v>-2.04</v>
      </c>
      <c r="AL35">
        <v>60</v>
      </c>
      <c r="AM35" s="66">
        <v>5</v>
      </c>
      <c r="AN35">
        <v>0</v>
      </c>
      <c r="AO35">
        <v>1.64</v>
      </c>
      <c r="AP35">
        <v>0.76429999999999998</v>
      </c>
      <c r="AQ35">
        <v>0.03</v>
      </c>
      <c r="AR35">
        <v>34</v>
      </c>
      <c r="AS35">
        <v>93</v>
      </c>
      <c r="AT35">
        <v>3.1E-2</v>
      </c>
      <c r="AU35">
        <v>-0.59</v>
      </c>
      <c r="AV35">
        <v>32</v>
      </c>
      <c r="AW35">
        <v>0</v>
      </c>
      <c r="AX35">
        <v>0.59</v>
      </c>
      <c r="AY35">
        <v>0</v>
      </c>
    </row>
    <row r="36" spans="1:51" x14ac:dyDescent="0.25">
      <c r="A36">
        <v>58471</v>
      </c>
      <c r="B36" t="s">
        <v>294</v>
      </c>
      <c r="C36">
        <v>2330</v>
      </c>
      <c r="D36" t="s">
        <v>162</v>
      </c>
      <c r="E36">
        <v>9700</v>
      </c>
      <c r="F36" t="s">
        <v>120</v>
      </c>
      <c r="G36">
        <v>35.6</v>
      </c>
      <c r="H36" t="s">
        <v>129</v>
      </c>
      <c r="I36">
        <v>10</v>
      </c>
      <c r="J36">
        <v>10</v>
      </c>
      <c r="K36">
        <v>1</v>
      </c>
      <c r="L36">
        <v>1</v>
      </c>
      <c r="M36">
        <v>499</v>
      </c>
      <c r="N36">
        <v>499</v>
      </c>
      <c r="O36">
        <v>499</v>
      </c>
      <c r="P36">
        <v>300</v>
      </c>
      <c r="Q36">
        <v>300</v>
      </c>
      <c r="R36">
        <v>300</v>
      </c>
      <c r="S36">
        <v>100</v>
      </c>
      <c r="T36">
        <v>500</v>
      </c>
      <c r="U36">
        <v>1</v>
      </c>
      <c r="V36">
        <v>3</v>
      </c>
      <c r="W36">
        <v>500</v>
      </c>
      <c r="X36">
        <v>1</v>
      </c>
      <c r="Y36">
        <v>1</v>
      </c>
      <c r="Z36" t="s">
        <v>121</v>
      </c>
      <c r="AA36" t="s">
        <v>121</v>
      </c>
      <c r="AB36" t="s">
        <v>121</v>
      </c>
      <c r="AC36" t="s">
        <v>121</v>
      </c>
      <c r="AD36">
        <v>100</v>
      </c>
      <c r="AE36">
        <v>100</v>
      </c>
      <c r="AF36" t="s">
        <v>121</v>
      </c>
      <c r="AG36" t="s">
        <v>120</v>
      </c>
      <c r="AH36" t="s">
        <v>121</v>
      </c>
      <c r="AI36" t="s">
        <v>121</v>
      </c>
      <c r="AJ36">
        <v>1.36</v>
      </c>
      <c r="AK36">
        <v>2.83</v>
      </c>
      <c r="AL36" s="66">
        <v>-5</v>
      </c>
      <c r="AM36" s="66">
        <v>18</v>
      </c>
      <c r="AN36">
        <v>0</v>
      </c>
      <c r="AO36">
        <v>7.4</v>
      </c>
      <c r="AP36">
        <v>6.0483000000000002</v>
      </c>
      <c r="AQ36">
        <v>-7.0000000000000007E-2</v>
      </c>
      <c r="AR36">
        <v>100</v>
      </c>
      <c r="AS36">
        <v>89</v>
      </c>
      <c r="AT36">
        <v>0.32600000000000001</v>
      </c>
      <c r="AU36">
        <v>0.4</v>
      </c>
      <c r="AV36">
        <v>32</v>
      </c>
      <c r="AW36">
        <v>0</v>
      </c>
      <c r="AX36">
        <v>0.17</v>
      </c>
      <c r="AY36" s="67">
        <v>0</v>
      </c>
    </row>
    <row r="37" spans="1:51" x14ac:dyDescent="0.25">
      <c r="A37">
        <v>55771</v>
      </c>
      <c r="B37" t="s">
        <v>163</v>
      </c>
      <c r="C37">
        <v>2330</v>
      </c>
      <c r="D37" t="s">
        <v>162</v>
      </c>
      <c r="E37">
        <v>9700</v>
      </c>
      <c r="F37" t="s">
        <v>120</v>
      </c>
      <c r="G37">
        <v>24.5</v>
      </c>
      <c r="H37" t="s">
        <v>129</v>
      </c>
      <c r="I37">
        <v>10</v>
      </c>
      <c r="J37">
        <v>10</v>
      </c>
      <c r="K37">
        <v>1</v>
      </c>
      <c r="L37">
        <v>2</v>
      </c>
      <c r="M37">
        <v>499</v>
      </c>
      <c r="N37">
        <v>499</v>
      </c>
      <c r="O37">
        <v>499</v>
      </c>
      <c r="P37">
        <v>10</v>
      </c>
      <c r="Q37">
        <v>10</v>
      </c>
      <c r="R37">
        <v>10</v>
      </c>
      <c r="S37">
        <v>100</v>
      </c>
      <c r="T37">
        <v>500</v>
      </c>
      <c r="U37">
        <v>1</v>
      </c>
      <c r="V37">
        <v>3</v>
      </c>
      <c r="W37">
        <v>500</v>
      </c>
      <c r="X37">
        <v>1</v>
      </c>
      <c r="Y37">
        <v>1</v>
      </c>
      <c r="Z37" t="s">
        <v>121</v>
      </c>
      <c r="AA37" t="s">
        <v>121</v>
      </c>
      <c r="AB37" t="s">
        <v>121</v>
      </c>
      <c r="AC37" t="s">
        <v>121</v>
      </c>
      <c r="AD37">
        <v>100</v>
      </c>
      <c r="AE37">
        <v>10</v>
      </c>
      <c r="AF37" t="s">
        <v>121</v>
      </c>
      <c r="AG37" t="s">
        <v>120</v>
      </c>
      <c r="AH37" t="s">
        <v>121</v>
      </c>
      <c r="AI37" t="s">
        <v>54</v>
      </c>
      <c r="AJ37">
        <v>2.5</v>
      </c>
      <c r="AK37">
        <v>5.45</v>
      </c>
      <c r="AL37">
        <v>0</v>
      </c>
      <c r="AM37" s="66">
        <v>1849</v>
      </c>
      <c r="AN37">
        <v>0.18</v>
      </c>
      <c r="AO37">
        <v>0.96</v>
      </c>
      <c r="AP37">
        <v>0.95599999999999996</v>
      </c>
      <c r="AQ37">
        <v>0.06</v>
      </c>
      <c r="AR37">
        <v>0</v>
      </c>
      <c r="AS37">
        <v>119</v>
      </c>
      <c r="AT37">
        <v>0.05</v>
      </c>
      <c r="AU37">
        <v>1</v>
      </c>
      <c r="AV37">
        <v>22</v>
      </c>
      <c r="AW37">
        <v>24.5</v>
      </c>
      <c r="AX37">
        <v>500</v>
      </c>
      <c r="AY37" s="67">
        <v>-9999</v>
      </c>
    </row>
    <row r="38" spans="1:51" x14ac:dyDescent="0.25">
      <c r="A38">
        <v>57682</v>
      </c>
      <c r="B38" t="s">
        <v>164</v>
      </c>
      <c r="C38">
        <v>2330</v>
      </c>
      <c r="D38" t="s">
        <v>162</v>
      </c>
      <c r="E38">
        <v>9700</v>
      </c>
      <c r="F38" t="s">
        <v>120</v>
      </c>
      <c r="G38">
        <v>24.9</v>
      </c>
      <c r="H38" t="s">
        <v>129</v>
      </c>
      <c r="I38">
        <v>10</v>
      </c>
      <c r="J38">
        <v>10</v>
      </c>
      <c r="K38">
        <v>1</v>
      </c>
      <c r="L38">
        <v>1</v>
      </c>
      <c r="M38">
        <v>499</v>
      </c>
      <c r="N38">
        <v>499</v>
      </c>
      <c r="O38">
        <v>499</v>
      </c>
      <c r="P38">
        <v>10</v>
      </c>
      <c r="Q38">
        <v>10</v>
      </c>
      <c r="R38">
        <v>10</v>
      </c>
      <c r="S38">
        <v>100</v>
      </c>
      <c r="T38">
        <v>500</v>
      </c>
      <c r="U38">
        <v>1</v>
      </c>
      <c r="V38">
        <v>3</v>
      </c>
      <c r="W38">
        <v>500</v>
      </c>
      <c r="X38">
        <v>1</v>
      </c>
      <c r="Y38">
        <v>1</v>
      </c>
      <c r="Z38" t="s">
        <v>121</v>
      </c>
      <c r="AA38" t="s">
        <v>121</v>
      </c>
      <c r="AB38" t="s">
        <v>121</v>
      </c>
      <c r="AC38" t="s">
        <v>121</v>
      </c>
      <c r="AD38">
        <v>100</v>
      </c>
      <c r="AE38">
        <v>10</v>
      </c>
      <c r="AF38" t="s">
        <v>121</v>
      </c>
      <c r="AG38" t="s">
        <v>120</v>
      </c>
      <c r="AH38" t="s">
        <v>121</v>
      </c>
      <c r="AI38" t="s">
        <v>54</v>
      </c>
      <c r="AJ38">
        <v>3.66</v>
      </c>
      <c r="AK38">
        <v>7.69</v>
      </c>
      <c r="AL38">
        <v>-50</v>
      </c>
      <c r="AM38" s="66">
        <v>1409</v>
      </c>
      <c r="AN38">
        <v>0.09</v>
      </c>
      <c r="AO38">
        <v>2.2999999999999998</v>
      </c>
      <c r="AP38">
        <v>1.7524</v>
      </c>
      <c r="AQ38">
        <v>-0.09</v>
      </c>
      <c r="AR38">
        <v>65</v>
      </c>
      <c r="AS38">
        <v>99</v>
      </c>
      <c r="AT38">
        <v>0.28499999999999998</v>
      </c>
      <c r="AU38">
        <v>0.25</v>
      </c>
      <c r="AV38">
        <v>24</v>
      </c>
      <c r="AW38">
        <v>0</v>
      </c>
      <c r="AX38">
        <v>0.06</v>
      </c>
      <c r="AY38" s="67">
        <v>0</v>
      </c>
    </row>
    <row r="39" spans="1:51" x14ac:dyDescent="0.25">
      <c r="A39">
        <v>56333</v>
      </c>
      <c r="B39" t="s">
        <v>165</v>
      </c>
      <c r="C39">
        <v>2330</v>
      </c>
      <c r="D39" t="s">
        <v>162</v>
      </c>
      <c r="E39">
        <v>9700</v>
      </c>
      <c r="F39" t="s">
        <v>120</v>
      </c>
      <c r="G39">
        <v>24.5</v>
      </c>
      <c r="H39" t="s">
        <v>129</v>
      </c>
      <c r="I39">
        <v>10</v>
      </c>
      <c r="J39">
        <v>10</v>
      </c>
      <c r="K39">
        <v>1</v>
      </c>
      <c r="L39">
        <v>1</v>
      </c>
      <c r="M39">
        <v>499</v>
      </c>
      <c r="N39">
        <v>499</v>
      </c>
      <c r="O39">
        <v>499</v>
      </c>
      <c r="P39">
        <v>10</v>
      </c>
      <c r="Q39">
        <v>10</v>
      </c>
      <c r="R39">
        <v>10</v>
      </c>
      <c r="S39">
        <v>100</v>
      </c>
      <c r="T39">
        <v>500</v>
      </c>
      <c r="U39">
        <v>1</v>
      </c>
      <c r="V39">
        <v>3</v>
      </c>
      <c r="W39">
        <v>500</v>
      </c>
      <c r="X39">
        <v>1</v>
      </c>
      <c r="Y39">
        <v>1</v>
      </c>
      <c r="Z39" t="s">
        <v>121</v>
      </c>
      <c r="AA39" t="s">
        <v>121</v>
      </c>
      <c r="AB39" t="s">
        <v>121</v>
      </c>
      <c r="AC39" t="s">
        <v>121</v>
      </c>
      <c r="AD39">
        <v>100</v>
      </c>
      <c r="AE39">
        <v>10</v>
      </c>
      <c r="AF39" t="s">
        <v>121</v>
      </c>
      <c r="AG39" t="s">
        <v>120</v>
      </c>
      <c r="AH39" t="s">
        <v>121</v>
      </c>
      <c r="AI39" t="s">
        <v>54</v>
      </c>
      <c r="AJ39">
        <v>4.0199999999999996</v>
      </c>
      <c r="AK39">
        <v>10.26</v>
      </c>
      <c r="AL39" s="66">
        <v>-134</v>
      </c>
      <c r="AM39" s="66">
        <v>2260</v>
      </c>
      <c r="AN39">
        <v>0.23</v>
      </c>
      <c r="AO39">
        <v>2.4900000000000002</v>
      </c>
      <c r="AP39">
        <v>3.7437</v>
      </c>
      <c r="AQ39">
        <v>-7.0000000000000007E-2</v>
      </c>
      <c r="AR39">
        <v>75</v>
      </c>
      <c r="AS39">
        <v>112</v>
      </c>
      <c r="AT39">
        <v>0.254</v>
      </c>
      <c r="AU39">
        <v>0.37</v>
      </c>
      <c r="AV39">
        <v>32</v>
      </c>
      <c r="AW39">
        <v>0</v>
      </c>
      <c r="AX39">
        <v>0.06</v>
      </c>
      <c r="AY39" s="67">
        <v>0</v>
      </c>
    </row>
    <row r="40" spans="1:51" x14ac:dyDescent="0.25">
      <c r="A40">
        <v>56636</v>
      </c>
      <c r="B40" t="s">
        <v>166</v>
      </c>
      <c r="C40">
        <v>2330</v>
      </c>
      <c r="D40" t="s">
        <v>162</v>
      </c>
      <c r="E40">
        <v>9700</v>
      </c>
      <c r="F40" t="s">
        <v>120</v>
      </c>
      <c r="G40">
        <v>25.2</v>
      </c>
      <c r="H40" t="s">
        <v>139</v>
      </c>
      <c r="I40">
        <v>10</v>
      </c>
      <c r="J40">
        <v>10</v>
      </c>
      <c r="K40">
        <v>1</v>
      </c>
      <c r="L40">
        <v>1</v>
      </c>
      <c r="M40">
        <v>499</v>
      </c>
      <c r="N40">
        <v>499</v>
      </c>
      <c r="O40">
        <v>499</v>
      </c>
      <c r="P40">
        <v>10</v>
      </c>
      <c r="Q40">
        <v>10</v>
      </c>
      <c r="R40">
        <v>10</v>
      </c>
      <c r="S40">
        <v>100</v>
      </c>
      <c r="T40">
        <v>500</v>
      </c>
      <c r="U40">
        <v>1</v>
      </c>
      <c r="V40">
        <v>3</v>
      </c>
      <c r="W40">
        <v>500</v>
      </c>
      <c r="X40">
        <v>1</v>
      </c>
      <c r="Y40">
        <v>1</v>
      </c>
      <c r="Z40" t="s">
        <v>121</v>
      </c>
      <c r="AA40" t="s">
        <v>121</v>
      </c>
      <c r="AB40" t="s">
        <v>121</v>
      </c>
      <c r="AC40" t="s">
        <v>121</v>
      </c>
      <c r="AD40">
        <v>100</v>
      </c>
      <c r="AE40">
        <v>10</v>
      </c>
      <c r="AF40" t="s">
        <v>121</v>
      </c>
      <c r="AG40" t="s">
        <v>120</v>
      </c>
      <c r="AH40" t="s">
        <v>121</v>
      </c>
      <c r="AI40" t="s">
        <v>54</v>
      </c>
      <c r="AJ40">
        <v>5.61</v>
      </c>
      <c r="AK40">
        <v>12.23</v>
      </c>
      <c r="AL40">
        <v>0</v>
      </c>
      <c r="AM40" s="66">
        <v>3736</v>
      </c>
      <c r="AN40">
        <v>0.31</v>
      </c>
      <c r="AO40">
        <v>3.96</v>
      </c>
      <c r="AP40">
        <v>4.0503999999999998</v>
      </c>
      <c r="AQ40">
        <v>0.03</v>
      </c>
      <c r="AR40">
        <v>56</v>
      </c>
      <c r="AS40">
        <v>109</v>
      </c>
      <c r="AT40">
        <v>0.183</v>
      </c>
      <c r="AU40">
        <v>0.61</v>
      </c>
      <c r="AV40">
        <v>25</v>
      </c>
      <c r="AW40">
        <v>0</v>
      </c>
      <c r="AX40">
        <v>0.08</v>
      </c>
      <c r="AY40">
        <v>0</v>
      </c>
    </row>
    <row r="41" spans="1:51" x14ac:dyDescent="0.25">
      <c r="A41">
        <v>59618</v>
      </c>
      <c r="B41" t="s">
        <v>295</v>
      </c>
      <c r="C41">
        <v>2330</v>
      </c>
      <c r="D41" t="s">
        <v>162</v>
      </c>
      <c r="E41">
        <v>9700</v>
      </c>
      <c r="F41" t="s">
        <v>120</v>
      </c>
      <c r="G41">
        <v>39.799999999999997</v>
      </c>
      <c r="H41" t="s">
        <v>129</v>
      </c>
      <c r="I41">
        <v>10</v>
      </c>
      <c r="J41">
        <v>10</v>
      </c>
      <c r="K41">
        <v>1</v>
      </c>
      <c r="L41">
        <v>1</v>
      </c>
      <c r="M41">
        <v>499</v>
      </c>
      <c r="N41">
        <v>499</v>
      </c>
      <c r="O41">
        <v>499</v>
      </c>
      <c r="P41">
        <v>200</v>
      </c>
      <c r="Q41">
        <v>300</v>
      </c>
      <c r="R41">
        <v>300</v>
      </c>
      <c r="S41">
        <v>100</v>
      </c>
      <c r="T41">
        <v>500</v>
      </c>
      <c r="U41">
        <v>1</v>
      </c>
      <c r="V41">
        <v>3</v>
      </c>
      <c r="W41">
        <v>500</v>
      </c>
      <c r="X41">
        <v>1</v>
      </c>
      <c r="Y41">
        <v>1</v>
      </c>
      <c r="Z41" t="s">
        <v>121</v>
      </c>
      <c r="AA41" t="s">
        <v>121</v>
      </c>
      <c r="AB41" t="s">
        <v>121</v>
      </c>
      <c r="AC41" t="s">
        <v>121</v>
      </c>
      <c r="AD41">
        <v>100</v>
      </c>
      <c r="AE41">
        <v>100</v>
      </c>
      <c r="AF41" t="s">
        <v>121</v>
      </c>
      <c r="AG41" t="s">
        <v>120</v>
      </c>
      <c r="AH41" t="s">
        <v>121</v>
      </c>
      <c r="AI41" t="s">
        <v>121</v>
      </c>
      <c r="AJ41">
        <v>0.89</v>
      </c>
      <c r="AK41">
        <v>2.17</v>
      </c>
      <c r="AL41">
        <v>76</v>
      </c>
      <c r="AM41" s="66">
        <v>267</v>
      </c>
      <c r="AN41">
        <v>0.01</v>
      </c>
      <c r="AO41">
        <v>7.1</v>
      </c>
      <c r="AP41">
        <v>6.6505999999999998</v>
      </c>
      <c r="AQ41">
        <v>0.22</v>
      </c>
      <c r="AR41">
        <v>51</v>
      </c>
      <c r="AS41">
        <v>76</v>
      </c>
      <c r="AT41">
        <v>0.10100000000000001</v>
      </c>
      <c r="AU41">
        <v>0.99</v>
      </c>
      <c r="AV41">
        <v>20</v>
      </c>
      <c r="AW41">
        <v>0</v>
      </c>
      <c r="AX41">
        <v>1.45</v>
      </c>
      <c r="AY41" s="67">
        <v>0</v>
      </c>
    </row>
    <row r="42" spans="1:51" x14ac:dyDescent="0.25">
      <c r="A42">
        <v>59619</v>
      </c>
      <c r="B42" t="s">
        <v>296</v>
      </c>
      <c r="C42">
        <v>2330</v>
      </c>
      <c r="D42" t="s">
        <v>162</v>
      </c>
      <c r="E42">
        <v>9700</v>
      </c>
      <c r="F42" t="s">
        <v>120</v>
      </c>
      <c r="G42">
        <v>42</v>
      </c>
      <c r="H42" t="s">
        <v>129</v>
      </c>
      <c r="I42">
        <v>10</v>
      </c>
      <c r="J42">
        <v>10</v>
      </c>
      <c r="K42">
        <v>1</v>
      </c>
      <c r="L42">
        <v>1</v>
      </c>
      <c r="M42">
        <v>499</v>
      </c>
      <c r="N42">
        <v>499</v>
      </c>
      <c r="O42">
        <v>499</v>
      </c>
      <c r="P42">
        <v>200</v>
      </c>
      <c r="Q42">
        <v>300</v>
      </c>
      <c r="R42">
        <v>100</v>
      </c>
      <c r="S42">
        <v>100</v>
      </c>
      <c r="T42">
        <v>500</v>
      </c>
      <c r="U42">
        <v>1</v>
      </c>
      <c r="V42">
        <v>3</v>
      </c>
      <c r="W42">
        <v>500</v>
      </c>
      <c r="X42">
        <v>1</v>
      </c>
      <c r="Y42">
        <v>1</v>
      </c>
      <c r="Z42" t="s">
        <v>121</v>
      </c>
      <c r="AA42" t="s">
        <v>121</v>
      </c>
      <c r="AB42" t="s">
        <v>121</v>
      </c>
      <c r="AC42" t="s">
        <v>121</v>
      </c>
      <c r="AD42">
        <v>100</v>
      </c>
      <c r="AE42">
        <v>100</v>
      </c>
      <c r="AF42" t="s">
        <v>121</v>
      </c>
      <c r="AG42" t="s">
        <v>120</v>
      </c>
      <c r="AH42" t="s">
        <v>121</v>
      </c>
      <c r="AI42" t="s">
        <v>121</v>
      </c>
      <c r="AJ42">
        <v>1.1599999999999999</v>
      </c>
      <c r="AK42">
        <v>2.81</v>
      </c>
      <c r="AL42">
        <v>0</v>
      </c>
      <c r="AM42" s="66">
        <v>10</v>
      </c>
      <c r="AN42">
        <v>0</v>
      </c>
      <c r="AO42">
        <v>8.9</v>
      </c>
      <c r="AP42">
        <v>7.5454999999999997</v>
      </c>
      <c r="AQ42">
        <v>0.14000000000000001</v>
      </c>
      <c r="AR42">
        <v>70</v>
      </c>
      <c r="AS42">
        <v>76</v>
      </c>
      <c r="AT42">
        <v>0.151</v>
      </c>
      <c r="AU42">
        <v>0.85</v>
      </c>
      <c r="AV42">
        <v>26</v>
      </c>
      <c r="AW42">
        <v>0</v>
      </c>
      <c r="AX42">
        <v>0.56000000000000005</v>
      </c>
      <c r="AY42">
        <v>0</v>
      </c>
    </row>
    <row r="43" spans="1:51" x14ac:dyDescent="0.25">
      <c r="A43" t="s">
        <v>167</v>
      </c>
      <c r="B43" t="s">
        <v>168</v>
      </c>
      <c r="C43">
        <v>2330</v>
      </c>
      <c r="D43" t="s">
        <v>162</v>
      </c>
      <c r="E43">
        <v>9700</v>
      </c>
      <c r="F43" t="s">
        <v>120</v>
      </c>
      <c r="G43">
        <v>36.9</v>
      </c>
      <c r="H43" t="s">
        <v>54</v>
      </c>
      <c r="I43">
        <v>10</v>
      </c>
      <c r="J43">
        <v>10</v>
      </c>
      <c r="K43">
        <v>1</v>
      </c>
      <c r="L43">
        <v>1</v>
      </c>
      <c r="M43">
        <v>499</v>
      </c>
      <c r="N43">
        <v>499</v>
      </c>
      <c r="O43">
        <v>499</v>
      </c>
      <c r="P43">
        <v>200</v>
      </c>
      <c r="Q43">
        <v>300</v>
      </c>
      <c r="R43">
        <v>300</v>
      </c>
      <c r="S43">
        <v>100</v>
      </c>
      <c r="T43">
        <v>500</v>
      </c>
      <c r="U43">
        <v>1</v>
      </c>
      <c r="V43">
        <v>3</v>
      </c>
      <c r="W43">
        <v>500</v>
      </c>
      <c r="X43">
        <v>1</v>
      </c>
      <c r="Y43">
        <v>1</v>
      </c>
      <c r="Z43" t="s">
        <v>121</v>
      </c>
      <c r="AA43" t="s">
        <v>121</v>
      </c>
      <c r="AB43" t="s">
        <v>121</v>
      </c>
      <c r="AC43" t="s">
        <v>121</v>
      </c>
      <c r="AD43">
        <v>100</v>
      </c>
      <c r="AE43">
        <v>10</v>
      </c>
      <c r="AF43" t="s">
        <v>121</v>
      </c>
      <c r="AG43" t="s">
        <v>120</v>
      </c>
      <c r="AH43" t="s">
        <v>121</v>
      </c>
      <c r="AI43" t="s">
        <v>121</v>
      </c>
      <c r="AJ43">
        <v>-0.47</v>
      </c>
      <c r="AK43">
        <v>-0.19</v>
      </c>
      <c r="AL43">
        <v>279</v>
      </c>
      <c r="AM43" s="66">
        <v>1248</v>
      </c>
      <c r="AN43">
        <v>0.08</v>
      </c>
      <c r="AO43">
        <v>0.34</v>
      </c>
      <c r="AP43">
        <v>2.8000000000000001E-2</v>
      </c>
      <c r="AQ43">
        <v>-0.39</v>
      </c>
      <c r="AR43">
        <v>61</v>
      </c>
      <c r="AS43">
        <v>103</v>
      </c>
      <c r="AT43">
        <v>0.35599999999999998</v>
      </c>
      <c r="AU43">
        <v>0</v>
      </c>
      <c r="AV43">
        <v>27</v>
      </c>
      <c r="AW43">
        <v>0</v>
      </c>
      <c r="AX43">
        <v>0.21</v>
      </c>
      <c r="AY43" s="67">
        <v>0</v>
      </c>
    </row>
    <row r="44" spans="1:51" x14ac:dyDescent="0.25">
      <c r="A44">
        <v>57683</v>
      </c>
      <c r="B44" t="s">
        <v>169</v>
      </c>
      <c r="C44">
        <v>2376</v>
      </c>
      <c r="D44" t="s">
        <v>170</v>
      </c>
      <c r="E44">
        <v>9070</v>
      </c>
      <c r="F44" t="s">
        <v>120</v>
      </c>
      <c r="G44">
        <v>68.2</v>
      </c>
      <c r="H44" t="s">
        <v>129</v>
      </c>
      <c r="I44">
        <v>5</v>
      </c>
      <c r="J44">
        <v>9</v>
      </c>
      <c r="K44">
        <v>1</v>
      </c>
      <c r="L44">
        <v>1</v>
      </c>
      <c r="M44">
        <v>200</v>
      </c>
      <c r="N44">
        <v>200</v>
      </c>
      <c r="O44">
        <v>200</v>
      </c>
      <c r="P44">
        <v>25</v>
      </c>
      <c r="Q44">
        <v>50</v>
      </c>
      <c r="R44">
        <v>50</v>
      </c>
      <c r="S44">
        <v>100</v>
      </c>
      <c r="T44">
        <v>500</v>
      </c>
      <c r="U44">
        <v>1</v>
      </c>
      <c r="V44">
        <v>3</v>
      </c>
      <c r="W44">
        <v>500</v>
      </c>
      <c r="X44">
        <v>1</v>
      </c>
      <c r="Y44">
        <v>1</v>
      </c>
      <c r="Z44" t="s">
        <v>121</v>
      </c>
      <c r="AA44" t="s">
        <v>121</v>
      </c>
      <c r="AB44" t="s">
        <v>121</v>
      </c>
      <c r="AC44" t="s">
        <v>121</v>
      </c>
      <c r="AD44">
        <v>100</v>
      </c>
      <c r="AE44">
        <v>10</v>
      </c>
      <c r="AF44" t="s">
        <v>121</v>
      </c>
      <c r="AG44" t="s">
        <v>120</v>
      </c>
      <c r="AH44" t="s">
        <v>121</v>
      </c>
      <c r="AI44" t="s">
        <v>121</v>
      </c>
      <c r="AJ44">
        <v>3.23</v>
      </c>
      <c r="AK44">
        <v>7.3</v>
      </c>
      <c r="AL44">
        <v>298</v>
      </c>
      <c r="AM44" s="66">
        <v>0</v>
      </c>
      <c r="AN44">
        <v>0</v>
      </c>
      <c r="AO44">
        <v>4.3099999999999996</v>
      </c>
      <c r="AP44">
        <v>3.8243</v>
      </c>
      <c r="AQ44">
        <v>0.09</v>
      </c>
      <c r="AR44">
        <v>25</v>
      </c>
      <c r="AS44">
        <v>99</v>
      </c>
      <c r="AT44">
        <v>0.46400000000000002</v>
      </c>
      <c r="AU44">
        <v>0.73</v>
      </c>
      <c r="AV44">
        <v>53</v>
      </c>
      <c r="AW44">
        <v>0</v>
      </c>
      <c r="AX44">
        <v>0.27</v>
      </c>
      <c r="AY44">
        <v>0</v>
      </c>
    </row>
    <row r="45" spans="1:51" x14ac:dyDescent="0.25">
      <c r="A45">
        <v>57756</v>
      </c>
      <c r="B45" t="s">
        <v>172</v>
      </c>
      <c r="C45">
        <v>2379</v>
      </c>
      <c r="D45" t="s">
        <v>171</v>
      </c>
      <c r="E45">
        <v>9600</v>
      </c>
      <c r="F45" t="s">
        <v>120</v>
      </c>
      <c r="G45">
        <v>75</v>
      </c>
      <c r="H45" t="s">
        <v>129</v>
      </c>
      <c r="I45">
        <v>5</v>
      </c>
      <c r="J45">
        <v>10</v>
      </c>
      <c r="K45">
        <v>1</v>
      </c>
      <c r="L45">
        <v>1</v>
      </c>
      <c r="M45">
        <v>100</v>
      </c>
      <c r="N45">
        <v>100</v>
      </c>
      <c r="O45">
        <v>100</v>
      </c>
      <c r="P45">
        <v>10</v>
      </c>
      <c r="Q45">
        <v>10</v>
      </c>
      <c r="R45">
        <v>10</v>
      </c>
      <c r="S45">
        <v>100</v>
      </c>
      <c r="T45">
        <v>500</v>
      </c>
      <c r="U45">
        <v>1</v>
      </c>
      <c r="V45">
        <v>3</v>
      </c>
      <c r="W45">
        <v>500</v>
      </c>
      <c r="X45">
        <v>1</v>
      </c>
      <c r="Y45">
        <v>1</v>
      </c>
      <c r="Z45" t="s">
        <v>121</v>
      </c>
      <c r="AA45" t="s">
        <v>121</v>
      </c>
      <c r="AB45" t="s">
        <v>121</v>
      </c>
      <c r="AC45" t="s">
        <v>121</v>
      </c>
      <c r="AD45">
        <v>100</v>
      </c>
      <c r="AE45">
        <v>10</v>
      </c>
      <c r="AF45" t="s">
        <v>120</v>
      </c>
      <c r="AG45" t="s">
        <v>120</v>
      </c>
      <c r="AH45" t="s">
        <v>121</v>
      </c>
      <c r="AI45" t="s">
        <v>121</v>
      </c>
      <c r="AJ45">
        <v>0.74</v>
      </c>
      <c r="AK45">
        <v>1.78</v>
      </c>
      <c r="AL45">
        <v>0</v>
      </c>
      <c r="AM45" s="66">
        <v>0</v>
      </c>
      <c r="AN45">
        <v>0</v>
      </c>
      <c r="AO45">
        <v>7.6</v>
      </c>
      <c r="AP45">
        <v>5.5353000000000003</v>
      </c>
      <c r="AQ45">
        <v>0.17</v>
      </c>
      <c r="AR45">
        <v>48</v>
      </c>
      <c r="AS45">
        <v>98</v>
      </c>
      <c r="AT45">
        <v>0.1</v>
      </c>
      <c r="AU45">
        <v>0.85</v>
      </c>
      <c r="AV45">
        <v>38</v>
      </c>
      <c r="AW45">
        <v>0</v>
      </c>
      <c r="AX45">
        <v>0.99</v>
      </c>
      <c r="AY45" s="67">
        <v>0</v>
      </c>
    </row>
    <row r="46" spans="1:51" x14ac:dyDescent="0.25">
      <c r="A46">
        <v>56637</v>
      </c>
      <c r="B46" t="s">
        <v>174</v>
      </c>
      <c r="C46">
        <v>2383</v>
      </c>
      <c r="D46" t="s">
        <v>173</v>
      </c>
      <c r="E46">
        <v>9600</v>
      </c>
      <c r="F46" t="s">
        <v>120</v>
      </c>
      <c r="G46">
        <v>51</v>
      </c>
      <c r="H46" t="s">
        <v>129</v>
      </c>
      <c r="I46">
        <v>10</v>
      </c>
      <c r="J46">
        <v>10</v>
      </c>
      <c r="K46">
        <v>1</v>
      </c>
      <c r="L46">
        <v>1</v>
      </c>
      <c r="M46">
        <v>100</v>
      </c>
      <c r="N46">
        <v>100</v>
      </c>
      <c r="O46">
        <v>100</v>
      </c>
      <c r="P46">
        <v>10</v>
      </c>
      <c r="Q46">
        <v>10</v>
      </c>
      <c r="R46">
        <v>10</v>
      </c>
      <c r="S46">
        <v>100</v>
      </c>
      <c r="T46">
        <v>500</v>
      </c>
      <c r="U46">
        <v>1</v>
      </c>
      <c r="V46">
        <v>3</v>
      </c>
      <c r="W46">
        <v>500</v>
      </c>
      <c r="X46">
        <v>1</v>
      </c>
      <c r="Y46">
        <v>1</v>
      </c>
      <c r="Z46" t="s">
        <v>121</v>
      </c>
      <c r="AA46" t="s">
        <v>121</v>
      </c>
      <c r="AB46" t="s">
        <v>121</v>
      </c>
      <c r="AC46" t="s">
        <v>121</v>
      </c>
      <c r="AD46">
        <v>100</v>
      </c>
      <c r="AE46">
        <v>10</v>
      </c>
      <c r="AF46" t="s">
        <v>121</v>
      </c>
      <c r="AG46" t="s">
        <v>120</v>
      </c>
      <c r="AH46" t="s">
        <v>121</v>
      </c>
      <c r="AI46" t="s">
        <v>54</v>
      </c>
      <c r="AJ46">
        <v>4.5</v>
      </c>
      <c r="AK46">
        <v>4.4800000000000004</v>
      </c>
      <c r="AL46" s="66">
        <v>9</v>
      </c>
      <c r="AM46" s="66">
        <v>166</v>
      </c>
      <c r="AN46">
        <v>0.02</v>
      </c>
      <c r="AO46">
        <v>4.38</v>
      </c>
      <c r="AP46">
        <v>3.9437000000000002</v>
      </c>
      <c r="AQ46">
        <v>0.32</v>
      </c>
      <c r="AR46">
        <v>56</v>
      </c>
      <c r="AS46">
        <v>109</v>
      </c>
      <c r="AT46">
        <v>0.1</v>
      </c>
      <c r="AU46">
        <v>0.94</v>
      </c>
      <c r="AV46">
        <v>40</v>
      </c>
      <c r="AW46">
        <v>0</v>
      </c>
      <c r="AX46">
        <v>0.55000000000000004</v>
      </c>
      <c r="AY46" s="67">
        <v>0</v>
      </c>
    </row>
    <row r="47" spans="1:51" x14ac:dyDescent="0.25">
      <c r="A47">
        <v>58678</v>
      </c>
      <c r="B47" t="s">
        <v>297</v>
      </c>
      <c r="C47">
        <v>2408</v>
      </c>
      <c r="D47" t="s">
        <v>175</v>
      </c>
      <c r="E47">
        <v>9700</v>
      </c>
      <c r="F47" t="s">
        <v>120</v>
      </c>
      <c r="G47">
        <v>46</v>
      </c>
      <c r="H47" t="s">
        <v>129</v>
      </c>
      <c r="I47">
        <v>2</v>
      </c>
      <c r="J47">
        <v>10</v>
      </c>
      <c r="K47">
        <v>1</v>
      </c>
      <c r="L47">
        <v>1</v>
      </c>
      <c r="M47">
        <v>499</v>
      </c>
      <c r="N47">
        <v>499</v>
      </c>
      <c r="O47">
        <v>499</v>
      </c>
      <c r="P47">
        <v>50</v>
      </c>
      <c r="Q47">
        <v>50</v>
      </c>
      <c r="R47">
        <v>50</v>
      </c>
      <c r="S47">
        <v>100</v>
      </c>
      <c r="T47">
        <v>500</v>
      </c>
      <c r="U47">
        <v>1</v>
      </c>
      <c r="V47">
        <v>3</v>
      </c>
      <c r="W47">
        <v>500</v>
      </c>
      <c r="X47">
        <v>1</v>
      </c>
      <c r="Y47">
        <v>1</v>
      </c>
      <c r="Z47" t="s">
        <v>121</v>
      </c>
      <c r="AA47" t="s">
        <v>121</v>
      </c>
      <c r="AB47" t="s">
        <v>121</v>
      </c>
      <c r="AC47" t="s">
        <v>121</v>
      </c>
      <c r="AD47">
        <v>100</v>
      </c>
      <c r="AE47">
        <v>10</v>
      </c>
      <c r="AF47" t="s">
        <v>121</v>
      </c>
      <c r="AG47" t="s">
        <v>120</v>
      </c>
      <c r="AH47" t="s">
        <v>121</v>
      </c>
      <c r="AI47" t="s">
        <v>121</v>
      </c>
      <c r="AJ47">
        <v>0.06</v>
      </c>
      <c r="AK47">
        <v>0</v>
      </c>
      <c r="AL47">
        <v>-20</v>
      </c>
      <c r="AM47" s="66">
        <v>665</v>
      </c>
      <c r="AN47">
        <v>7.0000000000000007E-2</v>
      </c>
      <c r="AO47">
        <v>0.04</v>
      </c>
      <c r="AP47">
        <v>4.0000000000000002E-4</v>
      </c>
      <c r="AQ47">
        <v>-0.33</v>
      </c>
      <c r="AR47">
        <v>40</v>
      </c>
      <c r="AS47">
        <v>87</v>
      </c>
      <c r="AT47">
        <v>0.308</v>
      </c>
      <c r="AU47">
        <v>0</v>
      </c>
      <c r="AV47">
        <v>31</v>
      </c>
      <c r="AW47">
        <v>0</v>
      </c>
      <c r="AX47">
        <v>1.87</v>
      </c>
      <c r="AY47" s="67">
        <v>0</v>
      </c>
    </row>
    <row r="48" spans="1:51" x14ac:dyDescent="0.25">
      <c r="A48" t="s">
        <v>176</v>
      </c>
      <c r="B48" t="s">
        <v>177</v>
      </c>
      <c r="C48">
        <v>2408</v>
      </c>
      <c r="D48" t="s">
        <v>175</v>
      </c>
      <c r="E48">
        <v>9700</v>
      </c>
      <c r="F48" t="s">
        <v>120</v>
      </c>
      <c r="G48">
        <v>70</v>
      </c>
      <c r="H48" t="s">
        <v>54</v>
      </c>
      <c r="I48">
        <v>4</v>
      </c>
      <c r="J48">
        <v>9</v>
      </c>
      <c r="K48">
        <v>1</v>
      </c>
      <c r="L48">
        <v>2</v>
      </c>
      <c r="M48">
        <v>300</v>
      </c>
      <c r="N48">
        <v>300</v>
      </c>
      <c r="O48">
        <v>100</v>
      </c>
      <c r="P48">
        <v>10</v>
      </c>
      <c r="Q48">
        <v>10</v>
      </c>
      <c r="R48">
        <v>10</v>
      </c>
      <c r="S48">
        <v>100</v>
      </c>
      <c r="T48">
        <v>500</v>
      </c>
      <c r="U48">
        <v>1</v>
      </c>
      <c r="V48">
        <v>3</v>
      </c>
      <c r="W48">
        <v>500</v>
      </c>
      <c r="X48">
        <v>2</v>
      </c>
      <c r="Y48">
        <v>1</v>
      </c>
      <c r="Z48" t="s">
        <v>121</v>
      </c>
      <c r="AA48" t="s">
        <v>121</v>
      </c>
      <c r="AB48" t="s">
        <v>121</v>
      </c>
      <c r="AC48" t="s">
        <v>121</v>
      </c>
      <c r="AD48">
        <v>100</v>
      </c>
      <c r="AE48">
        <v>10</v>
      </c>
      <c r="AF48" t="s">
        <v>121</v>
      </c>
      <c r="AG48" t="s">
        <v>120</v>
      </c>
      <c r="AH48" t="s">
        <v>121</v>
      </c>
      <c r="AI48" t="s">
        <v>121</v>
      </c>
      <c r="AJ48">
        <v>-1.38</v>
      </c>
      <c r="AK48">
        <v>-2.77</v>
      </c>
      <c r="AL48">
        <v>0</v>
      </c>
      <c r="AM48" s="66">
        <v>0</v>
      </c>
      <c r="AN48">
        <v>0</v>
      </c>
      <c r="AO48">
        <v>1.85</v>
      </c>
      <c r="AP48">
        <v>2.0089999999999999</v>
      </c>
      <c r="AQ48">
        <v>0.18</v>
      </c>
      <c r="AR48">
        <v>11</v>
      </c>
      <c r="AS48">
        <v>113</v>
      </c>
      <c r="AT48">
        <v>0.154</v>
      </c>
      <c r="AU48">
        <v>-1</v>
      </c>
      <c r="AV48">
        <v>33</v>
      </c>
      <c r="AW48">
        <v>0</v>
      </c>
      <c r="AX48">
        <v>0</v>
      </c>
      <c r="AY48" s="67">
        <v>0</v>
      </c>
    </row>
    <row r="49" spans="1:51" x14ac:dyDescent="0.25">
      <c r="A49">
        <v>53433</v>
      </c>
      <c r="B49" t="s">
        <v>178</v>
      </c>
      <c r="C49">
        <v>2409</v>
      </c>
      <c r="D49" t="s">
        <v>179</v>
      </c>
      <c r="E49">
        <v>9600</v>
      </c>
      <c r="F49" t="s">
        <v>120</v>
      </c>
      <c r="G49">
        <v>40.200000000000003</v>
      </c>
      <c r="H49" t="s">
        <v>139</v>
      </c>
      <c r="I49">
        <v>10</v>
      </c>
      <c r="J49">
        <v>10</v>
      </c>
      <c r="K49">
        <v>1</v>
      </c>
      <c r="L49">
        <v>1</v>
      </c>
      <c r="M49">
        <v>499</v>
      </c>
      <c r="N49">
        <v>499</v>
      </c>
      <c r="O49">
        <v>499</v>
      </c>
      <c r="P49">
        <v>10</v>
      </c>
      <c r="Q49">
        <v>10</v>
      </c>
      <c r="R49">
        <v>10</v>
      </c>
      <c r="S49">
        <v>100</v>
      </c>
      <c r="T49">
        <v>500</v>
      </c>
      <c r="U49">
        <v>1</v>
      </c>
      <c r="V49">
        <v>5</v>
      </c>
      <c r="W49">
        <v>500</v>
      </c>
      <c r="X49">
        <v>1</v>
      </c>
      <c r="Y49">
        <v>1</v>
      </c>
      <c r="Z49" t="s">
        <v>121</v>
      </c>
      <c r="AA49" t="s">
        <v>121</v>
      </c>
      <c r="AB49" t="s">
        <v>121</v>
      </c>
      <c r="AC49" t="s">
        <v>121</v>
      </c>
      <c r="AD49">
        <v>100</v>
      </c>
      <c r="AE49">
        <v>10</v>
      </c>
      <c r="AF49" t="s">
        <v>121</v>
      </c>
      <c r="AG49" t="s">
        <v>120</v>
      </c>
      <c r="AH49" t="s">
        <v>121</v>
      </c>
      <c r="AI49" t="s">
        <v>54</v>
      </c>
      <c r="AJ49">
        <v>0.22</v>
      </c>
      <c r="AK49">
        <v>0.69</v>
      </c>
      <c r="AL49" s="66">
        <v>0</v>
      </c>
      <c r="AM49" s="66">
        <v>71</v>
      </c>
      <c r="AN49">
        <v>0</v>
      </c>
      <c r="AO49">
        <v>0.33</v>
      </c>
      <c r="AP49">
        <v>0.22239999999999999</v>
      </c>
      <c r="AQ49">
        <v>-0.14000000000000001</v>
      </c>
      <c r="AR49">
        <v>44</v>
      </c>
      <c r="AS49">
        <v>141</v>
      </c>
      <c r="AT49">
        <v>1</v>
      </c>
      <c r="AU49">
        <v>0.24</v>
      </c>
      <c r="AV49">
        <v>43</v>
      </c>
      <c r="AW49">
        <v>0</v>
      </c>
      <c r="AX49">
        <v>0.72</v>
      </c>
      <c r="AY49">
        <v>0</v>
      </c>
    </row>
    <row r="50" spans="1:51" x14ac:dyDescent="0.25">
      <c r="A50">
        <v>52853</v>
      </c>
      <c r="B50" t="s">
        <v>180</v>
      </c>
      <c r="C50">
        <v>2409</v>
      </c>
      <c r="D50" t="s">
        <v>179</v>
      </c>
      <c r="E50">
        <v>9600</v>
      </c>
      <c r="F50" t="s">
        <v>120</v>
      </c>
      <c r="G50">
        <v>75.5</v>
      </c>
      <c r="H50" t="s">
        <v>139</v>
      </c>
      <c r="I50">
        <v>2</v>
      </c>
      <c r="J50">
        <v>9</v>
      </c>
      <c r="K50">
        <v>1</v>
      </c>
      <c r="L50">
        <v>1</v>
      </c>
      <c r="M50">
        <v>200</v>
      </c>
      <c r="N50">
        <v>200</v>
      </c>
      <c r="O50">
        <v>200</v>
      </c>
      <c r="P50">
        <v>100</v>
      </c>
      <c r="Q50">
        <v>100</v>
      </c>
      <c r="R50">
        <v>100</v>
      </c>
      <c r="S50">
        <v>100</v>
      </c>
      <c r="T50">
        <v>500</v>
      </c>
      <c r="U50">
        <v>1</v>
      </c>
      <c r="V50">
        <v>5</v>
      </c>
      <c r="W50">
        <v>500</v>
      </c>
      <c r="X50">
        <v>1</v>
      </c>
      <c r="Y50">
        <v>1</v>
      </c>
      <c r="Z50" t="s">
        <v>121</v>
      </c>
      <c r="AA50" t="s">
        <v>121</v>
      </c>
      <c r="AB50" t="s">
        <v>121</v>
      </c>
      <c r="AC50" t="s">
        <v>121</v>
      </c>
      <c r="AD50">
        <v>100</v>
      </c>
      <c r="AE50">
        <v>100</v>
      </c>
      <c r="AF50" t="s">
        <v>121</v>
      </c>
      <c r="AG50" t="s">
        <v>120</v>
      </c>
      <c r="AH50" t="s">
        <v>121</v>
      </c>
      <c r="AI50" t="s">
        <v>121</v>
      </c>
      <c r="AJ50">
        <v>0.51</v>
      </c>
      <c r="AK50">
        <v>1.34</v>
      </c>
      <c r="AL50">
        <v>10</v>
      </c>
      <c r="AM50" s="66">
        <v>16</v>
      </c>
      <c r="AN50">
        <v>0</v>
      </c>
      <c r="AO50">
        <v>1.1100000000000001</v>
      </c>
      <c r="AP50">
        <v>0.52759999999999996</v>
      </c>
      <c r="AQ50">
        <v>-0.03</v>
      </c>
      <c r="AR50">
        <v>37</v>
      </c>
      <c r="AS50">
        <v>148</v>
      </c>
      <c r="AT50">
        <v>1</v>
      </c>
      <c r="AU50">
        <v>0.46</v>
      </c>
      <c r="AV50">
        <v>45</v>
      </c>
      <c r="AW50">
        <v>0</v>
      </c>
      <c r="AX50">
        <v>0.67</v>
      </c>
      <c r="AY50" s="67">
        <v>0</v>
      </c>
    </row>
    <row r="51" spans="1:51" x14ac:dyDescent="0.25">
      <c r="A51">
        <v>52505</v>
      </c>
      <c r="B51" t="s">
        <v>181</v>
      </c>
      <c r="C51">
        <v>2409</v>
      </c>
      <c r="D51" t="s">
        <v>179</v>
      </c>
      <c r="E51">
        <v>9600</v>
      </c>
      <c r="F51" t="s">
        <v>120</v>
      </c>
      <c r="G51">
        <v>39.549999999999997</v>
      </c>
      <c r="H51" t="s">
        <v>139</v>
      </c>
      <c r="I51">
        <v>10</v>
      </c>
      <c r="J51">
        <v>10</v>
      </c>
      <c r="K51">
        <v>1</v>
      </c>
      <c r="L51">
        <v>1</v>
      </c>
      <c r="M51">
        <v>200</v>
      </c>
      <c r="N51">
        <v>200</v>
      </c>
      <c r="O51">
        <v>200</v>
      </c>
      <c r="P51">
        <v>10</v>
      </c>
      <c r="Q51">
        <v>10</v>
      </c>
      <c r="R51">
        <v>10</v>
      </c>
      <c r="S51">
        <v>100</v>
      </c>
      <c r="T51">
        <v>500</v>
      </c>
      <c r="U51">
        <v>1</v>
      </c>
      <c r="V51">
        <v>5</v>
      </c>
      <c r="W51">
        <v>500</v>
      </c>
      <c r="X51">
        <v>1</v>
      </c>
      <c r="Y51">
        <v>1</v>
      </c>
      <c r="Z51" t="s">
        <v>121</v>
      </c>
      <c r="AA51" t="s">
        <v>121</v>
      </c>
      <c r="AB51" t="s">
        <v>121</v>
      </c>
      <c r="AC51" t="s">
        <v>121</v>
      </c>
      <c r="AD51">
        <v>100</v>
      </c>
      <c r="AE51">
        <v>10</v>
      </c>
      <c r="AF51" t="s">
        <v>121</v>
      </c>
      <c r="AG51" t="s">
        <v>120</v>
      </c>
      <c r="AH51" t="s">
        <v>121</v>
      </c>
      <c r="AI51" t="s">
        <v>54</v>
      </c>
      <c r="AJ51">
        <v>0.51</v>
      </c>
      <c r="AK51">
        <v>1.57</v>
      </c>
      <c r="AL51" s="66">
        <v>0</v>
      </c>
      <c r="AM51" s="66">
        <v>734</v>
      </c>
      <c r="AN51">
        <v>7.0000000000000007E-2</v>
      </c>
      <c r="AO51">
        <v>0.9</v>
      </c>
      <c r="AP51">
        <v>1.1659999999999999</v>
      </c>
      <c r="AQ51">
        <v>-0.03</v>
      </c>
      <c r="AR51">
        <v>95</v>
      </c>
      <c r="AS51">
        <v>152</v>
      </c>
      <c r="AT51">
        <v>1</v>
      </c>
      <c r="AU51">
        <v>0.54</v>
      </c>
      <c r="AV51">
        <v>53</v>
      </c>
      <c r="AW51">
        <v>0</v>
      </c>
      <c r="AX51">
        <v>0.42</v>
      </c>
      <c r="AY51" s="67">
        <v>0</v>
      </c>
    </row>
    <row r="52" spans="1:51" x14ac:dyDescent="0.25">
      <c r="A52">
        <v>56726</v>
      </c>
      <c r="B52" t="s">
        <v>182</v>
      </c>
      <c r="C52">
        <v>2409</v>
      </c>
      <c r="D52" t="s">
        <v>179</v>
      </c>
      <c r="E52">
        <v>9600</v>
      </c>
      <c r="F52" t="s">
        <v>120</v>
      </c>
      <c r="G52">
        <v>75.5</v>
      </c>
      <c r="H52" t="s">
        <v>129</v>
      </c>
      <c r="I52">
        <v>1</v>
      </c>
      <c r="J52">
        <v>9</v>
      </c>
      <c r="K52">
        <v>1</v>
      </c>
      <c r="L52">
        <v>1</v>
      </c>
      <c r="M52">
        <v>200</v>
      </c>
      <c r="N52">
        <v>200</v>
      </c>
      <c r="O52">
        <v>200</v>
      </c>
      <c r="P52">
        <v>100</v>
      </c>
      <c r="Q52">
        <v>100</v>
      </c>
      <c r="R52">
        <v>100</v>
      </c>
      <c r="S52">
        <v>100</v>
      </c>
      <c r="T52">
        <v>500</v>
      </c>
      <c r="U52">
        <v>1</v>
      </c>
      <c r="V52">
        <v>3</v>
      </c>
      <c r="W52">
        <v>500</v>
      </c>
      <c r="X52">
        <v>1</v>
      </c>
      <c r="Y52">
        <v>1</v>
      </c>
      <c r="Z52" t="s">
        <v>121</v>
      </c>
      <c r="AA52" t="s">
        <v>121</v>
      </c>
      <c r="AB52" t="s">
        <v>121</v>
      </c>
      <c r="AC52" t="s">
        <v>121</v>
      </c>
      <c r="AD52">
        <v>100</v>
      </c>
      <c r="AE52">
        <v>100</v>
      </c>
      <c r="AF52" t="s">
        <v>120</v>
      </c>
      <c r="AG52" t="s">
        <v>120</v>
      </c>
      <c r="AH52" t="s">
        <v>121</v>
      </c>
      <c r="AI52" t="s">
        <v>121</v>
      </c>
      <c r="AJ52">
        <v>0.4</v>
      </c>
      <c r="AK52">
        <v>0.79</v>
      </c>
      <c r="AL52">
        <v>-29</v>
      </c>
      <c r="AM52" s="66">
        <v>29</v>
      </c>
      <c r="AN52">
        <v>0</v>
      </c>
      <c r="AO52">
        <v>0.92</v>
      </c>
      <c r="AP52">
        <v>0.3165</v>
      </c>
      <c r="AQ52">
        <v>-0.15</v>
      </c>
      <c r="AR52">
        <v>57</v>
      </c>
      <c r="AS52">
        <v>108</v>
      </c>
      <c r="AT52">
        <v>1</v>
      </c>
      <c r="AU52">
        <v>0.27</v>
      </c>
      <c r="AV52">
        <v>46</v>
      </c>
      <c r="AW52">
        <v>0</v>
      </c>
      <c r="AX52">
        <v>0.55000000000000004</v>
      </c>
      <c r="AY52">
        <v>0</v>
      </c>
    </row>
    <row r="53" spans="1:51" x14ac:dyDescent="0.25">
      <c r="A53">
        <v>51469</v>
      </c>
      <c r="B53" t="s">
        <v>183</v>
      </c>
      <c r="C53">
        <v>2409</v>
      </c>
      <c r="D53" t="s">
        <v>179</v>
      </c>
      <c r="E53">
        <v>9600</v>
      </c>
      <c r="F53" t="s">
        <v>120</v>
      </c>
      <c r="G53">
        <v>42</v>
      </c>
      <c r="H53" t="s">
        <v>139</v>
      </c>
      <c r="I53">
        <v>10</v>
      </c>
      <c r="J53">
        <v>10</v>
      </c>
      <c r="K53">
        <v>10</v>
      </c>
      <c r="L53">
        <v>1</v>
      </c>
      <c r="M53">
        <v>100</v>
      </c>
      <c r="N53">
        <v>499</v>
      </c>
      <c r="O53">
        <v>499</v>
      </c>
      <c r="P53">
        <v>10</v>
      </c>
      <c r="Q53">
        <v>10</v>
      </c>
      <c r="R53">
        <v>10</v>
      </c>
      <c r="S53">
        <v>100</v>
      </c>
      <c r="T53">
        <v>500</v>
      </c>
      <c r="U53">
        <v>1</v>
      </c>
      <c r="V53">
        <v>5</v>
      </c>
      <c r="W53">
        <v>500</v>
      </c>
      <c r="X53">
        <v>1</v>
      </c>
      <c r="Y53">
        <v>1</v>
      </c>
      <c r="Z53" t="s">
        <v>121</v>
      </c>
      <c r="AA53" t="s">
        <v>121</v>
      </c>
      <c r="AB53" t="s">
        <v>121</v>
      </c>
      <c r="AC53" t="s">
        <v>121</v>
      </c>
      <c r="AD53">
        <v>100</v>
      </c>
      <c r="AE53">
        <v>10</v>
      </c>
      <c r="AF53" t="s">
        <v>121</v>
      </c>
      <c r="AG53" t="s">
        <v>120</v>
      </c>
      <c r="AH53" t="s">
        <v>121</v>
      </c>
      <c r="AI53" t="s">
        <v>54</v>
      </c>
      <c r="AJ53">
        <v>0.66</v>
      </c>
      <c r="AK53">
        <v>1.92</v>
      </c>
      <c r="AL53">
        <v>0</v>
      </c>
      <c r="AM53" s="66">
        <v>105</v>
      </c>
      <c r="AN53">
        <v>0.01</v>
      </c>
      <c r="AO53">
        <v>1.35</v>
      </c>
      <c r="AP53">
        <v>1.4858</v>
      </c>
      <c r="AQ53">
        <v>7.0000000000000007E-2</v>
      </c>
      <c r="AR53">
        <v>82</v>
      </c>
      <c r="AS53">
        <v>165</v>
      </c>
      <c r="AT53">
        <v>1</v>
      </c>
      <c r="AU53">
        <v>0.65</v>
      </c>
      <c r="AV53">
        <v>52</v>
      </c>
      <c r="AW53">
        <v>0</v>
      </c>
      <c r="AX53">
        <v>0.49</v>
      </c>
      <c r="AY53" s="67">
        <v>0</v>
      </c>
    </row>
    <row r="54" spans="1:51" x14ac:dyDescent="0.25">
      <c r="A54">
        <v>57912</v>
      </c>
      <c r="B54" t="s">
        <v>185</v>
      </c>
      <c r="C54">
        <v>2439</v>
      </c>
      <c r="D54" t="s">
        <v>184</v>
      </c>
      <c r="E54">
        <v>9600</v>
      </c>
      <c r="F54" t="s">
        <v>120</v>
      </c>
      <c r="G54">
        <v>69.5</v>
      </c>
      <c r="H54" t="s">
        <v>129</v>
      </c>
      <c r="I54">
        <v>2</v>
      </c>
      <c r="J54">
        <v>9</v>
      </c>
      <c r="K54">
        <v>1</v>
      </c>
      <c r="L54">
        <v>1</v>
      </c>
      <c r="M54">
        <v>100</v>
      </c>
      <c r="N54">
        <v>200</v>
      </c>
      <c r="O54">
        <v>200</v>
      </c>
      <c r="P54">
        <v>100</v>
      </c>
      <c r="Q54">
        <v>100</v>
      </c>
      <c r="R54">
        <v>100</v>
      </c>
      <c r="S54">
        <v>100</v>
      </c>
      <c r="T54">
        <v>500</v>
      </c>
      <c r="U54">
        <v>1</v>
      </c>
      <c r="V54">
        <v>3</v>
      </c>
      <c r="W54">
        <v>500</v>
      </c>
      <c r="X54">
        <v>1</v>
      </c>
      <c r="Y54">
        <v>1</v>
      </c>
      <c r="Z54" t="s">
        <v>121</v>
      </c>
      <c r="AA54" t="s">
        <v>121</v>
      </c>
      <c r="AB54" t="s">
        <v>121</v>
      </c>
      <c r="AC54" t="s">
        <v>121</v>
      </c>
      <c r="AD54">
        <v>100</v>
      </c>
      <c r="AE54">
        <v>100</v>
      </c>
      <c r="AF54" t="s">
        <v>121</v>
      </c>
      <c r="AG54" t="s">
        <v>120</v>
      </c>
      <c r="AH54" t="s">
        <v>121</v>
      </c>
      <c r="AI54" t="s">
        <v>121</v>
      </c>
      <c r="AJ54">
        <v>1.1200000000000001</v>
      </c>
      <c r="AK54">
        <v>0.86</v>
      </c>
      <c r="AL54">
        <v>-20</v>
      </c>
      <c r="AM54" s="66">
        <v>272</v>
      </c>
      <c r="AN54">
        <v>0.03</v>
      </c>
      <c r="AO54">
        <v>0.72</v>
      </c>
      <c r="AP54">
        <v>0.2208</v>
      </c>
      <c r="AQ54">
        <v>0</v>
      </c>
      <c r="AR54">
        <v>51</v>
      </c>
      <c r="AS54">
        <v>96</v>
      </c>
      <c r="AT54">
        <v>0.04</v>
      </c>
      <c r="AU54">
        <v>0.52</v>
      </c>
      <c r="AV54">
        <v>22</v>
      </c>
      <c r="AW54">
        <v>0</v>
      </c>
      <c r="AX54">
        <v>1.03</v>
      </c>
      <c r="AY54">
        <v>0</v>
      </c>
    </row>
    <row r="55" spans="1:51" x14ac:dyDescent="0.25">
      <c r="A55">
        <v>57310</v>
      </c>
      <c r="B55" t="s">
        <v>186</v>
      </c>
      <c r="C55">
        <v>2454</v>
      </c>
      <c r="D55" t="s">
        <v>187</v>
      </c>
      <c r="E55">
        <v>9020</v>
      </c>
      <c r="F55" t="s">
        <v>120</v>
      </c>
      <c r="G55">
        <v>65</v>
      </c>
      <c r="H55" t="s">
        <v>129</v>
      </c>
      <c r="I55">
        <v>5</v>
      </c>
      <c r="J55">
        <v>10</v>
      </c>
      <c r="K55">
        <v>1</v>
      </c>
      <c r="L55">
        <v>1</v>
      </c>
      <c r="M55">
        <v>100</v>
      </c>
      <c r="N55">
        <v>100</v>
      </c>
      <c r="O55">
        <v>100</v>
      </c>
      <c r="P55">
        <v>10</v>
      </c>
      <c r="Q55">
        <v>10</v>
      </c>
      <c r="R55">
        <v>10</v>
      </c>
      <c r="S55">
        <v>100</v>
      </c>
      <c r="T55">
        <v>500</v>
      </c>
      <c r="U55">
        <v>1</v>
      </c>
      <c r="V55">
        <v>3</v>
      </c>
      <c r="W55">
        <v>500</v>
      </c>
      <c r="X55">
        <v>1</v>
      </c>
      <c r="Y55">
        <v>1</v>
      </c>
      <c r="Z55" t="s">
        <v>121</v>
      </c>
      <c r="AA55" t="s">
        <v>121</v>
      </c>
      <c r="AB55" t="s">
        <v>121</v>
      </c>
      <c r="AC55" t="s">
        <v>121</v>
      </c>
      <c r="AD55">
        <v>100</v>
      </c>
      <c r="AE55">
        <v>10</v>
      </c>
      <c r="AF55" t="s">
        <v>121</v>
      </c>
      <c r="AG55" t="s">
        <v>120</v>
      </c>
      <c r="AH55" t="s">
        <v>121</v>
      </c>
      <c r="AI55" t="s">
        <v>54</v>
      </c>
      <c r="AJ55">
        <v>0.57999999999999996</v>
      </c>
      <c r="AK55">
        <v>1.1100000000000001</v>
      </c>
      <c r="AL55" s="66">
        <v>0</v>
      </c>
      <c r="AM55" s="66">
        <v>0</v>
      </c>
      <c r="AN55">
        <v>0</v>
      </c>
      <c r="AO55">
        <v>14</v>
      </c>
      <c r="AP55">
        <v>12.620699999999999</v>
      </c>
      <c r="AQ55">
        <v>0.51</v>
      </c>
      <c r="AR55">
        <v>43</v>
      </c>
      <c r="AS55">
        <v>103</v>
      </c>
      <c r="AT55">
        <v>6.0999999999999999E-2</v>
      </c>
      <c r="AU55">
        <v>1</v>
      </c>
      <c r="AV55">
        <v>40</v>
      </c>
      <c r="AW55">
        <v>0</v>
      </c>
      <c r="AX55">
        <v>3.05</v>
      </c>
      <c r="AY55">
        <v>0</v>
      </c>
    </row>
    <row r="56" spans="1:51" x14ac:dyDescent="0.25">
      <c r="A56">
        <v>59620</v>
      </c>
      <c r="B56" t="s">
        <v>298</v>
      </c>
      <c r="C56">
        <v>2454</v>
      </c>
      <c r="D56" t="s">
        <v>187</v>
      </c>
      <c r="E56">
        <v>9020</v>
      </c>
      <c r="F56" t="s">
        <v>120</v>
      </c>
      <c r="G56">
        <v>73</v>
      </c>
      <c r="H56" t="s">
        <v>129</v>
      </c>
      <c r="I56">
        <v>5</v>
      </c>
      <c r="J56">
        <v>9</v>
      </c>
      <c r="K56">
        <v>1</v>
      </c>
      <c r="L56">
        <v>1</v>
      </c>
      <c r="M56">
        <v>100</v>
      </c>
      <c r="N56">
        <v>100</v>
      </c>
      <c r="O56">
        <v>100</v>
      </c>
      <c r="P56">
        <v>10</v>
      </c>
      <c r="Q56">
        <v>10</v>
      </c>
      <c r="R56">
        <v>10</v>
      </c>
      <c r="S56">
        <v>100</v>
      </c>
      <c r="T56">
        <v>500</v>
      </c>
      <c r="U56">
        <v>1</v>
      </c>
      <c r="V56">
        <v>3</v>
      </c>
      <c r="W56">
        <v>500</v>
      </c>
      <c r="X56">
        <v>1</v>
      </c>
      <c r="Y56">
        <v>1</v>
      </c>
      <c r="Z56" t="s">
        <v>121</v>
      </c>
      <c r="AA56" t="s">
        <v>121</v>
      </c>
      <c r="AB56" t="s">
        <v>121</v>
      </c>
      <c r="AC56" t="s">
        <v>121</v>
      </c>
      <c r="AD56">
        <v>100</v>
      </c>
      <c r="AE56">
        <v>10</v>
      </c>
      <c r="AF56" t="s">
        <v>121</v>
      </c>
      <c r="AG56" t="s">
        <v>120</v>
      </c>
      <c r="AH56" t="s">
        <v>121</v>
      </c>
      <c r="AI56" t="s">
        <v>54</v>
      </c>
      <c r="AJ56">
        <v>0.6</v>
      </c>
      <c r="AK56">
        <v>1.1100000000000001</v>
      </c>
      <c r="AL56">
        <v>0</v>
      </c>
      <c r="AM56" s="66">
        <v>0</v>
      </c>
      <c r="AN56">
        <v>0</v>
      </c>
      <c r="AO56">
        <v>18.5</v>
      </c>
      <c r="AP56">
        <v>17.701599999999999</v>
      </c>
      <c r="AQ56">
        <v>0.91</v>
      </c>
      <c r="AR56">
        <v>51</v>
      </c>
      <c r="AS56">
        <v>76</v>
      </c>
      <c r="AT56">
        <v>6.0999999999999999E-2</v>
      </c>
      <c r="AU56">
        <v>1</v>
      </c>
      <c r="AV56">
        <v>41</v>
      </c>
      <c r="AW56">
        <v>0</v>
      </c>
      <c r="AX56">
        <v>4.3</v>
      </c>
      <c r="AY56" s="67">
        <v>0</v>
      </c>
    </row>
    <row r="57" spans="1:51" x14ac:dyDescent="0.25">
      <c r="A57">
        <v>56425</v>
      </c>
      <c r="B57" t="s">
        <v>188</v>
      </c>
      <c r="C57">
        <v>2454</v>
      </c>
      <c r="D57" t="s">
        <v>187</v>
      </c>
      <c r="E57">
        <v>9020</v>
      </c>
      <c r="F57" t="s">
        <v>120</v>
      </c>
      <c r="G57">
        <v>37.75</v>
      </c>
      <c r="H57" t="s">
        <v>129</v>
      </c>
      <c r="I57">
        <v>5</v>
      </c>
      <c r="J57">
        <v>10</v>
      </c>
      <c r="K57">
        <v>1</v>
      </c>
      <c r="L57">
        <v>5</v>
      </c>
      <c r="M57">
        <v>200</v>
      </c>
      <c r="N57">
        <v>200</v>
      </c>
      <c r="O57">
        <v>200</v>
      </c>
      <c r="P57">
        <v>10</v>
      </c>
      <c r="Q57">
        <v>10</v>
      </c>
      <c r="R57">
        <v>10</v>
      </c>
      <c r="S57">
        <v>100</v>
      </c>
      <c r="T57">
        <v>500</v>
      </c>
      <c r="U57">
        <v>1</v>
      </c>
      <c r="V57">
        <v>3</v>
      </c>
      <c r="W57">
        <v>500</v>
      </c>
      <c r="X57">
        <v>1</v>
      </c>
      <c r="Y57">
        <v>1</v>
      </c>
      <c r="Z57" t="s">
        <v>121</v>
      </c>
      <c r="AA57" t="s">
        <v>121</v>
      </c>
      <c r="AB57" t="s">
        <v>121</v>
      </c>
      <c r="AC57" t="s">
        <v>121</v>
      </c>
      <c r="AD57">
        <v>100</v>
      </c>
      <c r="AE57">
        <v>10</v>
      </c>
      <c r="AF57" t="s">
        <v>121</v>
      </c>
      <c r="AG57" t="s">
        <v>120</v>
      </c>
      <c r="AH57" t="s">
        <v>121</v>
      </c>
      <c r="AI57" t="s">
        <v>54</v>
      </c>
      <c r="AJ57">
        <v>0.96</v>
      </c>
      <c r="AK57">
        <v>1.68</v>
      </c>
      <c r="AL57" s="66">
        <v>0</v>
      </c>
      <c r="AM57" s="66">
        <v>1305</v>
      </c>
      <c r="AN57">
        <v>0.09</v>
      </c>
      <c r="AO57">
        <v>15.2</v>
      </c>
      <c r="AP57">
        <v>14.7758</v>
      </c>
      <c r="AQ57">
        <v>0.28999999999999998</v>
      </c>
      <c r="AR57">
        <v>56</v>
      </c>
      <c r="AS57">
        <v>111</v>
      </c>
      <c r="AT57">
        <v>0.10199999999999999</v>
      </c>
      <c r="AU57">
        <v>0.9</v>
      </c>
      <c r="AV57">
        <v>46</v>
      </c>
      <c r="AW57">
        <v>0</v>
      </c>
      <c r="AX57">
        <v>1.62</v>
      </c>
      <c r="AY57" s="67">
        <v>0</v>
      </c>
    </row>
    <row r="58" spans="1:51" x14ac:dyDescent="0.25">
      <c r="A58" t="s">
        <v>189</v>
      </c>
      <c r="B58" t="s">
        <v>190</v>
      </c>
      <c r="C58">
        <v>2454</v>
      </c>
      <c r="D58" t="s">
        <v>187</v>
      </c>
      <c r="E58">
        <v>9020</v>
      </c>
      <c r="F58" t="s">
        <v>120</v>
      </c>
      <c r="G58">
        <v>70</v>
      </c>
      <c r="H58" t="s">
        <v>54</v>
      </c>
      <c r="I58">
        <v>1</v>
      </c>
      <c r="J58">
        <v>9</v>
      </c>
      <c r="K58">
        <v>1</v>
      </c>
      <c r="L58">
        <v>2</v>
      </c>
      <c r="M58">
        <v>100</v>
      </c>
      <c r="N58">
        <v>100</v>
      </c>
      <c r="O58">
        <v>100</v>
      </c>
      <c r="P58">
        <v>50</v>
      </c>
      <c r="Q58">
        <v>50</v>
      </c>
      <c r="R58">
        <v>50</v>
      </c>
      <c r="S58">
        <v>100</v>
      </c>
      <c r="T58">
        <v>500</v>
      </c>
      <c r="U58">
        <v>1</v>
      </c>
      <c r="V58">
        <v>3</v>
      </c>
      <c r="W58">
        <v>500</v>
      </c>
      <c r="X58">
        <v>1</v>
      </c>
      <c r="Y58">
        <v>1</v>
      </c>
      <c r="Z58" t="s">
        <v>121</v>
      </c>
      <c r="AA58" t="s">
        <v>121</v>
      </c>
      <c r="AB58" t="s">
        <v>121</v>
      </c>
      <c r="AC58" t="s">
        <v>121</v>
      </c>
      <c r="AD58">
        <v>100</v>
      </c>
      <c r="AE58">
        <v>10</v>
      </c>
      <c r="AF58" t="s">
        <v>121</v>
      </c>
      <c r="AG58" t="s">
        <v>120</v>
      </c>
      <c r="AH58" t="s">
        <v>121</v>
      </c>
      <c r="AI58" t="s">
        <v>121</v>
      </c>
      <c r="AJ58">
        <v>-0.17</v>
      </c>
      <c r="AK58">
        <v>0</v>
      </c>
      <c r="AL58" s="66">
        <v>0</v>
      </c>
      <c r="AM58" s="66">
        <v>1</v>
      </c>
      <c r="AN58">
        <v>0</v>
      </c>
      <c r="AO58">
        <v>0.15</v>
      </c>
      <c r="AP58">
        <v>5.0000000000000001E-4</v>
      </c>
      <c r="AQ58">
        <v>-0.94</v>
      </c>
      <c r="AR58">
        <v>60</v>
      </c>
      <c r="AS58">
        <v>106</v>
      </c>
      <c r="AT58">
        <v>0.10199999999999999</v>
      </c>
      <c r="AU58">
        <v>0</v>
      </c>
      <c r="AV58">
        <v>39</v>
      </c>
      <c r="AW58">
        <v>0</v>
      </c>
      <c r="AX58">
        <v>0.75</v>
      </c>
      <c r="AY58" s="67">
        <v>0</v>
      </c>
    </row>
    <row r="59" spans="1:51" x14ac:dyDescent="0.25">
      <c r="A59">
        <v>56870</v>
      </c>
      <c r="B59" t="s">
        <v>191</v>
      </c>
      <c r="C59">
        <v>2455</v>
      </c>
      <c r="D59" t="s">
        <v>192</v>
      </c>
      <c r="E59">
        <v>9700</v>
      </c>
      <c r="F59" t="s">
        <v>120</v>
      </c>
      <c r="G59">
        <v>60</v>
      </c>
      <c r="H59" t="s">
        <v>129</v>
      </c>
      <c r="I59">
        <v>1</v>
      </c>
      <c r="J59">
        <v>9</v>
      </c>
      <c r="K59">
        <v>1</v>
      </c>
      <c r="L59">
        <v>1</v>
      </c>
      <c r="M59">
        <v>499</v>
      </c>
      <c r="N59">
        <v>499</v>
      </c>
      <c r="O59">
        <v>499</v>
      </c>
      <c r="P59">
        <v>50</v>
      </c>
      <c r="Q59">
        <v>50</v>
      </c>
      <c r="R59">
        <v>50</v>
      </c>
      <c r="S59">
        <v>100</v>
      </c>
      <c r="T59">
        <v>500</v>
      </c>
      <c r="U59">
        <v>1</v>
      </c>
      <c r="V59">
        <v>3</v>
      </c>
      <c r="W59">
        <v>500</v>
      </c>
      <c r="X59">
        <v>1</v>
      </c>
      <c r="Y59">
        <v>1</v>
      </c>
      <c r="Z59" t="s">
        <v>121</v>
      </c>
      <c r="AA59" t="s">
        <v>121</v>
      </c>
      <c r="AB59" t="s">
        <v>121</v>
      </c>
      <c r="AC59" t="s">
        <v>121</v>
      </c>
      <c r="AD59">
        <v>100</v>
      </c>
      <c r="AE59">
        <v>20</v>
      </c>
      <c r="AF59" t="s">
        <v>121</v>
      </c>
      <c r="AG59" t="s">
        <v>120</v>
      </c>
      <c r="AH59" t="s">
        <v>121</v>
      </c>
      <c r="AI59" t="s">
        <v>121</v>
      </c>
      <c r="AJ59">
        <v>0.36</v>
      </c>
      <c r="AK59">
        <v>0.42</v>
      </c>
      <c r="AL59">
        <v>-30</v>
      </c>
      <c r="AM59" s="66">
        <v>53</v>
      </c>
      <c r="AN59">
        <v>0.01</v>
      </c>
      <c r="AO59">
        <v>0.57999999999999996</v>
      </c>
      <c r="AP59">
        <v>0.1149</v>
      </c>
      <c r="AQ59">
        <v>-0.23</v>
      </c>
      <c r="AR59">
        <v>60</v>
      </c>
      <c r="AS59">
        <v>107</v>
      </c>
      <c r="AT59">
        <v>0.154</v>
      </c>
      <c r="AU59">
        <v>0.1</v>
      </c>
      <c r="AV59">
        <v>38</v>
      </c>
      <c r="AW59">
        <v>0</v>
      </c>
      <c r="AX59">
        <v>0.44</v>
      </c>
      <c r="AY59">
        <v>0</v>
      </c>
    </row>
    <row r="60" spans="1:51" x14ac:dyDescent="0.25">
      <c r="A60">
        <v>59154</v>
      </c>
      <c r="B60" t="s">
        <v>299</v>
      </c>
      <c r="C60">
        <v>2474</v>
      </c>
      <c r="D60" t="s">
        <v>193</v>
      </c>
      <c r="E60">
        <v>9600</v>
      </c>
      <c r="F60" t="s">
        <v>120</v>
      </c>
      <c r="G60">
        <v>60</v>
      </c>
      <c r="H60" t="s">
        <v>129</v>
      </c>
      <c r="I60">
        <v>3</v>
      </c>
      <c r="J60">
        <v>9</v>
      </c>
      <c r="K60">
        <v>1</v>
      </c>
      <c r="L60">
        <v>1</v>
      </c>
      <c r="M60">
        <v>100</v>
      </c>
      <c r="N60">
        <v>200</v>
      </c>
      <c r="O60">
        <v>200</v>
      </c>
      <c r="P60">
        <v>100</v>
      </c>
      <c r="Q60">
        <v>100</v>
      </c>
      <c r="R60">
        <v>100</v>
      </c>
      <c r="S60">
        <v>100</v>
      </c>
      <c r="T60">
        <v>500</v>
      </c>
      <c r="U60">
        <v>1</v>
      </c>
      <c r="V60">
        <v>3</v>
      </c>
      <c r="W60">
        <v>500</v>
      </c>
      <c r="X60">
        <v>1</v>
      </c>
      <c r="Y60">
        <v>1</v>
      </c>
      <c r="Z60" t="s">
        <v>121</v>
      </c>
      <c r="AA60" t="s">
        <v>121</v>
      </c>
      <c r="AB60" t="s">
        <v>121</v>
      </c>
      <c r="AC60" t="s">
        <v>121</v>
      </c>
      <c r="AD60">
        <v>100</v>
      </c>
      <c r="AE60">
        <v>75</v>
      </c>
      <c r="AF60" t="s">
        <v>121</v>
      </c>
      <c r="AG60" t="s">
        <v>120</v>
      </c>
      <c r="AH60" t="s">
        <v>121</v>
      </c>
      <c r="AI60" t="s">
        <v>121</v>
      </c>
      <c r="AJ60">
        <v>1.8</v>
      </c>
      <c r="AK60">
        <v>2.23</v>
      </c>
      <c r="AL60">
        <v>0</v>
      </c>
      <c r="AM60" s="66">
        <v>40</v>
      </c>
      <c r="AN60">
        <v>0</v>
      </c>
      <c r="AO60">
        <v>1.58</v>
      </c>
      <c r="AP60">
        <v>0.69299999999999995</v>
      </c>
      <c r="AQ60">
        <v>-0.02</v>
      </c>
      <c r="AR60">
        <v>45</v>
      </c>
      <c r="AS60">
        <v>82</v>
      </c>
      <c r="AT60">
        <v>7.0000000000000007E-2</v>
      </c>
      <c r="AU60">
        <v>0.46</v>
      </c>
      <c r="AV60">
        <v>31</v>
      </c>
      <c r="AW60">
        <v>0</v>
      </c>
      <c r="AX60">
        <v>0.37</v>
      </c>
      <c r="AY60" s="67">
        <v>0</v>
      </c>
    </row>
    <row r="61" spans="1:51" x14ac:dyDescent="0.25">
      <c r="A61">
        <v>58679</v>
      </c>
      <c r="B61" t="s">
        <v>300</v>
      </c>
      <c r="C61">
        <v>2474</v>
      </c>
      <c r="D61" t="s">
        <v>193</v>
      </c>
      <c r="E61">
        <v>9600</v>
      </c>
      <c r="F61" t="s">
        <v>120</v>
      </c>
      <c r="G61">
        <v>40.799999999999997</v>
      </c>
      <c r="H61" t="s">
        <v>129</v>
      </c>
      <c r="I61">
        <v>9</v>
      </c>
      <c r="J61">
        <v>9</v>
      </c>
      <c r="K61">
        <v>1</v>
      </c>
      <c r="L61">
        <v>1</v>
      </c>
      <c r="M61">
        <v>100</v>
      </c>
      <c r="N61">
        <v>499</v>
      </c>
      <c r="O61">
        <v>499</v>
      </c>
      <c r="P61">
        <v>10</v>
      </c>
      <c r="Q61">
        <v>10</v>
      </c>
      <c r="R61">
        <v>10</v>
      </c>
      <c r="S61">
        <v>100</v>
      </c>
      <c r="T61">
        <v>500</v>
      </c>
      <c r="U61">
        <v>1</v>
      </c>
      <c r="V61">
        <v>3</v>
      </c>
      <c r="W61">
        <v>500</v>
      </c>
      <c r="X61">
        <v>1</v>
      </c>
      <c r="Y61">
        <v>1</v>
      </c>
      <c r="Z61" t="s">
        <v>121</v>
      </c>
      <c r="AA61" t="s">
        <v>121</v>
      </c>
      <c r="AB61" t="s">
        <v>121</v>
      </c>
      <c r="AC61" t="s">
        <v>121</v>
      </c>
      <c r="AD61">
        <v>100</v>
      </c>
      <c r="AE61">
        <v>10</v>
      </c>
      <c r="AF61" t="s">
        <v>121</v>
      </c>
      <c r="AG61" t="s">
        <v>120</v>
      </c>
      <c r="AH61" t="s">
        <v>121</v>
      </c>
      <c r="AI61" t="s">
        <v>54</v>
      </c>
      <c r="AJ61">
        <v>1.02</v>
      </c>
      <c r="AK61">
        <v>0.63</v>
      </c>
      <c r="AL61">
        <v>0</v>
      </c>
      <c r="AM61" s="66">
        <v>205</v>
      </c>
      <c r="AN61">
        <v>0.02</v>
      </c>
      <c r="AO61">
        <v>0.56999999999999995</v>
      </c>
      <c r="AP61">
        <v>0.1028</v>
      </c>
      <c r="AQ61">
        <v>-0.18</v>
      </c>
      <c r="AR61">
        <v>40</v>
      </c>
      <c r="AS61">
        <v>87</v>
      </c>
      <c r="AT61">
        <v>0.16</v>
      </c>
      <c r="AU61">
        <v>0.06</v>
      </c>
      <c r="AV61">
        <v>30</v>
      </c>
      <c r="AW61">
        <v>0</v>
      </c>
      <c r="AX61">
        <v>0.27</v>
      </c>
      <c r="AY61" s="67">
        <v>0</v>
      </c>
    </row>
    <row r="62" spans="1:51" x14ac:dyDescent="0.25">
      <c r="A62">
        <v>57414</v>
      </c>
      <c r="B62" t="s">
        <v>195</v>
      </c>
      <c r="C62">
        <v>2492</v>
      </c>
      <c r="D62" t="s">
        <v>194</v>
      </c>
      <c r="E62">
        <v>9070</v>
      </c>
      <c r="F62" t="s">
        <v>120</v>
      </c>
      <c r="G62">
        <v>52.5</v>
      </c>
      <c r="H62" t="s">
        <v>129</v>
      </c>
      <c r="I62">
        <v>10</v>
      </c>
      <c r="J62">
        <v>10</v>
      </c>
      <c r="K62">
        <v>1</v>
      </c>
      <c r="L62">
        <v>1</v>
      </c>
      <c r="M62">
        <v>499</v>
      </c>
      <c r="N62">
        <v>499</v>
      </c>
      <c r="O62">
        <v>499</v>
      </c>
      <c r="P62">
        <v>10</v>
      </c>
      <c r="Q62">
        <v>10</v>
      </c>
      <c r="R62">
        <v>10</v>
      </c>
      <c r="S62">
        <v>100</v>
      </c>
      <c r="T62">
        <v>500</v>
      </c>
      <c r="U62">
        <v>1</v>
      </c>
      <c r="V62">
        <v>3</v>
      </c>
      <c r="W62">
        <v>500</v>
      </c>
      <c r="X62">
        <v>1</v>
      </c>
      <c r="Y62">
        <v>1</v>
      </c>
      <c r="Z62" t="s">
        <v>121</v>
      </c>
      <c r="AA62" t="s">
        <v>121</v>
      </c>
      <c r="AB62" t="s">
        <v>121</v>
      </c>
      <c r="AC62" t="s">
        <v>121</v>
      </c>
      <c r="AD62">
        <v>100</v>
      </c>
      <c r="AE62">
        <v>10</v>
      </c>
      <c r="AF62" t="s">
        <v>121</v>
      </c>
      <c r="AG62" t="s">
        <v>120</v>
      </c>
      <c r="AH62" t="s">
        <v>121</v>
      </c>
      <c r="AI62" t="s">
        <v>54</v>
      </c>
      <c r="AJ62">
        <v>0.31</v>
      </c>
      <c r="AK62">
        <v>0.25</v>
      </c>
      <c r="AL62">
        <v>0</v>
      </c>
      <c r="AM62" s="66">
        <v>362</v>
      </c>
      <c r="AN62">
        <v>0.04</v>
      </c>
      <c r="AO62">
        <v>0.15</v>
      </c>
      <c r="AP62">
        <v>8.3199999999999996E-2</v>
      </c>
      <c r="AQ62">
        <v>-0.28999999999999998</v>
      </c>
      <c r="AR62">
        <v>64</v>
      </c>
      <c r="AS62">
        <v>102</v>
      </c>
      <c r="AT62">
        <v>0.05</v>
      </c>
      <c r="AU62">
        <v>0.09</v>
      </c>
      <c r="AV62">
        <v>47</v>
      </c>
      <c r="AW62">
        <v>0</v>
      </c>
      <c r="AX62">
        <v>1.01</v>
      </c>
      <c r="AY62">
        <v>0</v>
      </c>
    </row>
    <row r="63" spans="1:51" x14ac:dyDescent="0.25">
      <c r="A63">
        <v>56995</v>
      </c>
      <c r="B63" t="s">
        <v>196</v>
      </c>
      <c r="C63">
        <v>2492</v>
      </c>
      <c r="D63" t="s">
        <v>194</v>
      </c>
      <c r="E63">
        <v>9070</v>
      </c>
      <c r="F63" t="s">
        <v>120</v>
      </c>
      <c r="G63">
        <v>71.2</v>
      </c>
      <c r="H63" t="s">
        <v>129</v>
      </c>
      <c r="I63">
        <v>1</v>
      </c>
      <c r="J63">
        <v>4</v>
      </c>
      <c r="K63">
        <v>1</v>
      </c>
      <c r="L63">
        <v>1</v>
      </c>
      <c r="M63">
        <v>499</v>
      </c>
      <c r="N63">
        <v>499</v>
      </c>
      <c r="O63">
        <v>499</v>
      </c>
      <c r="P63">
        <v>200</v>
      </c>
      <c r="Q63">
        <v>300</v>
      </c>
      <c r="R63">
        <v>300</v>
      </c>
      <c r="S63">
        <v>100</v>
      </c>
      <c r="T63">
        <v>500</v>
      </c>
      <c r="U63">
        <v>1</v>
      </c>
      <c r="V63">
        <v>3</v>
      </c>
      <c r="W63">
        <v>500</v>
      </c>
      <c r="X63">
        <v>1</v>
      </c>
      <c r="Y63">
        <v>1</v>
      </c>
      <c r="Z63" t="s">
        <v>121</v>
      </c>
      <c r="AA63" t="s">
        <v>121</v>
      </c>
      <c r="AB63" t="s">
        <v>121</v>
      </c>
      <c r="AC63" t="s">
        <v>121</v>
      </c>
      <c r="AD63">
        <v>100</v>
      </c>
      <c r="AE63">
        <v>100</v>
      </c>
      <c r="AF63" t="s">
        <v>121</v>
      </c>
      <c r="AG63" t="s">
        <v>120</v>
      </c>
      <c r="AH63" t="s">
        <v>121</v>
      </c>
      <c r="AI63" t="s">
        <v>121</v>
      </c>
      <c r="AJ63">
        <v>0.33</v>
      </c>
      <c r="AK63">
        <v>0</v>
      </c>
      <c r="AL63">
        <v>0</v>
      </c>
      <c r="AM63" s="66">
        <v>1351</v>
      </c>
      <c r="AN63">
        <v>0.14000000000000001</v>
      </c>
      <c r="AO63">
        <v>0.16</v>
      </c>
      <c r="AP63">
        <v>2.9999999999999997E-4</v>
      </c>
      <c r="AQ63">
        <v>-0.38</v>
      </c>
      <c r="AR63">
        <v>41</v>
      </c>
      <c r="AS63">
        <v>106</v>
      </c>
      <c r="AT63">
        <v>0.1</v>
      </c>
      <c r="AU63">
        <v>0</v>
      </c>
      <c r="AV63">
        <v>35</v>
      </c>
      <c r="AW63">
        <v>0</v>
      </c>
      <c r="AX63">
        <v>0.97</v>
      </c>
      <c r="AY63">
        <v>0</v>
      </c>
    </row>
    <row r="64" spans="1:51" x14ac:dyDescent="0.25">
      <c r="A64">
        <v>58559</v>
      </c>
      <c r="B64" t="s">
        <v>301</v>
      </c>
      <c r="C64">
        <v>2492</v>
      </c>
      <c r="D64" t="s">
        <v>194</v>
      </c>
      <c r="E64">
        <v>9070</v>
      </c>
      <c r="F64" t="s">
        <v>120</v>
      </c>
      <c r="G64">
        <v>77</v>
      </c>
      <c r="H64" t="s">
        <v>129</v>
      </c>
      <c r="I64">
        <v>1</v>
      </c>
      <c r="J64">
        <v>1</v>
      </c>
      <c r="K64">
        <v>1</v>
      </c>
      <c r="L64">
        <v>1</v>
      </c>
      <c r="M64">
        <v>499</v>
      </c>
      <c r="N64">
        <v>499</v>
      </c>
      <c r="O64">
        <v>499</v>
      </c>
      <c r="P64">
        <v>200</v>
      </c>
      <c r="Q64">
        <v>300</v>
      </c>
      <c r="R64">
        <v>300</v>
      </c>
      <c r="S64">
        <v>100</v>
      </c>
      <c r="T64">
        <v>500</v>
      </c>
      <c r="U64">
        <v>1</v>
      </c>
      <c r="V64">
        <v>3</v>
      </c>
      <c r="W64">
        <v>500</v>
      </c>
      <c r="X64">
        <v>1</v>
      </c>
      <c r="Y64">
        <v>1</v>
      </c>
      <c r="Z64" t="s">
        <v>121</v>
      </c>
      <c r="AA64" t="s">
        <v>121</v>
      </c>
      <c r="AB64" t="s">
        <v>121</v>
      </c>
      <c r="AC64" t="s">
        <v>121</v>
      </c>
      <c r="AD64">
        <v>100</v>
      </c>
      <c r="AE64">
        <v>100</v>
      </c>
      <c r="AF64" t="s">
        <v>121</v>
      </c>
      <c r="AG64" t="s">
        <v>120</v>
      </c>
      <c r="AH64" t="s">
        <v>121</v>
      </c>
      <c r="AI64" t="s">
        <v>121</v>
      </c>
      <c r="AJ64">
        <v>0.63</v>
      </c>
      <c r="AK64">
        <v>0.03</v>
      </c>
      <c r="AL64">
        <v>0</v>
      </c>
      <c r="AM64" s="66">
        <v>51</v>
      </c>
      <c r="AN64">
        <v>0.01</v>
      </c>
      <c r="AO64">
        <v>0.38</v>
      </c>
      <c r="AP64">
        <v>4.1000000000000003E-3</v>
      </c>
      <c r="AQ64">
        <v>-0.3</v>
      </c>
      <c r="AR64">
        <v>39</v>
      </c>
      <c r="AS64">
        <v>88</v>
      </c>
      <c r="AT64">
        <v>0.08</v>
      </c>
      <c r="AU64">
        <v>0.01</v>
      </c>
      <c r="AV64">
        <v>35</v>
      </c>
      <c r="AW64">
        <v>0</v>
      </c>
      <c r="AX64">
        <v>0.69</v>
      </c>
      <c r="AY64">
        <v>0</v>
      </c>
    </row>
    <row r="65" spans="1:51" x14ac:dyDescent="0.25">
      <c r="A65">
        <v>57223</v>
      </c>
      <c r="B65" t="s">
        <v>198</v>
      </c>
      <c r="C65">
        <v>2881</v>
      </c>
      <c r="D65" t="s">
        <v>199</v>
      </c>
      <c r="E65">
        <v>9700</v>
      </c>
      <c r="F65" t="s">
        <v>120</v>
      </c>
      <c r="G65">
        <v>25.5</v>
      </c>
      <c r="H65" t="s">
        <v>129</v>
      </c>
      <c r="I65">
        <v>8</v>
      </c>
      <c r="J65">
        <v>10</v>
      </c>
      <c r="K65">
        <v>1</v>
      </c>
      <c r="L65">
        <v>1</v>
      </c>
      <c r="M65">
        <v>499</v>
      </c>
      <c r="N65">
        <v>499</v>
      </c>
      <c r="O65">
        <v>499</v>
      </c>
      <c r="P65">
        <v>50</v>
      </c>
      <c r="Q65">
        <v>50</v>
      </c>
      <c r="R65">
        <v>50</v>
      </c>
      <c r="S65">
        <v>100</v>
      </c>
      <c r="T65">
        <v>500</v>
      </c>
      <c r="U65">
        <v>1</v>
      </c>
      <c r="V65">
        <v>3</v>
      </c>
      <c r="W65">
        <v>500</v>
      </c>
      <c r="X65">
        <v>1</v>
      </c>
      <c r="Y65">
        <v>1</v>
      </c>
      <c r="Z65" t="s">
        <v>121</v>
      </c>
      <c r="AA65" t="s">
        <v>121</v>
      </c>
      <c r="AB65" t="s">
        <v>121</v>
      </c>
      <c r="AC65" t="s">
        <v>121</v>
      </c>
      <c r="AD65">
        <v>100</v>
      </c>
      <c r="AE65">
        <v>10</v>
      </c>
      <c r="AF65" t="s">
        <v>121</v>
      </c>
      <c r="AG65" t="s">
        <v>120</v>
      </c>
      <c r="AH65" t="s">
        <v>121</v>
      </c>
      <c r="AI65" t="s">
        <v>121</v>
      </c>
      <c r="AJ65">
        <v>0.88</v>
      </c>
      <c r="AK65">
        <v>1.32</v>
      </c>
      <c r="AL65">
        <v>0</v>
      </c>
      <c r="AM65" s="66">
        <v>87</v>
      </c>
      <c r="AN65">
        <v>0.01</v>
      </c>
      <c r="AO65">
        <v>0.56000000000000005</v>
      </c>
      <c r="AP65">
        <v>0.1492</v>
      </c>
      <c r="AQ65">
        <v>-7.0000000000000007E-2</v>
      </c>
      <c r="AR65">
        <v>43</v>
      </c>
      <c r="AS65">
        <v>104</v>
      </c>
      <c r="AT65">
        <v>0.629</v>
      </c>
      <c r="AU65">
        <v>0.16</v>
      </c>
      <c r="AV65">
        <v>16</v>
      </c>
      <c r="AW65">
        <v>0</v>
      </c>
      <c r="AX65">
        <v>0.26</v>
      </c>
      <c r="AY65" s="67">
        <v>0</v>
      </c>
    </row>
    <row r="66" spans="1:51" x14ac:dyDescent="0.25">
      <c r="A66">
        <v>57117</v>
      </c>
      <c r="B66" t="s">
        <v>200</v>
      </c>
      <c r="C66">
        <v>2883</v>
      </c>
      <c r="D66" t="s">
        <v>201</v>
      </c>
      <c r="E66">
        <v>9600</v>
      </c>
      <c r="F66" t="s">
        <v>120</v>
      </c>
      <c r="G66">
        <v>30</v>
      </c>
      <c r="H66" t="s">
        <v>129</v>
      </c>
      <c r="I66">
        <v>10</v>
      </c>
      <c r="J66">
        <v>10</v>
      </c>
      <c r="K66">
        <v>1</v>
      </c>
      <c r="L66">
        <v>1</v>
      </c>
      <c r="M66">
        <v>200</v>
      </c>
      <c r="N66">
        <v>200</v>
      </c>
      <c r="O66">
        <v>200</v>
      </c>
      <c r="P66">
        <v>10</v>
      </c>
      <c r="Q66">
        <v>10</v>
      </c>
      <c r="R66">
        <v>10</v>
      </c>
      <c r="S66">
        <v>100</v>
      </c>
      <c r="T66">
        <v>500</v>
      </c>
      <c r="U66">
        <v>1</v>
      </c>
      <c r="V66">
        <v>3</v>
      </c>
      <c r="W66">
        <v>500</v>
      </c>
      <c r="X66">
        <v>1</v>
      </c>
      <c r="Y66">
        <v>1</v>
      </c>
      <c r="Z66" t="s">
        <v>121</v>
      </c>
      <c r="AA66" t="s">
        <v>121</v>
      </c>
      <c r="AB66" t="s">
        <v>121</v>
      </c>
      <c r="AC66" t="s">
        <v>121</v>
      </c>
      <c r="AD66">
        <v>100</v>
      </c>
      <c r="AE66">
        <v>10</v>
      </c>
      <c r="AF66" t="s">
        <v>121</v>
      </c>
      <c r="AG66" t="s">
        <v>120</v>
      </c>
      <c r="AH66" t="s">
        <v>121</v>
      </c>
      <c r="AI66" t="s">
        <v>54</v>
      </c>
      <c r="AJ66">
        <v>0.56000000000000005</v>
      </c>
      <c r="AK66">
        <v>1.49</v>
      </c>
      <c r="AL66">
        <v>-11</v>
      </c>
      <c r="AM66" s="66">
        <v>285</v>
      </c>
      <c r="AN66">
        <v>0.03</v>
      </c>
      <c r="AO66">
        <v>0.74</v>
      </c>
      <c r="AP66">
        <v>0.61180000000000001</v>
      </c>
      <c r="AQ66">
        <v>0</v>
      </c>
      <c r="AR66">
        <v>82</v>
      </c>
      <c r="AS66">
        <v>105</v>
      </c>
      <c r="AT66">
        <v>1.0680000000000001</v>
      </c>
      <c r="AU66">
        <v>0.53</v>
      </c>
      <c r="AV66">
        <v>29</v>
      </c>
      <c r="AW66">
        <v>0</v>
      </c>
      <c r="AX66">
        <v>0.47</v>
      </c>
      <c r="AY66">
        <v>0</v>
      </c>
    </row>
    <row r="67" spans="1:51" x14ac:dyDescent="0.25">
      <c r="A67">
        <v>59540</v>
      </c>
      <c r="B67" t="s">
        <v>302</v>
      </c>
      <c r="C67">
        <v>2888</v>
      </c>
      <c r="D67" t="s">
        <v>202</v>
      </c>
      <c r="E67">
        <v>9020</v>
      </c>
      <c r="F67" t="s">
        <v>120</v>
      </c>
      <c r="G67">
        <v>37</v>
      </c>
      <c r="H67" t="s">
        <v>129</v>
      </c>
      <c r="I67">
        <v>5</v>
      </c>
      <c r="J67">
        <v>10</v>
      </c>
      <c r="K67">
        <v>1</v>
      </c>
      <c r="L67">
        <v>3</v>
      </c>
      <c r="M67">
        <v>100</v>
      </c>
      <c r="N67">
        <v>100</v>
      </c>
      <c r="O67">
        <v>100</v>
      </c>
      <c r="P67">
        <v>10</v>
      </c>
      <c r="Q67">
        <v>299</v>
      </c>
      <c r="R67">
        <v>299</v>
      </c>
      <c r="S67">
        <v>100</v>
      </c>
      <c r="T67">
        <v>200</v>
      </c>
      <c r="U67">
        <v>1</v>
      </c>
      <c r="V67">
        <v>3</v>
      </c>
      <c r="W67">
        <v>500</v>
      </c>
      <c r="X67">
        <v>4</v>
      </c>
      <c r="Y67">
        <v>2</v>
      </c>
      <c r="Z67" t="s">
        <v>121</v>
      </c>
      <c r="AA67" t="s">
        <v>121</v>
      </c>
      <c r="AB67" t="s">
        <v>121</v>
      </c>
      <c r="AC67" t="s">
        <v>121</v>
      </c>
      <c r="AD67">
        <v>100</v>
      </c>
      <c r="AE67">
        <v>10</v>
      </c>
      <c r="AF67" t="s">
        <v>121</v>
      </c>
      <c r="AG67" t="s">
        <v>120</v>
      </c>
      <c r="AH67" t="s">
        <v>121</v>
      </c>
      <c r="AI67" t="s">
        <v>121</v>
      </c>
      <c r="AJ67">
        <v>0.8</v>
      </c>
      <c r="AK67">
        <v>2.36</v>
      </c>
      <c r="AL67">
        <v>0</v>
      </c>
      <c r="AM67" s="66">
        <v>615</v>
      </c>
      <c r="AN67">
        <v>0.06</v>
      </c>
      <c r="AO67">
        <v>1.19</v>
      </c>
      <c r="AP67">
        <v>1.0572999999999999</v>
      </c>
      <c r="AQ67">
        <v>0.13</v>
      </c>
      <c r="AR67">
        <v>49</v>
      </c>
      <c r="AS67">
        <v>78</v>
      </c>
      <c r="AT67">
        <v>1.002</v>
      </c>
      <c r="AU67">
        <v>0.89</v>
      </c>
      <c r="AV67">
        <v>23</v>
      </c>
      <c r="AW67">
        <v>0</v>
      </c>
      <c r="AX67">
        <v>0.9</v>
      </c>
      <c r="AY67" s="67">
        <v>0</v>
      </c>
    </row>
    <row r="68" spans="1:51" x14ac:dyDescent="0.25">
      <c r="A68">
        <v>57992</v>
      </c>
      <c r="B68" t="s">
        <v>204</v>
      </c>
      <c r="C68">
        <v>3008</v>
      </c>
      <c r="D68" t="s">
        <v>203</v>
      </c>
      <c r="E68">
        <v>9700</v>
      </c>
      <c r="F68" t="s">
        <v>120</v>
      </c>
      <c r="G68">
        <v>50.1</v>
      </c>
      <c r="H68" t="s">
        <v>197</v>
      </c>
      <c r="I68">
        <v>4</v>
      </c>
      <c r="J68">
        <v>10</v>
      </c>
      <c r="K68">
        <v>1</v>
      </c>
      <c r="L68">
        <v>1</v>
      </c>
      <c r="M68">
        <v>499</v>
      </c>
      <c r="N68">
        <v>499</v>
      </c>
      <c r="O68">
        <v>499</v>
      </c>
      <c r="P68">
        <v>300</v>
      </c>
      <c r="Q68">
        <v>300</v>
      </c>
      <c r="R68">
        <v>300</v>
      </c>
      <c r="S68">
        <v>100</v>
      </c>
      <c r="T68">
        <v>500</v>
      </c>
      <c r="U68">
        <v>1</v>
      </c>
      <c r="V68">
        <v>5</v>
      </c>
      <c r="W68">
        <v>500</v>
      </c>
      <c r="X68">
        <v>1</v>
      </c>
      <c r="Y68">
        <v>1</v>
      </c>
      <c r="Z68" t="s">
        <v>121</v>
      </c>
      <c r="AA68" t="s">
        <v>121</v>
      </c>
      <c r="AB68" t="s">
        <v>121</v>
      </c>
      <c r="AC68" t="s">
        <v>121</v>
      </c>
      <c r="AD68">
        <v>100</v>
      </c>
      <c r="AE68">
        <v>20</v>
      </c>
      <c r="AF68" t="s">
        <v>121</v>
      </c>
      <c r="AG68" t="s">
        <v>120</v>
      </c>
      <c r="AH68" t="s">
        <v>121</v>
      </c>
      <c r="AI68" t="s">
        <v>121</v>
      </c>
      <c r="AJ68">
        <v>0.14000000000000001</v>
      </c>
      <c r="AK68">
        <v>0.15</v>
      </c>
      <c r="AL68" s="66">
        <v>5</v>
      </c>
      <c r="AM68" s="66">
        <v>3612</v>
      </c>
      <c r="AN68">
        <v>0.36</v>
      </c>
      <c r="AO68">
        <v>0.1</v>
      </c>
      <c r="AP68">
        <v>2.6499999999999999E-2</v>
      </c>
      <c r="AQ68">
        <v>-0.24</v>
      </c>
      <c r="AR68">
        <v>29</v>
      </c>
      <c r="AS68">
        <v>95</v>
      </c>
      <c r="AT68">
        <v>4.0000000000000001E-3</v>
      </c>
      <c r="AU68">
        <v>0.03</v>
      </c>
      <c r="AV68">
        <v>41</v>
      </c>
      <c r="AW68">
        <v>0</v>
      </c>
      <c r="AX68">
        <v>1.19</v>
      </c>
      <c r="AY68" s="67">
        <v>0</v>
      </c>
    </row>
    <row r="69" spans="1:51" x14ac:dyDescent="0.25">
      <c r="A69">
        <v>58741</v>
      </c>
      <c r="B69" t="s">
        <v>303</v>
      </c>
      <c r="C69">
        <v>3037</v>
      </c>
      <c r="D69" t="s">
        <v>206</v>
      </c>
      <c r="E69">
        <v>9700</v>
      </c>
      <c r="F69" t="s">
        <v>120</v>
      </c>
      <c r="G69">
        <v>77.31</v>
      </c>
      <c r="H69" t="s">
        <v>129</v>
      </c>
      <c r="I69">
        <v>10</v>
      </c>
      <c r="J69">
        <v>10</v>
      </c>
      <c r="K69">
        <v>1</v>
      </c>
      <c r="L69">
        <v>1</v>
      </c>
      <c r="M69">
        <v>100</v>
      </c>
      <c r="N69">
        <v>100</v>
      </c>
      <c r="O69">
        <v>100</v>
      </c>
      <c r="P69">
        <v>10</v>
      </c>
      <c r="Q69">
        <v>10</v>
      </c>
      <c r="R69">
        <v>10</v>
      </c>
      <c r="S69">
        <v>100</v>
      </c>
      <c r="T69">
        <v>500</v>
      </c>
      <c r="U69">
        <v>1</v>
      </c>
      <c r="V69">
        <v>3</v>
      </c>
      <c r="W69">
        <v>500</v>
      </c>
      <c r="X69">
        <v>1</v>
      </c>
      <c r="Y69">
        <v>1</v>
      </c>
      <c r="Z69" t="s">
        <v>120</v>
      </c>
      <c r="AA69" t="s">
        <v>121</v>
      </c>
      <c r="AB69" t="s">
        <v>121</v>
      </c>
      <c r="AC69" t="s">
        <v>121</v>
      </c>
      <c r="AD69">
        <v>100</v>
      </c>
      <c r="AE69">
        <v>10</v>
      </c>
      <c r="AF69" t="s">
        <v>120</v>
      </c>
      <c r="AG69" t="s">
        <v>120</v>
      </c>
      <c r="AH69" t="s">
        <v>121</v>
      </c>
      <c r="AI69" t="s">
        <v>121</v>
      </c>
      <c r="AJ69">
        <v>2.35</v>
      </c>
      <c r="AK69">
        <v>4.05</v>
      </c>
      <c r="AL69" s="66">
        <v>0</v>
      </c>
      <c r="AM69" s="66">
        <v>5</v>
      </c>
      <c r="AN69">
        <v>0</v>
      </c>
      <c r="AO69">
        <v>3.45</v>
      </c>
      <c r="AP69">
        <v>2.8586</v>
      </c>
      <c r="AQ69">
        <v>0.2</v>
      </c>
      <c r="AR69">
        <v>41</v>
      </c>
      <c r="AS69">
        <v>86</v>
      </c>
      <c r="AT69">
        <v>0.30599999999999999</v>
      </c>
      <c r="AU69">
        <v>0.85</v>
      </c>
      <c r="AV69">
        <v>47</v>
      </c>
      <c r="AW69">
        <v>0</v>
      </c>
      <c r="AX69">
        <v>0.51</v>
      </c>
      <c r="AY69" s="67">
        <v>0</v>
      </c>
    </row>
    <row r="70" spans="1:51" x14ac:dyDescent="0.25">
      <c r="A70">
        <v>57118</v>
      </c>
      <c r="B70" t="s">
        <v>205</v>
      </c>
      <c r="C70">
        <v>3037</v>
      </c>
      <c r="D70" t="s">
        <v>206</v>
      </c>
      <c r="E70">
        <v>9700</v>
      </c>
      <c r="F70" t="s">
        <v>120</v>
      </c>
      <c r="G70">
        <v>57.5</v>
      </c>
      <c r="H70" t="s">
        <v>129</v>
      </c>
      <c r="I70">
        <v>6</v>
      </c>
      <c r="J70">
        <v>10</v>
      </c>
      <c r="K70">
        <v>1</v>
      </c>
      <c r="L70">
        <v>1</v>
      </c>
      <c r="M70">
        <v>100</v>
      </c>
      <c r="N70">
        <v>100</v>
      </c>
      <c r="O70">
        <v>100</v>
      </c>
      <c r="P70">
        <v>50</v>
      </c>
      <c r="Q70">
        <v>100</v>
      </c>
      <c r="R70">
        <v>100</v>
      </c>
      <c r="S70">
        <v>100</v>
      </c>
      <c r="T70">
        <v>500</v>
      </c>
      <c r="U70">
        <v>1</v>
      </c>
      <c r="V70">
        <v>3</v>
      </c>
      <c r="W70">
        <v>500</v>
      </c>
      <c r="X70">
        <v>1</v>
      </c>
      <c r="Y70">
        <v>1</v>
      </c>
      <c r="Z70" t="s">
        <v>120</v>
      </c>
      <c r="AA70" t="s">
        <v>121</v>
      </c>
      <c r="AB70" t="s">
        <v>121</v>
      </c>
      <c r="AC70" t="s">
        <v>121</v>
      </c>
      <c r="AD70">
        <v>100</v>
      </c>
      <c r="AE70">
        <v>20</v>
      </c>
      <c r="AF70" t="s">
        <v>120</v>
      </c>
      <c r="AG70" t="s">
        <v>120</v>
      </c>
      <c r="AH70" t="s">
        <v>121</v>
      </c>
      <c r="AI70" t="s">
        <v>121</v>
      </c>
      <c r="AJ70">
        <v>3.25</v>
      </c>
      <c r="AK70">
        <v>5.09</v>
      </c>
      <c r="AL70">
        <v>65</v>
      </c>
      <c r="AM70" s="66">
        <v>293</v>
      </c>
      <c r="AN70">
        <v>0.03</v>
      </c>
      <c r="AO70">
        <v>3.74</v>
      </c>
      <c r="AP70">
        <v>3.2635999999999998</v>
      </c>
      <c r="AQ70">
        <v>0.06</v>
      </c>
      <c r="AR70">
        <v>60</v>
      </c>
      <c r="AS70">
        <v>105</v>
      </c>
      <c r="AT70">
        <v>0.51100000000000001</v>
      </c>
      <c r="AU70">
        <v>0.64</v>
      </c>
      <c r="AV70">
        <v>49</v>
      </c>
      <c r="AW70">
        <v>0</v>
      </c>
      <c r="AX70">
        <v>0.21</v>
      </c>
      <c r="AY70" s="67">
        <v>0</v>
      </c>
    </row>
    <row r="71" spans="1:51" x14ac:dyDescent="0.25">
      <c r="A71">
        <v>709026</v>
      </c>
      <c r="B71" t="s">
        <v>208</v>
      </c>
      <c r="C71">
        <v>3105</v>
      </c>
      <c r="D71" t="s">
        <v>207</v>
      </c>
      <c r="E71">
        <v>9070</v>
      </c>
      <c r="F71" t="s">
        <v>120</v>
      </c>
      <c r="G71">
        <v>49.6</v>
      </c>
      <c r="H71" t="s">
        <v>129</v>
      </c>
      <c r="I71">
        <v>10</v>
      </c>
      <c r="J71">
        <v>10</v>
      </c>
      <c r="K71">
        <v>1</v>
      </c>
      <c r="L71">
        <v>1</v>
      </c>
      <c r="M71">
        <v>499</v>
      </c>
      <c r="N71">
        <v>499</v>
      </c>
      <c r="O71">
        <v>499</v>
      </c>
      <c r="P71">
        <v>10</v>
      </c>
      <c r="Q71">
        <v>10</v>
      </c>
      <c r="R71">
        <v>10</v>
      </c>
      <c r="S71">
        <v>100</v>
      </c>
      <c r="T71">
        <v>500</v>
      </c>
      <c r="U71">
        <v>1</v>
      </c>
      <c r="V71">
        <v>3</v>
      </c>
      <c r="W71">
        <v>500</v>
      </c>
      <c r="X71">
        <v>1</v>
      </c>
      <c r="Y71">
        <v>1</v>
      </c>
      <c r="Z71" t="s">
        <v>121</v>
      </c>
      <c r="AA71" t="s">
        <v>121</v>
      </c>
      <c r="AB71" t="s">
        <v>121</v>
      </c>
      <c r="AC71" t="s">
        <v>121</v>
      </c>
      <c r="AD71">
        <v>100</v>
      </c>
      <c r="AE71">
        <v>10</v>
      </c>
      <c r="AF71" t="s">
        <v>121</v>
      </c>
      <c r="AG71" t="s">
        <v>120</v>
      </c>
      <c r="AH71" t="s">
        <v>121</v>
      </c>
      <c r="AI71" t="s">
        <v>54</v>
      </c>
      <c r="AJ71">
        <v>2.06</v>
      </c>
      <c r="AK71">
        <v>4.28</v>
      </c>
      <c r="AL71" s="66">
        <v>277</v>
      </c>
      <c r="AM71" s="66">
        <v>0</v>
      </c>
      <c r="AN71">
        <v>0</v>
      </c>
      <c r="AO71">
        <v>1.53</v>
      </c>
      <c r="AP71">
        <v>1.0438000000000001</v>
      </c>
      <c r="AQ71">
        <v>0.05</v>
      </c>
      <c r="AR71">
        <v>13</v>
      </c>
      <c r="AS71">
        <v>112</v>
      </c>
      <c r="AT71">
        <v>6.0999999999999999E-2</v>
      </c>
      <c r="AU71">
        <v>0.75</v>
      </c>
      <c r="AV71">
        <v>31</v>
      </c>
      <c r="AW71">
        <v>0</v>
      </c>
      <c r="AX71">
        <v>0.63</v>
      </c>
      <c r="AY71" s="67">
        <v>0</v>
      </c>
    </row>
    <row r="72" spans="1:51" x14ac:dyDescent="0.25">
      <c r="A72">
        <v>709468</v>
      </c>
      <c r="B72" t="s">
        <v>209</v>
      </c>
      <c r="C72">
        <v>3105</v>
      </c>
      <c r="D72" t="s">
        <v>207</v>
      </c>
      <c r="E72">
        <v>9070</v>
      </c>
      <c r="F72" t="s">
        <v>120</v>
      </c>
      <c r="G72">
        <v>58.2</v>
      </c>
      <c r="H72" t="s">
        <v>129</v>
      </c>
      <c r="I72">
        <v>1</v>
      </c>
      <c r="J72">
        <v>10</v>
      </c>
      <c r="K72">
        <v>1</v>
      </c>
      <c r="L72">
        <v>1</v>
      </c>
      <c r="M72">
        <v>499</v>
      </c>
      <c r="N72">
        <v>499</v>
      </c>
      <c r="O72">
        <v>499</v>
      </c>
      <c r="P72">
        <v>100</v>
      </c>
      <c r="Q72">
        <v>200</v>
      </c>
      <c r="R72">
        <v>200</v>
      </c>
      <c r="S72">
        <v>100</v>
      </c>
      <c r="T72">
        <v>500</v>
      </c>
      <c r="U72">
        <v>1</v>
      </c>
      <c r="V72">
        <v>3</v>
      </c>
      <c r="W72">
        <v>500</v>
      </c>
      <c r="X72">
        <v>1</v>
      </c>
      <c r="Y72">
        <v>1</v>
      </c>
      <c r="Z72" t="s">
        <v>121</v>
      </c>
      <c r="AA72" t="s">
        <v>121</v>
      </c>
      <c r="AB72" t="s">
        <v>121</v>
      </c>
      <c r="AC72" t="s">
        <v>121</v>
      </c>
      <c r="AD72">
        <v>100</v>
      </c>
      <c r="AE72">
        <v>100</v>
      </c>
      <c r="AF72" t="s">
        <v>121</v>
      </c>
      <c r="AG72" t="s">
        <v>120</v>
      </c>
      <c r="AH72" t="s">
        <v>121</v>
      </c>
      <c r="AI72" t="s">
        <v>121</v>
      </c>
      <c r="AJ72">
        <v>0.79</v>
      </c>
      <c r="AK72">
        <v>0.93</v>
      </c>
      <c r="AL72">
        <v>-53</v>
      </c>
      <c r="AM72" s="66">
        <v>309</v>
      </c>
      <c r="AN72">
        <v>0.03</v>
      </c>
      <c r="AO72">
        <v>0.68</v>
      </c>
      <c r="AP72">
        <v>0.27339999999999998</v>
      </c>
      <c r="AQ72">
        <v>-0.18</v>
      </c>
      <c r="AR72">
        <v>47</v>
      </c>
      <c r="AS72">
        <v>100</v>
      </c>
      <c r="AT72">
        <v>6.0999999999999999E-2</v>
      </c>
      <c r="AU72">
        <v>0.16</v>
      </c>
      <c r="AV72">
        <v>42</v>
      </c>
      <c r="AW72">
        <v>0</v>
      </c>
      <c r="AX72">
        <v>0.37</v>
      </c>
      <c r="AY72" s="67">
        <v>0</v>
      </c>
    </row>
    <row r="73" spans="1:51" x14ac:dyDescent="0.25">
      <c r="A73">
        <v>709920</v>
      </c>
      <c r="B73" t="s">
        <v>304</v>
      </c>
      <c r="C73">
        <v>3227</v>
      </c>
      <c r="D73" t="s">
        <v>210</v>
      </c>
      <c r="E73">
        <v>9600</v>
      </c>
      <c r="F73" t="s">
        <v>120</v>
      </c>
      <c r="G73">
        <v>58.5</v>
      </c>
      <c r="H73" t="s">
        <v>129</v>
      </c>
      <c r="I73">
        <v>9</v>
      </c>
      <c r="J73">
        <v>9</v>
      </c>
      <c r="K73">
        <v>1</v>
      </c>
      <c r="L73">
        <v>1</v>
      </c>
      <c r="M73">
        <v>100</v>
      </c>
      <c r="N73">
        <v>499</v>
      </c>
      <c r="O73">
        <v>499</v>
      </c>
      <c r="P73">
        <v>10</v>
      </c>
      <c r="Q73">
        <v>10</v>
      </c>
      <c r="R73">
        <v>10</v>
      </c>
      <c r="S73">
        <v>100</v>
      </c>
      <c r="T73">
        <v>500</v>
      </c>
      <c r="U73">
        <v>1</v>
      </c>
      <c r="V73">
        <v>3</v>
      </c>
      <c r="W73">
        <v>500</v>
      </c>
      <c r="X73">
        <v>1</v>
      </c>
      <c r="Y73">
        <v>1</v>
      </c>
      <c r="Z73" t="s">
        <v>121</v>
      </c>
      <c r="AA73" t="s">
        <v>121</v>
      </c>
      <c r="AB73" t="s">
        <v>121</v>
      </c>
      <c r="AC73" t="s">
        <v>121</v>
      </c>
      <c r="AD73">
        <v>100</v>
      </c>
      <c r="AE73">
        <v>10</v>
      </c>
      <c r="AF73" t="s">
        <v>121</v>
      </c>
      <c r="AG73" t="s">
        <v>120</v>
      </c>
      <c r="AH73" t="s">
        <v>121</v>
      </c>
      <c r="AI73" t="s">
        <v>121</v>
      </c>
      <c r="AJ73">
        <v>0.8</v>
      </c>
      <c r="AK73">
        <v>1.02</v>
      </c>
      <c r="AL73">
        <v>0</v>
      </c>
      <c r="AM73" s="66">
        <v>81</v>
      </c>
      <c r="AN73">
        <v>0.01</v>
      </c>
      <c r="AO73">
        <v>1.1499999999999999</v>
      </c>
      <c r="AP73">
        <v>1.1165</v>
      </c>
      <c r="AQ73">
        <v>0.25</v>
      </c>
      <c r="AR73">
        <v>82</v>
      </c>
      <c r="AS73">
        <v>85</v>
      </c>
      <c r="AT73">
        <v>0.02</v>
      </c>
      <c r="AU73">
        <v>0.78</v>
      </c>
      <c r="AV73">
        <v>66</v>
      </c>
      <c r="AW73">
        <v>0</v>
      </c>
      <c r="AX73">
        <v>1.33</v>
      </c>
      <c r="AY73" s="67">
        <v>0</v>
      </c>
    </row>
    <row r="74" spans="1:51" x14ac:dyDescent="0.25">
      <c r="A74">
        <v>56871</v>
      </c>
      <c r="B74" t="s">
        <v>211</v>
      </c>
      <c r="C74">
        <v>3376</v>
      </c>
      <c r="D74" t="s">
        <v>212</v>
      </c>
      <c r="E74">
        <v>9600</v>
      </c>
      <c r="F74" t="s">
        <v>120</v>
      </c>
      <c r="G74">
        <v>69.5</v>
      </c>
      <c r="H74" t="s">
        <v>139</v>
      </c>
      <c r="I74">
        <v>9</v>
      </c>
      <c r="J74">
        <v>9</v>
      </c>
      <c r="K74">
        <v>1</v>
      </c>
      <c r="L74">
        <v>3</v>
      </c>
      <c r="M74">
        <v>100</v>
      </c>
      <c r="N74">
        <v>100</v>
      </c>
      <c r="O74">
        <v>100</v>
      </c>
      <c r="P74">
        <v>10</v>
      </c>
      <c r="Q74">
        <v>100</v>
      </c>
      <c r="R74">
        <v>100</v>
      </c>
      <c r="S74">
        <v>100</v>
      </c>
      <c r="T74">
        <v>500</v>
      </c>
      <c r="U74">
        <v>1</v>
      </c>
      <c r="V74">
        <v>3</v>
      </c>
      <c r="W74">
        <v>500</v>
      </c>
      <c r="X74">
        <v>1</v>
      </c>
      <c r="Y74">
        <v>1</v>
      </c>
      <c r="Z74" t="s">
        <v>121</v>
      </c>
      <c r="AA74" t="s">
        <v>121</v>
      </c>
      <c r="AB74" t="s">
        <v>121</v>
      </c>
      <c r="AC74" t="s">
        <v>121</v>
      </c>
      <c r="AD74">
        <v>100</v>
      </c>
      <c r="AE74">
        <v>10</v>
      </c>
      <c r="AF74" t="s">
        <v>121</v>
      </c>
      <c r="AG74" t="s">
        <v>120</v>
      </c>
      <c r="AH74" t="s">
        <v>121</v>
      </c>
      <c r="AI74" t="s">
        <v>121</v>
      </c>
      <c r="AJ74">
        <v>3.17</v>
      </c>
      <c r="AK74">
        <v>3.15</v>
      </c>
      <c r="AL74">
        <v>90</v>
      </c>
      <c r="AM74" s="66">
        <v>91</v>
      </c>
      <c r="AN74">
        <v>0.01</v>
      </c>
      <c r="AO74">
        <v>2.36</v>
      </c>
      <c r="AP74">
        <v>1.3011999999999999</v>
      </c>
      <c r="AQ74">
        <v>0.04</v>
      </c>
      <c r="AR74">
        <v>40</v>
      </c>
      <c r="AS74">
        <v>107</v>
      </c>
      <c r="AT74">
        <v>0.104</v>
      </c>
      <c r="AU74">
        <v>0.63</v>
      </c>
      <c r="AV74">
        <v>37</v>
      </c>
      <c r="AW74">
        <v>0</v>
      </c>
      <c r="AX74">
        <v>0.39</v>
      </c>
      <c r="AY74">
        <v>0</v>
      </c>
    </row>
    <row r="75" spans="1:51" x14ac:dyDescent="0.25">
      <c r="A75">
        <v>57311</v>
      </c>
      <c r="B75" t="s">
        <v>214</v>
      </c>
      <c r="C75">
        <v>3406</v>
      </c>
      <c r="D75" t="s">
        <v>213</v>
      </c>
      <c r="E75">
        <v>9600</v>
      </c>
      <c r="F75" t="s">
        <v>120</v>
      </c>
      <c r="G75">
        <v>88</v>
      </c>
      <c r="H75" t="s">
        <v>197</v>
      </c>
      <c r="I75">
        <v>5</v>
      </c>
      <c r="J75">
        <v>9</v>
      </c>
      <c r="K75">
        <v>1</v>
      </c>
      <c r="L75">
        <v>1</v>
      </c>
      <c r="M75">
        <v>100</v>
      </c>
      <c r="N75">
        <v>200</v>
      </c>
      <c r="O75">
        <v>200</v>
      </c>
      <c r="P75">
        <v>10</v>
      </c>
      <c r="Q75">
        <v>10</v>
      </c>
      <c r="R75">
        <v>10</v>
      </c>
      <c r="S75">
        <v>100</v>
      </c>
      <c r="T75">
        <v>500</v>
      </c>
      <c r="U75">
        <v>1</v>
      </c>
      <c r="V75">
        <v>3</v>
      </c>
      <c r="W75">
        <v>500</v>
      </c>
      <c r="X75">
        <v>1</v>
      </c>
      <c r="Y75">
        <v>1</v>
      </c>
      <c r="Z75" t="s">
        <v>121</v>
      </c>
      <c r="AA75" t="s">
        <v>121</v>
      </c>
      <c r="AB75" t="s">
        <v>121</v>
      </c>
      <c r="AC75" t="s">
        <v>121</v>
      </c>
      <c r="AD75">
        <v>100</v>
      </c>
      <c r="AE75">
        <v>10</v>
      </c>
      <c r="AF75" t="s">
        <v>121</v>
      </c>
      <c r="AG75" t="s">
        <v>120</v>
      </c>
      <c r="AH75" t="s">
        <v>121</v>
      </c>
      <c r="AI75" t="s">
        <v>54</v>
      </c>
      <c r="AJ75">
        <v>0.33</v>
      </c>
      <c r="AK75">
        <v>0.82</v>
      </c>
      <c r="AL75">
        <v>0</v>
      </c>
      <c r="AM75" s="66">
        <v>0</v>
      </c>
      <c r="AN75">
        <v>0</v>
      </c>
      <c r="AO75">
        <v>5.2</v>
      </c>
      <c r="AP75">
        <v>4.1289999999999996</v>
      </c>
      <c r="AQ75">
        <v>0.35</v>
      </c>
      <c r="AR75">
        <v>61</v>
      </c>
      <c r="AS75">
        <v>103</v>
      </c>
      <c r="AT75">
        <v>0.02</v>
      </c>
      <c r="AU75">
        <v>0.9</v>
      </c>
      <c r="AV75">
        <v>52</v>
      </c>
      <c r="AW75">
        <v>0</v>
      </c>
      <c r="AX75">
        <v>2.37</v>
      </c>
      <c r="AY75" s="67">
        <v>0</v>
      </c>
    </row>
    <row r="76" spans="1:51" x14ac:dyDescent="0.25">
      <c r="A76" t="s">
        <v>305</v>
      </c>
      <c r="B76" t="s">
        <v>306</v>
      </c>
      <c r="C76">
        <v>3406</v>
      </c>
      <c r="D76" t="s">
        <v>213</v>
      </c>
      <c r="E76">
        <v>9600</v>
      </c>
      <c r="F76" t="s">
        <v>120</v>
      </c>
      <c r="G76">
        <v>75</v>
      </c>
      <c r="H76" t="s">
        <v>54</v>
      </c>
      <c r="I76">
        <v>10</v>
      </c>
      <c r="J76">
        <v>10</v>
      </c>
      <c r="K76">
        <v>1</v>
      </c>
      <c r="L76">
        <v>2</v>
      </c>
      <c r="M76">
        <v>100</v>
      </c>
      <c r="N76">
        <v>100</v>
      </c>
      <c r="O76">
        <v>100</v>
      </c>
      <c r="P76">
        <v>10</v>
      </c>
      <c r="Q76">
        <v>10</v>
      </c>
      <c r="R76">
        <v>10</v>
      </c>
      <c r="S76">
        <v>100</v>
      </c>
      <c r="T76">
        <v>500</v>
      </c>
      <c r="U76">
        <v>1</v>
      </c>
      <c r="V76">
        <v>3</v>
      </c>
      <c r="W76">
        <v>500</v>
      </c>
      <c r="X76">
        <v>1</v>
      </c>
      <c r="Y76">
        <v>1</v>
      </c>
      <c r="Z76" t="s">
        <v>121</v>
      </c>
      <c r="AA76" t="s">
        <v>121</v>
      </c>
      <c r="AB76" t="s">
        <v>121</v>
      </c>
      <c r="AC76" t="s">
        <v>121</v>
      </c>
      <c r="AD76">
        <v>100</v>
      </c>
      <c r="AE76">
        <v>10</v>
      </c>
      <c r="AF76" t="s">
        <v>121</v>
      </c>
      <c r="AG76" t="s">
        <v>120</v>
      </c>
      <c r="AH76" t="s">
        <v>121</v>
      </c>
      <c r="AI76" t="s">
        <v>54</v>
      </c>
      <c r="AJ76">
        <v>-0.11</v>
      </c>
      <c r="AK76">
        <v>-0.18</v>
      </c>
      <c r="AL76" s="66">
        <v>0</v>
      </c>
      <c r="AM76" s="66">
        <v>87</v>
      </c>
      <c r="AN76">
        <v>0.01</v>
      </c>
      <c r="AO76">
        <v>0.28999999999999998</v>
      </c>
      <c r="AP76">
        <v>0.1018</v>
      </c>
      <c r="AQ76">
        <v>-0.51</v>
      </c>
      <c r="AR76">
        <v>77</v>
      </c>
      <c r="AS76">
        <v>90</v>
      </c>
      <c r="AT76">
        <v>0.01</v>
      </c>
      <c r="AU76">
        <v>-0.08</v>
      </c>
      <c r="AV76">
        <v>60</v>
      </c>
      <c r="AW76">
        <v>0</v>
      </c>
      <c r="AX76">
        <v>1.1200000000000001</v>
      </c>
      <c r="AY76">
        <v>0</v>
      </c>
    </row>
    <row r="77" spans="1:51" x14ac:dyDescent="0.25">
      <c r="A77">
        <v>56521</v>
      </c>
      <c r="B77" t="s">
        <v>215</v>
      </c>
      <c r="C77">
        <v>3481</v>
      </c>
      <c r="D77" t="s">
        <v>216</v>
      </c>
      <c r="E77">
        <v>9600</v>
      </c>
      <c r="F77" t="s">
        <v>120</v>
      </c>
      <c r="G77">
        <v>81</v>
      </c>
      <c r="H77" t="s">
        <v>129</v>
      </c>
      <c r="I77">
        <v>1</v>
      </c>
      <c r="J77">
        <v>9</v>
      </c>
      <c r="K77">
        <v>1</v>
      </c>
      <c r="L77">
        <v>3</v>
      </c>
      <c r="M77">
        <v>499</v>
      </c>
      <c r="N77">
        <v>499</v>
      </c>
      <c r="O77">
        <v>499</v>
      </c>
      <c r="P77">
        <v>100</v>
      </c>
      <c r="Q77">
        <v>200</v>
      </c>
      <c r="R77">
        <v>200</v>
      </c>
      <c r="S77">
        <v>100</v>
      </c>
      <c r="T77">
        <v>500</v>
      </c>
      <c r="U77">
        <v>1</v>
      </c>
      <c r="V77">
        <v>3</v>
      </c>
      <c r="W77">
        <v>500</v>
      </c>
      <c r="X77">
        <v>1</v>
      </c>
      <c r="Y77">
        <v>1</v>
      </c>
      <c r="Z77" t="s">
        <v>121</v>
      </c>
      <c r="AA77" t="s">
        <v>121</v>
      </c>
      <c r="AB77" t="s">
        <v>121</v>
      </c>
      <c r="AC77" t="s">
        <v>121</v>
      </c>
      <c r="AD77">
        <v>100</v>
      </c>
      <c r="AE77">
        <v>100</v>
      </c>
      <c r="AF77" t="s">
        <v>121</v>
      </c>
      <c r="AG77" t="s">
        <v>120</v>
      </c>
      <c r="AH77" t="s">
        <v>121</v>
      </c>
      <c r="AI77" t="s">
        <v>121</v>
      </c>
      <c r="AJ77">
        <v>0.47</v>
      </c>
      <c r="AK77">
        <v>0.95</v>
      </c>
      <c r="AL77">
        <v>-81</v>
      </c>
      <c r="AM77" s="66">
        <v>81</v>
      </c>
      <c r="AN77">
        <v>0.01</v>
      </c>
      <c r="AO77">
        <v>0.68</v>
      </c>
      <c r="AP77">
        <v>0.1903</v>
      </c>
      <c r="AQ77">
        <v>-0.03</v>
      </c>
      <c r="AR77">
        <v>14</v>
      </c>
      <c r="AS77">
        <v>110</v>
      </c>
      <c r="AT77">
        <v>1</v>
      </c>
      <c r="AU77">
        <v>0.37</v>
      </c>
      <c r="AV77">
        <v>39</v>
      </c>
      <c r="AW77">
        <v>0</v>
      </c>
      <c r="AX77">
        <v>1.25</v>
      </c>
      <c r="AY77" s="67">
        <v>0</v>
      </c>
    </row>
    <row r="78" spans="1:51" x14ac:dyDescent="0.25">
      <c r="A78">
        <v>52855</v>
      </c>
      <c r="B78" t="s">
        <v>217</v>
      </c>
      <c r="C78">
        <v>3481</v>
      </c>
      <c r="D78" t="s">
        <v>216</v>
      </c>
      <c r="E78">
        <v>9600</v>
      </c>
      <c r="F78" t="s">
        <v>120</v>
      </c>
      <c r="G78">
        <v>35.4</v>
      </c>
      <c r="H78" t="s">
        <v>139</v>
      </c>
      <c r="I78">
        <v>10</v>
      </c>
      <c r="J78">
        <v>10</v>
      </c>
      <c r="K78">
        <v>1</v>
      </c>
      <c r="L78">
        <v>3</v>
      </c>
      <c r="M78">
        <v>200</v>
      </c>
      <c r="N78">
        <v>200</v>
      </c>
      <c r="O78">
        <v>200</v>
      </c>
      <c r="P78">
        <v>10</v>
      </c>
      <c r="Q78">
        <v>10</v>
      </c>
      <c r="R78">
        <v>10</v>
      </c>
      <c r="S78">
        <v>100</v>
      </c>
      <c r="T78">
        <v>500</v>
      </c>
      <c r="U78">
        <v>1</v>
      </c>
      <c r="V78">
        <v>5</v>
      </c>
      <c r="W78">
        <v>500</v>
      </c>
      <c r="X78">
        <v>1</v>
      </c>
      <c r="Y78">
        <v>1</v>
      </c>
      <c r="Z78" t="s">
        <v>121</v>
      </c>
      <c r="AA78" t="s">
        <v>121</v>
      </c>
      <c r="AB78" t="s">
        <v>121</v>
      </c>
      <c r="AC78" t="s">
        <v>121</v>
      </c>
      <c r="AD78">
        <v>100</v>
      </c>
      <c r="AE78">
        <v>10</v>
      </c>
      <c r="AF78" t="s">
        <v>121</v>
      </c>
      <c r="AG78" t="s">
        <v>120</v>
      </c>
      <c r="AH78" t="s">
        <v>121</v>
      </c>
      <c r="AI78" t="s">
        <v>54</v>
      </c>
      <c r="AJ78">
        <v>0.37</v>
      </c>
      <c r="AK78">
        <v>0.98</v>
      </c>
      <c r="AL78" s="66">
        <v>0</v>
      </c>
      <c r="AM78" s="66">
        <v>2226</v>
      </c>
      <c r="AN78">
        <v>0.22</v>
      </c>
      <c r="AO78">
        <v>0.28999999999999998</v>
      </c>
      <c r="AP78">
        <v>0.31440000000000001</v>
      </c>
      <c r="AQ78">
        <v>-0.05</v>
      </c>
      <c r="AR78">
        <v>37</v>
      </c>
      <c r="AS78">
        <v>148</v>
      </c>
      <c r="AT78">
        <v>1</v>
      </c>
      <c r="AU78">
        <v>0.38</v>
      </c>
      <c r="AV78">
        <v>39</v>
      </c>
      <c r="AW78">
        <v>0</v>
      </c>
      <c r="AX78">
        <v>0.81</v>
      </c>
      <c r="AY78" s="67">
        <v>0</v>
      </c>
    </row>
    <row r="79" spans="1:51" x14ac:dyDescent="0.25">
      <c r="A79" t="s">
        <v>218</v>
      </c>
      <c r="B79" t="s">
        <v>219</v>
      </c>
      <c r="C79">
        <v>3481</v>
      </c>
      <c r="D79" t="s">
        <v>216</v>
      </c>
      <c r="E79">
        <v>9600</v>
      </c>
      <c r="F79" t="s">
        <v>120</v>
      </c>
      <c r="G79">
        <v>49</v>
      </c>
      <c r="H79" t="s">
        <v>139</v>
      </c>
      <c r="I79">
        <v>9</v>
      </c>
      <c r="J79">
        <v>9</v>
      </c>
      <c r="K79">
        <v>1</v>
      </c>
      <c r="L79">
        <v>3</v>
      </c>
      <c r="M79">
        <v>100</v>
      </c>
      <c r="N79">
        <v>100</v>
      </c>
      <c r="O79">
        <v>100</v>
      </c>
      <c r="P79">
        <v>10</v>
      </c>
      <c r="Q79">
        <v>10</v>
      </c>
      <c r="R79">
        <v>10</v>
      </c>
      <c r="S79">
        <v>100</v>
      </c>
      <c r="T79">
        <v>500</v>
      </c>
      <c r="U79">
        <v>1</v>
      </c>
      <c r="V79">
        <v>5</v>
      </c>
      <c r="W79">
        <v>500</v>
      </c>
      <c r="X79">
        <v>1</v>
      </c>
      <c r="Y79">
        <v>1</v>
      </c>
      <c r="Z79" t="s">
        <v>121</v>
      </c>
      <c r="AA79" t="s">
        <v>121</v>
      </c>
      <c r="AB79" t="s">
        <v>121</v>
      </c>
      <c r="AC79" t="s">
        <v>121</v>
      </c>
      <c r="AD79">
        <v>100</v>
      </c>
      <c r="AE79">
        <v>10</v>
      </c>
      <c r="AF79" t="s">
        <v>121</v>
      </c>
      <c r="AG79" t="s">
        <v>120</v>
      </c>
      <c r="AH79" t="s">
        <v>121</v>
      </c>
      <c r="AI79" t="s">
        <v>54</v>
      </c>
      <c r="AJ79">
        <v>-0.08</v>
      </c>
      <c r="AK79">
        <v>-0.11</v>
      </c>
      <c r="AL79">
        <v>0</v>
      </c>
      <c r="AM79" s="66">
        <v>10</v>
      </c>
      <c r="AN79">
        <v>0</v>
      </c>
      <c r="AO79">
        <v>0.16</v>
      </c>
      <c r="AP79">
        <v>2.2700000000000001E-2</v>
      </c>
      <c r="AQ79">
        <v>-0.28000000000000003</v>
      </c>
      <c r="AR79">
        <v>37</v>
      </c>
      <c r="AS79">
        <v>148</v>
      </c>
      <c r="AT79">
        <v>1</v>
      </c>
      <c r="AU79">
        <v>-0.04</v>
      </c>
      <c r="AV79">
        <v>39</v>
      </c>
      <c r="AW79">
        <v>0</v>
      </c>
      <c r="AX79">
        <v>1.42</v>
      </c>
      <c r="AY79" s="67">
        <v>0</v>
      </c>
    </row>
    <row r="80" spans="1:51" x14ac:dyDescent="0.25">
      <c r="A80">
        <v>57913</v>
      </c>
      <c r="B80" t="s">
        <v>220</v>
      </c>
      <c r="C80">
        <v>3653</v>
      </c>
      <c r="D80" t="s">
        <v>221</v>
      </c>
      <c r="E80">
        <v>9700</v>
      </c>
      <c r="F80" t="s">
        <v>120</v>
      </c>
      <c r="G80">
        <v>56</v>
      </c>
      <c r="H80" t="s">
        <v>129</v>
      </c>
      <c r="I80">
        <v>8</v>
      </c>
      <c r="J80">
        <v>10</v>
      </c>
      <c r="K80">
        <v>1</v>
      </c>
      <c r="L80">
        <v>1</v>
      </c>
      <c r="M80">
        <v>100</v>
      </c>
      <c r="N80">
        <v>100</v>
      </c>
      <c r="O80">
        <v>100</v>
      </c>
      <c r="P80">
        <v>10</v>
      </c>
      <c r="Q80">
        <v>10</v>
      </c>
      <c r="R80">
        <v>10</v>
      </c>
      <c r="S80">
        <v>100</v>
      </c>
      <c r="T80">
        <v>500</v>
      </c>
      <c r="U80">
        <v>1</v>
      </c>
      <c r="V80">
        <v>3</v>
      </c>
      <c r="W80">
        <v>500</v>
      </c>
      <c r="X80">
        <v>1</v>
      </c>
      <c r="Y80">
        <v>1</v>
      </c>
      <c r="Z80" t="s">
        <v>121</v>
      </c>
      <c r="AA80" t="s">
        <v>121</v>
      </c>
      <c r="AB80" t="s">
        <v>121</v>
      </c>
      <c r="AC80" t="s">
        <v>121</v>
      </c>
      <c r="AD80">
        <v>100</v>
      </c>
      <c r="AE80">
        <v>10</v>
      </c>
      <c r="AF80" t="s">
        <v>121</v>
      </c>
      <c r="AG80" t="s">
        <v>120</v>
      </c>
      <c r="AH80" t="s">
        <v>121</v>
      </c>
      <c r="AI80" t="s">
        <v>121</v>
      </c>
      <c r="AJ80">
        <v>2</v>
      </c>
      <c r="AK80">
        <v>3.58</v>
      </c>
      <c r="AL80">
        <v>0</v>
      </c>
      <c r="AM80" s="66">
        <v>10</v>
      </c>
      <c r="AN80">
        <v>0.01</v>
      </c>
      <c r="AO80">
        <v>2.63</v>
      </c>
      <c r="AP80">
        <v>2.0737999999999999</v>
      </c>
      <c r="AQ80">
        <v>0.15</v>
      </c>
      <c r="AR80">
        <v>28</v>
      </c>
      <c r="AS80">
        <v>96</v>
      </c>
      <c r="AT80">
        <v>0.05</v>
      </c>
      <c r="AU80">
        <v>0.83</v>
      </c>
      <c r="AV80">
        <v>47</v>
      </c>
      <c r="AW80">
        <v>0</v>
      </c>
      <c r="AX80">
        <v>0.64</v>
      </c>
      <c r="AY80" s="67">
        <v>0</v>
      </c>
    </row>
    <row r="81" spans="1:51" x14ac:dyDescent="0.25">
      <c r="A81">
        <v>57914</v>
      </c>
      <c r="B81" t="s">
        <v>222</v>
      </c>
      <c r="C81">
        <v>3711</v>
      </c>
      <c r="D81" t="s">
        <v>223</v>
      </c>
      <c r="E81">
        <v>9020</v>
      </c>
      <c r="F81" t="s">
        <v>120</v>
      </c>
      <c r="G81">
        <v>38</v>
      </c>
      <c r="H81" t="s">
        <v>129</v>
      </c>
      <c r="I81">
        <v>5</v>
      </c>
      <c r="J81">
        <v>10</v>
      </c>
      <c r="K81">
        <v>1</v>
      </c>
      <c r="L81">
        <v>3</v>
      </c>
      <c r="M81">
        <v>100</v>
      </c>
      <c r="N81">
        <v>100</v>
      </c>
      <c r="O81">
        <v>100</v>
      </c>
      <c r="P81">
        <v>10</v>
      </c>
      <c r="Q81">
        <v>200</v>
      </c>
      <c r="R81">
        <v>200</v>
      </c>
      <c r="S81">
        <v>100</v>
      </c>
      <c r="T81">
        <v>100</v>
      </c>
      <c r="U81">
        <v>1</v>
      </c>
      <c r="V81">
        <v>3</v>
      </c>
      <c r="W81">
        <v>500</v>
      </c>
      <c r="X81">
        <v>2</v>
      </c>
      <c r="Y81">
        <v>2</v>
      </c>
      <c r="Z81" t="s">
        <v>121</v>
      </c>
      <c r="AA81" t="s">
        <v>121</v>
      </c>
      <c r="AB81" t="s">
        <v>121</v>
      </c>
      <c r="AC81" t="s">
        <v>121</v>
      </c>
      <c r="AD81">
        <v>100</v>
      </c>
      <c r="AE81">
        <v>10</v>
      </c>
      <c r="AF81" t="s">
        <v>120</v>
      </c>
      <c r="AG81" t="s">
        <v>120</v>
      </c>
      <c r="AH81" t="s">
        <v>121</v>
      </c>
      <c r="AI81" t="s">
        <v>121</v>
      </c>
      <c r="AJ81">
        <v>0.43</v>
      </c>
      <c r="AK81">
        <v>0.77</v>
      </c>
      <c r="AL81">
        <v>200</v>
      </c>
      <c r="AM81" s="66">
        <v>199</v>
      </c>
      <c r="AN81">
        <v>0.01</v>
      </c>
      <c r="AO81">
        <v>0.27</v>
      </c>
      <c r="AP81">
        <v>0.20280000000000001</v>
      </c>
      <c r="AQ81">
        <v>-0.26</v>
      </c>
      <c r="AR81">
        <v>70</v>
      </c>
      <c r="AS81">
        <v>96</v>
      </c>
      <c r="AT81">
        <v>0.5</v>
      </c>
      <c r="AU81">
        <v>7.0000000000000007E-2</v>
      </c>
      <c r="AV81">
        <v>36</v>
      </c>
      <c r="AW81">
        <v>0</v>
      </c>
      <c r="AX81">
        <v>0.33</v>
      </c>
      <c r="AY81">
        <v>0</v>
      </c>
    </row>
    <row r="82" spans="1:51" x14ac:dyDescent="0.25">
      <c r="A82">
        <v>57224</v>
      </c>
      <c r="B82" t="s">
        <v>224</v>
      </c>
      <c r="C82">
        <v>4938</v>
      </c>
      <c r="D82" t="s">
        <v>225</v>
      </c>
      <c r="E82">
        <v>9070</v>
      </c>
      <c r="F82" t="s">
        <v>120</v>
      </c>
      <c r="G82">
        <v>41.5</v>
      </c>
      <c r="H82" t="s">
        <v>129</v>
      </c>
      <c r="I82">
        <v>9</v>
      </c>
      <c r="J82">
        <v>9</v>
      </c>
      <c r="K82">
        <v>1</v>
      </c>
      <c r="L82">
        <v>1</v>
      </c>
      <c r="M82">
        <v>499</v>
      </c>
      <c r="N82">
        <v>499</v>
      </c>
      <c r="O82">
        <v>499</v>
      </c>
      <c r="P82">
        <v>10</v>
      </c>
      <c r="Q82">
        <v>10</v>
      </c>
      <c r="R82">
        <v>10</v>
      </c>
      <c r="S82">
        <v>100</v>
      </c>
      <c r="T82">
        <v>500</v>
      </c>
      <c r="U82">
        <v>1</v>
      </c>
      <c r="V82">
        <v>3</v>
      </c>
      <c r="W82">
        <v>500</v>
      </c>
      <c r="X82">
        <v>1</v>
      </c>
      <c r="Y82">
        <v>1</v>
      </c>
      <c r="Z82" t="s">
        <v>121</v>
      </c>
      <c r="AA82" t="s">
        <v>121</v>
      </c>
      <c r="AB82" t="s">
        <v>121</v>
      </c>
      <c r="AC82" t="s">
        <v>121</v>
      </c>
      <c r="AD82">
        <v>100</v>
      </c>
      <c r="AE82">
        <v>10</v>
      </c>
      <c r="AF82" t="s">
        <v>121</v>
      </c>
      <c r="AG82" t="s">
        <v>120</v>
      </c>
      <c r="AH82" t="s">
        <v>121</v>
      </c>
      <c r="AI82" t="s">
        <v>54</v>
      </c>
      <c r="AJ82">
        <v>2.09</v>
      </c>
      <c r="AK82">
        <v>2.13</v>
      </c>
      <c r="AL82">
        <v>0</v>
      </c>
      <c r="AM82" s="66">
        <v>83</v>
      </c>
      <c r="AN82">
        <v>0.01</v>
      </c>
      <c r="AO82">
        <v>1.86</v>
      </c>
      <c r="AP82">
        <v>0.40589999999999998</v>
      </c>
      <c r="AQ82">
        <v>-0.11</v>
      </c>
      <c r="AR82">
        <v>60</v>
      </c>
      <c r="AS82">
        <v>104</v>
      </c>
      <c r="AT82">
        <v>0.64100000000000001</v>
      </c>
      <c r="AU82">
        <v>0.17</v>
      </c>
      <c r="AV82">
        <v>23</v>
      </c>
      <c r="AW82">
        <v>0</v>
      </c>
      <c r="AX82">
        <v>0.14000000000000001</v>
      </c>
      <c r="AY82">
        <v>0</v>
      </c>
    </row>
    <row r="83" spans="1:51" x14ac:dyDescent="0.25">
      <c r="A83">
        <v>57415</v>
      </c>
      <c r="B83" t="s">
        <v>226</v>
      </c>
      <c r="C83">
        <v>4938</v>
      </c>
      <c r="D83" t="s">
        <v>225</v>
      </c>
      <c r="E83">
        <v>9070</v>
      </c>
      <c r="F83" t="s">
        <v>120</v>
      </c>
      <c r="G83">
        <v>42</v>
      </c>
      <c r="H83" t="s">
        <v>129</v>
      </c>
      <c r="I83">
        <v>1</v>
      </c>
      <c r="J83">
        <v>9</v>
      </c>
      <c r="K83">
        <v>1</v>
      </c>
      <c r="L83">
        <v>1</v>
      </c>
      <c r="M83">
        <v>499</v>
      </c>
      <c r="N83">
        <v>499</v>
      </c>
      <c r="O83">
        <v>499</v>
      </c>
      <c r="P83">
        <v>10</v>
      </c>
      <c r="Q83">
        <v>10</v>
      </c>
      <c r="R83">
        <v>10</v>
      </c>
      <c r="S83">
        <v>100</v>
      </c>
      <c r="T83">
        <v>500</v>
      </c>
      <c r="U83">
        <v>1</v>
      </c>
      <c r="V83">
        <v>3</v>
      </c>
      <c r="W83">
        <v>500</v>
      </c>
      <c r="X83">
        <v>1</v>
      </c>
      <c r="Y83">
        <v>1</v>
      </c>
      <c r="Z83" t="s">
        <v>121</v>
      </c>
      <c r="AA83" t="s">
        <v>121</v>
      </c>
      <c r="AB83" t="s">
        <v>121</v>
      </c>
      <c r="AC83" t="s">
        <v>121</v>
      </c>
      <c r="AD83">
        <v>100</v>
      </c>
      <c r="AE83">
        <v>10</v>
      </c>
      <c r="AF83" t="s">
        <v>121</v>
      </c>
      <c r="AG83" t="s">
        <v>120</v>
      </c>
      <c r="AH83" t="s">
        <v>121</v>
      </c>
      <c r="AI83" t="s">
        <v>54</v>
      </c>
      <c r="AJ83">
        <v>1.47</v>
      </c>
      <c r="AK83">
        <v>2.21</v>
      </c>
      <c r="AL83">
        <v>0</v>
      </c>
      <c r="AM83" s="66">
        <v>37</v>
      </c>
      <c r="AN83">
        <v>0</v>
      </c>
      <c r="AO83">
        <v>1.03</v>
      </c>
      <c r="AP83">
        <v>0.26390000000000002</v>
      </c>
      <c r="AQ83">
        <v>-0.02</v>
      </c>
      <c r="AR83">
        <v>23</v>
      </c>
      <c r="AS83">
        <v>102</v>
      </c>
      <c r="AT83">
        <v>0.32100000000000001</v>
      </c>
      <c r="AU83">
        <v>0.36</v>
      </c>
      <c r="AV83">
        <v>18</v>
      </c>
      <c r="AW83">
        <v>0</v>
      </c>
      <c r="AX83">
        <v>0.41</v>
      </c>
      <c r="AY83">
        <v>0</v>
      </c>
    </row>
    <row r="84" spans="1:51" x14ac:dyDescent="0.25">
      <c r="A84">
        <v>709281</v>
      </c>
      <c r="B84" t="s">
        <v>227</v>
      </c>
      <c r="C84">
        <v>5483</v>
      </c>
      <c r="D84" t="s">
        <v>228</v>
      </c>
      <c r="E84">
        <v>9700</v>
      </c>
      <c r="F84" t="s">
        <v>120</v>
      </c>
      <c r="G84">
        <v>48.5</v>
      </c>
      <c r="H84" t="s">
        <v>139</v>
      </c>
      <c r="I84">
        <v>5</v>
      </c>
      <c r="J84">
        <v>10</v>
      </c>
      <c r="K84">
        <v>1</v>
      </c>
      <c r="L84">
        <v>1</v>
      </c>
      <c r="M84">
        <v>499</v>
      </c>
      <c r="N84">
        <v>499</v>
      </c>
      <c r="O84">
        <v>499</v>
      </c>
      <c r="P84">
        <v>50</v>
      </c>
      <c r="Q84">
        <v>50</v>
      </c>
      <c r="R84">
        <v>50</v>
      </c>
      <c r="S84">
        <v>100</v>
      </c>
      <c r="T84">
        <v>500</v>
      </c>
      <c r="U84">
        <v>1</v>
      </c>
      <c r="V84">
        <v>3</v>
      </c>
      <c r="W84">
        <v>500</v>
      </c>
      <c r="X84">
        <v>1</v>
      </c>
      <c r="Y84">
        <v>1</v>
      </c>
      <c r="Z84" t="s">
        <v>121</v>
      </c>
      <c r="AA84" t="s">
        <v>121</v>
      </c>
      <c r="AB84" t="s">
        <v>121</v>
      </c>
      <c r="AC84" t="s">
        <v>121</v>
      </c>
      <c r="AD84">
        <v>100</v>
      </c>
      <c r="AE84">
        <v>10</v>
      </c>
      <c r="AF84" t="s">
        <v>121</v>
      </c>
      <c r="AG84" t="s">
        <v>120</v>
      </c>
      <c r="AH84" t="s">
        <v>121</v>
      </c>
      <c r="AI84" t="s">
        <v>121</v>
      </c>
      <c r="AJ84">
        <v>2.77</v>
      </c>
      <c r="AK84">
        <v>1.04</v>
      </c>
      <c r="AL84">
        <v>0</v>
      </c>
      <c r="AM84" s="66">
        <v>813</v>
      </c>
      <c r="AN84">
        <v>0.08</v>
      </c>
      <c r="AO84">
        <v>0.86</v>
      </c>
      <c r="AP84">
        <v>0.28589999999999999</v>
      </c>
      <c r="AQ84">
        <v>-0.16</v>
      </c>
      <c r="AR84">
        <v>60</v>
      </c>
      <c r="AS84">
        <v>106</v>
      </c>
      <c r="AT84">
        <v>0.2</v>
      </c>
      <c r="AU84">
        <v>0.17</v>
      </c>
      <c r="AV84">
        <v>34</v>
      </c>
      <c r="AW84">
        <v>0</v>
      </c>
      <c r="AX84">
        <v>0.28999999999999998</v>
      </c>
      <c r="AY84" s="67">
        <v>0</v>
      </c>
    </row>
    <row r="85" spans="1:51" x14ac:dyDescent="0.25">
      <c r="A85">
        <v>709949</v>
      </c>
      <c r="B85" t="s">
        <v>307</v>
      </c>
      <c r="C85">
        <v>5483</v>
      </c>
      <c r="D85" t="s">
        <v>228</v>
      </c>
      <c r="E85">
        <v>9700</v>
      </c>
      <c r="F85" t="s">
        <v>120</v>
      </c>
      <c r="G85">
        <v>75</v>
      </c>
      <c r="H85" t="s">
        <v>129</v>
      </c>
      <c r="I85">
        <v>4</v>
      </c>
      <c r="J85">
        <v>9</v>
      </c>
      <c r="K85">
        <v>1</v>
      </c>
      <c r="L85">
        <v>1</v>
      </c>
      <c r="M85">
        <v>499</v>
      </c>
      <c r="N85">
        <v>499</v>
      </c>
      <c r="O85">
        <v>499</v>
      </c>
      <c r="P85">
        <v>50</v>
      </c>
      <c r="Q85">
        <v>50</v>
      </c>
      <c r="R85">
        <v>50</v>
      </c>
      <c r="S85">
        <v>100</v>
      </c>
      <c r="T85">
        <v>500</v>
      </c>
      <c r="U85">
        <v>1</v>
      </c>
      <c r="V85">
        <v>3</v>
      </c>
      <c r="W85">
        <v>500</v>
      </c>
      <c r="X85">
        <v>1</v>
      </c>
      <c r="Y85">
        <v>1</v>
      </c>
      <c r="Z85" t="s">
        <v>121</v>
      </c>
      <c r="AA85" t="s">
        <v>121</v>
      </c>
      <c r="AB85" t="s">
        <v>121</v>
      </c>
      <c r="AC85" t="s">
        <v>121</v>
      </c>
      <c r="AD85">
        <v>100</v>
      </c>
      <c r="AE85">
        <v>50</v>
      </c>
      <c r="AF85" t="s">
        <v>121</v>
      </c>
      <c r="AG85" t="s">
        <v>120</v>
      </c>
      <c r="AH85" t="s">
        <v>121</v>
      </c>
      <c r="AI85" t="s">
        <v>121</v>
      </c>
      <c r="AJ85">
        <v>3.72</v>
      </c>
      <c r="AK85">
        <v>0.62</v>
      </c>
      <c r="AL85" s="66">
        <v>0</v>
      </c>
      <c r="AM85" s="66">
        <v>0</v>
      </c>
      <c r="AN85">
        <v>0</v>
      </c>
      <c r="AO85">
        <v>1.45</v>
      </c>
      <c r="AP85">
        <v>0.12770000000000001</v>
      </c>
      <c r="AQ85">
        <v>-0.19</v>
      </c>
      <c r="AR85">
        <v>43</v>
      </c>
      <c r="AS85">
        <v>84</v>
      </c>
      <c r="AT85">
        <v>0.25</v>
      </c>
      <c r="AU85">
        <v>0.08</v>
      </c>
      <c r="AV85">
        <v>35</v>
      </c>
      <c r="AW85">
        <v>0</v>
      </c>
      <c r="AX85">
        <v>0.27</v>
      </c>
      <c r="AY85" s="67">
        <v>0</v>
      </c>
    </row>
    <row r="86" spans="1:51" x14ac:dyDescent="0.25">
      <c r="A86">
        <v>57684</v>
      </c>
      <c r="B86" t="s">
        <v>230</v>
      </c>
      <c r="C86">
        <v>6213</v>
      </c>
      <c r="D86" t="s">
        <v>229</v>
      </c>
      <c r="E86">
        <v>9070</v>
      </c>
      <c r="F86" t="s">
        <v>120</v>
      </c>
      <c r="G86">
        <v>76</v>
      </c>
      <c r="H86" t="s">
        <v>129</v>
      </c>
      <c r="I86">
        <v>1</v>
      </c>
      <c r="J86">
        <v>9</v>
      </c>
      <c r="K86">
        <v>1</v>
      </c>
      <c r="L86">
        <v>1</v>
      </c>
      <c r="M86">
        <v>499</v>
      </c>
      <c r="N86">
        <v>499</v>
      </c>
      <c r="O86">
        <v>499</v>
      </c>
      <c r="P86">
        <v>100</v>
      </c>
      <c r="Q86">
        <v>100</v>
      </c>
      <c r="R86">
        <v>100</v>
      </c>
      <c r="S86">
        <v>100</v>
      </c>
      <c r="T86">
        <v>500</v>
      </c>
      <c r="U86">
        <v>1</v>
      </c>
      <c r="V86">
        <v>3</v>
      </c>
      <c r="W86">
        <v>500</v>
      </c>
      <c r="X86">
        <v>1</v>
      </c>
      <c r="Y86">
        <v>1</v>
      </c>
      <c r="Z86" t="s">
        <v>121</v>
      </c>
      <c r="AA86" t="s">
        <v>121</v>
      </c>
      <c r="AB86" t="s">
        <v>121</v>
      </c>
      <c r="AC86" t="s">
        <v>121</v>
      </c>
      <c r="AD86">
        <v>100</v>
      </c>
      <c r="AE86">
        <v>100</v>
      </c>
      <c r="AF86" t="s">
        <v>121</v>
      </c>
      <c r="AG86" t="s">
        <v>120</v>
      </c>
      <c r="AH86" t="s">
        <v>121</v>
      </c>
      <c r="AI86" t="s">
        <v>121</v>
      </c>
      <c r="AJ86">
        <v>2.31</v>
      </c>
      <c r="AK86">
        <v>1.66</v>
      </c>
      <c r="AL86" s="66">
        <v>-251</v>
      </c>
      <c r="AM86" s="66">
        <v>332</v>
      </c>
      <c r="AN86">
        <v>0.03</v>
      </c>
      <c r="AO86">
        <v>1.45</v>
      </c>
      <c r="AP86">
        <v>0.7369</v>
      </c>
      <c r="AQ86">
        <v>-0.09</v>
      </c>
      <c r="AR86">
        <v>48</v>
      </c>
      <c r="AS86">
        <v>99</v>
      </c>
      <c r="AT86">
        <v>0.10299999999999999</v>
      </c>
      <c r="AU86">
        <v>0.37</v>
      </c>
      <c r="AV86">
        <v>50</v>
      </c>
      <c r="AW86">
        <v>0</v>
      </c>
      <c r="AX86">
        <v>0.38</v>
      </c>
      <c r="AY86" s="67">
        <v>0</v>
      </c>
    </row>
    <row r="87" spans="1:51" x14ac:dyDescent="0.25">
      <c r="A87">
        <v>59155</v>
      </c>
      <c r="B87" t="s">
        <v>308</v>
      </c>
      <c r="C87">
        <v>6278</v>
      </c>
      <c r="D87" t="s">
        <v>309</v>
      </c>
      <c r="E87">
        <v>9070</v>
      </c>
      <c r="F87" t="s">
        <v>120</v>
      </c>
      <c r="G87">
        <v>82</v>
      </c>
      <c r="H87" t="s">
        <v>129</v>
      </c>
      <c r="I87">
        <v>6</v>
      </c>
      <c r="J87">
        <v>10</v>
      </c>
      <c r="K87">
        <v>1</v>
      </c>
      <c r="L87">
        <v>1</v>
      </c>
      <c r="M87">
        <v>100</v>
      </c>
      <c r="N87">
        <v>150</v>
      </c>
      <c r="O87">
        <v>150</v>
      </c>
      <c r="P87">
        <v>75</v>
      </c>
      <c r="Q87">
        <v>100</v>
      </c>
      <c r="R87">
        <v>100</v>
      </c>
      <c r="S87">
        <v>100</v>
      </c>
      <c r="T87">
        <v>500</v>
      </c>
      <c r="U87">
        <v>1</v>
      </c>
      <c r="V87">
        <v>4</v>
      </c>
      <c r="W87">
        <v>500</v>
      </c>
      <c r="X87">
        <v>1</v>
      </c>
      <c r="Y87">
        <v>1</v>
      </c>
      <c r="Z87" t="s">
        <v>121</v>
      </c>
      <c r="AA87" t="s">
        <v>121</v>
      </c>
      <c r="AB87" t="s">
        <v>121</v>
      </c>
      <c r="AC87" t="s">
        <v>121</v>
      </c>
      <c r="AD87">
        <v>100</v>
      </c>
      <c r="AE87">
        <v>75</v>
      </c>
      <c r="AF87" t="s">
        <v>121</v>
      </c>
      <c r="AG87" t="s">
        <v>120</v>
      </c>
      <c r="AH87" t="s">
        <v>121</v>
      </c>
      <c r="AI87" t="s">
        <v>121</v>
      </c>
      <c r="AJ87">
        <v>4.34</v>
      </c>
      <c r="AK87">
        <v>3.82</v>
      </c>
      <c r="AL87" s="66">
        <v>2</v>
      </c>
      <c r="AM87" s="66">
        <v>22</v>
      </c>
      <c r="AN87">
        <v>0</v>
      </c>
      <c r="AO87">
        <v>4.9400000000000004</v>
      </c>
      <c r="AP87">
        <v>4.0068999999999999</v>
      </c>
      <c r="AQ87">
        <v>0.39</v>
      </c>
      <c r="AR87">
        <v>45</v>
      </c>
      <c r="AS87">
        <v>82</v>
      </c>
      <c r="AT87">
        <v>0.1</v>
      </c>
      <c r="AU87">
        <v>0.92</v>
      </c>
      <c r="AV87">
        <v>61</v>
      </c>
      <c r="AW87">
        <v>0</v>
      </c>
      <c r="AX87">
        <v>0.62</v>
      </c>
      <c r="AY87" s="67">
        <v>0</v>
      </c>
    </row>
    <row r="88" spans="1:51" x14ac:dyDescent="0.25">
      <c r="A88">
        <v>56996</v>
      </c>
      <c r="B88" t="s">
        <v>232</v>
      </c>
      <c r="C88">
        <v>6415</v>
      </c>
      <c r="D88" t="s">
        <v>231</v>
      </c>
      <c r="E88">
        <v>9600</v>
      </c>
      <c r="F88" t="s">
        <v>120</v>
      </c>
      <c r="G88">
        <v>92</v>
      </c>
      <c r="H88" t="s">
        <v>197</v>
      </c>
      <c r="I88">
        <v>5</v>
      </c>
      <c r="J88">
        <v>9</v>
      </c>
      <c r="K88">
        <v>1</v>
      </c>
      <c r="L88">
        <v>3</v>
      </c>
      <c r="M88">
        <v>100</v>
      </c>
      <c r="N88">
        <v>100</v>
      </c>
      <c r="O88">
        <v>100</v>
      </c>
      <c r="P88">
        <v>10</v>
      </c>
      <c r="Q88">
        <v>10</v>
      </c>
      <c r="R88">
        <v>10</v>
      </c>
      <c r="S88">
        <v>100</v>
      </c>
      <c r="T88">
        <v>5</v>
      </c>
      <c r="U88">
        <v>1</v>
      </c>
      <c r="V88">
        <v>3</v>
      </c>
      <c r="W88">
        <v>500</v>
      </c>
      <c r="X88">
        <v>1</v>
      </c>
      <c r="Y88">
        <v>1</v>
      </c>
      <c r="Z88" t="s">
        <v>121</v>
      </c>
      <c r="AA88" t="s">
        <v>121</v>
      </c>
      <c r="AB88" t="s">
        <v>121</v>
      </c>
      <c r="AC88" t="s">
        <v>121</v>
      </c>
      <c r="AD88">
        <v>100</v>
      </c>
      <c r="AE88">
        <v>10</v>
      </c>
      <c r="AF88" t="s">
        <v>120</v>
      </c>
      <c r="AG88" t="s">
        <v>120</v>
      </c>
      <c r="AH88" t="s">
        <v>121</v>
      </c>
      <c r="AI88" t="s">
        <v>54</v>
      </c>
      <c r="AJ88">
        <v>0.76</v>
      </c>
      <c r="AK88">
        <v>0.83</v>
      </c>
      <c r="AL88">
        <v>0</v>
      </c>
      <c r="AM88" s="66">
        <v>0</v>
      </c>
      <c r="AN88">
        <v>0</v>
      </c>
      <c r="AO88">
        <v>6.35</v>
      </c>
      <c r="AP88">
        <v>3.6858</v>
      </c>
      <c r="AQ88">
        <v>0.21</v>
      </c>
      <c r="AR88">
        <v>41</v>
      </c>
      <c r="AS88">
        <v>106</v>
      </c>
      <c r="AT88">
        <v>0.01</v>
      </c>
      <c r="AU88">
        <v>0.79</v>
      </c>
      <c r="AV88">
        <v>70</v>
      </c>
      <c r="AW88">
        <v>0</v>
      </c>
      <c r="AX88">
        <v>2.16</v>
      </c>
      <c r="AY88" s="67">
        <v>0</v>
      </c>
    </row>
    <row r="89" spans="1:51" x14ac:dyDescent="0.25">
      <c r="A89">
        <v>55908</v>
      </c>
      <c r="B89" t="s">
        <v>233</v>
      </c>
      <c r="C89">
        <v>6456</v>
      </c>
      <c r="D89" t="s">
        <v>234</v>
      </c>
      <c r="E89">
        <v>9600</v>
      </c>
      <c r="F89" t="s">
        <v>120</v>
      </c>
      <c r="G89">
        <v>85</v>
      </c>
      <c r="H89" t="s">
        <v>129</v>
      </c>
      <c r="I89">
        <v>7</v>
      </c>
      <c r="J89">
        <v>9</v>
      </c>
      <c r="K89">
        <v>1</v>
      </c>
      <c r="L89">
        <v>1</v>
      </c>
      <c r="M89">
        <v>100</v>
      </c>
      <c r="N89">
        <v>200</v>
      </c>
      <c r="O89">
        <v>200</v>
      </c>
      <c r="P89">
        <v>10</v>
      </c>
      <c r="Q89">
        <v>100</v>
      </c>
      <c r="R89">
        <v>100</v>
      </c>
      <c r="S89">
        <v>100</v>
      </c>
      <c r="T89">
        <v>500</v>
      </c>
      <c r="U89">
        <v>1</v>
      </c>
      <c r="V89">
        <v>3</v>
      </c>
      <c r="W89">
        <v>500</v>
      </c>
      <c r="X89">
        <v>1</v>
      </c>
      <c r="Y89">
        <v>1</v>
      </c>
      <c r="Z89" t="s">
        <v>121</v>
      </c>
      <c r="AA89" t="s">
        <v>121</v>
      </c>
      <c r="AB89" t="s">
        <v>121</v>
      </c>
      <c r="AC89" t="s">
        <v>121</v>
      </c>
      <c r="AD89">
        <v>100</v>
      </c>
      <c r="AE89">
        <v>10</v>
      </c>
      <c r="AF89" t="s">
        <v>121</v>
      </c>
      <c r="AG89" t="s">
        <v>120</v>
      </c>
      <c r="AH89" t="s">
        <v>121</v>
      </c>
      <c r="AI89" t="s">
        <v>121</v>
      </c>
      <c r="AJ89">
        <v>4.8099999999999996</v>
      </c>
      <c r="AK89">
        <v>3.54</v>
      </c>
      <c r="AL89">
        <v>0</v>
      </c>
      <c r="AM89" s="66">
        <v>0</v>
      </c>
      <c r="AN89">
        <v>0</v>
      </c>
      <c r="AO89">
        <v>0.86</v>
      </c>
      <c r="AP89">
        <v>0.90559999999999996</v>
      </c>
      <c r="AQ89">
        <v>0.08</v>
      </c>
      <c r="AR89">
        <v>1</v>
      </c>
      <c r="AS89">
        <v>118</v>
      </c>
      <c r="AT89">
        <v>0.10299999999999999</v>
      </c>
      <c r="AU89">
        <v>0.99</v>
      </c>
      <c r="AV89">
        <v>52</v>
      </c>
      <c r="AW89">
        <v>0</v>
      </c>
      <c r="AX89">
        <v>0</v>
      </c>
      <c r="AY89" s="67">
        <v>0</v>
      </c>
    </row>
    <row r="90" spans="1:51" x14ac:dyDescent="0.25">
      <c r="A90">
        <v>709002</v>
      </c>
      <c r="B90" t="s">
        <v>235</v>
      </c>
      <c r="C90">
        <v>6488</v>
      </c>
      <c r="D90" t="s">
        <v>236</v>
      </c>
      <c r="E90">
        <v>9070</v>
      </c>
      <c r="F90" t="s">
        <v>120</v>
      </c>
      <c r="G90">
        <v>50</v>
      </c>
      <c r="H90" t="s">
        <v>129</v>
      </c>
      <c r="I90">
        <v>1</v>
      </c>
      <c r="J90">
        <v>9</v>
      </c>
      <c r="K90">
        <v>1</v>
      </c>
      <c r="L90">
        <v>1</v>
      </c>
      <c r="M90">
        <v>499</v>
      </c>
      <c r="N90">
        <v>499</v>
      </c>
      <c r="O90">
        <v>499</v>
      </c>
      <c r="P90">
        <v>10</v>
      </c>
      <c r="Q90">
        <v>10</v>
      </c>
      <c r="R90">
        <v>10</v>
      </c>
      <c r="S90">
        <v>100</v>
      </c>
      <c r="T90">
        <v>500</v>
      </c>
      <c r="U90">
        <v>1</v>
      </c>
      <c r="V90">
        <v>3</v>
      </c>
      <c r="W90">
        <v>500</v>
      </c>
      <c r="X90">
        <v>1</v>
      </c>
      <c r="Y90">
        <v>1</v>
      </c>
      <c r="Z90" t="s">
        <v>121</v>
      </c>
      <c r="AA90" t="s">
        <v>121</v>
      </c>
      <c r="AB90" t="s">
        <v>121</v>
      </c>
      <c r="AC90" t="s">
        <v>121</v>
      </c>
      <c r="AD90">
        <v>100</v>
      </c>
      <c r="AE90">
        <v>10</v>
      </c>
      <c r="AF90" t="s">
        <v>121</v>
      </c>
      <c r="AG90" t="s">
        <v>120</v>
      </c>
      <c r="AH90" t="s">
        <v>121</v>
      </c>
      <c r="AI90" t="s">
        <v>121</v>
      </c>
      <c r="AJ90">
        <v>0.28000000000000003</v>
      </c>
      <c r="AK90">
        <v>0.03</v>
      </c>
      <c r="AL90">
        <v>0</v>
      </c>
      <c r="AM90" s="66">
        <v>0</v>
      </c>
      <c r="AN90">
        <v>0</v>
      </c>
      <c r="AO90">
        <v>0.18</v>
      </c>
      <c r="AP90">
        <v>1.4E-3</v>
      </c>
      <c r="AQ90">
        <v>-0.15</v>
      </c>
      <c r="AR90">
        <v>11</v>
      </c>
      <c r="AS90">
        <v>113</v>
      </c>
      <c r="AT90">
        <v>0.08</v>
      </c>
      <c r="AU90">
        <v>0</v>
      </c>
      <c r="AV90">
        <v>27</v>
      </c>
      <c r="AW90">
        <v>0</v>
      </c>
      <c r="AX90">
        <v>0.8</v>
      </c>
      <c r="AY90">
        <v>0</v>
      </c>
    </row>
    <row r="91" spans="1:51" x14ac:dyDescent="0.25">
      <c r="A91">
        <v>57540</v>
      </c>
      <c r="B91" t="s">
        <v>237</v>
      </c>
      <c r="C91">
        <v>6669</v>
      </c>
      <c r="D91" t="s">
        <v>238</v>
      </c>
      <c r="E91">
        <v>9070</v>
      </c>
      <c r="F91" t="s">
        <v>120</v>
      </c>
      <c r="G91">
        <v>52.7</v>
      </c>
      <c r="H91" t="s">
        <v>197</v>
      </c>
      <c r="I91">
        <v>3</v>
      </c>
      <c r="J91">
        <v>10</v>
      </c>
      <c r="K91">
        <v>1</v>
      </c>
      <c r="L91">
        <v>1</v>
      </c>
      <c r="M91">
        <v>499</v>
      </c>
      <c r="N91">
        <v>499</v>
      </c>
      <c r="O91">
        <v>499</v>
      </c>
      <c r="P91">
        <v>50</v>
      </c>
      <c r="Q91">
        <v>50</v>
      </c>
      <c r="R91">
        <v>50</v>
      </c>
      <c r="S91">
        <v>100</v>
      </c>
      <c r="T91">
        <v>500</v>
      </c>
      <c r="U91">
        <v>1</v>
      </c>
      <c r="V91">
        <v>5</v>
      </c>
      <c r="W91">
        <v>500</v>
      </c>
      <c r="X91">
        <v>1</v>
      </c>
      <c r="Y91">
        <v>1</v>
      </c>
      <c r="Z91" t="s">
        <v>121</v>
      </c>
      <c r="AA91" t="s">
        <v>121</v>
      </c>
      <c r="AB91" t="s">
        <v>121</v>
      </c>
      <c r="AC91" t="s">
        <v>121</v>
      </c>
      <c r="AD91">
        <v>100</v>
      </c>
      <c r="AE91">
        <v>50</v>
      </c>
      <c r="AF91" t="s">
        <v>121</v>
      </c>
      <c r="AG91" t="s">
        <v>120</v>
      </c>
      <c r="AH91" t="s">
        <v>121</v>
      </c>
      <c r="AI91" t="s">
        <v>121</v>
      </c>
      <c r="AJ91">
        <v>1.01</v>
      </c>
      <c r="AK91">
        <v>2.4700000000000002</v>
      </c>
      <c r="AL91">
        <v>0</v>
      </c>
      <c r="AM91" s="66">
        <v>735</v>
      </c>
      <c r="AN91">
        <v>7.0000000000000007E-2</v>
      </c>
      <c r="AO91">
        <v>1.22</v>
      </c>
      <c r="AP91">
        <v>1.1774</v>
      </c>
      <c r="AQ91">
        <v>-0.12</v>
      </c>
      <c r="AR91">
        <v>46</v>
      </c>
      <c r="AS91">
        <v>101</v>
      </c>
      <c r="AT91">
        <v>3.1E-2</v>
      </c>
      <c r="AU91">
        <v>0.34</v>
      </c>
      <c r="AV91">
        <v>57</v>
      </c>
      <c r="AW91">
        <v>0</v>
      </c>
      <c r="AX91">
        <v>0.26</v>
      </c>
      <c r="AY91" s="67">
        <v>0</v>
      </c>
    </row>
    <row r="92" spans="1:51" x14ac:dyDescent="0.25">
      <c r="A92">
        <v>709719</v>
      </c>
      <c r="B92" t="s">
        <v>239</v>
      </c>
      <c r="C92">
        <v>8086</v>
      </c>
      <c r="D92" t="s">
        <v>240</v>
      </c>
      <c r="E92">
        <v>9070</v>
      </c>
      <c r="F92" t="s">
        <v>120</v>
      </c>
      <c r="G92">
        <v>80.099999999999994</v>
      </c>
      <c r="H92" t="s">
        <v>129</v>
      </c>
      <c r="I92">
        <v>1</v>
      </c>
      <c r="J92">
        <v>5</v>
      </c>
      <c r="K92">
        <v>1</v>
      </c>
      <c r="L92">
        <v>1</v>
      </c>
      <c r="M92">
        <v>499</v>
      </c>
      <c r="N92">
        <v>499</v>
      </c>
      <c r="O92">
        <v>499</v>
      </c>
      <c r="P92">
        <v>100</v>
      </c>
      <c r="Q92">
        <v>200</v>
      </c>
      <c r="R92">
        <v>200</v>
      </c>
      <c r="S92">
        <v>100</v>
      </c>
      <c r="T92">
        <v>500</v>
      </c>
      <c r="U92">
        <v>1</v>
      </c>
      <c r="V92">
        <v>3</v>
      </c>
      <c r="W92">
        <v>500</v>
      </c>
      <c r="X92">
        <v>1</v>
      </c>
      <c r="Y92">
        <v>1</v>
      </c>
      <c r="Z92" t="s">
        <v>121</v>
      </c>
      <c r="AA92" t="s">
        <v>121</v>
      </c>
      <c r="AB92" t="s">
        <v>121</v>
      </c>
      <c r="AC92" t="s">
        <v>121</v>
      </c>
      <c r="AD92">
        <v>100</v>
      </c>
      <c r="AE92">
        <v>10</v>
      </c>
      <c r="AF92" t="s">
        <v>121</v>
      </c>
      <c r="AG92" t="s">
        <v>120</v>
      </c>
      <c r="AH92" t="s">
        <v>121</v>
      </c>
      <c r="AI92" t="s">
        <v>121</v>
      </c>
      <c r="AJ92">
        <v>0.49</v>
      </c>
      <c r="AK92">
        <v>0.94</v>
      </c>
      <c r="AL92" s="66">
        <v>19</v>
      </c>
      <c r="AM92" s="66">
        <v>34</v>
      </c>
      <c r="AN92">
        <v>0.03</v>
      </c>
      <c r="AO92">
        <v>0.86</v>
      </c>
      <c r="AP92">
        <v>0.2903</v>
      </c>
      <c r="AQ92">
        <v>-0.11</v>
      </c>
      <c r="AR92">
        <v>34</v>
      </c>
      <c r="AS92">
        <v>93</v>
      </c>
      <c r="AT92">
        <v>0.122</v>
      </c>
      <c r="AU92">
        <v>0.27</v>
      </c>
      <c r="AV92">
        <v>45</v>
      </c>
      <c r="AW92">
        <v>0</v>
      </c>
      <c r="AX92">
        <v>0.6</v>
      </c>
      <c r="AY92" s="67">
        <v>0</v>
      </c>
    </row>
    <row r="93" spans="1:51" x14ac:dyDescent="0.25">
      <c r="A93">
        <v>709983</v>
      </c>
      <c r="B93" t="s">
        <v>310</v>
      </c>
      <c r="C93">
        <v>8299</v>
      </c>
      <c r="D93" t="s">
        <v>241</v>
      </c>
      <c r="E93">
        <v>9070</v>
      </c>
      <c r="F93" t="s">
        <v>120</v>
      </c>
      <c r="G93">
        <v>45</v>
      </c>
      <c r="H93" t="s">
        <v>129</v>
      </c>
      <c r="I93">
        <v>9</v>
      </c>
      <c r="J93">
        <v>9</v>
      </c>
      <c r="K93">
        <v>1</v>
      </c>
      <c r="L93">
        <v>1</v>
      </c>
      <c r="M93">
        <v>499</v>
      </c>
      <c r="N93">
        <v>499</v>
      </c>
      <c r="O93">
        <v>499</v>
      </c>
      <c r="P93">
        <v>10</v>
      </c>
      <c r="Q93">
        <v>10</v>
      </c>
      <c r="R93">
        <v>10</v>
      </c>
      <c r="S93">
        <v>100</v>
      </c>
      <c r="T93">
        <v>500</v>
      </c>
      <c r="U93">
        <v>1</v>
      </c>
      <c r="V93">
        <v>3</v>
      </c>
      <c r="W93">
        <v>500</v>
      </c>
      <c r="X93">
        <v>1</v>
      </c>
      <c r="Y93">
        <v>1</v>
      </c>
      <c r="Z93" t="s">
        <v>121</v>
      </c>
      <c r="AA93" t="s">
        <v>121</v>
      </c>
      <c r="AB93" t="s">
        <v>121</v>
      </c>
      <c r="AC93" t="s">
        <v>121</v>
      </c>
      <c r="AD93">
        <v>100</v>
      </c>
      <c r="AE93">
        <v>10</v>
      </c>
      <c r="AF93" t="s">
        <v>121</v>
      </c>
      <c r="AG93" t="s">
        <v>120</v>
      </c>
      <c r="AH93" t="s">
        <v>121</v>
      </c>
      <c r="AI93" t="s">
        <v>54</v>
      </c>
      <c r="AJ93">
        <v>0.75</v>
      </c>
      <c r="AK93">
        <v>1.4</v>
      </c>
      <c r="AL93">
        <v>0</v>
      </c>
      <c r="AM93" s="66">
        <v>1037</v>
      </c>
      <c r="AN93">
        <v>0.1</v>
      </c>
      <c r="AO93">
        <v>1.0900000000000001</v>
      </c>
      <c r="AP93">
        <v>1.0523</v>
      </c>
      <c r="AQ93">
        <v>0.03</v>
      </c>
      <c r="AR93">
        <v>85</v>
      </c>
      <c r="AS93">
        <v>82</v>
      </c>
      <c r="AT93">
        <v>2.5000000000000001E-2</v>
      </c>
      <c r="AU93">
        <v>0.6</v>
      </c>
      <c r="AV93">
        <v>52</v>
      </c>
      <c r="AW93">
        <v>0</v>
      </c>
      <c r="AX93">
        <v>0.57999999999999996</v>
      </c>
      <c r="AY93" s="67">
        <v>0</v>
      </c>
    </row>
    <row r="94" spans="1:51" x14ac:dyDescent="0.25">
      <c r="A94">
        <v>56638</v>
      </c>
      <c r="B94" t="s">
        <v>244</v>
      </c>
      <c r="C94" t="s">
        <v>242</v>
      </c>
      <c r="D94" t="s">
        <v>243</v>
      </c>
      <c r="E94">
        <v>9070</v>
      </c>
      <c r="F94" t="s">
        <v>120</v>
      </c>
      <c r="G94">
        <v>22</v>
      </c>
      <c r="H94" t="s">
        <v>129</v>
      </c>
      <c r="I94">
        <v>1</v>
      </c>
      <c r="J94">
        <v>5</v>
      </c>
      <c r="K94">
        <v>1</v>
      </c>
      <c r="L94">
        <v>1</v>
      </c>
      <c r="M94">
        <v>499</v>
      </c>
      <c r="N94">
        <v>499</v>
      </c>
      <c r="O94">
        <v>499</v>
      </c>
      <c r="P94">
        <v>200</v>
      </c>
      <c r="Q94">
        <v>250</v>
      </c>
      <c r="R94">
        <v>250</v>
      </c>
      <c r="S94">
        <v>100</v>
      </c>
      <c r="T94">
        <v>500</v>
      </c>
      <c r="U94">
        <v>1</v>
      </c>
      <c r="V94">
        <v>50</v>
      </c>
      <c r="W94">
        <v>500</v>
      </c>
      <c r="X94">
        <v>1</v>
      </c>
      <c r="Y94">
        <v>1</v>
      </c>
      <c r="Z94" t="s">
        <v>121</v>
      </c>
      <c r="AA94" t="s">
        <v>121</v>
      </c>
      <c r="AB94" t="s">
        <v>121</v>
      </c>
      <c r="AC94" t="s">
        <v>121</v>
      </c>
      <c r="AD94">
        <v>100</v>
      </c>
      <c r="AE94">
        <v>100</v>
      </c>
      <c r="AF94" t="s">
        <v>121</v>
      </c>
      <c r="AG94" t="s">
        <v>120</v>
      </c>
      <c r="AH94" t="s">
        <v>121</v>
      </c>
      <c r="AI94" t="s">
        <v>121</v>
      </c>
      <c r="AJ94">
        <v>2.06</v>
      </c>
      <c r="AK94">
        <v>0.1</v>
      </c>
      <c r="AL94" s="66">
        <v>-5</v>
      </c>
      <c r="AM94" s="66">
        <v>16</v>
      </c>
      <c r="AN94">
        <v>0</v>
      </c>
      <c r="AO94">
        <v>2.0499999999999998</v>
      </c>
      <c r="AP94">
        <v>1.8888</v>
      </c>
      <c r="AQ94">
        <v>0.02</v>
      </c>
      <c r="AR94">
        <v>15</v>
      </c>
      <c r="AS94">
        <v>109</v>
      </c>
      <c r="AT94">
        <v>7.0000000000000001E-3</v>
      </c>
      <c r="AU94">
        <v>0.61</v>
      </c>
      <c r="AV94">
        <v>17</v>
      </c>
      <c r="AW94">
        <v>0</v>
      </c>
      <c r="AX94">
        <v>0.12</v>
      </c>
      <c r="AY94" s="67">
        <v>0</v>
      </c>
    </row>
    <row r="95" spans="1:51" x14ac:dyDescent="0.25">
      <c r="A95">
        <v>56148</v>
      </c>
      <c r="B95" t="s">
        <v>245</v>
      </c>
      <c r="C95" t="s">
        <v>242</v>
      </c>
      <c r="D95" t="s">
        <v>243</v>
      </c>
      <c r="E95">
        <v>9070</v>
      </c>
      <c r="F95" t="s">
        <v>120</v>
      </c>
      <c r="G95">
        <v>28</v>
      </c>
      <c r="H95" t="s">
        <v>129</v>
      </c>
      <c r="I95">
        <v>1</v>
      </c>
      <c r="J95">
        <v>1</v>
      </c>
      <c r="K95">
        <v>1</v>
      </c>
      <c r="L95">
        <v>1</v>
      </c>
      <c r="M95">
        <v>499</v>
      </c>
      <c r="N95">
        <v>499</v>
      </c>
      <c r="O95">
        <v>499</v>
      </c>
      <c r="P95">
        <v>499</v>
      </c>
      <c r="Q95">
        <v>499</v>
      </c>
      <c r="R95">
        <v>499</v>
      </c>
      <c r="S95">
        <v>100</v>
      </c>
      <c r="T95">
        <v>500</v>
      </c>
      <c r="U95">
        <v>1</v>
      </c>
      <c r="V95">
        <v>50</v>
      </c>
      <c r="W95">
        <v>500</v>
      </c>
      <c r="X95">
        <v>1</v>
      </c>
      <c r="Y95">
        <v>1</v>
      </c>
      <c r="Z95" t="s">
        <v>121</v>
      </c>
      <c r="AA95" t="s">
        <v>121</v>
      </c>
      <c r="AB95" t="s">
        <v>121</v>
      </c>
      <c r="AC95" t="s">
        <v>121</v>
      </c>
      <c r="AD95">
        <v>100</v>
      </c>
      <c r="AE95">
        <v>100</v>
      </c>
      <c r="AF95" t="s">
        <v>121</v>
      </c>
      <c r="AG95" t="s">
        <v>120</v>
      </c>
      <c r="AH95" t="s">
        <v>121</v>
      </c>
      <c r="AI95" t="s">
        <v>121</v>
      </c>
      <c r="AJ95">
        <v>1.1000000000000001</v>
      </c>
      <c r="AK95">
        <v>0.02</v>
      </c>
      <c r="AL95">
        <v>0</v>
      </c>
      <c r="AM95" s="66">
        <v>0</v>
      </c>
      <c r="AN95">
        <v>0</v>
      </c>
      <c r="AO95">
        <v>0.86</v>
      </c>
      <c r="AP95">
        <v>0.1845</v>
      </c>
      <c r="AQ95">
        <v>-0.04</v>
      </c>
      <c r="AR95">
        <v>10</v>
      </c>
      <c r="AS95">
        <v>114</v>
      </c>
      <c r="AT95">
        <v>0.01</v>
      </c>
      <c r="AU95">
        <v>0.1</v>
      </c>
      <c r="AV95">
        <v>17</v>
      </c>
      <c r="AW95">
        <v>0</v>
      </c>
      <c r="AX95">
        <v>0.14000000000000001</v>
      </c>
      <c r="AY95">
        <v>0</v>
      </c>
    </row>
    <row r="96" spans="1:51" x14ac:dyDescent="0.25">
      <c r="A96" t="s">
        <v>246</v>
      </c>
      <c r="B96" t="s">
        <v>247</v>
      </c>
      <c r="C96" t="s">
        <v>242</v>
      </c>
      <c r="D96" t="s">
        <v>243</v>
      </c>
      <c r="E96">
        <v>9070</v>
      </c>
      <c r="F96" t="s">
        <v>120</v>
      </c>
      <c r="G96">
        <v>29.6</v>
      </c>
      <c r="H96" t="s">
        <v>54</v>
      </c>
      <c r="I96">
        <v>1</v>
      </c>
      <c r="J96">
        <v>1</v>
      </c>
      <c r="K96">
        <v>1</v>
      </c>
      <c r="L96">
        <v>1</v>
      </c>
      <c r="M96">
        <v>499</v>
      </c>
      <c r="N96">
        <v>499</v>
      </c>
      <c r="O96">
        <v>499</v>
      </c>
      <c r="P96">
        <v>499</v>
      </c>
      <c r="Q96">
        <v>499</v>
      </c>
      <c r="R96">
        <v>499</v>
      </c>
      <c r="S96">
        <v>100</v>
      </c>
      <c r="T96">
        <v>500</v>
      </c>
      <c r="U96">
        <v>1</v>
      </c>
      <c r="V96">
        <v>50</v>
      </c>
      <c r="W96">
        <v>500</v>
      </c>
      <c r="X96">
        <v>1</v>
      </c>
      <c r="Y96">
        <v>1</v>
      </c>
      <c r="Z96" t="s">
        <v>121</v>
      </c>
      <c r="AA96" t="s">
        <v>121</v>
      </c>
      <c r="AB96" t="s">
        <v>121</v>
      </c>
      <c r="AC96" t="s">
        <v>121</v>
      </c>
      <c r="AD96">
        <v>100</v>
      </c>
      <c r="AE96">
        <v>100</v>
      </c>
      <c r="AF96" t="s">
        <v>121</v>
      </c>
      <c r="AG96" t="s">
        <v>120</v>
      </c>
      <c r="AH96" t="s">
        <v>121</v>
      </c>
      <c r="AI96" t="s">
        <v>121</v>
      </c>
      <c r="AJ96">
        <v>-0.54</v>
      </c>
      <c r="AK96">
        <v>-0.01</v>
      </c>
      <c r="AL96">
        <v>-96</v>
      </c>
      <c r="AM96" s="66">
        <v>431</v>
      </c>
      <c r="AN96">
        <v>0.04</v>
      </c>
      <c r="AO96">
        <v>1.1000000000000001</v>
      </c>
      <c r="AP96">
        <v>0.18779999999999999</v>
      </c>
      <c r="AQ96">
        <v>-0.13</v>
      </c>
      <c r="AR96">
        <v>56</v>
      </c>
      <c r="AS96">
        <v>110</v>
      </c>
      <c r="AT96">
        <v>6.0000000000000001E-3</v>
      </c>
      <c r="AU96">
        <v>-7.0000000000000007E-2</v>
      </c>
      <c r="AV96">
        <v>17</v>
      </c>
      <c r="AW96">
        <v>0</v>
      </c>
      <c r="AX96">
        <v>0.11</v>
      </c>
      <c r="AY96">
        <v>0</v>
      </c>
    </row>
    <row r="97" spans="1:51" x14ac:dyDescent="0.25">
      <c r="A97" t="s">
        <v>248</v>
      </c>
      <c r="B97" t="s">
        <v>249</v>
      </c>
      <c r="C97" t="s">
        <v>242</v>
      </c>
      <c r="D97" t="s">
        <v>243</v>
      </c>
      <c r="E97">
        <v>9070</v>
      </c>
      <c r="F97" t="s">
        <v>120</v>
      </c>
      <c r="G97">
        <v>16.100000000000001</v>
      </c>
      <c r="H97" t="s">
        <v>54</v>
      </c>
      <c r="I97">
        <v>10</v>
      </c>
      <c r="J97">
        <v>10</v>
      </c>
      <c r="K97">
        <v>10</v>
      </c>
      <c r="L97">
        <v>1</v>
      </c>
      <c r="M97">
        <v>499</v>
      </c>
      <c r="N97">
        <v>499</v>
      </c>
      <c r="O97">
        <v>499</v>
      </c>
      <c r="P97">
        <v>10</v>
      </c>
      <c r="Q97">
        <v>10</v>
      </c>
      <c r="R97">
        <v>10</v>
      </c>
      <c r="S97">
        <v>100</v>
      </c>
      <c r="T97">
        <v>500</v>
      </c>
      <c r="U97">
        <v>1</v>
      </c>
      <c r="V97">
        <v>50</v>
      </c>
      <c r="W97">
        <v>500</v>
      </c>
      <c r="X97">
        <v>1</v>
      </c>
      <c r="Y97">
        <v>1</v>
      </c>
      <c r="Z97" t="s">
        <v>121</v>
      </c>
      <c r="AA97" t="s">
        <v>121</v>
      </c>
      <c r="AB97" t="s">
        <v>121</v>
      </c>
      <c r="AC97" t="s">
        <v>121</v>
      </c>
      <c r="AD97">
        <v>100</v>
      </c>
      <c r="AE97">
        <v>10</v>
      </c>
      <c r="AF97" t="s">
        <v>121</v>
      </c>
      <c r="AG97" t="s">
        <v>120</v>
      </c>
      <c r="AH97" t="s">
        <v>120</v>
      </c>
      <c r="AI97" t="s">
        <v>121</v>
      </c>
      <c r="AJ97">
        <v>-0.23</v>
      </c>
      <c r="AK97">
        <v>-0.01</v>
      </c>
      <c r="AL97">
        <v>0</v>
      </c>
      <c r="AM97" s="66">
        <v>6651</v>
      </c>
      <c r="AN97">
        <v>0.44</v>
      </c>
      <c r="AO97">
        <v>0.65</v>
      </c>
      <c r="AP97">
        <v>0.1278</v>
      </c>
      <c r="AQ97">
        <v>-0.1</v>
      </c>
      <c r="AR97">
        <v>30</v>
      </c>
      <c r="AS97">
        <v>94</v>
      </c>
      <c r="AT97">
        <v>0.01</v>
      </c>
      <c r="AU97">
        <v>-0.05</v>
      </c>
      <c r="AV97">
        <v>16</v>
      </c>
      <c r="AW97">
        <v>0</v>
      </c>
      <c r="AX97">
        <v>0.12</v>
      </c>
      <c r="AY97" s="67"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>
    <tabColor theme="6" tint="-0.249977111117893"/>
    <pageSetUpPr fitToPage="1"/>
  </sheetPr>
  <dimension ref="B1:BA65"/>
  <sheetViews>
    <sheetView tabSelected="1" topLeftCell="C1" zoomScale="85" zoomScaleNormal="85" workbookViewId="0">
      <selection activeCell="G32" sqref="G32"/>
    </sheetView>
  </sheetViews>
  <sheetFormatPr defaultRowHeight="16.5" x14ac:dyDescent="0.25"/>
  <cols>
    <col min="1" max="1" width="9.5" bestFit="1" customWidth="1"/>
    <col min="2" max="2" width="20.125" bestFit="1" customWidth="1"/>
    <col min="3" max="3" width="12" customWidth="1"/>
    <col min="4" max="4" width="17.375" customWidth="1"/>
    <col min="5" max="5" width="18.125" customWidth="1"/>
    <col min="6" max="7" width="16.5" customWidth="1"/>
    <col min="8" max="8" width="14.625" bestFit="1" customWidth="1"/>
    <col min="9" max="9" width="15.375" customWidth="1"/>
    <col min="10" max="10" width="17.5" customWidth="1"/>
    <col min="11" max="11" width="16" customWidth="1"/>
    <col min="12" max="12" width="17.875" customWidth="1"/>
    <col min="13" max="13" width="15.875" customWidth="1"/>
    <col min="14" max="14" width="20.875" customWidth="1"/>
    <col min="15" max="15" width="17.75" customWidth="1"/>
    <col min="16" max="16" width="13.875" customWidth="1"/>
    <col min="17" max="17" width="15.25" customWidth="1"/>
    <col min="18" max="18" width="12.875" bestFit="1" customWidth="1"/>
    <col min="19" max="19" width="13.75" bestFit="1" customWidth="1"/>
    <col min="20" max="20" width="19.25" customWidth="1"/>
    <col min="21" max="21" width="9.5" bestFit="1" customWidth="1"/>
    <col min="23" max="23" width="9.5" bestFit="1" customWidth="1"/>
    <col min="24" max="24" width="14.875" customWidth="1"/>
    <col min="32" max="32" width="12.25" customWidth="1"/>
    <col min="33" max="33" width="13" customWidth="1"/>
    <col min="35" max="35" width="10.875" customWidth="1"/>
  </cols>
  <sheetData>
    <row r="1" spans="2:53" ht="18.75" customHeight="1" thickBot="1" x14ac:dyDescent="0.3">
      <c r="D1" s="296" t="s">
        <v>1073</v>
      </c>
      <c r="E1" s="91" t="s">
        <v>1074</v>
      </c>
      <c r="F1" s="91" t="s">
        <v>1077</v>
      </c>
      <c r="G1" s="91" t="s">
        <v>1075</v>
      </c>
      <c r="H1" s="91" t="s">
        <v>1076</v>
      </c>
      <c r="I1" s="104" t="s">
        <v>1084</v>
      </c>
      <c r="J1" s="211" t="s">
        <v>1977</v>
      </c>
      <c r="K1" s="211" t="s">
        <v>2805</v>
      </c>
      <c r="L1" s="211" t="s">
        <v>1978</v>
      </c>
      <c r="M1" s="93" t="s">
        <v>2342</v>
      </c>
      <c r="Q1" s="115" t="s">
        <v>1448</v>
      </c>
      <c r="R1" s="190"/>
      <c r="S1" t="s">
        <v>10</v>
      </c>
      <c r="T1" t="s">
        <v>2804</v>
      </c>
      <c r="AC1" t="s">
        <v>2133</v>
      </c>
      <c r="AD1" t="s">
        <v>127</v>
      </c>
      <c r="AE1">
        <v>9700</v>
      </c>
      <c r="AF1" t="s">
        <v>2797</v>
      </c>
      <c r="AG1" t="s">
        <v>2797</v>
      </c>
      <c r="AH1">
        <v>18</v>
      </c>
      <c r="AI1" t="str">
        <f>LEFT(AF1,LEN(AF1)-2)</f>
        <v>TXO10900</v>
      </c>
      <c r="AJ1" t="str">
        <f>IF(LEFT(RIGHT(AI1,LEN(AI1)-3),1)="0",RIGHT(AI1,LEN(AI1)-4),RIGHT(AI1,LEN(AI1)-3))</f>
        <v>10900</v>
      </c>
      <c r="AK1" t="str">
        <f>IF(MID(AG1,3,1)&lt;&gt;"O",MID(AG1,3,1),LEFT(RIGHT(AG1,2),1))</f>
        <v>H</v>
      </c>
      <c r="AL1">
        <f>IF(ISNUMBER(MATCH(AK1,$AR$2:$AR$13,0)),"WK",IF(ISNA(MATCH(AK1,$AS$2:$AS$13,0)),MATCH(AK1,$AT$2:$AT$13,0),MATCH(AK1,$AS$2:$AS$13,0)))</f>
        <v>8</v>
      </c>
      <c r="AM1" t="str">
        <f>IF(ISNA(VLOOKUP(LEFT(RIGHT(AG1,2),1),$AS$2:$AS$13,1,FALSE)),"Put","Call")</f>
        <v>Call</v>
      </c>
      <c r="AR1" s="186" t="s">
        <v>2142</v>
      </c>
      <c r="AS1" s="186" t="s">
        <v>2143</v>
      </c>
      <c r="AT1" s="186" t="s">
        <v>2144</v>
      </c>
      <c r="BA1" s="275"/>
    </row>
    <row r="2" spans="2:53" ht="18.75" customHeight="1" thickBot="1" x14ac:dyDescent="0.3">
      <c r="D2" s="297"/>
      <c r="E2" s="89">
        <f>N24</f>
        <v>60506476.913377866</v>
      </c>
      <c r="F2" s="89">
        <f>E8+F8</f>
        <v>60319000</v>
      </c>
      <c r="G2" s="89">
        <f>N40</f>
        <v>-2813179.5756339463</v>
      </c>
      <c r="H2" s="90">
        <v>-39730554</v>
      </c>
      <c r="I2" s="90">
        <f>SUM(G8:H8)</f>
        <v>-57162450</v>
      </c>
      <c r="J2" s="212">
        <f>E2+F2+G2+H2+I2</f>
        <v>21119293.337743923</v>
      </c>
      <c r="K2" s="272">
        <f>$J$2/(SUMIF($N$15:$N$24,"&gt;0",$N$15:$N$24)-SUMIF($N$15:$N$24,"&lt;0",$N$15:$N$24))</f>
        <v>8.0766672517004937E-2</v>
      </c>
      <c r="L2" s="212">
        <f ca="1">O24+O40+G44</f>
        <v>-29112367.002979986</v>
      </c>
      <c r="M2" s="92">
        <f ca="1">Q24+Q40+D44</f>
        <v>145588.81704607871</v>
      </c>
      <c r="Q2" s="116">
        <f ca="1">TODAY()</f>
        <v>44027</v>
      </c>
      <c r="R2" s="177"/>
      <c r="S2" t="str">
        <f>[1]!'125070`644'</f>
        <v>台指期一般070</v>
      </c>
      <c r="T2">
        <f>[1]!'125070`205'</f>
        <v>12220</v>
      </c>
      <c r="AC2" s="278" t="s">
        <v>2133</v>
      </c>
      <c r="AD2" s="278" t="s">
        <v>127</v>
      </c>
      <c r="AE2" s="278">
        <v>9700</v>
      </c>
      <c r="AF2" s="278" t="s">
        <v>2798</v>
      </c>
      <c r="AG2" s="278" t="s">
        <v>2798</v>
      </c>
      <c r="AH2" s="278">
        <v>40</v>
      </c>
      <c r="AI2" s="278" t="str">
        <f t="shared" ref="AI2:AI16" si="0">LEFT(AF2,LEN(AF2)-2)</f>
        <v>TXO10900</v>
      </c>
      <c r="AJ2" s="278" t="str">
        <f t="shared" ref="AJ2:AJ16" si="1">IF(LEFT(RIGHT(AI2,LEN(AI2)-3),1)="0",RIGHT(AI2,LEN(AI2)-4),RIGHT(AI2,LEN(AI2)-3))</f>
        <v>10900</v>
      </c>
      <c r="AK2" s="278" t="str">
        <f t="shared" ref="AK2:AK16" si="2">IF(MID(AG2,3,1)&lt;&gt;"O",MID(AG2,3,1),LEFT(RIGHT(AG2,2),1))</f>
        <v>T</v>
      </c>
      <c r="AL2" s="278">
        <f t="shared" ref="AL2:AL16" si="3">IF(ISNUMBER(MATCH(AK2,$AR$2:$AR$13,0)),"WK",IF(ISNA(MATCH(AK2,$AS$2:$AS$13,0)),MATCH(AK2,$AT$2:$AT$13,0),MATCH(AK2,$AS$2:$AS$13,0)))</f>
        <v>8</v>
      </c>
      <c r="AM2" s="278" t="str">
        <f t="shared" ref="AM2:AM16" si="4">IF(ISNA(VLOOKUP(LEFT(RIGHT(AG2,2),1),$AS$2:$AS$13,1,FALSE)),"Put","Call")</f>
        <v>Put</v>
      </c>
      <c r="AR2" s="189" t="s">
        <v>2319</v>
      </c>
      <c r="AS2" s="186" t="s">
        <v>288</v>
      </c>
      <c r="AT2" s="186" t="s">
        <v>197</v>
      </c>
    </row>
    <row r="3" spans="2:53" ht="18.75" customHeight="1" thickBot="1" x14ac:dyDescent="0.3">
      <c r="D3" s="97"/>
      <c r="E3" s="94"/>
      <c r="F3" s="94"/>
      <c r="G3" s="94"/>
      <c r="H3" s="95"/>
      <c r="I3" s="96"/>
      <c r="R3" s="177"/>
      <c r="S3" t="str">
        <f>[1]!'125080`644'</f>
        <v>台指期一般080</v>
      </c>
      <c r="T3">
        <f>[1]!'125080`205'</f>
        <v>12081</v>
      </c>
      <c r="AC3" t="s">
        <v>2133</v>
      </c>
      <c r="AD3" t="s">
        <v>127</v>
      </c>
      <c r="AE3">
        <v>9700</v>
      </c>
      <c r="AF3" t="s">
        <v>2567</v>
      </c>
      <c r="AG3" t="s">
        <v>2567</v>
      </c>
      <c r="AH3">
        <v>25</v>
      </c>
      <c r="AI3" t="str">
        <f t="shared" si="0"/>
        <v>TXO11000</v>
      </c>
      <c r="AJ3" t="str">
        <f t="shared" si="1"/>
        <v>11000</v>
      </c>
      <c r="AK3" t="str">
        <f t="shared" si="2"/>
        <v>L</v>
      </c>
      <c r="AL3">
        <f t="shared" si="3"/>
        <v>12</v>
      </c>
      <c r="AM3" t="str">
        <f t="shared" si="4"/>
        <v>Call</v>
      </c>
      <c r="AR3" s="189" t="s">
        <v>2320</v>
      </c>
      <c r="AS3" s="186" t="s">
        <v>129</v>
      </c>
      <c r="AT3" s="186" t="s">
        <v>121</v>
      </c>
    </row>
    <row r="4" spans="2:53" ht="18.75" customHeight="1" thickBot="1" x14ac:dyDescent="0.3">
      <c r="B4" s="9"/>
      <c r="D4" s="106" t="s">
        <v>1422</v>
      </c>
      <c r="E4" s="106" t="s">
        <v>2586</v>
      </c>
      <c r="F4" s="106" t="s">
        <v>2409</v>
      </c>
      <c r="G4" s="106" t="s">
        <v>2587</v>
      </c>
      <c r="H4" s="107" t="s">
        <v>1574</v>
      </c>
      <c r="Q4" s="177"/>
      <c r="S4" t="str">
        <f>[1]!'125090`644'</f>
        <v>台指期一般090</v>
      </c>
      <c r="T4">
        <f>[1]!'125090`205'</f>
        <v>12038</v>
      </c>
      <c r="AC4" t="s">
        <v>2133</v>
      </c>
      <c r="AD4" t="s">
        <v>127</v>
      </c>
      <c r="AE4">
        <v>9700</v>
      </c>
      <c r="AF4" t="s">
        <v>2568</v>
      </c>
      <c r="AG4" t="s">
        <v>2568</v>
      </c>
      <c r="AH4">
        <v>63</v>
      </c>
      <c r="AI4" t="str">
        <f t="shared" si="0"/>
        <v>TXO11000</v>
      </c>
      <c r="AJ4" t="str">
        <f t="shared" si="1"/>
        <v>11000</v>
      </c>
      <c r="AK4" t="str">
        <f t="shared" si="2"/>
        <v>X</v>
      </c>
      <c r="AL4">
        <f t="shared" si="3"/>
        <v>12</v>
      </c>
      <c r="AM4" t="str">
        <f t="shared" si="4"/>
        <v>Put</v>
      </c>
      <c r="AR4" s="189" t="s">
        <v>2321</v>
      </c>
      <c r="AS4" s="186" t="s">
        <v>1900</v>
      </c>
      <c r="AT4" s="186" t="s">
        <v>2145</v>
      </c>
    </row>
    <row r="5" spans="2:53" ht="18.75" customHeight="1" thickBot="1" x14ac:dyDescent="0.3">
      <c r="D5" s="106" t="s">
        <v>1085</v>
      </c>
      <c r="E5" s="106">
        <f>[1]!'125080`205'</f>
        <v>12081</v>
      </c>
      <c r="F5" s="106">
        <f>[1]!'125090`205'</f>
        <v>12038</v>
      </c>
      <c r="G5" s="106">
        <f>[2]!'0050`205'</f>
        <v>97.05</v>
      </c>
      <c r="H5" s="106">
        <f>[2]!'0050`205'</f>
        <v>97.05</v>
      </c>
      <c r="Q5" s="191"/>
      <c r="S5" t="str">
        <f>[1]!'125120`644'</f>
        <v>台指期一般120</v>
      </c>
      <c r="T5">
        <f>[1]!'125120`205'</f>
        <v>11942</v>
      </c>
      <c r="AC5" t="s">
        <v>2133</v>
      </c>
      <c r="AD5" t="s">
        <v>127</v>
      </c>
      <c r="AE5">
        <v>9700</v>
      </c>
      <c r="AF5" t="s">
        <v>2834</v>
      </c>
      <c r="AG5" t="s">
        <v>2834</v>
      </c>
      <c r="AH5">
        <v>15</v>
      </c>
      <c r="AI5" t="str">
        <f t="shared" si="0"/>
        <v>TXO11200</v>
      </c>
      <c r="AJ5" t="str">
        <f t="shared" si="1"/>
        <v>11200</v>
      </c>
      <c r="AK5" t="str">
        <f t="shared" si="2"/>
        <v>H</v>
      </c>
      <c r="AL5">
        <f t="shared" si="3"/>
        <v>8</v>
      </c>
      <c r="AM5" t="str">
        <f t="shared" si="4"/>
        <v>Call</v>
      </c>
      <c r="AR5" s="189" t="s">
        <v>2318</v>
      </c>
      <c r="AS5" s="186" t="s">
        <v>2146</v>
      </c>
      <c r="AT5" s="186" t="s">
        <v>1901</v>
      </c>
    </row>
    <row r="6" spans="2:53" ht="18.75" customHeight="1" thickBot="1" x14ac:dyDescent="0.3">
      <c r="D6" s="105" t="s">
        <v>312</v>
      </c>
      <c r="E6" s="105">
        <v>15</v>
      </c>
      <c r="F6" s="105">
        <v>10</v>
      </c>
      <c r="G6" s="105">
        <v>-67</v>
      </c>
      <c r="H6" s="105">
        <f>SUMIF(現股部位!$A$2:$A$994,50,現股部位!C2:$C$994)/1000</f>
        <v>81</v>
      </c>
      <c r="L6" s="9"/>
      <c r="M6" s="9"/>
      <c r="O6" s="9"/>
      <c r="S6" t="str">
        <f>[1]!'125031`644'</f>
        <v>台指期一般031</v>
      </c>
      <c r="T6">
        <f>[1]!'125031`205'</f>
        <v>11850</v>
      </c>
      <c r="AC6" s="278" t="s">
        <v>2133</v>
      </c>
      <c r="AD6" s="278" t="s">
        <v>127</v>
      </c>
      <c r="AE6" s="278">
        <v>9700</v>
      </c>
      <c r="AF6" s="278" t="s">
        <v>2808</v>
      </c>
      <c r="AG6" s="278" t="s">
        <v>2808</v>
      </c>
      <c r="AH6" s="278">
        <v>30</v>
      </c>
      <c r="AI6" s="278" t="str">
        <f t="shared" si="0"/>
        <v>TXO11200</v>
      </c>
      <c r="AJ6" s="278" t="str">
        <f t="shared" si="1"/>
        <v>11200</v>
      </c>
      <c r="AK6" s="278" t="str">
        <f t="shared" si="2"/>
        <v>T</v>
      </c>
      <c r="AL6" s="278">
        <f t="shared" si="3"/>
        <v>8</v>
      </c>
      <c r="AM6" s="278" t="str">
        <f t="shared" si="4"/>
        <v>Put</v>
      </c>
      <c r="AR6" s="189" t="s">
        <v>2322</v>
      </c>
      <c r="AS6" s="186" t="s">
        <v>2147</v>
      </c>
      <c r="AT6" s="186" t="s">
        <v>2148</v>
      </c>
    </row>
    <row r="7" spans="2:53" ht="18.75" customHeight="1" thickBot="1" x14ac:dyDescent="0.3">
      <c r="D7" s="105" t="s">
        <v>313</v>
      </c>
      <c r="E7" s="105">
        <v>0</v>
      </c>
      <c r="F7" s="105">
        <v>0</v>
      </c>
      <c r="G7" s="105"/>
      <c r="H7" s="105"/>
      <c r="L7" s="9"/>
      <c r="O7" s="9"/>
      <c r="S7" t="str">
        <f>[1]!'125061`644'</f>
        <v>台指期一般061</v>
      </c>
      <c r="T7">
        <f>[1]!'125061`205'</f>
        <v>11769</v>
      </c>
      <c r="AC7" t="s">
        <v>246</v>
      </c>
      <c r="AD7" t="s">
        <v>242</v>
      </c>
      <c r="AE7">
        <v>9070</v>
      </c>
      <c r="AF7" t="s">
        <v>3041</v>
      </c>
      <c r="AG7" t="s">
        <v>3041</v>
      </c>
      <c r="AH7">
        <v>10</v>
      </c>
      <c r="AI7" t="str">
        <f t="shared" si="0"/>
        <v>TX412050</v>
      </c>
      <c r="AJ7" t="str">
        <f t="shared" si="1"/>
        <v>12050</v>
      </c>
      <c r="AK7" t="str">
        <f t="shared" si="2"/>
        <v>4</v>
      </c>
      <c r="AL7" t="str">
        <f t="shared" si="3"/>
        <v>WK</v>
      </c>
      <c r="AM7" t="str">
        <f t="shared" si="4"/>
        <v>Put</v>
      </c>
      <c r="AR7" s="189" t="s">
        <v>2323</v>
      </c>
      <c r="AS7" s="186" t="s">
        <v>2149</v>
      </c>
      <c r="AT7" s="186" t="s">
        <v>2150</v>
      </c>
    </row>
    <row r="8" spans="2:53" ht="18.75" customHeight="1" thickBot="1" x14ac:dyDescent="0.3">
      <c r="D8" s="105"/>
      <c r="E8" s="108">
        <f>E6*E5*200+E7*E5*50</f>
        <v>36243000</v>
      </c>
      <c r="F8" s="108">
        <f>F6*F5*200+F7*F5*50</f>
        <v>24076000</v>
      </c>
      <c r="G8" s="108">
        <f>G6*10*G5*1000</f>
        <v>-65023500</v>
      </c>
      <c r="H8" s="108">
        <f>H6*H5*1000</f>
        <v>7861050</v>
      </c>
      <c r="L8" s="9"/>
      <c r="M8" s="9"/>
      <c r="W8" s="103"/>
      <c r="AC8" t="s">
        <v>246</v>
      </c>
      <c r="AD8" t="s">
        <v>242</v>
      </c>
      <c r="AE8">
        <v>9070</v>
      </c>
      <c r="AF8" t="s">
        <v>3042</v>
      </c>
      <c r="AG8" t="s">
        <v>3042</v>
      </c>
      <c r="AH8">
        <v>20</v>
      </c>
      <c r="AI8" t="str">
        <f t="shared" si="0"/>
        <v>TX412100</v>
      </c>
      <c r="AJ8" t="str">
        <f t="shared" si="1"/>
        <v>12100</v>
      </c>
      <c r="AK8" t="str">
        <f t="shared" si="2"/>
        <v>4</v>
      </c>
      <c r="AL8" t="str">
        <f t="shared" si="3"/>
        <v>WK</v>
      </c>
      <c r="AM8" t="str">
        <f t="shared" si="4"/>
        <v>Put</v>
      </c>
      <c r="AR8" s="189" t="s">
        <v>2324</v>
      </c>
      <c r="AS8" s="186" t="s">
        <v>2151</v>
      </c>
      <c r="AT8" s="186" t="s">
        <v>2152</v>
      </c>
    </row>
    <row r="9" spans="2:53" ht="18.75" customHeight="1" thickBot="1" x14ac:dyDescent="0.3">
      <c r="D9" s="73"/>
      <c r="E9" s="94"/>
      <c r="F9" s="94"/>
      <c r="G9" s="94"/>
      <c r="H9" s="94"/>
      <c r="I9" s="94"/>
      <c r="J9" s="94"/>
      <c r="K9" s="94"/>
      <c r="L9" s="9"/>
      <c r="M9" s="9"/>
      <c r="U9" s="9"/>
      <c r="X9" s="103"/>
      <c r="AC9" t="s">
        <v>246</v>
      </c>
      <c r="AD9" t="s">
        <v>242</v>
      </c>
      <c r="AE9">
        <v>9070</v>
      </c>
      <c r="AF9" t="s">
        <v>3043</v>
      </c>
      <c r="AG9" t="s">
        <v>3043</v>
      </c>
      <c r="AH9">
        <v>13</v>
      </c>
      <c r="AI9" t="str">
        <f t="shared" si="0"/>
        <v>TX412150</v>
      </c>
      <c r="AJ9" t="str">
        <f t="shared" si="1"/>
        <v>12150</v>
      </c>
      <c r="AK9" t="str">
        <f t="shared" si="2"/>
        <v>4</v>
      </c>
      <c r="AL9" t="str">
        <f t="shared" si="3"/>
        <v>WK</v>
      </c>
      <c r="AM9" t="str">
        <f t="shared" si="4"/>
        <v>Put</v>
      </c>
      <c r="AR9" s="189" t="s">
        <v>2325</v>
      </c>
      <c r="AS9" s="186" t="s">
        <v>2153</v>
      </c>
      <c r="AT9" s="186" t="s">
        <v>2154</v>
      </c>
    </row>
    <row r="10" spans="2:53" ht="18.75" customHeight="1" thickBot="1" x14ac:dyDescent="0.3">
      <c r="D10" s="296" t="s">
        <v>1850</v>
      </c>
      <c r="E10" s="152" t="s">
        <v>1851</v>
      </c>
      <c r="F10" s="152" t="s">
        <v>1852</v>
      </c>
      <c r="G10" s="153" t="s">
        <v>1853</v>
      </c>
      <c r="H10" s="296" t="s">
        <v>1894</v>
      </c>
      <c r="I10" s="152" t="s">
        <v>1851</v>
      </c>
      <c r="J10" s="152" t="s">
        <v>1852</v>
      </c>
      <c r="K10" s="153" t="s">
        <v>1853</v>
      </c>
      <c r="L10" s="9"/>
      <c r="M10" s="9"/>
      <c r="U10" s="9"/>
      <c r="X10" s="103"/>
      <c r="AC10" t="s">
        <v>246</v>
      </c>
      <c r="AD10" t="s">
        <v>242</v>
      </c>
      <c r="AE10">
        <v>9070</v>
      </c>
      <c r="AF10" t="s">
        <v>3044</v>
      </c>
      <c r="AG10" t="s">
        <v>3044</v>
      </c>
      <c r="AH10">
        <v>10</v>
      </c>
      <c r="AI10" t="str">
        <f t="shared" si="0"/>
        <v>TX412200</v>
      </c>
      <c r="AJ10" t="str">
        <f t="shared" si="1"/>
        <v>12200</v>
      </c>
      <c r="AK10" t="str">
        <f t="shared" si="2"/>
        <v>4</v>
      </c>
      <c r="AL10" t="str">
        <f>IF(ISNUMBER(MATCH(AK10,$AR$2:$AR$13,0)),"WK",IF(ISNA(MATCH(AK10,$AS$2:$AS$13,0)),MATCH(AK10,$AT$2:$AT$13,0),MATCH(AK10,$AS$2:$AS$13,0)))</f>
        <v>WK</v>
      </c>
      <c r="AM10" t="str">
        <f t="shared" si="4"/>
        <v>Put</v>
      </c>
      <c r="AR10" s="189" t="s">
        <v>2326</v>
      </c>
      <c r="AS10" s="186" t="s">
        <v>2155</v>
      </c>
      <c r="AT10" s="186" t="s">
        <v>2156</v>
      </c>
    </row>
    <row r="11" spans="2:53" ht="18.75" customHeight="1" thickBot="1" x14ac:dyDescent="0.3">
      <c r="D11" s="297"/>
      <c r="E11" s="154">
        <f ca="1">STDEV(OFFSET(His_Vol!$G$6,0,0,10,1))*SQRT(252)</f>
        <v>0.12397638914163539</v>
      </c>
      <c r="F11" s="154">
        <f ca="1">STDEV(OFFSET(His_Vol!$G$6,0,0,20,1))*SQRT(252)</f>
        <v>0.11481487385281747</v>
      </c>
      <c r="G11" s="161">
        <f ca="1">STDEV(OFFSET(His_Vol!$G$6,0,0,60,1))*SQRT(252)</f>
        <v>0.161818265646513</v>
      </c>
      <c r="H11" s="297"/>
      <c r="I11" s="154">
        <f ca="1">STDEV(OFFSET(His_Vol!$H$6,0,0,10,1))*SQRT(252)</f>
        <v>0.14406978230736533</v>
      </c>
      <c r="J11" s="154">
        <f ca="1">STDEV(OFFSET(His_Vol!$H$6,0,0,20,1))*SQRT(252)</f>
        <v>0.14135650255087984</v>
      </c>
      <c r="K11" s="161">
        <f ca="1">STDEV(OFFSET(His_Vol!$H$6,0,0,60,1))*SQRT(252)</f>
        <v>0.20644798449582477</v>
      </c>
      <c r="L11" s="9"/>
      <c r="M11" s="9"/>
      <c r="U11" s="9"/>
      <c r="X11" s="103"/>
      <c r="AC11" t="s">
        <v>246</v>
      </c>
      <c r="AD11" t="s">
        <v>242</v>
      </c>
      <c r="AE11">
        <v>9070</v>
      </c>
      <c r="AF11" t="s">
        <v>2138</v>
      </c>
      <c r="AG11" t="s">
        <v>2138</v>
      </c>
      <c r="AH11">
        <v>30</v>
      </c>
      <c r="AI11" t="str">
        <f t="shared" si="0"/>
        <v>TXO09400</v>
      </c>
      <c r="AJ11" t="str">
        <f t="shared" si="1"/>
        <v>9400</v>
      </c>
      <c r="AK11" t="str">
        <f t="shared" si="2"/>
        <v>U</v>
      </c>
      <c r="AL11">
        <f t="shared" si="3"/>
        <v>9</v>
      </c>
      <c r="AM11" t="str">
        <f t="shared" si="4"/>
        <v>Put</v>
      </c>
      <c r="AR11" s="189" t="s">
        <v>2327</v>
      </c>
      <c r="AS11" s="186" t="s">
        <v>2157</v>
      </c>
      <c r="AT11" s="186" t="s">
        <v>2158</v>
      </c>
    </row>
    <row r="12" spans="2:53" ht="18.75" customHeight="1" thickBot="1" x14ac:dyDescent="0.3">
      <c r="D12" s="73"/>
      <c r="E12" s="94"/>
      <c r="F12" s="94"/>
      <c r="G12" s="94"/>
      <c r="H12" s="94"/>
      <c r="U12" s="9"/>
      <c r="X12" s="103"/>
      <c r="AC12" t="s">
        <v>246</v>
      </c>
      <c r="AD12" t="s">
        <v>242</v>
      </c>
      <c r="AE12">
        <v>9070</v>
      </c>
      <c r="AF12" t="s">
        <v>2806</v>
      </c>
      <c r="AG12" t="s">
        <v>2806</v>
      </c>
      <c r="AH12">
        <v>-150</v>
      </c>
      <c r="AI12" t="str">
        <f t="shared" si="0"/>
        <v>TXO10700</v>
      </c>
      <c r="AJ12" t="str">
        <f t="shared" si="1"/>
        <v>10700</v>
      </c>
      <c r="AK12" t="str">
        <f t="shared" si="2"/>
        <v>T</v>
      </c>
      <c r="AL12">
        <f t="shared" si="3"/>
        <v>8</v>
      </c>
      <c r="AM12" t="str">
        <f t="shared" si="4"/>
        <v>Put</v>
      </c>
      <c r="AR12" s="189" t="s">
        <v>2328</v>
      </c>
      <c r="AS12" s="186" t="s">
        <v>2159</v>
      </c>
      <c r="AT12" s="186" t="s">
        <v>139</v>
      </c>
    </row>
    <row r="13" spans="2:53" ht="18.75" customHeight="1" thickBot="1" x14ac:dyDescent="0.3">
      <c r="D13" s="111" t="s">
        <v>1423</v>
      </c>
      <c r="M13" s="9"/>
      <c r="N13" s="9"/>
      <c r="O13" s="9"/>
      <c r="P13" s="9"/>
      <c r="U13" s="9"/>
      <c r="X13" s="103"/>
      <c r="AC13" t="s">
        <v>246</v>
      </c>
      <c r="AD13" t="s">
        <v>242</v>
      </c>
      <c r="AE13">
        <v>9070</v>
      </c>
      <c r="AF13" t="s">
        <v>2807</v>
      </c>
      <c r="AG13" t="s">
        <v>2807</v>
      </c>
      <c r="AH13">
        <v>20</v>
      </c>
      <c r="AI13" t="str">
        <f t="shared" si="0"/>
        <v>TXO11100</v>
      </c>
      <c r="AJ13" t="str">
        <f t="shared" si="1"/>
        <v>11100</v>
      </c>
      <c r="AK13" t="str">
        <f t="shared" si="2"/>
        <v>T</v>
      </c>
      <c r="AL13">
        <f t="shared" si="3"/>
        <v>8</v>
      </c>
      <c r="AM13" t="str">
        <f t="shared" si="4"/>
        <v>Put</v>
      </c>
      <c r="AR13" s="189" t="s">
        <v>2329</v>
      </c>
      <c r="AS13" s="186" t="s">
        <v>2160</v>
      </c>
      <c r="AT13" s="186" t="s">
        <v>2161</v>
      </c>
    </row>
    <row r="14" spans="2:53" ht="18.75" customHeight="1" x14ac:dyDescent="0.25">
      <c r="B14" s="9"/>
      <c r="D14" s="86" t="s">
        <v>66</v>
      </c>
      <c r="E14" s="87" t="s">
        <v>67</v>
      </c>
      <c r="F14" s="87" t="s">
        <v>68</v>
      </c>
      <c r="G14" s="87" t="s">
        <v>258</v>
      </c>
      <c r="H14" s="87" t="s">
        <v>311</v>
      </c>
      <c r="I14" s="87" t="s">
        <v>273</v>
      </c>
      <c r="J14" s="87" t="s">
        <v>1086</v>
      </c>
      <c r="K14" s="87" t="s">
        <v>111</v>
      </c>
      <c r="L14" s="87" t="s">
        <v>104</v>
      </c>
      <c r="M14" s="87" t="s">
        <v>72</v>
      </c>
      <c r="N14" s="175" t="s">
        <v>277</v>
      </c>
      <c r="O14" s="175" t="s">
        <v>1573</v>
      </c>
      <c r="P14" s="87" t="s">
        <v>2178</v>
      </c>
      <c r="Q14" s="88" t="s">
        <v>2179</v>
      </c>
      <c r="U14" s="9"/>
      <c r="X14" s="103"/>
      <c r="AC14" t="s">
        <v>246</v>
      </c>
      <c r="AD14" t="s">
        <v>242</v>
      </c>
      <c r="AE14">
        <v>9070</v>
      </c>
      <c r="AF14" t="s">
        <v>2808</v>
      </c>
      <c r="AG14" t="s">
        <v>2808</v>
      </c>
      <c r="AH14">
        <v>57</v>
      </c>
      <c r="AI14" t="str">
        <f t="shared" si="0"/>
        <v>TXO11200</v>
      </c>
      <c r="AJ14" t="str">
        <f t="shared" si="1"/>
        <v>11200</v>
      </c>
      <c r="AK14" t="str">
        <f t="shared" si="2"/>
        <v>T</v>
      </c>
      <c r="AL14">
        <f t="shared" si="3"/>
        <v>8</v>
      </c>
      <c r="AM14" t="str">
        <f t="shared" si="4"/>
        <v>Put</v>
      </c>
    </row>
    <row r="15" spans="2:53" ht="18.75" customHeight="1" x14ac:dyDescent="0.25">
      <c r="D15" s="98">
        <v>56638</v>
      </c>
      <c r="E15" s="81" t="str">
        <f>VLOOKUP(D15,'V3'!$A$2:$B$132,2,FALSE)</f>
        <v>臺股指日盛98購01</v>
      </c>
      <c r="F15" s="81" t="s">
        <v>252</v>
      </c>
      <c r="G15" s="81">
        <v>12127</v>
      </c>
      <c r="H15" s="81">
        <f>VLOOKUP(E15,同業指數!$D$6:$G$2000,3,FALSE)</f>
        <v>12000</v>
      </c>
      <c r="I15" s="99">
        <f>VLOOKUP(E15,同業指數!$D$6:$E$2000,2,FALSE)</f>
        <v>44048</v>
      </c>
      <c r="J15" s="102">
        <f>MATCH(I15,工作日!$B$2:$B$2451,0)-0.999</f>
        <v>15.000999999999999</v>
      </c>
      <c r="K15" s="81">
        <f>VLOOKUP(E15,'V3'!$B$2:$AT$380,45,FALSE)</f>
        <v>7.0000000000000001E-3</v>
      </c>
      <c r="L15" s="81">
        <f>VLOOKUP(D15,'V3'!$A$2:$BB$219,39,FALSE)</f>
        <v>16</v>
      </c>
      <c r="M15" s="81">
        <f>VLOOKUP(D15,'V3'!$A$2:$G$97,7,FALSE)</f>
        <v>22</v>
      </c>
      <c r="N15" s="125">
        <f t="shared" ref="N15:N23" si="5">-GBSGreeks("d",IF(RIGHT(D15,1)="P","P","C"),G15,H15,J15/252,M15/100,0,0)*K15*L15*1000*G15</f>
        <v>-798942.23102089728</v>
      </c>
      <c r="O15" s="125">
        <f t="shared" ref="O15:O18" si="6">-GBSGreeks("g",IF(RIGHT(D15,1)="P","P","C"),G15,H15,J15/252,M15/100,0,0)*G15^2*1%*1000*L15*K15</f>
        <v>-98469.827238987113</v>
      </c>
      <c r="P15" s="187">
        <f t="shared" ref="P15:P18" si="7">(GBSOption(IF(RIGHT(D15,1)="P","P","C"),G15,H15,J15/252,M15/100,0, 0)-GBSOption(IF(RIGHT(D15,1)="P","P","C"),G15,H15,J15/252,M15/100-0.01,0, 0))*K15*1000*L15</f>
        <v>1288.4092423973198</v>
      </c>
      <c r="Q15" s="82">
        <f t="shared" ref="Q15:Q18" si="8">(GBSOption(IF(RIGHT(D15,1)="P","P","C"),G15,H15,J15/252,M15/100,0, 0)-GBSOption(IF(RIGHT(D15,1)="P","P","C"),G15,H15,(J15-1)/252,M15/100,0, 0))*K15*1000*L15</f>
        <v>961.29540685906977</v>
      </c>
      <c r="U15" s="9"/>
      <c r="AC15" t="s">
        <v>246</v>
      </c>
      <c r="AD15" t="s">
        <v>242</v>
      </c>
      <c r="AE15">
        <v>9070</v>
      </c>
      <c r="AF15" t="s">
        <v>2809</v>
      </c>
      <c r="AG15" t="s">
        <v>2809</v>
      </c>
      <c r="AH15">
        <v>100</v>
      </c>
      <c r="AI15" t="str">
        <f t="shared" si="0"/>
        <v>TXO11300</v>
      </c>
      <c r="AJ15" t="str">
        <f t="shared" si="1"/>
        <v>11300</v>
      </c>
      <c r="AK15" t="str">
        <f t="shared" si="2"/>
        <v>T</v>
      </c>
      <c r="AL15">
        <f t="shared" si="3"/>
        <v>8</v>
      </c>
      <c r="AM15" t="str">
        <f t="shared" si="4"/>
        <v>Put</v>
      </c>
    </row>
    <row r="16" spans="2:53" ht="18.75" customHeight="1" x14ac:dyDescent="0.25">
      <c r="D16" s="98" t="s">
        <v>1082</v>
      </c>
      <c r="E16" s="81" t="str">
        <f>VLOOKUP(D16,'V3'!$A$2:$B$132,2,FALSE)</f>
        <v>台灣50日盛98售01</v>
      </c>
      <c r="F16" s="109" t="s">
        <v>1083</v>
      </c>
      <c r="G16" s="81">
        <f>[2]!'0050`268'</f>
        <v>97.1</v>
      </c>
      <c r="H16" s="81">
        <f>VLOOKUP(E16,同業指數!$D$6:$G$2000,3,FALSE)</f>
        <v>88</v>
      </c>
      <c r="I16" s="99">
        <f>VLOOKUP(E16,同業指數!$D$6:$E$2000,2,FALSE)</f>
        <v>44048</v>
      </c>
      <c r="J16" s="102">
        <f>MATCH(I16,工作日!$B$2:$B$2451,0)-0.999</f>
        <v>15.000999999999999</v>
      </c>
      <c r="K16" s="81">
        <f>VLOOKUP(E16,'V3'!$B$2:$AT$380,45,FALSE)</f>
        <v>0.6</v>
      </c>
      <c r="L16" s="81">
        <f>VLOOKUP(D16,'V3'!$A$2:$BB$219,39,FALSE)</f>
        <v>5995</v>
      </c>
      <c r="M16" s="81">
        <f>VLOOKUP(D16,'V3'!$A$2:$G$97,7,FALSE)</f>
        <v>17.8</v>
      </c>
      <c r="N16" s="125">
        <f t="shared" si="5"/>
        <v>3874007.8763031773</v>
      </c>
      <c r="O16" s="125">
        <f t="shared" si="6"/>
        <v>-2343942.77152259</v>
      </c>
      <c r="P16" s="187">
        <f t="shared" si="7"/>
        <v>21316.896849194036</v>
      </c>
      <c r="Q16" s="82">
        <f t="shared" si="8"/>
        <v>13663.825448084035</v>
      </c>
      <c r="U16" s="9"/>
      <c r="AC16" t="s">
        <v>246</v>
      </c>
      <c r="AD16" t="s">
        <v>242</v>
      </c>
      <c r="AE16">
        <v>9070</v>
      </c>
      <c r="AF16" t="s">
        <v>2996</v>
      </c>
      <c r="AG16" t="s">
        <v>2996</v>
      </c>
      <c r="AH16">
        <v>-80</v>
      </c>
      <c r="AI16" t="str">
        <f t="shared" si="0"/>
        <v>TXO11400</v>
      </c>
      <c r="AJ16" t="str">
        <f t="shared" si="1"/>
        <v>11400</v>
      </c>
      <c r="AK16" t="str">
        <f t="shared" si="2"/>
        <v>T</v>
      </c>
      <c r="AL16">
        <f t="shared" si="3"/>
        <v>8</v>
      </c>
      <c r="AM16" t="str">
        <f t="shared" si="4"/>
        <v>Put</v>
      </c>
    </row>
    <row r="17" spans="2:52" ht="18.75" customHeight="1" x14ac:dyDescent="0.25">
      <c r="D17" s="112" t="s">
        <v>253</v>
      </c>
      <c r="E17" s="81" t="str">
        <f>VLOOKUP(D17,'V3'!$A$2:$B$132,2,FALSE)</f>
        <v>臺股指日盛98售02</v>
      </c>
      <c r="F17" s="113" t="s">
        <v>251</v>
      </c>
      <c r="G17" s="81">
        <v>12078</v>
      </c>
      <c r="H17" s="81">
        <f>VLOOKUP(E17,同業指數!$D$6:$G$2000,3,FALSE)</f>
        <v>11000</v>
      </c>
      <c r="I17" s="114">
        <f>VLOOKUP(E17,同業指數!$D$6:$E$2000,2,FALSE)</f>
        <v>44069</v>
      </c>
      <c r="J17" s="102">
        <f>MATCH(I17,工作日!$B$2:$B$2451,0)-0.999</f>
        <v>30.001000000000001</v>
      </c>
      <c r="K17" s="81">
        <f>VLOOKUP(E17,'V3'!$B$2:$AT$380,45,FALSE)</f>
        <v>0.01</v>
      </c>
      <c r="L17" s="81">
        <f>VLOOKUP(D17,'V3'!$A$2:$BB$219,39,FALSE)</f>
        <v>6651</v>
      </c>
      <c r="M17" s="81">
        <f>VLOOKUP(D17,'V3'!$A$2:$G$97,7,FALSE)</f>
        <v>16.100000000000001</v>
      </c>
      <c r="N17" s="125">
        <f t="shared" si="5"/>
        <v>34997367.499503128</v>
      </c>
      <c r="O17" s="125">
        <f t="shared" si="6"/>
        <v>-13353446.965142539</v>
      </c>
      <c r="P17" s="187">
        <f t="shared" si="7"/>
        <v>233421.7455644786</v>
      </c>
      <c r="Q17" s="82">
        <f t="shared" si="8"/>
        <v>67626.247338977613</v>
      </c>
      <c r="U17" s="9"/>
      <c r="AC17" t="s">
        <v>246</v>
      </c>
      <c r="AD17" t="s">
        <v>242</v>
      </c>
      <c r="AE17">
        <v>9070</v>
      </c>
      <c r="AF17" t="s">
        <v>2953</v>
      </c>
      <c r="AG17" t="s">
        <v>2953</v>
      </c>
      <c r="AH17">
        <v>-95</v>
      </c>
      <c r="AI17" t="str">
        <f t="shared" ref="AI17" si="9">LEFT(AF17,LEN(AF17)-2)</f>
        <v>TXO11500</v>
      </c>
      <c r="AJ17" t="str">
        <f t="shared" ref="AJ17" si="10">IF(LEFT(RIGHT(AI17,LEN(AI17)-3),1)="0",RIGHT(AI17,LEN(AI17)-4),RIGHT(AI17,LEN(AI17)-3))</f>
        <v>11500</v>
      </c>
      <c r="AK17" t="str">
        <f t="shared" ref="AK17" si="11">IF(MID(AG17,3,1)&lt;&gt;"O",MID(AG17,3,1),LEFT(RIGHT(AG17,2),1))</f>
        <v>T</v>
      </c>
      <c r="AL17">
        <f t="shared" ref="AL17" si="12">IF(ISNUMBER(MATCH(AK17,$AR$2:$AR$13,0)),"WK",IF(ISNA(MATCH(AK17,$AS$2:$AS$13,0)),MATCH(AK17,$AT$2:$AT$13,0),MATCH(AK17,$AS$2:$AS$13,0)))</f>
        <v>8</v>
      </c>
      <c r="AM17" t="str">
        <f t="shared" ref="AM17" si="13">IF(ISNA(VLOOKUP(LEFT(RIGHT(AG17,2),1),$AS$2:$AS$13,1,FALSE)),"Put","Call")</f>
        <v>Put</v>
      </c>
    </row>
    <row r="18" spans="2:52" ht="18.75" customHeight="1" x14ac:dyDescent="0.25">
      <c r="D18" s="98" t="s">
        <v>1080</v>
      </c>
      <c r="E18" s="81" t="str">
        <f>VLOOKUP(D18,'V3'!$A$2:$B$132,2,FALSE)</f>
        <v>台灣50日盛99售01</v>
      </c>
      <c r="F18" s="109" t="s">
        <v>1083</v>
      </c>
      <c r="G18" s="81">
        <f>[2]!'0050`268'</f>
        <v>97.1</v>
      </c>
      <c r="H18" s="81">
        <f>VLOOKUP(E18,同業指數!$D$6:$G$2000,3,FALSE)</f>
        <v>80</v>
      </c>
      <c r="I18" s="99">
        <f>VLOOKUP(E18,同業指數!$D$6:$E$2000,2,FALSE)</f>
        <v>44089</v>
      </c>
      <c r="J18" s="102">
        <f>MATCH(I18,工作日!$B$2:$B$2451,0)-0.999</f>
        <v>44.000999999999998</v>
      </c>
      <c r="K18" s="81">
        <f>VLOOKUP(E18,'V3'!$B$2:$AT$380,45,FALSE)</f>
        <v>1</v>
      </c>
      <c r="L18" s="81">
        <f>VLOOKUP(D18,'V3'!$A$2:$BB$219,39,FALSE)</f>
        <v>9992</v>
      </c>
      <c r="M18" s="81">
        <f>VLOOKUP(D18,'V3'!$A$2:$G$97,7,FALSE)</f>
        <v>21.2</v>
      </c>
      <c r="N18" s="125">
        <f t="shared" si="5"/>
        <v>12467930.562933732</v>
      </c>
      <c r="O18" s="125">
        <f t="shared" si="6"/>
        <v>-3627179.5541902031</v>
      </c>
      <c r="P18" s="187">
        <f t="shared" si="7"/>
        <v>119181.21316778816</v>
      </c>
      <c r="Q18" s="82">
        <f t="shared" si="8"/>
        <v>31554.684236979738</v>
      </c>
      <c r="U18" s="9"/>
      <c r="AC18" t="s">
        <v>246</v>
      </c>
      <c r="AD18" t="s">
        <v>242</v>
      </c>
      <c r="AE18">
        <v>9070</v>
      </c>
      <c r="AF18" t="s">
        <v>2854</v>
      </c>
      <c r="AG18" t="s">
        <v>2854</v>
      </c>
      <c r="AH18">
        <v>40</v>
      </c>
      <c r="AI18" t="str">
        <f t="shared" ref="AI18:AI19" si="14">LEFT(AF18,LEN(AF18)-2)</f>
        <v>TXO11700</v>
      </c>
      <c r="AJ18" t="str">
        <f t="shared" ref="AJ18:AJ19" si="15">IF(LEFT(RIGHT(AI18,LEN(AI18)-3),1)="0",RIGHT(AI18,LEN(AI18)-4),RIGHT(AI18,LEN(AI18)-3))</f>
        <v>11700</v>
      </c>
      <c r="AK18" t="str">
        <f t="shared" ref="AK18:AK19" si="16">IF(MID(AG18,3,1)&lt;&gt;"O",MID(AG18,3,1),LEFT(RIGHT(AG18,2),1))</f>
        <v>T</v>
      </c>
      <c r="AL18">
        <f t="shared" ref="AL18:AL19" si="17">IF(ISNUMBER(MATCH(AK18,$AR$2:$AR$13,0)),"WK",IF(ISNA(MATCH(AK18,$AS$2:$AS$13,0)),MATCH(AK18,$AT$2:$AT$13,0),MATCH(AK18,$AS$2:$AS$13,0)))</f>
        <v>8</v>
      </c>
      <c r="AM18" t="str">
        <f t="shared" ref="AM18:AM19" si="18">IF(ISNA(VLOOKUP(LEFT(RIGHT(AG18,2),1),$AS$2:$AS$13,1,FALSE)),"Put","Call")</f>
        <v>Put</v>
      </c>
      <c r="AW18" t="s">
        <v>2856</v>
      </c>
      <c r="AX18" t="s">
        <v>2318</v>
      </c>
      <c r="AY18" t="s">
        <v>2330</v>
      </c>
      <c r="AZ18" t="s">
        <v>2144</v>
      </c>
    </row>
    <row r="19" spans="2:52" ht="18.75" customHeight="1" x14ac:dyDescent="0.25">
      <c r="D19" s="98">
        <v>59550</v>
      </c>
      <c r="E19" s="81" t="str">
        <f>VLOOKUP(D19,'V3'!$A$2:$B$132,2,FALSE)</f>
        <v>台灣50日盛99購02</v>
      </c>
      <c r="F19" s="109" t="s">
        <v>1083</v>
      </c>
      <c r="G19" s="81">
        <f>G18</f>
        <v>97.1</v>
      </c>
      <c r="H19" s="81">
        <f>VLOOKUP(E19,同業指數!$D$6:$G$2000,3,FALSE)</f>
        <v>70</v>
      </c>
      <c r="I19" s="99">
        <f>VLOOKUP(E19,同業指數!$D$6:$E$2000,2,FALSE)</f>
        <v>44097</v>
      </c>
      <c r="J19" s="102">
        <f>MATCH(I19,工作日!$B$2:$B$2451,0)-0.999</f>
        <v>50.000999999999998</v>
      </c>
      <c r="K19" s="81">
        <f>VLOOKUP(E19,'V3'!$B$2:$AT$380,45,FALSE)</f>
        <v>0.5</v>
      </c>
      <c r="L19" s="81">
        <f>VLOOKUP(D19,'V3'!$A$2:$BB$219,39,FALSE)</f>
        <v>0</v>
      </c>
      <c r="M19" s="81">
        <f>VLOOKUP(D19,'V3'!$A$2:$G$97,7,FALSE)</f>
        <v>33.5</v>
      </c>
      <c r="N19" s="125">
        <f t="shared" si="5"/>
        <v>0</v>
      </c>
      <c r="O19" s="125">
        <f>-GBSGreeks("g",IF(RIGHT(D19,1)="P","P","C"),G19,H19,J19/252,M19/100,0,0)*G19^2*1%*1000*L19*K19</f>
        <v>0</v>
      </c>
      <c r="P19" s="187">
        <f>(GBSOption(IF(RIGHT(D19,1)="P","P","C"),G19,H19,J19/252,M19/100,0, 0)-GBSOption(IF(RIGHT(D19,1)="P","P","C"),G19,H19,J19/252,M19/100-0.01,0, 0))*K19*1000*L19</f>
        <v>0</v>
      </c>
      <c r="Q19" s="82">
        <f>(GBSOption(IF(RIGHT(D19,1)="P","P","C"),G19,H19,J19/252,M19/100,0, 0)-GBSOption(IF(RIGHT(D19,1)="P","P","C"),G19,H19,(J19-1)/252,M19/100,0, 0))*K19*1000*L19</f>
        <v>0</v>
      </c>
      <c r="U19" s="9"/>
      <c r="AC19" t="s">
        <v>246</v>
      </c>
      <c r="AD19" t="s">
        <v>242</v>
      </c>
      <c r="AE19">
        <v>9070</v>
      </c>
      <c r="AF19" t="s">
        <v>2855</v>
      </c>
      <c r="AG19" t="s">
        <v>2855</v>
      </c>
      <c r="AH19">
        <v>60</v>
      </c>
      <c r="AI19" t="str">
        <f t="shared" si="14"/>
        <v>TXO11800</v>
      </c>
      <c r="AJ19" t="str">
        <f t="shared" si="15"/>
        <v>11800</v>
      </c>
      <c r="AK19" t="str">
        <f t="shared" si="16"/>
        <v>T</v>
      </c>
      <c r="AL19">
        <f t="shared" si="17"/>
        <v>8</v>
      </c>
      <c r="AM19" t="str">
        <f t="shared" si="18"/>
        <v>Put</v>
      </c>
      <c r="AW19" t="s">
        <v>2963</v>
      </c>
      <c r="AX19" t="s">
        <v>2318</v>
      </c>
      <c r="AY19" t="s">
        <v>2330</v>
      </c>
      <c r="AZ19" t="s">
        <v>2144</v>
      </c>
    </row>
    <row r="20" spans="2:52" ht="18.75" customHeight="1" x14ac:dyDescent="0.25">
      <c r="D20" s="80" t="s">
        <v>2049</v>
      </c>
      <c r="E20" s="81" t="str">
        <f>VLOOKUP(D20,'V3'!$A$2:$B$132,2,FALSE)</f>
        <v>臺股指日盛9A售01</v>
      </c>
      <c r="F20" s="81" t="s">
        <v>251</v>
      </c>
      <c r="G20" s="81">
        <v>12019</v>
      </c>
      <c r="H20" s="81">
        <f>VLOOKUP(E20,同業指數!$D$6:$G$2000,3,FALSE)</f>
        <v>10700</v>
      </c>
      <c r="I20" s="99">
        <f>VLOOKUP(E20,同業指數!$D$6:$E$2000,2,FALSE)</f>
        <v>44109</v>
      </c>
      <c r="J20" s="102">
        <f>MATCH(I20,工作日!$B$2:$B$2451,0)-0.999</f>
        <v>56.000999999999998</v>
      </c>
      <c r="K20" s="81">
        <f>VLOOKUP(E20,'V3'!$B$2:$AT$380,45,FALSE)</f>
        <v>6.0000000000000001E-3</v>
      </c>
      <c r="L20" s="81">
        <f>VLOOKUP(D20,'V3'!$A$2:$BB$219,39,FALSE)</f>
        <v>431</v>
      </c>
      <c r="M20" s="81">
        <f>VLOOKUP(D20,'V3'!$A$2:$G$97,7,FALSE)</f>
        <v>29.6</v>
      </c>
      <c r="N20" s="125">
        <f t="shared" si="5"/>
        <v>5697215.7644734988</v>
      </c>
      <c r="O20" s="125">
        <f>-GBSGreeks("g",IF(RIGHT(D20,1)="P","P","C"),G20,H20,J20/252,M20/100,0,0)*G20^2*1%*1000*L20*K20</f>
        <v>-591172.92918029381</v>
      </c>
      <c r="P20" s="187">
        <f>(GBSOption(IF(RIGHT(D20,1)="P","P","C"),G20,H20,J20/252,M20/100,0, 0)-GBSOption(IF(RIGHT(D20,1)="P","P","C"),G20,H20,J20/252,M20/100-0.01,0, 0))*K20*1000*L20</f>
        <v>38428.253864025355</v>
      </c>
      <c r="Q20" s="82">
        <f>(GBSOption(IF(RIGHT(D20,1)="P","P","C"),G20,H20,J20/252,M20/100,0, 0)-GBSOption(IF(RIGHT(D20,1)="P","P","C"),G20,H20,(J20-1)/252,M20/100,0, 0))*K20*1000*L20</f>
        <v>10292.590203909715</v>
      </c>
      <c r="AC20" t="s">
        <v>246</v>
      </c>
      <c r="AD20" t="s">
        <v>242</v>
      </c>
      <c r="AE20">
        <v>9070</v>
      </c>
      <c r="AF20" t="s">
        <v>3025</v>
      </c>
      <c r="AG20" t="s">
        <v>3025</v>
      </c>
      <c r="AH20">
        <v>27</v>
      </c>
      <c r="AI20" t="str">
        <f t="shared" ref="AI20:AI21" si="19">LEFT(AF20,LEN(AF20)-2)</f>
        <v>TXO11900</v>
      </c>
      <c r="AJ20" t="str">
        <f t="shared" ref="AJ20:AJ21" si="20">IF(LEFT(RIGHT(AI20,LEN(AI20)-3),1)="0",RIGHT(AI20,LEN(AI20)-4),RIGHT(AI20,LEN(AI20)-3))</f>
        <v>11900</v>
      </c>
      <c r="AK20" t="str">
        <f t="shared" ref="AK20:AK21" si="21">IF(MID(AG20,3,1)&lt;&gt;"O",MID(AG20,3,1),LEFT(RIGHT(AG20,2),1))</f>
        <v>T</v>
      </c>
      <c r="AL20">
        <f t="shared" ref="AL20:AL21" si="22">IF(ISNUMBER(MATCH(AK20,$AR$2:$AR$13,0)),"WK",IF(ISNA(MATCH(AK20,$AS$2:$AS$13,0)),MATCH(AK20,$AT$2:$AT$13,0),MATCH(AK20,$AS$2:$AS$13,0)))</f>
        <v>8</v>
      </c>
      <c r="AM20" t="str">
        <f t="shared" ref="AM20:AM21" si="23">IF(ISNA(VLOOKUP(LEFT(RIGHT(AG20,2),1),$AS$2:$AS$13,1,FALSE)),"Put","Call")</f>
        <v>Put</v>
      </c>
      <c r="AW20" t="s">
        <v>2964</v>
      </c>
      <c r="AX20" t="s">
        <v>2318</v>
      </c>
      <c r="AY20" t="s">
        <v>2330</v>
      </c>
      <c r="AZ20" t="s">
        <v>2144</v>
      </c>
    </row>
    <row r="21" spans="2:52" ht="18.75" customHeight="1" x14ac:dyDescent="0.25">
      <c r="D21" s="98" t="s">
        <v>1081</v>
      </c>
      <c r="E21" s="81" t="str">
        <f>VLOOKUP(D21,'V3'!$A$2:$B$132,2,FALSE)</f>
        <v>台灣50日盛9A售01</v>
      </c>
      <c r="F21" s="109" t="s">
        <v>1083</v>
      </c>
      <c r="G21" s="81">
        <f>[2]!'0050`268'</f>
        <v>97.1</v>
      </c>
      <c r="H21" s="81">
        <f>VLOOKUP(E21,同業指數!$D$6:$G$2000,3,FALSE)</f>
        <v>90</v>
      </c>
      <c r="I21" s="99">
        <f>VLOOKUP(E21,同業指數!$D$6:$E$2000,2,FALSE)</f>
        <v>44123</v>
      </c>
      <c r="J21" s="102">
        <f>MATCH(I21,工作日!$B$2:$B$2451,0)-0.999</f>
        <v>65.001000000000005</v>
      </c>
      <c r="K21" s="81">
        <f>VLOOKUP(E21,'V3'!$B$2:$AT$380,45,FALSE)</f>
        <v>0.4</v>
      </c>
      <c r="L21" s="81">
        <f>VLOOKUP(D21,'V3'!$A$2:$BB$219,39,FALSE)</f>
        <v>3130</v>
      </c>
      <c r="M21" s="81">
        <f>VLOOKUP(D21,'V3'!$A$2:$G$97,7,FALSE)</f>
        <v>21</v>
      </c>
      <c r="N21" s="125">
        <f t="shared" si="5"/>
        <v>26995654.354723841</v>
      </c>
      <c r="O21" s="125">
        <f>-GBSGreeks("g",IF(RIGHT(D21,1)="P","P","C"),G21,H21,J21/252,M21/100,0,0)*G21^2*1%*1000*L21*K21</f>
        <v>-3393012.0225740671</v>
      </c>
      <c r="P21" s="187">
        <f>(GBSOption(IF(RIGHT(D21,1)="P","P","C"),G21,H21,J21/252,M21/100,0, 0)-GBSOption(IF(RIGHT(D21,1)="P","P","C"),G21,H21,J21/252,M21/100-0.01,0, 0))*K21*1000*L21</f>
        <v>181465.21284789528</v>
      </c>
      <c r="Q21" s="82">
        <f>(GBSOption(IF(RIGHT(D21,1)="P","P","C"),G21,H21,J21/252,M21/100,0, 0)-GBSOption(IF(RIGHT(D21,1)="P","P","C"),G21,H21,(J21-1)/252,M21/100,0, 0))*K21*1000*L21</f>
        <v>29739.711133724108</v>
      </c>
      <c r="AC21" t="s">
        <v>246</v>
      </c>
      <c r="AD21" t="s">
        <v>242</v>
      </c>
      <c r="AE21">
        <v>9070</v>
      </c>
      <c r="AF21" t="s">
        <v>3012</v>
      </c>
      <c r="AG21" t="s">
        <v>3012</v>
      </c>
      <c r="AH21">
        <v>50</v>
      </c>
      <c r="AI21" t="str">
        <f t="shared" si="19"/>
        <v>TXO12000</v>
      </c>
      <c r="AJ21" t="str">
        <f t="shared" si="20"/>
        <v>12000</v>
      </c>
      <c r="AK21" t="str">
        <f t="shared" si="21"/>
        <v>T</v>
      </c>
      <c r="AL21">
        <f t="shared" si="22"/>
        <v>8</v>
      </c>
      <c r="AM21" t="str">
        <f t="shared" si="23"/>
        <v>Put</v>
      </c>
      <c r="AW21" t="s">
        <v>3146</v>
      </c>
      <c r="AX21" t="s">
        <v>2318</v>
      </c>
      <c r="AY21" t="s">
        <v>2330</v>
      </c>
      <c r="AZ21" t="s">
        <v>2144</v>
      </c>
    </row>
    <row r="22" spans="2:52" ht="18.75" customHeight="1" x14ac:dyDescent="0.25">
      <c r="B22" s="9"/>
      <c r="C22" s="9"/>
      <c r="D22" s="127">
        <v>58470</v>
      </c>
      <c r="E22" s="81" t="str">
        <f>VLOOKUP(D22,'V3'!$A$2:$B$132,2,FALSE)</f>
        <v>台灣50日盛9B購02</v>
      </c>
      <c r="F22" s="128" t="s">
        <v>1083</v>
      </c>
      <c r="G22" s="123">
        <f>[2]!'0050`205'</f>
        <v>97.05</v>
      </c>
      <c r="H22" s="81">
        <f>VLOOKUP(E22,同業指數!$D$6:$G$2000,3,FALSE)</f>
        <v>92</v>
      </c>
      <c r="I22" s="99">
        <f>VLOOKUP(E22,同業指數!$D$6:$E$2000,2,FALSE)</f>
        <v>44140</v>
      </c>
      <c r="J22" s="102">
        <f>MATCH(I22,工作日!$B$2:$B$2451,0)-0.999</f>
        <v>78.001000000000005</v>
      </c>
      <c r="K22" s="81">
        <f>VLOOKUP(E22,'V3'!$B$2:$AT$380,45,FALSE)</f>
        <v>0.25</v>
      </c>
      <c r="L22" s="81">
        <f>VLOOKUP(D22,'V3'!$A$2:$BB$219,39,FALSE)</f>
        <v>3993</v>
      </c>
      <c r="M22" s="81">
        <f>VLOOKUP(D22,'V3'!$A$2:$G$97,7,FALSE)</f>
        <v>18.399999999999999</v>
      </c>
      <c r="N22" s="125">
        <f t="shared" si="5"/>
        <v>-69437204.51201956</v>
      </c>
      <c r="O22" s="125">
        <f>-GBSGreeks("g",IF(RIGHT(D22,1)="P","P","C"),G22,H22,J22/252,M22/100,0,0)*G22^2*1%*1000*L22*K22</f>
        <v>-3203558.7821611124</v>
      </c>
      <c r="P22" s="187">
        <f>(GBSOption(IF(RIGHT(D22,1)="P","P","C"),G22,H22,J22/252,M22/100,0, 0)-GBSOption(IF(RIGHT(D22,1)="P","P","C"),G22,H22,J22/252,M22/100-0.01,0, 0))*K22*1000*L22</f>
        <v>180949.2239847545</v>
      </c>
      <c r="Q22" s="82">
        <f>(GBSOption(IF(RIGHT(D22,1)="P","P","C"),G22,H22,J22/252,M22/100,0, 0)-GBSOption(IF(RIGHT(D22,1)="P","P","C"),G22,H22,(J22-1)/252,M22/100,0, 0))*K22*1000*L22</f>
        <v>21558.802427398608</v>
      </c>
    </row>
    <row r="23" spans="2:52" ht="18.75" customHeight="1" x14ac:dyDescent="0.25">
      <c r="C23" s="9"/>
      <c r="D23" s="127" t="s">
        <v>1079</v>
      </c>
      <c r="E23" s="81" t="str">
        <f>VLOOKUP(D23,'V3'!$A$2:$B$132,2,FALSE)</f>
        <v>台灣50日盛9B售01</v>
      </c>
      <c r="F23" s="128" t="s">
        <v>1083</v>
      </c>
      <c r="G23" s="123">
        <f>[2]!'0050`268'</f>
        <v>97.1</v>
      </c>
      <c r="H23" s="81">
        <f>VLOOKUP(E23,同業指數!$D$6:$G$2000,3,FALSE)</f>
        <v>96</v>
      </c>
      <c r="I23" s="99">
        <f>VLOOKUP(E23,同業指數!$D$6:$E$2000,2,FALSE)</f>
        <v>44159</v>
      </c>
      <c r="J23" s="102">
        <f>MATCH(I23,工作日!$B$2:$B$2451,0)-0.999</f>
        <v>91.001000000000005</v>
      </c>
      <c r="K23" s="81">
        <f>VLOOKUP(E23,'V3'!$B$2:$AT$380,45,FALSE)</f>
        <v>0.12</v>
      </c>
      <c r="L23" s="81">
        <f>VLOOKUP(D23,'V3'!$A$2:$BB$219,39,FALSE)</f>
        <v>9112</v>
      </c>
      <c r="M23" s="81">
        <f>VLOOKUP(D23,'V3'!$A$2:$G$97,7,FALSE)</f>
        <v>24.1</v>
      </c>
      <c r="N23" s="125">
        <f t="shared" si="5"/>
        <v>46710447.59848094</v>
      </c>
      <c r="O23" s="125">
        <f>-GBSGreeks("g",IF(RIGHT(D23,1)="P","P","C"),G23,H23,J23/252,M23/100,0,0)*G23^2*1%*1000*L23*K23</f>
        <v>-2891531.3080084422</v>
      </c>
      <c r="P23" s="187">
        <f>(GBSOption(IF(RIGHT(D23,1)="P","P","C"),G23,H23,J23/252,M23/100,0, 0)-GBSOption(IF(RIGHT(D23,1)="P","P","C"),G23,H23,J23/252,M23/100-0.01,0, 0))*K23*1000*L23</f>
        <v>251778.77291845463</v>
      </c>
      <c r="Q23" s="82">
        <f>(GBSOption(IF(RIGHT(D23,1)="P","P","C"),G23,H23,J23/252,M23/100,0, 0)-GBSOption(IF(RIGHT(D23,1)="P","P","C"),G23,H23,(J23-1)/252,M23/100,0, 0))*K23*1000*L23</f>
        <v>33432.78385314162</v>
      </c>
    </row>
    <row r="24" spans="2:52" ht="18.75" customHeight="1" x14ac:dyDescent="0.25">
      <c r="D24" s="282" t="s">
        <v>1078</v>
      </c>
      <c r="E24" s="283"/>
      <c r="F24" s="283"/>
      <c r="G24" s="283"/>
      <c r="H24" s="283"/>
      <c r="I24" s="283"/>
      <c r="J24" s="283"/>
      <c r="K24" s="283"/>
      <c r="L24" s="283"/>
      <c r="M24" s="283"/>
      <c r="N24" s="284">
        <f>SUM(N15:N23)</f>
        <v>60506476.913377866</v>
      </c>
      <c r="O24" s="284">
        <f>SUM(O15:O23)</f>
        <v>-29502314.160018235</v>
      </c>
      <c r="P24" s="285">
        <f>SUM(P15:P23)</f>
        <v>1027829.7284389879</v>
      </c>
      <c r="Q24" s="286">
        <f>SUM(Q15:Q23)</f>
        <v>208829.9400490745</v>
      </c>
    </row>
    <row r="25" spans="2:52" ht="18.75" customHeight="1" x14ac:dyDescent="0.25">
      <c r="D25" s="127"/>
      <c r="E25" s="81"/>
      <c r="F25" s="128"/>
      <c r="G25" s="123"/>
      <c r="H25" s="81"/>
      <c r="I25" s="99"/>
      <c r="J25" s="102"/>
      <c r="K25" s="81"/>
      <c r="L25" s="81"/>
      <c r="M25" s="81"/>
      <c r="N25" s="125"/>
      <c r="O25" s="125"/>
      <c r="P25" s="187"/>
      <c r="Q25" s="82"/>
    </row>
    <row r="26" spans="2:52" ht="18.75" customHeight="1" x14ac:dyDescent="0.25">
      <c r="D26" s="127"/>
      <c r="E26" s="81"/>
      <c r="F26" s="128"/>
      <c r="G26" s="123"/>
      <c r="H26" s="81"/>
      <c r="I26" s="99"/>
      <c r="J26" s="102"/>
      <c r="K26" s="81"/>
      <c r="L26" s="81"/>
      <c r="M26" s="81"/>
      <c r="N26" s="125"/>
      <c r="O26" s="125"/>
      <c r="P26" s="187"/>
      <c r="Q26" s="82"/>
    </row>
    <row r="27" spans="2:52" ht="18.75" customHeight="1" x14ac:dyDescent="0.25">
      <c r="D27" s="127"/>
      <c r="E27" s="81"/>
      <c r="F27" s="128"/>
      <c r="G27" s="123"/>
      <c r="H27" s="81"/>
      <c r="I27" s="99"/>
      <c r="J27" s="102"/>
      <c r="K27" s="81"/>
      <c r="L27" s="81"/>
      <c r="M27" s="81"/>
      <c r="N27" s="125"/>
      <c r="O27" s="125"/>
      <c r="P27" s="187"/>
      <c r="Q27" s="82"/>
    </row>
    <row r="28" spans="2:52" ht="18.75" customHeight="1" x14ac:dyDescent="0.25">
      <c r="D28" s="127"/>
      <c r="E28" s="81"/>
      <c r="F28" s="128"/>
      <c r="G28" s="123"/>
      <c r="H28" s="81"/>
      <c r="I28" s="99"/>
      <c r="J28" s="102"/>
      <c r="K28" s="81"/>
      <c r="L28" s="81"/>
      <c r="M28" s="81"/>
      <c r="N28" s="125"/>
      <c r="O28" s="125"/>
      <c r="P28" s="187"/>
      <c r="Q28" s="82"/>
    </row>
    <row r="29" spans="2:52" ht="18.75" customHeight="1" x14ac:dyDescent="0.25">
      <c r="D29" s="127"/>
      <c r="E29" s="81"/>
      <c r="F29" s="128"/>
      <c r="G29" s="123"/>
      <c r="H29" s="81"/>
      <c r="I29" s="99"/>
      <c r="J29" s="102"/>
      <c r="K29" s="81"/>
      <c r="L29" s="81"/>
      <c r="M29" s="81"/>
      <c r="N29" s="125"/>
      <c r="O29" s="125"/>
      <c r="P29" s="187"/>
      <c r="Q29" s="82"/>
    </row>
    <row r="30" spans="2:52" ht="18.75" customHeight="1" x14ac:dyDescent="0.25"/>
    <row r="31" spans="2:52" ht="18.75" customHeight="1" x14ac:dyDescent="0.25"/>
    <row r="32" spans="2:52" ht="18.75" customHeight="1" x14ac:dyDescent="0.25"/>
    <row r="33" spans="4:17" ht="18.75" customHeight="1" x14ac:dyDescent="0.25">
      <c r="J33" s="9"/>
    </row>
    <row r="34" spans="4:17" ht="18.75" customHeight="1" x14ac:dyDescent="0.25">
      <c r="D34" s="111" t="s">
        <v>1424</v>
      </c>
      <c r="J34" s="9"/>
      <c r="K34" s="9"/>
    </row>
    <row r="35" spans="4:17" ht="18.75" customHeight="1" x14ac:dyDescent="0.25">
      <c r="D35" s="74" t="s">
        <v>66</v>
      </c>
      <c r="E35" s="75" t="s">
        <v>67</v>
      </c>
      <c r="F35" s="75" t="s">
        <v>68</v>
      </c>
      <c r="G35" s="75" t="s">
        <v>258</v>
      </c>
      <c r="H35" s="75" t="s">
        <v>944</v>
      </c>
      <c r="I35" s="75" t="s">
        <v>314</v>
      </c>
      <c r="J35" s="75" t="s">
        <v>261</v>
      </c>
      <c r="K35" s="75" t="s">
        <v>1072</v>
      </c>
      <c r="L35" s="75" t="s">
        <v>1071</v>
      </c>
      <c r="M35" s="75" t="s">
        <v>274</v>
      </c>
      <c r="N35" s="181" t="s">
        <v>277</v>
      </c>
      <c r="O35" s="198" t="s">
        <v>1573</v>
      </c>
      <c r="P35" s="197" t="s">
        <v>2178</v>
      </c>
      <c r="Q35" s="182" t="s">
        <v>2179</v>
      </c>
    </row>
    <row r="36" spans="4:17" ht="18.75" customHeight="1" x14ac:dyDescent="0.25">
      <c r="D36" s="101" t="s">
        <v>318</v>
      </c>
      <c r="E36" s="81" t="str">
        <f>VLOOKUP(D36,同業指數!$C$6:$G$778,2,FALSE)</f>
        <v>臺股指中信9B售01</v>
      </c>
      <c r="F36" s="81" t="s">
        <v>276</v>
      </c>
      <c r="G36" s="81">
        <f>[1]!'125090`205'</f>
        <v>12038</v>
      </c>
      <c r="H36" s="81">
        <f>VLOOKUP(D36,同業指數!$C$6:$G$778,4,FALSE)</f>
        <v>10000</v>
      </c>
      <c r="I36" s="99">
        <f>VLOOKUP(D36,同業指數!$C$6:$G$778,3,FALSE)</f>
        <v>44140</v>
      </c>
      <c r="J36" s="102">
        <f>MATCH(I36,工作日!$B$2:$B$2451,0)-1</f>
        <v>78</v>
      </c>
      <c r="K36" s="81">
        <f>VLOOKUP(D36,同業指數!$C$6:$G$1500,5,FALSE)</f>
        <v>2E-3</v>
      </c>
      <c r="L36" s="100">
        <f>VLOOKUP(E36,權證非鏢的避險部位!$E$2:$F$164,2,FALSE)</f>
        <v>10</v>
      </c>
      <c r="M36" s="117">
        <v>0.26</v>
      </c>
      <c r="N36" s="125">
        <f>GBSGreeks("d","P",G36,H36,J36/252,M36,0,0)*1000*L36*K36*G36</f>
        <v>-21129.601567921247</v>
      </c>
      <c r="O36" s="125">
        <f>GBSGreeks("g",IF(RIGHT(D36,1)="P","P","C"),G36,H36,J36/252,M36,0,0)*G36^2*1%*1000*L36*K36</f>
        <v>2652.8707022440335</v>
      </c>
      <c r="P36" s="187">
        <f>(GBSOption(IF(RIGHT(D36,1)="P","P","C"),G36,H36,J36/252,M36,0, 0)-GBSOption(IF(RIGHT(D36,1)="P","P","C"),G36,H36,J36/252,M36-0.01,0, 0))*K36*1000*L36</f>
        <v>206.85424445027451</v>
      </c>
      <c r="Q36" s="82">
        <f>-(GBSOption(IF(RIGHT(D36,1)="P","P","C"),G36,H36,J36/252,M36,0, 0)-GBSOption(IF(RIGHT(D36,1)="P","P","C"),G36,H36,(J36-1)/252,M36,0, 0))*K36*1000*L36</f>
        <v>-35.544047587078467</v>
      </c>
    </row>
    <row r="37" spans="4:17" x14ac:dyDescent="0.25">
      <c r="D37" s="179">
        <v>53912</v>
      </c>
      <c r="E37" s="123" t="str">
        <f>VLOOKUP(D37,同業指數!$C$6:$G$1500,2,FALSE)</f>
        <v>T50反1國票97購02</v>
      </c>
      <c r="F37" s="128" t="s">
        <v>1575</v>
      </c>
      <c r="G37" s="123">
        <f>[2]!'00632R`268'</f>
        <v>8.91</v>
      </c>
      <c r="H37" s="123">
        <f>VLOOKUP(D37,同業指數!$C$6:$G$1500,4,FALSE)</f>
        <v>9.4</v>
      </c>
      <c r="I37" s="124">
        <f>VLOOKUP(D37,同業指數!$C$6:$G$1500,3,FALSE)</f>
        <v>44034</v>
      </c>
      <c r="J37" s="102">
        <f>MATCH(I37,工作日!$B$2:$B$2451,0)-1</f>
        <v>5</v>
      </c>
      <c r="K37" s="81">
        <f>VLOOKUP(D37,同業指數!$C$6:$G$1500,5,FALSE)</f>
        <v>1</v>
      </c>
      <c r="L37" s="100">
        <f>VLOOKUP(E37,權證非鏢的避險部位!$E$2:$F$164,2,FALSE)</f>
        <v>210</v>
      </c>
      <c r="M37" s="180">
        <v>0.2</v>
      </c>
      <c r="N37" s="126">
        <f>-GBSGreeks("d","C",G37,H37,J37/252,M37,0,0)*1000*L37*K37*G37</f>
        <v>-55455.806620277668</v>
      </c>
      <c r="O37" s="125">
        <f>GBSGreeks("g",IF(RIGHT(D37,1)="P","P","C"),G37,H37,J37/252,M37,0,0)*G37^2*1%*1000*L37*K37</f>
        <v>44731.021005951901</v>
      </c>
      <c r="P37" s="187">
        <f>(GBSOption(IF(RIGHT(D37,1)="P","P","C"),G37,H37,J37/252,M37,0, 0)-GBSOption(IF(RIGHT(D37,1)="P","P","C"),G37,H37,J37/252,M37-0.01,0, 0))*K37*1000*L37</f>
        <v>161.49184362499486</v>
      </c>
      <c r="Q37" s="82">
        <f>-(GBSOption(IF(RIGHT(D37,1)="P","P","C"),G37,H37,J37/252,M37,0, 0)-GBSOption(IF(RIGHT(D37,1)="P","P","C"),G37,H37,(J37-1)/252,M37,0, 0))*K37*1000*L37</f>
        <v>-304.96841577880883</v>
      </c>
    </row>
    <row r="38" spans="4:17" x14ac:dyDescent="0.25">
      <c r="D38" s="179" t="s">
        <v>1061</v>
      </c>
      <c r="E38" s="123" t="str">
        <f>VLOOKUP(D38,同業指數!$C$6:$G$1500,2,FALSE)</f>
        <v>台灣50元大9B售01</v>
      </c>
      <c r="F38" s="128" t="s">
        <v>2340</v>
      </c>
      <c r="G38" s="123">
        <f>[2]!'0050`268'</f>
        <v>97.1</v>
      </c>
      <c r="H38" s="123">
        <f>VLOOKUP(D38,同業指數!$C$6:$G$1500,4,FALSE)</f>
        <v>92</v>
      </c>
      <c r="I38" s="124">
        <f>VLOOKUP(D38,同業指數!$C$6:$G$1500,3,FALSE)</f>
        <v>44153</v>
      </c>
      <c r="J38" s="102">
        <f>MATCH(I38,工作日!$B$2:$B$2451,0)-1</f>
        <v>87</v>
      </c>
      <c r="K38" s="81">
        <f>VLOOKUP(D38,同業指數!$C$6:$G$1500,5,FALSE)</f>
        <v>0.25</v>
      </c>
      <c r="L38" s="100">
        <f>VLOOKUP(E38,權證非鏢的避險部位!$E$2:$F$164,2,FALSE)</f>
        <v>30</v>
      </c>
      <c r="M38" s="180">
        <v>0.21</v>
      </c>
      <c r="N38" s="126">
        <f>GBSGreeks("d","P",G38,H38,J38/252,M38,0,0)*1000*L38*K38*G38</f>
        <v>-224969.94936281961</v>
      </c>
      <c r="O38" s="125">
        <f t="shared" ref="O38:O39" si="24">GBSGreeks("g",IF(RIGHT(D38,1)="P","P","C"),G38,H38,J38/252,M38,0,0)*G38^2*1%*1000*L38*K38</f>
        <v>20789.918471314773</v>
      </c>
      <c r="P38" s="187">
        <f>(GBSOption(IF(RIGHT(D38,1)="P","P","C"),G38,H38,J38/252,M38,0, 0)-GBSOption(IF(RIGHT(D38,1)="P","P","C"),G38,H38,J38/252,M38-0.01,0, 0))*K38*1000*L38</f>
        <v>1499.3999467568742</v>
      </c>
      <c r="Q38" s="82">
        <f>-(GBSOption(IF(RIGHT(D38,1)="P","P","C"),G38,H38,J38/252,M38,0, 0)-GBSOption(IF(RIGHT(D38,1)="P","P","C"),G38,H38,(J38-1)/252,M38,0, 0))*K38*1000*L38</f>
        <v>-182.23948271292033</v>
      </c>
    </row>
    <row r="39" spans="4:17" x14ac:dyDescent="0.25">
      <c r="D39" s="179" t="s">
        <v>1063</v>
      </c>
      <c r="E39" s="123" t="str">
        <f>VLOOKUP(D39,同業指數!$C$6:$G$1500,2,FALSE)</f>
        <v>台灣50台新02售01</v>
      </c>
      <c r="F39" s="128" t="s">
        <v>2341</v>
      </c>
      <c r="G39" s="123">
        <f>[2]!'0050`268'</f>
        <v>97.1</v>
      </c>
      <c r="H39" s="123">
        <f>VLOOKUP(D39,同業指數!$C$6:$G$1500,4,FALSE)</f>
        <v>80.91</v>
      </c>
      <c r="I39" s="124">
        <f>VLOOKUP(D39,同業指數!$C$6:$G$1500,3,FALSE)</f>
        <v>44253</v>
      </c>
      <c r="J39" s="102">
        <f>MATCH(I39,工作日!$B$2:$B$2451,0)-1</f>
        <v>151</v>
      </c>
      <c r="K39" s="81">
        <f>VLOOKUP(D39,同業指數!$C$6:$G$1500,5,FALSE)</f>
        <v>0.53800000000000003</v>
      </c>
      <c r="L39" s="100">
        <f>VLOOKUP(E39,權證非鏢的避險部位!$E$2:$F$164,2,FALSE)</f>
        <v>509</v>
      </c>
      <c r="M39" s="180">
        <v>0.19</v>
      </c>
      <c r="N39" s="126">
        <f>GBSGreeks("d","P",G39,H39,J39/252,M39,0,0)*1000*L39*K39*G39</f>
        <v>-2511624.2180829276</v>
      </c>
      <c r="O39" s="125">
        <f t="shared" si="24"/>
        <v>304305.87730665709</v>
      </c>
      <c r="P39" s="187">
        <f>(GBSOption(IF(RIGHT(D39,1)="P","P","C"),G39,H39,J39/252,M39,0, 0)-GBSOption(IF(RIGHT(D39,1)="P","P","C"),G39,H39,J39/252,M39-0.01,0, 0))*K39*1000*L39</f>
        <v>33244.463394891151</v>
      </c>
      <c r="Q39" s="82">
        <f>-(GBSOption(IF(RIGHT(D39,1)="P","P","C"),G39,H39,J39/252,M39,0, 0)-GBSOption(IF(RIGHT(D39,1)="P","P","C"),G39,H39,(J39-1)/252,M39,0, 0))*K39*1000*L39</f>
        <v>-2179.8621138790518</v>
      </c>
    </row>
    <row r="40" spans="4:17" x14ac:dyDescent="0.25">
      <c r="D40" s="287" t="s">
        <v>1976</v>
      </c>
      <c r="E40" s="288"/>
      <c r="F40" s="289"/>
      <c r="G40" s="288"/>
      <c r="H40" s="288"/>
      <c r="I40" s="290"/>
      <c r="J40" s="291"/>
      <c r="K40" s="288"/>
      <c r="L40" s="292"/>
      <c r="M40" s="293"/>
      <c r="N40" s="294">
        <f>SUM(N36:N39)</f>
        <v>-2813179.5756339463</v>
      </c>
      <c r="O40" s="294">
        <f>SUM(O36:O39)</f>
        <v>372479.68748616776</v>
      </c>
      <c r="P40" s="294">
        <f>SUM(P36:P39)</f>
        <v>35112.209429723291</v>
      </c>
      <c r="Q40" s="295">
        <f>SUM(Q36:Q39)</f>
        <v>-2702.6140599578594</v>
      </c>
    </row>
    <row r="41" spans="4:17" x14ac:dyDescent="0.25">
      <c r="D41" s="118"/>
      <c r="E41" s="73"/>
      <c r="F41" s="73"/>
      <c r="G41" s="73"/>
      <c r="H41" s="73"/>
      <c r="I41" s="119"/>
      <c r="J41" s="120"/>
      <c r="K41" s="73"/>
      <c r="L41" s="121"/>
      <c r="M41" s="122"/>
      <c r="N41" s="94"/>
    </row>
    <row r="42" spans="4:17" ht="17.25" thickBot="1" x14ac:dyDescent="0.3">
      <c r="D42" s="111" t="s">
        <v>1572</v>
      </c>
      <c r="E42" s="73"/>
      <c r="F42" s="73"/>
      <c r="G42" s="73"/>
      <c r="H42" s="73"/>
      <c r="I42" s="119"/>
      <c r="J42" s="120"/>
      <c r="K42" s="73"/>
      <c r="L42" s="121"/>
      <c r="M42" s="122"/>
      <c r="N42" s="94"/>
      <c r="O42" s="73"/>
    </row>
    <row r="43" spans="4:17" x14ac:dyDescent="0.25">
      <c r="D43" s="199" t="s">
        <v>1896</v>
      </c>
      <c r="E43" s="200" t="s">
        <v>1897</v>
      </c>
      <c r="F43" s="200" t="s">
        <v>1898</v>
      </c>
      <c r="G43" s="200" t="s">
        <v>1899</v>
      </c>
      <c r="H43" s="201" t="s">
        <v>2177</v>
      </c>
      <c r="I43" s="119"/>
      <c r="J43" s="120"/>
      <c r="K43" s="73"/>
      <c r="L43" s="121"/>
      <c r="M43" s="122"/>
      <c r="N43" s="94"/>
      <c r="O43" s="73"/>
    </row>
    <row r="44" spans="4:17" ht="17.25" thickBot="1" x14ac:dyDescent="0.3">
      <c r="D44" s="202">
        <f ca="1">G57+G65</f>
        <v>-60538.508943037952</v>
      </c>
      <c r="E44" s="203">
        <f ca="1">H57+H65</f>
        <v>-42300934.63216196</v>
      </c>
      <c r="F44" s="203">
        <f ca="1">I57+I65</f>
        <v>82</v>
      </c>
      <c r="G44" s="203">
        <f ca="1">J57+J65</f>
        <v>17467.469552082941</v>
      </c>
      <c r="H44" s="204">
        <f ca="1">K57+K65</f>
        <v>101381.99789819078</v>
      </c>
      <c r="I44" s="119"/>
      <c r="J44" s="120"/>
      <c r="K44" s="73"/>
      <c r="L44" s="121"/>
      <c r="M44" s="122"/>
      <c r="N44" s="94"/>
    </row>
    <row r="45" spans="4:17" ht="17.25" thickBot="1" x14ac:dyDescent="0.3">
      <c r="D45" s="167" t="s">
        <v>2962</v>
      </c>
      <c r="E45" s="73"/>
      <c r="G45" s="73"/>
      <c r="H45" s="73"/>
      <c r="I45" s="73"/>
      <c r="J45" s="73"/>
      <c r="K45" s="73"/>
      <c r="L45" s="73"/>
      <c r="M45" s="73"/>
      <c r="N45" s="73"/>
      <c r="O45" s="73"/>
    </row>
    <row r="46" spans="4:17" x14ac:dyDescent="0.25">
      <c r="D46" s="192" t="s">
        <v>1895</v>
      </c>
      <c r="E46" s="158" t="s">
        <v>2337</v>
      </c>
      <c r="F46" s="185" t="s">
        <v>6</v>
      </c>
      <c r="G46" s="158" t="s">
        <v>1896</v>
      </c>
      <c r="H46" s="158" t="s">
        <v>1897</v>
      </c>
      <c r="I46" s="158" t="s">
        <v>1898</v>
      </c>
      <c r="J46" s="188" t="s">
        <v>1899</v>
      </c>
      <c r="K46" s="188" t="s">
        <v>2177</v>
      </c>
      <c r="L46" s="251">
        <f ca="1">TODAY()</f>
        <v>44027</v>
      </c>
      <c r="M46" s="253">
        <f ca="1">TODAY()-1</f>
        <v>44026</v>
      </c>
      <c r="N46" s="158" t="s">
        <v>2803</v>
      </c>
      <c r="O46" s="252" t="s">
        <v>2743</v>
      </c>
    </row>
    <row r="47" spans="4:17" x14ac:dyDescent="0.25">
      <c r="D47" s="195" t="s">
        <v>1571</v>
      </c>
      <c r="E47" s="113" t="s">
        <v>2338</v>
      </c>
      <c r="F47" s="281">
        <v>10700</v>
      </c>
      <c r="G47" s="209">
        <f ca="1">OFFSET(自動儲存!$S$1,MATCH($F47,自動儲存!$J$2:$J$70,0),7-COLUMN())</f>
        <v>25604.177181813731</v>
      </c>
      <c r="H47" s="209">
        <f ca="1">OFFSET(自動儲存!$S$1,MATCH($F47,自動儲存!$J$2:$J$70,0),7-COLUMN())</f>
        <v>7949518.4009567769</v>
      </c>
      <c r="I47" s="209">
        <f ca="1">OFFSET(自動儲存!$S$1,MATCH($F47,自動儲存!$J$2:$J$70,0),7-COLUMN())</f>
        <v>-150</v>
      </c>
      <c r="J47" s="209">
        <f ca="1">-OFFSET(自動儲存!$S$1,MATCH($F47,自動儲存!$J$2:$J$70,0),7-COLUMN())</f>
        <v>-1556220.0007084296</v>
      </c>
      <c r="K47" s="210">
        <f ca="1">-OFFSET(自動儲存!$A$1,MATCH($F47,自動儲存!$J$2:$J$150,0),21)</f>
        <v>-47777.644778604743</v>
      </c>
      <c r="L47" s="206">
        <f ca="1">IF(OFFSET(自動儲存!$N$1,MATCH(F47,自動儲存!$J$2:$J$100,0),0)&lt;5%,M47,OFFSET(自動儲存!$N$1,MATCH(F47,自動儲存!$J$2:$J$100,0),0))</f>
        <v>0.28884288635253913</v>
      </c>
      <c r="M47" s="254">
        <f ca="1">IF(D47="C",OFFSET(自動儲存!$AH$1,MATCH(F47,自動儲存!$AJ$2:$AJ$100,0),0),OFFSET(自動儲存!$AN$1,MATCH(F47,自動儲存!$AJ$2:$AJ$100,0),0))</f>
        <v>0.28505889587402344</v>
      </c>
      <c r="N47" s="205">
        <f ca="1">IF(D47="C",OFFSET(自動儲存!$AA$1,MATCH($F47,自動儲存!$AJ$2:$AJ$35,0),2),OFFSET(自動儲存!$AA$1,MATCH($F47,自動儲存!$AJ$2:$AJ$35,0),16))</f>
        <v>-150</v>
      </c>
      <c r="O47" s="256">
        <f ca="1">(GBSOption(D47,$T$2,$F47,選擇權近月!$N$2,$L47,0, 0)-GBSOption(D47,$T$2,$F47,選擇權近月!$N$2,$M47,0, 0))*50*N47</f>
        <v>-14719.371065299605</v>
      </c>
    </row>
    <row r="48" spans="4:17" x14ac:dyDescent="0.25">
      <c r="D48" s="195" t="s">
        <v>1571</v>
      </c>
      <c r="E48" s="113" t="s">
        <v>2338</v>
      </c>
      <c r="F48" s="281">
        <v>11100</v>
      </c>
      <c r="G48" s="209">
        <f ca="1">OFFSET(自動儲存!$S$1,MATCH($F48,自動儲存!$J$2:$J$70,0),7-COLUMN())</f>
        <v>-4405.6332994341574</v>
      </c>
      <c r="H48" s="209">
        <f ca="1">OFFSET(自動儲存!$S$1,MATCH($F48,自動儲存!$J$2:$J$70,0),7-COLUMN())</f>
        <v>-1749513.8291668179</v>
      </c>
      <c r="I48" s="209">
        <f ca="1">OFFSET(自動儲存!$S$1,MATCH($F48,自動儲存!$J$2:$J$70,0),7-COLUMN())</f>
        <v>20</v>
      </c>
      <c r="J48" s="209">
        <f ca="1">-OFFSET(自動儲存!$S$1,MATCH($F48,自動儲存!$J$2:$J$70,0),7-COLUMN())</f>
        <v>330479.41699401604</v>
      </c>
      <c r="K48" s="210">
        <f ca="1">-OFFSET(自動儲存!$A$1,MATCH($F48,自動儲存!$J$2:$J$150,0),21)</f>
        <v>9014.3411845982082</v>
      </c>
      <c r="L48" s="206">
        <f ca="1">IF(OFFSET(自動儲存!$N$1,MATCH(F48,自動儲存!$J$2:$J$100,0),0)&lt;5%,M48,OFFSET(自動儲存!$N$1,MATCH(F48,自動儲存!$J$2:$J$100,0),0))</f>
        <v>0.25918128356933595</v>
      </c>
      <c r="M48" s="254">
        <f ca="1">IF(D48="C",OFFSET(自動儲存!$AH$1,MATCH(F48,自動儲存!$AJ$2:$AJ$100,0),0),OFFSET(自動儲存!$AN$1,MATCH(F48,自動儲存!$AJ$2:$AJ$100,0),0))</f>
        <v>0.25637380676269528</v>
      </c>
      <c r="N48" s="205">
        <f ca="1">IF(D48="C",OFFSET(自動儲存!$AA$1,MATCH($F48,自動儲存!$AJ$2:$AJ$35,0),2),OFFSET(自動儲存!$AA$1,MATCH($F48,自動儲存!$AJ$2:$AJ$35,0),16))</f>
        <v>20</v>
      </c>
      <c r="O48" s="256">
        <f ca="1">(GBSOption(D48,$T$2,$F48,選擇權近月!$N$2,$L48,0, 0)-GBSOption(D48,$T$2,$F48,選擇權近月!$N$2,$M48,0, 0))*50*N48</f>
        <v>2135.7161327917852</v>
      </c>
    </row>
    <row r="49" spans="4:15" x14ac:dyDescent="0.25">
      <c r="D49" s="195" t="s">
        <v>0</v>
      </c>
      <c r="E49" s="113" t="s">
        <v>2338</v>
      </c>
      <c r="F49" s="278">
        <v>11200</v>
      </c>
      <c r="G49" s="209">
        <f ca="1">OFFSET(自動儲存!$S$1,MATCH($F49,自動儲存!$J$2:$J$70,0),7-COLUMN())</f>
        <v>-20392.083493450464</v>
      </c>
      <c r="H49" s="209">
        <f ca="1">OFFSET(自動儲存!$S$1,MATCH($F49,自動儲存!$J$2:$J$70,0),7-COLUMN())</f>
        <v>-8674393.5075139869</v>
      </c>
      <c r="I49" s="209">
        <f ca="1">OFFSET(自動儲存!$S$1,MATCH($F49,自動儲存!$J$2:$J$70,0),7-COLUMN())-30</f>
        <v>57</v>
      </c>
      <c r="J49" s="209">
        <f ca="1">-OFFSET(自動儲存!$S$1,MATCH($F49,自動儲存!$J$2:$J$70,0),7-COLUMN())</f>
        <v>1608290.8650100615</v>
      </c>
      <c r="K49" s="210">
        <f ca="1">-OFFSET(自動儲存!$A$1,MATCH($F49,自動儲存!$J$2:$J$150,0),21)</f>
        <v>42630.424202862094</v>
      </c>
      <c r="L49" s="206">
        <f ca="1">IF(OFFSET(自動儲存!$N$1,MATCH(F49,自動儲存!$J$2:$J$100,0),0)&lt;5%,M49,OFFSET(自動儲存!$N$1,MATCH(F49,自動儲存!$J$2:$J$100,0),0))</f>
        <v>0.25258981628417976</v>
      </c>
      <c r="M49" s="254">
        <f ca="1">IF(D49="C",OFFSET(自動儲存!$AH$1,MATCH(F49,自動儲存!$AJ$2:$AJ$100,0),0),OFFSET(自動儲存!$AN$1,MATCH(F49,自動儲存!$AJ$2:$AJ$100,0),0))</f>
        <v>0.24941614685058594</v>
      </c>
      <c r="N49" s="205">
        <f ca="1">IF(D49="C",OFFSET(自動儲存!$AA$1,MATCH($F49,自動儲存!$AJ$2:$AJ$35,0),2),OFFSET(自動儲存!$AA$1,MATCH($F49,自動儲存!$AJ$2:$AJ$35,0),16))</f>
        <v>87</v>
      </c>
      <c r="O49" s="256">
        <f ca="1">(GBSOption(D49,$T$2,$F49,選擇權近月!$N$2,$L49,0, 0)-GBSOption(D49,$T$2,$F49,選擇權近月!$N$2,$M49,0, 0))*50*N49</f>
        <v>11536.846888139136</v>
      </c>
    </row>
    <row r="50" spans="4:15" x14ac:dyDescent="0.25">
      <c r="D50" s="195" t="s">
        <v>0</v>
      </c>
      <c r="E50" s="113" t="s">
        <v>2338</v>
      </c>
      <c r="F50" s="280">
        <v>11300</v>
      </c>
      <c r="G50" s="209">
        <f ca="1">OFFSET(自動儲存!$S$1,MATCH($F50,自動儲存!$J$2:$J$70,0),7-COLUMN())</f>
        <v>-24669.113046896953</v>
      </c>
      <c r="H50" s="209">
        <f ca="1">OFFSET(自動儲存!$S$1,MATCH($F50,自動儲存!$J$2:$J$70,0),7-COLUMN())</f>
        <v>-11310226.060771435</v>
      </c>
      <c r="I50" s="209">
        <f ca="1">OFFSET(自動儲存!$S$1,MATCH($F50,自動儲存!$J$2:$J$70,0),7-COLUMN())</f>
        <v>100</v>
      </c>
      <c r="J50" s="209">
        <f ca="1">-OFFSET(自動儲存!$S$1,MATCH($F50,自動儲存!$J$2:$J$70,0),7-COLUMN())</f>
        <v>2063024.7101670285</v>
      </c>
      <c r="K50" s="210">
        <f ca="1">-OFFSET(自動儲存!$A$1,MATCH($F50,自動儲存!$J$2:$J$150,0),21)</f>
        <v>52927.922429136197</v>
      </c>
      <c r="L50" s="206">
        <f ca="1">IF(OFFSET(自動儲存!$N$1,MATCH(F50,自動儲存!$J$2:$J$100,0),0)&lt;5%,M50,OFFSET(自動儲存!$N$1,MATCH(F50,自動儲存!$J$2:$J$100,0),0))</f>
        <v>0.24514389953613283</v>
      </c>
      <c r="M50" s="254">
        <f ca="1">IF(D50="C",OFFSET(自動儲存!$AH$1,MATCH(F50,自動儲存!$AJ$2:$AJ$100,0),0),OFFSET(自動儲存!$AN$1,MATCH(F50,自動儲存!$AJ$2:$AJ$100,0),0))</f>
        <v>0.24087165222167969</v>
      </c>
      <c r="N50" s="205">
        <f ca="1">IF(D50="C",OFFSET(自動儲存!$AA$1,MATCH($F50,自動儲存!$AJ$2:$AJ$35,0),2),OFFSET(自動儲存!$AA$1,MATCH($F50,自動儲存!$AJ$2:$AJ$35,0),16))</f>
        <v>100</v>
      </c>
      <c r="O50" s="256">
        <f ca="1">(GBSOption(D50,$T$2,$F50,選擇權近月!$N$2,$L50,0, 0)-GBSOption(D50,$T$2,$F50,選擇權近月!$N$2,$M50,0, 0))*50*N50</f>
        <v>19452.223138467987</v>
      </c>
    </row>
    <row r="51" spans="4:15" x14ac:dyDescent="0.25">
      <c r="D51" s="195" t="s">
        <v>1571</v>
      </c>
      <c r="E51" s="113" t="s">
        <v>2338</v>
      </c>
      <c r="F51" s="279">
        <v>11400</v>
      </c>
      <c r="G51" s="209">
        <f ca="1">OFFSET(自動儲存!$S$1,MATCH($F51,自動儲存!$J$2:$J$70,0),7-COLUMN())</f>
        <v>20819.743519115833</v>
      </c>
      <c r="H51" s="209">
        <f ca="1">OFFSET(自動儲存!$S$1,MATCH($F51,自動儲存!$J$2:$J$70,0),7-COLUMN())</f>
        <v>10311053.378018847</v>
      </c>
      <c r="I51" s="209">
        <f ca="1">OFFSET(自動儲存!$S$1,MATCH($F51,自動儲存!$J$2:$J$70,0),7-COLUMN())</f>
        <v>-80</v>
      </c>
      <c r="J51" s="209">
        <f ca="1">-OFFSET(自動儲存!$S$1,MATCH($F51,自動儲存!$J$2:$J$70,0),7-COLUMN())</f>
        <v>-1832702.1265866829</v>
      </c>
      <c r="K51" s="210">
        <f ca="1">-OFFSET(自動儲存!$A$1,MATCH($F51,自動儲存!$J$2:$J$150,0),21)</f>
        <v>-45669.65972630788</v>
      </c>
      <c r="L51" s="206">
        <f ca="1">IF(OFFSET(自動儲存!$N$1,MATCH(F51,自動儲存!$J$2:$J$100,0),0)&lt;5%,M51,OFFSET(自動儲存!$N$1,MATCH(F51,自動儲存!$J$2:$J$100,0),0))</f>
        <v>0.23879656066894536</v>
      </c>
      <c r="M51" s="254">
        <f ca="1">IF(D51="C",OFFSET(自動儲存!$AH$1,MATCH(F51,自動儲存!$AJ$2:$AJ$100,0),0),OFFSET(自動儲存!$AN$1,MATCH(F51,自動儲存!$AJ$2:$AJ$100,0),0))</f>
        <v>0.23501257019042968</v>
      </c>
      <c r="N51" s="205">
        <f ca="1">IF(D51="C",OFFSET(自動儲存!$AA$1,MATCH($F51,自動儲存!$AJ$2:$AJ$35,0),2),OFFSET(自動儲存!$AA$1,MATCH($F51,自動儲存!$AJ$2:$AJ$35,0),16))</f>
        <v>-80</v>
      </c>
      <c r="O51" s="256">
        <f ca="1">(GBSOption(D51,$T$2,$F51,選擇權近月!$N$2,$L51,0, 0)-GBSOption(D51,$T$2,$F51,選擇權近月!$N$2,$M51,0, 0))*50*N51</f>
        <v>-15086.822995285673</v>
      </c>
    </row>
    <row r="52" spans="4:15" x14ac:dyDescent="0.25">
      <c r="D52" s="195" t="s">
        <v>2014</v>
      </c>
      <c r="E52" s="113" t="s">
        <v>2338</v>
      </c>
      <c r="F52" s="278">
        <v>11500</v>
      </c>
      <c r="G52" s="209">
        <f ca="1">OFFSET(自動儲存!$S$1,MATCH($F52,自動儲存!$J$2:$J$70,0),7-COLUMN())</f>
        <v>25986.038025246387</v>
      </c>
      <c r="H52" s="209">
        <f ca="1">OFFSET(自動儲存!$S$1,MATCH($F52,自動儲存!$J$2:$J$70,0),7-COLUMN())</f>
        <v>13954730.080765992</v>
      </c>
      <c r="I52" s="209">
        <f ca="1">OFFSET(自動儲存!$S$1,MATCH($F52,自動儲存!$J$2:$J$70,0),7-COLUMN())</f>
        <v>-95</v>
      </c>
      <c r="J52" s="209">
        <f ca="1">-OFFSET(自動儲存!$S$1,MATCH($F52,自動儲存!$J$2:$J$70,0),7-COLUMN())</f>
        <v>-2401315.9166767569</v>
      </c>
      <c r="K52" s="210">
        <f ca="1">-OFFSET(自動儲存!$A$1,MATCH($F52,自動儲存!$J$2:$J$150,0),21)</f>
        <v>-58207.267263247966</v>
      </c>
      <c r="L52" s="206">
        <f ca="1">IF(OFFSET(自動儲存!$N$1,MATCH(F52,自動儲存!$J$2:$J$100,0),0)&lt;5%,M52,OFFSET(自動儲存!$N$1,MATCH(F52,自動儲存!$J$2:$J$100,0),0))</f>
        <v>0.23293747863769534</v>
      </c>
      <c r="M52" s="254">
        <f ca="1">IF(D52="C",OFFSET(自動儲存!$AH$1,MATCH(F52,自動儲存!$AJ$2:$AJ$100,0),0),OFFSET(自動儲存!$AN$1,MATCH(F52,自動儲存!$AJ$2:$AJ$100,0),0))</f>
        <v>0.22793284606933595</v>
      </c>
      <c r="N52" s="205">
        <f ca="1">IF(D52="C",OFFSET(自動儲存!$AA$1,MATCH($F52,自動儲存!$AJ$2:$AJ$35,0),2),OFFSET(自動儲存!$AA$1,MATCH($F52,自動儲存!$AJ$2:$AJ$35,0),16))</f>
        <v>-95</v>
      </c>
      <c r="O52" s="256">
        <f ca="1">(GBSOption(D52,$T$2,$F52,選擇權近月!$N$2,$L52,0, 0)-GBSOption(D52,$T$2,$F52,選擇權近月!$N$2,$M52,0, 0))*50*N52</f>
        <v>-25775.785455186346</v>
      </c>
    </row>
    <row r="53" spans="4:15" x14ac:dyDescent="0.25">
      <c r="D53" s="195" t="s">
        <v>1571</v>
      </c>
      <c r="E53" s="113" t="s">
        <v>2338</v>
      </c>
      <c r="F53" s="278">
        <v>11700</v>
      </c>
      <c r="G53" s="209">
        <f ca="1">OFFSET(自動儲存!$S$1,MATCH($F53,自動儲存!$J$2:$J$70,0),7-COLUMN())</f>
        <v>-11668.619805768742</v>
      </c>
      <c r="H53" s="209">
        <f ca="1">OFFSET(自動儲存!$S$1,MATCH($F53,自動儲存!$J$2:$J$70,0),7-COLUMN())</f>
        <v>-7540660.9676876711</v>
      </c>
      <c r="I53" s="209">
        <f ca="1">OFFSET(自動儲存!$S$1,MATCH($F53,自動儲存!$J$2:$J$70,0),7-COLUMN())</f>
        <v>40</v>
      </c>
      <c r="J53" s="209">
        <f ca="1">-OFFSET(自動儲存!$S$1,MATCH($F53,自動儲存!$J$2:$J$70,0),7-COLUMN())</f>
        <v>1213141.7955861238</v>
      </c>
      <c r="K53" s="210">
        <f ca="1">-OFFSET(自動儲存!$A$1,MATCH($F53,自動儲存!$J$2:$J$150,0),21)</f>
        <v>27567.911860476783</v>
      </c>
      <c r="L53" s="206">
        <f ca="1">IF(OFFSET(自動儲存!$N$1,MATCH(F53,自動儲存!$J$2:$J$100,0),0)&lt;5%,M53,OFFSET(自動儲存!$N$1,MATCH(F53,自動儲存!$J$2:$J$100,0),0))</f>
        <v>0.2193883514404297</v>
      </c>
      <c r="M53" s="254">
        <f ca="1">IF(D53="C",OFFSET(自動儲存!$AH$1,MATCH(F53,自動儲存!$AJ$2:$AJ$100,0),0),OFFSET(自動儲存!$AN$1,MATCH(F53,自動儲存!$AJ$2:$AJ$100,0),0))</f>
        <v>0.21474991149902345</v>
      </c>
      <c r="N53" s="205">
        <f ca="1">IF(D53="C",OFFSET(自動儲存!$AA$1,MATCH($F53,自動儲存!$AJ$2:$AJ$35,0),2),OFFSET(自動儲存!$AA$1,MATCH($F53,自動儲存!$AJ$2:$AJ$35,0),16))</f>
        <v>40</v>
      </c>
      <c r="O53" s="256">
        <f ca="1">(GBSOption(D53,$T$2,$F53,選擇權近月!$N$2,$L53,0, 0)-GBSOption(D53,$T$2,$F53,選擇權近月!$N$2,$M53,0, 0))*50*N53</f>
        <v>11690.095339856043</v>
      </c>
    </row>
    <row r="54" spans="4:15" x14ac:dyDescent="0.25">
      <c r="D54" s="195" t="s">
        <v>1571</v>
      </c>
      <c r="E54" s="113" t="s">
        <v>2338</v>
      </c>
      <c r="F54" s="278">
        <v>11800</v>
      </c>
      <c r="G54" s="209">
        <f ca="1">OFFSET(自動儲存!$S$1,MATCH($F54,自動儲存!$J$2:$J$70,0),7-COLUMN())</f>
        <v>-17756.510388184153</v>
      </c>
      <c r="H54" s="209">
        <f ca="1">OFFSET(自動儲存!$S$1,MATCH($F54,自動儲存!$J$2:$J$70,0),7-COLUMN())</f>
        <v>-12760328.490227448</v>
      </c>
      <c r="I54" s="209">
        <f ca="1">OFFSET(自動儲存!$S$1,MATCH($F54,自動儲存!$J$2:$J$70,0),7-COLUMN())</f>
        <v>60</v>
      </c>
      <c r="J54" s="209">
        <f ca="1">-OFFSET(自動儲存!$S$1,MATCH($F54,自動儲存!$J$2:$J$70,0),7-COLUMN())</f>
        <v>1976136.2800514724</v>
      </c>
      <c r="K54" s="210">
        <f ca="1">-OFFSET(自動儲存!$A$1,MATCH($F54,自動儲存!$J$2:$J$150,0),21)</f>
        <v>43309.435713234248</v>
      </c>
      <c r="L54" s="206">
        <f ca="1">IF(OFFSET(自動儲存!$N$1,MATCH(F54,自動儲存!$J$2:$J$100,0),0)&lt;5%,M54,OFFSET(自動儲存!$N$1,MATCH(F54,自動儲存!$J$2:$J$100,0),0))</f>
        <v>0.21194243469238286</v>
      </c>
      <c r="M54" s="254">
        <f ca="1">IF(D54="C",OFFSET(自動儲存!$AH$1,MATCH(F54,自動儲存!$AJ$2:$AJ$100,0),0),OFFSET(自動儲存!$AN$1,MATCH(F54,自動儲存!$AJ$2:$AJ$100,0),0))</f>
        <v>0.20864670104980473</v>
      </c>
      <c r="N54" s="205">
        <f ca="1">IF(D54="C",OFFSET(自動儲存!$AA$1,MATCH($F54,自動儲存!$AJ$2:$AJ$35,0),2),OFFSET(自動儲存!$AA$1,MATCH($F54,自動儲存!$AJ$2:$AJ$35,0),16))</f>
        <v>60</v>
      </c>
      <c r="O54" s="256">
        <f ca="1">(GBSOption(D54,$T$2,$F54,選擇權近月!$N$2,$L54,0, 0)-GBSOption(D54,$T$2,$F54,選擇權近月!$N$2,$M54,0, 0))*50*N54</f>
        <v>13290.654247619301</v>
      </c>
    </row>
    <row r="55" spans="4:15" x14ac:dyDescent="0.25">
      <c r="D55" s="195" t="s">
        <v>1571</v>
      </c>
      <c r="E55" s="113" t="s">
        <v>2338</v>
      </c>
      <c r="F55" s="278">
        <v>11900</v>
      </c>
      <c r="G55" s="209">
        <f ca="1">OFFSET(自動儲存!$S$1,MATCH($F55,自動儲存!$J$2:$J$70,0),7-COLUMN())</f>
        <v>-8048.3655961054201</v>
      </c>
      <c r="H55" s="209">
        <f ca="1">OFFSET(自動儲存!$S$1,MATCH($F55,自動儲存!$J$2:$J$70,0),7-COLUMN())</f>
        <v>-6470275.3195691286</v>
      </c>
      <c r="I55" s="209">
        <f ca="1">OFFSET(自動儲存!$S$1,MATCH($F55,自動儲存!$J$2:$J$70,0),7-COLUMN())</f>
        <v>27</v>
      </c>
      <c r="J55" s="209">
        <f ca="1">-OFFSET(自動儲存!$S$1,MATCH($F55,自動儲存!$J$2:$J$70,0),7-COLUMN())</f>
        <v>953182.57863801217</v>
      </c>
      <c r="K55" s="210">
        <f ca="1">-OFFSET(自動儲存!$A$1,MATCH($F55,自動儲存!$J$2:$J$150,0),21)</f>
        <v>20217.458717393853</v>
      </c>
      <c r="L55" s="206">
        <f ca="1">IF(OFFSET(自動儲存!$N$1,MATCH(F55,自動儲存!$J$2:$J$100,0),0)&lt;5%,M55,OFFSET(自動儲存!$N$1,MATCH(F55,自動儲存!$J$2:$J$100,0),0))</f>
        <v>0.20535096740722658</v>
      </c>
      <c r="M55" s="254">
        <f ca="1">IF(D55="C",OFFSET(自動儲存!$AH$1,MATCH(F55,自動儲存!$AJ$2:$AJ$100,0),0),OFFSET(自動儲存!$AN$1,MATCH(F55,自動儲存!$AJ$2:$AJ$100,0),0))</f>
        <v>0.20107872009277344</v>
      </c>
      <c r="N55" s="205">
        <f ca="1">IF(D55="C",OFFSET(自動儲存!$AA$1,MATCH($F55,自動儲存!$AJ$2:$AJ$35,0),2),OFFSET(自動儲存!$AA$1,MATCH($F55,自動儲存!$AJ$2:$AJ$35,0),16))</f>
        <v>27</v>
      </c>
      <c r="O55" s="256">
        <f ca="1">(GBSOption(D55,$T$2,$F55,選擇權近月!$N$2,$L55,0, 0)-GBSOption(D55,$T$2,$F55,選擇權近月!$N$2,$M55,0, 0))*50*N55</f>
        <v>8196.8087536362364</v>
      </c>
    </row>
    <row r="56" spans="4:15" ht="17.25" thickBot="1" x14ac:dyDescent="0.3">
      <c r="D56" s="195" t="s">
        <v>1571</v>
      </c>
      <c r="E56" s="113" t="s">
        <v>2338</v>
      </c>
      <c r="F56" s="278">
        <v>12000</v>
      </c>
      <c r="G56" s="209">
        <f ca="1">OFFSET(自動儲存!$S$1,MATCH($F56,自動儲存!$J$2:$J$70,0),7-COLUMN())</f>
        <v>-14820.572035928308</v>
      </c>
      <c r="H56" s="209">
        <f ca="1">OFFSET(自動儲存!$S$1,MATCH($F56,自動儲存!$J$2:$J$70,0),7-COLUMN())</f>
        <v>-13452941.345387707</v>
      </c>
      <c r="I56" s="209">
        <f ca="1">OFFSET(自動儲存!$S$1,MATCH($F56,自動儲存!$J$2:$J$70,0),7-COLUMN())</f>
        <v>50</v>
      </c>
      <c r="J56" s="209">
        <f ca="1">-OFFSET(自動儲存!$S$1,MATCH($F56,自動儲存!$J$2:$J$70,0),7-COLUMN())</f>
        <v>1867315.7822801797</v>
      </c>
      <c r="K56" s="210">
        <f ca="1">-OFFSET(自動儲存!$A$1,MATCH($F56,自動儲存!$J$2:$J$150,0),21)</f>
        <v>38363.946793311356</v>
      </c>
      <c r="L56" s="206">
        <f ca="1">IF(OFFSET(自動儲存!$N$1,MATCH(F56,自動儲存!$J$2:$J$100,0),0)&lt;5%,M56,OFFSET(自動儲存!$N$1,MATCH(F56,自動儲存!$J$2:$J$100,0),0))</f>
        <v>0.19900362854003906</v>
      </c>
      <c r="M56" s="254">
        <f ca="1">IF(D56="C",OFFSET(自動儲存!$AH$1,MATCH(F56,自動儲存!$AJ$2:$AJ$100,0),0),OFFSET(自動儲存!$AN$1,MATCH(F56,自動儲存!$AJ$2:$AJ$100,0),0))</f>
        <v>0.19497550964355467</v>
      </c>
      <c r="N56" s="205">
        <f ca="1">IF(D56="C",OFFSET(自動儲存!$AA$1,MATCH($F56,自動儲存!$AJ$2:$AJ$35,0),2),OFFSET(自動儲存!$AA$1,MATCH($F56,自動儲存!$AJ$2:$AJ$35,0),16))</f>
        <v>50</v>
      </c>
      <c r="O56" s="256">
        <f ca="1">(GBSOption(D56,$T$2,$F56,選擇權近月!$N$2,$L56,0, 0)-GBSOption(D56,$T$2,$F56,選擇權近月!$N$2,$M56,0, 0))*50*N56</f>
        <v>14983.61947602227</v>
      </c>
    </row>
    <row r="57" spans="4:15" ht="17.25" thickBot="1" x14ac:dyDescent="0.3">
      <c r="D57" s="193" t="s">
        <v>1902</v>
      </c>
      <c r="E57" s="159"/>
      <c r="F57" s="159"/>
      <c r="G57" s="207">
        <f ca="1">SUM(G47:G56)</f>
        <v>-29350.938939592244</v>
      </c>
      <c r="H57" s="207">
        <f ca="1">SUM(H47:H56)</f>
        <v>-29743037.66058258</v>
      </c>
      <c r="I57" s="207">
        <f ca="1">SUM(I47:I56)</f>
        <v>29</v>
      </c>
      <c r="J57" s="207">
        <f ca="1">SUM(J47:J56)</f>
        <v>4221333.3847550247</v>
      </c>
      <c r="K57" s="207">
        <f ca="1">SUM(K47:K56)</f>
        <v>82376.869132852153</v>
      </c>
      <c r="L57" s="208"/>
      <c r="M57" s="255"/>
      <c r="N57" s="207"/>
      <c r="O57" s="257">
        <f ca="1">SUM(O47:O56)</f>
        <v>25703.984460761138</v>
      </c>
    </row>
    <row r="59" spans="4:15" ht="17.25" thickBot="1" x14ac:dyDescent="0.3">
      <c r="D59" s="177" t="s">
        <v>2588</v>
      </c>
    </row>
    <row r="60" spans="4:15" x14ac:dyDescent="0.25">
      <c r="D60" s="192" t="s">
        <v>1895</v>
      </c>
      <c r="E60" s="158" t="s">
        <v>2337</v>
      </c>
      <c r="F60" s="185" t="s">
        <v>6</v>
      </c>
      <c r="G60" s="158" t="s">
        <v>1896</v>
      </c>
      <c r="H60" s="158" t="s">
        <v>1897</v>
      </c>
      <c r="I60" s="158" t="s">
        <v>1898</v>
      </c>
      <c r="J60" s="188" t="s">
        <v>1899</v>
      </c>
      <c r="K60" s="188" t="s">
        <v>2177</v>
      </c>
      <c r="L60" s="251">
        <f ca="1">TODAY()</f>
        <v>44027</v>
      </c>
      <c r="M60" s="253">
        <f ca="1">TODAY()-1</f>
        <v>44026</v>
      </c>
      <c r="N60" s="158" t="s">
        <v>2803</v>
      </c>
      <c r="O60" s="252" t="s">
        <v>2743</v>
      </c>
    </row>
    <row r="61" spans="4:15" x14ac:dyDescent="0.25">
      <c r="D61" s="194" t="s">
        <v>3145</v>
      </c>
      <c r="E61" s="196" t="s">
        <v>2847</v>
      </c>
      <c r="F61" s="273">
        <v>12050</v>
      </c>
      <c r="G61" s="209">
        <f ca="1">OFFSET(自動儲存週選!$S$1,MATCH($F61,自動儲存週選!$J$2:$J$70,0),7-COLUMN())</f>
        <v>-5661.3276162339616</v>
      </c>
      <c r="H61" s="209">
        <f ca="1">OFFSET(自動儲存週選!$S$1,MATCH($F61,自動儲存週選!$J$2:$J$70,0),7-COLUMN())</f>
        <v>-1931231.2231881781</v>
      </c>
      <c r="I61" s="209">
        <f ca="1">OFFSET(自動儲存週選!$S$1,MATCH($F61,自動儲存週選!$J$2:$J$70,0),7-COLUMN())</f>
        <v>10</v>
      </c>
      <c r="J61" s="209">
        <f ca="1">OFFSET(自動儲存週選!$S$1,MATCH($F61,自動儲存週選!$J$2:$J$70,0),7-COLUMN())</f>
        <v>-719334.41535229608</v>
      </c>
      <c r="K61" s="210">
        <f ca="1">-OFFSET(自動儲存週選!$A$1,MATCH($F61,自動儲存週選!$J$2:$J$150,0),21)</f>
        <v>3369.6495055608866</v>
      </c>
      <c r="L61" s="206">
        <f ca="1">IF(OFFSET(自動儲存週選!$H$1,MATCH(F61,自動儲存週選!$J$2:$J$97,0),0)&lt;5%,M61,OFFSET(自動儲存週選!$H$1,MATCH(F61,自動儲存週選!$J$2:$J$97,0),0))</f>
        <v>0.19582995910644532</v>
      </c>
      <c r="M61" s="254">
        <f ca="1">IF(D61="C",OFFSET(自動儲存週選!$AH$1,MATCH(F61,自動儲存週選!$AJ$2:$AJ$97,0),0),OFFSET(自動儲存週選!$AN$1,MATCH(F61,自動儲存週選!$AJ$2:$AJ$97,0),0))</f>
        <v>0.18398973083496095</v>
      </c>
      <c r="N61" s="205">
        <f ca="1">IF(D61="P",OFFSET(自動儲存週選!$AA$1,MATCH($F61,自動儲存週選!$AJ$2:$AJ$32,0),2),OFFSET(自動儲存週選!$AA$1,MATCH($F61,自動儲存週選!$AJ$2:$AJ$32,0),16))</f>
        <v>0</v>
      </c>
      <c r="O61" s="256">
        <f ca="1">(GBSOption(D61,$T$3,$F61,選擇權週選!$N$2,$L61,0, 0)-GBSOption(D61,$T$3,$F61,選擇權週選!$N$2,$M61,0, 0))*50*N61</f>
        <v>0</v>
      </c>
    </row>
    <row r="62" spans="4:15" x14ac:dyDescent="0.25">
      <c r="D62" s="194" t="s">
        <v>3145</v>
      </c>
      <c r="E62" s="196" t="s">
        <v>2847</v>
      </c>
      <c r="F62" s="277">
        <v>12100</v>
      </c>
      <c r="G62" s="209">
        <f ca="1">OFFSET(自動儲存週選!$S$1,MATCH($F62,自動儲存週選!$J$2:$J$70,0),7-COLUMN())</f>
        <v>-11797.337567737444</v>
      </c>
      <c r="H62" s="209">
        <f ca="1">OFFSET(自動儲存週選!$S$1,MATCH($F62,自動儲存週選!$J$2:$J$70,0),7-COLUMN())</f>
        <v>-4449772.1933040917</v>
      </c>
      <c r="I62" s="209">
        <f ca="1">OFFSET(自動儲存週選!$S$1,MATCH($F62,自動儲存週選!$J$2:$J$70,0),7-COLUMN())</f>
        <v>20</v>
      </c>
      <c r="J62" s="209">
        <f ca="1">OFFSET(自動儲存週選!$S$1,MATCH($F62,自動儲存週選!$J$2:$J$70,0),7-COLUMN())</f>
        <v>-1546810.9169852543</v>
      </c>
      <c r="K62" s="210">
        <f ca="1">-OFFSET(自動儲存週選!$A$1,MATCH($F62,自動儲存週選!$J$2:$J$150,0),21)</f>
        <v>7098.3518736622818</v>
      </c>
      <c r="L62" s="206">
        <f ca="1">IF(OFFSET(自動儲存週選!$H$1,MATCH(F62,自動儲存週選!$J$2:$J$97,0),0)&lt;5%,M62,OFFSET(自動儲存週選!$H$1,MATCH(F62,自動儲存週選!$J$2:$J$97,0),0))</f>
        <v>0.19229009704589844</v>
      </c>
      <c r="M62" s="254">
        <f ca="1">IF(D62="C",OFFSET(自動儲存週選!$AH$1,MATCH(F62,自動儲存週選!$AJ$2:$AJ$97,0),0),OFFSET(自動儲存週選!$AN$1,MATCH(F62,自動儲存週選!$AJ$2:$AJ$97,0),0))</f>
        <v>0.17349220886230468</v>
      </c>
      <c r="N62" s="205">
        <f ca="1">IF(D62="P",OFFSET(自動儲存週選!$AA$1,MATCH($F62,自動儲存週選!$AJ$2:$AJ$32,0),2),OFFSET(自動儲存週選!$AA$1,MATCH($F62,自動儲存週選!$AJ$2:$AJ$32,0),16))</f>
        <v>0</v>
      </c>
      <c r="O62" s="256">
        <f ca="1">(GBSOption(D62,$T$3,$F62,選擇權週選!$N$2,$L62,0, 0)-GBSOption(D62,$T$3,$F62,選擇權週選!$N$2,$M62,0, 0))*50*N62</f>
        <v>0</v>
      </c>
    </row>
    <row r="63" spans="4:15" x14ac:dyDescent="0.25">
      <c r="D63" s="194" t="s">
        <v>3145</v>
      </c>
      <c r="E63" s="196" t="s">
        <v>2847</v>
      </c>
      <c r="F63" s="277">
        <v>12150</v>
      </c>
      <c r="G63" s="209">
        <f ca="1">OFFSET(自動儲存週選!$S$1,MATCH($F63,自動儲存週選!$J$2:$J$70,0),7-COLUMN())</f>
        <v>-7736.859849021951</v>
      </c>
      <c r="H63" s="209">
        <f ca="1">OFFSET(自動儲存週選!$S$1,MATCH($F63,自動儲存週選!$J$2:$J$70,0),7-COLUMN())</f>
        <v>-3297462.7072650027</v>
      </c>
      <c r="I63" s="209">
        <f ca="1">OFFSET(自動儲存週選!$S$1,MATCH($F63,自動儲存週選!$J$2:$J$70,0),7-COLUMN())</f>
        <v>13</v>
      </c>
      <c r="J63" s="209">
        <f ca="1">OFFSET(自動儲存週選!$S$1,MATCH($F63,自動儲存週選!$J$2:$J$70,0),7-COLUMN())</f>
        <v>-1077941.6493093558</v>
      </c>
      <c r="K63" s="210">
        <f ca="1">-OFFSET(自動儲存週選!$A$1,MATCH($F63,自動儲存週選!$J$2:$J$150,0),21)</f>
        <v>4783.4514295021763</v>
      </c>
      <c r="L63" s="206">
        <f ca="1">IF(OFFSET(自動儲存週選!$H$1,MATCH(F63,自動儲存週選!$J$2:$J$97,0),0)&lt;5%,M63,OFFSET(自動儲存週選!$H$1,MATCH(F63,自動儲存週選!$J$2:$J$97,0),0))</f>
        <v>0.18923849182128907</v>
      </c>
      <c r="M63" s="254">
        <f ca="1">IF(D63="C",OFFSET(自動儲存週選!$AH$1,MATCH(F63,自動儲存週選!$AJ$2:$AJ$97,0),0),OFFSET(自動儲存週選!$AN$1,MATCH(F63,自動儲存週選!$AJ$2:$AJ$97,0),0))</f>
        <v>0.16140785217285158</v>
      </c>
      <c r="N63" s="205">
        <f ca="1">IF(D63="P",OFFSET(自動儲存週選!$AA$1,MATCH($F63,自動儲存週選!$AJ$2:$AJ$32,0),2),OFFSET(自動儲存週選!$AA$1,MATCH($F63,自動儲存週選!$AJ$2:$AJ$32,0),16))</f>
        <v>0</v>
      </c>
      <c r="O63" s="256">
        <f ca="1">(GBSOption(D63,$T$3,$F63,選擇權週選!$N$2,$L63,0, 0)-GBSOption(D63,$T$3,$F63,選擇權週選!$N$2,$M63,0, 0))*50*N63</f>
        <v>0</v>
      </c>
    </row>
    <row r="64" spans="4:15" ht="17.25" thickBot="1" x14ac:dyDescent="0.3">
      <c r="D64" s="194" t="s">
        <v>3145</v>
      </c>
      <c r="E64" s="196" t="s">
        <v>2847</v>
      </c>
      <c r="F64" s="277">
        <v>12200</v>
      </c>
      <c r="G64" s="209">
        <f ca="1">OFFSET(自動儲存週選!$S$1,MATCH($F64,自動儲存週選!$J$2:$J$70,0),7-COLUMN())</f>
        <v>-5992.044970452348</v>
      </c>
      <c r="H64" s="209">
        <f ca="1">OFFSET(自動儲存週選!$S$1,MATCH($F64,自動儲存週選!$J$2:$J$70,0),7-COLUMN())</f>
        <v>-2879430.8478221102</v>
      </c>
      <c r="I64" s="209">
        <f ca="1">OFFSET(自動儲存週選!$S$1,MATCH($F64,自動儲存週選!$J$2:$J$70,0),7-COLUMN())</f>
        <v>10</v>
      </c>
      <c r="J64" s="209">
        <f ca="1">OFFSET(自動儲存週選!$S$1,MATCH($F64,自動儲存週選!$J$2:$J$70,0),7-COLUMN())</f>
        <v>-859778.93355603539</v>
      </c>
      <c r="K64" s="210">
        <f ca="1">-OFFSET(自動儲存週選!$A$1,MATCH($F64,自動儲存週選!$J$2:$J$150,0),21)</f>
        <v>3753.6759566132855</v>
      </c>
      <c r="L64" s="206">
        <f ca="1">IF(OFFSET(自動儲存週選!$H$1,MATCH(F64,自動儲存週選!$J$2:$J$97,0),0)&lt;5%,M64,OFFSET(自動儲存週選!$H$1,MATCH(F64,自動儲存週選!$J$2:$J$97,0),0))</f>
        <v>0.18472211608886721</v>
      </c>
      <c r="M64" s="254">
        <f ca="1">IF(D64="C",OFFSET(自動儲存週選!$AH$1,MATCH(F64,自動儲存週選!$AJ$2:$AJ$97,0),0),OFFSET(自動儲存週選!$AN$1,MATCH(F64,自動儲存週選!$AJ$2:$AJ$97,0),0))</f>
        <v>0.15420606384277344</v>
      </c>
      <c r="N64" s="205">
        <f ca="1">IF(D64="P",OFFSET(自動儲存週選!$AA$1,MATCH($F64,自動儲存週選!$AJ$2:$AJ$32,0),2),OFFSET(自動儲存週選!$AA$1,MATCH($F64,自動儲存週選!$AJ$2:$AJ$32,0),16))</f>
        <v>0</v>
      </c>
      <c r="O64" s="256">
        <f ca="1">(GBSOption(D64,$T$3,$F64,選擇權週選!$N$2,$L64,0, 0)-GBSOption(D64,$T$3,$F64,選擇權週選!$N$2,$M64,0, 0))*50*N64</f>
        <v>0</v>
      </c>
    </row>
    <row r="65" spans="4:15" ht="17.25" thickBot="1" x14ac:dyDescent="0.3">
      <c r="D65" s="193" t="s">
        <v>1902</v>
      </c>
      <c r="E65" s="159"/>
      <c r="F65" s="159"/>
      <c r="G65" s="207">
        <f ca="1">SUM(G61:G64)</f>
        <v>-31187.570003445708</v>
      </c>
      <c r="H65" s="207">
        <f ca="1">SUM(H61:H64)</f>
        <v>-12557896.971579384</v>
      </c>
      <c r="I65" s="207">
        <f ca="1">SUM(I61:I64)</f>
        <v>53</v>
      </c>
      <c r="J65" s="207">
        <f ca="1">SUM(J61:J64)</f>
        <v>-4203865.9152029417</v>
      </c>
      <c r="K65" s="207">
        <f ca="1">SUM(K61:K64)</f>
        <v>19005.128765338632</v>
      </c>
      <c r="L65" s="274"/>
      <c r="M65" s="255"/>
      <c r="N65" s="207"/>
      <c r="O65" s="257">
        <f ca="1">SUM(O61:O64)</f>
        <v>0</v>
      </c>
    </row>
  </sheetData>
  <autoFilter ref="D46:O46"/>
  <sortState ref="D47:O57">
    <sortCondition ref="F46"/>
  </sortState>
  <mergeCells count="3">
    <mergeCell ref="D10:D11"/>
    <mergeCell ref="H10:H11"/>
    <mergeCell ref="D1:D2"/>
  </mergeCells>
  <phoneticPr fontId="4" type="noConversion"/>
  <conditionalFormatting sqref="AW1:AZ24 F53">
    <cfRule type="expression" dxfId="3" priority="8">
      <formula>AND(NOT(($AW1=$AW1048576)*($AY1=$AY1048576)*($AZ1=$AZ1048576)),$BA1)</formula>
    </cfRule>
  </conditionalFormatting>
  <conditionalFormatting sqref="B56:B60">
    <cfRule type="expression" dxfId="2" priority="9">
      <formula>AND(NOT(($AW57=$AW56)*($AY57=$AY56)*($AZ57=$AZ56)),$BA57)</formula>
    </cfRule>
  </conditionalFormatting>
  <conditionalFormatting sqref="F55">
    <cfRule type="expression" dxfId="1" priority="2">
      <formula>AND(NOT(($AW62=$AW57)*($AY62=$AY57)*($AZ62=$AZ57)),$BA62)</formula>
    </cfRule>
  </conditionalFormatting>
  <conditionalFormatting sqref="F54">
    <cfRule type="expression" dxfId="0" priority="11">
      <formula>AND(NOT(($AW54=#REF!)*($AY54=#REF!)*($AZ54=#REF!)),$BA54)</formula>
    </cfRule>
  </conditionalFormatting>
  <pageMargins left="0" right="0" top="0" bottom="0" header="0" footer="0"/>
  <pageSetup paperSize="9" scale="46" orientation="landscape" r:id="rId1"/>
  <drawing r:id="rId2"/>
  <legacyDrawing r:id="rId3"/>
  <controls>
    <mc:AlternateContent xmlns:mc="http://schemas.openxmlformats.org/markup-compatibility/2006">
      <mc:Choice Requires="x14">
        <control shapeId="7170" r:id="rId4" name="CommandButton1">
          <controlPr defaultSize="0" autoLine="0" r:id="rId5">
            <anchor moveWithCells="1">
              <from>
                <xdr:col>24</xdr:col>
                <xdr:colOff>66675</xdr:colOff>
                <xdr:row>0</xdr:row>
                <xdr:rowOff>66675</xdr:rowOff>
              </from>
              <to>
                <xdr:col>26</xdr:col>
                <xdr:colOff>161925</xdr:colOff>
                <xdr:row>4</xdr:row>
                <xdr:rowOff>0</xdr:rowOff>
              </to>
            </anchor>
          </controlPr>
        </control>
      </mc:Choice>
      <mc:Fallback>
        <control shapeId="7170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6" tint="-0.249977111117893"/>
    <pageSetUpPr fitToPage="1"/>
  </sheetPr>
  <dimension ref="C1:U16"/>
  <sheetViews>
    <sheetView zoomScaleNormal="100" workbookViewId="0">
      <selection activeCell="A2" sqref="A2"/>
    </sheetView>
  </sheetViews>
  <sheetFormatPr defaultRowHeight="16.5" x14ac:dyDescent="0.25"/>
  <cols>
    <col min="1" max="3" width="9" style="244"/>
    <col min="4" max="4" width="16" style="244" customWidth="1"/>
    <col min="5" max="5" width="11.75" style="244" bestFit="1" customWidth="1"/>
    <col min="6" max="6" width="11.375" style="244" customWidth="1"/>
    <col min="7" max="7" width="10.25" style="244" bestFit="1" customWidth="1"/>
    <col min="8" max="8" width="10.875" style="244" customWidth="1"/>
    <col min="9" max="9" width="13.25" style="244" customWidth="1"/>
    <col min="10" max="10" width="16.625" style="244" customWidth="1"/>
    <col min="11" max="12" width="9" style="244"/>
    <col min="13" max="13" width="13" style="244" customWidth="1"/>
    <col min="14" max="14" width="11.375" style="244" customWidth="1"/>
    <col min="15" max="16" width="9" style="244"/>
    <col min="17" max="17" width="10.75" style="244" customWidth="1"/>
    <col min="18" max="18" width="11.5" style="244" customWidth="1"/>
    <col min="19" max="19" width="13.375" style="244" customWidth="1"/>
    <col min="20" max="21" width="11.875" style="244" customWidth="1"/>
    <col min="22" max="16384" width="9" style="244"/>
  </cols>
  <sheetData>
    <row r="1" spans="3:21" x14ac:dyDescent="0.25">
      <c r="D1" s="244" t="s">
        <v>57</v>
      </c>
      <c r="E1" s="244">
        <f>[1]!'125080`205'</f>
        <v>12081</v>
      </c>
    </row>
    <row r="2" spans="3:21" x14ac:dyDescent="0.25">
      <c r="D2" s="244" t="s">
        <v>58</v>
      </c>
      <c r="E2" s="244">
        <f>[1]!'125090`205'</f>
        <v>12038</v>
      </c>
    </row>
    <row r="4" spans="3:21" ht="17.25" thickBot="1" x14ac:dyDescent="0.3">
      <c r="D4" s="244" t="s">
        <v>60</v>
      </c>
      <c r="S4" s="244" t="s">
        <v>61</v>
      </c>
    </row>
    <row r="5" spans="3:21" ht="17.25" thickBot="1" x14ac:dyDescent="0.3">
      <c r="D5" s="245" t="s">
        <v>59</v>
      </c>
      <c r="E5" s="245" t="s">
        <v>2565</v>
      </c>
      <c r="F5" s="245" t="s">
        <v>2566</v>
      </c>
      <c r="S5" s="245" t="s">
        <v>59</v>
      </c>
      <c r="T5" s="245" t="s">
        <v>2565</v>
      </c>
      <c r="U5" s="245" t="s">
        <v>2566</v>
      </c>
    </row>
    <row r="6" spans="3:21" x14ac:dyDescent="0.25">
      <c r="C6" s="244">
        <v>-5</v>
      </c>
      <c r="D6" s="246">
        <f>D7-100</f>
        <v>11600</v>
      </c>
      <c r="E6" s="247">
        <f ca="1">OFFSET(自動儲存!$N$1,MATCH(D6,自動儲存!$J$2:$J$100,0),0)</f>
        <v>0.22585775451660156</v>
      </c>
      <c r="F6" s="247">
        <f ca="1">OFFSET(自動儲存!$AN$1,MATCH(D6,自動儲存!$AJ$2:$AJ$100,0),0)</f>
        <v>0.22182963562011718</v>
      </c>
      <c r="S6" s="246">
        <f>S7-100</f>
        <v>11500</v>
      </c>
      <c r="T6" s="247">
        <f ca="1">OFFSET(自動儲存次近月!$H$1,MATCH(S6,自動儲存次近月!$J$2:$J$100,0),0)</f>
        <v>0.22121931457519531</v>
      </c>
      <c r="U6" s="247">
        <f ca="1">OFFSET(自動儲存次近月!$AN$1,MATCH(S6,自動儲存次近月!$AJ$2:$AJ$100,0),0)</f>
        <v>0.22146344299316406</v>
      </c>
    </row>
    <row r="7" spans="3:21" x14ac:dyDescent="0.25">
      <c r="C7" s="244">
        <f>C6+1</f>
        <v>-4</v>
      </c>
      <c r="D7" s="246">
        <f>D8-100</f>
        <v>11700</v>
      </c>
      <c r="E7" s="247">
        <f ca="1">OFFSET(自動儲存!$N$1,MATCH(D7,自動儲存!$J$2:$J$100,0),0)</f>
        <v>0.2193883514404297</v>
      </c>
      <c r="F7" s="247">
        <f ca="1">OFFSET(自動儲存!$AN$1,MATCH(D7,自動儲存!$AJ$2:$AJ$100,0),0)</f>
        <v>0.21474991149902345</v>
      </c>
      <c r="S7" s="246">
        <f>S8-100</f>
        <v>11600</v>
      </c>
      <c r="T7" s="247">
        <f ca="1">OFFSET(自動儲存次近月!$H$1,MATCH(S7,自動儲存次近月!$J$2:$J$100,0),0)</f>
        <v>0.21877803039550783</v>
      </c>
      <c r="U7" s="247">
        <f ca="1">OFFSET(自動儲存次近月!$AN$1,MATCH(S7,自動儲存次近月!$AJ$2:$AJ$100,0),0)</f>
        <v>0.21633674621582036</v>
      </c>
    </row>
    <row r="8" spans="3:21" x14ac:dyDescent="0.25">
      <c r="C8" s="244">
        <f t="shared" ref="C8:C16" si="0">C7+1</f>
        <v>-3</v>
      </c>
      <c r="D8" s="246">
        <f>D9-100</f>
        <v>11800</v>
      </c>
      <c r="E8" s="247">
        <f ca="1">OFFSET(自動儲存!$N$1,MATCH(D8,自動儲存!$J$2:$J$100,0),0)</f>
        <v>0.21194243469238286</v>
      </c>
      <c r="F8" s="247">
        <f ca="1">OFFSET(自動儲存!$AN$1,MATCH(D8,自動儲存!$AJ$2:$AJ$100,0),0)</f>
        <v>0.20864670104980473</v>
      </c>
      <c r="S8" s="246">
        <f>S9-100</f>
        <v>11700</v>
      </c>
      <c r="T8" s="247">
        <f ca="1">OFFSET(自動儲存次近月!$H$1,MATCH(S8,自動儲存次近月!$J$2:$J$100,0),0)</f>
        <v>0.21462784729003909</v>
      </c>
      <c r="U8" s="247">
        <f ca="1">OFFSET(自動儲存次近月!$AN$1,MATCH(S8,自動儲存次近月!$AJ$2:$AJ$100,0),0)</f>
        <v>0.21133211364746096</v>
      </c>
    </row>
    <row r="9" spans="3:21" x14ac:dyDescent="0.25">
      <c r="C9" s="244">
        <f t="shared" si="0"/>
        <v>-2</v>
      </c>
      <c r="D9" s="246">
        <f>D10-100</f>
        <v>11900</v>
      </c>
      <c r="E9" s="247">
        <f ca="1">OFFSET(自動儲存!$N$1,MATCH(D9,自動儲存!$J$2:$J$100,0),0)</f>
        <v>0.20535096740722658</v>
      </c>
      <c r="F9" s="247">
        <f ca="1">OFFSET(自動儲存!$AN$1,MATCH(D9,自動儲存!$AJ$2:$AJ$100,0),0)</f>
        <v>0.20107872009277344</v>
      </c>
      <c r="S9" s="246">
        <f>S10-100</f>
        <v>11800</v>
      </c>
      <c r="T9" s="247">
        <f ca="1">OFFSET(自動儲存次近月!$H$1,MATCH(S9,自動儲存次近月!$J$2:$J$100,0),0)</f>
        <v>0.20889082946777346</v>
      </c>
      <c r="U9" s="247">
        <f ca="1">OFFSET(自動儲存次近月!$AN$1,MATCH(S9,自動儲存次近月!$AJ$2:$AJ$100,0),0)</f>
        <v>0.2062054168701172</v>
      </c>
    </row>
    <row r="10" spans="3:21" x14ac:dyDescent="0.25">
      <c r="C10" s="244">
        <f t="shared" si="0"/>
        <v>-1</v>
      </c>
      <c r="D10" s="246">
        <f>D11-100</f>
        <v>12000</v>
      </c>
      <c r="E10" s="247">
        <f ca="1">OFFSET(自動儲存!$N$1,MATCH(D10,自動儲存!$J$2:$J$100,0),0)</f>
        <v>0.19900362854003906</v>
      </c>
      <c r="F10" s="247">
        <f ca="1">OFFSET(自動儲存!$AN$1,MATCH(D10,自動儲存!$AJ$2:$AJ$100,0),0)</f>
        <v>0.19497550964355467</v>
      </c>
      <c r="S10" s="246">
        <f>S11-100</f>
        <v>11900</v>
      </c>
      <c r="T10" s="247">
        <f ca="1">OFFSET(自動儲存次近月!$H$1,MATCH(S10,自動儲存次近月!$J$2:$J$100,0),0)</f>
        <v>0.20413032531738282</v>
      </c>
      <c r="U10" s="247">
        <f ca="1">OFFSET(自動儲存次近月!$AN$1,MATCH(S10,自動儲存次近月!$AJ$2:$AJ$100,0),0)</f>
        <v>0.20083459167480469</v>
      </c>
    </row>
    <row r="11" spans="3:21" x14ac:dyDescent="0.25">
      <c r="C11" s="244">
        <f>C10+1</f>
        <v>0</v>
      </c>
      <c r="D11" s="246">
        <f>ROUND(E1,-2)</f>
        <v>12100</v>
      </c>
      <c r="E11" s="247">
        <f ca="1">OFFSET(自動儲存!$N$1,MATCH(D11,自動儲存!$J$2:$J$100,0),0)</f>
        <v>0.19265628967285159</v>
      </c>
      <c r="F11" s="247">
        <f ca="1">OFFSET(自動儲存!$AN$1,MATCH(D11,自動儲存!$AJ$2:$AJ$100,0),0)</f>
        <v>0.18960468444824219</v>
      </c>
      <c r="S11" s="246">
        <f>ROUND(E2,-2)</f>
        <v>12000</v>
      </c>
      <c r="T11" s="247">
        <f ca="1">OFFSET(自動儲存次近月!$H$1,MATCH(S11,自動儲存次近月!$J$2:$J$100,0),0)</f>
        <v>0.19998014221191407</v>
      </c>
      <c r="U11" s="247">
        <f ca="1">OFFSET(自動儲存次近月!$AN$1,MATCH(S11,自動儲存次近月!$AJ$2:$AJ$100,0),0)</f>
        <v>0.19656234436035158</v>
      </c>
    </row>
    <row r="12" spans="3:21" x14ac:dyDescent="0.25">
      <c r="C12" s="244">
        <f t="shared" si="0"/>
        <v>1</v>
      </c>
      <c r="D12" s="246">
        <f>D11+100</f>
        <v>12200</v>
      </c>
      <c r="E12" s="247">
        <f ca="1">OFFSET(自動儲存!$N$1,MATCH(D12,自動儲存!$J$2:$J$100,0),0)</f>
        <v>0.18899436340332035</v>
      </c>
      <c r="F12" s="247">
        <f ca="1">OFFSET(自動儲存!$AN$1,MATCH(D12,自動儲存!$AJ$2:$AJ$100,0),0)</f>
        <v>0.18582069396972659</v>
      </c>
      <c r="S12" s="246">
        <f>S11+100</f>
        <v>12100</v>
      </c>
      <c r="T12" s="247">
        <f ca="1">OFFSET(自動儲存次近月!$H$1,MATCH(S12,自動儲存次近月!$J$2:$J$100,0),0)</f>
        <v>0.19595202331542969</v>
      </c>
      <c r="U12" s="247">
        <f ca="1">OFFSET(自動儲存次近月!$AN$1,MATCH(S12,自動儲存次近月!$AJ$2:$AJ$100,0),0)</f>
        <v>0.1925342254638672</v>
      </c>
    </row>
    <row r="13" spans="3:21" x14ac:dyDescent="0.25">
      <c r="C13" s="244">
        <f t="shared" si="0"/>
        <v>2</v>
      </c>
      <c r="D13" s="246">
        <f>D12+100</f>
        <v>12300</v>
      </c>
      <c r="E13" s="247">
        <f ca="1">OFFSET(自動儲存!$N$1,MATCH(D13,自動儲存!$J$2:$J$100,0),0)</f>
        <v>0.18545450134277344</v>
      </c>
      <c r="F13" s="247">
        <f ca="1">OFFSET(自動儲存!$AN$1,MATCH(D13,自動儲存!$AJ$2:$AJ$100,0),0)</f>
        <v>0.18228083190917968</v>
      </c>
      <c r="S13" s="246">
        <f>S12+100</f>
        <v>12200</v>
      </c>
      <c r="T13" s="247">
        <f ca="1">OFFSET(自動儲存次近月!$H$1,MATCH(S13,自動儲存次近月!$J$2:$J$100,0),0)</f>
        <v>0.1925342254638672</v>
      </c>
      <c r="U13" s="247">
        <f ca="1">OFFSET(自動儲存次近月!$AN$1,MATCH(S13,自動儲存次近月!$AJ$2:$AJ$100,0),0)</f>
        <v>0.1899708770751953</v>
      </c>
    </row>
    <row r="14" spans="3:21" x14ac:dyDescent="0.25">
      <c r="C14" s="244">
        <f t="shared" si="0"/>
        <v>3</v>
      </c>
      <c r="D14" s="246">
        <f>D13+100</f>
        <v>12400</v>
      </c>
      <c r="E14" s="247">
        <f ca="1">OFFSET(自動儲存!$N$1,MATCH(D14,自動儲存!$J$2:$J$100,0),0)</f>
        <v>0.17922922668457034</v>
      </c>
      <c r="F14" s="247">
        <f ca="1">OFFSET(自動儲存!$AN$1,MATCH(D14,自動儲存!$AJ$2:$AJ$100,0),0)</f>
        <v>0.17983954772949221</v>
      </c>
      <c r="S14" s="246">
        <f>S13+100</f>
        <v>12300</v>
      </c>
      <c r="T14" s="247">
        <f ca="1">OFFSET(自動儲存次近月!$H$1,MATCH(S14,自動儲存次近月!$J$2:$J$100,0),0)</f>
        <v>0.18899436340332035</v>
      </c>
      <c r="U14" s="247">
        <f ca="1">OFFSET(自動儲存次近月!$AN$1,MATCH(S14,自動儲存次近月!$AJ$2:$AJ$100,0),0)</f>
        <v>0.1837456024169922</v>
      </c>
    </row>
    <row r="15" spans="3:21" x14ac:dyDescent="0.25">
      <c r="C15" s="244">
        <f t="shared" si="0"/>
        <v>4</v>
      </c>
      <c r="D15" s="246">
        <f>D14+100</f>
        <v>12500</v>
      </c>
      <c r="E15" s="247">
        <f ca="1">OFFSET(自動儲存!$N$1,MATCH(D15,自動儲存!$J$2:$J$100,0),0)</f>
        <v>0.17678794250488286</v>
      </c>
      <c r="F15" s="247">
        <f ca="1">OFFSET(自動儲存!$AN$1,MATCH(D15,自動儲存!$AJ$2:$AJ$100,0),0)</f>
        <v>0.17715413513183598</v>
      </c>
      <c r="S15" s="246">
        <f>S14+100</f>
        <v>12400</v>
      </c>
      <c r="T15" s="247">
        <f ca="1">OFFSET(自動儲存次近月!$H$1,MATCH(S15,自動儲存次近月!$J$2:$J$100,0),0)</f>
        <v>0.18630895080566406</v>
      </c>
      <c r="U15" s="247">
        <f ca="1">OFFSET(自動儲存次近月!$AN$1,MATCH(S15,自動儲存次近月!$AJ$2:$AJ$100,0),0)</f>
        <v>0.18020574035644535</v>
      </c>
    </row>
    <row r="16" spans="3:21" ht="17.25" thickBot="1" x14ac:dyDescent="0.3">
      <c r="C16" s="244">
        <f t="shared" si="0"/>
        <v>5</v>
      </c>
      <c r="D16" s="248">
        <f>D15+100</f>
        <v>12600</v>
      </c>
      <c r="E16" s="249">
        <f ca="1">OFFSET(自動儲存!$N$1,MATCH(D16,自動儲存!$J$2:$J$100,0),0)</f>
        <v>0.17593349304199221</v>
      </c>
      <c r="F16" s="249">
        <f ca="1">OFFSET(自動儲存!$AN$1,MATCH(D16,自動儲存!$AJ$2:$AJ$100,0),0)</f>
        <v>0.17446872253417969</v>
      </c>
      <c r="S16" s="248">
        <f>S15+100</f>
        <v>12500</v>
      </c>
      <c r="T16" s="249">
        <f ca="1">OFFSET(自動儲存次近月!$H$1,MATCH(S16,自動儲存次近月!$J$2:$J$100,0),0)</f>
        <v>0.18203670349121095</v>
      </c>
      <c r="U16" s="249">
        <f ca="1">OFFSET(自動儲存次近月!$AN$1,MATCH(S16,自動儲存次近月!$AJ$2:$AJ$100,0),0)</f>
        <v>0.17727619934082037</v>
      </c>
    </row>
  </sheetData>
  <phoneticPr fontId="4" type="noConversion"/>
  <pageMargins left="0" right="0" top="0" bottom="0" header="0" footer="0"/>
  <pageSetup paperSize="9" scale="4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>
    <tabColor theme="9" tint="-0.499984740745262"/>
    <pageSetUpPr fitToPage="1"/>
  </sheetPr>
  <dimension ref="A2:L45"/>
  <sheetViews>
    <sheetView zoomScaleNormal="100" workbookViewId="0">
      <selection activeCell="A2" sqref="A2"/>
    </sheetView>
  </sheetViews>
  <sheetFormatPr defaultRowHeight="16.5" x14ac:dyDescent="0.25"/>
  <cols>
    <col min="1" max="1" width="9.125" style="45" bestFit="1" customWidth="1"/>
    <col min="2" max="4" width="12" style="45" customWidth="1"/>
    <col min="5" max="5" width="10.375" style="45" customWidth="1"/>
    <col min="6" max="6" width="10.375" style="45" bestFit="1" customWidth="1"/>
    <col min="7" max="7" width="13.625" style="45" bestFit="1" customWidth="1"/>
    <col min="8" max="8" width="13" style="45" bestFit="1" customWidth="1"/>
    <col min="9" max="9" width="10.375" style="45" bestFit="1" customWidth="1"/>
    <col min="10" max="10" width="10.75" style="45" customWidth="1"/>
    <col min="11" max="11" width="9.75" style="45" bestFit="1" customWidth="1"/>
    <col min="12" max="12" width="10.375" style="45" bestFit="1" customWidth="1"/>
    <col min="13" max="16384" width="9" style="45"/>
  </cols>
  <sheetData>
    <row r="2" spans="1:12" ht="17.25" thickBot="1" x14ac:dyDescent="0.3"/>
    <row r="3" spans="1:12" ht="17.25" thickBot="1" x14ac:dyDescent="0.3">
      <c r="A3" s="54" t="s">
        <v>2790</v>
      </c>
      <c r="B3" s="54" t="s">
        <v>2789</v>
      </c>
      <c r="C3" s="54" t="s">
        <v>2413</v>
      </c>
      <c r="D3" s="54" t="s">
        <v>2786</v>
      </c>
      <c r="E3" s="54" t="s">
        <v>261</v>
      </c>
      <c r="F3" s="54" t="s">
        <v>2416</v>
      </c>
      <c r="G3" s="54" t="s">
        <v>1073</v>
      </c>
      <c r="H3" s="54" t="s">
        <v>2787</v>
      </c>
      <c r="I3" s="54" t="s">
        <v>49</v>
      </c>
      <c r="J3" s="54" t="s">
        <v>2788</v>
      </c>
    </row>
    <row r="4" spans="1:12" x14ac:dyDescent="0.25">
      <c r="A4" s="259" t="s">
        <v>2791</v>
      </c>
      <c r="B4" s="259">
        <v>300</v>
      </c>
      <c r="C4" s="259">
        <v>11500</v>
      </c>
      <c r="D4" s="259">
        <v>11500</v>
      </c>
      <c r="E4" s="260">
        <f>5/252</f>
        <v>1.984126984126984E-2</v>
      </c>
      <c r="F4" s="261">
        <v>0.15</v>
      </c>
      <c r="G4" s="262">
        <f t="shared" ref="G4:G5" si="0">GBSGreeks("d", "P",C4,D4,E4,F4, 0,0)*50*C4*B4</f>
        <v>-85522590.989137545</v>
      </c>
      <c r="H4" s="262">
        <f>GBSGreeks("g", "P",C4,D4,E4,F4, 0,0)*C4^2*50*1%*B4</f>
        <v>32568588.669675726</v>
      </c>
      <c r="I4" s="262">
        <f>(GBSOption("P",C4,D4,E4,F4,0,0)-GBSOption("P",C4,D4,E4-1/252,F4,0,0))*B4*50*-1</f>
        <v>-153576.72554016934</v>
      </c>
      <c r="J4" s="262">
        <f>(GBSOption("P",C4,D4,E4,F4+0.01,0,0)-GBSOption("P",C4,D4,E4,F4,0,0))*B4*50</f>
        <v>96978.385129079499</v>
      </c>
    </row>
    <row r="5" spans="1:12" x14ac:dyDescent="0.25">
      <c r="A5" s="259" t="s">
        <v>2792</v>
      </c>
      <c r="B5" s="259">
        <v>-500</v>
      </c>
      <c r="C5" s="259">
        <f>[1]!'125070`205'</f>
        <v>12220</v>
      </c>
      <c r="D5" s="259">
        <f>ROUND(C5,-2)</f>
        <v>12200</v>
      </c>
      <c r="E5" s="263">
        <f ca="1">選擇權近月!$N$2</f>
        <v>0.10317460317460317</v>
      </c>
      <c r="F5" s="247">
        <f>VLOOKUP(D5,自動儲存!$J$2:$N$35,5,FALSE)</f>
        <v>0.18899436340332035</v>
      </c>
      <c r="G5" s="262">
        <f t="shared" ca="1" si="0"/>
        <v>145763269.70301124</v>
      </c>
      <c r="H5" s="262">
        <f t="shared" ref="H5:H6" ca="1" si="1">GBSGreeks("g", "P",C5,D5,E5,F5, 0,0)*C5^2*50*1%*B5</f>
        <v>-20043436.392075069</v>
      </c>
      <c r="I5" s="262">
        <f ca="1">(GBSOption("P",C5,D5,E5,F5,0,0)-GBSOption("P",C5,D5,E5-1/252,F5,0,0))*B5*50*-1</f>
        <v>143520.73614738428</v>
      </c>
      <c r="J5" s="262">
        <f ca="1">(GBSOption("P",C5,D5,E5,F5+0.01,0,0)-GBSOption("P",C5,D5,E5,F5,0,0))*B5*50</f>
        <v>-391036.00587884127</v>
      </c>
    </row>
    <row r="6" spans="1:12" x14ac:dyDescent="0.25">
      <c r="A6" s="259" t="s">
        <v>2339</v>
      </c>
      <c r="B6" s="259">
        <v>200</v>
      </c>
      <c r="C6" s="259">
        <f>[1]!'125080`205'</f>
        <v>12081</v>
      </c>
      <c r="D6" s="259">
        <f>ROUND(C6,-2)</f>
        <v>12100</v>
      </c>
      <c r="E6" s="263">
        <f ca="1">選擇權次近月!$N$2</f>
        <v>0.18253968253968253</v>
      </c>
      <c r="F6" s="247" t="e">
        <f>VLOOKUP(D6,自動儲存次近月!$J$2:$N$35,5,FALSE)</f>
        <v>#N/A</v>
      </c>
      <c r="G6" s="262" t="e">
        <f ca="1">GBSGreeks("d", "P",C6,D6,E6,F6, 0,0)*50*C6*B6</f>
        <v>#VALUE!</v>
      </c>
      <c r="H6" s="262" t="e">
        <f t="shared" ca="1" si="1"/>
        <v>#VALUE!</v>
      </c>
      <c r="I6" s="262" t="e">
        <f ca="1">(GBSOption("P",C6,D6,E6,F6,0,0)-GBSOption("P",C6,D6,E6-1/252,F6,0,0))*B6*50*-1</f>
        <v>#VALUE!</v>
      </c>
      <c r="J6" s="262" t="e">
        <f ca="1">(GBSOption("P",C6,D6,E6,F6+0.01,0,0)-GBSOption("P",C6,D6,E6,F6,0,0))*B6*50</f>
        <v>#VALUE!</v>
      </c>
    </row>
    <row r="7" spans="1:12" ht="17.25" thickBot="1" x14ac:dyDescent="0.3">
      <c r="A7" s="259" t="s">
        <v>2793</v>
      </c>
      <c r="B7" s="259" t="e">
        <f ca="1">ROUND(-SUM(G4:G6)/(C5*200),0)</f>
        <v>#VALUE!</v>
      </c>
      <c r="C7" s="259"/>
      <c r="D7" s="259"/>
      <c r="E7" s="259"/>
      <c r="F7" s="259"/>
      <c r="G7" s="262" t="e">
        <f ca="1">B7*C5*200</f>
        <v>#VALUE!</v>
      </c>
      <c r="H7" s="259"/>
      <c r="I7" s="259"/>
      <c r="J7" s="259"/>
    </row>
    <row r="8" spans="1:12" ht="17.25" thickBot="1" x14ac:dyDescent="0.3">
      <c r="A8" s="264" t="s">
        <v>2794</v>
      </c>
      <c r="B8" s="264"/>
      <c r="C8" s="264"/>
      <c r="D8" s="264"/>
      <c r="E8" s="264"/>
      <c r="F8" s="264"/>
      <c r="G8" s="265" t="e">
        <f ca="1">SUM(G4:G7)</f>
        <v>#VALUE!</v>
      </c>
      <c r="H8" s="265" t="e">
        <f t="shared" ref="H8:J8" ca="1" si="2">SUM(H4:H7)</f>
        <v>#VALUE!</v>
      </c>
      <c r="I8" s="265" t="e">
        <f t="shared" ca="1" si="2"/>
        <v>#VALUE!</v>
      </c>
      <c r="J8" s="265" t="e">
        <f t="shared" ca="1" si="2"/>
        <v>#VALUE!</v>
      </c>
    </row>
    <row r="11" spans="1:12" ht="17.25" thickBot="1" x14ac:dyDescent="0.3"/>
    <row r="12" spans="1:12" ht="17.25" thickBot="1" x14ac:dyDescent="0.3">
      <c r="A12" s="266"/>
      <c r="B12" s="267">
        <v>-0.05</v>
      </c>
      <c r="C12" s="268">
        <f>B12+1%</f>
        <v>-0.04</v>
      </c>
      <c r="D12" s="268">
        <f t="shared" ref="D12:L12" si="3">C12+1%</f>
        <v>-0.03</v>
      </c>
      <c r="E12" s="268">
        <f t="shared" si="3"/>
        <v>-1.9999999999999997E-2</v>
      </c>
      <c r="F12" s="268">
        <f t="shared" si="3"/>
        <v>-9.9999999999999967E-3</v>
      </c>
      <c r="G12" s="268">
        <f t="shared" si="3"/>
        <v>0</v>
      </c>
      <c r="H12" s="268">
        <f t="shared" si="3"/>
        <v>0.01</v>
      </c>
      <c r="I12" s="268">
        <f t="shared" si="3"/>
        <v>0.02</v>
      </c>
      <c r="J12" s="268">
        <f t="shared" si="3"/>
        <v>0.03</v>
      </c>
      <c r="K12" s="268">
        <f>J12+1%</f>
        <v>0.04</v>
      </c>
      <c r="L12" s="268">
        <f t="shared" si="3"/>
        <v>0.05</v>
      </c>
    </row>
    <row r="13" spans="1:12" ht="17.25" thickBot="1" x14ac:dyDescent="0.3">
      <c r="A13" s="267">
        <v>-0.05</v>
      </c>
      <c r="B13" s="269" t="e">
        <f t="shared" ref="B13:L23" ca="1" si="4">(GBSOption("P",$C$4,$D$4,$E$4,$F$4,0,0)-GBSOption("P",$C$4*(1+B$12),$D$4,$E$4-1/252,$F$4+$A13,0,0))*$B$4*50*-1+(GBSOption("P",$C$5,$D$5,$E$5,$F$5,0,0)-GBSOption("P",$C$5*(1+B$12),$D$5,$E$5-1/252,$F$5+$A13,0,0))*$B$5*50*-1+(GBSOption("P",$C$6,$D$6,$E$6,$F$6,0,0)-GBSOption("P",$C$6*(1+B$12),$D$6,$E$6-1/252,$F$6+$A13,0,0))*$B$6*50*-1+($C$5*(1+B$12)-$C$5)*$B$7*200</f>
        <v>#VALUE!</v>
      </c>
      <c r="C13" s="269" t="e">
        <f t="shared" ca="1" si="4"/>
        <v>#VALUE!</v>
      </c>
      <c r="D13" s="269" t="e">
        <f t="shared" ca="1" si="4"/>
        <v>#VALUE!</v>
      </c>
      <c r="E13" s="269" t="e">
        <f t="shared" ca="1" si="4"/>
        <v>#VALUE!</v>
      </c>
      <c r="F13" s="269" t="e">
        <f t="shared" ca="1" si="4"/>
        <v>#VALUE!</v>
      </c>
      <c r="G13" s="269" t="e">
        <f t="shared" ca="1" si="4"/>
        <v>#VALUE!</v>
      </c>
      <c r="H13" s="269" t="e">
        <f t="shared" ca="1" si="4"/>
        <v>#VALUE!</v>
      </c>
      <c r="I13" s="269" t="e">
        <f t="shared" ca="1" si="4"/>
        <v>#VALUE!</v>
      </c>
      <c r="J13" s="269" t="e">
        <f t="shared" ca="1" si="4"/>
        <v>#VALUE!</v>
      </c>
      <c r="K13" s="269" t="e">
        <f t="shared" ca="1" si="4"/>
        <v>#VALUE!</v>
      </c>
      <c r="L13" s="269" t="e">
        <f t="shared" ca="1" si="4"/>
        <v>#VALUE!</v>
      </c>
    </row>
    <row r="14" spans="1:12" ht="17.25" thickBot="1" x14ac:dyDescent="0.3">
      <c r="A14" s="268">
        <f>A13+1%</f>
        <v>-0.04</v>
      </c>
      <c r="B14" s="270" t="e">
        <f t="shared" ca="1" si="4"/>
        <v>#VALUE!</v>
      </c>
      <c r="C14" s="270" t="e">
        <f t="shared" ca="1" si="4"/>
        <v>#VALUE!</v>
      </c>
      <c r="D14" s="270" t="e">
        <f t="shared" ca="1" si="4"/>
        <v>#VALUE!</v>
      </c>
      <c r="E14" s="270" t="e">
        <f t="shared" ca="1" si="4"/>
        <v>#VALUE!</v>
      </c>
      <c r="F14" s="270" t="e">
        <f t="shared" ca="1" si="4"/>
        <v>#VALUE!</v>
      </c>
      <c r="G14" s="270" t="e">
        <f t="shared" ca="1" si="4"/>
        <v>#VALUE!</v>
      </c>
      <c r="H14" s="270" t="e">
        <f t="shared" ca="1" si="4"/>
        <v>#VALUE!</v>
      </c>
      <c r="I14" s="270" t="e">
        <f t="shared" ca="1" si="4"/>
        <v>#VALUE!</v>
      </c>
      <c r="J14" s="270" t="e">
        <f t="shared" ca="1" si="4"/>
        <v>#VALUE!</v>
      </c>
      <c r="K14" s="270" t="e">
        <f t="shared" ca="1" si="4"/>
        <v>#VALUE!</v>
      </c>
      <c r="L14" s="270" t="e">
        <f t="shared" ca="1" si="4"/>
        <v>#VALUE!</v>
      </c>
    </row>
    <row r="15" spans="1:12" ht="17.25" thickBot="1" x14ac:dyDescent="0.3">
      <c r="A15" s="268">
        <f t="shared" ref="A15:A23" si="5">A14+1%</f>
        <v>-0.03</v>
      </c>
      <c r="B15" s="270" t="e">
        <f t="shared" ca="1" si="4"/>
        <v>#VALUE!</v>
      </c>
      <c r="C15" s="270" t="e">
        <f t="shared" ca="1" si="4"/>
        <v>#VALUE!</v>
      </c>
      <c r="D15" s="270" t="e">
        <f t="shared" ca="1" si="4"/>
        <v>#VALUE!</v>
      </c>
      <c r="E15" s="270" t="e">
        <f t="shared" ca="1" si="4"/>
        <v>#VALUE!</v>
      </c>
      <c r="F15" s="270" t="e">
        <f t="shared" ca="1" si="4"/>
        <v>#VALUE!</v>
      </c>
      <c r="G15" s="270" t="e">
        <f t="shared" ca="1" si="4"/>
        <v>#VALUE!</v>
      </c>
      <c r="H15" s="270" t="e">
        <f t="shared" ca="1" si="4"/>
        <v>#VALUE!</v>
      </c>
      <c r="I15" s="270" t="e">
        <f t="shared" ca="1" si="4"/>
        <v>#VALUE!</v>
      </c>
      <c r="J15" s="270" t="e">
        <f t="shared" ca="1" si="4"/>
        <v>#VALUE!</v>
      </c>
      <c r="K15" s="270" t="e">
        <f t="shared" ca="1" si="4"/>
        <v>#VALUE!</v>
      </c>
      <c r="L15" s="270" t="e">
        <f t="shared" ca="1" si="4"/>
        <v>#VALUE!</v>
      </c>
    </row>
    <row r="16" spans="1:12" ht="17.25" thickBot="1" x14ac:dyDescent="0.3">
      <c r="A16" s="268">
        <f t="shared" si="5"/>
        <v>-1.9999999999999997E-2</v>
      </c>
      <c r="B16" s="270" t="e">
        <f t="shared" ca="1" si="4"/>
        <v>#VALUE!</v>
      </c>
      <c r="C16" s="270" t="e">
        <f t="shared" ca="1" si="4"/>
        <v>#VALUE!</v>
      </c>
      <c r="D16" s="270" t="e">
        <f t="shared" ca="1" si="4"/>
        <v>#VALUE!</v>
      </c>
      <c r="E16" s="270" t="e">
        <f t="shared" ca="1" si="4"/>
        <v>#VALUE!</v>
      </c>
      <c r="F16" s="270" t="e">
        <f t="shared" ca="1" si="4"/>
        <v>#VALUE!</v>
      </c>
      <c r="G16" s="270" t="e">
        <f t="shared" ca="1" si="4"/>
        <v>#VALUE!</v>
      </c>
      <c r="H16" s="270" t="e">
        <f t="shared" ca="1" si="4"/>
        <v>#VALUE!</v>
      </c>
      <c r="I16" s="270" t="e">
        <f t="shared" ca="1" si="4"/>
        <v>#VALUE!</v>
      </c>
      <c r="J16" s="270" t="e">
        <f t="shared" ca="1" si="4"/>
        <v>#VALUE!</v>
      </c>
      <c r="K16" s="270" t="e">
        <f t="shared" ca="1" si="4"/>
        <v>#VALUE!</v>
      </c>
      <c r="L16" s="270" t="e">
        <f t="shared" ca="1" si="4"/>
        <v>#VALUE!</v>
      </c>
    </row>
    <row r="17" spans="1:12" ht="17.25" thickBot="1" x14ac:dyDescent="0.3">
      <c r="A17" s="268">
        <f t="shared" si="5"/>
        <v>-9.9999999999999967E-3</v>
      </c>
      <c r="B17" s="270" t="e">
        <f t="shared" ca="1" si="4"/>
        <v>#VALUE!</v>
      </c>
      <c r="C17" s="270" t="e">
        <f t="shared" ca="1" si="4"/>
        <v>#VALUE!</v>
      </c>
      <c r="D17" s="270" t="e">
        <f t="shared" ca="1" si="4"/>
        <v>#VALUE!</v>
      </c>
      <c r="E17" s="270" t="e">
        <f t="shared" ca="1" si="4"/>
        <v>#VALUE!</v>
      </c>
      <c r="F17" s="270" t="e">
        <f t="shared" ca="1" si="4"/>
        <v>#VALUE!</v>
      </c>
      <c r="G17" s="270" t="e">
        <f t="shared" ca="1" si="4"/>
        <v>#VALUE!</v>
      </c>
      <c r="H17" s="270" t="e">
        <f t="shared" ca="1" si="4"/>
        <v>#VALUE!</v>
      </c>
      <c r="I17" s="270" t="e">
        <f t="shared" ca="1" si="4"/>
        <v>#VALUE!</v>
      </c>
      <c r="J17" s="270" t="e">
        <f t="shared" ca="1" si="4"/>
        <v>#VALUE!</v>
      </c>
      <c r="K17" s="270" t="e">
        <f t="shared" ca="1" si="4"/>
        <v>#VALUE!</v>
      </c>
      <c r="L17" s="270" t="e">
        <f t="shared" ca="1" si="4"/>
        <v>#VALUE!</v>
      </c>
    </row>
    <row r="18" spans="1:12" ht="17.25" thickBot="1" x14ac:dyDescent="0.3">
      <c r="A18" s="268">
        <f t="shared" si="5"/>
        <v>0</v>
      </c>
      <c r="B18" s="270" t="e">
        <f t="shared" ca="1" si="4"/>
        <v>#VALUE!</v>
      </c>
      <c r="C18" s="270" t="e">
        <f t="shared" ca="1" si="4"/>
        <v>#VALUE!</v>
      </c>
      <c r="D18" s="270" t="e">
        <f t="shared" ca="1" si="4"/>
        <v>#VALUE!</v>
      </c>
      <c r="E18" s="270" t="e">
        <f t="shared" ca="1" si="4"/>
        <v>#VALUE!</v>
      </c>
      <c r="F18" s="270" t="e">
        <f t="shared" ca="1" si="4"/>
        <v>#VALUE!</v>
      </c>
      <c r="G18" s="270" t="e">
        <f t="shared" ca="1" si="4"/>
        <v>#VALUE!</v>
      </c>
      <c r="H18" s="270" t="e">
        <f t="shared" ca="1" si="4"/>
        <v>#VALUE!</v>
      </c>
      <c r="I18" s="270" t="e">
        <f t="shared" ca="1" si="4"/>
        <v>#VALUE!</v>
      </c>
      <c r="J18" s="270" t="e">
        <f t="shared" ca="1" si="4"/>
        <v>#VALUE!</v>
      </c>
      <c r="K18" s="270" t="e">
        <f t="shared" ca="1" si="4"/>
        <v>#VALUE!</v>
      </c>
      <c r="L18" s="270" t="e">
        <f t="shared" ca="1" si="4"/>
        <v>#VALUE!</v>
      </c>
    </row>
    <row r="19" spans="1:12" ht="17.25" thickBot="1" x14ac:dyDescent="0.3">
      <c r="A19" s="268">
        <f t="shared" si="5"/>
        <v>0.01</v>
      </c>
      <c r="B19" s="270" t="e">
        <f t="shared" ca="1" si="4"/>
        <v>#VALUE!</v>
      </c>
      <c r="C19" s="270" t="e">
        <f t="shared" ca="1" si="4"/>
        <v>#VALUE!</v>
      </c>
      <c r="D19" s="270" t="e">
        <f t="shared" ca="1" si="4"/>
        <v>#VALUE!</v>
      </c>
      <c r="E19" s="270" t="e">
        <f t="shared" ca="1" si="4"/>
        <v>#VALUE!</v>
      </c>
      <c r="F19" s="270" t="e">
        <f t="shared" ca="1" si="4"/>
        <v>#VALUE!</v>
      </c>
      <c r="G19" s="270" t="e">
        <f t="shared" ca="1" si="4"/>
        <v>#VALUE!</v>
      </c>
      <c r="H19" s="270" t="e">
        <f t="shared" ca="1" si="4"/>
        <v>#VALUE!</v>
      </c>
      <c r="I19" s="270" t="e">
        <f t="shared" ca="1" si="4"/>
        <v>#VALUE!</v>
      </c>
      <c r="J19" s="270" t="e">
        <f t="shared" ca="1" si="4"/>
        <v>#VALUE!</v>
      </c>
      <c r="K19" s="270" t="e">
        <f t="shared" ca="1" si="4"/>
        <v>#VALUE!</v>
      </c>
      <c r="L19" s="270" t="e">
        <f t="shared" ca="1" si="4"/>
        <v>#VALUE!</v>
      </c>
    </row>
    <row r="20" spans="1:12" ht="17.25" thickBot="1" x14ac:dyDescent="0.3">
      <c r="A20" s="268">
        <f t="shared" si="5"/>
        <v>0.02</v>
      </c>
      <c r="B20" s="270" t="e">
        <f t="shared" ca="1" si="4"/>
        <v>#VALUE!</v>
      </c>
      <c r="C20" s="270" t="e">
        <f t="shared" ca="1" si="4"/>
        <v>#VALUE!</v>
      </c>
      <c r="D20" s="270" t="e">
        <f t="shared" ca="1" si="4"/>
        <v>#VALUE!</v>
      </c>
      <c r="E20" s="270" t="e">
        <f t="shared" ca="1" si="4"/>
        <v>#VALUE!</v>
      </c>
      <c r="F20" s="270" t="e">
        <f t="shared" ca="1" si="4"/>
        <v>#VALUE!</v>
      </c>
      <c r="G20" s="270" t="e">
        <f t="shared" ca="1" si="4"/>
        <v>#VALUE!</v>
      </c>
      <c r="H20" s="270" t="e">
        <f t="shared" ca="1" si="4"/>
        <v>#VALUE!</v>
      </c>
      <c r="I20" s="270" t="e">
        <f t="shared" ca="1" si="4"/>
        <v>#VALUE!</v>
      </c>
      <c r="J20" s="270" t="e">
        <f t="shared" ca="1" si="4"/>
        <v>#VALUE!</v>
      </c>
      <c r="K20" s="270" t="e">
        <f t="shared" ca="1" si="4"/>
        <v>#VALUE!</v>
      </c>
      <c r="L20" s="270" t="e">
        <f t="shared" ca="1" si="4"/>
        <v>#VALUE!</v>
      </c>
    </row>
    <row r="21" spans="1:12" ht="17.25" thickBot="1" x14ac:dyDescent="0.3">
      <c r="A21" s="268">
        <f t="shared" si="5"/>
        <v>0.03</v>
      </c>
      <c r="B21" s="270" t="e">
        <f t="shared" ca="1" si="4"/>
        <v>#VALUE!</v>
      </c>
      <c r="C21" s="270" t="e">
        <f t="shared" ca="1" si="4"/>
        <v>#VALUE!</v>
      </c>
      <c r="D21" s="270" t="e">
        <f t="shared" ca="1" si="4"/>
        <v>#VALUE!</v>
      </c>
      <c r="E21" s="270" t="e">
        <f t="shared" ca="1" si="4"/>
        <v>#VALUE!</v>
      </c>
      <c r="F21" s="270" t="e">
        <f t="shared" ca="1" si="4"/>
        <v>#VALUE!</v>
      </c>
      <c r="G21" s="270" t="e">
        <f t="shared" ca="1" si="4"/>
        <v>#VALUE!</v>
      </c>
      <c r="H21" s="270" t="e">
        <f t="shared" ca="1" si="4"/>
        <v>#VALUE!</v>
      </c>
      <c r="I21" s="270" t="e">
        <f t="shared" ca="1" si="4"/>
        <v>#VALUE!</v>
      </c>
      <c r="J21" s="270" t="e">
        <f t="shared" ca="1" si="4"/>
        <v>#VALUE!</v>
      </c>
      <c r="K21" s="270" t="e">
        <f t="shared" ca="1" si="4"/>
        <v>#VALUE!</v>
      </c>
      <c r="L21" s="270" t="e">
        <f t="shared" ca="1" si="4"/>
        <v>#VALUE!</v>
      </c>
    </row>
    <row r="22" spans="1:12" ht="17.25" thickBot="1" x14ac:dyDescent="0.3">
      <c r="A22" s="268">
        <f t="shared" si="5"/>
        <v>0.04</v>
      </c>
      <c r="B22" s="270" t="e">
        <f t="shared" ca="1" si="4"/>
        <v>#VALUE!</v>
      </c>
      <c r="C22" s="270" t="e">
        <f t="shared" ca="1" si="4"/>
        <v>#VALUE!</v>
      </c>
      <c r="D22" s="270" t="e">
        <f t="shared" ca="1" si="4"/>
        <v>#VALUE!</v>
      </c>
      <c r="E22" s="270" t="e">
        <f t="shared" ca="1" si="4"/>
        <v>#VALUE!</v>
      </c>
      <c r="F22" s="270" t="e">
        <f t="shared" ca="1" si="4"/>
        <v>#VALUE!</v>
      </c>
      <c r="G22" s="270" t="e">
        <f t="shared" ca="1" si="4"/>
        <v>#VALUE!</v>
      </c>
      <c r="H22" s="270" t="e">
        <f t="shared" ca="1" si="4"/>
        <v>#VALUE!</v>
      </c>
      <c r="I22" s="270" t="e">
        <f t="shared" ca="1" si="4"/>
        <v>#VALUE!</v>
      </c>
      <c r="J22" s="270" t="e">
        <f t="shared" ca="1" si="4"/>
        <v>#VALUE!</v>
      </c>
      <c r="K22" s="270" t="e">
        <f t="shared" ca="1" si="4"/>
        <v>#VALUE!</v>
      </c>
      <c r="L22" s="270" t="e">
        <f t="shared" ca="1" si="4"/>
        <v>#VALUE!</v>
      </c>
    </row>
    <row r="23" spans="1:12" ht="17.25" thickBot="1" x14ac:dyDescent="0.3">
      <c r="A23" s="268">
        <f t="shared" si="5"/>
        <v>0.05</v>
      </c>
      <c r="B23" s="271" t="e">
        <f t="shared" ca="1" si="4"/>
        <v>#VALUE!</v>
      </c>
      <c r="C23" s="271" t="e">
        <f t="shared" ca="1" si="4"/>
        <v>#VALUE!</v>
      </c>
      <c r="D23" s="271" t="e">
        <f t="shared" ca="1" si="4"/>
        <v>#VALUE!</v>
      </c>
      <c r="E23" s="271" t="e">
        <f t="shared" ca="1" si="4"/>
        <v>#VALUE!</v>
      </c>
      <c r="F23" s="271" t="e">
        <f t="shared" ca="1" si="4"/>
        <v>#VALUE!</v>
      </c>
      <c r="G23" s="271" t="e">
        <f t="shared" ca="1" si="4"/>
        <v>#VALUE!</v>
      </c>
      <c r="H23" s="271" t="e">
        <f t="shared" ca="1" si="4"/>
        <v>#VALUE!</v>
      </c>
      <c r="I23" s="271" t="e">
        <f t="shared" ca="1" si="4"/>
        <v>#VALUE!</v>
      </c>
      <c r="J23" s="271" t="e">
        <f t="shared" ca="1" si="4"/>
        <v>#VALUE!</v>
      </c>
      <c r="K23" s="271" t="e">
        <f t="shared" ca="1" si="4"/>
        <v>#VALUE!</v>
      </c>
      <c r="L23" s="271" t="e">
        <f t="shared" ca="1" si="4"/>
        <v>#VALUE!</v>
      </c>
    </row>
    <row r="24" spans="1:12" ht="17.25" thickBot="1" x14ac:dyDescent="0.3">
      <c r="A24" s="258"/>
    </row>
    <row r="25" spans="1:12" ht="17.25" thickBot="1" x14ac:dyDescent="0.3">
      <c r="A25" s="54" t="s">
        <v>2790</v>
      </c>
      <c r="B25" s="54" t="s">
        <v>2789</v>
      </c>
      <c r="C25" s="54" t="s">
        <v>2413</v>
      </c>
      <c r="D25" s="54" t="s">
        <v>2786</v>
      </c>
      <c r="E25" s="54" t="s">
        <v>261</v>
      </c>
      <c r="F25" s="54" t="s">
        <v>2416</v>
      </c>
      <c r="G25" s="54" t="s">
        <v>1073</v>
      </c>
      <c r="H25" s="54" t="s">
        <v>2787</v>
      </c>
      <c r="I25" s="54" t="s">
        <v>49</v>
      </c>
      <c r="J25" s="54" t="s">
        <v>2788</v>
      </c>
    </row>
    <row r="26" spans="1:12" x14ac:dyDescent="0.25">
      <c r="A26" s="259" t="s">
        <v>2791</v>
      </c>
      <c r="B26" s="259">
        <v>250</v>
      </c>
      <c r="C26" s="259">
        <v>11500</v>
      </c>
      <c r="D26" s="259">
        <v>11500</v>
      </c>
      <c r="E26" s="260">
        <f>5/252</f>
        <v>1.984126984126984E-2</v>
      </c>
      <c r="F26" s="261">
        <v>0.15</v>
      </c>
      <c r="G26" s="262">
        <f t="shared" ref="G26:G27" si="6">GBSGreeks("d", "P",C26,D26,E26,F26, 0,0)*50*C26*B26</f>
        <v>-71268825.82428129</v>
      </c>
      <c r="H26" s="262">
        <f>GBSGreeks("g", "P",C26,D26,E26,F26, 0,0)*C26^2*50*1%*B26</f>
        <v>27140490.558063105</v>
      </c>
      <c r="I26" s="262">
        <f>(GBSOption("P",C26,D26,E26,F26,0,0)-GBSOption("P",C26,D26,E26-1/252,F26,0,0))*B26*50*-1</f>
        <v>-127980.6046168078</v>
      </c>
      <c r="J26" s="262">
        <f>(GBSOption("P",C26,D26,E26,F26+0.01,0,0)-GBSOption("P",C26,D26,E26,F26,0,0))*B26*50</f>
        <v>80815.32094089959</v>
      </c>
    </row>
    <row r="27" spans="1:12" x14ac:dyDescent="0.25">
      <c r="A27" s="259" t="s">
        <v>2792</v>
      </c>
      <c r="B27" s="259">
        <v>-500</v>
      </c>
      <c r="C27" s="259">
        <f>[1]!'125070`205'</f>
        <v>12220</v>
      </c>
      <c r="D27" s="259">
        <f>ROUND(C27,-2)</f>
        <v>12200</v>
      </c>
      <c r="E27" s="263">
        <f ca="1">選擇權近月!$N$2</f>
        <v>0.10317460317460317</v>
      </c>
      <c r="F27" s="247">
        <f>VLOOKUP(D27,自動儲存!$J$2:$N$35,5,FALSE)</f>
        <v>0.18899436340332035</v>
      </c>
      <c r="G27" s="262">
        <f t="shared" ca="1" si="6"/>
        <v>145763269.70301124</v>
      </c>
      <c r="H27" s="262">
        <f t="shared" ref="H27:H28" ca="1" si="7">GBSGreeks("g", "P",C27,D27,E27,F27, 0,0)*C27^2*50*1%*B27</f>
        <v>-20043436.392075069</v>
      </c>
      <c r="I27" s="262">
        <f ca="1">(GBSOption("P",C27,D27,E27,F27,0,0)-GBSOption("P",C27,D27,E27-1/252,F27,0,0))*B27*50*-1</f>
        <v>143520.73614738428</v>
      </c>
      <c r="J27" s="262">
        <f ca="1">(GBSOption("P",C27,D27,E27,F27+0.01,0,0)-GBSOption("P",C27,D27,E27,F27,0,0))*B27*50</f>
        <v>-391036.00587884127</v>
      </c>
    </row>
    <row r="28" spans="1:12" x14ac:dyDescent="0.25">
      <c r="A28" s="259" t="s">
        <v>2339</v>
      </c>
      <c r="B28" s="259">
        <v>200</v>
      </c>
      <c r="C28" s="259">
        <f>[1]!'125080`205'</f>
        <v>12081</v>
      </c>
      <c r="D28" s="259">
        <f>ROUND(C28,-2)</f>
        <v>12100</v>
      </c>
      <c r="E28" s="263">
        <f ca="1">選擇權次近月!$N$2</f>
        <v>0.18253968253968253</v>
      </c>
      <c r="F28" s="247" t="e">
        <f>VLOOKUP(D28,自動儲存次近月!$J$2:$N$35,5,FALSE)</f>
        <v>#N/A</v>
      </c>
      <c r="G28" s="262" t="e">
        <f ca="1">GBSGreeks("d", "P",C28,D28,E28,F28, 0,0)*50*C28*B28</f>
        <v>#VALUE!</v>
      </c>
      <c r="H28" s="262" t="e">
        <f t="shared" ca="1" si="7"/>
        <v>#VALUE!</v>
      </c>
      <c r="I28" s="262" t="e">
        <f ca="1">(GBSOption("P",C28,D28,E28,F28,0,0)-GBSOption("P",C28,D28,E28-1/252,F28,0,0))*B28*50*-1</f>
        <v>#VALUE!</v>
      </c>
      <c r="J28" s="262" t="e">
        <f ca="1">(GBSOption("P",C28,D28,E28,F28+0.01,0,0)-GBSOption("P",C28,D28,E28,F28,0,0))*B28*50</f>
        <v>#VALUE!</v>
      </c>
    </row>
    <row r="29" spans="1:12" ht="17.25" thickBot="1" x14ac:dyDescent="0.3">
      <c r="A29" s="259" t="s">
        <v>2793</v>
      </c>
      <c r="B29" s="259" t="e">
        <f ca="1">ROUND(-SUM(G26:G28)/(C27*200),0)</f>
        <v>#VALUE!</v>
      </c>
      <c r="C29" s="259"/>
      <c r="D29" s="259"/>
      <c r="E29" s="259"/>
      <c r="F29" s="259"/>
      <c r="G29" s="262" t="e">
        <f ca="1">B29*C27*200</f>
        <v>#VALUE!</v>
      </c>
      <c r="H29" s="259"/>
      <c r="I29" s="259"/>
      <c r="J29" s="259"/>
    </row>
    <row r="30" spans="1:12" ht="17.25" thickBot="1" x14ac:dyDescent="0.3">
      <c r="A30" s="264" t="s">
        <v>2794</v>
      </c>
      <c r="B30" s="264"/>
      <c r="C30" s="264"/>
      <c r="D30" s="264"/>
      <c r="E30" s="264"/>
      <c r="F30" s="264"/>
      <c r="G30" s="265" t="e">
        <f ca="1">SUM(G26:G29)</f>
        <v>#VALUE!</v>
      </c>
      <c r="H30" s="265" t="e">
        <f ca="1">SUM(H26:H29)</f>
        <v>#VALUE!</v>
      </c>
      <c r="I30" s="265" t="e">
        <f ca="1">SUM(I26:I29)</f>
        <v>#VALUE!</v>
      </c>
      <c r="J30" s="265" t="e">
        <f t="shared" ref="J30" ca="1" si="8">SUM(J26:J29)</f>
        <v>#VALUE!</v>
      </c>
    </row>
    <row r="33" spans="1:12" ht="17.25" thickBot="1" x14ac:dyDescent="0.3"/>
    <row r="34" spans="1:12" ht="17.25" thickBot="1" x14ac:dyDescent="0.3">
      <c r="A34" s="266"/>
      <c r="B34" s="267">
        <v>-0.05</v>
      </c>
      <c r="C34" s="268">
        <f>B34+1%</f>
        <v>-0.04</v>
      </c>
      <c r="D34" s="268">
        <f t="shared" ref="D34:J34" si="9">C34+1%</f>
        <v>-0.03</v>
      </c>
      <c r="E34" s="268">
        <f t="shared" si="9"/>
        <v>-1.9999999999999997E-2</v>
      </c>
      <c r="F34" s="268">
        <f t="shared" si="9"/>
        <v>-9.9999999999999967E-3</v>
      </c>
      <c r="G34" s="268">
        <f t="shared" si="9"/>
        <v>0</v>
      </c>
      <c r="H34" s="268">
        <f t="shared" si="9"/>
        <v>0.01</v>
      </c>
      <c r="I34" s="268">
        <f t="shared" si="9"/>
        <v>0.02</v>
      </c>
      <c r="J34" s="268">
        <f t="shared" si="9"/>
        <v>0.03</v>
      </c>
      <c r="K34" s="268">
        <f>J34+1%</f>
        <v>0.04</v>
      </c>
      <c r="L34" s="268">
        <f t="shared" ref="L34" si="10">K34+1%</f>
        <v>0.05</v>
      </c>
    </row>
    <row r="35" spans="1:12" ht="17.25" thickBot="1" x14ac:dyDescent="0.3">
      <c r="A35" s="267">
        <v>-0.05</v>
      </c>
      <c r="B35" s="269" t="e">
        <f t="shared" ref="B35:L45" ca="1" si="11">(GBSOption("P",$C$26,$D$26,$E$26,$F$26,0,0)-GBSOption("P",$C$26*(1+B$12),$D$26,$E$26-1/252,$F$26+$A35,0,0))*$B$26*50*-1+(GBSOption("P",$C$27,$D$27,$E$27,$F$27,0,0)-GBSOption("P",$C$27*(1+B$12),$D$27,$E$27-1/252,$F$27+$A35,0,0))*$B$27*50*-1+(GBSOption("P",$C$28,$D$28,$E$28,$F$28,0,0)-GBSOption("P",$C$28*(1+B$12),$D$28,$E$28-1/252,$F$28+$A35,0,0))*$B$28*50*-1+($C$27*(1+B$12)-$C$27)*$B$29*200</f>
        <v>#VALUE!</v>
      </c>
      <c r="C35" s="269" t="e">
        <f t="shared" ca="1" si="11"/>
        <v>#VALUE!</v>
      </c>
      <c r="D35" s="269" t="e">
        <f t="shared" ca="1" si="11"/>
        <v>#VALUE!</v>
      </c>
      <c r="E35" s="269" t="e">
        <f t="shared" ca="1" si="11"/>
        <v>#VALUE!</v>
      </c>
      <c r="F35" s="269" t="e">
        <f t="shared" ca="1" si="11"/>
        <v>#VALUE!</v>
      </c>
      <c r="G35" s="269" t="e">
        <f t="shared" ca="1" si="11"/>
        <v>#VALUE!</v>
      </c>
      <c r="H35" s="269" t="e">
        <f t="shared" ca="1" si="11"/>
        <v>#VALUE!</v>
      </c>
      <c r="I35" s="269" t="e">
        <f t="shared" ca="1" si="11"/>
        <v>#VALUE!</v>
      </c>
      <c r="J35" s="269" t="e">
        <f t="shared" ca="1" si="11"/>
        <v>#VALUE!</v>
      </c>
      <c r="K35" s="269" t="e">
        <f t="shared" ca="1" si="11"/>
        <v>#VALUE!</v>
      </c>
      <c r="L35" s="269" t="e">
        <f t="shared" ca="1" si="11"/>
        <v>#VALUE!</v>
      </c>
    </row>
    <row r="36" spans="1:12" ht="17.25" thickBot="1" x14ac:dyDescent="0.3">
      <c r="A36" s="268">
        <f>A35+1%</f>
        <v>-0.04</v>
      </c>
      <c r="B36" s="270" t="e">
        <f t="shared" ca="1" si="11"/>
        <v>#VALUE!</v>
      </c>
      <c r="C36" s="270" t="e">
        <f t="shared" ca="1" si="11"/>
        <v>#VALUE!</v>
      </c>
      <c r="D36" s="270" t="e">
        <f t="shared" ca="1" si="11"/>
        <v>#VALUE!</v>
      </c>
      <c r="E36" s="270" t="e">
        <f t="shared" ca="1" si="11"/>
        <v>#VALUE!</v>
      </c>
      <c r="F36" s="270" t="e">
        <f t="shared" ca="1" si="11"/>
        <v>#VALUE!</v>
      </c>
      <c r="G36" s="270" t="e">
        <f t="shared" ca="1" si="11"/>
        <v>#VALUE!</v>
      </c>
      <c r="H36" s="270" t="e">
        <f t="shared" ca="1" si="11"/>
        <v>#VALUE!</v>
      </c>
      <c r="I36" s="270" t="e">
        <f t="shared" ca="1" si="11"/>
        <v>#VALUE!</v>
      </c>
      <c r="J36" s="270" t="e">
        <f t="shared" ca="1" si="11"/>
        <v>#VALUE!</v>
      </c>
      <c r="K36" s="270" t="e">
        <f t="shared" ca="1" si="11"/>
        <v>#VALUE!</v>
      </c>
      <c r="L36" s="270" t="e">
        <f t="shared" ca="1" si="11"/>
        <v>#VALUE!</v>
      </c>
    </row>
    <row r="37" spans="1:12" ht="17.25" thickBot="1" x14ac:dyDescent="0.3">
      <c r="A37" s="268">
        <f t="shared" ref="A37:A45" si="12">A36+1%</f>
        <v>-0.03</v>
      </c>
      <c r="B37" s="270" t="e">
        <f t="shared" ca="1" si="11"/>
        <v>#VALUE!</v>
      </c>
      <c r="C37" s="270" t="e">
        <f t="shared" ca="1" si="11"/>
        <v>#VALUE!</v>
      </c>
      <c r="D37" s="270" t="e">
        <f t="shared" ca="1" si="11"/>
        <v>#VALUE!</v>
      </c>
      <c r="E37" s="270" t="e">
        <f t="shared" ca="1" si="11"/>
        <v>#VALUE!</v>
      </c>
      <c r="F37" s="270" t="e">
        <f t="shared" ca="1" si="11"/>
        <v>#VALUE!</v>
      </c>
      <c r="G37" s="270" t="e">
        <f t="shared" ca="1" si="11"/>
        <v>#VALUE!</v>
      </c>
      <c r="H37" s="270" t="e">
        <f t="shared" ca="1" si="11"/>
        <v>#VALUE!</v>
      </c>
      <c r="I37" s="270" t="e">
        <f t="shared" ca="1" si="11"/>
        <v>#VALUE!</v>
      </c>
      <c r="J37" s="270" t="e">
        <f t="shared" ca="1" si="11"/>
        <v>#VALUE!</v>
      </c>
      <c r="K37" s="270" t="e">
        <f t="shared" ca="1" si="11"/>
        <v>#VALUE!</v>
      </c>
      <c r="L37" s="270" t="e">
        <f t="shared" ca="1" si="11"/>
        <v>#VALUE!</v>
      </c>
    </row>
    <row r="38" spans="1:12" ht="17.25" thickBot="1" x14ac:dyDescent="0.3">
      <c r="A38" s="268">
        <f t="shared" si="12"/>
        <v>-1.9999999999999997E-2</v>
      </c>
      <c r="B38" s="270" t="e">
        <f t="shared" ca="1" si="11"/>
        <v>#VALUE!</v>
      </c>
      <c r="C38" s="270" t="e">
        <f t="shared" ca="1" si="11"/>
        <v>#VALUE!</v>
      </c>
      <c r="D38" s="270" t="e">
        <f t="shared" ca="1" si="11"/>
        <v>#VALUE!</v>
      </c>
      <c r="E38" s="270" t="e">
        <f t="shared" ca="1" si="11"/>
        <v>#VALUE!</v>
      </c>
      <c r="F38" s="270" t="e">
        <f t="shared" ca="1" si="11"/>
        <v>#VALUE!</v>
      </c>
      <c r="G38" s="270" t="e">
        <f t="shared" ca="1" si="11"/>
        <v>#VALUE!</v>
      </c>
      <c r="H38" s="270" t="e">
        <f t="shared" ca="1" si="11"/>
        <v>#VALUE!</v>
      </c>
      <c r="I38" s="270" t="e">
        <f t="shared" ca="1" si="11"/>
        <v>#VALUE!</v>
      </c>
      <c r="J38" s="270" t="e">
        <f t="shared" ca="1" si="11"/>
        <v>#VALUE!</v>
      </c>
      <c r="K38" s="270" t="e">
        <f t="shared" ca="1" si="11"/>
        <v>#VALUE!</v>
      </c>
      <c r="L38" s="270" t="e">
        <f t="shared" ca="1" si="11"/>
        <v>#VALUE!</v>
      </c>
    </row>
    <row r="39" spans="1:12" ht="17.25" thickBot="1" x14ac:dyDescent="0.3">
      <c r="A39" s="268">
        <f t="shared" si="12"/>
        <v>-9.9999999999999967E-3</v>
      </c>
      <c r="B39" s="270" t="e">
        <f t="shared" ca="1" si="11"/>
        <v>#VALUE!</v>
      </c>
      <c r="C39" s="270" t="e">
        <f t="shared" ca="1" si="11"/>
        <v>#VALUE!</v>
      </c>
      <c r="D39" s="270" t="e">
        <f t="shared" ca="1" si="11"/>
        <v>#VALUE!</v>
      </c>
      <c r="E39" s="270" t="e">
        <f t="shared" ca="1" si="11"/>
        <v>#VALUE!</v>
      </c>
      <c r="F39" s="270" t="e">
        <f t="shared" ca="1" si="11"/>
        <v>#VALUE!</v>
      </c>
      <c r="G39" s="270" t="e">
        <f t="shared" ca="1" si="11"/>
        <v>#VALUE!</v>
      </c>
      <c r="H39" s="270" t="e">
        <f t="shared" ca="1" si="11"/>
        <v>#VALUE!</v>
      </c>
      <c r="I39" s="270" t="e">
        <f t="shared" ca="1" si="11"/>
        <v>#VALUE!</v>
      </c>
      <c r="J39" s="270" t="e">
        <f t="shared" ca="1" si="11"/>
        <v>#VALUE!</v>
      </c>
      <c r="K39" s="270" t="e">
        <f t="shared" ca="1" si="11"/>
        <v>#VALUE!</v>
      </c>
      <c r="L39" s="270" t="e">
        <f t="shared" ca="1" si="11"/>
        <v>#VALUE!</v>
      </c>
    </row>
    <row r="40" spans="1:12" ht="17.25" thickBot="1" x14ac:dyDescent="0.3">
      <c r="A40" s="268">
        <f t="shared" si="12"/>
        <v>0</v>
      </c>
      <c r="B40" s="270" t="e">
        <f t="shared" ca="1" si="11"/>
        <v>#VALUE!</v>
      </c>
      <c r="C40" s="270" t="e">
        <f t="shared" ca="1" si="11"/>
        <v>#VALUE!</v>
      </c>
      <c r="D40" s="270" t="e">
        <f t="shared" ca="1" si="11"/>
        <v>#VALUE!</v>
      </c>
      <c r="E40" s="270" t="e">
        <f t="shared" ca="1" si="11"/>
        <v>#VALUE!</v>
      </c>
      <c r="F40" s="270" t="e">
        <f t="shared" ca="1" si="11"/>
        <v>#VALUE!</v>
      </c>
      <c r="G40" s="270" t="e">
        <f t="shared" ca="1" si="11"/>
        <v>#VALUE!</v>
      </c>
      <c r="H40" s="270" t="e">
        <f t="shared" ca="1" si="11"/>
        <v>#VALUE!</v>
      </c>
      <c r="I40" s="270" t="e">
        <f t="shared" ca="1" si="11"/>
        <v>#VALUE!</v>
      </c>
      <c r="J40" s="270" t="e">
        <f t="shared" ca="1" si="11"/>
        <v>#VALUE!</v>
      </c>
      <c r="K40" s="270" t="e">
        <f t="shared" ca="1" si="11"/>
        <v>#VALUE!</v>
      </c>
      <c r="L40" s="270" t="e">
        <f t="shared" ca="1" si="11"/>
        <v>#VALUE!</v>
      </c>
    </row>
    <row r="41" spans="1:12" ht="17.25" thickBot="1" x14ac:dyDescent="0.3">
      <c r="A41" s="268">
        <f t="shared" si="12"/>
        <v>0.01</v>
      </c>
      <c r="B41" s="270" t="e">
        <f t="shared" ca="1" si="11"/>
        <v>#VALUE!</v>
      </c>
      <c r="C41" s="270" t="e">
        <f t="shared" ca="1" si="11"/>
        <v>#VALUE!</v>
      </c>
      <c r="D41" s="270" t="e">
        <f t="shared" ca="1" si="11"/>
        <v>#VALUE!</v>
      </c>
      <c r="E41" s="270" t="e">
        <f t="shared" ca="1" si="11"/>
        <v>#VALUE!</v>
      </c>
      <c r="F41" s="270" t="e">
        <f t="shared" ca="1" si="11"/>
        <v>#VALUE!</v>
      </c>
      <c r="G41" s="270" t="e">
        <f t="shared" ca="1" si="11"/>
        <v>#VALUE!</v>
      </c>
      <c r="H41" s="270" t="e">
        <f t="shared" ca="1" si="11"/>
        <v>#VALUE!</v>
      </c>
      <c r="I41" s="270" t="e">
        <f t="shared" ca="1" si="11"/>
        <v>#VALUE!</v>
      </c>
      <c r="J41" s="270" t="e">
        <f t="shared" ca="1" si="11"/>
        <v>#VALUE!</v>
      </c>
      <c r="K41" s="270" t="e">
        <f t="shared" ca="1" si="11"/>
        <v>#VALUE!</v>
      </c>
      <c r="L41" s="270" t="e">
        <f t="shared" ca="1" si="11"/>
        <v>#VALUE!</v>
      </c>
    </row>
    <row r="42" spans="1:12" ht="17.25" thickBot="1" x14ac:dyDescent="0.3">
      <c r="A42" s="268">
        <f t="shared" si="12"/>
        <v>0.02</v>
      </c>
      <c r="B42" s="270" t="e">
        <f t="shared" ca="1" si="11"/>
        <v>#VALUE!</v>
      </c>
      <c r="C42" s="270" t="e">
        <f t="shared" ca="1" si="11"/>
        <v>#VALUE!</v>
      </c>
      <c r="D42" s="270" t="e">
        <f t="shared" ca="1" si="11"/>
        <v>#VALUE!</v>
      </c>
      <c r="E42" s="270" t="e">
        <f t="shared" ca="1" si="11"/>
        <v>#VALUE!</v>
      </c>
      <c r="F42" s="270" t="e">
        <f t="shared" ca="1" si="11"/>
        <v>#VALUE!</v>
      </c>
      <c r="G42" s="270" t="e">
        <f t="shared" ca="1" si="11"/>
        <v>#VALUE!</v>
      </c>
      <c r="H42" s="270" t="e">
        <f t="shared" ca="1" si="11"/>
        <v>#VALUE!</v>
      </c>
      <c r="I42" s="270" t="e">
        <f t="shared" ca="1" si="11"/>
        <v>#VALUE!</v>
      </c>
      <c r="J42" s="270" t="e">
        <f t="shared" ca="1" si="11"/>
        <v>#VALUE!</v>
      </c>
      <c r="K42" s="270" t="e">
        <f t="shared" ca="1" si="11"/>
        <v>#VALUE!</v>
      </c>
      <c r="L42" s="270" t="e">
        <f t="shared" ca="1" si="11"/>
        <v>#VALUE!</v>
      </c>
    </row>
    <row r="43" spans="1:12" ht="17.25" thickBot="1" x14ac:dyDescent="0.3">
      <c r="A43" s="268">
        <f t="shared" si="12"/>
        <v>0.03</v>
      </c>
      <c r="B43" s="270" t="e">
        <f t="shared" ca="1" si="11"/>
        <v>#VALUE!</v>
      </c>
      <c r="C43" s="270" t="e">
        <f t="shared" ca="1" si="11"/>
        <v>#VALUE!</v>
      </c>
      <c r="D43" s="270" t="e">
        <f t="shared" ca="1" si="11"/>
        <v>#VALUE!</v>
      </c>
      <c r="E43" s="270" t="e">
        <f t="shared" ca="1" si="11"/>
        <v>#VALUE!</v>
      </c>
      <c r="F43" s="270" t="e">
        <f t="shared" ca="1" si="11"/>
        <v>#VALUE!</v>
      </c>
      <c r="G43" s="270" t="e">
        <f t="shared" ca="1" si="11"/>
        <v>#VALUE!</v>
      </c>
      <c r="H43" s="270" t="e">
        <f t="shared" ca="1" si="11"/>
        <v>#VALUE!</v>
      </c>
      <c r="I43" s="270" t="e">
        <f t="shared" ca="1" si="11"/>
        <v>#VALUE!</v>
      </c>
      <c r="J43" s="270" t="e">
        <f t="shared" ca="1" si="11"/>
        <v>#VALUE!</v>
      </c>
      <c r="K43" s="270" t="e">
        <f t="shared" ca="1" si="11"/>
        <v>#VALUE!</v>
      </c>
      <c r="L43" s="270" t="e">
        <f t="shared" ca="1" si="11"/>
        <v>#VALUE!</v>
      </c>
    </row>
    <row r="44" spans="1:12" ht="17.25" thickBot="1" x14ac:dyDescent="0.3">
      <c r="A44" s="268">
        <f t="shared" si="12"/>
        <v>0.04</v>
      </c>
      <c r="B44" s="270" t="e">
        <f t="shared" ca="1" si="11"/>
        <v>#VALUE!</v>
      </c>
      <c r="C44" s="270" t="e">
        <f t="shared" ca="1" si="11"/>
        <v>#VALUE!</v>
      </c>
      <c r="D44" s="270" t="e">
        <f t="shared" ca="1" si="11"/>
        <v>#VALUE!</v>
      </c>
      <c r="E44" s="270" t="e">
        <f t="shared" ca="1" si="11"/>
        <v>#VALUE!</v>
      </c>
      <c r="F44" s="270" t="e">
        <f t="shared" ca="1" si="11"/>
        <v>#VALUE!</v>
      </c>
      <c r="G44" s="270" t="e">
        <f t="shared" ca="1" si="11"/>
        <v>#VALUE!</v>
      </c>
      <c r="H44" s="270" t="e">
        <f t="shared" ca="1" si="11"/>
        <v>#VALUE!</v>
      </c>
      <c r="I44" s="270" t="e">
        <f t="shared" ca="1" si="11"/>
        <v>#VALUE!</v>
      </c>
      <c r="J44" s="270" t="e">
        <f t="shared" ca="1" si="11"/>
        <v>#VALUE!</v>
      </c>
      <c r="K44" s="270" t="e">
        <f t="shared" ca="1" si="11"/>
        <v>#VALUE!</v>
      </c>
      <c r="L44" s="270" t="e">
        <f t="shared" ca="1" si="11"/>
        <v>#VALUE!</v>
      </c>
    </row>
    <row r="45" spans="1:12" ht="17.25" thickBot="1" x14ac:dyDescent="0.3">
      <c r="A45" s="268">
        <f t="shared" si="12"/>
        <v>0.05</v>
      </c>
      <c r="B45" s="271" t="e">
        <f t="shared" ca="1" si="11"/>
        <v>#VALUE!</v>
      </c>
      <c r="C45" s="271" t="e">
        <f t="shared" ca="1" si="11"/>
        <v>#VALUE!</v>
      </c>
      <c r="D45" s="271" t="e">
        <f t="shared" ca="1" si="11"/>
        <v>#VALUE!</v>
      </c>
      <c r="E45" s="271" t="e">
        <f t="shared" ca="1" si="11"/>
        <v>#VALUE!</v>
      </c>
      <c r="F45" s="271" t="e">
        <f t="shared" ca="1" si="11"/>
        <v>#VALUE!</v>
      </c>
      <c r="G45" s="271" t="e">
        <f t="shared" ca="1" si="11"/>
        <v>#VALUE!</v>
      </c>
      <c r="H45" s="271" t="e">
        <f t="shared" ca="1" si="11"/>
        <v>#VALUE!</v>
      </c>
      <c r="I45" s="271" t="e">
        <f t="shared" ca="1" si="11"/>
        <v>#VALUE!</v>
      </c>
      <c r="J45" s="271" t="e">
        <f t="shared" ca="1" si="11"/>
        <v>#VALUE!</v>
      </c>
      <c r="K45" s="271" t="e">
        <f t="shared" ca="1" si="11"/>
        <v>#VALUE!</v>
      </c>
      <c r="L45" s="271" t="e">
        <f t="shared" ca="1" si="11"/>
        <v>#VALUE!</v>
      </c>
    </row>
  </sheetData>
  <phoneticPr fontId="4" type="noConversion"/>
  <pageMargins left="0" right="0" top="0" bottom="0" header="0" footer="0"/>
  <pageSetup paperSize="9" scale="78" orientation="landscape" r:id="rId1"/>
  <colBreaks count="1" manualBreakCount="1">
    <brk id="16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>
    <tabColor theme="9" tint="-0.499984740745262"/>
    <pageSetUpPr fitToPage="1"/>
  </sheetPr>
  <dimension ref="B1:AF63"/>
  <sheetViews>
    <sheetView zoomScaleNormal="100" workbookViewId="0">
      <selection activeCell="F29" sqref="F29"/>
    </sheetView>
  </sheetViews>
  <sheetFormatPr defaultRowHeight="16.5" x14ac:dyDescent="0.25"/>
  <cols>
    <col min="1" max="3" width="9" style="45"/>
    <col min="4" max="4" width="11.75" style="45" bestFit="1" customWidth="1"/>
    <col min="5" max="5" width="12.125" style="45" customWidth="1"/>
    <col min="6" max="6" width="13" style="45" customWidth="1"/>
    <col min="7" max="7" width="13.125" style="45" customWidth="1"/>
    <col min="8" max="11" width="10.75" style="45" customWidth="1"/>
    <col min="12" max="12" width="13.625" style="45" customWidth="1"/>
    <col min="13" max="13" width="12.5" style="45" customWidth="1"/>
    <col min="14" max="14" width="12.125" style="45" customWidth="1"/>
    <col min="15" max="15" width="11.25" style="45" customWidth="1"/>
    <col min="16" max="17" width="11.875" style="45" customWidth="1"/>
    <col min="18" max="20" width="14.5" style="45" customWidth="1"/>
    <col min="21" max="24" width="11.125" style="45" customWidth="1"/>
    <col min="25" max="28" width="14" style="45" customWidth="1"/>
    <col min="29" max="29" width="12.25" style="45" customWidth="1"/>
    <col min="30" max="16384" width="9" style="45"/>
  </cols>
  <sheetData>
    <row r="1" spans="2:32" ht="17.25" thickBot="1" x14ac:dyDescent="0.3"/>
    <row r="2" spans="2:32" ht="18" thickTop="1" thickBot="1" x14ac:dyDescent="0.3">
      <c r="B2" s="86" t="s">
        <v>66</v>
      </c>
      <c r="C2" s="87" t="s">
        <v>67</v>
      </c>
      <c r="D2" s="87" t="s">
        <v>68</v>
      </c>
      <c r="E2" s="87" t="s">
        <v>2413</v>
      </c>
      <c r="F2" s="87" t="s">
        <v>2412</v>
      </c>
      <c r="G2" s="87" t="s">
        <v>2418</v>
      </c>
      <c r="H2" s="87" t="s">
        <v>2427</v>
      </c>
      <c r="I2" s="87" t="s">
        <v>111</v>
      </c>
      <c r="J2" s="87" t="s">
        <v>104</v>
      </c>
      <c r="K2" s="87" t="s">
        <v>72</v>
      </c>
      <c r="L2" s="175" t="s">
        <v>48</v>
      </c>
      <c r="M2" s="175" t="s">
        <v>52</v>
      </c>
      <c r="N2" s="87" t="s">
        <v>2178</v>
      </c>
      <c r="O2" s="88" t="s">
        <v>49</v>
      </c>
      <c r="Q2" s="298" t="s">
        <v>2452</v>
      </c>
      <c r="R2" s="299"/>
      <c r="S2" s="227">
        <v>-0.05</v>
      </c>
      <c r="T2" s="228">
        <f>S2+1%</f>
        <v>-0.04</v>
      </c>
      <c r="U2" s="228">
        <f t="shared" ref="U2" si="0">T2+1%</f>
        <v>-0.03</v>
      </c>
      <c r="V2" s="228">
        <f t="shared" ref="V2" si="1">U2+1%</f>
        <v>-1.9999999999999997E-2</v>
      </c>
      <c r="W2" s="228">
        <f t="shared" ref="W2" si="2">V2+1%</f>
        <v>-9.9999999999999967E-3</v>
      </c>
      <c r="X2" s="228">
        <f t="shared" ref="X2" si="3">W2+1%</f>
        <v>0</v>
      </c>
      <c r="Y2" s="228">
        <f t="shared" ref="Y2" si="4">X2+1%</f>
        <v>0.01</v>
      </c>
      <c r="Z2" s="228">
        <f t="shared" ref="Z2" si="5">Y2+1%</f>
        <v>0.02</v>
      </c>
      <c r="AA2" s="228">
        <f t="shared" ref="AA2" si="6">Z2+1%</f>
        <v>0.03</v>
      </c>
      <c r="AB2" s="228">
        <f t="shared" ref="AB2" si="7">AA2+1%</f>
        <v>0.04</v>
      </c>
      <c r="AC2" s="229">
        <f t="shared" ref="AC2" si="8">AB2+1%</f>
        <v>0.05</v>
      </c>
    </row>
    <row r="3" spans="2:32" x14ac:dyDescent="0.25">
      <c r="B3" s="98" t="s">
        <v>2440</v>
      </c>
      <c r="C3" s="81" t="s">
        <v>245</v>
      </c>
      <c r="D3" s="81" t="s">
        <v>2426</v>
      </c>
      <c r="E3" s="81">
        <v>10881</v>
      </c>
      <c r="F3" s="81">
        <v>12700</v>
      </c>
      <c r="G3" s="99">
        <v>44041</v>
      </c>
      <c r="H3" s="102">
        <v>39</v>
      </c>
      <c r="I3" s="81">
        <v>0.01</v>
      </c>
      <c r="J3" s="81">
        <v>0</v>
      </c>
      <c r="K3" s="81">
        <v>28.8</v>
      </c>
      <c r="L3" s="125">
        <v>0</v>
      </c>
      <c r="M3" s="125">
        <v>0</v>
      </c>
      <c r="N3" s="187">
        <v>0</v>
      </c>
      <c r="O3" s="82">
        <v>0</v>
      </c>
      <c r="Q3" s="307" t="s">
        <v>2435</v>
      </c>
      <c r="R3" s="240" t="str">
        <f>B3</f>
        <v>056148</v>
      </c>
      <c r="S3" s="236">
        <f t="shared" ref="S3:AC12" si="9">IF($D3&lt;&gt;"00632R",(GBSOption(IF(RIGHT($B3,1)="P","P","C"),$E3,$F3,$H3/252,$K3/100,0, 0)-GBSOption(IF(RIGHT($B3,1)="P","P","C"),$E3*(1+S$2),$F3,($H3-1)/252,$K3/100,0, 0))*$I3*1000*$J3,(GBSOption(IF(RIGHT($B3,1)="P","P","C"),$E3,$F3,$H3/252,$K3/100,0, 0)-GBSOption(IF(RIGHT($B3,1)="P","P","C"),$E3*(1-S$2),$F3,($H3-1)/252,$K3/100,0, 0))*$I3*1000*$J3)</f>
        <v>0</v>
      </c>
      <c r="T3" s="222">
        <f t="shared" si="9"/>
        <v>0</v>
      </c>
      <c r="U3" s="222">
        <f t="shared" si="9"/>
        <v>0</v>
      </c>
      <c r="V3" s="222">
        <f t="shared" si="9"/>
        <v>0</v>
      </c>
      <c r="W3" s="222">
        <f t="shared" si="9"/>
        <v>0</v>
      </c>
      <c r="X3" s="222">
        <f t="shared" si="9"/>
        <v>0</v>
      </c>
      <c r="Y3" s="222">
        <f t="shared" si="9"/>
        <v>0</v>
      </c>
      <c r="Z3" s="222">
        <f t="shared" si="9"/>
        <v>0</v>
      </c>
      <c r="AA3" s="222">
        <f t="shared" si="9"/>
        <v>0</v>
      </c>
      <c r="AB3" s="222">
        <f t="shared" si="9"/>
        <v>0</v>
      </c>
      <c r="AC3" s="222">
        <f t="shared" si="9"/>
        <v>0</v>
      </c>
    </row>
    <row r="4" spans="2:32" x14ac:dyDescent="0.25">
      <c r="B4" s="98" t="s">
        <v>2441</v>
      </c>
      <c r="C4" s="81" t="s">
        <v>244</v>
      </c>
      <c r="D4" s="81" t="s">
        <v>2428</v>
      </c>
      <c r="E4" s="81">
        <v>10864</v>
      </c>
      <c r="F4" s="81">
        <v>12000</v>
      </c>
      <c r="G4" s="99">
        <v>44048</v>
      </c>
      <c r="H4" s="102">
        <v>44</v>
      </c>
      <c r="I4" s="81">
        <v>7.0000000000000001E-3</v>
      </c>
      <c r="J4" s="81">
        <v>4061</v>
      </c>
      <c r="K4" s="81">
        <v>20.8</v>
      </c>
      <c r="L4" s="125">
        <v>-41841056.240067273</v>
      </c>
      <c r="M4" s="125">
        <v>-7734100.9859992946</v>
      </c>
      <c r="N4" s="187">
        <v>272062.60010608053</v>
      </c>
      <c r="O4" s="82">
        <v>66329.218280002446</v>
      </c>
      <c r="Q4" s="308"/>
      <c r="R4" s="241" t="str">
        <f t="shared" ref="R4:R23" si="10">B4</f>
        <v>056638</v>
      </c>
      <c r="S4" s="236">
        <f t="shared" si="9"/>
        <v>1338298.1898906745</v>
      </c>
      <c r="T4" s="222">
        <f t="shared" si="9"/>
        <v>1185232.6743029272</v>
      </c>
      <c r="U4" s="222">
        <f t="shared" si="9"/>
        <v>989779.85860206443</v>
      </c>
      <c r="V4" s="222">
        <f t="shared" si="9"/>
        <v>743919.25275317801</v>
      </c>
      <c r="W4" s="222">
        <f t="shared" si="9"/>
        <v>439082.81434754515</v>
      </c>
      <c r="X4" s="222">
        <f t="shared" si="9"/>
        <v>66329.218280002446</v>
      </c>
      <c r="Y4" s="222">
        <f t="shared" si="9"/>
        <v>-383449.47015613946</v>
      </c>
      <c r="Z4" s="222">
        <f t="shared" si="9"/>
        <v>-919299.63620886183</v>
      </c>
      <c r="AA4" s="222">
        <f t="shared" si="9"/>
        <v>-1549970.429011849</v>
      </c>
      <c r="AB4" s="222">
        <f t="shared" si="9"/>
        <v>-2283686.7434972636</v>
      </c>
      <c r="AC4" s="222">
        <f t="shared" si="9"/>
        <v>-3127948.3043710142</v>
      </c>
    </row>
    <row r="5" spans="2:32" x14ac:dyDescent="0.25">
      <c r="B5" s="80" t="s">
        <v>2429</v>
      </c>
      <c r="C5" s="81" t="s">
        <v>250</v>
      </c>
      <c r="D5" s="81" t="s">
        <v>2426</v>
      </c>
      <c r="E5" s="81">
        <v>10994</v>
      </c>
      <c r="F5" s="81">
        <v>11600</v>
      </c>
      <c r="G5" s="99">
        <v>44018</v>
      </c>
      <c r="H5" s="102">
        <v>22</v>
      </c>
      <c r="I5" s="81">
        <v>8.0000000000000002E-3</v>
      </c>
      <c r="J5" s="81">
        <v>1</v>
      </c>
      <c r="K5" s="81">
        <v>31.5</v>
      </c>
      <c r="L5" s="125">
        <v>61734.968076392783</v>
      </c>
      <c r="M5" s="125">
        <v>-3276.0315176412614</v>
      </c>
      <c r="N5" s="187">
        <v>89.563242270347487</v>
      </c>
      <c r="O5" s="82">
        <v>64.963612216333786</v>
      </c>
      <c r="Q5" s="308"/>
      <c r="R5" s="241" t="str">
        <f t="shared" si="10"/>
        <v>06117P</v>
      </c>
      <c r="S5" s="236">
        <f t="shared" si="9"/>
        <v>-3418.0619404591753</v>
      </c>
      <c r="T5" s="222">
        <f t="shared" si="9"/>
        <v>-2667.7476965560481</v>
      </c>
      <c r="U5" s="222">
        <f t="shared" si="9"/>
        <v>-1941.9264642556711</v>
      </c>
      <c r="V5" s="222">
        <f t="shared" si="9"/>
        <v>-1243.0418164060184</v>
      </c>
      <c r="W5" s="222">
        <f t="shared" si="9"/>
        <v>-573.38427240573674</v>
      </c>
      <c r="X5" s="222">
        <f t="shared" si="9"/>
        <v>64.963612216333786</v>
      </c>
      <c r="Y5" s="222">
        <f t="shared" si="9"/>
        <v>670.16974213451067</v>
      </c>
      <c r="Z5" s="222">
        <f t="shared" si="9"/>
        <v>1240.6781461650262</v>
      </c>
      <c r="AA5" s="222">
        <f t="shared" si="9"/>
        <v>1775.2139181487739</v>
      </c>
      <c r="AB5" s="222">
        <f t="shared" si="9"/>
        <v>2272.7642143363337</v>
      </c>
      <c r="AC5" s="222">
        <f t="shared" si="9"/>
        <v>2732.5327938370069</v>
      </c>
    </row>
    <row r="6" spans="2:32" x14ac:dyDescent="0.25">
      <c r="B6" s="80" t="s">
        <v>2430</v>
      </c>
      <c r="C6" s="81" t="s">
        <v>247</v>
      </c>
      <c r="D6" s="81" t="s">
        <v>2426</v>
      </c>
      <c r="E6" s="81">
        <v>10748</v>
      </c>
      <c r="F6" s="81">
        <v>10700</v>
      </c>
      <c r="G6" s="99">
        <v>44109</v>
      </c>
      <c r="H6" s="102">
        <v>85</v>
      </c>
      <c r="I6" s="81">
        <v>6.0000000000000001E-3</v>
      </c>
      <c r="J6" s="81">
        <v>15</v>
      </c>
      <c r="K6" s="81">
        <v>30.1</v>
      </c>
      <c r="L6" s="125">
        <v>440130.97726332676</v>
      </c>
      <c r="M6" s="125">
        <v>-21934.677444584253</v>
      </c>
      <c r="N6" s="187">
        <v>2227.493539195721</v>
      </c>
      <c r="O6" s="82">
        <v>395.52443536450824</v>
      </c>
      <c r="Q6" s="308"/>
      <c r="R6" s="241" t="str">
        <f t="shared" si="10"/>
        <v>06478P</v>
      </c>
      <c r="S6" s="236">
        <f t="shared" si="9"/>
        <v>-24403.028180995247</v>
      </c>
      <c r="T6" s="222">
        <f t="shared" si="9"/>
        <v>-18982.427899417708</v>
      </c>
      <c r="U6" s="222">
        <f t="shared" si="9"/>
        <v>-13795.6701877738</v>
      </c>
      <c r="V6" s="222">
        <f t="shared" si="9"/>
        <v>-8843.6333347928903</v>
      </c>
      <c r="W6" s="222">
        <f t="shared" si="9"/>
        <v>-4117.528959080847</v>
      </c>
      <c r="X6" s="222">
        <f t="shared" si="9"/>
        <v>395.52443536450824</v>
      </c>
      <c r="Y6" s="222">
        <f t="shared" si="9"/>
        <v>4698.5101299449516</v>
      </c>
      <c r="Z6" s="222">
        <f t="shared" si="9"/>
        <v>8787.9663316048136</v>
      </c>
      <c r="AA6" s="222">
        <f t="shared" si="9"/>
        <v>12658.997908828744</v>
      </c>
      <c r="AB6" s="222">
        <f t="shared" si="9"/>
        <v>16318.652909263103</v>
      </c>
      <c r="AC6" s="222">
        <f t="shared" si="9"/>
        <v>19773.90369327537</v>
      </c>
      <c r="AD6" s="178"/>
      <c r="AE6" s="178"/>
      <c r="AF6" s="178"/>
    </row>
    <row r="7" spans="2:32" x14ac:dyDescent="0.25">
      <c r="B7" s="112" t="s">
        <v>2431</v>
      </c>
      <c r="C7" s="81" t="s">
        <v>249</v>
      </c>
      <c r="D7" s="113" t="s">
        <v>2426</v>
      </c>
      <c r="E7" s="81">
        <v>10807</v>
      </c>
      <c r="F7" s="81">
        <v>11000</v>
      </c>
      <c r="G7" s="114">
        <v>44069</v>
      </c>
      <c r="H7" s="102">
        <v>59</v>
      </c>
      <c r="I7" s="113">
        <v>0.01</v>
      </c>
      <c r="J7" s="81">
        <v>5800</v>
      </c>
      <c r="K7" s="81">
        <v>16.3</v>
      </c>
      <c r="L7" s="125">
        <v>359405874.52551109</v>
      </c>
      <c r="M7" s="125">
        <v>-31167220.076484751</v>
      </c>
      <c r="N7" s="187">
        <v>1187396.8131765127</v>
      </c>
      <c r="O7" s="82">
        <v>164955.63409226146</v>
      </c>
      <c r="Q7" s="308"/>
      <c r="R7" s="241" t="str">
        <f t="shared" si="10"/>
        <v>06919P</v>
      </c>
      <c r="S7" s="236">
        <f t="shared" si="9"/>
        <v>-21549217.41937498</v>
      </c>
      <c r="T7" s="222">
        <f t="shared" si="9"/>
        <v>-16653719.929496849</v>
      </c>
      <c r="U7" s="222">
        <f t="shared" si="9"/>
        <v>-12016049.158410361</v>
      </c>
      <c r="V7" s="222">
        <f t="shared" si="9"/>
        <v>-7656311.2771225013</v>
      </c>
      <c r="W7" s="222">
        <f t="shared" si="9"/>
        <v>-3591440.430977799</v>
      </c>
      <c r="X7" s="222">
        <f t="shared" si="9"/>
        <v>164955.63409226146</v>
      </c>
      <c r="Y7" s="222">
        <f t="shared" si="9"/>
        <v>3602331.0846714927</v>
      </c>
      <c r="Z7" s="222">
        <f t="shared" si="9"/>
        <v>6721595.9902113453</v>
      </c>
      <c r="AA7" s="222">
        <f t="shared" si="9"/>
        <v>9545457.1538279373</v>
      </c>
      <c r="AB7" s="222">
        <f t="shared" si="9"/>
        <v>12056744.390579065</v>
      </c>
      <c r="AC7" s="222">
        <f t="shared" si="9"/>
        <v>14272315.70725989</v>
      </c>
      <c r="AD7" s="178"/>
      <c r="AE7" s="178"/>
      <c r="AF7" s="178"/>
    </row>
    <row r="8" spans="2:32" x14ac:dyDescent="0.25">
      <c r="B8" s="98" t="s">
        <v>2442</v>
      </c>
      <c r="C8" s="81" t="s">
        <v>279</v>
      </c>
      <c r="D8" s="109" t="s">
        <v>1083</v>
      </c>
      <c r="E8" s="81">
        <v>85.3</v>
      </c>
      <c r="F8" s="81">
        <v>92</v>
      </c>
      <c r="G8" s="99">
        <v>44140</v>
      </c>
      <c r="H8" s="102">
        <v>107</v>
      </c>
      <c r="I8" s="81">
        <v>0.25</v>
      </c>
      <c r="J8" s="81">
        <v>2628</v>
      </c>
      <c r="K8" s="81">
        <v>18.899999999999999</v>
      </c>
      <c r="L8" s="125">
        <v>-16271827.783330385</v>
      </c>
      <c r="M8" s="125">
        <v>-1558513.3809445635</v>
      </c>
      <c r="N8" s="187">
        <v>123727.3298912481</v>
      </c>
      <c r="O8" s="82">
        <v>11057.574382063982</v>
      </c>
      <c r="Q8" s="308"/>
      <c r="R8" s="241" t="str">
        <f t="shared" si="10"/>
        <v>058470</v>
      </c>
      <c r="S8" s="236">
        <f t="shared" si="9"/>
        <v>639688.49716101401</v>
      </c>
      <c r="T8" s="222">
        <f t="shared" si="9"/>
        <v>541029.334777546</v>
      </c>
      <c r="U8" s="222">
        <f t="shared" si="9"/>
        <v>429602.30677652615</v>
      </c>
      <c r="V8" s="222">
        <f t="shared" si="9"/>
        <v>304612.28265006718</v>
      </c>
      <c r="W8" s="222">
        <f t="shared" si="9"/>
        <v>165321.32832731656</v>
      </c>
      <c r="X8" s="222">
        <f t="shared" si="9"/>
        <v>11057.574382063982</v>
      </c>
      <c r="Y8" s="222">
        <f t="shared" si="9"/>
        <v>-158778.17356781417</v>
      </c>
      <c r="Z8" s="222">
        <f t="shared" si="9"/>
        <v>-344708.44702249242</v>
      </c>
      <c r="AA8" s="222">
        <f t="shared" si="9"/>
        <v>-547178.04905247549</v>
      </c>
      <c r="AB8" s="222">
        <f t="shared" si="9"/>
        <v>-766556.14170322986</v>
      </c>
      <c r="AC8" s="222">
        <f t="shared" si="9"/>
        <v>-1003141.6485810822</v>
      </c>
    </row>
    <row r="9" spans="2:32" x14ac:dyDescent="0.25">
      <c r="B9" s="98" t="s">
        <v>2443</v>
      </c>
      <c r="C9" s="81" t="s">
        <v>278</v>
      </c>
      <c r="D9" s="109" t="s">
        <v>1083</v>
      </c>
      <c r="E9" s="81">
        <v>85.3</v>
      </c>
      <c r="F9" s="81">
        <v>70</v>
      </c>
      <c r="G9" s="99">
        <v>44097</v>
      </c>
      <c r="H9" s="102">
        <v>79</v>
      </c>
      <c r="I9" s="81">
        <v>0.5</v>
      </c>
      <c r="J9" s="81">
        <v>0</v>
      </c>
      <c r="K9" s="81">
        <v>36.5</v>
      </c>
      <c r="L9" s="125">
        <v>0</v>
      </c>
      <c r="M9" s="125">
        <v>0</v>
      </c>
      <c r="N9" s="187">
        <v>0</v>
      </c>
      <c r="O9" s="82">
        <v>0</v>
      </c>
      <c r="Q9" s="308"/>
      <c r="R9" s="241" t="str">
        <f t="shared" si="10"/>
        <v>059550</v>
      </c>
      <c r="S9" s="236">
        <f t="shared" si="9"/>
        <v>0</v>
      </c>
      <c r="T9" s="222">
        <f t="shared" si="9"/>
        <v>0</v>
      </c>
      <c r="U9" s="222">
        <f t="shared" si="9"/>
        <v>0</v>
      </c>
      <c r="V9" s="222">
        <f t="shared" si="9"/>
        <v>0</v>
      </c>
      <c r="W9" s="222">
        <f t="shared" si="9"/>
        <v>0</v>
      </c>
      <c r="X9" s="222">
        <f t="shared" si="9"/>
        <v>0</v>
      </c>
      <c r="Y9" s="222">
        <f t="shared" si="9"/>
        <v>0</v>
      </c>
      <c r="Z9" s="222">
        <f t="shared" si="9"/>
        <v>0</v>
      </c>
      <c r="AA9" s="222">
        <f t="shared" si="9"/>
        <v>0</v>
      </c>
      <c r="AB9" s="222">
        <f t="shared" si="9"/>
        <v>0</v>
      </c>
      <c r="AC9" s="222">
        <f t="shared" si="9"/>
        <v>0</v>
      </c>
    </row>
    <row r="10" spans="2:32" x14ac:dyDescent="0.25">
      <c r="B10" s="98" t="s">
        <v>1079</v>
      </c>
      <c r="C10" s="81" t="s">
        <v>125</v>
      </c>
      <c r="D10" s="109" t="s">
        <v>1083</v>
      </c>
      <c r="E10" s="81">
        <v>85.35</v>
      </c>
      <c r="F10" s="81">
        <v>96</v>
      </c>
      <c r="G10" s="99">
        <v>44159</v>
      </c>
      <c r="H10" s="102">
        <v>120</v>
      </c>
      <c r="I10" s="81">
        <v>0.12</v>
      </c>
      <c r="J10" s="81">
        <v>636</v>
      </c>
      <c r="K10" s="81">
        <v>25</v>
      </c>
      <c r="L10" s="125">
        <v>4717263.4471808542</v>
      </c>
      <c r="M10" s="125">
        <v>-126170.21248298063</v>
      </c>
      <c r="N10" s="187">
        <v>14874.294116778796</v>
      </c>
      <c r="O10" s="82">
        <v>1565.944519962231</v>
      </c>
      <c r="Q10" s="308"/>
      <c r="R10" s="241" t="str">
        <f t="shared" si="10"/>
        <v>06878P</v>
      </c>
      <c r="S10" s="236">
        <f t="shared" si="9"/>
        <v>-249716.52033161873</v>
      </c>
      <c r="T10" s="222">
        <f t="shared" si="9"/>
        <v>-197162.42571640696</v>
      </c>
      <c r="U10" s="222">
        <f t="shared" si="9"/>
        <v>-145716.01213551557</v>
      </c>
      <c r="V10" s="222">
        <f t="shared" si="9"/>
        <v>-95419.89921069413</v>
      </c>
      <c r="W10" s="222">
        <f t="shared" si="9"/>
        <v>-46313.748962002966</v>
      </c>
      <c r="X10" s="222">
        <f t="shared" si="9"/>
        <v>1565.944519962231</v>
      </c>
      <c r="Y10" s="222">
        <f t="shared" si="9"/>
        <v>48186.011887570836</v>
      </c>
      <c r="Z10" s="222">
        <f t="shared" si="9"/>
        <v>93516.708643488731</v>
      </c>
      <c r="AA10" s="222">
        <f t="shared" si="9"/>
        <v>137531.75623894922</v>
      </c>
      <c r="AB10" s="222">
        <f t="shared" si="9"/>
        <v>180208.32272657249</v>
      </c>
      <c r="AC10" s="222">
        <f t="shared" si="9"/>
        <v>221526.94235314324</v>
      </c>
    </row>
    <row r="11" spans="2:32" x14ac:dyDescent="0.25">
      <c r="B11" s="98" t="s">
        <v>2432</v>
      </c>
      <c r="C11" s="81" t="s">
        <v>281</v>
      </c>
      <c r="D11" s="109" t="s">
        <v>1083</v>
      </c>
      <c r="E11" s="81">
        <v>85.35</v>
      </c>
      <c r="F11" s="81">
        <v>80</v>
      </c>
      <c r="G11" s="99">
        <v>44089</v>
      </c>
      <c r="H11" s="102">
        <v>73</v>
      </c>
      <c r="I11" s="81">
        <v>1</v>
      </c>
      <c r="J11" s="81">
        <v>3601</v>
      </c>
      <c r="K11" s="81">
        <v>21.8</v>
      </c>
      <c r="L11" s="125">
        <v>83233905.994225472</v>
      </c>
      <c r="M11" s="125">
        <v>-8673971.3292845581</v>
      </c>
      <c r="N11" s="187">
        <v>543553.79324148712</v>
      </c>
      <c r="O11" s="82">
        <v>81945.123534476879</v>
      </c>
      <c r="Q11" s="308"/>
      <c r="R11" s="241" t="str">
        <f t="shared" si="10"/>
        <v>07140P</v>
      </c>
      <c r="S11" s="236">
        <f t="shared" si="9"/>
        <v>-5255985.3078832356</v>
      </c>
      <c r="T11" s="222">
        <f t="shared" si="9"/>
        <v>-3982818.6676010829</v>
      </c>
      <c r="U11" s="222">
        <f t="shared" si="9"/>
        <v>-2817492.8241975796</v>
      </c>
      <c r="V11" s="222">
        <f t="shared" si="9"/>
        <v>-1755045.616972636</v>
      </c>
      <c r="W11" s="222">
        <f t="shared" si="9"/>
        <v>-790341.47373508918</v>
      </c>
      <c r="X11" s="222">
        <f t="shared" si="9"/>
        <v>81945.123534476879</v>
      </c>
      <c r="Y11" s="222">
        <f t="shared" si="9"/>
        <v>867310.98006479559</v>
      </c>
      <c r="Z11" s="222">
        <f t="shared" si="9"/>
        <v>1571382.0171228361</v>
      </c>
      <c r="AA11" s="222">
        <f t="shared" si="9"/>
        <v>2199856.9312817808</v>
      </c>
      <c r="AB11" s="222">
        <f t="shared" si="9"/>
        <v>2758444.0346751418</v>
      </c>
      <c r="AC11" s="222">
        <f t="shared" si="9"/>
        <v>3252796.9147854964</v>
      </c>
    </row>
    <row r="12" spans="2:32" x14ac:dyDescent="0.25">
      <c r="B12" s="98" t="s">
        <v>1081</v>
      </c>
      <c r="C12" s="81" t="s">
        <v>118</v>
      </c>
      <c r="D12" s="109" t="s">
        <v>1083</v>
      </c>
      <c r="E12" s="81">
        <v>85.35</v>
      </c>
      <c r="F12" s="81">
        <v>90</v>
      </c>
      <c r="G12" s="99">
        <v>44123</v>
      </c>
      <c r="H12" s="102">
        <v>94</v>
      </c>
      <c r="I12" s="81">
        <v>0.4</v>
      </c>
      <c r="J12" s="81">
        <v>300</v>
      </c>
      <c r="K12" s="81">
        <v>20.6</v>
      </c>
      <c r="L12" s="125">
        <v>6555889.8333831104</v>
      </c>
      <c r="M12" s="125">
        <v>-304521.88222010556</v>
      </c>
      <c r="N12" s="187">
        <v>23283.690799909316</v>
      </c>
      <c r="O12" s="82">
        <v>2568.3175086720312</v>
      </c>
      <c r="Q12" s="308"/>
      <c r="R12" s="241" t="str">
        <f t="shared" si="10"/>
        <v>06732P</v>
      </c>
      <c r="S12" s="236">
        <f t="shared" si="9"/>
        <v>-362402.82340885536</v>
      </c>
      <c r="T12" s="222">
        <f t="shared" si="9"/>
        <v>-283838.39021016168</v>
      </c>
      <c r="U12" s="222">
        <f t="shared" si="9"/>
        <v>-207948.10738176832</v>
      </c>
      <c r="V12" s="222">
        <f t="shared" si="9"/>
        <v>-134849.90931686948</v>
      </c>
      <c r="W12" s="222">
        <f t="shared" si="9"/>
        <v>-64647.868509209446</v>
      </c>
      <c r="X12" s="222">
        <f t="shared" si="9"/>
        <v>2568.3175086720312</v>
      </c>
      <c r="Y12" s="222">
        <f t="shared" si="9"/>
        <v>66723.277375716862</v>
      </c>
      <c r="Z12" s="222">
        <f t="shared" si="9"/>
        <v>127755.3193467782</v>
      </c>
      <c r="AA12" s="222">
        <f t="shared" si="9"/>
        <v>185615.16366165076</v>
      </c>
      <c r="AB12" s="222">
        <f t="shared" si="9"/>
        <v>240264.041718536</v>
      </c>
      <c r="AC12" s="222">
        <f t="shared" si="9"/>
        <v>291698.6937691131</v>
      </c>
    </row>
    <row r="13" spans="2:32" x14ac:dyDescent="0.25">
      <c r="B13" s="98" t="s">
        <v>1082</v>
      </c>
      <c r="C13" s="81" t="s">
        <v>123</v>
      </c>
      <c r="D13" s="109" t="s">
        <v>1083</v>
      </c>
      <c r="E13" s="81">
        <v>85.35</v>
      </c>
      <c r="F13" s="81">
        <v>88</v>
      </c>
      <c r="G13" s="99">
        <v>44048</v>
      </c>
      <c r="H13" s="102">
        <v>44</v>
      </c>
      <c r="I13" s="81">
        <v>0.6</v>
      </c>
      <c r="J13" s="81">
        <v>4058</v>
      </c>
      <c r="K13" s="81">
        <v>17.899999999999999</v>
      </c>
      <c r="L13" s="125">
        <v>134000680.86589083</v>
      </c>
      <c r="M13" s="125">
        <v>-10345351.530679448</v>
      </c>
      <c r="N13" s="187">
        <v>321578.66724335763</v>
      </c>
      <c r="O13" s="82">
        <v>66048.448679897148</v>
      </c>
      <c r="Q13" s="308"/>
      <c r="R13" s="241" t="str">
        <f t="shared" si="10"/>
        <v>06496P</v>
      </c>
      <c r="S13" s="236">
        <f t="shared" ref="S13:AC23" si="11">IF($D13&lt;&gt;"00632R",(GBSOption(IF(RIGHT($B13,1)="P","P","C"),$E13,$F13,$H13/252,$K13/100,0, 0)-GBSOption(IF(RIGHT($B13,1)="P","P","C"),$E13*(1+S$2),$F13,($H13-1)/252,$K13/100,0, 0))*$I13*1000*$J13,(GBSOption(IF(RIGHT($B13,1)="P","P","C"),$E13,$F13,$H13/252,$K13/100,0, 0)-GBSOption(IF(RIGHT($B13,1)="P","P","C"),$E13*(1-S$2),$F13,($H13-1)/252,$K13/100,0, 0))*$I13*1000*$J13)</f>
        <v>-7831780.0636566887</v>
      </c>
      <c r="T13" s="222">
        <f t="shared" si="11"/>
        <v>-6084392.1558772707</v>
      </c>
      <c r="U13" s="222">
        <f t="shared" si="11"/>
        <v>-4412679.5008719983</v>
      </c>
      <c r="V13" s="222">
        <f t="shared" si="11"/>
        <v>-2825317.745339022</v>
      </c>
      <c r="W13" s="222">
        <f t="shared" si="11"/>
        <v>-1330153.56598123</v>
      </c>
      <c r="X13" s="222">
        <f t="shared" si="11"/>
        <v>66048.448679897148</v>
      </c>
      <c r="Y13" s="222">
        <f t="shared" si="11"/>
        <v>1357742.7676089837</v>
      </c>
      <c r="Z13" s="222">
        <f t="shared" si="11"/>
        <v>2540585.5816729767</v>
      </c>
      <c r="AA13" s="222">
        <f t="shared" si="11"/>
        <v>3611585.0860773856</v>
      </c>
      <c r="AB13" s="222">
        <f t="shared" si="11"/>
        <v>4580208.068819792</v>
      </c>
      <c r="AC13" s="222">
        <f t="shared" si="11"/>
        <v>5440654.2552248528</v>
      </c>
    </row>
    <row r="14" spans="2:32" x14ac:dyDescent="0.25">
      <c r="B14" s="127" t="s">
        <v>2444</v>
      </c>
      <c r="C14" s="81" t="s">
        <v>282</v>
      </c>
      <c r="D14" s="128" t="s">
        <v>1575</v>
      </c>
      <c r="E14" s="123">
        <v>10.029999999999999</v>
      </c>
      <c r="F14" s="81">
        <v>10</v>
      </c>
      <c r="G14" s="99">
        <v>44145</v>
      </c>
      <c r="H14" s="102">
        <v>110</v>
      </c>
      <c r="I14" s="81">
        <v>1</v>
      </c>
      <c r="J14" s="81">
        <v>1048</v>
      </c>
      <c r="K14" s="81">
        <v>16.850000000000001</v>
      </c>
      <c r="L14" s="125">
        <v>5601690.0707852645</v>
      </c>
      <c r="M14" s="125">
        <v>-375401.34011166554</v>
      </c>
      <c r="N14" s="187">
        <v>27621.972697367855</v>
      </c>
      <c r="O14" s="82">
        <v>2120.2557930948906</v>
      </c>
      <c r="Q14" s="308"/>
      <c r="R14" s="241" t="str">
        <f t="shared" si="10"/>
        <v>058740</v>
      </c>
      <c r="S14" s="236">
        <f t="shared" si="11"/>
        <v>-322826.90130894934</v>
      </c>
      <c r="T14" s="222">
        <f t="shared" si="11"/>
        <v>-250872.13963305176</v>
      </c>
      <c r="U14" s="222">
        <f t="shared" si="11"/>
        <v>-182235.6765293965</v>
      </c>
      <c r="V14" s="222">
        <f t="shared" si="11"/>
        <v>-117087.38208828178</v>
      </c>
      <c r="W14" s="222">
        <f t="shared" si="11"/>
        <v>-55590.987375157965</v>
      </c>
      <c r="X14" s="222">
        <f t="shared" si="11"/>
        <v>2120.2557930948906</v>
      </c>
      <c r="Y14" s="222">
        <f t="shared" si="11"/>
        <v>56309.624623375399</v>
      </c>
      <c r="Z14" s="222">
        <f t="shared" si="11"/>
        <v>106746.85381436192</v>
      </c>
      <c r="AA14" s="222">
        <f t="shared" si="11"/>
        <v>153243.55032838322</v>
      </c>
      <c r="AB14" s="222">
        <f t="shared" si="11"/>
        <v>195859.7328035078</v>
      </c>
      <c r="AC14" s="222">
        <f t="shared" si="11"/>
        <v>234672.36991621469</v>
      </c>
    </row>
    <row r="15" spans="2:32" x14ac:dyDescent="0.25">
      <c r="B15" s="127" t="s">
        <v>2445</v>
      </c>
      <c r="C15" s="81" t="s">
        <v>126</v>
      </c>
      <c r="D15" s="128" t="s">
        <v>1575</v>
      </c>
      <c r="E15" s="123">
        <v>10.029999999999999</v>
      </c>
      <c r="F15" s="81">
        <v>10.5</v>
      </c>
      <c r="G15" s="99">
        <v>44096</v>
      </c>
      <c r="H15" s="102">
        <v>78</v>
      </c>
      <c r="I15" s="81">
        <v>1</v>
      </c>
      <c r="J15" s="81">
        <v>9701</v>
      </c>
      <c r="K15" s="81">
        <v>16</v>
      </c>
      <c r="L15" s="125">
        <v>31059187.654801704</v>
      </c>
      <c r="M15" s="125">
        <v>-3904841.1030381764</v>
      </c>
      <c r="N15" s="187">
        <v>191596.77865266457</v>
      </c>
      <c r="O15" s="82">
        <v>19870.421215301147</v>
      </c>
      <c r="Q15" s="308"/>
      <c r="R15" s="241" t="str">
        <f t="shared" si="10"/>
        <v>053900</v>
      </c>
      <c r="S15" s="236">
        <f t="shared" si="11"/>
        <v>-2041656.1359199334</v>
      </c>
      <c r="T15" s="222">
        <f t="shared" si="11"/>
        <v>-1545037.9342030699</v>
      </c>
      <c r="U15" s="222">
        <f t="shared" si="11"/>
        <v>-1090268.8479823836</v>
      </c>
      <c r="V15" s="222">
        <f t="shared" si="11"/>
        <v>-678588.60630564985</v>
      </c>
      <c r="W15" s="222">
        <f t="shared" si="11"/>
        <v>-308976.6766692262</v>
      </c>
      <c r="X15" s="222">
        <f t="shared" si="11"/>
        <v>19870.421215301147</v>
      </c>
      <c r="Y15" s="222">
        <f t="shared" si="11"/>
        <v>309586.30501209991</v>
      </c>
      <c r="Z15" s="222">
        <f t="shared" si="11"/>
        <v>562147.95564753865</v>
      </c>
      <c r="AA15" s="222">
        <f t="shared" si="11"/>
        <v>779858.85820584686</v>
      </c>
      <c r="AB15" s="222">
        <f t="shared" si="11"/>
        <v>965306.9023085701</v>
      </c>
      <c r="AC15" s="222">
        <f t="shared" si="11"/>
        <v>1121302.7322359201</v>
      </c>
    </row>
    <row r="16" spans="2:32" x14ac:dyDescent="0.25">
      <c r="B16" s="127" t="s">
        <v>2446</v>
      </c>
      <c r="C16" s="81" t="s">
        <v>131</v>
      </c>
      <c r="D16" s="128" t="s">
        <v>1575</v>
      </c>
      <c r="E16" s="123">
        <v>10.029999999999999</v>
      </c>
      <c r="F16" s="81">
        <v>10.3</v>
      </c>
      <c r="G16" s="99">
        <v>44257</v>
      </c>
      <c r="H16" s="102">
        <v>190</v>
      </c>
      <c r="I16" s="81">
        <v>1</v>
      </c>
      <c r="J16" s="81">
        <v>1540</v>
      </c>
      <c r="K16" s="81">
        <v>19.8</v>
      </c>
      <c r="L16" s="125">
        <v>7300922.7264237339</v>
      </c>
      <c r="M16" s="125">
        <v>-357577.23850484507</v>
      </c>
      <c r="N16" s="187">
        <v>53371.462050473543</v>
      </c>
      <c r="O16" s="82">
        <v>2785.8629981860463</v>
      </c>
      <c r="Q16" s="308"/>
      <c r="R16" s="241" t="str">
        <f t="shared" si="10"/>
        <v>058161</v>
      </c>
      <c r="S16" s="236">
        <f t="shared" si="11"/>
        <v>-406212.71765488514</v>
      </c>
      <c r="T16" s="222">
        <f t="shared" si="11"/>
        <v>-317717.8959071131</v>
      </c>
      <c r="U16" s="222">
        <f t="shared" si="11"/>
        <v>-232547.11309636105</v>
      </c>
      <c r="V16" s="222">
        <f t="shared" si="11"/>
        <v>-150677.72936991521</v>
      </c>
      <c r="W16" s="222">
        <f t="shared" si="11"/>
        <v>-72155.685669508006</v>
      </c>
      <c r="X16" s="222">
        <f t="shared" si="11"/>
        <v>2785.8629981860463</v>
      </c>
      <c r="Y16" s="222">
        <f t="shared" si="11"/>
        <v>74047.728027688587</v>
      </c>
      <c r="Z16" s="222">
        <f t="shared" si="11"/>
        <v>141644.58220190718</v>
      </c>
      <c r="AA16" s="222">
        <f t="shared" si="11"/>
        <v>205597.04553146468</v>
      </c>
      <c r="AB16" s="222">
        <f t="shared" si="11"/>
        <v>265933.03008225473</v>
      </c>
      <c r="AC16" s="222">
        <f t="shared" si="11"/>
        <v>322688.88146504998</v>
      </c>
    </row>
    <row r="17" spans="2:30" x14ac:dyDescent="0.25">
      <c r="B17" s="127" t="s">
        <v>2447</v>
      </c>
      <c r="C17" s="81" t="s">
        <v>130</v>
      </c>
      <c r="D17" s="128" t="s">
        <v>1575</v>
      </c>
      <c r="E17" s="123">
        <v>10.029999999999999</v>
      </c>
      <c r="F17" s="81">
        <v>10.25</v>
      </c>
      <c r="G17" s="99">
        <v>44186</v>
      </c>
      <c r="H17" s="102">
        <v>139</v>
      </c>
      <c r="I17" s="81">
        <v>1</v>
      </c>
      <c r="J17" s="81">
        <v>183</v>
      </c>
      <c r="K17" s="81">
        <v>28</v>
      </c>
      <c r="L17" s="125">
        <v>917481.06928930059</v>
      </c>
      <c r="M17" s="125">
        <v>-35212.503189955307</v>
      </c>
      <c r="N17" s="187">
        <v>5441.4032035355785</v>
      </c>
      <c r="O17" s="82">
        <v>549.05823654358267</v>
      </c>
      <c r="Q17" s="308"/>
      <c r="R17" s="241" t="str">
        <f t="shared" si="10"/>
        <v>057681</v>
      </c>
      <c r="S17" s="236">
        <f t="shared" si="11"/>
        <v>-49610.315244568483</v>
      </c>
      <c r="T17" s="222">
        <f t="shared" si="11"/>
        <v>-38921.256586269999</v>
      </c>
      <c r="U17" s="222">
        <f t="shared" si="11"/>
        <v>-28557.021367932954</v>
      </c>
      <c r="V17" s="222">
        <f t="shared" si="11"/>
        <v>-18520.616073425139</v>
      </c>
      <c r="W17" s="222">
        <f t="shared" si="11"/>
        <v>-8817.5041188073628</v>
      </c>
      <c r="X17" s="222">
        <f t="shared" si="11"/>
        <v>549.05823654358267</v>
      </c>
      <c r="Y17" s="222">
        <f t="shared" si="11"/>
        <v>9562.689435004093</v>
      </c>
      <c r="Z17" s="222">
        <f t="shared" si="11"/>
        <v>18210.110032365636</v>
      </c>
      <c r="AA17" s="222">
        <f t="shared" si="11"/>
        <v>26491.557620318225</v>
      </c>
      <c r="AB17" s="222">
        <f t="shared" si="11"/>
        <v>34407.660530971007</v>
      </c>
      <c r="AC17" s="222">
        <f t="shared" si="11"/>
        <v>41959.526356539747</v>
      </c>
    </row>
    <row r="18" spans="2:30" x14ac:dyDescent="0.25">
      <c r="B18" s="127" t="s">
        <v>2448</v>
      </c>
      <c r="C18" s="81" t="s">
        <v>132</v>
      </c>
      <c r="D18" s="128" t="s">
        <v>1575</v>
      </c>
      <c r="E18" s="123">
        <v>10.029999999999999</v>
      </c>
      <c r="F18" s="81">
        <v>10.85</v>
      </c>
      <c r="G18" s="99">
        <v>44124</v>
      </c>
      <c r="H18" s="102">
        <v>95</v>
      </c>
      <c r="I18" s="81">
        <v>1</v>
      </c>
      <c r="J18" s="81">
        <v>9998</v>
      </c>
      <c r="K18" s="81">
        <v>16</v>
      </c>
      <c r="L18" s="125">
        <v>22702002.652665492</v>
      </c>
      <c r="M18" s="125">
        <v>-3072069.939919177</v>
      </c>
      <c r="N18" s="187">
        <v>181436.84030948504</v>
      </c>
      <c r="O18" s="82">
        <v>15619.673233504247</v>
      </c>
      <c r="Q18" s="308"/>
      <c r="R18" s="241" t="str">
        <f t="shared" si="10"/>
        <v>049973</v>
      </c>
      <c r="S18" s="236">
        <f t="shared" si="11"/>
        <v>-1532798.0697490177</v>
      </c>
      <c r="T18" s="222">
        <f t="shared" si="11"/>
        <v>-1151761.3182370318</v>
      </c>
      <c r="U18" s="222">
        <f t="shared" si="11"/>
        <v>-807756.62354127003</v>
      </c>
      <c r="V18" s="222">
        <f t="shared" si="11"/>
        <v>-499551.51561425882</v>
      </c>
      <c r="W18" s="222">
        <f t="shared" si="11"/>
        <v>-225666.49451868844</v>
      </c>
      <c r="X18" s="222">
        <f t="shared" si="11"/>
        <v>15619.673233504247</v>
      </c>
      <c r="Y18" s="222">
        <f t="shared" si="11"/>
        <v>226249.93679706717</v>
      </c>
      <c r="Z18" s="222">
        <f t="shared" si="11"/>
        <v>408356.64055843267</v>
      </c>
      <c r="AA18" s="222">
        <f t="shared" si="11"/>
        <v>564219.67763813969</v>
      </c>
      <c r="AB18" s="222">
        <f t="shared" si="11"/>
        <v>696218.135237718</v>
      </c>
      <c r="AC18" s="222">
        <f t="shared" si="11"/>
        <v>806778.54389121581</v>
      </c>
    </row>
    <row r="19" spans="2:30" x14ac:dyDescent="0.25">
      <c r="B19" s="127" t="s">
        <v>2449</v>
      </c>
      <c r="C19" s="81" t="s">
        <v>133</v>
      </c>
      <c r="D19" s="128" t="s">
        <v>1575</v>
      </c>
      <c r="E19" s="123">
        <v>10.029999999999999</v>
      </c>
      <c r="F19" s="81">
        <v>11</v>
      </c>
      <c r="G19" s="99">
        <v>44025</v>
      </c>
      <c r="H19" s="102">
        <v>27</v>
      </c>
      <c r="I19" s="81">
        <v>1</v>
      </c>
      <c r="J19" s="81">
        <v>6515</v>
      </c>
      <c r="K19" s="81">
        <v>16</v>
      </c>
      <c r="L19" s="125">
        <v>2694980.9580374653</v>
      </c>
      <c r="M19" s="125">
        <v>-1102170.9717219737</v>
      </c>
      <c r="N19" s="187">
        <v>17062.6073336751</v>
      </c>
      <c r="O19" s="82">
        <v>5486.5060998905428</v>
      </c>
      <c r="Q19" s="308"/>
      <c r="R19" s="241" t="str">
        <f t="shared" si="10"/>
        <v>049406</v>
      </c>
      <c r="S19" s="236">
        <f t="shared" si="11"/>
        <v>-342604.04407565232</v>
      </c>
      <c r="T19" s="222">
        <f t="shared" si="11"/>
        <v>-224501.50796910634</v>
      </c>
      <c r="U19" s="222">
        <f t="shared" si="11"/>
        <v>-135704.53608466772</v>
      </c>
      <c r="V19" s="222">
        <f t="shared" si="11"/>
        <v>-71033.365934848654</v>
      </c>
      <c r="W19" s="222">
        <f t="shared" si="11"/>
        <v>-25485.616073276786</v>
      </c>
      <c r="X19" s="222">
        <f t="shared" si="11"/>
        <v>5486.5060998905428</v>
      </c>
      <c r="Y19" s="222">
        <f t="shared" si="11"/>
        <v>25788.935682609896</v>
      </c>
      <c r="Z19" s="222">
        <f t="shared" si="11"/>
        <v>38598.499742813248</v>
      </c>
      <c r="AA19" s="222">
        <f t="shared" si="11"/>
        <v>46365.794538457696</v>
      </c>
      <c r="AB19" s="222">
        <f t="shared" si="11"/>
        <v>50885.309387859044</v>
      </c>
      <c r="AC19" s="222">
        <f t="shared" si="11"/>
        <v>53404.905653689028</v>
      </c>
    </row>
    <row r="20" spans="2:30" x14ac:dyDescent="0.25">
      <c r="B20" s="127" t="s">
        <v>2450</v>
      </c>
      <c r="C20" s="81" t="s">
        <v>135</v>
      </c>
      <c r="D20" s="128" t="s">
        <v>1575</v>
      </c>
      <c r="E20" s="123">
        <v>10.029999999999999</v>
      </c>
      <c r="F20" s="81">
        <v>10.42</v>
      </c>
      <c r="G20" s="99">
        <v>44160</v>
      </c>
      <c r="H20" s="102">
        <v>121</v>
      </c>
      <c r="I20" s="81">
        <v>1</v>
      </c>
      <c r="J20" s="81">
        <v>9993</v>
      </c>
      <c r="K20" s="81">
        <v>16</v>
      </c>
      <c r="L20" s="125">
        <v>38732087.138705693</v>
      </c>
      <c r="M20" s="125">
        <v>-3459428.9243902089</v>
      </c>
      <c r="N20" s="187">
        <v>264633.10857107601</v>
      </c>
      <c r="O20" s="82">
        <v>17596.485423452144</v>
      </c>
      <c r="Q20" s="308"/>
      <c r="R20" s="241" t="str">
        <f t="shared" si="10"/>
        <v>052269</v>
      </c>
      <c r="S20" s="236">
        <f t="shared" si="11"/>
        <v>-2355316.5351253008</v>
      </c>
      <c r="T20" s="222">
        <f t="shared" si="11"/>
        <v>-1812476.4589547571</v>
      </c>
      <c r="U20" s="222">
        <f t="shared" si="11"/>
        <v>-1301648.0746121013</v>
      </c>
      <c r="V20" s="222">
        <f t="shared" si="11"/>
        <v>-825949.81609329197</v>
      </c>
      <c r="W20" s="222">
        <f t="shared" si="11"/>
        <v>-386383.41888951394</v>
      </c>
      <c r="X20" s="222">
        <f t="shared" si="11"/>
        <v>17596.485423452144</v>
      </c>
      <c r="Y20" s="222">
        <f t="shared" si="11"/>
        <v>386682.9538705633</v>
      </c>
      <c r="Z20" s="222">
        <f t="shared" si="11"/>
        <v>721747.59936399118</v>
      </c>
      <c r="AA20" s="222">
        <f t="shared" si="11"/>
        <v>1023858.8962970122</v>
      </c>
      <c r="AB20" s="222">
        <f t="shared" si="11"/>
        <v>1294288.4857797108</v>
      </c>
      <c r="AC20" s="222">
        <f t="shared" si="11"/>
        <v>1534506.3142602681</v>
      </c>
    </row>
    <row r="21" spans="2:30" x14ac:dyDescent="0.25">
      <c r="B21" s="127" t="s">
        <v>2451</v>
      </c>
      <c r="C21" s="81" t="s">
        <v>134</v>
      </c>
      <c r="D21" s="128" t="s">
        <v>1575</v>
      </c>
      <c r="E21" s="123">
        <v>10.029999999999999</v>
      </c>
      <c r="F21" s="81">
        <v>9.8000000000000007</v>
      </c>
      <c r="G21" s="99">
        <v>44228</v>
      </c>
      <c r="H21" s="102">
        <v>169</v>
      </c>
      <c r="I21" s="81">
        <v>1</v>
      </c>
      <c r="J21" s="81">
        <v>3186</v>
      </c>
      <c r="K21" s="81">
        <v>18</v>
      </c>
      <c r="L21" s="125">
        <v>18897800.248374458</v>
      </c>
      <c r="M21" s="125">
        <v>-842065.81531733589</v>
      </c>
      <c r="N21" s="187">
        <v>101613.08692115708</v>
      </c>
      <c r="O21" s="82">
        <v>5422.4917534177011</v>
      </c>
      <c r="Q21" s="308"/>
      <c r="R21" s="241" t="str">
        <f t="shared" si="10"/>
        <v>056219</v>
      </c>
      <c r="S21" s="236">
        <f t="shared" si="11"/>
        <v>-1040049.1336768364</v>
      </c>
      <c r="T21" s="222">
        <f t="shared" si="11"/>
        <v>-815550.1873374572</v>
      </c>
      <c r="U21" s="222">
        <f t="shared" si="11"/>
        <v>-598427.07448081393</v>
      </c>
      <c r="V21" s="222">
        <f t="shared" si="11"/>
        <v>-389009.02913618041</v>
      </c>
      <c r="W21" s="222">
        <f t="shared" si="11"/>
        <v>-187619.6386367722</v>
      </c>
      <c r="X21" s="222">
        <f t="shared" si="11"/>
        <v>5422.4917534177011</v>
      </c>
      <c r="Y21" s="222">
        <f t="shared" si="11"/>
        <v>189801.78637044301</v>
      </c>
      <c r="Z21" s="222">
        <f t="shared" si="11"/>
        <v>365488.90583717608</v>
      </c>
      <c r="AA21" s="222">
        <f t="shared" si="11"/>
        <v>532905.02276312513</v>
      </c>
      <c r="AB21" s="222">
        <f t="shared" si="11"/>
        <v>691765.79332097282</v>
      </c>
      <c r="AC21" s="222">
        <f t="shared" si="11"/>
        <v>841365.34907095705</v>
      </c>
    </row>
    <row r="22" spans="2:30" x14ac:dyDescent="0.25">
      <c r="B22" s="127" t="s">
        <v>2433</v>
      </c>
      <c r="C22" s="81" t="s">
        <v>136</v>
      </c>
      <c r="D22" s="128" t="s">
        <v>1575</v>
      </c>
      <c r="E22" s="123">
        <v>10.039999999999999</v>
      </c>
      <c r="F22" s="81">
        <v>10.5</v>
      </c>
      <c r="G22" s="99">
        <v>44018</v>
      </c>
      <c r="H22" s="102">
        <v>22</v>
      </c>
      <c r="I22" s="81">
        <v>1</v>
      </c>
      <c r="J22" s="81">
        <v>9794</v>
      </c>
      <c r="K22" s="81">
        <v>16</v>
      </c>
      <c r="L22" s="125">
        <v>-80853575.921119317</v>
      </c>
      <c r="M22" s="125">
        <v>-5414886.2803428294</v>
      </c>
      <c r="N22" s="187">
        <v>73458.529998310099</v>
      </c>
      <c r="O22" s="82">
        <v>27545.731884870347</v>
      </c>
      <c r="Q22" s="308"/>
      <c r="R22" s="241" t="str">
        <f t="shared" si="10"/>
        <v>06098P</v>
      </c>
      <c r="S22" s="236">
        <f t="shared" si="11"/>
        <v>3242491.8043483929</v>
      </c>
      <c r="T22" s="222">
        <f t="shared" si="11"/>
        <v>2753442.8709548335</v>
      </c>
      <c r="U22" s="222">
        <f t="shared" si="11"/>
        <v>2183452.8922053324</v>
      </c>
      <c r="V22" s="222">
        <f t="shared" si="11"/>
        <v>1534459.594508366</v>
      </c>
      <c r="W22" s="222">
        <f t="shared" si="11"/>
        <v>812999.97294303193</v>
      </c>
      <c r="X22" s="222">
        <f t="shared" si="11"/>
        <v>27545.731884870347</v>
      </c>
      <c r="Y22" s="222">
        <f t="shared" si="11"/>
        <v>-811992.1852971341</v>
      </c>
      <c r="Z22" s="222">
        <f t="shared" si="11"/>
        <v>-1695110.5065953322</v>
      </c>
      <c r="AA22" s="222">
        <f t="shared" si="11"/>
        <v>-2611627.1343236561</v>
      </c>
      <c r="AB22" s="222">
        <f t="shared" si="11"/>
        <v>-3552439.5639465936</v>
      </c>
      <c r="AC22" s="222">
        <f t="shared" si="11"/>
        <v>-4510001.2866684273</v>
      </c>
    </row>
    <row r="23" spans="2:30" ht="17.25" thickBot="1" x14ac:dyDescent="0.3">
      <c r="B23" s="127" t="s">
        <v>283</v>
      </c>
      <c r="C23" s="81" t="s">
        <v>284</v>
      </c>
      <c r="D23" s="128" t="s">
        <v>1575</v>
      </c>
      <c r="E23" s="123">
        <v>10.039999999999999</v>
      </c>
      <c r="F23" s="81">
        <v>11</v>
      </c>
      <c r="G23" s="99">
        <v>44179</v>
      </c>
      <c r="H23" s="102">
        <v>134</v>
      </c>
      <c r="I23" s="81">
        <v>1</v>
      </c>
      <c r="J23" s="81">
        <v>11</v>
      </c>
      <c r="K23" s="81">
        <v>27</v>
      </c>
      <c r="L23" s="125">
        <v>-70965.987195740614</v>
      </c>
      <c r="M23" s="125">
        <v>-2093.3062427587301</v>
      </c>
      <c r="N23" s="187">
        <v>299.19096667175336</v>
      </c>
      <c r="O23" s="82">
        <v>30.306940445264274</v>
      </c>
      <c r="Q23" s="309"/>
      <c r="R23" s="241" t="str">
        <f t="shared" si="10"/>
        <v>07115P</v>
      </c>
      <c r="S23" s="236">
        <f t="shared" si="11"/>
        <v>3319.0994979166171</v>
      </c>
      <c r="T23" s="222">
        <f t="shared" si="11"/>
        <v>2704.2463948094837</v>
      </c>
      <c r="U23" s="222">
        <f t="shared" si="11"/>
        <v>2067.8340270782728</v>
      </c>
      <c r="V23" s="222">
        <f t="shared" si="11"/>
        <v>1409.9520988971724</v>
      </c>
      <c r="W23" s="222">
        <f t="shared" si="11"/>
        <v>730.72328365277201</v>
      </c>
      <c r="X23" s="222">
        <f t="shared" si="11"/>
        <v>30.306940445264274</v>
      </c>
      <c r="Y23" s="222">
        <f t="shared" si="11"/>
        <v>-691.09771939813447</v>
      </c>
      <c r="Z23" s="222">
        <f t="shared" si="11"/>
        <v>-1433.2490438028053</v>
      </c>
      <c r="AA23" s="222">
        <f t="shared" si="11"/>
        <v>-2195.8609539692898</v>
      </c>
      <c r="AB23" s="222">
        <f t="shared" si="11"/>
        <v>-2978.6015810397721</v>
      </c>
      <c r="AC23" s="222">
        <f t="shared" si="11"/>
        <v>-3781.0925401057016</v>
      </c>
    </row>
    <row r="24" spans="2:30" ht="17.25" thickBot="1" x14ac:dyDescent="0.3">
      <c r="B24" s="83" t="s">
        <v>1078</v>
      </c>
      <c r="C24" s="84"/>
      <c r="D24" s="84"/>
      <c r="E24" s="84"/>
      <c r="F24" s="84"/>
      <c r="G24" s="84"/>
      <c r="H24" s="84"/>
      <c r="I24" s="84"/>
      <c r="J24" s="84"/>
      <c r="K24" s="84"/>
      <c r="L24" s="176">
        <v>577284207.19890165</v>
      </c>
      <c r="M24" s="176">
        <v>-78500807.529836863</v>
      </c>
      <c r="N24" s="89">
        <v>3405329.2260612561</v>
      </c>
      <c r="O24" s="85">
        <v>491957.54262362293</v>
      </c>
      <c r="Q24" s="221" t="s">
        <v>2436</v>
      </c>
      <c r="R24" s="239" t="str">
        <f>D26</f>
        <v>台指06</v>
      </c>
      <c r="S24" s="237" t="e">
        <f t="shared" ref="S24:AC24" si="12">-($D$27*(1+S$2)-$D$27)*$E$27*200</f>
        <v>#VALUE!</v>
      </c>
      <c r="T24" s="223" t="e">
        <f t="shared" si="12"/>
        <v>#VALUE!</v>
      </c>
      <c r="U24" s="223" t="e">
        <f t="shared" si="12"/>
        <v>#VALUE!</v>
      </c>
      <c r="V24" s="223" t="e">
        <f t="shared" si="12"/>
        <v>#VALUE!</v>
      </c>
      <c r="W24" s="223" t="e">
        <f t="shared" si="12"/>
        <v>#VALUE!</v>
      </c>
      <c r="X24" s="223" t="e">
        <f t="shared" si="12"/>
        <v>#VALUE!</v>
      </c>
      <c r="Y24" s="223" t="e">
        <f t="shared" si="12"/>
        <v>#VALUE!</v>
      </c>
      <c r="Z24" s="223" t="e">
        <f t="shared" si="12"/>
        <v>#VALUE!</v>
      </c>
      <c r="AA24" s="223" t="e">
        <f t="shared" si="12"/>
        <v>#VALUE!</v>
      </c>
      <c r="AB24" s="223" t="e">
        <f t="shared" si="12"/>
        <v>#VALUE!</v>
      </c>
      <c r="AC24" s="224" t="e">
        <f t="shared" si="12"/>
        <v>#VALUE!</v>
      </c>
    </row>
    <row r="25" spans="2:30" ht="17.25" thickBot="1" x14ac:dyDescent="0.3">
      <c r="Q25" s="300" t="s">
        <v>2437</v>
      </c>
      <c r="R25" s="301"/>
      <c r="S25" s="238" t="e">
        <f>SUM(S3:S24)</f>
        <v>#VALUE!</v>
      </c>
      <c r="T25" s="225" t="e">
        <f t="shared" ref="T25:AC25" si="13">SUM(T3:T24)</f>
        <v>#VALUE!</v>
      </c>
      <c r="U25" s="225" t="e">
        <f t="shared" si="13"/>
        <v>#VALUE!</v>
      </c>
      <c r="V25" s="225" t="e">
        <f t="shared" si="13"/>
        <v>#VALUE!</v>
      </c>
      <c r="W25" s="225" t="e">
        <f t="shared" si="13"/>
        <v>#VALUE!</v>
      </c>
      <c r="X25" s="225" t="e">
        <f>SUM(X3:X24)</f>
        <v>#VALUE!</v>
      </c>
      <c r="Y25" s="225" t="e">
        <f t="shared" si="13"/>
        <v>#VALUE!</v>
      </c>
      <c r="Z25" s="225" t="e">
        <f t="shared" si="13"/>
        <v>#VALUE!</v>
      </c>
      <c r="AA25" s="225" t="e">
        <f t="shared" si="13"/>
        <v>#VALUE!</v>
      </c>
      <c r="AB25" s="225" t="e">
        <f t="shared" si="13"/>
        <v>#VALUE!</v>
      </c>
      <c r="AC25" s="226" t="e">
        <f t="shared" si="13"/>
        <v>#VALUE!</v>
      </c>
    </row>
    <row r="26" spans="2:30" ht="17.25" thickTop="1" x14ac:dyDescent="0.25">
      <c r="C26" s="106" t="s">
        <v>1422</v>
      </c>
      <c r="D26" s="106" t="s">
        <v>2317</v>
      </c>
      <c r="E26" s="45" t="s">
        <v>2434</v>
      </c>
    </row>
    <row r="27" spans="2:30" ht="17.25" thickBot="1" x14ac:dyDescent="0.3">
      <c r="C27" s="106" t="s">
        <v>1085</v>
      </c>
      <c r="D27" s="106" t="str">
        <f>[1]!'125060`205'</f>
        <v>#Get Error</v>
      </c>
      <c r="E27" s="45" t="e">
        <f>ROUND(L24/(D27*200),0)</f>
        <v>#VALUE!</v>
      </c>
    </row>
    <row r="28" spans="2:30" x14ac:dyDescent="0.25">
      <c r="Q28" s="218" t="s">
        <v>2423</v>
      </c>
      <c r="R28" s="219" t="s">
        <v>2425</v>
      </c>
      <c r="S28" s="219" t="s">
        <v>2410</v>
      </c>
      <c r="T28" s="219" t="s">
        <v>2411</v>
      </c>
      <c r="U28" s="219" t="s">
        <v>2413</v>
      </c>
      <c r="V28" s="219" t="s">
        <v>2412</v>
      </c>
      <c r="W28" s="219" t="s">
        <v>2415</v>
      </c>
      <c r="X28" s="219" t="s">
        <v>2418</v>
      </c>
      <c r="Y28" s="219" t="s">
        <v>2417</v>
      </c>
      <c r="Z28" s="219" t="s">
        <v>2416</v>
      </c>
      <c r="AA28" s="219" t="s">
        <v>2414</v>
      </c>
      <c r="AB28" s="219" t="s">
        <v>2420</v>
      </c>
      <c r="AC28" s="219" t="s">
        <v>2421</v>
      </c>
      <c r="AD28" s="220" t="s">
        <v>2422</v>
      </c>
    </row>
    <row r="29" spans="2:30" x14ac:dyDescent="0.25">
      <c r="Q29" s="155" t="s">
        <v>2424</v>
      </c>
      <c r="R29" s="113">
        <v>750</v>
      </c>
      <c r="S29" s="113">
        <v>7</v>
      </c>
      <c r="T29" s="113" t="s">
        <v>0</v>
      </c>
      <c r="U29" s="113">
        <f>IF(S29=6,選擇權近月!G2,選擇權次近月!G2)</f>
        <v>12064</v>
      </c>
      <c r="V29" s="113">
        <v>10900</v>
      </c>
      <c r="W29" s="113">
        <f ca="1">IF(T29="C",OFFSET(選擇權次近月!$E$10,MATCH(V29,選擇權次近月!$J$11:$J$58,0),0),OFFSET(選擇權次近月!$K$10,MATCH(V29,選擇權次近月!$J$11:$J$58,0),0))</f>
        <v>41</v>
      </c>
      <c r="X29" s="114" t="str">
        <f>IF(S29=6,"2020/6/17","2020/7/15")</f>
        <v>2020/7/15</v>
      </c>
      <c r="Y29" s="113">
        <f ca="1">COUNTIF(工作日!$B$2:$B$500,"&lt;="&amp;X29)-COUNTIF(工作日!$B$2:$B$500,"&lt;"&amp;TODAY())/252</f>
        <v>1</v>
      </c>
      <c r="Z29" s="213">
        <f ca="1">GBSImpliedVol(T29,W29,U29,V29,Y29/252,0,0)</f>
        <v>1.2411878448486326</v>
      </c>
      <c r="AA29" s="214">
        <f ca="1">GBSGreeks("d", T29,U29,V29,Y29/252,Z29, 0,0)*50*R29*U29</f>
        <v>-41004440.897098936</v>
      </c>
      <c r="AB29" s="214">
        <f ca="1">GBSGreeks("g", T29,U29,V29,Y29/252,Z29, 0,0)*R29*50*U29^2*1%</f>
        <v>9446175.501906449</v>
      </c>
      <c r="AC29" s="214">
        <f ca="1">-(GBSOption(T29,U29,V29,Y29/252,Z29,0, 0)-GBSOption(T29,U29,V29,Y29/252,Z29+0.01,0, 0))*50*R29</f>
        <v>46887.504675925127</v>
      </c>
      <c r="AD29" s="215" t="e">
        <f ca="1">-(GBSOption(T29,U29,V29,Y29/252,Z29,0, 0)-GBSOption(T29,U29,V29,(Y29-1)/252,Z29,0, 0))*50*R29</f>
        <v>#VALUE!</v>
      </c>
    </row>
    <row r="30" spans="2:30" ht="17.25" thickBot="1" x14ac:dyDescent="0.3">
      <c r="Q30" s="156" t="s">
        <v>2419</v>
      </c>
      <c r="R30" s="216" t="e">
        <f ca="1">-ROUND((L24+AA29)/(200*D27),0)</f>
        <v>#VALUE!</v>
      </c>
      <c r="S30" s="157"/>
      <c r="T30" s="157"/>
      <c r="U30" s="157"/>
      <c r="V30" s="157"/>
      <c r="W30" s="157"/>
      <c r="X30" s="157"/>
      <c r="Y30" s="157"/>
      <c r="Z30" s="157"/>
      <c r="AA30" s="216" t="e">
        <f ca="1">R30*$D$27*200</f>
        <v>#VALUE!</v>
      </c>
      <c r="AB30" s="216"/>
      <c r="AC30" s="216"/>
      <c r="AD30" s="217"/>
    </row>
    <row r="31" spans="2:30" ht="17.25" thickBot="1" x14ac:dyDescent="0.3"/>
    <row r="32" spans="2:30" ht="18" thickTop="1" thickBot="1" x14ac:dyDescent="0.3">
      <c r="Q32" s="302" t="s">
        <v>2438</v>
      </c>
      <c r="R32" s="304" t="s">
        <v>2439</v>
      </c>
      <c r="S32" s="305"/>
      <c r="T32" s="305"/>
      <c r="U32" s="305"/>
      <c r="V32" s="305"/>
      <c r="W32" s="305"/>
      <c r="X32" s="305"/>
      <c r="Y32" s="305"/>
      <c r="Z32" s="305"/>
      <c r="AA32" s="305"/>
      <c r="AB32" s="306"/>
    </row>
    <row r="33" spans="17:30" ht="18" thickTop="1" thickBot="1" x14ac:dyDescent="0.3">
      <c r="Q33" s="303"/>
      <c r="R33" s="231">
        <v>-0.05</v>
      </c>
      <c r="S33" s="232">
        <f>R33+1%</f>
        <v>-0.04</v>
      </c>
      <c r="T33" s="232">
        <f t="shared" ref="T33:AB33" si="14">S33+1%</f>
        <v>-0.03</v>
      </c>
      <c r="U33" s="232">
        <f t="shared" si="14"/>
        <v>-1.9999999999999997E-2</v>
      </c>
      <c r="V33" s="232">
        <f t="shared" si="14"/>
        <v>-9.9999999999999967E-3</v>
      </c>
      <c r="W33" s="232">
        <f t="shared" si="14"/>
        <v>0</v>
      </c>
      <c r="X33" s="232">
        <f t="shared" si="14"/>
        <v>0.01</v>
      </c>
      <c r="Y33" s="232">
        <f t="shared" si="14"/>
        <v>0.02</v>
      </c>
      <c r="Z33" s="232">
        <f t="shared" si="14"/>
        <v>0.03</v>
      </c>
      <c r="AA33" s="232">
        <f t="shared" si="14"/>
        <v>0.04</v>
      </c>
      <c r="AB33" s="233">
        <f t="shared" si="14"/>
        <v>0.05</v>
      </c>
    </row>
    <row r="34" spans="17:30" x14ac:dyDescent="0.25">
      <c r="Q34" s="234">
        <v>-0.05</v>
      </c>
      <c r="R34" s="222" t="e">
        <f t="shared" ref="R34:AB34" ca="1" si="15">(GBSOption($T$29,$U$29*(1+R$33),$V$29,($Y$29-1)/252,($Z$29+OFFSET($Q$39,ROW()-39,0)),0,0)-GBSOption($T$29,$U$29,$V$29,$Y$29/252,$Z$29,0,0))*50*$R$29-($D$27*(1+R$33)-$D$27)*-$R$30*200+SUM(S$3:S$23)</f>
        <v>#VALUE!</v>
      </c>
      <c r="S34" s="222" t="e">
        <f t="shared" ca="1" si="15"/>
        <v>#VALUE!</v>
      </c>
      <c r="T34" s="222" t="e">
        <f t="shared" ca="1" si="15"/>
        <v>#VALUE!</v>
      </c>
      <c r="U34" s="222" t="e">
        <f t="shared" ca="1" si="15"/>
        <v>#VALUE!</v>
      </c>
      <c r="V34" s="222" t="e">
        <f t="shared" ca="1" si="15"/>
        <v>#VALUE!</v>
      </c>
      <c r="W34" s="222" t="e">
        <f t="shared" ca="1" si="15"/>
        <v>#VALUE!</v>
      </c>
      <c r="X34" s="222" t="e">
        <f t="shared" ca="1" si="15"/>
        <v>#VALUE!</v>
      </c>
      <c r="Y34" s="222" t="e">
        <f t="shared" ca="1" si="15"/>
        <v>#VALUE!</v>
      </c>
      <c r="Z34" s="222" t="e">
        <f t="shared" ca="1" si="15"/>
        <v>#VALUE!</v>
      </c>
      <c r="AA34" s="222" t="e">
        <f t="shared" ca="1" si="15"/>
        <v>#VALUE!</v>
      </c>
      <c r="AB34" s="222" t="e">
        <f t="shared" ca="1" si="15"/>
        <v>#VALUE!</v>
      </c>
    </row>
    <row r="35" spans="17:30" x14ac:dyDescent="0.25">
      <c r="Q35" s="234">
        <f>Q34+1%</f>
        <v>-0.04</v>
      </c>
      <c r="R35" s="222" t="e">
        <f t="shared" ref="R35:AB35" ca="1" si="16">(GBSOption($T$29,$U$29*(1+R$33),$V$29,($Y$29-1)/252,($Z$29+OFFSET($Q$39,ROW()-39,0)),0,0)-GBSOption($T$29,$U$29,$V$29,$Y$29/252,$Z$29,0,0))*50*$R$29-($D$27*(1+R$33)-$D$27)*-$R$30*200+SUM(S$3:S$23)</f>
        <v>#VALUE!</v>
      </c>
      <c r="S35" s="222" t="e">
        <f t="shared" ca="1" si="16"/>
        <v>#VALUE!</v>
      </c>
      <c r="T35" s="222" t="e">
        <f t="shared" ca="1" si="16"/>
        <v>#VALUE!</v>
      </c>
      <c r="U35" s="222" t="e">
        <f t="shared" ca="1" si="16"/>
        <v>#VALUE!</v>
      </c>
      <c r="V35" s="222" t="e">
        <f t="shared" ca="1" si="16"/>
        <v>#VALUE!</v>
      </c>
      <c r="W35" s="222" t="e">
        <f t="shared" ca="1" si="16"/>
        <v>#VALUE!</v>
      </c>
      <c r="X35" s="222" t="e">
        <f t="shared" ca="1" si="16"/>
        <v>#VALUE!</v>
      </c>
      <c r="Y35" s="222" t="e">
        <f t="shared" ca="1" si="16"/>
        <v>#VALUE!</v>
      </c>
      <c r="Z35" s="222" t="e">
        <f t="shared" ca="1" si="16"/>
        <v>#VALUE!</v>
      </c>
      <c r="AA35" s="222" t="e">
        <f t="shared" ca="1" si="16"/>
        <v>#VALUE!</v>
      </c>
      <c r="AB35" s="222" t="e">
        <f t="shared" ca="1" si="16"/>
        <v>#VALUE!</v>
      </c>
    </row>
    <row r="36" spans="17:30" x14ac:dyDescent="0.25">
      <c r="Q36" s="234">
        <f>Q35+1%</f>
        <v>-0.03</v>
      </c>
      <c r="R36" s="222" t="e">
        <f t="shared" ref="R36:AB36" ca="1" si="17">(GBSOption($T$29,$U$29*(1+R$33),$V$29,($Y$29-1)/252,($Z$29+OFFSET($Q$39,ROW()-39,0)),0,0)-GBSOption($T$29,$U$29,$V$29,$Y$29/252,$Z$29,0,0))*50*$R$29-($D$27*(1+R$33)-$D$27)*-$R$30*200+SUM(S$3:S$23)</f>
        <v>#VALUE!</v>
      </c>
      <c r="S36" s="222" t="e">
        <f t="shared" ca="1" si="17"/>
        <v>#VALUE!</v>
      </c>
      <c r="T36" s="222" t="e">
        <f t="shared" ca="1" si="17"/>
        <v>#VALUE!</v>
      </c>
      <c r="U36" s="222" t="e">
        <f t="shared" ca="1" si="17"/>
        <v>#VALUE!</v>
      </c>
      <c r="V36" s="222" t="e">
        <f t="shared" ca="1" si="17"/>
        <v>#VALUE!</v>
      </c>
      <c r="W36" s="222" t="e">
        <f t="shared" ca="1" si="17"/>
        <v>#VALUE!</v>
      </c>
      <c r="X36" s="222" t="e">
        <f t="shared" ca="1" si="17"/>
        <v>#VALUE!</v>
      </c>
      <c r="Y36" s="222" t="e">
        <f t="shared" ca="1" si="17"/>
        <v>#VALUE!</v>
      </c>
      <c r="Z36" s="222" t="e">
        <f t="shared" ca="1" si="17"/>
        <v>#VALUE!</v>
      </c>
      <c r="AA36" s="222" t="e">
        <f t="shared" ca="1" si="17"/>
        <v>#VALUE!</v>
      </c>
      <c r="AB36" s="222" t="e">
        <f t="shared" ca="1" si="17"/>
        <v>#VALUE!</v>
      </c>
    </row>
    <row r="37" spans="17:30" x14ac:dyDescent="0.25">
      <c r="Q37" s="234">
        <f t="shared" ref="Q37:Q44" si="18">Q36+1%</f>
        <v>-1.9999999999999997E-2</v>
      </c>
      <c r="R37" s="222" t="e">
        <f t="shared" ref="R37:AB37" ca="1" si="19">(GBSOption($T$29,$U$29*(1+R$33),$V$29,($Y$29-1)/252,($Z$29+OFFSET($Q$39,ROW()-39,0)),0,0)-GBSOption($T$29,$U$29,$V$29,$Y$29/252,$Z$29,0,0))*50*$R$29-($D$27*(1+R$33)-$D$27)*-$R$30*200+SUM(S$3:S$23)</f>
        <v>#VALUE!</v>
      </c>
      <c r="S37" s="222" t="e">
        <f t="shared" ca="1" si="19"/>
        <v>#VALUE!</v>
      </c>
      <c r="T37" s="222" t="e">
        <f t="shared" ca="1" si="19"/>
        <v>#VALUE!</v>
      </c>
      <c r="U37" s="222" t="e">
        <f t="shared" ca="1" si="19"/>
        <v>#VALUE!</v>
      </c>
      <c r="V37" s="222" t="e">
        <f t="shared" ca="1" si="19"/>
        <v>#VALUE!</v>
      </c>
      <c r="W37" s="222" t="e">
        <f t="shared" ca="1" si="19"/>
        <v>#VALUE!</v>
      </c>
      <c r="X37" s="222" t="e">
        <f t="shared" ca="1" si="19"/>
        <v>#VALUE!</v>
      </c>
      <c r="Y37" s="222" t="e">
        <f t="shared" ca="1" si="19"/>
        <v>#VALUE!</v>
      </c>
      <c r="Z37" s="222" t="e">
        <f t="shared" ca="1" si="19"/>
        <v>#VALUE!</v>
      </c>
      <c r="AA37" s="222" t="e">
        <f t="shared" ca="1" si="19"/>
        <v>#VALUE!</v>
      </c>
      <c r="AB37" s="222" t="e">
        <f t="shared" ca="1" si="19"/>
        <v>#VALUE!</v>
      </c>
    </row>
    <row r="38" spans="17:30" x14ac:dyDescent="0.25">
      <c r="Q38" s="234">
        <f t="shared" si="18"/>
        <v>-9.9999999999999967E-3</v>
      </c>
      <c r="R38" s="222" t="e">
        <f t="shared" ref="R38:AB38" ca="1" si="20">(GBSOption($T$29,$U$29*(1+R$33),$V$29,($Y$29-1)/252,($Z$29+OFFSET($Q$39,ROW()-39,0)),0,0)-GBSOption($T$29,$U$29,$V$29,$Y$29/252,$Z$29,0,0))*50*$R$29-($D$27*(1+R$33)-$D$27)*-$R$30*200+SUM(S$3:S$23)</f>
        <v>#VALUE!</v>
      </c>
      <c r="S38" s="222" t="e">
        <f t="shared" ca="1" si="20"/>
        <v>#VALUE!</v>
      </c>
      <c r="T38" s="222" t="e">
        <f t="shared" ca="1" si="20"/>
        <v>#VALUE!</v>
      </c>
      <c r="U38" s="222" t="e">
        <f t="shared" ca="1" si="20"/>
        <v>#VALUE!</v>
      </c>
      <c r="V38" s="222" t="e">
        <f t="shared" ca="1" si="20"/>
        <v>#VALUE!</v>
      </c>
      <c r="W38" s="222" t="e">
        <f t="shared" ca="1" si="20"/>
        <v>#VALUE!</v>
      </c>
      <c r="X38" s="222" t="e">
        <f t="shared" ca="1" si="20"/>
        <v>#VALUE!</v>
      </c>
      <c r="Y38" s="222" t="e">
        <f t="shared" ca="1" si="20"/>
        <v>#VALUE!</v>
      </c>
      <c r="Z38" s="222" t="e">
        <f t="shared" ca="1" si="20"/>
        <v>#VALUE!</v>
      </c>
      <c r="AA38" s="222" t="e">
        <f t="shared" ca="1" si="20"/>
        <v>#VALUE!</v>
      </c>
      <c r="AB38" s="222" t="e">
        <f t="shared" ca="1" si="20"/>
        <v>#VALUE!</v>
      </c>
    </row>
    <row r="39" spans="17:30" x14ac:dyDescent="0.25">
      <c r="Q39" s="234">
        <f t="shared" si="18"/>
        <v>0</v>
      </c>
      <c r="R39" s="222" t="e">
        <f t="shared" ref="R39:AB39" ca="1" si="21">(GBSOption($T$29,$U$29*(1+R$33),$V$29,($Y$29-1)/252,($Z$29+OFFSET($Q$39,ROW()-39,0)),0,0)-GBSOption($T$29,$U$29,$V$29,$Y$29/252,$Z$29,0,0))*50*$R$29-($D$27*(1+R$33)-$D$27)*-$R$30*200+SUM(S$3:S$23)</f>
        <v>#VALUE!</v>
      </c>
      <c r="S39" s="222" t="e">
        <f t="shared" ca="1" si="21"/>
        <v>#VALUE!</v>
      </c>
      <c r="T39" s="222" t="e">
        <f t="shared" ca="1" si="21"/>
        <v>#VALUE!</v>
      </c>
      <c r="U39" s="222" t="e">
        <f t="shared" ca="1" si="21"/>
        <v>#VALUE!</v>
      </c>
      <c r="V39" s="222" t="e">
        <f t="shared" ca="1" si="21"/>
        <v>#VALUE!</v>
      </c>
      <c r="W39" s="222" t="e">
        <f t="shared" ca="1" si="21"/>
        <v>#VALUE!</v>
      </c>
      <c r="X39" s="222" t="e">
        <f t="shared" ca="1" si="21"/>
        <v>#VALUE!</v>
      </c>
      <c r="Y39" s="222" t="e">
        <f t="shared" ca="1" si="21"/>
        <v>#VALUE!</v>
      </c>
      <c r="Z39" s="222" t="e">
        <f t="shared" ca="1" si="21"/>
        <v>#VALUE!</v>
      </c>
      <c r="AA39" s="222" t="e">
        <f t="shared" ca="1" si="21"/>
        <v>#VALUE!</v>
      </c>
      <c r="AB39" s="222" t="e">
        <f t="shared" ca="1" si="21"/>
        <v>#VALUE!</v>
      </c>
    </row>
    <row r="40" spans="17:30" x14ac:dyDescent="0.25">
      <c r="Q40" s="234">
        <f t="shared" si="18"/>
        <v>0.01</v>
      </c>
      <c r="R40" s="222" t="e">
        <f t="shared" ref="R40:AB40" ca="1" si="22">(GBSOption($T$29,$U$29*(1+R$33),$V$29,($Y$29-1)/252,($Z$29+OFFSET($Q$39,ROW()-39,0)),0,0)-GBSOption($T$29,$U$29,$V$29,$Y$29/252,$Z$29,0,0))*50*$R$29-($D$27*(1+R$33)-$D$27)*-$R$30*200+SUM(S$3:S$23)</f>
        <v>#VALUE!</v>
      </c>
      <c r="S40" s="222" t="e">
        <f t="shared" ca="1" si="22"/>
        <v>#VALUE!</v>
      </c>
      <c r="T40" s="222" t="e">
        <f t="shared" ca="1" si="22"/>
        <v>#VALUE!</v>
      </c>
      <c r="U40" s="222" t="e">
        <f t="shared" ca="1" si="22"/>
        <v>#VALUE!</v>
      </c>
      <c r="V40" s="222" t="e">
        <f t="shared" ca="1" si="22"/>
        <v>#VALUE!</v>
      </c>
      <c r="W40" s="222" t="e">
        <f t="shared" ca="1" si="22"/>
        <v>#VALUE!</v>
      </c>
      <c r="X40" s="222" t="e">
        <f t="shared" ca="1" si="22"/>
        <v>#VALUE!</v>
      </c>
      <c r="Y40" s="222" t="e">
        <f t="shared" ca="1" si="22"/>
        <v>#VALUE!</v>
      </c>
      <c r="Z40" s="222" t="e">
        <f t="shared" ca="1" si="22"/>
        <v>#VALUE!</v>
      </c>
      <c r="AA40" s="222" t="e">
        <f t="shared" ca="1" si="22"/>
        <v>#VALUE!</v>
      </c>
      <c r="AB40" s="222" t="e">
        <f t="shared" ca="1" si="22"/>
        <v>#VALUE!</v>
      </c>
    </row>
    <row r="41" spans="17:30" x14ac:dyDescent="0.25">
      <c r="Q41" s="234">
        <f t="shared" si="18"/>
        <v>0.02</v>
      </c>
      <c r="R41" s="222" t="e">
        <f t="shared" ref="R41:AB41" ca="1" si="23">(GBSOption($T$29,$U$29*(1+R$33),$V$29,($Y$29-1)/252,($Z$29+OFFSET($Q$39,ROW()-39,0)),0,0)-GBSOption($T$29,$U$29,$V$29,$Y$29/252,$Z$29,0,0))*50*$R$29-($D$27*(1+R$33)-$D$27)*-$R$30*200+SUM(S$3:S$23)</f>
        <v>#VALUE!</v>
      </c>
      <c r="S41" s="222" t="e">
        <f t="shared" ca="1" si="23"/>
        <v>#VALUE!</v>
      </c>
      <c r="T41" s="222" t="e">
        <f t="shared" ca="1" si="23"/>
        <v>#VALUE!</v>
      </c>
      <c r="U41" s="222" t="e">
        <f t="shared" ca="1" si="23"/>
        <v>#VALUE!</v>
      </c>
      <c r="V41" s="222" t="e">
        <f t="shared" ca="1" si="23"/>
        <v>#VALUE!</v>
      </c>
      <c r="W41" s="222" t="e">
        <f t="shared" ca="1" si="23"/>
        <v>#VALUE!</v>
      </c>
      <c r="X41" s="222" t="e">
        <f t="shared" ca="1" si="23"/>
        <v>#VALUE!</v>
      </c>
      <c r="Y41" s="222" t="e">
        <f t="shared" ca="1" si="23"/>
        <v>#VALUE!</v>
      </c>
      <c r="Z41" s="222" t="e">
        <f t="shared" ca="1" si="23"/>
        <v>#VALUE!</v>
      </c>
      <c r="AA41" s="222" t="e">
        <f t="shared" ca="1" si="23"/>
        <v>#VALUE!</v>
      </c>
      <c r="AB41" s="222" t="e">
        <f t="shared" ca="1" si="23"/>
        <v>#VALUE!</v>
      </c>
    </row>
    <row r="42" spans="17:30" x14ac:dyDescent="0.25">
      <c r="Q42" s="234">
        <f t="shared" si="18"/>
        <v>0.03</v>
      </c>
      <c r="R42" s="222" t="e">
        <f t="shared" ref="R42:AB42" ca="1" si="24">(GBSOption($T$29,$U$29*(1+R$33),$V$29,($Y$29-1)/252,($Z$29+OFFSET($Q$39,ROW()-39,0)),0,0)-GBSOption($T$29,$U$29,$V$29,$Y$29/252,$Z$29,0,0))*50*$R$29-($D$27*(1+R$33)-$D$27)*-$R$30*200+SUM(S$3:S$23)</f>
        <v>#VALUE!</v>
      </c>
      <c r="S42" s="222" t="e">
        <f t="shared" ca="1" si="24"/>
        <v>#VALUE!</v>
      </c>
      <c r="T42" s="222" t="e">
        <f t="shared" ca="1" si="24"/>
        <v>#VALUE!</v>
      </c>
      <c r="U42" s="222" t="e">
        <f t="shared" ca="1" si="24"/>
        <v>#VALUE!</v>
      </c>
      <c r="V42" s="222" t="e">
        <f t="shared" ca="1" si="24"/>
        <v>#VALUE!</v>
      </c>
      <c r="W42" s="222" t="e">
        <f t="shared" ca="1" si="24"/>
        <v>#VALUE!</v>
      </c>
      <c r="X42" s="222" t="e">
        <f t="shared" ca="1" si="24"/>
        <v>#VALUE!</v>
      </c>
      <c r="Y42" s="222" t="e">
        <f t="shared" ca="1" si="24"/>
        <v>#VALUE!</v>
      </c>
      <c r="Z42" s="222" t="e">
        <f t="shared" ca="1" si="24"/>
        <v>#VALUE!</v>
      </c>
      <c r="AA42" s="222" t="e">
        <f t="shared" ca="1" si="24"/>
        <v>#VALUE!</v>
      </c>
      <c r="AB42" s="222" t="e">
        <f t="shared" ca="1" si="24"/>
        <v>#VALUE!</v>
      </c>
    </row>
    <row r="43" spans="17:30" x14ac:dyDescent="0.25">
      <c r="Q43" s="234">
        <f t="shared" si="18"/>
        <v>0.04</v>
      </c>
      <c r="R43" s="222" t="e">
        <f t="shared" ref="R43:AB43" ca="1" si="25">(GBSOption($T$29,$U$29*(1+R$33),$V$29,($Y$29-1)/252,($Z$29+OFFSET($Q$39,ROW()-39,0)),0,0)-GBSOption($T$29,$U$29,$V$29,$Y$29/252,$Z$29,0,0))*50*$R$29-($D$27*(1+R$33)-$D$27)*-$R$30*200+SUM(S$3:S$23)</f>
        <v>#VALUE!</v>
      </c>
      <c r="S43" s="222" t="e">
        <f t="shared" ca="1" si="25"/>
        <v>#VALUE!</v>
      </c>
      <c r="T43" s="222" t="e">
        <f t="shared" ca="1" si="25"/>
        <v>#VALUE!</v>
      </c>
      <c r="U43" s="222" t="e">
        <f t="shared" ca="1" si="25"/>
        <v>#VALUE!</v>
      </c>
      <c r="V43" s="222" t="e">
        <f t="shared" ca="1" si="25"/>
        <v>#VALUE!</v>
      </c>
      <c r="W43" s="222" t="e">
        <f t="shared" ca="1" si="25"/>
        <v>#VALUE!</v>
      </c>
      <c r="X43" s="222" t="e">
        <f t="shared" ca="1" si="25"/>
        <v>#VALUE!</v>
      </c>
      <c r="Y43" s="222" t="e">
        <f t="shared" ca="1" si="25"/>
        <v>#VALUE!</v>
      </c>
      <c r="Z43" s="222" t="e">
        <f t="shared" ca="1" si="25"/>
        <v>#VALUE!</v>
      </c>
      <c r="AA43" s="222" t="e">
        <f t="shared" ca="1" si="25"/>
        <v>#VALUE!</v>
      </c>
      <c r="AB43" s="222" t="e">
        <f t="shared" ca="1" si="25"/>
        <v>#VALUE!</v>
      </c>
    </row>
    <row r="44" spans="17:30" ht="17.25" thickBot="1" x14ac:dyDescent="0.3">
      <c r="Q44" s="235">
        <f t="shared" si="18"/>
        <v>0.05</v>
      </c>
      <c r="R44" s="230" t="e">
        <f t="shared" ref="R44:AB44" ca="1" si="26">(GBSOption($T$29,$U$29*(1+R$33),$V$29,($Y$29-1)/252,($Z$29+OFFSET($Q$39,ROW()-39,0)),0,0)-GBSOption($T$29,$U$29,$V$29,$Y$29/252,$Z$29,0,0))*50*$R$29-($D$27*(1+R$33)-$D$27)*-$R$30*200+SUM(S$3:S$23)</f>
        <v>#VALUE!</v>
      </c>
      <c r="S44" s="230" t="e">
        <f t="shared" ca="1" si="26"/>
        <v>#VALUE!</v>
      </c>
      <c r="T44" s="230" t="e">
        <f t="shared" ca="1" si="26"/>
        <v>#VALUE!</v>
      </c>
      <c r="U44" s="230" t="e">
        <f t="shared" ca="1" si="26"/>
        <v>#VALUE!</v>
      </c>
      <c r="V44" s="230" t="e">
        <f t="shared" ca="1" si="26"/>
        <v>#VALUE!</v>
      </c>
      <c r="W44" s="230" t="e">
        <f t="shared" ca="1" si="26"/>
        <v>#VALUE!</v>
      </c>
      <c r="X44" s="230" t="e">
        <f t="shared" ca="1" si="26"/>
        <v>#VALUE!</v>
      </c>
      <c r="Y44" s="230" t="e">
        <f t="shared" ca="1" si="26"/>
        <v>#VALUE!</v>
      </c>
      <c r="Z44" s="230" t="e">
        <f t="shared" ca="1" si="26"/>
        <v>#VALUE!</v>
      </c>
      <c r="AA44" s="230" t="e">
        <f t="shared" ca="1" si="26"/>
        <v>#VALUE!</v>
      </c>
      <c r="AB44" s="230" t="e">
        <f t="shared" ca="1" si="26"/>
        <v>#VALUE!</v>
      </c>
    </row>
    <row r="45" spans="17:30" ht="18" thickTop="1" thickBot="1" x14ac:dyDescent="0.3"/>
    <row r="46" spans="17:30" x14ac:dyDescent="0.25">
      <c r="Q46" s="218" t="s">
        <v>2423</v>
      </c>
      <c r="R46" s="219" t="s">
        <v>1569</v>
      </c>
      <c r="S46" s="219" t="s">
        <v>2410</v>
      </c>
      <c r="T46" s="219" t="s">
        <v>1570</v>
      </c>
      <c r="U46" s="219" t="s">
        <v>258</v>
      </c>
      <c r="V46" s="219" t="s">
        <v>311</v>
      </c>
      <c r="W46" s="219" t="s">
        <v>2415</v>
      </c>
      <c r="X46" s="219" t="s">
        <v>273</v>
      </c>
      <c r="Y46" s="219" t="s">
        <v>2417</v>
      </c>
      <c r="Z46" s="219" t="s">
        <v>264</v>
      </c>
      <c r="AA46" s="219" t="s">
        <v>269</v>
      </c>
      <c r="AB46" s="219" t="s">
        <v>270</v>
      </c>
      <c r="AC46" s="219" t="s">
        <v>2177</v>
      </c>
      <c r="AD46" s="220" t="s">
        <v>2179</v>
      </c>
    </row>
    <row r="47" spans="17:30" x14ac:dyDescent="0.25">
      <c r="Q47" s="155" t="s">
        <v>2424</v>
      </c>
      <c r="R47" s="113">
        <v>500</v>
      </c>
      <c r="S47" s="113">
        <v>7</v>
      </c>
      <c r="T47" s="113" t="s">
        <v>0</v>
      </c>
      <c r="U47" s="113" t="str">
        <f>D27</f>
        <v>#Get Error</v>
      </c>
      <c r="V47" s="113">
        <v>11100</v>
      </c>
      <c r="W47" s="113" t="e">
        <f ca="1">ROUND(GBSOption(T47,U47,V47,Y47/252,Z47,0,0),0)</f>
        <v>#VALUE!</v>
      </c>
      <c r="X47" s="114">
        <v>43992</v>
      </c>
      <c r="Y47" s="242">
        <f ca="1">COUNTIF(工作日!$B$2:$B$500,"&lt;="&amp;X47)-COUNTIF(工作日!$B$2:$B$500,"&lt;"&amp;TODAY())/252</f>
        <v>0</v>
      </c>
      <c r="Z47" s="213">
        <v>0.14000000000000001</v>
      </c>
      <c r="AA47" s="214" t="e">
        <f ca="1">GBSGreeks("d", T47,U47,V47,Y47/252,Z47, 0,0)*50*R47*U47</f>
        <v>#VALUE!</v>
      </c>
      <c r="AB47" s="214" t="e">
        <f ca="1">GBSGreeks("g", T47,U47,V47,Y47/252,Z47, 0,0)*R47*50*U47^2*1%</f>
        <v>#VALUE!</v>
      </c>
      <c r="AC47" s="214" t="e">
        <f ca="1">-(GBSOption(T47,U47,V47,Y47/252,Z47,0, 0)-GBSOption(T47,U47,V47,Y47/252,Z47+0.01,0, 0))*50*R47</f>
        <v>#VALUE!</v>
      </c>
      <c r="AD47" s="215" t="e">
        <f ca="1">-(GBSOption(T47,U47,V47,Y47/252,Z47,0, 0)-GBSOption(T47,U47,V47,(Y47-1)/252,Z47,0, 0))*50*R47</f>
        <v>#VALUE!</v>
      </c>
    </row>
    <row r="48" spans="17:30" ht="17.25" thickBot="1" x14ac:dyDescent="0.3">
      <c r="Q48" s="156" t="s">
        <v>1077</v>
      </c>
      <c r="R48" s="216" t="e">
        <f ca="1">-ROUND(($L$24+AA47)/(200*D27),0)</f>
        <v>#VALUE!</v>
      </c>
      <c r="S48" s="157"/>
      <c r="T48" s="157"/>
      <c r="U48" s="157"/>
      <c r="V48" s="157"/>
      <c r="W48" s="157"/>
      <c r="X48" s="157"/>
      <c r="Y48" s="157"/>
      <c r="Z48" s="157"/>
      <c r="AA48" s="216" t="e">
        <f ca="1">R48*$D$27*200</f>
        <v>#VALUE!</v>
      </c>
      <c r="AB48" s="216"/>
      <c r="AC48" s="216"/>
      <c r="AD48" s="217"/>
    </row>
    <row r="49" spans="17:28" ht="17.25" thickBot="1" x14ac:dyDescent="0.3"/>
    <row r="50" spans="17:28" ht="18" thickTop="1" thickBot="1" x14ac:dyDescent="0.3">
      <c r="Q50" s="302" t="s">
        <v>2438</v>
      </c>
      <c r="R50" s="304" t="s">
        <v>2439</v>
      </c>
      <c r="S50" s="305"/>
      <c r="T50" s="305"/>
      <c r="U50" s="305"/>
      <c r="V50" s="305"/>
      <c r="W50" s="305"/>
      <c r="X50" s="305"/>
      <c r="Y50" s="305"/>
      <c r="Z50" s="305"/>
      <c r="AA50" s="305"/>
      <c r="AB50" s="306"/>
    </row>
    <row r="51" spans="17:28" ht="18" thickTop="1" thickBot="1" x14ac:dyDescent="0.3">
      <c r="Q51" s="303"/>
      <c r="R51" s="231">
        <v>-0.05</v>
      </c>
      <c r="S51" s="232">
        <f>R51+1%</f>
        <v>-0.04</v>
      </c>
      <c r="T51" s="232">
        <f t="shared" ref="T51" si="27">S51+1%</f>
        <v>-0.03</v>
      </c>
      <c r="U51" s="232">
        <f t="shared" ref="U51" si="28">T51+1%</f>
        <v>-1.9999999999999997E-2</v>
      </c>
      <c r="V51" s="232">
        <f t="shared" ref="V51" si="29">U51+1%</f>
        <v>-9.9999999999999967E-3</v>
      </c>
      <c r="W51" s="232">
        <f t="shared" ref="W51" si="30">V51+1%</f>
        <v>0</v>
      </c>
      <c r="X51" s="232">
        <f t="shared" ref="X51" si="31">W51+1%</f>
        <v>0.01</v>
      </c>
      <c r="Y51" s="232">
        <f t="shared" ref="Y51" si="32">X51+1%</f>
        <v>0.02</v>
      </c>
      <c r="Z51" s="232">
        <f t="shared" ref="Z51" si="33">Y51+1%</f>
        <v>0.03</v>
      </c>
      <c r="AA51" s="232">
        <f t="shared" ref="AA51" si="34">Z51+1%</f>
        <v>0.04</v>
      </c>
      <c r="AB51" s="233">
        <f t="shared" ref="AB51" si="35">AA51+1%</f>
        <v>0.05</v>
      </c>
    </row>
    <row r="52" spans="17:28" x14ac:dyDescent="0.25">
      <c r="Q52" s="234">
        <v>-0.05</v>
      </c>
      <c r="R52" s="222" t="e">
        <f t="shared" ref="R52:AB52" ca="1" si="36">(GBSOption($T$47,$U$47*(1+R$51),$V$47,($Y$47-1)/252,($Z$47+OFFSET($Q$57,ROW()-57,0)),0,0)-GBSOption($T$47,$U$47,$V$47,$Y$47/252,$Z$47,0,0))*50*$R$47-($D$27*(1+R$51)-$D$27)*-$R$48*200+SUM(S$3:S$23)</f>
        <v>#VALUE!</v>
      </c>
      <c r="S52" s="222" t="e">
        <f t="shared" ca="1" si="36"/>
        <v>#VALUE!</v>
      </c>
      <c r="T52" s="222" t="e">
        <f t="shared" ca="1" si="36"/>
        <v>#VALUE!</v>
      </c>
      <c r="U52" s="222" t="e">
        <f t="shared" ca="1" si="36"/>
        <v>#VALUE!</v>
      </c>
      <c r="V52" s="222" t="e">
        <f t="shared" ca="1" si="36"/>
        <v>#VALUE!</v>
      </c>
      <c r="W52" s="222" t="e">
        <f t="shared" ca="1" si="36"/>
        <v>#VALUE!</v>
      </c>
      <c r="X52" s="222" t="e">
        <f t="shared" ca="1" si="36"/>
        <v>#VALUE!</v>
      </c>
      <c r="Y52" s="222" t="e">
        <f t="shared" ca="1" si="36"/>
        <v>#VALUE!</v>
      </c>
      <c r="Z52" s="222" t="e">
        <f t="shared" ca="1" si="36"/>
        <v>#VALUE!</v>
      </c>
      <c r="AA52" s="222" t="e">
        <f t="shared" ca="1" si="36"/>
        <v>#VALUE!</v>
      </c>
      <c r="AB52" s="222" t="e">
        <f t="shared" ca="1" si="36"/>
        <v>#VALUE!</v>
      </c>
    </row>
    <row r="53" spans="17:28" x14ac:dyDescent="0.25">
      <c r="Q53" s="234">
        <f>Q52+1%</f>
        <v>-0.04</v>
      </c>
      <c r="R53" s="222" t="e">
        <f t="shared" ref="R53:AB53" ca="1" si="37">(GBSOption($T$47,$U$47*(1+R$51),$V$47,($Y$47-1)/252,($Z$47+OFFSET($Q$57,ROW()-57,0)),0,0)-GBSOption($T$47,$U$47,$V$47,$Y$47/252,$Z$47,0,0))*50*$R$47-($D$27*(1+R$51)-$D$27)*-$R$48*200+SUM(S$3:S$23)</f>
        <v>#VALUE!</v>
      </c>
      <c r="S53" s="222" t="e">
        <f t="shared" ca="1" si="37"/>
        <v>#VALUE!</v>
      </c>
      <c r="T53" s="222" t="e">
        <f t="shared" ca="1" si="37"/>
        <v>#VALUE!</v>
      </c>
      <c r="U53" s="222" t="e">
        <f t="shared" ca="1" si="37"/>
        <v>#VALUE!</v>
      </c>
      <c r="V53" s="222" t="e">
        <f t="shared" ca="1" si="37"/>
        <v>#VALUE!</v>
      </c>
      <c r="W53" s="222" t="e">
        <f t="shared" ca="1" si="37"/>
        <v>#VALUE!</v>
      </c>
      <c r="X53" s="222" t="e">
        <f t="shared" ca="1" si="37"/>
        <v>#VALUE!</v>
      </c>
      <c r="Y53" s="222" t="e">
        <f t="shared" ca="1" si="37"/>
        <v>#VALUE!</v>
      </c>
      <c r="Z53" s="222" t="e">
        <f t="shared" ca="1" si="37"/>
        <v>#VALUE!</v>
      </c>
      <c r="AA53" s="222" t="e">
        <f t="shared" ca="1" si="37"/>
        <v>#VALUE!</v>
      </c>
      <c r="AB53" s="222" t="e">
        <f t="shared" ca="1" si="37"/>
        <v>#VALUE!</v>
      </c>
    </row>
    <row r="54" spans="17:28" x14ac:dyDescent="0.25">
      <c r="Q54" s="234">
        <f>Q53+1%</f>
        <v>-0.03</v>
      </c>
      <c r="R54" s="222" t="e">
        <f t="shared" ref="R54:AB54" ca="1" si="38">(GBSOption($T$47,$U$47*(1+R$51),$V$47,($Y$47-1)/252,($Z$47+OFFSET($Q$57,ROW()-57,0)),0,0)-GBSOption($T$47,$U$47,$V$47,$Y$47/252,$Z$47,0,0))*50*$R$47-($D$27*(1+R$51)-$D$27)*-$R$48*200+SUM(S$3:S$23)</f>
        <v>#VALUE!</v>
      </c>
      <c r="S54" s="222" t="e">
        <f t="shared" ca="1" si="38"/>
        <v>#VALUE!</v>
      </c>
      <c r="T54" s="222" t="e">
        <f t="shared" ca="1" si="38"/>
        <v>#VALUE!</v>
      </c>
      <c r="U54" s="222" t="e">
        <f t="shared" ca="1" si="38"/>
        <v>#VALUE!</v>
      </c>
      <c r="V54" s="222" t="e">
        <f t="shared" ca="1" si="38"/>
        <v>#VALUE!</v>
      </c>
      <c r="W54" s="222" t="e">
        <f t="shared" ca="1" si="38"/>
        <v>#VALUE!</v>
      </c>
      <c r="X54" s="222" t="e">
        <f t="shared" ca="1" si="38"/>
        <v>#VALUE!</v>
      </c>
      <c r="Y54" s="222" t="e">
        <f t="shared" ca="1" si="38"/>
        <v>#VALUE!</v>
      </c>
      <c r="Z54" s="222" t="e">
        <f t="shared" ca="1" si="38"/>
        <v>#VALUE!</v>
      </c>
      <c r="AA54" s="222" t="e">
        <f t="shared" ca="1" si="38"/>
        <v>#VALUE!</v>
      </c>
      <c r="AB54" s="222" t="e">
        <f t="shared" ca="1" si="38"/>
        <v>#VALUE!</v>
      </c>
    </row>
    <row r="55" spans="17:28" x14ac:dyDescent="0.25">
      <c r="Q55" s="234">
        <f t="shared" ref="Q55:Q62" si="39">Q54+1%</f>
        <v>-1.9999999999999997E-2</v>
      </c>
      <c r="R55" s="222" t="e">
        <f t="shared" ref="R55:AB55" ca="1" si="40">(GBSOption($T$47,$U$47*(1+R$51),$V$47,($Y$47-1)/252,($Z$47+OFFSET($Q$57,ROW()-57,0)),0,0)-GBSOption($T$47,$U$47,$V$47,$Y$47/252,$Z$47,0,0))*50*$R$47-($D$27*(1+R$51)-$D$27)*-$R$48*200+SUM(S$3:S$23)</f>
        <v>#VALUE!</v>
      </c>
      <c r="S55" s="222" t="e">
        <f t="shared" ca="1" si="40"/>
        <v>#VALUE!</v>
      </c>
      <c r="T55" s="222" t="e">
        <f t="shared" ca="1" si="40"/>
        <v>#VALUE!</v>
      </c>
      <c r="U55" s="222" t="e">
        <f t="shared" ca="1" si="40"/>
        <v>#VALUE!</v>
      </c>
      <c r="V55" s="222" t="e">
        <f t="shared" ca="1" si="40"/>
        <v>#VALUE!</v>
      </c>
      <c r="W55" s="222" t="e">
        <f t="shared" ca="1" si="40"/>
        <v>#VALUE!</v>
      </c>
      <c r="X55" s="222" t="e">
        <f t="shared" ca="1" si="40"/>
        <v>#VALUE!</v>
      </c>
      <c r="Y55" s="222" t="e">
        <f t="shared" ca="1" si="40"/>
        <v>#VALUE!</v>
      </c>
      <c r="Z55" s="222" t="e">
        <f t="shared" ca="1" si="40"/>
        <v>#VALUE!</v>
      </c>
      <c r="AA55" s="222" t="e">
        <f t="shared" ca="1" si="40"/>
        <v>#VALUE!</v>
      </c>
      <c r="AB55" s="222" t="e">
        <f t="shared" ca="1" si="40"/>
        <v>#VALUE!</v>
      </c>
    </row>
    <row r="56" spans="17:28" x14ac:dyDescent="0.25">
      <c r="Q56" s="234">
        <f t="shared" si="39"/>
        <v>-9.9999999999999967E-3</v>
      </c>
      <c r="R56" s="222" t="e">
        <f t="shared" ref="R56:AB56" ca="1" si="41">(GBSOption($T$47,$U$47*(1+R$51),$V$47,($Y$47-1)/252,($Z$47+OFFSET($Q$57,ROW()-57,0)),0,0)-GBSOption($T$47,$U$47,$V$47,$Y$47/252,$Z$47,0,0))*50*$R$47-($D$27*(1+R$51)-$D$27)*-$R$48*200+SUM(S$3:S$23)</f>
        <v>#VALUE!</v>
      </c>
      <c r="S56" s="222" t="e">
        <f t="shared" ca="1" si="41"/>
        <v>#VALUE!</v>
      </c>
      <c r="T56" s="222" t="e">
        <f t="shared" ca="1" si="41"/>
        <v>#VALUE!</v>
      </c>
      <c r="U56" s="222" t="e">
        <f t="shared" ca="1" si="41"/>
        <v>#VALUE!</v>
      </c>
      <c r="V56" s="222" t="e">
        <f t="shared" ca="1" si="41"/>
        <v>#VALUE!</v>
      </c>
      <c r="W56" s="222" t="e">
        <f t="shared" ca="1" si="41"/>
        <v>#VALUE!</v>
      </c>
      <c r="X56" s="222" t="e">
        <f t="shared" ca="1" si="41"/>
        <v>#VALUE!</v>
      </c>
      <c r="Y56" s="222" t="e">
        <f t="shared" ca="1" si="41"/>
        <v>#VALUE!</v>
      </c>
      <c r="Z56" s="222" t="e">
        <f t="shared" ca="1" si="41"/>
        <v>#VALUE!</v>
      </c>
      <c r="AA56" s="222" t="e">
        <f t="shared" ca="1" si="41"/>
        <v>#VALUE!</v>
      </c>
      <c r="AB56" s="222" t="e">
        <f t="shared" ca="1" si="41"/>
        <v>#VALUE!</v>
      </c>
    </row>
    <row r="57" spans="17:28" x14ac:dyDescent="0.25">
      <c r="Q57" s="234">
        <f t="shared" si="39"/>
        <v>0</v>
      </c>
      <c r="R57" s="222" t="e">
        <f t="shared" ref="R57:AB57" ca="1" si="42">(GBSOption($T$47,$U$47*(1+R$51),$V$47,($Y$47-1)/252,($Z$47+OFFSET($Q$57,ROW()-57,0)),0,0)-GBSOption($T$47,$U$47,$V$47,$Y$47/252,$Z$47,0,0))*50*$R$47-($D$27*(1+R$51)-$D$27)*-$R$48*200+SUM(S$3:S$23)</f>
        <v>#VALUE!</v>
      </c>
      <c r="S57" s="222" t="e">
        <f t="shared" ca="1" si="42"/>
        <v>#VALUE!</v>
      </c>
      <c r="T57" s="222" t="e">
        <f t="shared" ca="1" si="42"/>
        <v>#VALUE!</v>
      </c>
      <c r="U57" s="222" t="e">
        <f t="shared" ca="1" si="42"/>
        <v>#VALUE!</v>
      </c>
      <c r="V57" s="222" t="e">
        <f t="shared" ca="1" si="42"/>
        <v>#VALUE!</v>
      </c>
      <c r="W57" s="222" t="e">
        <f t="shared" ca="1" si="42"/>
        <v>#VALUE!</v>
      </c>
      <c r="X57" s="222" t="e">
        <f t="shared" ca="1" si="42"/>
        <v>#VALUE!</v>
      </c>
      <c r="Y57" s="222" t="e">
        <f t="shared" ca="1" si="42"/>
        <v>#VALUE!</v>
      </c>
      <c r="Z57" s="222" t="e">
        <f t="shared" ca="1" si="42"/>
        <v>#VALUE!</v>
      </c>
      <c r="AA57" s="222" t="e">
        <f t="shared" ca="1" si="42"/>
        <v>#VALUE!</v>
      </c>
      <c r="AB57" s="222" t="e">
        <f t="shared" ca="1" si="42"/>
        <v>#VALUE!</v>
      </c>
    </row>
    <row r="58" spans="17:28" x14ac:dyDescent="0.25">
      <c r="Q58" s="234">
        <f t="shared" si="39"/>
        <v>0.01</v>
      </c>
      <c r="R58" s="222" t="e">
        <f t="shared" ref="R58:AB58" ca="1" si="43">(GBSOption($T$47,$U$47*(1+R$51),$V$47,($Y$47-1)/252,($Z$47+OFFSET($Q$57,ROW()-57,0)),0,0)-GBSOption($T$47,$U$47,$V$47,$Y$47/252,$Z$47,0,0))*50*$R$47-($D$27*(1+R$51)-$D$27)*-$R$48*200+SUM(S$3:S$23)</f>
        <v>#VALUE!</v>
      </c>
      <c r="S58" s="222" t="e">
        <f t="shared" ca="1" si="43"/>
        <v>#VALUE!</v>
      </c>
      <c r="T58" s="222" t="e">
        <f t="shared" ca="1" si="43"/>
        <v>#VALUE!</v>
      </c>
      <c r="U58" s="222" t="e">
        <f t="shared" ca="1" si="43"/>
        <v>#VALUE!</v>
      </c>
      <c r="V58" s="222" t="e">
        <f t="shared" ca="1" si="43"/>
        <v>#VALUE!</v>
      </c>
      <c r="W58" s="222" t="e">
        <f t="shared" ca="1" si="43"/>
        <v>#VALUE!</v>
      </c>
      <c r="X58" s="222" t="e">
        <f t="shared" ca="1" si="43"/>
        <v>#VALUE!</v>
      </c>
      <c r="Y58" s="222" t="e">
        <f t="shared" ca="1" si="43"/>
        <v>#VALUE!</v>
      </c>
      <c r="Z58" s="222" t="e">
        <f t="shared" ca="1" si="43"/>
        <v>#VALUE!</v>
      </c>
      <c r="AA58" s="222" t="e">
        <f t="shared" ca="1" si="43"/>
        <v>#VALUE!</v>
      </c>
      <c r="AB58" s="222" t="e">
        <f t="shared" ca="1" si="43"/>
        <v>#VALUE!</v>
      </c>
    </row>
    <row r="59" spans="17:28" x14ac:dyDescent="0.25">
      <c r="Q59" s="234">
        <f t="shared" si="39"/>
        <v>0.02</v>
      </c>
      <c r="R59" s="222" t="e">
        <f t="shared" ref="R59:AB59" ca="1" si="44">(GBSOption($T$47,$U$47*(1+R$51),$V$47,($Y$47-1)/252,($Z$47+OFFSET($Q$57,ROW()-57,0)),0,0)-GBSOption($T$47,$U$47,$V$47,$Y$47/252,$Z$47,0,0))*50*$R$47-($D$27*(1+R$51)-$D$27)*-$R$48*200+SUM(S$3:S$23)</f>
        <v>#VALUE!</v>
      </c>
      <c r="S59" s="222" t="e">
        <f t="shared" ca="1" si="44"/>
        <v>#VALUE!</v>
      </c>
      <c r="T59" s="222" t="e">
        <f t="shared" ca="1" si="44"/>
        <v>#VALUE!</v>
      </c>
      <c r="U59" s="222" t="e">
        <f t="shared" ca="1" si="44"/>
        <v>#VALUE!</v>
      </c>
      <c r="V59" s="222" t="e">
        <f t="shared" ca="1" si="44"/>
        <v>#VALUE!</v>
      </c>
      <c r="W59" s="222" t="e">
        <f t="shared" ca="1" si="44"/>
        <v>#VALUE!</v>
      </c>
      <c r="X59" s="222" t="e">
        <f t="shared" ca="1" si="44"/>
        <v>#VALUE!</v>
      </c>
      <c r="Y59" s="222" t="e">
        <f t="shared" ca="1" si="44"/>
        <v>#VALUE!</v>
      </c>
      <c r="Z59" s="222" t="e">
        <f t="shared" ca="1" si="44"/>
        <v>#VALUE!</v>
      </c>
      <c r="AA59" s="222" t="e">
        <f t="shared" ca="1" si="44"/>
        <v>#VALUE!</v>
      </c>
      <c r="AB59" s="222" t="e">
        <f t="shared" ca="1" si="44"/>
        <v>#VALUE!</v>
      </c>
    </row>
    <row r="60" spans="17:28" x14ac:dyDescent="0.25">
      <c r="Q60" s="234">
        <f t="shared" si="39"/>
        <v>0.03</v>
      </c>
      <c r="R60" s="222" t="e">
        <f t="shared" ref="R60:AB60" ca="1" si="45">(GBSOption($T$47,$U$47*(1+R$51),$V$47,($Y$47-1)/252,($Z$47+OFFSET($Q$57,ROW()-57,0)),0,0)-GBSOption($T$47,$U$47,$V$47,$Y$47/252,$Z$47,0,0))*50*$R$47-($D$27*(1+R$51)-$D$27)*-$R$48*200+SUM(S$3:S$23)</f>
        <v>#VALUE!</v>
      </c>
      <c r="S60" s="222" t="e">
        <f t="shared" ca="1" si="45"/>
        <v>#VALUE!</v>
      </c>
      <c r="T60" s="222" t="e">
        <f t="shared" ca="1" si="45"/>
        <v>#VALUE!</v>
      </c>
      <c r="U60" s="222" t="e">
        <f t="shared" ca="1" si="45"/>
        <v>#VALUE!</v>
      </c>
      <c r="V60" s="222" t="e">
        <f t="shared" ca="1" si="45"/>
        <v>#VALUE!</v>
      </c>
      <c r="W60" s="222" t="e">
        <f t="shared" ca="1" si="45"/>
        <v>#VALUE!</v>
      </c>
      <c r="X60" s="222" t="e">
        <f t="shared" ca="1" si="45"/>
        <v>#VALUE!</v>
      </c>
      <c r="Y60" s="222" t="e">
        <f t="shared" ca="1" si="45"/>
        <v>#VALUE!</v>
      </c>
      <c r="Z60" s="222" t="e">
        <f t="shared" ca="1" si="45"/>
        <v>#VALUE!</v>
      </c>
      <c r="AA60" s="222" t="e">
        <f t="shared" ca="1" si="45"/>
        <v>#VALUE!</v>
      </c>
      <c r="AB60" s="222" t="e">
        <f t="shared" ca="1" si="45"/>
        <v>#VALUE!</v>
      </c>
    </row>
    <row r="61" spans="17:28" x14ac:dyDescent="0.25">
      <c r="Q61" s="234">
        <f t="shared" si="39"/>
        <v>0.04</v>
      </c>
      <c r="R61" s="222" t="e">
        <f t="shared" ref="R61:AB61" ca="1" si="46">(GBSOption($T$47,$U$47*(1+R$51),$V$47,($Y$47-1)/252,($Z$47+OFFSET($Q$57,ROW()-57,0)),0,0)-GBSOption($T$47,$U$47,$V$47,$Y$47/252,$Z$47,0,0))*50*$R$47-($D$27*(1+R$51)-$D$27)*-$R$48*200+SUM(S$3:S$23)</f>
        <v>#VALUE!</v>
      </c>
      <c r="S61" s="222" t="e">
        <f t="shared" ca="1" si="46"/>
        <v>#VALUE!</v>
      </c>
      <c r="T61" s="222" t="e">
        <f t="shared" ca="1" si="46"/>
        <v>#VALUE!</v>
      </c>
      <c r="U61" s="222" t="e">
        <f t="shared" ca="1" si="46"/>
        <v>#VALUE!</v>
      </c>
      <c r="V61" s="222" t="e">
        <f t="shared" ca="1" si="46"/>
        <v>#VALUE!</v>
      </c>
      <c r="W61" s="222" t="e">
        <f t="shared" ca="1" si="46"/>
        <v>#VALUE!</v>
      </c>
      <c r="X61" s="222" t="e">
        <f t="shared" ca="1" si="46"/>
        <v>#VALUE!</v>
      </c>
      <c r="Y61" s="222" t="e">
        <f t="shared" ca="1" si="46"/>
        <v>#VALUE!</v>
      </c>
      <c r="Z61" s="222" t="e">
        <f t="shared" ca="1" si="46"/>
        <v>#VALUE!</v>
      </c>
      <c r="AA61" s="222" t="e">
        <f t="shared" ca="1" si="46"/>
        <v>#VALUE!</v>
      </c>
      <c r="AB61" s="222" t="e">
        <f t="shared" ca="1" si="46"/>
        <v>#VALUE!</v>
      </c>
    </row>
    <row r="62" spans="17:28" ht="17.25" thickBot="1" x14ac:dyDescent="0.3">
      <c r="Q62" s="235">
        <f t="shared" si="39"/>
        <v>0.05</v>
      </c>
      <c r="R62" s="230" t="e">
        <f t="shared" ref="R62:AB62" ca="1" si="47">(GBSOption($T$47,$U$47*(1+R$51),$V$47,($Y$47-1)/252,($Z$47+OFFSET($Q$57,ROW()-57,0)),0,0)-GBSOption($T$47,$U$47,$V$47,$Y$47/252,$Z$47,0,0))*50*$R$47-($D$27*(1+R$51)-$D$27)*-$R$48*200+SUM(S$3:S$23)</f>
        <v>#VALUE!</v>
      </c>
      <c r="S62" s="230" t="e">
        <f t="shared" ca="1" si="47"/>
        <v>#VALUE!</v>
      </c>
      <c r="T62" s="230" t="e">
        <f t="shared" ca="1" si="47"/>
        <v>#VALUE!</v>
      </c>
      <c r="U62" s="230" t="e">
        <f t="shared" ca="1" si="47"/>
        <v>#VALUE!</v>
      </c>
      <c r="V62" s="230" t="e">
        <f t="shared" ca="1" si="47"/>
        <v>#VALUE!</v>
      </c>
      <c r="W62" s="230" t="e">
        <f t="shared" ca="1" si="47"/>
        <v>#VALUE!</v>
      </c>
      <c r="X62" s="230" t="e">
        <f t="shared" ca="1" si="47"/>
        <v>#VALUE!</v>
      </c>
      <c r="Y62" s="230" t="e">
        <f t="shared" ca="1" si="47"/>
        <v>#VALUE!</v>
      </c>
      <c r="Z62" s="230" t="e">
        <f t="shared" ca="1" si="47"/>
        <v>#VALUE!</v>
      </c>
      <c r="AA62" s="230" t="e">
        <f t="shared" ca="1" si="47"/>
        <v>#VALUE!</v>
      </c>
      <c r="AB62" s="230" t="e">
        <f t="shared" ca="1" si="47"/>
        <v>#VALUE!</v>
      </c>
    </row>
    <row r="63" spans="17:28" ht="17.25" thickTop="1" x14ac:dyDescent="0.25"/>
  </sheetData>
  <mergeCells count="7">
    <mergeCell ref="Q2:R2"/>
    <mergeCell ref="Q25:R25"/>
    <mergeCell ref="Q50:Q51"/>
    <mergeCell ref="R50:AB50"/>
    <mergeCell ref="Q3:Q23"/>
    <mergeCell ref="Q32:Q33"/>
    <mergeCell ref="R32:AB32"/>
  </mergeCells>
  <phoneticPr fontId="4" type="noConversion"/>
  <pageMargins left="0" right="0" top="0" bottom="0" header="0" footer="0"/>
  <pageSetup paperSize="9" scale="58" orientation="landscape" r:id="rId1"/>
  <colBreaks count="1" manualBreakCount="1">
    <brk id="1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F133"/>
  <sheetViews>
    <sheetView workbookViewId="0">
      <selection activeCell="A2" sqref="A2"/>
    </sheetView>
  </sheetViews>
  <sheetFormatPr defaultRowHeight="16.5" x14ac:dyDescent="0.25"/>
  <cols>
    <col min="1" max="1" width="9" style="76"/>
    <col min="2" max="2" width="9.5" style="76" bestFit="1" customWidth="1"/>
    <col min="3" max="16384" width="9" style="76"/>
  </cols>
  <sheetData>
    <row r="1" spans="1:6" x14ac:dyDescent="0.25">
      <c r="A1" s="78" t="s">
        <v>2331</v>
      </c>
      <c r="B1" s="78" t="s">
        <v>2332</v>
      </c>
      <c r="C1" s="78" t="s">
        <v>2333</v>
      </c>
      <c r="D1" s="78" t="s">
        <v>2334</v>
      </c>
      <c r="E1" s="78" t="s">
        <v>2335</v>
      </c>
      <c r="F1" s="78" t="s">
        <v>2336</v>
      </c>
    </row>
    <row r="2" spans="1:6" x14ac:dyDescent="0.25">
      <c r="A2" s="78" t="s">
        <v>1846</v>
      </c>
      <c r="B2" s="78" t="s">
        <v>1848</v>
      </c>
      <c r="C2" s="78"/>
      <c r="D2" s="78"/>
      <c r="E2" s="78"/>
      <c r="F2" s="78"/>
    </row>
    <row r="3" spans="1:6" x14ac:dyDescent="0.25">
      <c r="A3" s="78" t="s">
        <v>1847</v>
      </c>
      <c r="B3" s="78" t="s">
        <v>1849</v>
      </c>
      <c r="C3" s="78" t="s">
        <v>3049</v>
      </c>
      <c r="D3" s="78" t="s">
        <v>3050</v>
      </c>
      <c r="E3" s="78" t="s">
        <v>3051</v>
      </c>
      <c r="F3" s="78" t="s">
        <v>3052</v>
      </c>
    </row>
    <row r="5" spans="1:6" x14ac:dyDescent="0.25">
      <c r="A5" s="76" t="s">
        <v>3048</v>
      </c>
      <c r="B5" s="76" t="s">
        <v>1568</v>
      </c>
      <c r="C5" s="76" t="s">
        <v>3049</v>
      </c>
      <c r="D5" s="76" t="s">
        <v>3050</v>
      </c>
      <c r="E5" s="76" t="s">
        <v>3051</v>
      </c>
      <c r="F5" s="76" t="s">
        <v>3053</v>
      </c>
    </row>
    <row r="6" spans="1:6" x14ac:dyDescent="0.25">
      <c r="B6" s="79">
        <v>43832</v>
      </c>
      <c r="C6" s="76">
        <v>14.39</v>
      </c>
      <c r="D6" s="76">
        <v>14.79</v>
      </c>
      <c r="E6" s="76">
        <v>14.1</v>
      </c>
      <c r="F6" s="76">
        <v>14.32</v>
      </c>
    </row>
    <row r="7" spans="1:6" x14ac:dyDescent="0.25">
      <c r="B7" s="79">
        <v>43833</v>
      </c>
      <c r="C7" s="76">
        <v>14.16</v>
      </c>
      <c r="D7" s="76">
        <v>15.41</v>
      </c>
      <c r="E7" s="76">
        <v>14.1</v>
      </c>
      <c r="F7" s="76">
        <v>14.81</v>
      </c>
    </row>
    <row r="8" spans="1:6" x14ac:dyDescent="0.25">
      <c r="B8" s="79">
        <v>43836</v>
      </c>
      <c r="C8" s="76">
        <v>15.82</v>
      </c>
      <c r="D8" s="76">
        <v>15.96</v>
      </c>
      <c r="E8" s="76">
        <v>14.83</v>
      </c>
      <c r="F8" s="76">
        <v>15.04</v>
      </c>
    </row>
    <row r="9" spans="1:6" x14ac:dyDescent="0.25">
      <c r="B9" s="79">
        <v>43837</v>
      </c>
      <c r="C9" s="76">
        <v>14.28</v>
      </c>
      <c r="D9" s="76">
        <v>15.07</v>
      </c>
      <c r="E9" s="76">
        <v>14.24</v>
      </c>
      <c r="F9" s="76">
        <v>14.34</v>
      </c>
    </row>
    <row r="10" spans="1:6" x14ac:dyDescent="0.25">
      <c r="B10" s="79">
        <v>43838</v>
      </c>
      <c r="C10" s="76">
        <v>15.8</v>
      </c>
      <c r="D10" s="76">
        <v>15.8</v>
      </c>
      <c r="E10" s="76">
        <v>14.2</v>
      </c>
      <c r="F10" s="76">
        <v>15.24</v>
      </c>
    </row>
    <row r="11" spans="1:6" x14ac:dyDescent="0.25">
      <c r="B11" s="79">
        <v>43839</v>
      </c>
      <c r="C11" s="76">
        <v>13.78</v>
      </c>
      <c r="D11" s="76">
        <v>13.94</v>
      </c>
      <c r="E11" s="76">
        <v>13.02</v>
      </c>
      <c r="F11" s="76">
        <v>13.02</v>
      </c>
    </row>
    <row r="12" spans="1:6" x14ac:dyDescent="0.25">
      <c r="B12" s="79">
        <v>43840</v>
      </c>
      <c r="C12" s="76">
        <v>13.61</v>
      </c>
      <c r="D12" s="76">
        <v>13.69</v>
      </c>
      <c r="E12" s="76">
        <v>12.98</v>
      </c>
      <c r="F12" s="76">
        <v>12.98</v>
      </c>
    </row>
    <row r="13" spans="1:6" x14ac:dyDescent="0.25">
      <c r="B13" s="79">
        <v>43843</v>
      </c>
      <c r="C13" s="76">
        <v>12.06</v>
      </c>
      <c r="D13" s="76">
        <v>12.63</v>
      </c>
      <c r="E13" s="76">
        <v>11.26</v>
      </c>
      <c r="F13" s="76">
        <v>11.26</v>
      </c>
    </row>
    <row r="14" spans="1:6" x14ac:dyDescent="0.25">
      <c r="B14" s="79">
        <v>43844</v>
      </c>
      <c r="C14" s="76">
        <v>11.4</v>
      </c>
      <c r="D14" s="76">
        <v>12.19</v>
      </c>
      <c r="E14" s="76">
        <v>11.27</v>
      </c>
      <c r="F14" s="76">
        <v>11.64</v>
      </c>
    </row>
    <row r="15" spans="1:6" x14ac:dyDescent="0.25">
      <c r="B15" s="79">
        <v>43845</v>
      </c>
      <c r="C15" s="76">
        <v>11.95</v>
      </c>
      <c r="D15" s="76">
        <v>12.51</v>
      </c>
      <c r="E15" s="76">
        <v>11.83</v>
      </c>
      <c r="F15" s="76">
        <v>11.86</v>
      </c>
    </row>
    <row r="16" spans="1:6" x14ac:dyDescent="0.25">
      <c r="B16" s="79">
        <v>43846</v>
      </c>
      <c r="C16" s="76">
        <v>12.29</v>
      </c>
      <c r="D16" s="76">
        <v>12.38</v>
      </c>
      <c r="E16" s="76">
        <v>11.94</v>
      </c>
      <c r="F16" s="76">
        <v>11.94</v>
      </c>
    </row>
    <row r="17" spans="2:6" x14ac:dyDescent="0.25">
      <c r="B17" s="79">
        <v>43847</v>
      </c>
      <c r="C17" s="76">
        <v>11.77</v>
      </c>
      <c r="D17" s="76">
        <v>12.36</v>
      </c>
      <c r="E17" s="76">
        <v>11.68</v>
      </c>
      <c r="F17" s="76">
        <v>11.92</v>
      </c>
    </row>
    <row r="18" spans="2:6" x14ac:dyDescent="0.25">
      <c r="B18" s="79">
        <v>43850</v>
      </c>
      <c r="C18" s="76">
        <v>12.58</v>
      </c>
      <c r="D18" s="76">
        <v>12.8</v>
      </c>
      <c r="E18" s="76">
        <v>12.38</v>
      </c>
      <c r="F18" s="76">
        <v>12.57</v>
      </c>
    </row>
    <row r="19" spans="2:6" x14ac:dyDescent="0.25">
      <c r="B19" s="79">
        <v>43860</v>
      </c>
      <c r="C19" s="76">
        <v>16.04</v>
      </c>
      <c r="D19" s="76">
        <v>19.809999999999999</v>
      </c>
      <c r="E19" s="76">
        <v>16.02</v>
      </c>
      <c r="F19" s="76">
        <v>19.809999999999999</v>
      </c>
    </row>
    <row r="20" spans="2:6" x14ac:dyDescent="0.25">
      <c r="B20" s="79">
        <v>43861</v>
      </c>
      <c r="C20" s="76">
        <v>18.18</v>
      </c>
      <c r="D20" s="76">
        <v>19.149999999999999</v>
      </c>
      <c r="E20" s="76">
        <v>17.489999999999998</v>
      </c>
      <c r="F20" s="76">
        <v>19.149999999999999</v>
      </c>
    </row>
    <row r="21" spans="2:6" x14ac:dyDescent="0.25">
      <c r="B21" s="79">
        <v>43864</v>
      </c>
      <c r="C21" s="76">
        <v>21.24</v>
      </c>
      <c r="D21" s="76">
        <v>21.83</v>
      </c>
      <c r="E21" s="76">
        <v>19.809999999999999</v>
      </c>
      <c r="F21" s="76">
        <v>20.260000000000002</v>
      </c>
    </row>
    <row r="22" spans="2:6" x14ac:dyDescent="0.25">
      <c r="B22" s="79">
        <v>43865</v>
      </c>
      <c r="C22" s="76">
        <v>18.79</v>
      </c>
      <c r="D22" s="76">
        <v>18.829999999999998</v>
      </c>
      <c r="E22" s="76">
        <v>17.989999999999998</v>
      </c>
      <c r="F22" s="76">
        <v>18.760000000000002</v>
      </c>
    </row>
    <row r="23" spans="2:6" x14ac:dyDescent="0.25">
      <c r="B23" s="79">
        <v>43866</v>
      </c>
      <c r="C23" s="76">
        <v>18.52</v>
      </c>
      <c r="D23" s="76">
        <v>18.95</v>
      </c>
      <c r="E23" s="76">
        <v>18.12</v>
      </c>
      <c r="F23" s="76">
        <v>18.649999999999999</v>
      </c>
    </row>
    <row r="24" spans="2:6" x14ac:dyDescent="0.25">
      <c r="B24" s="79">
        <v>43867</v>
      </c>
      <c r="C24" s="76">
        <v>18.12</v>
      </c>
      <c r="D24" s="76">
        <v>18.12</v>
      </c>
      <c r="E24" s="76">
        <v>17.47</v>
      </c>
      <c r="F24" s="76">
        <v>17.96</v>
      </c>
    </row>
    <row r="25" spans="2:6" x14ac:dyDescent="0.25">
      <c r="B25" s="79">
        <v>43868</v>
      </c>
      <c r="C25" s="76">
        <v>18.3</v>
      </c>
      <c r="D25" s="76">
        <v>19.100000000000001</v>
      </c>
      <c r="E25" s="76">
        <v>18.3</v>
      </c>
      <c r="F25" s="76">
        <v>18.78</v>
      </c>
    </row>
    <row r="26" spans="2:6" x14ac:dyDescent="0.25">
      <c r="B26" s="79">
        <v>43871</v>
      </c>
      <c r="C26" s="76">
        <v>20.55</v>
      </c>
      <c r="D26" s="76">
        <v>20.55</v>
      </c>
      <c r="E26" s="76">
        <v>19.12</v>
      </c>
      <c r="F26" s="76">
        <v>19.329999999999998</v>
      </c>
    </row>
    <row r="27" spans="2:6" x14ac:dyDescent="0.25">
      <c r="B27" s="79">
        <v>43872</v>
      </c>
      <c r="C27" s="76">
        <v>18.16</v>
      </c>
      <c r="D27" s="76">
        <v>18.22</v>
      </c>
      <c r="E27" s="76">
        <v>17.23</v>
      </c>
      <c r="F27" s="76">
        <v>17.53</v>
      </c>
    </row>
    <row r="28" spans="2:6" x14ac:dyDescent="0.25">
      <c r="B28" s="79">
        <v>43873</v>
      </c>
      <c r="C28" s="76">
        <v>17.25</v>
      </c>
      <c r="D28" s="76">
        <v>17.25</v>
      </c>
      <c r="E28" s="76">
        <v>16.27</v>
      </c>
      <c r="F28" s="76">
        <v>16.43</v>
      </c>
    </row>
    <row r="29" spans="2:6" x14ac:dyDescent="0.25">
      <c r="B29" s="79">
        <v>43874</v>
      </c>
      <c r="C29" s="76">
        <v>16.59</v>
      </c>
      <c r="D29" s="76">
        <v>16.690000000000001</v>
      </c>
      <c r="E29" s="76">
        <v>16.059999999999999</v>
      </c>
      <c r="F29" s="76">
        <v>16.52</v>
      </c>
    </row>
    <row r="30" spans="2:6" x14ac:dyDescent="0.25">
      <c r="B30" s="79">
        <v>43875</v>
      </c>
      <c r="C30" s="76">
        <v>16.47</v>
      </c>
      <c r="D30" s="76">
        <v>16.5</v>
      </c>
      <c r="E30" s="76">
        <v>15.38</v>
      </c>
      <c r="F30" s="76">
        <v>15.75</v>
      </c>
    </row>
    <row r="31" spans="2:6" x14ac:dyDescent="0.25">
      <c r="B31" s="79">
        <v>43878</v>
      </c>
      <c r="C31" s="76">
        <v>16.78</v>
      </c>
      <c r="D31" s="76">
        <v>16.809999999999999</v>
      </c>
      <c r="E31" s="76">
        <v>16</v>
      </c>
      <c r="F31" s="76">
        <v>16.2</v>
      </c>
    </row>
    <row r="32" spans="2:6" x14ac:dyDescent="0.25">
      <c r="B32" s="79">
        <v>43879</v>
      </c>
      <c r="C32" s="76">
        <v>16.46</v>
      </c>
      <c r="D32" s="76">
        <v>17.21</v>
      </c>
      <c r="E32" s="76">
        <v>16.27</v>
      </c>
      <c r="F32" s="76">
        <v>17.14</v>
      </c>
    </row>
    <row r="33" spans="2:6" x14ac:dyDescent="0.25">
      <c r="B33" s="79">
        <v>43880</v>
      </c>
      <c r="C33" s="76">
        <v>16.64</v>
      </c>
      <c r="D33" s="76">
        <v>16.87</v>
      </c>
      <c r="E33" s="76">
        <v>15.61</v>
      </c>
      <c r="F33" s="76">
        <v>15.85</v>
      </c>
    </row>
    <row r="34" spans="2:6" x14ac:dyDescent="0.25">
      <c r="B34" s="79">
        <v>43881</v>
      </c>
      <c r="C34" s="76">
        <v>15.25</v>
      </c>
      <c r="D34" s="76">
        <v>15.97</v>
      </c>
      <c r="E34" s="76">
        <v>15.09</v>
      </c>
      <c r="F34" s="76">
        <v>15.7</v>
      </c>
    </row>
    <row r="35" spans="2:6" x14ac:dyDescent="0.25">
      <c r="B35" s="79">
        <v>43882</v>
      </c>
      <c r="C35" s="76">
        <v>15.83</v>
      </c>
      <c r="D35" s="76">
        <v>16.72</v>
      </c>
      <c r="E35" s="76">
        <v>15.53</v>
      </c>
      <c r="F35" s="76">
        <v>16.72</v>
      </c>
    </row>
    <row r="36" spans="2:6" x14ac:dyDescent="0.25">
      <c r="B36" s="79">
        <v>43885</v>
      </c>
      <c r="C36" s="76">
        <v>18.3</v>
      </c>
      <c r="D36" s="76">
        <v>18.940000000000001</v>
      </c>
      <c r="E36" s="76">
        <v>17.95</v>
      </c>
      <c r="F36" s="76">
        <v>18.43</v>
      </c>
    </row>
    <row r="37" spans="2:6" x14ac:dyDescent="0.25">
      <c r="B37" s="79">
        <v>43886</v>
      </c>
      <c r="C37" s="76">
        <v>19.45</v>
      </c>
      <c r="D37" s="76">
        <v>19.45</v>
      </c>
      <c r="E37" s="76">
        <v>18.07</v>
      </c>
      <c r="F37" s="76">
        <v>18.52</v>
      </c>
    </row>
    <row r="38" spans="2:6" x14ac:dyDescent="0.25">
      <c r="B38" s="79">
        <v>43887</v>
      </c>
      <c r="C38" s="76">
        <v>20.25</v>
      </c>
      <c r="D38" s="76">
        <v>20.43</v>
      </c>
      <c r="E38" s="76">
        <v>19.29</v>
      </c>
      <c r="F38" s="76">
        <v>20</v>
      </c>
    </row>
    <row r="39" spans="2:6" x14ac:dyDescent="0.25">
      <c r="B39" s="79">
        <v>43888</v>
      </c>
      <c r="C39" s="76">
        <v>20.78</v>
      </c>
      <c r="D39" s="76">
        <v>23.63</v>
      </c>
      <c r="E39" s="76">
        <v>20.41</v>
      </c>
      <c r="F39" s="76">
        <v>22.92</v>
      </c>
    </row>
    <row r="40" spans="2:6" x14ac:dyDescent="0.25">
      <c r="B40" s="79">
        <v>43892</v>
      </c>
      <c r="C40" s="76">
        <v>26.4</v>
      </c>
      <c r="D40" s="76">
        <v>26.4</v>
      </c>
      <c r="E40" s="76">
        <v>24.24</v>
      </c>
      <c r="F40" s="76">
        <v>25.25</v>
      </c>
    </row>
    <row r="41" spans="2:6" x14ac:dyDescent="0.25">
      <c r="B41" s="79">
        <v>43893</v>
      </c>
      <c r="C41" s="76">
        <v>21.7</v>
      </c>
      <c r="D41" s="76">
        <v>22.91</v>
      </c>
      <c r="E41" s="76">
        <v>21.46</v>
      </c>
      <c r="F41" s="76">
        <v>22.91</v>
      </c>
    </row>
    <row r="42" spans="2:6" x14ac:dyDescent="0.25">
      <c r="B42" s="79">
        <v>43894</v>
      </c>
      <c r="C42" s="76">
        <v>22.14</v>
      </c>
      <c r="D42" s="76">
        <v>22.89</v>
      </c>
      <c r="E42" s="76">
        <v>22.07</v>
      </c>
      <c r="F42" s="76">
        <v>22.55</v>
      </c>
    </row>
    <row r="43" spans="2:6" x14ac:dyDescent="0.25">
      <c r="B43" s="79">
        <v>43895</v>
      </c>
      <c r="C43" s="76">
        <v>20.34</v>
      </c>
      <c r="D43" s="76">
        <v>20.34</v>
      </c>
      <c r="E43" s="76">
        <v>19.13</v>
      </c>
      <c r="F43" s="76">
        <v>19.37</v>
      </c>
    </row>
    <row r="44" spans="2:6" x14ac:dyDescent="0.25">
      <c r="B44" s="79">
        <v>43896</v>
      </c>
      <c r="C44" s="76">
        <v>20.23</v>
      </c>
      <c r="D44" s="76">
        <v>22.93</v>
      </c>
      <c r="E44" s="76">
        <v>20.23</v>
      </c>
      <c r="F44" s="76">
        <v>22.93</v>
      </c>
    </row>
    <row r="45" spans="2:6" x14ac:dyDescent="0.25">
      <c r="B45" s="79">
        <v>43899</v>
      </c>
      <c r="C45" s="76">
        <v>26.29</v>
      </c>
      <c r="D45" s="76">
        <v>28.72</v>
      </c>
      <c r="E45" s="76">
        <v>25.22</v>
      </c>
      <c r="F45" s="76">
        <v>28.36</v>
      </c>
    </row>
    <row r="46" spans="2:6" x14ac:dyDescent="0.25">
      <c r="B46" s="79">
        <v>43900</v>
      </c>
      <c r="C46" s="76">
        <v>28.69</v>
      </c>
      <c r="D46" s="76">
        <v>28.69</v>
      </c>
      <c r="E46" s="76">
        <v>26.59</v>
      </c>
      <c r="F46" s="76">
        <v>26.75</v>
      </c>
    </row>
    <row r="47" spans="2:6" x14ac:dyDescent="0.25">
      <c r="B47" s="79">
        <v>43901</v>
      </c>
      <c r="C47" s="76">
        <v>26.58</v>
      </c>
      <c r="D47" s="76">
        <v>29.49</v>
      </c>
      <c r="E47" s="76">
        <v>26.29</v>
      </c>
      <c r="F47" s="76">
        <v>29.49</v>
      </c>
    </row>
    <row r="48" spans="2:6" x14ac:dyDescent="0.25">
      <c r="B48" s="79">
        <v>43902</v>
      </c>
      <c r="C48" s="76">
        <v>30.03</v>
      </c>
      <c r="D48" s="76">
        <v>36.54</v>
      </c>
      <c r="E48" s="76">
        <v>30.03</v>
      </c>
      <c r="F48" s="76">
        <v>33.270000000000003</v>
      </c>
    </row>
    <row r="49" spans="2:6" x14ac:dyDescent="0.25">
      <c r="B49" s="79">
        <v>43903</v>
      </c>
      <c r="C49" s="76">
        <v>43.09</v>
      </c>
      <c r="D49" s="76">
        <v>44.29</v>
      </c>
      <c r="E49" s="76">
        <v>37.24</v>
      </c>
      <c r="F49" s="76">
        <v>39.76</v>
      </c>
    </row>
    <row r="50" spans="2:6" x14ac:dyDescent="0.25">
      <c r="B50" s="79">
        <v>43906</v>
      </c>
      <c r="C50" s="76">
        <v>43.37</v>
      </c>
      <c r="D50" s="76">
        <v>44.65</v>
      </c>
      <c r="E50" s="76">
        <v>42.67</v>
      </c>
      <c r="F50" s="76">
        <v>44.65</v>
      </c>
    </row>
    <row r="51" spans="2:6" x14ac:dyDescent="0.25">
      <c r="B51" s="79">
        <v>43907</v>
      </c>
      <c r="C51" s="76">
        <v>49.87</v>
      </c>
      <c r="D51" s="76">
        <v>50.52</v>
      </c>
      <c r="E51" s="76">
        <v>47.11</v>
      </c>
      <c r="F51" s="76">
        <v>48.54</v>
      </c>
    </row>
    <row r="52" spans="2:6" x14ac:dyDescent="0.25">
      <c r="B52" s="79">
        <v>43908</v>
      </c>
      <c r="C52" s="76">
        <v>48.17</v>
      </c>
      <c r="D52" s="76">
        <v>51.75</v>
      </c>
      <c r="E52" s="76">
        <v>47.85</v>
      </c>
      <c r="F52" s="76">
        <v>47.85</v>
      </c>
    </row>
    <row r="53" spans="2:6" x14ac:dyDescent="0.25">
      <c r="B53" s="79">
        <v>43909</v>
      </c>
      <c r="C53" s="76">
        <v>49.69</v>
      </c>
      <c r="D53" s="76">
        <v>53.29</v>
      </c>
      <c r="E53" s="76">
        <v>49.55</v>
      </c>
      <c r="F53" s="76">
        <v>51.14</v>
      </c>
    </row>
    <row r="54" spans="2:6" x14ac:dyDescent="0.25">
      <c r="B54" s="79">
        <v>43910</v>
      </c>
      <c r="C54" s="76">
        <v>53.99</v>
      </c>
      <c r="D54" s="76">
        <v>54.95</v>
      </c>
      <c r="E54" s="76">
        <v>50.59</v>
      </c>
      <c r="F54" s="76">
        <v>51.66</v>
      </c>
    </row>
    <row r="55" spans="2:6" x14ac:dyDescent="0.25">
      <c r="B55" s="79">
        <v>43913</v>
      </c>
      <c r="C55" s="76">
        <v>55.95</v>
      </c>
      <c r="D55" s="76">
        <v>56.45</v>
      </c>
      <c r="E55" s="76">
        <v>52.45</v>
      </c>
      <c r="F55" s="76">
        <v>53.84</v>
      </c>
    </row>
    <row r="56" spans="2:6" x14ac:dyDescent="0.25">
      <c r="B56" s="79">
        <v>43914</v>
      </c>
      <c r="C56" s="76">
        <v>48.41</v>
      </c>
      <c r="D56" s="76">
        <v>48.41</v>
      </c>
      <c r="E56" s="76">
        <v>43.04</v>
      </c>
      <c r="F56" s="76">
        <v>44.78</v>
      </c>
    </row>
    <row r="57" spans="2:6" x14ac:dyDescent="0.25">
      <c r="B57" s="79">
        <v>43915</v>
      </c>
      <c r="C57" s="76">
        <v>42.87</v>
      </c>
      <c r="D57" s="76">
        <v>43.23</v>
      </c>
      <c r="E57" s="76">
        <v>41.08</v>
      </c>
      <c r="F57" s="76">
        <v>42.43</v>
      </c>
    </row>
    <row r="58" spans="2:6" x14ac:dyDescent="0.25">
      <c r="B58" s="79">
        <v>43916</v>
      </c>
      <c r="C58" s="76">
        <v>42.31</v>
      </c>
      <c r="D58" s="76">
        <v>44</v>
      </c>
      <c r="E58" s="76">
        <v>42.31</v>
      </c>
      <c r="F58" s="76">
        <v>44</v>
      </c>
    </row>
    <row r="59" spans="2:6" x14ac:dyDescent="0.25">
      <c r="B59" s="79">
        <v>43917</v>
      </c>
      <c r="C59" s="76">
        <v>42.24</v>
      </c>
      <c r="D59" s="76">
        <v>45.12</v>
      </c>
      <c r="E59" s="76">
        <v>41.85</v>
      </c>
      <c r="F59" s="76">
        <v>45.12</v>
      </c>
    </row>
    <row r="60" spans="2:6" x14ac:dyDescent="0.25">
      <c r="B60" s="79">
        <v>43920</v>
      </c>
      <c r="C60" s="76">
        <v>47.74</v>
      </c>
      <c r="D60" s="76">
        <v>48.26</v>
      </c>
      <c r="E60" s="76">
        <v>44.37</v>
      </c>
      <c r="F60" s="76">
        <v>44.59</v>
      </c>
    </row>
    <row r="61" spans="2:6" x14ac:dyDescent="0.25">
      <c r="B61" s="79">
        <v>43921</v>
      </c>
      <c r="C61" s="76">
        <v>42.91</v>
      </c>
      <c r="D61" s="76">
        <v>44.89</v>
      </c>
      <c r="E61" s="76">
        <v>42.81</v>
      </c>
      <c r="F61" s="76">
        <v>44.65</v>
      </c>
    </row>
    <row r="62" spans="2:6" x14ac:dyDescent="0.25">
      <c r="B62" s="79">
        <v>43922</v>
      </c>
      <c r="C62" s="76">
        <v>43.2</v>
      </c>
      <c r="D62" s="76">
        <v>43.52</v>
      </c>
      <c r="E62" s="76">
        <v>41.54</v>
      </c>
      <c r="F62" s="76">
        <v>42.41</v>
      </c>
    </row>
    <row r="63" spans="2:6" x14ac:dyDescent="0.25">
      <c r="B63" s="79">
        <v>43927</v>
      </c>
      <c r="C63" s="76">
        <v>38.11</v>
      </c>
      <c r="D63" s="76">
        <v>39.65</v>
      </c>
      <c r="E63" s="76">
        <v>35.53</v>
      </c>
      <c r="F63" s="76">
        <v>35.81</v>
      </c>
    </row>
    <row r="64" spans="2:6" x14ac:dyDescent="0.25">
      <c r="B64" s="79">
        <v>43928</v>
      </c>
      <c r="C64" s="76">
        <v>33.6</v>
      </c>
      <c r="D64" s="76">
        <v>33.950000000000003</v>
      </c>
      <c r="E64" s="76">
        <v>33.159999999999997</v>
      </c>
      <c r="F64" s="76">
        <v>33.25</v>
      </c>
    </row>
    <row r="65" spans="2:6" x14ac:dyDescent="0.25">
      <c r="B65" s="79">
        <v>43929</v>
      </c>
      <c r="C65" s="76">
        <v>33.659999999999997</v>
      </c>
      <c r="D65" s="76">
        <v>33.729999999999997</v>
      </c>
      <c r="E65" s="76">
        <v>32.97</v>
      </c>
      <c r="F65" s="76">
        <v>33.729999999999997</v>
      </c>
    </row>
    <row r="66" spans="2:6" x14ac:dyDescent="0.25">
      <c r="B66" s="79">
        <v>43930</v>
      </c>
      <c r="C66" s="76">
        <v>31.91</v>
      </c>
      <c r="D66" s="76">
        <v>33.14</v>
      </c>
      <c r="E66" s="76">
        <v>31.19</v>
      </c>
      <c r="F66" s="76">
        <v>32.909999999999997</v>
      </c>
    </row>
    <row r="67" spans="2:6" x14ac:dyDescent="0.25">
      <c r="B67" s="79">
        <v>43931</v>
      </c>
      <c r="C67" s="76">
        <v>33.17</v>
      </c>
      <c r="D67" s="76">
        <v>33.17</v>
      </c>
      <c r="E67" s="76">
        <v>30.9</v>
      </c>
      <c r="F67" s="76">
        <v>30.9</v>
      </c>
    </row>
    <row r="68" spans="2:6" x14ac:dyDescent="0.25">
      <c r="B68" s="79">
        <v>43934</v>
      </c>
      <c r="C68" s="76">
        <v>34.130000000000003</v>
      </c>
      <c r="D68" s="76">
        <v>34.68</v>
      </c>
      <c r="E68" s="76">
        <v>32.54</v>
      </c>
      <c r="F68" s="76">
        <v>32.54</v>
      </c>
    </row>
    <row r="69" spans="2:6" x14ac:dyDescent="0.25">
      <c r="B69" s="79">
        <v>43935</v>
      </c>
      <c r="C69" s="76">
        <v>30.2</v>
      </c>
      <c r="D69" s="76">
        <v>30.2</v>
      </c>
      <c r="E69" s="76">
        <v>28.67</v>
      </c>
      <c r="F69" s="76">
        <v>29.38</v>
      </c>
    </row>
    <row r="70" spans="2:6" x14ac:dyDescent="0.25">
      <c r="B70" s="79">
        <v>43936</v>
      </c>
      <c r="C70" s="76">
        <v>27.22</v>
      </c>
      <c r="D70" s="76">
        <v>28.68</v>
      </c>
      <c r="E70" s="76">
        <v>26.84</v>
      </c>
      <c r="F70" s="76">
        <v>26.84</v>
      </c>
    </row>
    <row r="71" spans="2:6" x14ac:dyDescent="0.25">
      <c r="B71" s="79">
        <v>43937</v>
      </c>
      <c r="C71" s="76">
        <v>30.25</v>
      </c>
      <c r="D71" s="76">
        <v>30.39</v>
      </c>
      <c r="E71" s="76">
        <v>28.03</v>
      </c>
      <c r="F71" s="76">
        <v>28.22</v>
      </c>
    </row>
    <row r="72" spans="2:6" x14ac:dyDescent="0.25">
      <c r="B72" s="79">
        <v>43938</v>
      </c>
      <c r="C72" s="76">
        <v>26.34</v>
      </c>
      <c r="D72" s="76">
        <v>28.65</v>
      </c>
      <c r="E72" s="76">
        <v>25.98</v>
      </c>
      <c r="F72" s="76">
        <v>27.04</v>
      </c>
    </row>
    <row r="73" spans="2:6" x14ac:dyDescent="0.25">
      <c r="B73" s="79">
        <v>43941</v>
      </c>
      <c r="C73" s="76">
        <v>28.89</v>
      </c>
      <c r="D73" s="76">
        <v>29.57</v>
      </c>
      <c r="E73" s="76">
        <v>28.36</v>
      </c>
      <c r="F73" s="76">
        <v>28.65</v>
      </c>
    </row>
    <row r="74" spans="2:6" x14ac:dyDescent="0.25">
      <c r="B74" s="79">
        <v>43942</v>
      </c>
      <c r="C74" s="76">
        <v>30.06</v>
      </c>
      <c r="D74" s="76">
        <v>34.76</v>
      </c>
      <c r="E74" s="76">
        <v>29.3</v>
      </c>
      <c r="F74" s="76">
        <v>33.96</v>
      </c>
    </row>
    <row r="75" spans="2:6" x14ac:dyDescent="0.25">
      <c r="B75" s="79">
        <v>43943</v>
      </c>
      <c r="C75" s="76">
        <v>34.909999999999997</v>
      </c>
      <c r="D75" s="76">
        <v>35.43</v>
      </c>
      <c r="E75" s="76">
        <v>33.08</v>
      </c>
      <c r="F75" s="76">
        <v>33.46</v>
      </c>
    </row>
    <row r="76" spans="2:6" x14ac:dyDescent="0.25">
      <c r="B76" s="79">
        <v>43944</v>
      </c>
      <c r="C76" s="76">
        <v>32.06</v>
      </c>
      <c r="D76" s="76">
        <v>32.78</v>
      </c>
      <c r="E76" s="76">
        <v>30.68</v>
      </c>
      <c r="F76" s="76">
        <v>31.45</v>
      </c>
    </row>
    <row r="77" spans="2:6" x14ac:dyDescent="0.25">
      <c r="B77" s="79">
        <v>43945</v>
      </c>
      <c r="C77" s="76">
        <v>30.98</v>
      </c>
      <c r="D77" s="76">
        <v>31.31</v>
      </c>
      <c r="E77" s="76">
        <v>29.86</v>
      </c>
      <c r="F77" s="76">
        <v>30.97</v>
      </c>
    </row>
    <row r="78" spans="2:6" x14ac:dyDescent="0.25">
      <c r="B78" s="79">
        <v>43948</v>
      </c>
      <c r="C78" s="76">
        <v>28.81</v>
      </c>
      <c r="D78" s="76">
        <v>29.3</v>
      </c>
      <c r="E78" s="76">
        <v>27.91</v>
      </c>
      <c r="F78" s="76">
        <v>28.77</v>
      </c>
    </row>
    <row r="79" spans="2:6" x14ac:dyDescent="0.25">
      <c r="B79" s="79">
        <v>43949</v>
      </c>
      <c r="C79" s="76">
        <v>27.6</v>
      </c>
      <c r="D79" s="76">
        <v>29.13</v>
      </c>
      <c r="E79" s="76">
        <v>27.42</v>
      </c>
      <c r="F79" s="76">
        <v>27.9</v>
      </c>
    </row>
    <row r="80" spans="2:6" x14ac:dyDescent="0.25">
      <c r="B80" s="79">
        <v>43950</v>
      </c>
      <c r="C80" s="76">
        <v>27.2</v>
      </c>
      <c r="D80" s="76">
        <v>27.36</v>
      </c>
      <c r="E80" s="76">
        <v>26.44</v>
      </c>
      <c r="F80" s="76">
        <v>27.32</v>
      </c>
    </row>
    <row r="81" spans="2:6" x14ac:dyDescent="0.25">
      <c r="B81" s="79">
        <v>43951</v>
      </c>
      <c r="C81" s="76">
        <v>27.19</v>
      </c>
      <c r="D81" s="76">
        <v>29.06</v>
      </c>
      <c r="E81" s="76">
        <v>27.04</v>
      </c>
      <c r="F81" s="76">
        <v>29.06</v>
      </c>
    </row>
    <row r="82" spans="2:6" x14ac:dyDescent="0.25">
      <c r="B82" s="79">
        <v>43955</v>
      </c>
      <c r="C82" s="76">
        <v>33.630000000000003</v>
      </c>
      <c r="D82" s="76">
        <v>34.58</v>
      </c>
      <c r="E82" s="76">
        <v>32.17</v>
      </c>
      <c r="F82" s="76">
        <v>34.29</v>
      </c>
    </row>
    <row r="83" spans="2:6" x14ac:dyDescent="0.25">
      <c r="B83" s="79">
        <v>43956</v>
      </c>
      <c r="C83" s="76">
        <v>32.200000000000003</v>
      </c>
      <c r="D83" s="76">
        <v>32.53</v>
      </c>
      <c r="E83" s="76">
        <v>31.29</v>
      </c>
      <c r="F83" s="76">
        <v>32.53</v>
      </c>
    </row>
    <row r="84" spans="2:6" x14ac:dyDescent="0.25">
      <c r="B84" s="79">
        <v>43957</v>
      </c>
      <c r="C84" s="76">
        <v>31.98</v>
      </c>
      <c r="D84" s="76">
        <v>32.880000000000003</v>
      </c>
      <c r="E84" s="76">
        <v>31.05</v>
      </c>
      <c r="F84" s="76">
        <v>31.74</v>
      </c>
    </row>
    <row r="85" spans="2:6" x14ac:dyDescent="0.25">
      <c r="B85" s="79">
        <v>43958</v>
      </c>
      <c r="C85" s="76">
        <v>31.24</v>
      </c>
      <c r="D85" s="76">
        <v>31.24</v>
      </c>
      <c r="E85" s="76">
        <v>28.94</v>
      </c>
      <c r="F85" s="76">
        <v>29.62</v>
      </c>
    </row>
    <row r="86" spans="2:6" x14ac:dyDescent="0.25">
      <c r="B86" s="79">
        <v>43959</v>
      </c>
      <c r="C86" s="76">
        <v>27.81</v>
      </c>
      <c r="D86" s="76">
        <v>28.68</v>
      </c>
      <c r="E86" s="76">
        <v>27.54</v>
      </c>
      <c r="F86" s="76">
        <v>28.33</v>
      </c>
    </row>
    <row r="87" spans="2:6" x14ac:dyDescent="0.25">
      <c r="B87" s="79">
        <v>43962</v>
      </c>
      <c r="C87" s="76">
        <v>27.72</v>
      </c>
      <c r="D87" s="76">
        <v>28.04</v>
      </c>
      <c r="E87" s="76">
        <v>27</v>
      </c>
      <c r="F87" s="76">
        <v>27.88</v>
      </c>
    </row>
    <row r="88" spans="2:6" x14ac:dyDescent="0.25">
      <c r="B88" s="79">
        <v>43963</v>
      </c>
      <c r="C88" s="76">
        <v>27.84</v>
      </c>
      <c r="D88" s="76">
        <v>27.91</v>
      </c>
      <c r="E88" s="76">
        <v>26.73</v>
      </c>
      <c r="F88" s="76">
        <v>27.4</v>
      </c>
    </row>
    <row r="89" spans="2:6" x14ac:dyDescent="0.25">
      <c r="B89" s="79">
        <v>43964</v>
      </c>
      <c r="C89" s="76">
        <v>28.37</v>
      </c>
      <c r="D89" s="76">
        <v>28.39</v>
      </c>
      <c r="E89" s="76">
        <v>27</v>
      </c>
      <c r="F89" s="76">
        <v>27</v>
      </c>
    </row>
    <row r="90" spans="2:6" x14ac:dyDescent="0.25">
      <c r="B90" s="79">
        <v>43965</v>
      </c>
      <c r="C90" s="76">
        <v>28.07</v>
      </c>
      <c r="D90" s="76">
        <v>29.75</v>
      </c>
      <c r="E90" s="76">
        <v>27.35</v>
      </c>
      <c r="F90" s="76">
        <v>29.75</v>
      </c>
    </row>
    <row r="91" spans="2:6" x14ac:dyDescent="0.25">
      <c r="B91" s="79">
        <v>43966</v>
      </c>
      <c r="C91" s="76">
        <v>27.46</v>
      </c>
      <c r="D91" s="76">
        <v>29.16</v>
      </c>
      <c r="E91" s="76">
        <v>27.35</v>
      </c>
      <c r="F91" s="76">
        <v>28.9</v>
      </c>
    </row>
    <row r="92" spans="2:6" x14ac:dyDescent="0.25">
      <c r="B92" s="79">
        <v>43969</v>
      </c>
      <c r="C92" s="76">
        <v>29.84</v>
      </c>
      <c r="D92" s="76">
        <v>29.87</v>
      </c>
      <c r="E92" s="76">
        <v>28.73</v>
      </c>
      <c r="F92" s="76">
        <v>29.65</v>
      </c>
    </row>
    <row r="93" spans="2:6" x14ac:dyDescent="0.25">
      <c r="B93" s="79">
        <v>43970</v>
      </c>
      <c r="C93" s="76">
        <v>27.37</v>
      </c>
      <c r="D93" s="76">
        <v>28.39</v>
      </c>
      <c r="E93" s="76">
        <v>26.26</v>
      </c>
      <c r="F93" s="76">
        <v>26.95</v>
      </c>
    </row>
    <row r="94" spans="2:6" x14ac:dyDescent="0.25">
      <c r="B94" s="79">
        <v>43971</v>
      </c>
      <c r="C94" s="76">
        <v>26.04</v>
      </c>
      <c r="D94" s="76">
        <v>26.13</v>
      </c>
      <c r="E94" s="76">
        <v>24.69</v>
      </c>
      <c r="F94" s="76">
        <v>24.99</v>
      </c>
    </row>
    <row r="95" spans="2:6" x14ac:dyDescent="0.25">
      <c r="B95" s="79">
        <v>43972</v>
      </c>
      <c r="C95" s="76">
        <v>23.11</v>
      </c>
      <c r="D95" s="76">
        <v>23.11</v>
      </c>
      <c r="E95" s="76">
        <v>22.27</v>
      </c>
      <c r="F95" s="76">
        <v>22.44</v>
      </c>
    </row>
    <row r="96" spans="2:6" x14ac:dyDescent="0.25">
      <c r="B96" s="79">
        <v>43973</v>
      </c>
      <c r="C96">
        <v>23.04</v>
      </c>
      <c r="D96">
        <v>26.78</v>
      </c>
      <c r="E96">
        <v>22.89</v>
      </c>
      <c r="F96">
        <v>26.78</v>
      </c>
    </row>
    <row r="97" spans="2:6" x14ac:dyDescent="0.25">
      <c r="B97" s="79">
        <v>43976</v>
      </c>
      <c r="C97" s="76">
        <v>25.16</v>
      </c>
      <c r="D97" s="76">
        <v>26.64</v>
      </c>
      <c r="E97" s="76">
        <v>24.69</v>
      </c>
      <c r="F97" s="76">
        <v>25.01</v>
      </c>
    </row>
    <row r="98" spans="2:6" x14ac:dyDescent="0.25">
      <c r="B98" s="79">
        <v>43977</v>
      </c>
      <c r="C98" s="76">
        <v>24.04</v>
      </c>
      <c r="D98" s="76">
        <v>24.22</v>
      </c>
      <c r="E98" s="76">
        <v>23.15</v>
      </c>
      <c r="F98" s="76">
        <v>23.78</v>
      </c>
    </row>
    <row r="99" spans="2:6" x14ac:dyDescent="0.25">
      <c r="B99" s="79">
        <v>43978</v>
      </c>
      <c r="C99">
        <v>23.48</v>
      </c>
      <c r="D99">
        <v>24.02</v>
      </c>
      <c r="E99">
        <v>23.11</v>
      </c>
      <c r="F99">
        <v>23.79</v>
      </c>
    </row>
    <row r="100" spans="2:6" x14ac:dyDescent="0.25">
      <c r="B100" s="79">
        <v>43979</v>
      </c>
      <c r="C100" s="76">
        <v>22.91</v>
      </c>
      <c r="D100" s="76">
        <v>24.83</v>
      </c>
      <c r="E100" s="76">
        <v>22.76</v>
      </c>
      <c r="F100" s="76">
        <v>24.7</v>
      </c>
    </row>
    <row r="101" spans="2:6" x14ac:dyDescent="0.25">
      <c r="B101" s="79">
        <v>43980</v>
      </c>
      <c r="C101">
        <v>25.31</v>
      </c>
      <c r="D101">
        <v>25.32</v>
      </c>
      <c r="E101">
        <v>23.83</v>
      </c>
      <c r="F101">
        <v>24.01</v>
      </c>
    </row>
    <row r="102" spans="2:6" x14ac:dyDescent="0.25">
      <c r="B102" s="79">
        <v>43983</v>
      </c>
      <c r="C102" s="76">
        <v>23.73</v>
      </c>
      <c r="D102" s="76">
        <v>23.91</v>
      </c>
      <c r="E102" s="76">
        <v>22.96</v>
      </c>
      <c r="F102" s="76">
        <v>23.46</v>
      </c>
    </row>
    <row r="103" spans="2:6" x14ac:dyDescent="0.25">
      <c r="B103" s="79">
        <v>43984</v>
      </c>
      <c r="C103" s="76">
        <v>22.74</v>
      </c>
      <c r="D103" s="76">
        <v>22.84</v>
      </c>
      <c r="E103" s="76">
        <v>22.48</v>
      </c>
      <c r="F103" s="76">
        <v>22.7</v>
      </c>
    </row>
    <row r="104" spans="2:6" x14ac:dyDescent="0.25">
      <c r="B104" s="79">
        <v>43985</v>
      </c>
      <c r="C104" s="76">
        <v>22.39</v>
      </c>
      <c r="D104" s="76">
        <v>22.4</v>
      </c>
      <c r="E104" s="76">
        <v>21.81</v>
      </c>
      <c r="F104" s="76">
        <v>22.4</v>
      </c>
    </row>
    <row r="105" spans="2:6" x14ac:dyDescent="0.25">
      <c r="B105" s="79">
        <v>43986</v>
      </c>
      <c r="C105">
        <v>22.46</v>
      </c>
      <c r="D105">
        <v>22.46</v>
      </c>
      <c r="E105">
        <v>21.3</v>
      </c>
      <c r="F105">
        <v>21.55</v>
      </c>
    </row>
    <row r="106" spans="2:6" x14ac:dyDescent="0.25">
      <c r="B106" s="79">
        <v>43987</v>
      </c>
      <c r="C106" s="76">
        <v>21.09</v>
      </c>
      <c r="D106" s="76">
        <v>21.14</v>
      </c>
      <c r="E106" s="76">
        <v>20.010000000000002</v>
      </c>
      <c r="F106" s="76">
        <v>20.46</v>
      </c>
    </row>
    <row r="107" spans="2:6" x14ac:dyDescent="0.25">
      <c r="B107" s="79">
        <v>43990</v>
      </c>
      <c r="C107" s="76">
        <v>20.85</v>
      </c>
      <c r="D107" s="76">
        <v>21.11</v>
      </c>
      <c r="E107" s="76">
        <v>20.079999999999998</v>
      </c>
      <c r="F107" s="76">
        <v>20.46</v>
      </c>
    </row>
    <row r="108" spans="2:6" x14ac:dyDescent="0.25">
      <c r="B108" s="79">
        <v>43991</v>
      </c>
      <c r="C108" s="76">
        <v>20.47</v>
      </c>
      <c r="D108" s="76">
        <v>20.91</v>
      </c>
      <c r="E108" s="76">
        <v>20.37</v>
      </c>
      <c r="F108" s="76">
        <v>20.5</v>
      </c>
    </row>
    <row r="109" spans="2:6" x14ac:dyDescent="0.25">
      <c r="B109" s="79">
        <v>43992</v>
      </c>
      <c r="C109" s="76">
        <v>20.89</v>
      </c>
      <c r="D109" s="76">
        <v>20.99</v>
      </c>
      <c r="E109" s="76">
        <v>20.38</v>
      </c>
      <c r="F109" s="76">
        <v>20.63</v>
      </c>
    </row>
    <row r="110" spans="2:6" x14ac:dyDescent="0.25">
      <c r="B110" s="79">
        <v>43993</v>
      </c>
      <c r="C110">
        <v>20.86</v>
      </c>
      <c r="D110">
        <v>23.03</v>
      </c>
      <c r="E110">
        <v>20.49</v>
      </c>
      <c r="F110">
        <v>23.03</v>
      </c>
    </row>
    <row r="111" spans="2:6" x14ac:dyDescent="0.25">
      <c r="B111" s="79">
        <v>43994</v>
      </c>
      <c r="C111" s="76">
        <v>27.01</v>
      </c>
      <c r="D111" s="76">
        <v>27.6</v>
      </c>
      <c r="E111" s="76">
        <v>25.76</v>
      </c>
      <c r="F111" s="76">
        <v>26.06</v>
      </c>
    </row>
    <row r="112" spans="2:6" x14ac:dyDescent="0.25">
      <c r="B112" s="79">
        <v>43997</v>
      </c>
      <c r="C112" s="76">
        <v>26.31</v>
      </c>
      <c r="D112" s="76">
        <v>29.37</v>
      </c>
      <c r="E112" s="76">
        <v>25.1</v>
      </c>
      <c r="F112" s="76">
        <v>29.37</v>
      </c>
    </row>
    <row r="113" spans="2:6" x14ac:dyDescent="0.25">
      <c r="B113" s="79">
        <v>43998</v>
      </c>
      <c r="C113" s="76">
        <v>25.2</v>
      </c>
      <c r="D113" s="76">
        <v>25.2</v>
      </c>
      <c r="E113" s="76">
        <v>23.95</v>
      </c>
      <c r="F113" s="76">
        <v>24.82</v>
      </c>
    </row>
    <row r="114" spans="2:6" x14ac:dyDescent="0.25">
      <c r="B114" s="79">
        <v>43999</v>
      </c>
      <c r="C114" s="76">
        <v>24.42</v>
      </c>
      <c r="D114" s="76">
        <v>24.73</v>
      </c>
      <c r="E114" s="76">
        <v>23.72</v>
      </c>
      <c r="F114" s="76">
        <v>24.03</v>
      </c>
    </row>
    <row r="115" spans="2:6" x14ac:dyDescent="0.25">
      <c r="B115" s="79">
        <v>44000</v>
      </c>
      <c r="C115" s="76">
        <v>23.38</v>
      </c>
      <c r="D115" s="76">
        <v>24.26</v>
      </c>
      <c r="E115" s="76">
        <v>22.92</v>
      </c>
      <c r="F115" s="76">
        <v>23.16</v>
      </c>
    </row>
    <row r="116" spans="2:6" x14ac:dyDescent="0.25">
      <c r="B116" s="79">
        <v>44001</v>
      </c>
      <c r="C116">
        <v>22.73</v>
      </c>
      <c r="D116">
        <v>23.07</v>
      </c>
      <c r="E116">
        <v>22.19</v>
      </c>
      <c r="F116">
        <v>22.69</v>
      </c>
    </row>
    <row r="117" spans="2:6" x14ac:dyDescent="0.25">
      <c r="B117" s="79">
        <v>44004</v>
      </c>
      <c r="C117">
        <v>22.92</v>
      </c>
      <c r="D117">
        <v>22.92</v>
      </c>
      <c r="E117">
        <v>22.01</v>
      </c>
      <c r="F117">
        <v>22.91</v>
      </c>
    </row>
    <row r="118" spans="2:6" x14ac:dyDescent="0.25">
      <c r="B118" s="79">
        <v>44005</v>
      </c>
      <c r="C118">
        <v>21.8</v>
      </c>
      <c r="D118">
        <v>23.97</v>
      </c>
      <c r="E118">
        <v>21.64</v>
      </c>
      <c r="F118">
        <v>22.71</v>
      </c>
    </row>
    <row r="119" spans="2:6" x14ac:dyDescent="0.25">
      <c r="B119" s="79">
        <v>44006</v>
      </c>
      <c r="C119" s="76">
        <v>21.75</v>
      </c>
      <c r="D119" s="76">
        <v>22.46</v>
      </c>
      <c r="E119" s="76">
        <v>21.54</v>
      </c>
      <c r="F119" s="76">
        <v>22.32</v>
      </c>
    </row>
    <row r="120" spans="2:6" x14ac:dyDescent="0.25">
      <c r="B120" s="79">
        <v>44011</v>
      </c>
      <c r="C120" s="76">
        <v>24.04</v>
      </c>
      <c r="D120" s="76">
        <v>24.85</v>
      </c>
      <c r="E120" s="76">
        <v>23.41</v>
      </c>
      <c r="F120" s="76">
        <v>24.82</v>
      </c>
    </row>
    <row r="121" spans="2:6" x14ac:dyDescent="0.25">
      <c r="B121" s="79">
        <v>44012</v>
      </c>
      <c r="C121">
        <v>22.85</v>
      </c>
      <c r="D121">
        <v>22.85</v>
      </c>
      <c r="E121">
        <v>21.67</v>
      </c>
      <c r="F121">
        <v>22.3</v>
      </c>
    </row>
    <row r="122" spans="2:6" x14ac:dyDescent="0.25">
      <c r="B122" s="79">
        <v>44013</v>
      </c>
      <c r="C122" s="76">
        <v>21.23</v>
      </c>
      <c r="D122" s="76">
        <v>21.69</v>
      </c>
      <c r="E122" s="76">
        <v>20.260000000000002</v>
      </c>
      <c r="F122" s="76">
        <v>21.69</v>
      </c>
    </row>
    <row r="123" spans="2:6" x14ac:dyDescent="0.25">
      <c r="B123" s="79">
        <v>44014</v>
      </c>
      <c r="C123" s="76">
        <v>20.46</v>
      </c>
      <c r="D123" s="76">
        <v>20.67</v>
      </c>
      <c r="E123" s="76">
        <v>19.95</v>
      </c>
      <c r="F123" s="76">
        <v>20.3</v>
      </c>
    </row>
    <row r="124" spans="2:6" x14ac:dyDescent="0.25">
      <c r="B124" s="79">
        <v>44015</v>
      </c>
      <c r="C124" s="76">
        <v>20.09</v>
      </c>
      <c r="D124" s="76">
        <v>20.76</v>
      </c>
      <c r="E124" s="76">
        <v>20.02</v>
      </c>
      <c r="F124" s="76">
        <v>20.420000000000002</v>
      </c>
    </row>
    <row r="125" spans="2:6" x14ac:dyDescent="0.25">
      <c r="B125" s="79">
        <v>44018</v>
      </c>
      <c r="C125" s="76">
        <v>20.75</v>
      </c>
      <c r="D125" s="76">
        <v>22.11</v>
      </c>
      <c r="E125" s="76">
        <v>20.36</v>
      </c>
      <c r="F125" s="76">
        <v>22.11</v>
      </c>
    </row>
    <row r="126" spans="2:6" x14ac:dyDescent="0.25">
      <c r="B126" s="79">
        <v>44019</v>
      </c>
      <c r="C126" s="76">
        <v>21.79</v>
      </c>
      <c r="D126" s="76">
        <v>22.22</v>
      </c>
      <c r="E126" s="76">
        <v>21.6</v>
      </c>
      <c r="F126" s="76">
        <v>21.8</v>
      </c>
    </row>
    <row r="127" spans="2:6" x14ac:dyDescent="0.25">
      <c r="B127" s="79">
        <v>44020</v>
      </c>
      <c r="C127">
        <v>21.64</v>
      </c>
      <c r="D127">
        <v>21.73</v>
      </c>
      <c r="E127">
        <v>21.23</v>
      </c>
      <c r="F127">
        <v>21.66</v>
      </c>
    </row>
    <row r="128" spans="2:6" x14ac:dyDescent="0.25">
      <c r="B128" s="79">
        <v>44021</v>
      </c>
      <c r="C128" s="76">
        <v>21.11</v>
      </c>
      <c r="D128" s="76">
        <v>21.82</v>
      </c>
      <c r="E128" s="76">
        <v>21</v>
      </c>
      <c r="F128" s="76">
        <v>21.41</v>
      </c>
    </row>
    <row r="129" spans="2:6" x14ac:dyDescent="0.25">
      <c r="B129" s="79">
        <v>44022</v>
      </c>
      <c r="C129" s="76">
        <v>21.58</v>
      </c>
      <c r="D129" s="76">
        <v>23.25</v>
      </c>
      <c r="E129" s="76">
        <v>21.56</v>
      </c>
      <c r="F129" s="76">
        <v>23.25</v>
      </c>
    </row>
    <row r="130" spans="2:6" x14ac:dyDescent="0.25">
      <c r="B130" s="79">
        <v>44025</v>
      </c>
      <c r="C130" s="76">
        <v>21.2</v>
      </c>
      <c r="D130" s="76">
        <v>21.36</v>
      </c>
      <c r="E130" s="76">
        <v>20.53</v>
      </c>
      <c r="F130" s="76">
        <v>20.6</v>
      </c>
    </row>
    <row r="131" spans="2:6" x14ac:dyDescent="0.25">
      <c r="B131" s="79">
        <v>44026</v>
      </c>
      <c r="C131" s="76">
        <v>20.98</v>
      </c>
      <c r="D131" s="76">
        <v>22.68</v>
      </c>
      <c r="E131" s="76">
        <v>20.78</v>
      </c>
      <c r="F131" s="76">
        <v>21.19</v>
      </c>
    </row>
    <row r="132" spans="2:6" x14ac:dyDescent="0.25">
      <c r="B132" s="79">
        <v>44027</v>
      </c>
      <c r="C132" s="76">
        <v>21.3</v>
      </c>
      <c r="D132" s="76">
        <v>22.28</v>
      </c>
      <c r="E132" s="76">
        <v>20.89</v>
      </c>
      <c r="F132" s="76">
        <v>21.88</v>
      </c>
    </row>
    <row r="133" spans="2:6" x14ac:dyDescent="0.25">
      <c r="B133" s="79"/>
      <c r="C133"/>
      <c r="D133"/>
      <c r="E133"/>
      <c r="F133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pageSetUpPr fitToPage="1"/>
  </sheetPr>
  <dimension ref="A1:Z23"/>
  <sheetViews>
    <sheetView zoomScaleNormal="100" workbookViewId="0">
      <selection activeCell="A2" sqref="A2"/>
    </sheetView>
  </sheetViews>
  <sheetFormatPr defaultRowHeight="16.5" x14ac:dyDescent="0.25"/>
  <cols>
    <col min="1" max="1" width="11.5" customWidth="1"/>
    <col min="2" max="2" width="14.625" customWidth="1"/>
    <col min="6" max="6" width="14.5" customWidth="1"/>
    <col min="7" max="7" width="9.5" bestFit="1" customWidth="1"/>
    <col min="10" max="10" width="10.5" bestFit="1" customWidth="1"/>
    <col min="11" max="11" width="12.875" bestFit="1" customWidth="1"/>
    <col min="12" max="12" width="13.375" customWidth="1"/>
    <col min="13" max="13" width="11" customWidth="1"/>
    <col min="14" max="15" width="0" hidden="1" customWidth="1"/>
    <col min="16" max="16" width="11.625" hidden="1" customWidth="1"/>
    <col min="17" max="17" width="0" hidden="1" customWidth="1"/>
    <col min="18" max="18" width="13.5" customWidth="1"/>
    <col min="19" max="19" width="12.875" customWidth="1"/>
    <col min="20" max="20" width="14.75" customWidth="1"/>
    <col min="21" max="21" width="13.5" customWidth="1"/>
    <col min="22" max="22" width="13.625" customWidth="1"/>
  </cols>
  <sheetData>
    <row r="1" spans="1:26" ht="17.25" thickBot="1" x14ac:dyDescent="0.3">
      <c r="A1" s="137" t="s">
        <v>266</v>
      </c>
      <c r="B1" s="137" t="s">
        <v>267</v>
      </c>
      <c r="C1" s="137" t="s">
        <v>258</v>
      </c>
      <c r="D1" s="137" t="s">
        <v>59</v>
      </c>
      <c r="E1" s="137" t="s">
        <v>1072</v>
      </c>
      <c r="F1" s="137" t="s">
        <v>273</v>
      </c>
      <c r="G1" s="137" t="s">
        <v>261</v>
      </c>
      <c r="H1" s="137" t="s">
        <v>262</v>
      </c>
      <c r="I1" s="137" t="s">
        <v>264</v>
      </c>
      <c r="J1" s="137" t="s">
        <v>1841</v>
      </c>
      <c r="K1" s="137" t="s">
        <v>269</v>
      </c>
      <c r="L1" s="137" t="s">
        <v>270</v>
      </c>
      <c r="M1" s="138" t="s">
        <v>275</v>
      </c>
      <c r="N1" s="137" t="s">
        <v>1842</v>
      </c>
      <c r="O1" s="137" t="s">
        <v>263</v>
      </c>
      <c r="P1" s="137" t="s">
        <v>265</v>
      </c>
      <c r="Q1" s="139" t="s">
        <v>268</v>
      </c>
      <c r="R1" s="150" t="s">
        <v>1843</v>
      </c>
      <c r="S1" s="47" t="s">
        <v>1844</v>
      </c>
      <c r="T1" s="151" t="s">
        <v>1845</v>
      </c>
      <c r="V1" s="183" t="s">
        <v>1999</v>
      </c>
      <c r="Z1">
        <v>10447</v>
      </c>
    </row>
    <row r="2" spans="1:26" ht="17.25" thickBot="1" x14ac:dyDescent="0.3">
      <c r="A2" s="68" t="s">
        <v>2564</v>
      </c>
      <c r="B2" s="68"/>
      <c r="C2" s="68">
        <f>[1]!'125070`205'</f>
        <v>12220</v>
      </c>
      <c r="D2" s="68"/>
      <c r="E2" s="68"/>
      <c r="F2" s="68"/>
      <c r="G2" s="68"/>
      <c r="H2" s="68"/>
      <c r="I2" s="68"/>
      <c r="J2" s="68">
        <v>25</v>
      </c>
      <c r="K2" s="69">
        <f>J2*C2*200</f>
        <v>61100000</v>
      </c>
      <c r="L2" s="68"/>
      <c r="M2" s="133"/>
      <c r="N2" s="68"/>
      <c r="O2" s="68"/>
      <c r="P2" s="68"/>
      <c r="Q2" s="140"/>
      <c r="R2" s="142"/>
      <c r="S2" s="73"/>
      <c r="T2" s="143"/>
      <c r="V2" s="184">
        <f ca="1">TODAY()</f>
        <v>44027</v>
      </c>
    </row>
    <row r="3" spans="1:26" x14ac:dyDescent="0.25">
      <c r="A3" s="68" t="s">
        <v>2579</v>
      </c>
      <c r="B3" s="68"/>
      <c r="C3" s="68">
        <f>[1]!'125080`205'</f>
        <v>12081</v>
      </c>
      <c r="D3" s="68"/>
      <c r="E3" s="68"/>
      <c r="F3" s="68"/>
      <c r="G3" s="68"/>
      <c r="H3" s="68"/>
      <c r="I3" s="68"/>
      <c r="J3" s="68">
        <v>12</v>
      </c>
      <c r="K3" s="69">
        <f>J3*C3*200</f>
        <v>28994400</v>
      </c>
      <c r="L3" s="68"/>
      <c r="M3" s="133"/>
      <c r="N3" s="68"/>
      <c r="O3" s="68"/>
      <c r="P3" s="68"/>
      <c r="Q3" s="140"/>
      <c r="R3" s="142"/>
      <c r="S3" s="73"/>
      <c r="T3" s="143"/>
    </row>
    <row r="4" spans="1:26" ht="17.25" thickBot="1" x14ac:dyDescent="0.3">
      <c r="A4" s="129" t="s">
        <v>1840</v>
      </c>
      <c r="B4" s="129"/>
      <c r="C4" s="129">
        <f>[2]!'0050`268'</f>
        <v>97.1</v>
      </c>
      <c r="D4" s="129"/>
      <c r="E4" s="129"/>
      <c r="F4" s="129"/>
      <c r="G4" s="129"/>
      <c r="H4" s="129"/>
      <c r="I4" s="129"/>
      <c r="J4" s="129">
        <v>0</v>
      </c>
      <c r="K4" s="130">
        <f>J4*C4*10000</f>
        <v>0</v>
      </c>
      <c r="L4" s="129"/>
      <c r="M4" s="133"/>
      <c r="N4" s="129"/>
      <c r="O4" s="129"/>
      <c r="P4" s="129"/>
      <c r="Q4" s="141"/>
      <c r="R4" s="142"/>
      <c r="S4" s="73"/>
      <c r="T4" s="143"/>
    </row>
    <row r="5" spans="1:26" x14ac:dyDescent="0.25">
      <c r="A5" s="68" t="s">
        <v>254</v>
      </c>
      <c r="B5" s="68" t="s">
        <v>256</v>
      </c>
      <c r="C5" s="68">
        <f>[2]!'0050`268'</f>
        <v>97.1</v>
      </c>
      <c r="D5" s="68">
        <v>92</v>
      </c>
      <c r="E5" s="68">
        <v>0.25</v>
      </c>
      <c r="F5" s="71">
        <v>44153</v>
      </c>
      <c r="G5" s="72">
        <f ca="1">MATCH(F5,工作日!$B$1:$B$2451,0)-MATCH(TODAY(),工作日!$B$2:$B$2451,0)</f>
        <v>88</v>
      </c>
      <c r="H5" s="131">
        <v>8.0000000000000002E-3</v>
      </c>
      <c r="I5" s="132">
        <f ca="1">GBSImpliedVol("P",N5/E5,C5,D5,G5/252,H5,0)</f>
        <v>0.1982712432861328</v>
      </c>
      <c r="J5" s="68">
        <v>402</v>
      </c>
      <c r="K5" s="69">
        <f ca="1">J5*P5*1000*C5</f>
        <v>-2865185.4282288989</v>
      </c>
      <c r="L5" s="135">
        <f ca="1">-J5*Q5*C5*1%*1000*C5</f>
        <v>-286741.3790338441</v>
      </c>
      <c r="M5" s="136">
        <f ca="1">-(GBSOption("P",C5,D5,G5/252,I5,H5,0)*E5-GBSOption("P",C5,D5,(G5-1)/252,I5,H5,0)*E5)*J5*1000</f>
        <v>-2142.5459502996346</v>
      </c>
      <c r="N5" s="68">
        <f>[2]!'06757P`267'</f>
        <v>0.56000000000000005</v>
      </c>
      <c r="O5" s="68" t="str">
        <f>[2]!'06757P`268'</f>
        <v>-</v>
      </c>
      <c r="P5" s="68">
        <f ca="1">GBSGreeks("d", "P",C5,D5,G5/252,I5,H5,0)*E5</f>
        <v>-7.3401925189421041E-2</v>
      </c>
      <c r="Q5" s="140">
        <f ca="1">GBSGreeks("g", "P",C5,D5,G5/252,I5,H5,0)*E5</f>
        <v>7.5652948113414708E-3</v>
      </c>
      <c r="R5" s="147">
        <f>ROUND((1+(D5-C5)/D5)*$Z$1,-2)</f>
        <v>9900</v>
      </c>
      <c r="S5" s="148">
        <f ca="1">(VLOOKUP(R5,選擇權近月!$J$11:$O$74,5,FALSE)+VLOOKUP(R5,選擇權近月!$J$11:$O$74,6,FALSE))/2</f>
        <v>0.35457446289062505</v>
      </c>
      <c r="T5" s="149">
        <f ca="1">$K5/(GBSGreeks("d", "P",選擇權近月!$I$2,'0050'!$R5,選擇權近月!$N$2,'0050'!$S5, 0,0)*50*選擇權近月!$I$2*1)</f>
        <v>139.29095094304651</v>
      </c>
    </row>
    <row r="6" spans="1:26" x14ac:dyDescent="0.25">
      <c r="A6" s="68" t="s">
        <v>255</v>
      </c>
      <c r="B6" s="68" t="s">
        <v>257</v>
      </c>
      <c r="C6" s="68">
        <f>[2]!'0050`268'</f>
        <v>97.1</v>
      </c>
      <c r="D6" s="68">
        <v>80.91</v>
      </c>
      <c r="E6" s="68">
        <v>0.53800000000000003</v>
      </c>
      <c r="F6" s="71">
        <v>44253</v>
      </c>
      <c r="G6" s="72">
        <f ca="1">MATCH(F6,工作日!$B$1:$B$2451,0)-MATCH(TODAY(),工作日!$B$2:$B$2451,0)</f>
        <v>152</v>
      </c>
      <c r="H6" s="131">
        <v>8.0000000000000002E-3</v>
      </c>
      <c r="I6" s="131">
        <f ca="1">GBSImpliedVol("P",N6/E6,C6,D6,G6/252,H6,0)</f>
        <v>0.17349220886230468</v>
      </c>
      <c r="J6" s="68">
        <v>1333</v>
      </c>
      <c r="K6" s="69">
        <f ca="1">J6*P6*1000*C6</f>
        <v>-5052997.0110788019</v>
      </c>
      <c r="L6" s="69">
        <f t="shared" ref="L6:L8" ca="1" si="0">-J6*Q6*C6*1%*1000*C6</f>
        <v>-713383.58013866283</v>
      </c>
      <c r="M6" s="134">
        <f ca="1">-(GBSOption("P",C6,D6,G6/252,I6,H6,0)*E6-GBSOption("P",C6,D6,(G6-1)/252,I6,H6,0)*E6)*J6*1000</f>
        <v>-4088.6764352750379</v>
      </c>
      <c r="N6" s="68">
        <f>[2]!'06942P`267'</f>
        <v>0.24</v>
      </c>
      <c r="O6" s="68" t="str">
        <f>[2]!'06942P`268'</f>
        <v>-</v>
      </c>
      <c r="P6" s="68">
        <f ca="1">GBSGreeks("d", "P",C6,D6,G6/252,I6,H6,0)*E6</f>
        <v>-3.9039087869898494E-2</v>
      </c>
      <c r="Q6" s="140">
        <f ca="1">GBSGreeks("g", "P",C6,D6,G6/252,I6,H6,0)*E6</f>
        <v>5.6761583127323753E-3</v>
      </c>
      <c r="R6" s="144">
        <f>ROUND((1+(D6-C6)/D6)*$Z$1,-2)</f>
        <v>8400</v>
      </c>
      <c r="S6" s="146" t="e">
        <f>(VLOOKUP(R6,選擇權近月!$J$11:$O$74,5,FALSE)+VLOOKUP(R6,選擇權近月!$J$11:$O$74,6,FALSE))/2</f>
        <v>#N/A</v>
      </c>
      <c r="T6" s="145" t="e">
        <f ca="1">$K6/(GBSGreeks("d", "P",選擇權近月!$I$2,'0050'!$R6,選擇權近月!$N$2,'0050'!$S6, 0,0)*50*選擇權近月!$I$2*1)</f>
        <v>#VALUE!</v>
      </c>
    </row>
    <row r="7" spans="1:26" x14ac:dyDescent="0.25">
      <c r="A7" s="68" t="s">
        <v>259</v>
      </c>
      <c r="B7" s="68" t="s">
        <v>260</v>
      </c>
      <c r="C7" s="68">
        <f>[2]!'0050`268'</f>
        <v>97.1</v>
      </c>
      <c r="D7" s="68">
        <v>85</v>
      </c>
      <c r="E7" s="68">
        <v>0.5</v>
      </c>
      <c r="F7" s="71">
        <v>44159</v>
      </c>
      <c r="G7" s="72">
        <f ca="1">MATCH(F7,工作日!$B$1:$B$2451,0)-MATCH(TODAY(),工作日!$B$2:$B$2451,0)</f>
        <v>92</v>
      </c>
      <c r="H7" s="131">
        <v>8.0000000000000002E-3</v>
      </c>
      <c r="I7" s="131">
        <f ca="1">GBSImpliedVol("P",N7/E7,C7,D7,G7/252,H7,0)</f>
        <v>0.23635527648925783</v>
      </c>
      <c r="J7" s="68">
        <v>3375</v>
      </c>
      <c r="K7" s="69">
        <f ca="1">J7*P7*1000*C7</f>
        <v>-25063280.049920738</v>
      </c>
      <c r="L7" s="69">
        <f t="shared" ca="1" si="0"/>
        <v>-2710256.4852764062</v>
      </c>
      <c r="M7" s="134">
        <f ca="1">-(GBSOption("P",C7,D7,G7/252,I7,H7,0)*E7-GBSOption("P",C7,D7,(G7-1)/252,I7,H7,0)*E7)*J7*1000</f>
        <v>-29209.978927512009</v>
      </c>
      <c r="N7" s="68">
        <f>[2]!'06876P`267'</f>
        <v>0.59</v>
      </c>
      <c r="O7" s="68" t="str">
        <f>[2]!'06876P`268'</f>
        <v>-</v>
      </c>
      <c r="P7" s="68">
        <f ca="1">GBSGreeks("d", "P",C7,D7,G7/252,I7,H7,0)*E7</f>
        <v>-7.647947530204291E-2</v>
      </c>
      <c r="Q7" s="140">
        <f ca="1">GBSGreeks("g", "P",C7,D7,G7/252,I7,H7,0)*E7</f>
        <v>8.5172256891715217E-3</v>
      </c>
      <c r="R7" s="144">
        <f t="shared" ref="R7" si="1">ROUND((1+(D7-C7)/D7)*$Z$1,-2)</f>
        <v>9000</v>
      </c>
      <c r="S7" s="146" t="e">
        <f>(VLOOKUP(R7,選擇權近月!$J$11:$O$74,5,FALSE)+VLOOKUP(R7,選擇權近月!$J$11:$O$74,6,FALSE))/2</f>
        <v>#N/A</v>
      </c>
      <c r="T7" s="145" t="e">
        <f ca="1">$K7/(GBSGreeks("d", "P",選擇權近月!$I$2,'0050'!$R7,選擇權近月!$N$2,'0050'!$S7, 0,0)*50*選擇權近月!$I$2*1)</f>
        <v>#VALUE!</v>
      </c>
    </row>
    <row r="8" spans="1:26" x14ac:dyDescent="0.25">
      <c r="A8" s="68" t="s">
        <v>271</v>
      </c>
      <c r="B8" s="68" t="s">
        <v>272</v>
      </c>
      <c r="C8" s="68">
        <f>[2]!'0050`268'</f>
        <v>97.1</v>
      </c>
      <c r="D8" s="68">
        <v>92</v>
      </c>
      <c r="E8" s="68">
        <v>0.2</v>
      </c>
      <c r="F8" s="71">
        <v>44123</v>
      </c>
      <c r="G8" s="72">
        <f ca="1">MATCH(F8,工作日!$B$1:$B$2451,0)-MATCH(TODAY(),工作日!$B$2:$B$2451,0)</f>
        <v>66</v>
      </c>
      <c r="H8" s="131">
        <v>8.0000000000000002E-3</v>
      </c>
      <c r="I8" s="131">
        <f ca="1">GBSImpliedVol("P",N8/E8,C8,D8,G8/252,H8,0)</f>
        <v>0.19863743591308591</v>
      </c>
      <c r="J8" s="68">
        <v>378</v>
      </c>
      <c r="K8" s="69">
        <f ca="1">J8*P8*1000*C8</f>
        <v>-2007979.1556002996</v>
      </c>
      <c r="L8" s="69">
        <f t="shared" ca="1" si="0"/>
        <v>-240312.66105342927</v>
      </c>
      <c r="M8" s="134">
        <f ca="1">-(GBSOption("P",C8,D8,G8/252,I8,H8,0)*E8-GBSOption("P",C8,D8,(G8-1)/252,I8,H8,0)*E8)*J8*1000</f>
        <v>-1817.8622236010499</v>
      </c>
      <c r="N8" s="68">
        <f>[2]!'06773P`267'</f>
        <v>0.35</v>
      </c>
      <c r="O8" s="68" t="str">
        <f>[2]!'06876P`268'</f>
        <v>-</v>
      </c>
      <c r="P8" s="68">
        <f ca="1">GBSGreeks("d", "P",C8,D8,G8/252,I8,H8,0)*E8</f>
        <v>-5.4707663936712274E-2</v>
      </c>
      <c r="Q8" s="140">
        <f ca="1">GBSGreeks("g", "P",C8,D8,G8/252,I8,H8,0)*E8</f>
        <v>6.7428949373714939E-3</v>
      </c>
      <c r="R8" s="144">
        <f>ROUND((1+(D8-C8)/D8)*$Z$1,-2)</f>
        <v>9900</v>
      </c>
      <c r="S8" s="146">
        <f ca="1">(VLOOKUP(R8,選擇權近月!$J$11:$O$74,5,FALSE)+VLOOKUP(R8,選擇權近月!$J$11:$O$74,6,FALSE))/2</f>
        <v>0.35457446289062505</v>
      </c>
      <c r="T8" s="145">
        <f ca="1">$K8/(GBSGreeks("d", "P",選擇權近月!$I$2,'0050'!$R8,選擇權近月!$N$2,'0050'!$S8, 0,0)*50*選擇權近月!$I$2*1)</f>
        <v>97.617879562605623</v>
      </c>
    </row>
    <row r="9" spans="1:26" ht="17.25" thickBot="1" x14ac:dyDescent="0.3">
      <c r="A9" s="68" t="s">
        <v>2563</v>
      </c>
      <c r="B9" s="174" t="s">
        <v>2013</v>
      </c>
      <c r="C9" s="174"/>
      <c r="D9" s="174"/>
      <c r="E9" s="174"/>
      <c r="F9" s="174"/>
      <c r="G9" s="174"/>
      <c r="H9" s="174"/>
      <c r="I9" s="174"/>
      <c r="J9" s="129">
        <v>-100</v>
      </c>
      <c r="K9" s="178" t="e">
        <f ca="1">選擇權週選!B19/選擇權週選!C19*J9</f>
        <v>#DIV/0!</v>
      </c>
      <c r="L9" s="69" t="e">
        <f ca="1">選擇權週選!D19/選擇權週選!C19*J9</f>
        <v>#DIV/0!</v>
      </c>
      <c r="M9" s="134" t="e">
        <f ca="1">選擇權週選!A19/選擇權週選!C19*J9</f>
        <v>#DIV/0!</v>
      </c>
      <c r="N9" s="177"/>
      <c r="O9" s="177"/>
      <c r="P9" s="177"/>
      <c r="Q9" s="177"/>
      <c r="R9" s="144"/>
      <c r="S9" s="146"/>
      <c r="T9" s="145"/>
    </row>
    <row r="10" spans="1:26" ht="17.25" thickBot="1" x14ac:dyDescent="0.3">
      <c r="A10" s="68" t="s">
        <v>2857</v>
      </c>
      <c r="B10" s="174" t="s">
        <v>2858</v>
      </c>
      <c r="C10" s="174"/>
      <c r="D10" s="174"/>
      <c r="E10" s="174"/>
      <c r="F10" s="174"/>
      <c r="G10" s="174"/>
      <c r="H10" s="174"/>
      <c r="I10" s="174"/>
      <c r="J10" s="129">
        <v>-200</v>
      </c>
      <c r="K10" s="178">
        <f ca="1">選擇權近月!R29/選擇權近月!Q29*J10</f>
        <v>12040018.071538283</v>
      </c>
      <c r="L10" s="69">
        <f ca="1">選擇權近月!P29/選擇權近月!Q29*J10</f>
        <v>2499819.6036352743</v>
      </c>
      <c r="M10" s="134">
        <f ca="1">選擇權近月!S29/選擇權近月!Q29*J10</f>
        <v>34304.190261078562</v>
      </c>
      <c r="N10" s="177"/>
      <c r="O10" s="177"/>
      <c r="P10" s="177"/>
      <c r="Q10" s="177"/>
      <c r="R10" s="144"/>
      <c r="S10" s="146"/>
      <c r="T10" s="145"/>
    </row>
    <row r="11" spans="1:26" ht="17.25" thickBot="1" x14ac:dyDescent="0.3">
      <c r="N11" s="168"/>
      <c r="O11" s="168"/>
      <c r="P11" s="168"/>
      <c r="Q11" s="168"/>
      <c r="R11" s="169"/>
      <c r="S11" s="166"/>
      <c r="T11" s="170"/>
    </row>
    <row r="12" spans="1:26" ht="17.25" thickBot="1" x14ac:dyDescent="0.3">
      <c r="A12" s="163"/>
      <c r="B12" s="164"/>
      <c r="C12" s="164"/>
      <c r="D12" s="164"/>
      <c r="E12" s="164"/>
      <c r="F12" s="164"/>
      <c r="G12" s="164"/>
      <c r="H12" s="164"/>
      <c r="I12" s="164"/>
      <c r="J12" s="164"/>
      <c r="K12" s="165" t="e">
        <f ca="1">SUM(K2:K10)</f>
        <v>#DIV/0!</v>
      </c>
      <c r="L12" s="165" t="e">
        <f ca="1">SUM(L5:L10)</f>
        <v>#DIV/0!</v>
      </c>
      <c r="M12" s="243" t="e">
        <f ca="1">SUM(M2:M10)</f>
        <v>#DIV/0!</v>
      </c>
      <c r="N12" s="167"/>
      <c r="O12" s="167"/>
      <c r="P12" s="166"/>
      <c r="Q12" s="166"/>
      <c r="R12" s="171"/>
      <c r="S12" s="172"/>
      <c r="T12" s="173"/>
    </row>
    <row r="13" spans="1:26" x14ac:dyDescent="0.25">
      <c r="A13" s="68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N13" s="68"/>
      <c r="O13" s="68"/>
    </row>
    <row r="14" spans="1:26" x14ac:dyDescent="0.25">
      <c r="A14" s="68"/>
      <c r="B14" s="68"/>
      <c r="C14" s="68"/>
      <c r="D14" s="68"/>
      <c r="E14" s="68"/>
      <c r="F14" s="68"/>
      <c r="G14" s="68"/>
      <c r="H14" s="68"/>
      <c r="I14" s="68"/>
      <c r="J14" s="110"/>
      <c r="N14" s="68"/>
      <c r="O14" s="68"/>
    </row>
    <row r="15" spans="1:26" x14ac:dyDescent="0.25">
      <c r="A15" s="68"/>
      <c r="B15" s="68"/>
      <c r="C15" s="68"/>
      <c r="D15" s="68"/>
      <c r="E15" s="68"/>
      <c r="F15" s="68"/>
      <c r="G15" s="68"/>
      <c r="H15" s="68"/>
      <c r="I15" s="68"/>
      <c r="J15" s="110"/>
      <c r="N15" s="68"/>
      <c r="O15" s="68"/>
    </row>
    <row r="16" spans="1:26" x14ac:dyDescent="0.25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N16" s="68"/>
      <c r="O16" s="68"/>
    </row>
    <row r="17" spans="1:15" x14ac:dyDescent="0.25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N17" s="68"/>
      <c r="O17" s="68"/>
    </row>
    <row r="18" spans="1:15" x14ac:dyDescent="0.25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N18" s="68"/>
      <c r="O18" s="68"/>
    </row>
    <row r="19" spans="1:15" x14ac:dyDescent="0.25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N19" s="68"/>
      <c r="O19" s="68"/>
    </row>
    <row r="20" spans="1:15" x14ac:dyDescent="0.25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N20" s="68"/>
      <c r="O20" s="68"/>
    </row>
    <row r="21" spans="1:15" x14ac:dyDescent="0.25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N21" s="68"/>
      <c r="O21" s="68"/>
    </row>
    <row r="22" spans="1:15" x14ac:dyDescent="0.25">
      <c r="A22" s="68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N22" s="68"/>
      <c r="O22" s="68"/>
    </row>
    <row r="23" spans="1:15" x14ac:dyDescent="0.25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N23" s="70"/>
      <c r="O23" s="70"/>
    </row>
  </sheetData>
  <phoneticPr fontId="4" type="noConversion"/>
  <pageMargins left="0" right="0" top="0" bottom="0" header="0" footer="0"/>
  <pageSetup paperSize="9" scale="68" orientation="landscape" r:id="rId1"/>
  <colBreaks count="1" manualBreakCount="1">
    <brk id="20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H126"/>
  <sheetViews>
    <sheetView workbookViewId="0">
      <selection activeCell="A2" sqref="A2"/>
    </sheetView>
  </sheetViews>
  <sheetFormatPr defaultRowHeight="16.5" x14ac:dyDescent="0.25"/>
  <cols>
    <col min="1" max="1" width="9" style="76"/>
    <col min="2" max="2" width="10.5" style="76" bestFit="1" customWidth="1"/>
    <col min="3" max="7" width="9" style="76"/>
    <col min="8" max="8" width="11.25" style="76" customWidth="1"/>
    <col min="9" max="16384" width="9" style="76"/>
  </cols>
  <sheetData>
    <row r="1" spans="1:8" x14ac:dyDescent="0.25">
      <c r="A1" s="78" t="s">
        <v>1890</v>
      </c>
      <c r="B1" s="78" t="s">
        <v>1891</v>
      </c>
      <c r="C1" s="78" t="s">
        <v>1887</v>
      </c>
      <c r="D1" s="78" t="s">
        <v>1888</v>
      </c>
      <c r="E1" s="78" t="s">
        <v>1889</v>
      </c>
    </row>
    <row r="2" spans="1:8" x14ac:dyDescent="0.25">
      <c r="A2" s="78" t="s">
        <v>1846</v>
      </c>
      <c r="B2" s="78" t="s">
        <v>1848</v>
      </c>
      <c r="C2" s="78"/>
      <c r="D2" s="78"/>
      <c r="E2" s="78"/>
    </row>
    <row r="3" spans="1:8" x14ac:dyDescent="0.25">
      <c r="A3" s="78" t="s">
        <v>1847</v>
      </c>
      <c r="B3" s="78" t="s">
        <v>1849</v>
      </c>
      <c r="C3" s="78" t="s">
        <v>3055</v>
      </c>
      <c r="D3" s="78" t="s">
        <v>3057</v>
      </c>
      <c r="E3" s="78" t="s">
        <v>3053</v>
      </c>
    </row>
    <row r="5" spans="1:8" x14ac:dyDescent="0.25">
      <c r="A5" s="76" t="s">
        <v>3054</v>
      </c>
      <c r="B5" s="76" t="s">
        <v>1568</v>
      </c>
      <c r="C5" s="76" t="s">
        <v>3056</v>
      </c>
      <c r="D5" s="76" t="s">
        <v>3051</v>
      </c>
      <c r="E5" s="76" t="s">
        <v>3052</v>
      </c>
      <c r="G5" s="76" t="s">
        <v>1892</v>
      </c>
      <c r="H5" s="76" t="s">
        <v>1893</v>
      </c>
    </row>
    <row r="6" spans="1:8" x14ac:dyDescent="0.25">
      <c r="B6" s="79">
        <v>44027</v>
      </c>
      <c r="C6" s="76">
        <v>12320.48</v>
      </c>
      <c r="D6" s="76">
        <v>12162.52</v>
      </c>
      <c r="E6" s="76">
        <v>12202.85</v>
      </c>
      <c r="G6" s="162">
        <f>LN(E6/E7)</f>
        <v>-5.0467273945890563E-4</v>
      </c>
      <c r="H6" s="162">
        <f>IF(ABS(C6-E7)&gt;ABS(D6-E7),LN(C6/E7),LN(D6/E7))</f>
        <v>9.0887146310893747E-3</v>
      </c>
    </row>
    <row r="7" spans="1:8" x14ac:dyDescent="0.25">
      <c r="B7" s="79">
        <v>44026</v>
      </c>
      <c r="C7" s="76">
        <v>12228.31</v>
      </c>
      <c r="D7" s="76">
        <v>12143.91</v>
      </c>
      <c r="E7" s="76">
        <v>12209.01</v>
      </c>
      <c r="G7" s="162">
        <f>LN(E7/E8)</f>
        <v>-2.0884033495261931E-4</v>
      </c>
      <c r="H7" s="162">
        <f>IF(ABS(C7-E8)&gt;ABS(D7-E8),LN(C7/E8),LN(D7/E8))</f>
        <v>-5.5552345306180504E-3</v>
      </c>
    </row>
    <row r="8" spans="1:8" x14ac:dyDescent="0.25">
      <c r="B8" s="79">
        <v>44025</v>
      </c>
      <c r="C8" s="76">
        <v>12216.24</v>
      </c>
      <c r="D8" s="76">
        <v>12109.61</v>
      </c>
      <c r="E8" s="76">
        <v>12211.56</v>
      </c>
      <c r="G8" s="162">
        <f>LN(E8/E9)</f>
        <v>1.1355167296299783E-2</v>
      </c>
      <c r="H8" s="162">
        <f>IF(ABS(C8-E9)&gt;ABS(D8-E9),LN(C8/E9),LN(D8/E9))</f>
        <v>1.1738337295829987E-2</v>
      </c>
    </row>
    <row r="9" spans="1:8" x14ac:dyDescent="0.25">
      <c r="B9" s="79">
        <v>44022</v>
      </c>
      <c r="C9" s="76">
        <v>12253.58</v>
      </c>
      <c r="D9" s="76">
        <v>12030.2</v>
      </c>
      <c r="E9" s="76">
        <v>12073.68</v>
      </c>
      <c r="G9" s="162">
        <f t="shared" ref="G9:G70" si="0">LN(E9/E10)</f>
        <v>-9.8087150381353412E-3</v>
      </c>
      <c r="H9" s="162">
        <f t="shared" ref="H9:H70" si="1">IF(ABS(C9-E10)&gt;ABS(D9-E10),LN(C9/E10),LN(D9/E10))</f>
        <v>-1.3416436878772866E-2</v>
      </c>
    </row>
    <row r="10" spans="1:8" x14ac:dyDescent="0.25">
      <c r="B10" s="79">
        <v>44021</v>
      </c>
      <c r="C10" s="76">
        <v>12273.43</v>
      </c>
      <c r="D10" s="76">
        <v>12181.34</v>
      </c>
      <c r="E10" s="76">
        <v>12192.69</v>
      </c>
      <c r="G10" s="162">
        <f t="shared" si="0"/>
        <v>1.8470727924527564E-3</v>
      </c>
      <c r="H10" s="162">
        <f t="shared" si="1"/>
        <v>8.4472442214502223E-3</v>
      </c>
    </row>
    <row r="11" spans="1:8" x14ac:dyDescent="0.25">
      <c r="B11" s="79">
        <v>44020</v>
      </c>
      <c r="C11" s="76">
        <v>12190.27</v>
      </c>
      <c r="D11" s="76">
        <v>12083.84</v>
      </c>
      <c r="E11" s="76">
        <v>12170.19</v>
      </c>
      <c r="G11" s="162">
        <f t="shared" si="0"/>
        <v>6.3652270125593418E-3</v>
      </c>
      <c r="H11" s="162">
        <f t="shared" si="1"/>
        <v>8.0138005245354756E-3</v>
      </c>
    </row>
    <row r="12" spans="1:8" x14ac:dyDescent="0.25">
      <c r="B12" s="79">
        <v>44019</v>
      </c>
      <c r="C12" s="76">
        <v>12249.95</v>
      </c>
      <c r="D12" s="76">
        <v>12028.57</v>
      </c>
      <c r="E12" s="76">
        <v>12092.97</v>
      </c>
      <c r="G12" s="162">
        <f t="shared" si="0"/>
        <v>-1.9603743132117512E-3</v>
      </c>
      <c r="H12" s="162">
        <f t="shared" si="1"/>
        <v>1.093718901048157E-2</v>
      </c>
    </row>
    <row r="13" spans="1:8" x14ac:dyDescent="0.25">
      <c r="B13" s="79">
        <v>44018</v>
      </c>
      <c r="C13" s="76">
        <v>12116.7</v>
      </c>
      <c r="D13" s="76">
        <v>11941.84</v>
      </c>
      <c r="E13" s="76">
        <v>12116.7</v>
      </c>
      <c r="G13" s="162">
        <f t="shared" si="0"/>
        <v>1.7276814426601731E-2</v>
      </c>
      <c r="H13" s="162">
        <f t="shared" si="1"/>
        <v>1.7276814426601731E-2</v>
      </c>
    </row>
    <row r="14" spans="1:8" x14ac:dyDescent="0.25">
      <c r="B14" s="79">
        <v>44015</v>
      </c>
      <c r="C14" s="76">
        <v>11933.59</v>
      </c>
      <c r="D14" s="76">
        <v>11857.9</v>
      </c>
      <c r="E14" s="76">
        <v>11909.16</v>
      </c>
      <c r="G14" s="162">
        <f t="shared" si="0"/>
        <v>8.7728220638974425E-3</v>
      </c>
      <c r="H14" s="162">
        <f t="shared" si="1"/>
        <v>1.0822083038359133E-2</v>
      </c>
    </row>
    <row r="15" spans="1:8" x14ac:dyDescent="0.25">
      <c r="B15" s="79">
        <v>44014</v>
      </c>
      <c r="C15" s="76">
        <v>11805.21</v>
      </c>
      <c r="D15" s="76">
        <v>11690.95</v>
      </c>
      <c r="E15" s="76">
        <v>11805.14</v>
      </c>
      <c r="G15" s="162">
        <f t="shared" si="0"/>
        <v>8.6539230663242178E-3</v>
      </c>
      <c r="H15" s="162">
        <f t="shared" si="1"/>
        <v>8.6598526692314142E-3</v>
      </c>
    </row>
    <row r="16" spans="1:8" x14ac:dyDescent="0.25">
      <c r="B16" s="79">
        <v>44013</v>
      </c>
      <c r="C16" s="76">
        <v>11736.39</v>
      </c>
      <c r="D16" s="76">
        <v>11622.64</v>
      </c>
      <c r="E16" s="76">
        <v>11703.42</v>
      </c>
      <c r="G16" s="162">
        <f t="shared" si="0"/>
        <v>7.0466484875196618E-3</v>
      </c>
      <c r="H16" s="162">
        <f t="shared" si="1"/>
        <v>9.8598130774565987E-3</v>
      </c>
    </row>
    <row r="17" spans="2:8" x14ac:dyDescent="0.25">
      <c r="B17" s="79">
        <v>44012</v>
      </c>
      <c r="C17" s="76">
        <v>11638</v>
      </c>
      <c r="D17" s="76">
        <v>11563.6</v>
      </c>
      <c r="E17" s="76">
        <v>11621.24</v>
      </c>
      <c r="G17" s="162">
        <f t="shared" si="0"/>
        <v>6.7881865886895978E-3</v>
      </c>
      <c r="H17" s="162">
        <f t="shared" si="1"/>
        <v>8.2293345282393095E-3</v>
      </c>
    </row>
    <row r="18" spans="2:8" x14ac:dyDescent="0.25">
      <c r="B18" s="79">
        <v>44011</v>
      </c>
      <c r="C18" s="76">
        <v>11608.8</v>
      </c>
      <c r="D18" s="76">
        <v>11500.65</v>
      </c>
      <c r="E18" s="76">
        <v>11542.62</v>
      </c>
      <c r="G18" s="162">
        <f t="shared" si="0"/>
        <v>-1.0175368971782239E-2</v>
      </c>
      <c r="H18" s="162">
        <f t="shared" si="1"/>
        <v>-1.3818085166979495E-2</v>
      </c>
    </row>
    <row r="19" spans="2:8" x14ac:dyDescent="0.25">
      <c r="B19" s="79">
        <v>44006</v>
      </c>
      <c r="C19" s="76">
        <v>11701.23</v>
      </c>
      <c r="D19" s="76">
        <v>11637.79</v>
      </c>
      <c r="E19" s="76">
        <v>11660.67</v>
      </c>
      <c r="G19" s="162">
        <f t="shared" si="0"/>
        <v>4.1515925849035179E-3</v>
      </c>
      <c r="H19" s="162">
        <f t="shared" si="1"/>
        <v>7.6239163901388627E-3</v>
      </c>
    </row>
    <row r="20" spans="2:8" x14ac:dyDescent="0.25">
      <c r="B20" s="79">
        <v>44005</v>
      </c>
      <c r="C20" s="76">
        <v>11679.4</v>
      </c>
      <c r="D20" s="76">
        <v>11530.85</v>
      </c>
      <c r="E20" s="76">
        <v>11612.36</v>
      </c>
      <c r="G20" s="162">
        <f t="shared" si="0"/>
        <v>3.4012978067757488E-3</v>
      </c>
      <c r="H20" s="162">
        <f t="shared" si="1"/>
        <v>9.1578559312491085E-3</v>
      </c>
    </row>
    <row r="21" spans="2:8" x14ac:dyDescent="0.25">
      <c r="B21" s="79">
        <v>44004</v>
      </c>
      <c r="C21" s="76">
        <v>11632.88</v>
      </c>
      <c r="D21" s="76">
        <v>11553.91</v>
      </c>
      <c r="E21" s="76">
        <v>11572.93</v>
      </c>
      <c r="G21" s="162">
        <f t="shared" si="0"/>
        <v>1.9954346041227843E-3</v>
      </c>
      <c r="H21" s="162">
        <f t="shared" si="1"/>
        <v>7.162255617386472E-3</v>
      </c>
    </row>
    <row r="22" spans="2:8" x14ac:dyDescent="0.25">
      <c r="B22" s="79">
        <v>44001</v>
      </c>
      <c r="C22" s="76">
        <v>11584.88</v>
      </c>
      <c r="D22" s="76">
        <v>11542.37</v>
      </c>
      <c r="E22" s="76">
        <v>11549.86</v>
      </c>
      <c r="G22" s="162">
        <f t="shared" si="0"/>
        <v>1.324779129652495E-4</v>
      </c>
      <c r="H22" s="162">
        <f t="shared" si="1"/>
        <v>3.1599618396006605E-3</v>
      </c>
    </row>
    <row r="23" spans="2:8" x14ac:dyDescent="0.25">
      <c r="B23" s="79">
        <v>44000</v>
      </c>
      <c r="C23" s="76">
        <v>11567.42</v>
      </c>
      <c r="D23" s="76">
        <v>11485.39</v>
      </c>
      <c r="E23" s="76">
        <v>11548.33</v>
      </c>
      <c r="G23" s="162">
        <f t="shared" si="0"/>
        <v>1.1904907717715872E-3</v>
      </c>
      <c r="H23" s="162">
        <f t="shared" si="1"/>
        <v>-4.2745540973024923E-3</v>
      </c>
    </row>
    <row r="24" spans="2:8" x14ac:dyDescent="0.25">
      <c r="B24" s="79">
        <v>43999</v>
      </c>
      <c r="C24" s="76">
        <v>11550.32</v>
      </c>
      <c r="D24" s="76">
        <v>11482.32</v>
      </c>
      <c r="E24" s="76">
        <v>11534.59</v>
      </c>
      <c r="G24" s="162">
        <f t="shared" si="0"/>
        <v>1.9916496178554325E-3</v>
      </c>
      <c r="H24" s="162">
        <f t="shared" si="1"/>
        <v>3.3544448320877757E-3</v>
      </c>
    </row>
    <row r="25" spans="2:8" x14ac:dyDescent="0.25">
      <c r="B25" s="79">
        <v>43998</v>
      </c>
      <c r="C25" s="76">
        <v>11542.25</v>
      </c>
      <c r="D25" s="76">
        <v>11380.67</v>
      </c>
      <c r="E25" s="76">
        <v>11511.64</v>
      </c>
      <c r="G25" s="162">
        <f t="shared" si="0"/>
        <v>1.8002142751993314E-2</v>
      </c>
      <c r="H25" s="162">
        <f t="shared" si="1"/>
        <v>2.0657661450825683E-2</v>
      </c>
    </row>
    <row r="26" spans="2:8" x14ac:dyDescent="0.25">
      <c r="B26" s="79">
        <v>43997</v>
      </c>
      <c r="C26" s="76">
        <v>11469.84</v>
      </c>
      <c r="D26" s="76">
        <v>11299.45</v>
      </c>
      <c r="E26" s="76">
        <v>11306.26</v>
      </c>
      <c r="G26" s="162">
        <f t="shared" si="0"/>
        <v>-1.0879673821476267E-2</v>
      </c>
      <c r="H26" s="162">
        <f t="shared" si="1"/>
        <v>-1.1482176481733976E-2</v>
      </c>
    </row>
    <row r="27" spans="2:8" x14ac:dyDescent="0.25">
      <c r="B27" s="79">
        <v>43994</v>
      </c>
      <c r="C27" s="76">
        <v>11442.3</v>
      </c>
      <c r="D27" s="76">
        <v>11244.64</v>
      </c>
      <c r="E27" s="76">
        <v>11429.94</v>
      </c>
      <c r="G27" s="162">
        <f t="shared" si="0"/>
        <v>-9.2164143080423182E-3</v>
      </c>
      <c r="H27" s="162">
        <f t="shared" si="1"/>
        <v>-2.556107208688525E-2</v>
      </c>
    </row>
    <row r="28" spans="2:8" x14ac:dyDescent="0.25">
      <c r="B28" s="79">
        <v>43993</v>
      </c>
      <c r="C28" s="76">
        <v>11771.12</v>
      </c>
      <c r="D28" s="76">
        <v>11516.59</v>
      </c>
      <c r="E28" s="76">
        <v>11535.77</v>
      </c>
      <c r="G28" s="162">
        <f t="shared" si="0"/>
        <v>-1.5857793175661862E-2</v>
      </c>
      <c r="H28" s="162">
        <f t="shared" si="1"/>
        <v>-1.7521831428215714E-2</v>
      </c>
    </row>
    <row r="29" spans="2:8" x14ac:dyDescent="0.25">
      <c r="B29" s="79">
        <v>43992</v>
      </c>
      <c r="C29" s="76">
        <v>11740.9</v>
      </c>
      <c r="D29" s="76">
        <v>11621.02</v>
      </c>
      <c r="E29" s="76">
        <v>11720.16</v>
      </c>
      <c r="G29" s="162">
        <f t="shared" si="0"/>
        <v>7.1113062434889429E-3</v>
      </c>
      <c r="H29" s="162">
        <f t="shared" si="1"/>
        <v>8.87934276039728E-3</v>
      </c>
    </row>
    <row r="30" spans="2:8" x14ac:dyDescent="0.25">
      <c r="B30" s="79">
        <v>43991</v>
      </c>
      <c r="C30" s="76">
        <v>11640.45</v>
      </c>
      <c r="D30" s="76">
        <v>11537.38</v>
      </c>
      <c r="E30" s="76">
        <v>11637.11</v>
      </c>
      <c r="G30" s="162">
        <f t="shared" si="0"/>
        <v>2.304771913194701E-3</v>
      </c>
      <c r="H30" s="162">
        <f t="shared" si="1"/>
        <v>-6.302158867987755E-3</v>
      </c>
    </row>
    <row r="31" spans="2:8" x14ac:dyDescent="0.25">
      <c r="B31" s="79">
        <v>43990</v>
      </c>
      <c r="C31" s="76">
        <v>11631.89</v>
      </c>
      <c r="D31" s="76">
        <v>11528.44</v>
      </c>
      <c r="E31" s="76">
        <v>11610.32</v>
      </c>
      <c r="G31" s="162">
        <f t="shared" si="0"/>
        <v>1.1340233058924608E-2</v>
      </c>
      <c r="H31" s="162">
        <f t="shared" si="1"/>
        <v>1.3196339357991898E-2</v>
      </c>
    </row>
    <row r="32" spans="2:8" x14ac:dyDescent="0.25">
      <c r="B32" s="79">
        <v>43987</v>
      </c>
      <c r="C32" s="76">
        <v>11482.36</v>
      </c>
      <c r="D32" s="76">
        <v>11411.94</v>
      </c>
      <c r="E32" s="76">
        <v>11479.4</v>
      </c>
      <c r="G32" s="162">
        <f t="shared" si="0"/>
        <v>7.5348053703628362E-3</v>
      </c>
      <c r="H32" s="162">
        <f t="shared" si="1"/>
        <v>7.7926253298431798E-3</v>
      </c>
    </row>
    <row r="33" spans="2:8" x14ac:dyDescent="0.25">
      <c r="B33" s="79">
        <v>43986</v>
      </c>
      <c r="C33" s="76">
        <v>11425.42</v>
      </c>
      <c r="D33" s="76">
        <v>11341.58</v>
      </c>
      <c r="E33" s="76">
        <v>11393.23</v>
      </c>
      <c r="G33" s="162">
        <f t="shared" si="0"/>
        <v>6.4341123960751628E-3</v>
      </c>
      <c r="H33" s="162">
        <f t="shared" si="1"/>
        <v>9.2554906417792373E-3</v>
      </c>
    </row>
    <row r="34" spans="2:8" x14ac:dyDescent="0.25">
      <c r="B34" s="79">
        <v>43985</v>
      </c>
      <c r="C34" s="76">
        <v>11330.52</v>
      </c>
      <c r="D34" s="76">
        <v>11182.52</v>
      </c>
      <c r="E34" s="76">
        <v>11320.16</v>
      </c>
      <c r="G34" s="162">
        <f t="shared" si="0"/>
        <v>1.7127042787943868E-2</v>
      </c>
      <c r="H34" s="162">
        <f t="shared" si="1"/>
        <v>1.8041805675630147E-2</v>
      </c>
    </row>
    <row r="35" spans="2:8" x14ac:dyDescent="0.25">
      <c r="B35" s="79">
        <v>43984</v>
      </c>
      <c r="C35" s="76">
        <v>11170.49</v>
      </c>
      <c r="D35" s="76">
        <v>11102.97</v>
      </c>
      <c r="E35" s="76">
        <v>11127.93</v>
      </c>
      <c r="G35" s="162">
        <f t="shared" si="0"/>
        <v>4.4049344088396714E-3</v>
      </c>
      <c r="H35" s="162">
        <f t="shared" si="1"/>
        <v>8.2222498672128042E-3</v>
      </c>
    </row>
    <row r="36" spans="2:8" x14ac:dyDescent="0.25">
      <c r="B36" s="79">
        <v>43983</v>
      </c>
      <c r="C36" s="76">
        <v>11109.29</v>
      </c>
      <c r="D36" s="76">
        <v>10971.4</v>
      </c>
      <c r="E36" s="76">
        <v>11079.02</v>
      </c>
      <c r="G36" s="162">
        <f t="shared" si="0"/>
        <v>1.2430011663966737E-2</v>
      </c>
      <c r="H36" s="162">
        <f t="shared" si="1"/>
        <v>1.5158477128781971E-2</v>
      </c>
    </row>
    <row r="37" spans="2:8" x14ac:dyDescent="0.25">
      <c r="B37" s="79">
        <v>43980</v>
      </c>
      <c r="C37" s="76">
        <v>10965.03</v>
      </c>
      <c r="D37" s="76">
        <v>10861.9</v>
      </c>
      <c r="E37" s="76">
        <v>10942.16</v>
      </c>
      <c r="G37" s="162">
        <f t="shared" si="0"/>
        <v>-1.8550375058626955E-4</v>
      </c>
      <c r="H37" s="162">
        <f t="shared" si="1"/>
        <v>-7.5474686779889175E-3</v>
      </c>
    </row>
    <row r="38" spans="2:8" x14ac:dyDescent="0.25">
      <c r="B38" s="79">
        <v>43979</v>
      </c>
      <c r="C38" s="76">
        <v>11087.53</v>
      </c>
      <c r="D38" s="76">
        <v>10915.3</v>
      </c>
      <c r="E38" s="76">
        <v>10944.19</v>
      </c>
      <c r="G38" s="162">
        <f t="shared" si="0"/>
        <v>-6.4183909377612276E-3</v>
      </c>
      <c r="H38" s="162">
        <f t="shared" si="1"/>
        <v>-9.0616380419354693E-3</v>
      </c>
    </row>
    <row r="39" spans="2:8" x14ac:dyDescent="0.25">
      <c r="B39" s="79">
        <v>43978</v>
      </c>
      <c r="C39" s="76">
        <v>11069.72</v>
      </c>
      <c r="D39" s="76">
        <v>10972.25</v>
      </c>
      <c r="E39" s="76">
        <v>11014.66</v>
      </c>
      <c r="G39" s="162">
        <f t="shared" si="0"/>
        <v>1.5855085147730627E-3</v>
      </c>
      <c r="H39" s="162">
        <f t="shared" si="1"/>
        <v>6.5718485507964153E-3</v>
      </c>
    </row>
    <row r="40" spans="2:8" x14ac:dyDescent="0.25">
      <c r="B40" s="79">
        <v>43977</v>
      </c>
      <c r="C40" s="76">
        <v>11046.22</v>
      </c>
      <c r="D40" s="76">
        <v>10903.32</v>
      </c>
      <c r="E40" s="76">
        <v>10997.21</v>
      </c>
      <c r="G40" s="162">
        <f t="shared" si="0"/>
        <v>1.1526353364438961E-2</v>
      </c>
      <c r="H40" s="162">
        <f t="shared" si="1"/>
        <v>1.5973037093439758E-2</v>
      </c>
    </row>
    <row r="41" spans="2:8" x14ac:dyDescent="0.25">
      <c r="B41" s="79">
        <v>43976</v>
      </c>
      <c r="C41" s="76">
        <v>10874.54</v>
      </c>
      <c r="D41" s="76">
        <v>10719.25</v>
      </c>
      <c r="E41" s="76">
        <v>10871.18</v>
      </c>
      <c r="G41" s="162">
        <f t="shared" si="0"/>
        <v>5.5372419275803763E-3</v>
      </c>
      <c r="H41" s="162">
        <f t="shared" si="1"/>
        <v>-8.5368184629866731E-3</v>
      </c>
    </row>
    <row r="42" spans="2:8" x14ac:dyDescent="0.25">
      <c r="B42" s="79">
        <v>43973</v>
      </c>
      <c r="C42" s="76">
        <v>10977.55</v>
      </c>
      <c r="D42" s="76">
        <v>10804.56</v>
      </c>
      <c r="E42" s="76">
        <v>10811.15</v>
      </c>
      <c r="G42" s="162">
        <f t="shared" si="0"/>
        <v>-1.8072433160101608E-2</v>
      </c>
      <c r="H42" s="162">
        <f t="shared" si="1"/>
        <v>-1.8682174889998213E-2</v>
      </c>
    </row>
    <row r="43" spans="2:8" x14ac:dyDescent="0.25">
      <c r="B43" s="79">
        <v>43972</v>
      </c>
      <c r="C43" s="76">
        <v>11021.66</v>
      </c>
      <c r="D43" s="76">
        <v>10933.21</v>
      </c>
      <c r="E43" s="76">
        <v>11008.31</v>
      </c>
      <c r="G43" s="162">
        <f t="shared" si="0"/>
        <v>9.1723124832733035E-3</v>
      </c>
      <c r="H43" s="162">
        <f t="shared" si="1"/>
        <v>1.0384297940735301E-2</v>
      </c>
    </row>
    <row r="44" spans="2:8" x14ac:dyDescent="0.25">
      <c r="B44" s="79">
        <v>43971</v>
      </c>
      <c r="C44" s="76">
        <v>10933.98</v>
      </c>
      <c r="D44" s="76">
        <v>10860.15</v>
      </c>
      <c r="E44" s="76">
        <v>10907.8</v>
      </c>
      <c r="G44" s="162">
        <f t="shared" si="0"/>
        <v>4.3513003095730363E-3</v>
      </c>
      <c r="H44" s="162">
        <f t="shared" si="1"/>
        <v>6.7485419755480862E-3</v>
      </c>
    </row>
    <row r="45" spans="2:8" x14ac:dyDescent="0.25">
      <c r="B45" s="79">
        <v>43970</v>
      </c>
      <c r="C45" s="76">
        <v>10924.79</v>
      </c>
      <c r="D45" s="76">
        <v>10812.79</v>
      </c>
      <c r="E45" s="76">
        <v>10860.44</v>
      </c>
      <c r="G45" s="162">
        <f t="shared" si="0"/>
        <v>1.1100531141012976E-2</v>
      </c>
      <c r="H45" s="162">
        <f t="shared" si="1"/>
        <v>1.7008220631131471E-2</v>
      </c>
    </row>
    <row r="46" spans="2:8" x14ac:dyDescent="0.25">
      <c r="B46" s="79">
        <v>43969</v>
      </c>
      <c r="C46" s="76">
        <v>10812.87</v>
      </c>
      <c r="D46" s="76">
        <v>10730.7</v>
      </c>
      <c r="E46" s="76">
        <v>10740.55</v>
      </c>
      <c r="G46" s="162">
        <f t="shared" si="0"/>
        <v>-6.9003640462376491E-3</v>
      </c>
      <c r="H46" s="162">
        <f t="shared" si="1"/>
        <v>-7.8178700778837353E-3</v>
      </c>
    </row>
    <row r="47" spans="2:8" x14ac:dyDescent="0.25">
      <c r="B47" s="79">
        <v>43966</v>
      </c>
      <c r="C47" s="76">
        <v>10904.01</v>
      </c>
      <c r="D47" s="76">
        <v>10730.55</v>
      </c>
      <c r="E47" s="76">
        <v>10814.92</v>
      </c>
      <c r="G47" s="162">
        <f t="shared" si="0"/>
        <v>3.1524674419039097E-3</v>
      </c>
      <c r="H47" s="162">
        <f t="shared" si="1"/>
        <v>1.1356416686306608E-2</v>
      </c>
    </row>
    <row r="48" spans="2:8" x14ac:dyDescent="0.25">
      <c r="B48" s="79">
        <v>43965</v>
      </c>
      <c r="C48" s="76">
        <v>10894.17</v>
      </c>
      <c r="D48" s="76">
        <v>10777.46</v>
      </c>
      <c r="E48" s="76">
        <v>10780.88</v>
      </c>
      <c r="G48" s="162">
        <f t="shared" si="0"/>
        <v>-1.4493454403620609E-2</v>
      </c>
      <c r="H48" s="162">
        <f t="shared" si="1"/>
        <v>-1.4810733009365761E-2</v>
      </c>
    </row>
    <row r="49" spans="2:8" x14ac:dyDescent="0.25">
      <c r="B49" s="79">
        <v>43964</v>
      </c>
      <c r="C49" s="76">
        <v>10938.27</v>
      </c>
      <c r="D49" s="76">
        <v>10828.93</v>
      </c>
      <c r="E49" s="76">
        <v>10938.27</v>
      </c>
      <c r="G49" s="162">
        <f t="shared" si="0"/>
        <v>5.3901221997950345E-3</v>
      </c>
      <c r="H49" s="162">
        <f t="shared" si="1"/>
        <v>5.3901221997950345E-3</v>
      </c>
    </row>
    <row r="50" spans="2:8" x14ac:dyDescent="0.25">
      <c r="B50" s="79">
        <v>43963</v>
      </c>
      <c r="C50" s="76">
        <v>10974.51</v>
      </c>
      <c r="D50" s="76">
        <v>10854.51</v>
      </c>
      <c r="E50" s="76">
        <v>10879.47</v>
      </c>
      <c r="G50" s="162">
        <f t="shared" si="0"/>
        <v>-1.2222474360883185E-2</v>
      </c>
      <c r="H50" s="162">
        <f t="shared" si="1"/>
        <v>-1.4519339543719043E-2</v>
      </c>
    </row>
    <row r="51" spans="2:8" x14ac:dyDescent="0.25">
      <c r="B51" s="79">
        <v>43962</v>
      </c>
      <c r="C51" s="76">
        <v>11039.11</v>
      </c>
      <c r="D51" s="76">
        <v>10942.18</v>
      </c>
      <c r="E51" s="76">
        <v>11013.26</v>
      </c>
      <c r="G51" s="162">
        <f t="shared" si="0"/>
        <v>1.0206945387482309E-2</v>
      </c>
      <c r="H51" s="162">
        <f t="shared" si="1"/>
        <v>1.2551365677905466E-2</v>
      </c>
    </row>
    <row r="52" spans="2:8" x14ac:dyDescent="0.25">
      <c r="B52" s="79">
        <v>43959</v>
      </c>
      <c r="C52" s="76">
        <v>10970.7</v>
      </c>
      <c r="D52" s="76">
        <v>10883.22</v>
      </c>
      <c r="E52" s="76">
        <v>10901.42</v>
      </c>
      <c r="G52" s="162">
        <f t="shared" si="0"/>
        <v>5.3807235484578655E-3</v>
      </c>
      <c r="H52" s="162">
        <f t="shared" si="1"/>
        <v>1.1715750212403496E-2</v>
      </c>
    </row>
    <row r="53" spans="2:8" x14ac:dyDescent="0.25">
      <c r="B53" s="79">
        <v>43958</v>
      </c>
      <c r="C53" s="76">
        <v>10890.87</v>
      </c>
      <c r="D53" s="76">
        <v>10775.16</v>
      </c>
      <c r="E53" s="76">
        <v>10842.92</v>
      </c>
      <c r="G53" s="162">
        <f t="shared" si="0"/>
        <v>6.285552591320142E-3</v>
      </c>
      <c r="H53" s="162">
        <f t="shared" si="1"/>
        <v>1.0698043721413999E-2</v>
      </c>
    </row>
    <row r="54" spans="2:8" x14ac:dyDescent="0.25">
      <c r="B54" s="79">
        <v>43957</v>
      </c>
      <c r="C54" s="76">
        <v>10828.73</v>
      </c>
      <c r="D54" s="76">
        <v>10708.1</v>
      </c>
      <c r="E54" s="76">
        <v>10774.98</v>
      </c>
      <c r="G54" s="162">
        <f t="shared" si="0"/>
        <v>3.4339400428035427E-5</v>
      </c>
      <c r="H54" s="162">
        <f t="shared" si="1"/>
        <v>-6.1919760125660212E-3</v>
      </c>
    </row>
    <row r="55" spans="2:8" x14ac:dyDescent="0.25">
      <c r="B55" s="79">
        <v>43956</v>
      </c>
      <c r="C55" s="76">
        <v>10833.53</v>
      </c>
      <c r="D55" s="76">
        <v>10735.01</v>
      </c>
      <c r="E55" s="76">
        <v>10774.61</v>
      </c>
      <c r="G55" s="162">
        <f t="shared" si="0"/>
        <v>5.0365096795305367E-3</v>
      </c>
      <c r="H55" s="162">
        <f t="shared" si="1"/>
        <v>1.0490023589318649E-2</v>
      </c>
    </row>
    <row r="56" spans="2:8" x14ac:dyDescent="0.25">
      <c r="B56" s="79">
        <v>43955</v>
      </c>
      <c r="C56" s="76">
        <v>10781.51</v>
      </c>
      <c r="D56" s="76">
        <v>10658.5</v>
      </c>
      <c r="E56" s="76">
        <v>10720.48</v>
      </c>
      <c r="G56" s="162">
        <f t="shared" si="0"/>
        <v>-2.5024541174908457E-2</v>
      </c>
      <c r="H56" s="162">
        <f t="shared" si="1"/>
        <v>-3.0822776043434596E-2</v>
      </c>
    </row>
    <row r="57" spans="2:8" x14ac:dyDescent="0.25">
      <c r="B57" s="79">
        <v>43951</v>
      </c>
      <c r="C57" s="76">
        <v>11012.78</v>
      </c>
      <c r="D57" s="76">
        <v>10826.26</v>
      </c>
      <c r="E57" s="76">
        <v>10992.14</v>
      </c>
      <c r="G57" s="162">
        <f t="shared" si="0"/>
        <v>2.0209873874029741E-2</v>
      </c>
      <c r="H57" s="162">
        <f t="shared" si="1"/>
        <v>2.2085818531221924E-2</v>
      </c>
    </row>
    <row r="58" spans="2:8" x14ac:dyDescent="0.25">
      <c r="B58" s="79">
        <v>43950</v>
      </c>
      <c r="C58" s="76">
        <v>10794.83</v>
      </c>
      <c r="D58" s="76">
        <v>10656.4</v>
      </c>
      <c r="E58" s="76">
        <v>10772.22</v>
      </c>
      <c r="G58" s="162">
        <f t="shared" si="0"/>
        <v>1.4602649200312449E-2</v>
      </c>
      <c r="H58" s="162">
        <f t="shared" si="1"/>
        <v>1.6699366951068658E-2</v>
      </c>
    </row>
    <row r="59" spans="2:8" x14ac:dyDescent="0.25">
      <c r="B59" s="79">
        <v>43949</v>
      </c>
      <c r="C59" s="76">
        <v>10620.52</v>
      </c>
      <c r="D59" s="76">
        <v>10537.71</v>
      </c>
      <c r="E59" s="76">
        <v>10616.06</v>
      </c>
      <c r="G59" s="162">
        <f t="shared" si="0"/>
        <v>4.6064604832978815E-3</v>
      </c>
      <c r="H59" s="162">
        <f t="shared" si="1"/>
        <v>5.0264904566338945E-3</v>
      </c>
    </row>
    <row r="60" spans="2:8" x14ac:dyDescent="0.25">
      <c r="B60" s="79">
        <v>43948</v>
      </c>
      <c r="C60" s="76">
        <v>10578.96</v>
      </c>
      <c r="D60" s="76">
        <v>10407.49</v>
      </c>
      <c r="E60" s="76">
        <v>10567.27</v>
      </c>
      <c r="G60" s="162">
        <f t="shared" si="0"/>
        <v>2.1030073665810337E-2</v>
      </c>
      <c r="H60" s="162">
        <f t="shared" si="1"/>
        <v>2.21357082106769E-2</v>
      </c>
    </row>
    <row r="61" spans="2:8" x14ac:dyDescent="0.25">
      <c r="B61" s="79">
        <v>43945</v>
      </c>
      <c r="C61" s="76">
        <v>10386.93</v>
      </c>
      <c r="D61" s="76">
        <v>10324.200000000001</v>
      </c>
      <c r="E61" s="76">
        <v>10347.36</v>
      </c>
      <c r="G61" s="162">
        <f t="shared" si="0"/>
        <v>-1.8490031515940161E-3</v>
      </c>
      <c r="H61" s="162">
        <f t="shared" si="1"/>
        <v>-4.0897638576603028E-3</v>
      </c>
    </row>
    <row r="62" spans="2:8" x14ac:dyDescent="0.25">
      <c r="B62" s="79">
        <v>43944</v>
      </c>
      <c r="C62" s="76">
        <v>10462.700000000001</v>
      </c>
      <c r="D62" s="76">
        <v>10294.879999999999</v>
      </c>
      <c r="E62" s="76">
        <v>10366.51</v>
      </c>
      <c r="G62" s="162">
        <f t="shared" si="0"/>
        <v>5.6853485183479321E-3</v>
      </c>
      <c r="H62" s="162">
        <f t="shared" si="1"/>
        <v>1.4921482178628754E-2</v>
      </c>
    </row>
    <row r="63" spans="2:8" x14ac:dyDescent="0.25">
      <c r="B63" s="79">
        <v>43943</v>
      </c>
      <c r="C63" s="76">
        <v>10310.85</v>
      </c>
      <c r="D63" s="76">
        <v>10140.09</v>
      </c>
      <c r="E63" s="76">
        <v>10307.74</v>
      </c>
      <c r="G63" s="162">
        <f t="shared" si="0"/>
        <v>1.8760784210908566E-3</v>
      </c>
      <c r="H63" s="162">
        <f t="shared" si="1"/>
        <v>-1.4522117059958468E-2</v>
      </c>
    </row>
    <row r="64" spans="2:8" x14ac:dyDescent="0.25">
      <c r="B64" s="79">
        <v>43942</v>
      </c>
      <c r="C64" s="76">
        <v>10544.8</v>
      </c>
      <c r="D64" s="76">
        <v>10278.950000000001</v>
      </c>
      <c r="E64" s="76">
        <v>10288.42</v>
      </c>
      <c r="G64" s="162">
        <f t="shared" si="0"/>
        <v>-2.8580449978189194E-2</v>
      </c>
      <c r="H64" s="162">
        <f t="shared" si="1"/>
        <v>-2.9501326168895364E-2</v>
      </c>
    </row>
    <row r="65" spans="2:8" x14ac:dyDescent="0.25">
      <c r="B65" s="79">
        <v>43941</v>
      </c>
      <c r="C65" s="76">
        <v>10637.64</v>
      </c>
      <c r="D65" s="76">
        <v>10542.96</v>
      </c>
      <c r="E65" s="76">
        <v>10586.71</v>
      </c>
      <c r="G65" s="162">
        <f t="shared" si="0"/>
        <v>-9.752759373382946E-4</v>
      </c>
      <c r="H65" s="162">
        <f t="shared" si="1"/>
        <v>-5.1163782376948234E-3</v>
      </c>
    </row>
    <row r="66" spans="2:8" x14ac:dyDescent="0.25">
      <c r="B66" s="79">
        <v>43938</v>
      </c>
      <c r="C66" s="76">
        <v>10710.15</v>
      </c>
      <c r="D66" s="76">
        <v>10552.58</v>
      </c>
      <c r="E66" s="76">
        <v>10597.04</v>
      </c>
      <c r="G66" s="162">
        <f t="shared" si="0"/>
        <v>2.1129386731970786E-2</v>
      </c>
      <c r="H66" s="162">
        <f t="shared" si="1"/>
        <v>3.1746559857012684E-2</v>
      </c>
    </row>
    <row r="67" spans="2:8" x14ac:dyDescent="0.25">
      <c r="B67" s="79">
        <v>43937</v>
      </c>
      <c r="C67" s="76">
        <v>10425.290000000001</v>
      </c>
      <c r="D67" s="76">
        <v>10317.129999999999</v>
      </c>
      <c r="E67" s="76">
        <v>10375.48</v>
      </c>
      <c r="G67" s="162">
        <f t="shared" si="0"/>
        <v>-6.8896270110663108E-3</v>
      </c>
      <c r="H67" s="162">
        <f t="shared" si="1"/>
        <v>-1.2529336516843143E-2</v>
      </c>
    </row>
    <row r="68" spans="2:8" x14ac:dyDescent="0.25">
      <c r="B68" s="79">
        <v>43936</v>
      </c>
      <c r="C68" s="76">
        <v>10461.84</v>
      </c>
      <c r="D68" s="76">
        <v>10366.77</v>
      </c>
      <c r="E68" s="76">
        <v>10447.209999999999</v>
      </c>
      <c r="G68" s="162">
        <f t="shared" si="0"/>
        <v>1.0998106541438816E-2</v>
      </c>
      <c r="H68" s="162">
        <f t="shared" si="1"/>
        <v>1.2397500812101581E-2</v>
      </c>
    </row>
    <row r="69" spans="2:8" x14ac:dyDescent="0.25">
      <c r="B69" s="79">
        <v>43935</v>
      </c>
      <c r="C69" s="76">
        <v>10344.129999999999</v>
      </c>
      <c r="D69" s="76">
        <v>10130.65</v>
      </c>
      <c r="E69" s="76">
        <v>10332.94</v>
      </c>
      <c r="G69" s="162">
        <f t="shared" si="0"/>
        <v>2.2878657434208235E-2</v>
      </c>
      <c r="H69" s="162">
        <f t="shared" si="1"/>
        <v>2.3961015920436819E-2</v>
      </c>
    </row>
    <row r="70" spans="2:8" x14ac:dyDescent="0.25">
      <c r="B70" s="79">
        <v>43934</v>
      </c>
      <c r="C70" s="76">
        <v>10179.4</v>
      </c>
      <c r="D70" s="76">
        <v>10080.65</v>
      </c>
      <c r="E70" s="76">
        <v>10099.219999999999</v>
      </c>
      <c r="G70" s="162">
        <f t="shared" si="0"/>
        <v>-5.7649851152566092E-3</v>
      </c>
      <c r="H70" s="162">
        <f t="shared" si="1"/>
        <v>-7.605433566289216E-3</v>
      </c>
    </row>
    <row r="71" spans="2:8" x14ac:dyDescent="0.25">
      <c r="B71" s="79">
        <v>43931</v>
      </c>
      <c r="C71" s="76">
        <v>10165.120000000001</v>
      </c>
      <c r="D71" s="76">
        <v>10103.77</v>
      </c>
      <c r="E71" s="76">
        <v>10157.61</v>
      </c>
      <c r="G71" s="162">
        <f t="shared" ref="G71:G124" si="2">LN(E71/E72)</f>
        <v>3.7658400950987209E-3</v>
      </c>
      <c r="H71" s="162">
        <f t="shared" ref="H71:H124" si="3">IF(ABS(C71-E72)&gt;ABS(D71-E72),LN(C71/E72),LN(D71/E72))</f>
        <v>4.5049140622131518E-3</v>
      </c>
    </row>
    <row r="72" spans="2:8" x14ac:dyDescent="0.25">
      <c r="B72" s="79">
        <v>43930</v>
      </c>
      <c r="C72" s="76">
        <v>10246.84</v>
      </c>
      <c r="D72" s="76">
        <v>10092.36</v>
      </c>
      <c r="E72" s="76">
        <v>10119.43</v>
      </c>
      <c r="G72" s="162">
        <f t="shared" si="2"/>
        <v>-1.7811219652727882E-3</v>
      </c>
      <c r="H72" s="162">
        <f t="shared" si="3"/>
        <v>1.0730905241873841E-2</v>
      </c>
    </row>
    <row r="73" spans="2:8" x14ac:dyDescent="0.25">
      <c r="B73" s="79">
        <v>43929</v>
      </c>
      <c r="C73" s="76">
        <v>10149.76</v>
      </c>
      <c r="D73" s="76">
        <v>9984.66</v>
      </c>
      <c r="E73" s="76">
        <v>10137.469999999999</v>
      </c>
      <c r="G73" s="162">
        <f t="shared" si="2"/>
        <v>1.401443230979854E-2</v>
      </c>
      <c r="H73" s="162">
        <f t="shared" si="3"/>
        <v>1.522603207018481E-2</v>
      </c>
    </row>
    <row r="74" spans="2:8" x14ac:dyDescent="0.25">
      <c r="B74" s="79">
        <v>43928</v>
      </c>
      <c r="C74" s="76">
        <v>10039.15</v>
      </c>
      <c r="D74" s="76">
        <v>9928.16</v>
      </c>
      <c r="E74" s="76">
        <v>9996.39</v>
      </c>
      <c r="G74" s="162">
        <f t="shared" si="2"/>
        <v>1.7931223256163614E-2</v>
      </c>
      <c r="H74" s="162">
        <f t="shared" si="3"/>
        <v>2.2199644763330879E-2</v>
      </c>
    </row>
    <row r="75" spans="2:8" x14ac:dyDescent="0.25">
      <c r="B75" s="79">
        <v>43927</v>
      </c>
      <c r="C75" s="76">
        <v>9818.74</v>
      </c>
      <c r="D75" s="76">
        <v>9651.52</v>
      </c>
      <c r="E75" s="76">
        <v>9818.74</v>
      </c>
      <c r="G75" s="162">
        <f t="shared" si="2"/>
        <v>1.5923450526021447E-2</v>
      </c>
      <c r="H75" s="162">
        <f t="shared" si="3"/>
        <v>1.5923450526021447E-2</v>
      </c>
    </row>
    <row r="76" spans="2:8" x14ac:dyDescent="0.25">
      <c r="B76" s="79">
        <v>43922</v>
      </c>
      <c r="C76" s="76">
        <v>9736</v>
      </c>
      <c r="D76" s="76">
        <v>9663.6299999999992</v>
      </c>
      <c r="E76" s="76">
        <v>9663.6299999999992</v>
      </c>
      <c r="G76" s="162">
        <f t="shared" si="2"/>
        <v>-4.58711427929744E-3</v>
      </c>
      <c r="H76" s="162">
        <f t="shared" si="3"/>
        <v>-4.58711427929744E-3</v>
      </c>
    </row>
    <row r="77" spans="2:8" x14ac:dyDescent="0.25">
      <c r="B77" s="79">
        <v>43921</v>
      </c>
      <c r="C77" s="76">
        <v>9789.81</v>
      </c>
      <c r="D77" s="76">
        <v>9630.2999999999993</v>
      </c>
      <c r="E77" s="76">
        <v>9708.06</v>
      </c>
      <c r="G77" s="162">
        <f t="shared" si="2"/>
        <v>8.1324342878890989E-3</v>
      </c>
      <c r="H77" s="162">
        <f t="shared" si="3"/>
        <v>1.6518014768273862E-2</v>
      </c>
    </row>
    <row r="78" spans="2:8" x14ac:dyDescent="0.25">
      <c r="B78" s="79">
        <v>43920</v>
      </c>
      <c r="C78" s="76">
        <v>9655.7000000000007</v>
      </c>
      <c r="D78" s="76">
        <v>9415.52</v>
      </c>
      <c r="E78" s="76">
        <v>9629.43</v>
      </c>
      <c r="G78" s="162">
        <f t="shared" si="2"/>
        <v>-7.1905050772881254E-3</v>
      </c>
      <c r="H78" s="162">
        <f t="shared" si="3"/>
        <v>-2.9655147506092435E-2</v>
      </c>
    </row>
    <row r="79" spans="2:8" x14ac:dyDescent="0.25">
      <c r="B79" s="79">
        <v>43917</v>
      </c>
      <c r="C79" s="76">
        <v>9954.86</v>
      </c>
      <c r="D79" s="76">
        <v>9691.14</v>
      </c>
      <c r="E79" s="76">
        <v>9698.92</v>
      </c>
      <c r="G79" s="162">
        <f t="shared" si="2"/>
        <v>-3.8527920681656743E-3</v>
      </c>
      <c r="H79" s="162">
        <f t="shared" si="3"/>
        <v>2.2193542959952729E-2</v>
      </c>
    </row>
    <row r="80" spans="2:8" x14ac:dyDescent="0.25">
      <c r="B80" s="79">
        <v>43916</v>
      </c>
      <c r="C80" s="76">
        <v>9739.73</v>
      </c>
      <c r="D80" s="76">
        <v>9565.02</v>
      </c>
      <c r="E80" s="76">
        <v>9736.36</v>
      </c>
      <c r="G80" s="162">
        <f t="shared" si="2"/>
        <v>9.4536053166663272E-3</v>
      </c>
      <c r="H80" s="162">
        <f t="shared" si="3"/>
        <v>9.7996706751270722E-3</v>
      </c>
    </row>
    <row r="81" spans="2:8" x14ac:dyDescent="0.25">
      <c r="B81" s="79">
        <v>43915</v>
      </c>
      <c r="C81" s="76">
        <v>9722.3700000000008</v>
      </c>
      <c r="D81" s="76">
        <v>9426.43</v>
      </c>
      <c r="E81" s="76">
        <v>9644.75</v>
      </c>
      <c r="G81" s="162">
        <f t="shared" si="2"/>
        <v>3.7946758913250729E-2</v>
      </c>
      <c r="H81" s="162">
        <f t="shared" si="3"/>
        <v>4.5962448969211124E-2</v>
      </c>
    </row>
    <row r="82" spans="2:8" x14ac:dyDescent="0.25">
      <c r="B82" s="79">
        <v>43914</v>
      </c>
      <c r="C82" s="76">
        <v>9415.64</v>
      </c>
      <c r="D82" s="76">
        <v>9083.7800000000007</v>
      </c>
      <c r="E82" s="76">
        <v>9285.6200000000008</v>
      </c>
      <c r="G82" s="162">
        <f t="shared" si="2"/>
        <v>4.3536542844322304E-2</v>
      </c>
      <c r="H82" s="162">
        <f t="shared" si="3"/>
        <v>5.7441712333544212E-2</v>
      </c>
    </row>
    <row r="83" spans="2:8" x14ac:dyDescent="0.25">
      <c r="B83" s="79">
        <v>43913</v>
      </c>
      <c r="C83" s="76">
        <v>9029.52</v>
      </c>
      <c r="D83" s="76">
        <v>8750.14</v>
      </c>
      <c r="E83" s="76">
        <v>8890.0300000000007</v>
      </c>
      <c r="G83" s="162">
        <f t="shared" si="2"/>
        <v>-3.7971646527696301E-2</v>
      </c>
      <c r="H83" s="162">
        <f t="shared" si="3"/>
        <v>-5.3832370384469114E-2</v>
      </c>
    </row>
    <row r="84" spans="2:8" x14ac:dyDescent="0.25">
      <c r="B84" s="79">
        <v>43910</v>
      </c>
      <c r="C84" s="76">
        <v>9264.42</v>
      </c>
      <c r="D84" s="76">
        <v>8816.86</v>
      </c>
      <c r="E84" s="76">
        <v>9234.09</v>
      </c>
      <c r="G84" s="162">
        <f t="shared" si="2"/>
        <v>6.1726175988588997E-2</v>
      </c>
      <c r="H84" s="162">
        <f t="shared" si="3"/>
        <v>6.5005361953118596E-2</v>
      </c>
    </row>
    <row r="85" spans="2:8" x14ac:dyDescent="0.25">
      <c r="B85" s="79">
        <v>43909</v>
      </c>
      <c r="C85" s="76">
        <v>9085.2800000000007</v>
      </c>
      <c r="D85" s="76">
        <v>8523.6299999999992</v>
      </c>
      <c r="E85" s="76">
        <v>8681.34</v>
      </c>
      <c r="G85" s="162">
        <f t="shared" si="2"/>
        <v>-6.0054880898933384E-2</v>
      </c>
      <c r="H85" s="162">
        <f t="shared" si="3"/>
        <v>-7.8388469093315413E-2</v>
      </c>
    </row>
    <row r="86" spans="2:8" x14ac:dyDescent="0.25">
      <c r="B86" s="79">
        <v>43908</v>
      </c>
      <c r="C86" s="76">
        <v>9509.61</v>
      </c>
      <c r="D86" s="76">
        <v>9218.67</v>
      </c>
      <c r="E86" s="76">
        <v>9218.67</v>
      </c>
      <c r="G86" s="162">
        <f t="shared" si="2"/>
        <v>-2.3686008937676417E-2</v>
      </c>
      <c r="H86" s="162">
        <f t="shared" si="3"/>
        <v>-2.3686008937676417E-2</v>
      </c>
    </row>
    <row r="87" spans="2:8" x14ac:dyDescent="0.25">
      <c r="B87" s="79">
        <v>43907</v>
      </c>
      <c r="C87" s="76">
        <v>9677.07</v>
      </c>
      <c r="D87" s="76">
        <v>9371.35</v>
      </c>
      <c r="E87" s="76">
        <v>9439.6299999999992</v>
      </c>
      <c r="G87" s="162">
        <f t="shared" si="2"/>
        <v>-2.903938380833912E-2</v>
      </c>
      <c r="H87" s="162">
        <f t="shared" si="3"/>
        <v>-3.6299005569111906E-2</v>
      </c>
    </row>
    <row r="88" spans="2:8" x14ac:dyDescent="0.25">
      <c r="B88" s="79">
        <v>43906</v>
      </c>
      <c r="C88" s="76">
        <v>10130.799999999999</v>
      </c>
      <c r="D88" s="76">
        <v>9717.77</v>
      </c>
      <c r="E88" s="76">
        <v>9717.77</v>
      </c>
      <c r="G88" s="162">
        <f t="shared" si="2"/>
        <v>-4.143359390416624E-2</v>
      </c>
      <c r="H88" s="162">
        <f t="shared" si="3"/>
        <v>-4.143359390416624E-2</v>
      </c>
    </row>
    <row r="89" spans="2:8" x14ac:dyDescent="0.25">
      <c r="B89" s="79">
        <v>43903</v>
      </c>
      <c r="C89" s="76">
        <v>10171.200000000001</v>
      </c>
      <c r="D89" s="76">
        <v>9636.15</v>
      </c>
      <c r="E89" s="76">
        <v>10128.870000000001</v>
      </c>
      <c r="G89" s="162">
        <f t="shared" si="2"/>
        <v>-2.8559898108545419E-2</v>
      </c>
      <c r="H89" s="162">
        <f t="shared" si="3"/>
        <v>-7.8428009038443144E-2</v>
      </c>
    </row>
    <row r="90" spans="2:8" x14ac:dyDescent="0.25">
      <c r="B90" s="79">
        <v>43902</v>
      </c>
      <c r="C90" s="76">
        <v>10845.39</v>
      </c>
      <c r="D90" s="76">
        <v>10359.67</v>
      </c>
      <c r="E90" s="76">
        <v>10422.32</v>
      </c>
      <c r="G90" s="162">
        <f t="shared" si="2"/>
        <v>-4.4239569991128949E-2</v>
      </c>
      <c r="H90" s="162">
        <f t="shared" si="3"/>
        <v>-5.0268847244036824E-2</v>
      </c>
    </row>
    <row r="91" spans="2:8" x14ac:dyDescent="0.25">
      <c r="B91" s="79">
        <v>43901</v>
      </c>
      <c r="C91" s="76">
        <v>11088.23</v>
      </c>
      <c r="D91" s="76">
        <v>10885.91</v>
      </c>
      <c r="E91" s="76">
        <v>10893.75</v>
      </c>
      <c r="G91" s="162">
        <f t="shared" si="2"/>
        <v>-1.0027808921631014E-2</v>
      </c>
      <c r="H91" s="162">
        <f t="shared" si="3"/>
        <v>-1.0747746729533304E-2</v>
      </c>
    </row>
    <row r="92" spans="2:8" x14ac:dyDescent="0.25">
      <c r="B92" s="79">
        <v>43900</v>
      </c>
      <c r="C92" s="76">
        <v>11032.47</v>
      </c>
      <c r="D92" s="76">
        <v>10830.22</v>
      </c>
      <c r="E92" s="76">
        <v>11003.54</v>
      </c>
      <c r="G92" s="162">
        <f t="shared" si="2"/>
        <v>2.3565624762691647E-3</v>
      </c>
      <c r="H92" s="162">
        <f t="shared" si="3"/>
        <v>-1.3520101982230205E-2</v>
      </c>
    </row>
    <row r="93" spans="2:8" x14ac:dyDescent="0.25">
      <c r="B93" s="79">
        <v>43899</v>
      </c>
      <c r="C93" s="76">
        <v>11221.76</v>
      </c>
      <c r="D93" s="76">
        <v>10977.64</v>
      </c>
      <c r="E93" s="76">
        <v>10977.64</v>
      </c>
      <c r="G93" s="162">
        <f t="shared" si="2"/>
        <v>-3.0870477254731896E-2</v>
      </c>
      <c r="H93" s="162">
        <f t="shared" si="3"/>
        <v>-3.0870477254731896E-2</v>
      </c>
    </row>
    <row r="94" spans="2:8" x14ac:dyDescent="0.25">
      <c r="B94" s="79">
        <v>43896</v>
      </c>
      <c r="C94" s="76">
        <v>11471.36</v>
      </c>
      <c r="D94" s="76">
        <v>11310.32</v>
      </c>
      <c r="E94" s="76">
        <v>11321.81</v>
      </c>
      <c r="G94" s="162">
        <f t="shared" si="2"/>
        <v>-1.6903947379554432E-2</v>
      </c>
      <c r="H94" s="162">
        <f t="shared" si="3"/>
        <v>-1.7919318092532905E-2</v>
      </c>
    </row>
    <row r="95" spans="2:8" x14ac:dyDescent="0.25">
      <c r="B95" s="79">
        <v>43895</v>
      </c>
      <c r="C95" s="76">
        <v>11525.32</v>
      </c>
      <c r="D95" s="76">
        <v>11454.65</v>
      </c>
      <c r="E95" s="76">
        <v>11514.82</v>
      </c>
      <c r="G95" s="162">
        <f t="shared" si="2"/>
        <v>1.069282385356686E-2</v>
      </c>
      <c r="H95" s="162">
        <f t="shared" si="3"/>
        <v>1.1604276711657369E-2</v>
      </c>
    </row>
    <row r="96" spans="2:8" x14ac:dyDescent="0.25">
      <c r="B96" s="79">
        <v>43894</v>
      </c>
      <c r="C96" s="76">
        <v>11392.35</v>
      </c>
      <c r="D96" s="76">
        <v>11297.81</v>
      </c>
      <c r="E96" s="76">
        <v>11392.35</v>
      </c>
      <c r="G96" s="162">
        <f t="shared" si="2"/>
        <v>5.6892583805185819E-3</v>
      </c>
      <c r="H96" s="162">
        <f t="shared" si="3"/>
        <v>5.6892583805185819E-3</v>
      </c>
    </row>
    <row r="97" spans="2:8" x14ac:dyDescent="0.25">
      <c r="B97" s="79">
        <v>43893</v>
      </c>
      <c r="C97" s="76">
        <v>11390.24</v>
      </c>
      <c r="D97" s="76">
        <v>11279.86</v>
      </c>
      <c r="E97" s="76">
        <v>11327.72</v>
      </c>
      <c r="G97" s="162">
        <f t="shared" si="2"/>
        <v>1.398002516179693E-2</v>
      </c>
      <c r="H97" s="162">
        <f t="shared" si="3"/>
        <v>1.9484054382151381E-2</v>
      </c>
    </row>
    <row r="98" spans="2:8" x14ac:dyDescent="0.25">
      <c r="B98" s="79">
        <v>43892</v>
      </c>
      <c r="C98" s="76">
        <v>11282.05</v>
      </c>
      <c r="D98" s="76">
        <v>11049.85</v>
      </c>
      <c r="E98" s="76">
        <v>11170.46</v>
      </c>
      <c r="G98" s="162">
        <f t="shared" si="2"/>
        <v>-1.0836771214087415E-2</v>
      </c>
      <c r="H98" s="162">
        <f t="shared" si="3"/>
        <v>-2.1692711973055324E-2</v>
      </c>
    </row>
    <row r="99" spans="2:8" x14ac:dyDescent="0.25">
      <c r="B99" s="79">
        <v>43888</v>
      </c>
      <c r="C99" s="76">
        <v>11470.23</v>
      </c>
      <c r="D99" s="76">
        <v>11274.52</v>
      </c>
      <c r="E99" s="76">
        <v>11292.17</v>
      </c>
      <c r="G99" s="162">
        <f t="shared" si="2"/>
        <v>-1.2448572891715302E-2</v>
      </c>
      <c r="H99" s="162">
        <f t="shared" si="3"/>
        <v>-1.4012825655320594E-2</v>
      </c>
    </row>
    <row r="100" spans="2:8" x14ac:dyDescent="0.25">
      <c r="B100" s="79">
        <v>43887</v>
      </c>
      <c r="C100" s="76">
        <v>11494.22</v>
      </c>
      <c r="D100" s="76">
        <v>11408.06</v>
      </c>
      <c r="E100" s="76">
        <v>11433.62</v>
      </c>
      <c r="G100" s="162">
        <f t="shared" si="2"/>
        <v>-9.2810534814876753E-3</v>
      </c>
      <c r="H100" s="162">
        <f t="shared" si="3"/>
        <v>-1.1519068432100254E-2</v>
      </c>
    </row>
    <row r="101" spans="2:8" x14ac:dyDescent="0.25">
      <c r="B101" s="79">
        <v>43886</v>
      </c>
      <c r="C101" s="76">
        <v>11567.09</v>
      </c>
      <c r="D101" s="76">
        <v>11415.47</v>
      </c>
      <c r="E101" s="76">
        <v>11540.23</v>
      </c>
      <c r="G101" s="162">
        <f t="shared" si="2"/>
        <v>4.6457004272147049E-4</v>
      </c>
      <c r="H101" s="162">
        <f t="shared" si="3"/>
        <v>-1.0405168486392198E-2</v>
      </c>
    </row>
    <row r="102" spans="2:8" x14ac:dyDescent="0.25">
      <c r="B102" s="79">
        <v>43885</v>
      </c>
      <c r="C102" s="76">
        <v>11615.28</v>
      </c>
      <c r="D102" s="76">
        <v>11512.08</v>
      </c>
      <c r="E102" s="76">
        <v>11534.87</v>
      </c>
      <c r="G102" s="162">
        <f t="shared" si="2"/>
        <v>-1.3046872537175095E-2</v>
      </c>
      <c r="H102" s="162">
        <f t="shared" si="3"/>
        <v>-1.502457522045648E-2</v>
      </c>
    </row>
    <row r="103" spans="2:8" x14ac:dyDescent="0.25">
      <c r="B103" s="79">
        <v>43882</v>
      </c>
      <c r="C103" s="76">
        <v>11755.17</v>
      </c>
      <c r="D103" s="76">
        <v>11661.63</v>
      </c>
      <c r="E103" s="76">
        <v>11686.35</v>
      </c>
      <c r="G103" s="162">
        <f t="shared" si="2"/>
        <v>-3.3094961573631684E-3</v>
      </c>
      <c r="H103" s="162">
        <f t="shared" si="3"/>
        <v>-5.4270248889186894E-3</v>
      </c>
    </row>
    <row r="104" spans="2:8" x14ac:dyDescent="0.25">
      <c r="B104" s="79">
        <v>43881</v>
      </c>
      <c r="C104" s="76">
        <v>11827.83</v>
      </c>
      <c r="D104" s="76">
        <v>11714.15</v>
      </c>
      <c r="E104" s="76">
        <v>11725.09</v>
      </c>
      <c r="G104" s="162">
        <f t="shared" si="2"/>
        <v>-2.8743079404406923E-3</v>
      </c>
      <c r="H104" s="162">
        <f t="shared" si="3"/>
        <v>5.8499310624269369E-3</v>
      </c>
    </row>
    <row r="105" spans="2:8" x14ac:dyDescent="0.25">
      <c r="B105" s="79">
        <v>43880</v>
      </c>
      <c r="C105" s="76">
        <v>11783.43</v>
      </c>
      <c r="D105" s="76">
        <v>11654.16</v>
      </c>
      <c r="E105" s="76">
        <v>11758.84</v>
      </c>
      <c r="G105" s="162">
        <f t="shared" si="2"/>
        <v>9.386675618911074E-3</v>
      </c>
      <c r="H105" s="162">
        <f t="shared" si="3"/>
        <v>1.1475684787736166E-2</v>
      </c>
    </row>
    <row r="106" spans="2:8" x14ac:dyDescent="0.25">
      <c r="B106" s="79">
        <v>43879</v>
      </c>
      <c r="C106" s="76">
        <v>11717.1</v>
      </c>
      <c r="D106" s="76">
        <v>11642.95</v>
      </c>
      <c r="E106" s="76">
        <v>11648.98</v>
      </c>
      <c r="G106" s="162">
        <f t="shared" si="2"/>
        <v>-9.7837447945127894E-3</v>
      </c>
      <c r="H106" s="162">
        <f t="shared" si="3"/>
        <v>-1.030152070528653E-2</v>
      </c>
    </row>
    <row r="107" spans="2:8" x14ac:dyDescent="0.25">
      <c r="B107" s="79">
        <v>43878</v>
      </c>
      <c r="C107" s="76">
        <v>11775.56</v>
      </c>
      <c r="D107" s="76">
        <v>11724.82</v>
      </c>
      <c r="E107" s="76">
        <v>11763.51</v>
      </c>
      <c r="G107" s="162">
        <f t="shared" si="2"/>
        <v>-4.4267882790152242E-3</v>
      </c>
      <c r="H107" s="162">
        <f t="shared" si="3"/>
        <v>-7.7211932019883908E-3</v>
      </c>
    </row>
    <row r="108" spans="2:8" x14ac:dyDescent="0.25">
      <c r="B108" s="79">
        <v>43875</v>
      </c>
      <c r="C108" s="76">
        <v>11840.79</v>
      </c>
      <c r="D108" s="76">
        <v>11788.87</v>
      </c>
      <c r="E108" s="76">
        <v>11815.7</v>
      </c>
      <c r="G108" s="162">
        <f t="shared" si="2"/>
        <v>2.0264770476001708E-3</v>
      </c>
      <c r="H108" s="162">
        <f t="shared" si="3"/>
        <v>4.1476716464299386E-3</v>
      </c>
    </row>
    <row r="109" spans="2:8" x14ac:dyDescent="0.25">
      <c r="B109" s="79">
        <v>43874</v>
      </c>
      <c r="C109" s="76">
        <v>11854.98</v>
      </c>
      <c r="D109" s="76">
        <v>11784.94</v>
      </c>
      <c r="E109" s="76">
        <v>11791.78</v>
      </c>
      <c r="G109" s="162">
        <f t="shared" si="2"/>
        <v>1.4928308290874039E-3</v>
      </c>
      <c r="H109" s="162">
        <f t="shared" si="3"/>
        <v>6.8381847366319765E-3</v>
      </c>
    </row>
    <row r="110" spans="2:8" x14ac:dyDescent="0.25">
      <c r="B110" s="79">
        <v>43873</v>
      </c>
      <c r="C110" s="76">
        <v>11801.52</v>
      </c>
      <c r="D110" s="76">
        <v>11693.4</v>
      </c>
      <c r="E110" s="76">
        <v>11774.19</v>
      </c>
      <c r="G110" s="162">
        <f t="shared" si="2"/>
        <v>9.3992431117333967E-3</v>
      </c>
      <c r="H110" s="162">
        <f t="shared" si="3"/>
        <v>1.1717732119483728E-2</v>
      </c>
    </row>
    <row r="111" spans="2:8" x14ac:dyDescent="0.25">
      <c r="B111" s="79">
        <v>43872</v>
      </c>
      <c r="C111" s="76">
        <v>11678.58</v>
      </c>
      <c r="D111" s="76">
        <v>11614.25</v>
      </c>
      <c r="E111" s="76">
        <v>11664.04</v>
      </c>
      <c r="G111" s="162">
        <f t="shared" si="2"/>
        <v>7.743353443638178E-3</v>
      </c>
      <c r="H111" s="162">
        <f t="shared" si="3"/>
        <v>8.9891434946691388E-3</v>
      </c>
    </row>
    <row r="112" spans="2:8" x14ac:dyDescent="0.25">
      <c r="B112" s="79">
        <v>43871</v>
      </c>
      <c r="C112" s="76">
        <v>11598.03</v>
      </c>
      <c r="D112" s="76">
        <v>11423.34</v>
      </c>
      <c r="E112" s="76">
        <v>11574.07</v>
      </c>
      <c r="G112" s="162">
        <f t="shared" si="2"/>
        <v>-3.3415479829436599E-3</v>
      </c>
      <c r="H112" s="162">
        <f t="shared" si="3"/>
        <v>-1.6450168335954269E-2</v>
      </c>
    </row>
    <row r="113" spans="2:8" x14ac:dyDescent="0.25">
      <c r="B113" s="79">
        <v>43868</v>
      </c>
      <c r="C113" s="76">
        <v>11712.71</v>
      </c>
      <c r="D113" s="76">
        <v>11592.09</v>
      </c>
      <c r="E113" s="76">
        <v>11612.81</v>
      </c>
      <c r="G113" s="162">
        <f t="shared" si="2"/>
        <v>-1.1717207021752661E-2</v>
      </c>
      <c r="H113" s="162">
        <f t="shared" si="3"/>
        <v>-1.3503037213364521E-2</v>
      </c>
    </row>
    <row r="114" spans="2:8" x14ac:dyDescent="0.25">
      <c r="B114" s="79">
        <v>43867</v>
      </c>
      <c r="C114" s="76">
        <v>11749.68</v>
      </c>
      <c r="D114" s="76">
        <v>11605.11</v>
      </c>
      <c r="E114" s="76">
        <v>11749.68</v>
      </c>
      <c r="G114" s="162">
        <f t="shared" si="2"/>
        <v>1.509763577422945E-2</v>
      </c>
      <c r="H114" s="162">
        <f t="shared" si="3"/>
        <v>1.509763577422945E-2</v>
      </c>
    </row>
    <row r="115" spans="2:8" x14ac:dyDescent="0.25">
      <c r="B115" s="79">
        <v>43866</v>
      </c>
      <c r="C115" s="76">
        <v>11620.42</v>
      </c>
      <c r="D115" s="76">
        <v>11512.71</v>
      </c>
      <c r="E115" s="76">
        <v>11573.62</v>
      </c>
      <c r="G115" s="162">
        <f t="shared" si="2"/>
        <v>1.5305106331671918E-3</v>
      </c>
      <c r="H115" s="162">
        <f t="shared" si="3"/>
        <v>5.5660355795138618E-3</v>
      </c>
    </row>
    <row r="116" spans="2:8" x14ac:dyDescent="0.25">
      <c r="B116" s="79">
        <v>43865</v>
      </c>
      <c r="C116" s="76">
        <v>11581.36</v>
      </c>
      <c r="D116" s="76">
        <v>11393.03</v>
      </c>
      <c r="E116" s="76">
        <v>11555.92</v>
      </c>
      <c r="G116" s="162">
        <f t="shared" si="2"/>
        <v>1.7546729591131103E-2</v>
      </c>
      <c r="H116" s="162">
        <f t="shared" si="3"/>
        <v>1.9745778939363526E-2</v>
      </c>
    </row>
    <row r="117" spans="2:8" x14ac:dyDescent="0.25">
      <c r="B117" s="79">
        <v>43864</v>
      </c>
      <c r="C117" s="76">
        <v>11365.9</v>
      </c>
      <c r="D117" s="76">
        <v>11138.03</v>
      </c>
      <c r="E117" s="76">
        <v>11354.92</v>
      </c>
      <c r="G117" s="162">
        <f t="shared" si="2"/>
        <v>-1.2269727433608033E-2</v>
      </c>
      <c r="H117" s="162">
        <f t="shared" si="3"/>
        <v>-3.1555478966218214E-2</v>
      </c>
    </row>
    <row r="118" spans="2:8" x14ac:dyDescent="0.25">
      <c r="B118" s="79">
        <v>43861</v>
      </c>
      <c r="C118" s="76">
        <v>11594.21</v>
      </c>
      <c r="D118" s="76">
        <v>11436.95</v>
      </c>
      <c r="E118" s="76">
        <v>11495.1</v>
      </c>
      <c r="G118" s="162">
        <f t="shared" si="2"/>
        <v>6.4023007170297182E-3</v>
      </c>
      <c r="H118" s="162">
        <f t="shared" si="3"/>
        <v>1.4987278675668089E-2</v>
      </c>
    </row>
    <row r="119" spans="2:8" x14ac:dyDescent="0.25">
      <c r="B119" s="79">
        <v>43860</v>
      </c>
      <c r="C119" s="76">
        <v>11933.23</v>
      </c>
      <c r="D119" s="76">
        <v>11418.22</v>
      </c>
      <c r="E119" s="76">
        <v>11421.74</v>
      </c>
      <c r="G119" s="162">
        <f t="shared" si="2"/>
        <v>-5.9231982438116823E-2</v>
      </c>
      <c r="H119" s="162">
        <f t="shared" si="3"/>
        <v>-5.9540214153747564E-2</v>
      </c>
    </row>
    <row r="120" spans="2:8" x14ac:dyDescent="0.25">
      <c r="B120" s="79">
        <v>43850</v>
      </c>
      <c r="C120" s="76">
        <v>12151.42</v>
      </c>
      <c r="D120" s="76">
        <v>12101.55</v>
      </c>
      <c r="E120" s="76">
        <v>12118.71</v>
      </c>
      <c r="G120" s="162">
        <f t="shared" si="2"/>
        <v>2.3478882279832389E-3</v>
      </c>
      <c r="H120" s="162">
        <f t="shared" si="3"/>
        <v>5.0433842805451996E-3</v>
      </c>
    </row>
    <row r="121" spans="2:8" x14ac:dyDescent="0.25">
      <c r="B121" s="79">
        <v>43847</v>
      </c>
      <c r="C121" s="76">
        <v>12117.55</v>
      </c>
      <c r="D121" s="76">
        <v>12055.91</v>
      </c>
      <c r="E121" s="76">
        <v>12090.29</v>
      </c>
      <c r="G121" s="162">
        <f t="shared" si="2"/>
        <v>1.9339979750327976E-3</v>
      </c>
      <c r="H121" s="162">
        <f t="shared" si="3"/>
        <v>4.1861618626361464E-3</v>
      </c>
    </row>
    <row r="122" spans="2:8" x14ac:dyDescent="0.25">
      <c r="B122" s="79">
        <v>43846</v>
      </c>
      <c r="C122" s="76">
        <v>12075.54</v>
      </c>
      <c r="D122" s="76">
        <v>12006.08</v>
      </c>
      <c r="E122" s="76">
        <v>12066.93</v>
      </c>
      <c r="G122" s="162">
        <f t="shared" si="2"/>
        <v>-2.0654998214171454E-3</v>
      </c>
      <c r="H122" s="162">
        <f t="shared" si="3"/>
        <v>-7.1209648088794509E-3</v>
      </c>
    </row>
    <row r="123" spans="2:8" x14ac:dyDescent="0.25">
      <c r="B123" s="79">
        <v>43845</v>
      </c>
      <c r="C123" s="76">
        <v>12169.92</v>
      </c>
      <c r="D123" s="76">
        <v>12048.01</v>
      </c>
      <c r="E123" s="76">
        <v>12091.88</v>
      </c>
      <c r="G123" s="162">
        <f t="shared" si="2"/>
        <v>-7.2455098655643388E-3</v>
      </c>
      <c r="H123" s="162">
        <f t="shared" si="3"/>
        <v>-1.0880161746420824E-2</v>
      </c>
    </row>
    <row r="124" spans="2:8" x14ac:dyDescent="0.25">
      <c r="B124" s="79">
        <v>43844</v>
      </c>
      <c r="C124" s="76">
        <v>12186.62</v>
      </c>
      <c r="D124" s="76">
        <v>12140.27</v>
      </c>
      <c r="E124" s="76">
        <v>12179.81</v>
      </c>
      <c r="G124" s="162">
        <f t="shared" si="2"/>
        <v>5.4657338920505588E-3</v>
      </c>
      <c r="H124" s="162">
        <f t="shared" si="3"/>
        <v>6.024699664000782E-3</v>
      </c>
    </row>
    <row r="125" spans="2:8" x14ac:dyDescent="0.25">
      <c r="B125" s="79">
        <v>43843</v>
      </c>
      <c r="C125" s="76">
        <v>12113.42</v>
      </c>
      <c r="D125" s="76">
        <v>12037.24</v>
      </c>
      <c r="E125" s="76">
        <v>12113.42</v>
      </c>
    </row>
    <row r="126" spans="2:8" x14ac:dyDescent="0.25">
      <c r="B126" s="79"/>
      <c r="C126"/>
      <c r="D126"/>
      <c r="E126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AV49"/>
  <sheetViews>
    <sheetView topLeftCell="A7" workbookViewId="0">
      <selection activeCell="S38" sqref="S38"/>
    </sheetView>
  </sheetViews>
  <sheetFormatPr defaultRowHeight="16.5" x14ac:dyDescent="0.25"/>
  <cols>
    <col min="1" max="1" width="10.625" bestFit="1" customWidth="1"/>
    <col min="2" max="2" width="13.75" bestFit="1" customWidth="1"/>
    <col min="4" max="4" width="10.75" customWidth="1"/>
    <col min="16" max="16" width="13.375" customWidth="1"/>
    <col min="18" max="18" width="13.375" customWidth="1"/>
    <col min="19" max="19" width="12" customWidth="1"/>
    <col min="30" max="30" width="12.875" customWidth="1"/>
  </cols>
  <sheetData>
    <row r="1" spans="1:48" ht="17.25" thickBot="1" x14ac:dyDescent="0.3">
      <c r="A1" s="13" t="s">
        <v>49</v>
      </c>
      <c r="B1" s="13" t="s">
        <v>48</v>
      </c>
      <c r="C1" s="13" t="s">
        <v>21</v>
      </c>
      <c r="D1" s="13" t="s">
        <v>18</v>
      </c>
      <c r="E1" s="12" t="s">
        <v>3</v>
      </c>
      <c r="F1" s="12" t="s">
        <v>4</v>
      </c>
      <c r="G1" s="12" t="s">
        <v>5</v>
      </c>
      <c r="H1" s="12" t="s">
        <v>16</v>
      </c>
      <c r="I1" s="12" t="s">
        <v>17</v>
      </c>
      <c r="J1" s="16" t="s">
        <v>6</v>
      </c>
      <c r="K1" s="12" t="s">
        <v>3</v>
      </c>
      <c r="L1" s="12" t="s">
        <v>4</v>
      </c>
      <c r="M1" s="12" t="s">
        <v>5</v>
      </c>
      <c r="N1" s="12" t="s">
        <v>16</v>
      </c>
      <c r="O1" s="12" t="s">
        <v>17</v>
      </c>
      <c r="P1" s="13" t="s">
        <v>18</v>
      </c>
      <c r="Q1" s="13" t="s">
        <v>21</v>
      </c>
      <c r="R1" s="13" t="s">
        <v>48</v>
      </c>
      <c r="S1" s="13" t="s">
        <v>49</v>
      </c>
      <c r="T1" s="46"/>
      <c r="U1" s="44" t="s">
        <v>62</v>
      </c>
      <c r="V1" s="47" t="s">
        <v>63</v>
      </c>
      <c r="AA1" s="13" t="s">
        <v>49</v>
      </c>
      <c r="AB1" s="13" t="s">
        <v>48</v>
      </c>
      <c r="AC1" s="13" t="s">
        <v>21</v>
      </c>
      <c r="AD1" s="13" t="s">
        <v>18</v>
      </c>
      <c r="AE1" s="12" t="s">
        <v>3</v>
      </c>
      <c r="AF1" s="12" t="s">
        <v>4</v>
      </c>
      <c r="AG1" s="12" t="s">
        <v>5</v>
      </c>
      <c r="AH1" s="12" t="s">
        <v>16</v>
      </c>
      <c r="AI1" s="12" t="s">
        <v>17</v>
      </c>
      <c r="AJ1" s="16" t="s">
        <v>6</v>
      </c>
      <c r="AK1" s="12" t="s">
        <v>3</v>
      </c>
      <c r="AL1" s="12" t="s">
        <v>4</v>
      </c>
      <c r="AM1" s="12" t="s">
        <v>5</v>
      </c>
      <c r="AN1" s="12" t="s">
        <v>16</v>
      </c>
      <c r="AO1" s="12" t="s">
        <v>17</v>
      </c>
      <c r="AP1" s="13" t="s">
        <v>18</v>
      </c>
      <c r="AQ1" s="13" t="s">
        <v>21</v>
      </c>
      <c r="AR1" s="13" t="s">
        <v>48</v>
      </c>
      <c r="AS1" s="13" t="s">
        <v>49</v>
      </c>
      <c r="AT1" s="46"/>
      <c r="AU1" s="44" t="s">
        <v>62</v>
      </c>
      <c r="AV1" s="47" t="s">
        <v>63</v>
      </c>
    </row>
    <row r="2" spans="1:48" ht="17.25" thickBot="1" x14ac:dyDescent="0.3">
      <c r="A2" s="36">
        <f ca="1">(GBSOption("C",指數型權證!$T$2,$J2, 選擇權週選!$N$2,$H2, 0,0)-GBSOption("C",指數型權證!$T$2,$J2,選擇權週選!$O$2,$H2, 0,0))*$C2*50*-1</f>
        <v>0</v>
      </c>
      <c r="B2" s="14">
        <f ca="1">GBSGreeks("d", "C",指數型權證!$T$2,$J2,選擇權週選!$N$2,$H2, 0,0)*50*指數型權證!$T$2*$C2</f>
        <v>0</v>
      </c>
      <c r="C2" s="14">
        <f>SUMIFS(指數型權證!$AH$1:$AH$49,指數型權證!$AL$1:$AL$49,"7",指數型權證!$AJ$1:$AJ$49,$J2,指數型權證!$AM$1:$AM$49,"Call")</f>
        <v>0</v>
      </c>
      <c r="D2" s="14">
        <f ca="1">GBSGreeks("g", "C",指數型權證!$T$2,$J2,選擇權週選!$N$2,$H2, 0,0)*50*指數型權證!$T$2^2*1%*$C2*-1</f>
        <v>0</v>
      </c>
      <c r="E2" s="17" t="s">
        <v>3034</v>
      </c>
      <c r="F2" s="17" t="s">
        <v>3034</v>
      </c>
      <c r="G2" s="17" t="s">
        <v>3034</v>
      </c>
      <c r="H2" s="19">
        <v>0.6</v>
      </c>
      <c r="I2" s="19">
        <v>0.6</v>
      </c>
      <c r="J2" s="18">
        <v>10000</v>
      </c>
      <c r="K2" s="17" t="s">
        <v>3034</v>
      </c>
      <c r="L2" s="17" t="s">
        <v>3034</v>
      </c>
      <c r="M2" s="17" t="s">
        <v>3034</v>
      </c>
      <c r="N2" s="19">
        <v>0.6</v>
      </c>
      <c r="O2" s="19">
        <v>0.6</v>
      </c>
      <c r="P2" s="14">
        <f ca="1">GBSGreeks("g", "P",指數型權證!$T$2,$J2,選擇權週選!$N$2,$N2, 0,0)*50*指數型權證!$T$2^2*1%*$Q2*-1</f>
        <v>0</v>
      </c>
      <c r="Q2" s="14">
        <f>SUMIFS(指數型權證!$AH$1:$AH$49,指數型權證!$AL$1:$AL$49,"WK",指數型權證!$AJ$1:$AJ$49,$J2,指數型權證!$AM$1:$AM$49,"Put")</f>
        <v>0</v>
      </c>
      <c r="R2" s="14">
        <f ca="1">GBSGreeks("d", "P",指數型權證!$T$2,$J2,選擇權週選!$N$2,$N2, 0,0)*50*指數型權證!$T$2*$Q2</f>
        <v>0</v>
      </c>
      <c r="S2" s="36">
        <f ca="1">(GBSOption("P",指數型權證!$T$2,$J2, 選擇權週選!$N$2,$N2, 0,0)-GBSOption("P",指數型權證!$T$2,$J2,選擇權週選!$O$2,$N2, 0,0))*$Q2*50*-1</f>
        <v>0</v>
      </c>
      <c r="T2" s="36"/>
      <c r="U2" s="48">
        <f ca="1">(GBSOption("C",指數型權證!$T$2,$J2,選擇權週選!$N$2,$H2,0, 0)-GBSOption("C",指數型權證!$T$2,$J2,選擇權週選!$N$2,$H2+0.01,0, 0))*50*$C2</f>
        <v>0</v>
      </c>
      <c r="V2" s="48">
        <f ca="1">(GBSOption("P",指數型權證!$T$2,$J2,選擇權週選!$N$2,$N2,0, 0)-GBSOption("P",指數型權證!$T$2,$J2,選擇權週選!$N$2,$N2+0.01,0, 0))*50*$Q2</f>
        <v>0</v>
      </c>
      <c r="AA2" s="36">
        <v>0</v>
      </c>
      <c r="AB2" s="14">
        <v>0</v>
      </c>
      <c r="AC2" s="14">
        <v>0</v>
      </c>
      <c r="AD2" s="14">
        <v>0</v>
      </c>
      <c r="AE2" s="17">
        <v>2180</v>
      </c>
      <c r="AF2" s="17">
        <v>2190</v>
      </c>
      <c r="AG2" s="17" t="s">
        <v>1854</v>
      </c>
      <c r="AH2" s="19">
        <v>1.610321044921875E-4</v>
      </c>
      <c r="AI2" s="19">
        <v>1.4605372283935547</v>
      </c>
      <c r="AJ2" s="18">
        <v>10000</v>
      </c>
      <c r="AK2" s="17" t="s">
        <v>1854</v>
      </c>
      <c r="AL2" s="17">
        <v>0.2</v>
      </c>
      <c r="AM2" s="17">
        <v>0.1</v>
      </c>
      <c r="AN2" s="19">
        <v>0.6</v>
      </c>
      <c r="AO2" s="19">
        <v>1.0113409393310548</v>
      </c>
      <c r="AP2" s="14">
        <v>0</v>
      </c>
      <c r="AQ2" s="14">
        <v>0</v>
      </c>
      <c r="AR2" s="14">
        <v>0</v>
      </c>
      <c r="AS2" s="36">
        <v>0</v>
      </c>
      <c r="AT2" s="36"/>
      <c r="AU2" s="48">
        <v>0</v>
      </c>
      <c r="AV2" s="48">
        <v>0</v>
      </c>
    </row>
    <row r="3" spans="1:48" ht="17.25" thickBot="1" x14ac:dyDescent="0.3">
      <c r="A3" s="36">
        <f ca="1">(GBSOption("C",指數型權證!$T$2,$J3, 選擇權週選!$N$2,$H3, 0,0)-GBSOption("C",指數型權證!$T$2,$J3,選擇權週選!$O$2,$H3, 0,0))*$C3*50*-1</f>
        <v>0</v>
      </c>
      <c r="B3" s="14">
        <f ca="1">GBSGreeks("d", "C",指數型權證!$T$2,$J3,選擇權週選!$N$2,$H3, 0,0)*50*指數型權證!$T$2*$C3</f>
        <v>0</v>
      </c>
      <c r="C3" s="14">
        <f>SUMIFS(指數型權證!$AH$1:$AH$49,指數型權證!$AL$1:$AL$49,"7",指數型權證!$AJ$1:$AJ$49,$J3,指數型權證!$AM$1:$AM$49,"Call")</f>
        <v>0</v>
      </c>
      <c r="D3" s="14">
        <f ca="1">GBSGreeks("g", "C",指數型權證!$T$2,$J3,選擇權週選!$N$2,$H3, 0,0)*50*指數型權證!$T$2^2*1%*$C3*-1</f>
        <v>0</v>
      </c>
      <c r="E3" s="17" t="s">
        <v>3034</v>
      </c>
      <c r="F3" s="17" t="s">
        <v>3034</v>
      </c>
      <c r="G3" s="17" t="s">
        <v>3034</v>
      </c>
      <c r="H3" s="19">
        <v>0.6</v>
      </c>
      <c r="I3" s="19">
        <v>0.6</v>
      </c>
      <c r="J3" s="18">
        <v>10100</v>
      </c>
      <c r="K3" s="17" t="s">
        <v>3034</v>
      </c>
      <c r="L3" s="17" t="s">
        <v>3034</v>
      </c>
      <c r="M3" s="17" t="s">
        <v>3034</v>
      </c>
      <c r="N3" s="19">
        <v>0.6</v>
      </c>
      <c r="O3" s="19">
        <v>0.6</v>
      </c>
      <c r="P3" s="14">
        <f ca="1">GBSGreeks("g", "P",指數型權證!$T$2,$J3,選擇權週選!$N$2,$N3, 0,0)*50*指數型權證!$T$2^2*1%*$Q3*-1</f>
        <v>0</v>
      </c>
      <c r="Q3" s="14">
        <f>SUMIFS(指數型權證!$AH$1:$AH$49,指數型權證!$AL$1:$AL$49,"WK",指數型權證!$AJ$1:$AJ$49,$J3,指數型權證!$AM$1:$AM$49,"Put")</f>
        <v>0</v>
      </c>
      <c r="R3" s="14">
        <f ca="1">GBSGreeks("d", "P",指數型權證!$T$2,$J3,選擇權週選!$N$2,$N3, 0,0)*50*指數型權證!$T$2*$Q3</f>
        <v>0</v>
      </c>
      <c r="S3" s="36">
        <f ca="1">(GBSOption("P",指數型權證!$T$2,$J3, 選擇權週選!$N$2,$N3, 0,0)-GBSOption("P",指數型權證!$T$2,$J3,選擇權週選!$O$2,$N3, 0,0))*$Q3*50*-1</f>
        <v>0</v>
      </c>
      <c r="T3" s="36"/>
      <c r="U3" s="48">
        <f ca="1">(GBSOption("C",指數型權證!$T$2,$J3,選擇權週選!$N$2,$H3,0, 0)-GBSOption("C",指數型權證!$T$2,$J3,選擇權週選!$N$2,$H3+0.01,0, 0))*50*$C3</f>
        <v>0</v>
      </c>
      <c r="V3" s="48">
        <f ca="1">(GBSOption("P",指數型權證!$T$2,$J3,選擇權週選!$N$2,$N3,0, 0)-GBSOption("P",指數型權證!$T$2,$J3,選擇權週選!$N$2,$N3+0.01,0, 0))*50*$Q3</f>
        <v>0</v>
      </c>
      <c r="AA3" s="36">
        <v>0</v>
      </c>
      <c r="AB3" s="14">
        <v>0</v>
      </c>
      <c r="AC3" s="14">
        <v>0</v>
      </c>
      <c r="AD3" s="14">
        <v>0</v>
      </c>
      <c r="AE3" s="17">
        <v>2080</v>
      </c>
      <c r="AF3" s="17">
        <v>2090</v>
      </c>
      <c r="AG3" s="17" t="s">
        <v>1854</v>
      </c>
      <c r="AH3" s="19">
        <v>1.610321044921875E-4</v>
      </c>
      <c r="AI3" s="19">
        <v>1.3963314544677734</v>
      </c>
      <c r="AJ3" s="18">
        <v>10100</v>
      </c>
      <c r="AK3" s="17" t="s">
        <v>1854</v>
      </c>
      <c r="AL3" s="17">
        <v>0.2</v>
      </c>
      <c r="AM3" s="17">
        <v>0.2</v>
      </c>
      <c r="AN3" s="19">
        <v>0.6</v>
      </c>
      <c r="AO3" s="19">
        <v>0.96410209045410167</v>
      </c>
      <c r="AP3" s="14">
        <v>0</v>
      </c>
      <c r="AQ3" s="14">
        <v>0</v>
      </c>
      <c r="AR3" s="14">
        <v>0</v>
      </c>
      <c r="AS3" s="36">
        <v>0</v>
      </c>
      <c r="AT3" s="36"/>
      <c r="AU3" s="48">
        <v>0</v>
      </c>
      <c r="AV3" s="48">
        <v>0</v>
      </c>
    </row>
    <row r="4" spans="1:48" ht="17.25" thickBot="1" x14ac:dyDescent="0.3">
      <c r="A4" s="36">
        <f ca="1">(GBSOption("C",指數型權證!$T$2,$J4, 選擇權週選!$N$2,$H4, 0,0)-GBSOption("C",指數型權證!$T$2,$J4,選擇權週選!$O$2,$H4, 0,0))*$C4*50*-1</f>
        <v>0</v>
      </c>
      <c r="B4" s="14">
        <f ca="1">GBSGreeks("d", "C",指數型權證!$T$2,$J4,選擇權週選!$N$2,$H4, 0,0)*50*指數型權證!$T$2*$C4</f>
        <v>0</v>
      </c>
      <c r="C4" s="14">
        <f>SUMIFS(指數型權證!$AH$1:$AH$49,指數型權證!$AL$1:$AL$49,"7",指數型權證!$AJ$1:$AJ$49,$J4,指數型權證!$AM$1:$AM$49,"Call")</f>
        <v>0</v>
      </c>
      <c r="D4" s="14">
        <f ca="1">GBSGreeks("g", "C",指數型權證!$T$2,$J4,選擇權週選!$N$2,$H4, 0,0)*50*指數型權證!$T$2^2*1%*$C4*-1</f>
        <v>0</v>
      </c>
      <c r="E4" s="17" t="s">
        <v>3034</v>
      </c>
      <c r="F4" s="17" t="s">
        <v>3034</v>
      </c>
      <c r="G4" s="20" t="s">
        <v>3034</v>
      </c>
      <c r="H4" s="19">
        <v>0.6</v>
      </c>
      <c r="I4" s="19">
        <v>0.6</v>
      </c>
      <c r="J4" s="18">
        <v>10200</v>
      </c>
      <c r="K4" s="17" t="s">
        <v>3034</v>
      </c>
      <c r="L4" s="17" t="s">
        <v>3034</v>
      </c>
      <c r="M4" s="17" t="s">
        <v>3034</v>
      </c>
      <c r="N4" s="19">
        <v>0.6</v>
      </c>
      <c r="O4" s="19">
        <v>0.6</v>
      </c>
      <c r="P4" s="14">
        <f ca="1">GBSGreeks("g", "P",指數型權證!$T$2,$J4,選擇權週選!$N$2,$N4, 0,0)*50*指數型權證!$T$2^2*1%*$Q4*-1</f>
        <v>0</v>
      </c>
      <c r="Q4" s="14">
        <f>SUMIFS(指數型權證!$AH$1:$AH$49,指數型權證!$AL$1:$AL$49,"WK",指數型權證!$AJ$1:$AJ$49,$J4,指數型權證!$AM$1:$AM$49,"Put")</f>
        <v>0</v>
      </c>
      <c r="R4" s="14">
        <f ca="1">GBSGreeks("d", "P",指數型權證!$T$2,$J4,選擇權週選!$N$2,$N4, 0,0)*50*指數型權證!$T$2*$Q4</f>
        <v>0</v>
      </c>
      <c r="S4" s="36">
        <f ca="1">(GBSOption("P",指數型權證!$T$2,$J4, 選擇權週選!$N$2,$N4, 0,0)-GBSOption("P",指數型權證!$T$2,$J4,選擇權週選!$O$2,$N4, 0,0))*$Q4*50*-1</f>
        <v>0</v>
      </c>
      <c r="T4" s="36"/>
      <c r="U4" s="48">
        <f ca="1">(GBSOption("C",指數型權證!$T$2,$J4,選擇權週選!$N$2,$H4,0, 0)-GBSOption("C",指數型權證!$T$2,$J4,選擇權週選!$N$2,$H4+0.01,0, 0))*50*$C4</f>
        <v>0</v>
      </c>
      <c r="V4" s="48">
        <f ca="1">(GBSOption("P",指數型權證!$T$2,$J4,選擇權週選!$N$2,$N4,0, 0)-GBSOption("P",指數型權證!$T$2,$J4,選擇權週選!$N$2,$N4+0.01,0, 0))*50*$Q4</f>
        <v>0</v>
      </c>
      <c r="AA4" s="36">
        <v>0</v>
      </c>
      <c r="AB4" s="14">
        <v>0</v>
      </c>
      <c r="AC4" s="14">
        <v>0</v>
      </c>
      <c r="AD4" s="14">
        <v>0</v>
      </c>
      <c r="AE4" s="17">
        <v>1980</v>
      </c>
      <c r="AF4" s="17">
        <v>1990</v>
      </c>
      <c r="AG4" s="20" t="s">
        <v>1854</v>
      </c>
      <c r="AH4" s="19">
        <v>1.610321044921875E-4</v>
      </c>
      <c r="AI4" s="19">
        <v>1.3324918731689448</v>
      </c>
      <c r="AJ4" s="18">
        <v>10200</v>
      </c>
      <c r="AK4" s="17" t="s">
        <v>1854</v>
      </c>
      <c r="AL4" s="17">
        <v>0.2</v>
      </c>
      <c r="AM4" s="17">
        <v>0.2</v>
      </c>
      <c r="AN4" s="19">
        <v>0.6</v>
      </c>
      <c r="AO4" s="19">
        <v>0.91710736999511711</v>
      </c>
      <c r="AP4" s="14">
        <v>0</v>
      </c>
      <c r="AQ4" s="14">
        <v>0</v>
      </c>
      <c r="AR4" s="14">
        <v>0</v>
      </c>
      <c r="AS4" s="36">
        <v>0</v>
      </c>
      <c r="AT4" s="36"/>
      <c r="AU4" s="48">
        <v>0</v>
      </c>
      <c r="AV4" s="48">
        <v>0</v>
      </c>
    </row>
    <row r="5" spans="1:48" ht="17.25" thickBot="1" x14ac:dyDescent="0.3">
      <c r="A5" s="36">
        <f ca="1">(GBSOption("C",指數型權證!$T$2,$J5, 選擇權週選!$N$2,$H5, 0,0)-GBSOption("C",指數型權證!$T$2,$J5,選擇權週選!$O$2,$H5, 0,0))*$C5*50*-1</f>
        <v>0</v>
      </c>
      <c r="B5" s="14">
        <f ca="1">GBSGreeks("d", "C",指數型權證!$T$2,$J5,選擇權週選!$N$2,$H5, 0,0)*50*指數型權證!$T$2*$C5</f>
        <v>0</v>
      </c>
      <c r="C5" s="14">
        <f>SUMIFS(指數型權證!$AH$1:$AH$49,指數型權證!$AL$1:$AL$49,"7",指數型權證!$AJ$1:$AJ$49,$J5,指數型權證!$AM$1:$AM$49,"Call")</f>
        <v>0</v>
      </c>
      <c r="D5" s="14">
        <f ca="1">GBSGreeks("g", "C",指數型權證!$T$2,$J5,選擇權週選!$N$2,$H5, 0,0)*50*指數型權證!$T$2^2*1%*$C5*-1</f>
        <v>0</v>
      </c>
      <c r="E5" s="17" t="s">
        <v>3034</v>
      </c>
      <c r="F5" s="17" t="s">
        <v>3034</v>
      </c>
      <c r="G5" s="17" t="s">
        <v>3034</v>
      </c>
      <c r="H5" s="19">
        <v>0.6</v>
      </c>
      <c r="I5" s="19">
        <v>0.6</v>
      </c>
      <c r="J5" s="18">
        <v>10300</v>
      </c>
      <c r="K5" s="17" t="s">
        <v>3034</v>
      </c>
      <c r="L5" s="17" t="s">
        <v>3034</v>
      </c>
      <c r="M5" s="17" t="s">
        <v>3034</v>
      </c>
      <c r="N5" s="19">
        <v>0.6</v>
      </c>
      <c r="O5" s="19">
        <v>0.6</v>
      </c>
      <c r="P5" s="14">
        <f ca="1">GBSGreeks("g", "P",指數型權證!$T$2,$J5,選擇權週選!$N$2,$N5, 0,0)*50*指數型權證!$T$2^2*1%*$Q5*-1</f>
        <v>0</v>
      </c>
      <c r="Q5" s="14">
        <f>SUMIFS(指數型權證!$AH$1:$AH$49,指數型權證!$AL$1:$AL$49,"WK",指數型權證!$AJ$1:$AJ$49,$J5,指數型權證!$AM$1:$AM$49,"Put")</f>
        <v>0</v>
      </c>
      <c r="R5" s="14">
        <f ca="1">GBSGreeks("d", "P",指數型權證!$T$2,$J5,選擇權週選!$N$2,$N5, 0,0)*50*指數型權證!$T$2*$Q5</f>
        <v>0</v>
      </c>
      <c r="S5" s="36">
        <f ca="1">(GBSOption("P",指數型權證!$T$2,$J5, 選擇權週選!$N$2,$N5, 0,0)-GBSOption("P",指數型權證!$T$2,$J5,選擇權週選!$O$2,$N5, 0,0))*$Q5*50*-1</f>
        <v>0</v>
      </c>
      <c r="T5" s="36"/>
      <c r="U5" s="48">
        <f ca="1">(GBSOption("C",指數型權證!$T$2,$J5,選擇權週選!$N$2,$H5,0, 0)-GBSOption("C",指數型權證!$T$2,$J5,選擇權週選!$N$2,$H5+0.01,0, 0))*50*$C5</f>
        <v>0</v>
      </c>
      <c r="V5" s="48">
        <f ca="1">(GBSOption("P",指數型權證!$T$2,$J5,選擇權週選!$N$2,$N5,0, 0)-GBSOption("P",指數型權證!$T$2,$J5,選擇權週選!$N$2,$N5+0.01,0, 0))*50*$Q5</f>
        <v>0</v>
      </c>
      <c r="AA5" s="36">
        <v>0</v>
      </c>
      <c r="AB5" s="14">
        <v>0</v>
      </c>
      <c r="AC5" s="14">
        <v>0</v>
      </c>
      <c r="AD5" s="14">
        <v>0</v>
      </c>
      <c r="AE5" s="17">
        <v>1880</v>
      </c>
      <c r="AF5" s="17">
        <v>1890</v>
      </c>
      <c r="AG5" s="17">
        <v>1840</v>
      </c>
      <c r="AH5" s="19">
        <v>1.610321044921875E-4</v>
      </c>
      <c r="AI5" s="19">
        <v>1.2688964202880857</v>
      </c>
      <c r="AJ5" s="18">
        <v>10300</v>
      </c>
      <c r="AK5" s="17" t="s">
        <v>1854</v>
      </c>
      <c r="AL5" s="17">
        <v>0.1</v>
      </c>
      <c r="AM5" s="17">
        <v>0.1</v>
      </c>
      <c r="AN5" s="19">
        <v>0.6</v>
      </c>
      <c r="AO5" s="19">
        <v>0.82336205749511726</v>
      </c>
      <c r="AP5" s="14">
        <v>0</v>
      </c>
      <c r="AQ5" s="14">
        <v>0</v>
      </c>
      <c r="AR5" s="14">
        <v>0</v>
      </c>
      <c r="AS5" s="36">
        <v>0</v>
      </c>
      <c r="AT5" s="36"/>
      <c r="AU5" s="48">
        <v>0</v>
      </c>
      <c r="AV5" s="48">
        <v>0</v>
      </c>
    </row>
    <row r="6" spans="1:48" ht="17.25" thickBot="1" x14ac:dyDescent="0.3">
      <c r="A6" s="36">
        <f ca="1">(GBSOption("C",指數型權證!$T$2,$J6, 選擇權週選!$N$2,$H6, 0,0)-GBSOption("C",指數型權證!$T$2,$J6,選擇權週選!$O$2,$H6, 0,0))*$C6*50*-1</f>
        <v>0</v>
      </c>
      <c r="B6" s="14">
        <f ca="1">GBSGreeks("d", "C",指數型權證!$T$2,$J6,選擇權週選!$N$2,$H6, 0,0)*50*指數型權證!$T$2*$C6</f>
        <v>0</v>
      </c>
      <c r="C6" s="14">
        <f>SUMIFS(指數型權證!$AH$1:$AH$49,指數型權證!$AL$1:$AL$49,"7",指數型權證!$AJ$1:$AJ$49,$J6,指數型權證!$AM$1:$AM$49,"Call")</f>
        <v>0</v>
      </c>
      <c r="D6" s="14">
        <f ca="1">GBSGreeks("g", "C",指數型權證!$T$2,$J6,選擇權週選!$N$2,$H6, 0,0)*50*指數型權證!$T$2^2*1%*$C6*-1</f>
        <v>0</v>
      </c>
      <c r="E6" s="17" t="s">
        <v>3034</v>
      </c>
      <c r="F6" s="17" t="s">
        <v>3034</v>
      </c>
      <c r="G6" s="17" t="s">
        <v>3034</v>
      </c>
      <c r="H6" s="19">
        <v>0.6</v>
      </c>
      <c r="I6" s="19">
        <v>0.6</v>
      </c>
      <c r="J6" s="18">
        <v>10400</v>
      </c>
      <c r="K6" s="17" t="s">
        <v>3034</v>
      </c>
      <c r="L6" s="17" t="s">
        <v>3034</v>
      </c>
      <c r="M6" s="17" t="s">
        <v>3034</v>
      </c>
      <c r="N6" s="19">
        <v>0.6</v>
      </c>
      <c r="O6" s="19">
        <v>0.6</v>
      </c>
      <c r="P6" s="14">
        <f ca="1">GBSGreeks("g", "P",指數型權證!$T$2,$J6,選擇權週選!$N$2,$N6, 0,0)*50*指數型權證!$T$2^2*1%*$Q6*-1</f>
        <v>0</v>
      </c>
      <c r="Q6" s="14">
        <f>SUMIFS(指數型權證!$AH$1:$AH$49,指數型權證!$AL$1:$AL$49,"WK",指數型權證!$AJ$1:$AJ$49,$J6,指數型權證!$AM$1:$AM$49,"Put")</f>
        <v>0</v>
      </c>
      <c r="R6" s="14">
        <f ca="1">GBSGreeks("d", "P",指數型權證!$T$2,$J6,選擇權週選!$N$2,$N6, 0,0)*50*指數型權證!$T$2*$Q6</f>
        <v>0</v>
      </c>
      <c r="S6" s="36">
        <f ca="1">(GBSOption("P",指數型權證!$T$2,$J6, 選擇權週選!$N$2,$N6, 0,0)-GBSOption("P",指數型權證!$T$2,$J6,選擇權週選!$O$2,$N6, 0,0))*$Q6*50*-1</f>
        <v>0</v>
      </c>
      <c r="T6" s="36"/>
      <c r="U6" s="48">
        <f ca="1">(GBSOption("C",指數型權證!$T$2,$J6,選擇權週選!$N$2,$H6,0, 0)-GBSOption("C",指數型權證!$T$2,$J6,選擇權週選!$N$2,$H6+0.01,0, 0))*50*$C6</f>
        <v>0</v>
      </c>
      <c r="V6" s="48">
        <f ca="1">(GBSOption("P",指數型權證!$T$2,$J6,選擇權週選!$N$2,$N6,0, 0)-GBSOption("P",指數型權證!$T$2,$J6,選擇權週選!$N$2,$N6+0.01,0, 0))*50*$Q6</f>
        <v>0</v>
      </c>
      <c r="AA6" s="36">
        <v>0</v>
      </c>
      <c r="AB6" s="14">
        <v>0</v>
      </c>
      <c r="AC6" s="14">
        <v>0</v>
      </c>
      <c r="AD6" s="14">
        <v>0</v>
      </c>
      <c r="AE6" s="17">
        <v>1780</v>
      </c>
      <c r="AF6" s="17">
        <v>1790</v>
      </c>
      <c r="AG6" s="17">
        <v>1760</v>
      </c>
      <c r="AH6" s="19">
        <v>1.610321044921875E-4</v>
      </c>
      <c r="AI6" s="19">
        <v>1.2056671600341797</v>
      </c>
      <c r="AJ6" s="18">
        <v>10400</v>
      </c>
      <c r="AK6" s="17" t="s">
        <v>1854</v>
      </c>
      <c r="AL6" s="17">
        <v>0.2</v>
      </c>
      <c r="AM6" s="17">
        <v>0.1</v>
      </c>
      <c r="AN6" s="19">
        <v>0.6</v>
      </c>
      <c r="AO6" s="19">
        <v>0.82421650695800797</v>
      </c>
      <c r="AP6" s="14">
        <v>0</v>
      </c>
      <c r="AQ6" s="14">
        <v>0</v>
      </c>
      <c r="AR6" s="14">
        <v>0</v>
      </c>
      <c r="AS6" s="36">
        <v>0</v>
      </c>
      <c r="AT6" s="36"/>
      <c r="AU6" s="48">
        <v>0</v>
      </c>
      <c r="AV6" s="48">
        <v>0</v>
      </c>
    </row>
    <row r="7" spans="1:48" ht="17.25" thickBot="1" x14ac:dyDescent="0.3">
      <c r="A7" s="36">
        <f ca="1">(GBSOption("C",指數型權證!$T$2,$J7, 選擇權週選!$N$2,$H7, 0,0)-GBSOption("C",指數型權證!$T$2,$J7,選擇權週選!$O$2,$H7, 0,0))*$C7*50*-1</f>
        <v>0</v>
      </c>
      <c r="B7" s="14">
        <f ca="1">GBSGreeks("d", "C",指數型權證!$T$2,$J7,選擇權週選!$N$2,$H7, 0,0)*50*指數型權證!$T$2*$C7</f>
        <v>0</v>
      </c>
      <c r="C7" s="14">
        <f>SUMIFS(指數型權證!$AH$1:$AH$49,指數型權證!$AL$1:$AL$49,"7",指數型權證!$AJ$1:$AJ$49,$J7,指數型權證!$AM$1:$AM$49,"Call")</f>
        <v>0</v>
      </c>
      <c r="D7" s="14">
        <f ca="1">GBSGreeks("g", "C",指數型權證!$T$2,$J7,選擇權週選!$N$2,$H7, 0,0)*50*指數型權證!$T$2^2*1%*$C7*-1</f>
        <v>0</v>
      </c>
      <c r="E7" s="17" t="s">
        <v>3034</v>
      </c>
      <c r="F7" s="17" t="s">
        <v>3034</v>
      </c>
      <c r="G7" s="17" t="s">
        <v>3034</v>
      </c>
      <c r="H7" s="19">
        <v>0.6</v>
      </c>
      <c r="I7" s="19">
        <v>0.6</v>
      </c>
      <c r="J7" s="18">
        <v>10500</v>
      </c>
      <c r="K7" s="17" t="s">
        <v>3034</v>
      </c>
      <c r="L7" s="17" t="s">
        <v>3034</v>
      </c>
      <c r="M7" s="17" t="s">
        <v>3034</v>
      </c>
      <c r="N7" s="19">
        <v>0.6</v>
      </c>
      <c r="O7" s="19">
        <v>0.6</v>
      </c>
      <c r="P7" s="14">
        <f ca="1">GBSGreeks("g", "P",指數型權證!$T$2,$J7,選擇權週選!$N$2,$N7, 0,0)*50*指數型權證!$T$2^2*1%*$Q7*-1</f>
        <v>0</v>
      </c>
      <c r="Q7" s="14">
        <f>SUMIFS(指數型權證!$AH$1:$AH$49,指數型權證!$AL$1:$AL$49,"WK",指數型權證!$AJ$1:$AJ$49,$J7,指數型權證!$AM$1:$AM$49,"Put")</f>
        <v>0</v>
      </c>
      <c r="R7" s="14">
        <f ca="1">GBSGreeks("d", "P",指數型權證!$T$2,$J7,選擇權週選!$N$2,$N7, 0,0)*50*指數型權證!$T$2*$Q7</f>
        <v>0</v>
      </c>
      <c r="S7" s="36">
        <f ca="1">(GBSOption("P",指數型權證!$T$2,$J7, 選擇權週選!$N$2,$N7, 0,0)-GBSOption("P",指數型權證!$T$2,$J7,選擇權週選!$O$2,$N7, 0,0))*$Q7*50*-1</f>
        <v>0</v>
      </c>
      <c r="T7" s="36"/>
      <c r="U7" s="48">
        <f ca="1">(GBSOption("C",指數型權證!$T$2,$J7,選擇權週選!$N$2,$H7,0, 0)-GBSOption("C",指數型權證!$T$2,$J7,選擇權週選!$N$2,$H7+0.01,0, 0))*50*$C7</f>
        <v>0</v>
      </c>
      <c r="V7" s="48">
        <f ca="1">(GBSOption("P",指數型權證!$T$2,$J7,選擇權週選!$N$2,$N7,0, 0)-GBSOption("P",指數型權證!$T$2,$J7,選擇權週選!$N$2,$N7+0.01,0, 0))*50*$Q7</f>
        <v>0</v>
      </c>
      <c r="AA7" s="36">
        <v>0</v>
      </c>
      <c r="AB7" s="14">
        <v>0</v>
      </c>
      <c r="AC7" s="14">
        <v>0</v>
      </c>
      <c r="AD7" s="14">
        <v>0</v>
      </c>
      <c r="AE7" s="17">
        <v>1680</v>
      </c>
      <c r="AF7" s="17">
        <v>1690</v>
      </c>
      <c r="AG7" s="17" t="s">
        <v>1854</v>
      </c>
      <c r="AH7" s="19">
        <v>1.610321044921875E-4</v>
      </c>
      <c r="AI7" s="19">
        <v>1.1425599639892581</v>
      </c>
      <c r="AJ7" s="18">
        <v>10500</v>
      </c>
      <c r="AK7" s="17" t="s">
        <v>1854</v>
      </c>
      <c r="AL7" s="17">
        <v>0.2</v>
      </c>
      <c r="AM7" s="17">
        <v>0.2</v>
      </c>
      <c r="AN7" s="19">
        <v>0.6</v>
      </c>
      <c r="AO7" s="19">
        <v>0.77819830017089842</v>
      </c>
      <c r="AP7" s="14">
        <v>0</v>
      </c>
      <c r="AQ7" s="14">
        <v>0</v>
      </c>
      <c r="AR7" s="14">
        <v>0</v>
      </c>
      <c r="AS7" s="36">
        <v>0</v>
      </c>
      <c r="AT7" s="36"/>
      <c r="AU7" s="48">
        <v>0</v>
      </c>
      <c r="AV7" s="48">
        <v>0</v>
      </c>
    </row>
    <row r="8" spans="1:48" ht="17.25" thickBot="1" x14ac:dyDescent="0.3">
      <c r="A8" s="36">
        <f ca="1">(GBSOption("C",指數型權證!$T$2,$J8, 選擇權週選!$N$2,$H8, 0,0)-GBSOption("C",指數型權證!$T$2,$J8,選擇權週選!$O$2,$H8, 0,0))*$C8*50*-1</f>
        <v>0</v>
      </c>
      <c r="B8" s="14">
        <f ca="1">GBSGreeks("d", "C",指數型權證!$T$2,$J8,選擇權週選!$N$2,$H8, 0,0)*50*指數型權證!$T$2*$C8</f>
        <v>0</v>
      </c>
      <c r="C8" s="14">
        <f>SUMIFS(指數型權證!$AH$1:$AH$49,指數型權證!$AL$1:$AL$49,"7",指數型權證!$AJ$1:$AJ$49,$J8,指數型權證!$AM$1:$AM$49,"Call")</f>
        <v>0</v>
      </c>
      <c r="D8" s="14">
        <f ca="1">GBSGreeks("g", "C",指數型權證!$T$2,$J8,選擇權週選!$N$2,$H8, 0,0)*50*指數型權證!$T$2^2*1%*$C8*-1</f>
        <v>0</v>
      </c>
      <c r="E8" s="17" t="s">
        <v>3034</v>
      </c>
      <c r="F8" s="17" t="s">
        <v>3034</v>
      </c>
      <c r="G8" s="17" t="s">
        <v>3034</v>
      </c>
      <c r="H8" s="19">
        <v>0.6</v>
      </c>
      <c r="I8" s="19">
        <v>0.6</v>
      </c>
      <c r="J8" s="18">
        <v>10600</v>
      </c>
      <c r="K8" s="17" t="s">
        <v>3034</v>
      </c>
      <c r="L8" s="17" t="s">
        <v>3034</v>
      </c>
      <c r="M8" s="17" t="s">
        <v>3034</v>
      </c>
      <c r="N8" s="19">
        <v>0.6</v>
      </c>
      <c r="O8" s="19">
        <v>0.6</v>
      </c>
      <c r="P8" s="14">
        <f ca="1">GBSGreeks("g", "P",指數型權證!$T$2,$J8,選擇權週選!$N$2,$N8, 0,0)*50*指數型權證!$T$2^2*1%*$Q8*-1</f>
        <v>0</v>
      </c>
      <c r="Q8" s="14">
        <f>SUMIFS(指數型權證!$AH$1:$AH$49,指數型權證!$AL$1:$AL$49,"WK",指數型權證!$AJ$1:$AJ$49,$J8,指數型權證!$AM$1:$AM$49,"Put")</f>
        <v>0</v>
      </c>
      <c r="R8" s="14">
        <f ca="1">GBSGreeks("d", "P",指數型權證!$T$2,$J8,選擇權週選!$N$2,$N8, 0,0)*50*指數型權證!$T$2*$Q8</f>
        <v>0</v>
      </c>
      <c r="S8" s="36">
        <f ca="1">(GBSOption("P",指數型權證!$T$2,$J8, 選擇權週選!$N$2,$N8, 0,0)-GBSOption("P",指數型權證!$T$2,$J8,選擇權週選!$O$2,$N8, 0,0))*$Q8*50*-1</f>
        <v>0</v>
      </c>
      <c r="T8" s="36"/>
      <c r="U8" s="48">
        <f ca="1">(GBSOption("C",指數型權證!$T$2,$J8,選擇權週選!$N$2,$H8,0, 0)-GBSOption("C",指數型權證!$T$2,$J8,選擇權週選!$N$2,$H8+0.01,0, 0))*50*$C8</f>
        <v>0</v>
      </c>
      <c r="V8" s="48">
        <f ca="1">(GBSOption("P",指數型權證!$T$2,$J8,選擇權週選!$N$2,$N8,0, 0)-GBSOption("P",指數型權證!$T$2,$J8,選擇權週選!$N$2,$N8+0.01,0, 0))*50*$Q8</f>
        <v>0</v>
      </c>
      <c r="AA8" s="36">
        <v>0</v>
      </c>
      <c r="AB8" s="14">
        <v>0</v>
      </c>
      <c r="AC8" s="14">
        <v>0</v>
      </c>
      <c r="AD8" s="14">
        <v>0</v>
      </c>
      <c r="AE8" s="17">
        <v>1580</v>
      </c>
      <c r="AF8" s="17">
        <v>1590</v>
      </c>
      <c r="AG8" s="17" t="s">
        <v>1854</v>
      </c>
      <c r="AH8" s="19">
        <v>1.610321044921875E-4</v>
      </c>
      <c r="AI8" s="19">
        <v>1.0798189605712893</v>
      </c>
      <c r="AJ8" s="18">
        <v>10600</v>
      </c>
      <c r="AK8" s="17" t="s">
        <v>1854</v>
      </c>
      <c r="AL8" s="17">
        <v>0.1</v>
      </c>
      <c r="AM8" s="17">
        <v>0.1</v>
      </c>
      <c r="AN8" s="19">
        <v>0.6</v>
      </c>
      <c r="AO8" s="19">
        <v>0.6918989044189453</v>
      </c>
      <c r="AP8" s="14">
        <v>0</v>
      </c>
      <c r="AQ8" s="14">
        <v>0</v>
      </c>
      <c r="AR8" s="14">
        <v>0</v>
      </c>
      <c r="AS8" s="36">
        <v>0</v>
      </c>
      <c r="AT8" s="36"/>
      <c r="AU8" s="48">
        <v>0</v>
      </c>
      <c r="AV8" s="48">
        <v>0</v>
      </c>
    </row>
    <row r="9" spans="1:48" ht="17.25" thickBot="1" x14ac:dyDescent="0.3">
      <c r="A9" s="36">
        <f ca="1">(GBSOption("C",指數型權證!$T$2,$J9, 選擇權週選!$N$2,$H9, 0,0)-GBSOption("C",指數型權證!$T$2,$J9,選擇權週選!$O$2,$H9, 0,0))*$C9*50*-1</f>
        <v>0</v>
      </c>
      <c r="B9" s="14">
        <f ca="1">GBSGreeks("d", "C",指數型權證!$T$2,$J9,選擇權週選!$N$2,$H9, 0,0)*50*指數型權證!$T$2*$C9</f>
        <v>0</v>
      </c>
      <c r="C9" s="14">
        <f>SUMIFS(指數型權證!$AH$1:$AH$49,指數型權證!$AL$1:$AL$49,"7",指數型權證!$AJ$1:$AJ$49,$J9,指數型權證!$AM$1:$AM$49,"Call")</f>
        <v>0</v>
      </c>
      <c r="D9" s="14">
        <f ca="1">GBSGreeks("g", "C",指數型權證!$T$2,$J9,選擇權週選!$N$2,$H9, 0,0)*50*指數型權證!$T$2^2*1%*$C9*-1</f>
        <v>0</v>
      </c>
      <c r="E9" s="17" t="s">
        <v>3034</v>
      </c>
      <c r="F9" s="17" t="s">
        <v>3034</v>
      </c>
      <c r="G9" s="17" t="s">
        <v>3034</v>
      </c>
      <c r="H9" s="19">
        <v>0.6</v>
      </c>
      <c r="I9" s="19">
        <v>0.6</v>
      </c>
      <c r="J9" s="18">
        <v>10700</v>
      </c>
      <c r="K9" s="17" t="s">
        <v>3034</v>
      </c>
      <c r="L9" s="17" t="s">
        <v>3034</v>
      </c>
      <c r="M9" s="17" t="s">
        <v>3034</v>
      </c>
      <c r="N9" s="19">
        <v>0.6</v>
      </c>
      <c r="O9" s="19">
        <v>0.6</v>
      </c>
      <c r="P9" s="14">
        <f ca="1">GBSGreeks("g", "P",指數型權證!$T$2,$J9,選擇權週選!$N$2,$N9, 0,0)*50*指數型權證!$T$2^2*1%*$Q9*-1</f>
        <v>0</v>
      </c>
      <c r="Q9" s="14">
        <f>SUMIFS(指數型權證!$AH$1:$AH$49,指數型權證!$AL$1:$AL$49,"WK",指數型權證!$AJ$1:$AJ$49,$J9,指數型權證!$AM$1:$AM$49,"Put")</f>
        <v>0</v>
      </c>
      <c r="R9" s="14">
        <f ca="1">GBSGreeks("d", "P",指數型權證!$T$2,$J9,選擇權週選!$N$2,$N9, 0,0)*50*指數型權證!$T$2*$Q9</f>
        <v>0</v>
      </c>
      <c r="S9" s="36">
        <f ca="1">(GBSOption("P",指數型權證!$T$2,$J9, 選擇權週選!$N$2,$N9, 0,0)-GBSOption("P",指數型權證!$T$2,$J9,選擇權週選!$O$2,$N9, 0,0))*$Q9*50*-1</f>
        <v>0</v>
      </c>
      <c r="T9" s="36"/>
      <c r="U9" s="48">
        <f ca="1">(GBSOption("C",指數型權證!$T$2,$J9,選擇權週選!$N$2,$H9,0, 0)-GBSOption("C",指數型權證!$T$2,$J9,選擇權週選!$N$2,$H9+0.01,0, 0))*50*$C9</f>
        <v>0</v>
      </c>
      <c r="V9" s="48">
        <f ca="1">(GBSOption("P",指數型權證!$T$2,$J9,選擇權週選!$N$2,$N9,0, 0)-GBSOption("P",指數型權證!$T$2,$J9,選擇權週選!$N$2,$N9+0.01,0, 0))*50*$Q9</f>
        <v>0</v>
      </c>
      <c r="AA9" s="36">
        <v>0</v>
      </c>
      <c r="AB9" s="14">
        <v>30550000</v>
      </c>
      <c r="AC9" s="14">
        <v>50</v>
      </c>
      <c r="AD9" s="14">
        <v>0</v>
      </c>
      <c r="AE9" s="17">
        <v>1480</v>
      </c>
      <c r="AF9" s="17">
        <v>1490</v>
      </c>
      <c r="AG9" s="17" t="s">
        <v>1854</v>
      </c>
      <c r="AH9" s="19">
        <v>1.610321044921875E-4</v>
      </c>
      <c r="AI9" s="19">
        <v>1.0170779571533204</v>
      </c>
      <c r="AJ9" s="18">
        <v>10700</v>
      </c>
      <c r="AK9" s="17" t="s">
        <v>1854</v>
      </c>
      <c r="AL9" s="17">
        <v>0.2</v>
      </c>
      <c r="AM9" s="17">
        <v>0.2</v>
      </c>
      <c r="AN9" s="19">
        <v>0.6</v>
      </c>
      <c r="AO9" s="19">
        <v>0.68689427185058594</v>
      </c>
      <c r="AP9" s="14">
        <v>0</v>
      </c>
      <c r="AQ9" s="14">
        <v>0</v>
      </c>
      <c r="AR9" s="14">
        <v>0</v>
      </c>
      <c r="AS9" s="36">
        <v>0</v>
      </c>
      <c r="AT9" s="36"/>
      <c r="AU9" s="48">
        <v>0</v>
      </c>
      <c r="AV9" s="48">
        <v>0</v>
      </c>
    </row>
    <row r="10" spans="1:48" ht="17.25" thickBot="1" x14ac:dyDescent="0.3">
      <c r="A10" s="36">
        <f ca="1">(GBSOption("C",指數型權證!$T$2,$J10, 選擇權週選!$N$2,$H10, 0,0)-GBSOption("C",指數型權證!$T$2,$J10,選擇權週選!$O$2,$H10, 0,0))*$C10*50*-1</f>
        <v>0</v>
      </c>
      <c r="B10" s="14">
        <f ca="1">GBSGreeks("d", "C",指數型權證!$T$2,$J10,選擇權週選!$N$2,$H10, 0,0)*50*指數型權證!$T$2*$C10</f>
        <v>0</v>
      </c>
      <c r="C10" s="14">
        <f>SUMIFS(指數型權證!$AH$1:$AH$49,指數型權證!$AL$1:$AL$49,"7",指數型權證!$AJ$1:$AJ$49,$J10,指數型權證!$AM$1:$AM$49,"Call")</f>
        <v>0</v>
      </c>
      <c r="D10" s="14">
        <f ca="1">GBSGreeks("g", "C",指數型權證!$T$2,$J10,選擇權週選!$N$2,$H10, 0,0)*50*指數型權證!$T$2^2*1%*$C10*-1</f>
        <v>0</v>
      </c>
      <c r="E10" s="17" t="s">
        <v>3034</v>
      </c>
      <c r="F10" s="17" t="s">
        <v>3034</v>
      </c>
      <c r="G10" s="17" t="s">
        <v>3034</v>
      </c>
      <c r="H10" s="19">
        <v>0.6</v>
      </c>
      <c r="I10" s="19">
        <v>0.6</v>
      </c>
      <c r="J10" s="18">
        <v>10800</v>
      </c>
      <c r="K10" s="17" t="s">
        <v>3034</v>
      </c>
      <c r="L10" s="17" t="s">
        <v>3034</v>
      </c>
      <c r="M10" s="17" t="s">
        <v>3034</v>
      </c>
      <c r="N10" s="19">
        <v>0.6</v>
      </c>
      <c r="O10" s="19">
        <v>0.6</v>
      </c>
      <c r="P10" s="14">
        <f ca="1">GBSGreeks("g", "P",指數型權證!$T$2,$J10,選擇權週選!$N$2,$N10, 0,0)*50*指數型權證!$T$2^2*1%*$Q10*-1</f>
        <v>0</v>
      </c>
      <c r="Q10" s="14">
        <f>SUMIFS(指數型權證!$AH$1:$AH$49,指數型權證!$AL$1:$AL$49,"WK",指數型權證!$AJ$1:$AJ$49,$J10,指數型權證!$AM$1:$AM$49,"Put")</f>
        <v>0</v>
      </c>
      <c r="R10" s="14">
        <f ca="1">GBSGreeks("d", "P",指數型權證!$T$2,$J10,選擇權週選!$N$2,$N10, 0,0)*50*指數型權證!$T$2*$Q10</f>
        <v>0</v>
      </c>
      <c r="S10" s="36">
        <f ca="1">(GBSOption("P",指數型權證!$T$2,$J10, 選擇權週選!$N$2,$N10, 0,0)-GBSOption("P",指數型權證!$T$2,$J10,選擇權週選!$O$2,$N10, 0,0))*$Q10*50*-1</f>
        <v>0</v>
      </c>
      <c r="T10" s="36"/>
      <c r="U10" s="48">
        <f ca="1">(GBSOption("C",指數型權證!$T$2,$J10,選擇權週選!$N$2,$H10,0, 0)-GBSOption("C",指數型權證!$T$2,$J10,選擇權週選!$N$2,$H10+0.01,0, 0))*50*$C10</f>
        <v>0</v>
      </c>
      <c r="V10" s="48">
        <f ca="1">(GBSOption("P",指數型權證!$T$2,$J10,選擇權週選!$N$2,$N10,0, 0)-GBSOption("P",指數型權證!$T$2,$J10,選擇權週選!$N$2,$N10+0.01,0, 0))*50*$Q10</f>
        <v>0</v>
      </c>
      <c r="AA10" s="36">
        <v>0</v>
      </c>
      <c r="AB10" s="14">
        <v>-26884000</v>
      </c>
      <c r="AC10" s="14">
        <v>-44</v>
      </c>
      <c r="AD10" s="14">
        <v>0</v>
      </c>
      <c r="AE10" s="17">
        <v>1380</v>
      </c>
      <c r="AF10" s="17">
        <v>1390</v>
      </c>
      <c r="AG10" s="17">
        <v>1350</v>
      </c>
      <c r="AH10" s="19">
        <v>1.610321044921875E-4</v>
      </c>
      <c r="AI10" s="19">
        <v>0.95458108215332049</v>
      </c>
      <c r="AJ10" s="18">
        <v>10800</v>
      </c>
      <c r="AK10" s="17" t="s">
        <v>1854</v>
      </c>
      <c r="AL10" s="17">
        <v>0.2</v>
      </c>
      <c r="AM10" s="17">
        <v>0.2</v>
      </c>
      <c r="AN10" s="19">
        <v>0.6</v>
      </c>
      <c r="AO10" s="19">
        <v>0.64160845031738289</v>
      </c>
      <c r="AP10" s="14">
        <v>0</v>
      </c>
      <c r="AQ10" s="14">
        <v>0</v>
      </c>
      <c r="AR10" s="14">
        <v>0</v>
      </c>
      <c r="AS10" s="36">
        <v>0</v>
      </c>
      <c r="AT10" s="36"/>
      <c r="AU10" s="48">
        <v>0</v>
      </c>
      <c r="AV10" s="48">
        <v>0</v>
      </c>
    </row>
    <row r="11" spans="1:48" ht="17.25" thickBot="1" x14ac:dyDescent="0.3">
      <c r="A11" s="36">
        <f ca="1">(GBSOption("C",指數型權證!$T$2,$J11, 選擇權週選!$N$2,$H11, 0,0)-GBSOption("C",指數型權證!$T$2,$J11,選擇權週選!$O$2,$H11, 0,0))*$C11*50*-1</f>
        <v>0</v>
      </c>
      <c r="B11" s="14">
        <f ca="1">GBSGreeks("d", "C",指數型權證!$T$2,$J11,選擇權週選!$N$2,$H11, 0,0)*50*指數型權證!$T$2*$C11</f>
        <v>0</v>
      </c>
      <c r="C11" s="14">
        <f>SUMIFS(指數型權證!$AH$1:$AH$49,指數型權證!$AL$1:$AL$49,"7",指數型權證!$AJ$1:$AJ$49,$J11,指數型權證!$AM$1:$AM$49,"Call")</f>
        <v>0</v>
      </c>
      <c r="D11" s="14">
        <f ca="1">GBSGreeks("g", "C",指數型權證!$T$2,$J11,選擇權週選!$N$2,$H11, 0,0)*50*指數型權證!$T$2^2*1%*$C11*-1</f>
        <v>0</v>
      </c>
      <c r="E11" s="17">
        <v>1300</v>
      </c>
      <c r="F11" s="17">
        <v>1320</v>
      </c>
      <c r="G11" s="17" t="s">
        <v>1854</v>
      </c>
      <c r="H11" s="19">
        <v>1.610321044921875E-4</v>
      </c>
      <c r="I11" s="19">
        <v>0.42775195617675787</v>
      </c>
      <c r="J11" s="18">
        <v>10900</v>
      </c>
      <c r="K11" s="17">
        <v>1.3</v>
      </c>
      <c r="L11" s="17">
        <v>1.5</v>
      </c>
      <c r="M11" s="17">
        <v>1.3</v>
      </c>
      <c r="N11" s="19">
        <v>0.33071091003417974</v>
      </c>
      <c r="O11" s="19">
        <v>0.33644792785644528</v>
      </c>
      <c r="P11" s="14">
        <f ca="1">GBSGreeks("g", "P",指數型權證!$T$2,$J11,選擇權週選!$N$2,$N11, 0,0)*50*指數型權證!$T$2^2*1%*$Q11*-1</f>
        <v>0</v>
      </c>
      <c r="Q11" s="14">
        <f>SUMIFS(指數型權證!$AH$1:$AH$49,指數型權證!$AL$1:$AL$49,"WK",指數型權證!$AJ$1:$AJ$49,$J11,指數型權證!$AM$1:$AM$49,"Put")</f>
        <v>0</v>
      </c>
      <c r="R11" s="14">
        <f ca="1">GBSGreeks("d", "P",指數型權證!$T$2,$J11,選擇權週選!$N$2,$N11, 0,0)*50*指數型權證!$T$2*$Q11</f>
        <v>0</v>
      </c>
      <c r="S11" s="36">
        <f ca="1">(GBSOption("P",指數型權證!$T$2,$J11, 選擇權週選!$N$2,$N11, 0,0)-GBSOption("P",指數型權證!$T$2,$J11,選擇權週選!$O$2,$N11, 0,0))*$Q11*50*-1</f>
        <v>0</v>
      </c>
      <c r="T11" s="36"/>
      <c r="U11" s="48">
        <f ca="1">(GBSOption("C",指數型權證!$T$2,$J11,選擇權週選!$N$2,$H11,0, 0)-GBSOption("C",指數型權證!$T$2,$J11,選擇權週選!$N$2,$H11+0.01,0, 0))*50*$C11</f>
        <v>0</v>
      </c>
      <c r="V11" s="48">
        <f ca="1">(GBSOption("P",指數型權證!$T$2,$J11,選擇權週選!$N$2,$N11,0, 0)-GBSOption("P",指數型權證!$T$2,$J11,選擇權週選!$N$2,$N11+0.01,0, 0))*50*$Q11</f>
        <v>0</v>
      </c>
      <c r="AA11" s="36">
        <v>0</v>
      </c>
      <c r="AB11" s="14">
        <v>0</v>
      </c>
      <c r="AC11" s="14">
        <v>0</v>
      </c>
      <c r="AD11" s="14">
        <v>0</v>
      </c>
      <c r="AE11" s="17">
        <v>1280</v>
      </c>
      <c r="AF11" s="17">
        <v>1290</v>
      </c>
      <c r="AG11" s="17">
        <v>1240</v>
      </c>
      <c r="AH11" s="19">
        <v>1.610321044921875E-4</v>
      </c>
      <c r="AI11" s="19">
        <v>0.89220627136230479</v>
      </c>
      <c r="AJ11" s="18">
        <v>10900</v>
      </c>
      <c r="AK11" s="17" t="s">
        <v>1854</v>
      </c>
      <c r="AL11" s="17">
        <v>0.3</v>
      </c>
      <c r="AM11" s="17">
        <v>0.3</v>
      </c>
      <c r="AN11" s="19">
        <v>0.6</v>
      </c>
      <c r="AO11" s="19">
        <v>0.61902657165527342</v>
      </c>
      <c r="AP11" s="14">
        <v>0</v>
      </c>
      <c r="AQ11" s="14">
        <v>0</v>
      </c>
      <c r="AR11" s="14">
        <v>0</v>
      </c>
      <c r="AS11" s="36">
        <v>0</v>
      </c>
      <c r="AT11" s="36"/>
      <c r="AU11" s="48">
        <v>0</v>
      </c>
      <c r="AV11" s="48">
        <v>0</v>
      </c>
    </row>
    <row r="12" spans="1:48" ht="17.25" thickBot="1" x14ac:dyDescent="0.3">
      <c r="A12" s="36">
        <f ca="1">(GBSOption("C",指數型權證!$T$2,$J12, 選擇權週選!$N$2,$H12, 0,0)-GBSOption("C",指數型權證!$T$2,$J12,選擇權週選!$O$2,$H12, 0,0))*$C12*50*-1</f>
        <v>0</v>
      </c>
      <c r="B12" s="14">
        <f ca="1">GBSGreeks("d", "C",指數型權證!$T$2,$J12,選擇權週選!$N$2,$H12, 0,0)*50*指數型權證!$T$2*$C12</f>
        <v>0</v>
      </c>
      <c r="C12" s="14">
        <f>SUMIFS(指數型權證!$AH$1:$AH$49,指數型權證!$AL$1:$AL$49,"7",指數型權證!$AJ$1:$AJ$49,$J12,指數型權證!$AM$1:$AM$49,"Call")</f>
        <v>0</v>
      </c>
      <c r="D12" s="14">
        <f ca="1">GBSGreeks("g", "C",指數型權證!$T$2,$J12,選擇權週選!$N$2,$H12, 0,0)*50*指數型權證!$T$2^2*1%*$C12*-1</f>
        <v>0</v>
      </c>
      <c r="E12" s="17">
        <v>1200</v>
      </c>
      <c r="F12" s="17">
        <v>1220</v>
      </c>
      <c r="G12" s="17" t="s">
        <v>1854</v>
      </c>
      <c r="H12" s="19">
        <v>1.610321044921875E-4</v>
      </c>
      <c r="I12" s="19">
        <v>0.39882273864746093</v>
      </c>
      <c r="J12" s="18">
        <v>11000</v>
      </c>
      <c r="K12" s="17">
        <v>1.6</v>
      </c>
      <c r="L12" s="17">
        <v>1.9</v>
      </c>
      <c r="M12" s="17">
        <v>1.4</v>
      </c>
      <c r="N12" s="19">
        <v>0.31496462707519535</v>
      </c>
      <c r="O12" s="19">
        <v>0.32192228698730474</v>
      </c>
      <c r="P12" s="14">
        <f ca="1">GBSGreeks("g", "P",指數型權證!$T$2,$J12,選擇權週選!$N$2,$N12, 0,0)*50*指數型權證!$T$2^2*1%*$Q12*-1</f>
        <v>0</v>
      </c>
      <c r="Q12" s="14">
        <f>SUMIFS(指數型權證!$AH$1:$AH$49,指數型權證!$AL$1:$AL$49,"WK",指數型權證!$AJ$1:$AJ$49,$J12,指數型權證!$AM$1:$AM$49,"Put")</f>
        <v>0</v>
      </c>
      <c r="R12" s="14">
        <f ca="1">GBSGreeks("d", "P",指數型權證!$T$2,$J12,選擇權週選!$N$2,$N12, 0,0)*50*指數型權證!$T$2*$Q12</f>
        <v>0</v>
      </c>
      <c r="S12" s="36">
        <f ca="1">(GBSOption("P",指數型權證!$T$2,$J12, 選擇權週選!$N$2,$N12, 0,0)-GBSOption("P",指數型權證!$T$2,$J12,選擇權週選!$O$2,$N12, 0,0))*$Q12*50*-1</f>
        <v>0</v>
      </c>
      <c r="T12" s="36"/>
      <c r="U12" s="48">
        <f ca="1">(GBSOption("C",指數型權證!$T$2,$J12,選擇權週選!$N$2,$H12,0, 0)-GBSOption("C",指數型權證!$T$2,$J12,選擇權週選!$N$2,$H12+0.01,0, 0))*50*$C12</f>
        <v>0</v>
      </c>
      <c r="V12" s="48">
        <f ca="1">(GBSOption("P",指數型權證!$T$2,$J12,選擇權週選!$N$2,$N12,0, 0)-GBSOption("P",指數型權證!$T$2,$J12,選擇權週選!$N$2,$N12+0.01,0, 0))*50*$Q12</f>
        <v>0</v>
      </c>
      <c r="AA12" s="36">
        <v>0</v>
      </c>
      <c r="AB12" s="14">
        <v>0</v>
      </c>
      <c r="AC12" s="14">
        <v>0</v>
      </c>
      <c r="AD12" s="14">
        <v>0</v>
      </c>
      <c r="AE12" s="17">
        <v>1180</v>
      </c>
      <c r="AF12" s="17">
        <v>1190</v>
      </c>
      <c r="AG12" s="17">
        <v>1140</v>
      </c>
      <c r="AH12" s="19">
        <v>1.610321044921875E-4</v>
      </c>
      <c r="AI12" s="19">
        <v>0.82983146057128931</v>
      </c>
      <c r="AJ12" s="18">
        <v>11000</v>
      </c>
      <c r="AK12" s="17">
        <v>0.1</v>
      </c>
      <c r="AL12" s="17">
        <v>0.4</v>
      </c>
      <c r="AM12" s="17">
        <v>0.1</v>
      </c>
      <c r="AN12" s="19">
        <v>0.51978836975097664</v>
      </c>
      <c r="AO12" s="19">
        <v>0.58875464782714848</v>
      </c>
      <c r="AP12" s="14">
        <v>0</v>
      </c>
      <c r="AQ12" s="14">
        <v>0</v>
      </c>
      <c r="AR12" s="14">
        <v>0</v>
      </c>
      <c r="AS12" s="36">
        <v>0</v>
      </c>
      <c r="AT12" s="36"/>
      <c r="AU12" s="48">
        <v>0</v>
      </c>
      <c r="AV12" s="48">
        <v>0</v>
      </c>
    </row>
    <row r="13" spans="1:48" ht="17.25" thickBot="1" x14ac:dyDescent="0.3">
      <c r="A13" s="36">
        <f ca="1">(GBSOption("C",指數型權證!$T$2,$J13, 選擇權週選!$N$2,$H13, 0,0)-GBSOption("C",指數型權證!$T$2,$J13,選擇權週選!$O$2,$H13, 0,0))*$C13*50*-1</f>
        <v>0</v>
      </c>
      <c r="B13" s="14">
        <f ca="1">GBSGreeks("d", "C",指數型權證!$T$2,$J13,選擇權週選!$N$2,$H13, 0,0)*50*指數型權證!$T$2*$C13</f>
        <v>0</v>
      </c>
      <c r="C13" s="14">
        <f>SUMIFS(指數型權證!$AH$1:$AH$49,指數型權證!$AL$1:$AL$49,"7",指數型權證!$AJ$1:$AJ$49,$J13,指數型權證!$AM$1:$AM$49,"Call")</f>
        <v>0</v>
      </c>
      <c r="D13" s="14">
        <f ca="1">GBSGreeks("g", "C",指數型權證!$T$2,$J13,選擇權週選!$N$2,$H13, 0,0)*50*指數型權證!$T$2^2*1%*$C13*-1</f>
        <v>0</v>
      </c>
      <c r="E13" s="17">
        <v>1100</v>
      </c>
      <c r="F13" s="17">
        <v>1120</v>
      </c>
      <c r="G13" s="17" t="s">
        <v>1854</v>
      </c>
      <c r="H13" s="19">
        <v>1.610321044921875E-4</v>
      </c>
      <c r="I13" s="19">
        <v>0.36977145690917979</v>
      </c>
      <c r="J13" s="18">
        <v>11100</v>
      </c>
      <c r="K13" s="17">
        <v>2</v>
      </c>
      <c r="L13" s="17">
        <v>2.2000000000000002</v>
      </c>
      <c r="M13" s="17">
        <v>2.2000000000000002</v>
      </c>
      <c r="N13" s="19">
        <v>0.29934040832519537</v>
      </c>
      <c r="O13" s="19">
        <v>0.30312439880371095</v>
      </c>
      <c r="P13" s="14">
        <f ca="1">GBSGreeks("g", "P",指數型權證!$T$2,$J13,選擇權週選!$N$2,$N13, 0,0)*50*指數型權證!$T$2^2*1%*$Q13*-1</f>
        <v>0</v>
      </c>
      <c r="Q13" s="14">
        <f>SUMIFS(指數型權證!$AH$1:$AH$49,指數型權證!$AL$1:$AL$49,"WK",指數型權證!$AJ$1:$AJ$49,$J13,指數型權證!$AM$1:$AM$49,"Put")</f>
        <v>0</v>
      </c>
      <c r="R13" s="14">
        <f ca="1">GBSGreeks("d", "P",指數型權證!$T$2,$J13,選擇權週選!$N$2,$N13, 0,0)*50*指數型權證!$T$2*$Q13</f>
        <v>0</v>
      </c>
      <c r="S13" s="36">
        <f ca="1">(GBSOption("P",指數型權證!$T$2,$J13, 選擇權週選!$N$2,$N13, 0,0)-GBSOption("P",指數型權證!$T$2,$J13,選擇權週選!$O$2,$N13, 0,0))*$Q13*50*-1</f>
        <v>0</v>
      </c>
      <c r="T13" s="36"/>
      <c r="U13" s="48">
        <f ca="1">(GBSOption("C",指數型權證!$T$2,$J13,選擇權週選!$N$2,$H13,0, 0)-GBSOption("C",指數型權證!$T$2,$J13,選擇權週選!$N$2,$H13+0.01,0, 0))*50*$C13</f>
        <v>0</v>
      </c>
      <c r="V13" s="48">
        <f ca="1">(GBSOption("P",指數型權證!$T$2,$J13,選擇權週選!$N$2,$N13,0, 0)-GBSOption("P",指數型權證!$T$2,$J13,選擇權週選!$N$2,$N13+0.01,0, 0))*50*$Q13</f>
        <v>0</v>
      </c>
      <c r="AA13" s="36">
        <v>0</v>
      </c>
      <c r="AB13" s="14">
        <v>0</v>
      </c>
      <c r="AC13" s="14">
        <v>0</v>
      </c>
      <c r="AD13" s="14">
        <v>0</v>
      </c>
      <c r="AE13" s="17">
        <v>1080</v>
      </c>
      <c r="AF13" s="17">
        <v>1090</v>
      </c>
      <c r="AG13" s="17">
        <v>1040</v>
      </c>
      <c r="AH13" s="19">
        <v>1.610321044921875E-4</v>
      </c>
      <c r="AI13" s="19">
        <v>0.7674566497802735</v>
      </c>
      <c r="AJ13" s="18">
        <v>11100</v>
      </c>
      <c r="AK13" s="17">
        <v>0.1</v>
      </c>
      <c r="AL13" s="17">
        <v>0.4</v>
      </c>
      <c r="AM13" s="17">
        <v>0.3</v>
      </c>
      <c r="AN13" s="19">
        <v>0.47731002502441416</v>
      </c>
      <c r="AO13" s="19">
        <v>0.54139373474121077</v>
      </c>
      <c r="AP13" s="14">
        <v>0</v>
      </c>
      <c r="AQ13" s="14">
        <v>0</v>
      </c>
      <c r="AR13" s="14">
        <v>0</v>
      </c>
      <c r="AS13" s="36">
        <v>0</v>
      </c>
      <c r="AT13" s="36"/>
      <c r="AU13" s="48">
        <v>0</v>
      </c>
      <c r="AV13" s="48">
        <v>0</v>
      </c>
    </row>
    <row r="14" spans="1:48" ht="17.25" thickBot="1" x14ac:dyDescent="0.3">
      <c r="A14" s="36">
        <f ca="1">(GBSOption("C",指數型權證!$T$2,$J14, 選擇權週選!$N$2,$H14, 0,0)-GBSOption("C",指數型權證!$T$2,$J14,選擇權週選!$O$2,$H14, 0,0))*$C14*50*-1</f>
        <v>0</v>
      </c>
      <c r="B14" s="14">
        <f ca="1">GBSGreeks("d", "C",指數型權證!$T$2,$J14,選擇權週選!$N$2,$H14, 0,0)*50*指數型權證!$T$2*$C14</f>
        <v>0</v>
      </c>
      <c r="C14" s="14">
        <f>SUMIFS(指數型權證!$AH$1:$AH$49,指數型權證!$AL$1:$AL$49,"7",指數型權證!$AJ$1:$AJ$49,$J14,指數型權證!$AM$1:$AM$49,"Call")</f>
        <v>0</v>
      </c>
      <c r="D14" s="14">
        <f ca="1">GBSGreeks("g", "C",指數型權證!$T$2,$J14,選擇權週選!$N$2,$H14, 0,0)*50*指數型權證!$T$2^2*1%*$C14*-1</f>
        <v>0</v>
      </c>
      <c r="E14" s="17">
        <v>1010</v>
      </c>
      <c r="F14" s="17">
        <v>1020</v>
      </c>
      <c r="G14" s="17" t="s">
        <v>1854</v>
      </c>
      <c r="H14" s="19">
        <v>1.610321044921875E-4</v>
      </c>
      <c r="I14" s="19">
        <v>0.34072017517089848</v>
      </c>
      <c r="J14" s="18">
        <v>11200</v>
      </c>
      <c r="K14" s="17">
        <v>2.6</v>
      </c>
      <c r="L14" s="17">
        <v>2.8</v>
      </c>
      <c r="M14" s="17">
        <v>2.6</v>
      </c>
      <c r="N14" s="19">
        <v>0.2846927032470703</v>
      </c>
      <c r="O14" s="19">
        <v>0.28774430847167976</v>
      </c>
      <c r="P14" s="14">
        <f ca="1">GBSGreeks("g", "P",指數型權證!$T$2,$J14,選擇權週選!$N$2,$N14, 0,0)*50*指數型權證!$T$2^2*1%*$Q14*-1</f>
        <v>0</v>
      </c>
      <c r="Q14" s="14">
        <f>SUMIFS(指數型權證!$AH$1:$AH$49,指數型權證!$AL$1:$AL$49,"WK",指數型權證!$AJ$1:$AJ$49,$J14,指數型權證!$AM$1:$AM$49,"Put")</f>
        <v>0</v>
      </c>
      <c r="R14" s="14">
        <f ca="1">GBSGreeks("d", "P",指數型權證!$T$2,$J14,選擇權週選!$N$2,$N14, 0,0)*50*指數型權證!$T$2*$Q14</f>
        <v>0</v>
      </c>
      <c r="S14" s="36">
        <f ca="1">(GBSOption("P",指數型權證!$T$2,$J14, 選擇權週選!$N$2,$N14, 0,0)-GBSOption("P",指數型權證!$T$2,$J14,選擇權週選!$O$2,$N14, 0,0))*$Q14*50*-1</f>
        <v>0</v>
      </c>
      <c r="T14" s="36"/>
      <c r="U14" s="48">
        <f ca="1">(GBSOption("C",指數型權證!$T$2,$J14,選擇權週選!$N$2,$H14,0, 0)-GBSOption("C",指數型權證!$T$2,$J14,選擇權週選!$N$2,$H14+0.01,0, 0))*50*$C14</f>
        <v>0</v>
      </c>
      <c r="V14" s="48">
        <f ca="1">(GBSOption("P",指數型權證!$T$2,$J14,選擇權週選!$N$2,$N14,0, 0)-GBSOption("P",指數型權證!$T$2,$J14,選擇權週選!$N$2,$N14+0.01,0, 0))*50*$Q14</f>
        <v>0</v>
      </c>
      <c r="AA14" s="36">
        <v>0</v>
      </c>
      <c r="AB14" s="14">
        <v>0</v>
      </c>
      <c r="AC14" s="14">
        <v>0</v>
      </c>
      <c r="AD14" s="14">
        <v>0</v>
      </c>
      <c r="AE14" s="17">
        <v>980</v>
      </c>
      <c r="AF14" s="17">
        <v>990</v>
      </c>
      <c r="AG14" s="17">
        <v>970</v>
      </c>
      <c r="AH14" s="19">
        <v>1.610321044921875E-4</v>
      </c>
      <c r="AI14" s="19">
        <v>0.70495977478027361</v>
      </c>
      <c r="AJ14" s="18">
        <v>11200</v>
      </c>
      <c r="AK14" s="17">
        <v>0.2</v>
      </c>
      <c r="AL14" s="17">
        <v>0.3</v>
      </c>
      <c r="AM14" s="17">
        <v>0.3</v>
      </c>
      <c r="AN14" s="19">
        <v>0.46205199890136717</v>
      </c>
      <c r="AO14" s="19">
        <v>0.48011750183105473</v>
      </c>
      <c r="AP14" s="14">
        <v>0</v>
      </c>
      <c r="AQ14" s="14">
        <v>0</v>
      </c>
      <c r="AR14" s="14">
        <v>0</v>
      </c>
      <c r="AS14" s="36">
        <v>0</v>
      </c>
      <c r="AT14" s="36"/>
      <c r="AU14" s="48">
        <v>0</v>
      </c>
      <c r="AV14" s="48">
        <v>0</v>
      </c>
    </row>
    <row r="15" spans="1:48" ht="17.25" thickBot="1" x14ac:dyDescent="0.3">
      <c r="A15" s="36">
        <f ca="1">(GBSOption("C",指數型權證!$T$2,$J15, 選擇權週選!$N$2,$H15, 0,0)-GBSOption("C",指數型權證!$T$2,$J15,選擇權週選!$O$2,$H15, 0,0))*$C15*50*-1</f>
        <v>0</v>
      </c>
      <c r="B15" s="14">
        <f ca="1">GBSGreeks("d", "C",指數型權證!$T$2,$J15,選擇權週選!$N$2,$H15, 0,0)*50*指數型權證!$T$2*$C15</f>
        <v>0</v>
      </c>
      <c r="C15" s="14">
        <f>SUMIFS(指數型權證!$AH$1:$AH$49,指數型權證!$AL$1:$AL$49,"7",指數型權證!$AJ$1:$AJ$49,$J15,指數型權證!$AM$1:$AM$49,"Call")</f>
        <v>0</v>
      </c>
      <c r="D15" s="14">
        <f ca="1">GBSGreeks("g", "C",指數型權證!$T$2,$J15,選擇權週選!$N$2,$H15, 0,0)*50*指數型權證!$T$2^2*1%*$C15*-1</f>
        <v>0</v>
      </c>
      <c r="E15" s="17">
        <v>910</v>
      </c>
      <c r="F15" s="17">
        <v>920</v>
      </c>
      <c r="G15" s="17" t="s">
        <v>1854</v>
      </c>
      <c r="H15" s="19">
        <v>1.610321044921875E-4</v>
      </c>
      <c r="I15" s="19">
        <v>0.31154682922363286</v>
      </c>
      <c r="J15" s="18">
        <v>11300</v>
      </c>
      <c r="K15" s="17">
        <v>3.5</v>
      </c>
      <c r="L15" s="17">
        <v>3.6</v>
      </c>
      <c r="M15" s="17">
        <v>3.6</v>
      </c>
      <c r="N15" s="19">
        <v>0.27102151184082024</v>
      </c>
      <c r="O15" s="19">
        <v>0.27224215393066403</v>
      </c>
      <c r="P15" s="14">
        <f ca="1">GBSGreeks("g", "P",指數型權證!$T$2,$J15,選擇權週選!$N$2,$N15, 0,0)*50*指數型權證!$T$2^2*1%*$Q15*-1</f>
        <v>0</v>
      </c>
      <c r="Q15" s="14">
        <f>SUMIFS(指數型權證!$AH$1:$AH$49,指數型權證!$AL$1:$AL$49,"WK",指數型權證!$AJ$1:$AJ$49,$J15,指數型權證!$AM$1:$AM$49,"Put")</f>
        <v>0</v>
      </c>
      <c r="R15" s="14">
        <f ca="1">GBSGreeks("d", "P",指數型權證!$T$2,$J15,選擇權週選!$N$2,$N15, 0,0)*50*指數型權證!$T$2*$Q15</f>
        <v>0</v>
      </c>
      <c r="S15" s="36">
        <f ca="1">(GBSOption("P",指數型權證!$T$2,$J15, 選擇權週選!$N$2,$N15, 0,0)-GBSOption("P",指數型權證!$T$2,$J15,選擇權週選!$O$2,$N15, 0,0))*$Q15*50*-1</f>
        <v>0</v>
      </c>
      <c r="T15" s="36"/>
      <c r="U15" s="48">
        <f ca="1">(GBSOption("C",指數型權證!$T$2,$J15,選擇權週選!$N$2,$H15,0, 0)-GBSOption("C",指數型權證!$T$2,$J15,選擇權週選!$N$2,$H15+0.01,0, 0))*50*$C15</f>
        <v>0</v>
      </c>
      <c r="V15" s="48">
        <f ca="1">(GBSOption("P",指數型權證!$T$2,$J15,選擇權週選!$N$2,$N15,0, 0)-GBSOption("P",指數型權證!$T$2,$J15,選擇權週選!$N$2,$N15+0.01,0, 0))*50*$Q15</f>
        <v>0</v>
      </c>
      <c r="AA15" s="36">
        <v>0</v>
      </c>
      <c r="AB15" s="14">
        <v>0</v>
      </c>
      <c r="AC15" s="14">
        <v>0</v>
      </c>
      <c r="AD15" s="14">
        <v>0</v>
      </c>
      <c r="AE15" s="17">
        <v>880</v>
      </c>
      <c r="AF15" s="17">
        <v>895</v>
      </c>
      <c r="AG15" s="17">
        <v>855</v>
      </c>
      <c r="AH15" s="19">
        <v>1.610321044921875E-4</v>
      </c>
      <c r="AI15" s="19">
        <v>0.71936335144042984</v>
      </c>
      <c r="AJ15" s="18">
        <v>11300</v>
      </c>
      <c r="AK15" s="17">
        <v>0.2</v>
      </c>
      <c r="AL15" s="17">
        <v>0.5</v>
      </c>
      <c r="AM15" s="17">
        <v>0.5</v>
      </c>
      <c r="AN15" s="19">
        <v>0.41737649841308599</v>
      </c>
      <c r="AO15" s="19">
        <v>0.45753562316894536</v>
      </c>
      <c r="AP15" s="14">
        <v>0</v>
      </c>
      <c r="AQ15" s="14">
        <v>0</v>
      </c>
      <c r="AR15" s="14">
        <v>0</v>
      </c>
      <c r="AS15" s="36">
        <v>0</v>
      </c>
      <c r="AT15" s="36"/>
      <c r="AU15" s="48">
        <v>0</v>
      </c>
      <c r="AV15" s="48">
        <v>0</v>
      </c>
    </row>
    <row r="16" spans="1:48" ht="17.25" thickBot="1" x14ac:dyDescent="0.3">
      <c r="A16" s="36">
        <f ca="1">(GBSOption("C",指數型權證!$T$2,$J16, 選擇權週選!$N$2,$H16, 0,0)-GBSOption("C",指數型權證!$T$2,$J16,選擇權週選!$O$2,$H16, 0,0))*$C16*50*-1</f>
        <v>0</v>
      </c>
      <c r="B16" s="14">
        <f ca="1">GBSGreeks("d", "C",指數型權證!$T$2,$J16,選擇權週選!$N$2,$H16, 0,0)*50*指數型權證!$T$2*$C16</f>
        <v>0</v>
      </c>
      <c r="C16" s="14">
        <f>SUMIFS(指數型權證!$AH$1:$AH$49,指數型權證!$AL$1:$AL$49,"7",指數型權證!$AJ$1:$AJ$49,$J16,指數型權證!$AM$1:$AM$49,"Call")</f>
        <v>0</v>
      </c>
      <c r="D16" s="14">
        <f ca="1">GBSGreeks("g", "C",指數型權證!$T$2,$J16,選擇權週選!$N$2,$H16, 0,0)*50*指數型權證!$T$2^2*1%*$C16*-1</f>
        <v>0</v>
      </c>
      <c r="E16" s="17">
        <v>805</v>
      </c>
      <c r="F16" s="17">
        <v>830</v>
      </c>
      <c r="G16" s="17">
        <v>820</v>
      </c>
      <c r="H16" s="19">
        <v>1.610321044921875E-4</v>
      </c>
      <c r="I16" s="19">
        <v>0.3348610931396484</v>
      </c>
      <c r="J16" s="18">
        <v>11400</v>
      </c>
      <c r="K16" s="17">
        <v>5</v>
      </c>
      <c r="L16" s="17">
        <v>5.0999999999999996</v>
      </c>
      <c r="M16" s="17">
        <v>5</v>
      </c>
      <c r="N16" s="19">
        <v>0.25942541198730473</v>
      </c>
      <c r="O16" s="19">
        <v>0.26027986145019533</v>
      </c>
      <c r="P16" s="14">
        <f ca="1">GBSGreeks("g", "P",指數型權證!$T$2,$J16,選擇權週選!$N$2,$N16, 0,0)*50*指數型權證!$T$2^2*1%*$Q16*-1</f>
        <v>0</v>
      </c>
      <c r="Q16" s="14">
        <f>SUMIFS(指數型權證!$AH$1:$AH$49,指數型權證!$AL$1:$AL$49,"WK",指數型權證!$AJ$1:$AJ$49,$J16,指數型權證!$AM$1:$AM$49,"Put")</f>
        <v>0</v>
      </c>
      <c r="R16" s="14">
        <f ca="1">GBSGreeks("d", "P",指數型權證!$T$2,$J16,選擇權週選!$N$2,$N16, 0,0)*50*指數型權證!$T$2*$Q16</f>
        <v>0</v>
      </c>
      <c r="S16" s="36">
        <f ca="1">(GBSOption("P",指數型權證!$T$2,$J16, 選擇權週選!$N$2,$N16, 0,0)-GBSOption("P",指數型權證!$T$2,$J16,選擇權週選!$O$2,$N16, 0,0))*$Q16*50*-1</f>
        <v>0</v>
      </c>
      <c r="T16" s="36"/>
      <c r="U16" s="48">
        <f ca="1">(GBSOption("C",指數型權證!$T$2,$J16,選擇權週選!$N$2,$H16,0, 0)-GBSOption("C",指數型權證!$T$2,$J16,選擇權週選!$N$2,$H16+0.01,0, 0))*50*$C16</f>
        <v>0</v>
      </c>
      <c r="V16" s="48">
        <f ca="1">(GBSOption("P",指數型權證!$T$2,$J16,選擇權週選!$N$2,$N16,0, 0)-GBSOption("P",指數型權證!$T$2,$J16,選擇權週選!$N$2,$N16+0.01,0, 0))*50*$Q16</f>
        <v>0</v>
      </c>
      <c r="AA16" s="36">
        <v>0</v>
      </c>
      <c r="AB16" s="14">
        <v>0</v>
      </c>
      <c r="AC16" s="14">
        <v>0</v>
      </c>
      <c r="AD16" s="14">
        <v>0</v>
      </c>
      <c r="AE16" s="17">
        <v>780</v>
      </c>
      <c r="AF16" s="17">
        <v>790</v>
      </c>
      <c r="AG16" s="17">
        <v>785</v>
      </c>
      <c r="AH16" s="19">
        <v>1.610321044921875E-4</v>
      </c>
      <c r="AI16" s="19">
        <v>0.57923363952636731</v>
      </c>
      <c r="AJ16" s="18">
        <v>11400</v>
      </c>
      <c r="AK16" s="17">
        <v>0.3</v>
      </c>
      <c r="AL16" s="17">
        <v>0.6</v>
      </c>
      <c r="AM16" s="17">
        <v>0.4</v>
      </c>
      <c r="AN16" s="19">
        <v>0.38783695983886712</v>
      </c>
      <c r="AO16" s="19">
        <v>0.41774269104003914</v>
      </c>
      <c r="AP16" s="14">
        <v>0</v>
      </c>
      <c r="AQ16" s="14">
        <v>0</v>
      </c>
      <c r="AR16" s="14">
        <v>0</v>
      </c>
      <c r="AS16" s="36">
        <v>0</v>
      </c>
      <c r="AT16" s="36"/>
      <c r="AU16" s="48">
        <v>0</v>
      </c>
      <c r="AV16" s="48">
        <v>0</v>
      </c>
    </row>
    <row r="17" spans="1:48" ht="17.25" thickBot="1" x14ac:dyDescent="0.3">
      <c r="A17" s="36">
        <f ca="1">(GBSOption("C",指數型權證!$T$2,$J17, 選擇權週選!$N$2,$H17, 0,0)-GBSOption("C",指數型權證!$T$2,$J17,選擇權週選!$O$2,$H17, 0,0))*$C17*50*-1</f>
        <v>0</v>
      </c>
      <c r="B17" s="14">
        <f ca="1">GBSGreeks("d", "C",指數型權證!$T$2,$J17,選擇權週選!$N$2,$H17, 0,0)*50*指數型權證!$T$2*$C17</f>
        <v>0</v>
      </c>
      <c r="C17" s="14">
        <f>SUMIFS(指數型權證!$AH$1:$AH$49,指數型權證!$AL$1:$AL$49,"7",指數型權證!$AJ$1:$AJ$49,$J17,指數型權證!$AM$1:$AM$49,"Call")</f>
        <v>0</v>
      </c>
      <c r="D17" s="14">
        <f ca="1">GBSGreeks("g", "C",指數型權證!$T$2,$J17,選擇權週選!$N$2,$H17, 0,0)*50*指數型權證!$T$2^2*1%*$C17*-1</f>
        <v>0</v>
      </c>
      <c r="E17" s="17">
        <v>710</v>
      </c>
      <c r="F17" s="17">
        <v>725</v>
      </c>
      <c r="G17" s="17" t="s">
        <v>1854</v>
      </c>
      <c r="H17" s="19">
        <v>1.610321044921875E-4</v>
      </c>
      <c r="I17" s="19">
        <v>0.27968807067871099</v>
      </c>
      <c r="J17" s="18">
        <v>11500</v>
      </c>
      <c r="K17" s="17">
        <v>7.4</v>
      </c>
      <c r="L17" s="17">
        <v>7.6</v>
      </c>
      <c r="M17" s="17">
        <v>7.5</v>
      </c>
      <c r="N17" s="19">
        <v>0.24892789001464843</v>
      </c>
      <c r="O17" s="19">
        <v>0.25027059631347659</v>
      </c>
      <c r="P17" s="14">
        <f ca="1">GBSGreeks("g", "P",指數型權證!$T$2,$J17,選擇權週選!$N$2,$N17, 0,0)*50*指數型權證!$T$2^2*1%*$Q17*-1</f>
        <v>0</v>
      </c>
      <c r="Q17" s="14">
        <f>SUMIFS(指數型權證!$AH$1:$AH$49,指數型權證!$AL$1:$AL$49,"WK",指數型權證!$AJ$1:$AJ$49,$J17,指數型權證!$AM$1:$AM$49,"Put")</f>
        <v>0</v>
      </c>
      <c r="R17" s="14">
        <f ca="1">GBSGreeks("d", "P",指數型權證!$T$2,$J17,選擇權週選!$N$2,$N17, 0,0)*50*指數型權證!$T$2*$Q17</f>
        <v>0</v>
      </c>
      <c r="S17" s="36">
        <f ca="1">(GBSOption("P",指數型權證!$T$2,$J17, 選擇權週選!$N$2,$N17, 0,0)-GBSOption("P",指數型權證!$T$2,$J17,選擇權週選!$O$2,$N17, 0,0))*$Q17*50*-1</f>
        <v>0</v>
      </c>
      <c r="T17" s="36"/>
      <c r="U17" s="48">
        <f ca="1">(GBSOption("C",指數型權證!$T$2,$J17,選擇權週選!$N$2,$H17,0, 0)-GBSOption("C",指數型權證!$T$2,$J17,選擇權週選!$N$2,$H17+0.01,0, 0))*50*$C17</f>
        <v>0</v>
      </c>
      <c r="V17" s="48">
        <f ca="1">(GBSOption("P",指數型權證!$T$2,$J17,選擇權週選!$N$2,$N17,0, 0)-GBSOption("P",指數型權證!$T$2,$J17,選擇權週選!$N$2,$N17+0.01,0, 0))*50*$Q17</f>
        <v>0</v>
      </c>
      <c r="AA17" s="36">
        <v>0</v>
      </c>
      <c r="AB17" s="14">
        <v>0</v>
      </c>
      <c r="AC17" s="14">
        <v>0</v>
      </c>
      <c r="AD17" s="14">
        <v>0</v>
      </c>
      <c r="AE17" s="17">
        <v>680</v>
      </c>
      <c r="AF17" s="17">
        <v>690</v>
      </c>
      <c r="AG17" s="17">
        <v>685</v>
      </c>
      <c r="AH17" s="19">
        <v>1.610321044921875E-4</v>
      </c>
      <c r="AI17" s="19">
        <v>0.51588231506347659</v>
      </c>
      <c r="AJ17" s="18">
        <v>11500</v>
      </c>
      <c r="AK17" s="17">
        <v>0.5</v>
      </c>
      <c r="AL17" s="17">
        <v>0.7</v>
      </c>
      <c r="AM17" s="17">
        <v>0.5</v>
      </c>
      <c r="AN17" s="19">
        <v>0.36098283386230479</v>
      </c>
      <c r="AO17" s="19">
        <v>0.37538641052246097</v>
      </c>
      <c r="AP17" s="14">
        <v>0</v>
      </c>
      <c r="AQ17" s="14">
        <v>0</v>
      </c>
      <c r="AR17" s="14">
        <v>0</v>
      </c>
      <c r="AS17" s="36">
        <v>0</v>
      </c>
      <c r="AT17" s="36"/>
      <c r="AU17" s="48">
        <v>0</v>
      </c>
      <c r="AV17" s="48">
        <v>0</v>
      </c>
    </row>
    <row r="18" spans="1:48" ht="17.25" thickBot="1" x14ac:dyDescent="0.3">
      <c r="A18" s="36">
        <f ca="1">(GBSOption("C",指數型權證!$T$2,$J18, 選擇權週選!$N$2,$H18, 0,0)-GBSOption("C",指數型權證!$T$2,$J18,選擇權週選!$O$2,$H18, 0,0))*$C18*50*-1</f>
        <v>0</v>
      </c>
      <c r="B18" s="14">
        <f ca="1">GBSGreeks("d", "C",指數型權證!$T$2,$J18,選擇權週選!$N$2,$H18, 0,0)*50*指數型權證!$T$2*$C18</f>
        <v>0</v>
      </c>
      <c r="C18" s="14">
        <f>SUMIFS(指數型權證!$AH$1:$AH$49,指數型權證!$AL$1:$AL$49,"7",指數型權證!$AJ$1:$AJ$49,$J18,指數型權證!$AM$1:$AM$49,"Call")</f>
        <v>0</v>
      </c>
      <c r="D18" s="14">
        <f ca="1">GBSGreeks("g", "C",指數型權證!$T$2,$J18,選擇權週選!$N$2,$H18, 0,0)*50*指數型權證!$T$2^2*1%*$C18*-1</f>
        <v>0</v>
      </c>
      <c r="E18" s="17">
        <v>615</v>
      </c>
      <c r="F18" s="17">
        <v>630</v>
      </c>
      <c r="G18" s="17">
        <v>595</v>
      </c>
      <c r="H18" s="19">
        <v>0.18655307922363282</v>
      </c>
      <c r="I18" s="19">
        <v>0.26796990661621095</v>
      </c>
      <c r="J18" s="18">
        <v>11600</v>
      </c>
      <c r="K18" s="17">
        <v>10.5</v>
      </c>
      <c r="L18" s="17">
        <v>11</v>
      </c>
      <c r="M18" s="17">
        <v>11</v>
      </c>
      <c r="N18" s="19">
        <v>0.23611114807128908</v>
      </c>
      <c r="O18" s="19">
        <v>0.23855243225097661</v>
      </c>
      <c r="P18" s="14">
        <f ca="1">GBSGreeks("g", "P",指數型權證!$T$2,$J18,選擇權週選!$N$2,$N18, 0,0)*50*指數型權證!$T$2^2*1%*$Q18*-1</f>
        <v>0</v>
      </c>
      <c r="Q18" s="14">
        <f>SUMIFS(指數型權證!$AH$1:$AH$49,指數型權證!$AL$1:$AL$49,"WK",指數型權證!$AJ$1:$AJ$49,$J18,指數型權證!$AM$1:$AM$49,"Put")</f>
        <v>0</v>
      </c>
      <c r="R18" s="14">
        <f ca="1">GBSGreeks("d", "P",指數型權證!$T$2,$J18,選擇權週選!$N$2,$N18, 0,0)*50*指數型權證!$T$2*$Q18</f>
        <v>0</v>
      </c>
      <c r="S18" s="36">
        <f ca="1">(GBSOption("P",指數型權證!$T$2,$J18, 選擇權週選!$N$2,$N18, 0,0)-GBSOption("P",指數型權證!$T$2,$J18,選擇權週選!$O$2,$N18, 0,0))*$Q18*50*-1</f>
        <v>0</v>
      </c>
      <c r="T18" s="36"/>
      <c r="U18" s="48">
        <f ca="1">(GBSOption("C",指數型權證!$T$2,$J18,選擇權週選!$N$2,$H18,0, 0)-GBSOption("C",指數型權證!$T$2,$J18,選擇權週選!$N$2,$H18+0.01,0, 0))*50*$C18</f>
        <v>0</v>
      </c>
      <c r="V18" s="48">
        <f ca="1">(GBSOption("P",指數型權證!$T$2,$J18,選擇權週選!$N$2,$N18,0, 0)-GBSOption("P",指數型權證!$T$2,$J18,選擇權週選!$N$2,$N18+0.01,0, 0))*50*$Q18</f>
        <v>0</v>
      </c>
      <c r="AA18" s="36">
        <v>0</v>
      </c>
      <c r="AB18" s="14">
        <v>0</v>
      </c>
      <c r="AC18" s="14">
        <v>0</v>
      </c>
      <c r="AD18" s="14">
        <v>0</v>
      </c>
      <c r="AE18" s="17">
        <v>580</v>
      </c>
      <c r="AF18" s="17">
        <v>590</v>
      </c>
      <c r="AG18" s="17">
        <v>580</v>
      </c>
      <c r="AH18" s="19">
        <v>1.610321044921875E-4</v>
      </c>
      <c r="AI18" s="19">
        <v>0.4517986053466797</v>
      </c>
      <c r="AJ18" s="18">
        <v>11600</v>
      </c>
      <c r="AK18" s="17">
        <v>0.6</v>
      </c>
      <c r="AL18" s="17">
        <v>0.8</v>
      </c>
      <c r="AM18" s="17">
        <v>0.6</v>
      </c>
      <c r="AN18" s="19">
        <v>0.31923687438964843</v>
      </c>
      <c r="AO18" s="19">
        <v>0.33071091003417974</v>
      </c>
      <c r="AP18" s="14">
        <v>0</v>
      </c>
      <c r="AQ18" s="14">
        <v>0</v>
      </c>
      <c r="AR18" s="14">
        <v>0</v>
      </c>
      <c r="AS18" s="36">
        <v>0</v>
      </c>
      <c r="AT18" s="36"/>
      <c r="AU18" s="48">
        <v>0</v>
      </c>
      <c r="AV18" s="48">
        <v>0</v>
      </c>
    </row>
    <row r="19" spans="1:48" ht="17.25" thickBot="1" x14ac:dyDescent="0.3">
      <c r="A19" s="36">
        <f ca="1">(GBSOption("C",指數型權證!$T$2,$J19, 選擇權週選!$N$2,$H19, 0,0)-GBSOption("C",指數型權證!$T$2,$J19,選擇權週選!$O$2,$H19, 0,0))*$C19*50*-1</f>
        <v>0</v>
      </c>
      <c r="B19" s="14">
        <f ca="1">GBSGreeks("d", "C",指數型權證!$T$2,$J19,選擇權週選!$N$2,$H19, 0,0)*50*指數型權證!$T$2*$C19</f>
        <v>0</v>
      </c>
      <c r="C19" s="14">
        <f>SUMIFS(指數型權證!$AH$1:$AH$49,指數型權證!$AL$1:$AL$49,"7",指數型權證!$AJ$1:$AJ$49,$J19,指數型權證!$AM$1:$AM$49,"Call")</f>
        <v>0</v>
      </c>
      <c r="D19" s="14">
        <f ca="1">GBSGreeks("g", "C",指數型權證!$T$2,$J19,選擇權週選!$N$2,$H19, 0,0)*50*指數型權證!$T$2^2*1%*$C19*-1</f>
        <v>0</v>
      </c>
      <c r="E19" s="17">
        <v>525</v>
      </c>
      <c r="F19" s="17">
        <v>535</v>
      </c>
      <c r="G19" s="17" t="s">
        <v>1854</v>
      </c>
      <c r="H19" s="19">
        <v>0.21523816833496096</v>
      </c>
      <c r="I19" s="19">
        <v>0.25014853210449217</v>
      </c>
      <c r="J19" s="18">
        <v>11700</v>
      </c>
      <c r="K19" s="17">
        <v>16.5</v>
      </c>
      <c r="L19" s="17">
        <v>17</v>
      </c>
      <c r="M19" s="17">
        <v>16.5</v>
      </c>
      <c r="N19" s="19">
        <v>0.22854316711425782</v>
      </c>
      <c r="O19" s="19">
        <v>0.23037413024902342</v>
      </c>
      <c r="P19" s="14">
        <f ca="1">GBSGreeks("g", "P",指數型權證!$T$2,$J19,選擇權週選!$N$2,$N19, 0,0)*50*指數型權證!$T$2^2*1%*$Q19*-1</f>
        <v>0</v>
      </c>
      <c r="Q19" s="14">
        <f>SUMIFS(指數型權證!$AH$1:$AH$49,指數型權證!$AL$1:$AL$49,"WK",指數型權證!$AJ$1:$AJ$49,$J19,指數型權證!$AM$1:$AM$49,"Put")</f>
        <v>0</v>
      </c>
      <c r="R19" s="14">
        <f ca="1">GBSGreeks("d", "P",指數型權證!$T$2,$J19,選擇權週選!$N$2,$N19, 0,0)*50*指數型權證!$T$2*$Q19</f>
        <v>0</v>
      </c>
      <c r="S19" s="36">
        <f ca="1">(GBSOption("P",指數型權證!$T$2,$J19, 選擇權週選!$N$2,$N19, 0,0)-GBSOption("P",指數型權證!$T$2,$J19,選擇權週選!$O$2,$N19, 0,0))*$Q19*50*-1</f>
        <v>0</v>
      </c>
      <c r="T19" s="36"/>
      <c r="U19" s="48">
        <f ca="1">(GBSOption("C",指數型權證!$T$2,$J19,選擇權週選!$N$2,$H19,0, 0)-GBSOption("C",指數型權證!$T$2,$J19,選擇權週選!$N$2,$H19+0.01,0, 0))*50*$C19</f>
        <v>0</v>
      </c>
      <c r="V19" s="48">
        <f ca="1">(GBSOption("P",指數型權證!$T$2,$J19,選擇權週選!$N$2,$N19,0, 0)-GBSOption("P",指數型權證!$T$2,$J19,選擇權週選!$N$2,$N19+0.01,0, 0))*50*$Q19</f>
        <v>0</v>
      </c>
      <c r="AA19" s="36">
        <v>0</v>
      </c>
      <c r="AB19" s="14">
        <v>0</v>
      </c>
      <c r="AC19" s="14">
        <v>0</v>
      </c>
      <c r="AD19" s="14">
        <v>0</v>
      </c>
      <c r="AE19" s="17">
        <v>481</v>
      </c>
      <c r="AF19" s="17">
        <v>489</v>
      </c>
      <c r="AG19" s="17">
        <v>475</v>
      </c>
      <c r="AH19" s="19">
        <v>1.610321044921875E-4</v>
      </c>
      <c r="AI19" s="19">
        <v>0.37318925476074216</v>
      </c>
      <c r="AJ19" s="18">
        <v>11700</v>
      </c>
      <c r="AK19" s="17">
        <v>0.7</v>
      </c>
      <c r="AL19" s="17">
        <v>1</v>
      </c>
      <c r="AM19" s="17">
        <v>0.8</v>
      </c>
      <c r="AN19" s="19">
        <v>0.27480550231933593</v>
      </c>
      <c r="AO19" s="19">
        <v>0.28798843688964848</v>
      </c>
      <c r="AP19" s="14">
        <v>0</v>
      </c>
      <c r="AQ19" s="14">
        <v>0</v>
      </c>
      <c r="AR19" s="14">
        <v>0</v>
      </c>
      <c r="AS19" s="36">
        <v>0</v>
      </c>
      <c r="AT19" s="36"/>
      <c r="AU19" s="48">
        <v>0</v>
      </c>
      <c r="AV19" s="48">
        <v>0</v>
      </c>
    </row>
    <row r="20" spans="1:48" ht="17.25" thickBot="1" x14ac:dyDescent="0.3">
      <c r="A20" s="36">
        <f ca="1">(GBSOption("C",指數型權證!$T$2,$J20, 選擇權週選!$N$2,$H20, 0,0)-GBSOption("C",指數型權證!$T$2,$J20,選擇權週選!$O$2,$H20, 0,0))*$C20*50*-1</f>
        <v>0</v>
      </c>
      <c r="B20" s="14">
        <f ca="1">GBSGreeks("d", "C",指數型權證!$T$2,$J20,選擇權週選!$N$2,$H20, 0,0)*50*指數型權證!$T$2*$C20</f>
        <v>0</v>
      </c>
      <c r="C20" s="14">
        <f>SUMIFS(指數型權證!$AH$1:$AH$49,指數型權證!$AL$1:$AL$49,"7",指數型權證!$AJ$1:$AJ$49,$J20,指數型權證!$AM$1:$AM$49,"Call")</f>
        <v>0</v>
      </c>
      <c r="D20" s="14">
        <f ca="1">GBSGreeks("g", "C",指數型權證!$T$2,$J20,選擇權週選!$N$2,$H20, 0,0)*50*指數型權證!$T$2^2*1%*$C20*-1</f>
        <v>0</v>
      </c>
      <c r="E20" s="17" t="s">
        <v>3034</v>
      </c>
      <c r="F20" s="17" t="s">
        <v>3034</v>
      </c>
      <c r="G20" s="17" t="s">
        <v>3034</v>
      </c>
      <c r="H20" s="19">
        <v>0.6</v>
      </c>
      <c r="I20" s="19">
        <v>0.6</v>
      </c>
      <c r="J20" s="18">
        <v>11750</v>
      </c>
      <c r="K20" s="17" t="s">
        <v>3034</v>
      </c>
      <c r="L20" s="17" t="s">
        <v>3034</v>
      </c>
      <c r="M20" s="17" t="s">
        <v>3034</v>
      </c>
      <c r="N20" s="19">
        <v>0.6</v>
      </c>
      <c r="O20" s="19">
        <v>0.6</v>
      </c>
      <c r="P20" s="14">
        <f ca="1">GBSGreeks("g", "P",指數型權證!$T$2,$J20,選擇權週選!$N$2,$N20, 0,0)*50*指數型權證!$T$2^2*1%*$Q20*-1</f>
        <v>0</v>
      </c>
      <c r="Q20" s="14">
        <f>SUMIFS(指數型權證!$AH$1:$AH$49,指數型權證!$AL$1:$AL$49,"WK",指數型權證!$AJ$1:$AJ$49,$J20,指數型權證!$AM$1:$AM$49,"Put")</f>
        <v>0</v>
      </c>
      <c r="R20" s="14">
        <f ca="1">GBSGreeks("d", "P",指數型權證!$T$2,$J20,選擇權週選!$N$2,$N20, 0,0)*50*指數型權證!$T$2*$Q20</f>
        <v>0</v>
      </c>
      <c r="S20" s="36">
        <f ca="1">(GBSOption("P",指數型權證!$T$2,$J20, 選擇權週選!$N$2,$N20, 0,0)-GBSOption("P",指數型權證!$T$2,$J20,選擇權週選!$O$2,$N20, 0,0))*$Q20*50*-1</f>
        <v>0</v>
      </c>
      <c r="T20" s="36"/>
      <c r="U20" s="48">
        <f ca="1">(GBSOption("C",指數型權證!$T$2,$J20,選擇權週選!$N$2,$H20,0, 0)-GBSOption("C",指數型權證!$T$2,$J20,選擇權週選!$N$2,$H20+0.01,0, 0))*50*$C20</f>
        <v>0</v>
      </c>
      <c r="V20" s="48">
        <f ca="1">(GBSOption("P",指數型權證!$T$2,$J20,選擇權週選!$N$2,$N20,0, 0)-GBSOption("P",指數型權證!$T$2,$J20,選擇權週選!$N$2,$N20+0.01,0, 0))*50*$Q20</f>
        <v>0</v>
      </c>
      <c r="AA20" s="36">
        <v>0</v>
      </c>
      <c r="AB20" s="14">
        <v>0</v>
      </c>
      <c r="AC20" s="14">
        <v>0</v>
      </c>
      <c r="AD20" s="14">
        <v>0</v>
      </c>
      <c r="AE20" s="17">
        <v>431</v>
      </c>
      <c r="AF20" s="17">
        <v>439</v>
      </c>
      <c r="AG20" s="17">
        <v>400</v>
      </c>
      <c r="AH20" s="19">
        <v>1.610321044921875E-4</v>
      </c>
      <c r="AI20" s="19">
        <v>0.34108636779785162</v>
      </c>
      <c r="AJ20" s="18">
        <v>11750</v>
      </c>
      <c r="AK20" s="17">
        <v>0.9</v>
      </c>
      <c r="AL20" s="17">
        <v>1.1000000000000001</v>
      </c>
      <c r="AM20" s="17">
        <v>1.1000000000000001</v>
      </c>
      <c r="AN20" s="19">
        <v>0.25771651306152343</v>
      </c>
      <c r="AO20" s="19">
        <v>0.26504036560058591</v>
      </c>
      <c r="AP20" s="14">
        <v>0</v>
      </c>
      <c r="AQ20" s="14">
        <v>0</v>
      </c>
      <c r="AR20" s="14">
        <v>0</v>
      </c>
      <c r="AS20" s="36">
        <v>0</v>
      </c>
      <c r="AT20" s="36"/>
      <c r="AU20" s="48">
        <v>0</v>
      </c>
      <c r="AV20" s="48">
        <v>0</v>
      </c>
    </row>
    <row r="21" spans="1:48" ht="17.25" thickBot="1" x14ac:dyDescent="0.3">
      <c r="A21" s="36">
        <f ca="1">(GBSOption("C",指數型權證!$T$2,$J21, 選擇權週選!$N$2,$H21, 0,0)-GBSOption("C",指數型權證!$T$2,$J21,選擇權週選!$O$2,$H21, 0,0))*$C21*50*-1</f>
        <v>0</v>
      </c>
      <c r="B21" s="14">
        <f ca="1">GBSGreeks("d", "C",指數型權證!$T$2,$J21,選擇權週選!$N$2,$H21, 0,0)*50*指數型權證!$T$2*$C21</f>
        <v>0</v>
      </c>
      <c r="C21" s="14">
        <f>SUMIFS(指數型權證!$AH$1:$AH$49,指數型權證!$AL$1:$AL$49,"7",指數型權證!$AJ$1:$AJ$49,$J21,指數型權證!$AM$1:$AM$49,"Call")</f>
        <v>0</v>
      </c>
      <c r="D21" s="14">
        <f ca="1">GBSGreeks("g", "C",指數型權證!$T$2,$J21,選擇權週選!$N$2,$H21, 0,0)*50*指數型權證!$T$2^2*1%*$C21*-1</f>
        <v>0</v>
      </c>
      <c r="E21" s="17">
        <v>435</v>
      </c>
      <c r="F21" s="17">
        <v>443</v>
      </c>
      <c r="G21" s="17">
        <v>445</v>
      </c>
      <c r="H21" s="19">
        <v>0.21365133361816407</v>
      </c>
      <c r="I21" s="19">
        <v>0.23501257019042968</v>
      </c>
      <c r="J21" s="18">
        <v>11800</v>
      </c>
      <c r="K21" s="17">
        <v>24.5</v>
      </c>
      <c r="L21" s="17">
        <v>25.5</v>
      </c>
      <c r="M21" s="17">
        <v>24.5</v>
      </c>
      <c r="N21" s="19">
        <v>0.21792358093261718</v>
      </c>
      <c r="O21" s="19">
        <v>0.22060899353027344</v>
      </c>
      <c r="P21" s="14">
        <f ca="1">GBSGreeks("g", "P",指數型權證!$T$2,$J21,選擇權週選!$N$2,$N21, 0,0)*50*指數型權證!$T$2^2*1%*$Q21*-1</f>
        <v>0</v>
      </c>
      <c r="Q21" s="14">
        <f>SUMIFS(指數型權證!$AH$1:$AH$49,指數型權證!$AL$1:$AL$49,"WK",指數型權證!$AJ$1:$AJ$49,$J21,指數型權證!$AM$1:$AM$49,"Put")</f>
        <v>0</v>
      </c>
      <c r="R21" s="14">
        <f ca="1">GBSGreeks("d", "P",指數型權證!$T$2,$J21,選擇權週選!$N$2,$N21, 0,0)*50*指數型權證!$T$2*$Q21</f>
        <v>0</v>
      </c>
      <c r="S21" s="36">
        <f ca="1">(GBSOption("P",指數型權證!$T$2,$J21, 選擇權週選!$N$2,$N21, 0,0)-GBSOption("P",指數型權證!$T$2,$J21,選擇權週選!$O$2,$N21, 0,0))*$Q21*50*-1</f>
        <v>0</v>
      </c>
      <c r="T21" s="36"/>
      <c r="U21" s="48">
        <f ca="1">(GBSOption("C",指數型權證!$T$2,$J21,選擇權週選!$N$2,$H21,0, 0)-GBSOption("C",指數型權證!$T$2,$J21,選擇權週選!$N$2,$H21+0.01,0, 0))*50*$C21</f>
        <v>0</v>
      </c>
      <c r="V21" s="48">
        <f ca="1">(GBSOption("P",指數型權證!$T$2,$J21,選擇權週選!$N$2,$N21,0, 0)-GBSOption("P",指數型權證!$T$2,$J21,選擇權週選!$N$2,$N21+0.01,0, 0))*50*$Q21</f>
        <v>0</v>
      </c>
      <c r="AA21" s="36">
        <v>0</v>
      </c>
      <c r="AB21" s="14">
        <v>0</v>
      </c>
      <c r="AC21" s="14">
        <v>0</v>
      </c>
      <c r="AD21" s="14">
        <v>0</v>
      </c>
      <c r="AE21" s="17">
        <v>385</v>
      </c>
      <c r="AF21" s="17">
        <v>388</v>
      </c>
      <c r="AG21" s="17">
        <v>386</v>
      </c>
      <c r="AH21" s="19">
        <v>0.23489050598144531</v>
      </c>
      <c r="AI21" s="19">
        <v>0.29531228942871096</v>
      </c>
      <c r="AJ21" s="18">
        <v>11800</v>
      </c>
      <c r="AK21" s="17">
        <v>1.3</v>
      </c>
      <c r="AL21" s="17">
        <v>1.4</v>
      </c>
      <c r="AM21" s="17">
        <v>1.3</v>
      </c>
      <c r="AN21" s="19">
        <v>0.24404532165527346</v>
      </c>
      <c r="AO21" s="19">
        <v>0.2468527984619141</v>
      </c>
      <c r="AP21" s="14">
        <v>0</v>
      </c>
      <c r="AQ21" s="14">
        <v>0</v>
      </c>
      <c r="AR21" s="14">
        <v>0</v>
      </c>
      <c r="AS21" s="36">
        <v>0</v>
      </c>
      <c r="AT21" s="36"/>
      <c r="AU21" s="48">
        <v>0</v>
      </c>
      <c r="AV21" s="48">
        <v>0</v>
      </c>
    </row>
    <row r="22" spans="1:48" ht="17.25" thickBot="1" x14ac:dyDescent="0.3">
      <c r="A22" s="36">
        <f ca="1">(GBSOption("C",指數型權證!$T$2,$J22, 選擇權週選!$N$2,$H22, 0,0)-GBSOption("C",指數型權證!$T$2,$J22,選擇權週選!$O$2,$H22, 0,0))*$C22*50*-1</f>
        <v>0</v>
      </c>
      <c r="B22" s="14">
        <f ca="1">GBSGreeks("d", "C",指數型權證!$T$2,$J22,選擇權週選!$N$2,$H22, 0,0)*50*指數型權證!$T$2*$C22</f>
        <v>0</v>
      </c>
      <c r="C22" s="14">
        <f>SUMIFS(指數型權證!$AH$1:$AH$49,指數型權證!$AL$1:$AL$49,"7",指數型權證!$AJ$1:$AJ$49,$J22,指數型權證!$AM$1:$AM$49,"Call")</f>
        <v>0</v>
      </c>
      <c r="D22" s="14">
        <f ca="1">GBSGreeks("g", "C",指數型權證!$T$2,$J22,選擇權週選!$N$2,$H22, 0,0)*50*指數型權證!$T$2^2*1%*$C22*-1</f>
        <v>0</v>
      </c>
      <c r="E22" s="17">
        <v>391</v>
      </c>
      <c r="F22" s="17">
        <v>398</v>
      </c>
      <c r="G22" s="17">
        <v>397</v>
      </c>
      <c r="H22" s="19">
        <v>0.21047766418457034</v>
      </c>
      <c r="I22" s="19">
        <v>0.22707839660644533</v>
      </c>
      <c r="J22" s="18">
        <v>11850</v>
      </c>
      <c r="K22" s="17">
        <v>30.5</v>
      </c>
      <c r="L22" s="17">
        <v>31.5</v>
      </c>
      <c r="M22" s="17">
        <v>31</v>
      </c>
      <c r="N22" s="19">
        <v>0.21413959045410158</v>
      </c>
      <c r="O22" s="19">
        <v>0.21658087463378908</v>
      </c>
      <c r="P22" s="14">
        <f ca="1">GBSGreeks("g", "P",指數型權證!$T$2,$J22,選擇權週選!$N$2,$N22, 0,0)*50*指數型權證!$T$2^2*1%*$Q22*-1</f>
        <v>0</v>
      </c>
      <c r="Q22" s="14">
        <f>SUMIFS(指數型權證!$AH$1:$AH$49,指數型權證!$AL$1:$AL$49,"WK",指數型權證!$AJ$1:$AJ$49,$J22,指數型權證!$AM$1:$AM$49,"Put")</f>
        <v>0</v>
      </c>
      <c r="R22" s="14">
        <f ca="1">GBSGreeks("d", "P",指數型權證!$T$2,$J22,選擇權週選!$N$2,$N22, 0,0)*50*指數型權證!$T$2*$Q22</f>
        <v>0</v>
      </c>
      <c r="S22" s="36">
        <f ca="1">(GBSOption("P",指數型權證!$T$2,$J22, 選擇權週選!$N$2,$N22, 0,0)-GBSOption("P",指數型權證!$T$2,$J22,選擇權週選!$O$2,$N22, 0,0))*$Q22*50*-1</f>
        <v>0</v>
      </c>
      <c r="T22" s="36"/>
      <c r="U22" s="48">
        <f ca="1">(GBSOption("C",指數型權證!$T$2,$J22,選擇權週選!$N$2,$H22,0, 0)-GBSOption("C",指數型權證!$T$2,$J22,選擇權週選!$N$2,$H22+0.01,0, 0))*50*$C22</f>
        <v>0</v>
      </c>
      <c r="V22" s="48">
        <f ca="1">(GBSOption("P",指數型權證!$T$2,$J22,選擇權週選!$N$2,$N22,0, 0)-GBSOption("P",指數型權證!$T$2,$J22,選擇權週選!$N$2,$N22+0.01,0, 0))*50*$Q22</f>
        <v>0</v>
      </c>
      <c r="AA22" s="36">
        <v>0</v>
      </c>
      <c r="AB22" s="14">
        <v>0</v>
      </c>
      <c r="AC22" s="14">
        <v>0</v>
      </c>
      <c r="AD22" s="14">
        <v>0</v>
      </c>
      <c r="AE22" s="17">
        <v>332</v>
      </c>
      <c r="AF22" s="17">
        <v>340</v>
      </c>
      <c r="AG22" s="17">
        <v>330</v>
      </c>
      <c r="AH22" s="19">
        <v>1.610321044921875E-4</v>
      </c>
      <c r="AI22" s="19">
        <v>0.28688985900878911</v>
      </c>
      <c r="AJ22" s="18">
        <v>11850</v>
      </c>
      <c r="AK22" s="17">
        <v>1.7</v>
      </c>
      <c r="AL22" s="17">
        <v>1.9</v>
      </c>
      <c r="AM22" s="17">
        <v>1.8</v>
      </c>
      <c r="AN22" s="19">
        <v>0.22573569030761717</v>
      </c>
      <c r="AO22" s="19">
        <v>0.23000793762207031</v>
      </c>
      <c r="AP22" s="14">
        <v>0</v>
      </c>
      <c r="AQ22" s="14">
        <v>0</v>
      </c>
      <c r="AR22" s="14">
        <v>0</v>
      </c>
      <c r="AS22" s="36">
        <v>0</v>
      </c>
      <c r="AT22" s="36"/>
      <c r="AU22" s="48">
        <v>0</v>
      </c>
      <c r="AV22" s="48">
        <v>0</v>
      </c>
    </row>
    <row r="23" spans="1:48" ht="17.25" thickBot="1" x14ac:dyDescent="0.3">
      <c r="A23" s="36">
        <f ca="1">(GBSOption("C",指數型權證!$T$2,$J23, 選擇權週選!$N$2,$H23, 0,0)-GBSOption("C",指數型權證!$T$2,$J23,選擇權週選!$O$2,$H23, 0,0))*$C23*50*-1</f>
        <v>0</v>
      </c>
      <c r="B23" s="14">
        <f ca="1">GBSGreeks("d", "C",指數型權證!$T$2,$J23,選擇權週選!$N$2,$H23, 0,0)*50*指數型權證!$T$2*$C23</f>
        <v>0</v>
      </c>
      <c r="C23" s="14">
        <f>SUMIFS(指數型權證!$AH$1:$AH$49,指數型權證!$AL$1:$AL$49,"7",指數型權證!$AJ$1:$AJ$49,$J23,指數型權證!$AM$1:$AM$49,"Call")</f>
        <v>0</v>
      </c>
      <c r="D23" s="14">
        <f ca="1">GBSGreeks("g", "C",指數型權證!$T$2,$J23,選擇權週選!$N$2,$H23, 0,0)*50*指數型權證!$T$2^2*1%*$C23*-1</f>
        <v>0</v>
      </c>
      <c r="E23" s="17">
        <v>350</v>
      </c>
      <c r="F23" s="17">
        <v>354</v>
      </c>
      <c r="G23" s="17">
        <v>334</v>
      </c>
      <c r="H23" s="19">
        <v>0.21084385681152346</v>
      </c>
      <c r="I23" s="19">
        <v>0.21926628723144534</v>
      </c>
      <c r="J23" s="18">
        <v>11900</v>
      </c>
      <c r="K23" s="17">
        <v>38</v>
      </c>
      <c r="L23" s="17">
        <v>38.5</v>
      </c>
      <c r="M23" s="17">
        <v>38</v>
      </c>
      <c r="N23" s="19">
        <v>0.21084385681152346</v>
      </c>
      <c r="O23" s="19">
        <v>0.21182037048339847</v>
      </c>
      <c r="P23" s="14">
        <f ca="1">GBSGreeks("g", "P",指數型權證!$T$2,$J23,選擇權週選!$N$2,$N23, 0,0)*50*指數型權證!$T$2^2*1%*$Q23*-1</f>
        <v>0</v>
      </c>
      <c r="Q23" s="14">
        <f>SUMIFS(指數型權證!$AH$1:$AH$49,指數型權證!$AL$1:$AL$49,"WK",指數型權證!$AJ$1:$AJ$49,$J23,指數型權證!$AM$1:$AM$49,"Put")</f>
        <v>0</v>
      </c>
      <c r="R23" s="14">
        <f ca="1">GBSGreeks("d", "P",指數型權證!$T$2,$J23,選擇權週選!$N$2,$N23, 0,0)*50*指數型權證!$T$2*$Q23</f>
        <v>0</v>
      </c>
      <c r="S23" s="36">
        <f ca="1">(GBSOption("P",指數型權證!$T$2,$J23, 選擇權週選!$N$2,$N23, 0,0)-GBSOption("P",指數型權證!$T$2,$J23,選擇權週選!$O$2,$N23, 0,0))*$Q23*50*-1</f>
        <v>0</v>
      </c>
      <c r="T23" s="36"/>
      <c r="U23" s="48">
        <f ca="1">(GBSOption("C",指數型權證!$T$2,$J23,選擇權週選!$N$2,$H23,0, 0)-GBSOption("C",指數型權證!$T$2,$J23,選擇權週選!$N$2,$H23+0.01,0, 0))*50*$C23</f>
        <v>0</v>
      </c>
      <c r="V23" s="48">
        <f ca="1">(GBSOption("P",指數型權證!$T$2,$J23,選擇權週選!$N$2,$N23,0, 0)-GBSOption("P",指數型權證!$T$2,$J23,選擇權週選!$N$2,$N23+0.01,0, 0))*50*$Q23</f>
        <v>0</v>
      </c>
      <c r="AA23" s="36">
        <v>0</v>
      </c>
      <c r="AB23" s="14">
        <v>0</v>
      </c>
      <c r="AC23" s="14">
        <v>0</v>
      </c>
      <c r="AD23" s="14">
        <v>0</v>
      </c>
      <c r="AE23" s="17">
        <v>287</v>
      </c>
      <c r="AF23" s="17">
        <v>289</v>
      </c>
      <c r="AG23" s="17">
        <v>287</v>
      </c>
      <c r="AH23" s="19">
        <v>0.21804564514160157</v>
      </c>
      <c r="AI23" s="19">
        <v>0.24233642272949221</v>
      </c>
      <c r="AJ23" s="18">
        <v>11900</v>
      </c>
      <c r="AK23" s="17">
        <v>2.7</v>
      </c>
      <c r="AL23" s="17">
        <v>2.9</v>
      </c>
      <c r="AM23" s="17">
        <v>2.8</v>
      </c>
      <c r="AN23" s="19">
        <v>0.21377339782714844</v>
      </c>
      <c r="AO23" s="19">
        <v>0.21670293884277345</v>
      </c>
      <c r="AP23" s="14">
        <v>0</v>
      </c>
      <c r="AQ23" s="14">
        <v>0</v>
      </c>
      <c r="AR23" s="14">
        <v>0</v>
      </c>
      <c r="AS23" s="36">
        <v>0</v>
      </c>
      <c r="AT23" s="36"/>
      <c r="AU23" s="48">
        <v>0</v>
      </c>
      <c r="AV23" s="48">
        <v>0</v>
      </c>
    </row>
    <row r="24" spans="1:48" ht="17.25" thickBot="1" x14ac:dyDescent="0.3">
      <c r="A24" s="36">
        <f ca="1">(GBSOption("C",指數型權證!$T$2,$J24, 選擇權週選!$N$2,$H24, 0,0)-GBSOption("C",指數型權證!$T$2,$J24,選擇權週選!$O$2,$H24, 0,0))*$C24*50*-1</f>
        <v>0</v>
      </c>
      <c r="B24" s="14">
        <f ca="1">GBSGreeks("d", "C",指數型權證!$T$2,$J24,選擇權週選!$N$2,$H24, 0,0)*50*指數型權證!$T$2*$C24</f>
        <v>0</v>
      </c>
      <c r="C24" s="14">
        <f>SUMIFS(指數型權證!$AH$1:$AH$49,指數型權證!$AL$1:$AL$49,"7",指數型權證!$AJ$1:$AJ$49,$J24,指數型權證!$AM$1:$AM$49,"Call")</f>
        <v>0</v>
      </c>
      <c r="D24" s="14">
        <f ca="1">GBSGreeks("g", "C",指數型權證!$T$2,$J24,選擇權週選!$N$2,$H24, 0,0)*50*指數型權證!$T$2^2*1%*$C24*-1</f>
        <v>0</v>
      </c>
      <c r="E24" s="17">
        <v>307</v>
      </c>
      <c r="F24" s="17">
        <v>313</v>
      </c>
      <c r="G24" s="17">
        <v>302</v>
      </c>
      <c r="H24" s="19">
        <v>0.20339794006347658</v>
      </c>
      <c r="I24" s="19">
        <v>0.2149940399169922</v>
      </c>
      <c r="J24" s="18">
        <v>11950</v>
      </c>
      <c r="K24" s="17">
        <v>46</v>
      </c>
      <c r="L24" s="17">
        <v>47</v>
      </c>
      <c r="M24" s="17">
        <v>47</v>
      </c>
      <c r="N24" s="19">
        <v>0.20535096740722658</v>
      </c>
      <c r="O24" s="19">
        <v>0.20730399475097661</v>
      </c>
      <c r="P24" s="14">
        <f ca="1">GBSGreeks("g", "P",指數型權證!$T$2,$J24,選擇權週選!$N$2,$N24, 0,0)*50*指數型權證!$T$2^2*1%*$Q24*-1</f>
        <v>0</v>
      </c>
      <c r="Q24" s="14">
        <f>SUMIFS(指數型權證!$AH$1:$AH$49,指數型權證!$AL$1:$AL$49,"WK",指數型權證!$AJ$1:$AJ$49,$J24,指數型權證!$AM$1:$AM$49,"Put")</f>
        <v>0</v>
      </c>
      <c r="R24" s="14">
        <f ca="1">GBSGreeks("d", "P",指數型權證!$T$2,$J24,選擇權週選!$N$2,$N24, 0,0)*50*指數型權證!$T$2*$Q24</f>
        <v>0</v>
      </c>
      <c r="S24" s="36">
        <f ca="1">(GBSOption("P",指數型權證!$T$2,$J24, 選擇權週選!$N$2,$N24, 0,0)-GBSOption("P",指數型權證!$T$2,$J24,選擇權週選!$O$2,$N24, 0,0))*$Q24*50*-1</f>
        <v>0</v>
      </c>
      <c r="T24" s="36"/>
      <c r="U24" s="48">
        <f ca="1">(GBSOption("C",指數型權證!$T$2,$J24,選擇權週選!$N$2,$H24,0, 0)-GBSOption("C",指數型權證!$T$2,$J24,選擇權週選!$N$2,$H24+0.01,0, 0))*50*$C24</f>
        <v>0</v>
      </c>
      <c r="V24" s="48">
        <f ca="1">(GBSOption("P",指數型權證!$T$2,$J24,選擇權週選!$N$2,$N24,0, 0)-GBSOption("P",指數型權證!$T$2,$J24,選擇權週選!$N$2,$N24+0.01,0, 0))*50*$Q24</f>
        <v>0</v>
      </c>
      <c r="AA24" s="36">
        <v>0</v>
      </c>
      <c r="AB24" s="14">
        <v>0</v>
      </c>
      <c r="AC24" s="14">
        <v>0</v>
      </c>
      <c r="AD24" s="14">
        <v>0</v>
      </c>
      <c r="AE24" s="17">
        <v>238</v>
      </c>
      <c r="AF24" s="17">
        <v>241</v>
      </c>
      <c r="AG24" s="17">
        <v>240</v>
      </c>
      <c r="AH24" s="19">
        <v>0.19790505065917965</v>
      </c>
      <c r="AI24" s="19">
        <v>0.22585775451660156</v>
      </c>
      <c r="AJ24" s="18">
        <v>11950</v>
      </c>
      <c r="AK24" s="17">
        <v>4.5</v>
      </c>
      <c r="AL24" s="17">
        <v>4.5999999999999996</v>
      </c>
      <c r="AM24" s="17">
        <v>4.5999999999999996</v>
      </c>
      <c r="AN24" s="19">
        <v>0.20315381164550783</v>
      </c>
      <c r="AO24" s="19">
        <v>0.20425238952636718</v>
      </c>
      <c r="AP24" s="14">
        <v>0</v>
      </c>
      <c r="AQ24" s="14">
        <v>0</v>
      </c>
      <c r="AR24" s="14">
        <v>0</v>
      </c>
      <c r="AS24" s="36">
        <v>0</v>
      </c>
      <c r="AT24" s="36"/>
      <c r="AU24" s="48">
        <v>0</v>
      </c>
      <c r="AV24" s="48">
        <v>0</v>
      </c>
    </row>
    <row r="25" spans="1:48" ht="17.25" thickBot="1" x14ac:dyDescent="0.3">
      <c r="A25" s="36">
        <f ca="1">(GBSOption("C",指數型權證!$T$2,$J25, 選擇權週選!$N$2,$H25, 0,0)-GBSOption("C",指數型權證!$T$2,$J25,選擇權週選!$O$2,$H25, 0,0))*$C25*50*-1</f>
        <v>0</v>
      </c>
      <c r="B25" s="14">
        <f ca="1">GBSGreeks("d", "C",指數型權證!$T$2,$J25,選擇權週選!$N$2,$H25, 0,0)*50*指數型權證!$T$2*$C25</f>
        <v>0</v>
      </c>
      <c r="C25" s="14">
        <f>SUMIFS(指數型權證!$AH$1:$AH$49,指數型權證!$AL$1:$AL$49,"7",指數型權證!$AJ$1:$AJ$49,$J25,指數型權證!$AM$1:$AM$49,"Call")</f>
        <v>0</v>
      </c>
      <c r="D25" s="14">
        <f ca="1">GBSGreeks("g", "C",指數型權證!$T$2,$J25,選擇權週選!$N$2,$H25, 0,0)*50*指數型權證!$T$2^2*1%*$C25*-1</f>
        <v>0</v>
      </c>
      <c r="E25" s="17">
        <v>268</v>
      </c>
      <c r="F25" s="17">
        <v>273</v>
      </c>
      <c r="G25" s="17">
        <v>266</v>
      </c>
      <c r="H25" s="19">
        <v>0.20059046325683594</v>
      </c>
      <c r="I25" s="19">
        <v>0.20937908630371097</v>
      </c>
      <c r="J25" s="18">
        <v>12000</v>
      </c>
      <c r="K25" s="17">
        <v>56</v>
      </c>
      <c r="L25" s="17">
        <v>58</v>
      </c>
      <c r="M25" s="17">
        <v>57</v>
      </c>
      <c r="N25" s="19">
        <v>0.20059046325683594</v>
      </c>
      <c r="O25" s="19">
        <v>0.20413032531738282</v>
      </c>
      <c r="P25" s="14">
        <f ca="1">GBSGreeks("g", "P",指數型權證!$T$2,$J25,選擇權週選!$N$2,$N25, 0,0)*50*指數型權證!$T$2^2*1%*$Q25*-1</f>
        <v>0</v>
      </c>
      <c r="Q25" s="14">
        <f>SUMIFS(指數型權證!$AH$1:$AH$49,指數型權證!$AL$1:$AL$49,"WK",指數型權證!$AJ$1:$AJ$49,$J25,指數型權證!$AM$1:$AM$49,"Put")</f>
        <v>0</v>
      </c>
      <c r="R25" s="14">
        <f ca="1">GBSGreeks("d", "P",指數型權證!$T$2,$J25,選擇權週選!$N$2,$N25, 0,0)*50*指數型權證!$T$2*$Q25</f>
        <v>0</v>
      </c>
      <c r="S25" s="36">
        <f ca="1">(GBSOption("P",指數型權證!$T$2,$J25, 選擇權週選!$N$2,$N25, 0,0)-GBSOption("P",指數型權證!$T$2,$J25,選擇權週選!$O$2,$N25, 0,0))*$Q25*50*-1</f>
        <v>0</v>
      </c>
      <c r="T25" s="36"/>
      <c r="U25" s="48">
        <f ca="1">(GBSOption("C",指數型權證!$T$2,$J25,選擇權週選!$N$2,$H25,0, 0)-GBSOption("C",指數型權證!$T$2,$J25,選擇權週選!$N$2,$H25+0.01,0, 0))*50*$C25</f>
        <v>0</v>
      </c>
      <c r="V25" s="48">
        <f ca="1">(GBSOption("P",指數型權證!$T$2,$J25,選擇權週選!$N$2,$N25,0, 0)-GBSOption("P",指數型權證!$T$2,$J25,選擇權週選!$N$2,$N25+0.01,0, 0))*50*$Q25</f>
        <v>0</v>
      </c>
      <c r="AA25" s="36">
        <v>0</v>
      </c>
      <c r="AB25" s="14">
        <v>0</v>
      </c>
      <c r="AC25" s="14">
        <v>0</v>
      </c>
      <c r="AD25" s="14">
        <v>0</v>
      </c>
      <c r="AE25" s="17">
        <v>192</v>
      </c>
      <c r="AF25" s="17">
        <v>193</v>
      </c>
      <c r="AG25" s="17">
        <v>194</v>
      </c>
      <c r="AH25" s="19">
        <v>0.19582995910644532</v>
      </c>
      <c r="AI25" s="19">
        <v>0.20254349060058596</v>
      </c>
      <c r="AJ25" s="18">
        <v>12000</v>
      </c>
      <c r="AK25" s="17">
        <v>7.9</v>
      </c>
      <c r="AL25" s="17">
        <v>8.1</v>
      </c>
      <c r="AM25" s="17">
        <v>7.9</v>
      </c>
      <c r="AN25" s="19">
        <v>0.19521963806152343</v>
      </c>
      <c r="AO25" s="19">
        <v>0.19656234436035158</v>
      </c>
      <c r="AP25" s="14">
        <v>-3527932.227886071</v>
      </c>
      <c r="AQ25" s="14">
        <v>50</v>
      </c>
      <c r="AR25" s="14">
        <v>-7646831.7184060961</v>
      </c>
      <c r="AS25" s="36">
        <v>-27444.34840385498</v>
      </c>
      <c r="AT25" s="36"/>
      <c r="AU25" s="48">
        <v>0</v>
      </c>
      <c r="AV25" s="48">
        <v>-13842.85109703022</v>
      </c>
    </row>
    <row r="26" spans="1:48" ht="17.25" thickBot="1" x14ac:dyDescent="0.3">
      <c r="A26" s="36">
        <f ca="1">(GBSOption("C",指數型權證!$T$2,$J26, 選擇權週選!$N$2,$H26, 0,0)-GBSOption("C",指數型權證!$T$2,$J26,選擇權週選!$O$2,$H26, 0,0))*$C26*50*-1</f>
        <v>0</v>
      </c>
      <c r="B26" s="14">
        <f ca="1">GBSGreeks("d", "C",指數型權證!$T$2,$J26,選擇權週選!$N$2,$H26, 0,0)*50*指數型權證!$T$2*$C26</f>
        <v>0</v>
      </c>
      <c r="C26" s="14">
        <f>SUMIFS(指數型權證!$AH$1:$AH$49,指數型權證!$AL$1:$AL$49,"7",指數型權證!$AJ$1:$AJ$49,$J26,指數型權證!$AM$1:$AM$49,"Call")</f>
        <v>0</v>
      </c>
      <c r="D26" s="14">
        <f ca="1">GBSGreeks("g", "C",指數型權證!$T$2,$J26,選擇權週選!$N$2,$H26, 0,0)*50*指數型權證!$T$2^2*1%*$C26*-1</f>
        <v>0</v>
      </c>
      <c r="E26" s="17">
        <v>230</v>
      </c>
      <c r="F26" s="17">
        <v>235</v>
      </c>
      <c r="G26" s="17">
        <v>230</v>
      </c>
      <c r="H26" s="19">
        <v>0.19582995910644532</v>
      </c>
      <c r="I26" s="19">
        <v>0.20400826110839843</v>
      </c>
      <c r="J26" s="18">
        <v>12050</v>
      </c>
      <c r="K26" s="17">
        <v>68</v>
      </c>
      <c r="L26" s="17">
        <v>70</v>
      </c>
      <c r="M26" s="17">
        <v>70</v>
      </c>
      <c r="N26" s="19">
        <v>0.19582995910644532</v>
      </c>
      <c r="O26" s="19">
        <v>0.19912569274902342</v>
      </c>
      <c r="P26" s="14">
        <f ca="1">GBSGreeks("g", "P",指數型權證!$T$2,$J26,選擇權週選!$N$2,$N26, 0,0)*50*指數型權證!$T$2^2*1%*$Q26*-1</f>
        <v>-719334.41535229608</v>
      </c>
      <c r="Q26" s="14">
        <f>SUMIFS(指數型權證!$AH$1:$AH$49,指數型權證!$AL$1:$AL$49,"WK",指數型權證!$AJ$1:$AJ$49,$J26,指數型權證!$AM$1:$AM$49,"Put")</f>
        <v>10</v>
      </c>
      <c r="R26" s="14">
        <f ca="1">GBSGreeks("d", "P",指數型權證!$T$2,$J26,選擇權週選!$N$2,$N26, 0,0)*50*指數型權證!$T$2*$Q26</f>
        <v>-1931231.2231881781</v>
      </c>
      <c r="S26" s="36">
        <f ca="1">(GBSOption("P",指數型權證!$T$2,$J26, 選擇權週選!$N$2,$N26, 0,0)-GBSOption("P",指數型權證!$T$2,$J26,選擇權週選!$O$2,$N26, 0,0))*$Q26*50*-1</f>
        <v>-5661.3276162339616</v>
      </c>
      <c r="T26" s="36"/>
      <c r="U26" s="48">
        <f ca="1">(GBSOption("C",指數型權證!$T$2,$J26,選擇權週選!$N$2,$H26,0, 0)-GBSOption("C",指數型權證!$T$2,$J26,選擇權週選!$N$2,$H26+0.01,0, 0))*50*$C26</f>
        <v>0</v>
      </c>
      <c r="V26" s="48">
        <f ca="1">(GBSOption("P",指數型權證!$T$2,$J26,選擇權週選!$N$2,$N26,0, 0)-GBSOption("P",指數型權證!$T$2,$J26,選擇權週選!$N$2,$N26+0.01,0, 0))*50*$Q26</f>
        <v>-3369.6495055608866</v>
      </c>
      <c r="AA26" s="36">
        <v>0</v>
      </c>
      <c r="AB26" s="14">
        <v>0</v>
      </c>
      <c r="AC26" s="14">
        <v>0</v>
      </c>
      <c r="AD26" s="14">
        <v>0</v>
      </c>
      <c r="AE26" s="17">
        <v>147</v>
      </c>
      <c r="AF26" s="17">
        <v>149</v>
      </c>
      <c r="AG26" s="17">
        <v>148</v>
      </c>
      <c r="AH26" s="19">
        <v>0.18398973083496095</v>
      </c>
      <c r="AI26" s="19">
        <v>0.19399899597167966</v>
      </c>
      <c r="AJ26" s="18">
        <v>12050</v>
      </c>
      <c r="AK26" s="17">
        <v>13</v>
      </c>
      <c r="AL26" s="17">
        <v>13.5</v>
      </c>
      <c r="AM26" s="17">
        <v>13.5</v>
      </c>
      <c r="AN26" s="19">
        <v>0.18398973083496095</v>
      </c>
      <c r="AO26" s="19">
        <v>0.18655307922363282</v>
      </c>
      <c r="AP26" s="14">
        <v>-4434020.3662578771</v>
      </c>
      <c r="AQ26" s="14">
        <v>55</v>
      </c>
      <c r="AR26" s="14">
        <v>-9752458.6989775021</v>
      </c>
      <c r="AS26" s="36">
        <v>-30889.362431738431</v>
      </c>
      <c r="AT26" s="36"/>
      <c r="AU26" s="48">
        <v>0</v>
      </c>
      <c r="AV26" s="48">
        <v>-16343.619786262905</v>
      </c>
    </row>
    <row r="27" spans="1:48" ht="17.25" thickBot="1" x14ac:dyDescent="0.3">
      <c r="A27" s="36">
        <f ca="1">(GBSOption("C",指數型權證!$T$2,$J27, 選擇權週選!$N$2,$H27, 0,0)-GBSOption("C",指數型權證!$T$2,$J27,選擇權週選!$O$2,$H27, 0,0))*$C27*50*-1</f>
        <v>0</v>
      </c>
      <c r="B27" s="14">
        <f ca="1">GBSGreeks("d", "C",指數型權證!$T$2,$J27,選擇權週選!$N$2,$H27, 0,0)*50*指數型權證!$T$2*$C27</f>
        <v>0</v>
      </c>
      <c r="C27" s="14">
        <f>SUMIFS(指數型權證!$AH$1:$AH$49,指數型權證!$AL$1:$AL$49,"7",指數型權證!$AJ$1:$AJ$49,$J27,指數型權證!$AM$1:$AM$49,"Call")</f>
        <v>0</v>
      </c>
      <c r="D27" s="14">
        <f ca="1">GBSGreeks("g", "C",指數型權證!$T$2,$J27,選擇權週選!$N$2,$H27, 0,0)*50*指數型權證!$T$2^2*1%*$C27*-1</f>
        <v>0</v>
      </c>
      <c r="E27" s="17">
        <v>195</v>
      </c>
      <c r="F27" s="17">
        <v>198</v>
      </c>
      <c r="G27" s="17">
        <v>198</v>
      </c>
      <c r="H27" s="19">
        <v>0.19229009704589844</v>
      </c>
      <c r="I27" s="19">
        <v>0.1969285369873047</v>
      </c>
      <c r="J27" s="18">
        <v>12100</v>
      </c>
      <c r="K27" s="17">
        <v>83</v>
      </c>
      <c r="L27" s="17">
        <v>84</v>
      </c>
      <c r="M27" s="17">
        <v>83</v>
      </c>
      <c r="N27" s="19">
        <v>0.19229009704589844</v>
      </c>
      <c r="O27" s="19">
        <v>0.19375486755371094</v>
      </c>
      <c r="P27" s="14">
        <f ca="1">GBSGreeks("g", "P",指數型權證!$T$2,$J27,選擇權週選!$N$2,$N27, 0,0)*50*指數型權證!$T$2^2*1%*$Q27*-1</f>
        <v>-1546810.9169852543</v>
      </c>
      <c r="Q27" s="14">
        <f>SUMIFS(指數型權證!$AH$1:$AH$49,指數型權證!$AL$1:$AL$49,"WK",指數型權證!$AJ$1:$AJ$49,$J27,指數型權證!$AM$1:$AM$49,"Put")</f>
        <v>20</v>
      </c>
      <c r="R27" s="14">
        <f ca="1">GBSGreeks("d", "P",指數型權證!$T$2,$J27,選擇權週選!$N$2,$N27, 0,0)*50*指數型權證!$T$2*$Q27</f>
        <v>-4449772.1933040917</v>
      </c>
      <c r="S27" s="36">
        <f ca="1">(GBSOption("P",指數型權證!$T$2,$J27, 選擇權週選!$N$2,$N27, 0,0)-GBSOption("P",指數型權證!$T$2,$J27,選擇權週選!$O$2,$N27, 0,0))*$Q27*50*-1</f>
        <v>-11797.337567737444</v>
      </c>
      <c r="T27" s="36"/>
      <c r="U27" s="48">
        <f ca="1">(GBSOption("C",指數型權證!$T$2,$J27,選擇權週選!$N$2,$H27,0, 0)-GBSOption("C",指數型權證!$T$2,$J27,選擇權週選!$N$2,$H27+0.01,0, 0))*50*$C27</f>
        <v>0</v>
      </c>
      <c r="V27" s="48">
        <f ca="1">(GBSOption("P",指數型權證!$T$2,$J27,選擇權週選!$N$2,$N27,0, 0)-GBSOption("P",指數型權證!$T$2,$J27,選擇權週選!$N$2,$N27+0.01,0, 0))*50*$Q27</f>
        <v>-7098.3518736622818</v>
      </c>
      <c r="AA27" s="36">
        <v>0</v>
      </c>
      <c r="AB27" s="14">
        <v>0</v>
      </c>
      <c r="AC27" s="14">
        <v>0</v>
      </c>
      <c r="AD27" s="14">
        <v>0</v>
      </c>
      <c r="AE27" s="17">
        <v>106</v>
      </c>
      <c r="AF27" s="17">
        <v>107</v>
      </c>
      <c r="AG27" s="17">
        <v>107</v>
      </c>
      <c r="AH27" s="19">
        <v>0.17544523620605471</v>
      </c>
      <c r="AI27" s="19">
        <v>0.17947335510253909</v>
      </c>
      <c r="AJ27" s="18">
        <v>12100</v>
      </c>
      <c r="AK27" s="17">
        <v>21.5</v>
      </c>
      <c r="AL27" s="17">
        <v>22</v>
      </c>
      <c r="AM27" s="17">
        <v>22</v>
      </c>
      <c r="AN27" s="19">
        <v>0.17349220886230468</v>
      </c>
      <c r="AO27" s="19">
        <v>0.17544523620605471</v>
      </c>
      <c r="AP27" s="14">
        <v>-5025503.8306487184</v>
      </c>
      <c r="AQ27" s="14">
        <v>55</v>
      </c>
      <c r="AR27" s="14">
        <v>-11388434.402497619</v>
      </c>
      <c r="AS27" s="36">
        <v>-31362.503794827917</v>
      </c>
      <c r="AT27" s="36"/>
      <c r="AU27" s="48">
        <v>0</v>
      </c>
      <c r="AV27" s="48">
        <v>-17413.465708909931</v>
      </c>
    </row>
    <row r="28" spans="1:48" ht="17.25" thickBot="1" x14ac:dyDescent="0.3">
      <c r="A28" s="36">
        <f ca="1">(GBSOption("C",指數型權證!$T$2,$J28, 選擇權週選!$N$2,$H28, 0,0)-GBSOption("C",指數型權證!$T$2,$J28,選擇權週選!$O$2,$H28, 0,0))*$C28*50*-1</f>
        <v>0</v>
      </c>
      <c r="B28" s="14">
        <f ca="1">GBSGreeks("d", "C",指數型權證!$T$2,$J28,選擇權週選!$N$2,$H28, 0,0)*50*指數型權證!$T$2*$C28</f>
        <v>0</v>
      </c>
      <c r="C28" s="14">
        <f>SUMIFS(指數型權證!$AH$1:$AH$49,指數型權證!$AL$1:$AL$49,"7",指數型權證!$AJ$1:$AJ$49,$J28,指數型權證!$AM$1:$AM$49,"Call")</f>
        <v>0</v>
      </c>
      <c r="D28" s="14">
        <f ca="1">GBSGreeks("g", "C",指數型權證!$T$2,$J28,選擇權週選!$N$2,$H28, 0,0)*50*指數型權證!$T$2^2*1%*$C28*-1</f>
        <v>0</v>
      </c>
      <c r="E28" s="17">
        <v>163</v>
      </c>
      <c r="F28" s="17">
        <v>165</v>
      </c>
      <c r="G28" s="17">
        <v>162</v>
      </c>
      <c r="H28" s="19">
        <v>0.18923849182128907</v>
      </c>
      <c r="I28" s="19">
        <v>0.19216803283691408</v>
      </c>
      <c r="J28" s="18">
        <v>12150</v>
      </c>
      <c r="K28" s="17">
        <v>99</v>
      </c>
      <c r="L28" s="17">
        <v>101</v>
      </c>
      <c r="M28" s="17">
        <v>100</v>
      </c>
      <c r="N28" s="19">
        <v>0.18618688659667967</v>
      </c>
      <c r="O28" s="19">
        <v>0.18923849182128907</v>
      </c>
      <c r="P28" s="14">
        <f ca="1">GBSGreeks("g", "P",指數型權證!$T$2,$J28,選擇權週選!$N$2,$N28, 0,0)*50*指數型權證!$T$2^2*1%*$Q28*-1</f>
        <v>-1077941.6493093558</v>
      </c>
      <c r="Q28" s="14">
        <f>SUMIFS(指數型權證!$AH$1:$AH$49,指數型權證!$AL$1:$AL$49,"WK",指數型權證!$AJ$1:$AJ$49,$J28,指數型權證!$AM$1:$AM$49,"Put")</f>
        <v>13</v>
      </c>
      <c r="R28" s="14">
        <f ca="1">GBSGreeks("d", "P",指數型權證!$T$2,$J28,選擇權週選!$N$2,$N28, 0,0)*50*指數型權證!$T$2*$Q28</f>
        <v>-3297462.7072650027</v>
      </c>
      <c r="S28" s="36">
        <f ca="1">(GBSOption("P",指數型權證!$T$2,$J28, 選擇權週選!$N$2,$N28, 0,0)-GBSOption("P",指數型權證!$T$2,$J28,選擇權週選!$O$2,$N28, 0,0))*$Q28*50*-1</f>
        <v>-7736.859849021951</v>
      </c>
      <c r="T28" s="36"/>
      <c r="U28" s="48">
        <f ca="1">(GBSOption("C",指數型權證!$T$2,$J28,選擇權週選!$N$2,$H28,0, 0)-GBSOption("C",指數型權證!$T$2,$J28,選擇權週選!$N$2,$H28+0.01,0, 0))*50*$C28</f>
        <v>0</v>
      </c>
      <c r="V28" s="48">
        <f ca="1">(GBSOption("P",指數型權證!$T$2,$J28,選擇權週選!$N$2,$N28,0, 0)-GBSOption("P",指數型權證!$T$2,$J28,選擇權週選!$N$2,$N28+0.01,0, 0))*50*$Q28</f>
        <v>-4783.4514295021763</v>
      </c>
      <c r="AA28" s="36">
        <v>0</v>
      </c>
      <c r="AB28" s="14">
        <v>0</v>
      </c>
      <c r="AC28" s="14">
        <v>0</v>
      </c>
      <c r="AD28" s="14">
        <v>0</v>
      </c>
      <c r="AE28" s="17">
        <v>69</v>
      </c>
      <c r="AF28" s="17">
        <v>70</v>
      </c>
      <c r="AG28" s="17">
        <v>69</v>
      </c>
      <c r="AH28" s="19">
        <v>0.1631167510986328</v>
      </c>
      <c r="AI28" s="19">
        <v>0.16641248474121093</v>
      </c>
      <c r="AJ28" s="18">
        <v>12150</v>
      </c>
      <c r="AK28" s="17">
        <v>34.5</v>
      </c>
      <c r="AL28" s="17">
        <v>35</v>
      </c>
      <c r="AM28" s="17">
        <v>34.5</v>
      </c>
      <c r="AN28" s="19">
        <v>0.16140785217285158</v>
      </c>
      <c r="AO28" s="19">
        <v>0.1631167510986328</v>
      </c>
      <c r="AP28" s="14">
        <v>-6204578.7082539564</v>
      </c>
      <c r="AQ28" s="14">
        <v>60</v>
      </c>
      <c r="AR28" s="14">
        <v>-14517200.480124846</v>
      </c>
      <c r="AS28" s="36">
        <v>-33719.98905583853</v>
      </c>
      <c r="AT28" s="36"/>
      <c r="AU28" s="48">
        <v>0</v>
      </c>
      <c r="AV28" s="48">
        <v>-19956.961346411419</v>
      </c>
    </row>
    <row r="29" spans="1:48" ht="17.25" thickBot="1" x14ac:dyDescent="0.3">
      <c r="A29" s="36">
        <f ca="1">(GBSOption("C",指數型權證!$T$2,$J29, 選擇權週選!$N$2,$H29, 0,0)-GBSOption("C",指數型權證!$T$2,$J29,選擇權週選!$O$2,$H29, 0,0))*$C29*50*-1</f>
        <v>0</v>
      </c>
      <c r="B29" s="14">
        <f ca="1">GBSGreeks("d", "C",指數型權證!$T$2,$J29,選擇權週選!$N$2,$H29, 0,0)*50*指數型權證!$T$2*$C29</f>
        <v>0</v>
      </c>
      <c r="C29" s="14">
        <f>SUMIFS(指數型權證!$AH$1:$AH$49,指數型權證!$AL$1:$AL$49,"7",指數型權證!$AJ$1:$AJ$49,$J29,指數型權證!$AM$1:$AM$49,"Call")</f>
        <v>0</v>
      </c>
      <c r="D29" s="14">
        <f ca="1">GBSGreeks("g", "C",指數型權證!$T$2,$J29,選擇權週選!$N$2,$H29, 0,0)*50*指數型權證!$T$2^2*1%*$C29*-1</f>
        <v>0</v>
      </c>
      <c r="E29" s="17">
        <v>133</v>
      </c>
      <c r="F29" s="17">
        <v>134</v>
      </c>
      <c r="G29" s="17">
        <v>134</v>
      </c>
      <c r="H29" s="19">
        <v>0.18472211608886721</v>
      </c>
      <c r="I29" s="19">
        <v>0.18618688659667967</v>
      </c>
      <c r="J29" s="18">
        <v>12200</v>
      </c>
      <c r="K29" s="17">
        <v>120</v>
      </c>
      <c r="L29" s="17">
        <v>121</v>
      </c>
      <c r="M29" s="17">
        <v>120</v>
      </c>
      <c r="N29" s="19">
        <v>0.18325734558105469</v>
      </c>
      <c r="O29" s="19">
        <v>0.18472211608886721</v>
      </c>
      <c r="P29" s="14">
        <f ca="1">GBSGreeks("g", "P",指數型權證!$T$2,$J29,選擇權週選!$N$2,$N29, 0,0)*50*指數型權證!$T$2^2*1%*$Q29*-1</f>
        <v>-859778.93355603539</v>
      </c>
      <c r="Q29" s="14">
        <f>SUMIFS(指數型權證!$AH$1:$AH$49,指數型權證!$AL$1:$AL$49,"WK",指數型權證!$AJ$1:$AJ$49,$J29,指數型權證!$AM$1:$AM$49,"Put")</f>
        <v>10</v>
      </c>
      <c r="R29" s="14">
        <f ca="1">GBSGreeks("d", "P",指數型權證!$T$2,$J29,選擇權週選!$N$2,$N29, 0,0)*50*指數型權證!$T$2*$Q29</f>
        <v>-2879430.8478221102</v>
      </c>
      <c r="S29" s="36">
        <f ca="1">(GBSOption("P",指數型權證!$T$2,$J29, 選擇權週選!$N$2,$N29, 0,0)-GBSOption("P",指數型權證!$T$2,$J29,選擇權週選!$O$2,$N29, 0,0))*$Q29*50*-1</f>
        <v>-5992.044970452348</v>
      </c>
      <c r="T29" s="36"/>
      <c r="U29" s="48">
        <f ca="1">(GBSOption("C",指數型權證!$T$2,$J29,選擇權週選!$N$2,$H29,0, 0)-GBSOption("C",指數型權證!$T$2,$J29,選擇權週選!$N$2,$H29+0.01,0, 0))*50*$C29</f>
        <v>0</v>
      </c>
      <c r="V29" s="48">
        <f ca="1">(GBSOption("P",指數型權證!$T$2,$J29,選擇權週選!$N$2,$N29,0, 0)-GBSOption("P",指數型權證!$T$2,$J29,選擇權週選!$N$2,$N29+0.01,0, 0))*50*$Q29</f>
        <v>-3753.6759566132855</v>
      </c>
      <c r="AA29" s="36">
        <v>0</v>
      </c>
      <c r="AB29" s="14">
        <v>0</v>
      </c>
      <c r="AC29" s="14">
        <v>0</v>
      </c>
      <c r="AD29" s="14">
        <v>0</v>
      </c>
      <c r="AE29" s="17">
        <v>41</v>
      </c>
      <c r="AF29" s="17">
        <v>41.5</v>
      </c>
      <c r="AG29" s="17">
        <v>41</v>
      </c>
      <c r="AH29" s="19">
        <v>0.15750179748535159</v>
      </c>
      <c r="AI29" s="19">
        <v>0.15921069641113281</v>
      </c>
      <c r="AJ29" s="18">
        <v>12200</v>
      </c>
      <c r="AK29" s="17">
        <v>56</v>
      </c>
      <c r="AL29" s="17">
        <v>57</v>
      </c>
      <c r="AM29" s="17">
        <v>57</v>
      </c>
      <c r="AN29" s="19">
        <v>0.15420606384277344</v>
      </c>
      <c r="AO29" s="19">
        <v>0.15750179748535159</v>
      </c>
      <c r="AP29" s="14">
        <v>0</v>
      </c>
      <c r="AQ29" s="14">
        <v>0</v>
      </c>
      <c r="AR29" s="14">
        <v>0</v>
      </c>
      <c r="AS29" s="36">
        <v>0</v>
      </c>
      <c r="AT29" s="36"/>
      <c r="AU29" s="48">
        <v>0</v>
      </c>
      <c r="AV29" s="48">
        <v>0</v>
      </c>
    </row>
    <row r="30" spans="1:48" ht="17.25" thickBot="1" x14ac:dyDescent="0.3">
      <c r="A30" s="36">
        <f ca="1">(GBSOption("C",指數型權證!$T$2,$J30, 選擇權週選!$N$2,$H30, 0,0)-GBSOption("C",指數型權證!$T$2,$J30,選擇權週選!$O$2,$H30, 0,0))*$C30*50*-1</f>
        <v>0</v>
      </c>
      <c r="B30" s="14">
        <f ca="1">GBSGreeks("d", "C",指數型權證!$T$2,$J30,選擇權週選!$N$2,$H30, 0,0)*50*指數型權證!$T$2*$C30</f>
        <v>0</v>
      </c>
      <c r="C30" s="14">
        <f>SUMIFS(指數型權證!$AH$1:$AH$49,指數型權證!$AL$1:$AL$49,"7",指數型權證!$AJ$1:$AJ$49,$J30,指數型權證!$AM$1:$AM$49,"Call")</f>
        <v>0</v>
      </c>
      <c r="D30" s="14">
        <f ca="1">GBSGreeks("g", "C",指數型權證!$T$2,$J30,選擇權週選!$N$2,$H30, 0,0)*50*指數型權證!$T$2^2*1%*$C30*-1</f>
        <v>0</v>
      </c>
      <c r="E30" s="17">
        <v>107</v>
      </c>
      <c r="F30" s="17">
        <v>108</v>
      </c>
      <c r="G30" s="17">
        <v>107</v>
      </c>
      <c r="H30" s="19">
        <v>0.1817925750732422</v>
      </c>
      <c r="I30" s="19">
        <v>0.18325734558105469</v>
      </c>
      <c r="J30" s="18">
        <v>12250</v>
      </c>
      <c r="K30" s="17">
        <v>143</v>
      </c>
      <c r="L30" s="17">
        <v>144</v>
      </c>
      <c r="M30" s="17">
        <v>143</v>
      </c>
      <c r="N30" s="19">
        <v>0.17886303405761719</v>
      </c>
      <c r="O30" s="19">
        <v>0.18032780456542971</v>
      </c>
      <c r="P30" s="14">
        <f ca="1">GBSGreeks("g", "P",指數型權證!$T$2,$J30,選擇權週選!$N$2,$N30, 0,0)*50*指數型權證!$T$2^2*1%*$Q30*-1</f>
        <v>0</v>
      </c>
      <c r="Q30" s="14">
        <f>SUMIFS(指數型權證!$AH$1:$AH$49,指數型權證!$AL$1:$AL$49,"WK",指數型權證!$AJ$1:$AJ$49,$J30,指數型權證!$AM$1:$AM$49,"Put")</f>
        <v>0</v>
      </c>
      <c r="R30" s="14">
        <f ca="1">GBSGreeks("d", "P",指數型權證!$T$2,$J30,選擇權週選!$N$2,$N30, 0,0)*50*指數型權證!$T$2*$Q30</f>
        <v>0</v>
      </c>
      <c r="S30" s="36">
        <f ca="1">(GBSOption("P",指數型權證!$T$2,$J30, 選擇權週選!$N$2,$N30, 0,0)-GBSOption("P",指數型權證!$T$2,$J30,選擇權週選!$O$2,$N30, 0,0))*$Q30*50*-1</f>
        <v>0</v>
      </c>
      <c r="T30" s="36"/>
      <c r="U30" s="48">
        <f ca="1">(GBSOption("C",指數型權證!$T$2,$J30,選擇權週選!$N$2,$H30,0, 0)-GBSOption("C",指數型權證!$T$2,$J30,選擇權週選!$N$2,$H30+0.01,0, 0))*50*$C30</f>
        <v>0</v>
      </c>
      <c r="V30" s="48">
        <f ca="1">(GBSOption("P",指數型權證!$T$2,$J30,選擇權週選!$N$2,$N30,0, 0)-GBSOption("P",指數型權證!$T$2,$J30,選擇權週選!$N$2,$N30+0.01,0, 0))*50*$Q30</f>
        <v>0</v>
      </c>
      <c r="AA30" s="36">
        <v>0</v>
      </c>
      <c r="AB30" s="14">
        <v>0</v>
      </c>
      <c r="AC30" s="14">
        <v>0</v>
      </c>
      <c r="AD30" s="14">
        <v>0</v>
      </c>
      <c r="AE30" s="17">
        <v>21.5</v>
      </c>
      <c r="AF30" s="17">
        <v>22</v>
      </c>
      <c r="AG30" s="17">
        <v>22</v>
      </c>
      <c r="AH30" s="19">
        <v>0.15322955017089845</v>
      </c>
      <c r="AI30" s="19">
        <v>0.15518257751464842</v>
      </c>
      <c r="AJ30" s="18">
        <v>12250</v>
      </c>
      <c r="AK30" s="17">
        <v>87</v>
      </c>
      <c r="AL30" s="17">
        <v>88</v>
      </c>
      <c r="AM30" s="17">
        <v>88</v>
      </c>
      <c r="AN30" s="19">
        <v>0.15139858703613282</v>
      </c>
      <c r="AO30" s="19">
        <v>0.15518257751464842</v>
      </c>
      <c r="AP30" s="14">
        <v>0</v>
      </c>
      <c r="AQ30" s="14">
        <v>0</v>
      </c>
      <c r="AR30" s="14">
        <v>0</v>
      </c>
      <c r="AS30" s="36">
        <v>0</v>
      </c>
      <c r="AT30" s="36"/>
      <c r="AU30" s="48">
        <v>0</v>
      </c>
      <c r="AV30" s="48">
        <v>0</v>
      </c>
    </row>
    <row r="31" spans="1:48" ht="17.25" thickBot="1" x14ac:dyDescent="0.3">
      <c r="A31" s="36"/>
      <c r="B31" s="14"/>
      <c r="C31" s="14"/>
      <c r="D31" s="14"/>
      <c r="E31" s="17">
        <v>84</v>
      </c>
      <c r="F31" s="17">
        <v>85</v>
      </c>
      <c r="G31" s="17">
        <v>84</v>
      </c>
      <c r="H31" s="19">
        <v>0.17837477722167969</v>
      </c>
      <c r="I31" s="19">
        <v>0.1799616119384766</v>
      </c>
      <c r="J31" s="18">
        <v>12300</v>
      </c>
      <c r="K31" s="17">
        <v>170</v>
      </c>
      <c r="L31" s="17">
        <v>173</v>
      </c>
      <c r="M31" s="17">
        <v>172</v>
      </c>
      <c r="N31" s="19">
        <v>0.17544523620605471</v>
      </c>
      <c r="O31" s="19">
        <v>0.1799616119384766</v>
      </c>
      <c r="P31" s="14"/>
      <c r="Q31" s="14">
        <f>SUMIFS(指數型權證!$AH$1:$AH$49,指數型權證!$AL$1:$AL$49,"WK",指數型權證!$AJ$1:$AJ$49,$J31,指數型權證!$AM$1:$AM$49,"Put")</f>
        <v>0</v>
      </c>
      <c r="R31" s="14"/>
      <c r="S31" s="36"/>
      <c r="T31" s="36"/>
      <c r="U31" s="48"/>
      <c r="V31" s="48"/>
      <c r="AA31" s="36"/>
      <c r="AB31" s="14"/>
      <c r="AC31" s="14"/>
      <c r="AD31" s="14"/>
      <c r="AE31" s="17">
        <v>10.5</v>
      </c>
      <c r="AF31" s="17">
        <v>11</v>
      </c>
      <c r="AG31" s="17">
        <v>10.5</v>
      </c>
      <c r="AH31" s="19">
        <v>0.15383987121582035</v>
      </c>
      <c r="AI31" s="19">
        <v>0.15640321960449219</v>
      </c>
      <c r="AJ31" s="18">
        <v>12300</v>
      </c>
      <c r="AK31" s="17">
        <v>125</v>
      </c>
      <c r="AL31" s="17">
        <v>126</v>
      </c>
      <c r="AM31" s="17">
        <v>127</v>
      </c>
      <c r="AN31" s="19">
        <v>0.14578363342285161</v>
      </c>
      <c r="AO31" s="19">
        <v>0.15115445861816407</v>
      </c>
      <c r="AP31" s="14"/>
      <c r="AQ31" s="14"/>
      <c r="AR31" s="14"/>
      <c r="AS31" s="36"/>
      <c r="AT31" s="36"/>
      <c r="AU31" s="48"/>
      <c r="AV31" s="48"/>
    </row>
    <row r="32" spans="1:48" ht="17.25" thickBot="1" x14ac:dyDescent="0.3">
      <c r="A32" s="36"/>
      <c r="B32" s="14"/>
      <c r="C32" s="14"/>
      <c r="D32" s="14"/>
      <c r="E32" s="17">
        <v>65</v>
      </c>
      <c r="F32" s="17">
        <v>66</v>
      </c>
      <c r="G32" s="17">
        <v>65</v>
      </c>
      <c r="H32" s="19">
        <v>0.17617762145996096</v>
      </c>
      <c r="I32" s="19">
        <v>0.17776445617675785</v>
      </c>
      <c r="J32" s="18">
        <v>12350</v>
      </c>
      <c r="K32" s="17">
        <v>199</v>
      </c>
      <c r="L32" s="17">
        <v>203</v>
      </c>
      <c r="M32" s="17">
        <v>202</v>
      </c>
      <c r="N32" s="19">
        <v>0.16983028259277344</v>
      </c>
      <c r="O32" s="19">
        <v>0.17617762145996096</v>
      </c>
      <c r="P32" s="14"/>
      <c r="Q32" s="14">
        <f>SUMIFS(指數型權證!$AH$1:$AH$49,指數型權證!$AL$1:$AL$49,"WK",指數型權證!$AJ$1:$AJ$49,$J32,指數型權證!$AM$1:$AM$49,"Put")</f>
        <v>0</v>
      </c>
      <c r="R32" s="14"/>
      <c r="S32" s="36"/>
      <c r="T32" s="36"/>
      <c r="U32" s="48"/>
      <c r="V32" s="48"/>
      <c r="AA32" s="36"/>
      <c r="AB32" s="14"/>
      <c r="AC32" s="14"/>
      <c r="AD32" s="14"/>
      <c r="AE32" s="17">
        <v>4.7</v>
      </c>
      <c r="AF32" s="17">
        <v>4.8</v>
      </c>
      <c r="AG32" s="17">
        <v>4.8</v>
      </c>
      <c r="AH32" s="19">
        <v>0.15542670593261718</v>
      </c>
      <c r="AI32" s="19">
        <v>0.15628115539550783</v>
      </c>
      <c r="AJ32" s="18">
        <v>12350</v>
      </c>
      <c r="AK32" s="17">
        <v>169</v>
      </c>
      <c r="AL32" s="17">
        <v>171</v>
      </c>
      <c r="AM32" s="17">
        <v>169</v>
      </c>
      <c r="AN32" s="19">
        <v>0.1398024871826172</v>
      </c>
      <c r="AO32" s="19">
        <v>0.15786799011230471</v>
      </c>
      <c r="AP32" s="14"/>
      <c r="AQ32" s="14"/>
      <c r="AR32" s="14"/>
      <c r="AS32" s="36"/>
      <c r="AT32" s="36"/>
      <c r="AU32" s="48"/>
      <c r="AV32" s="48"/>
    </row>
    <row r="33" spans="1:48" ht="17.25" thickBot="1" x14ac:dyDescent="0.3">
      <c r="A33" s="36"/>
      <c r="B33" s="14"/>
      <c r="C33" s="14"/>
      <c r="D33" s="14"/>
      <c r="E33" s="17">
        <v>48.5</v>
      </c>
      <c r="F33" s="17">
        <v>49</v>
      </c>
      <c r="G33" s="17">
        <v>48.5</v>
      </c>
      <c r="H33" s="19">
        <v>0.17288188781738281</v>
      </c>
      <c r="I33" s="19">
        <v>0.17385840148925782</v>
      </c>
      <c r="J33" s="18">
        <v>12400</v>
      </c>
      <c r="K33" s="17">
        <v>233</v>
      </c>
      <c r="L33" s="17">
        <v>237</v>
      </c>
      <c r="M33" s="17">
        <v>233</v>
      </c>
      <c r="N33" s="19">
        <v>0.16677867736816404</v>
      </c>
      <c r="O33" s="19">
        <v>0.17385840148925782</v>
      </c>
      <c r="P33" s="14"/>
      <c r="Q33" s="14">
        <f>SUMIFS(指數型權證!$AH$1:$AH$49,指數型權證!$AL$1:$AL$49,"WK",指數型權證!$AJ$1:$AJ$49,$J33,指數型權證!$AM$1:$AM$49,"Put")</f>
        <v>0</v>
      </c>
      <c r="R33" s="14"/>
      <c r="S33" s="36"/>
      <c r="T33" s="36"/>
      <c r="U33" s="48"/>
      <c r="V33" s="48"/>
      <c r="AA33" s="36"/>
      <c r="AB33" s="14"/>
      <c r="AC33" s="14"/>
      <c r="AD33" s="14"/>
      <c r="AE33" s="17">
        <v>2.1</v>
      </c>
      <c r="AF33" s="17">
        <v>2.2000000000000002</v>
      </c>
      <c r="AG33" s="17">
        <v>2.2000000000000002</v>
      </c>
      <c r="AH33" s="19">
        <v>0.15994308166503907</v>
      </c>
      <c r="AI33" s="19">
        <v>0.16140785217285158</v>
      </c>
      <c r="AJ33" s="18">
        <v>12400</v>
      </c>
      <c r="AK33" s="17">
        <v>216</v>
      </c>
      <c r="AL33" s="17">
        <v>218</v>
      </c>
      <c r="AM33" s="17">
        <v>218</v>
      </c>
      <c r="AN33" s="19">
        <v>3.5559652709960941E-2</v>
      </c>
      <c r="AO33" s="19">
        <v>0.15847831115722658</v>
      </c>
      <c r="AP33" s="14"/>
      <c r="AQ33" s="14"/>
      <c r="AR33" s="14"/>
      <c r="AS33" s="36"/>
      <c r="AT33" s="36"/>
      <c r="AU33" s="48"/>
      <c r="AV33" s="48"/>
    </row>
    <row r="34" spans="1:48" x14ac:dyDescent="0.25">
      <c r="A34" s="36"/>
      <c r="B34" s="14"/>
      <c r="C34" s="14"/>
      <c r="D34" s="14"/>
      <c r="E34" s="17">
        <v>35.5</v>
      </c>
      <c r="F34" s="17">
        <v>36</v>
      </c>
      <c r="G34" s="17">
        <v>36</v>
      </c>
      <c r="H34" s="19">
        <v>0.1705626678466797</v>
      </c>
      <c r="I34" s="19">
        <v>0.17153918151855471</v>
      </c>
      <c r="J34" s="18">
        <v>12450</v>
      </c>
      <c r="K34" s="17">
        <v>270</v>
      </c>
      <c r="L34" s="17">
        <v>274</v>
      </c>
      <c r="M34" s="17">
        <v>277</v>
      </c>
      <c r="N34" s="19">
        <v>0.16348294372558592</v>
      </c>
      <c r="O34" s="19">
        <v>0.17153918151855471</v>
      </c>
      <c r="P34" s="14"/>
      <c r="Q34" s="14">
        <f>SUMIFS(指數型權證!$AH$1:$AH$49,指數型權證!$AL$1:$AL$49,"WK",指數型權證!$AJ$1:$AJ$49,$J34,指數型權證!$AM$1:$AM$49,"Put")</f>
        <v>0</v>
      </c>
      <c r="R34" s="14"/>
      <c r="S34" s="36"/>
      <c r="T34" s="36"/>
      <c r="U34" s="48"/>
      <c r="V34" s="48"/>
      <c r="AA34" s="36"/>
      <c r="AB34" s="14"/>
      <c r="AC34" s="14"/>
      <c r="AD34" s="14"/>
      <c r="AE34" s="17">
        <v>1.1000000000000001</v>
      </c>
      <c r="AF34" s="17">
        <v>1.3</v>
      </c>
      <c r="AG34" s="17">
        <v>1.3</v>
      </c>
      <c r="AH34" s="19">
        <v>0.16970821838378908</v>
      </c>
      <c r="AI34" s="19">
        <v>0.17422459411621094</v>
      </c>
      <c r="AJ34" s="18">
        <v>12450</v>
      </c>
      <c r="AK34" s="17">
        <v>264</v>
      </c>
      <c r="AL34" s="17">
        <v>270</v>
      </c>
      <c r="AM34" s="17">
        <v>262</v>
      </c>
      <c r="AN34" s="19">
        <v>1.610321044921875E-4</v>
      </c>
      <c r="AO34" s="19">
        <v>0.2145057830810547</v>
      </c>
      <c r="AP34" s="14"/>
      <c r="AQ34" s="14"/>
      <c r="AR34" s="14"/>
      <c r="AS34" s="36"/>
      <c r="AT34" s="36"/>
      <c r="AU34" s="48"/>
      <c r="AV34" s="48"/>
    </row>
    <row r="35" spans="1:48" x14ac:dyDescent="0.25">
      <c r="E35" s="17">
        <v>25</v>
      </c>
      <c r="F35" s="17">
        <v>25.5</v>
      </c>
      <c r="G35" s="17">
        <v>25.5</v>
      </c>
      <c r="H35" s="19">
        <v>0.16763312683105466</v>
      </c>
      <c r="I35" s="19">
        <v>0.16873170471191407</v>
      </c>
      <c r="J35" s="18">
        <v>12500</v>
      </c>
      <c r="K35" s="17">
        <v>309</v>
      </c>
      <c r="L35" s="17">
        <v>314</v>
      </c>
      <c r="M35" s="17">
        <v>318</v>
      </c>
      <c r="N35" s="19">
        <v>0.15799005432128907</v>
      </c>
      <c r="O35" s="19">
        <v>0.16995234680175783</v>
      </c>
      <c r="Q35" s="14">
        <f>SUMIFS(指數型權證!$AH$1:$AH$49,指數型權證!$AL$1:$AL$49,"WK",指數型權證!$AJ$1:$AJ$49,$J35,指數型權證!$AM$1:$AM$49,"Put")</f>
        <v>0</v>
      </c>
      <c r="AE35" s="17">
        <v>0.7</v>
      </c>
      <c r="AF35" s="17">
        <v>0.8</v>
      </c>
      <c r="AG35" s="17">
        <v>1</v>
      </c>
      <c r="AH35" s="19">
        <v>0.18362353820800784</v>
      </c>
      <c r="AI35" s="19">
        <v>0.18704133605957032</v>
      </c>
      <c r="AJ35" s="18">
        <v>12500</v>
      </c>
      <c r="AK35" s="17">
        <v>310</v>
      </c>
      <c r="AL35" s="17">
        <v>319</v>
      </c>
      <c r="AM35" s="17">
        <v>315</v>
      </c>
      <c r="AN35" s="19">
        <v>1.610321044921875E-4</v>
      </c>
      <c r="AO35" s="19">
        <v>0.23196096496582033</v>
      </c>
    </row>
    <row r="36" spans="1:48" x14ac:dyDescent="0.25">
      <c r="E36" s="17">
        <v>12</v>
      </c>
      <c r="F36" s="17">
        <v>12.5</v>
      </c>
      <c r="G36" s="17">
        <v>12.5</v>
      </c>
      <c r="H36" s="19">
        <v>0.16519184265136719</v>
      </c>
      <c r="I36" s="19">
        <v>0.1669007415771484</v>
      </c>
      <c r="J36" s="18">
        <v>12600</v>
      </c>
      <c r="K36" s="17">
        <v>393</v>
      </c>
      <c r="L36" s="17">
        <v>402</v>
      </c>
      <c r="M36" s="17">
        <v>399</v>
      </c>
      <c r="N36" s="19">
        <v>0.13528611145019528</v>
      </c>
      <c r="O36" s="19">
        <v>0.17190537414550783</v>
      </c>
      <c r="Q36" s="14">
        <f>SUMIFS(指數型權證!$AH$1:$AH$49,指數型權證!$AL$1:$AL$49,"WK",指數型權證!$AJ$1:$AJ$49,$J36,指數型權證!$AM$1:$AM$49,"Put")</f>
        <v>0</v>
      </c>
      <c r="AE36" s="17">
        <v>0.3</v>
      </c>
      <c r="AF36" s="17">
        <v>0.4</v>
      </c>
      <c r="AG36" s="17">
        <v>0.4</v>
      </c>
      <c r="AH36" s="19">
        <v>0.20950115051269533</v>
      </c>
      <c r="AI36" s="19">
        <v>0.21645881042480472</v>
      </c>
      <c r="AJ36" s="18">
        <v>12600</v>
      </c>
      <c r="AK36" s="17">
        <v>411</v>
      </c>
      <c r="AL36" s="17">
        <v>419</v>
      </c>
      <c r="AM36" s="17">
        <v>421</v>
      </c>
      <c r="AN36" s="19">
        <v>1.610321044921875E-4</v>
      </c>
      <c r="AO36" s="19">
        <v>0.28933114318847664</v>
      </c>
    </row>
    <row r="37" spans="1:48" x14ac:dyDescent="0.25">
      <c r="E37" s="17">
        <v>5.7</v>
      </c>
      <c r="F37" s="17">
        <v>5.8</v>
      </c>
      <c r="G37" s="17">
        <v>5.8</v>
      </c>
      <c r="H37" s="19">
        <v>0.16616835632324217</v>
      </c>
      <c r="I37" s="19">
        <v>0.16665661315917965</v>
      </c>
      <c r="J37" s="18">
        <v>12700</v>
      </c>
      <c r="K37" s="17">
        <v>485</v>
      </c>
      <c r="L37" s="17">
        <v>495</v>
      </c>
      <c r="M37" s="17">
        <v>480</v>
      </c>
      <c r="N37" s="19">
        <v>1.610321044921875E-4</v>
      </c>
      <c r="O37" s="19">
        <v>0.17324808044433593</v>
      </c>
      <c r="Q37" s="14">
        <f>SUMIFS(指數型權證!$AH$1:$AH$49,指數型權證!$AL$1:$AL$49,"WK",指數型權證!$AJ$1:$AJ$49,$J37,指數型權證!$AM$1:$AM$49,"Put")</f>
        <v>0</v>
      </c>
      <c r="AE37" s="17">
        <v>0.1</v>
      </c>
      <c r="AF37" s="17">
        <v>0.3</v>
      </c>
      <c r="AG37" s="17">
        <v>0.2</v>
      </c>
      <c r="AH37" s="19">
        <v>0.22659013977050782</v>
      </c>
      <c r="AI37" s="19">
        <v>0.25271188049316412</v>
      </c>
      <c r="AJ37" s="18">
        <v>12700</v>
      </c>
      <c r="AK37" s="17">
        <v>510</v>
      </c>
      <c r="AL37" s="17">
        <v>520</v>
      </c>
      <c r="AM37" s="17">
        <v>540</v>
      </c>
      <c r="AN37" s="19">
        <v>1.610321044921875E-4</v>
      </c>
      <c r="AO37" s="19">
        <v>0.36208141174316416</v>
      </c>
    </row>
    <row r="38" spans="1:48" x14ac:dyDescent="0.25">
      <c r="E38" s="17">
        <v>2.7</v>
      </c>
      <c r="F38" s="17">
        <v>2.9</v>
      </c>
      <c r="G38" s="17">
        <v>2.9</v>
      </c>
      <c r="H38" s="19">
        <v>0.16885376892089843</v>
      </c>
      <c r="I38" s="19">
        <v>0.17080679626464845</v>
      </c>
      <c r="J38" s="18">
        <v>12800</v>
      </c>
      <c r="K38" s="17">
        <v>585</v>
      </c>
      <c r="L38" s="17">
        <v>595</v>
      </c>
      <c r="M38" s="17" t="s">
        <v>1854</v>
      </c>
      <c r="N38" s="19">
        <v>1.610321044921875E-4</v>
      </c>
      <c r="O38" s="19">
        <v>0.20010220642089843</v>
      </c>
      <c r="Q38" s="14">
        <f>SUMIFS(指數型權證!$AH$1:$AH$49,指數型權證!$AL$1:$AL$49,"WK",指數型權證!$AJ$1:$AJ$49,$J38,指數型權證!$AM$1:$AM$49,"Put")</f>
        <v>0</v>
      </c>
      <c r="AE38" s="17">
        <v>0.1</v>
      </c>
      <c r="AF38" s="17">
        <v>0.2</v>
      </c>
      <c r="AG38" s="17">
        <v>0.1</v>
      </c>
      <c r="AH38" s="19">
        <v>0.26516242980957028</v>
      </c>
      <c r="AI38" s="19">
        <v>0.28298380432128906</v>
      </c>
      <c r="AJ38" s="18">
        <v>12800</v>
      </c>
      <c r="AK38" s="17">
        <v>610</v>
      </c>
      <c r="AL38" s="17">
        <v>625</v>
      </c>
      <c r="AM38" s="17" t="s">
        <v>1854</v>
      </c>
      <c r="AN38" s="19">
        <v>1.610321044921875E-4</v>
      </c>
      <c r="AO38" s="19">
        <v>0.48683103332519539</v>
      </c>
    </row>
    <row r="39" spans="1:48" x14ac:dyDescent="0.25">
      <c r="E39" s="17">
        <v>1.5</v>
      </c>
      <c r="F39" s="17">
        <v>1.6</v>
      </c>
      <c r="G39" s="17">
        <v>1.5</v>
      </c>
      <c r="H39" s="19">
        <v>0.17629968566894536</v>
      </c>
      <c r="I39" s="19">
        <v>0.17788652038574221</v>
      </c>
      <c r="J39" s="18">
        <v>12900</v>
      </c>
      <c r="K39" s="17">
        <v>680</v>
      </c>
      <c r="L39" s="17">
        <v>695</v>
      </c>
      <c r="M39" s="17">
        <v>625</v>
      </c>
      <c r="N39" s="19">
        <v>1.610321044921875E-4</v>
      </c>
      <c r="O39" s="19">
        <v>0.22622394714355468</v>
      </c>
      <c r="Q39" s="14">
        <f>SUMIFS(指數型權證!$AH$1:$AH$49,指數型權證!$AL$1:$AL$49,"WK",指數型權證!$AJ$1:$AJ$49,$J39,指數型權證!$AM$1:$AM$49,"Put")</f>
        <v>0</v>
      </c>
      <c r="AE39" s="17">
        <v>0.1</v>
      </c>
      <c r="AF39" s="17">
        <v>0.2</v>
      </c>
      <c r="AG39" s="17">
        <v>0.1</v>
      </c>
      <c r="AH39" s="19">
        <v>0.30300233459472659</v>
      </c>
      <c r="AI39" s="19">
        <v>0.32277673645019533</v>
      </c>
      <c r="AJ39" s="18">
        <v>12900</v>
      </c>
      <c r="AK39" s="17">
        <v>710</v>
      </c>
      <c r="AL39" s="17">
        <v>720</v>
      </c>
      <c r="AM39" s="17" t="s">
        <v>1854</v>
      </c>
      <c r="AN39" s="19">
        <v>1.610321044921875E-4</v>
      </c>
      <c r="AO39" s="19">
        <v>0.47096268615722658</v>
      </c>
    </row>
    <row r="40" spans="1:48" x14ac:dyDescent="0.25">
      <c r="E40" s="17">
        <v>1</v>
      </c>
      <c r="F40" s="17">
        <v>1.1000000000000001</v>
      </c>
      <c r="G40" s="17">
        <v>0.9</v>
      </c>
      <c r="H40" s="19">
        <v>0.18752959289550783</v>
      </c>
      <c r="I40" s="19">
        <v>0.18972674865722658</v>
      </c>
      <c r="J40" s="18">
        <v>13000</v>
      </c>
      <c r="K40" s="17">
        <v>780</v>
      </c>
      <c r="L40" s="17">
        <v>795</v>
      </c>
      <c r="M40" s="17" t="s">
        <v>1854</v>
      </c>
      <c r="N40" s="19">
        <v>1.610321044921875E-4</v>
      </c>
      <c r="O40" s="19">
        <v>0.25161330261230475</v>
      </c>
      <c r="Q40" s="14">
        <f>SUMIFS(指數型權證!$AH$1:$AH$49,指數型權證!$AL$1:$AL$49,"WK",指數型權證!$AJ$1:$AJ$49,$J40,指數型權證!$AM$1:$AM$49,"Put")</f>
        <v>0</v>
      </c>
      <c r="AE40" s="17">
        <v>0.1</v>
      </c>
      <c r="AF40" s="17">
        <v>0.2</v>
      </c>
      <c r="AG40" s="17">
        <v>0.1</v>
      </c>
      <c r="AH40" s="19">
        <v>0.34010985412597661</v>
      </c>
      <c r="AI40" s="19">
        <v>0.3619593475341798</v>
      </c>
      <c r="AJ40" s="18">
        <v>13000</v>
      </c>
      <c r="AK40" s="17">
        <v>810</v>
      </c>
      <c r="AL40" s="17">
        <v>820</v>
      </c>
      <c r="AM40" s="17" t="s">
        <v>1854</v>
      </c>
      <c r="AN40" s="19">
        <v>1.610321044921875E-4</v>
      </c>
      <c r="AO40" s="19">
        <v>0.52332823181152344</v>
      </c>
    </row>
    <row r="41" spans="1:48" x14ac:dyDescent="0.25">
      <c r="E41" s="17">
        <v>0.7</v>
      </c>
      <c r="F41" s="17">
        <v>0.9</v>
      </c>
      <c r="G41" s="17">
        <v>1</v>
      </c>
      <c r="H41" s="19">
        <v>0.19888156433105467</v>
      </c>
      <c r="I41" s="19">
        <v>0.20474064636230468</v>
      </c>
      <c r="J41" s="18">
        <v>13100</v>
      </c>
      <c r="K41" s="17">
        <v>880</v>
      </c>
      <c r="L41" s="17">
        <v>895</v>
      </c>
      <c r="M41" s="17" t="s">
        <v>1854</v>
      </c>
      <c r="N41" s="19">
        <v>1.610321044921875E-4</v>
      </c>
      <c r="O41" s="19">
        <v>0.27627027282714844</v>
      </c>
      <c r="Q41" s="14">
        <f>SUMIFS(指數型權證!$AH$1:$AH$49,指數型權證!$AL$1:$AL$49,"WK",指數型權證!$AJ$1:$AJ$49,$J41,指數型權證!$AM$1:$AM$49,"Put")</f>
        <v>0</v>
      </c>
      <c r="AE41" s="17" t="s">
        <v>1854</v>
      </c>
      <c r="AF41" s="17">
        <v>0.2</v>
      </c>
      <c r="AG41" s="17">
        <v>0.1</v>
      </c>
      <c r="AH41" s="19">
        <v>0.6</v>
      </c>
      <c r="AI41" s="19">
        <v>0.40040957336425786</v>
      </c>
      <c r="AJ41" s="18">
        <v>13100</v>
      </c>
      <c r="AK41" s="17">
        <v>910</v>
      </c>
      <c r="AL41" s="17">
        <v>920</v>
      </c>
      <c r="AM41" s="17">
        <v>925</v>
      </c>
      <c r="AN41" s="19">
        <v>1.610321044921875E-4</v>
      </c>
      <c r="AO41" s="19">
        <v>0.57447313537597666</v>
      </c>
    </row>
    <row r="42" spans="1:48" x14ac:dyDescent="0.25">
      <c r="E42" s="17">
        <v>0.5</v>
      </c>
      <c r="F42" s="17">
        <v>0.8</v>
      </c>
      <c r="G42" s="17">
        <v>0.5</v>
      </c>
      <c r="H42" s="19">
        <v>0.20998940734863283</v>
      </c>
      <c r="I42" s="19">
        <v>0.22109725036621095</v>
      </c>
      <c r="J42" s="18">
        <v>13200</v>
      </c>
      <c r="K42" s="17">
        <v>975</v>
      </c>
      <c r="L42" s="17">
        <v>990</v>
      </c>
      <c r="M42" s="17" t="s">
        <v>1854</v>
      </c>
      <c r="N42" s="19">
        <v>1.610321044921875E-4</v>
      </c>
      <c r="O42" s="19">
        <v>0.24782931213378909</v>
      </c>
      <c r="Q42" s="14">
        <f>SUMIFS(指數型權證!$AH$1:$AH$49,指數型權證!$AL$1:$AL$49,"WK",指數型權證!$AJ$1:$AJ$49,$J42,指數型權證!$AM$1:$AM$49,"Put")</f>
        <v>0</v>
      </c>
      <c r="AE42" s="17" t="s">
        <v>1854</v>
      </c>
      <c r="AF42" s="17">
        <v>0.2</v>
      </c>
      <c r="AG42" s="17">
        <v>0.1</v>
      </c>
      <c r="AH42" s="19">
        <v>0.6</v>
      </c>
      <c r="AI42" s="19">
        <v>0.43812741394042976</v>
      </c>
      <c r="AJ42" s="18">
        <v>13200</v>
      </c>
      <c r="AK42" s="17">
        <v>1010</v>
      </c>
      <c r="AL42" s="17">
        <v>1030</v>
      </c>
      <c r="AM42" s="17" t="s">
        <v>1854</v>
      </c>
      <c r="AN42" s="19">
        <v>1.610321044921875E-4</v>
      </c>
      <c r="AO42" s="19">
        <v>0.78112784118652345</v>
      </c>
    </row>
    <row r="43" spans="1:48" x14ac:dyDescent="0.25">
      <c r="E43" s="17"/>
      <c r="F43" s="17"/>
      <c r="G43" s="17"/>
      <c r="H43" s="19"/>
      <c r="I43" s="19"/>
      <c r="J43" s="18"/>
      <c r="K43" s="17"/>
      <c r="L43" s="17"/>
      <c r="M43" s="17"/>
      <c r="N43" s="19"/>
      <c r="O43" s="19"/>
      <c r="AE43" s="17"/>
      <c r="AF43" s="17"/>
      <c r="AG43" s="17"/>
      <c r="AH43" s="19"/>
      <c r="AI43" s="19"/>
      <c r="AJ43" s="18"/>
      <c r="AK43" s="17"/>
      <c r="AL43" s="17"/>
      <c r="AM43" s="17"/>
      <c r="AN43" s="19"/>
      <c r="AO43" s="19"/>
    </row>
    <row r="44" spans="1:48" x14ac:dyDescent="0.25">
      <c r="E44" s="17"/>
      <c r="F44" s="17"/>
      <c r="G44" s="17"/>
      <c r="H44" s="19"/>
      <c r="I44" s="19"/>
      <c r="J44" s="18"/>
      <c r="K44" s="17"/>
      <c r="L44" s="17"/>
      <c r="M44" s="17"/>
      <c r="N44" s="19"/>
      <c r="O44" s="19"/>
      <c r="AE44" s="17"/>
      <c r="AF44" s="17"/>
      <c r="AG44" s="17"/>
      <c r="AH44" s="19"/>
      <c r="AI44" s="19"/>
      <c r="AJ44" s="18"/>
      <c r="AK44" s="17"/>
      <c r="AL44" s="17"/>
      <c r="AM44" s="17"/>
      <c r="AN44" s="19"/>
      <c r="AO44" s="19"/>
    </row>
    <row r="45" spans="1:48" x14ac:dyDescent="0.25">
      <c r="E45" s="17"/>
      <c r="F45" s="17"/>
      <c r="G45" s="17"/>
      <c r="H45" s="19"/>
      <c r="I45" s="19"/>
      <c r="J45" s="18"/>
      <c r="K45" s="17"/>
      <c r="L45" s="17"/>
      <c r="M45" s="17"/>
      <c r="N45" s="19"/>
      <c r="O45" s="19"/>
      <c r="AE45" s="17"/>
      <c r="AF45" s="17"/>
      <c r="AG45" s="17"/>
      <c r="AH45" s="19"/>
      <c r="AI45" s="19"/>
      <c r="AJ45" s="18"/>
      <c r="AK45" s="17"/>
      <c r="AL45" s="17"/>
      <c r="AM45" s="17"/>
      <c r="AN45" s="19"/>
      <c r="AO45" s="19"/>
    </row>
    <row r="46" spans="1:48" x14ac:dyDescent="0.25">
      <c r="E46" s="17"/>
      <c r="F46" s="17"/>
      <c r="G46" s="17"/>
      <c r="H46" s="19"/>
      <c r="I46" s="19"/>
      <c r="J46" s="18"/>
      <c r="K46" s="17"/>
      <c r="L46" s="17"/>
      <c r="M46" s="17"/>
      <c r="N46" s="19"/>
      <c r="O46" s="19"/>
      <c r="AE46" s="17"/>
      <c r="AF46" s="17"/>
      <c r="AG46" s="17"/>
      <c r="AH46" s="19"/>
      <c r="AI46" s="19"/>
      <c r="AJ46" s="18"/>
      <c r="AK46" s="17"/>
      <c r="AL46" s="17"/>
      <c r="AM46" s="17"/>
      <c r="AN46" s="19"/>
      <c r="AO46" s="19"/>
    </row>
    <row r="47" spans="1:48" x14ac:dyDescent="0.25">
      <c r="E47" s="17"/>
      <c r="F47" s="17"/>
      <c r="G47" s="17"/>
      <c r="H47" s="19"/>
      <c r="I47" s="19"/>
      <c r="J47" s="18"/>
      <c r="K47" s="17"/>
      <c r="L47" s="17"/>
      <c r="M47" s="17"/>
      <c r="N47" s="19"/>
      <c r="O47" s="19"/>
      <c r="AE47" s="17"/>
      <c r="AF47" s="17"/>
      <c r="AG47" s="17"/>
      <c r="AH47" s="19"/>
      <c r="AI47" s="19"/>
      <c r="AJ47" s="18"/>
      <c r="AK47" s="17"/>
      <c r="AL47" s="17"/>
      <c r="AM47" s="17"/>
      <c r="AN47" s="19"/>
      <c r="AO47" s="19"/>
    </row>
    <row r="48" spans="1:48" x14ac:dyDescent="0.25">
      <c r="E48" s="17"/>
      <c r="F48" s="17"/>
      <c r="G48" s="17"/>
      <c r="H48" s="19"/>
      <c r="I48" s="19"/>
      <c r="J48" s="18"/>
      <c r="K48" s="17"/>
      <c r="L48" s="17"/>
      <c r="M48" s="17"/>
      <c r="N48" s="19"/>
      <c r="O48" s="19"/>
      <c r="AE48" s="17"/>
      <c r="AF48" s="17"/>
      <c r="AG48" s="17"/>
      <c r="AH48" s="19"/>
      <c r="AI48" s="19"/>
      <c r="AJ48" s="18"/>
      <c r="AK48" s="17"/>
      <c r="AL48" s="17"/>
      <c r="AM48" s="17"/>
      <c r="AN48" s="19"/>
      <c r="AO48" s="19"/>
    </row>
    <row r="49" spans="5:41" x14ac:dyDescent="0.25">
      <c r="E49" s="17"/>
      <c r="F49" s="17"/>
      <c r="G49" s="17"/>
      <c r="H49" s="19"/>
      <c r="I49" s="19"/>
      <c r="J49" s="18"/>
      <c r="K49" s="17"/>
      <c r="L49" s="17"/>
      <c r="M49" s="17"/>
      <c r="N49" s="19"/>
      <c r="O49" s="19"/>
      <c r="AE49" s="17"/>
      <c r="AF49" s="17"/>
      <c r="AG49" s="17"/>
      <c r="AH49" s="19"/>
      <c r="AI49" s="19"/>
      <c r="AJ49" s="18"/>
      <c r="AK49" s="17"/>
      <c r="AL49" s="17"/>
      <c r="AM49" s="17"/>
      <c r="AN49" s="19"/>
      <c r="AO49" s="19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AV91"/>
  <sheetViews>
    <sheetView topLeftCell="A10" workbookViewId="0">
      <selection activeCell="Q32" sqref="Q32"/>
    </sheetView>
  </sheetViews>
  <sheetFormatPr defaultRowHeight="16.5" x14ac:dyDescent="0.25"/>
  <cols>
    <col min="1" max="1" width="10.625" bestFit="1" customWidth="1"/>
    <col min="2" max="2" width="12.625" customWidth="1"/>
    <col min="4" max="4" width="12.125" customWidth="1"/>
    <col min="16" max="16" width="13.125" customWidth="1"/>
    <col min="18" max="18" width="13.5" customWidth="1"/>
    <col min="19" max="19" width="11.875" customWidth="1"/>
    <col min="23" max="26" width="9" style="45"/>
    <col min="42" max="42" width="13" customWidth="1"/>
  </cols>
  <sheetData>
    <row r="1" spans="1:48" ht="17.25" thickBot="1" x14ac:dyDescent="0.3">
      <c r="A1" s="13" t="s">
        <v>49</v>
      </c>
      <c r="B1" s="13" t="s">
        <v>48</v>
      </c>
      <c r="C1" s="13" t="s">
        <v>21</v>
      </c>
      <c r="D1" s="13" t="s">
        <v>18</v>
      </c>
      <c r="E1" s="12" t="s">
        <v>3</v>
      </c>
      <c r="F1" s="12" t="s">
        <v>4</v>
      </c>
      <c r="G1" s="12" t="s">
        <v>5</v>
      </c>
      <c r="H1" s="12" t="s">
        <v>16</v>
      </c>
      <c r="I1" s="12" t="s">
        <v>17</v>
      </c>
      <c r="J1" s="16" t="s">
        <v>6</v>
      </c>
      <c r="K1" s="12" t="s">
        <v>3</v>
      </c>
      <c r="L1" s="12" t="s">
        <v>4</v>
      </c>
      <c r="M1" s="12" t="s">
        <v>5</v>
      </c>
      <c r="N1" s="12" t="s">
        <v>16</v>
      </c>
      <c r="O1" s="12" t="s">
        <v>17</v>
      </c>
      <c r="P1" s="13" t="s">
        <v>18</v>
      </c>
      <c r="Q1" s="13" t="s">
        <v>21</v>
      </c>
      <c r="R1" s="13" t="s">
        <v>48</v>
      </c>
      <c r="S1" s="13" t="s">
        <v>49</v>
      </c>
      <c r="T1" s="46"/>
      <c r="U1" s="44" t="s">
        <v>62</v>
      </c>
      <c r="V1" s="47" t="s">
        <v>63</v>
      </c>
      <c r="W1" s="177"/>
      <c r="X1" s="177"/>
      <c r="Y1" s="177"/>
      <c r="Z1" s="177"/>
      <c r="AA1" s="13" t="s">
        <v>49</v>
      </c>
      <c r="AB1" s="13" t="s">
        <v>48</v>
      </c>
      <c r="AC1" s="13" t="s">
        <v>21</v>
      </c>
      <c r="AD1" s="13" t="s">
        <v>18</v>
      </c>
      <c r="AE1" s="12" t="s">
        <v>3</v>
      </c>
      <c r="AF1" s="12" t="s">
        <v>4</v>
      </c>
      <c r="AG1" s="12" t="s">
        <v>5</v>
      </c>
      <c r="AH1" s="12" t="s">
        <v>16</v>
      </c>
      <c r="AI1" s="12" t="s">
        <v>17</v>
      </c>
      <c r="AJ1" s="16" t="s">
        <v>6</v>
      </c>
      <c r="AK1" s="12" t="s">
        <v>3</v>
      </c>
      <c r="AL1" s="12" t="s">
        <v>4</v>
      </c>
      <c r="AM1" s="12" t="s">
        <v>5</v>
      </c>
      <c r="AN1" s="12" t="s">
        <v>16</v>
      </c>
      <c r="AO1" s="12" t="s">
        <v>17</v>
      </c>
      <c r="AP1" s="13" t="s">
        <v>18</v>
      </c>
      <c r="AQ1" s="13" t="s">
        <v>21</v>
      </c>
      <c r="AR1" s="13" t="s">
        <v>48</v>
      </c>
      <c r="AS1" s="13" t="s">
        <v>49</v>
      </c>
      <c r="AT1" s="46"/>
      <c r="AU1" s="44" t="s">
        <v>62</v>
      </c>
      <c r="AV1" s="47" t="s">
        <v>63</v>
      </c>
    </row>
    <row r="2" spans="1:48" ht="17.25" thickBot="1" x14ac:dyDescent="0.3">
      <c r="A2" s="36">
        <f ca="1">(GBSOption("C",指數型權證!$T$3,$J2, 選擇權近月!$N$2,$H2, 0,0)-GBSOption("C",指數型權證!$T$3,$J2,選擇權近月!$O$2,$H2, 0,0))*$C2*50*-1</f>
        <v>0</v>
      </c>
      <c r="B2" s="14">
        <f ca="1">GBSGreeks("d", "C",指數型權證!$T$2,$J2,選擇權近月!$N$2,$H2, 0,0)*50*指數型權證!$T$2*$C2</f>
        <v>0</v>
      </c>
      <c r="C2" s="14">
        <f>SUMIFS(指數型權證!$AH$1:$AH$49,指數型權證!$AL$1:$AL$49,"8",指數型權證!$AJ$1:$AJ$49,$J2,指數型權證!$AM$1:$AM$49,"Call")</f>
        <v>0</v>
      </c>
      <c r="D2" s="14">
        <f ca="1">GBSGreeks("g", "C",指數型權證!$T$2,$J2,選擇權近月!$N$2,$H2, 0,0)*50*指數型權證!$T$2^2*1%*$C2*-1</f>
        <v>0</v>
      </c>
      <c r="E2" s="17">
        <v>2850</v>
      </c>
      <c r="F2" s="17">
        <v>3080</v>
      </c>
      <c r="G2" s="17" t="s">
        <v>1854</v>
      </c>
      <c r="H2" s="19">
        <v>1.610321044921875E-4</v>
      </c>
      <c r="I2" s="19">
        <v>0.67847184143066408</v>
      </c>
      <c r="J2" s="18">
        <v>9100</v>
      </c>
      <c r="K2" s="17">
        <v>8.1999999999999993</v>
      </c>
      <c r="L2" s="17">
        <v>8.3000000000000007</v>
      </c>
      <c r="M2" s="17">
        <v>8.1999999999999993</v>
      </c>
      <c r="N2" s="19">
        <v>0.422259066772461</v>
      </c>
      <c r="O2" s="19">
        <v>0.42299145202636723</v>
      </c>
      <c r="P2" s="14">
        <f ca="1">GBSGreeks("g", "P",指數型權證!$T$3,$J2,選擇權近月!$N$2,$N2, 0,0)*50*指數型權證!$T$3^2*1%*$Q2*-1</f>
        <v>0</v>
      </c>
      <c r="Q2" s="14">
        <f>SUMIFS(指數型權證!$AH$1:$AH$49,指數型權證!$AL$1:$AL$49,"8",指數型權證!$AJ$1:$AJ$49,$J2,指數型權證!$AM$1:$AM$49,"Put")</f>
        <v>0</v>
      </c>
      <c r="R2" s="14">
        <f ca="1">GBSGreeks("d", "P",指數型權證!$T$3,$J2,選擇權近月!$N$2,$N2, 0,0)*50*指數型權證!$T$3*$Q2</f>
        <v>0</v>
      </c>
      <c r="S2" s="36">
        <f ca="1">(GBSOption("P",指數型權證!$T$3,$J2, 選擇權近月!$N$2,$N2, 0,0)-GBSOption("P",指數型權證!$T$3,$J2,選擇權近月!$O$2,$N2, 0,0))*$Q2*50*-1</f>
        <v>0</v>
      </c>
      <c r="T2" s="36"/>
      <c r="U2" s="48">
        <f ca="1">(GBSOption("C",指數型權證!T$3,$J2,選擇權近月!$N$2,$H2,0, 0)-GBSOption("C",指數型權證!T$3,$J2,選擇權近月!$N$2,$H2+0.01,0, 0))*50*$C2</f>
        <v>0</v>
      </c>
      <c r="V2" s="48">
        <f ca="1">(GBSOption("P",指數型權證!T$3,$J2,選擇權近月!$N$2,$N2,0, 0)-GBSOption("P",指數型權證!T$3,$J2,選擇權近月!$N$2,$N2+0.01,0, 0))*50*$Q2</f>
        <v>0</v>
      </c>
      <c r="Y2" s="250"/>
      <c r="Z2" s="250"/>
      <c r="AA2" s="36">
        <v>0</v>
      </c>
      <c r="AB2" s="14">
        <v>0</v>
      </c>
      <c r="AC2" s="14">
        <v>0</v>
      </c>
      <c r="AD2" s="14">
        <v>0</v>
      </c>
      <c r="AE2" s="17">
        <v>2790</v>
      </c>
      <c r="AF2" s="17">
        <v>3030</v>
      </c>
      <c r="AG2" s="17" t="s">
        <v>1854</v>
      </c>
      <c r="AH2" s="19">
        <v>1.610321044921875E-4</v>
      </c>
      <c r="AI2" s="19">
        <v>0.66663161315917963</v>
      </c>
      <c r="AJ2" s="18">
        <v>9100</v>
      </c>
      <c r="AK2" s="17">
        <v>10</v>
      </c>
      <c r="AL2" s="17">
        <v>10.5</v>
      </c>
      <c r="AM2" s="17">
        <v>10.5</v>
      </c>
      <c r="AN2" s="19">
        <v>0.42055016784667976</v>
      </c>
      <c r="AO2" s="19">
        <v>0.42360177307128916</v>
      </c>
      <c r="AP2" s="14">
        <v>0</v>
      </c>
      <c r="AQ2" s="14">
        <v>0</v>
      </c>
      <c r="AR2" s="14">
        <v>0</v>
      </c>
      <c r="AS2" s="36">
        <v>0</v>
      </c>
      <c r="AT2" s="36"/>
      <c r="AU2" s="48">
        <v>0</v>
      </c>
      <c r="AV2" s="48">
        <v>0</v>
      </c>
    </row>
    <row r="3" spans="1:48" ht="17.25" thickBot="1" x14ac:dyDescent="0.3">
      <c r="A3" s="36">
        <f ca="1">(GBSOption("C",指數型權證!$T$2,$J3, 選擇權近月!$N$2,$H3, 0,0)-GBSOption("C",指數型權證!$T$2,$J3,選擇權近月!$O$2,$H3, 0,0))*$C3*50*-1</f>
        <v>0</v>
      </c>
      <c r="B3" s="14">
        <f ca="1">GBSGreeks("d", "C",指數型權證!$T$2,$J3,選擇權近月!$N$2,$H3, 0,0)*50*指數型權證!$T$2*$C3</f>
        <v>0</v>
      </c>
      <c r="C3" s="14">
        <f>SUMIFS(指數型權證!$AH$1:$AH$49,指數型權證!$AL$1:$AL$49,"8",指數型權證!$AJ$1:$AJ$49,$J3,指數型權證!$AM$1:$AM$49,"Call")</f>
        <v>0</v>
      </c>
      <c r="D3" s="14">
        <f ca="1">GBSGreeks("g", "C",指數型權證!$T$2,$J3,選擇權近月!$N$2,$H3, 0,0)*50*指數型權證!$T$2^2*1%*$C3*-1</f>
        <v>0</v>
      </c>
      <c r="E3" s="17">
        <v>2760</v>
      </c>
      <c r="F3" s="17">
        <v>2980</v>
      </c>
      <c r="G3" s="17" t="s">
        <v>1854</v>
      </c>
      <c r="H3" s="19">
        <v>1.610321044921875E-4</v>
      </c>
      <c r="I3" s="19">
        <v>0.65808711853027346</v>
      </c>
      <c r="J3" s="18">
        <v>9200</v>
      </c>
      <c r="K3" s="17">
        <v>8.6999999999999993</v>
      </c>
      <c r="L3" s="17">
        <v>9.1</v>
      </c>
      <c r="M3" s="17">
        <v>9.3000000000000007</v>
      </c>
      <c r="N3" s="19">
        <v>0.41139535217285161</v>
      </c>
      <c r="O3" s="19">
        <v>0.41420282897949223</v>
      </c>
      <c r="P3" s="14">
        <f ca="1">GBSGreeks("g", "P",指數型權證!$T$3,$J3,選擇權近月!$N$2,$N3, 0,0)*50*指數型權證!$T$3^2*1%*$Q3*-1</f>
        <v>0</v>
      </c>
      <c r="Q3" s="14">
        <f>SUMIFS(指數型權證!$AH$1:$AH$49,指數型權證!$AL$1:$AL$49,"8",指數型權證!$AJ$1:$AJ$49,$J3,指數型權證!$AM$1:$AM$49,"Put")</f>
        <v>0</v>
      </c>
      <c r="R3" s="14">
        <f ca="1">GBSGreeks("d", "P",指數型權證!$T$3,$J3,選擇權近月!$N$2,$N3, 0,0)*50*指數型權證!$T$3*$Q3</f>
        <v>0</v>
      </c>
      <c r="S3" s="36">
        <f ca="1">(GBSOption("P",指數型權證!$T$3,$J3, 選擇權近月!$N$2,$N3, 0,0)-GBSOption("P",指數型權證!$T$3,$J3,選擇權近月!$O$2,$N3, 0,0))*$Q3*50*-1</f>
        <v>0</v>
      </c>
      <c r="T3" s="36"/>
      <c r="U3" s="48">
        <f ca="1">(GBSOption("C",指數型權證!T$3,$J3,選擇權近月!$N$2,$H3,0, 0)-GBSOption("C",指數型權證!T$3,$J3,選擇權近月!$N$2,$H3+0.01,0, 0))*50*$C3</f>
        <v>0</v>
      </c>
      <c r="V3" s="48">
        <f ca="1">(GBSOption("P",指數型權證!T$3,$J3,選擇權近月!$N$2,$N3,0, 0)-GBSOption("P",指數型權證!T$3,$J3,選擇權近月!$N$2,$N3+0.01,0, 0))*50*$Q3</f>
        <v>0</v>
      </c>
      <c r="Y3" s="250"/>
      <c r="Z3" s="250"/>
      <c r="AA3" s="36">
        <v>0</v>
      </c>
      <c r="AB3" s="14">
        <v>0</v>
      </c>
      <c r="AC3" s="14">
        <v>0</v>
      </c>
      <c r="AD3" s="14">
        <v>0</v>
      </c>
      <c r="AE3" s="17">
        <v>2690</v>
      </c>
      <c r="AF3" s="17">
        <v>2930</v>
      </c>
      <c r="AG3" s="17" t="s">
        <v>1854</v>
      </c>
      <c r="AH3" s="19">
        <v>1.610321044921875E-4</v>
      </c>
      <c r="AI3" s="19">
        <v>0.64636895446777354</v>
      </c>
      <c r="AJ3" s="18">
        <v>9200</v>
      </c>
      <c r="AK3" s="17">
        <v>10.5</v>
      </c>
      <c r="AL3" s="17">
        <v>11.5</v>
      </c>
      <c r="AM3" s="17">
        <v>11.5</v>
      </c>
      <c r="AN3" s="19">
        <v>0.40919819641113286</v>
      </c>
      <c r="AO3" s="19">
        <v>0.41493521423339852</v>
      </c>
      <c r="AP3" s="14">
        <v>0</v>
      </c>
      <c r="AQ3" s="14">
        <v>0</v>
      </c>
      <c r="AR3" s="14">
        <v>0</v>
      </c>
      <c r="AS3" s="36">
        <v>0</v>
      </c>
      <c r="AT3" s="36"/>
      <c r="AU3" s="48">
        <v>0</v>
      </c>
      <c r="AV3" s="48">
        <v>0</v>
      </c>
    </row>
    <row r="4" spans="1:48" ht="17.25" thickBot="1" x14ac:dyDescent="0.3">
      <c r="A4" s="36">
        <f ca="1">(GBSOption("C",指數型權證!$T$2,$J4, 選擇權近月!$N$2,$H4, 0,0)-GBSOption("C",指數型權證!$T$2,$J4,選擇權近月!$O$2,$H4, 0,0))*$C4*50*-1</f>
        <v>0</v>
      </c>
      <c r="B4" s="14">
        <f ca="1">GBSGreeks("d", "C",指數型權證!$T$2,$J4,選擇權近月!$N$2,$H4, 0,0)*50*指數型權證!$T$2*$C4</f>
        <v>0</v>
      </c>
      <c r="C4" s="14">
        <f>SUMIFS(指數型權證!$AH$1:$AH$49,指數型權證!$AL$1:$AL$49,"8",指數型權證!$AJ$1:$AJ$49,$J4,指數型權證!$AM$1:$AM$49,"Call")</f>
        <v>0</v>
      </c>
      <c r="D4" s="14">
        <f ca="1">GBSGreeks("g", "C",指數型權證!$T$2,$J4,選擇權近月!$N$2,$H4, 0,0)*50*指數型權證!$T$2^2*1%*$C4*-1</f>
        <v>0</v>
      </c>
      <c r="E4" s="17">
        <v>2660</v>
      </c>
      <c r="F4" s="17">
        <v>2880</v>
      </c>
      <c r="G4" s="20" t="s">
        <v>1854</v>
      </c>
      <c r="H4" s="19">
        <v>1.610321044921875E-4</v>
      </c>
      <c r="I4" s="19">
        <v>0.63782445983886715</v>
      </c>
      <c r="J4" s="18">
        <v>9300</v>
      </c>
      <c r="K4" s="17">
        <v>9.8000000000000007</v>
      </c>
      <c r="L4" s="17">
        <v>10</v>
      </c>
      <c r="M4" s="17">
        <v>10.5</v>
      </c>
      <c r="N4" s="19">
        <v>0.40431562805175791</v>
      </c>
      <c r="O4" s="19">
        <v>0.40553627014160165</v>
      </c>
      <c r="P4" s="14">
        <f ca="1">GBSGreeks("g", "P",指數型權證!$T$3,$J4,選擇權近月!$N$2,$N4, 0,0)*50*指數型權證!$T$3^2*1%*$Q4*-1</f>
        <v>0</v>
      </c>
      <c r="Q4" s="14">
        <f>SUMIFS(指數型權證!$AH$1:$AH$49,指數型權證!$AL$1:$AL$49,"8",指數型權證!$AJ$1:$AJ$49,$J4,指數型權證!$AM$1:$AM$49,"Put")</f>
        <v>0</v>
      </c>
      <c r="R4" s="14">
        <f ca="1">GBSGreeks("d", "P",指數型權證!$T$3,$J4,選擇權近月!$N$2,$N4, 0,0)*50*指數型權證!$T$3*$Q4</f>
        <v>0</v>
      </c>
      <c r="S4" s="36">
        <f ca="1">(GBSOption("P",指數型權證!$T$3,$J4, 選擇權近月!$N$2,$N4, 0,0)-GBSOption("P",指數型權證!$T$3,$J4,選擇權近月!$O$2,$N4, 0,0))*$Q4*50*-1</f>
        <v>0</v>
      </c>
      <c r="T4" s="36"/>
      <c r="U4" s="48">
        <f ca="1">(GBSOption("C",指數型權證!T$3,$J4,選擇權近月!$N$2,$H4,0, 0)-GBSOption("C",指數型權證!T$3,$J4,選擇權近月!$N$2,$H4+0.01,0, 0))*50*$C4</f>
        <v>0</v>
      </c>
      <c r="V4" s="48">
        <f ca="1">(GBSOption("P",指數型權證!T$3,$J4,選擇權近月!$N$2,$N4,0, 0)-GBSOption("P",指數型權證!T$3,$J4,選擇權近月!$N$2,$N4+0.01,0, 0))*50*$Q4</f>
        <v>0</v>
      </c>
      <c r="Y4" s="250"/>
      <c r="Z4" s="250"/>
      <c r="AA4" s="36">
        <v>0</v>
      </c>
      <c r="AB4" s="14">
        <v>0</v>
      </c>
      <c r="AC4" s="14">
        <v>0</v>
      </c>
      <c r="AD4" s="14">
        <v>0</v>
      </c>
      <c r="AE4" s="17">
        <v>2590</v>
      </c>
      <c r="AF4" s="17">
        <v>2830</v>
      </c>
      <c r="AG4" s="20" t="s">
        <v>1854</v>
      </c>
      <c r="AH4" s="19">
        <v>1.610321044921875E-4</v>
      </c>
      <c r="AI4" s="19">
        <v>0.62622835998535165</v>
      </c>
      <c r="AJ4" s="18">
        <v>9300</v>
      </c>
      <c r="AK4" s="17">
        <v>12</v>
      </c>
      <c r="AL4" s="17">
        <v>12.5</v>
      </c>
      <c r="AM4" s="17">
        <v>13.5</v>
      </c>
      <c r="AN4" s="19">
        <v>0.40321705017089848</v>
      </c>
      <c r="AO4" s="19">
        <v>0.40578039855957038</v>
      </c>
      <c r="AP4" s="14">
        <v>0</v>
      </c>
      <c r="AQ4" s="14">
        <v>0</v>
      </c>
      <c r="AR4" s="14">
        <v>0</v>
      </c>
      <c r="AS4" s="36">
        <v>0</v>
      </c>
      <c r="AT4" s="36"/>
      <c r="AU4" s="48">
        <v>0</v>
      </c>
      <c r="AV4" s="48">
        <v>0</v>
      </c>
    </row>
    <row r="5" spans="1:48" ht="17.25" thickBot="1" x14ac:dyDescent="0.3">
      <c r="A5" s="36">
        <f ca="1">(GBSOption("C",指數型權證!$T$2,$J5, 選擇權近月!$N$2,$H5, 0,0)-GBSOption("C",指數型權證!$T$2,$J5,選擇權近月!$O$2,$H5, 0,0))*$C5*50*-1</f>
        <v>0</v>
      </c>
      <c r="B5" s="14">
        <f ca="1">GBSGreeks("d", "C",指數型權證!$T$2,$J5,選擇權近月!$N$2,$H5, 0,0)*50*指數型權證!$T$2*$C5</f>
        <v>0</v>
      </c>
      <c r="C5" s="14">
        <f>SUMIFS(指數型權證!$AH$1:$AH$49,指數型權證!$AL$1:$AL$49,"8",指數型權證!$AJ$1:$AJ$49,$J5,指數型權證!$AM$1:$AM$49,"Call")</f>
        <v>0</v>
      </c>
      <c r="D5" s="14">
        <f ca="1">GBSGreeks("g", "C",指數型權證!$T$2,$J5,選擇權近月!$N$2,$H5, 0,0)*50*指數型權證!$T$2^2*1%*$C5*-1</f>
        <v>0</v>
      </c>
      <c r="E5" s="17">
        <v>2560</v>
      </c>
      <c r="F5" s="17">
        <v>2780</v>
      </c>
      <c r="G5" s="17" t="s">
        <v>1854</v>
      </c>
      <c r="H5" s="19">
        <v>1.610321044921875E-4</v>
      </c>
      <c r="I5" s="19">
        <v>0.61768386535644537</v>
      </c>
      <c r="J5" s="18">
        <v>9400</v>
      </c>
      <c r="K5" s="17">
        <v>10</v>
      </c>
      <c r="L5" s="17">
        <v>11</v>
      </c>
      <c r="M5" s="17">
        <v>11</v>
      </c>
      <c r="N5" s="19">
        <v>0.3911326934814453</v>
      </c>
      <c r="O5" s="19">
        <v>0.3968697113037109</v>
      </c>
      <c r="P5" s="14">
        <f ca="1">GBSGreeks("g", "P",指數型權證!$T$3,$J5,選擇權近月!$N$2,$N5, 0,0)*50*指數型權證!$T$3^2*1%*$Q5*-1</f>
        <v>0</v>
      </c>
      <c r="Q5" s="14">
        <f>SUMIFS(指數型權證!$AH$1:$AH$49,指數型權證!$AL$1:$AL$49,"8",指數型權證!$AJ$1:$AJ$49,$J5,指數型權證!$AM$1:$AM$49,"Put")</f>
        <v>0</v>
      </c>
      <c r="R5" s="14">
        <f ca="1">GBSGreeks("d", "P",指數型權證!$T$3,$J5,選擇權近月!$N$2,$N5, 0,0)*50*指數型權證!$T$3*$Q5</f>
        <v>0</v>
      </c>
      <c r="S5" s="36">
        <f ca="1">(GBSOption("P",指數型權證!$T$3,$J5, 選擇權近月!$N$2,$N5, 0,0)-GBSOption("P",指數型權證!$T$3,$J5,選擇權近月!$O$2,$N5, 0,0))*$Q5*50*-1</f>
        <v>0</v>
      </c>
      <c r="T5" s="36"/>
      <c r="U5" s="48">
        <f ca="1">(GBSOption("C",指數型權證!T$3,$J5,選擇權近月!$N$2,$H5,0, 0)-GBSOption("C",指數型權證!T$3,$J5,選擇權近月!$N$2,$H5+0.01,0, 0))*50*$C5</f>
        <v>0</v>
      </c>
      <c r="V5" s="48">
        <f ca="1">(GBSOption("P",指數型權證!T$3,$J5,選擇權近月!$N$2,$N5,0, 0)-GBSOption("P",指數型權證!T$3,$J5,選擇權近月!$N$2,$N5+0.01,0, 0))*50*$Q5</f>
        <v>0</v>
      </c>
      <c r="Y5" s="250"/>
      <c r="Z5" s="250"/>
      <c r="AA5" s="36">
        <v>0</v>
      </c>
      <c r="AB5" s="14">
        <v>0</v>
      </c>
      <c r="AC5" s="14">
        <v>0</v>
      </c>
      <c r="AD5" s="14">
        <v>0</v>
      </c>
      <c r="AE5" s="17">
        <v>2490</v>
      </c>
      <c r="AF5" s="17">
        <v>2730</v>
      </c>
      <c r="AG5" s="17" t="s">
        <v>1854</v>
      </c>
      <c r="AH5" s="19">
        <v>1.610321044921875E-4</v>
      </c>
      <c r="AI5" s="19">
        <v>0.60620982971191406</v>
      </c>
      <c r="AJ5" s="18">
        <v>9400</v>
      </c>
      <c r="AK5" s="17">
        <v>12.5</v>
      </c>
      <c r="AL5" s="17">
        <v>13.5</v>
      </c>
      <c r="AM5" s="17">
        <v>14.5</v>
      </c>
      <c r="AN5" s="19">
        <v>0.39125475769042972</v>
      </c>
      <c r="AO5" s="19">
        <v>0.39613732604980467</v>
      </c>
      <c r="AP5" s="14">
        <v>0</v>
      </c>
      <c r="AQ5" s="14">
        <v>0</v>
      </c>
      <c r="AR5" s="14">
        <v>0</v>
      </c>
      <c r="AS5" s="36">
        <v>0</v>
      </c>
      <c r="AT5" s="36"/>
      <c r="AU5" s="48">
        <v>0</v>
      </c>
      <c r="AV5" s="48">
        <v>0</v>
      </c>
    </row>
    <row r="6" spans="1:48" ht="17.25" thickBot="1" x14ac:dyDescent="0.3">
      <c r="A6" s="36">
        <f ca="1">(GBSOption("C",指數型權證!$T$2,$J6, 選擇權近月!$N$2,$H6, 0,0)-GBSOption("C",指數型權證!$T$2,$J6,選擇權近月!$O$2,$H6, 0,0))*$C6*50*-1</f>
        <v>0</v>
      </c>
      <c r="B6" s="14">
        <f ca="1">GBSGreeks("d", "C",指數型權證!$T$2,$J6,選擇權近月!$N$2,$H6, 0,0)*50*指數型權證!$T$2*$C6</f>
        <v>0</v>
      </c>
      <c r="C6" s="14">
        <f>SUMIFS(指數型權證!$AH$1:$AH$49,指數型權證!$AL$1:$AL$49,"8",指數型權證!$AJ$1:$AJ$49,$J6,指數型權證!$AM$1:$AM$49,"Call")</f>
        <v>0</v>
      </c>
      <c r="D6" s="14">
        <f ca="1">GBSGreeks("g", "C",指數型權證!$T$2,$J6,選擇權近月!$N$2,$H6, 0,0)*50*指數型權證!$T$2^2*1%*$C6*-1</f>
        <v>0</v>
      </c>
      <c r="E6" s="17">
        <v>2460</v>
      </c>
      <c r="F6" s="17">
        <v>2680</v>
      </c>
      <c r="G6" s="17" t="s">
        <v>1854</v>
      </c>
      <c r="H6" s="19">
        <v>1.610321044921875E-4</v>
      </c>
      <c r="I6" s="19">
        <v>0.59766533508300801</v>
      </c>
      <c r="J6" s="18">
        <v>9500</v>
      </c>
      <c r="K6" s="17">
        <v>11</v>
      </c>
      <c r="L6" s="17">
        <v>12</v>
      </c>
      <c r="M6" s="17">
        <v>12</v>
      </c>
      <c r="N6" s="19">
        <v>0.38246613464355472</v>
      </c>
      <c r="O6" s="19">
        <v>0.38771489562988282</v>
      </c>
      <c r="P6" s="14">
        <f ca="1">GBSGreeks("g", "P",指數型權證!$T$3,$J6,選擇權近月!$N$2,$N6, 0,0)*50*指數型權證!$T$3^2*1%*$Q6*-1</f>
        <v>0</v>
      </c>
      <c r="Q6" s="14">
        <f>SUMIFS(指數型權證!$AH$1:$AH$49,指數型權證!$AL$1:$AL$49,"8",指數型權證!$AJ$1:$AJ$49,$J6,指數型權證!$AM$1:$AM$49,"Put")</f>
        <v>0</v>
      </c>
      <c r="R6" s="14">
        <f ca="1">GBSGreeks("d", "P",指數型權證!$T$3,$J6,選擇權近月!$N$2,$N6, 0,0)*50*指數型權證!$T$3*$Q6</f>
        <v>0</v>
      </c>
      <c r="S6" s="36">
        <f ca="1">(GBSOption("P",指數型權證!$T$3,$J6, 選擇權近月!$N$2,$N6, 0,0)-GBSOption("P",指數型權證!$T$3,$J6,選擇權近月!$O$2,$N6, 0,0))*$Q6*50*-1</f>
        <v>0</v>
      </c>
      <c r="T6" s="36"/>
      <c r="U6" s="48">
        <f ca="1">(GBSOption("C",指數型權證!T$3,$J6,選擇權近月!$N$2,$H6,0, 0)-GBSOption("C",指數型權證!T$3,$J6,選擇權近月!$N$2,$H6+0.01,0, 0))*50*$C6</f>
        <v>0</v>
      </c>
      <c r="V6" s="48">
        <f ca="1">(GBSOption("P",指數型權證!T$3,$J6,選擇權近月!$N$2,$N6,0, 0)-GBSOption("P",指數型權證!T$3,$J6,選擇權近月!$N$2,$N6+0.01,0, 0))*50*$Q6</f>
        <v>0</v>
      </c>
      <c r="Y6" s="250"/>
      <c r="Z6" s="250"/>
      <c r="AA6" s="36">
        <v>0</v>
      </c>
      <c r="AB6" s="14">
        <v>0</v>
      </c>
      <c r="AC6" s="14">
        <v>0</v>
      </c>
      <c r="AD6" s="14">
        <v>0</v>
      </c>
      <c r="AE6" s="17">
        <v>2390</v>
      </c>
      <c r="AF6" s="17">
        <v>2630</v>
      </c>
      <c r="AG6" s="17" t="s">
        <v>1854</v>
      </c>
      <c r="AH6" s="19">
        <v>1.610321044921875E-4</v>
      </c>
      <c r="AI6" s="19">
        <v>0.58631336364746112</v>
      </c>
      <c r="AJ6" s="18">
        <v>9500</v>
      </c>
      <c r="AK6" s="17">
        <v>14</v>
      </c>
      <c r="AL6" s="17">
        <v>15</v>
      </c>
      <c r="AM6" s="17">
        <v>15</v>
      </c>
      <c r="AN6" s="19">
        <v>0.38380884094238288</v>
      </c>
      <c r="AO6" s="19">
        <v>0.38832521667480469</v>
      </c>
      <c r="AP6" s="14">
        <v>0</v>
      </c>
      <c r="AQ6" s="14">
        <v>0</v>
      </c>
      <c r="AR6" s="14">
        <v>0</v>
      </c>
      <c r="AS6" s="36">
        <v>0</v>
      </c>
      <c r="AT6" s="36"/>
      <c r="AU6" s="48">
        <v>0</v>
      </c>
      <c r="AV6" s="48">
        <v>0</v>
      </c>
    </row>
    <row r="7" spans="1:48" ht="17.25" thickBot="1" x14ac:dyDescent="0.3">
      <c r="A7" s="36">
        <f ca="1">(GBSOption("C",指數型權證!$T$2,$J7, 選擇權近月!$N$2,$H7, 0,0)-GBSOption("C",指數型權證!$T$2,$J7,選擇權近月!$O$2,$H7, 0,0))*$C7*50*-1</f>
        <v>0</v>
      </c>
      <c r="B7" s="14">
        <f ca="1">GBSGreeks("d", "C",指數型權證!$T$2,$J7,選擇權近月!$N$2,$H7, 0,0)*50*指數型權證!$T$2*$C7</f>
        <v>0</v>
      </c>
      <c r="C7" s="14">
        <f>SUMIFS(指數型權證!$AH$1:$AH$49,指數型權證!$AL$1:$AL$49,"8",指數型權證!$AJ$1:$AJ$49,$J7,指數型權證!$AM$1:$AM$49,"Call")</f>
        <v>0</v>
      </c>
      <c r="D7" s="14">
        <f ca="1">GBSGreeks("g", "C",指數型權證!$T$2,$J7,選擇權近月!$N$2,$H7, 0,0)*50*指數型權證!$T$2^2*1%*$C7*-1</f>
        <v>0</v>
      </c>
      <c r="E7" s="17">
        <v>2360</v>
      </c>
      <c r="F7" s="17">
        <v>2580</v>
      </c>
      <c r="G7" s="17" t="s">
        <v>1854</v>
      </c>
      <c r="H7" s="19">
        <v>1.610321044921875E-4</v>
      </c>
      <c r="I7" s="19">
        <v>0.57776886901855484</v>
      </c>
      <c r="J7" s="18">
        <v>9600</v>
      </c>
      <c r="K7" s="17">
        <v>12.5</v>
      </c>
      <c r="L7" s="17">
        <v>13</v>
      </c>
      <c r="M7" s="17">
        <v>12.5</v>
      </c>
      <c r="N7" s="19">
        <v>0.37575260314941411</v>
      </c>
      <c r="O7" s="19">
        <v>0.37807182312011722</v>
      </c>
      <c r="P7" s="14">
        <f ca="1">GBSGreeks("g", "P",指數型權證!$T$3,$J7,選擇權近月!$N$2,$N7, 0,0)*50*指數型權證!$T$3^2*1%*$Q7*-1</f>
        <v>0</v>
      </c>
      <c r="Q7" s="14">
        <f>SUMIFS(指數型權證!$AH$1:$AH$49,指數型權證!$AL$1:$AL$49,"8",指數型權證!$AJ$1:$AJ$49,$J7,指數型權證!$AM$1:$AM$49,"Put")</f>
        <v>0</v>
      </c>
      <c r="R7" s="14">
        <f ca="1">GBSGreeks("d", "P",指數型權證!$T$3,$J7,選擇權近月!$N$2,$N7, 0,0)*50*指數型權證!$T$3*$Q7</f>
        <v>0</v>
      </c>
      <c r="S7" s="36">
        <f ca="1">(GBSOption("P",指數型權證!$T$3,$J7, 選擇權近月!$N$2,$N7, 0,0)-GBSOption("P",指數型權證!$T$3,$J7,選擇權近月!$O$2,$N7, 0,0))*$Q7*50*-1</f>
        <v>0</v>
      </c>
      <c r="T7" s="36"/>
      <c r="U7" s="48">
        <f ca="1">(GBSOption("C",指數型權證!T$3,$J7,選擇權近月!$N$2,$H7,0, 0)-GBSOption("C",指數型權證!T$3,$J7,選擇權近月!$N$2,$H7+0.01,0, 0))*50*$C7</f>
        <v>0</v>
      </c>
      <c r="V7" s="48">
        <f ca="1">(GBSOption("P",指數型權證!T$3,$J7,選擇權近月!$N$2,$N7,0, 0)-GBSOption("P",指數型權證!T$3,$J7,選擇權近月!$N$2,$N7+0.01,0, 0))*50*$Q7</f>
        <v>0</v>
      </c>
      <c r="Y7" s="250"/>
      <c r="Z7" s="250"/>
      <c r="AA7" s="36">
        <v>0</v>
      </c>
      <c r="AB7" s="14">
        <v>0</v>
      </c>
      <c r="AC7" s="14">
        <v>0</v>
      </c>
      <c r="AD7" s="14">
        <v>0</v>
      </c>
      <c r="AE7" s="17">
        <v>2300</v>
      </c>
      <c r="AF7" s="17">
        <v>2530</v>
      </c>
      <c r="AG7" s="17" t="s">
        <v>1854</v>
      </c>
      <c r="AH7" s="19">
        <v>1.610321044921875E-4</v>
      </c>
      <c r="AI7" s="19">
        <v>0.56653896179199215</v>
      </c>
      <c r="AJ7" s="18">
        <v>9600</v>
      </c>
      <c r="AK7" s="17">
        <v>15</v>
      </c>
      <c r="AL7" s="17">
        <v>16</v>
      </c>
      <c r="AM7" s="17">
        <v>17</v>
      </c>
      <c r="AN7" s="19">
        <v>0.37367751159667972</v>
      </c>
      <c r="AO7" s="19">
        <v>0.3778276947021485</v>
      </c>
      <c r="AP7" s="14">
        <v>0</v>
      </c>
      <c r="AQ7" s="14">
        <v>0</v>
      </c>
      <c r="AR7" s="14">
        <v>0</v>
      </c>
      <c r="AS7" s="36">
        <v>0</v>
      </c>
      <c r="AT7" s="36"/>
      <c r="AU7" s="48">
        <v>0</v>
      </c>
      <c r="AV7" s="48">
        <v>0</v>
      </c>
    </row>
    <row r="8" spans="1:48" ht="17.25" thickBot="1" x14ac:dyDescent="0.3">
      <c r="A8" s="36">
        <f ca="1">(GBSOption("C",指數型權證!$T$2,$J8, 選擇權近月!$N$2,$H8, 0,0)-GBSOption("C",指數型權證!$T$2,$J8,選擇權近月!$O$2,$H8, 0,0))*$C8*50*-1</f>
        <v>0</v>
      </c>
      <c r="B8" s="14">
        <f ca="1">GBSGreeks("d", "C",指數型權證!$T$2,$J8,選擇權近月!$N$2,$H8, 0,0)*50*指數型權證!$T$2*$C8</f>
        <v>0</v>
      </c>
      <c r="C8" s="14">
        <f>SUMIFS(指數型權證!$AH$1:$AH$49,指數型權證!$AL$1:$AL$49,"8",指數型權證!$AJ$1:$AJ$49,$J8,指數型權證!$AM$1:$AM$49,"Call")</f>
        <v>0</v>
      </c>
      <c r="D8" s="14">
        <f ca="1">GBSGreeks("g", "C",指數型權證!$T$2,$J8,選擇權近月!$N$2,$H8, 0,0)*50*指數型權證!$T$2^2*1%*$C8*-1</f>
        <v>0</v>
      </c>
      <c r="E8" s="17">
        <v>2260</v>
      </c>
      <c r="F8" s="17">
        <v>2480</v>
      </c>
      <c r="G8" s="17" t="s">
        <v>1854</v>
      </c>
      <c r="H8" s="19">
        <v>1.610321044921875E-4</v>
      </c>
      <c r="I8" s="19">
        <v>0.55787240295410168</v>
      </c>
      <c r="J8" s="18">
        <v>9700</v>
      </c>
      <c r="K8" s="17">
        <v>13.5</v>
      </c>
      <c r="L8" s="17">
        <v>14.5</v>
      </c>
      <c r="M8" s="17">
        <v>14.5</v>
      </c>
      <c r="N8" s="19">
        <v>0.36586540222167974</v>
      </c>
      <c r="O8" s="19">
        <v>0.37025971374511724</v>
      </c>
      <c r="P8" s="14">
        <f ca="1">GBSGreeks("g", "P",指數型權證!$T$3,$J8,選擇權近月!$N$2,$N8, 0,0)*50*指數型權證!$T$3^2*1%*$Q8*-1</f>
        <v>0</v>
      </c>
      <c r="Q8" s="14">
        <f>SUMIFS(指數型權證!$AH$1:$AH$49,指數型權證!$AL$1:$AL$49,"8",指數型權證!$AJ$1:$AJ$49,$J8,指數型權證!$AM$1:$AM$49,"Put")</f>
        <v>0</v>
      </c>
      <c r="R8" s="14">
        <f ca="1">GBSGreeks("d", "P",指數型權證!$T$3,$J8,選擇權近月!$N$2,$N8, 0,0)*50*指數型權證!$T$3*$Q8</f>
        <v>0</v>
      </c>
      <c r="S8" s="36">
        <f ca="1">(GBSOption("P",指數型權證!$T$3,$J8, 選擇權近月!$N$2,$N8, 0,0)-GBSOption("P",指數型權證!$T$3,$J8,選擇權近月!$O$2,$N8, 0,0))*$Q8*50*-1</f>
        <v>0</v>
      </c>
      <c r="T8" s="36"/>
      <c r="U8" s="48">
        <f ca="1">(GBSOption("C",指數型權證!T$3,$J8,選擇權近月!$N$2,$H8,0, 0)-GBSOption("C",指數型權證!T$3,$J8,選擇權近月!$N$2,$H8+0.01,0, 0))*50*$C8</f>
        <v>0</v>
      </c>
      <c r="V8" s="48">
        <f ca="1">(GBSOption("P",指數型權證!T$3,$J8,選擇權近月!$N$2,$N8,0, 0)-GBSOption("P",指數型權證!T$3,$J8,選擇權近月!$N$2,$N8+0.01,0, 0))*50*$Q8</f>
        <v>0</v>
      </c>
      <c r="Y8" s="250"/>
      <c r="Z8" s="250"/>
      <c r="AA8" s="36">
        <v>0</v>
      </c>
      <c r="AB8" s="14">
        <v>0</v>
      </c>
      <c r="AC8" s="14">
        <v>0</v>
      </c>
      <c r="AD8" s="14">
        <v>0</v>
      </c>
      <c r="AE8" s="17">
        <v>2190</v>
      </c>
      <c r="AF8" s="17">
        <v>2430</v>
      </c>
      <c r="AG8" s="17" t="s">
        <v>1854</v>
      </c>
      <c r="AH8" s="19">
        <v>1.610321044921875E-4</v>
      </c>
      <c r="AI8" s="19">
        <v>0.54688662414550782</v>
      </c>
      <c r="AJ8" s="18">
        <v>9700</v>
      </c>
      <c r="AK8" s="17">
        <v>16.5</v>
      </c>
      <c r="AL8" s="17">
        <v>17.5</v>
      </c>
      <c r="AM8" s="17">
        <v>19</v>
      </c>
      <c r="AN8" s="19">
        <v>0.36501095275878909</v>
      </c>
      <c r="AO8" s="19">
        <v>0.36891700744628914</v>
      </c>
      <c r="AP8" s="14">
        <v>0</v>
      </c>
      <c r="AQ8" s="14">
        <v>0</v>
      </c>
      <c r="AR8" s="14">
        <v>0</v>
      </c>
      <c r="AS8" s="36">
        <v>0</v>
      </c>
      <c r="AT8" s="36"/>
      <c r="AU8" s="48">
        <v>0</v>
      </c>
      <c r="AV8" s="48">
        <v>0</v>
      </c>
    </row>
    <row r="9" spans="1:48" ht="17.25" thickBot="1" x14ac:dyDescent="0.3">
      <c r="A9" s="36">
        <f ca="1">(GBSOption("C",指數型權證!$T$2,$J9, 選擇權近月!$N$2,$H9, 0,0)-GBSOption("C",指數型權證!$T$2,$J9,選擇權近月!$O$2,$H9, 0,0))*$C9*50*-1</f>
        <v>0</v>
      </c>
      <c r="B9" s="14">
        <f ca="1">GBSGreeks("d", "C",指數型權證!$T$2,$J9,選擇權近月!$N$2,$H9, 0,0)*50*指數型權證!$T$2*$C9</f>
        <v>0</v>
      </c>
      <c r="C9" s="14">
        <f>SUMIFS(指數型權證!$AH$1:$AH$49,指數型權證!$AL$1:$AL$49,"8",指數型權證!$AJ$1:$AJ$49,$J9,指數型權證!$AM$1:$AM$49,"Call")</f>
        <v>0</v>
      </c>
      <c r="D9" s="14">
        <f ca="1">GBSGreeks("g", "C",指數型權證!$T$2,$J9,選擇權近月!$N$2,$H9, 0,0)*50*指數型權證!$T$2^2*1%*$C9*-1</f>
        <v>0</v>
      </c>
      <c r="E9" s="17">
        <v>2290</v>
      </c>
      <c r="F9" s="17">
        <v>2390</v>
      </c>
      <c r="G9" s="17">
        <v>2290</v>
      </c>
      <c r="H9" s="19">
        <v>0.30971586608886714</v>
      </c>
      <c r="I9" s="19">
        <v>0.55360015563964848</v>
      </c>
      <c r="J9" s="18">
        <v>9800</v>
      </c>
      <c r="K9" s="17">
        <v>15</v>
      </c>
      <c r="L9" s="17">
        <v>16</v>
      </c>
      <c r="M9" s="17">
        <v>15</v>
      </c>
      <c r="N9" s="19">
        <v>0.35768710021972661</v>
      </c>
      <c r="O9" s="19">
        <v>0.36171521911621102</v>
      </c>
      <c r="P9" s="14">
        <f ca="1">GBSGreeks("g", "P",指數型權證!$T$3,$J9,選擇權近月!$N$2,$N9, 0,0)*50*指數型權證!$T$3^2*1%*$Q9*-1</f>
        <v>0</v>
      </c>
      <c r="Q9" s="14">
        <f>SUMIFS(指數型權證!$AH$1:$AH$49,指數型權證!$AL$1:$AL$49,"8",指數型權證!$AJ$1:$AJ$49,$J9,指數型權證!$AM$1:$AM$49,"Put")</f>
        <v>0</v>
      </c>
      <c r="R9" s="14">
        <f ca="1">GBSGreeks("d", "P",指數型權證!$T$3,$J9,選擇權近月!$N$2,$N9, 0,0)*50*指數型權證!$T$3*$Q9</f>
        <v>0</v>
      </c>
      <c r="S9" s="36">
        <f ca="1">(GBSOption("P",指數型權證!$T$3,$J9, 選擇權近月!$N$2,$N9, 0,0)-GBSOption("P",指數型權證!$T$3,$J9,選擇權近月!$O$2,$N9, 0,0))*$Q9*50*-1</f>
        <v>0</v>
      </c>
      <c r="T9" s="36"/>
      <c r="U9" s="48">
        <f ca="1">(GBSOption("C",指數型權證!T$3,$J9,選擇權近月!$N$2,$H9,0, 0)-GBSOption("C",指數型權證!T$3,$J9,選擇權近月!$N$2,$H9+0.01,0, 0))*50*$C9</f>
        <v>0</v>
      </c>
      <c r="V9" s="48">
        <f ca="1">(GBSOption("P",指數型權證!T$3,$J9,選擇權近月!$N$2,$N9,0, 0)-GBSOption("P",指數型權證!T$3,$J9,選擇權近月!$N$2,$N9+0.01,0, 0))*50*$Q9</f>
        <v>0</v>
      </c>
      <c r="Y9" s="250"/>
      <c r="Z9" s="250"/>
      <c r="AA9" s="36">
        <v>0</v>
      </c>
      <c r="AB9" s="14">
        <v>0</v>
      </c>
      <c r="AC9" s="14">
        <v>0</v>
      </c>
      <c r="AD9" s="14">
        <v>0</v>
      </c>
      <c r="AE9" s="17">
        <v>2100</v>
      </c>
      <c r="AF9" s="17">
        <v>2340</v>
      </c>
      <c r="AG9" s="17" t="s">
        <v>1854</v>
      </c>
      <c r="AH9" s="19">
        <v>1.610321044921875E-4</v>
      </c>
      <c r="AI9" s="19">
        <v>0.54200405578613275</v>
      </c>
      <c r="AJ9" s="18">
        <v>9800</v>
      </c>
      <c r="AK9" s="17">
        <v>18.5</v>
      </c>
      <c r="AL9" s="17">
        <v>19.5</v>
      </c>
      <c r="AM9" s="17">
        <v>18.5</v>
      </c>
      <c r="AN9" s="19">
        <v>0.35768710021972661</v>
      </c>
      <c r="AO9" s="19">
        <v>0.36110489807128915</v>
      </c>
      <c r="AP9" s="14">
        <v>0</v>
      </c>
      <c r="AQ9" s="14">
        <v>0</v>
      </c>
      <c r="AR9" s="14">
        <v>0</v>
      </c>
      <c r="AS9" s="36">
        <v>0</v>
      </c>
      <c r="AT9" s="36"/>
      <c r="AU9" s="48">
        <v>0</v>
      </c>
      <c r="AV9" s="48">
        <v>0</v>
      </c>
    </row>
    <row r="10" spans="1:48" ht="17.25" thickBot="1" x14ac:dyDescent="0.3">
      <c r="A10" s="36">
        <f ca="1">(GBSOption("C",指數型權證!$T$2,$J10, 選擇權近月!$N$2,$H10, 0,0)-GBSOption("C",指數型權證!$T$2,$J10,選擇權近月!$O$2,$H10, 0,0))*$C10*50*-1</f>
        <v>0</v>
      </c>
      <c r="B10" s="14">
        <f ca="1">GBSGreeks("d", "C",指數型權證!$T$2,$J10,選擇權近月!$N$2,$H10, 0,0)*50*指數型權證!$T$2*$C10</f>
        <v>0</v>
      </c>
      <c r="C10" s="14">
        <f>SUMIFS(指數型權證!$AH$1:$AH$49,指數型權證!$AL$1:$AL$49,"8",指數型權證!$AJ$1:$AJ$49,$J10,指數型權證!$AM$1:$AM$49,"Call")</f>
        <v>0</v>
      </c>
      <c r="D10" s="14">
        <f ca="1">GBSGreeks("g", "C",指數型權證!$T$2,$J10,選擇權近月!$N$2,$H10, 0,0)*50*指數型權證!$T$2^2*1%*$C10*-1</f>
        <v>0</v>
      </c>
      <c r="E10" s="17">
        <v>2070</v>
      </c>
      <c r="F10" s="17">
        <v>2290</v>
      </c>
      <c r="G10" s="17" t="s">
        <v>1854</v>
      </c>
      <c r="H10" s="19">
        <v>1.610321044921875E-4</v>
      </c>
      <c r="I10" s="19">
        <v>0.5335816253662109</v>
      </c>
      <c r="J10" s="18">
        <v>9900</v>
      </c>
      <c r="K10" s="17">
        <v>16.5</v>
      </c>
      <c r="L10" s="17">
        <v>17.5</v>
      </c>
      <c r="M10" s="17">
        <v>18</v>
      </c>
      <c r="N10" s="19">
        <v>0.34877641296386719</v>
      </c>
      <c r="O10" s="19">
        <v>0.35243833923339851</v>
      </c>
      <c r="P10" s="14">
        <f ca="1">GBSGreeks("g", "P",指數型權證!$T$3,$J10,選擇權近月!$N$2,$N10, 0,0)*50*指數型權證!$T$3^2*1%*$Q10*-1</f>
        <v>0</v>
      </c>
      <c r="Q10" s="14">
        <f>SUMIFS(指數型權證!$AH$1:$AH$49,指數型權證!$AL$1:$AL$49,"8",指數型權證!$AJ$1:$AJ$49,$J10,指數型權證!$AM$1:$AM$49,"Put")</f>
        <v>0</v>
      </c>
      <c r="R10" s="14">
        <f ca="1">GBSGreeks("d", "P",指數型權證!$T$3,$J10,選擇權近月!$N$2,$N10, 0,0)*50*指數型權證!$T$3*$Q10</f>
        <v>0</v>
      </c>
      <c r="S10" s="36">
        <f ca="1">(GBSOption("P",指數型權證!$T$3,$J10, 選擇權近月!$N$2,$N10, 0,0)-GBSOption("P",指數型權證!$T$3,$J10,選擇權近月!$O$2,$N10, 0,0))*$Q10*50*-1</f>
        <v>0</v>
      </c>
      <c r="T10" s="36"/>
      <c r="U10" s="48">
        <f ca="1">(GBSOption("C",指數型權證!T$3,$J10,選擇權近月!$N$2,$H10,0, 0)-GBSOption("C",指數型權證!T$3,$J10,選擇權近月!$N$2,$H10+0.01,0, 0))*50*$C10</f>
        <v>0</v>
      </c>
      <c r="V10" s="48">
        <f ca="1">(GBSOption("P",指數型權證!T$3,$J10,選擇權近月!$N$2,$N10,0, 0)-GBSOption("P",指數型權證!T$3,$J10,選擇權近月!$N$2,$N10+0.01,0, 0))*50*$Q10</f>
        <v>0</v>
      </c>
      <c r="Y10" s="250"/>
      <c r="Z10" s="250"/>
      <c r="AA10" s="36">
        <v>0</v>
      </c>
      <c r="AB10" s="14">
        <v>0</v>
      </c>
      <c r="AC10" s="14">
        <v>0</v>
      </c>
      <c r="AD10" s="14">
        <v>0</v>
      </c>
      <c r="AE10" s="17">
        <v>2000</v>
      </c>
      <c r="AF10" s="17">
        <v>2240</v>
      </c>
      <c r="AG10" s="17" t="s">
        <v>1854</v>
      </c>
      <c r="AH10" s="19">
        <v>1.610321044921875E-4</v>
      </c>
      <c r="AI10" s="19">
        <v>0.52222965393066412</v>
      </c>
      <c r="AJ10" s="18">
        <v>9900</v>
      </c>
      <c r="AK10" s="17">
        <v>20</v>
      </c>
      <c r="AL10" s="17">
        <v>21.5</v>
      </c>
      <c r="AM10" s="17">
        <v>21.5</v>
      </c>
      <c r="AN10" s="19">
        <v>0.34779989929199218</v>
      </c>
      <c r="AO10" s="19">
        <v>0.35256040344238293</v>
      </c>
      <c r="AP10" s="14">
        <v>0</v>
      </c>
      <c r="AQ10" s="14">
        <v>0</v>
      </c>
      <c r="AR10" s="14">
        <v>0</v>
      </c>
      <c r="AS10" s="36">
        <v>0</v>
      </c>
      <c r="AT10" s="36"/>
      <c r="AU10" s="48">
        <v>0</v>
      </c>
      <c r="AV10" s="48">
        <v>0</v>
      </c>
    </row>
    <row r="11" spans="1:48" ht="17.25" thickBot="1" x14ac:dyDescent="0.3">
      <c r="A11" s="36">
        <f ca="1">(GBSOption("C",指數型權證!$T$2,$J11, 選擇權近月!$N$2,$H11, 0,0)-GBSOption("C",指數型權證!$T$2,$J11,選擇權近月!$O$2,$H11, 0,0))*$C11*50*-1</f>
        <v>0</v>
      </c>
      <c r="B11" s="14">
        <f ca="1">GBSGreeks("d", "C",指數型權證!$T$2,$J11,選擇權近月!$N$2,$H11, 0,0)*50*指數型權證!$T$2*$C11</f>
        <v>0</v>
      </c>
      <c r="C11" s="14">
        <f>SUMIFS(指數型權證!$AH$1:$AH$49,指數型權證!$AL$1:$AL$49,"8",指數型權證!$AJ$1:$AJ$49,$J11,指數型權證!$AM$1:$AM$49,"Call")</f>
        <v>0</v>
      </c>
      <c r="D11" s="14">
        <f ca="1">GBSGreeks("g", "C",指數型權證!$T$2,$J11,選擇權近月!$N$2,$H11, 0,0)*50*指數型權證!$T$2^2*1%*$C11*-1</f>
        <v>0</v>
      </c>
      <c r="E11" s="17">
        <v>1970</v>
      </c>
      <c r="F11" s="17">
        <v>2190</v>
      </c>
      <c r="G11" s="17" t="s">
        <v>1854</v>
      </c>
      <c r="H11" s="19">
        <v>1.610321044921875E-4</v>
      </c>
      <c r="I11" s="19">
        <v>0.51368515930175784</v>
      </c>
      <c r="J11" s="18">
        <v>10000</v>
      </c>
      <c r="K11" s="17">
        <v>19</v>
      </c>
      <c r="L11" s="17">
        <v>19.5</v>
      </c>
      <c r="M11" s="17">
        <v>19</v>
      </c>
      <c r="N11" s="19">
        <v>0.34279526672363292</v>
      </c>
      <c r="O11" s="19">
        <v>0.34438210144042969</v>
      </c>
      <c r="P11" s="14">
        <f ca="1">GBSGreeks("g", "P",指數型權證!$T$3,$J11,選擇權近月!$N$2,$N11, 0,0)*50*指數型權證!$T$3^2*1%*$Q11*-1</f>
        <v>0</v>
      </c>
      <c r="Q11" s="14">
        <f>SUMIFS(指數型權證!$AH$1:$AH$49,指數型權證!$AL$1:$AL$49,"8",指數型權證!$AJ$1:$AJ$49,$J11,指數型權證!$AM$1:$AM$49,"Put")</f>
        <v>0</v>
      </c>
      <c r="R11" s="14">
        <f ca="1">GBSGreeks("d", "P",指數型權證!$T$3,$J11,選擇權近月!$N$2,$N11, 0,0)*50*指數型權證!$T$3*$Q11</f>
        <v>0</v>
      </c>
      <c r="S11" s="36">
        <f ca="1">(GBSOption("P",指數型權證!$T$3,$J11, 選擇權近月!$N$2,$N11, 0,0)-GBSOption("P",指數型權證!$T$3,$J11,選擇權近月!$O$2,$N11, 0,0))*$Q11*50*-1</f>
        <v>0</v>
      </c>
      <c r="T11" s="36"/>
      <c r="U11" s="48">
        <f ca="1">(GBSOption("C",指數型權證!T$3,$J11,選擇權近月!$N$2,$H11,0, 0)-GBSOption("C",指數型權證!T$3,$J11,選擇權近月!$N$2,$H11+0.01,0, 0))*50*$C11</f>
        <v>0</v>
      </c>
      <c r="V11" s="48">
        <f ca="1">(GBSOption("P",指數型權證!T$3,$J11,選擇權近月!$N$2,$N11,0, 0)-GBSOption("P",指數型權證!T$3,$J11,選擇權近月!$N$2,$N11+0.01,0, 0))*50*$Q11</f>
        <v>0</v>
      </c>
      <c r="Y11" s="250"/>
      <c r="Z11" s="250"/>
      <c r="AA11" s="36">
        <v>0</v>
      </c>
      <c r="AB11" s="14">
        <v>0</v>
      </c>
      <c r="AC11" s="14">
        <v>0</v>
      </c>
      <c r="AD11" s="14">
        <v>0</v>
      </c>
      <c r="AE11" s="17">
        <v>1900</v>
      </c>
      <c r="AF11" s="17">
        <v>2140</v>
      </c>
      <c r="AG11" s="17" t="s">
        <v>1854</v>
      </c>
      <c r="AH11" s="19">
        <v>1.610321044921875E-4</v>
      </c>
      <c r="AI11" s="19">
        <v>0.50245525207519537</v>
      </c>
      <c r="AJ11" s="18">
        <v>10000</v>
      </c>
      <c r="AK11" s="17">
        <v>23</v>
      </c>
      <c r="AL11" s="17">
        <v>23.5</v>
      </c>
      <c r="AM11" s="17">
        <v>23</v>
      </c>
      <c r="AN11" s="19">
        <v>0.34194081726074221</v>
      </c>
      <c r="AO11" s="19">
        <v>0.34340558776855468</v>
      </c>
      <c r="AP11" s="14">
        <v>0</v>
      </c>
      <c r="AQ11" s="14">
        <v>0</v>
      </c>
      <c r="AR11" s="14">
        <v>0</v>
      </c>
      <c r="AS11" s="36">
        <v>0</v>
      </c>
      <c r="AT11" s="36"/>
      <c r="AU11" s="48">
        <v>0</v>
      </c>
      <c r="AV11" s="48">
        <v>0</v>
      </c>
    </row>
    <row r="12" spans="1:48" ht="17.25" thickBot="1" x14ac:dyDescent="0.3">
      <c r="A12" s="36">
        <f ca="1">(GBSOption("C",指數型權證!$T$2,$J12, 選擇權近月!$N$2,$H12, 0,0)-GBSOption("C",指數型權證!$T$2,$J12,選擇權近月!$O$2,$H12, 0,0))*$C12*50*-1</f>
        <v>0</v>
      </c>
      <c r="B12" s="14">
        <f ca="1">GBSGreeks("d", "C",指數型權證!$T$2,$J12,選擇權近月!$N$2,$H12, 0,0)*50*指數型權證!$T$2*$C12</f>
        <v>0</v>
      </c>
      <c r="C12" s="14">
        <f>SUMIFS(指數型權證!$AH$1:$AH$49,指數型權證!$AL$1:$AL$49,"8",指數型權證!$AJ$1:$AJ$49,$J12,指數型權證!$AM$1:$AM$49,"Call")</f>
        <v>0</v>
      </c>
      <c r="D12" s="14">
        <f ca="1">GBSGreeks("g", "C",指數型權證!$T$2,$J12,選擇權近月!$N$2,$H12, 0,0)*50*指數型權證!$T$2^2*1%*$C12*-1</f>
        <v>0</v>
      </c>
      <c r="E12" s="17">
        <v>1870</v>
      </c>
      <c r="F12" s="17">
        <v>2090</v>
      </c>
      <c r="G12" s="17" t="s">
        <v>1854</v>
      </c>
      <c r="H12" s="19">
        <v>1.610321044921875E-4</v>
      </c>
      <c r="I12" s="19">
        <v>0.49378869323730479</v>
      </c>
      <c r="J12" s="18">
        <v>10100</v>
      </c>
      <c r="K12" s="17">
        <v>21</v>
      </c>
      <c r="L12" s="17">
        <v>21.5</v>
      </c>
      <c r="M12" s="17">
        <v>22</v>
      </c>
      <c r="N12" s="19">
        <v>0.33400664367675781</v>
      </c>
      <c r="O12" s="19">
        <v>0.33559347839355469</v>
      </c>
      <c r="P12" s="14">
        <f ca="1">GBSGreeks("g", "P",指數型權證!$T$3,$J12,選擇權近月!$N$2,$N12, 0,0)*50*指數型權證!$T$3^2*1%*$Q12*-1</f>
        <v>0</v>
      </c>
      <c r="Q12" s="14">
        <f>SUMIFS(指數型權證!$AH$1:$AH$49,指數型權證!$AL$1:$AL$49,"8",指數型權證!$AJ$1:$AJ$49,$J12,指數型權證!$AM$1:$AM$49,"Put")</f>
        <v>0</v>
      </c>
      <c r="R12" s="14">
        <f ca="1">GBSGreeks("d", "P",指數型權證!$T$3,$J12,選擇權近月!$N$2,$N12, 0,0)*50*指數型權證!$T$3*$Q12</f>
        <v>0</v>
      </c>
      <c r="S12" s="36">
        <f ca="1">(GBSOption("P",指數型權證!$T$3,$J12, 選擇權近月!$N$2,$N12, 0,0)-GBSOption("P",指數型權證!$T$3,$J12,選擇權近月!$O$2,$N12, 0,0))*$Q12*50*-1</f>
        <v>0</v>
      </c>
      <c r="T12" s="36"/>
      <c r="U12" s="48">
        <f ca="1">(GBSOption("C",指數型權證!T$3,$J12,選擇權近月!$N$2,$H12,0, 0)-GBSOption("C",指數型權證!T$3,$J12,選擇權近月!$N$2,$H12+0.01,0, 0))*50*$C12</f>
        <v>0</v>
      </c>
      <c r="V12" s="48">
        <f ca="1">(GBSOption("P",指數型權證!T$3,$J12,選擇權近月!$N$2,$N12,0, 0)-GBSOption("P",指數型權證!T$3,$J12,選擇權近月!$N$2,$N12+0.01,0, 0))*50*$Q12</f>
        <v>0</v>
      </c>
      <c r="Y12" s="250"/>
      <c r="Z12" s="250"/>
      <c r="AA12" s="36">
        <v>0</v>
      </c>
      <c r="AB12" s="14">
        <v>0</v>
      </c>
      <c r="AC12" s="14">
        <v>0</v>
      </c>
      <c r="AD12" s="14">
        <v>0</v>
      </c>
      <c r="AE12" s="17">
        <v>1800</v>
      </c>
      <c r="AF12" s="17">
        <v>2040</v>
      </c>
      <c r="AG12" s="17" t="s">
        <v>1854</v>
      </c>
      <c r="AH12" s="19">
        <v>1.610321044921875E-4</v>
      </c>
      <c r="AI12" s="19">
        <v>0.48268085021972662</v>
      </c>
      <c r="AJ12" s="18">
        <v>10100</v>
      </c>
      <c r="AK12" s="17">
        <v>25.5</v>
      </c>
      <c r="AL12" s="17">
        <v>26</v>
      </c>
      <c r="AM12" s="17">
        <v>26</v>
      </c>
      <c r="AN12" s="19">
        <v>0.33364045104980466</v>
      </c>
      <c r="AO12" s="19">
        <v>0.33498315734863282</v>
      </c>
      <c r="AP12" s="14">
        <v>0</v>
      </c>
      <c r="AQ12" s="14">
        <v>0</v>
      </c>
      <c r="AR12" s="14">
        <v>0</v>
      </c>
      <c r="AS12" s="36">
        <v>0</v>
      </c>
      <c r="AT12" s="36"/>
      <c r="AU12" s="48">
        <v>0</v>
      </c>
      <c r="AV12" s="48">
        <v>0</v>
      </c>
    </row>
    <row r="13" spans="1:48" ht="17.25" thickBot="1" x14ac:dyDescent="0.3">
      <c r="A13" s="36">
        <f ca="1">(GBSOption("C",指數型權證!$T$2,$J13, 選擇權近月!$N$2,$H13, 0,0)-GBSOption("C",指數型權證!$T$2,$J13,選擇權近月!$O$2,$H13, 0,0))*$C13*50*-1</f>
        <v>0</v>
      </c>
      <c r="B13" s="14">
        <f ca="1">GBSGreeks("d", "C",指數型權證!$T$2,$J13,選擇權近月!$N$2,$H13, 0,0)*50*指數型權證!$T$2*$C13</f>
        <v>0</v>
      </c>
      <c r="C13" s="14">
        <f>SUMIFS(指數型權證!$AH$1:$AH$49,指數型權證!$AL$1:$AL$49,"8",指數型權證!$AJ$1:$AJ$49,$J13,指數型權證!$AM$1:$AM$49,"Call")</f>
        <v>0</v>
      </c>
      <c r="D13" s="14">
        <f ca="1">GBSGreeks("g", "C",指數型權證!$T$2,$J13,選擇權近月!$N$2,$H13, 0,0)*50*指數型權證!$T$2^2*1%*$C13*-1</f>
        <v>0</v>
      </c>
      <c r="E13" s="17">
        <v>1770</v>
      </c>
      <c r="F13" s="17">
        <v>1910</v>
      </c>
      <c r="G13" s="17" t="s">
        <v>1854</v>
      </c>
      <c r="H13" s="19">
        <v>1.610321044921875E-4</v>
      </c>
      <c r="I13" s="19">
        <v>0.33290806579589838</v>
      </c>
      <c r="J13" s="18">
        <v>10200</v>
      </c>
      <c r="K13" s="17">
        <v>23</v>
      </c>
      <c r="L13" s="17">
        <v>24</v>
      </c>
      <c r="M13" s="17">
        <v>24</v>
      </c>
      <c r="N13" s="19">
        <v>0.32472976379394536</v>
      </c>
      <c r="O13" s="19">
        <v>0.32753724060058592</v>
      </c>
      <c r="P13" s="14">
        <f ca="1">GBSGreeks("g", "P",指數型權證!$T$3,$J13,選擇權近月!$N$2,$N13, 0,0)*50*指數型權證!$T$3^2*1%*$Q13*-1</f>
        <v>0</v>
      </c>
      <c r="Q13" s="14">
        <f>SUMIFS(指數型權證!$AH$1:$AH$49,指數型權證!$AL$1:$AL$49,"8",指數型權證!$AJ$1:$AJ$49,$J13,指數型權證!$AM$1:$AM$49,"Put")</f>
        <v>0</v>
      </c>
      <c r="R13" s="14">
        <f ca="1">GBSGreeks("d", "P",指數型權證!$T$3,$J13,選擇權近月!$N$2,$N13, 0,0)*50*指數型權證!$T$3*$Q13</f>
        <v>0</v>
      </c>
      <c r="S13" s="36">
        <f ca="1">(GBSOption("P",指數型權證!$T$3,$J13, 選擇權近月!$N$2,$N13, 0,0)-GBSOption("P",指數型權證!$T$3,$J13,選擇權近月!$O$2,$N13, 0,0))*$Q13*50*-1</f>
        <v>0</v>
      </c>
      <c r="T13" s="36"/>
      <c r="U13" s="48">
        <f ca="1">(GBSOption("C",指數型權證!T$3,$J13,選擇權近月!$N$2,$H13,0, 0)-GBSOption("C",指數型權證!T$3,$J13,選擇權近月!$N$2,$H13+0.01,0, 0))*50*$C13</f>
        <v>0</v>
      </c>
      <c r="V13" s="48">
        <f ca="1">(GBSOption("P",指數型權證!T$3,$J13,選擇權近月!$N$2,$N13,0, 0)-GBSOption("P",指數型權證!T$3,$J13,選擇權近月!$N$2,$N13+0.01,0, 0))*50*$Q13</f>
        <v>0</v>
      </c>
      <c r="Y13" s="250"/>
      <c r="Z13" s="250"/>
      <c r="AA13" s="36">
        <v>0</v>
      </c>
      <c r="AB13" s="14">
        <v>0</v>
      </c>
      <c r="AC13" s="14">
        <v>0</v>
      </c>
      <c r="AD13" s="14">
        <v>0</v>
      </c>
      <c r="AE13" s="17">
        <v>1700</v>
      </c>
      <c r="AF13" s="17">
        <v>1940</v>
      </c>
      <c r="AG13" s="17" t="s">
        <v>1854</v>
      </c>
      <c r="AH13" s="19">
        <v>1.610321044921875E-4</v>
      </c>
      <c r="AI13" s="19">
        <v>0.46302851257324218</v>
      </c>
      <c r="AJ13" s="18">
        <v>10200</v>
      </c>
      <c r="AK13" s="17">
        <v>27.5</v>
      </c>
      <c r="AL13" s="17">
        <v>29</v>
      </c>
      <c r="AM13" s="17">
        <v>28</v>
      </c>
      <c r="AN13" s="19">
        <v>0.3233870574951172</v>
      </c>
      <c r="AO13" s="19">
        <v>0.32704898376464842</v>
      </c>
      <c r="AP13" s="14">
        <v>0</v>
      </c>
      <c r="AQ13" s="14">
        <v>0</v>
      </c>
      <c r="AR13" s="14">
        <v>0</v>
      </c>
      <c r="AS13" s="36">
        <v>0</v>
      </c>
      <c r="AT13" s="36"/>
      <c r="AU13" s="48">
        <v>0</v>
      </c>
      <c r="AV13" s="48">
        <v>0</v>
      </c>
    </row>
    <row r="14" spans="1:48" ht="17.25" thickBot="1" x14ac:dyDescent="0.3">
      <c r="A14" s="36">
        <f ca="1">(GBSOption("C",指數型權證!$T$2,$J14, 選擇權近月!$N$2,$H14, 0,0)-GBSOption("C",指數型權證!$T$2,$J14,選擇權近月!$O$2,$H14, 0,0))*$C14*50*-1</f>
        <v>0</v>
      </c>
      <c r="B14" s="14">
        <f ca="1">GBSGreeks("d", "C",指數型權證!$T$2,$J14,選擇權近月!$N$2,$H14, 0,0)*50*指數型權證!$T$2*$C14</f>
        <v>0</v>
      </c>
      <c r="C14" s="14">
        <f>SUMIFS(指數型權證!$AH$1:$AH$49,指數型權證!$AL$1:$AL$49,"8",指數型權證!$AJ$1:$AJ$49,$J14,指數型權證!$AM$1:$AM$49,"Call")</f>
        <v>0</v>
      </c>
      <c r="D14" s="14">
        <f ca="1">GBSGreeks("g", "C",指數型權證!$T$2,$J14,選擇權近月!$N$2,$H14, 0,0)*50*指數型權證!$T$2^2*1%*$C14*-1</f>
        <v>0</v>
      </c>
      <c r="E14" s="17">
        <v>1680</v>
      </c>
      <c r="F14" s="17">
        <v>1900</v>
      </c>
      <c r="G14" s="17">
        <v>1800</v>
      </c>
      <c r="H14" s="19">
        <v>1.610321044921875E-4</v>
      </c>
      <c r="I14" s="19">
        <v>0.46730075988769537</v>
      </c>
      <c r="J14" s="18">
        <v>10300</v>
      </c>
      <c r="K14" s="17">
        <v>26</v>
      </c>
      <c r="L14" s="17">
        <v>27</v>
      </c>
      <c r="M14" s="17">
        <v>26.5</v>
      </c>
      <c r="N14" s="19">
        <v>0.3172838470458984</v>
      </c>
      <c r="O14" s="19">
        <v>0.3198471954345703</v>
      </c>
      <c r="P14" s="14">
        <f ca="1">GBSGreeks("g", "P",指數型權證!$T$3,$J14,選擇權近月!$N$2,$N14, 0,0)*50*指數型權證!$T$3^2*1%*$Q14*-1</f>
        <v>0</v>
      </c>
      <c r="Q14" s="14">
        <f>SUMIFS(指數型權證!$AH$1:$AH$49,指數型權證!$AL$1:$AL$49,"8",指數型權證!$AJ$1:$AJ$49,$J14,指數型權證!$AM$1:$AM$49,"Put")</f>
        <v>0</v>
      </c>
      <c r="R14" s="14">
        <f ca="1">GBSGreeks("d", "P",指數型權證!$T$3,$J14,選擇權近月!$N$2,$N14, 0,0)*50*指數型權證!$T$3*$Q14</f>
        <v>0</v>
      </c>
      <c r="S14" s="36">
        <f ca="1">(GBSOption("P",指數型權證!$T$3,$J14, 選擇權近月!$N$2,$N14, 0,0)-GBSOption("P",指數型權證!$T$3,$J14,選擇權近月!$O$2,$N14, 0,0))*$Q14*50*-1</f>
        <v>0</v>
      </c>
      <c r="T14" s="36"/>
      <c r="U14" s="48">
        <f ca="1">(GBSOption("C",指數型權證!T$3,$J14,選擇權近月!$N$2,$H14,0, 0)-GBSOption("C",指數型權證!T$3,$J14,選擇權近月!$N$2,$H14+0.01,0, 0))*50*$C14</f>
        <v>0</v>
      </c>
      <c r="V14" s="48">
        <f ca="1">(GBSOption("P",指數型權證!T$3,$J14,選擇權近月!$N$2,$N14,0, 0)-GBSOption("P",指數型權證!T$3,$J14,選擇權近月!$N$2,$N14+0.01,0, 0))*50*$Q14</f>
        <v>0</v>
      </c>
      <c r="Y14" s="250"/>
      <c r="Z14" s="250"/>
      <c r="AA14" s="36">
        <v>0</v>
      </c>
      <c r="AB14" s="14">
        <v>0</v>
      </c>
      <c r="AC14" s="14">
        <v>0</v>
      </c>
      <c r="AD14" s="14">
        <v>0</v>
      </c>
      <c r="AE14" s="17">
        <v>1610</v>
      </c>
      <c r="AF14" s="17">
        <v>1840</v>
      </c>
      <c r="AG14" s="17" t="s">
        <v>1854</v>
      </c>
      <c r="AH14" s="19">
        <v>1.610321044921875E-4</v>
      </c>
      <c r="AI14" s="19">
        <v>0.44337617492675785</v>
      </c>
      <c r="AJ14" s="18">
        <v>10300</v>
      </c>
      <c r="AK14" s="17">
        <v>31</v>
      </c>
      <c r="AL14" s="17">
        <v>32</v>
      </c>
      <c r="AM14" s="17">
        <v>32</v>
      </c>
      <c r="AN14" s="19">
        <v>0.31606320495605467</v>
      </c>
      <c r="AO14" s="19">
        <v>0.31826036071777342</v>
      </c>
      <c r="AP14" s="14">
        <v>0</v>
      </c>
      <c r="AQ14" s="14">
        <v>0</v>
      </c>
      <c r="AR14" s="14">
        <v>0</v>
      </c>
      <c r="AS14" s="36">
        <v>0</v>
      </c>
      <c r="AT14" s="36"/>
      <c r="AU14" s="48">
        <v>0</v>
      </c>
      <c r="AV14" s="48">
        <v>0</v>
      </c>
    </row>
    <row r="15" spans="1:48" ht="17.25" thickBot="1" x14ac:dyDescent="0.3">
      <c r="A15" s="36">
        <f ca="1">(GBSOption("C",指數型權證!$T$2,$J15, 選擇權近月!$N$2,$H15, 0,0)-GBSOption("C",指數型權證!$T$2,$J15,選擇權近月!$O$2,$H15, 0,0))*$C15*50*-1</f>
        <v>0</v>
      </c>
      <c r="B15" s="14">
        <f ca="1">GBSGreeks("d", "C",指數型權證!$T$2,$J15,選擇權近月!$N$2,$H15, 0,0)*50*指數型權證!$T$2*$C15</f>
        <v>0</v>
      </c>
      <c r="C15" s="14">
        <f>SUMIFS(指數型權證!$AH$1:$AH$49,指數型權證!$AL$1:$AL$49,"8",指數型權證!$AJ$1:$AJ$49,$J15,指數型權證!$AM$1:$AM$49,"Call")</f>
        <v>0</v>
      </c>
      <c r="D15" s="14">
        <f ca="1">GBSGreeks("g", "C",指數型權證!$T$2,$J15,選擇權近月!$N$2,$H15, 0,0)*50*指數型權證!$T$2^2*1%*$C15*-1</f>
        <v>0</v>
      </c>
      <c r="E15" s="17">
        <v>1580</v>
      </c>
      <c r="F15" s="17">
        <v>1790</v>
      </c>
      <c r="G15" s="17">
        <v>1690</v>
      </c>
      <c r="H15" s="19">
        <v>1.610321044921875E-4</v>
      </c>
      <c r="I15" s="19">
        <v>0.43458755187988285</v>
      </c>
      <c r="J15" s="18">
        <v>10400</v>
      </c>
      <c r="K15" s="17">
        <v>30</v>
      </c>
      <c r="L15" s="17">
        <v>30.5</v>
      </c>
      <c r="M15" s="17">
        <v>30</v>
      </c>
      <c r="N15" s="19">
        <v>0.31130270080566408</v>
      </c>
      <c r="O15" s="19">
        <v>0.31240127868652345</v>
      </c>
      <c r="P15" s="14">
        <f ca="1">GBSGreeks("g", "P",指數型權證!$T$3,$J15,選擇權近月!$N$2,$N15, 0,0)*50*指數型權證!$T$3^2*1%*$Q15*-1</f>
        <v>0</v>
      </c>
      <c r="Q15" s="14">
        <f>SUMIFS(指數型權證!$AH$1:$AH$49,指數型權證!$AL$1:$AL$49,"8",指數型權證!$AJ$1:$AJ$49,$J15,指數型權證!$AM$1:$AM$49,"Put")</f>
        <v>0</v>
      </c>
      <c r="R15" s="14">
        <f ca="1">GBSGreeks("d", "P",指數型權證!$T$3,$J15,選擇權近月!$N$2,$N15, 0,0)*50*指數型權證!$T$3*$Q15</f>
        <v>0</v>
      </c>
      <c r="S15" s="36">
        <f ca="1">(GBSOption("P",指數型權證!$T$3,$J15, 選擇權近月!$N$2,$N15, 0,0)-GBSOption("P",指數型權證!$T$3,$J15,選擇權近月!$O$2,$N15, 0,0))*$Q15*50*-1</f>
        <v>0</v>
      </c>
      <c r="T15" s="36"/>
      <c r="U15" s="48">
        <f ca="1">(GBSOption("C",指數型權證!T$3,$J15,選擇權近月!$N$2,$H15,0, 0)-GBSOption("C",指數型權證!T$3,$J15,選擇權近月!$N$2,$H15+0.01,0, 0))*50*$C15</f>
        <v>0</v>
      </c>
      <c r="V15" s="48">
        <f ca="1">(GBSOption("P",指數型權證!T$3,$J15,選擇權近月!$N$2,$N15,0, 0)-GBSOption("P",指數型權證!T$3,$J15,選擇權近月!$N$2,$N15+0.01,0, 0))*50*$Q15</f>
        <v>0</v>
      </c>
      <c r="Y15" s="250"/>
      <c r="Z15" s="250"/>
      <c r="AA15" s="36">
        <v>0</v>
      </c>
      <c r="AB15" s="14">
        <v>0</v>
      </c>
      <c r="AC15" s="14">
        <v>0</v>
      </c>
      <c r="AD15" s="14">
        <v>0</v>
      </c>
      <c r="AE15" s="17">
        <v>1510</v>
      </c>
      <c r="AF15" s="17">
        <v>1750</v>
      </c>
      <c r="AG15" s="17" t="s">
        <v>1854</v>
      </c>
      <c r="AH15" s="19">
        <v>1.610321044921875E-4</v>
      </c>
      <c r="AI15" s="19">
        <v>0.43593025817871095</v>
      </c>
      <c r="AJ15" s="18">
        <v>10400</v>
      </c>
      <c r="AK15" s="17">
        <v>34.5</v>
      </c>
      <c r="AL15" s="17">
        <v>36</v>
      </c>
      <c r="AM15" s="17">
        <v>34</v>
      </c>
      <c r="AN15" s="19">
        <v>0.30776283874511723</v>
      </c>
      <c r="AO15" s="19">
        <v>0.31081444396972657</v>
      </c>
      <c r="AP15" s="14">
        <v>0</v>
      </c>
      <c r="AQ15" s="14">
        <v>0</v>
      </c>
      <c r="AR15" s="14">
        <v>0</v>
      </c>
      <c r="AS15" s="36">
        <v>0</v>
      </c>
      <c r="AT15" s="36"/>
      <c r="AU15" s="48">
        <v>0</v>
      </c>
      <c r="AV15" s="48">
        <v>0</v>
      </c>
    </row>
    <row r="16" spans="1:48" ht="17.25" thickBot="1" x14ac:dyDescent="0.3">
      <c r="A16" s="36">
        <f ca="1">(GBSOption("C",指數型權證!$T$2,$J16, 選擇權近月!$N$2,$H16, 0,0)-GBSOption("C",指數型權證!$T$2,$J16,選擇權近月!$O$2,$H16, 0,0))*$C16*50*-1</f>
        <v>0</v>
      </c>
      <c r="B16" s="14">
        <f ca="1">GBSGreeks("d", "C",指數型權證!$T$2,$J16,選擇權近月!$N$2,$H16, 0,0)*50*指數型權證!$T$2*$C16</f>
        <v>0</v>
      </c>
      <c r="C16" s="14">
        <f>SUMIFS(指數型權證!$AH$1:$AH$49,指數型權證!$AL$1:$AL$49,"8",指數型權證!$AJ$1:$AJ$49,$J16,指數型權證!$AM$1:$AM$49,"Call")</f>
        <v>0</v>
      </c>
      <c r="D16" s="14">
        <f ca="1">GBSGreeks("g", "C",指數型權證!$T$2,$J16,選擇權近月!$N$2,$H16, 0,0)*50*指數型權證!$T$2^2*1%*$C16*-1</f>
        <v>0</v>
      </c>
      <c r="E16" s="17">
        <v>1520</v>
      </c>
      <c r="F16" s="17">
        <v>1690</v>
      </c>
      <c r="G16" s="17">
        <v>1590</v>
      </c>
      <c r="H16" s="19">
        <v>1.610321044921875E-4</v>
      </c>
      <c r="I16" s="19">
        <v>0.41481315002441416</v>
      </c>
      <c r="J16" s="18">
        <v>10500</v>
      </c>
      <c r="K16" s="17">
        <v>32</v>
      </c>
      <c r="L16" s="17">
        <v>33</v>
      </c>
      <c r="M16" s="17">
        <v>32</v>
      </c>
      <c r="N16" s="19">
        <v>0.29970660095214852</v>
      </c>
      <c r="O16" s="19">
        <v>0.30190375671386716</v>
      </c>
      <c r="P16" s="14">
        <f ca="1">GBSGreeks("g", "P",指數型權證!$T$3,$J16,選擇權近月!$N$2,$N16, 0,0)*50*指數型權證!$T$3^2*1%*$Q16*-1</f>
        <v>0</v>
      </c>
      <c r="Q16" s="14">
        <f>SUMIFS(指數型權證!$AH$1:$AH$49,指數型權證!$AL$1:$AL$49,"8",指數型權證!$AJ$1:$AJ$49,$J16,指數型權證!$AM$1:$AM$49,"Put")</f>
        <v>0</v>
      </c>
      <c r="R16" s="14">
        <f ca="1">GBSGreeks("d", "P",指數型權證!$T$3,$J16,選擇權近月!$N$2,$N16, 0,0)*50*指數型權證!$T$3*$Q16</f>
        <v>0</v>
      </c>
      <c r="S16" s="36">
        <f ca="1">(GBSOption("P",指數型權證!$T$3,$J16, 選擇權近月!$N$2,$N16, 0,0)-GBSOption("P",指數型權證!$T$3,$J16,選擇權近月!$O$2,$N16, 0,0))*$Q16*50*-1</f>
        <v>0</v>
      </c>
      <c r="T16" s="36"/>
      <c r="U16" s="48">
        <f ca="1">(GBSOption("C",指數型權證!T$3,$J16,選擇權近月!$N$2,$H16,0, 0)-GBSOption("C",指數型權證!T$3,$J16,選擇權近月!$N$2,$H16+0.01,0, 0))*50*$C16</f>
        <v>0</v>
      </c>
      <c r="V16" s="48">
        <f ca="1">(GBSOption("P",指數型權證!T$3,$J16,選擇權近月!$N$2,$N16,0, 0)-GBSOption("P",指數型權證!T$3,$J16,選擇權近月!$N$2,$N16+0.01,0, 0))*50*$Q16</f>
        <v>0</v>
      </c>
      <c r="Y16" s="250"/>
      <c r="Z16" s="250"/>
      <c r="AA16" s="36">
        <v>0</v>
      </c>
      <c r="AB16" s="14">
        <v>0</v>
      </c>
      <c r="AC16" s="14">
        <v>0</v>
      </c>
      <c r="AD16" s="14">
        <v>0</v>
      </c>
      <c r="AE16" s="17">
        <v>1410</v>
      </c>
      <c r="AF16" s="17">
        <v>1650</v>
      </c>
      <c r="AG16" s="17" t="s">
        <v>1854</v>
      </c>
      <c r="AH16" s="19">
        <v>1.610321044921875E-4</v>
      </c>
      <c r="AI16" s="19">
        <v>0.41591172790527353</v>
      </c>
      <c r="AJ16" s="18">
        <v>10500</v>
      </c>
      <c r="AK16" s="17">
        <v>38.5</v>
      </c>
      <c r="AL16" s="17">
        <v>39</v>
      </c>
      <c r="AM16" s="17">
        <v>39</v>
      </c>
      <c r="AN16" s="19">
        <v>0.29946247253417979</v>
      </c>
      <c r="AO16" s="19">
        <v>0.30043898620605469</v>
      </c>
      <c r="AP16" s="14">
        <v>0</v>
      </c>
      <c r="AQ16" s="14">
        <v>0</v>
      </c>
      <c r="AR16" s="14">
        <v>0</v>
      </c>
      <c r="AS16" s="36">
        <v>0</v>
      </c>
      <c r="AT16" s="36"/>
      <c r="AU16" s="48">
        <v>0</v>
      </c>
      <c r="AV16" s="48">
        <v>0</v>
      </c>
    </row>
    <row r="17" spans="1:48" ht="17.25" thickBot="1" x14ac:dyDescent="0.3">
      <c r="A17" s="36">
        <f ca="1">(GBSOption("C",指數型權證!$T$2,$J17, 選擇權近月!$N$2,$H17, 0,0)-GBSOption("C",指數型權證!$T$2,$J17,選擇權近月!$O$2,$H17, 0,0))*$C17*50*-1</f>
        <v>0</v>
      </c>
      <c r="B17" s="14">
        <f ca="1">GBSGreeks("d", "C",指數型權證!$T$2,$J17,選擇權近月!$N$2,$H17, 0,0)*50*指數型權證!$T$2*$C17</f>
        <v>0</v>
      </c>
      <c r="C17" s="14">
        <f>SUMIFS(指數型權證!$AH$1:$AH$49,指數型權證!$AL$1:$AL$49,"8",指數型權證!$AJ$1:$AJ$49,$J17,指數型權證!$AM$1:$AM$49,"Call")</f>
        <v>0</v>
      </c>
      <c r="D17" s="14">
        <f ca="1">GBSGreeks("g", "C",指數型權證!$T$2,$J17,選擇權近月!$N$2,$H17, 0,0)*50*指數型權證!$T$2^2*1%*$C17*-1</f>
        <v>0</v>
      </c>
      <c r="E17" s="17">
        <v>1400</v>
      </c>
      <c r="F17" s="17">
        <v>2690</v>
      </c>
      <c r="G17" s="17">
        <v>1500</v>
      </c>
      <c r="H17" s="19">
        <v>1.610321044921875E-4</v>
      </c>
      <c r="I17" s="19">
        <v>1.3119850860595701</v>
      </c>
      <c r="J17" s="18">
        <v>10600</v>
      </c>
      <c r="K17" s="17">
        <v>38.5</v>
      </c>
      <c r="L17" s="17">
        <v>39</v>
      </c>
      <c r="M17" s="17">
        <v>38.5</v>
      </c>
      <c r="N17" s="19">
        <v>0.29653293151855475</v>
      </c>
      <c r="O17" s="19">
        <v>0.29738738098144535</v>
      </c>
      <c r="P17" s="14">
        <f ca="1">GBSGreeks("g", "P",指數型權證!$T$3,$J17,選擇權近月!$N$2,$N17, 0,0)*50*指數型權證!$T$3^2*1%*$Q17*-1</f>
        <v>0</v>
      </c>
      <c r="Q17" s="14">
        <f>SUMIFS(指數型權證!$AH$1:$AH$49,指數型權證!$AL$1:$AL$49,"8",指數型權證!$AJ$1:$AJ$49,$J17,指數型權證!$AM$1:$AM$49,"Put")</f>
        <v>0</v>
      </c>
      <c r="R17" s="14">
        <f ca="1">GBSGreeks("d", "P",指數型權證!$T$3,$J17,選擇權近月!$N$2,$N17, 0,0)*50*指數型權證!$T$3*$Q17</f>
        <v>0</v>
      </c>
      <c r="S17" s="36">
        <f ca="1">(GBSOption("P",指數型權證!$T$3,$J17, 選擇權近月!$N$2,$N17, 0,0)-GBSOption("P",指數型權證!$T$3,$J17,選擇權近月!$O$2,$N17, 0,0))*$Q17*50*-1</f>
        <v>0</v>
      </c>
      <c r="T17" s="36"/>
      <c r="U17" s="48">
        <f ca="1">(GBSOption("C",指數型權證!T$3,$J17,選擇權近月!$N$2,$H17,0, 0)-GBSOption("C",指數型權證!T$3,$J17,選擇權近月!$N$2,$H17+0.01,0, 0))*50*$C17</f>
        <v>0</v>
      </c>
      <c r="V17" s="48">
        <f ca="1">(GBSOption("P",指數型權證!T$3,$J17,選擇權近月!$N$2,$N17,0, 0)-GBSOption("P",指數型權證!T$3,$J17,選擇權近月!$N$2,$N17+0.01,0, 0))*50*$Q17</f>
        <v>0</v>
      </c>
      <c r="Y17" s="250"/>
      <c r="Z17" s="250"/>
      <c r="AA17" s="36">
        <v>0</v>
      </c>
      <c r="AB17" s="14">
        <v>0</v>
      </c>
      <c r="AC17" s="14">
        <v>0</v>
      </c>
      <c r="AD17" s="14">
        <v>0</v>
      </c>
      <c r="AE17" s="17">
        <v>1340</v>
      </c>
      <c r="AF17" s="17">
        <v>1480</v>
      </c>
      <c r="AG17" s="17">
        <v>1420</v>
      </c>
      <c r="AH17" s="19">
        <v>1.610321044921875E-4</v>
      </c>
      <c r="AI17" s="19">
        <v>0.3044671051025391</v>
      </c>
      <c r="AJ17" s="18">
        <v>10600</v>
      </c>
      <c r="AK17" s="17">
        <v>44</v>
      </c>
      <c r="AL17" s="17">
        <v>45.5</v>
      </c>
      <c r="AM17" s="17">
        <v>44.5</v>
      </c>
      <c r="AN17" s="19">
        <v>0.29287100524902349</v>
      </c>
      <c r="AO17" s="19">
        <v>0.29543435363769532</v>
      </c>
      <c r="AP17" s="14">
        <v>0</v>
      </c>
      <c r="AQ17" s="14">
        <v>0</v>
      </c>
      <c r="AR17" s="14">
        <v>0</v>
      </c>
      <c r="AS17" s="36">
        <v>0</v>
      </c>
      <c r="AT17" s="36"/>
      <c r="AU17" s="48">
        <v>0</v>
      </c>
      <c r="AV17" s="48">
        <v>0</v>
      </c>
    </row>
    <row r="18" spans="1:48" ht="17.25" thickBot="1" x14ac:dyDescent="0.3">
      <c r="A18" s="36">
        <f ca="1">(GBSOption("C",指數型權證!$T$2,$J18, 選擇權近月!$N$2,$H18, 0,0)-GBSOption("C",指數型權證!$T$2,$J18,選擇權近月!$O$2,$H18, 0,0))*$C18*50*-1</f>
        <v>0</v>
      </c>
      <c r="B18" s="14">
        <f ca="1">GBSGreeks("d", "C",指數型權證!$T$2,$J18,選擇權近月!$N$2,$H18, 0,0)*50*指數型權證!$T$2*$C18</f>
        <v>0</v>
      </c>
      <c r="C18" s="14">
        <f>SUMIFS(指數型權證!$AH$1:$AH$49,指數型權證!$AL$1:$AL$49,"8",指數型權證!$AJ$1:$AJ$49,$J18,指數型權證!$AM$1:$AM$49,"Call")</f>
        <v>0</v>
      </c>
      <c r="D18" s="14">
        <f ca="1">GBSGreeks("g", "C",指數型權證!$T$2,$J18,選擇權近月!$N$2,$H18, 0,0)*50*指數型權證!$T$2^2*1%*$C18*-1</f>
        <v>0</v>
      </c>
      <c r="E18" s="17">
        <v>1310</v>
      </c>
      <c r="F18" s="17">
        <v>1520</v>
      </c>
      <c r="G18" s="17">
        <v>1400</v>
      </c>
      <c r="H18" s="19">
        <v>1.610321044921875E-4</v>
      </c>
      <c r="I18" s="19">
        <v>0.40944232482910159</v>
      </c>
      <c r="J18" s="18">
        <v>10700</v>
      </c>
      <c r="K18" s="17">
        <v>43.5</v>
      </c>
      <c r="L18" s="17">
        <v>44</v>
      </c>
      <c r="M18" s="17">
        <v>44</v>
      </c>
      <c r="N18" s="19">
        <v>0.28884288635253913</v>
      </c>
      <c r="O18" s="19">
        <v>0.28969733581542978</v>
      </c>
      <c r="P18" s="14">
        <f ca="1">GBSGreeks("g", "P",指數型權證!$T$3,$J18,選擇權近月!$N$2,$N18, 0,0)*50*指數型權證!$T$3^2*1%*$Q18*-1</f>
        <v>1556220.0007084296</v>
      </c>
      <c r="Q18" s="14">
        <f>SUMIFS(指數型權證!$AH$1:$AH$49,指數型權證!$AL$1:$AL$49,"8",指數型權證!$AJ$1:$AJ$49,$J18,指數型權證!$AM$1:$AM$49,"Put")</f>
        <v>-150</v>
      </c>
      <c r="R18" s="14">
        <f ca="1">GBSGreeks("d", "P",指數型權證!$T$3,$J18,選擇權近月!$N$2,$N18, 0,0)*50*指數型權證!$T$3*$Q18</f>
        <v>7949518.4009567769</v>
      </c>
      <c r="S18" s="36">
        <f ca="1">(GBSOption("P",指數型權證!$T$3,$J18, 選擇權近月!$N$2,$N18, 0,0)-GBSOption("P",指數型權證!$T$3,$J18,選擇權近月!$O$2,$N18, 0,0))*$Q18*50*-1</f>
        <v>25604.177181813731</v>
      </c>
      <c r="T18" s="36"/>
      <c r="U18" s="48">
        <f ca="1">(GBSOption("C",指數型權證!T$3,$J18,選擇權近月!$N$2,$H18,0, 0)-GBSOption("C",指數型權證!T$3,$J18,選擇權近月!$N$2,$H18+0.01,0, 0))*50*$C18</f>
        <v>0</v>
      </c>
      <c r="V18" s="48">
        <f ca="1">(GBSOption("P",指數型權證!T$3,$J18,選擇權近月!$N$2,$N18,0, 0)-GBSOption("P",指數型權證!T$3,$J18,選擇權近月!$N$2,$N18+0.01,0, 0))*50*$Q18</f>
        <v>47777.644778604743</v>
      </c>
      <c r="Y18" s="250"/>
      <c r="Z18" s="250"/>
      <c r="AA18" s="36">
        <v>0</v>
      </c>
      <c r="AB18" s="14">
        <v>0</v>
      </c>
      <c r="AC18" s="14">
        <v>0</v>
      </c>
      <c r="AD18" s="14">
        <v>0</v>
      </c>
      <c r="AE18" s="17">
        <v>1240</v>
      </c>
      <c r="AF18" s="17">
        <v>1460</v>
      </c>
      <c r="AG18" s="17" t="s">
        <v>1854</v>
      </c>
      <c r="AH18" s="19">
        <v>1.610321044921875E-4</v>
      </c>
      <c r="AI18" s="19">
        <v>0.38686044616699222</v>
      </c>
      <c r="AJ18" s="18">
        <v>10700</v>
      </c>
      <c r="AK18" s="17">
        <v>49.5</v>
      </c>
      <c r="AL18" s="17">
        <v>51</v>
      </c>
      <c r="AM18" s="17">
        <v>51</v>
      </c>
      <c r="AN18" s="19">
        <v>0.28505889587402344</v>
      </c>
      <c r="AO18" s="19">
        <v>0.28737811584472661</v>
      </c>
      <c r="AP18" s="14">
        <v>1512489.7825762974</v>
      </c>
      <c r="AQ18" s="14">
        <v>-150</v>
      </c>
      <c r="AR18" s="14">
        <v>7328705.5755931707</v>
      </c>
      <c r="AS18" s="36">
        <v>24199.134226602597</v>
      </c>
      <c r="AT18" s="36"/>
      <c r="AU18" s="48">
        <v>0</v>
      </c>
      <c r="AV18" s="48">
        <v>44202.479855142556</v>
      </c>
    </row>
    <row r="19" spans="1:48" ht="17.25" thickBot="1" x14ac:dyDescent="0.3">
      <c r="A19" s="36">
        <f ca="1">(GBSOption("C",指數型權證!$T$2,$J19, 選擇權近月!$N$2,$H19, 0,0)-GBSOption("C",指數型權證!$T$2,$J19,選擇權近月!$O$2,$H19, 0,0))*$C19*50*-1</f>
        <v>0</v>
      </c>
      <c r="B19" s="14">
        <f ca="1">GBSGreeks("d", "C",指數型權證!$T$2,$J19,選擇權近月!$N$2,$H19, 0,0)*50*指數型權證!$T$2*$C19</f>
        <v>0</v>
      </c>
      <c r="C19" s="14">
        <f>SUMIFS(指數型權證!$AH$1:$AH$49,指數型權證!$AL$1:$AL$49,"8",指數型權證!$AJ$1:$AJ$49,$J19,指數型權證!$AM$1:$AM$49,"Call")</f>
        <v>0</v>
      </c>
      <c r="D19" s="14">
        <f ca="1">GBSGreeks("g", "C",指數型權證!$T$2,$J19,選擇權近月!$N$2,$H19, 0,0)*50*指數型權證!$T$2^2*1%*$C19*-1</f>
        <v>0</v>
      </c>
      <c r="E19" s="17">
        <v>1190</v>
      </c>
      <c r="F19" s="17">
        <v>1420</v>
      </c>
      <c r="G19" s="17">
        <v>1310</v>
      </c>
      <c r="H19" s="19">
        <v>1.610321044921875E-4</v>
      </c>
      <c r="I19" s="19">
        <v>0.38869140930175783</v>
      </c>
      <c r="J19" s="18">
        <v>10800</v>
      </c>
      <c r="K19" s="17">
        <v>49</v>
      </c>
      <c r="L19" s="17">
        <v>51</v>
      </c>
      <c r="M19" s="17">
        <v>50</v>
      </c>
      <c r="N19" s="19">
        <v>0.28078664855957036</v>
      </c>
      <c r="O19" s="19">
        <v>0.28383825378417971</v>
      </c>
      <c r="P19" s="14">
        <f ca="1">GBSGreeks("g", "P",指數型權證!$T$3,$J19,選擇權近月!$N$2,$N19, 0,0)*50*指數型權證!$T$3^2*1%*$Q19*-1</f>
        <v>0</v>
      </c>
      <c r="Q19" s="14">
        <f>SUMIFS(指數型權證!$AH$1:$AH$49,指數型權證!$AL$1:$AL$49,"8",指數型權證!$AJ$1:$AJ$49,$J19,指數型權證!$AM$1:$AM$49,"Put")</f>
        <v>0</v>
      </c>
      <c r="R19" s="14">
        <f ca="1">GBSGreeks("d", "P",指數型權證!$T$3,$J19,選擇權近月!$N$2,$N19, 0,0)*50*指數型權證!$T$3*$Q19</f>
        <v>0</v>
      </c>
      <c r="S19" s="36">
        <f ca="1">(GBSOption("P",指數型權證!$T$3,$J19, 選擇權近月!$N$2,$N19, 0,0)-GBSOption("P",指數型權證!$T$3,$J19,選擇權近月!$O$2,$N19, 0,0))*$Q19*50*-1</f>
        <v>0</v>
      </c>
      <c r="T19" s="36"/>
      <c r="U19" s="48">
        <f ca="1">(GBSOption("C",指數型權證!T$3,$J19,選擇權近月!$N$2,$H19,0, 0)-GBSOption("C",指數型權證!T$3,$J19,選擇權近月!$N$2,$H19+0.01,0, 0))*50*$C19</f>
        <v>0</v>
      </c>
      <c r="V19" s="48">
        <f ca="1">(GBSOption("P",指數型權證!T$3,$J19,選擇權近月!$N$2,$N19,0, 0)-GBSOption("P",指數型權證!T$3,$J19,選擇權近月!$N$2,$N19+0.01,0, 0))*50*$Q19</f>
        <v>0</v>
      </c>
      <c r="Y19" s="250"/>
      <c r="Z19" s="250"/>
      <c r="AA19" s="36">
        <v>0</v>
      </c>
      <c r="AB19" s="14">
        <v>0</v>
      </c>
      <c r="AC19" s="14">
        <v>0</v>
      </c>
      <c r="AD19" s="14">
        <v>0</v>
      </c>
      <c r="AE19" s="17">
        <v>1130</v>
      </c>
      <c r="AF19" s="17">
        <v>1350</v>
      </c>
      <c r="AG19" s="17" t="s">
        <v>1854</v>
      </c>
      <c r="AH19" s="19">
        <v>1.610321044921875E-4</v>
      </c>
      <c r="AI19" s="19">
        <v>0.35597820129394542</v>
      </c>
      <c r="AJ19" s="18">
        <v>10800</v>
      </c>
      <c r="AK19" s="17">
        <v>57</v>
      </c>
      <c r="AL19" s="17">
        <v>58</v>
      </c>
      <c r="AM19" s="17">
        <v>58</v>
      </c>
      <c r="AN19" s="19">
        <v>0.27895568542480476</v>
      </c>
      <c r="AO19" s="19">
        <v>0.28029839172363291</v>
      </c>
      <c r="AP19" s="14">
        <v>0</v>
      </c>
      <c r="AQ19" s="14">
        <v>0</v>
      </c>
      <c r="AR19" s="14">
        <v>0</v>
      </c>
      <c r="AS19" s="36">
        <v>0</v>
      </c>
      <c r="AT19" s="36"/>
      <c r="AU19" s="48">
        <v>0</v>
      </c>
      <c r="AV19" s="48">
        <v>0</v>
      </c>
    </row>
    <row r="20" spans="1:48" ht="17.25" thickBot="1" x14ac:dyDescent="0.3">
      <c r="A20" s="36">
        <f ca="1">(GBSOption("C",指數型權證!$T$2,$J20, 選擇權近月!$N$2,$H20, 0,0)-GBSOption("C",指數型權證!$T$2,$J20,選擇權近月!$O$2,$H20, 0,0))*$C20*50*-1</f>
        <v>0</v>
      </c>
      <c r="B20" s="14">
        <f ca="1">GBSGreeks("d", "C",指數型權證!$T$2,$J20,選擇權近月!$N$2,$H20, 0,0)*50*指數型權證!$T$2*$C20</f>
        <v>10998000</v>
      </c>
      <c r="C20" s="14">
        <f>SUMIFS(指數型權證!$AH$1:$AH$49,指數型權證!$AL$1:$AL$49,"8",指數型權證!$AJ$1:$AJ$49,$J20,指數型權證!$AM$1:$AM$49,"Call")</f>
        <v>18</v>
      </c>
      <c r="D20" s="14">
        <f ca="1">GBSGreeks("g", "C",指數型權證!$T$2,$J20,選擇權近月!$N$2,$H20, 0,0)*50*指數型權證!$T$2^2*1%*$C20*-1</f>
        <v>0</v>
      </c>
      <c r="E20" s="17">
        <v>1140</v>
      </c>
      <c r="F20" s="17">
        <v>1260</v>
      </c>
      <c r="G20" s="17">
        <v>1210</v>
      </c>
      <c r="H20" s="19">
        <v>1.610321044921875E-4</v>
      </c>
      <c r="I20" s="19">
        <v>0.30031692199707039</v>
      </c>
      <c r="J20" s="18">
        <v>10900</v>
      </c>
      <c r="K20" s="17">
        <v>55</v>
      </c>
      <c r="L20" s="17">
        <v>57</v>
      </c>
      <c r="M20" s="17">
        <v>56</v>
      </c>
      <c r="N20" s="19">
        <v>0.27224215393066403</v>
      </c>
      <c r="O20" s="19">
        <v>0.27517169494628907</v>
      </c>
      <c r="P20" s="14">
        <f ca="1">GBSGreeks("g", "P",指數型權證!$T$3,$J20,選擇權近月!$N$2,$N20, 0,0)*50*指數型權證!$T$3^2*1%*$Q20*-1</f>
        <v>-523646.66791729059</v>
      </c>
      <c r="Q20" s="14">
        <f>SUMIFS(指數型權證!$AH$1:$AH$49,指數型權證!$AL$1:$AL$49,"8",指數型權證!$AJ$1:$AJ$49,$J20,指數型權證!$AM$1:$AM$49,"Put")</f>
        <v>40</v>
      </c>
      <c r="R20" s="14">
        <f ca="1">GBSGreeks("d", "P",指數型權證!$T$3,$J20,選擇權近月!$N$2,$N20, 0,0)*50*指數型權證!$T$3*$Q20</f>
        <v>-2686823.3379412978</v>
      </c>
      <c r="S20" s="36">
        <f ca="1">(GBSOption("P",指數型權證!$T$3,$J20, 選擇權近月!$N$2,$N20, 0,0)-GBSOption("P",指數型權證!$T$3,$J20,選擇權近月!$O$2,$N20, 0,0))*$Q20*50*-1</f>
        <v>-7677.7852646794854</v>
      </c>
      <c r="T20" s="36"/>
      <c r="U20" s="48">
        <f ca="1">(GBSOption("C",指數型權證!T$3,$J20,選擇權近月!$N$2,$H20,0, 0)-GBSOption("C",指數型權證!T$3,$J20,選擇權近月!$N$2,$H20+0.01,0, 0))*50*$C20</f>
        <v>0</v>
      </c>
      <c r="V20" s="48">
        <f ca="1">(GBSOption("P",指數型權證!T$3,$J20,選擇權近月!$N$2,$N20,0, 0)-GBSOption("P",指數型權證!T$3,$J20,選擇權近月!$N$2,$N20+0.01,0, 0))*50*$Q20</f>
        <v>-15087.966424967335</v>
      </c>
      <c r="Y20" s="250"/>
      <c r="Z20" s="250"/>
      <c r="AA20" s="36">
        <v>0</v>
      </c>
      <c r="AB20" s="14">
        <v>10998000</v>
      </c>
      <c r="AC20" s="14">
        <v>18</v>
      </c>
      <c r="AD20" s="14">
        <v>0</v>
      </c>
      <c r="AE20" s="17">
        <v>1070</v>
      </c>
      <c r="AF20" s="17">
        <v>1260</v>
      </c>
      <c r="AG20" s="17">
        <v>1170</v>
      </c>
      <c r="AH20" s="19">
        <v>1.610321044921875E-4</v>
      </c>
      <c r="AI20" s="19">
        <v>0.34596893615722657</v>
      </c>
      <c r="AJ20" s="18">
        <v>10900</v>
      </c>
      <c r="AK20" s="17">
        <v>65</v>
      </c>
      <c r="AL20" s="17">
        <v>66</v>
      </c>
      <c r="AM20" s="17">
        <v>65</v>
      </c>
      <c r="AN20" s="19">
        <v>0.27199802551269525</v>
      </c>
      <c r="AO20" s="19">
        <v>0.27334073181152341</v>
      </c>
      <c r="AP20" s="14">
        <v>-517588.95940504631</v>
      </c>
      <c r="AQ20" s="14">
        <v>40</v>
      </c>
      <c r="AR20" s="14">
        <v>-2570297.8239718867</v>
      </c>
      <c r="AS20" s="36">
        <v>-7569.3796075767068</v>
      </c>
      <c r="AT20" s="36"/>
      <c r="AU20" s="48">
        <v>0</v>
      </c>
      <c r="AV20" s="48">
        <v>-14353.749277736937</v>
      </c>
    </row>
    <row r="21" spans="1:48" ht="17.25" thickBot="1" x14ac:dyDescent="0.3">
      <c r="A21" s="36">
        <f ca="1">(GBSOption("C",指數型權證!$T$2,$J21, 選擇權近月!$N$2,$H21, 0,0)-GBSOption("C",指數型權證!$T$2,$J21,選擇權近月!$O$2,$H21, 0,0))*$C21*50*-1</f>
        <v>0</v>
      </c>
      <c r="B21" s="14">
        <f ca="1">GBSGreeks("d", "C",指數型權證!$T$2,$J21,選擇權近月!$N$2,$H21, 0,0)*50*指數型權證!$T$2*$C21</f>
        <v>0</v>
      </c>
      <c r="C21" s="14">
        <f>SUMIFS(指數型權證!$AH$1:$AH$49,指數型權證!$AL$1:$AL$49,"8",指數型權證!$AJ$1:$AJ$49,$J21,指數型權證!$AM$1:$AM$49,"Call")</f>
        <v>0</v>
      </c>
      <c r="D21" s="14">
        <f ca="1">GBSGreeks("g", "C",指數型權證!$T$2,$J21,選擇權近月!$N$2,$H21, 0,0)*50*指數型權證!$T$2^2*1%*$C21*-1</f>
        <v>0</v>
      </c>
      <c r="E21" s="17">
        <v>1030</v>
      </c>
      <c r="F21" s="17">
        <v>1150</v>
      </c>
      <c r="G21" s="17">
        <v>1130</v>
      </c>
      <c r="H21" s="19">
        <v>1.610321044921875E-4</v>
      </c>
      <c r="I21" s="19">
        <v>0.26919054870605463</v>
      </c>
      <c r="J21" s="18">
        <v>11000</v>
      </c>
      <c r="K21" s="17">
        <v>64</v>
      </c>
      <c r="L21" s="17">
        <v>65</v>
      </c>
      <c r="M21" s="17">
        <v>65</v>
      </c>
      <c r="N21" s="19">
        <v>0.26662720031738285</v>
      </c>
      <c r="O21" s="19">
        <v>0.26784784240722659</v>
      </c>
      <c r="P21" s="14">
        <f ca="1">GBSGreeks("g", "P",指數型權證!$T$3,$J21,選擇權近月!$N$2,$N21, 0,0)*50*指數型權證!$T$3^2*1%*$Q21*-1</f>
        <v>0</v>
      </c>
      <c r="Q21" s="14">
        <f>SUMIFS(指數型權證!$AH$1:$AH$49,指數型權證!$AL$1:$AL$49,"8",指數型權證!$AJ$1:$AJ$49,$J21,指數型權證!$AM$1:$AM$49,"Put")</f>
        <v>0</v>
      </c>
      <c r="R21" s="14">
        <f ca="1">GBSGreeks("d", "P",指數型權證!$T$3,$J21,選擇權近月!$N$2,$N21, 0,0)*50*指數型權證!$T$3*$Q21</f>
        <v>0</v>
      </c>
      <c r="S21" s="36">
        <f ca="1">(GBSOption("P",指數型權證!$T$3,$J21, 選擇權近月!$N$2,$N21, 0,0)-GBSOption("P",指數型權證!$T$3,$J21,選擇權近月!$O$2,$N21, 0,0))*$Q21*50*-1</f>
        <v>0</v>
      </c>
      <c r="T21" s="36"/>
      <c r="U21" s="48">
        <f ca="1">(GBSOption("C",指數型權證!T$3,$J21,選擇權近月!$N$2,$H21,0, 0)-GBSOption("C",指數型權證!T$3,$J21,選擇權近月!$N$2,$H21+0.01,0, 0))*50*$C21</f>
        <v>0</v>
      </c>
      <c r="V21" s="48">
        <f ca="1">(GBSOption("P",指數型權證!T$3,$J21,選擇權近月!$N$2,$N21,0, 0)-GBSOption("P",指數型權證!T$3,$J21,選擇權近月!$N$2,$N21+0.01,0, 0))*50*$Q21</f>
        <v>0</v>
      </c>
      <c r="Y21" s="250"/>
      <c r="Z21" s="250"/>
      <c r="AA21" s="36">
        <v>0</v>
      </c>
      <c r="AB21" s="14">
        <v>0</v>
      </c>
      <c r="AC21" s="14">
        <v>0</v>
      </c>
      <c r="AD21" s="14">
        <v>0</v>
      </c>
      <c r="AE21" s="17">
        <v>1010</v>
      </c>
      <c r="AF21" s="17">
        <v>1110</v>
      </c>
      <c r="AG21" s="17">
        <v>1050</v>
      </c>
      <c r="AH21" s="19">
        <v>1.610321044921875E-4</v>
      </c>
      <c r="AI21" s="19">
        <v>0.27297453918457026</v>
      </c>
      <c r="AJ21" s="18">
        <v>11000</v>
      </c>
      <c r="AK21" s="17">
        <v>73</v>
      </c>
      <c r="AL21" s="17">
        <v>75</v>
      </c>
      <c r="AM21" s="17">
        <v>74</v>
      </c>
      <c r="AN21" s="19">
        <v>0.26369765930175781</v>
      </c>
      <c r="AO21" s="19">
        <v>0.26613894348144529</v>
      </c>
      <c r="AP21" s="14">
        <v>0</v>
      </c>
      <c r="AQ21" s="14">
        <v>0</v>
      </c>
      <c r="AR21" s="14">
        <v>0</v>
      </c>
      <c r="AS21" s="36">
        <v>0</v>
      </c>
      <c r="AT21" s="36"/>
      <c r="AU21" s="48">
        <v>0</v>
      </c>
      <c r="AV21" s="48">
        <v>0</v>
      </c>
    </row>
    <row r="22" spans="1:48" ht="17.25" thickBot="1" x14ac:dyDescent="0.3">
      <c r="A22" s="36">
        <f ca="1">(GBSOption("C",指數型權證!$T$2,$J22, 選擇權近月!$N$2,$H22, 0,0)-GBSOption("C",指數型權證!$T$2,$J22,選擇權近月!$O$2,$H22, 0,0))*$C22*50*-1</f>
        <v>0</v>
      </c>
      <c r="B22" s="14">
        <f ca="1">GBSGreeks("d", "C",指數型權證!$T$2,$J22,選擇權近月!$N$2,$H22, 0,0)*50*指數型權證!$T$2*$C22</f>
        <v>0</v>
      </c>
      <c r="C22" s="14">
        <f>SUMIFS(指數型權證!$AH$1:$AH$49,指數型權證!$AL$1:$AL$49,"8",指數型權證!$AJ$1:$AJ$49,$J22,指數型權證!$AM$1:$AM$49,"Call")</f>
        <v>0</v>
      </c>
      <c r="D22" s="14">
        <f ca="1">GBSGreeks("g", "C",指數型權證!$T$2,$J22,選擇權近月!$N$2,$H22, 0,0)*50*指數型權證!$T$2^2*1%*$C22*-1</f>
        <v>0</v>
      </c>
      <c r="E22" s="17">
        <v>1040</v>
      </c>
      <c r="F22" s="17">
        <v>1060</v>
      </c>
      <c r="G22" s="17">
        <v>1030</v>
      </c>
      <c r="H22" s="19">
        <v>0.23818623962402347</v>
      </c>
      <c r="I22" s="19">
        <v>0.2627211456298828</v>
      </c>
      <c r="J22" s="18">
        <v>11100</v>
      </c>
      <c r="K22" s="17">
        <v>73</v>
      </c>
      <c r="L22" s="17">
        <v>75</v>
      </c>
      <c r="M22" s="17">
        <v>76</v>
      </c>
      <c r="N22" s="19">
        <v>0.25918128356933595</v>
      </c>
      <c r="O22" s="19">
        <v>0.26162256774902343</v>
      </c>
      <c r="P22" s="14">
        <f ca="1">GBSGreeks("g", "P",指數型權證!$T$3,$J22,選擇權近月!$N$2,$N22, 0,0)*50*指數型權證!$T$3^2*1%*$Q22*-1</f>
        <v>-330479.41699401604</v>
      </c>
      <c r="Q22" s="14">
        <f>SUMIFS(指數型權證!$AH$1:$AH$49,指數型權證!$AL$1:$AL$49,"8",指數型權證!$AJ$1:$AJ$49,$J22,指數型權證!$AM$1:$AM$49,"Put")</f>
        <v>20</v>
      </c>
      <c r="R22" s="14">
        <f ca="1">GBSGreeks("d", "P",指數型權證!$T$3,$J22,選擇權近月!$N$2,$N22, 0,0)*50*指數型權證!$T$3*$Q22</f>
        <v>-1749513.8291668179</v>
      </c>
      <c r="S22" s="36">
        <f ca="1">(GBSOption("P",指數型權證!$T$3,$J22, 選擇權近月!$N$2,$N22, 0,0)-GBSOption("P",指數型權證!$T$3,$J22,選擇權近月!$O$2,$N22, 0,0))*$Q22*50*-1</f>
        <v>-4405.6332994341574</v>
      </c>
      <c r="T22" s="36"/>
      <c r="U22" s="48">
        <f ca="1">(GBSOption("C",指數型權證!T$3,$J22,選擇權近月!$N$2,$H22,0, 0)-GBSOption("C",指數型權證!T$3,$J22,選擇權近月!$N$2,$H22+0.01,0, 0))*50*$C22</f>
        <v>0</v>
      </c>
      <c r="V22" s="48">
        <f ca="1">(GBSOption("P",指數型權證!T$3,$J22,選擇權近月!$N$2,$N22,0, 0)-GBSOption("P",指數型權證!T$3,$J22,選擇權近月!$N$2,$N22+0.01,0, 0))*50*$Q22</f>
        <v>-9014.3411845982082</v>
      </c>
      <c r="Y22" s="250"/>
      <c r="Z22" s="250"/>
      <c r="AA22" s="36">
        <v>0</v>
      </c>
      <c r="AB22" s="14">
        <v>0</v>
      </c>
      <c r="AC22" s="14">
        <v>0</v>
      </c>
      <c r="AD22" s="14">
        <v>0</v>
      </c>
      <c r="AE22" s="17">
        <v>1000</v>
      </c>
      <c r="AF22" s="17">
        <v>1020</v>
      </c>
      <c r="AG22" s="17">
        <v>980</v>
      </c>
      <c r="AH22" s="19">
        <v>0.24294674377441411</v>
      </c>
      <c r="AI22" s="19">
        <v>0.26491830139160155</v>
      </c>
      <c r="AJ22" s="18">
        <v>11100</v>
      </c>
      <c r="AK22" s="17">
        <v>83</v>
      </c>
      <c r="AL22" s="17">
        <v>85</v>
      </c>
      <c r="AM22" s="17">
        <v>84</v>
      </c>
      <c r="AN22" s="19">
        <v>0.25637380676269528</v>
      </c>
      <c r="AO22" s="19">
        <v>0.25844889831542972</v>
      </c>
      <c r="AP22" s="14">
        <v>-328809.90446110361</v>
      </c>
      <c r="AQ22" s="14">
        <v>20</v>
      </c>
      <c r="AR22" s="14">
        <v>-1660725.6429057533</v>
      </c>
      <c r="AS22" s="36">
        <v>-4286.0410482280286</v>
      </c>
      <c r="AT22" s="36"/>
      <c r="AU22" s="48">
        <v>0</v>
      </c>
      <c r="AV22" s="48">
        <v>-8549.989724310848</v>
      </c>
    </row>
    <row r="23" spans="1:48" ht="17.25" thickBot="1" x14ac:dyDescent="0.3">
      <c r="A23" s="36">
        <f ca="1">(GBSOption("C",指數型權證!$T$2,$J23, 選擇權近月!$N$2,$H23, 0,0)-GBSOption("C",指數型權證!$T$2,$J23,選擇權近月!$O$2,$H23, 0,0))*$C23*50*-1</f>
        <v>-2680.4998590576474</v>
      </c>
      <c r="B23" s="14">
        <f ca="1">GBSGreeks("d", "C",指數型權證!$T$2,$J23,選擇權近月!$N$2,$H23, 0,0)*50*指數型權證!$T$2*$C23</f>
        <v>8070913.3035495058</v>
      </c>
      <c r="C23" s="14">
        <f>SUMIFS(指數型權證!$AH$1:$AH$49,指數型權證!$AL$1:$AL$49,"8",指數型權證!$AJ$1:$AJ$49,$J23,指數型權證!$AM$1:$AM$49,"Call")</f>
        <v>15</v>
      </c>
      <c r="D23" s="14">
        <f ca="1">GBSGreeks("g", "C",指數型權證!$T$2,$J23,選擇權近月!$N$2,$H23, 0,0)*50*指數型權證!$T$2^2*1%*$C23*-1</f>
        <v>-238891.57334342183</v>
      </c>
      <c r="E23" s="17">
        <v>955</v>
      </c>
      <c r="F23" s="17">
        <v>970</v>
      </c>
      <c r="G23" s="17">
        <v>950</v>
      </c>
      <c r="H23" s="19">
        <v>0.2380641754150391</v>
      </c>
      <c r="I23" s="19">
        <v>0.25466490783691409</v>
      </c>
      <c r="J23" s="18">
        <v>11200</v>
      </c>
      <c r="K23" s="17">
        <v>84</v>
      </c>
      <c r="L23" s="17">
        <v>85</v>
      </c>
      <c r="M23" s="17">
        <v>85</v>
      </c>
      <c r="N23" s="19">
        <v>0.25258981628417976</v>
      </c>
      <c r="O23" s="19">
        <v>0.25356632995605466</v>
      </c>
      <c r="P23" s="14">
        <f ca="1">GBSGreeks("g", "P",指數型權證!$T$3,$J23,選擇權近月!$N$2,$N23, 0,0)*50*指數型權證!$T$3^2*1%*$Q23*-1</f>
        <v>-1608290.8650100615</v>
      </c>
      <c r="Q23" s="14">
        <f>SUMIFS(指數型權證!$AH$1:$AH$49,指數型權證!$AL$1:$AL$49,"8",指數型權證!$AJ$1:$AJ$49,$J23,指數型權證!$AM$1:$AM$49,"Put")</f>
        <v>87</v>
      </c>
      <c r="R23" s="14">
        <f ca="1">GBSGreeks("d", "P",指數型權證!$T$3,$J23,選擇權近月!$N$2,$N23, 0,0)*50*指數型權證!$T$3*$Q23</f>
        <v>-8674393.5075139869</v>
      </c>
      <c r="S23" s="36">
        <f ca="1">(GBSOption("P",指數型權證!$T$3,$J23, 選擇權近月!$N$2,$N23, 0,0)-GBSOption("P",指數型權證!$T$3,$J23,選擇權近月!$O$2,$N23, 0,0))*$Q23*50*-1</f>
        <v>-20392.083493450464</v>
      </c>
      <c r="T23" s="36"/>
      <c r="U23" s="48">
        <f ca="1">(GBSOption("C",指數型權證!T$3,$J23,選擇權近月!$N$2,$H23,0, 0)-GBSOption("C",指數型權證!T$3,$J23,選擇權近月!$N$2,$H23+0.01,0, 0))*50*$C23</f>
        <v>-6982.3354994936435</v>
      </c>
      <c r="V23" s="48">
        <f ca="1">(GBSOption("P",指數型權證!T$3,$J23,選擇權近月!$N$2,$N23,0, 0)-GBSOption("P",指數型權證!T$3,$J23,選擇權近月!$N$2,$N23+0.01,0, 0))*50*$Q23</f>
        <v>-42630.424202862094</v>
      </c>
      <c r="Y23" s="250"/>
      <c r="Z23" s="250"/>
      <c r="AA23" s="36">
        <v>-2857.2871516167311</v>
      </c>
      <c r="AB23" s="14">
        <v>8048703.1796087986</v>
      </c>
      <c r="AC23" s="14">
        <v>15</v>
      </c>
      <c r="AD23" s="14">
        <v>-239639.31225163914</v>
      </c>
      <c r="AE23" s="17">
        <v>920</v>
      </c>
      <c r="AF23" s="17">
        <v>930</v>
      </c>
      <c r="AG23" s="17">
        <v>925</v>
      </c>
      <c r="AH23" s="19">
        <v>0.24538802795410158</v>
      </c>
      <c r="AI23" s="19">
        <v>0.25539729309082027</v>
      </c>
      <c r="AJ23" s="18">
        <v>11200</v>
      </c>
      <c r="AK23" s="17">
        <v>95</v>
      </c>
      <c r="AL23" s="17">
        <v>96</v>
      </c>
      <c r="AM23" s="17">
        <v>95</v>
      </c>
      <c r="AN23" s="19">
        <v>0.24941614685058594</v>
      </c>
      <c r="AO23" s="19">
        <v>0.25039266052246095</v>
      </c>
      <c r="AP23" s="14">
        <v>-1608832.5457044377</v>
      </c>
      <c r="AQ23" s="14">
        <v>87</v>
      </c>
      <c r="AR23" s="14">
        <v>-8263351.6133415159</v>
      </c>
      <c r="AS23" s="36">
        <v>-19879.201321487773</v>
      </c>
      <c r="AT23" s="36"/>
      <c r="AU23" s="48">
        <v>-6895.5013987842904</v>
      </c>
      <c r="AV23" s="48">
        <v>-40578.268171860007</v>
      </c>
    </row>
    <row r="24" spans="1:48" ht="17.25" thickBot="1" x14ac:dyDescent="0.3">
      <c r="A24" s="36">
        <f ca="1">(GBSOption("C",指數型權證!$T$2,$J24, 選擇權近月!$N$2,$H24, 0,0)-GBSOption("C",指數型權證!$T$2,$J24,選擇權近月!$O$2,$H24, 0,0))*$C24*50*-1</f>
        <v>0</v>
      </c>
      <c r="B24" s="14">
        <f ca="1">GBSGreeks("d", "C",指數型權證!$T$2,$J24,選擇權近月!$N$2,$H24, 0,0)*50*指數型權證!$T$2*$C24</f>
        <v>0</v>
      </c>
      <c r="C24" s="14">
        <f>SUMIFS(指數型權證!$AH$1:$AH$49,指數型權證!$AL$1:$AL$49,"8",指數型權證!$AJ$1:$AJ$49,$J24,指數型權證!$AM$1:$AM$49,"Call")</f>
        <v>0</v>
      </c>
      <c r="D24" s="14">
        <f ca="1">GBSGreeks("g", "C",指數型權證!$T$2,$J24,選擇權近月!$N$2,$H24, 0,0)*50*指數型權證!$T$2^2*1%*$C24*-1</f>
        <v>0</v>
      </c>
      <c r="E24" s="17">
        <v>870</v>
      </c>
      <c r="F24" s="17">
        <v>885</v>
      </c>
      <c r="G24" s="17">
        <v>865</v>
      </c>
      <c r="H24" s="19">
        <v>0.23501257019042968</v>
      </c>
      <c r="I24" s="19">
        <v>0.25002646789550786</v>
      </c>
      <c r="J24" s="18">
        <v>11300</v>
      </c>
      <c r="K24" s="17">
        <v>96</v>
      </c>
      <c r="L24" s="17">
        <v>98</v>
      </c>
      <c r="M24" s="17">
        <v>96</v>
      </c>
      <c r="N24" s="19">
        <v>0.24514389953613283</v>
      </c>
      <c r="O24" s="19">
        <v>0.24709692687988286</v>
      </c>
      <c r="P24" s="14">
        <f ca="1">GBSGreeks("g", "P",指數型權證!$T$3,$J24,選擇權近月!$N$2,$N24, 0,0)*50*指數型權證!$T$3^2*1%*$Q24*-1</f>
        <v>-2063024.7101670285</v>
      </c>
      <c r="Q24" s="14">
        <f>SUMIFS(指數型權證!$AH$1:$AH$49,指數型權證!$AL$1:$AL$49,"8",指數型權證!$AJ$1:$AJ$49,$J24,指數型權證!$AM$1:$AM$49,"Put")</f>
        <v>100</v>
      </c>
      <c r="R24" s="14">
        <f ca="1">GBSGreeks("d", "P",指數型權證!$T$3,$J24,選擇權近月!$N$2,$N24, 0,0)*50*指數型權證!$T$3*$Q24</f>
        <v>-11310226.060771435</v>
      </c>
      <c r="S24" s="36">
        <f ca="1">(GBSOption("P",指數型權證!$T$3,$J24, 選擇權近月!$N$2,$N24, 0,0)-GBSOption("P",指數型權證!$T$3,$J24,選擇權近月!$O$2,$N24, 0,0))*$Q24*50*-1</f>
        <v>-24669.113046896953</v>
      </c>
      <c r="T24" s="36"/>
      <c r="U24" s="48">
        <f ca="1">(GBSOption("C",指數型權證!T$3,$J24,選擇權近月!$N$2,$H24,0, 0)-GBSOption("C",指數型權證!T$3,$J24,選擇權近月!$N$2,$H24+0.01,0, 0))*50*$C24</f>
        <v>0</v>
      </c>
      <c r="V24" s="48">
        <f ca="1">(GBSOption("P",指數型權證!T$3,$J24,選擇權近月!$N$2,$N24,0, 0)-GBSOption("P",指數型權證!T$3,$J24,選擇權近月!$N$2,$N24+0.01,0, 0))*50*$Q24</f>
        <v>-52927.922429136197</v>
      </c>
      <c r="Y24" s="250"/>
      <c r="Z24" s="250"/>
      <c r="AA24" s="36">
        <v>0</v>
      </c>
      <c r="AB24" s="14">
        <v>0</v>
      </c>
      <c r="AC24" s="14">
        <v>0</v>
      </c>
      <c r="AD24" s="14">
        <v>0</v>
      </c>
      <c r="AE24" s="17">
        <v>835</v>
      </c>
      <c r="AF24" s="17">
        <v>840</v>
      </c>
      <c r="AG24" s="17">
        <v>790</v>
      </c>
      <c r="AH24" s="19">
        <v>0.2400172027587891</v>
      </c>
      <c r="AI24" s="19">
        <v>0.24453357849121096</v>
      </c>
      <c r="AJ24" s="18">
        <v>11300</v>
      </c>
      <c r="AK24" s="17">
        <v>107</v>
      </c>
      <c r="AL24" s="17">
        <v>110</v>
      </c>
      <c r="AM24" s="17">
        <v>110</v>
      </c>
      <c r="AN24" s="19">
        <v>0.24087165222167969</v>
      </c>
      <c r="AO24" s="19">
        <v>0.24367912902832037</v>
      </c>
      <c r="AP24" s="14">
        <v>-2076679.7642495472</v>
      </c>
      <c r="AQ24" s="14">
        <v>100</v>
      </c>
      <c r="AR24" s="14">
        <v>-10773361.160526428</v>
      </c>
      <c r="AS24" s="36">
        <v>-23964.280092880941</v>
      </c>
      <c r="AT24" s="36"/>
      <c r="AU24" s="48">
        <v>0</v>
      </c>
      <c r="AV24" s="48">
        <v>-50448.523253734122</v>
      </c>
    </row>
    <row r="25" spans="1:48" ht="17.25" thickBot="1" x14ac:dyDescent="0.3">
      <c r="A25" s="36">
        <f ca="1">(GBSOption("C",指數型權證!$T$2,$J25, 選擇權近月!$N$2,$H25, 0,0)-GBSOption("C",指數型權證!$T$2,$J25,選擇權近月!$O$2,$H25, 0,0))*$C25*50*-1</f>
        <v>0</v>
      </c>
      <c r="B25" s="14">
        <f ca="1">GBSGreeks("d", "C",指數型權證!$T$2,$J25,選擇權近月!$N$2,$H25, 0,0)*50*指數型權證!$T$2*$C25</f>
        <v>0</v>
      </c>
      <c r="C25" s="14">
        <f>SUMIFS(指數型權證!$AH$1:$AH$49,指數型權證!$AL$1:$AL$49,"8",指數型權證!$AJ$1:$AJ$49,$J25,指數型權證!$AM$1:$AM$49,"Call")</f>
        <v>0</v>
      </c>
      <c r="D25" s="14">
        <f ca="1">GBSGreeks("g", "C",指數型權證!$T$2,$J25,選擇權近月!$N$2,$H25, 0,0)*50*指數型權證!$T$2^2*1%*$C25*-1</f>
        <v>0</v>
      </c>
      <c r="E25" s="17">
        <v>785</v>
      </c>
      <c r="F25" s="17">
        <v>795</v>
      </c>
      <c r="G25" s="17">
        <v>770</v>
      </c>
      <c r="H25" s="19">
        <v>0.2295196807861328</v>
      </c>
      <c r="I25" s="19">
        <v>0.23879656066894536</v>
      </c>
      <c r="J25" s="18">
        <v>11400</v>
      </c>
      <c r="K25" s="17">
        <v>111</v>
      </c>
      <c r="L25" s="17">
        <v>112</v>
      </c>
      <c r="M25" s="17">
        <v>111</v>
      </c>
      <c r="N25" s="19">
        <v>0.23879656066894536</v>
      </c>
      <c r="O25" s="19">
        <v>0.23965101013183598</v>
      </c>
      <c r="P25" s="14">
        <f ca="1">GBSGreeks("g", "P",指數型權證!$T$3,$J25,選擇權近月!$N$2,$N25, 0,0)*50*指數型權證!$T$3^2*1%*$Q25*-1</f>
        <v>1832702.1265866829</v>
      </c>
      <c r="Q25" s="14">
        <f>SUMIFS(指數型權證!$AH$1:$AH$49,指數型權證!$AL$1:$AL$49,"8",指數型權證!$AJ$1:$AJ$49,$J25,指數型權證!$AM$1:$AM$49,"Put")</f>
        <v>-80</v>
      </c>
      <c r="R25" s="14">
        <f ca="1">GBSGreeks("d", "P",指數型權證!$T$3,$J25,選擇權近月!$N$2,$N25, 0,0)*50*指數型權證!$T$3*$Q25</f>
        <v>10311053.378018847</v>
      </c>
      <c r="S25" s="36">
        <f ca="1">(GBSOption("P",指數型權證!$T$3,$J25, 選擇權近月!$N$2,$N25, 0,0)-GBSOption("P",指數型權證!$T$3,$J25,選擇權近月!$O$2,$N25, 0,0))*$Q25*50*-1</f>
        <v>20819.743519115833</v>
      </c>
      <c r="T25" s="36"/>
      <c r="U25" s="48">
        <f ca="1">(GBSOption("C",指數型權證!T$3,$J25,選擇權近月!$N$2,$H25,0, 0)-GBSOption("C",指數型權證!T$3,$J25,選擇權近月!$N$2,$H25+0.01,0, 0))*50*$C25</f>
        <v>0</v>
      </c>
      <c r="V25" s="48">
        <f ca="1">(GBSOption("P",指數型權證!T$3,$J25,選擇權近月!$N$2,$N25,0, 0)-GBSOption("P",指數型權證!T$3,$J25,選擇權近月!$N$2,$N25+0.01,0, 0))*50*$Q25</f>
        <v>45669.65972630788</v>
      </c>
      <c r="Y25" s="250"/>
      <c r="Z25" s="250"/>
      <c r="AA25" s="36">
        <v>0</v>
      </c>
      <c r="AB25" s="14">
        <v>0</v>
      </c>
      <c r="AC25" s="14">
        <v>0</v>
      </c>
      <c r="AD25" s="14">
        <v>0</v>
      </c>
      <c r="AE25" s="17">
        <v>750</v>
      </c>
      <c r="AF25" s="17">
        <v>755</v>
      </c>
      <c r="AG25" s="17">
        <v>750</v>
      </c>
      <c r="AH25" s="19">
        <v>0.23244922180175784</v>
      </c>
      <c r="AI25" s="19">
        <v>0.23672146911621095</v>
      </c>
      <c r="AJ25" s="18">
        <v>11400</v>
      </c>
      <c r="AK25" s="17">
        <v>124</v>
      </c>
      <c r="AL25" s="17">
        <v>125</v>
      </c>
      <c r="AM25" s="17">
        <v>124</v>
      </c>
      <c r="AN25" s="19">
        <v>0.23501257019042968</v>
      </c>
      <c r="AO25" s="19">
        <v>0.23586701965332033</v>
      </c>
      <c r="AP25" s="14">
        <v>1854629.8870002343</v>
      </c>
      <c r="AQ25" s="14">
        <v>-80</v>
      </c>
      <c r="AR25" s="14">
        <v>9908235.2152379528</v>
      </c>
      <c r="AS25" s="36">
        <v>20401.58689073769</v>
      </c>
      <c r="AT25" s="36"/>
      <c r="AU25" s="48">
        <v>0</v>
      </c>
      <c r="AV25" s="48">
        <v>43817.163170267922</v>
      </c>
    </row>
    <row r="26" spans="1:48" ht="17.25" thickBot="1" x14ac:dyDescent="0.3">
      <c r="A26" s="36">
        <f ca="1">(GBSOption("C",指數型權證!$T$2,$J26, 選擇權近月!$N$2,$H26, 0,0)-GBSOption("C",指數型權證!$T$2,$J26,選擇權近月!$O$2,$H26, 0,0))*$C26*50*-1</f>
        <v>0</v>
      </c>
      <c r="B26" s="14">
        <f ca="1">GBSGreeks("d", "C",指數型權證!$T$2,$J26,選擇權近月!$N$2,$H26, 0,0)*50*指數型權證!$T$2*$C26</f>
        <v>0</v>
      </c>
      <c r="C26" s="14">
        <f>SUMIFS(指數型權證!$AH$1:$AH$49,指數型權證!$AL$1:$AL$49,"8",指數型權證!$AJ$1:$AJ$49,$J26,指數型權證!$AM$1:$AM$49,"Call")</f>
        <v>0</v>
      </c>
      <c r="D26" s="14">
        <f ca="1">GBSGreeks("g", "C",指數型權證!$T$2,$J26,選擇權近月!$N$2,$H26, 0,0)*50*指數型權證!$T$2^2*1%*$C26*-1</f>
        <v>0</v>
      </c>
      <c r="E26" s="17">
        <v>710</v>
      </c>
      <c r="F26" s="17">
        <v>715</v>
      </c>
      <c r="G26" s="17">
        <v>695</v>
      </c>
      <c r="H26" s="19">
        <v>0.23049619445800781</v>
      </c>
      <c r="I26" s="19">
        <v>0.23464637756347659</v>
      </c>
      <c r="J26" s="18">
        <v>11500</v>
      </c>
      <c r="K26" s="17">
        <v>129</v>
      </c>
      <c r="L26" s="17">
        <v>130</v>
      </c>
      <c r="M26" s="17">
        <v>129</v>
      </c>
      <c r="N26" s="19">
        <v>0.23293747863769534</v>
      </c>
      <c r="O26" s="19">
        <v>0.23379192810058597</v>
      </c>
      <c r="P26" s="14">
        <f ca="1">GBSGreeks("g", "P",指數型權證!$T$3,$J26,選擇權近月!$N$2,$N26, 0,0)*50*指數型權證!$T$3^2*1%*$Q26*-1</f>
        <v>2401315.9166767569</v>
      </c>
      <c r="Q26" s="14">
        <f>SUMIFS(指數型權證!$AH$1:$AH$49,指數型權證!$AL$1:$AL$49,"8",指數型權證!$AJ$1:$AJ$49,$J26,指數型權證!$AM$1:$AM$49,"Put")</f>
        <v>-95</v>
      </c>
      <c r="R26" s="14">
        <f ca="1">GBSGreeks("d", "P",指數型權證!$T$3,$J26,選擇權近月!$N$2,$N26, 0,0)*50*指數型權證!$T$3*$Q26</f>
        <v>13954730.080765992</v>
      </c>
      <c r="S26" s="36">
        <f ca="1">(GBSOption("P",指數型權證!$T$3,$J26, 選擇權近月!$N$2,$N26, 0,0)-GBSOption("P",指數型權證!$T$3,$J26,選擇權近月!$O$2,$N26, 0,0))*$Q26*50*-1</f>
        <v>25986.038025246387</v>
      </c>
      <c r="T26" s="36"/>
      <c r="U26" s="48">
        <f ca="1">(GBSOption("C",指數型權證!T$3,$J26,選擇權近月!$N$2,$H26,0, 0)-GBSOption("C",指數型權證!T$3,$J26,選擇權近月!$N$2,$H26+0.01,0, 0))*50*$C26</f>
        <v>0</v>
      </c>
      <c r="V26" s="48">
        <f ca="1">(GBSOption("P",指數型權證!T$3,$J26,選擇權近月!$N$2,$N26,0, 0)-GBSOption("P",指數型權證!T$3,$J26,選擇權近月!$N$2,$N26+0.01,0, 0))*50*$Q26</f>
        <v>58207.267263247966</v>
      </c>
      <c r="Y26" s="250"/>
      <c r="Z26" s="250"/>
      <c r="AA26" s="36">
        <v>0</v>
      </c>
      <c r="AB26" s="14">
        <v>0</v>
      </c>
      <c r="AC26" s="14">
        <v>0</v>
      </c>
      <c r="AD26" s="14">
        <v>0</v>
      </c>
      <c r="AE26" s="17">
        <v>670</v>
      </c>
      <c r="AF26" s="17">
        <v>675</v>
      </c>
      <c r="AG26" s="17">
        <v>675</v>
      </c>
      <c r="AH26" s="19">
        <v>0.22720046081542969</v>
      </c>
      <c r="AI26" s="19">
        <v>0.23110651550292968</v>
      </c>
      <c r="AJ26" s="18">
        <v>11500</v>
      </c>
      <c r="AK26" s="17">
        <v>142</v>
      </c>
      <c r="AL26" s="17">
        <v>144</v>
      </c>
      <c r="AM26" s="17">
        <v>141</v>
      </c>
      <c r="AN26" s="19">
        <v>0.22793284606933595</v>
      </c>
      <c r="AO26" s="19">
        <v>0.2295196807861328</v>
      </c>
      <c r="AP26" s="14">
        <v>2450457.5506047844</v>
      </c>
      <c r="AQ26" s="14">
        <v>-95</v>
      </c>
      <c r="AR26" s="14">
        <v>13433071.39869779</v>
      </c>
      <c r="AS26" s="36">
        <v>25387.028790443426</v>
      </c>
      <c r="AT26" s="36"/>
      <c r="AU26" s="48">
        <v>0</v>
      </c>
      <c r="AV26" s="48">
        <v>55987.761085807622</v>
      </c>
    </row>
    <row r="27" spans="1:48" ht="17.25" thickBot="1" x14ac:dyDescent="0.3">
      <c r="A27" s="36">
        <f ca="1">(GBSOption("C",指數型權證!$T$2,$J27, 選擇權近月!$N$2,$H27, 0,0)-GBSOption("C",指數型權證!$T$2,$J27,選擇權近月!$O$2,$H27, 0,0))*$C27*50*-1</f>
        <v>0</v>
      </c>
      <c r="B27" s="14">
        <f ca="1">GBSGreeks("d", "C",指數型權證!$T$2,$J27,選擇權近月!$N$2,$H27, 0,0)*50*指數型權證!$T$2*$C27</f>
        <v>0</v>
      </c>
      <c r="C27" s="14">
        <f>SUMIFS(指數型權證!$AH$1:$AH$49,指數型權證!$AL$1:$AL$49,"8",指數型權證!$AJ$1:$AJ$49,$J27,指數型權證!$AM$1:$AM$49,"Call")</f>
        <v>0</v>
      </c>
      <c r="D27" s="14">
        <f ca="1">GBSGreeks("g", "C",指數型權證!$T$2,$J27,選擇權近月!$N$2,$H27, 0,0)*50*指數型權證!$T$2^2*1%*$C27*-1</f>
        <v>0</v>
      </c>
      <c r="E27" s="17">
        <v>625</v>
      </c>
      <c r="F27" s="17">
        <v>635</v>
      </c>
      <c r="G27" s="17">
        <v>615</v>
      </c>
      <c r="H27" s="19">
        <v>0.22024280090332035</v>
      </c>
      <c r="I27" s="19">
        <v>0.2281769744873047</v>
      </c>
      <c r="J27" s="18">
        <v>11600</v>
      </c>
      <c r="K27" s="17">
        <v>148</v>
      </c>
      <c r="L27" s="17">
        <v>149</v>
      </c>
      <c r="M27" s="17">
        <v>149</v>
      </c>
      <c r="N27" s="19">
        <v>0.22585775451660156</v>
      </c>
      <c r="O27" s="19">
        <v>0.22659013977050782</v>
      </c>
      <c r="P27" s="14">
        <f ca="1">GBSGreeks("g", "P",指數型權證!$T$3,$J27,選擇權近月!$N$2,$N27, 0,0)*50*指數型權證!$T$3^2*1%*$Q27*-1</f>
        <v>0</v>
      </c>
      <c r="Q27" s="14">
        <f>SUMIFS(指數型權證!$AH$1:$AH$49,指數型權證!$AL$1:$AL$49,"8",指數型權證!$AJ$1:$AJ$49,$J27,指數型權證!$AM$1:$AM$49,"Put")</f>
        <v>0</v>
      </c>
      <c r="R27" s="14">
        <f ca="1">GBSGreeks("d", "P",指數型權證!$T$3,$J27,選擇權近月!$N$2,$N27, 0,0)*50*指數型權證!$T$3*$Q27</f>
        <v>0</v>
      </c>
      <c r="S27" s="36">
        <f ca="1">(GBSOption("P",指數型權證!$T$3,$J27, 選擇權近月!$N$2,$N27, 0,0)-GBSOption("P",指數型權證!$T$3,$J27,選擇權近月!$O$2,$N27, 0,0))*$Q27*50*-1</f>
        <v>0</v>
      </c>
      <c r="T27" s="36"/>
      <c r="U27" s="48">
        <f ca="1">(GBSOption("C",指數型權證!T$3,$J27,選擇權近月!$N$2,$H27,0, 0)-GBSOption("C",指數型權證!T$3,$J27,選擇權近月!$N$2,$H27+0.01,0, 0))*50*$C27</f>
        <v>0</v>
      </c>
      <c r="V27" s="48">
        <f ca="1">(GBSOption("P",指數型權證!T$3,$J27,選擇權近月!$N$2,$N27,0, 0)-GBSOption("P",指數型權證!T$3,$J27,選擇權近月!$N$2,$N27+0.01,0, 0))*50*$Q27</f>
        <v>0</v>
      </c>
      <c r="Y27" s="250"/>
      <c r="Z27" s="250"/>
      <c r="AA27" s="36">
        <v>0</v>
      </c>
      <c r="AB27" s="14">
        <v>0</v>
      </c>
      <c r="AC27" s="14">
        <v>0</v>
      </c>
      <c r="AD27" s="14">
        <v>0</v>
      </c>
      <c r="AE27" s="17">
        <v>590</v>
      </c>
      <c r="AF27" s="17">
        <v>600</v>
      </c>
      <c r="AG27" s="17">
        <v>595</v>
      </c>
      <c r="AH27" s="19">
        <v>0.21951041564941409</v>
      </c>
      <c r="AI27" s="19">
        <v>0.22707839660644533</v>
      </c>
      <c r="AJ27" s="18">
        <v>11600</v>
      </c>
      <c r="AK27" s="17">
        <v>164</v>
      </c>
      <c r="AL27" s="17">
        <v>165</v>
      </c>
      <c r="AM27" s="17">
        <v>164</v>
      </c>
      <c r="AN27" s="19">
        <v>0.22182963562011718</v>
      </c>
      <c r="AO27" s="19">
        <v>0.22256202087402344</v>
      </c>
      <c r="AP27" s="14">
        <v>0</v>
      </c>
      <c r="AQ27" s="14">
        <v>0</v>
      </c>
      <c r="AR27" s="14">
        <v>0</v>
      </c>
      <c r="AS27" s="36">
        <v>0</v>
      </c>
      <c r="AT27" s="36"/>
      <c r="AU27" s="48">
        <v>0</v>
      </c>
      <c r="AV27" s="48">
        <v>0</v>
      </c>
    </row>
    <row r="28" spans="1:48" ht="17.25" thickBot="1" x14ac:dyDescent="0.3">
      <c r="A28" s="36">
        <f ca="1">(GBSOption("C",指數型權證!$T$2,$J28, 選擇權近月!$N$2,$H28, 0,0)-GBSOption("C",指數型權證!$T$2,$J28,選擇權近月!$O$2,$H28, 0,0))*$C28*50*-1</f>
        <v>0</v>
      </c>
      <c r="B28" s="14">
        <f ca="1">GBSGreeks("d", "C",指數型權證!$T$2,$J28,選擇權近月!$N$2,$H28, 0,0)*50*指數型權證!$T$2*$C28</f>
        <v>0</v>
      </c>
      <c r="C28" s="14">
        <f>SUMIFS(指數型權證!$AH$1:$AH$49,指數型權證!$AL$1:$AL$49,"8",指數型權證!$AJ$1:$AJ$49,$J28,指數型權證!$AM$1:$AM$49,"Call")</f>
        <v>0</v>
      </c>
      <c r="D28" s="14">
        <f ca="1">GBSGreeks("g", "C",指數型權證!$T$2,$J28,選擇權近月!$N$2,$H28, 0,0)*50*指數型權證!$T$2^2*1%*$C28*-1</f>
        <v>0</v>
      </c>
      <c r="E28" s="17">
        <v>550</v>
      </c>
      <c r="F28" s="17">
        <v>555</v>
      </c>
      <c r="G28" s="17">
        <v>535</v>
      </c>
      <c r="H28" s="19">
        <v>0.2156043609619141</v>
      </c>
      <c r="I28" s="19">
        <v>0.2193883514404297</v>
      </c>
      <c r="J28" s="18">
        <v>11700</v>
      </c>
      <c r="K28" s="17">
        <v>171</v>
      </c>
      <c r="L28" s="17">
        <v>172</v>
      </c>
      <c r="M28" s="17">
        <v>172</v>
      </c>
      <c r="N28" s="19">
        <v>0.2193883514404297</v>
      </c>
      <c r="O28" s="19">
        <v>0.22012073669433596</v>
      </c>
      <c r="P28" s="14">
        <f ca="1">GBSGreeks("g", "P",指數型權證!$T$3,$J28,選擇權近月!$N$2,$N28, 0,0)*50*指數型權證!$T$3^2*1%*$Q28*-1</f>
        <v>-1213141.7955861238</v>
      </c>
      <c r="Q28" s="14">
        <f>SUMIFS(指數型權證!$AH$1:$AH$49,指數型權證!$AL$1:$AL$49,"8",指數型權證!$AJ$1:$AJ$49,$J28,指數型權證!$AM$1:$AM$49,"Put")</f>
        <v>40</v>
      </c>
      <c r="R28" s="14">
        <f ca="1">GBSGreeks("d", "P",指數型權證!$T$3,$J28,選擇權近月!$N$2,$N28, 0,0)*50*指數型權證!$T$3*$Q28</f>
        <v>-7540660.9676876711</v>
      </c>
      <c r="S28" s="36">
        <f ca="1">(GBSOption("P",指數型權證!$T$3,$J28, 選擇權近月!$N$2,$N28, 0,0)-GBSOption("P",指數型權證!$T$3,$J28,選擇權近月!$O$2,$N28, 0,0))*$Q28*50*-1</f>
        <v>-11668.619805768742</v>
      </c>
      <c r="T28" s="36"/>
      <c r="U28" s="48">
        <f ca="1">(GBSOption("C",指數型權證!T$3,$J28,選擇權近月!$N$2,$H28,0, 0)-GBSOption("C",指數型權證!T$3,$J28,選擇權近月!$N$2,$H28+0.01,0, 0))*50*$C28</f>
        <v>0</v>
      </c>
      <c r="V28" s="48">
        <f ca="1">(GBSOption("P",指數型權證!T$3,$J28,選擇權近月!$N$2,$N28,0, 0)-GBSOption("P",指數型權證!T$3,$J28,選擇權近月!$N$2,$N28+0.01,0, 0))*50*$Q28</f>
        <v>-27567.911860476783</v>
      </c>
      <c r="Y28" s="250"/>
      <c r="Z28" s="250"/>
      <c r="AA28" s="36">
        <v>0</v>
      </c>
      <c r="AB28" s="14">
        <v>0</v>
      </c>
      <c r="AC28" s="14">
        <v>0</v>
      </c>
      <c r="AD28" s="14">
        <v>0</v>
      </c>
      <c r="AE28" s="17">
        <v>515</v>
      </c>
      <c r="AF28" s="17">
        <v>520</v>
      </c>
      <c r="AG28" s="17">
        <v>515</v>
      </c>
      <c r="AH28" s="19">
        <v>0.21328514099121096</v>
      </c>
      <c r="AI28" s="19">
        <v>0.2169470672607422</v>
      </c>
      <c r="AJ28" s="18">
        <v>11700</v>
      </c>
      <c r="AK28" s="17">
        <v>188</v>
      </c>
      <c r="AL28" s="17">
        <v>190</v>
      </c>
      <c r="AM28" s="17">
        <v>188</v>
      </c>
      <c r="AN28" s="19">
        <v>0.21474991149902345</v>
      </c>
      <c r="AO28" s="19">
        <v>0.21621468200683597</v>
      </c>
      <c r="AP28" s="14">
        <v>-1250485.2163998534</v>
      </c>
      <c r="AQ28" s="14">
        <v>40</v>
      </c>
      <c r="AR28" s="14">
        <v>-7362796.3405471258</v>
      </c>
      <c r="AS28" s="36">
        <v>-11525.624870708383</v>
      </c>
      <c r="AT28" s="36"/>
      <c r="AU28" s="48">
        <v>0</v>
      </c>
      <c r="AV28" s="48">
        <v>-26778.651589209119</v>
      </c>
    </row>
    <row r="29" spans="1:48" ht="17.25" thickBot="1" x14ac:dyDescent="0.3">
      <c r="A29" s="36">
        <f ca="1">(GBSOption("C",指數型權證!$T$2,$J29, 選擇權近月!$N$2,$H29, 0,0)-GBSOption("C",指數型權證!$T$2,$J29,選擇權近月!$O$2,$H29, 0,0))*$C29*50*-1</f>
        <v>0</v>
      </c>
      <c r="B29" s="14">
        <f ca="1">GBSGreeks("d", "C",指數型權證!$T$2,$J29,選擇權近月!$N$2,$H29, 0,0)*50*指數型權證!$T$2*$C29</f>
        <v>0</v>
      </c>
      <c r="C29" s="14">
        <f>SUMIFS(指數型權證!$AH$1:$AH$49,指數型權證!$AL$1:$AL$49,"8",指數型權證!$AJ$1:$AJ$49,$J29,指數型權證!$AM$1:$AM$49,"Call")</f>
        <v>0</v>
      </c>
      <c r="D29" s="14">
        <f ca="1">GBSGreeks("g", "C",指數型權證!$T$2,$J29,選擇權近月!$N$2,$H29, 0,0)*50*指數型權證!$T$2^2*1%*$C29*-1</f>
        <v>0</v>
      </c>
      <c r="E29" s="17">
        <v>474</v>
      </c>
      <c r="F29" s="17">
        <v>480</v>
      </c>
      <c r="G29" s="17">
        <v>477</v>
      </c>
      <c r="H29" s="19">
        <v>0.20767018737792972</v>
      </c>
      <c r="I29" s="19">
        <v>0.21194243469238286</v>
      </c>
      <c r="J29" s="18">
        <v>11800</v>
      </c>
      <c r="K29" s="17">
        <v>196</v>
      </c>
      <c r="L29" s="17">
        <v>198</v>
      </c>
      <c r="M29" s="17">
        <v>197</v>
      </c>
      <c r="N29" s="19">
        <v>0.21194243469238286</v>
      </c>
      <c r="O29" s="19">
        <v>0.21340720520019532</v>
      </c>
      <c r="P29" s="14">
        <f ca="1">GBSGreeks("g", "P",指數型權證!$T$3,$J29,選擇權近月!$N$2,$N29, 0,0)*50*指數型權證!$T$3^2*1%*$Q29*-1</f>
        <v>-1976136.2800514724</v>
      </c>
      <c r="Q29" s="14">
        <f>SUMIFS(指數型權證!$AH$1:$AH$49,指數型權證!$AL$1:$AL$49,"8",指數型權證!$AJ$1:$AJ$49,$J29,指數型權證!$AM$1:$AM$49,"Put")</f>
        <v>60</v>
      </c>
      <c r="R29" s="14">
        <f ca="1">GBSGreeks("d", "P",指數型權證!$T$3,$J29,選擇權近月!$N$2,$N29, 0,0)*50*指數型權證!$T$3*$Q29</f>
        <v>-12760328.490227448</v>
      </c>
      <c r="S29" s="36">
        <f ca="1">(GBSOption("P",指數型權證!$T$3,$J29, 選擇權近月!$N$2,$N29, 0,0)-GBSOption("P",指數型權證!$T$3,$J29,選擇權近月!$O$2,$N29, 0,0))*$Q29*50*-1</f>
        <v>-17756.510388184153</v>
      </c>
      <c r="T29" s="36"/>
      <c r="U29" s="48">
        <f ca="1">(GBSOption("C",指數型權證!T$3,$J29,選擇權近月!$N$2,$H29,0, 0)-GBSOption("C",指數型權證!T$3,$J29,選擇權近月!$N$2,$H29+0.01,0, 0))*50*$C29</f>
        <v>0</v>
      </c>
      <c r="V29" s="48">
        <f ca="1">(GBSOption("P",指數型權證!T$3,$J29,選擇權近月!$N$2,$N29,0, 0)-GBSOption("P",指數型權證!T$3,$J29,選擇權近月!$N$2,$N29+0.01,0, 0))*50*$Q29</f>
        <v>-43309.435713234248</v>
      </c>
      <c r="Y29" s="250"/>
      <c r="Z29" s="250"/>
      <c r="AA29" s="36">
        <v>0</v>
      </c>
      <c r="AB29" s="14">
        <v>0</v>
      </c>
      <c r="AC29" s="14">
        <v>0</v>
      </c>
      <c r="AD29" s="14">
        <v>0</v>
      </c>
      <c r="AE29" s="17">
        <v>444</v>
      </c>
      <c r="AF29" s="17">
        <v>446</v>
      </c>
      <c r="AG29" s="17">
        <v>448</v>
      </c>
      <c r="AH29" s="19">
        <v>0.20730399475097661</v>
      </c>
      <c r="AI29" s="19">
        <v>0.20864670104980473</v>
      </c>
      <c r="AJ29" s="18">
        <v>11800</v>
      </c>
      <c r="AK29" s="17">
        <v>217</v>
      </c>
      <c r="AL29" s="17">
        <v>218</v>
      </c>
      <c r="AM29" s="17">
        <v>217</v>
      </c>
      <c r="AN29" s="19">
        <v>0.20864670104980473</v>
      </c>
      <c r="AO29" s="19">
        <v>0.2092570220947266</v>
      </c>
      <c r="AP29" s="14">
        <v>-2035152.6186866076</v>
      </c>
      <c r="AQ29" s="14">
        <v>60</v>
      </c>
      <c r="AR29" s="14">
        <v>-12563552.697966667</v>
      </c>
      <c r="AS29" s="36">
        <v>-17725.937405017816</v>
      </c>
      <c r="AT29" s="36"/>
      <c r="AU29" s="48">
        <v>0</v>
      </c>
      <c r="AV29" s="48">
        <v>-42260.038676626042</v>
      </c>
    </row>
    <row r="30" spans="1:48" ht="17.25" thickBot="1" x14ac:dyDescent="0.3">
      <c r="A30" s="36">
        <f ca="1">(GBSOption("C",指數型權證!$T$2,$J30, 選擇權近月!$N$2,$H30, 0,0)-GBSOption("C",指數型權證!$T$2,$J30,選擇權近月!$O$2,$H30, 0,0))*$C30*50*-1</f>
        <v>0</v>
      </c>
      <c r="B30" s="14">
        <f ca="1">GBSGreeks("d", "C",指數型權證!$T$2,$J30,選擇權近月!$N$2,$H30, 0,0)*50*指數型權證!$T$2*$C30</f>
        <v>0</v>
      </c>
      <c r="C30" s="14">
        <f>SUMIFS(指數型權證!$AH$1:$AH$49,指數型權證!$AL$1:$AL$49,"8",指數型權證!$AJ$1:$AJ$49,$J30,指數型權證!$AM$1:$AM$49,"Call")</f>
        <v>0</v>
      </c>
      <c r="D30" s="14">
        <f ca="1">GBSGreeks("g", "C",指數型權證!$T$2,$J30,選擇權近月!$N$2,$H30, 0,0)*50*指數型權證!$T$2^2*1%*$C30*-1</f>
        <v>0</v>
      </c>
      <c r="E30" s="17">
        <v>406</v>
      </c>
      <c r="F30" s="17">
        <v>410</v>
      </c>
      <c r="G30" s="17">
        <v>404</v>
      </c>
      <c r="H30" s="19">
        <v>0.20254349060058596</v>
      </c>
      <c r="I30" s="19">
        <v>0.20535096740722658</v>
      </c>
      <c r="J30" s="18">
        <v>11900</v>
      </c>
      <c r="K30" s="17">
        <v>226</v>
      </c>
      <c r="L30" s="17">
        <v>227</v>
      </c>
      <c r="M30" s="17">
        <v>228</v>
      </c>
      <c r="N30" s="19">
        <v>0.20535096740722658</v>
      </c>
      <c r="O30" s="19">
        <v>0.20596128845214845</v>
      </c>
      <c r="P30" s="14">
        <f ca="1">GBSGreeks("g", "P",指數型權證!$T$3,$J30,選擇權近月!$N$2,$N30, 0,0)*50*指數型權證!$T$3^2*1%*$Q30*-1</f>
        <v>-953182.57863801217</v>
      </c>
      <c r="Q30" s="14">
        <f>SUMIFS(指數型權證!$AH$1:$AH$49,指數型權證!$AL$1:$AL$49,"8",指數型權證!$AJ$1:$AJ$49,$J30,指數型權證!$AM$1:$AM$49,"Put")</f>
        <v>27</v>
      </c>
      <c r="R30" s="14">
        <f ca="1">GBSGreeks("d", "P",指數型權證!$T$3,$J30,選擇權近月!$N$2,$N30, 0,0)*50*指數型權證!$T$3*$Q30</f>
        <v>-6470275.3195691286</v>
      </c>
      <c r="S30" s="36">
        <f ca="1">(GBSOption("P",指數型權證!$T$3,$J30, 選擇權近月!$N$2,$N30, 0,0)-GBSOption("P",指數型權證!$T$3,$J30,選擇權近月!$O$2,$N30, 0,0))*$Q30*50*-1</f>
        <v>-8048.3655961054201</v>
      </c>
      <c r="T30" s="36"/>
      <c r="U30" s="48">
        <f ca="1">(GBSOption("C",指數型權證!T$3,$J30,選擇權近月!$N$2,$H30,0, 0)-GBSOption("C",指數型權證!T$3,$J30,選擇權近月!$N$2,$H30+0.01,0, 0))*50*$C30</f>
        <v>0</v>
      </c>
      <c r="V30" s="48">
        <f ca="1">(GBSOption("P",指數型權證!T$3,$J30,選擇權近月!$N$2,$N30,0, 0)-GBSOption("P",指數型權證!T$3,$J30,選擇權近月!$N$2,$N30+0.01,0, 0))*50*$Q30</f>
        <v>-20217.458717393853</v>
      </c>
      <c r="Y30" s="250"/>
      <c r="Z30" s="250"/>
      <c r="AA30" s="36">
        <v>0</v>
      </c>
      <c r="AB30" s="14">
        <v>0</v>
      </c>
      <c r="AC30" s="14">
        <v>0</v>
      </c>
      <c r="AD30" s="14">
        <v>0</v>
      </c>
      <c r="AE30" s="17">
        <v>376</v>
      </c>
      <c r="AF30" s="17">
        <v>379</v>
      </c>
      <c r="AG30" s="17">
        <v>380</v>
      </c>
      <c r="AH30" s="19">
        <v>0.20034633483886718</v>
      </c>
      <c r="AI30" s="19">
        <v>0.20229936218261721</v>
      </c>
      <c r="AJ30" s="18">
        <v>11900</v>
      </c>
      <c r="AK30" s="17">
        <v>248</v>
      </c>
      <c r="AL30" s="17">
        <v>250</v>
      </c>
      <c r="AM30" s="17">
        <v>247</v>
      </c>
      <c r="AN30" s="19">
        <v>0.20107872009277344</v>
      </c>
      <c r="AO30" s="19">
        <v>0.20229936218261721</v>
      </c>
      <c r="AP30" s="14">
        <v>-989435.17056834372</v>
      </c>
      <c r="AQ30" s="14">
        <v>27</v>
      </c>
      <c r="AR30" s="14">
        <v>-6396377.7022988833</v>
      </c>
      <c r="AS30" s="36">
        <v>-8012.5021829680154</v>
      </c>
      <c r="AT30" s="36"/>
      <c r="AU30" s="48">
        <v>0</v>
      </c>
      <c r="AV30" s="48">
        <v>-19775.092183664114</v>
      </c>
    </row>
    <row r="31" spans="1:48" ht="17.25" thickBot="1" x14ac:dyDescent="0.3">
      <c r="A31" s="36">
        <f ca="1">(GBSOption("C",指數型權證!$T$2,$J31, 選擇權近月!$N$2,$H31, 0,0)-GBSOption("C",指數型權證!$T$2,$J31,選擇權近月!$O$2,$H31, 0,0))*$C31*50*-1</f>
        <v>0</v>
      </c>
      <c r="B31" s="14">
        <f ca="1">GBSGreeks("d", "C",指數型權證!$T$2,$J31,選擇權近月!$N$2,$H31, 0,0)*50*指數型權證!$T$2*$C31</f>
        <v>0</v>
      </c>
      <c r="C31" s="14">
        <f>SUMIFS(指數型權證!$AH$1:$AH$49,指數型權證!$AL$1:$AL$49,"8",指數型權證!$AJ$1:$AJ$49,$J31,指數型權證!$AM$1:$AM$49,"Call")</f>
        <v>0</v>
      </c>
      <c r="D31" s="14">
        <f ca="1">GBSGreeks("g", "C",指數型權證!$T$2,$J31,選擇權近月!$N$2,$H31, 0,0)*50*指數型權證!$T$2^2*1%*$C31*-1</f>
        <v>0</v>
      </c>
      <c r="E31" s="17">
        <v>341</v>
      </c>
      <c r="F31" s="17">
        <v>345</v>
      </c>
      <c r="G31" s="17">
        <v>344</v>
      </c>
      <c r="H31" s="19">
        <v>0.19631821594238283</v>
      </c>
      <c r="I31" s="19">
        <v>0.19900362854003906</v>
      </c>
      <c r="J31" s="18">
        <v>12000</v>
      </c>
      <c r="K31" s="17">
        <v>261</v>
      </c>
      <c r="L31" s="17">
        <v>263</v>
      </c>
      <c r="M31" s="17">
        <v>261</v>
      </c>
      <c r="N31" s="19">
        <v>0.19900362854003906</v>
      </c>
      <c r="O31" s="19">
        <v>0.20034633483886718</v>
      </c>
      <c r="P31" s="14">
        <f ca="1">GBSGreeks("g", "P",指數型權證!$T$3,$J31,選擇權近月!$N$2,$N31, 0,0)*50*指數型權證!$T$3^2*1%*$Q31*-1</f>
        <v>-1867315.7822801797</v>
      </c>
      <c r="Q31" s="14">
        <f>SUMIFS(指數型權證!$AH$1:$AH$49,指數型權證!$AL$1:$AL$49,"8",指數型權證!$AJ$1:$AJ$49,$J31,指數型權證!$AM$1:$AM$49,"Put")</f>
        <v>50</v>
      </c>
      <c r="R31" s="14">
        <f ca="1">GBSGreeks("d", "P",指數型權證!$T$3,$J31,選擇權近月!$N$2,$N31, 0,0)*50*指數型權證!$T$3*$Q31</f>
        <v>-13452941.345387707</v>
      </c>
      <c r="S31" s="36">
        <f ca="1">(GBSOption("P",指數型權證!$T$3,$J31, 選擇權近月!$N$2,$N31, 0,0)-GBSOption("P",指數型權證!$T$3,$J31,選擇權近月!$O$2,$N31, 0,0))*$Q31*50*-1</f>
        <v>-14820.572035928308</v>
      </c>
      <c r="T31" s="36"/>
      <c r="U31" s="48">
        <f ca="1">(GBSOption("C",指數型權證!T$3,$J31,選擇權近月!$N$2,$H31,0, 0)-GBSOption("C",指數型權證!T$3,$J31,選擇權近月!$N$2,$H31+0.01,0, 0))*50*$C31</f>
        <v>0</v>
      </c>
      <c r="V31" s="48">
        <f ca="1">(GBSOption("P",指數型權證!T$3,$J31,選擇權近月!$N$2,$N31,0, 0)-GBSOption("P",指數型權證!T$3,$J31,選擇權近月!$N$2,$N31+0.01,0, 0))*50*$Q31</f>
        <v>-38363.946793311356</v>
      </c>
      <c r="Y31" s="250"/>
      <c r="Z31" s="250"/>
      <c r="AA31" s="36">
        <v>0</v>
      </c>
      <c r="AB31" s="14">
        <v>0</v>
      </c>
      <c r="AC31" s="14">
        <v>0</v>
      </c>
      <c r="AD31" s="14">
        <v>0</v>
      </c>
      <c r="AE31" s="17">
        <v>314</v>
      </c>
      <c r="AF31" s="17">
        <v>317</v>
      </c>
      <c r="AG31" s="17">
        <v>316</v>
      </c>
      <c r="AH31" s="19">
        <v>0.19424312438964841</v>
      </c>
      <c r="AI31" s="19">
        <v>0.19619615173339844</v>
      </c>
      <c r="AJ31" s="18">
        <v>12000</v>
      </c>
      <c r="AK31" s="17">
        <v>286</v>
      </c>
      <c r="AL31" s="17">
        <v>288</v>
      </c>
      <c r="AM31" s="17">
        <v>286</v>
      </c>
      <c r="AN31" s="19">
        <v>0.19497550964355467</v>
      </c>
      <c r="AO31" s="19">
        <v>0.19619615173339844</v>
      </c>
      <c r="AP31" s="14">
        <v>-1941542.262864179</v>
      </c>
      <c r="AQ31" s="14">
        <v>50</v>
      </c>
      <c r="AR31" s="14">
        <v>-13372017.307889083</v>
      </c>
      <c r="AS31" s="36">
        <v>-14797.106813497719</v>
      </c>
      <c r="AT31" s="36"/>
      <c r="AU31" s="48">
        <v>0</v>
      </c>
      <c r="AV31" s="48">
        <v>-37604.180816289205</v>
      </c>
    </row>
    <row r="32" spans="1:48" ht="17.25" thickBot="1" x14ac:dyDescent="0.3">
      <c r="A32" s="36">
        <f ca="1">(GBSOption("C",指數型權證!$T$2,$J32, 選擇權近月!$N$2,$H32, 0,0)-GBSOption("C",指數型權證!$T$2,$J32,選擇權近月!$O$2,$H32, 0,0))*$C32*50*-1</f>
        <v>0</v>
      </c>
      <c r="B32" s="14">
        <f ca="1">GBSGreeks("d", "C",指數型權證!$T$2,$J32,選擇權近月!$N$2,$H32, 0,0)*50*指數型權證!$T$2*$C32</f>
        <v>0</v>
      </c>
      <c r="C32" s="14">
        <f>SUMIFS(指數型權證!$AH$1:$AH$49,指數型權證!$AL$1:$AL$49,"8",指數型權證!$AJ$1:$AJ$49,$J32,指數型權證!$AM$1:$AM$49,"Call")</f>
        <v>0</v>
      </c>
      <c r="D32" s="14">
        <f ca="1">GBSGreeks("g", "C",指數型權證!$T$2,$J32,選擇權近月!$N$2,$H32, 0,0)*50*指數型權證!$T$2^2*1%*$C32*-1</f>
        <v>0</v>
      </c>
      <c r="E32" s="17">
        <v>284</v>
      </c>
      <c r="F32" s="17">
        <v>285</v>
      </c>
      <c r="G32" s="17">
        <v>282</v>
      </c>
      <c r="H32" s="19">
        <v>0.19204596862792969</v>
      </c>
      <c r="I32" s="19">
        <v>0.19265628967285159</v>
      </c>
      <c r="J32" s="18">
        <v>12100</v>
      </c>
      <c r="K32" s="17">
        <v>301</v>
      </c>
      <c r="L32" s="17">
        <v>305</v>
      </c>
      <c r="M32" s="17">
        <v>305</v>
      </c>
      <c r="N32" s="19">
        <v>0.19265628967285159</v>
      </c>
      <c r="O32" s="19">
        <v>0.19534170227050782</v>
      </c>
      <c r="P32" s="14">
        <f ca="1">GBSGreeks("g", "P",指數型權證!$T$3,$J32,選擇權近月!$N$2,$N32, 0,0)*50*指數型權證!$T$3^2*1%*$Q32*-1</f>
        <v>0</v>
      </c>
      <c r="Q32" s="14">
        <f>SUMIFS(指數型權證!$AH$1:$AH$49,指數型權證!$AL$1:$AL$49,"8",指數型權證!$AJ$1:$AJ$49,$J32,指數型權證!$AM$1:$AM$49,"Put")</f>
        <v>0</v>
      </c>
      <c r="R32" s="14">
        <f ca="1">GBSGreeks("d", "P",指數型權證!$T$3,$J32,選擇權近月!$N$2,$N32, 0,0)*50*指數型權證!$T$3*$Q32</f>
        <v>0</v>
      </c>
      <c r="S32" s="36">
        <f ca="1">(GBSOption("P",指數型權證!$T$3,$J32, 選擇權近月!$N$2,$N32, 0,0)-GBSOption("P",指數型權證!$T$3,$J32,選擇權近月!$O$2,$N32, 0,0))*$Q32*50*-1</f>
        <v>0</v>
      </c>
      <c r="T32" s="36"/>
      <c r="U32" s="48">
        <f ca="1">(GBSOption("C",指數型權證!T$3,$J32,選擇權近月!$N$2,$H32,0, 0)-GBSOption("C",指數型權證!T$3,$J32,選擇權近月!$N$2,$H32+0.01,0, 0))*50*$C32</f>
        <v>0</v>
      </c>
      <c r="V32" s="48">
        <f ca="1">(GBSOption("P",指數型權證!T$3,$J32,選擇權近月!$N$2,$N32,0, 0)-GBSOption("P",指數型權證!T$3,$J32,選擇權近月!$N$2,$N32+0.01,0, 0))*50*$Q32</f>
        <v>0</v>
      </c>
      <c r="Y32" s="250"/>
      <c r="Z32" s="250"/>
      <c r="AA32" s="36">
        <v>0</v>
      </c>
      <c r="AB32" s="14">
        <v>0</v>
      </c>
      <c r="AC32" s="14">
        <v>0</v>
      </c>
      <c r="AD32" s="14">
        <v>0</v>
      </c>
      <c r="AE32" s="17">
        <v>259</v>
      </c>
      <c r="AF32" s="17">
        <v>261</v>
      </c>
      <c r="AG32" s="17">
        <v>259</v>
      </c>
      <c r="AH32" s="19">
        <v>0.18960468444824219</v>
      </c>
      <c r="AI32" s="19">
        <v>0.19082532653808593</v>
      </c>
      <c r="AJ32" s="18">
        <v>12100</v>
      </c>
      <c r="AK32" s="17">
        <v>330</v>
      </c>
      <c r="AL32" s="17">
        <v>334</v>
      </c>
      <c r="AM32" s="17">
        <v>332</v>
      </c>
      <c r="AN32" s="19">
        <v>0.18960468444824219</v>
      </c>
      <c r="AO32" s="19">
        <v>0.19216803283691408</v>
      </c>
      <c r="AP32" s="14">
        <v>0</v>
      </c>
      <c r="AQ32" s="14">
        <v>0</v>
      </c>
      <c r="AR32" s="14">
        <v>0</v>
      </c>
      <c r="AS32" s="36">
        <v>0</v>
      </c>
      <c r="AT32" s="36"/>
      <c r="AU32" s="48">
        <v>0</v>
      </c>
      <c r="AV32" s="48">
        <v>0</v>
      </c>
    </row>
    <row r="33" spans="1:48" ht="17.25" thickBot="1" x14ac:dyDescent="0.3">
      <c r="A33" s="36">
        <f ca="1">(GBSOption("C",指數型權證!$T$2,$J33, 選擇權近月!$N$2,$H33, 0,0)-GBSOption("C",指數型權證!$T$2,$J33,選擇權近月!$O$2,$H33, 0,0))*$C33*50*-1</f>
        <v>0</v>
      </c>
      <c r="B33" s="14">
        <f ca="1">GBSGreeks("d", "C",指數型權證!$T$2,$J33,選擇權近月!$N$2,$H33, 0,0)*50*指數型權證!$T$2*$C33</f>
        <v>0</v>
      </c>
      <c r="C33" s="14">
        <f>SUMIFS(指數型權證!$AH$1:$AH$49,指數型權證!$AL$1:$AL$49,"8",指數型權證!$AJ$1:$AJ$49,$J33,指數型權證!$AM$1:$AM$49,"Call")</f>
        <v>0</v>
      </c>
      <c r="D33" s="14">
        <f ca="1">GBSGreeks("g", "C",指數型權證!$T$2,$J33,選擇權近月!$N$2,$H33, 0,0)*50*指數型權證!$T$2^2*1%*$C33*-1</f>
        <v>0</v>
      </c>
      <c r="E33" s="17">
        <v>232</v>
      </c>
      <c r="F33" s="17">
        <v>233</v>
      </c>
      <c r="G33" s="17">
        <v>233</v>
      </c>
      <c r="H33" s="19">
        <v>0.18765165710449219</v>
      </c>
      <c r="I33" s="19">
        <v>0.18826197814941409</v>
      </c>
      <c r="J33" s="18">
        <v>12200</v>
      </c>
      <c r="K33" s="17">
        <v>350</v>
      </c>
      <c r="L33" s="17">
        <v>354</v>
      </c>
      <c r="M33" s="17">
        <v>359</v>
      </c>
      <c r="N33" s="19">
        <v>0.18899436340332035</v>
      </c>
      <c r="O33" s="19">
        <v>0.19155771179199219</v>
      </c>
      <c r="P33" s="14">
        <f ca="1">GBSGreeks("g", "P",指數型權證!$T$3,$J33,選擇權近月!$N$2,$N33, 0,0)*50*指數型權證!$T$3^2*1%*$Q33*-1</f>
        <v>0</v>
      </c>
      <c r="Q33" s="14">
        <f>SUMIFS(指數型權證!$AH$1:$AH$49,指數型權證!$AL$1:$AL$49,"8",指數型權證!$AJ$1:$AJ$49,$J33,指數型權證!$AM$1:$AM$49,"Put")</f>
        <v>0</v>
      </c>
      <c r="R33" s="14">
        <f ca="1">GBSGreeks("d", "P",指數型權證!$T$3,$J33,選擇權近月!$N$2,$N33, 0,0)*50*指數型權證!$T$3*$Q33</f>
        <v>0</v>
      </c>
      <c r="S33" s="36">
        <f ca="1">(GBSOption("P",指數型權證!$T$3,$J33, 選擇權近月!$N$2,$N33, 0,0)-GBSOption("P",指數型權證!$T$3,$J33,選擇權近月!$O$2,$N33, 0,0))*$Q33*50*-1</f>
        <v>0</v>
      </c>
      <c r="T33" s="36"/>
      <c r="U33" s="48">
        <f ca="1">(GBSOption("C",指數型權證!T$3,$J33,選擇權近月!$N$2,$H33,0, 0)-GBSOption("C",指數型權證!T$3,$J33,選擇權近月!$N$2,$H33+0.01,0, 0))*50*$C33</f>
        <v>0</v>
      </c>
      <c r="V33" s="48">
        <f ca="1">(GBSOption("P",指數型權證!T$3,$J33,選擇權近月!$N$2,$N33,0, 0)-GBSOption("P",指數型權證!T$3,$J33,選擇權近月!$N$2,$N33+0.01,0, 0))*50*$Q33</f>
        <v>0</v>
      </c>
      <c r="Y33" s="250"/>
      <c r="Z33" s="250"/>
      <c r="AA33" s="36">
        <v>0</v>
      </c>
      <c r="AB33" s="14">
        <v>0</v>
      </c>
      <c r="AC33" s="14">
        <v>0</v>
      </c>
      <c r="AD33" s="14">
        <v>0</v>
      </c>
      <c r="AE33" s="17">
        <v>212</v>
      </c>
      <c r="AF33" s="17">
        <v>213</v>
      </c>
      <c r="AG33" s="17">
        <v>212</v>
      </c>
      <c r="AH33" s="19">
        <v>0.18655307922363282</v>
      </c>
      <c r="AI33" s="19">
        <v>0.18716340026855469</v>
      </c>
      <c r="AJ33" s="18">
        <v>12200</v>
      </c>
      <c r="AK33" s="17">
        <v>382</v>
      </c>
      <c r="AL33" s="17">
        <v>386</v>
      </c>
      <c r="AM33" s="17">
        <v>382</v>
      </c>
      <c r="AN33" s="19">
        <v>0.18582069396972659</v>
      </c>
      <c r="AO33" s="19">
        <v>0.18850610656738284</v>
      </c>
      <c r="AP33" s="14">
        <v>0</v>
      </c>
      <c r="AQ33" s="14">
        <v>0</v>
      </c>
      <c r="AR33" s="14">
        <v>0</v>
      </c>
      <c r="AS33" s="36">
        <v>0</v>
      </c>
      <c r="AT33" s="36"/>
      <c r="AU33" s="48">
        <v>0</v>
      </c>
      <c r="AV33" s="48">
        <v>0</v>
      </c>
    </row>
    <row r="34" spans="1:48" ht="17.25" thickBot="1" x14ac:dyDescent="0.3">
      <c r="A34" s="36">
        <f ca="1">(GBSOption("C",指數型權證!$T$2,$J34, 選擇權近月!$N$2,$H34, 0,0)-GBSOption("C",指數型權證!$T$2,$J34,選擇權近月!$O$2,$H34, 0,0))*$C34*50*-1</f>
        <v>0</v>
      </c>
      <c r="B34" s="14">
        <f ca="1">GBSGreeks("d", "C",指數型權證!$T$2,$J34,選擇權近月!$N$2,$H34, 0,0)*50*指數型權證!$T$2*$C34</f>
        <v>0</v>
      </c>
      <c r="C34" s="14">
        <f>SUMIFS(指數型權證!$AH$1:$AH$49,指數型權證!$AL$1:$AL$49,"8",指數型權證!$AJ$1:$AJ$49,$J34,指數型權證!$AM$1:$AM$49,"Call")</f>
        <v>0</v>
      </c>
      <c r="D34" s="14">
        <f ca="1">GBSGreeks("g", "C",指數型權證!$T$2,$J34,選擇權近月!$N$2,$H34, 0,0)*50*指數型權證!$T$2^2*1%*$C34*-1</f>
        <v>0</v>
      </c>
      <c r="E34" s="17">
        <v>187</v>
      </c>
      <c r="F34" s="17">
        <v>188</v>
      </c>
      <c r="G34" s="17">
        <v>188</v>
      </c>
      <c r="H34" s="19">
        <v>0.18398973083496095</v>
      </c>
      <c r="I34" s="19">
        <v>0.18472211608886721</v>
      </c>
      <c r="J34" s="18">
        <v>12300</v>
      </c>
      <c r="K34" s="17">
        <v>405</v>
      </c>
      <c r="L34" s="17">
        <v>408</v>
      </c>
      <c r="M34" s="17">
        <v>410</v>
      </c>
      <c r="N34" s="19">
        <v>0.18545450134277344</v>
      </c>
      <c r="O34" s="19">
        <v>0.18740752868652344</v>
      </c>
      <c r="P34" s="14">
        <f ca="1">GBSGreeks("g", "P",指數型權證!$T$3,$J34,選擇權近月!$N$2,$N34, 0,0)*50*指數型權證!$T$3^2*1%*$Q34*-1</f>
        <v>0</v>
      </c>
      <c r="Q34" s="14">
        <f>SUMIFS(指數型權證!$AH$1:$AH$49,指數型權證!$AL$1:$AL$49,"8",指數型權證!$AJ$1:$AJ$49,$J34,指數型權證!$AM$1:$AM$49,"Put")</f>
        <v>0</v>
      </c>
      <c r="R34" s="14">
        <f ca="1">GBSGreeks("d", "P",指數型權證!$T$3,$J34,選擇權近月!$N$2,$N34, 0,0)*50*指數型權證!$T$3*$Q34</f>
        <v>0</v>
      </c>
      <c r="S34" s="36">
        <f ca="1">(GBSOption("P",指數型權證!$T$3,$J34, 選擇權近月!$N$2,$N34, 0,0)-GBSOption("P",指數型權證!$T$3,$J34,選擇權近月!$O$2,$N34, 0,0))*$Q34*50*-1</f>
        <v>0</v>
      </c>
      <c r="T34" s="36"/>
      <c r="U34" s="48">
        <f ca="1">(GBSOption("C",指數型權證!T$3,$J34,選擇權近月!$N$2,$H34,0, 0)-GBSOption("C",指數型權證!T$3,$J34,選擇權近月!$N$2,$H34+0.01,0, 0))*50*$C34</f>
        <v>0</v>
      </c>
      <c r="V34" s="48">
        <f ca="1">(GBSOption("P",指數型權證!T$3,$J34,選擇權近月!$N$2,$N34,0, 0)-GBSOption("P",指數型權證!T$3,$J34,選擇權近月!$N$2,$N34+0.01,0, 0))*50*$Q34</f>
        <v>0</v>
      </c>
      <c r="Y34" s="250"/>
      <c r="Z34" s="250"/>
      <c r="AA34" s="36">
        <v>0</v>
      </c>
      <c r="AB34" s="14">
        <v>0</v>
      </c>
      <c r="AC34" s="14">
        <v>0</v>
      </c>
      <c r="AD34" s="14">
        <v>0</v>
      </c>
      <c r="AE34" s="17">
        <v>171</v>
      </c>
      <c r="AF34" s="17">
        <v>172</v>
      </c>
      <c r="AG34" s="17">
        <v>170</v>
      </c>
      <c r="AH34" s="19">
        <v>0.1837456024169922</v>
      </c>
      <c r="AI34" s="19">
        <v>0.1843559234619141</v>
      </c>
      <c r="AJ34" s="18">
        <v>12300</v>
      </c>
      <c r="AK34" s="17">
        <v>440</v>
      </c>
      <c r="AL34" s="17">
        <v>443</v>
      </c>
      <c r="AM34" s="17">
        <v>446</v>
      </c>
      <c r="AN34" s="19">
        <v>0.18228083190917968</v>
      </c>
      <c r="AO34" s="19">
        <v>0.1843559234619141</v>
      </c>
      <c r="AP34" s="14">
        <v>0</v>
      </c>
      <c r="AQ34" s="14">
        <v>0</v>
      </c>
      <c r="AR34" s="14">
        <v>0</v>
      </c>
      <c r="AS34" s="36">
        <v>0</v>
      </c>
      <c r="AT34" s="36"/>
      <c r="AU34" s="48">
        <v>0</v>
      </c>
      <c r="AV34" s="48">
        <v>0</v>
      </c>
    </row>
    <row r="35" spans="1:48" ht="17.25" thickBot="1" x14ac:dyDescent="0.3">
      <c r="A35" s="36">
        <f ca="1">(GBSOption("C",指數型權證!$T$2,$J35, 選擇權近月!$N$2,$H35, 0,0)-GBSOption("C",指數型權證!$T$2,$J35,選擇權近月!$O$2,$H35, 0,0))*$C35*50*-1</f>
        <v>0</v>
      </c>
      <c r="B35" s="14">
        <f ca="1">GBSGreeks("d", "C",指數型權證!$T$2,$J35,選擇權近月!$N$2,$H35, 0,0)*50*指數型權證!$T$2*$C35</f>
        <v>0</v>
      </c>
      <c r="C35" s="14">
        <f>SUMIFS(指數型權證!$AH$1:$AH$49,指數型權證!$AL$1:$AL$49,"8",指數型權證!$AJ$1:$AJ$49,$J35,指數型權證!$AM$1:$AM$49,"Call")</f>
        <v>0</v>
      </c>
      <c r="D35" s="14">
        <f ca="1">GBSGreeks("g", "C",指數型權證!$T$2,$J35,選擇權近月!$N$2,$H35, 0,0)*50*指數型權證!$T$2^2*1%*$C35*-1</f>
        <v>0</v>
      </c>
      <c r="E35" s="17">
        <v>150</v>
      </c>
      <c r="F35" s="17">
        <v>152</v>
      </c>
      <c r="G35" s="17">
        <v>151</v>
      </c>
      <c r="H35" s="19">
        <v>0.18203670349121095</v>
      </c>
      <c r="I35" s="19">
        <v>0.18350147399902345</v>
      </c>
      <c r="J35" s="18">
        <v>12400</v>
      </c>
      <c r="K35" s="17">
        <v>462</v>
      </c>
      <c r="L35" s="17">
        <v>470</v>
      </c>
      <c r="M35" s="17">
        <v>472</v>
      </c>
      <c r="N35" s="19">
        <v>0.17922922668457034</v>
      </c>
      <c r="O35" s="19">
        <v>0.18496624450683596</v>
      </c>
      <c r="P35" s="14">
        <f ca="1">GBSGreeks("g", "P",指數型權證!$T$3,$J35,選擇權近月!$N$2,$N35, 0,0)*50*指數型權證!$T$3^2*1%*$Q35*-1</f>
        <v>0</v>
      </c>
      <c r="Q35" s="14">
        <f>SUMIFS(指數型權證!$AH$1:$AH$49,指數型權證!$AL$1:$AL$49,"8",指數型權證!$AJ$1:$AJ$49,$J35,指數型權證!$AM$1:$AM$49,"Put")</f>
        <v>0</v>
      </c>
      <c r="R35" s="14">
        <f ca="1">GBSGreeks("d", "P",指數型權證!$T$3,$J35,選擇權近月!$N$2,$N35, 0,0)*50*指數型權證!$T$3*$Q35</f>
        <v>0</v>
      </c>
      <c r="S35" s="36">
        <f ca="1">(GBSOption("P",指數型權證!$T$3,$J35, 選擇權近月!$N$2,$N35, 0,0)-GBSOption("P",指數型權證!$T$3,$J35,選擇權近月!$O$2,$N35, 0,0))*$Q35*50*-1</f>
        <v>0</v>
      </c>
      <c r="T35" s="36"/>
      <c r="U35" s="48">
        <f ca="1">(GBSOption("C",指數型權證!T$3,$J35,選擇權近月!$N$2,$H35,0, 0)-GBSOption("C",指數型權證!T$3,$J35,選擇權近月!$N$2,$H35+0.01,0, 0))*50*$C35</f>
        <v>0</v>
      </c>
      <c r="V35" s="48">
        <f ca="1">(GBSOption("P",指數型權證!T$3,$J35,選擇權近月!$N$2,$N35,0, 0)-GBSOption("P",指數型權證!T$3,$J35,選擇權近月!$N$2,$N35+0.01,0, 0))*50*$Q35</f>
        <v>0</v>
      </c>
      <c r="Y35" s="250"/>
      <c r="Z35" s="250"/>
      <c r="AA35" s="36">
        <v>0</v>
      </c>
      <c r="AB35" s="14">
        <v>0</v>
      </c>
      <c r="AC35" s="14">
        <v>0</v>
      </c>
      <c r="AD35" s="14">
        <v>0</v>
      </c>
      <c r="AE35" s="17">
        <v>135</v>
      </c>
      <c r="AF35" s="17">
        <v>137</v>
      </c>
      <c r="AG35" s="17">
        <v>136</v>
      </c>
      <c r="AH35" s="19">
        <v>0.18057193298339846</v>
      </c>
      <c r="AI35" s="19">
        <v>0.18203670349121095</v>
      </c>
      <c r="AJ35" s="18">
        <v>12400</v>
      </c>
      <c r="AK35" s="17">
        <v>505</v>
      </c>
      <c r="AL35" s="17">
        <v>510</v>
      </c>
      <c r="AM35" s="17">
        <v>500</v>
      </c>
      <c r="AN35" s="19">
        <v>0.17983954772949221</v>
      </c>
      <c r="AO35" s="19">
        <v>0.18350147399902345</v>
      </c>
      <c r="AP35" s="14">
        <v>0</v>
      </c>
      <c r="AQ35" s="14">
        <v>0</v>
      </c>
      <c r="AR35" s="14">
        <v>0</v>
      </c>
      <c r="AS35" s="36">
        <v>0</v>
      </c>
      <c r="AT35" s="36"/>
      <c r="AU35" s="48">
        <v>0</v>
      </c>
      <c r="AV35" s="48">
        <v>0</v>
      </c>
    </row>
    <row r="36" spans="1:48" ht="17.25" thickBot="1" x14ac:dyDescent="0.3">
      <c r="A36" s="36">
        <f ca="1">(GBSOption("C",指數型權證!$T$2,$J36, 選擇權近月!$N$2,$H36, 0,0)-GBSOption("C",指數型權證!$T$2,$J36,選擇權近月!$O$2,$H36, 0,0))*$C36*50*-1</f>
        <v>0</v>
      </c>
      <c r="B36" s="14">
        <f ca="1">GBSGreeks("d", "C",指數型權證!$T$2,$J36,選擇權近月!$N$2,$H36, 0,0)*50*指數型權證!$T$2*$C36</f>
        <v>0</v>
      </c>
      <c r="C36" s="14">
        <f>SUMIFS(指數型權證!$AH$1:$AH$49,指數型權證!$AL$1:$AL$49,"8",指數型權證!$AJ$1:$AJ$49,$J36,指數型權證!$AM$1:$AM$49,"Call")</f>
        <v>0</v>
      </c>
      <c r="D36" s="14">
        <f ca="1">GBSGreeks("g", "C",指數型權證!$T$2,$J36,選擇權近月!$N$2,$H36, 0,0)*50*指數型權證!$T$2^2*1%*$C36*-1</f>
        <v>0</v>
      </c>
      <c r="E36" s="17">
        <v>118</v>
      </c>
      <c r="F36" s="17">
        <v>119</v>
      </c>
      <c r="G36" s="17">
        <v>118</v>
      </c>
      <c r="H36" s="19">
        <v>0.17983954772949221</v>
      </c>
      <c r="I36" s="19">
        <v>0.18069399719238285</v>
      </c>
      <c r="J36" s="18">
        <v>12500</v>
      </c>
      <c r="K36" s="17">
        <v>530</v>
      </c>
      <c r="L36" s="17">
        <v>540</v>
      </c>
      <c r="M36" s="17">
        <v>535</v>
      </c>
      <c r="N36" s="19">
        <v>0.17678794250488286</v>
      </c>
      <c r="O36" s="19">
        <v>0.18447798767089846</v>
      </c>
      <c r="P36" s="14">
        <f ca="1">GBSGreeks("g", "P",指數型權證!$T$3,$J36,選擇權近月!$N$2,$N36, 0,0)*50*指數型權證!$T$3^2*1%*$Q36*-1</f>
        <v>0</v>
      </c>
      <c r="Q36" s="14">
        <f>SUMIFS(指數型權證!$AH$1:$AH$49,指數型權證!$AL$1:$AL$49,"8",指數型權證!$AJ$1:$AJ$49,$J36,指數型權證!$AM$1:$AM$49,"Put")</f>
        <v>0</v>
      </c>
      <c r="R36" s="14">
        <f ca="1">GBSGreeks("d", "P",指數型權證!$T$3,$J36,選擇權近月!$N$2,$N36, 0,0)*50*指數型權證!$T$3*$Q36</f>
        <v>0</v>
      </c>
      <c r="S36" s="36">
        <f ca="1">(GBSOption("P",指數型權證!$T$3,$J36, 選擇權近月!$N$2,$N36, 0,0)-GBSOption("P",指數型權證!$T$3,$J36,選擇權近月!$O$2,$N36, 0,0))*$Q36*50*-1</f>
        <v>0</v>
      </c>
      <c r="T36" s="36"/>
      <c r="U36" s="48">
        <f ca="1">(GBSOption("C",指數型權證!T$3,$J36,選擇權近月!$N$2,$H36,0, 0)-GBSOption("C",指數型權證!T$3,$J36,選擇權近月!$N$2,$H36+0.01,0, 0))*50*$C36</f>
        <v>0</v>
      </c>
      <c r="V36" s="48">
        <f ca="1">(GBSOption("P",指數型權證!T$3,$J36,選擇權近月!$N$2,$N36,0, 0)-GBSOption("P",指數型權證!T$3,$J36,選擇權近月!$N$2,$N36+0.01,0, 0))*50*$Q36</f>
        <v>0</v>
      </c>
      <c r="AA36" s="36">
        <v>0</v>
      </c>
      <c r="AB36" s="14">
        <v>0</v>
      </c>
      <c r="AC36" s="14">
        <v>0</v>
      </c>
      <c r="AD36" s="14">
        <v>0</v>
      </c>
      <c r="AE36" s="17">
        <v>107</v>
      </c>
      <c r="AF36" s="17">
        <v>108</v>
      </c>
      <c r="AG36" s="17">
        <v>107</v>
      </c>
      <c r="AH36" s="19">
        <v>0.17947335510253909</v>
      </c>
      <c r="AI36" s="19">
        <v>0.18032780456542971</v>
      </c>
      <c r="AJ36" s="18">
        <v>12500</v>
      </c>
      <c r="AK36" s="17">
        <v>575</v>
      </c>
      <c r="AL36" s="17">
        <v>580</v>
      </c>
      <c r="AM36" s="17">
        <v>580</v>
      </c>
      <c r="AN36" s="19">
        <v>0.17715413513183598</v>
      </c>
      <c r="AO36" s="19">
        <v>0.18106018981933597</v>
      </c>
      <c r="AP36" s="14">
        <v>0</v>
      </c>
      <c r="AQ36" s="14">
        <v>0</v>
      </c>
      <c r="AR36" s="14">
        <v>0</v>
      </c>
      <c r="AS36" s="36">
        <v>0</v>
      </c>
      <c r="AT36" s="36"/>
      <c r="AU36" s="48">
        <v>0</v>
      </c>
      <c r="AV36" s="48">
        <v>0</v>
      </c>
    </row>
    <row r="37" spans="1:48" ht="17.25" thickBot="1" x14ac:dyDescent="0.3">
      <c r="A37" s="36">
        <f ca="1">(GBSOption("C",指數型權證!$T$2,$J37, 選擇權近月!$N$2,$H37, 0,0)-GBSOption("C",指數型權證!$T$2,$J37,選擇權近月!$O$2,$H37, 0,0))*$C37*50*-1</f>
        <v>0</v>
      </c>
      <c r="B37" s="14">
        <f ca="1">GBSGreeks("d", "C",指數型權證!$T$2,$J37,選擇權近月!$N$2,$H37, 0,0)*50*指數型權證!$T$2*$C37</f>
        <v>0</v>
      </c>
      <c r="C37" s="14">
        <f>SUMIFS(指數型權證!$AH$1:$AH$49,指數型權證!$AL$1:$AL$49,"8",指數型權證!$AJ$1:$AJ$49,$J37,指數型權證!$AM$1:$AM$49,"Call")</f>
        <v>0</v>
      </c>
      <c r="D37" s="14">
        <f ca="1">GBSGreeks("g", "C",指數型權證!$T$2,$J37,選擇權近月!$N$2,$H37, 0,0)*50*指數型權證!$T$2^2*1%*$C37*-1</f>
        <v>0</v>
      </c>
      <c r="E37" s="17">
        <v>91</v>
      </c>
      <c r="F37" s="17">
        <v>93</v>
      </c>
      <c r="G37" s="17">
        <v>92</v>
      </c>
      <c r="H37" s="19">
        <v>0.17764239196777346</v>
      </c>
      <c r="I37" s="19">
        <v>0.1793512908935547</v>
      </c>
      <c r="J37" s="18">
        <v>12600</v>
      </c>
      <c r="K37" s="17">
        <v>605</v>
      </c>
      <c r="L37" s="17">
        <v>615</v>
      </c>
      <c r="M37" s="17">
        <v>620</v>
      </c>
      <c r="N37" s="19">
        <v>0.17593349304199221</v>
      </c>
      <c r="O37" s="19">
        <v>0.1843559234619141</v>
      </c>
      <c r="P37" s="14">
        <f ca="1">GBSGreeks("g", "P",指數型權證!$T$3,$J37,選擇權近月!$N$2,$N37, 0,0)*50*指數型權證!$T$3^2*1%*$Q37*-1</f>
        <v>0</v>
      </c>
      <c r="Q37" s="14">
        <f>SUMIFS(指數型權證!$AH$1:$AH$49,指數型權證!$AL$1:$AL$49,"8",指數型權證!$AJ$1:$AJ$49,$J37,指數型權證!$AM$1:$AM$49,"Put")</f>
        <v>0</v>
      </c>
      <c r="R37" s="14">
        <f ca="1">GBSGreeks("d", "P",指數型權證!$T$3,$J37,選擇權近月!$N$2,$N37, 0,0)*50*指數型權證!$T$3*$Q37</f>
        <v>0</v>
      </c>
      <c r="S37" s="36">
        <f ca="1">(GBSOption("P",指數型權證!$T$3,$J37, 選擇權近月!$N$2,$N37, 0,0)-GBSOption("P",指數型權證!$T$3,$J37,選擇權近月!$O$2,$N37, 0,0))*$Q37*50*-1</f>
        <v>0</v>
      </c>
      <c r="T37" s="36"/>
      <c r="U37" s="48">
        <f ca="1">(GBSOption("C",指數型權證!T$3,$J37,選擇權近月!$N$2,$H37,0, 0)-GBSOption("C",指數型權證!T$3,$J37,選擇權近月!$N$2,$H37+0.01,0, 0))*50*$C37</f>
        <v>0</v>
      </c>
      <c r="V37" s="48">
        <f ca="1">(GBSOption("P",指數型權證!T$3,$J37,選擇權近月!$N$2,$N37,0, 0)-GBSOption("P",指數型權證!T$3,$J37,選擇權近月!$N$2,$N37+0.01,0, 0))*50*$Q37</f>
        <v>0</v>
      </c>
      <c r="AA37" s="36">
        <v>0</v>
      </c>
      <c r="AB37" s="14">
        <v>0</v>
      </c>
      <c r="AC37" s="14">
        <v>0</v>
      </c>
      <c r="AD37" s="14">
        <v>0</v>
      </c>
      <c r="AE37" s="17">
        <v>82</v>
      </c>
      <c r="AF37" s="17">
        <v>83</v>
      </c>
      <c r="AG37" s="17">
        <v>83</v>
      </c>
      <c r="AH37" s="19">
        <v>0.17703207092285161</v>
      </c>
      <c r="AI37" s="19">
        <v>0.1780085845947266</v>
      </c>
      <c r="AJ37" s="18">
        <v>12600</v>
      </c>
      <c r="AK37" s="17">
        <v>650</v>
      </c>
      <c r="AL37" s="17">
        <v>660</v>
      </c>
      <c r="AM37" s="17">
        <v>675</v>
      </c>
      <c r="AN37" s="19">
        <v>0.17446872253417969</v>
      </c>
      <c r="AO37" s="19">
        <v>0.18313528137207033</v>
      </c>
      <c r="AP37" s="14">
        <v>0</v>
      </c>
      <c r="AQ37" s="14">
        <v>0</v>
      </c>
      <c r="AR37" s="14">
        <v>0</v>
      </c>
      <c r="AS37" s="36">
        <v>0</v>
      </c>
      <c r="AT37" s="36"/>
      <c r="AU37" s="48">
        <v>0</v>
      </c>
      <c r="AV37" s="48">
        <v>0</v>
      </c>
    </row>
    <row r="38" spans="1:48" ht="17.25" thickBot="1" x14ac:dyDescent="0.3">
      <c r="A38" s="36">
        <f ca="1">(GBSOption("C",指數型權證!$T$2,$J38, 選擇權近月!$N$2,$H38, 0,0)-GBSOption("C",指數型權證!$T$2,$J38,選擇權近月!$O$2,$H38, 0,0))*$C38*50*-1</f>
        <v>0</v>
      </c>
      <c r="B38" s="14">
        <f ca="1">GBSGreeks("d", "C",指數型權證!$T$2,$J38,選擇權近月!$N$2,$H38, 0,0)*50*指數型權證!$T$2*$C38</f>
        <v>0</v>
      </c>
      <c r="C38" s="14">
        <f>SUMIFS(指數型權證!$AH$1:$AH$49,指數型權證!$AL$1:$AL$49,"8",指數型權證!$AJ$1:$AJ$49,$J38,指數型權證!$AM$1:$AM$49,"Call")</f>
        <v>0</v>
      </c>
      <c r="D38" s="14">
        <f ca="1">GBSGreeks("g", "C",指數型權證!$T$2,$J38,選擇權近月!$N$2,$H38, 0,0)*50*指數型權證!$T$2^2*1%*$C38*-1</f>
        <v>0</v>
      </c>
      <c r="E38" s="17">
        <v>70</v>
      </c>
      <c r="F38" s="17">
        <v>72</v>
      </c>
      <c r="G38" s="17">
        <v>72</v>
      </c>
      <c r="H38" s="19">
        <v>0.17654381408691411</v>
      </c>
      <c r="I38" s="19">
        <v>0.17849684143066408</v>
      </c>
      <c r="J38" s="18">
        <v>12700</v>
      </c>
      <c r="K38" s="17">
        <v>680</v>
      </c>
      <c r="L38" s="17">
        <v>695</v>
      </c>
      <c r="M38" s="17">
        <v>685</v>
      </c>
      <c r="N38" s="19">
        <v>0.17068473205566409</v>
      </c>
      <c r="O38" s="19">
        <v>0.18496624450683596</v>
      </c>
      <c r="P38" s="14">
        <f ca="1">GBSGreeks("g", "P",指數型權證!$T$3,$J38,選擇權近月!$N$2,$N38, 0,0)*50*指數型權證!$T$3^2*1%*$Q38*-1</f>
        <v>0</v>
      </c>
      <c r="Q38" s="14">
        <f>SUMIFS(指數型權證!$AH$1:$AH$49,指數型權證!$AL$1:$AL$49,"8",指數型權證!$AJ$1:$AJ$49,$J38,指數型權證!$AM$1:$AM$49,"Put")</f>
        <v>0</v>
      </c>
      <c r="R38" s="14">
        <f ca="1">GBSGreeks("d", "P",指數型權證!$T$3,$J38,選擇權近月!$N$2,$N38, 0,0)*50*指數型權證!$T$3*$Q38</f>
        <v>0</v>
      </c>
      <c r="S38" s="36">
        <f ca="1">(GBSOption("P",指數型權證!$T$3,$J38, 選擇權近月!$N$2,$N38, 0,0)-GBSOption("P",指數型權證!$T$3,$J38,選擇權近月!$O$2,$N38, 0,0))*$Q38*50*-1</f>
        <v>0</v>
      </c>
      <c r="T38" s="36"/>
      <c r="U38" s="48">
        <f ca="1">(GBSOption("C",指數型權證!T$3,$J38,選擇權近月!$N$2,$H38,0, 0)-GBSOption("C",指數型權證!T$3,$J38,選擇權近月!$N$2,$H38+0.01,0, 0))*50*$C38</f>
        <v>0</v>
      </c>
      <c r="V38" s="48">
        <f ca="1">(GBSOption("P",指數型權證!T$3,$J38,選擇權近月!$N$2,$N38,0, 0)-GBSOption("P",指數型權證!T$3,$J38,選擇權近月!$N$2,$N38+0.01,0, 0))*50*$Q38</f>
        <v>0</v>
      </c>
      <c r="AA38" s="36">
        <v>0</v>
      </c>
      <c r="AB38" s="14">
        <v>0</v>
      </c>
      <c r="AC38" s="14">
        <v>0</v>
      </c>
      <c r="AD38" s="14">
        <v>0</v>
      </c>
      <c r="AE38" s="17">
        <v>63</v>
      </c>
      <c r="AF38" s="17">
        <v>65</v>
      </c>
      <c r="AG38" s="17">
        <v>63</v>
      </c>
      <c r="AH38" s="19">
        <v>0.17617762145996096</v>
      </c>
      <c r="AI38" s="19">
        <v>0.17813064880371096</v>
      </c>
      <c r="AJ38" s="18">
        <v>12700</v>
      </c>
      <c r="AK38" s="17">
        <v>730</v>
      </c>
      <c r="AL38" s="17">
        <v>740</v>
      </c>
      <c r="AM38" s="17" t="s">
        <v>1854</v>
      </c>
      <c r="AN38" s="19">
        <v>0.17214950256347658</v>
      </c>
      <c r="AO38" s="19">
        <v>0.18203670349121095</v>
      </c>
      <c r="AP38" s="14">
        <v>0</v>
      </c>
      <c r="AQ38" s="14">
        <v>0</v>
      </c>
      <c r="AR38" s="14">
        <v>0</v>
      </c>
      <c r="AS38" s="36">
        <v>0</v>
      </c>
      <c r="AT38" s="36"/>
      <c r="AU38" s="48">
        <v>0</v>
      </c>
      <c r="AV38" s="48">
        <v>0</v>
      </c>
    </row>
    <row r="39" spans="1:48" ht="17.25" thickBot="1" x14ac:dyDescent="0.3">
      <c r="A39" s="36">
        <f ca="1">(GBSOption("C",指數型權證!$T$2,$J39, 選擇權近月!$N$2,$H39, 0,0)-GBSOption("C",指數型權證!$T$2,$J39,選擇權近月!$O$2,$H39, 0,0))*$C39*50*-1</f>
        <v>0</v>
      </c>
      <c r="B39" s="14">
        <f ca="1">GBSGreeks("d", "C",指數型權證!$T$2,$J39,選擇權近月!$N$2,$H39, 0,0)*50*指數型權證!$T$2*$C39</f>
        <v>0</v>
      </c>
      <c r="C39" s="14">
        <f>SUMIFS(指數型權證!$AH$1:$AH$49,指數型權證!$AL$1:$AL$49,"8",指數型權證!$AJ$1:$AJ$49,$J39,指數型權證!$AM$1:$AM$49,"Call")</f>
        <v>0</v>
      </c>
      <c r="D39" s="14">
        <f ca="1">GBSGreeks("g", "C",指數型權證!$T$2,$J39,選擇權近月!$N$2,$H39, 0,0)*50*指數型權證!$T$2^2*1%*$C39*-1</f>
        <v>0</v>
      </c>
      <c r="E39" s="17">
        <v>53</v>
      </c>
      <c r="F39" s="17">
        <v>55</v>
      </c>
      <c r="G39" s="17">
        <v>55</v>
      </c>
      <c r="H39" s="19">
        <v>0.1755673004150391</v>
      </c>
      <c r="I39" s="19">
        <v>0.17776445617675785</v>
      </c>
      <c r="J39" s="18">
        <v>12800</v>
      </c>
      <c r="K39" s="17">
        <v>765</v>
      </c>
      <c r="L39" s="17">
        <v>775</v>
      </c>
      <c r="M39" s="17">
        <v>775</v>
      </c>
      <c r="N39" s="19">
        <v>0.17105092468261721</v>
      </c>
      <c r="O39" s="19">
        <v>0.18203670349121095</v>
      </c>
      <c r="P39" s="14">
        <f ca="1">GBSGreeks("g", "P",指數型權證!$T$3,$J39,選擇權近月!$N$2,$N39, 0,0)*50*指數型權證!$T$3^2*1%*$Q39*-1</f>
        <v>0</v>
      </c>
      <c r="Q39" s="14">
        <f>SUMIFS(指數型權證!$AH$1:$AH$49,指數型權證!$AL$1:$AL$49,"8",指數型權證!$AJ$1:$AJ$49,$J39,指數型權證!$AM$1:$AM$49,"Put")</f>
        <v>0</v>
      </c>
      <c r="R39" s="14">
        <f ca="1">GBSGreeks("d", "P",指數型權證!$T$3,$J39,選擇權近月!$N$2,$N39, 0,0)*50*指數型權證!$T$3*$Q39</f>
        <v>0</v>
      </c>
      <c r="S39" s="36">
        <f ca="1">(GBSOption("P",指數型權證!$T$3,$J39, 選擇權近月!$N$2,$N39, 0,0)-GBSOption("P",指數型權證!$T$3,$J39,選擇權近月!$O$2,$N39, 0,0))*$Q39*50*-1</f>
        <v>0</v>
      </c>
      <c r="T39" s="36"/>
      <c r="U39" s="48">
        <f ca="1">(GBSOption("C",指數型權證!T$3,$J39,選擇權近月!$N$2,$H39,0, 0)-GBSOption("C",指數型權證!T$3,$J39,選擇權近月!$N$2,$H39+0.01,0, 0))*50*$C39</f>
        <v>0</v>
      </c>
      <c r="V39" s="48">
        <f ca="1">(GBSOption("P",指數型權證!T$3,$J39,選擇權近月!$N$2,$N39,0, 0)-GBSOption("P",指數型權證!T$3,$J39,選擇權近月!$N$2,$N39+0.01,0, 0))*50*$Q39</f>
        <v>0</v>
      </c>
      <c r="AA39" s="36">
        <v>0</v>
      </c>
      <c r="AB39" s="14">
        <v>0</v>
      </c>
      <c r="AC39" s="14">
        <v>0</v>
      </c>
      <c r="AD39" s="14">
        <v>0</v>
      </c>
      <c r="AE39" s="17">
        <v>48</v>
      </c>
      <c r="AF39" s="17">
        <v>49</v>
      </c>
      <c r="AG39" s="17">
        <v>48.5</v>
      </c>
      <c r="AH39" s="19">
        <v>0.17568936462402346</v>
      </c>
      <c r="AI39" s="19">
        <v>0.17678794250488286</v>
      </c>
      <c r="AJ39" s="18">
        <v>12800</v>
      </c>
      <c r="AK39" s="17">
        <v>815</v>
      </c>
      <c r="AL39" s="17">
        <v>825</v>
      </c>
      <c r="AM39" s="17">
        <v>815</v>
      </c>
      <c r="AN39" s="19">
        <v>0.17092886047363284</v>
      </c>
      <c r="AO39" s="19">
        <v>0.18240289611816407</v>
      </c>
      <c r="AP39" s="14">
        <v>0</v>
      </c>
      <c r="AQ39" s="14">
        <v>0</v>
      </c>
      <c r="AR39" s="14">
        <v>0</v>
      </c>
      <c r="AS39" s="36">
        <v>0</v>
      </c>
      <c r="AT39" s="36"/>
      <c r="AU39" s="48">
        <v>0</v>
      </c>
      <c r="AV39" s="48">
        <v>0</v>
      </c>
    </row>
    <row r="40" spans="1:48" ht="17.25" thickBot="1" x14ac:dyDescent="0.3">
      <c r="A40" s="36">
        <f ca="1">(GBSOption("C",指數型權證!$T$2,$J40, 選擇權近月!$N$2,$H40, 0,0)-GBSOption("C",指數型權證!$T$2,$J40,選擇權近月!$O$2,$H40, 0,0))*$C40*50*-1</f>
        <v>0</v>
      </c>
      <c r="B40" s="14">
        <f ca="1">GBSGreeks("d", "C",指數型權證!$T$2,$J40,選擇權近月!$N$2,$H40, 0,0)*50*指數型權證!$T$2*$C40</f>
        <v>0</v>
      </c>
      <c r="C40" s="14">
        <f>SUMIFS(指數型權證!$AH$1:$AH$49,指數型權證!$AL$1:$AL$49,"8",指數型權證!$AJ$1:$AJ$49,$J40,指數型權證!$AM$1:$AM$49,"Call")</f>
        <v>0</v>
      </c>
      <c r="D40" s="14">
        <f ca="1">GBSGreeks("g", "C",指數型權證!$T$2,$J40,選擇權近月!$N$2,$H40, 0,0)*50*指數型權證!$T$2^2*1%*$C40*-1</f>
        <v>0</v>
      </c>
      <c r="E40" s="17">
        <v>40</v>
      </c>
      <c r="F40" s="17">
        <v>41.5</v>
      </c>
      <c r="G40" s="17">
        <v>40</v>
      </c>
      <c r="H40" s="19">
        <v>0.17520110778808595</v>
      </c>
      <c r="I40" s="19">
        <v>0.17715413513183598</v>
      </c>
      <c r="J40" s="18">
        <v>12900</v>
      </c>
      <c r="K40" s="17">
        <v>850</v>
      </c>
      <c r="L40" s="17">
        <v>865</v>
      </c>
      <c r="M40" s="17" t="s">
        <v>1854</v>
      </c>
      <c r="N40" s="19">
        <v>0.16726693420410155</v>
      </c>
      <c r="O40" s="19">
        <v>0.18630895080566406</v>
      </c>
      <c r="P40" s="14">
        <f ca="1">GBSGreeks("g", "P",指數型權證!$T$3,$J40,選擇權近月!$N$2,$N40, 0,0)*50*指數型權證!$T$3^2*1%*$Q40*-1</f>
        <v>0</v>
      </c>
      <c r="Q40" s="14">
        <f>SUMIFS(指數型權證!$AH$1:$AH$49,指數型權證!$AL$1:$AL$49,"8",指數型權證!$AJ$1:$AJ$49,$J40,指數型權證!$AM$1:$AM$49,"Put")</f>
        <v>0</v>
      </c>
      <c r="R40" s="14">
        <f ca="1">GBSGreeks("d", "P",指數型權證!$T$3,$J40,選擇權近月!$N$2,$N40, 0,0)*50*指數型權證!$T$3*$Q40</f>
        <v>0</v>
      </c>
      <c r="S40" s="36">
        <f ca="1">(GBSOption("P",指數型權證!$T$3,$J40, 選擇權近月!$N$2,$N40, 0,0)-GBSOption("P",指數型權證!$T$3,$J40,選擇權近月!$O$2,$N40, 0,0))*$Q40*50*-1</f>
        <v>0</v>
      </c>
      <c r="T40" s="36"/>
      <c r="U40" s="48">
        <f ca="1">(GBSOption("C",指數型權證!T$3,$J40,選擇權近月!$N$2,$H40,0, 0)-GBSOption("C",指數型權證!T$3,$J40,選擇權近月!$N$2,$H40+0.01,0, 0))*50*$C40</f>
        <v>0</v>
      </c>
      <c r="V40" s="48">
        <f ca="1">(GBSOption("P",指數型權證!T$3,$J40,選擇權近月!$N$2,$N40,0, 0)-GBSOption("P",指數型權證!T$3,$J40,選擇權近月!$N$2,$N40+0.01,0, 0))*50*$Q40</f>
        <v>0</v>
      </c>
      <c r="AA40" s="36">
        <v>0</v>
      </c>
      <c r="AB40" s="14">
        <v>0</v>
      </c>
      <c r="AC40" s="14">
        <v>0</v>
      </c>
      <c r="AD40" s="14">
        <v>0</v>
      </c>
      <c r="AE40" s="17">
        <v>36.5</v>
      </c>
      <c r="AF40" s="17">
        <v>37</v>
      </c>
      <c r="AG40" s="17">
        <v>36</v>
      </c>
      <c r="AH40" s="19">
        <v>0.17581142883300785</v>
      </c>
      <c r="AI40" s="19">
        <v>0.17642174987792972</v>
      </c>
      <c r="AJ40" s="18">
        <v>12900</v>
      </c>
      <c r="AK40" s="17">
        <v>900</v>
      </c>
      <c r="AL40" s="17">
        <v>915</v>
      </c>
      <c r="AM40" s="17" t="s">
        <v>1854</v>
      </c>
      <c r="AN40" s="19">
        <v>0.16519184265136719</v>
      </c>
      <c r="AO40" s="19">
        <v>0.18545450134277344</v>
      </c>
      <c r="AP40" s="14">
        <v>0</v>
      </c>
      <c r="AQ40" s="14">
        <v>0</v>
      </c>
      <c r="AR40" s="14">
        <v>0</v>
      </c>
      <c r="AS40" s="36">
        <v>0</v>
      </c>
      <c r="AT40" s="36"/>
      <c r="AU40" s="48">
        <v>0</v>
      </c>
      <c r="AV40" s="48">
        <v>0</v>
      </c>
    </row>
    <row r="41" spans="1:48" ht="17.25" thickBot="1" x14ac:dyDescent="0.3">
      <c r="A41" s="36">
        <f ca="1">(GBSOption("C",指數型權證!$T$2,$J41, 選擇權近月!$N$2,$H41, 0,0)-GBSOption("C",指數型權證!$T$2,$J41,選擇權近月!$O$2,$H41, 0,0))*$C41*50*-1</f>
        <v>0</v>
      </c>
      <c r="B41" s="14">
        <f ca="1">GBSGreeks("d", "C",指數型權證!$T$2,$J41,選擇權近月!$N$2,$H41, 0,0)*50*指數型權證!$T$2*$C41</f>
        <v>0</v>
      </c>
      <c r="C41" s="14">
        <f>SUMIFS(指數型權證!$AH$1:$AH$49,指數型權證!$AL$1:$AL$49,"8",指數型權證!$AJ$1:$AJ$49,$J41,指數型權證!$AM$1:$AM$49,"Call")</f>
        <v>0</v>
      </c>
      <c r="D41" s="14">
        <f ca="1">GBSGreeks("g", "C",指數型權證!$T$2,$J41,選擇權近月!$N$2,$H41, 0,0)*50*指數型權證!$T$2^2*1%*$C41*-1</f>
        <v>0</v>
      </c>
      <c r="E41" s="17">
        <v>30</v>
      </c>
      <c r="F41" s="17">
        <v>30.5</v>
      </c>
      <c r="G41" s="17">
        <v>30.5</v>
      </c>
      <c r="H41" s="19">
        <v>0.17532317199707034</v>
      </c>
      <c r="I41" s="19">
        <v>0.1760555572509766</v>
      </c>
      <c r="J41" s="18">
        <v>13000</v>
      </c>
      <c r="K41" s="17">
        <v>940</v>
      </c>
      <c r="L41" s="17">
        <v>950</v>
      </c>
      <c r="M41" s="17" t="s">
        <v>1854</v>
      </c>
      <c r="N41" s="19">
        <v>0.16568009948730469</v>
      </c>
      <c r="O41" s="19">
        <v>0.18118225402832036</v>
      </c>
      <c r="P41" s="14">
        <f ca="1">GBSGreeks("g", "P",指數型權證!$T$3,$J41,選擇權近月!$N$2,$N41, 0,0)*50*指數型權證!$T$3^2*1%*$Q41*-1</f>
        <v>0</v>
      </c>
      <c r="Q41" s="14">
        <f>SUMIFS(指數型權證!$AH$1:$AH$49,指數型權證!$AL$1:$AL$49,"8",指數型權證!$AJ$1:$AJ$49,$J41,指數型權證!$AM$1:$AM$49,"Put")</f>
        <v>0</v>
      </c>
      <c r="R41" s="14">
        <f ca="1">GBSGreeks("d", "P",指數型權證!$T$3,$J41,選擇權近月!$N$2,$N41, 0,0)*50*指數型權證!$T$3*$Q41</f>
        <v>0</v>
      </c>
      <c r="S41" s="36">
        <f ca="1">(GBSOption("P",指數型權證!$T$3,$J41, 選擇權近月!$N$2,$N41, 0,0)-GBSOption("P",指數型權證!$T$3,$J41,選擇權近月!$O$2,$N41, 0,0))*$Q41*50*-1</f>
        <v>0</v>
      </c>
      <c r="T41" s="36"/>
      <c r="U41" s="48">
        <f ca="1">(GBSOption("C",指數型權證!T$3,$J41,選擇權近月!$N$2,$H41,0, 0)-GBSOption("C",指數型權證!T$3,$J41,選擇權近月!$N$2,$H41+0.01,0, 0))*50*$C41</f>
        <v>0</v>
      </c>
      <c r="V41" s="48">
        <f ca="1">(GBSOption("P",指數型權證!T$3,$J41,選擇權近月!$N$2,$N41,0, 0)-GBSOption("P",指數型權證!T$3,$J41,選擇權近月!$N$2,$N41+0.01,0, 0))*50*$Q41</f>
        <v>0</v>
      </c>
      <c r="AA41" s="36">
        <v>0</v>
      </c>
      <c r="AB41" s="14">
        <v>0</v>
      </c>
      <c r="AC41" s="14">
        <v>0</v>
      </c>
      <c r="AD41" s="14">
        <v>0</v>
      </c>
      <c r="AE41" s="17">
        <v>27.5</v>
      </c>
      <c r="AF41" s="17">
        <v>28.5</v>
      </c>
      <c r="AG41" s="17">
        <v>28.5</v>
      </c>
      <c r="AH41" s="19">
        <v>0.17593349304199221</v>
      </c>
      <c r="AI41" s="19">
        <v>0.17752032775878909</v>
      </c>
      <c r="AJ41" s="18">
        <v>13000</v>
      </c>
      <c r="AK41" s="17">
        <v>995</v>
      </c>
      <c r="AL41" s="17">
        <v>1010</v>
      </c>
      <c r="AM41" s="17" t="s">
        <v>1854</v>
      </c>
      <c r="AN41" s="19">
        <v>0.17019647521972658</v>
      </c>
      <c r="AO41" s="19">
        <v>0.19290041809082034</v>
      </c>
      <c r="AP41" s="14">
        <v>0</v>
      </c>
      <c r="AQ41" s="14">
        <v>0</v>
      </c>
      <c r="AR41" s="14">
        <v>0</v>
      </c>
      <c r="AS41" s="36">
        <v>0</v>
      </c>
      <c r="AT41" s="36"/>
      <c r="AU41" s="48">
        <v>0</v>
      </c>
      <c r="AV41" s="48">
        <v>0</v>
      </c>
    </row>
    <row r="42" spans="1:48" ht="17.25" thickBot="1" x14ac:dyDescent="0.3">
      <c r="A42" s="36" t="e">
        <f ca="1">(GBSOption("C",指數型權證!$T$2,$J42, 選擇權近月!$N$2,$H42, 0,0)-GBSOption("C",指數型權證!$T$2,$J42,選擇權近月!$O$2,$H42, 0,0))*$C42*50*-1</f>
        <v>#VALUE!</v>
      </c>
      <c r="B42" s="14" t="e">
        <f ca="1">GBSGreeks("d", "C",指數型權證!$T$2,$J42,選擇權近月!$N$2,$H42, 0,0)*50*指數型權證!$T$2*$C42</f>
        <v>#VALUE!</v>
      </c>
      <c r="C42" s="14">
        <f>SUMIFS(指數型權證!$AH$1:$AH$49,指數型權證!$AL$1:$AL$49,"8",指數型權證!$AJ$1:$AJ$49,$J42,指數型權證!$AM$1:$AM$49,"Call")</f>
        <v>0</v>
      </c>
      <c r="D42" s="14" t="e">
        <f ca="1">GBSGreeks("g", "C",指數型權證!$T$2,$J42,選擇權近月!$N$2,$H42, 0,0)*50*指數型權證!$T$2^2*1%*$C42*-1</f>
        <v>#VALUE!</v>
      </c>
      <c r="E42" s="17"/>
      <c r="F42" s="17"/>
      <c r="G42" s="17"/>
      <c r="H42" s="19"/>
      <c r="I42" s="19"/>
      <c r="J42" s="18"/>
      <c r="K42" s="17"/>
      <c r="L42" s="17"/>
      <c r="M42" s="17"/>
      <c r="N42" s="19"/>
      <c r="O42" s="19"/>
      <c r="P42" s="14" t="e">
        <f ca="1">GBSGreeks("g", "P",指數型權證!$T$3,$J42,選擇權近月!$N$2,$N42, 0,0)*50*指數型權證!$T$3^2*1%*$Q42*-1</f>
        <v>#VALUE!</v>
      </c>
      <c r="Q42" s="14">
        <f>SUMIFS(指數型權證!$AH$1:$AH$49,指數型權證!$AL$1:$AL$49,"8",指數型權證!$AJ$1:$AJ$49,$J42,指數型權證!$AM$1:$AM$49,"Put")</f>
        <v>0</v>
      </c>
      <c r="R42" s="14" t="e">
        <f ca="1">GBSGreeks("d", "P",指數型權證!$T$3,$J42,選擇權近月!$N$2,$N42, 0,0)*50*指數型權證!$T$3*$Q42</f>
        <v>#VALUE!</v>
      </c>
      <c r="S42" s="36" t="e">
        <f ca="1">(GBSOption("P",指數型權證!$T$3,$J42, 選擇權近月!$N$2,$N42, 0,0)-GBSOption("P",指數型權證!$T$3,$J42,選擇權近月!$O$2,$N42, 0,0))*$Q42*50*-1</f>
        <v>#VALUE!</v>
      </c>
      <c r="T42" s="36"/>
      <c r="U42" s="48" t="e">
        <f ca="1">(GBSOption("C",指數型權證!T$3,$J42,選擇權近月!$N$2,$H42,0, 0)-GBSOption("C",指數型權證!T$3,$J42,選擇權近月!$N$2,$H42+0.01,0, 0))*50*$C42</f>
        <v>#VALUE!</v>
      </c>
      <c r="V42" s="48" t="e">
        <f ca="1">(GBSOption("P",指數型權證!T$3,$J42,選擇權近月!$N$2,$N42,0, 0)-GBSOption("P",指數型權證!T$3,$J42,選擇權近月!$N$2,$N42+0.01,0, 0))*50*$Q42</f>
        <v>#VALUE!</v>
      </c>
      <c r="AA42" s="36" t="e">
        <v>#VALUE!</v>
      </c>
      <c r="AB42" s="14" t="e">
        <v>#VALUE!</v>
      </c>
      <c r="AC42" s="14">
        <v>0</v>
      </c>
      <c r="AD42" s="14" t="e">
        <v>#VALUE!</v>
      </c>
      <c r="AE42" s="17"/>
      <c r="AF42" s="17"/>
      <c r="AG42" s="17"/>
      <c r="AH42" s="19"/>
      <c r="AI42" s="19"/>
      <c r="AJ42" s="18"/>
      <c r="AK42" s="17"/>
      <c r="AL42" s="17"/>
      <c r="AM42" s="17"/>
      <c r="AN42" s="19"/>
      <c r="AO42" s="19"/>
      <c r="AP42" s="14" t="e">
        <v>#VALUE!</v>
      </c>
      <c r="AQ42" s="14">
        <v>0</v>
      </c>
      <c r="AR42" s="14" t="e">
        <v>#VALUE!</v>
      </c>
      <c r="AS42" s="36" t="e">
        <v>#VALUE!</v>
      </c>
      <c r="AT42" s="36"/>
      <c r="AU42" s="48" t="e">
        <v>#VALUE!</v>
      </c>
      <c r="AV42" s="48" t="e">
        <v>#VALUE!</v>
      </c>
    </row>
    <row r="43" spans="1:48" ht="17.25" thickBot="1" x14ac:dyDescent="0.3">
      <c r="A43" s="36"/>
      <c r="B43" s="14"/>
      <c r="C43" s="14"/>
      <c r="D43" s="14"/>
      <c r="E43" s="17"/>
      <c r="F43" s="17"/>
      <c r="G43" s="17"/>
      <c r="H43" s="19"/>
      <c r="I43" s="19"/>
      <c r="J43" s="18"/>
      <c r="K43" s="17"/>
      <c r="L43" s="17"/>
      <c r="M43" s="17"/>
      <c r="N43" s="19"/>
      <c r="O43" s="19"/>
      <c r="P43" s="14"/>
      <c r="Q43" s="14"/>
      <c r="R43" s="14"/>
      <c r="S43" s="36"/>
      <c r="T43" s="36"/>
      <c r="U43" s="48"/>
      <c r="V43" s="48"/>
      <c r="AA43" s="36"/>
      <c r="AB43" s="14"/>
      <c r="AC43" s="14"/>
      <c r="AD43" s="14"/>
      <c r="AE43" s="17"/>
      <c r="AF43" s="17"/>
      <c r="AG43" s="17"/>
      <c r="AH43" s="19"/>
      <c r="AI43" s="19"/>
      <c r="AJ43" s="18"/>
      <c r="AK43" s="17"/>
      <c r="AL43" s="17"/>
      <c r="AM43" s="17"/>
      <c r="AN43" s="19"/>
      <c r="AO43" s="19"/>
      <c r="AP43" s="14"/>
      <c r="AQ43" s="14"/>
      <c r="AR43" s="14"/>
      <c r="AS43" s="36"/>
      <c r="AT43" s="36"/>
      <c r="AU43" s="48"/>
      <c r="AV43" s="48"/>
    </row>
    <row r="44" spans="1:48" ht="17.25" thickBot="1" x14ac:dyDescent="0.3">
      <c r="A44" s="36"/>
      <c r="B44" s="14"/>
      <c r="C44" s="14"/>
      <c r="D44" s="14"/>
      <c r="E44" s="17"/>
      <c r="F44" s="17"/>
      <c r="G44" s="17"/>
      <c r="H44" s="19"/>
      <c r="I44" s="19"/>
      <c r="J44" s="18"/>
      <c r="K44" s="17"/>
      <c r="L44" s="17"/>
      <c r="M44" s="17"/>
      <c r="N44" s="19"/>
      <c r="O44" s="19"/>
      <c r="P44" s="14"/>
      <c r="Q44" s="14"/>
      <c r="R44" s="14"/>
      <c r="S44" s="36"/>
      <c r="T44" s="36"/>
      <c r="U44" s="48"/>
      <c r="V44" s="48"/>
      <c r="AA44" s="36"/>
      <c r="AB44" s="14"/>
      <c r="AC44" s="14"/>
      <c r="AD44" s="14"/>
      <c r="AE44" s="17"/>
      <c r="AF44" s="17"/>
      <c r="AG44" s="17"/>
      <c r="AH44" s="19"/>
      <c r="AI44" s="19"/>
      <c r="AJ44" s="18"/>
      <c r="AK44" s="17"/>
      <c r="AL44" s="17"/>
      <c r="AM44" s="17"/>
      <c r="AN44" s="19"/>
      <c r="AO44" s="19"/>
      <c r="AP44" s="14"/>
      <c r="AQ44" s="14"/>
      <c r="AR44" s="14"/>
      <c r="AS44" s="36"/>
      <c r="AT44" s="36"/>
      <c r="AU44" s="48"/>
      <c r="AV44" s="48"/>
    </row>
    <row r="45" spans="1:48" ht="17.25" thickBot="1" x14ac:dyDescent="0.3">
      <c r="A45" s="36"/>
      <c r="B45" s="14"/>
      <c r="C45" s="14"/>
      <c r="D45" s="14"/>
      <c r="E45" s="17"/>
      <c r="F45" s="17"/>
      <c r="G45" s="17"/>
      <c r="H45" s="19"/>
      <c r="I45" s="19"/>
      <c r="J45" s="18"/>
      <c r="K45" s="17"/>
      <c r="L45" s="17"/>
      <c r="M45" s="17"/>
      <c r="N45" s="19"/>
      <c r="O45" s="19"/>
      <c r="P45" s="14"/>
      <c r="Q45" s="14"/>
      <c r="R45" s="14"/>
      <c r="S45" s="36"/>
      <c r="T45" s="36"/>
      <c r="U45" s="48"/>
      <c r="V45" s="48"/>
      <c r="AA45" s="36"/>
      <c r="AB45" s="14"/>
      <c r="AC45" s="14"/>
      <c r="AD45" s="14"/>
      <c r="AE45" s="17"/>
      <c r="AF45" s="17"/>
      <c r="AG45" s="17"/>
      <c r="AH45" s="19"/>
      <c r="AI45" s="19"/>
      <c r="AJ45" s="18"/>
      <c r="AK45" s="17"/>
      <c r="AL45" s="17"/>
      <c r="AM45" s="17"/>
      <c r="AN45" s="19"/>
      <c r="AO45" s="19"/>
      <c r="AP45" s="14"/>
      <c r="AQ45" s="14"/>
      <c r="AR45" s="14"/>
      <c r="AS45" s="36"/>
      <c r="AT45" s="36"/>
      <c r="AU45" s="48"/>
      <c r="AV45" s="48"/>
    </row>
    <row r="46" spans="1:48" ht="17.25" thickBot="1" x14ac:dyDescent="0.3">
      <c r="A46" s="36"/>
      <c r="B46" s="14"/>
      <c r="C46" s="14"/>
      <c r="D46" s="14"/>
      <c r="E46" s="17"/>
      <c r="F46" s="17"/>
      <c r="G46" s="17"/>
      <c r="H46" s="19"/>
      <c r="I46" s="19"/>
      <c r="J46" s="18"/>
      <c r="K46" s="17"/>
      <c r="L46" s="17"/>
      <c r="M46" s="17"/>
      <c r="N46" s="19"/>
      <c r="O46" s="19"/>
      <c r="P46" s="14"/>
      <c r="Q46" s="14"/>
      <c r="R46" s="14"/>
      <c r="S46" s="36"/>
      <c r="T46" s="36"/>
      <c r="U46" s="48"/>
      <c r="V46" s="48"/>
      <c r="AA46" s="36"/>
      <c r="AB46" s="14"/>
      <c r="AC46" s="14"/>
      <c r="AD46" s="14"/>
      <c r="AE46" s="17"/>
      <c r="AF46" s="17"/>
      <c r="AG46" s="17"/>
      <c r="AH46" s="19"/>
      <c r="AI46" s="19"/>
      <c r="AJ46" s="18"/>
      <c r="AK46" s="17"/>
      <c r="AL46" s="17"/>
      <c r="AM46" s="17"/>
      <c r="AN46" s="19"/>
      <c r="AO46" s="19"/>
      <c r="AP46" s="14"/>
      <c r="AQ46" s="14"/>
      <c r="AR46" s="14"/>
      <c r="AS46" s="36"/>
      <c r="AT46" s="36"/>
      <c r="AU46" s="48"/>
      <c r="AV46" s="48"/>
    </row>
    <row r="47" spans="1:48" ht="17.25" thickBot="1" x14ac:dyDescent="0.3">
      <c r="A47" s="36"/>
      <c r="B47" s="14"/>
      <c r="C47" s="14"/>
      <c r="D47" s="14"/>
      <c r="E47" s="17"/>
      <c r="F47" s="17"/>
      <c r="G47" s="17"/>
      <c r="H47" s="19"/>
      <c r="I47" s="19"/>
      <c r="J47" s="18"/>
      <c r="K47" s="17"/>
      <c r="L47" s="17"/>
      <c r="M47" s="17"/>
      <c r="N47" s="19"/>
      <c r="O47" s="19"/>
      <c r="P47" s="14"/>
      <c r="Q47" s="14"/>
      <c r="R47" s="14"/>
      <c r="S47" s="36"/>
      <c r="T47" s="36"/>
      <c r="U47" s="48"/>
      <c r="V47" s="48"/>
      <c r="AA47" s="36"/>
      <c r="AB47" s="14"/>
      <c r="AC47" s="14"/>
      <c r="AD47" s="14"/>
      <c r="AE47" s="17"/>
      <c r="AF47" s="17"/>
      <c r="AG47" s="17"/>
      <c r="AH47" s="19"/>
      <c r="AI47" s="19"/>
      <c r="AJ47" s="18"/>
      <c r="AK47" s="17"/>
      <c r="AL47" s="17"/>
      <c r="AM47" s="17"/>
      <c r="AN47" s="19"/>
      <c r="AO47" s="19"/>
      <c r="AP47" s="14"/>
      <c r="AQ47" s="14"/>
      <c r="AR47" s="14"/>
      <c r="AS47" s="36"/>
      <c r="AT47" s="36"/>
      <c r="AU47" s="48"/>
      <c r="AV47" s="48"/>
    </row>
    <row r="48" spans="1:48" ht="17.25" thickBot="1" x14ac:dyDescent="0.3">
      <c r="A48" s="36"/>
      <c r="B48" s="14"/>
      <c r="C48" s="14"/>
      <c r="D48" s="14"/>
      <c r="E48" s="17"/>
      <c r="F48" s="17"/>
      <c r="G48" s="17"/>
      <c r="H48" s="19"/>
      <c r="I48" s="19"/>
      <c r="J48" s="18"/>
      <c r="K48" s="17"/>
      <c r="L48" s="17"/>
      <c r="M48" s="17"/>
      <c r="N48" s="19"/>
      <c r="O48" s="19"/>
      <c r="P48" s="14"/>
      <c r="Q48" s="14"/>
      <c r="R48" s="14"/>
      <c r="S48" s="36"/>
      <c r="T48" s="36"/>
      <c r="U48" s="48"/>
      <c r="V48" s="48"/>
      <c r="AA48" s="36"/>
      <c r="AB48" s="14"/>
      <c r="AC48" s="14"/>
      <c r="AD48" s="14"/>
      <c r="AE48" s="17"/>
      <c r="AF48" s="17"/>
      <c r="AG48" s="17"/>
      <c r="AH48" s="19"/>
      <c r="AI48" s="19"/>
      <c r="AJ48" s="18"/>
      <c r="AK48" s="17"/>
      <c r="AL48" s="17"/>
      <c r="AM48" s="17"/>
      <c r="AN48" s="19"/>
      <c r="AO48" s="19"/>
      <c r="AP48" s="14"/>
      <c r="AQ48" s="14"/>
      <c r="AR48" s="14"/>
      <c r="AS48" s="36"/>
      <c r="AT48" s="36"/>
      <c r="AU48" s="48"/>
      <c r="AV48" s="48"/>
    </row>
    <row r="49" spans="1:48" x14ac:dyDescent="0.25">
      <c r="A49" s="36"/>
      <c r="B49" s="14"/>
      <c r="C49" s="14"/>
      <c r="D49" s="14"/>
      <c r="E49" s="17"/>
      <c r="F49" s="17"/>
      <c r="G49" s="17"/>
      <c r="H49" s="19"/>
      <c r="I49" s="19"/>
      <c r="J49" s="18"/>
      <c r="K49" s="17"/>
      <c r="L49" s="17"/>
      <c r="M49" s="17"/>
      <c r="N49" s="19"/>
      <c r="O49" s="19"/>
      <c r="P49" s="14"/>
      <c r="Q49" s="14"/>
      <c r="R49" s="14"/>
      <c r="S49" s="36"/>
      <c r="T49" s="36"/>
      <c r="U49" s="48"/>
      <c r="V49" s="48"/>
      <c r="AA49" s="36"/>
      <c r="AB49" s="14"/>
      <c r="AC49" s="14"/>
      <c r="AD49" s="14"/>
      <c r="AE49" s="17"/>
      <c r="AF49" s="17"/>
      <c r="AG49" s="17"/>
      <c r="AH49" s="19"/>
      <c r="AI49" s="19"/>
      <c r="AJ49" s="18"/>
      <c r="AK49" s="17"/>
      <c r="AL49" s="17"/>
      <c r="AM49" s="17"/>
      <c r="AN49" s="19"/>
      <c r="AO49" s="19"/>
      <c r="AP49" s="14"/>
      <c r="AQ49" s="14"/>
      <c r="AR49" s="14"/>
      <c r="AS49" s="36"/>
      <c r="AT49" s="36"/>
      <c r="AU49" s="48"/>
      <c r="AV49" s="48"/>
    </row>
    <row r="50" spans="1:48" x14ac:dyDescent="0.25">
      <c r="E50" s="17"/>
      <c r="F50" s="17"/>
      <c r="G50" s="17"/>
      <c r="H50" s="19"/>
      <c r="I50" s="19"/>
      <c r="J50" s="18"/>
      <c r="K50" s="17"/>
      <c r="L50" s="17"/>
      <c r="M50" s="17"/>
      <c r="N50" s="19"/>
      <c r="O50" s="19"/>
      <c r="AE50" s="17"/>
      <c r="AF50" s="17"/>
      <c r="AG50" s="17"/>
      <c r="AH50" s="19"/>
      <c r="AI50" s="19"/>
      <c r="AJ50" s="18"/>
      <c r="AK50" s="17"/>
      <c r="AL50" s="17"/>
      <c r="AM50" s="17"/>
      <c r="AN50" s="19"/>
      <c r="AO50" s="19"/>
    </row>
    <row r="51" spans="1:48" x14ac:dyDescent="0.25">
      <c r="E51" s="17"/>
      <c r="F51" s="17"/>
      <c r="G51" s="17"/>
      <c r="H51" s="19"/>
      <c r="I51" s="19"/>
      <c r="J51" s="18"/>
      <c r="K51" s="17"/>
      <c r="L51" s="17"/>
      <c r="M51" s="17"/>
      <c r="N51" s="19"/>
      <c r="O51" s="19"/>
      <c r="AE51" s="17"/>
      <c r="AF51" s="17"/>
      <c r="AG51" s="17"/>
      <c r="AH51" s="19"/>
      <c r="AI51" s="19"/>
      <c r="AJ51" s="18"/>
      <c r="AK51" s="17"/>
      <c r="AL51" s="17"/>
      <c r="AM51" s="17"/>
      <c r="AN51" s="19"/>
      <c r="AO51" s="19"/>
    </row>
    <row r="52" spans="1:48" x14ac:dyDescent="0.25">
      <c r="E52" s="17"/>
      <c r="F52" s="17"/>
      <c r="G52" s="17"/>
      <c r="H52" s="19"/>
      <c r="I52" s="19"/>
      <c r="J52" s="18"/>
      <c r="K52" s="17"/>
      <c r="L52" s="17"/>
      <c r="M52" s="17"/>
      <c r="N52" s="19"/>
      <c r="O52" s="19"/>
      <c r="AE52" s="17"/>
      <c r="AF52" s="17"/>
      <c r="AG52" s="17"/>
      <c r="AH52" s="19"/>
      <c r="AI52" s="19"/>
      <c r="AJ52" s="18"/>
      <c r="AK52" s="17"/>
      <c r="AL52" s="17"/>
      <c r="AM52" s="17"/>
      <c r="AN52" s="19"/>
      <c r="AO52" s="19"/>
    </row>
    <row r="53" spans="1:48" x14ac:dyDescent="0.25">
      <c r="E53" s="17"/>
      <c r="F53" s="17"/>
      <c r="G53" s="17"/>
      <c r="H53" s="19"/>
      <c r="I53" s="19"/>
      <c r="J53" s="18"/>
      <c r="K53" s="17"/>
      <c r="L53" s="17"/>
      <c r="M53" s="17"/>
      <c r="N53" s="19"/>
      <c r="O53" s="19"/>
      <c r="AE53" s="17"/>
      <c r="AF53" s="17"/>
      <c r="AG53" s="17"/>
      <c r="AH53" s="19"/>
      <c r="AI53" s="19"/>
      <c r="AJ53" s="18"/>
      <c r="AK53" s="17"/>
      <c r="AL53" s="17"/>
      <c r="AM53" s="17"/>
      <c r="AN53" s="19"/>
      <c r="AO53" s="19"/>
    </row>
    <row r="54" spans="1:48" x14ac:dyDescent="0.25">
      <c r="E54" s="17"/>
      <c r="F54" s="17"/>
      <c r="G54" s="17"/>
      <c r="H54" s="19"/>
      <c r="I54" s="19"/>
      <c r="J54" s="18"/>
      <c r="K54" s="17"/>
      <c r="L54" s="17"/>
      <c r="M54" s="17"/>
      <c r="N54" s="19"/>
      <c r="O54" s="19"/>
      <c r="AE54" s="17"/>
      <c r="AF54" s="17"/>
      <c r="AG54" s="17"/>
      <c r="AH54" s="19"/>
      <c r="AI54" s="19"/>
      <c r="AJ54" s="18"/>
      <c r="AK54" s="17"/>
      <c r="AL54" s="17"/>
      <c r="AM54" s="17"/>
      <c r="AN54" s="19"/>
      <c r="AO54" s="19"/>
    </row>
    <row r="55" spans="1:48" x14ac:dyDescent="0.25">
      <c r="E55" s="17"/>
      <c r="F55" s="17"/>
      <c r="G55" s="17"/>
      <c r="H55" s="19"/>
      <c r="I55" s="19"/>
      <c r="J55" s="18"/>
      <c r="K55" s="17"/>
      <c r="L55" s="17"/>
      <c r="M55" s="17"/>
      <c r="N55" s="19"/>
      <c r="O55" s="19"/>
      <c r="AE55" s="17"/>
      <c r="AF55" s="17"/>
      <c r="AG55" s="17"/>
      <c r="AH55" s="19"/>
      <c r="AI55" s="19"/>
      <c r="AJ55" s="18"/>
      <c r="AK55" s="17"/>
      <c r="AL55" s="17"/>
      <c r="AM55" s="17"/>
      <c r="AN55" s="19"/>
      <c r="AO55" s="19"/>
    </row>
    <row r="56" spans="1:48" x14ac:dyDescent="0.25">
      <c r="E56" s="17"/>
      <c r="F56" s="17"/>
      <c r="G56" s="17"/>
      <c r="H56" s="19"/>
      <c r="I56" s="19"/>
      <c r="J56" s="18"/>
      <c r="K56" s="17"/>
      <c r="L56" s="17"/>
      <c r="M56" s="17"/>
      <c r="N56" s="19"/>
      <c r="O56" s="19"/>
      <c r="AE56" s="17"/>
      <c r="AF56" s="17"/>
      <c r="AG56" s="17"/>
      <c r="AH56" s="19"/>
      <c r="AI56" s="19"/>
      <c r="AJ56" s="18"/>
      <c r="AK56" s="17"/>
      <c r="AL56" s="17"/>
      <c r="AM56" s="17"/>
      <c r="AN56" s="19"/>
      <c r="AO56" s="19"/>
    </row>
    <row r="57" spans="1:48" x14ac:dyDescent="0.25">
      <c r="E57" s="17"/>
      <c r="F57" s="17"/>
      <c r="G57" s="17"/>
      <c r="H57" s="19"/>
      <c r="I57" s="19"/>
      <c r="J57" s="18"/>
      <c r="K57" s="17"/>
      <c r="L57" s="17"/>
      <c r="M57" s="17"/>
      <c r="N57" s="19"/>
      <c r="O57" s="19"/>
      <c r="AE57" s="17"/>
      <c r="AF57" s="17"/>
      <c r="AG57" s="17"/>
      <c r="AH57" s="19"/>
      <c r="AI57" s="19"/>
      <c r="AJ57" s="18"/>
      <c r="AK57" s="17"/>
      <c r="AL57" s="17"/>
      <c r="AM57" s="17"/>
      <c r="AN57" s="19"/>
      <c r="AO57" s="19"/>
    </row>
    <row r="58" spans="1:48" x14ac:dyDescent="0.25">
      <c r="E58" s="17"/>
      <c r="F58" s="17"/>
      <c r="G58" s="17"/>
      <c r="H58" s="19"/>
      <c r="I58" s="19"/>
      <c r="J58" s="18"/>
      <c r="K58" s="17"/>
      <c r="L58" s="17"/>
      <c r="M58" s="17"/>
      <c r="N58" s="19"/>
      <c r="O58" s="19"/>
      <c r="AE58" s="17"/>
      <c r="AF58" s="17"/>
      <c r="AG58" s="17"/>
      <c r="AH58" s="19"/>
      <c r="AI58" s="19"/>
      <c r="AJ58" s="18"/>
      <c r="AK58" s="17"/>
      <c r="AL58" s="17"/>
      <c r="AM58" s="17"/>
      <c r="AN58" s="19"/>
      <c r="AO58" s="19"/>
    </row>
    <row r="59" spans="1:48" x14ac:dyDescent="0.25">
      <c r="E59" s="17"/>
      <c r="F59" s="17"/>
      <c r="G59" s="17"/>
      <c r="H59" s="19"/>
      <c r="I59" s="19"/>
      <c r="J59" s="18"/>
      <c r="K59" s="17"/>
      <c r="L59" s="17"/>
      <c r="M59" s="17"/>
      <c r="N59" s="19"/>
      <c r="O59" s="19"/>
      <c r="AE59" s="17"/>
      <c r="AF59" s="17"/>
      <c r="AG59" s="17"/>
      <c r="AH59" s="19"/>
      <c r="AI59" s="19"/>
      <c r="AJ59" s="18"/>
      <c r="AK59" s="17"/>
      <c r="AL59" s="17"/>
      <c r="AM59" s="17"/>
      <c r="AN59" s="19"/>
      <c r="AO59" s="19"/>
    </row>
    <row r="60" spans="1:48" x14ac:dyDescent="0.25">
      <c r="E60" s="17"/>
      <c r="F60" s="17"/>
      <c r="G60" s="17"/>
      <c r="H60" s="19"/>
      <c r="I60" s="19"/>
      <c r="J60" s="18"/>
      <c r="K60" s="17"/>
      <c r="L60" s="17"/>
      <c r="M60" s="17"/>
      <c r="N60" s="19"/>
      <c r="O60" s="19"/>
      <c r="AE60" s="17"/>
      <c r="AF60" s="17"/>
      <c r="AG60" s="17"/>
      <c r="AH60" s="19"/>
      <c r="AI60" s="19"/>
      <c r="AJ60" s="18"/>
      <c r="AK60" s="17"/>
      <c r="AL60" s="17"/>
      <c r="AM60" s="17"/>
      <c r="AN60" s="19"/>
      <c r="AO60" s="19"/>
    </row>
    <row r="61" spans="1:48" x14ac:dyDescent="0.25">
      <c r="E61" s="17"/>
      <c r="F61" s="17"/>
      <c r="G61" s="17"/>
      <c r="H61" s="19"/>
      <c r="I61" s="19"/>
      <c r="J61" s="18"/>
      <c r="K61" s="17"/>
      <c r="L61" s="17"/>
      <c r="M61" s="17"/>
      <c r="N61" s="19"/>
      <c r="O61" s="19"/>
      <c r="AE61" s="17"/>
      <c r="AF61" s="17"/>
      <c r="AG61" s="17"/>
      <c r="AH61" s="19"/>
      <c r="AI61" s="19"/>
      <c r="AJ61" s="18"/>
      <c r="AK61" s="17"/>
      <c r="AL61" s="17"/>
      <c r="AM61" s="17"/>
      <c r="AN61" s="19"/>
      <c r="AO61" s="19"/>
    </row>
    <row r="62" spans="1:48" x14ac:dyDescent="0.25">
      <c r="E62" s="17"/>
      <c r="F62" s="17"/>
      <c r="G62" s="17"/>
      <c r="H62" s="19"/>
      <c r="I62" s="19"/>
      <c r="J62" s="18"/>
      <c r="K62" s="17"/>
      <c r="L62" s="17"/>
      <c r="M62" s="17"/>
      <c r="N62" s="19"/>
      <c r="O62" s="19"/>
      <c r="AE62" s="17"/>
      <c r="AF62" s="17"/>
      <c r="AG62" s="17"/>
      <c r="AH62" s="19"/>
      <c r="AI62" s="19"/>
      <c r="AJ62" s="18"/>
      <c r="AK62" s="17"/>
      <c r="AL62" s="17"/>
      <c r="AM62" s="17"/>
      <c r="AN62" s="19"/>
      <c r="AO62" s="19"/>
    </row>
    <row r="63" spans="1:48" x14ac:dyDescent="0.25">
      <c r="E63" s="17"/>
      <c r="F63" s="17"/>
      <c r="G63" s="17"/>
      <c r="H63" s="19"/>
      <c r="I63" s="19"/>
      <c r="J63" s="18"/>
      <c r="K63" s="17"/>
      <c r="L63" s="17"/>
      <c r="M63" s="17"/>
      <c r="N63" s="19"/>
      <c r="O63" s="19"/>
      <c r="AE63" s="17"/>
      <c r="AF63" s="17"/>
      <c r="AG63" s="17"/>
      <c r="AH63" s="19"/>
      <c r="AI63" s="19"/>
      <c r="AJ63" s="18"/>
      <c r="AK63" s="17"/>
      <c r="AL63" s="17"/>
      <c r="AM63" s="17"/>
      <c r="AN63" s="19"/>
      <c r="AO63" s="19"/>
    </row>
    <row r="64" spans="1:48" x14ac:dyDescent="0.25">
      <c r="E64" s="17"/>
      <c r="F64" s="17"/>
      <c r="G64" s="17"/>
      <c r="H64" s="19"/>
      <c r="I64" s="19"/>
      <c r="J64" s="18"/>
      <c r="K64" s="17"/>
      <c r="L64" s="17"/>
      <c r="M64" s="17"/>
      <c r="N64" s="19"/>
      <c r="O64" s="19"/>
      <c r="AE64" s="17"/>
      <c r="AF64" s="17"/>
      <c r="AG64" s="17"/>
      <c r="AH64" s="19"/>
      <c r="AI64" s="19"/>
      <c r="AJ64" s="18"/>
      <c r="AK64" s="17"/>
      <c r="AL64" s="17"/>
      <c r="AM64" s="17"/>
      <c r="AN64" s="19"/>
      <c r="AO64" s="19"/>
    </row>
    <row r="65" spans="5:41" x14ac:dyDescent="0.25">
      <c r="E65" s="17"/>
      <c r="F65" s="17"/>
      <c r="G65" s="17"/>
      <c r="H65" s="19"/>
      <c r="I65" s="19"/>
      <c r="J65" s="18"/>
      <c r="K65" s="17"/>
      <c r="L65" s="17"/>
      <c r="M65" s="17"/>
      <c r="N65" s="19"/>
      <c r="O65" s="19"/>
      <c r="AE65" s="17"/>
      <c r="AF65" s="17"/>
      <c r="AG65" s="17"/>
      <c r="AH65" s="19"/>
      <c r="AI65" s="19"/>
      <c r="AJ65" s="18"/>
      <c r="AK65" s="17"/>
      <c r="AL65" s="17"/>
      <c r="AM65" s="17"/>
      <c r="AN65" s="19"/>
      <c r="AO65" s="19"/>
    </row>
    <row r="66" spans="5:41" x14ac:dyDescent="0.25">
      <c r="E66" s="17"/>
      <c r="F66" s="17"/>
      <c r="G66" s="17"/>
      <c r="H66" s="19"/>
      <c r="I66" s="19"/>
      <c r="J66" s="18"/>
      <c r="K66" s="17"/>
      <c r="L66" s="17"/>
      <c r="M66" s="17"/>
      <c r="N66" s="19"/>
      <c r="O66" s="19"/>
      <c r="AE66" s="17"/>
      <c r="AF66" s="17"/>
      <c r="AG66" s="17"/>
      <c r="AH66" s="19"/>
      <c r="AI66" s="19"/>
      <c r="AJ66" s="18"/>
      <c r="AK66" s="17"/>
      <c r="AL66" s="17"/>
      <c r="AM66" s="17"/>
      <c r="AN66" s="19"/>
      <c r="AO66" s="19"/>
    </row>
    <row r="67" spans="5:41" x14ac:dyDescent="0.25">
      <c r="E67" s="17"/>
      <c r="F67" s="17"/>
      <c r="G67" s="17"/>
      <c r="H67" s="19"/>
      <c r="I67" s="19"/>
      <c r="J67" s="18"/>
      <c r="K67" s="17"/>
      <c r="L67" s="17"/>
      <c r="M67" s="17"/>
      <c r="N67" s="19"/>
      <c r="O67" s="19"/>
      <c r="AE67" s="17"/>
      <c r="AF67" s="17"/>
      <c r="AG67" s="17"/>
      <c r="AH67" s="19"/>
      <c r="AI67" s="19"/>
      <c r="AJ67" s="18"/>
      <c r="AK67" s="17"/>
      <c r="AL67" s="17"/>
      <c r="AM67" s="17"/>
      <c r="AN67" s="19"/>
      <c r="AO67" s="19"/>
    </row>
    <row r="68" spans="5:41" x14ac:dyDescent="0.25">
      <c r="E68" s="17"/>
      <c r="F68" s="17"/>
      <c r="G68" s="17"/>
      <c r="H68" s="19"/>
      <c r="I68" s="19"/>
      <c r="J68" s="18"/>
      <c r="K68" s="17"/>
      <c r="L68" s="17"/>
      <c r="M68" s="17"/>
      <c r="N68" s="19"/>
      <c r="O68" s="19"/>
      <c r="AE68" s="17"/>
      <c r="AF68" s="17"/>
      <c r="AG68" s="17"/>
      <c r="AH68" s="19"/>
      <c r="AI68" s="19"/>
      <c r="AJ68" s="18"/>
      <c r="AK68" s="17"/>
      <c r="AL68" s="17"/>
      <c r="AM68" s="17"/>
      <c r="AN68" s="19"/>
      <c r="AO68" s="19"/>
    </row>
    <row r="69" spans="5:41" x14ac:dyDescent="0.25">
      <c r="E69" s="17"/>
      <c r="F69" s="17"/>
      <c r="G69" s="17"/>
      <c r="H69" s="19"/>
      <c r="I69" s="19"/>
      <c r="J69" s="18"/>
      <c r="K69" s="17"/>
      <c r="L69" s="17"/>
      <c r="M69" s="17"/>
      <c r="N69" s="19"/>
      <c r="O69" s="19"/>
      <c r="AE69" s="17"/>
      <c r="AF69" s="17"/>
      <c r="AG69" s="17"/>
      <c r="AH69" s="19"/>
      <c r="AI69" s="19"/>
      <c r="AJ69" s="18"/>
      <c r="AK69" s="17"/>
      <c r="AL69" s="17"/>
      <c r="AM69" s="17"/>
      <c r="AN69" s="19"/>
      <c r="AO69" s="19"/>
    </row>
    <row r="70" spans="5:41" x14ac:dyDescent="0.25">
      <c r="E70" s="17"/>
      <c r="F70" s="17"/>
      <c r="G70" s="17"/>
      <c r="H70" s="19"/>
      <c r="I70" s="19"/>
      <c r="J70" s="18"/>
      <c r="K70" s="17"/>
      <c r="L70" s="17"/>
      <c r="M70" s="17"/>
      <c r="N70" s="19"/>
      <c r="O70" s="19"/>
      <c r="AE70" s="17"/>
      <c r="AF70" s="17"/>
      <c r="AG70" s="17"/>
      <c r="AH70" s="19"/>
      <c r="AI70" s="19"/>
      <c r="AJ70" s="18"/>
      <c r="AK70" s="17"/>
      <c r="AL70" s="17"/>
      <c r="AM70" s="17"/>
      <c r="AN70" s="19"/>
      <c r="AO70" s="19"/>
    </row>
    <row r="71" spans="5:41" x14ac:dyDescent="0.25">
      <c r="E71" s="17"/>
      <c r="F71" s="17"/>
      <c r="G71" s="17"/>
      <c r="H71" s="19"/>
      <c r="I71" s="19"/>
      <c r="J71" s="18"/>
      <c r="K71" s="17"/>
      <c r="L71" s="17"/>
      <c r="M71" s="17"/>
      <c r="N71" s="19"/>
      <c r="O71" s="19"/>
      <c r="AE71" s="17"/>
      <c r="AF71" s="17"/>
      <c r="AG71" s="17"/>
      <c r="AH71" s="19"/>
      <c r="AI71" s="19"/>
      <c r="AJ71" s="18"/>
      <c r="AK71" s="17"/>
      <c r="AL71" s="17"/>
      <c r="AM71" s="17"/>
      <c r="AN71" s="19"/>
      <c r="AO71" s="19"/>
    </row>
    <row r="72" spans="5:41" x14ac:dyDescent="0.25">
      <c r="E72" s="17"/>
      <c r="F72" s="17"/>
      <c r="G72" s="17"/>
      <c r="H72" s="19"/>
      <c r="I72" s="19"/>
      <c r="J72" s="18"/>
      <c r="K72" s="17"/>
      <c r="L72" s="17"/>
      <c r="M72" s="17"/>
      <c r="N72" s="19"/>
      <c r="O72" s="19"/>
      <c r="AE72" s="17"/>
      <c r="AF72" s="17"/>
      <c r="AG72" s="17"/>
      <c r="AH72" s="19"/>
      <c r="AI72" s="19"/>
      <c r="AJ72" s="18"/>
      <c r="AK72" s="17"/>
      <c r="AL72" s="17"/>
      <c r="AM72" s="17"/>
      <c r="AN72" s="19"/>
      <c r="AO72" s="19"/>
    </row>
    <row r="73" spans="5:41" x14ac:dyDescent="0.25">
      <c r="E73" s="17"/>
      <c r="F73" s="17"/>
      <c r="G73" s="17"/>
      <c r="H73" s="19"/>
      <c r="I73" s="19"/>
      <c r="J73" s="18"/>
      <c r="K73" s="17"/>
      <c r="L73" s="17"/>
      <c r="M73" s="17"/>
      <c r="N73" s="19"/>
      <c r="O73" s="19"/>
      <c r="AE73" s="17"/>
      <c r="AF73" s="17"/>
      <c r="AG73" s="17"/>
      <c r="AH73" s="19"/>
      <c r="AI73" s="19"/>
      <c r="AJ73" s="18"/>
      <c r="AK73" s="17"/>
      <c r="AL73" s="17"/>
      <c r="AM73" s="17"/>
      <c r="AN73" s="19"/>
      <c r="AO73" s="19"/>
    </row>
    <row r="74" spans="5:41" x14ac:dyDescent="0.25">
      <c r="E74" s="17"/>
      <c r="F74" s="17"/>
      <c r="G74" s="17"/>
      <c r="H74" s="19"/>
      <c r="I74" s="19"/>
      <c r="J74" s="18"/>
      <c r="K74" s="17"/>
      <c r="L74" s="17"/>
      <c r="M74" s="17"/>
      <c r="N74" s="19"/>
      <c r="O74" s="19"/>
      <c r="AE74" s="17"/>
      <c r="AF74" s="17"/>
      <c r="AG74" s="17"/>
      <c r="AH74" s="19"/>
      <c r="AI74" s="19"/>
      <c r="AJ74" s="18"/>
      <c r="AK74" s="17"/>
      <c r="AL74" s="17"/>
      <c r="AM74" s="17"/>
      <c r="AN74" s="19"/>
      <c r="AO74" s="19"/>
    </row>
    <row r="75" spans="5:41" x14ac:dyDescent="0.25">
      <c r="E75" s="17"/>
      <c r="F75" s="17"/>
      <c r="G75" s="17"/>
      <c r="H75" s="19"/>
      <c r="I75" s="19"/>
      <c r="J75" s="18"/>
      <c r="K75" s="17"/>
      <c r="L75" s="17"/>
      <c r="M75" s="17"/>
      <c r="N75" s="19"/>
      <c r="O75" s="19"/>
      <c r="AE75" s="17"/>
      <c r="AF75" s="17"/>
      <c r="AG75" s="17"/>
      <c r="AH75" s="19"/>
      <c r="AI75" s="19"/>
      <c r="AJ75" s="18"/>
      <c r="AK75" s="17"/>
      <c r="AL75" s="17"/>
      <c r="AM75" s="17"/>
      <c r="AN75" s="19"/>
      <c r="AO75" s="19"/>
    </row>
    <row r="76" spans="5:41" x14ac:dyDescent="0.25">
      <c r="E76" s="17"/>
      <c r="F76" s="17"/>
      <c r="G76" s="17"/>
      <c r="H76" s="19"/>
      <c r="I76" s="19"/>
      <c r="J76" s="18"/>
      <c r="K76" s="17"/>
      <c r="L76" s="17"/>
      <c r="M76" s="17"/>
      <c r="N76" s="19"/>
      <c r="O76" s="19"/>
      <c r="AE76" s="17"/>
      <c r="AF76" s="17"/>
      <c r="AG76" s="17"/>
      <c r="AH76" s="19"/>
      <c r="AI76" s="19"/>
      <c r="AJ76" s="18"/>
      <c r="AK76" s="17"/>
      <c r="AL76" s="17"/>
      <c r="AM76" s="17"/>
      <c r="AN76" s="19"/>
      <c r="AO76" s="19"/>
    </row>
    <row r="77" spans="5:41" x14ac:dyDescent="0.25">
      <c r="E77" s="17"/>
      <c r="F77" s="17"/>
      <c r="G77" s="17"/>
      <c r="H77" s="19"/>
      <c r="I77" s="19"/>
      <c r="J77" s="18"/>
      <c r="K77" s="17"/>
      <c r="L77" s="17"/>
      <c r="M77" s="17"/>
      <c r="N77" s="19"/>
      <c r="O77" s="19"/>
      <c r="AE77" s="17"/>
      <c r="AF77" s="17"/>
      <c r="AG77" s="17"/>
      <c r="AH77" s="19"/>
      <c r="AI77" s="19"/>
      <c r="AJ77" s="18"/>
      <c r="AK77" s="17"/>
      <c r="AL77" s="17"/>
      <c r="AM77" s="17"/>
      <c r="AN77" s="19"/>
      <c r="AO77" s="19"/>
    </row>
    <row r="78" spans="5:41" x14ac:dyDescent="0.25">
      <c r="E78" s="17"/>
      <c r="F78" s="17"/>
      <c r="G78" s="17"/>
      <c r="H78" s="19"/>
      <c r="I78" s="19"/>
      <c r="J78" s="18"/>
      <c r="K78" s="17"/>
      <c r="L78" s="17"/>
      <c r="M78" s="17"/>
      <c r="N78" s="19"/>
      <c r="O78" s="19"/>
      <c r="AE78" s="17"/>
      <c r="AF78" s="17"/>
      <c r="AG78" s="17"/>
      <c r="AH78" s="19"/>
      <c r="AI78" s="19"/>
      <c r="AJ78" s="18"/>
      <c r="AK78" s="17"/>
      <c r="AL78" s="17"/>
      <c r="AM78" s="17"/>
      <c r="AN78" s="19"/>
      <c r="AO78" s="19"/>
    </row>
    <row r="79" spans="5:41" x14ac:dyDescent="0.25">
      <c r="E79" s="17"/>
      <c r="F79" s="17"/>
      <c r="G79" s="17"/>
      <c r="H79" s="19"/>
      <c r="I79" s="19"/>
      <c r="J79" s="18"/>
      <c r="K79" s="17"/>
      <c r="L79" s="17"/>
      <c r="M79" s="17"/>
      <c r="N79" s="19"/>
      <c r="O79" s="19"/>
      <c r="AE79" s="17"/>
      <c r="AF79" s="17"/>
      <c r="AG79" s="17"/>
      <c r="AH79" s="19"/>
      <c r="AI79" s="19"/>
      <c r="AJ79" s="18"/>
      <c r="AK79" s="17"/>
      <c r="AL79" s="17"/>
      <c r="AM79" s="17"/>
      <c r="AN79" s="19"/>
      <c r="AO79" s="19"/>
    </row>
    <row r="80" spans="5:41" x14ac:dyDescent="0.25">
      <c r="E80" s="17"/>
      <c r="F80" s="17"/>
      <c r="G80" s="17"/>
      <c r="H80" s="19"/>
      <c r="I80" s="19"/>
      <c r="J80" s="18"/>
      <c r="K80" s="17"/>
      <c r="L80" s="17"/>
      <c r="M80" s="17"/>
      <c r="N80" s="19"/>
      <c r="O80" s="19"/>
      <c r="AE80" s="17"/>
      <c r="AF80" s="17"/>
      <c r="AG80" s="17"/>
      <c r="AH80" s="19"/>
      <c r="AI80" s="19"/>
      <c r="AJ80" s="18"/>
      <c r="AK80" s="17"/>
      <c r="AL80" s="17"/>
      <c r="AM80" s="17"/>
      <c r="AN80" s="19"/>
      <c r="AO80" s="19"/>
    </row>
    <row r="81" spans="5:41" x14ac:dyDescent="0.25">
      <c r="E81" s="17"/>
      <c r="F81" s="17"/>
      <c r="G81" s="17"/>
      <c r="H81" s="19"/>
      <c r="I81" s="19"/>
      <c r="J81" s="18"/>
      <c r="K81" s="17"/>
      <c r="L81" s="17"/>
      <c r="M81" s="17"/>
      <c r="N81" s="19"/>
      <c r="O81" s="19"/>
      <c r="AE81" s="17"/>
      <c r="AF81" s="17"/>
      <c r="AG81" s="17"/>
      <c r="AH81" s="19"/>
      <c r="AI81" s="19"/>
      <c r="AJ81" s="18"/>
      <c r="AK81" s="17"/>
      <c r="AL81" s="17"/>
      <c r="AM81" s="17"/>
      <c r="AN81" s="19"/>
      <c r="AO81" s="19"/>
    </row>
    <row r="82" spans="5:41" x14ac:dyDescent="0.25">
      <c r="E82" s="17"/>
      <c r="F82" s="17"/>
      <c r="G82" s="17"/>
      <c r="H82" s="19"/>
      <c r="I82" s="19"/>
      <c r="J82" s="18"/>
      <c r="K82" s="17"/>
      <c r="L82" s="17"/>
      <c r="M82" s="17"/>
      <c r="N82" s="19"/>
      <c r="O82" s="19"/>
      <c r="AE82" s="17"/>
      <c r="AF82" s="17"/>
      <c r="AG82" s="17"/>
      <c r="AH82" s="19"/>
      <c r="AI82" s="19"/>
      <c r="AJ82" s="18"/>
      <c r="AK82" s="17"/>
      <c r="AL82" s="17"/>
      <c r="AM82" s="17"/>
      <c r="AN82" s="19"/>
      <c r="AO82" s="19"/>
    </row>
    <row r="83" spans="5:41" x14ac:dyDescent="0.25">
      <c r="E83" s="17"/>
      <c r="F83" s="17"/>
      <c r="G83" s="17"/>
      <c r="H83" s="19"/>
      <c r="I83" s="19"/>
      <c r="J83" s="18"/>
      <c r="K83" s="17"/>
      <c r="L83" s="17"/>
      <c r="M83" s="17"/>
      <c r="N83" s="19"/>
      <c r="O83" s="19"/>
      <c r="AE83" s="17"/>
      <c r="AF83" s="17"/>
      <c r="AG83" s="17"/>
      <c r="AH83" s="19"/>
      <c r="AI83" s="19"/>
      <c r="AJ83" s="18"/>
      <c r="AK83" s="17"/>
      <c r="AL83" s="17"/>
      <c r="AM83" s="17"/>
      <c r="AN83" s="19"/>
      <c r="AO83" s="19"/>
    </row>
    <row r="84" spans="5:41" x14ac:dyDescent="0.25">
      <c r="E84" s="17"/>
      <c r="F84" s="17"/>
      <c r="G84" s="17"/>
      <c r="H84" s="19"/>
      <c r="I84" s="19"/>
      <c r="J84" s="18"/>
      <c r="K84" s="17"/>
      <c r="L84" s="17"/>
      <c r="M84" s="17"/>
      <c r="N84" s="19"/>
      <c r="O84" s="19"/>
      <c r="AE84" s="17"/>
      <c r="AF84" s="17"/>
      <c r="AG84" s="17"/>
      <c r="AH84" s="19"/>
      <c r="AI84" s="19"/>
      <c r="AJ84" s="18"/>
      <c r="AK84" s="17"/>
      <c r="AL84" s="17"/>
      <c r="AM84" s="17"/>
      <c r="AN84" s="19"/>
      <c r="AO84" s="19"/>
    </row>
    <row r="85" spans="5:41" x14ac:dyDescent="0.25">
      <c r="E85" s="17"/>
      <c r="F85" s="17"/>
      <c r="G85" s="17"/>
      <c r="H85" s="19"/>
      <c r="I85" s="19"/>
      <c r="J85" s="18"/>
      <c r="K85" s="17"/>
      <c r="L85" s="17"/>
      <c r="M85" s="17"/>
      <c r="N85" s="19"/>
      <c r="O85" s="19"/>
      <c r="AE85" s="17"/>
      <c r="AF85" s="17"/>
      <c r="AG85" s="17"/>
      <c r="AH85" s="19"/>
      <c r="AI85" s="19"/>
      <c r="AJ85" s="18"/>
      <c r="AK85" s="17"/>
      <c r="AL85" s="17"/>
      <c r="AM85" s="17"/>
      <c r="AN85" s="19"/>
      <c r="AO85" s="19"/>
    </row>
    <row r="86" spans="5:41" x14ac:dyDescent="0.25">
      <c r="E86" s="17"/>
      <c r="F86" s="17"/>
      <c r="G86" s="17"/>
      <c r="H86" s="19"/>
      <c r="I86" s="19"/>
      <c r="J86" s="18"/>
      <c r="K86" s="17"/>
      <c r="L86" s="17"/>
      <c r="M86" s="17"/>
      <c r="N86" s="19"/>
      <c r="O86" s="19"/>
      <c r="AE86" s="17"/>
      <c r="AF86" s="17"/>
      <c r="AG86" s="17"/>
      <c r="AH86" s="19"/>
      <c r="AI86" s="19"/>
      <c r="AJ86" s="18"/>
      <c r="AK86" s="17"/>
      <c r="AL86" s="17"/>
      <c r="AM86" s="17"/>
      <c r="AN86" s="19"/>
      <c r="AO86" s="19"/>
    </row>
    <row r="87" spans="5:41" x14ac:dyDescent="0.25">
      <c r="E87" s="17"/>
      <c r="F87" s="17"/>
      <c r="G87" s="17"/>
      <c r="H87" s="19"/>
      <c r="I87" s="19"/>
      <c r="J87" s="18"/>
      <c r="K87" s="17"/>
      <c r="L87" s="17"/>
      <c r="M87" s="17"/>
      <c r="N87" s="19"/>
      <c r="O87" s="19"/>
      <c r="AE87" s="17"/>
      <c r="AF87" s="17"/>
      <c r="AG87" s="17"/>
      <c r="AH87" s="19"/>
      <c r="AI87" s="19"/>
      <c r="AJ87" s="18"/>
      <c r="AK87" s="17"/>
      <c r="AL87" s="17"/>
      <c r="AM87" s="17"/>
      <c r="AN87" s="19"/>
      <c r="AO87" s="19"/>
    </row>
    <row r="88" spans="5:41" x14ac:dyDescent="0.25">
      <c r="E88" s="17"/>
      <c r="F88" s="17"/>
      <c r="G88" s="17"/>
      <c r="H88" s="19"/>
      <c r="I88" s="19"/>
      <c r="J88" s="18"/>
      <c r="K88" s="17"/>
      <c r="L88" s="17"/>
      <c r="M88" s="17"/>
      <c r="N88" s="19"/>
      <c r="O88" s="19"/>
      <c r="AE88" s="17"/>
      <c r="AF88" s="17"/>
      <c r="AG88" s="17"/>
      <c r="AH88" s="19"/>
      <c r="AI88" s="19"/>
      <c r="AJ88" s="18"/>
      <c r="AK88" s="17"/>
      <c r="AL88" s="17"/>
      <c r="AM88" s="17"/>
      <c r="AN88" s="19"/>
      <c r="AO88" s="19"/>
    </row>
    <row r="89" spans="5:41" x14ac:dyDescent="0.25">
      <c r="E89" s="17"/>
      <c r="F89" s="17"/>
      <c r="G89" s="17"/>
      <c r="H89" s="19"/>
      <c r="I89" s="19"/>
      <c r="J89" s="18"/>
      <c r="K89" s="17"/>
      <c r="L89" s="17"/>
      <c r="M89" s="17"/>
      <c r="N89" s="19"/>
      <c r="O89" s="19"/>
      <c r="AE89" s="17"/>
      <c r="AF89" s="17"/>
      <c r="AG89" s="17"/>
      <c r="AH89" s="19"/>
      <c r="AI89" s="19"/>
      <c r="AJ89" s="18"/>
      <c r="AK89" s="17"/>
      <c r="AL89" s="17"/>
      <c r="AM89" s="17"/>
      <c r="AN89" s="19"/>
      <c r="AO89" s="19"/>
    </row>
    <row r="90" spans="5:41" x14ac:dyDescent="0.25">
      <c r="E90" s="17"/>
      <c r="F90" s="17"/>
      <c r="G90" s="17"/>
      <c r="H90" s="19"/>
      <c r="I90" s="19"/>
      <c r="J90" s="18"/>
      <c r="K90" s="17"/>
      <c r="L90" s="17"/>
      <c r="M90" s="17"/>
      <c r="N90" s="19"/>
      <c r="O90" s="19"/>
      <c r="AE90" s="17"/>
      <c r="AF90" s="17"/>
      <c r="AG90" s="17"/>
      <c r="AH90" s="19"/>
      <c r="AI90" s="19"/>
      <c r="AJ90" s="18"/>
      <c r="AK90" s="17"/>
      <c r="AL90" s="17"/>
      <c r="AM90" s="17"/>
      <c r="AN90" s="19"/>
      <c r="AO90" s="19"/>
    </row>
    <row r="91" spans="5:41" x14ac:dyDescent="0.25">
      <c r="E91" s="17"/>
      <c r="F91" s="17"/>
      <c r="G91" s="17"/>
      <c r="H91" s="19"/>
      <c r="I91" s="19"/>
      <c r="J91" s="18"/>
      <c r="K91" s="17"/>
      <c r="L91" s="17"/>
      <c r="M91" s="17"/>
      <c r="N91" s="19"/>
      <c r="O91" s="19"/>
      <c r="AE91" s="17"/>
      <c r="AF91" s="17"/>
      <c r="AG91" s="17"/>
      <c r="AH91" s="19"/>
      <c r="AI91" s="19"/>
      <c r="AJ91" s="18"/>
      <c r="AK91" s="17"/>
      <c r="AL91" s="17"/>
      <c r="AM91" s="17"/>
      <c r="AN91" s="19"/>
      <c r="AO91" s="1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AV91"/>
  <sheetViews>
    <sheetView workbookViewId="0">
      <selection activeCell="A2" sqref="A2"/>
    </sheetView>
  </sheetViews>
  <sheetFormatPr defaultRowHeight="16.5" x14ac:dyDescent="0.25"/>
  <cols>
    <col min="2" max="2" width="12.625" customWidth="1"/>
    <col min="4" max="4" width="11.75" customWidth="1"/>
    <col min="16" max="16" width="12.5" customWidth="1"/>
    <col min="18" max="18" width="12.875" customWidth="1"/>
    <col min="23" max="26" width="9" style="45"/>
  </cols>
  <sheetData>
    <row r="1" spans="1:48" ht="17.25" thickBot="1" x14ac:dyDescent="0.3">
      <c r="A1" s="13" t="s">
        <v>49</v>
      </c>
      <c r="B1" s="13" t="s">
        <v>48</v>
      </c>
      <c r="C1" s="13" t="s">
        <v>21</v>
      </c>
      <c r="D1" s="13" t="s">
        <v>18</v>
      </c>
      <c r="E1" s="12" t="s">
        <v>3</v>
      </c>
      <c r="F1" s="12" t="s">
        <v>4</v>
      </c>
      <c r="G1" s="12" t="s">
        <v>5</v>
      </c>
      <c r="H1" s="12" t="s">
        <v>16</v>
      </c>
      <c r="I1" s="12" t="s">
        <v>17</v>
      </c>
      <c r="J1" s="16" t="s">
        <v>6</v>
      </c>
      <c r="K1" s="12" t="s">
        <v>3</v>
      </c>
      <c r="L1" s="12" t="s">
        <v>4</v>
      </c>
      <c r="M1" s="12" t="s">
        <v>5</v>
      </c>
      <c r="N1" s="12" t="s">
        <v>16</v>
      </c>
      <c r="O1" s="12" t="s">
        <v>17</v>
      </c>
      <c r="P1" s="13" t="s">
        <v>18</v>
      </c>
      <c r="Q1" s="13" t="s">
        <v>21</v>
      </c>
      <c r="R1" s="13" t="s">
        <v>48</v>
      </c>
      <c r="S1" s="13" t="s">
        <v>49</v>
      </c>
      <c r="T1" s="46"/>
      <c r="U1" s="44" t="s">
        <v>62</v>
      </c>
      <c r="V1" s="47" t="s">
        <v>63</v>
      </c>
      <c r="W1" s="70"/>
      <c r="X1" s="70"/>
      <c r="Y1" s="70"/>
      <c r="Z1" s="70"/>
      <c r="AA1" s="13" t="s">
        <v>3026</v>
      </c>
      <c r="AB1" s="13" t="s">
        <v>3027</v>
      </c>
      <c r="AC1" s="13" t="s">
        <v>3028</v>
      </c>
      <c r="AD1" s="13" t="s">
        <v>3029</v>
      </c>
      <c r="AE1" s="12" t="s">
        <v>3</v>
      </c>
      <c r="AF1" s="12" t="s">
        <v>4</v>
      </c>
      <c r="AG1" s="12" t="s">
        <v>5</v>
      </c>
      <c r="AH1" s="12" t="s">
        <v>3030</v>
      </c>
      <c r="AI1" s="12" t="s">
        <v>3031</v>
      </c>
      <c r="AJ1" s="16" t="s">
        <v>6</v>
      </c>
      <c r="AK1" s="12" t="s">
        <v>3</v>
      </c>
      <c r="AL1" s="12" t="s">
        <v>4</v>
      </c>
      <c r="AM1" s="12" t="s">
        <v>5</v>
      </c>
      <c r="AN1" s="12" t="s">
        <v>3030</v>
      </c>
      <c r="AO1" s="12" t="s">
        <v>3031</v>
      </c>
      <c r="AP1" s="13" t="s">
        <v>3029</v>
      </c>
      <c r="AQ1" s="13" t="s">
        <v>3028</v>
      </c>
      <c r="AR1" s="13" t="s">
        <v>3027</v>
      </c>
      <c r="AS1" s="13" t="s">
        <v>3026</v>
      </c>
      <c r="AT1" s="46"/>
      <c r="AU1" s="44" t="s">
        <v>3032</v>
      </c>
      <c r="AV1" s="47" t="s">
        <v>3033</v>
      </c>
    </row>
    <row r="2" spans="1:48" ht="17.25" thickBot="1" x14ac:dyDescent="0.3">
      <c r="A2" s="36">
        <f ca="1">(GBSOption("C",指數型權證!$T$3,$J2, 選擇權次近月!$N$2,$H2, 0,0)-GBSOption("C",指數型權證!$T$3,$J2,選擇權次近月!$O$2,$H2, 0,0))*$C2*50*-1</f>
        <v>0</v>
      </c>
      <c r="B2" s="14">
        <f ca="1">GBSGreeks("d", "C",指數型權證!$T$3,$J2,選擇權次近月!$N$2,$H2, 0,0)*50*指數型權證!$T$3*$C2</f>
        <v>0</v>
      </c>
      <c r="C2" s="14">
        <f>SUMIFS(指數型權證!$AH$1:$AH$49,指數型權證!$AL$1:$AL$49,"9",指數型權證!$AJ$1:$AJ$49,$J2,指數型權證!$AM$1:$AM$49,"Call")</f>
        <v>0</v>
      </c>
      <c r="D2" s="14">
        <f ca="1">GBSGreeks("g", "C",指數型權證!$T$3,$J2,選擇權次近月!$N$2,$H2, 0,0)*50*指數型權證!$T$3^2*1%*$C2*-1</f>
        <v>0</v>
      </c>
      <c r="E2" s="17">
        <v>5090</v>
      </c>
      <c r="F2" s="17">
        <v>5330</v>
      </c>
      <c r="G2" s="17" t="s">
        <v>1854</v>
      </c>
      <c r="H2" s="19">
        <v>1.610321044921875E-4</v>
      </c>
      <c r="I2" s="19">
        <v>0.87670411682128924</v>
      </c>
      <c r="J2" s="18">
        <v>6800</v>
      </c>
      <c r="K2" s="17">
        <v>6.3</v>
      </c>
      <c r="L2" s="17">
        <v>7.9</v>
      </c>
      <c r="M2" s="17">
        <v>7.9</v>
      </c>
      <c r="N2" s="19">
        <v>0.56910231018066404</v>
      </c>
      <c r="O2" s="19">
        <v>0.58570304260253914</v>
      </c>
      <c r="P2" s="14">
        <f ca="1">GBSGreeks("g", "P",指數型權證!$T$3,$J2,選擇權次近月!$N$2,$N2, 0,0)*50*指數型權證!$T$3^2*1%*$Q2*-1</f>
        <v>0</v>
      </c>
      <c r="Q2" s="14">
        <f>SUMIFS(指數型權證!$AH$1:$AH$49,指數型權證!$AL$1:$AL$49,"9",指數型權證!$AJ$1:$AJ$49,$J2,指數型權證!$AM$1:$AM$49,"Put")</f>
        <v>0</v>
      </c>
      <c r="R2" s="14">
        <f ca="1">GBSGreeks("d", "P",指數型權證!$T$3,$J2,選擇權次近月!$N$2,$N2, 0,0)*50*指數型權證!$T$3*$Q2</f>
        <v>0</v>
      </c>
      <c r="S2" s="36">
        <f ca="1">(GBSOption("P",指數型權證!$T$3,$J2, 選擇權次近月!$N$2,$N2, 0,0)-GBSOption("P",指數型權證!$T$3,$J2,選擇權次近月!$O$2,$N2, 0,0))*$Q2*50*-1</f>
        <v>0</v>
      </c>
      <c r="T2" s="36"/>
      <c r="U2" s="48">
        <f ca="1">(GBSOption("C",指數型權證!T$4,$J2,選擇權近月!$N$2,$H2,0, 0)-GBSOption("C",指數型權證!T$4,$J2,選擇權近月!$N$2,$H2+0.01,0, 0))*50*$C2</f>
        <v>0</v>
      </c>
      <c r="V2" s="48">
        <f ca="1">(GBSOption("P",指數型權證!T$4,$J2,選擇權近月!$N$2,$N2,0, 0)-GBSOption("P",指數型權證!T$4,$J2,選擇權近月!$N$2,$N2+0.01,0, 0))*50*$Q2</f>
        <v>0</v>
      </c>
      <c r="Y2" s="250"/>
      <c r="Z2" s="250"/>
      <c r="AA2" s="36">
        <v>0</v>
      </c>
      <c r="AB2" s="14">
        <v>0</v>
      </c>
      <c r="AC2" s="14">
        <v>0</v>
      </c>
      <c r="AD2" s="14">
        <v>0</v>
      </c>
      <c r="AE2" s="17">
        <v>5050</v>
      </c>
      <c r="AF2" s="17">
        <v>5280</v>
      </c>
      <c r="AG2" s="17" t="s">
        <v>1854</v>
      </c>
      <c r="AH2" s="19">
        <v>1.610321044921875E-4</v>
      </c>
      <c r="AI2" s="19">
        <v>0.87475108947753921</v>
      </c>
      <c r="AJ2" s="18">
        <v>6800</v>
      </c>
      <c r="AK2" s="17">
        <v>7.5</v>
      </c>
      <c r="AL2" s="17">
        <v>8.3000000000000007</v>
      </c>
      <c r="AM2" s="17">
        <v>8.4</v>
      </c>
      <c r="AN2" s="19">
        <v>0.5712994659423829</v>
      </c>
      <c r="AO2" s="19">
        <v>0.579111575317383</v>
      </c>
      <c r="AP2" s="14">
        <v>0</v>
      </c>
      <c r="AQ2" s="14">
        <v>0</v>
      </c>
      <c r="AR2" s="14">
        <v>0</v>
      </c>
      <c r="AS2" s="36">
        <v>0</v>
      </c>
      <c r="AT2" s="36"/>
      <c r="AU2" s="48">
        <v>0</v>
      </c>
      <c r="AV2" s="48">
        <v>0</v>
      </c>
    </row>
    <row r="3" spans="1:48" ht="17.25" thickBot="1" x14ac:dyDescent="0.3">
      <c r="A3" s="36">
        <f ca="1">(GBSOption("C",指數型權證!$T$3,$J3, 選擇權次近月!$N$2,$H3, 0,0)-GBSOption("C",指數型權證!$T$3,$J3,選擇權次近月!$O$2,$H3, 0,0))*$C3*50*-1</f>
        <v>0</v>
      </c>
      <c r="B3" s="14">
        <f ca="1">GBSGreeks("d", "C",指數型權證!$T$3,$J3,選擇權次近月!$N$2,$H3, 0,0)*50*指數型權證!$T$3*$C3</f>
        <v>0</v>
      </c>
      <c r="C3" s="14">
        <f>SUMIFS(指數型權證!$AH$1:$AH$49,指數型權證!$AL$1:$AL$49,"9",指數型權證!$AJ$1:$AJ$49,$J3,指數型權證!$AM$1:$AM$49,"Call")</f>
        <v>0</v>
      </c>
      <c r="D3" s="14">
        <f ca="1">GBSGreeks("g", "C",指數型權證!$T$3,$J3,選擇權次近月!$N$2,$H3, 0,0)*50*指數型權證!$T$3^2*1%*$C3*-1</f>
        <v>0</v>
      </c>
      <c r="E3" s="17">
        <v>4900</v>
      </c>
      <c r="F3" s="17">
        <v>5140</v>
      </c>
      <c r="G3" s="17" t="s">
        <v>1854</v>
      </c>
      <c r="H3" s="19">
        <v>1.610321044921875E-4</v>
      </c>
      <c r="I3" s="19">
        <v>0.85949306335449227</v>
      </c>
      <c r="J3" s="18">
        <v>7000</v>
      </c>
      <c r="K3" s="17">
        <v>7.6</v>
      </c>
      <c r="L3" s="17">
        <v>11</v>
      </c>
      <c r="M3" s="17">
        <v>8</v>
      </c>
      <c r="N3" s="19">
        <v>0.55567524719238293</v>
      </c>
      <c r="O3" s="19">
        <v>0.58387207946777364</v>
      </c>
      <c r="P3" s="14">
        <f ca="1">GBSGreeks("g", "P",指數型權證!$T$3,$J3,選擇權次近月!$N$2,$N3, 0,0)*50*指數型權證!$T$3^2*1%*$Q3*-1</f>
        <v>0</v>
      </c>
      <c r="Q3" s="14">
        <f>SUMIFS(指數型權證!$AH$1:$AH$49,指數型權證!$AL$1:$AL$49,"9",指數型權證!$AJ$1:$AJ$49,$J3,指數型權證!$AM$1:$AM$49,"Put")</f>
        <v>0</v>
      </c>
      <c r="R3" s="14">
        <f ca="1">GBSGreeks("d", "P",指數型權證!$T$3,$J3,選擇權次近月!$N$2,$N3, 0,0)*50*指數型權證!$T$3*$Q3</f>
        <v>0</v>
      </c>
      <c r="S3" s="36">
        <f ca="1">(GBSOption("P",指數型權證!$T$3,$J3, 選擇權次近月!$N$2,$N3, 0,0)-GBSOption("P",指數型權證!$T$3,$J3,選擇權次近月!$O$2,$N3, 0,0))*$Q3*50*-1</f>
        <v>0</v>
      </c>
      <c r="T3" s="36"/>
      <c r="U3" s="48">
        <f ca="1">(GBSOption("C",指數型權證!T$4,$J3,選擇權近月!$N$2,$H3,0, 0)-GBSOption("C",指數型權證!T$4,$J3,選擇權近月!$N$2,$H3+0.01,0, 0))*50*$C3</f>
        <v>0</v>
      </c>
      <c r="V3" s="48">
        <f ca="1">(GBSOption("P",指數型權證!T$4,$J3,選擇權近月!$N$2,$N3,0, 0)-GBSOption("P",指數型權證!T$4,$J3,選擇權近月!$N$2,$N3+0.01,0, 0))*50*$Q3</f>
        <v>0</v>
      </c>
      <c r="Y3" s="250"/>
      <c r="Z3" s="250"/>
      <c r="AA3" s="36">
        <v>0</v>
      </c>
      <c r="AB3" s="14">
        <v>0</v>
      </c>
      <c r="AC3" s="14">
        <v>0</v>
      </c>
      <c r="AD3" s="14">
        <v>0</v>
      </c>
      <c r="AE3" s="17">
        <v>4840</v>
      </c>
      <c r="AF3" s="17">
        <v>5080</v>
      </c>
      <c r="AG3" s="17" t="s">
        <v>1854</v>
      </c>
      <c r="AH3" s="19">
        <v>1.610321044921875E-4</v>
      </c>
      <c r="AI3" s="19">
        <v>0.83691118469238301</v>
      </c>
      <c r="AJ3" s="18">
        <v>7000</v>
      </c>
      <c r="AK3" s="17">
        <v>8</v>
      </c>
      <c r="AL3" s="17">
        <v>9.4</v>
      </c>
      <c r="AM3" s="17">
        <v>8.3000000000000007</v>
      </c>
      <c r="AN3" s="19">
        <v>0.54920584411621087</v>
      </c>
      <c r="AO3" s="19">
        <v>0.56129020080566416</v>
      </c>
      <c r="AP3" s="14">
        <v>0</v>
      </c>
      <c r="AQ3" s="14">
        <v>0</v>
      </c>
      <c r="AR3" s="14">
        <v>0</v>
      </c>
      <c r="AS3" s="36">
        <v>0</v>
      </c>
      <c r="AT3" s="36"/>
      <c r="AU3" s="48">
        <v>0</v>
      </c>
      <c r="AV3" s="48">
        <v>0</v>
      </c>
    </row>
    <row r="4" spans="1:48" ht="17.25" thickBot="1" x14ac:dyDescent="0.3">
      <c r="A4" s="36">
        <f ca="1">(GBSOption("C",指數型權證!$T$3,$J4, 選擇權次近月!$N$2,$H4, 0,0)-GBSOption("C",指數型權證!$T$3,$J4,選擇權次近月!$O$2,$H4, 0,0))*$C4*50*-1</f>
        <v>0</v>
      </c>
      <c r="B4" s="14">
        <f ca="1">GBSGreeks("d", "C",指數型權證!$T$3,$J4,選擇權次近月!$N$2,$H4, 0,0)*50*指數型權證!$T$3*$C4</f>
        <v>0</v>
      </c>
      <c r="C4" s="14">
        <f>SUMIFS(指數型權證!$AH$1:$AH$49,指數型權證!$AL$1:$AL$49,"9",指數型權證!$AJ$1:$AJ$49,$J4,指數型權證!$AM$1:$AM$49,"Call")</f>
        <v>0</v>
      </c>
      <c r="D4" s="14">
        <f ca="1">GBSGreeks("g", "C",指數型權證!$T$3,$J4,選擇權次近月!$N$2,$H4, 0,0)*50*指數型權證!$T$3^2*1%*$C4*-1</f>
        <v>0</v>
      </c>
      <c r="E4" s="17">
        <v>4710</v>
      </c>
      <c r="F4" s="17">
        <v>4940</v>
      </c>
      <c r="G4" s="20" t="s">
        <v>1854</v>
      </c>
      <c r="H4" s="19">
        <v>1.610321044921875E-4</v>
      </c>
      <c r="I4" s="19">
        <v>0.82201935119628922</v>
      </c>
      <c r="J4" s="18">
        <v>7200</v>
      </c>
      <c r="K4" s="17">
        <v>8.6</v>
      </c>
      <c r="L4" s="17">
        <v>12</v>
      </c>
      <c r="M4" s="17">
        <v>9.8000000000000007</v>
      </c>
      <c r="N4" s="19">
        <v>0.53809800109863282</v>
      </c>
      <c r="O4" s="19">
        <v>0.5633652923583985</v>
      </c>
      <c r="P4" s="14">
        <f ca="1">GBSGreeks("g", "P",指數型權證!$T$3,$J4,選擇權次近月!$N$2,$N4, 0,0)*50*指數型權證!$T$3^2*1%*$Q4*-1</f>
        <v>0</v>
      </c>
      <c r="Q4" s="14">
        <f>SUMIFS(指數型權證!$AH$1:$AH$49,指數型權證!$AL$1:$AL$49,"9",指數型權證!$AJ$1:$AJ$49,$J4,指數型權證!$AM$1:$AM$49,"Put")</f>
        <v>0</v>
      </c>
      <c r="R4" s="14">
        <f ca="1">GBSGreeks("d", "P",指數型權證!$T$3,$J4,選擇權次近月!$N$2,$N4, 0,0)*50*指數型權證!$T$3*$Q4</f>
        <v>0</v>
      </c>
      <c r="S4" s="36">
        <f ca="1">(GBSOption("P",指數型權證!$T$3,$J4, 選擇權次近月!$N$2,$N4, 0,0)-GBSOption("P",指數型權證!$T$3,$J4,選擇權次近月!$O$2,$N4, 0,0))*$Q4*50*-1</f>
        <v>0</v>
      </c>
      <c r="T4" s="36"/>
      <c r="U4" s="48">
        <f ca="1">(GBSOption("C",指數型權證!T$4,$J4,選擇權近月!$N$2,$H4,0, 0)-GBSOption("C",指數型權證!T$4,$J4,選擇權近月!$N$2,$H4+0.01,0, 0))*50*$C4</f>
        <v>0</v>
      </c>
      <c r="V4" s="48">
        <f ca="1">(GBSOption("P",指數型權證!T$4,$J4,選擇權近月!$N$2,$N4,0, 0)-GBSOption("P",指數型權證!T$4,$J4,選擇權近月!$N$2,$N4+0.01,0, 0))*50*$Q4</f>
        <v>0</v>
      </c>
      <c r="Y4" s="250"/>
      <c r="Z4" s="250"/>
      <c r="AA4" s="36">
        <v>0</v>
      </c>
      <c r="AB4" s="14">
        <v>0</v>
      </c>
      <c r="AC4" s="14">
        <v>0</v>
      </c>
      <c r="AD4" s="14">
        <v>0</v>
      </c>
      <c r="AE4" s="17">
        <v>4650</v>
      </c>
      <c r="AF4" s="17">
        <v>4880</v>
      </c>
      <c r="AG4" s="20" t="s">
        <v>1854</v>
      </c>
      <c r="AH4" s="19">
        <v>1.610321044921875E-4</v>
      </c>
      <c r="AI4" s="19">
        <v>0.80004779357910161</v>
      </c>
      <c r="AJ4" s="18">
        <v>7200</v>
      </c>
      <c r="AK4" s="17">
        <v>9.1999999999999993</v>
      </c>
      <c r="AL4" s="17">
        <v>11</v>
      </c>
      <c r="AM4" s="17" t="s">
        <v>1854</v>
      </c>
      <c r="AN4" s="19">
        <v>0.53284924011230472</v>
      </c>
      <c r="AO4" s="19">
        <v>0.54639836730957025</v>
      </c>
      <c r="AP4" s="14">
        <v>0</v>
      </c>
      <c r="AQ4" s="14">
        <v>0</v>
      </c>
      <c r="AR4" s="14">
        <v>0</v>
      </c>
      <c r="AS4" s="36">
        <v>0</v>
      </c>
      <c r="AT4" s="36"/>
      <c r="AU4" s="48">
        <v>0</v>
      </c>
      <c r="AV4" s="48">
        <v>0</v>
      </c>
    </row>
    <row r="5" spans="1:48" ht="17.25" thickBot="1" x14ac:dyDescent="0.3">
      <c r="A5" s="36">
        <f ca="1">(GBSOption("C",指數型權證!$T$3,$J5, 選擇權次近月!$N$2,$H5, 0,0)-GBSOption("C",指數型權證!$T$3,$J5,選擇權次近月!$O$2,$H5, 0,0))*$C5*50*-1</f>
        <v>0</v>
      </c>
      <c r="B5" s="14">
        <f ca="1">GBSGreeks("d", "C",指數型權證!$T$3,$J5,選擇權次近月!$N$2,$H5, 0,0)*50*指數型權證!$T$3*$C5</f>
        <v>0</v>
      </c>
      <c r="C5" s="14">
        <f>SUMIFS(指數型權證!$AH$1:$AH$49,指數型權證!$AL$1:$AL$49,"9",指數型權證!$AJ$1:$AJ$49,$J5,指數型權證!$AM$1:$AM$49,"Call")</f>
        <v>0</v>
      </c>
      <c r="D5" s="14">
        <f ca="1">GBSGreeks("g", "C",指數型權證!$T$3,$J5,選擇權次近月!$N$2,$H5, 0,0)*50*指數型權證!$T$3^2*1%*$C5*-1</f>
        <v>0</v>
      </c>
      <c r="E5" s="17">
        <v>4520</v>
      </c>
      <c r="F5" s="17">
        <v>4740</v>
      </c>
      <c r="G5" s="17" t="s">
        <v>1854</v>
      </c>
      <c r="H5" s="19">
        <v>1.610321044921875E-4</v>
      </c>
      <c r="I5" s="19">
        <v>0.78540008850097665</v>
      </c>
      <c r="J5" s="18">
        <v>7400</v>
      </c>
      <c r="K5" s="17">
        <v>9.5</v>
      </c>
      <c r="L5" s="17">
        <v>13</v>
      </c>
      <c r="M5" s="17" t="s">
        <v>1854</v>
      </c>
      <c r="N5" s="19">
        <v>0.51905598449707036</v>
      </c>
      <c r="O5" s="19">
        <v>0.54261437683105462</v>
      </c>
      <c r="P5" s="14">
        <f ca="1">GBSGreeks("g", "P",指數型權證!$T$3,$J5,選擇權次近月!$N$2,$N5, 0,0)*50*指數型權證!$T$3^2*1%*$Q5*-1</f>
        <v>0</v>
      </c>
      <c r="Q5" s="14">
        <f>SUMIFS(指數型權證!$AH$1:$AH$49,指數型權證!$AL$1:$AL$49,"9",指數型權證!$AJ$1:$AJ$49,$J5,指數型權證!$AM$1:$AM$49,"Put")</f>
        <v>0</v>
      </c>
      <c r="R5" s="14">
        <f ca="1">GBSGreeks("d", "P",指數型權證!$T$3,$J5,選擇權次近月!$N$2,$N5, 0,0)*50*指數型權證!$T$3*$Q5</f>
        <v>0</v>
      </c>
      <c r="S5" s="36">
        <f ca="1">(GBSOption("P",指數型權證!$T$3,$J5, 選擇權次近月!$N$2,$N5, 0,0)-GBSOption("P",指數型權證!$T$3,$J5,選擇權次近月!$O$2,$N5, 0,0))*$Q5*50*-1</f>
        <v>0</v>
      </c>
      <c r="T5" s="36"/>
      <c r="U5" s="48">
        <f ca="1">(GBSOption("C",指數型權證!T$4,$J5,選擇權近月!$N$2,$H5,0, 0)-GBSOption("C",指數型權證!T$4,$J5,選擇權近月!$N$2,$H5+0.01,0, 0))*50*$C5</f>
        <v>0</v>
      </c>
      <c r="V5" s="48">
        <f ca="1">(GBSOption("P",指數型權證!T$4,$J5,選擇權近月!$N$2,$N5,0, 0)-GBSOption("P",指數型權證!T$4,$J5,選擇權近月!$N$2,$N5+0.01,0, 0))*50*$Q5</f>
        <v>0</v>
      </c>
      <c r="Y5" s="250"/>
      <c r="Z5" s="250"/>
      <c r="AA5" s="36">
        <v>0</v>
      </c>
      <c r="AB5" s="14">
        <v>0</v>
      </c>
      <c r="AC5" s="14">
        <v>0</v>
      </c>
      <c r="AD5" s="14">
        <v>0</v>
      </c>
      <c r="AE5" s="17">
        <v>4450</v>
      </c>
      <c r="AF5" s="17">
        <v>4680</v>
      </c>
      <c r="AG5" s="17" t="s">
        <v>1854</v>
      </c>
      <c r="AH5" s="19">
        <v>1.610321044921875E-4</v>
      </c>
      <c r="AI5" s="19">
        <v>0.76416091613769532</v>
      </c>
      <c r="AJ5" s="18">
        <v>7400</v>
      </c>
      <c r="AK5" s="17">
        <v>10</v>
      </c>
      <c r="AL5" s="17">
        <v>14</v>
      </c>
      <c r="AM5" s="17" t="s">
        <v>1854</v>
      </c>
      <c r="AN5" s="19">
        <v>0.51283070983886714</v>
      </c>
      <c r="AO5" s="19">
        <v>0.53822006530761712</v>
      </c>
      <c r="AP5" s="14">
        <v>0</v>
      </c>
      <c r="AQ5" s="14">
        <v>0</v>
      </c>
      <c r="AR5" s="14">
        <v>0</v>
      </c>
      <c r="AS5" s="36">
        <v>0</v>
      </c>
      <c r="AT5" s="36"/>
      <c r="AU5" s="48">
        <v>0</v>
      </c>
      <c r="AV5" s="48">
        <v>0</v>
      </c>
    </row>
    <row r="6" spans="1:48" ht="17.25" thickBot="1" x14ac:dyDescent="0.3">
      <c r="A6" s="36">
        <f ca="1">(GBSOption("C",指數型權證!$T$3,$J6, 選擇權次近月!$N$2,$H6, 0,0)-GBSOption("C",指數型權證!$T$3,$J6,選擇權次近月!$O$2,$H6, 0,0))*$C6*50*-1</f>
        <v>0</v>
      </c>
      <c r="B6" s="14">
        <f ca="1">GBSGreeks("d", "C",指數型權證!$T$3,$J6,選擇權次近月!$N$2,$H6, 0,0)*50*指數型權證!$T$3*$C6</f>
        <v>0</v>
      </c>
      <c r="C6" s="14">
        <f>SUMIFS(指數型權證!$AH$1:$AH$49,指數型權證!$AL$1:$AL$49,"9",指數型權證!$AJ$1:$AJ$49,$J6,指數型權證!$AM$1:$AM$49,"Call")</f>
        <v>0</v>
      </c>
      <c r="D6" s="14">
        <f ca="1">GBSGreeks("g", "C",指數型權證!$T$3,$J6,選擇權次近月!$N$2,$H6, 0,0)*50*指數型權證!$T$3^2*1%*$C6*-1</f>
        <v>0</v>
      </c>
      <c r="E6" s="17">
        <v>4300</v>
      </c>
      <c r="F6" s="17">
        <v>4540</v>
      </c>
      <c r="G6" s="17" t="s">
        <v>1854</v>
      </c>
      <c r="H6" s="19">
        <v>1.610321044921875E-4</v>
      </c>
      <c r="I6" s="19">
        <v>0.7497573394775392</v>
      </c>
      <c r="J6" s="18">
        <v>7600</v>
      </c>
      <c r="K6" s="17">
        <v>9.1</v>
      </c>
      <c r="L6" s="17">
        <v>13</v>
      </c>
      <c r="M6" s="17" t="s">
        <v>1854</v>
      </c>
      <c r="N6" s="19">
        <v>0.49061502380371097</v>
      </c>
      <c r="O6" s="19">
        <v>0.51612644348144532</v>
      </c>
      <c r="P6" s="14">
        <f ca="1">GBSGreeks("g", "P",指數型權證!$T$3,$J6,選擇權次近月!$N$2,$N6, 0,0)*50*指數型權證!$T$3^2*1%*$Q6*-1</f>
        <v>0</v>
      </c>
      <c r="Q6" s="14">
        <f>SUMIFS(指數型權證!$AH$1:$AH$49,指數型權證!$AL$1:$AL$49,"9",指數型權證!$AJ$1:$AJ$49,$J6,指數型權證!$AM$1:$AM$49,"Put")</f>
        <v>0</v>
      </c>
      <c r="R6" s="14">
        <f ca="1">GBSGreeks("d", "P",指數型權證!$T$3,$J6,選擇權次近月!$N$2,$N6, 0,0)*50*指數型權證!$T$3*$Q6</f>
        <v>0</v>
      </c>
      <c r="S6" s="36">
        <f ca="1">(GBSOption("P",指數型權證!$T$3,$J6, 選擇權次近月!$N$2,$N6, 0,0)-GBSOption("P",指數型權證!$T$3,$J6,選擇權次近月!$O$2,$N6, 0,0))*$Q6*50*-1</f>
        <v>0</v>
      </c>
      <c r="T6" s="36"/>
      <c r="U6" s="48">
        <f ca="1">(GBSOption("C",指數型權證!T$4,$J6,選擇權近月!$N$2,$H6,0, 0)-GBSOption("C",指數型權證!T$4,$J6,選擇權近月!$N$2,$H6+0.01,0, 0))*50*$C6</f>
        <v>0</v>
      </c>
      <c r="V6" s="48">
        <f ca="1">(GBSOption("P",指數型權證!T$4,$J6,選擇權近月!$N$2,$N6,0, 0)-GBSOption("P",指數型權證!T$4,$J6,選擇權近月!$N$2,$N6+0.01,0, 0))*50*$Q6</f>
        <v>0</v>
      </c>
      <c r="Y6" s="250"/>
      <c r="Z6" s="250"/>
      <c r="AA6" s="36">
        <v>0</v>
      </c>
      <c r="AB6" s="14">
        <v>0</v>
      </c>
      <c r="AC6" s="14">
        <v>0</v>
      </c>
      <c r="AD6" s="14">
        <v>0</v>
      </c>
      <c r="AE6" s="17">
        <v>4250</v>
      </c>
      <c r="AF6" s="17">
        <v>4490</v>
      </c>
      <c r="AG6" s="17" t="s">
        <v>1854</v>
      </c>
      <c r="AH6" s="19">
        <v>1.610321044921875E-4</v>
      </c>
      <c r="AI6" s="19">
        <v>0.74670573425292974</v>
      </c>
      <c r="AJ6" s="18">
        <v>7600</v>
      </c>
      <c r="AK6" s="17">
        <v>10.5</v>
      </c>
      <c r="AL6" s="17">
        <v>14.5</v>
      </c>
      <c r="AM6" s="17" t="s">
        <v>1854</v>
      </c>
      <c r="AN6" s="19">
        <v>0.49061502380371097</v>
      </c>
      <c r="AO6" s="19">
        <v>0.51441754455566402</v>
      </c>
      <c r="AP6" s="14">
        <v>0</v>
      </c>
      <c r="AQ6" s="14">
        <v>0</v>
      </c>
      <c r="AR6" s="14">
        <v>0</v>
      </c>
      <c r="AS6" s="36">
        <v>0</v>
      </c>
      <c r="AT6" s="36"/>
      <c r="AU6" s="48">
        <v>0</v>
      </c>
      <c r="AV6" s="48">
        <v>0</v>
      </c>
    </row>
    <row r="7" spans="1:48" ht="17.25" thickBot="1" x14ac:dyDescent="0.3">
      <c r="A7" s="36">
        <f ca="1">(GBSOption("C",指數型權證!$T$3,$J7, 選擇權次近月!$N$2,$H7, 0,0)-GBSOption("C",指數型權證!$T$3,$J7,選擇權次近月!$O$2,$H7, 0,0))*$C7*50*-1</f>
        <v>0</v>
      </c>
      <c r="B7" s="14">
        <f ca="1">GBSGreeks("d", "C",指數型權證!$T$3,$J7,選擇權次近月!$N$2,$H7, 0,0)*50*指數型權證!$T$3*$C7</f>
        <v>0</v>
      </c>
      <c r="C7" s="14">
        <f>SUMIFS(指數型權證!$AH$1:$AH$49,指數型權證!$AL$1:$AL$49,"9",指數型權證!$AJ$1:$AJ$49,$J7,指數型權證!$AM$1:$AM$49,"Call")</f>
        <v>0</v>
      </c>
      <c r="D7" s="14">
        <f ca="1">GBSGreeks("g", "C",指數型權證!$T$3,$J7,選擇權次近月!$N$2,$H7, 0,0)*50*指數型權證!$T$3^2*1%*$C7*-1</f>
        <v>0</v>
      </c>
      <c r="E7" s="17">
        <v>4100</v>
      </c>
      <c r="F7" s="17">
        <v>4340</v>
      </c>
      <c r="G7" s="17" t="s">
        <v>1854</v>
      </c>
      <c r="H7" s="19">
        <v>1.610321044921875E-4</v>
      </c>
      <c r="I7" s="19">
        <v>0.71484697570800793</v>
      </c>
      <c r="J7" s="18">
        <v>7800</v>
      </c>
      <c r="K7" s="17">
        <v>10.5</v>
      </c>
      <c r="L7" s="17">
        <v>14.5</v>
      </c>
      <c r="M7" s="17" t="s">
        <v>1854</v>
      </c>
      <c r="N7" s="19">
        <v>0.47511286926269536</v>
      </c>
      <c r="O7" s="19">
        <v>0.49818300476074218</v>
      </c>
      <c r="P7" s="14">
        <f ca="1">GBSGreeks("g", "P",指數型權證!$T$3,$J7,選擇權次近月!$N$2,$N7, 0,0)*50*指數型權證!$T$3^2*1%*$Q7*-1</f>
        <v>0</v>
      </c>
      <c r="Q7" s="14">
        <f>SUMIFS(指數型權證!$AH$1:$AH$49,指數型權證!$AL$1:$AL$49,"9",指數型權證!$AJ$1:$AJ$49,$J7,指數型權證!$AM$1:$AM$49,"Put")</f>
        <v>0</v>
      </c>
      <c r="R7" s="14">
        <f ca="1">GBSGreeks("d", "P",指數型權證!$T$3,$J7,選擇權次近月!$N$2,$N7, 0,0)*50*指數型權證!$T$3*$Q7</f>
        <v>0</v>
      </c>
      <c r="S7" s="36">
        <f ca="1">(GBSOption("P",指數型權證!$T$3,$J7, 選擇權次近月!$N$2,$N7, 0,0)-GBSOption("P",指數型權證!$T$3,$J7,選擇權次近月!$O$2,$N7, 0,0))*$Q7*50*-1</f>
        <v>0</v>
      </c>
      <c r="T7" s="36"/>
      <c r="U7" s="48">
        <f ca="1">(GBSOption("C",指數型權證!T$4,$J7,選擇權近月!$N$2,$H7,0, 0)-GBSOption("C",指數型權證!T$4,$J7,選擇權近月!$N$2,$H7+0.01,0, 0))*50*$C7</f>
        <v>0</v>
      </c>
      <c r="V7" s="48">
        <f ca="1">(GBSOption("P",指數型權證!T$4,$J7,選擇權近月!$N$2,$N7,0, 0)-GBSOption("P",指數型權證!T$4,$J7,選擇權近月!$N$2,$N7+0.01,0, 0))*50*$Q7</f>
        <v>0</v>
      </c>
      <c r="Y7" s="250"/>
      <c r="Z7" s="250"/>
      <c r="AA7" s="36">
        <v>0</v>
      </c>
      <c r="AB7" s="14">
        <v>0</v>
      </c>
      <c r="AC7" s="14">
        <v>0</v>
      </c>
      <c r="AD7" s="14">
        <v>0</v>
      </c>
      <c r="AE7" s="17">
        <v>4050</v>
      </c>
      <c r="AF7" s="17">
        <v>4290</v>
      </c>
      <c r="AG7" s="17" t="s">
        <v>1854</v>
      </c>
      <c r="AH7" s="19">
        <v>1.610321044921875E-4</v>
      </c>
      <c r="AI7" s="19">
        <v>0.71179537048339858</v>
      </c>
      <c r="AJ7" s="18">
        <v>7800</v>
      </c>
      <c r="AK7" s="17">
        <v>12</v>
      </c>
      <c r="AL7" s="17">
        <v>16</v>
      </c>
      <c r="AM7" s="17">
        <v>15</v>
      </c>
      <c r="AN7" s="19">
        <v>0.47462461242675791</v>
      </c>
      <c r="AO7" s="19">
        <v>0.4957417205810547</v>
      </c>
      <c r="AP7" s="14">
        <v>0</v>
      </c>
      <c r="AQ7" s="14">
        <v>0</v>
      </c>
      <c r="AR7" s="14">
        <v>0</v>
      </c>
      <c r="AS7" s="36">
        <v>0</v>
      </c>
      <c r="AT7" s="36"/>
      <c r="AU7" s="48">
        <v>0</v>
      </c>
      <c r="AV7" s="48">
        <v>0</v>
      </c>
    </row>
    <row r="8" spans="1:48" ht="17.25" thickBot="1" x14ac:dyDescent="0.3">
      <c r="A8" s="36">
        <f ca="1">(GBSOption("C",指數型權證!$T$3,$J8, 選擇權次近月!$N$2,$H8, 0,0)-GBSOption("C",指數型權證!$T$3,$J8,選擇權次近月!$O$2,$H8, 0,0))*$C8*50*-1</f>
        <v>0</v>
      </c>
      <c r="B8" s="14">
        <f ca="1">GBSGreeks("d", "C",指數型權證!$T$3,$J8,選擇權次近月!$N$2,$H8, 0,0)*50*指數型權證!$T$3*$C8</f>
        <v>0</v>
      </c>
      <c r="C8" s="14">
        <f>SUMIFS(指數型權證!$AH$1:$AH$49,指數型權證!$AL$1:$AL$49,"9",指數型權證!$AJ$1:$AJ$49,$J8,指數型權證!$AM$1:$AM$49,"Call")</f>
        <v>0</v>
      </c>
      <c r="D8" s="14">
        <f ca="1">GBSGreeks("g", "C",指數型權證!$T$3,$J8,選擇權次近月!$N$2,$H8, 0,0)*50*指數型權證!$T$3^2*1%*$C8*-1</f>
        <v>0</v>
      </c>
      <c r="E8" s="17">
        <v>3920</v>
      </c>
      <c r="F8" s="17">
        <v>4140</v>
      </c>
      <c r="G8" s="17" t="s">
        <v>1854</v>
      </c>
      <c r="H8" s="19">
        <v>1.610321044921875E-4</v>
      </c>
      <c r="I8" s="19">
        <v>0.68079106140136725</v>
      </c>
      <c r="J8" s="18">
        <v>8000</v>
      </c>
      <c r="K8" s="17">
        <v>13</v>
      </c>
      <c r="L8" s="17">
        <v>13.5</v>
      </c>
      <c r="M8" s="17">
        <v>13.5</v>
      </c>
      <c r="N8" s="19">
        <v>0.46449328308105475</v>
      </c>
      <c r="O8" s="19">
        <v>0.46742282409667979</v>
      </c>
      <c r="P8" s="14">
        <f ca="1">GBSGreeks("g", "P",指數型權證!$T$3,$J8,選擇權次近月!$N$2,$N8, 0,0)*50*指數型權證!$T$3^2*1%*$Q8*-1</f>
        <v>0</v>
      </c>
      <c r="Q8" s="14">
        <f>SUMIFS(指數型權證!$AH$1:$AH$49,指數型權證!$AL$1:$AL$49,"9",指數型權證!$AJ$1:$AJ$49,$J8,指數型權證!$AM$1:$AM$49,"Put")</f>
        <v>0</v>
      </c>
      <c r="R8" s="14">
        <f ca="1">GBSGreeks("d", "P",指數型權證!$T$3,$J8,選擇權次近月!$N$2,$N8, 0,0)*50*指數型權證!$T$3*$Q8</f>
        <v>0</v>
      </c>
      <c r="S8" s="36">
        <f ca="1">(GBSOption("P",指數型權證!$T$3,$J8, 選擇權次近月!$N$2,$N8, 0,0)-GBSOption("P",指數型權證!$T$3,$J8,選擇權次近月!$O$2,$N8, 0,0))*$Q8*50*-1</f>
        <v>0</v>
      </c>
      <c r="T8" s="36"/>
      <c r="U8" s="48">
        <f ca="1">(GBSOption("C",指數型權證!T$4,$J8,選擇權近月!$N$2,$H8,0, 0)-GBSOption("C",指數型權證!T$4,$J8,選擇權近月!$N$2,$H8+0.01,0, 0))*50*$C8</f>
        <v>0</v>
      </c>
      <c r="V8" s="48">
        <f ca="1">(GBSOption("P",指數型權證!T$4,$J8,選擇權近月!$N$2,$N8,0, 0)-GBSOption("P",指數型權證!T$4,$J8,選擇權近月!$N$2,$N8+0.01,0, 0))*50*$Q8</f>
        <v>0</v>
      </c>
      <c r="Y8" s="250"/>
      <c r="Z8" s="250"/>
      <c r="AA8" s="36">
        <v>0</v>
      </c>
      <c r="AB8" s="14">
        <v>0</v>
      </c>
      <c r="AC8" s="14">
        <v>0</v>
      </c>
      <c r="AD8" s="14">
        <v>0</v>
      </c>
      <c r="AE8" s="17">
        <v>3850</v>
      </c>
      <c r="AF8" s="17">
        <v>4080</v>
      </c>
      <c r="AG8" s="17" t="s">
        <v>1854</v>
      </c>
      <c r="AH8" s="19">
        <v>1.610321044921875E-4</v>
      </c>
      <c r="AI8" s="19">
        <v>0.66113872375488292</v>
      </c>
      <c r="AJ8" s="18">
        <v>8000</v>
      </c>
      <c r="AK8" s="17">
        <v>14.5</v>
      </c>
      <c r="AL8" s="17">
        <v>17</v>
      </c>
      <c r="AM8" s="17" t="s">
        <v>1854</v>
      </c>
      <c r="AN8" s="19">
        <v>0.46266231994628909</v>
      </c>
      <c r="AO8" s="19">
        <v>0.47450254821777349</v>
      </c>
      <c r="AP8" s="14">
        <v>0</v>
      </c>
      <c r="AQ8" s="14">
        <v>0</v>
      </c>
      <c r="AR8" s="14">
        <v>0</v>
      </c>
      <c r="AS8" s="36">
        <v>0</v>
      </c>
      <c r="AT8" s="36"/>
      <c r="AU8" s="48">
        <v>0</v>
      </c>
      <c r="AV8" s="48">
        <v>0</v>
      </c>
    </row>
    <row r="9" spans="1:48" ht="17.25" thickBot="1" x14ac:dyDescent="0.3">
      <c r="A9" s="36">
        <f ca="1">(GBSOption("C",指數型權證!$T$3,$J9, 選擇權次近月!$N$2,$H9, 0,0)-GBSOption("C",指數型權證!$T$3,$J9,選擇權次近月!$O$2,$H9, 0,0))*$C9*50*-1</f>
        <v>0</v>
      </c>
      <c r="B9" s="14">
        <f ca="1">GBSGreeks("d", "C",指數型權證!$T$3,$J9,選擇權次近月!$N$2,$H9, 0,0)*50*指數型權證!$T$3*$C9</f>
        <v>0</v>
      </c>
      <c r="C9" s="14">
        <f>SUMIFS(指數型權證!$AH$1:$AH$49,指數型權證!$AL$1:$AL$49,"9",指數型權證!$AJ$1:$AJ$49,$J9,指數型權證!$AM$1:$AM$49,"Call")</f>
        <v>0</v>
      </c>
      <c r="D9" s="14">
        <f ca="1">GBSGreeks("g", "C",指數型權證!$T$3,$J9,選擇權次近月!$N$2,$H9, 0,0)*50*指數型權證!$T$3^2*1%*$C9*-1</f>
        <v>0</v>
      </c>
      <c r="E9" s="17">
        <v>3700</v>
      </c>
      <c r="F9" s="17">
        <v>3940</v>
      </c>
      <c r="G9" s="17" t="s">
        <v>1854</v>
      </c>
      <c r="H9" s="19">
        <v>1.610321044921875E-4</v>
      </c>
      <c r="I9" s="19">
        <v>0.64734546813964844</v>
      </c>
      <c r="J9" s="18">
        <v>8200</v>
      </c>
      <c r="K9" s="17">
        <v>13.5</v>
      </c>
      <c r="L9" s="17">
        <v>17.5</v>
      </c>
      <c r="M9" s="17" t="s">
        <v>1854</v>
      </c>
      <c r="N9" s="19">
        <v>0.44227759704589842</v>
      </c>
      <c r="O9" s="19">
        <v>0.46070929260253907</v>
      </c>
      <c r="P9" s="14">
        <f ca="1">GBSGreeks("g", "P",指數型權證!$T$3,$J9,選擇權次近月!$N$2,$N9, 0,0)*50*指數型權證!$T$3^2*1%*$Q9*-1</f>
        <v>0</v>
      </c>
      <c r="Q9" s="14">
        <f>SUMIFS(指數型權證!$AH$1:$AH$49,指數型權證!$AL$1:$AL$49,"9",指數型權證!$AJ$1:$AJ$49,$J9,指數型權證!$AM$1:$AM$49,"Put")</f>
        <v>0</v>
      </c>
      <c r="R9" s="14">
        <f ca="1">GBSGreeks("d", "P",指數型權證!$T$3,$J9,選擇權次近月!$N$2,$N9, 0,0)*50*指數型權證!$T$3*$Q9</f>
        <v>0</v>
      </c>
      <c r="S9" s="36">
        <f ca="1">(GBSOption("P",指數型權證!$T$3,$J9, 選擇權次近月!$N$2,$N9, 0,0)-GBSOption("P",指數型權證!$T$3,$J9,選擇權次近月!$O$2,$N9, 0,0))*$Q9*50*-1</f>
        <v>0</v>
      </c>
      <c r="T9" s="36"/>
      <c r="U9" s="48">
        <f ca="1">(GBSOption("C",指數型權證!T$4,$J9,選擇權近月!$N$2,$H9,0, 0)-GBSOption("C",指數型權證!T$4,$J9,選擇權近月!$N$2,$H9+0.01,0, 0))*50*$C9</f>
        <v>0</v>
      </c>
      <c r="V9" s="48">
        <f ca="1">(GBSOption("P",指數型權證!T$4,$J9,選擇權近月!$N$2,$N9,0, 0)-GBSOption("P",指數型權證!T$4,$J9,選擇權近月!$N$2,$N9+0.01,0, 0))*50*$Q9</f>
        <v>0</v>
      </c>
      <c r="Y9" s="250"/>
      <c r="Z9" s="250"/>
      <c r="AA9" s="36">
        <v>0</v>
      </c>
      <c r="AB9" s="14">
        <v>0</v>
      </c>
      <c r="AC9" s="14">
        <v>0</v>
      </c>
      <c r="AD9" s="14">
        <v>0</v>
      </c>
      <c r="AE9" s="17">
        <v>3650</v>
      </c>
      <c r="AF9" s="17">
        <v>3890</v>
      </c>
      <c r="AG9" s="17" t="s">
        <v>1854</v>
      </c>
      <c r="AH9" s="19">
        <v>1.610321044921875E-4</v>
      </c>
      <c r="AI9" s="19">
        <v>0.64404973449707037</v>
      </c>
      <c r="AJ9" s="18">
        <v>8200</v>
      </c>
      <c r="AK9" s="17">
        <v>16.5</v>
      </c>
      <c r="AL9" s="17">
        <v>21</v>
      </c>
      <c r="AM9" s="17">
        <v>16.5</v>
      </c>
      <c r="AN9" s="19">
        <v>0.44667190856933597</v>
      </c>
      <c r="AO9" s="19">
        <v>0.4648594757080079</v>
      </c>
      <c r="AP9" s="14">
        <v>0</v>
      </c>
      <c r="AQ9" s="14">
        <v>0</v>
      </c>
      <c r="AR9" s="14">
        <v>0</v>
      </c>
      <c r="AS9" s="36">
        <v>0</v>
      </c>
      <c r="AT9" s="36"/>
      <c r="AU9" s="48">
        <v>0</v>
      </c>
      <c r="AV9" s="48">
        <v>0</v>
      </c>
    </row>
    <row r="10" spans="1:48" ht="17.25" thickBot="1" x14ac:dyDescent="0.3">
      <c r="A10" s="36">
        <f ca="1">(GBSOption("C",指數型權證!$T$3,$J10, 選擇權次近月!$N$2,$H10, 0,0)-GBSOption("C",指數型權證!$T$3,$J10,選擇權次近月!$O$2,$H10, 0,0))*$C10*50*-1</f>
        <v>0</v>
      </c>
      <c r="B10" s="14">
        <f ca="1">GBSGreeks("d", "C",指數型權證!$T$3,$J10,選擇權次近月!$N$2,$H10, 0,0)*50*指數型權證!$T$3*$C10</f>
        <v>0</v>
      </c>
      <c r="C10" s="14">
        <f>SUMIFS(指數型權證!$AH$1:$AH$49,指數型權證!$AL$1:$AL$49,"9",指數型權證!$AJ$1:$AJ$49,$J10,指數型權證!$AM$1:$AM$49,"Call")</f>
        <v>0</v>
      </c>
      <c r="D10" s="14">
        <f ca="1">GBSGreeks("g", "C",指數型權證!$T$3,$J10,選擇權次近月!$N$2,$H10, 0,0)*50*指數型權證!$T$3^2*1%*$C10*-1</f>
        <v>0</v>
      </c>
      <c r="E10" s="17">
        <v>3520</v>
      </c>
      <c r="F10" s="17">
        <v>3750</v>
      </c>
      <c r="G10" s="17" t="s">
        <v>1854</v>
      </c>
      <c r="H10" s="19">
        <v>1.610321044921875E-4</v>
      </c>
      <c r="I10" s="19">
        <v>0.62964615783691413</v>
      </c>
      <c r="J10" s="18">
        <v>8400</v>
      </c>
      <c r="K10" s="17">
        <v>16.5</v>
      </c>
      <c r="L10" s="17">
        <v>21.5</v>
      </c>
      <c r="M10" s="17">
        <v>17</v>
      </c>
      <c r="N10" s="19">
        <v>0.431047689819336</v>
      </c>
      <c r="O10" s="19">
        <v>0.45057796325683591</v>
      </c>
      <c r="P10" s="14">
        <f ca="1">GBSGreeks("g", "P",指數型權證!$T$3,$J10,選擇權次近月!$N$2,$N10, 0,0)*50*指數型權證!$T$3^2*1%*$Q10*-1</f>
        <v>0</v>
      </c>
      <c r="Q10" s="14">
        <f>SUMIFS(指數型權證!$AH$1:$AH$49,指數型權證!$AL$1:$AL$49,"9",指數型權證!$AJ$1:$AJ$49,$J10,指數型權證!$AM$1:$AM$49,"Put")</f>
        <v>0</v>
      </c>
      <c r="R10" s="14">
        <f ca="1">GBSGreeks("d", "P",指數型權證!$T$3,$J10,選擇權次近月!$N$2,$N10, 0,0)*50*指數型權證!$T$3*$Q10</f>
        <v>0</v>
      </c>
      <c r="S10" s="36">
        <f ca="1">(GBSOption("P",指數型權證!$T$3,$J10, 選擇權次近月!$N$2,$N10, 0,0)-GBSOption("P",指數型權證!$T$3,$J10,選擇權次近月!$O$2,$N10, 0,0))*$Q10*50*-1</f>
        <v>0</v>
      </c>
      <c r="T10" s="36"/>
      <c r="U10" s="48">
        <f ca="1">(GBSOption("C",指數型權證!T$4,$J10,選擇權近月!$N$2,$H10,0, 0)-GBSOption("C",指數型權證!T$4,$J10,選擇權近月!$N$2,$H10+0.01,0, 0))*50*$C10</f>
        <v>0</v>
      </c>
      <c r="V10" s="48">
        <f ca="1">(GBSOption("P",指數型權證!T$4,$J10,選擇權近月!$N$2,$N10,0, 0)-GBSOption("P",指數型權證!T$4,$J10,選擇權近月!$N$2,$N10+0.01,0, 0))*50*$Q10</f>
        <v>0</v>
      </c>
      <c r="Y10" s="250"/>
      <c r="Z10" s="250"/>
      <c r="AA10" s="36">
        <v>0</v>
      </c>
      <c r="AB10" s="14">
        <v>0</v>
      </c>
      <c r="AC10" s="14">
        <v>0</v>
      </c>
      <c r="AD10" s="14">
        <v>0</v>
      </c>
      <c r="AE10" s="17">
        <v>3460</v>
      </c>
      <c r="AF10" s="17">
        <v>3690</v>
      </c>
      <c r="AG10" s="17" t="s">
        <v>1854</v>
      </c>
      <c r="AH10" s="19">
        <v>1.610321044921875E-4</v>
      </c>
      <c r="AI10" s="19">
        <v>0.61121446228027354</v>
      </c>
      <c r="AJ10" s="18">
        <v>8400</v>
      </c>
      <c r="AK10" s="17">
        <v>19</v>
      </c>
      <c r="AL10" s="17">
        <v>22.5</v>
      </c>
      <c r="AM10" s="17">
        <v>20</v>
      </c>
      <c r="AN10" s="19">
        <v>0.43165801086425792</v>
      </c>
      <c r="AO10" s="19">
        <v>0.44435268859863286</v>
      </c>
      <c r="AP10" s="14">
        <v>0</v>
      </c>
      <c r="AQ10" s="14">
        <v>0</v>
      </c>
      <c r="AR10" s="14">
        <v>0</v>
      </c>
      <c r="AS10" s="36">
        <v>0</v>
      </c>
      <c r="AT10" s="36"/>
      <c r="AU10" s="48">
        <v>0</v>
      </c>
      <c r="AV10" s="48">
        <v>0</v>
      </c>
    </row>
    <row r="11" spans="1:48" ht="17.25" thickBot="1" x14ac:dyDescent="0.3">
      <c r="A11" s="36">
        <f ca="1">(GBSOption("C",指數型權證!$T$3,$J11, 選擇權次近月!$N$2,$H11, 0,0)-GBSOption("C",指數型權證!$T$3,$J11,選擇權次近月!$O$2,$H11, 0,0))*$C11*50*-1</f>
        <v>0</v>
      </c>
      <c r="B11" s="14">
        <f ca="1">GBSGreeks("d", "C",指數型權證!$T$3,$J11,選擇權次近月!$N$2,$H11, 0,0)*50*指數型權證!$T$3*$C11</f>
        <v>0</v>
      </c>
      <c r="C11" s="14">
        <f>SUMIFS(指數型權證!$AH$1:$AH$49,指數型權證!$AL$1:$AL$49,"9",指數型權證!$AJ$1:$AJ$49,$J11,指數型權證!$AM$1:$AM$49,"Call")</f>
        <v>0</v>
      </c>
      <c r="D11" s="14">
        <f ca="1">GBSGreeks("g", "C",指數型權證!$T$3,$J11,選擇權次近月!$N$2,$H11, 0,0)*50*指數型權證!$T$3^2*1%*$C11*-1</f>
        <v>0</v>
      </c>
      <c r="E11" s="17">
        <v>3320</v>
      </c>
      <c r="F11" s="17">
        <v>3550</v>
      </c>
      <c r="G11" s="17" t="s">
        <v>1854</v>
      </c>
      <c r="H11" s="19">
        <v>1.610321044921875E-4</v>
      </c>
      <c r="I11" s="19">
        <v>0.59693294982910172</v>
      </c>
      <c r="J11" s="18">
        <v>8600</v>
      </c>
      <c r="K11" s="17">
        <v>19</v>
      </c>
      <c r="L11" s="17">
        <v>24</v>
      </c>
      <c r="M11" s="17" t="s">
        <v>1854</v>
      </c>
      <c r="N11" s="19">
        <v>0.41603379211425795</v>
      </c>
      <c r="O11" s="19">
        <v>0.43324484558105469</v>
      </c>
      <c r="P11" s="14">
        <f ca="1">GBSGreeks("g", "P",指數型權證!$T$3,$J11,選擇權次近月!$N$2,$N11, 0,0)*50*指數型權證!$T$3^2*1%*$Q11*-1</f>
        <v>0</v>
      </c>
      <c r="Q11" s="14">
        <f>SUMIFS(指數型權證!$AH$1:$AH$49,指數型權證!$AL$1:$AL$49,"9",指數型權證!$AJ$1:$AJ$49,$J11,指數型權證!$AM$1:$AM$49,"Put")</f>
        <v>0</v>
      </c>
      <c r="R11" s="14">
        <f ca="1">GBSGreeks("d", "P",指數型權證!$T$3,$J11,選擇權次近月!$N$2,$N11, 0,0)*50*指數型權證!$T$3*$Q11</f>
        <v>0</v>
      </c>
      <c r="S11" s="36">
        <f ca="1">(GBSOption("P",指數型權證!$T$3,$J11, 選擇權次近月!$N$2,$N11, 0,0)-GBSOption("P",指數型權證!$T$3,$J11,選擇權次近月!$O$2,$N11, 0,0))*$Q11*50*-1</f>
        <v>0</v>
      </c>
      <c r="T11" s="36"/>
      <c r="U11" s="48">
        <f ca="1">(GBSOption("C",指數型權證!T$4,$J11,選擇權近月!$N$2,$H11,0, 0)-GBSOption("C",指數型權證!T$4,$J11,選擇權近月!$N$2,$H11+0.01,0, 0))*50*$C11</f>
        <v>0</v>
      </c>
      <c r="V11" s="48">
        <f ca="1">(GBSOption("P",指數型權證!T$4,$J11,選擇權近月!$N$2,$N11,0, 0)-GBSOption("P",指數型權證!T$4,$J11,選擇權近月!$N$2,$N11+0.01,0, 0))*50*$Q11</f>
        <v>0</v>
      </c>
      <c r="Y11" s="250"/>
      <c r="Z11" s="250"/>
      <c r="AA11" s="36">
        <v>0</v>
      </c>
      <c r="AB11" s="14">
        <v>0</v>
      </c>
      <c r="AC11" s="14">
        <v>0</v>
      </c>
      <c r="AD11" s="14">
        <v>0</v>
      </c>
      <c r="AE11" s="17">
        <v>3260</v>
      </c>
      <c r="AF11" s="17">
        <v>3490</v>
      </c>
      <c r="AG11" s="17" t="s">
        <v>1854</v>
      </c>
      <c r="AH11" s="19">
        <v>1.610321044921875E-4</v>
      </c>
      <c r="AI11" s="19">
        <v>0.57898951110839858</v>
      </c>
      <c r="AJ11" s="18">
        <v>8600</v>
      </c>
      <c r="AK11" s="17">
        <v>21.5</v>
      </c>
      <c r="AL11" s="17">
        <v>23.5</v>
      </c>
      <c r="AM11" s="17">
        <v>22.5</v>
      </c>
      <c r="AN11" s="19">
        <v>0.41542347106933603</v>
      </c>
      <c r="AO11" s="19">
        <v>0.422259066772461</v>
      </c>
      <c r="AP11" s="14">
        <v>0</v>
      </c>
      <c r="AQ11" s="14">
        <v>0</v>
      </c>
      <c r="AR11" s="14">
        <v>0</v>
      </c>
      <c r="AS11" s="36">
        <v>0</v>
      </c>
      <c r="AT11" s="36"/>
      <c r="AU11" s="48">
        <v>0</v>
      </c>
      <c r="AV11" s="48">
        <v>0</v>
      </c>
    </row>
    <row r="12" spans="1:48" ht="17.25" thickBot="1" x14ac:dyDescent="0.3">
      <c r="A12" s="36">
        <f ca="1">(GBSOption("C",指數型權證!$T$3,$J12, 選擇權次近月!$N$2,$H12, 0,0)-GBSOption("C",指數型權證!$T$3,$J12,選擇權次近月!$O$2,$H12, 0,0))*$C12*50*-1</f>
        <v>0</v>
      </c>
      <c r="B12" s="14">
        <f ca="1">GBSGreeks("d", "C",指數型權證!$T$3,$J12,選擇權次近月!$N$2,$H12, 0,0)*50*指數型權證!$T$3*$C12</f>
        <v>0</v>
      </c>
      <c r="C12" s="14">
        <f>SUMIFS(指數型權證!$AH$1:$AH$49,指數型權證!$AL$1:$AL$49,"9",指數型權證!$AJ$1:$AJ$49,$J12,指數型權證!$AM$1:$AM$49,"Call")</f>
        <v>0</v>
      </c>
      <c r="D12" s="14">
        <f ca="1">GBSGreeks("g", "C",指數型權證!$T$3,$J12,選擇權次近月!$N$2,$H12, 0,0)*50*指數型權證!$T$3^2*1%*$C12*-1</f>
        <v>0</v>
      </c>
      <c r="E12" s="17">
        <v>3130</v>
      </c>
      <c r="F12" s="17">
        <v>3350</v>
      </c>
      <c r="G12" s="17" t="s">
        <v>1854</v>
      </c>
      <c r="H12" s="19">
        <v>1.610321044921875E-4</v>
      </c>
      <c r="I12" s="19">
        <v>0.56470799865722654</v>
      </c>
      <c r="J12" s="18">
        <v>8800</v>
      </c>
      <c r="K12" s="17">
        <v>20.5</v>
      </c>
      <c r="L12" s="17">
        <v>25.5</v>
      </c>
      <c r="M12" s="17">
        <v>26</v>
      </c>
      <c r="N12" s="19">
        <v>0.39650351867675782</v>
      </c>
      <c r="O12" s="19">
        <v>0.41237186584472663</v>
      </c>
      <c r="P12" s="14">
        <f ca="1">GBSGreeks("g", "P",指數型權證!$T$3,$J12,選擇權次近月!$N$2,$N12, 0,0)*50*指數型權證!$T$3^2*1%*$Q12*-1</f>
        <v>0</v>
      </c>
      <c r="Q12" s="14">
        <f>SUMIFS(指數型權證!$AH$1:$AH$49,指數型權證!$AL$1:$AL$49,"9",指數型權證!$AJ$1:$AJ$49,$J12,指數型權證!$AM$1:$AM$49,"Put")</f>
        <v>0</v>
      </c>
      <c r="R12" s="14">
        <f ca="1">GBSGreeks("d", "P",指數型權證!$T$3,$J12,選擇權次近月!$N$2,$N12, 0,0)*50*指數型權證!$T$3*$Q12</f>
        <v>0</v>
      </c>
      <c r="S12" s="36">
        <f ca="1">(GBSOption("P",指數型權證!$T$3,$J12, 選擇權次近月!$N$2,$N12, 0,0)-GBSOption("P",指數型權證!$T$3,$J12,選擇權次近月!$O$2,$N12, 0,0))*$Q12*50*-1</f>
        <v>0</v>
      </c>
      <c r="T12" s="36"/>
      <c r="U12" s="48">
        <f ca="1">(GBSOption("C",指數型權證!T$4,$J12,選擇權近月!$N$2,$H12,0, 0)-GBSOption("C",指數型權證!T$4,$J12,選擇權近月!$N$2,$H12+0.01,0, 0))*50*$C12</f>
        <v>0</v>
      </c>
      <c r="V12" s="48">
        <f ca="1">(GBSOption("P",指數型權證!T$4,$J12,選擇權近月!$N$2,$N12,0, 0)-GBSOption("P",指數型權證!T$4,$J12,選擇權近月!$N$2,$N12+0.01,0, 0))*50*$Q12</f>
        <v>0</v>
      </c>
      <c r="Y12" s="250"/>
      <c r="Z12" s="250"/>
      <c r="AA12" s="36">
        <v>0</v>
      </c>
      <c r="AB12" s="14">
        <v>0</v>
      </c>
      <c r="AC12" s="14">
        <v>0</v>
      </c>
      <c r="AD12" s="14">
        <v>0</v>
      </c>
      <c r="AE12" s="17">
        <v>3070</v>
      </c>
      <c r="AF12" s="17">
        <v>3290</v>
      </c>
      <c r="AG12" s="17" t="s">
        <v>1854</v>
      </c>
      <c r="AH12" s="19">
        <v>1.610321044921875E-4</v>
      </c>
      <c r="AI12" s="19">
        <v>0.54725281677246085</v>
      </c>
      <c r="AJ12" s="18">
        <v>8800</v>
      </c>
      <c r="AK12" s="17">
        <v>24</v>
      </c>
      <c r="AL12" s="17">
        <v>29</v>
      </c>
      <c r="AM12" s="17">
        <v>24</v>
      </c>
      <c r="AN12" s="19">
        <v>0.39833448181152342</v>
      </c>
      <c r="AO12" s="19">
        <v>0.41273805847167977</v>
      </c>
      <c r="AP12" s="14">
        <v>0</v>
      </c>
      <c r="AQ12" s="14">
        <v>0</v>
      </c>
      <c r="AR12" s="14">
        <v>0</v>
      </c>
      <c r="AS12" s="36">
        <v>0</v>
      </c>
      <c r="AT12" s="36"/>
      <c r="AU12" s="48">
        <v>0</v>
      </c>
      <c r="AV12" s="48">
        <v>0</v>
      </c>
    </row>
    <row r="13" spans="1:48" ht="17.25" thickBot="1" x14ac:dyDescent="0.3">
      <c r="A13" s="36">
        <f ca="1">(GBSOption("C",指數型權證!$T$3,$J13, 選擇權次近月!$N$2,$H13, 0,0)-GBSOption("C",指數型權證!$T$3,$J13,選擇權次近月!$O$2,$H13, 0,0))*$C13*50*-1</f>
        <v>0</v>
      </c>
      <c r="B13" s="14">
        <f ca="1">GBSGreeks("d", "C",指數型權證!$T$3,$J13,選擇權次近月!$N$2,$H13, 0,0)*50*指數型權證!$T$3*$C13</f>
        <v>0</v>
      </c>
      <c r="C13" s="14">
        <f>SUMIFS(指數型權證!$AH$1:$AH$49,指數型權證!$AL$1:$AL$49,"9",指數型權證!$AJ$1:$AJ$49,$J13,指數型權證!$AM$1:$AM$49,"Call")</f>
        <v>0</v>
      </c>
      <c r="D13" s="14">
        <f ca="1">GBSGreeks("g", "C",指數型權證!$T$3,$J13,選擇權次近月!$N$2,$H13, 0,0)*50*指數型權證!$T$3^2*1%*$C13*-1</f>
        <v>0</v>
      </c>
      <c r="E13" s="17">
        <v>2930</v>
      </c>
      <c r="F13" s="17">
        <v>3160</v>
      </c>
      <c r="G13" s="17" t="s">
        <v>1854</v>
      </c>
      <c r="H13" s="19">
        <v>1.610321044921875E-4</v>
      </c>
      <c r="I13" s="19">
        <v>0.5459101104736328</v>
      </c>
      <c r="J13" s="18">
        <v>9000</v>
      </c>
      <c r="K13" s="17">
        <v>25</v>
      </c>
      <c r="L13" s="17">
        <v>29.5</v>
      </c>
      <c r="M13" s="17">
        <v>28</v>
      </c>
      <c r="N13" s="19">
        <v>0.38551773986816412</v>
      </c>
      <c r="O13" s="19">
        <v>0.39784622497558592</v>
      </c>
      <c r="P13" s="14">
        <f ca="1">GBSGreeks("g", "P",指數型權證!$T$3,$J13,選擇權次近月!$N$2,$N13, 0,0)*50*指數型權證!$T$3^2*1%*$Q13*-1</f>
        <v>0</v>
      </c>
      <c r="Q13" s="14">
        <f>SUMIFS(指數型權證!$AH$1:$AH$49,指數型權證!$AL$1:$AL$49,"9",指數型權證!$AJ$1:$AJ$49,$J13,指數型權證!$AM$1:$AM$49,"Put")</f>
        <v>0</v>
      </c>
      <c r="R13" s="14">
        <f ca="1">GBSGreeks("d", "P",指數型權證!$T$3,$J13,選擇權次近月!$N$2,$N13, 0,0)*50*指數型權證!$T$3*$Q13</f>
        <v>0</v>
      </c>
      <c r="S13" s="36">
        <f ca="1">(GBSOption("P",指數型權證!$T$3,$J13, 選擇權次近月!$N$2,$N13, 0,0)-GBSOption("P",指數型權證!$T$3,$J13,選擇權次近月!$O$2,$N13, 0,0))*$Q13*50*-1</f>
        <v>0</v>
      </c>
      <c r="T13" s="36"/>
      <c r="U13" s="48">
        <f ca="1">(GBSOption("C",指數型權證!T$4,$J13,選擇權近月!$N$2,$H13,0, 0)-GBSOption("C",指數型權證!T$4,$J13,選擇權近月!$N$2,$H13+0.01,0, 0))*50*$C13</f>
        <v>0</v>
      </c>
      <c r="V13" s="48">
        <f ca="1">(GBSOption("P",指數型權證!T$4,$J13,選擇權近月!$N$2,$N13,0, 0)-GBSOption("P",指數型權證!T$4,$J13,選擇權近月!$N$2,$N13+0.01,0, 0))*50*$Q13</f>
        <v>0</v>
      </c>
      <c r="Y13" s="250"/>
      <c r="Z13" s="250"/>
      <c r="AA13" s="36">
        <v>0</v>
      </c>
      <c r="AB13" s="14">
        <v>0</v>
      </c>
      <c r="AC13" s="14">
        <v>0</v>
      </c>
      <c r="AD13" s="14">
        <v>0</v>
      </c>
      <c r="AE13" s="17">
        <v>2860</v>
      </c>
      <c r="AF13" s="17">
        <v>3100</v>
      </c>
      <c r="AG13" s="17" t="s">
        <v>1854</v>
      </c>
      <c r="AH13" s="19">
        <v>1.610321044921875E-4</v>
      </c>
      <c r="AI13" s="19">
        <v>0.52894318542480467</v>
      </c>
      <c r="AJ13" s="18">
        <v>9000</v>
      </c>
      <c r="AK13" s="17">
        <v>26.5</v>
      </c>
      <c r="AL13" s="17">
        <v>31.5</v>
      </c>
      <c r="AM13" s="17">
        <v>29</v>
      </c>
      <c r="AN13" s="19">
        <v>0.3805131072998047</v>
      </c>
      <c r="AO13" s="19">
        <v>0.39357397766113289</v>
      </c>
      <c r="AP13" s="14">
        <v>0</v>
      </c>
      <c r="AQ13" s="14">
        <v>0</v>
      </c>
      <c r="AR13" s="14">
        <v>0</v>
      </c>
      <c r="AS13" s="36">
        <v>0</v>
      </c>
      <c r="AT13" s="36"/>
      <c r="AU13" s="48">
        <v>0</v>
      </c>
      <c r="AV13" s="48">
        <v>0</v>
      </c>
    </row>
    <row r="14" spans="1:48" ht="17.25" thickBot="1" x14ac:dyDescent="0.3">
      <c r="A14" s="36">
        <f ca="1">(GBSOption("C",指數型權證!$T$3,$J14, 選擇權次近月!$N$2,$H14, 0,0)-GBSOption("C",指數型權證!$T$3,$J14,選擇權次近月!$O$2,$H14, 0,0))*$C14*50*-1</f>
        <v>0</v>
      </c>
      <c r="B14" s="14">
        <f ca="1">GBSGreeks("d", "C",指數型權證!$T$3,$J14,選擇權次近月!$N$2,$H14, 0,0)*50*指數型權證!$T$3*$C14</f>
        <v>0</v>
      </c>
      <c r="C14" s="14">
        <f>SUMIFS(指數型權證!$AH$1:$AH$49,指數型權證!$AL$1:$AL$49,"9",指數型權證!$AJ$1:$AJ$49,$J14,指數型權證!$AM$1:$AM$49,"Call")</f>
        <v>0</v>
      </c>
      <c r="D14" s="14">
        <f ca="1">GBSGreeks("g", "C",指數型權證!$T$3,$J14,選擇權次近月!$N$2,$H14, 0,0)*50*指數型權證!$T$3^2*1%*$C14*-1</f>
        <v>0</v>
      </c>
      <c r="E14" s="17">
        <v>2740</v>
      </c>
      <c r="F14" s="17">
        <v>2960</v>
      </c>
      <c r="G14" s="17" t="s">
        <v>1854</v>
      </c>
      <c r="H14" s="19">
        <v>1.610321044921875E-4</v>
      </c>
      <c r="I14" s="19">
        <v>0.51417341613769529</v>
      </c>
      <c r="J14" s="18">
        <v>9200</v>
      </c>
      <c r="K14" s="17">
        <v>28.5</v>
      </c>
      <c r="L14" s="17">
        <v>33.5</v>
      </c>
      <c r="M14" s="17">
        <v>31.5</v>
      </c>
      <c r="N14" s="19">
        <v>0.36989352111816415</v>
      </c>
      <c r="O14" s="19">
        <v>0.38197787780761716</v>
      </c>
      <c r="P14" s="14">
        <f ca="1">GBSGreeks("g", "P",指數型權證!$T$3,$J14,選擇權次近月!$N$2,$N14, 0,0)*50*指數型權證!$T$3^2*1%*$Q14*-1</f>
        <v>0</v>
      </c>
      <c r="Q14" s="14">
        <f>SUMIFS(指數型權證!$AH$1:$AH$49,指數型權證!$AL$1:$AL$49,"9",指數型權證!$AJ$1:$AJ$49,$J14,指數型權證!$AM$1:$AM$49,"Put")</f>
        <v>0</v>
      </c>
      <c r="R14" s="14">
        <f ca="1">GBSGreeks("d", "P",指數型權證!$T$3,$J14,選擇權次近月!$N$2,$N14, 0,0)*50*指數型權證!$T$3*$Q14</f>
        <v>0</v>
      </c>
      <c r="S14" s="36">
        <f ca="1">(GBSOption("P",指數型權證!$T$3,$J14, 選擇權次近月!$N$2,$N14, 0,0)-GBSOption("P",指數型權證!$T$3,$J14,選擇權次近月!$O$2,$N14, 0,0))*$Q14*50*-1</f>
        <v>0</v>
      </c>
      <c r="T14" s="36"/>
      <c r="U14" s="48">
        <f ca="1">(GBSOption("C",指數型權證!T$4,$J14,選擇權近月!$N$2,$H14,0, 0)-GBSOption("C",指數型權證!T$4,$J14,選擇權近月!$N$2,$H14+0.01,0, 0))*50*$C14</f>
        <v>0</v>
      </c>
      <c r="V14" s="48">
        <f ca="1">(GBSOption("P",指數型權證!T$4,$J14,選擇權近月!$N$2,$N14,0, 0)-GBSOption("P",指數型權證!T$4,$J14,選擇權近月!$N$2,$N14+0.01,0, 0))*50*$Q14</f>
        <v>0</v>
      </c>
      <c r="Y14" s="250"/>
      <c r="Z14" s="250"/>
      <c r="AA14" s="36">
        <v>0</v>
      </c>
      <c r="AB14" s="14">
        <v>0</v>
      </c>
      <c r="AC14" s="14">
        <v>0</v>
      </c>
      <c r="AD14" s="14">
        <v>0</v>
      </c>
      <c r="AE14" s="17">
        <v>2670</v>
      </c>
      <c r="AF14" s="17">
        <v>2900</v>
      </c>
      <c r="AG14" s="17" t="s">
        <v>1854</v>
      </c>
      <c r="AH14" s="19">
        <v>1.610321044921875E-4</v>
      </c>
      <c r="AI14" s="19">
        <v>0.49769474792480473</v>
      </c>
      <c r="AJ14" s="18">
        <v>9200</v>
      </c>
      <c r="AK14" s="17">
        <v>31.5</v>
      </c>
      <c r="AL14" s="17">
        <v>36.5</v>
      </c>
      <c r="AM14" s="17">
        <v>31.5</v>
      </c>
      <c r="AN14" s="19">
        <v>0.36781842956542976</v>
      </c>
      <c r="AO14" s="19">
        <v>0.37929246520996096</v>
      </c>
      <c r="AP14" s="14">
        <v>0</v>
      </c>
      <c r="AQ14" s="14">
        <v>0</v>
      </c>
      <c r="AR14" s="14">
        <v>0</v>
      </c>
      <c r="AS14" s="36">
        <v>0</v>
      </c>
      <c r="AT14" s="36"/>
      <c r="AU14" s="48">
        <v>0</v>
      </c>
      <c r="AV14" s="48">
        <v>0</v>
      </c>
    </row>
    <row r="15" spans="1:48" ht="17.25" thickBot="1" x14ac:dyDescent="0.3">
      <c r="A15" s="36">
        <f ca="1">(GBSOption("C",指數型權證!$T$3,$J15, 選擇權次近月!$N$2,$H15, 0,0)-GBSOption("C",指數型權證!$T$3,$J15,選擇權次近月!$O$2,$H15, 0,0))*$C15*50*-1</f>
        <v>0</v>
      </c>
      <c r="B15" s="14">
        <f ca="1">GBSGreeks("d", "C",指數型權證!$T$3,$J15,選擇權次近月!$N$2,$H15, 0,0)*50*指數型權證!$T$3*$C15</f>
        <v>0</v>
      </c>
      <c r="C15" s="14">
        <f>SUMIFS(指數型權證!$AH$1:$AH$49,指數型權證!$AL$1:$AL$49,"9",指數型權證!$AJ$1:$AJ$49,$J15,指數型權證!$AM$1:$AM$49,"Call")</f>
        <v>0</v>
      </c>
      <c r="D15" s="14">
        <f ca="1">GBSGreeks("g", "C",指數型權證!$T$3,$J15,選擇權次近月!$N$2,$H15, 0,0)*50*指數型權證!$T$3^2*1%*$C15*-1</f>
        <v>0</v>
      </c>
      <c r="E15" s="17">
        <v>2520</v>
      </c>
      <c r="F15" s="17">
        <v>2760</v>
      </c>
      <c r="G15" s="17" t="s">
        <v>1854</v>
      </c>
      <c r="H15" s="19">
        <v>1.610321044921875E-4</v>
      </c>
      <c r="I15" s="19">
        <v>0.48280291442871098</v>
      </c>
      <c r="J15" s="18">
        <v>9400</v>
      </c>
      <c r="K15" s="17">
        <v>33</v>
      </c>
      <c r="L15" s="17">
        <v>38</v>
      </c>
      <c r="M15" s="17">
        <v>34</v>
      </c>
      <c r="N15" s="19">
        <v>0.35524581604003913</v>
      </c>
      <c r="O15" s="19">
        <v>0.3659874664306641</v>
      </c>
      <c r="P15" s="14">
        <f ca="1">GBSGreeks("g", "P",指數型權證!$T$3,$J15,選擇權次近月!$N$2,$N15, 0,0)*50*指數型權證!$T$3^2*1%*$Q15*-1</f>
        <v>-106820.20250052492</v>
      </c>
      <c r="Q15" s="14">
        <f>SUMIFS(指數型權證!$AH$1:$AH$49,指數型權證!$AL$1:$AL$49,"9",指數型權證!$AJ$1:$AJ$49,$J15,指數型權證!$AM$1:$AM$49,"Put")</f>
        <v>30</v>
      </c>
      <c r="R15" s="14">
        <f ca="1">GBSGreeks("d", "P",指數型權證!$T$3,$J15,選擇權次近月!$N$2,$N15, 0,0)*50*指數型權證!$T$3*$Q15</f>
        <v>-759205.80556143087</v>
      </c>
      <c r="S15" s="36">
        <f ca="1">(GBSOption("P",指數型權證!$T$3,$J15, 選擇權次近月!$N$2,$N15, 0,0)-GBSOption("P",指數型權證!$T$3,$J15,選擇權次近月!$O$2,$N15, 0,0))*$Q15*50*-1</f>
        <v>-2650.295744225481</v>
      </c>
      <c r="T15" s="36"/>
      <c r="U15" s="48">
        <f ca="1">(GBSOption("C",指數型權證!T$4,$J15,選擇權近月!$N$2,$H15,0, 0)-GBSOption("C",指數型權證!T$4,$J15,選擇權近月!$N$2,$H15+0.01,0, 0))*50*$C15</f>
        <v>0</v>
      </c>
      <c r="V15" s="48">
        <f ca="1">(GBSOption("P",指數型權證!T$4,$J15,選擇權近月!$N$2,$N15,0, 0)-GBSOption("P",指數型權證!T$4,$J15,選擇權近月!$N$2,$N15+0.01,0, 0))*50*$Q15</f>
        <v>-2073.2124692166467</v>
      </c>
      <c r="Y15" s="250"/>
      <c r="Z15" s="250"/>
      <c r="AA15" s="36">
        <v>0</v>
      </c>
      <c r="AB15" s="14">
        <v>0</v>
      </c>
      <c r="AC15" s="14">
        <v>0</v>
      </c>
      <c r="AD15" s="14">
        <v>0</v>
      </c>
      <c r="AE15" s="17">
        <v>2470</v>
      </c>
      <c r="AF15" s="17">
        <v>2710</v>
      </c>
      <c r="AG15" s="17" t="s">
        <v>1854</v>
      </c>
      <c r="AH15" s="19">
        <v>1.610321044921875E-4</v>
      </c>
      <c r="AI15" s="19">
        <v>0.47816447448730481</v>
      </c>
      <c r="AJ15" s="18">
        <v>9400</v>
      </c>
      <c r="AK15" s="17">
        <v>36.5</v>
      </c>
      <c r="AL15" s="17">
        <v>41.5</v>
      </c>
      <c r="AM15" s="17">
        <v>37</v>
      </c>
      <c r="AN15" s="19">
        <v>0.35341485290527352</v>
      </c>
      <c r="AO15" s="19">
        <v>0.36354618225097662</v>
      </c>
      <c r="AP15" s="14">
        <v>-103563.12282100617</v>
      </c>
      <c r="AQ15" s="14">
        <v>30</v>
      </c>
      <c r="AR15" s="14">
        <v>-716516.31101396005</v>
      </c>
      <c r="AS15" s="36">
        <v>-2540.8988795964119</v>
      </c>
      <c r="AT15" s="36"/>
      <c r="AU15" s="48">
        <v>0</v>
      </c>
      <c r="AV15" s="48">
        <v>-1808.0238500771675</v>
      </c>
    </row>
    <row r="16" spans="1:48" ht="17.25" thickBot="1" x14ac:dyDescent="0.3">
      <c r="A16" s="36">
        <f ca="1">(GBSOption("C",指數型權證!$T$3,$J16, 選擇權次近月!$N$2,$H16, 0,0)-GBSOption("C",指數型權證!$T$3,$J16,選擇權次近月!$O$2,$H16, 0,0))*$C16*50*-1</f>
        <v>0</v>
      </c>
      <c r="B16" s="14">
        <f ca="1">GBSGreeks("d", "C",指數型權證!$T$3,$J16,選擇權次近月!$N$2,$H16, 0,0)*50*指數型權證!$T$3*$C16</f>
        <v>0</v>
      </c>
      <c r="C16" s="14">
        <f>SUMIFS(指數型權證!$AH$1:$AH$49,指數型權證!$AL$1:$AL$49,"9",指數型權證!$AJ$1:$AJ$49,$J16,指數型權證!$AM$1:$AM$49,"Call")</f>
        <v>0</v>
      </c>
      <c r="D16" s="14">
        <f ca="1">GBSGreeks("g", "C",指數型權證!$T$3,$J16,選擇權次近月!$N$2,$H16, 0,0)*50*指數型權證!$T$3^2*1%*$C16*-1</f>
        <v>0</v>
      </c>
      <c r="E16" s="17">
        <v>2340</v>
      </c>
      <c r="F16" s="17">
        <v>2570</v>
      </c>
      <c r="G16" s="17" t="s">
        <v>1854</v>
      </c>
      <c r="H16" s="19">
        <v>1.610321044921875E-4</v>
      </c>
      <c r="I16" s="19">
        <v>0.46278438415527345</v>
      </c>
      <c r="J16" s="18">
        <v>9600</v>
      </c>
      <c r="K16" s="17">
        <v>37.5</v>
      </c>
      <c r="L16" s="17">
        <v>42.5</v>
      </c>
      <c r="M16" s="17">
        <v>41</v>
      </c>
      <c r="N16" s="19">
        <v>0.3391333404541016</v>
      </c>
      <c r="O16" s="19">
        <v>0.34877641296386719</v>
      </c>
      <c r="P16" s="14">
        <f ca="1">GBSGreeks("g", "P",指數型權證!$T$3,$J16,選擇權次近月!$N$2,$N16, 0,0)*50*指數型權證!$T$3^2*1%*$Q16*-1</f>
        <v>0</v>
      </c>
      <c r="Q16" s="14">
        <f>SUMIFS(指數型權證!$AH$1:$AH$49,指數型權證!$AL$1:$AL$49,"9",指數型權證!$AJ$1:$AJ$49,$J16,指數型權證!$AM$1:$AM$49,"Put")</f>
        <v>0</v>
      </c>
      <c r="R16" s="14">
        <f ca="1">GBSGreeks("d", "P",指數型權證!$T$3,$J16,選擇權次近月!$N$2,$N16, 0,0)*50*指數型權證!$T$3*$Q16</f>
        <v>0</v>
      </c>
      <c r="S16" s="36">
        <f ca="1">(GBSOption("P",指數型權證!$T$3,$J16, 選擇權次近月!$N$2,$N16, 0,0)-GBSOption("P",指數型權證!$T$3,$J16,選擇權次近月!$O$2,$N16, 0,0))*$Q16*50*-1</f>
        <v>0</v>
      </c>
      <c r="T16" s="36"/>
      <c r="U16" s="48">
        <f ca="1">(GBSOption("C",指數型權證!T$4,$J16,選擇權近月!$N$2,$H16,0, 0)-GBSOption("C",指數型權證!T$4,$J16,選擇權近月!$N$2,$H16+0.01,0, 0))*50*$C16</f>
        <v>0</v>
      </c>
      <c r="V16" s="48">
        <f ca="1">(GBSOption("P",指數型權證!T$4,$J16,選擇權近月!$N$2,$N16,0, 0)-GBSOption("P",指數型權證!T$4,$J16,選擇權近月!$N$2,$N16+0.01,0, 0))*50*$Q16</f>
        <v>0</v>
      </c>
      <c r="Y16" s="250"/>
      <c r="Z16" s="250"/>
      <c r="AA16" s="36">
        <v>0</v>
      </c>
      <c r="AB16" s="14">
        <v>0</v>
      </c>
      <c r="AC16" s="14">
        <v>0</v>
      </c>
      <c r="AD16" s="14">
        <v>0</v>
      </c>
      <c r="AE16" s="17">
        <v>2280</v>
      </c>
      <c r="AF16" s="17">
        <v>2520</v>
      </c>
      <c r="AG16" s="17" t="s">
        <v>1854</v>
      </c>
      <c r="AH16" s="19">
        <v>1.610321044921875E-4</v>
      </c>
      <c r="AI16" s="19">
        <v>0.45777975158691409</v>
      </c>
      <c r="AJ16" s="18">
        <v>9600</v>
      </c>
      <c r="AK16" s="17">
        <v>42.5</v>
      </c>
      <c r="AL16" s="17">
        <v>47.5</v>
      </c>
      <c r="AM16" s="17">
        <v>40</v>
      </c>
      <c r="AN16" s="19">
        <v>0.33925540466308596</v>
      </c>
      <c r="AO16" s="19">
        <v>0.34816609191894532</v>
      </c>
      <c r="AP16" s="14">
        <v>0</v>
      </c>
      <c r="AQ16" s="14">
        <v>0</v>
      </c>
      <c r="AR16" s="14">
        <v>0</v>
      </c>
      <c r="AS16" s="36">
        <v>0</v>
      </c>
      <c r="AT16" s="36"/>
      <c r="AU16" s="48">
        <v>0</v>
      </c>
      <c r="AV16" s="48">
        <v>0</v>
      </c>
    </row>
    <row r="17" spans="1:48" ht="17.25" thickBot="1" x14ac:dyDescent="0.3">
      <c r="A17" s="36">
        <f ca="1">(GBSOption("C",指數型權證!$T$3,$J17, 選擇權次近月!$N$2,$H17, 0,0)-GBSOption("C",指數型權證!$T$3,$J17,選擇權次近月!$O$2,$H17, 0,0))*$C17*50*-1</f>
        <v>0</v>
      </c>
      <c r="B17" s="14">
        <f ca="1">GBSGreeks("d", "C",指數型權證!$T$3,$J17,選擇權次近月!$N$2,$H17, 0,0)*50*指數型權證!$T$3*$C17</f>
        <v>0</v>
      </c>
      <c r="C17" s="14">
        <f>SUMIFS(指數型權證!$AH$1:$AH$49,指數型權證!$AL$1:$AL$49,"9",指數型權證!$AJ$1:$AJ$49,$J17,指數型權證!$AM$1:$AM$49,"Call")</f>
        <v>0</v>
      </c>
      <c r="D17" s="14">
        <f ca="1">GBSGreeks("g", "C",指數型權證!$T$3,$J17,選擇權次近月!$N$2,$H17, 0,0)*50*指數型權證!$T$3^2*1%*$C17*-1</f>
        <v>0</v>
      </c>
      <c r="E17" s="17">
        <v>2200</v>
      </c>
      <c r="F17" s="17">
        <v>2370</v>
      </c>
      <c r="G17" s="17" t="s">
        <v>1854</v>
      </c>
      <c r="H17" s="19">
        <v>1.610321044921875E-4</v>
      </c>
      <c r="I17" s="19">
        <v>0.43165801086425792</v>
      </c>
      <c r="J17" s="18">
        <v>9800</v>
      </c>
      <c r="K17" s="17">
        <v>44.5</v>
      </c>
      <c r="L17" s="17">
        <v>49.5</v>
      </c>
      <c r="M17" s="17">
        <v>43.5</v>
      </c>
      <c r="N17" s="19">
        <v>0.32619453430175782</v>
      </c>
      <c r="O17" s="19">
        <v>0.33449490051269526</v>
      </c>
      <c r="P17" s="14">
        <f ca="1">GBSGreeks("g", "P",指數型權證!$T$3,$J17,選擇權次近月!$N$2,$N17, 0,0)*50*指數型權證!$T$3^2*1%*$Q17*-1</f>
        <v>0</v>
      </c>
      <c r="Q17" s="14">
        <f>SUMIFS(指數型權證!$AH$1:$AH$49,指數型權證!$AL$1:$AL$49,"9",指數型權證!$AJ$1:$AJ$49,$J17,指數型權證!$AM$1:$AM$49,"Put")</f>
        <v>0</v>
      </c>
      <c r="R17" s="14">
        <f ca="1">GBSGreeks("d", "P",指數型權證!$T$3,$J17,選擇權次近月!$N$2,$N17, 0,0)*50*指數型權證!$T$3*$Q17</f>
        <v>0</v>
      </c>
      <c r="S17" s="36">
        <f ca="1">(GBSOption("P",指數型權證!$T$3,$J17, 選擇權次近月!$N$2,$N17, 0,0)-GBSOption("P",指數型權證!$T$3,$J17,選擇權次近月!$O$2,$N17, 0,0))*$Q17*50*-1</f>
        <v>0</v>
      </c>
      <c r="T17" s="36"/>
      <c r="U17" s="48">
        <f ca="1">(GBSOption("C",指數型權證!T$4,$J17,選擇權近月!$N$2,$H17,0, 0)-GBSOption("C",指數型權證!T$4,$J17,選擇權近月!$N$2,$H17+0.01,0, 0))*50*$C17</f>
        <v>0</v>
      </c>
      <c r="V17" s="48">
        <f ca="1">(GBSOption("P",指數型權證!T$4,$J17,選擇權近月!$N$2,$N17,0, 0)-GBSOption("P",指數型權證!T$4,$J17,選擇權近月!$N$2,$N17+0.01,0, 0))*50*$Q17</f>
        <v>0</v>
      </c>
      <c r="Y17" s="250"/>
      <c r="Z17" s="250"/>
      <c r="AA17" s="36">
        <v>0</v>
      </c>
      <c r="AB17" s="14">
        <v>0</v>
      </c>
      <c r="AC17" s="14">
        <v>0</v>
      </c>
      <c r="AD17" s="14">
        <v>0</v>
      </c>
      <c r="AE17" s="17">
        <v>2220</v>
      </c>
      <c r="AF17" s="17">
        <v>2280</v>
      </c>
      <c r="AG17" s="17" t="s">
        <v>1854</v>
      </c>
      <c r="AH17" s="19">
        <v>0.30593187561035162</v>
      </c>
      <c r="AI17" s="19">
        <v>0.38380884094238288</v>
      </c>
      <c r="AJ17" s="18">
        <v>9800</v>
      </c>
      <c r="AK17" s="17">
        <v>50</v>
      </c>
      <c r="AL17" s="17">
        <v>55</v>
      </c>
      <c r="AM17" s="17">
        <v>52</v>
      </c>
      <c r="AN17" s="19">
        <v>0.32570627746582026</v>
      </c>
      <c r="AO17" s="19">
        <v>0.33364045104980466</v>
      </c>
      <c r="AP17" s="14">
        <v>0</v>
      </c>
      <c r="AQ17" s="14">
        <v>0</v>
      </c>
      <c r="AR17" s="14">
        <v>0</v>
      </c>
      <c r="AS17" s="36">
        <v>0</v>
      </c>
      <c r="AT17" s="36"/>
      <c r="AU17" s="48">
        <v>0</v>
      </c>
      <c r="AV17" s="48">
        <v>0</v>
      </c>
    </row>
    <row r="18" spans="1:48" ht="17.25" thickBot="1" x14ac:dyDescent="0.3">
      <c r="A18" s="36">
        <f ca="1">(GBSOption("C",指數型權證!$T$3,$J18, 選擇權次近月!$N$2,$H18, 0,0)-GBSOption("C",指數型權證!$T$3,$J18,選擇權次近月!$O$2,$H18, 0,0))*$C18*50*-1</f>
        <v>0</v>
      </c>
      <c r="B18" s="14">
        <f ca="1">GBSGreeks("d", "C",指數型權證!$T$3,$J18,選擇權次近月!$N$2,$H18, 0,0)*50*指數型權證!$T$3*$C18</f>
        <v>0</v>
      </c>
      <c r="C18" s="14">
        <f>SUMIFS(指數型權證!$AH$1:$AH$49,指數型權證!$AL$1:$AL$49,"9",指數型權證!$AJ$1:$AJ$49,$J18,指數型權證!$AM$1:$AM$49,"Call")</f>
        <v>0</v>
      </c>
      <c r="D18" s="14">
        <f ca="1">GBSGreeks("g", "C",指數型權證!$T$3,$J18,選擇權次近月!$N$2,$H18, 0,0)*50*指數型權證!$T$3^2*1%*$C18*-1</f>
        <v>0</v>
      </c>
      <c r="E18" s="17">
        <v>1950</v>
      </c>
      <c r="F18" s="17">
        <v>2190</v>
      </c>
      <c r="G18" s="17" t="s">
        <v>1854</v>
      </c>
      <c r="H18" s="19">
        <v>1.610321044921875E-4</v>
      </c>
      <c r="I18" s="19">
        <v>0.41993984680175789</v>
      </c>
      <c r="J18" s="18">
        <v>10000</v>
      </c>
      <c r="K18" s="17">
        <v>56</v>
      </c>
      <c r="L18" s="17">
        <v>57</v>
      </c>
      <c r="M18" s="17">
        <v>57</v>
      </c>
      <c r="N18" s="19">
        <v>0.31752797546386713</v>
      </c>
      <c r="O18" s="19">
        <v>0.31923687438964843</v>
      </c>
      <c r="P18" s="14">
        <f ca="1">GBSGreeks("g", "P",指數型權證!$T$3,$J18,選擇權次近月!$N$2,$N18, 0,0)*50*指數型權證!$T$3^2*1%*$Q18*-1</f>
        <v>0</v>
      </c>
      <c r="Q18" s="14">
        <f>SUMIFS(指數型權證!$AH$1:$AH$49,指數型權證!$AL$1:$AL$49,"9",指數型權證!$AJ$1:$AJ$49,$J18,指數型權證!$AM$1:$AM$49,"Put")</f>
        <v>0</v>
      </c>
      <c r="R18" s="14">
        <f ca="1">GBSGreeks("d", "P",指數型權證!$T$3,$J18,選擇權次近月!$N$2,$N18, 0,0)*50*指數型權證!$T$3*$Q18</f>
        <v>0</v>
      </c>
      <c r="S18" s="36">
        <f ca="1">(GBSOption("P",指數型權證!$T$3,$J18, 選擇權次近月!$N$2,$N18, 0,0)-GBSOption("P",指數型權證!$T$3,$J18,選擇權次近月!$O$2,$N18, 0,0))*$Q18*50*-1</f>
        <v>0</v>
      </c>
      <c r="T18" s="36"/>
      <c r="U18" s="48">
        <f ca="1">(GBSOption("C",指數型權證!T$4,$J18,選擇權近月!$N$2,$H18,0, 0)-GBSOption("C",指數型權證!T$4,$J18,選擇權近月!$N$2,$H18+0.01,0, 0))*50*$C18</f>
        <v>0</v>
      </c>
      <c r="V18" s="48">
        <f ca="1">(GBSOption("P",指數型權證!T$4,$J18,選擇權近月!$N$2,$N18,0, 0)-GBSOption("P",指數型權證!T$4,$J18,選擇權近月!$N$2,$N18+0.01,0, 0))*50*$Q18</f>
        <v>0</v>
      </c>
      <c r="Y18" s="250"/>
      <c r="Z18" s="250"/>
      <c r="AA18" s="36">
        <v>0</v>
      </c>
      <c r="AB18" s="14">
        <v>0</v>
      </c>
      <c r="AC18" s="14">
        <v>0</v>
      </c>
      <c r="AD18" s="14">
        <v>0</v>
      </c>
      <c r="AE18" s="17">
        <v>1900</v>
      </c>
      <c r="AF18" s="17">
        <v>2110</v>
      </c>
      <c r="AG18" s="17" t="s">
        <v>1854</v>
      </c>
      <c r="AH18" s="19">
        <v>1.610321044921875E-4</v>
      </c>
      <c r="AI18" s="19">
        <v>0.38588393249511721</v>
      </c>
      <c r="AJ18" s="18">
        <v>10000</v>
      </c>
      <c r="AK18" s="17">
        <v>59</v>
      </c>
      <c r="AL18" s="17">
        <v>63</v>
      </c>
      <c r="AM18" s="17">
        <v>62</v>
      </c>
      <c r="AN18" s="19">
        <v>0.31227921447753909</v>
      </c>
      <c r="AO18" s="19">
        <v>0.31801623229980469</v>
      </c>
      <c r="AP18" s="14">
        <v>0</v>
      </c>
      <c r="AQ18" s="14">
        <v>0</v>
      </c>
      <c r="AR18" s="14">
        <v>0</v>
      </c>
      <c r="AS18" s="36">
        <v>0</v>
      </c>
      <c r="AT18" s="36"/>
      <c r="AU18" s="48">
        <v>0</v>
      </c>
      <c r="AV18" s="48">
        <v>0</v>
      </c>
    </row>
    <row r="19" spans="1:48" ht="17.25" thickBot="1" x14ac:dyDescent="0.3">
      <c r="A19" s="36">
        <f ca="1">(GBSOption("C",指數型權證!$T$3,$J19, 選擇權次近月!$N$2,$H19, 0,0)-GBSOption("C",指數型權證!$T$3,$J19,選擇權次近月!$O$2,$H19, 0,0))*$C19*50*-1</f>
        <v>0</v>
      </c>
      <c r="B19" s="14">
        <f ca="1">GBSGreeks("d", "C",指數型權證!$T$3,$J19,選擇權次近月!$N$2,$H19, 0,0)*50*指數型權證!$T$3*$C19</f>
        <v>0</v>
      </c>
      <c r="C19" s="14">
        <f>SUMIFS(指數型權證!$AH$1:$AH$49,指數型權證!$AL$1:$AL$49,"9",指數型權證!$AJ$1:$AJ$49,$J19,指數型權證!$AM$1:$AM$49,"Call")</f>
        <v>0</v>
      </c>
      <c r="D19" s="14">
        <f ca="1">GBSGreeks("g", "C",指數型權證!$T$3,$J19,選擇權次近月!$N$2,$H19, 0,0)*50*指數型權證!$T$3^2*1%*$C19*-1</f>
        <v>0</v>
      </c>
      <c r="E19" s="17">
        <v>1870</v>
      </c>
      <c r="F19" s="17">
        <v>2090</v>
      </c>
      <c r="G19" s="17" t="s">
        <v>1854</v>
      </c>
      <c r="H19" s="19">
        <v>1.610321044921875E-4</v>
      </c>
      <c r="I19" s="19">
        <v>0.40407149963378913</v>
      </c>
      <c r="J19" s="18">
        <v>10100</v>
      </c>
      <c r="K19" s="17">
        <v>57</v>
      </c>
      <c r="L19" s="17">
        <v>63</v>
      </c>
      <c r="M19" s="17" t="s">
        <v>1854</v>
      </c>
      <c r="N19" s="19">
        <v>0.3056877471923829</v>
      </c>
      <c r="O19" s="19">
        <v>0.31398811340332033</v>
      </c>
      <c r="P19" s="14">
        <f ca="1">GBSGreeks("g", "P",指數型權證!$T$3,$J19,選擇權次近月!$N$2,$N19, 0,0)*50*指數型權證!$T$3^2*1%*$Q19*-1</f>
        <v>0</v>
      </c>
      <c r="Q19" s="14">
        <f>SUMIFS(指數型權證!$AH$1:$AH$49,指數型權證!$AL$1:$AL$49,"9",指數型權證!$AJ$1:$AJ$49,$J19,指數型權證!$AM$1:$AM$49,"Put")</f>
        <v>0</v>
      </c>
      <c r="R19" s="14">
        <f ca="1">GBSGreeks("d", "P",指數型權證!$T$3,$J19,選擇權次近月!$N$2,$N19, 0,0)*50*指數型權證!$T$3*$Q19</f>
        <v>0</v>
      </c>
      <c r="S19" s="36">
        <f ca="1">(GBSOption("P",指數型權證!$T$3,$J19, 選擇權次近月!$N$2,$N19, 0,0)-GBSOption("P",指數型權證!$T$3,$J19,選擇權次近月!$O$2,$N19, 0,0))*$Q19*50*-1</f>
        <v>0</v>
      </c>
      <c r="T19" s="36"/>
      <c r="U19" s="48">
        <f ca="1">(GBSOption("C",指數型權證!T$4,$J19,選擇權近月!$N$2,$H19,0, 0)-GBSOption("C",指數型權證!T$4,$J19,選擇權近月!$N$2,$H19+0.01,0, 0))*50*$C19</f>
        <v>0</v>
      </c>
      <c r="V19" s="48">
        <f ca="1">(GBSOption("P",指數型權證!T$4,$J19,選擇權近月!$N$2,$N19,0, 0)-GBSOption("P",指數型權證!T$4,$J19,選擇權近月!$N$2,$N19+0.01,0, 0))*50*$Q19</f>
        <v>0</v>
      </c>
      <c r="Y19" s="250"/>
      <c r="Z19" s="250"/>
      <c r="AA19" s="36">
        <v>0</v>
      </c>
      <c r="AB19" s="14">
        <v>0</v>
      </c>
      <c r="AC19" s="14">
        <v>0</v>
      </c>
      <c r="AD19" s="14">
        <v>0</v>
      </c>
      <c r="AE19" s="17">
        <v>1800</v>
      </c>
      <c r="AF19" s="17">
        <v>2030</v>
      </c>
      <c r="AG19" s="17" t="s">
        <v>1854</v>
      </c>
      <c r="AH19" s="19">
        <v>1.610321044921875E-4</v>
      </c>
      <c r="AI19" s="19">
        <v>0.3893017303466797</v>
      </c>
      <c r="AJ19" s="18">
        <v>10100</v>
      </c>
      <c r="AK19" s="17">
        <v>63</v>
      </c>
      <c r="AL19" s="17">
        <v>67</v>
      </c>
      <c r="AM19" s="17">
        <v>65</v>
      </c>
      <c r="AN19" s="19">
        <v>0.30410091247558596</v>
      </c>
      <c r="AO19" s="19">
        <v>0.30959380187988284</v>
      </c>
      <c r="AP19" s="14">
        <v>0</v>
      </c>
      <c r="AQ19" s="14">
        <v>0</v>
      </c>
      <c r="AR19" s="14">
        <v>0</v>
      </c>
      <c r="AS19" s="36">
        <v>0</v>
      </c>
      <c r="AT19" s="36"/>
      <c r="AU19" s="48">
        <v>0</v>
      </c>
      <c r="AV19" s="48">
        <v>0</v>
      </c>
    </row>
    <row r="20" spans="1:48" ht="17.25" thickBot="1" x14ac:dyDescent="0.3">
      <c r="A20" s="36">
        <f ca="1">(GBSOption("C",指數型權證!$T$3,$J20, 選擇權次近月!$N$2,$H20, 0,0)-GBSOption("C",指數型權證!$T$3,$J20,選擇權次近月!$O$2,$H20, 0,0))*$C20*50*-1</f>
        <v>0</v>
      </c>
      <c r="B20" s="14">
        <f ca="1">GBSGreeks("d", "C",指數型權證!$T$3,$J20,選擇權次近月!$N$2,$H20, 0,0)*50*指數型權證!$T$3*$C20</f>
        <v>0</v>
      </c>
      <c r="C20" s="14">
        <f>SUMIFS(指數型權證!$AH$1:$AH$49,指數型權證!$AL$1:$AL$49,"9",指數型權證!$AJ$1:$AJ$49,$J20,指數型權證!$AM$1:$AM$49,"Call")</f>
        <v>0</v>
      </c>
      <c r="D20" s="14">
        <f ca="1">GBSGreeks("g", "C",指數型權證!$T$3,$J20,選擇權次近月!$N$2,$H20, 0,0)*50*指數型權證!$T$3^2*1%*$C20*-1</f>
        <v>0</v>
      </c>
      <c r="E20" s="17">
        <v>1750</v>
      </c>
      <c r="F20" s="17">
        <v>1910</v>
      </c>
      <c r="G20" s="17" t="s">
        <v>1854</v>
      </c>
      <c r="H20" s="19">
        <v>1.610321044921875E-4</v>
      </c>
      <c r="I20" s="19">
        <v>0.30666426086425791</v>
      </c>
      <c r="J20" s="18">
        <v>10200</v>
      </c>
      <c r="K20" s="17">
        <v>64</v>
      </c>
      <c r="L20" s="17">
        <v>68</v>
      </c>
      <c r="M20" s="17">
        <v>64</v>
      </c>
      <c r="N20" s="19">
        <v>0.3014154998779297</v>
      </c>
      <c r="O20" s="19">
        <v>0.30666426086425791</v>
      </c>
      <c r="P20" s="14">
        <f ca="1">GBSGreeks("g", "P",指數型權證!$T$3,$J20,選擇權次近月!$N$2,$N20, 0,0)*50*指數型權證!$T$3^2*1%*$Q20*-1</f>
        <v>0</v>
      </c>
      <c r="Q20" s="14">
        <f>SUMIFS(指數型權證!$AH$1:$AH$49,指數型權證!$AL$1:$AL$49,"9",指數型權證!$AJ$1:$AJ$49,$J20,指數型權證!$AM$1:$AM$49,"Put")</f>
        <v>0</v>
      </c>
      <c r="R20" s="14">
        <f ca="1">GBSGreeks("d", "P",指數型權證!$T$3,$J20,選擇權次近月!$N$2,$N20, 0,0)*50*指數型權證!$T$3*$Q20</f>
        <v>0</v>
      </c>
      <c r="S20" s="36">
        <f ca="1">(GBSOption("P",指數型權證!$T$3,$J20, 選擇權次近月!$N$2,$N20, 0,0)-GBSOption("P",指數型權證!$T$3,$J20,選擇權次近月!$O$2,$N20, 0,0))*$Q20*50*-1</f>
        <v>0</v>
      </c>
      <c r="T20" s="36"/>
      <c r="U20" s="48">
        <f ca="1">(GBSOption("C",指數型權證!T$4,$J20,選擇權近月!$N$2,$H20,0, 0)-GBSOption("C",指數型權證!T$4,$J20,選擇權近月!$N$2,$H20+0.01,0, 0))*50*$C20</f>
        <v>0</v>
      </c>
      <c r="V20" s="48">
        <f ca="1">(GBSOption("P",指數型權證!T$4,$J20,選擇權近月!$N$2,$N20,0, 0)-GBSOption("P",指數型權證!T$4,$J20,選擇權近月!$N$2,$N20+0.01,0, 0))*50*$Q20</f>
        <v>0</v>
      </c>
      <c r="Y20" s="250"/>
      <c r="Z20" s="250"/>
      <c r="AA20" s="36">
        <v>0</v>
      </c>
      <c r="AB20" s="14">
        <v>0</v>
      </c>
      <c r="AC20" s="14">
        <v>0</v>
      </c>
      <c r="AD20" s="14">
        <v>0</v>
      </c>
      <c r="AE20" s="17">
        <v>1700</v>
      </c>
      <c r="AF20" s="17">
        <v>1870</v>
      </c>
      <c r="AG20" s="17" t="s">
        <v>1854</v>
      </c>
      <c r="AH20" s="19">
        <v>1.610321044921875E-4</v>
      </c>
      <c r="AI20" s="19">
        <v>0.31545288391113291</v>
      </c>
      <c r="AJ20" s="18">
        <v>10200</v>
      </c>
      <c r="AK20" s="17">
        <v>71</v>
      </c>
      <c r="AL20" s="17">
        <v>75</v>
      </c>
      <c r="AM20" s="17">
        <v>71</v>
      </c>
      <c r="AN20" s="19">
        <v>0.30031692199707039</v>
      </c>
      <c r="AO20" s="19">
        <v>0.30544361877441412</v>
      </c>
      <c r="AP20" s="14">
        <v>0</v>
      </c>
      <c r="AQ20" s="14">
        <v>0</v>
      </c>
      <c r="AR20" s="14">
        <v>0</v>
      </c>
      <c r="AS20" s="36">
        <v>0</v>
      </c>
      <c r="AT20" s="36"/>
      <c r="AU20" s="48">
        <v>0</v>
      </c>
      <c r="AV20" s="48">
        <v>0</v>
      </c>
    </row>
    <row r="21" spans="1:48" ht="17.25" thickBot="1" x14ac:dyDescent="0.3">
      <c r="A21" s="36">
        <f ca="1">(GBSOption("C",指數型權證!$T$3,$J21, 選擇權次近月!$N$2,$H21, 0,0)-GBSOption("C",指數型權證!$T$3,$J21,選擇權次近月!$O$2,$H21, 0,0))*$C21*50*-1</f>
        <v>0</v>
      </c>
      <c r="B21" s="14">
        <f ca="1">GBSGreeks("d", "C",指數型權證!$T$3,$J21,選擇權次近月!$N$2,$H21, 0,0)*50*指數型權證!$T$3*$C21</f>
        <v>0</v>
      </c>
      <c r="C21" s="14">
        <f>SUMIFS(指數型權證!$AH$1:$AH$49,指數型權證!$AL$1:$AL$49,"9",指數型權證!$AJ$1:$AJ$49,$J21,指數型權證!$AM$1:$AM$49,"Call")</f>
        <v>0</v>
      </c>
      <c r="D21" s="14">
        <f ca="1">GBSGreeks("g", "C",指數型權證!$T$3,$J21,選擇權次近月!$N$2,$H21, 0,0)*50*指數型權證!$T$3^2*1%*$C21*-1</f>
        <v>0</v>
      </c>
      <c r="E21" s="17">
        <v>1680</v>
      </c>
      <c r="F21" s="17">
        <v>1900</v>
      </c>
      <c r="G21" s="17" t="s">
        <v>1854</v>
      </c>
      <c r="H21" s="19">
        <v>1.610321044921875E-4</v>
      </c>
      <c r="I21" s="19">
        <v>0.38112342834472657</v>
      </c>
      <c r="J21" s="18">
        <v>10300</v>
      </c>
      <c r="K21" s="17">
        <v>68</v>
      </c>
      <c r="L21" s="17">
        <v>74</v>
      </c>
      <c r="M21" s="17">
        <v>66</v>
      </c>
      <c r="N21" s="19">
        <v>0.29262687683105471</v>
      </c>
      <c r="O21" s="19">
        <v>0.29995072937011724</v>
      </c>
      <c r="P21" s="14">
        <f ca="1">GBSGreeks("g", "P",指數型權證!$T$3,$J21,選擇權次近月!$N$2,$N21, 0,0)*50*指數型權證!$T$3^2*1%*$Q21*-1</f>
        <v>0</v>
      </c>
      <c r="Q21" s="14">
        <f>SUMIFS(指數型權證!$AH$1:$AH$49,指數型權證!$AL$1:$AL$49,"9",指數型權證!$AJ$1:$AJ$49,$J21,指數型權證!$AM$1:$AM$49,"Put")</f>
        <v>0</v>
      </c>
      <c r="R21" s="14">
        <f ca="1">GBSGreeks("d", "P",指數型權證!$T$3,$J21,選擇權次近月!$N$2,$N21, 0,0)*50*指數型權證!$T$3*$Q21</f>
        <v>0</v>
      </c>
      <c r="S21" s="36">
        <f ca="1">(GBSOption("P",指數型權證!$T$3,$J21, 選擇權次近月!$N$2,$N21, 0,0)-GBSOption("P",指數型權證!$T$3,$J21,選擇權次近月!$O$2,$N21, 0,0))*$Q21*50*-1</f>
        <v>0</v>
      </c>
      <c r="T21" s="36"/>
      <c r="U21" s="48">
        <f ca="1">(GBSOption("C",指數型權證!T$4,$J21,選擇權近月!$N$2,$H21,0, 0)-GBSOption("C",指數型權證!T$4,$J21,選擇權近月!$N$2,$H21+0.01,0, 0))*50*$C21</f>
        <v>0</v>
      </c>
      <c r="V21" s="48">
        <f ca="1">(GBSOption("P",指數型權證!T$4,$J21,選擇權近月!$N$2,$N21,0, 0)-GBSOption("P",指數型權證!T$4,$J21,選擇權近月!$N$2,$N21+0.01,0, 0))*50*$Q21</f>
        <v>0</v>
      </c>
      <c r="Y21" s="250"/>
      <c r="Z21" s="250"/>
      <c r="AA21" s="36">
        <v>0</v>
      </c>
      <c r="AB21" s="14">
        <v>0</v>
      </c>
      <c r="AC21" s="14">
        <v>0</v>
      </c>
      <c r="AD21" s="14">
        <v>0</v>
      </c>
      <c r="AE21" s="17">
        <v>1610</v>
      </c>
      <c r="AF21" s="17">
        <v>1840</v>
      </c>
      <c r="AG21" s="17" t="s">
        <v>1854</v>
      </c>
      <c r="AH21" s="19">
        <v>1.610321044921875E-4</v>
      </c>
      <c r="AI21" s="19">
        <v>0.36659778747558597</v>
      </c>
      <c r="AJ21" s="18">
        <v>10300</v>
      </c>
      <c r="AK21" s="17">
        <v>75</v>
      </c>
      <c r="AL21" s="17">
        <v>80</v>
      </c>
      <c r="AM21" s="17">
        <v>80</v>
      </c>
      <c r="AN21" s="19">
        <v>0.29116210632324224</v>
      </c>
      <c r="AO21" s="19">
        <v>0.2970211883544922</v>
      </c>
      <c r="AP21" s="14">
        <v>0</v>
      </c>
      <c r="AQ21" s="14">
        <v>0</v>
      </c>
      <c r="AR21" s="14">
        <v>0</v>
      </c>
      <c r="AS21" s="36">
        <v>0</v>
      </c>
      <c r="AT21" s="36"/>
      <c r="AU21" s="48">
        <v>0</v>
      </c>
      <c r="AV21" s="48">
        <v>0</v>
      </c>
    </row>
    <row r="22" spans="1:48" ht="17.25" thickBot="1" x14ac:dyDescent="0.3">
      <c r="A22" s="36">
        <f ca="1">(GBSOption("C",指數型權證!$T$3,$J22, 選擇權次近月!$N$2,$H22, 0,0)-GBSOption("C",指數型權證!$T$3,$J22,選擇權次近月!$O$2,$H22, 0,0))*$C22*50*-1</f>
        <v>0</v>
      </c>
      <c r="B22" s="14">
        <f ca="1">GBSGreeks("d", "C",指數型權證!$T$3,$J22,選擇權次近月!$N$2,$H22, 0,0)*50*指數型權證!$T$3*$C22</f>
        <v>0</v>
      </c>
      <c r="C22" s="14">
        <f>SUMIFS(指數型權證!$AH$1:$AH$49,指數型權證!$AL$1:$AL$49,"9",指數型權證!$AJ$1:$AJ$49,$J22,指數型權證!$AM$1:$AM$49,"Call")</f>
        <v>0</v>
      </c>
      <c r="D22" s="14">
        <f ca="1">GBSGreeks("g", "C",指數型權證!$T$3,$J22,選擇權次近月!$N$2,$H22, 0,0)*50*指數型權證!$T$3^2*1%*$C22*-1</f>
        <v>0</v>
      </c>
      <c r="E22" s="17">
        <v>1600</v>
      </c>
      <c r="F22" s="17">
        <v>1810</v>
      </c>
      <c r="G22" s="17" t="s">
        <v>1854</v>
      </c>
      <c r="H22" s="19">
        <v>1.610321044921875E-4</v>
      </c>
      <c r="I22" s="19">
        <v>0.37343338317871094</v>
      </c>
      <c r="J22" s="18">
        <v>10400</v>
      </c>
      <c r="K22" s="17">
        <v>75</v>
      </c>
      <c r="L22" s="17">
        <v>81</v>
      </c>
      <c r="M22" s="17">
        <v>74</v>
      </c>
      <c r="N22" s="19">
        <v>0.28688985900878911</v>
      </c>
      <c r="O22" s="19">
        <v>0.29372545471191414</v>
      </c>
      <c r="P22" s="14">
        <f ca="1">GBSGreeks("g", "P",指數型權證!$T$3,$J22,選擇權次近月!$N$2,$N22, 0,0)*50*指數型權證!$T$3^2*1%*$Q22*-1</f>
        <v>0</v>
      </c>
      <c r="Q22" s="14">
        <f>SUMIFS(指數型權證!$AH$1:$AH$49,指數型權證!$AL$1:$AL$49,"9",指數型權證!$AJ$1:$AJ$49,$J22,指數型權證!$AM$1:$AM$49,"Put")</f>
        <v>0</v>
      </c>
      <c r="R22" s="14">
        <f ca="1">GBSGreeks("d", "P",指數型權證!$T$3,$J22,選擇權次近月!$N$2,$N22, 0,0)*50*指數型權證!$T$3*$Q22</f>
        <v>0</v>
      </c>
      <c r="S22" s="36">
        <f ca="1">(GBSOption("P",指數型權證!$T$3,$J22, 選擇權次近月!$N$2,$N22, 0,0)-GBSOption("P",指數型權證!$T$3,$J22,選擇權次近月!$O$2,$N22, 0,0))*$Q22*50*-1</f>
        <v>0</v>
      </c>
      <c r="T22" s="36"/>
      <c r="U22" s="48">
        <f ca="1">(GBSOption("C",指數型權證!T$4,$J22,選擇權近月!$N$2,$H22,0, 0)-GBSOption("C",指數型權證!T$4,$J22,選擇權近月!$N$2,$H22+0.01,0, 0))*50*$C22</f>
        <v>0</v>
      </c>
      <c r="V22" s="48">
        <f ca="1">(GBSOption("P",指數型權證!T$4,$J22,選擇權近月!$N$2,$N22,0, 0)-GBSOption("P",指數型權證!T$4,$J22,選擇權近月!$N$2,$N22+0.01,0, 0))*50*$Q22</f>
        <v>0</v>
      </c>
      <c r="Y22" s="250"/>
      <c r="Z22" s="250"/>
      <c r="AA22" s="36">
        <v>0</v>
      </c>
      <c r="AB22" s="14">
        <v>0</v>
      </c>
      <c r="AC22" s="14">
        <v>0</v>
      </c>
      <c r="AD22" s="14">
        <v>0</v>
      </c>
      <c r="AE22" s="17">
        <v>1530</v>
      </c>
      <c r="AF22" s="17">
        <v>1750</v>
      </c>
      <c r="AG22" s="17" t="s">
        <v>1854</v>
      </c>
      <c r="AH22" s="19">
        <v>1.610321044921875E-4</v>
      </c>
      <c r="AI22" s="19">
        <v>0.35902980651855476</v>
      </c>
      <c r="AJ22" s="18">
        <v>10400</v>
      </c>
      <c r="AK22" s="17">
        <v>85</v>
      </c>
      <c r="AL22" s="17">
        <v>91</v>
      </c>
      <c r="AM22" s="17">
        <v>92</v>
      </c>
      <c r="AN22" s="19">
        <v>0.28786637268066412</v>
      </c>
      <c r="AO22" s="19">
        <v>0.29433577575683595</v>
      </c>
      <c r="AP22" s="14">
        <v>0</v>
      </c>
      <c r="AQ22" s="14">
        <v>0</v>
      </c>
      <c r="AR22" s="14">
        <v>0</v>
      </c>
      <c r="AS22" s="36">
        <v>0</v>
      </c>
      <c r="AT22" s="36"/>
      <c r="AU22" s="48">
        <v>0</v>
      </c>
      <c r="AV22" s="48">
        <v>0</v>
      </c>
    </row>
    <row r="23" spans="1:48" ht="17.25" thickBot="1" x14ac:dyDescent="0.3">
      <c r="A23" s="36">
        <f ca="1">(GBSOption("C",指數型權證!$T$3,$J23, 選擇權次近月!$N$2,$H23, 0,0)-GBSOption("C",指數型權證!$T$3,$J23,選擇權次近月!$O$2,$H23, 0,0))*$C23*50*-1</f>
        <v>0</v>
      </c>
      <c r="B23" s="14">
        <f ca="1">GBSGreeks("d", "C",指數型權證!$T$3,$J23,選擇權次近月!$N$2,$H23, 0,0)*50*指數型權證!$T$3*$C23</f>
        <v>0</v>
      </c>
      <c r="C23" s="14">
        <f>SUMIFS(指數型權證!$AH$1:$AH$49,指數型權證!$AL$1:$AL$49,"9",指數型權證!$AJ$1:$AJ$49,$J23,指數型權證!$AM$1:$AM$49,"Call")</f>
        <v>0</v>
      </c>
      <c r="D23" s="14">
        <f ca="1">GBSGreeks("g", "C",指數型權證!$T$3,$J23,選擇權次近月!$N$2,$H23, 0,0)*50*指數型權證!$T$3^2*1%*$C23*-1</f>
        <v>0</v>
      </c>
      <c r="E23" s="17">
        <v>1500</v>
      </c>
      <c r="F23" s="17">
        <v>1710</v>
      </c>
      <c r="G23" s="17" t="s">
        <v>1854</v>
      </c>
      <c r="H23" s="19">
        <v>1.610321044921875E-4</v>
      </c>
      <c r="I23" s="19">
        <v>0.35732090759277346</v>
      </c>
      <c r="J23" s="18">
        <v>10500</v>
      </c>
      <c r="K23" s="17">
        <v>83</v>
      </c>
      <c r="L23" s="17">
        <v>90</v>
      </c>
      <c r="M23" s="17">
        <v>79</v>
      </c>
      <c r="N23" s="19">
        <v>0.28139696960449223</v>
      </c>
      <c r="O23" s="19">
        <v>0.28884288635253913</v>
      </c>
      <c r="P23" s="14">
        <f ca="1">GBSGreeks("g", "P",指數型權證!$T$3,$J23,選擇權次近月!$N$2,$N23, 0,0)*50*指數型權證!$T$3^2*1%*$Q23*-1</f>
        <v>0</v>
      </c>
      <c r="Q23" s="14">
        <f>SUMIFS(指數型權證!$AH$1:$AH$49,指數型權證!$AL$1:$AL$49,"9",指數型權證!$AJ$1:$AJ$49,$J23,指數型權證!$AM$1:$AM$49,"Put")</f>
        <v>0</v>
      </c>
      <c r="R23" s="14">
        <f ca="1">GBSGreeks("d", "P",指數型權證!$T$3,$J23,選擇權次近月!$N$2,$N23, 0,0)*50*指數型權證!$T$3*$Q23</f>
        <v>0</v>
      </c>
      <c r="S23" s="36">
        <f ca="1">(GBSOption("P",指數型權證!$T$3,$J23, 選擇權次近月!$N$2,$N23, 0,0)-GBSOption("P",指數型權證!$T$3,$J23,選擇權次近月!$O$2,$N23, 0,0))*$Q23*50*-1</f>
        <v>0</v>
      </c>
      <c r="T23" s="36"/>
      <c r="U23" s="48">
        <f ca="1">(GBSOption("C",指數型權證!T$4,$J23,選擇權近月!$N$2,$H23,0, 0)-GBSOption("C",指數型權證!T$4,$J23,選擇權近月!$N$2,$H23+0.01,0, 0))*50*$C23</f>
        <v>0</v>
      </c>
      <c r="V23" s="48">
        <f ca="1">(GBSOption("P",指數型權證!T$4,$J23,選擇權近月!$N$2,$N23,0, 0)-GBSOption("P",指數型權證!T$4,$J23,選擇權近月!$N$2,$N23+0.01,0, 0))*50*$Q23</f>
        <v>0</v>
      </c>
      <c r="Y23" s="250"/>
      <c r="Z23" s="250"/>
      <c r="AA23" s="36">
        <v>0</v>
      </c>
      <c r="AB23" s="14">
        <v>0</v>
      </c>
      <c r="AC23" s="14">
        <v>0</v>
      </c>
      <c r="AD23" s="14">
        <v>0</v>
      </c>
      <c r="AE23" s="17">
        <v>1480</v>
      </c>
      <c r="AF23" s="17">
        <v>1680</v>
      </c>
      <c r="AG23" s="17" t="s">
        <v>1854</v>
      </c>
      <c r="AH23" s="19">
        <v>1.610321044921875E-4</v>
      </c>
      <c r="AI23" s="19">
        <v>0.3659874664306641</v>
      </c>
      <c r="AJ23" s="18">
        <v>10500</v>
      </c>
      <c r="AK23" s="17">
        <v>91</v>
      </c>
      <c r="AL23" s="17">
        <v>96</v>
      </c>
      <c r="AM23" s="17">
        <v>92</v>
      </c>
      <c r="AN23" s="19">
        <v>0.27956600646972662</v>
      </c>
      <c r="AO23" s="19">
        <v>0.28481476745605472</v>
      </c>
      <c r="AP23" s="14">
        <v>0</v>
      </c>
      <c r="AQ23" s="14">
        <v>0</v>
      </c>
      <c r="AR23" s="14">
        <v>0</v>
      </c>
      <c r="AS23" s="36">
        <v>0</v>
      </c>
      <c r="AT23" s="36"/>
      <c r="AU23" s="48">
        <v>0</v>
      </c>
      <c r="AV23" s="48">
        <v>0</v>
      </c>
    </row>
    <row r="24" spans="1:48" ht="17.25" thickBot="1" x14ac:dyDescent="0.3">
      <c r="A24" s="36">
        <f ca="1">(GBSOption("C",指數型權證!$T$3,$J24, 選擇權次近月!$N$2,$H24, 0,0)-GBSOption("C",指數型權證!$T$3,$J24,選擇權次近月!$O$2,$H24, 0,0))*$C24*50*-1</f>
        <v>0</v>
      </c>
      <c r="B24" s="14">
        <f ca="1">GBSGreeks("d", "C",指數型權證!$T$3,$J24,選擇權次近月!$N$2,$H24, 0,0)*50*指數型權證!$T$3*$C24</f>
        <v>0</v>
      </c>
      <c r="C24" s="14">
        <f>SUMIFS(指數型權證!$AH$1:$AH$49,指數型權證!$AL$1:$AL$49,"9",指數型權證!$AJ$1:$AJ$49,$J24,指數型權證!$AM$1:$AM$49,"Call")</f>
        <v>0</v>
      </c>
      <c r="D24" s="14">
        <f ca="1">GBSGreeks("g", "C",指數型權證!$T$3,$J24,選擇權次近月!$N$2,$H24, 0,0)*50*指數型權證!$T$3^2*1%*$C24*-1</f>
        <v>0</v>
      </c>
      <c r="E24" s="17">
        <v>1450</v>
      </c>
      <c r="F24" s="17">
        <v>1620</v>
      </c>
      <c r="G24" s="17" t="s">
        <v>1854</v>
      </c>
      <c r="H24" s="19">
        <v>0.16629042053222656</v>
      </c>
      <c r="I24" s="19">
        <v>0.34877641296386719</v>
      </c>
      <c r="J24" s="18">
        <v>10600</v>
      </c>
      <c r="K24" s="17">
        <v>90</v>
      </c>
      <c r="L24" s="17">
        <v>97</v>
      </c>
      <c r="M24" s="17">
        <v>94</v>
      </c>
      <c r="N24" s="19">
        <v>0.27419518127441406</v>
      </c>
      <c r="O24" s="19">
        <v>0.28115284118652345</v>
      </c>
      <c r="P24" s="14">
        <f ca="1">GBSGreeks("g", "P",指數型權證!$T$3,$J24,選擇權次近月!$N$2,$N24, 0,0)*50*指數型權證!$T$3^2*1%*$Q24*-1</f>
        <v>0</v>
      </c>
      <c r="Q24" s="14">
        <f>SUMIFS(指數型權證!$AH$1:$AH$49,指數型權證!$AL$1:$AL$49,"9",指數型權證!$AJ$1:$AJ$49,$J24,指數型權證!$AM$1:$AM$49,"Put")</f>
        <v>0</v>
      </c>
      <c r="R24" s="14">
        <f ca="1">GBSGreeks("d", "P",指數型權證!$T$3,$J24,選擇權次近月!$N$2,$N24, 0,0)*50*指數型權證!$T$3*$Q24</f>
        <v>0</v>
      </c>
      <c r="S24" s="36">
        <f ca="1">(GBSOption("P",指數型權證!$T$3,$J24, 選擇權次近月!$N$2,$N24, 0,0)-GBSOption("P",指數型權證!$T$3,$J24,選擇權次近月!$O$2,$N24, 0,0))*$Q24*50*-1</f>
        <v>0</v>
      </c>
      <c r="T24" s="36"/>
      <c r="U24" s="48">
        <f ca="1">(GBSOption("C",指數型權證!T$4,$J24,選擇權近月!$N$2,$H24,0, 0)-GBSOption("C",指數型權證!T$4,$J24,選擇權近月!$N$2,$H24+0.01,0, 0))*50*$C24</f>
        <v>0</v>
      </c>
      <c r="V24" s="48">
        <f ca="1">(GBSOption("P",指數型權證!T$4,$J24,選擇權近月!$N$2,$N24,0, 0)-GBSOption("P",指數型權證!T$4,$J24,選擇權近月!$N$2,$N24+0.01,0, 0))*50*$Q24</f>
        <v>0</v>
      </c>
      <c r="Y24" s="250"/>
      <c r="Z24" s="250"/>
      <c r="AA24" s="36">
        <v>0</v>
      </c>
      <c r="AB24" s="14">
        <v>0</v>
      </c>
      <c r="AC24" s="14">
        <v>0</v>
      </c>
      <c r="AD24" s="14">
        <v>0</v>
      </c>
      <c r="AE24" s="17">
        <v>1460</v>
      </c>
      <c r="AF24" s="17">
        <v>1500</v>
      </c>
      <c r="AG24" s="17" t="s">
        <v>1854</v>
      </c>
      <c r="AH24" s="19">
        <v>0.25283394470214848</v>
      </c>
      <c r="AI24" s="19">
        <v>0.2864016021728516</v>
      </c>
      <c r="AJ24" s="18">
        <v>10600</v>
      </c>
      <c r="AK24" s="17">
        <v>90</v>
      </c>
      <c r="AL24" s="17">
        <v>115</v>
      </c>
      <c r="AM24" s="17">
        <v>104</v>
      </c>
      <c r="AN24" s="19">
        <v>0.26443004455566405</v>
      </c>
      <c r="AO24" s="19">
        <v>0.28725605163574219</v>
      </c>
      <c r="AP24" s="14">
        <v>0</v>
      </c>
      <c r="AQ24" s="14">
        <v>0</v>
      </c>
      <c r="AR24" s="14">
        <v>0</v>
      </c>
      <c r="AS24" s="36">
        <v>0</v>
      </c>
      <c r="AT24" s="36"/>
      <c r="AU24" s="48">
        <v>0</v>
      </c>
      <c r="AV24" s="48">
        <v>0</v>
      </c>
    </row>
    <row r="25" spans="1:48" ht="17.25" thickBot="1" x14ac:dyDescent="0.3">
      <c r="A25" s="36">
        <f ca="1">(GBSOption("C",指數型權證!$T$3,$J25, 選擇權次近月!$N$2,$H25, 0,0)-GBSOption("C",指數型權證!$T$3,$J25,選擇權次近月!$O$2,$H25, 0,0))*$C25*50*-1</f>
        <v>0</v>
      </c>
      <c r="B25" s="14">
        <f ca="1">GBSGreeks("d", "C",指數型權證!$T$3,$J25,選擇權次近月!$N$2,$H25, 0,0)*50*指數型權證!$T$3*$C25</f>
        <v>0</v>
      </c>
      <c r="C25" s="14">
        <f>SUMIFS(指數型權證!$AH$1:$AH$49,指數型權證!$AL$1:$AL$49,"9",指數型權證!$AJ$1:$AJ$49,$J25,指數型權證!$AM$1:$AM$49,"Call")</f>
        <v>0</v>
      </c>
      <c r="D25" s="14">
        <f ca="1">GBSGreeks("g", "C",指數型權證!$T$3,$J25,選擇權次近月!$N$2,$H25, 0,0)*50*指數型權證!$T$3^2*1%*$C25*-1</f>
        <v>0</v>
      </c>
      <c r="E25" s="17">
        <v>1290</v>
      </c>
      <c r="F25" s="17">
        <v>1530</v>
      </c>
      <c r="G25" s="17" t="s">
        <v>1854</v>
      </c>
      <c r="H25" s="19">
        <v>1.610321044921875E-4</v>
      </c>
      <c r="I25" s="19">
        <v>0.33974366149902346</v>
      </c>
      <c r="J25" s="18">
        <v>10700</v>
      </c>
      <c r="K25" s="17">
        <v>93</v>
      </c>
      <c r="L25" s="17">
        <v>114</v>
      </c>
      <c r="M25" s="17">
        <v>95</v>
      </c>
      <c r="N25" s="19">
        <v>0.26259908142089838</v>
      </c>
      <c r="O25" s="19">
        <v>0.28151903381347659</v>
      </c>
      <c r="P25" s="14">
        <f ca="1">GBSGreeks("g", "P",指數型權證!$T$3,$J25,選擇權次近月!$N$2,$N25, 0,0)*50*指數型權證!$T$3^2*1%*$Q25*-1</f>
        <v>0</v>
      </c>
      <c r="Q25" s="14">
        <f>SUMIFS(指數型權證!$AH$1:$AH$49,指數型權證!$AL$1:$AL$49,"9",指數型權證!$AJ$1:$AJ$49,$J25,指數型權證!$AM$1:$AM$49,"Put")</f>
        <v>0</v>
      </c>
      <c r="R25" s="14">
        <f ca="1">GBSGreeks("d", "P",指數型權證!$T$3,$J25,選擇權次近月!$N$2,$N25, 0,0)*50*指數型權證!$T$3*$Q25</f>
        <v>0</v>
      </c>
      <c r="S25" s="36">
        <f ca="1">(GBSOption("P",指數型權證!$T$3,$J25, 選擇權次近月!$N$2,$N25, 0,0)-GBSOption("P",指數型權證!$T$3,$J25,選擇權次近月!$O$2,$N25, 0,0))*$Q25*50*-1</f>
        <v>0</v>
      </c>
      <c r="T25" s="36"/>
      <c r="U25" s="48">
        <f ca="1">(GBSOption("C",指數型權證!T$4,$J25,選擇權近月!$N$2,$H25,0, 0)-GBSOption("C",指數型權證!T$4,$J25,選擇權近月!$N$2,$H25+0.01,0, 0))*50*$C25</f>
        <v>0</v>
      </c>
      <c r="V25" s="48">
        <f ca="1">(GBSOption("P",指數型權證!T$4,$J25,選擇權近月!$N$2,$N25,0, 0)-GBSOption("P",指數型權證!T$4,$J25,選擇權近月!$N$2,$N25+0.01,0, 0))*50*$Q25</f>
        <v>0</v>
      </c>
      <c r="Y25" s="250"/>
      <c r="Z25" s="250"/>
      <c r="AA25" s="36">
        <v>0</v>
      </c>
      <c r="AB25" s="14">
        <v>0</v>
      </c>
      <c r="AC25" s="14">
        <v>0</v>
      </c>
      <c r="AD25" s="14">
        <v>0</v>
      </c>
      <c r="AE25" s="17">
        <v>1240</v>
      </c>
      <c r="AF25" s="17">
        <v>1470</v>
      </c>
      <c r="AG25" s="17" t="s">
        <v>1854</v>
      </c>
      <c r="AH25" s="19">
        <v>1.610321044921875E-4</v>
      </c>
      <c r="AI25" s="19">
        <v>0.3255842132568359</v>
      </c>
      <c r="AJ25" s="18">
        <v>10700</v>
      </c>
      <c r="AK25" s="17">
        <v>106</v>
      </c>
      <c r="AL25" s="17">
        <v>115</v>
      </c>
      <c r="AM25" s="17">
        <v>102</v>
      </c>
      <c r="AN25" s="19">
        <v>0.26418591613769526</v>
      </c>
      <c r="AO25" s="19">
        <v>0.2723642181396484</v>
      </c>
      <c r="AP25" s="14">
        <v>0</v>
      </c>
      <c r="AQ25" s="14">
        <v>0</v>
      </c>
      <c r="AR25" s="14">
        <v>0</v>
      </c>
      <c r="AS25" s="36">
        <v>0</v>
      </c>
      <c r="AT25" s="36"/>
      <c r="AU25" s="48">
        <v>0</v>
      </c>
      <c r="AV25" s="48">
        <v>0</v>
      </c>
    </row>
    <row r="26" spans="1:48" ht="17.25" thickBot="1" x14ac:dyDescent="0.3">
      <c r="A26" s="36">
        <f ca="1">(GBSOption("C",指數型權證!$T$3,$J26, 選擇權次近月!$N$2,$H26, 0,0)-GBSOption("C",指數型權證!$T$3,$J26,選擇權次近月!$O$2,$H26, 0,0))*$C26*50*-1</f>
        <v>0</v>
      </c>
      <c r="B26" s="14">
        <f ca="1">GBSGreeks("d", "C",指數型權證!$T$3,$J26,選擇權次近月!$N$2,$H26, 0,0)*50*指數型權證!$T$3*$C26</f>
        <v>0</v>
      </c>
      <c r="C26" s="14">
        <f>SUMIFS(指數型權證!$AH$1:$AH$49,指數型權證!$AL$1:$AL$49,"9",指數型權證!$AJ$1:$AJ$49,$J26,指數型權證!$AM$1:$AM$49,"Call")</f>
        <v>0</v>
      </c>
      <c r="D26" s="14">
        <f ca="1">GBSGreeks("g", "C",指數型權證!$T$3,$J26,選擇權次近月!$N$2,$H26, 0,0)*50*指數型權證!$T$3^2*1%*$C26*-1</f>
        <v>0</v>
      </c>
      <c r="E26" s="17">
        <v>1350</v>
      </c>
      <c r="F26" s="17">
        <v>1440</v>
      </c>
      <c r="G26" s="17">
        <v>1330</v>
      </c>
      <c r="H26" s="19">
        <v>0.2635755950927734</v>
      </c>
      <c r="I26" s="19">
        <v>0.33022265319824218</v>
      </c>
      <c r="J26" s="18">
        <v>10800</v>
      </c>
      <c r="K26" s="17">
        <v>108</v>
      </c>
      <c r="L26" s="17">
        <v>117</v>
      </c>
      <c r="M26" s="17">
        <v>115</v>
      </c>
      <c r="N26" s="19">
        <v>0.26113431091308592</v>
      </c>
      <c r="O26" s="19">
        <v>0.26894642028808591</v>
      </c>
      <c r="P26" s="14">
        <f ca="1">GBSGreeks("g", "P",指數型權證!$T$3,$J26,選擇權次近月!$N$2,$N26, 0,0)*50*指數型權證!$T$3^2*1%*$Q26*-1</f>
        <v>0</v>
      </c>
      <c r="Q26" s="14">
        <f>SUMIFS(指數型權證!$AH$1:$AH$49,指數型權證!$AL$1:$AL$49,"9",指數型權證!$AJ$1:$AJ$49,$J26,指數型權證!$AM$1:$AM$49,"Put")</f>
        <v>0</v>
      </c>
      <c r="R26" s="14">
        <f ca="1">GBSGreeks("d", "P",指數型權證!$T$3,$J26,選擇權次近月!$N$2,$N26, 0,0)*50*指數型權證!$T$3*$Q26</f>
        <v>0</v>
      </c>
      <c r="S26" s="36">
        <f ca="1">(GBSOption("P",指數型權證!$T$3,$J26, 選擇權次近月!$N$2,$N26, 0,0)-GBSOption("P",指數型權證!$T$3,$J26,選擇權次近月!$O$2,$N26, 0,0))*$Q26*50*-1</f>
        <v>0</v>
      </c>
      <c r="T26" s="36"/>
      <c r="U26" s="48">
        <f ca="1">(GBSOption("C",指數型權證!T$4,$J26,選擇權近月!$N$2,$H26,0, 0)-GBSOption("C",指數型權證!T$4,$J26,選擇權近月!$N$2,$H26+0.01,0, 0))*50*$C26</f>
        <v>0</v>
      </c>
      <c r="V26" s="48">
        <f ca="1">(GBSOption("P",指數型權證!T$4,$J26,選擇權近月!$N$2,$N26,0, 0)-GBSOption("P",指數型權證!T$4,$J26,選擇權近月!$N$2,$N26+0.01,0, 0))*50*$Q26</f>
        <v>0</v>
      </c>
      <c r="Y26" s="250"/>
      <c r="Z26" s="250"/>
      <c r="AA26" s="36">
        <v>0</v>
      </c>
      <c r="AB26" s="14">
        <v>0</v>
      </c>
      <c r="AC26" s="14">
        <v>0</v>
      </c>
      <c r="AD26" s="14">
        <v>0</v>
      </c>
      <c r="AE26" s="17">
        <v>1300</v>
      </c>
      <c r="AF26" s="17">
        <v>1380</v>
      </c>
      <c r="AG26" s="17" t="s">
        <v>1854</v>
      </c>
      <c r="AH26" s="19">
        <v>0.25918128356933595</v>
      </c>
      <c r="AI26" s="19">
        <v>0.31606320495605467</v>
      </c>
      <c r="AJ26" s="18">
        <v>10800</v>
      </c>
      <c r="AK26" s="17">
        <v>120</v>
      </c>
      <c r="AL26" s="17">
        <v>129</v>
      </c>
      <c r="AM26" s="17">
        <v>123</v>
      </c>
      <c r="AN26" s="19">
        <v>0.26076811828613289</v>
      </c>
      <c r="AO26" s="19">
        <v>0.26845816345214846</v>
      </c>
      <c r="AP26" s="14">
        <v>0</v>
      </c>
      <c r="AQ26" s="14">
        <v>0</v>
      </c>
      <c r="AR26" s="14">
        <v>0</v>
      </c>
      <c r="AS26" s="36">
        <v>0</v>
      </c>
      <c r="AT26" s="36"/>
      <c r="AU26" s="48">
        <v>0</v>
      </c>
      <c r="AV26" s="48">
        <v>0</v>
      </c>
    </row>
    <row r="27" spans="1:48" ht="17.25" thickBot="1" x14ac:dyDescent="0.3">
      <c r="A27" s="36">
        <f ca="1">(GBSOption("C",指數型權證!$T$3,$J27, 選擇權次近月!$N$2,$H27, 0,0)-GBSOption("C",指數型權證!$T$3,$J27,選擇權次近月!$O$2,$H27, 0,0))*$C27*50*-1</f>
        <v>0</v>
      </c>
      <c r="B27" s="14">
        <f ca="1">GBSGreeks("d", "C",指數型權證!$T$3,$J27,選擇權次近月!$N$2,$H27, 0,0)*50*指數型權證!$T$3*$C27</f>
        <v>0</v>
      </c>
      <c r="C27" s="14">
        <f>SUMIFS(指數型權證!$AH$1:$AH$49,指數型權證!$AL$1:$AL$49,"9",指數型權證!$AJ$1:$AJ$49,$J27,指數型權證!$AM$1:$AM$49,"Call")</f>
        <v>0</v>
      </c>
      <c r="D27" s="14">
        <f ca="1">GBSGreeks("g", "C",指數型權證!$T$3,$J27,選擇權次近月!$N$2,$H27, 0,0)*50*指數型權證!$T$3^2*1%*$C27*-1</f>
        <v>0</v>
      </c>
      <c r="E27" s="17">
        <v>1140</v>
      </c>
      <c r="F27" s="17">
        <v>1350</v>
      </c>
      <c r="G27" s="17" t="s">
        <v>1854</v>
      </c>
      <c r="H27" s="19">
        <v>9.5126986694335919E-2</v>
      </c>
      <c r="I27" s="19">
        <v>0.32021338806152344</v>
      </c>
      <c r="J27" s="18">
        <v>10900</v>
      </c>
      <c r="K27" s="17">
        <v>117</v>
      </c>
      <c r="L27" s="17">
        <v>128</v>
      </c>
      <c r="M27" s="17">
        <v>115</v>
      </c>
      <c r="N27" s="19">
        <v>0.25344426574707035</v>
      </c>
      <c r="O27" s="19">
        <v>0.26247701721191408</v>
      </c>
      <c r="P27" s="14">
        <f ca="1">GBSGreeks("g", "P",指數型權證!$T$3,$J27,選擇權次近月!$N$2,$N27, 0,0)*50*指數型權證!$T$3^2*1%*$Q27*-1</f>
        <v>0</v>
      </c>
      <c r="Q27" s="14">
        <f>SUMIFS(指數型權證!$AH$1:$AH$49,指數型權證!$AL$1:$AL$49,"9",指數型權證!$AJ$1:$AJ$49,$J27,指數型權證!$AM$1:$AM$49,"Put")</f>
        <v>0</v>
      </c>
      <c r="R27" s="14">
        <f ca="1">GBSGreeks("d", "P",指數型權證!$T$3,$J27,選擇權次近月!$N$2,$N27, 0,0)*50*指數型權證!$T$3*$Q27</f>
        <v>0</v>
      </c>
      <c r="S27" s="36">
        <f ca="1">(GBSOption("P",指數型權證!$T$3,$J27, 選擇權次近月!$N$2,$N27, 0,0)-GBSOption("P",指數型權證!$T$3,$J27,選擇權次近月!$O$2,$N27, 0,0))*$Q27*50*-1</f>
        <v>0</v>
      </c>
      <c r="T27" s="36"/>
      <c r="U27" s="48">
        <f ca="1">(GBSOption("C",指數型權證!T$4,$J27,選擇權近月!$N$2,$H27,0, 0)-GBSOption("C",指數型權證!T$4,$J27,選擇權近月!$N$2,$H27+0.01,0, 0))*50*$C27</f>
        <v>0</v>
      </c>
      <c r="V27" s="48">
        <f ca="1">(GBSOption("P",指數型權證!T$4,$J27,選擇權近月!$N$2,$N27,0, 0)-GBSOption("P",指數型權證!T$4,$J27,選擇權近月!$N$2,$N27+0.01,0, 0))*50*$Q27</f>
        <v>0</v>
      </c>
      <c r="Y27" s="250"/>
      <c r="Z27" s="250"/>
      <c r="AA27" s="36">
        <v>0</v>
      </c>
      <c r="AB27" s="14">
        <v>0</v>
      </c>
      <c r="AC27" s="14">
        <v>0</v>
      </c>
      <c r="AD27" s="14">
        <v>0</v>
      </c>
      <c r="AE27" s="17">
        <v>1060</v>
      </c>
      <c r="AF27" s="17">
        <v>1290</v>
      </c>
      <c r="AG27" s="17" t="s">
        <v>1854</v>
      </c>
      <c r="AH27" s="19">
        <v>1.610321044921875E-4</v>
      </c>
      <c r="AI27" s="19">
        <v>0.30605393981933599</v>
      </c>
      <c r="AJ27" s="18">
        <v>10900</v>
      </c>
      <c r="AK27" s="17">
        <v>128</v>
      </c>
      <c r="AL27" s="17">
        <v>139</v>
      </c>
      <c r="AM27" s="17">
        <v>131</v>
      </c>
      <c r="AN27" s="19">
        <v>0.25173536682128911</v>
      </c>
      <c r="AO27" s="19">
        <v>0.26040192565917974</v>
      </c>
      <c r="AP27" s="14">
        <v>0</v>
      </c>
      <c r="AQ27" s="14">
        <v>0</v>
      </c>
      <c r="AR27" s="14">
        <v>0</v>
      </c>
      <c r="AS27" s="36">
        <v>0</v>
      </c>
      <c r="AT27" s="36"/>
      <c r="AU27" s="48">
        <v>0</v>
      </c>
      <c r="AV27" s="48">
        <v>0</v>
      </c>
    </row>
    <row r="28" spans="1:48" ht="17.25" thickBot="1" x14ac:dyDescent="0.3">
      <c r="A28" s="36">
        <f ca="1">(GBSOption("C",指數型權證!$T$3,$J28, 選擇權次近月!$N$2,$H28, 0,0)-GBSOption("C",指數型權證!$T$3,$J28,選擇權次近月!$O$2,$H28, 0,0))*$C28*50*-1</f>
        <v>0</v>
      </c>
      <c r="B28" s="14">
        <f ca="1">GBSGreeks("d", "C",指數型權證!$T$3,$J28,選擇權次近月!$N$2,$H28, 0,0)*50*指數型權證!$T$3*$C28</f>
        <v>0</v>
      </c>
      <c r="C28" s="14">
        <f>SUMIFS(指數型權證!$AH$1:$AH$49,指數型權證!$AL$1:$AL$49,"9",指數型權證!$AJ$1:$AJ$49,$J28,指數型權證!$AM$1:$AM$49,"Call")</f>
        <v>0</v>
      </c>
      <c r="D28" s="14">
        <f ca="1">GBSGreeks("g", "C",指數型權證!$T$3,$J28,選擇權次近月!$N$2,$H28, 0,0)*50*指數型權證!$T$3^2*1%*$C28*-1</f>
        <v>0</v>
      </c>
      <c r="E28" s="17">
        <v>1060</v>
      </c>
      <c r="F28" s="17">
        <v>1190</v>
      </c>
      <c r="G28" s="17">
        <v>1160</v>
      </c>
      <c r="H28" s="19">
        <v>0.14346441345214844</v>
      </c>
      <c r="I28" s="19">
        <v>0.26162256774902343</v>
      </c>
      <c r="J28" s="18">
        <v>11000</v>
      </c>
      <c r="K28" s="17">
        <v>136</v>
      </c>
      <c r="L28" s="17">
        <v>141</v>
      </c>
      <c r="M28" s="17">
        <v>140</v>
      </c>
      <c r="N28" s="19">
        <v>0.25246775207519534</v>
      </c>
      <c r="O28" s="19">
        <v>0.2564958709716797</v>
      </c>
      <c r="P28" s="14">
        <f ca="1">GBSGreeks("g", "P",指數型權證!$T$3,$J28,選擇權次近月!$N$2,$N28, 0,0)*50*指數型權證!$T$3^2*1%*$Q28*-1</f>
        <v>0</v>
      </c>
      <c r="Q28" s="14">
        <f>SUMIFS(指數型權證!$AH$1:$AH$49,指數型權證!$AL$1:$AL$49,"9",指數型權證!$AJ$1:$AJ$49,$J28,指數型權證!$AM$1:$AM$49,"Put")</f>
        <v>0</v>
      </c>
      <c r="R28" s="14">
        <f ca="1">GBSGreeks("d", "P",指數型權證!$T$3,$J28,選擇權次近月!$N$2,$N28, 0,0)*50*指數型權證!$T$3*$Q28</f>
        <v>0</v>
      </c>
      <c r="S28" s="36">
        <f ca="1">(GBSOption("P",指數型權證!$T$3,$J28, 選擇權次近月!$N$2,$N28, 0,0)-GBSOption("P",指數型權證!$T$3,$J28,選擇權次近月!$O$2,$N28, 0,0))*$Q28*50*-1</f>
        <v>0</v>
      </c>
      <c r="T28" s="36"/>
      <c r="U28" s="48">
        <f ca="1">(GBSOption("C",指數型權證!T$4,$J28,選擇權近月!$N$2,$H28,0, 0)-GBSOption("C",指數型權證!T$4,$J28,選擇權近月!$N$2,$H28+0.01,0, 0))*50*$C28</f>
        <v>0</v>
      </c>
      <c r="V28" s="48">
        <f ca="1">(GBSOption("P",指數型權證!T$4,$J28,選擇權近月!$N$2,$N28,0, 0)-GBSOption("P",指數型權證!T$4,$J28,選擇權近月!$N$2,$N28+0.01,0, 0))*50*$Q28</f>
        <v>0</v>
      </c>
      <c r="Y28" s="250"/>
      <c r="Z28" s="250"/>
      <c r="AA28" s="36">
        <v>0</v>
      </c>
      <c r="AB28" s="14">
        <v>0</v>
      </c>
      <c r="AC28" s="14">
        <v>0</v>
      </c>
      <c r="AD28" s="14">
        <v>0</v>
      </c>
      <c r="AE28" s="17">
        <v>1110</v>
      </c>
      <c r="AF28" s="17">
        <v>1140</v>
      </c>
      <c r="AG28" s="17" t="s">
        <v>1854</v>
      </c>
      <c r="AH28" s="19">
        <v>0.23623321228027344</v>
      </c>
      <c r="AI28" s="19">
        <v>0.2552752288818359</v>
      </c>
      <c r="AJ28" s="18">
        <v>11000</v>
      </c>
      <c r="AK28" s="17">
        <v>142</v>
      </c>
      <c r="AL28" s="17">
        <v>152</v>
      </c>
      <c r="AM28" s="17">
        <v>150</v>
      </c>
      <c r="AN28" s="19">
        <v>0.24624247741699221</v>
      </c>
      <c r="AO28" s="19">
        <v>0.2539325225830078</v>
      </c>
      <c r="AP28" s="14">
        <v>0</v>
      </c>
      <c r="AQ28" s="14">
        <v>0</v>
      </c>
      <c r="AR28" s="14">
        <v>0</v>
      </c>
      <c r="AS28" s="36">
        <v>0</v>
      </c>
      <c r="AT28" s="36"/>
      <c r="AU28" s="48">
        <v>0</v>
      </c>
      <c r="AV28" s="48">
        <v>0</v>
      </c>
    </row>
    <row r="29" spans="1:48" ht="17.25" thickBot="1" x14ac:dyDescent="0.3">
      <c r="A29" s="36">
        <f ca="1">(GBSOption("C",指數型權證!$T$3,$J29, 選擇權次近月!$N$2,$H29, 0,0)-GBSOption("C",指數型權證!$T$3,$J29,選擇權次近月!$O$2,$H29, 0,0))*$C29*50*-1</f>
        <v>0</v>
      </c>
      <c r="B29" s="14">
        <f ca="1">GBSGreeks("d", "C",指數型權證!$T$3,$J29,選擇權次近月!$N$2,$H29, 0,0)*50*指數型權證!$T$3*$C29</f>
        <v>0</v>
      </c>
      <c r="C29" s="14">
        <f>SUMIFS(指數型權證!$AH$1:$AH$49,指數型權證!$AL$1:$AL$49,"9",指數型權證!$AJ$1:$AJ$49,$J29,指數型權證!$AM$1:$AM$49,"Call")</f>
        <v>0</v>
      </c>
      <c r="D29" s="14">
        <f ca="1">GBSGreeks("g", "C",指數型權證!$T$3,$J29,選擇權次近月!$N$2,$H29, 0,0)*50*指數型權證!$T$3^2*1%*$C29*-1</f>
        <v>0</v>
      </c>
      <c r="E29" s="17">
        <v>1060</v>
      </c>
      <c r="F29" s="17">
        <v>1100</v>
      </c>
      <c r="G29" s="17">
        <v>1130</v>
      </c>
      <c r="H29" s="19">
        <v>0.22573569030761717</v>
      </c>
      <c r="I29" s="19">
        <v>0.25246775207519534</v>
      </c>
      <c r="J29" s="18">
        <v>11100</v>
      </c>
      <c r="K29" s="17">
        <v>145</v>
      </c>
      <c r="L29" s="17">
        <v>155</v>
      </c>
      <c r="M29" s="17">
        <v>151</v>
      </c>
      <c r="N29" s="19">
        <v>0.24294674377441411</v>
      </c>
      <c r="O29" s="19">
        <v>0.25039266052246095</v>
      </c>
      <c r="P29" s="14">
        <f ca="1">GBSGreeks("g", "P",指數型權證!$T$3,$J29,選擇權次近月!$N$2,$N29, 0,0)*50*指數型權證!$T$3^2*1%*$Q29*-1</f>
        <v>0</v>
      </c>
      <c r="Q29" s="14">
        <f>SUMIFS(指數型權證!$AH$1:$AH$49,指數型權證!$AL$1:$AL$49,"9",指數型權證!$AJ$1:$AJ$49,$J29,指數型權證!$AM$1:$AM$49,"Put")</f>
        <v>0</v>
      </c>
      <c r="R29" s="14">
        <f ca="1">GBSGreeks("d", "P",指數型權證!$T$3,$J29,選擇權次近月!$N$2,$N29, 0,0)*50*指數型權證!$T$3*$Q29</f>
        <v>0</v>
      </c>
      <c r="S29" s="36">
        <f ca="1">(GBSOption("P",指數型權證!$T$3,$J29, 選擇權次近月!$N$2,$N29, 0,0)-GBSOption("P",指數型權證!$T$3,$J29,選擇權次近月!$O$2,$N29, 0,0))*$Q29*50*-1</f>
        <v>0</v>
      </c>
      <c r="T29" s="36"/>
      <c r="U29" s="48">
        <f ca="1">(GBSOption("C",指數型權證!T$4,$J29,選擇權近月!$N$2,$H29,0, 0)-GBSOption("C",指數型權證!T$4,$J29,選擇權近月!$N$2,$H29+0.01,0, 0))*50*$C29</f>
        <v>0</v>
      </c>
      <c r="V29" s="48">
        <f ca="1">(GBSOption("P",指數型權證!T$4,$J29,選擇權近月!$N$2,$N29,0, 0)-GBSOption("P",指數型權證!T$4,$J29,選擇權近月!$N$2,$N29+0.01,0, 0))*50*$Q29</f>
        <v>0</v>
      </c>
      <c r="Y29" s="250"/>
      <c r="Z29" s="250"/>
      <c r="AA29" s="36">
        <v>0</v>
      </c>
      <c r="AB29" s="14">
        <v>0</v>
      </c>
      <c r="AC29" s="14">
        <v>0</v>
      </c>
      <c r="AD29" s="14">
        <v>0</v>
      </c>
      <c r="AE29" s="17">
        <v>1040</v>
      </c>
      <c r="AF29" s="17">
        <v>1060</v>
      </c>
      <c r="AG29" s="17" t="s">
        <v>1854</v>
      </c>
      <c r="AH29" s="19">
        <v>0.24111578063964845</v>
      </c>
      <c r="AI29" s="19">
        <v>0.25234568786621098</v>
      </c>
      <c r="AJ29" s="18">
        <v>11100</v>
      </c>
      <c r="AK29" s="17">
        <v>159</v>
      </c>
      <c r="AL29" s="17">
        <v>168</v>
      </c>
      <c r="AM29" s="17" t="s">
        <v>1854</v>
      </c>
      <c r="AN29" s="19">
        <v>0.24184816589355471</v>
      </c>
      <c r="AO29" s="19">
        <v>0.24843963317871096</v>
      </c>
      <c r="AP29" s="14">
        <v>0</v>
      </c>
      <c r="AQ29" s="14">
        <v>0</v>
      </c>
      <c r="AR29" s="14">
        <v>0</v>
      </c>
      <c r="AS29" s="36">
        <v>0</v>
      </c>
      <c r="AT29" s="36"/>
      <c r="AU29" s="48">
        <v>0</v>
      </c>
      <c r="AV29" s="48">
        <v>0</v>
      </c>
    </row>
    <row r="30" spans="1:48" ht="17.25" thickBot="1" x14ac:dyDescent="0.3">
      <c r="A30" s="36">
        <f ca="1">(GBSOption("C",指數型權證!$T$3,$J30, 選擇權次近月!$N$2,$H30, 0,0)-GBSOption("C",指數型權證!$T$3,$J30,選擇權次近月!$O$2,$H30, 0,0))*$C30*50*-1</f>
        <v>0</v>
      </c>
      <c r="B30" s="14">
        <f ca="1">GBSGreeks("d", "C",指數型權證!$T$3,$J30,選擇權次近月!$N$2,$H30, 0,0)*50*指數型權證!$T$3*$C30</f>
        <v>0</v>
      </c>
      <c r="C30" s="14">
        <f>SUMIFS(指數型權證!$AH$1:$AH$49,指數型權證!$AL$1:$AL$49,"9",指數型權證!$AJ$1:$AJ$49,$J30,指數型權證!$AM$1:$AM$49,"Call")</f>
        <v>0</v>
      </c>
      <c r="D30" s="14">
        <f ca="1">GBSGreeks("g", "C",指數型權證!$T$3,$J30,選擇權次近月!$N$2,$H30, 0,0)*50*指數型權證!$T$3^2*1%*$C30*-1</f>
        <v>0</v>
      </c>
      <c r="E30" s="17">
        <v>1000</v>
      </c>
      <c r="F30" s="17">
        <v>1020</v>
      </c>
      <c r="G30" s="17" t="s">
        <v>1854</v>
      </c>
      <c r="H30" s="19">
        <v>0.23745385437011721</v>
      </c>
      <c r="I30" s="19">
        <v>0.24904995422363282</v>
      </c>
      <c r="J30" s="18">
        <v>11200</v>
      </c>
      <c r="K30" s="17">
        <v>166</v>
      </c>
      <c r="L30" s="17">
        <v>172</v>
      </c>
      <c r="M30" s="17">
        <v>168</v>
      </c>
      <c r="N30" s="19">
        <v>0.24074958801269533</v>
      </c>
      <c r="O30" s="19">
        <v>0.24514389953613283</v>
      </c>
      <c r="P30" s="14">
        <f ca="1">GBSGreeks("g", "P",指數型權證!$T$3,$J30,選擇權次近月!$N$2,$N30, 0,0)*50*指數型權證!$T$3^2*1%*$Q30*-1</f>
        <v>0</v>
      </c>
      <c r="Q30" s="14">
        <f>SUMIFS(指數型權證!$AH$1:$AH$49,指數型權證!$AL$1:$AL$49,"9",指數型權證!$AJ$1:$AJ$49,$J30,指數型權證!$AM$1:$AM$49,"Put")</f>
        <v>0</v>
      </c>
      <c r="R30" s="14">
        <f ca="1">GBSGreeks("d", "P",指數型權證!$T$3,$J30,選擇權次近月!$N$2,$N30, 0,0)*50*指數型權證!$T$3*$Q30</f>
        <v>0</v>
      </c>
      <c r="S30" s="36">
        <f ca="1">(GBSOption("P",指數型權證!$T$3,$J30, 選擇權次近月!$N$2,$N30, 0,0)-GBSOption("P",指數型權證!$T$3,$J30,選擇權次近月!$O$2,$N30, 0,0))*$Q30*50*-1</f>
        <v>0</v>
      </c>
      <c r="T30" s="36"/>
      <c r="U30" s="48"/>
      <c r="V30" s="48"/>
      <c r="Y30" s="250"/>
      <c r="Z30" s="250"/>
      <c r="AA30" s="36">
        <v>0</v>
      </c>
      <c r="AB30" s="14">
        <v>0</v>
      </c>
      <c r="AC30" s="14">
        <v>0</v>
      </c>
      <c r="AD30" s="14">
        <v>0</v>
      </c>
      <c r="AE30" s="17">
        <v>955</v>
      </c>
      <c r="AF30" s="17">
        <v>970</v>
      </c>
      <c r="AG30" s="17">
        <v>945</v>
      </c>
      <c r="AH30" s="19">
        <v>0.23428018493652344</v>
      </c>
      <c r="AI30" s="19">
        <v>0.24184816589355471</v>
      </c>
      <c r="AJ30" s="18">
        <v>11200</v>
      </c>
      <c r="AK30" s="17">
        <v>174</v>
      </c>
      <c r="AL30" s="17">
        <v>186</v>
      </c>
      <c r="AM30" s="17">
        <v>168</v>
      </c>
      <c r="AN30" s="19">
        <v>0.23489050598144531</v>
      </c>
      <c r="AO30" s="19">
        <v>0.24306880798339847</v>
      </c>
      <c r="AP30" s="14">
        <v>0</v>
      </c>
      <c r="AQ30" s="14">
        <v>0</v>
      </c>
      <c r="AR30" s="14">
        <v>0</v>
      </c>
      <c r="AS30" s="36">
        <v>0</v>
      </c>
      <c r="AT30" s="36"/>
      <c r="AU30" s="48"/>
      <c r="AV30" s="48"/>
    </row>
    <row r="31" spans="1:48" ht="17.25" thickBot="1" x14ac:dyDescent="0.3">
      <c r="A31" s="36">
        <f ca="1">(GBSOption("C",指數型權證!$T$3,$J31, 選擇權次近月!$N$2,$H31, 0,0)-GBSOption("C",指數型權證!$T$3,$J31,選擇權次近月!$O$2,$H31, 0,0))*$C31*50*-1</f>
        <v>0</v>
      </c>
      <c r="B31" s="14">
        <f ca="1">GBSGreeks("d", "C",指數型權證!$T$3,$J31,選擇權次近月!$N$2,$H31, 0,0)*50*指數型權證!$T$3*$C31</f>
        <v>0</v>
      </c>
      <c r="C31" s="14">
        <f>SUMIFS(指數型權證!$AH$1:$AH$49,指數型權證!$AL$1:$AL$49,"9",指數型權證!$AJ$1:$AJ$49,$J31,指數型權證!$AM$1:$AM$49,"Call")</f>
        <v>0</v>
      </c>
      <c r="D31" s="14">
        <f ca="1">GBSGreeks("g", "C",指數型權證!$T$3,$J31,選擇權次近月!$N$2,$H31, 0,0)*50*指數型權證!$T$3^2*1%*$C31*-1</f>
        <v>0</v>
      </c>
      <c r="E31" s="17">
        <v>910</v>
      </c>
      <c r="F31" s="17">
        <v>935</v>
      </c>
      <c r="G31" s="17" t="s">
        <v>1854</v>
      </c>
      <c r="H31" s="19">
        <v>0.22707839660644533</v>
      </c>
      <c r="I31" s="19">
        <v>0.2413599090576172</v>
      </c>
      <c r="J31" s="18">
        <v>11300</v>
      </c>
      <c r="K31" s="17">
        <v>179</v>
      </c>
      <c r="L31" s="17">
        <v>191</v>
      </c>
      <c r="M31" s="17">
        <v>193</v>
      </c>
      <c r="N31" s="19">
        <v>0.23208302917480469</v>
      </c>
      <c r="O31" s="19">
        <v>0.24013926696777346</v>
      </c>
      <c r="P31" s="14">
        <f ca="1">GBSGreeks("g", "P",指數型權證!$T$3,$J31,選擇權次近月!$N$2,$N31, 0,0)*50*指數型權證!$T$3^2*1%*$Q31*-1</f>
        <v>0</v>
      </c>
      <c r="Q31" s="14">
        <f>SUMIFS(指數型權證!$AH$1:$AH$49,指數型權證!$AL$1:$AL$49,"9",指數型權證!$AJ$1:$AJ$49,$J31,指數型權證!$AM$1:$AM$49,"Put")</f>
        <v>0</v>
      </c>
      <c r="R31" s="14">
        <f ca="1">GBSGreeks("d", "P",指數型權證!$T$3,$J31,選擇權次近月!$N$2,$N31, 0,0)*50*指數型權證!$T$3*$Q31</f>
        <v>0</v>
      </c>
      <c r="S31" s="36">
        <f ca="1">(GBSOption("P",指數型權證!$T$3,$J31, 選擇權次近月!$N$2,$N31, 0,0)-GBSOption("P",指數型權證!$T$3,$J31,選擇權次近月!$O$2,$N31, 0,0))*$Q31*50*-1</f>
        <v>0</v>
      </c>
      <c r="T31" s="36"/>
      <c r="U31" s="48"/>
      <c r="V31" s="48"/>
      <c r="Y31" s="250"/>
      <c r="Z31" s="250"/>
      <c r="AA31" s="36">
        <v>0</v>
      </c>
      <c r="AB31" s="14">
        <v>0</v>
      </c>
      <c r="AC31" s="14">
        <v>0</v>
      </c>
      <c r="AD31" s="14">
        <v>0</v>
      </c>
      <c r="AE31" s="17">
        <v>875</v>
      </c>
      <c r="AF31" s="17">
        <v>895</v>
      </c>
      <c r="AG31" s="17" t="s">
        <v>1854</v>
      </c>
      <c r="AH31" s="19">
        <v>0.22939761657714841</v>
      </c>
      <c r="AI31" s="19">
        <v>0.23965101013183598</v>
      </c>
      <c r="AJ31" s="18">
        <v>11300</v>
      </c>
      <c r="AK31" s="17">
        <v>193</v>
      </c>
      <c r="AL31" s="17">
        <v>204</v>
      </c>
      <c r="AM31" s="17">
        <v>204</v>
      </c>
      <c r="AN31" s="19">
        <v>0.22939761657714841</v>
      </c>
      <c r="AO31" s="19">
        <v>0.23659940490722658</v>
      </c>
      <c r="AP31" s="14">
        <v>0</v>
      </c>
      <c r="AQ31" s="14">
        <v>0</v>
      </c>
      <c r="AR31" s="14">
        <v>0</v>
      </c>
      <c r="AS31" s="36">
        <v>0</v>
      </c>
      <c r="AT31" s="36"/>
      <c r="AU31" s="48"/>
      <c r="AV31" s="48"/>
    </row>
    <row r="32" spans="1:48" ht="17.25" thickBot="1" x14ac:dyDescent="0.3">
      <c r="A32" s="36">
        <f ca="1">(GBSOption("C",指數型權證!$T$3,$J32, 選擇權次近月!$N$2,$H32, 0,0)-GBSOption("C",指數型權證!$T$3,$J32,選擇權次近月!$O$2,$H32, 0,0))*$C32*50*-1</f>
        <v>0</v>
      </c>
      <c r="B32" s="14">
        <f ca="1">GBSGreeks("d", "C",指數型權證!$T$3,$J32,選擇權次近月!$N$2,$H32, 0,0)*50*指數型權證!$T$3*$C32</f>
        <v>0</v>
      </c>
      <c r="C32" s="14">
        <f>SUMIFS(指數型權證!$AH$1:$AH$49,指數型權證!$AL$1:$AL$49,"9",指數型權證!$AJ$1:$AJ$49,$J32,指數型權證!$AM$1:$AM$49,"Call")</f>
        <v>0</v>
      </c>
      <c r="D32" s="14">
        <f ca="1">GBSGreeks("g", "C",指數型權證!$T$3,$J32,選擇權次近月!$N$2,$H32, 0,0)*50*指數型權證!$T$3^2*1%*$C32*-1</f>
        <v>0</v>
      </c>
      <c r="E32" s="17">
        <v>840</v>
      </c>
      <c r="F32" s="17">
        <v>855</v>
      </c>
      <c r="G32" s="17" t="s">
        <v>1854</v>
      </c>
      <c r="H32" s="19">
        <v>0.22793284606933595</v>
      </c>
      <c r="I32" s="19">
        <v>0.23550082702636718</v>
      </c>
      <c r="J32" s="18">
        <v>11400</v>
      </c>
      <c r="K32" s="17">
        <v>206</v>
      </c>
      <c r="L32" s="17">
        <v>211</v>
      </c>
      <c r="M32" s="17">
        <v>215</v>
      </c>
      <c r="N32" s="19">
        <v>0.23098445129394532</v>
      </c>
      <c r="O32" s="19">
        <v>0.23440224914550783</v>
      </c>
      <c r="P32" s="14">
        <f ca="1">GBSGreeks("g", "P",指數型權證!$T$3,$J32,選擇權次近月!$N$2,$N32, 0,0)*50*指數型權證!$T$3^2*1%*$Q32*-1</f>
        <v>0</v>
      </c>
      <c r="Q32" s="14">
        <f>SUMIFS(指數型權證!$AH$1:$AH$49,指數型權證!$AL$1:$AL$49,"9",指數型權證!$AJ$1:$AJ$49,$J32,指數型權證!$AM$1:$AM$49,"Put")</f>
        <v>0</v>
      </c>
      <c r="R32" s="14">
        <f ca="1">GBSGreeks("d", "P",指數型權證!$T$3,$J32,選擇權次近月!$N$2,$N32, 0,0)*50*指數型權證!$T$3*$Q32</f>
        <v>0</v>
      </c>
      <c r="S32" s="36">
        <f ca="1">(GBSOption("P",指數型權證!$T$3,$J32, 選擇權次近月!$N$2,$N32, 0,0)-GBSOption("P",指數型權證!$T$3,$J32,選擇權次近月!$O$2,$N32, 0,0))*$Q32*50*-1</f>
        <v>0</v>
      </c>
      <c r="T32" s="36"/>
      <c r="U32" s="48"/>
      <c r="V32" s="48"/>
      <c r="Y32" s="250"/>
      <c r="Z32" s="250"/>
      <c r="AA32" s="36">
        <v>0</v>
      </c>
      <c r="AB32" s="14">
        <v>0</v>
      </c>
      <c r="AC32" s="14">
        <v>0</v>
      </c>
      <c r="AD32" s="14">
        <v>0</v>
      </c>
      <c r="AE32" s="17">
        <v>795</v>
      </c>
      <c r="AF32" s="17">
        <v>815</v>
      </c>
      <c r="AG32" s="17">
        <v>800</v>
      </c>
      <c r="AH32" s="19">
        <v>0.2232944061279297</v>
      </c>
      <c r="AI32" s="19">
        <v>0.23305954284667971</v>
      </c>
      <c r="AJ32" s="18">
        <v>11400</v>
      </c>
      <c r="AK32" s="17">
        <v>219</v>
      </c>
      <c r="AL32" s="17">
        <v>230</v>
      </c>
      <c r="AM32" s="17">
        <v>227</v>
      </c>
      <c r="AN32" s="19">
        <v>0.22671220397949218</v>
      </c>
      <c r="AO32" s="19">
        <v>0.2336698638916016</v>
      </c>
      <c r="AP32" s="14">
        <v>0</v>
      </c>
      <c r="AQ32" s="14">
        <v>0</v>
      </c>
      <c r="AR32" s="14">
        <v>0</v>
      </c>
      <c r="AS32" s="36">
        <v>0</v>
      </c>
      <c r="AT32" s="36"/>
      <c r="AU32" s="48"/>
      <c r="AV32" s="48"/>
    </row>
    <row r="33" spans="1:48" ht="17.25" thickBot="1" x14ac:dyDescent="0.3">
      <c r="A33" s="36">
        <f ca="1">(GBSOption("C",指數型權證!$T$3,$J33, 選擇權次近月!$N$2,$H33, 0,0)-GBSOption("C",指數型權證!$T$3,$J33,選擇權次近月!$O$2,$H33, 0,0))*$C33*50*-1</f>
        <v>0</v>
      </c>
      <c r="B33" s="14">
        <f ca="1">GBSGreeks("d", "C",指數型權證!$T$3,$J33,選擇權次近月!$N$2,$H33, 0,0)*50*指數型權證!$T$3*$C33</f>
        <v>0</v>
      </c>
      <c r="C33" s="14">
        <f>SUMIFS(指數型權證!$AH$1:$AH$49,指數型權證!$AL$1:$AL$49,"9",指數型權證!$AJ$1:$AJ$49,$J33,指數型權證!$AM$1:$AM$49,"Call")</f>
        <v>0</v>
      </c>
      <c r="D33" s="14">
        <f ca="1">GBSGreeks("g", "C",指數型權證!$T$3,$J33,選擇權次近月!$N$2,$H33, 0,0)*50*指數型權證!$T$3^2*1%*$C33*-1</f>
        <v>0</v>
      </c>
      <c r="E33" s="17">
        <v>760</v>
      </c>
      <c r="F33" s="17">
        <v>780</v>
      </c>
      <c r="G33" s="17">
        <v>750</v>
      </c>
      <c r="H33" s="19">
        <v>0.22121931457519531</v>
      </c>
      <c r="I33" s="19">
        <v>0.23135064392089844</v>
      </c>
      <c r="J33" s="18">
        <v>11500</v>
      </c>
      <c r="K33" s="17">
        <v>226</v>
      </c>
      <c r="L33" s="17">
        <v>234</v>
      </c>
      <c r="M33" s="17">
        <v>225</v>
      </c>
      <c r="N33" s="19">
        <v>0.22414885559082035</v>
      </c>
      <c r="O33" s="19">
        <v>0.22915348815917966</v>
      </c>
      <c r="P33" s="14">
        <f ca="1">GBSGreeks("g", "P",指數型權證!$T$3,$J33,選擇權次近月!$N$2,$N33, 0,0)*50*指數型權證!$T$3^2*1%*$Q33*-1</f>
        <v>0</v>
      </c>
      <c r="Q33" s="14">
        <f>SUMIFS(指數型權證!$AH$1:$AH$49,指數型權證!$AL$1:$AL$49,"9",指數型權證!$AJ$1:$AJ$49,$J33,指數型權證!$AM$1:$AM$49,"Put")</f>
        <v>0</v>
      </c>
      <c r="R33" s="14">
        <f ca="1">GBSGreeks("d", "P",指數型權證!$T$3,$J33,選擇權次近月!$N$2,$N33, 0,0)*50*指數型權證!$T$3*$Q33</f>
        <v>0</v>
      </c>
      <c r="S33" s="36">
        <f ca="1">(GBSOption("P",指數型權證!$T$3,$J33, 選擇權次近月!$N$2,$N33, 0,0)-GBSOption("P",指數型權證!$T$3,$J33,選擇權次近月!$O$2,$N33, 0,0))*$Q33*50*-1</f>
        <v>0</v>
      </c>
      <c r="T33" s="36"/>
      <c r="U33" s="48"/>
      <c r="V33" s="48"/>
      <c r="Y33" s="250"/>
      <c r="Z33" s="250"/>
      <c r="AA33" s="36">
        <v>0</v>
      </c>
      <c r="AB33" s="14">
        <v>0</v>
      </c>
      <c r="AC33" s="14">
        <v>0</v>
      </c>
      <c r="AD33" s="14">
        <v>0</v>
      </c>
      <c r="AE33" s="17">
        <v>725</v>
      </c>
      <c r="AF33" s="17">
        <v>740</v>
      </c>
      <c r="AG33" s="17">
        <v>690</v>
      </c>
      <c r="AH33" s="19">
        <v>0.22146344299316406</v>
      </c>
      <c r="AI33" s="19">
        <v>0.2281769744873047</v>
      </c>
      <c r="AJ33" s="18">
        <v>11500</v>
      </c>
      <c r="AK33" s="17">
        <v>243</v>
      </c>
      <c r="AL33" s="17">
        <v>249</v>
      </c>
      <c r="AM33" s="17">
        <v>253</v>
      </c>
      <c r="AN33" s="19">
        <v>0.22146344299316406</v>
      </c>
      <c r="AO33" s="19">
        <v>0.22536949768066405</v>
      </c>
      <c r="AP33" s="14">
        <v>0</v>
      </c>
      <c r="AQ33" s="14">
        <v>0</v>
      </c>
      <c r="AR33" s="14">
        <v>0</v>
      </c>
      <c r="AS33" s="36">
        <v>0</v>
      </c>
      <c r="AT33" s="36"/>
      <c r="AU33" s="48"/>
      <c r="AV33" s="48"/>
    </row>
    <row r="34" spans="1:48" ht="17.25" thickBot="1" x14ac:dyDescent="0.3">
      <c r="A34" s="36">
        <f ca="1">(GBSOption("C",指數型權證!$T$3,$J34, 選擇權次近月!$N$2,$H34, 0,0)-GBSOption("C",指數型權證!$T$3,$J34,選擇權次近月!$O$2,$H34, 0,0))*$C34*50*-1</f>
        <v>0</v>
      </c>
      <c r="B34" s="14">
        <f ca="1">GBSGreeks("d", "C",指數型權證!$T$3,$J34,選擇權次近月!$N$2,$H34, 0,0)*50*指數型權證!$T$3*$C34</f>
        <v>0</v>
      </c>
      <c r="C34" s="14">
        <f>SUMIFS(指數型權證!$AH$1:$AH$49,指數型權證!$AL$1:$AL$49,"9",指數型權證!$AJ$1:$AJ$49,$J34,指數型權證!$AM$1:$AM$49,"Call")</f>
        <v>0</v>
      </c>
      <c r="D34" s="14">
        <f ca="1">GBSGreeks("g", "C",指數型權證!$T$3,$J34,選擇權次近月!$N$2,$H34, 0,0)*50*指數型權證!$T$3^2*1%*$C34*-1</f>
        <v>0</v>
      </c>
      <c r="E34" s="17">
        <v>690</v>
      </c>
      <c r="F34" s="17">
        <v>705</v>
      </c>
      <c r="G34" s="17">
        <v>685</v>
      </c>
      <c r="H34" s="19">
        <v>0.21877803039550783</v>
      </c>
      <c r="I34" s="19">
        <v>0.22585775451660156</v>
      </c>
      <c r="J34" s="18">
        <v>11600</v>
      </c>
      <c r="K34" s="17">
        <v>249</v>
      </c>
      <c r="L34" s="17">
        <v>260</v>
      </c>
      <c r="M34" s="17">
        <v>258</v>
      </c>
      <c r="N34" s="19">
        <v>0.21767945251464843</v>
      </c>
      <c r="O34" s="19">
        <v>0.22427091979980471</v>
      </c>
      <c r="P34" s="14">
        <f ca="1">GBSGreeks("g", "P",指數型權證!$T$3,$J34,選擇權次近月!$N$2,$N34, 0,0)*50*指數型權證!$T$3^2*1%*$Q34*-1</f>
        <v>0</v>
      </c>
      <c r="Q34" s="14">
        <f>SUMIFS(指數型權證!$AH$1:$AH$49,指數型權證!$AL$1:$AL$49,"9",指數型權證!$AJ$1:$AJ$49,$J34,指數型權證!$AM$1:$AM$49,"Put")</f>
        <v>0</v>
      </c>
      <c r="R34" s="14">
        <f ca="1">GBSGreeks("d", "P",指數型權證!$T$3,$J34,選擇權次近月!$N$2,$N34, 0,0)*50*指數型權證!$T$3*$Q34</f>
        <v>0</v>
      </c>
      <c r="S34" s="36">
        <f ca="1">(GBSOption("P",指數型權證!$T$3,$J34, 選擇權次近月!$N$2,$N34, 0,0)-GBSOption("P",指數型權證!$T$3,$J34,選擇權次近月!$O$2,$N34, 0,0))*$Q34*50*-1</f>
        <v>0</v>
      </c>
      <c r="T34" s="36"/>
      <c r="U34" s="48"/>
      <c r="V34" s="48"/>
      <c r="Y34" s="250"/>
      <c r="Z34" s="250"/>
      <c r="AA34" s="36">
        <v>0</v>
      </c>
      <c r="AB34" s="14">
        <v>0</v>
      </c>
      <c r="AC34" s="14">
        <v>0</v>
      </c>
      <c r="AD34" s="14">
        <v>0</v>
      </c>
      <c r="AE34" s="17">
        <v>655</v>
      </c>
      <c r="AF34" s="17">
        <v>665</v>
      </c>
      <c r="AG34" s="17">
        <v>640</v>
      </c>
      <c r="AH34" s="19">
        <v>0.21792358093261718</v>
      </c>
      <c r="AI34" s="19">
        <v>0.22182963562011718</v>
      </c>
      <c r="AJ34" s="18">
        <v>11600</v>
      </c>
      <c r="AK34" s="17">
        <v>270</v>
      </c>
      <c r="AL34" s="17">
        <v>280</v>
      </c>
      <c r="AM34" s="17">
        <v>269</v>
      </c>
      <c r="AN34" s="19">
        <v>0.21633674621582036</v>
      </c>
      <c r="AO34" s="19">
        <v>0.22231789245605468</v>
      </c>
      <c r="AP34" s="14">
        <v>0</v>
      </c>
      <c r="AQ34" s="14">
        <v>0</v>
      </c>
      <c r="AR34" s="14">
        <v>0</v>
      </c>
      <c r="AS34" s="36">
        <v>0</v>
      </c>
      <c r="AT34" s="36"/>
      <c r="AU34" s="48"/>
      <c r="AV34" s="48"/>
    </row>
    <row r="35" spans="1:48" x14ac:dyDescent="0.25">
      <c r="A35" s="36">
        <f ca="1">(GBSOption("C",指數型權證!$T$3,$J35, 選擇權次近月!$N$2,$H35, 0,0)-GBSOption("C",指數型權證!$T$3,$J35,選擇權次近月!$O$2,$H35, 0,0))*$C35*50*-1</f>
        <v>0</v>
      </c>
      <c r="B35" s="14">
        <f ca="1">GBSGreeks("d", "C",指數型權證!$T$3,$J35,選擇權次近月!$N$2,$H35, 0,0)*50*指數型權證!$T$3*$C35</f>
        <v>0</v>
      </c>
      <c r="C35" s="14">
        <f>SUMIFS(指數型權證!$AH$1:$AH$49,指數型權證!$AL$1:$AL$49,"9",指數型權證!$AJ$1:$AJ$49,$J35,指數型權證!$AM$1:$AM$49,"Call")</f>
        <v>0</v>
      </c>
      <c r="D35" s="14">
        <f ca="1">GBSGreeks("g", "C",指數型權證!$T$3,$J35,選擇權次近月!$N$2,$H35, 0,0)*50*指數型權證!$T$3^2*1%*$C35*-1</f>
        <v>0</v>
      </c>
      <c r="E35" s="17">
        <v>620</v>
      </c>
      <c r="F35" s="17">
        <v>630</v>
      </c>
      <c r="G35" s="17">
        <v>600</v>
      </c>
      <c r="H35" s="19">
        <v>0.21462784729003909</v>
      </c>
      <c r="I35" s="19">
        <v>0.2189000946044922</v>
      </c>
      <c r="J35" s="18">
        <v>11700</v>
      </c>
      <c r="K35" s="17">
        <v>280</v>
      </c>
      <c r="L35" s="17">
        <v>293</v>
      </c>
      <c r="M35" s="17">
        <v>277</v>
      </c>
      <c r="N35" s="19">
        <v>0.21413959045410158</v>
      </c>
      <c r="O35" s="19">
        <v>0.22158550720214842</v>
      </c>
      <c r="P35" s="14">
        <f ca="1">GBSGreeks("g", "P",指數型權證!$T$3,$J35,選擇權次近月!$N$2,$N35, 0,0)*50*指數型權證!$T$3^2*1%*$Q35*-1</f>
        <v>0</v>
      </c>
      <c r="Q35" s="14">
        <f>SUMIFS(指數型權證!$AH$1:$AH$49,指數型權證!$AL$1:$AL$49,"9",指數型權證!$AJ$1:$AJ$49,$J35,指數型權證!$AM$1:$AM$49,"Put")</f>
        <v>0</v>
      </c>
      <c r="R35" s="14">
        <f ca="1">GBSGreeks("d", "P",指數型權證!$T$3,$J35,選擇權次近月!$N$2,$N35, 0,0)*50*指數型權證!$T$3*$Q35</f>
        <v>0</v>
      </c>
      <c r="S35" s="36">
        <f ca="1">(GBSOption("P",指數型權證!$T$3,$J35, 選擇權次近月!$N$2,$N35, 0,0)-GBSOption("P",指數型權證!$T$3,$J35,選擇權次近月!$O$2,$N35, 0,0))*$Q35*50*-1</f>
        <v>0</v>
      </c>
      <c r="T35" s="36"/>
      <c r="U35" s="48"/>
      <c r="V35" s="48"/>
      <c r="Y35" s="250"/>
      <c r="Z35" s="250"/>
      <c r="AA35" s="36">
        <v>0</v>
      </c>
      <c r="AB35" s="14">
        <v>0</v>
      </c>
      <c r="AC35" s="14">
        <v>0</v>
      </c>
      <c r="AD35" s="14">
        <v>0</v>
      </c>
      <c r="AE35" s="17">
        <v>585</v>
      </c>
      <c r="AF35" s="17">
        <v>595</v>
      </c>
      <c r="AG35" s="17">
        <v>575</v>
      </c>
      <c r="AH35" s="19">
        <v>0.21279688415527345</v>
      </c>
      <c r="AI35" s="19">
        <v>0.21670293884277345</v>
      </c>
      <c r="AJ35" s="18">
        <v>11700</v>
      </c>
      <c r="AK35" s="17">
        <v>300</v>
      </c>
      <c r="AL35" s="17">
        <v>309</v>
      </c>
      <c r="AM35" s="17">
        <v>304</v>
      </c>
      <c r="AN35" s="19">
        <v>0.21133211364746096</v>
      </c>
      <c r="AO35" s="19">
        <v>0.21670293884277345</v>
      </c>
      <c r="AP35" s="14">
        <v>0</v>
      </c>
      <c r="AQ35" s="14">
        <v>0</v>
      </c>
      <c r="AR35" s="14">
        <v>0</v>
      </c>
      <c r="AS35" s="36">
        <v>0</v>
      </c>
      <c r="AT35" s="36"/>
      <c r="AU35" s="48"/>
      <c r="AV35" s="48"/>
    </row>
    <row r="36" spans="1:48" ht="17.25" thickBot="1" x14ac:dyDescent="0.3">
      <c r="A36" s="36"/>
      <c r="B36" s="14"/>
      <c r="C36" s="14"/>
      <c r="D36" s="14"/>
      <c r="E36" s="17">
        <v>550</v>
      </c>
      <c r="F36" s="17">
        <v>565</v>
      </c>
      <c r="G36" s="17">
        <v>550</v>
      </c>
      <c r="H36" s="19">
        <v>0.20889082946777346</v>
      </c>
      <c r="I36" s="19">
        <v>0.21572642517089846</v>
      </c>
      <c r="J36" s="18">
        <v>11800</v>
      </c>
      <c r="K36" s="17">
        <v>311</v>
      </c>
      <c r="L36" s="17">
        <v>325</v>
      </c>
      <c r="M36" s="17">
        <v>316</v>
      </c>
      <c r="N36" s="19">
        <v>0.20889082946777346</v>
      </c>
      <c r="O36" s="19">
        <v>0.21670293884277345</v>
      </c>
      <c r="P36" s="14"/>
      <c r="Q36" s="14"/>
      <c r="R36" s="14"/>
      <c r="S36" s="36"/>
      <c r="T36" s="36"/>
      <c r="U36" s="50"/>
      <c r="V36" s="50"/>
      <c r="AA36" s="36"/>
      <c r="AB36" s="14"/>
      <c r="AC36" s="14"/>
      <c r="AD36" s="14"/>
      <c r="AE36" s="17">
        <v>515</v>
      </c>
      <c r="AF36" s="17">
        <v>535</v>
      </c>
      <c r="AG36" s="17">
        <v>515</v>
      </c>
      <c r="AH36" s="19">
        <v>0.2062054168701172</v>
      </c>
      <c r="AI36" s="19">
        <v>0.2149940399169922</v>
      </c>
      <c r="AJ36" s="18">
        <v>11800</v>
      </c>
      <c r="AK36" s="17">
        <v>333</v>
      </c>
      <c r="AL36" s="17">
        <v>346</v>
      </c>
      <c r="AM36" s="17">
        <v>336</v>
      </c>
      <c r="AN36" s="19">
        <v>0.2062054168701172</v>
      </c>
      <c r="AO36" s="19">
        <v>0.21352926940917968</v>
      </c>
      <c r="AP36" s="14"/>
      <c r="AQ36" s="14"/>
      <c r="AR36" s="14"/>
      <c r="AS36" s="36"/>
      <c r="AT36" s="36"/>
      <c r="AU36" s="50"/>
      <c r="AV36" s="50"/>
    </row>
    <row r="37" spans="1:48" ht="17.25" thickBot="1" x14ac:dyDescent="0.3">
      <c r="A37" s="36"/>
      <c r="B37" s="14"/>
      <c r="C37" s="14"/>
      <c r="D37" s="14"/>
      <c r="E37" s="17">
        <v>485</v>
      </c>
      <c r="F37" s="17">
        <v>499</v>
      </c>
      <c r="G37" s="17">
        <v>500</v>
      </c>
      <c r="H37" s="19">
        <v>0.20413032531738282</v>
      </c>
      <c r="I37" s="19">
        <v>0.21023353576660159</v>
      </c>
      <c r="J37" s="18">
        <v>11900</v>
      </c>
      <c r="K37" s="17">
        <v>346</v>
      </c>
      <c r="L37" s="17">
        <v>358</v>
      </c>
      <c r="M37" s="17">
        <v>355</v>
      </c>
      <c r="N37" s="19">
        <v>0.20413032531738282</v>
      </c>
      <c r="O37" s="19">
        <v>0.21072179260253909</v>
      </c>
      <c r="P37" s="14"/>
      <c r="Q37" s="14"/>
      <c r="R37" s="14"/>
      <c r="S37" s="36"/>
      <c r="T37" s="36"/>
      <c r="U37" s="50"/>
      <c r="V37" s="50"/>
      <c r="AA37" s="36"/>
      <c r="AB37" s="14"/>
      <c r="AC37" s="14"/>
      <c r="AD37" s="14"/>
      <c r="AE37" s="17">
        <v>454</v>
      </c>
      <c r="AF37" s="17">
        <v>468</v>
      </c>
      <c r="AG37" s="17">
        <v>470</v>
      </c>
      <c r="AH37" s="19">
        <v>0.20229936218261721</v>
      </c>
      <c r="AI37" s="19">
        <v>0.20815844421386723</v>
      </c>
      <c r="AJ37" s="18">
        <v>11900</v>
      </c>
      <c r="AK37" s="17">
        <v>369</v>
      </c>
      <c r="AL37" s="17">
        <v>383</v>
      </c>
      <c r="AM37" s="17">
        <v>311</v>
      </c>
      <c r="AN37" s="19">
        <v>0.20083459167480469</v>
      </c>
      <c r="AO37" s="19">
        <v>0.20864670104980473</v>
      </c>
      <c r="AP37" s="14"/>
      <c r="AQ37" s="14"/>
      <c r="AR37" s="14"/>
      <c r="AS37" s="36"/>
      <c r="AT37" s="36"/>
      <c r="AU37" s="50"/>
      <c r="AV37" s="50"/>
    </row>
    <row r="38" spans="1:48" ht="17.25" thickBot="1" x14ac:dyDescent="0.3">
      <c r="A38" s="36"/>
      <c r="B38" s="14"/>
      <c r="C38" s="14"/>
      <c r="D38" s="14"/>
      <c r="E38" s="17">
        <v>425</v>
      </c>
      <c r="F38" s="17">
        <v>437</v>
      </c>
      <c r="G38" s="17">
        <v>439</v>
      </c>
      <c r="H38" s="19">
        <v>0.19998014221191407</v>
      </c>
      <c r="I38" s="19">
        <v>0.20510683898925783</v>
      </c>
      <c r="J38" s="18">
        <v>12000</v>
      </c>
      <c r="K38" s="17">
        <v>385</v>
      </c>
      <c r="L38" s="17">
        <v>400</v>
      </c>
      <c r="M38" s="17">
        <v>402</v>
      </c>
      <c r="N38" s="19">
        <v>0.19949188537597656</v>
      </c>
      <c r="O38" s="19">
        <v>0.20754812316894536</v>
      </c>
      <c r="P38" s="14"/>
      <c r="Q38" s="15"/>
      <c r="R38" s="14"/>
      <c r="S38" s="36"/>
      <c r="T38" s="36"/>
      <c r="U38" s="50"/>
      <c r="V38" s="50"/>
      <c r="AA38" s="36"/>
      <c r="AB38" s="14"/>
      <c r="AC38" s="14"/>
      <c r="AD38" s="14"/>
      <c r="AE38" s="17">
        <v>397</v>
      </c>
      <c r="AF38" s="17">
        <v>409</v>
      </c>
      <c r="AG38" s="17">
        <v>384</v>
      </c>
      <c r="AH38" s="19">
        <v>0.19851537170410155</v>
      </c>
      <c r="AI38" s="19">
        <v>0.20339794006347658</v>
      </c>
      <c r="AJ38" s="18">
        <v>12000</v>
      </c>
      <c r="AK38" s="17">
        <v>411</v>
      </c>
      <c r="AL38" s="17">
        <v>413</v>
      </c>
      <c r="AM38" s="17">
        <v>411</v>
      </c>
      <c r="AN38" s="19">
        <v>0.19656234436035158</v>
      </c>
      <c r="AO38" s="19">
        <v>0.19851537170410155</v>
      </c>
      <c r="AP38" s="14"/>
      <c r="AQ38" s="15"/>
      <c r="AR38" s="14"/>
      <c r="AS38" s="36"/>
      <c r="AT38" s="36"/>
      <c r="AU38" s="50"/>
      <c r="AV38" s="50"/>
    </row>
    <row r="39" spans="1:48" ht="17.25" thickBot="1" x14ac:dyDescent="0.3">
      <c r="A39" s="36"/>
      <c r="B39" s="14"/>
      <c r="C39" s="14"/>
      <c r="D39" s="14"/>
      <c r="E39" s="17">
        <v>369</v>
      </c>
      <c r="F39" s="17">
        <v>383</v>
      </c>
      <c r="G39" s="17">
        <v>361</v>
      </c>
      <c r="H39" s="19">
        <v>0.19595202331542969</v>
      </c>
      <c r="I39" s="19">
        <v>0.20217729797363285</v>
      </c>
      <c r="J39" s="18">
        <v>12100</v>
      </c>
      <c r="K39" s="17">
        <v>428</v>
      </c>
      <c r="L39" s="17">
        <v>442</v>
      </c>
      <c r="M39" s="17">
        <v>423</v>
      </c>
      <c r="N39" s="19">
        <v>0.19497550964355467</v>
      </c>
      <c r="O39" s="19">
        <v>0.20266555480957035</v>
      </c>
      <c r="P39" s="14"/>
      <c r="Q39" s="15"/>
      <c r="R39" s="14"/>
      <c r="S39" s="36"/>
      <c r="T39" s="36"/>
      <c r="U39" s="50"/>
      <c r="V39" s="50"/>
      <c r="AA39" s="36"/>
      <c r="AB39" s="14"/>
      <c r="AC39" s="14"/>
      <c r="AD39" s="14"/>
      <c r="AE39" s="17">
        <v>342</v>
      </c>
      <c r="AF39" s="17">
        <v>352</v>
      </c>
      <c r="AG39" s="17">
        <v>332</v>
      </c>
      <c r="AH39" s="19">
        <v>0.19399899597167966</v>
      </c>
      <c r="AI39" s="19">
        <v>0.19802711486816404</v>
      </c>
      <c r="AJ39" s="18">
        <v>12100</v>
      </c>
      <c r="AK39" s="17">
        <v>457</v>
      </c>
      <c r="AL39" s="17">
        <v>468</v>
      </c>
      <c r="AM39" s="17">
        <v>461</v>
      </c>
      <c r="AN39" s="19">
        <v>0.1925342254638672</v>
      </c>
      <c r="AO39" s="19">
        <v>0.19900362854003906</v>
      </c>
      <c r="AP39" s="14"/>
      <c r="AQ39" s="15"/>
      <c r="AR39" s="14"/>
      <c r="AS39" s="36"/>
      <c r="AT39" s="36"/>
      <c r="AU39" s="50"/>
      <c r="AV39" s="50"/>
    </row>
    <row r="40" spans="1:48" ht="17.25" thickBot="1" x14ac:dyDescent="0.3">
      <c r="A40" s="36"/>
      <c r="B40" s="14"/>
      <c r="C40" s="14"/>
      <c r="D40" s="14"/>
      <c r="E40" s="17">
        <v>318</v>
      </c>
      <c r="F40" s="17">
        <v>331</v>
      </c>
      <c r="G40" s="17">
        <v>316</v>
      </c>
      <c r="H40" s="19">
        <v>0.1925342254638672</v>
      </c>
      <c r="I40" s="19">
        <v>0.1982712432861328</v>
      </c>
      <c r="J40" s="18">
        <v>12200</v>
      </c>
      <c r="K40" s="17">
        <v>478</v>
      </c>
      <c r="L40" s="17">
        <v>487</v>
      </c>
      <c r="M40" s="17">
        <v>490</v>
      </c>
      <c r="N40" s="19">
        <v>0.19204596862792969</v>
      </c>
      <c r="O40" s="19">
        <v>0.19729472961425781</v>
      </c>
      <c r="P40" s="14"/>
      <c r="Q40" s="15"/>
      <c r="R40" s="14"/>
      <c r="S40" s="36"/>
      <c r="T40" s="36"/>
      <c r="U40" s="50"/>
      <c r="V40" s="50"/>
      <c r="AA40" s="36"/>
      <c r="AB40" s="14"/>
      <c r="AC40" s="14"/>
      <c r="AD40" s="14"/>
      <c r="AE40" s="17">
        <v>294</v>
      </c>
      <c r="AF40" s="17">
        <v>307</v>
      </c>
      <c r="AG40" s="17">
        <v>303</v>
      </c>
      <c r="AH40" s="19">
        <v>0.19094739074707032</v>
      </c>
      <c r="AI40" s="19">
        <v>0.19656234436035158</v>
      </c>
      <c r="AJ40" s="18">
        <v>12200</v>
      </c>
      <c r="AK40" s="17">
        <v>510</v>
      </c>
      <c r="AL40" s="17">
        <v>520</v>
      </c>
      <c r="AM40" s="17">
        <v>530</v>
      </c>
      <c r="AN40" s="19">
        <v>0.1899708770751953</v>
      </c>
      <c r="AO40" s="19">
        <v>0.19607408752441408</v>
      </c>
      <c r="AP40" s="14"/>
      <c r="AQ40" s="15"/>
      <c r="AR40" s="14"/>
      <c r="AS40" s="36"/>
      <c r="AT40" s="36"/>
      <c r="AU40" s="50"/>
      <c r="AV40" s="50"/>
    </row>
    <row r="41" spans="1:48" ht="17.25" thickBot="1" x14ac:dyDescent="0.3">
      <c r="A41" s="36"/>
      <c r="B41" s="14"/>
      <c r="C41" s="14"/>
      <c r="D41" s="14"/>
      <c r="E41" s="17">
        <v>271</v>
      </c>
      <c r="F41" s="17">
        <v>280</v>
      </c>
      <c r="G41" s="17">
        <v>262</v>
      </c>
      <c r="H41" s="19">
        <v>0.18899436340332035</v>
      </c>
      <c r="I41" s="19">
        <v>0.19290041809082034</v>
      </c>
      <c r="J41" s="18">
        <v>12300</v>
      </c>
      <c r="K41" s="17">
        <v>530</v>
      </c>
      <c r="L41" s="17">
        <v>540</v>
      </c>
      <c r="M41" s="17">
        <v>535</v>
      </c>
      <c r="N41" s="19">
        <v>0.18801784973144534</v>
      </c>
      <c r="O41" s="19">
        <v>0.1938769317626953</v>
      </c>
      <c r="P41" s="14"/>
      <c r="Q41" s="15"/>
      <c r="R41" s="14"/>
      <c r="S41" s="36"/>
      <c r="T41" s="36"/>
      <c r="U41" s="50"/>
      <c r="V41" s="50"/>
      <c r="AA41" s="36"/>
      <c r="AB41" s="14"/>
      <c r="AC41" s="14"/>
      <c r="AD41" s="14"/>
      <c r="AE41" s="17">
        <v>250</v>
      </c>
      <c r="AF41" s="17">
        <v>263</v>
      </c>
      <c r="AG41" s="17">
        <v>256</v>
      </c>
      <c r="AH41" s="19">
        <v>0.18777372131347658</v>
      </c>
      <c r="AI41" s="19">
        <v>0.19363280334472657</v>
      </c>
      <c r="AJ41" s="18">
        <v>12300</v>
      </c>
      <c r="AK41" s="17">
        <v>560</v>
      </c>
      <c r="AL41" s="17">
        <v>575</v>
      </c>
      <c r="AM41" s="17">
        <v>505</v>
      </c>
      <c r="AN41" s="19">
        <v>0.1837456024169922</v>
      </c>
      <c r="AO41" s="19">
        <v>0.1925342254638672</v>
      </c>
      <c r="AP41" s="14"/>
      <c r="AQ41" s="15"/>
      <c r="AR41" s="14"/>
      <c r="AS41" s="36"/>
      <c r="AT41" s="36"/>
      <c r="AU41" s="50"/>
      <c r="AV41" s="50"/>
    </row>
    <row r="42" spans="1:48" ht="17.25" thickBot="1" x14ac:dyDescent="0.3">
      <c r="A42" s="36"/>
      <c r="B42" s="14"/>
      <c r="C42" s="14"/>
      <c r="D42" s="14"/>
      <c r="E42" s="17">
        <v>230</v>
      </c>
      <c r="F42" s="17">
        <v>240</v>
      </c>
      <c r="G42" s="17">
        <v>224</v>
      </c>
      <c r="H42" s="19">
        <v>0.18630895080566406</v>
      </c>
      <c r="I42" s="19">
        <v>0.19094739074707032</v>
      </c>
      <c r="J42" s="18">
        <v>12400</v>
      </c>
      <c r="K42" s="17">
        <v>585</v>
      </c>
      <c r="L42" s="17">
        <v>605</v>
      </c>
      <c r="M42" s="17">
        <v>550</v>
      </c>
      <c r="N42" s="19">
        <v>0.18325734558105469</v>
      </c>
      <c r="O42" s="19">
        <v>0.19460931701660156</v>
      </c>
      <c r="P42" s="14"/>
      <c r="Q42" s="15"/>
      <c r="R42" s="14"/>
      <c r="S42" s="36"/>
      <c r="T42" s="36"/>
      <c r="U42" s="50"/>
      <c r="V42" s="50"/>
      <c r="AA42" s="36"/>
      <c r="AB42" s="14"/>
      <c r="AC42" s="14"/>
      <c r="AD42" s="14"/>
      <c r="AE42" s="17">
        <v>211</v>
      </c>
      <c r="AF42" s="17">
        <v>223</v>
      </c>
      <c r="AG42" s="17">
        <v>218</v>
      </c>
      <c r="AH42" s="19">
        <v>0.18508830871582035</v>
      </c>
      <c r="AI42" s="19">
        <v>0.19058119812011717</v>
      </c>
      <c r="AJ42" s="18">
        <v>12400</v>
      </c>
      <c r="AK42" s="17">
        <v>620</v>
      </c>
      <c r="AL42" s="17">
        <v>635</v>
      </c>
      <c r="AM42" s="17">
        <v>630</v>
      </c>
      <c r="AN42" s="19">
        <v>0.18020574035644535</v>
      </c>
      <c r="AO42" s="19">
        <v>0.18960468444824219</v>
      </c>
      <c r="AP42" s="14"/>
      <c r="AQ42" s="15"/>
      <c r="AR42" s="14"/>
      <c r="AS42" s="36"/>
      <c r="AT42" s="36"/>
      <c r="AU42" s="50"/>
      <c r="AV42" s="50"/>
    </row>
    <row r="43" spans="1:48" ht="17.25" thickBot="1" x14ac:dyDescent="0.3">
      <c r="A43" s="36"/>
      <c r="B43" s="14"/>
      <c r="C43" s="14"/>
      <c r="D43" s="14"/>
      <c r="E43" s="17">
        <v>190</v>
      </c>
      <c r="F43" s="17">
        <v>198</v>
      </c>
      <c r="G43" s="17">
        <v>188</v>
      </c>
      <c r="H43" s="19">
        <v>0.18203670349121095</v>
      </c>
      <c r="I43" s="19">
        <v>0.18582069396972659</v>
      </c>
      <c r="J43" s="18">
        <v>12500</v>
      </c>
      <c r="K43" s="17">
        <v>645</v>
      </c>
      <c r="L43" s="17">
        <v>660</v>
      </c>
      <c r="M43" s="17" t="s">
        <v>1854</v>
      </c>
      <c r="N43" s="19">
        <v>0.17874096984863283</v>
      </c>
      <c r="O43" s="19">
        <v>0.18801784973144534</v>
      </c>
      <c r="P43" s="14"/>
      <c r="Q43" s="15"/>
      <c r="R43" s="14"/>
      <c r="S43" s="36"/>
      <c r="T43" s="36"/>
      <c r="U43" s="50"/>
      <c r="V43" s="50"/>
      <c r="AA43" s="36"/>
      <c r="AB43" s="14"/>
      <c r="AC43" s="14"/>
      <c r="AD43" s="14"/>
      <c r="AE43" s="17">
        <v>177</v>
      </c>
      <c r="AF43" s="17">
        <v>189</v>
      </c>
      <c r="AG43" s="17">
        <v>183</v>
      </c>
      <c r="AH43" s="19">
        <v>0.18276908874511719</v>
      </c>
      <c r="AI43" s="19">
        <v>0.18875023498535159</v>
      </c>
      <c r="AJ43" s="18">
        <v>12500</v>
      </c>
      <c r="AK43" s="17">
        <v>685</v>
      </c>
      <c r="AL43" s="17">
        <v>705</v>
      </c>
      <c r="AM43" s="17" t="s">
        <v>1854</v>
      </c>
      <c r="AN43" s="19">
        <v>0.17727619934082037</v>
      </c>
      <c r="AO43" s="19">
        <v>0.18984881286621094</v>
      </c>
      <c r="AP43" s="14"/>
      <c r="AQ43" s="15"/>
      <c r="AR43" s="14"/>
      <c r="AS43" s="36"/>
      <c r="AT43" s="36"/>
      <c r="AU43" s="50"/>
      <c r="AV43" s="50"/>
    </row>
    <row r="44" spans="1:48" ht="17.25" thickBot="1" x14ac:dyDescent="0.3">
      <c r="A44" s="36"/>
      <c r="B44" s="14"/>
      <c r="C44" s="14"/>
      <c r="D44" s="14"/>
      <c r="E44" s="17">
        <v>156</v>
      </c>
      <c r="F44" s="17">
        <v>168</v>
      </c>
      <c r="G44" s="17">
        <v>161</v>
      </c>
      <c r="H44" s="19">
        <v>0.17861890563964844</v>
      </c>
      <c r="I44" s="19">
        <v>0.18508830871582035</v>
      </c>
      <c r="J44" s="18">
        <v>12600</v>
      </c>
      <c r="K44" s="17">
        <v>715</v>
      </c>
      <c r="L44" s="17">
        <v>730</v>
      </c>
      <c r="M44" s="17" t="s">
        <v>1854</v>
      </c>
      <c r="N44" s="19">
        <v>0.17752032775878909</v>
      </c>
      <c r="O44" s="19">
        <v>0.18728546447753908</v>
      </c>
      <c r="P44" s="14"/>
      <c r="Q44" s="15"/>
      <c r="R44" s="14"/>
      <c r="S44" s="36"/>
      <c r="T44" s="36"/>
      <c r="U44" s="50"/>
      <c r="V44" s="50"/>
      <c r="AA44" s="36"/>
      <c r="AB44" s="14"/>
      <c r="AC44" s="14"/>
      <c r="AD44" s="14"/>
      <c r="AE44" s="17">
        <v>143</v>
      </c>
      <c r="AF44" s="17">
        <v>153</v>
      </c>
      <c r="AG44" s="17">
        <v>149</v>
      </c>
      <c r="AH44" s="19">
        <v>0.17825271301269532</v>
      </c>
      <c r="AI44" s="19">
        <v>0.18350147399902345</v>
      </c>
      <c r="AJ44" s="18">
        <v>12600</v>
      </c>
      <c r="AK44" s="17">
        <v>755</v>
      </c>
      <c r="AL44" s="17">
        <v>775</v>
      </c>
      <c r="AM44" s="17" t="s">
        <v>1854</v>
      </c>
      <c r="AN44" s="19">
        <v>0.17471285095214845</v>
      </c>
      <c r="AO44" s="19">
        <v>0.18826197814941409</v>
      </c>
      <c r="AP44" s="14"/>
      <c r="AQ44" s="15"/>
      <c r="AR44" s="14"/>
      <c r="AS44" s="36"/>
      <c r="AT44" s="36"/>
      <c r="AU44" s="50"/>
      <c r="AV44" s="50"/>
    </row>
    <row r="45" spans="1:48" ht="17.25" thickBot="1" x14ac:dyDescent="0.3">
      <c r="A45" s="36"/>
      <c r="B45" s="14"/>
      <c r="C45" s="14"/>
      <c r="D45" s="14"/>
      <c r="E45" s="17">
        <v>129</v>
      </c>
      <c r="F45" s="17">
        <v>140</v>
      </c>
      <c r="G45" s="17">
        <v>137</v>
      </c>
      <c r="H45" s="19">
        <v>0.17703207092285161</v>
      </c>
      <c r="I45" s="19">
        <v>0.18325734558105469</v>
      </c>
      <c r="J45" s="18">
        <v>12700</v>
      </c>
      <c r="K45" s="17">
        <v>785</v>
      </c>
      <c r="L45" s="17">
        <v>800</v>
      </c>
      <c r="M45" s="17" t="s">
        <v>1854</v>
      </c>
      <c r="N45" s="19">
        <v>0.17398046569824219</v>
      </c>
      <c r="O45" s="19">
        <v>0.18447798767089846</v>
      </c>
      <c r="P45" s="14"/>
      <c r="Q45" s="15"/>
      <c r="R45" s="14"/>
      <c r="S45" s="36"/>
      <c r="T45" s="36"/>
      <c r="U45" s="50"/>
      <c r="V45" s="50"/>
      <c r="AA45" s="36"/>
      <c r="AB45" s="14"/>
      <c r="AC45" s="14"/>
      <c r="AD45" s="14"/>
      <c r="AE45" s="17">
        <v>118</v>
      </c>
      <c r="AF45" s="17">
        <v>127</v>
      </c>
      <c r="AG45" s="17">
        <v>116</v>
      </c>
      <c r="AH45" s="19">
        <v>0.17678794250488286</v>
      </c>
      <c r="AI45" s="19">
        <v>0.18191463928222659</v>
      </c>
      <c r="AJ45" s="18">
        <v>12700</v>
      </c>
      <c r="AK45" s="17">
        <v>820</v>
      </c>
      <c r="AL45" s="17">
        <v>850</v>
      </c>
      <c r="AM45" s="17" t="s">
        <v>1854</v>
      </c>
      <c r="AN45" s="19">
        <v>0.16641248474121093</v>
      </c>
      <c r="AO45" s="19">
        <v>0.18752959289550783</v>
      </c>
      <c r="AP45" s="14"/>
      <c r="AQ45" s="15"/>
      <c r="AR45" s="14"/>
      <c r="AS45" s="36"/>
      <c r="AT45" s="36"/>
      <c r="AU45" s="50"/>
      <c r="AV45" s="50"/>
    </row>
    <row r="46" spans="1:48" ht="17.25" thickBot="1" x14ac:dyDescent="0.3">
      <c r="A46" s="36"/>
      <c r="B46" s="14"/>
      <c r="C46" s="14"/>
      <c r="D46" s="14"/>
      <c r="E46" s="17">
        <v>105</v>
      </c>
      <c r="F46" s="17">
        <v>116</v>
      </c>
      <c r="G46" s="17">
        <v>108</v>
      </c>
      <c r="H46" s="19">
        <v>0.17507904357910159</v>
      </c>
      <c r="I46" s="19">
        <v>0.18191463928222659</v>
      </c>
      <c r="J46" s="18">
        <v>12800</v>
      </c>
      <c r="K46" s="17">
        <v>865</v>
      </c>
      <c r="L46" s="17">
        <v>895</v>
      </c>
      <c r="M46" s="17" t="s">
        <v>1854</v>
      </c>
      <c r="N46" s="19">
        <v>0.17434665832519533</v>
      </c>
      <c r="O46" s="19">
        <v>0.19534170227050782</v>
      </c>
      <c r="P46" s="14"/>
      <c r="Q46" s="15"/>
      <c r="R46" s="14"/>
      <c r="S46" s="36"/>
      <c r="T46" s="36"/>
      <c r="U46" s="50"/>
      <c r="V46" s="50"/>
      <c r="AA46" s="36"/>
      <c r="AB46" s="14"/>
      <c r="AC46" s="14"/>
      <c r="AD46" s="14"/>
      <c r="AE46" s="17">
        <v>97</v>
      </c>
      <c r="AF46" s="17">
        <v>105</v>
      </c>
      <c r="AG46" s="17">
        <v>100</v>
      </c>
      <c r="AH46" s="19">
        <v>0.17568936462402346</v>
      </c>
      <c r="AI46" s="19">
        <v>0.18069399719238285</v>
      </c>
      <c r="AJ46" s="18">
        <v>12800</v>
      </c>
      <c r="AK46" s="17">
        <v>910</v>
      </c>
      <c r="AL46" s="17">
        <v>930</v>
      </c>
      <c r="AM46" s="17" t="s">
        <v>1854</v>
      </c>
      <c r="AN46" s="19">
        <v>0.17227156677246094</v>
      </c>
      <c r="AO46" s="19">
        <v>0.18801784973144534</v>
      </c>
      <c r="AP46" s="14"/>
      <c r="AQ46" s="15"/>
      <c r="AR46" s="14"/>
      <c r="AS46" s="36"/>
      <c r="AT46" s="36"/>
      <c r="AU46" s="50"/>
      <c r="AV46" s="50"/>
    </row>
    <row r="47" spans="1:48" ht="17.25" thickBot="1" x14ac:dyDescent="0.3">
      <c r="A47" s="36"/>
      <c r="B47" s="14"/>
      <c r="C47" s="14"/>
      <c r="D47" s="14"/>
      <c r="J47" s="18"/>
      <c r="K47" s="17"/>
      <c r="L47" s="17"/>
      <c r="M47" s="17"/>
      <c r="N47" s="19"/>
      <c r="O47" s="19"/>
      <c r="P47" s="14"/>
      <c r="Q47" s="15"/>
      <c r="R47" s="14"/>
      <c r="S47" s="36"/>
      <c r="T47" s="36"/>
      <c r="U47" s="50"/>
      <c r="V47" s="50"/>
      <c r="AA47" s="36"/>
      <c r="AB47" s="14"/>
      <c r="AC47" s="14"/>
      <c r="AD47" s="14"/>
      <c r="AJ47" s="18"/>
      <c r="AK47" s="17"/>
      <c r="AL47" s="17"/>
      <c r="AM47" s="17"/>
      <c r="AN47" s="19"/>
      <c r="AO47" s="19"/>
      <c r="AP47" s="14"/>
      <c r="AQ47" s="15"/>
      <c r="AR47" s="14"/>
      <c r="AS47" s="36"/>
      <c r="AT47" s="36"/>
      <c r="AU47" s="50"/>
      <c r="AV47" s="50"/>
    </row>
    <row r="48" spans="1:48" ht="17.25" thickBot="1" x14ac:dyDescent="0.3">
      <c r="A48" s="36"/>
      <c r="B48" s="14"/>
      <c r="C48" s="14"/>
      <c r="D48" s="14"/>
      <c r="J48" s="18"/>
      <c r="K48" s="17"/>
      <c r="L48" s="17"/>
      <c r="M48" s="17"/>
      <c r="N48" s="19"/>
      <c r="O48" s="19"/>
      <c r="P48" s="14"/>
      <c r="Q48" s="15"/>
      <c r="R48" s="14"/>
      <c r="S48" s="36"/>
      <c r="T48" s="36"/>
      <c r="U48" s="50"/>
      <c r="V48" s="50"/>
      <c r="AA48" s="36"/>
      <c r="AB48" s="14"/>
      <c r="AC48" s="14"/>
      <c r="AD48" s="14"/>
      <c r="AJ48" s="18"/>
      <c r="AK48" s="17"/>
      <c r="AL48" s="17"/>
      <c r="AM48" s="17"/>
      <c r="AN48" s="19"/>
      <c r="AO48" s="19"/>
      <c r="AP48" s="14"/>
      <c r="AQ48" s="15"/>
      <c r="AR48" s="14"/>
      <c r="AS48" s="36"/>
      <c r="AT48" s="36"/>
      <c r="AU48" s="50"/>
      <c r="AV48" s="50"/>
    </row>
    <row r="49" spans="1:48" ht="17.25" thickBot="1" x14ac:dyDescent="0.3">
      <c r="A49" s="36"/>
      <c r="B49" s="14"/>
      <c r="C49" s="15"/>
      <c r="D49" s="14"/>
      <c r="J49" s="18"/>
      <c r="P49" s="14"/>
      <c r="Q49" s="15"/>
      <c r="R49" s="14"/>
      <c r="S49" s="36"/>
      <c r="T49" s="36"/>
      <c r="U49" s="50"/>
      <c r="V49" s="50"/>
      <c r="AA49" s="36"/>
      <c r="AB49" s="14"/>
      <c r="AC49" s="15"/>
      <c r="AD49" s="14"/>
      <c r="AJ49" s="18"/>
      <c r="AP49" s="14"/>
      <c r="AQ49" s="15"/>
      <c r="AR49" s="14"/>
      <c r="AS49" s="36"/>
      <c r="AT49" s="36"/>
      <c r="AU49" s="50"/>
      <c r="AV49" s="50"/>
    </row>
    <row r="50" spans="1:48" ht="17.25" thickBot="1" x14ac:dyDescent="0.3">
      <c r="A50" s="36"/>
      <c r="B50" s="14"/>
      <c r="C50" s="15"/>
      <c r="D50" s="14"/>
      <c r="J50" s="18"/>
      <c r="P50" s="14"/>
      <c r="Q50" s="15"/>
      <c r="R50" s="14"/>
      <c r="S50" s="36"/>
      <c r="T50" s="36"/>
      <c r="U50" s="50"/>
      <c r="V50" s="50"/>
      <c r="AA50" s="36"/>
      <c r="AB50" s="14"/>
      <c r="AC50" s="15"/>
      <c r="AD50" s="14"/>
      <c r="AJ50" s="18"/>
      <c r="AP50" s="14"/>
      <c r="AQ50" s="15"/>
      <c r="AR50" s="14"/>
      <c r="AS50" s="36"/>
      <c r="AT50" s="36"/>
      <c r="AU50" s="50"/>
      <c r="AV50" s="50"/>
    </row>
    <row r="51" spans="1:48" ht="17.25" thickBot="1" x14ac:dyDescent="0.3">
      <c r="A51" s="36"/>
      <c r="B51" s="14"/>
      <c r="C51" s="15"/>
      <c r="D51" s="14"/>
      <c r="J51" s="18"/>
      <c r="P51" s="14"/>
      <c r="Q51" s="15"/>
      <c r="R51" s="14"/>
      <c r="S51" s="36"/>
      <c r="T51" s="36"/>
      <c r="U51" s="50"/>
      <c r="V51" s="50"/>
      <c r="AA51" s="36"/>
      <c r="AB51" s="14"/>
      <c r="AC51" s="15"/>
      <c r="AD51" s="14"/>
      <c r="AJ51" s="18"/>
      <c r="AP51" s="14"/>
      <c r="AQ51" s="15"/>
      <c r="AR51" s="14"/>
      <c r="AS51" s="36"/>
      <c r="AT51" s="36"/>
      <c r="AU51" s="50"/>
      <c r="AV51" s="50"/>
    </row>
    <row r="52" spans="1:48" ht="17.25" thickBot="1" x14ac:dyDescent="0.3">
      <c r="A52" s="36"/>
      <c r="B52" s="14"/>
      <c r="C52" s="15"/>
      <c r="D52" s="14"/>
      <c r="J52" s="18"/>
      <c r="P52" s="14"/>
      <c r="Q52" s="15"/>
      <c r="R52" s="14"/>
      <c r="S52" s="36"/>
      <c r="T52" s="36"/>
      <c r="U52" s="50"/>
      <c r="V52" s="50"/>
      <c r="AA52" s="36"/>
      <c r="AB52" s="14"/>
      <c r="AC52" s="15"/>
      <c r="AD52" s="14"/>
      <c r="AJ52" s="18"/>
      <c r="AP52" s="14"/>
      <c r="AQ52" s="15"/>
      <c r="AR52" s="14"/>
      <c r="AS52" s="36"/>
      <c r="AT52" s="36"/>
      <c r="AU52" s="50"/>
      <c r="AV52" s="50"/>
    </row>
    <row r="53" spans="1:48" ht="17.25" thickBot="1" x14ac:dyDescent="0.3">
      <c r="A53" s="36"/>
      <c r="B53" s="14"/>
      <c r="C53" s="15"/>
      <c r="D53" s="14"/>
      <c r="P53" s="14"/>
      <c r="Q53" s="15"/>
      <c r="R53" s="14"/>
      <c r="S53" s="36"/>
      <c r="T53" s="36"/>
      <c r="U53" s="50"/>
      <c r="V53" s="50"/>
      <c r="AA53" s="36"/>
      <c r="AB53" s="14"/>
      <c r="AC53" s="15"/>
      <c r="AD53" s="14"/>
      <c r="AP53" s="14"/>
      <c r="AQ53" s="15"/>
      <c r="AR53" s="14"/>
      <c r="AS53" s="36"/>
      <c r="AT53" s="36"/>
      <c r="AU53" s="50"/>
      <c r="AV53" s="50"/>
    </row>
    <row r="54" spans="1:48" ht="17.25" thickBot="1" x14ac:dyDescent="0.3">
      <c r="A54" s="36"/>
      <c r="B54" s="14"/>
      <c r="C54" s="15"/>
      <c r="D54" s="14"/>
      <c r="P54" s="14"/>
      <c r="Q54" s="15"/>
      <c r="R54" s="14"/>
      <c r="S54" s="36"/>
      <c r="T54" s="36"/>
      <c r="U54" s="50"/>
      <c r="V54" s="50"/>
      <c r="AA54" s="36"/>
      <c r="AB54" s="14"/>
      <c r="AC54" s="15"/>
      <c r="AD54" s="14"/>
      <c r="AP54" s="14"/>
      <c r="AQ54" s="15"/>
      <c r="AR54" s="14"/>
      <c r="AS54" s="36"/>
      <c r="AT54" s="36"/>
      <c r="AU54" s="50"/>
      <c r="AV54" s="50"/>
    </row>
    <row r="55" spans="1:48" ht="17.25" thickBot="1" x14ac:dyDescent="0.3">
      <c r="A55" s="36"/>
      <c r="B55" s="14"/>
      <c r="C55" s="15"/>
      <c r="D55" s="14"/>
      <c r="P55" s="14"/>
      <c r="Q55" s="15"/>
      <c r="R55" s="14"/>
      <c r="S55" s="36"/>
      <c r="T55" s="36"/>
      <c r="U55" s="50"/>
      <c r="V55" s="50"/>
      <c r="AA55" s="36"/>
      <c r="AB55" s="14"/>
      <c r="AC55" s="15"/>
      <c r="AD55" s="14"/>
      <c r="AP55" s="14"/>
      <c r="AQ55" s="15"/>
      <c r="AR55" s="14"/>
      <c r="AS55" s="36"/>
      <c r="AT55" s="36"/>
      <c r="AU55" s="50"/>
      <c r="AV55" s="50"/>
    </row>
    <row r="56" spans="1:48" ht="17.25" thickBot="1" x14ac:dyDescent="0.3">
      <c r="A56" s="36"/>
      <c r="B56" s="14"/>
      <c r="C56" s="15"/>
      <c r="D56" s="14"/>
      <c r="P56" s="14"/>
      <c r="Q56" s="15"/>
      <c r="R56" s="14"/>
      <c r="S56" s="36"/>
      <c r="T56" s="36"/>
      <c r="U56" s="50"/>
      <c r="V56" s="50"/>
      <c r="AA56" s="36"/>
      <c r="AB56" s="14"/>
      <c r="AC56" s="15"/>
      <c r="AD56" s="14"/>
      <c r="AP56" s="14"/>
      <c r="AQ56" s="15"/>
      <c r="AR56" s="14"/>
      <c r="AS56" s="36"/>
      <c r="AT56" s="36"/>
      <c r="AU56" s="50"/>
      <c r="AV56" s="50"/>
    </row>
    <row r="57" spans="1:48" ht="17.25" thickBot="1" x14ac:dyDescent="0.3">
      <c r="A57" s="36"/>
      <c r="B57" s="14"/>
      <c r="C57" s="15"/>
      <c r="D57" s="14"/>
      <c r="P57" s="14"/>
      <c r="Q57" s="15"/>
      <c r="R57" s="14"/>
      <c r="S57" s="36"/>
      <c r="T57" s="36"/>
      <c r="U57" s="50"/>
      <c r="V57" s="50"/>
      <c r="AA57" s="36"/>
      <c r="AB57" s="14"/>
      <c r="AC57" s="15"/>
      <c r="AD57" s="14"/>
      <c r="AP57" s="14"/>
      <c r="AQ57" s="15"/>
      <c r="AR57" s="14"/>
      <c r="AS57" s="36"/>
      <c r="AT57" s="36"/>
      <c r="AU57" s="50"/>
      <c r="AV57" s="50"/>
    </row>
    <row r="58" spans="1:48" ht="17.25" thickBot="1" x14ac:dyDescent="0.3">
      <c r="A58" s="36"/>
      <c r="B58" s="14"/>
      <c r="C58" s="15"/>
      <c r="D58" s="14"/>
      <c r="P58" s="14"/>
      <c r="Q58" s="15"/>
      <c r="R58" s="14"/>
      <c r="S58" s="36"/>
      <c r="T58" s="36"/>
      <c r="U58" s="50"/>
      <c r="V58" s="50"/>
      <c r="AA58" s="36"/>
      <c r="AB58" s="14"/>
      <c r="AC58" s="15"/>
      <c r="AD58" s="14"/>
      <c r="AP58" s="14"/>
      <c r="AQ58" s="15"/>
      <c r="AR58" s="14"/>
      <c r="AS58" s="36"/>
      <c r="AT58" s="36"/>
      <c r="AU58" s="50"/>
      <c r="AV58" s="50"/>
    </row>
    <row r="59" spans="1:48" ht="17.25" thickBot="1" x14ac:dyDescent="0.3">
      <c r="A59" s="36"/>
      <c r="B59" s="14"/>
      <c r="C59" s="15"/>
      <c r="D59" s="14"/>
      <c r="P59" s="14"/>
      <c r="Q59" s="15"/>
      <c r="R59" s="14"/>
      <c r="S59" s="36"/>
      <c r="T59" s="36"/>
      <c r="U59" s="50"/>
      <c r="V59" s="50"/>
      <c r="AA59" s="36"/>
      <c r="AB59" s="14"/>
      <c r="AC59" s="15"/>
      <c r="AD59" s="14"/>
      <c r="AP59" s="14"/>
      <c r="AQ59" s="15"/>
      <c r="AR59" s="14"/>
      <c r="AS59" s="36"/>
      <c r="AT59" s="36"/>
      <c r="AU59" s="50"/>
      <c r="AV59" s="50"/>
    </row>
    <row r="60" spans="1:48" ht="17.25" thickBot="1" x14ac:dyDescent="0.3">
      <c r="A60" s="36"/>
      <c r="B60" s="14"/>
      <c r="C60" s="15"/>
      <c r="D60" s="14"/>
      <c r="P60" s="14"/>
      <c r="Q60" s="15"/>
      <c r="R60" s="14"/>
      <c r="S60" s="36"/>
      <c r="T60" s="36"/>
      <c r="U60" s="50"/>
      <c r="V60" s="50"/>
      <c r="AA60" s="36"/>
      <c r="AB60" s="14"/>
      <c r="AC60" s="15"/>
      <c r="AD60" s="14"/>
      <c r="AP60" s="14"/>
      <c r="AQ60" s="15"/>
      <c r="AR60" s="14"/>
      <c r="AS60" s="36"/>
      <c r="AT60" s="36"/>
      <c r="AU60" s="50"/>
      <c r="AV60" s="50"/>
    </row>
    <row r="61" spans="1:48" ht="17.25" thickBot="1" x14ac:dyDescent="0.3">
      <c r="A61" s="36"/>
      <c r="B61" s="14"/>
      <c r="C61" s="15"/>
      <c r="D61" s="14"/>
      <c r="P61" s="14"/>
      <c r="Q61" s="15"/>
      <c r="R61" s="14"/>
      <c r="S61" s="36"/>
      <c r="T61" s="36"/>
      <c r="U61" s="50"/>
      <c r="V61" s="50"/>
      <c r="AA61" s="36"/>
      <c r="AB61" s="14"/>
      <c r="AC61" s="15"/>
      <c r="AD61" s="14"/>
      <c r="AP61" s="14"/>
      <c r="AQ61" s="15"/>
      <c r="AR61" s="14"/>
      <c r="AS61" s="36"/>
      <c r="AT61" s="36"/>
      <c r="AU61" s="50"/>
      <c r="AV61" s="50"/>
    </row>
    <row r="62" spans="1:48" ht="17.25" thickBot="1" x14ac:dyDescent="0.3">
      <c r="A62" s="36"/>
      <c r="B62" s="14"/>
      <c r="C62" s="15"/>
      <c r="D62" s="14"/>
      <c r="P62" s="14"/>
      <c r="Q62" s="15"/>
      <c r="R62" s="14"/>
      <c r="S62" s="36"/>
      <c r="T62" s="36"/>
      <c r="U62" s="50"/>
      <c r="V62" s="50"/>
      <c r="AA62" s="36"/>
      <c r="AB62" s="14"/>
      <c r="AC62" s="15"/>
      <c r="AD62" s="14"/>
      <c r="AP62" s="14"/>
      <c r="AQ62" s="15"/>
      <c r="AR62" s="14"/>
      <c r="AS62" s="36"/>
      <c r="AT62" s="36"/>
      <c r="AU62" s="50"/>
      <c r="AV62" s="50"/>
    </row>
    <row r="63" spans="1:48" ht="17.25" thickBot="1" x14ac:dyDescent="0.3">
      <c r="A63" s="36"/>
      <c r="B63" s="14"/>
      <c r="C63" s="15"/>
      <c r="D63" s="14"/>
      <c r="P63" s="14"/>
      <c r="Q63" s="15"/>
      <c r="R63" s="14"/>
      <c r="S63" s="36"/>
      <c r="T63" s="36"/>
      <c r="U63" s="50"/>
      <c r="V63" s="50"/>
      <c r="AA63" s="36"/>
      <c r="AB63" s="14"/>
      <c r="AC63" s="15"/>
      <c r="AD63" s="14"/>
      <c r="AP63" s="14"/>
      <c r="AQ63" s="15"/>
      <c r="AR63" s="14"/>
      <c r="AS63" s="36"/>
      <c r="AT63" s="36"/>
      <c r="AU63" s="50"/>
      <c r="AV63" s="50"/>
    </row>
    <row r="64" spans="1:48" ht="17.25" thickBot="1" x14ac:dyDescent="0.3">
      <c r="A64" s="36"/>
      <c r="B64" s="14"/>
      <c r="C64" s="15"/>
      <c r="D64" s="14"/>
      <c r="P64" s="14"/>
      <c r="Q64" s="15"/>
      <c r="R64" s="14"/>
      <c r="S64" s="36"/>
      <c r="T64" s="36"/>
      <c r="U64" s="50"/>
      <c r="V64" s="50"/>
      <c r="AA64" s="36"/>
      <c r="AB64" s="14"/>
      <c r="AC64" s="15"/>
      <c r="AD64" s="14"/>
      <c r="AP64" s="14"/>
      <c r="AQ64" s="15"/>
      <c r="AR64" s="14"/>
      <c r="AS64" s="36"/>
      <c r="AT64" s="36"/>
      <c r="AU64" s="50"/>
      <c r="AV64" s="50"/>
    </row>
    <row r="65" spans="1:48" ht="17.25" thickBot="1" x14ac:dyDescent="0.3">
      <c r="A65" s="36"/>
      <c r="B65" s="14"/>
      <c r="C65" s="15"/>
      <c r="D65" s="14"/>
      <c r="P65" s="14"/>
      <c r="Q65" s="15"/>
      <c r="R65" s="14"/>
      <c r="S65" s="36"/>
      <c r="T65" s="36"/>
      <c r="U65" s="50"/>
      <c r="V65" s="50"/>
      <c r="AA65" s="36"/>
      <c r="AB65" s="14"/>
      <c r="AC65" s="15"/>
      <c r="AD65" s="14"/>
      <c r="AP65" s="14"/>
      <c r="AQ65" s="15"/>
      <c r="AR65" s="14"/>
      <c r="AS65" s="36"/>
      <c r="AT65" s="36"/>
      <c r="AU65" s="50"/>
      <c r="AV65" s="50"/>
    </row>
    <row r="66" spans="1:48" ht="17.25" thickBot="1" x14ac:dyDescent="0.3">
      <c r="A66" s="36"/>
      <c r="B66" s="14"/>
      <c r="C66" s="15"/>
      <c r="D66" s="14"/>
      <c r="P66" s="14"/>
      <c r="Q66" s="15"/>
      <c r="R66" s="14"/>
      <c r="S66" s="36"/>
      <c r="T66" s="36"/>
      <c r="U66" s="50"/>
      <c r="V66" s="50"/>
      <c r="AA66" s="36"/>
      <c r="AB66" s="14"/>
      <c r="AC66" s="15"/>
      <c r="AD66" s="14"/>
      <c r="AP66" s="14"/>
      <c r="AQ66" s="15"/>
      <c r="AR66" s="14"/>
      <c r="AS66" s="36"/>
      <c r="AT66" s="36"/>
      <c r="AU66" s="50"/>
      <c r="AV66" s="50"/>
    </row>
    <row r="67" spans="1:48" ht="17.25" thickBot="1" x14ac:dyDescent="0.3">
      <c r="A67" s="36"/>
      <c r="B67" s="14"/>
      <c r="C67" s="15"/>
      <c r="D67" s="14"/>
      <c r="P67" s="14"/>
      <c r="Q67" s="15"/>
      <c r="R67" s="14"/>
      <c r="S67" s="36"/>
      <c r="T67" s="36"/>
      <c r="U67" s="50"/>
      <c r="V67" s="50"/>
      <c r="AA67" s="36"/>
      <c r="AB67" s="14"/>
      <c r="AC67" s="15"/>
      <c r="AD67" s="14"/>
      <c r="AP67" s="14"/>
      <c r="AQ67" s="15"/>
      <c r="AR67" s="14"/>
      <c r="AS67" s="36"/>
      <c r="AT67" s="36"/>
      <c r="AU67" s="50"/>
      <c r="AV67" s="50"/>
    </row>
    <row r="68" spans="1:48" ht="17.25" thickBot="1" x14ac:dyDescent="0.3">
      <c r="A68" s="36"/>
      <c r="B68" s="14"/>
      <c r="C68" s="15"/>
      <c r="D68" s="14"/>
      <c r="P68" s="14"/>
      <c r="Q68" s="15"/>
      <c r="R68" s="14"/>
      <c r="S68" s="36"/>
      <c r="T68" s="36"/>
      <c r="U68" s="50"/>
      <c r="V68" s="50"/>
      <c r="AA68" s="36"/>
      <c r="AB68" s="14"/>
      <c r="AC68" s="15"/>
      <c r="AD68" s="14"/>
      <c r="AP68" s="14"/>
      <c r="AQ68" s="15"/>
      <c r="AR68" s="14"/>
      <c r="AS68" s="36"/>
      <c r="AT68" s="36"/>
      <c r="AU68" s="50"/>
      <c r="AV68" s="50"/>
    </row>
    <row r="69" spans="1:48" ht="17.25" thickBot="1" x14ac:dyDescent="0.3">
      <c r="A69" s="36"/>
      <c r="B69" s="14"/>
      <c r="C69" s="15"/>
      <c r="D69" s="14"/>
      <c r="P69" s="14"/>
      <c r="Q69" s="15"/>
      <c r="R69" s="14"/>
      <c r="S69" s="36"/>
      <c r="T69" s="36"/>
      <c r="U69" s="50"/>
      <c r="V69" s="50"/>
      <c r="AA69" s="36"/>
      <c r="AB69" s="14"/>
      <c r="AC69" s="15"/>
      <c r="AD69" s="14"/>
      <c r="AP69" s="14"/>
      <c r="AQ69" s="15"/>
      <c r="AR69" s="14"/>
      <c r="AS69" s="36"/>
      <c r="AT69" s="36"/>
      <c r="AU69" s="50"/>
      <c r="AV69" s="50"/>
    </row>
    <row r="70" spans="1:48" ht="17.25" thickBot="1" x14ac:dyDescent="0.3">
      <c r="A70" s="36"/>
      <c r="B70" s="14"/>
      <c r="C70" s="15"/>
      <c r="D70" s="14"/>
      <c r="P70" s="14"/>
      <c r="Q70" s="15"/>
      <c r="R70" s="14"/>
      <c r="S70" s="36"/>
      <c r="T70" s="36"/>
      <c r="U70" s="50"/>
      <c r="V70" s="50"/>
      <c r="AA70" s="36"/>
      <c r="AB70" s="14"/>
      <c r="AC70" s="15"/>
      <c r="AD70" s="14"/>
      <c r="AP70" s="14"/>
      <c r="AQ70" s="15"/>
      <c r="AR70" s="14"/>
      <c r="AS70" s="36"/>
      <c r="AT70" s="36"/>
      <c r="AU70" s="50"/>
      <c r="AV70" s="50"/>
    </row>
    <row r="71" spans="1:48" ht="17.25" thickBot="1" x14ac:dyDescent="0.3">
      <c r="A71" s="36"/>
      <c r="B71" s="14"/>
      <c r="C71" s="15"/>
      <c r="D71" s="14"/>
      <c r="P71" s="14"/>
      <c r="Q71" s="15"/>
      <c r="R71" s="14"/>
      <c r="S71" s="36"/>
      <c r="T71" s="36"/>
      <c r="U71" s="50"/>
      <c r="V71" s="50"/>
      <c r="AA71" s="36"/>
      <c r="AB71" s="14"/>
      <c r="AC71" s="15"/>
      <c r="AD71" s="14"/>
      <c r="AP71" s="14"/>
      <c r="AQ71" s="15"/>
      <c r="AR71" s="14"/>
      <c r="AS71" s="36"/>
      <c r="AT71" s="36"/>
      <c r="AU71" s="50"/>
      <c r="AV71" s="50"/>
    </row>
    <row r="72" spans="1:48" ht="17.25" thickBot="1" x14ac:dyDescent="0.3">
      <c r="A72" s="36"/>
      <c r="B72" s="14"/>
      <c r="C72" s="15"/>
      <c r="D72" s="14"/>
      <c r="P72" s="14"/>
      <c r="Q72" s="15"/>
      <c r="R72" s="14"/>
      <c r="S72" s="36"/>
      <c r="T72" s="36"/>
      <c r="U72" s="50"/>
      <c r="V72" s="50"/>
      <c r="AA72" s="36"/>
      <c r="AB72" s="14"/>
      <c r="AC72" s="15"/>
      <c r="AD72" s="14"/>
      <c r="AP72" s="14"/>
      <c r="AQ72" s="15"/>
      <c r="AR72" s="14"/>
      <c r="AS72" s="36"/>
      <c r="AT72" s="36"/>
      <c r="AU72" s="50"/>
      <c r="AV72" s="50"/>
    </row>
    <row r="73" spans="1:48" ht="17.25" thickBot="1" x14ac:dyDescent="0.3">
      <c r="A73" s="36"/>
      <c r="B73" s="14"/>
      <c r="C73" s="15"/>
      <c r="D73" s="14"/>
      <c r="P73" s="14"/>
      <c r="Q73" s="15"/>
      <c r="R73" s="14"/>
      <c r="S73" s="36"/>
      <c r="T73" s="36"/>
      <c r="U73" s="50"/>
      <c r="V73" s="50"/>
      <c r="AA73" s="36"/>
      <c r="AB73" s="14"/>
      <c r="AC73" s="15"/>
      <c r="AD73" s="14"/>
      <c r="AP73" s="14"/>
      <c r="AQ73" s="15"/>
      <c r="AR73" s="14"/>
      <c r="AS73" s="36"/>
      <c r="AT73" s="36"/>
      <c r="AU73" s="50"/>
      <c r="AV73" s="50"/>
    </row>
    <row r="74" spans="1:48" ht="17.25" thickBot="1" x14ac:dyDescent="0.3">
      <c r="A74" s="36"/>
      <c r="B74" s="14"/>
      <c r="C74" s="15"/>
      <c r="D74" s="14"/>
      <c r="P74" s="14"/>
      <c r="Q74" s="15"/>
      <c r="R74" s="14"/>
      <c r="S74" s="36"/>
      <c r="T74" s="36"/>
      <c r="U74" s="50"/>
      <c r="V74" s="50"/>
      <c r="AA74" s="36"/>
      <c r="AB74" s="14"/>
      <c r="AC74" s="15"/>
      <c r="AD74" s="14"/>
      <c r="AP74" s="14"/>
      <c r="AQ74" s="15"/>
      <c r="AR74" s="14"/>
      <c r="AS74" s="36"/>
      <c r="AT74" s="36"/>
      <c r="AU74" s="50"/>
      <c r="AV74" s="50"/>
    </row>
    <row r="75" spans="1:48" ht="17.25" thickBot="1" x14ac:dyDescent="0.3">
      <c r="A75" s="36"/>
      <c r="B75" s="14"/>
      <c r="C75" s="15"/>
      <c r="D75" s="14"/>
      <c r="P75" s="14"/>
      <c r="Q75" s="15"/>
      <c r="R75" s="14"/>
      <c r="S75" s="36"/>
      <c r="T75" s="36"/>
      <c r="U75" s="50"/>
      <c r="V75" s="50"/>
      <c r="AA75" s="36"/>
      <c r="AB75" s="14"/>
      <c r="AC75" s="15"/>
      <c r="AD75" s="14"/>
      <c r="AP75" s="14"/>
      <c r="AQ75" s="15"/>
      <c r="AR75" s="14"/>
      <c r="AS75" s="36"/>
      <c r="AT75" s="36"/>
      <c r="AU75" s="50"/>
      <c r="AV75" s="50"/>
    </row>
    <row r="76" spans="1:48" ht="17.25" thickBot="1" x14ac:dyDescent="0.3">
      <c r="A76" s="36"/>
      <c r="B76" s="14"/>
      <c r="C76" s="15"/>
      <c r="D76" s="14"/>
      <c r="P76" s="14"/>
      <c r="Q76" s="15"/>
      <c r="R76" s="14"/>
      <c r="S76" s="36"/>
      <c r="T76" s="36"/>
      <c r="U76" s="50"/>
      <c r="V76" s="50"/>
      <c r="AA76" s="36"/>
      <c r="AB76" s="14"/>
      <c r="AC76" s="15"/>
      <c r="AD76" s="14"/>
      <c r="AP76" s="14"/>
      <c r="AQ76" s="15"/>
      <c r="AR76" s="14"/>
      <c r="AS76" s="36"/>
      <c r="AT76" s="36"/>
      <c r="AU76" s="50"/>
      <c r="AV76" s="50"/>
    </row>
    <row r="77" spans="1:48" ht="17.25" thickBot="1" x14ac:dyDescent="0.3">
      <c r="A77" s="36"/>
      <c r="B77" s="14"/>
      <c r="C77" s="15"/>
      <c r="D77" s="14"/>
      <c r="P77" s="14"/>
      <c r="Q77" s="15"/>
      <c r="R77" s="14"/>
      <c r="S77" s="36"/>
      <c r="T77" s="36"/>
      <c r="U77" s="50"/>
      <c r="V77" s="50"/>
      <c r="AA77" s="36"/>
      <c r="AB77" s="14"/>
      <c r="AC77" s="15"/>
      <c r="AD77" s="14"/>
      <c r="AP77" s="14"/>
      <c r="AQ77" s="15"/>
      <c r="AR77" s="14"/>
      <c r="AS77" s="36"/>
      <c r="AT77" s="36"/>
      <c r="AU77" s="50"/>
      <c r="AV77" s="50"/>
    </row>
    <row r="78" spans="1:48" ht="17.25" thickBot="1" x14ac:dyDescent="0.3">
      <c r="A78" s="36"/>
      <c r="B78" s="14"/>
      <c r="C78" s="15"/>
      <c r="D78" s="14"/>
      <c r="P78" s="14"/>
      <c r="Q78" s="15"/>
      <c r="R78" s="14"/>
      <c r="S78" s="36"/>
      <c r="T78" s="36"/>
      <c r="U78" s="50"/>
      <c r="V78" s="50"/>
      <c r="AA78" s="36"/>
      <c r="AB78" s="14"/>
      <c r="AC78" s="15"/>
      <c r="AD78" s="14"/>
      <c r="AP78" s="14"/>
      <c r="AQ78" s="15"/>
      <c r="AR78" s="14"/>
      <c r="AS78" s="36"/>
      <c r="AT78" s="36"/>
      <c r="AU78" s="50"/>
      <c r="AV78" s="50"/>
    </row>
    <row r="79" spans="1:48" ht="17.25" thickBot="1" x14ac:dyDescent="0.3">
      <c r="A79" s="36"/>
      <c r="B79" s="14"/>
      <c r="C79" s="15"/>
      <c r="D79" s="14"/>
      <c r="P79" s="14"/>
      <c r="Q79" s="15"/>
      <c r="R79" s="14"/>
      <c r="S79" s="36"/>
      <c r="T79" s="36"/>
      <c r="U79" s="50"/>
      <c r="V79" s="50"/>
      <c r="AA79" s="36"/>
      <c r="AB79" s="14"/>
      <c r="AC79" s="15"/>
      <c r="AD79" s="14"/>
      <c r="AP79" s="14"/>
      <c r="AQ79" s="15"/>
      <c r="AR79" s="14"/>
      <c r="AS79" s="36"/>
      <c r="AT79" s="36"/>
      <c r="AU79" s="50"/>
      <c r="AV79" s="50"/>
    </row>
    <row r="80" spans="1:48" ht="17.25" thickBot="1" x14ac:dyDescent="0.3">
      <c r="A80" s="36"/>
      <c r="B80" s="14"/>
      <c r="C80" s="15"/>
      <c r="D80" s="14"/>
      <c r="P80" s="14"/>
      <c r="Q80" s="15"/>
      <c r="R80" s="14"/>
      <c r="S80" s="36"/>
      <c r="T80" s="36"/>
      <c r="U80" s="50"/>
      <c r="V80" s="50"/>
      <c r="AA80" s="36"/>
      <c r="AB80" s="14"/>
      <c r="AC80" s="15"/>
      <c r="AD80" s="14"/>
      <c r="AP80" s="14"/>
      <c r="AQ80" s="15"/>
      <c r="AR80" s="14"/>
      <c r="AS80" s="36"/>
      <c r="AT80" s="36"/>
      <c r="AU80" s="50"/>
      <c r="AV80" s="50"/>
    </row>
    <row r="81" spans="1:48" ht="17.25" thickBot="1" x14ac:dyDescent="0.3">
      <c r="A81" s="36"/>
      <c r="B81" s="14"/>
      <c r="C81" s="15"/>
      <c r="D81" s="14"/>
      <c r="P81" s="14"/>
      <c r="Q81" s="15"/>
      <c r="R81" s="14"/>
      <c r="S81" s="36"/>
      <c r="T81" s="36"/>
      <c r="U81" s="50"/>
      <c r="V81" s="50"/>
      <c r="AA81" s="36"/>
      <c r="AB81" s="14"/>
      <c r="AC81" s="15"/>
      <c r="AD81" s="14"/>
      <c r="AP81" s="14"/>
      <c r="AQ81" s="15"/>
      <c r="AR81" s="14"/>
      <c r="AS81" s="36"/>
      <c r="AT81" s="36"/>
      <c r="AU81" s="50"/>
      <c r="AV81" s="50"/>
    </row>
    <row r="82" spans="1:48" ht="17.25" thickBot="1" x14ac:dyDescent="0.3">
      <c r="A82" s="36"/>
      <c r="B82" s="14"/>
      <c r="C82" s="15"/>
      <c r="D82" s="14"/>
      <c r="P82" s="14"/>
      <c r="Q82" s="15"/>
      <c r="R82" s="14"/>
      <c r="S82" s="36"/>
      <c r="T82" s="36"/>
      <c r="U82" s="50"/>
      <c r="V82" s="50"/>
      <c r="AA82" s="36"/>
      <c r="AB82" s="14"/>
      <c r="AC82" s="15"/>
      <c r="AD82" s="14"/>
      <c r="AP82" s="14"/>
      <c r="AQ82" s="15"/>
      <c r="AR82" s="14"/>
      <c r="AS82" s="36"/>
      <c r="AT82" s="36"/>
      <c r="AU82" s="50"/>
      <c r="AV82" s="50"/>
    </row>
    <row r="83" spans="1:48" ht="17.25" thickBot="1" x14ac:dyDescent="0.3">
      <c r="A83" s="36"/>
      <c r="B83" s="14"/>
      <c r="C83" s="15"/>
      <c r="D83" s="14"/>
      <c r="P83" s="14"/>
      <c r="Q83" s="15"/>
      <c r="R83" s="14"/>
      <c r="S83" s="36"/>
      <c r="T83" s="36"/>
      <c r="U83" s="50"/>
      <c r="V83" s="50"/>
      <c r="AA83" s="36"/>
      <c r="AB83" s="14"/>
      <c r="AC83" s="15"/>
      <c r="AD83" s="14"/>
      <c r="AP83" s="14"/>
      <c r="AQ83" s="15"/>
      <c r="AR83" s="14"/>
      <c r="AS83" s="36"/>
      <c r="AT83" s="36"/>
      <c r="AU83" s="50"/>
      <c r="AV83" s="50"/>
    </row>
    <row r="84" spans="1:48" ht="17.25" thickBot="1" x14ac:dyDescent="0.3">
      <c r="A84" s="36"/>
      <c r="B84" s="14"/>
      <c r="C84" s="15"/>
      <c r="D84" s="14"/>
      <c r="P84" s="14"/>
      <c r="Q84" s="15"/>
      <c r="R84" s="14"/>
      <c r="S84" s="36"/>
      <c r="T84" s="36"/>
      <c r="U84" s="50"/>
      <c r="V84" s="50"/>
      <c r="AA84" s="36"/>
      <c r="AB84" s="14"/>
      <c r="AC84" s="15"/>
      <c r="AD84" s="14"/>
      <c r="AP84" s="14"/>
      <c r="AQ84" s="15"/>
      <c r="AR84" s="14"/>
      <c r="AS84" s="36"/>
      <c r="AT84" s="36"/>
      <c r="AU84" s="50"/>
      <c r="AV84" s="50"/>
    </row>
    <row r="85" spans="1:48" ht="17.25" thickBot="1" x14ac:dyDescent="0.3">
      <c r="A85" s="36"/>
      <c r="B85" s="14"/>
      <c r="C85" s="15"/>
      <c r="D85" s="14"/>
      <c r="P85" s="14"/>
      <c r="Q85" s="15"/>
      <c r="R85" s="14"/>
      <c r="S85" s="36"/>
      <c r="T85" s="36"/>
      <c r="U85" s="50"/>
      <c r="V85" s="50"/>
      <c r="AA85" s="36"/>
      <c r="AB85" s="14"/>
      <c r="AC85" s="15"/>
      <c r="AD85" s="14"/>
      <c r="AP85" s="14"/>
      <c r="AQ85" s="15"/>
      <c r="AR85" s="14"/>
      <c r="AS85" s="36"/>
      <c r="AT85" s="36"/>
      <c r="AU85" s="50"/>
      <c r="AV85" s="50"/>
    </row>
    <row r="86" spans="1:48" ht="17.25" thickBot="1" x14ac:dyDescent="0.3">
      <c r="A86" s="36"/>
      <c r="B86" s="14"/>
      <c r="C86" s="15"/>
      <c r="D86" s="14"/>
      <c r="P86" s="14"/>
      <c r="Q86" s="15"/>
      <c r="R86" s="14"/>
      <c r="S86" s="36"/>
      <c r="T86" s="36"/>
      <c r="U86" s="50"/>
      <c r="V86" s="50"/>
      <c r="AA86" s="36"/>
      <c r="AB86" s="14"/>
      <c r="AC86" s="15"/>
      <c r="AD86" s="14"/>
      <c r="AP86" s="14"/>
      <c r="AQ86" s="15"/>
      <c r="AR86" s="14"/>
      <c r="AS86" s="36"/>
      <c r="AT86" s="36"/>
      <c r="AU86" s="50"/>
      <c r="AV86" s="50"/>
    </row>
    <row r="87" spans="1:48" ht="17.25" thickBot="1" x14ac:dyDescent="0.3">
      <c r="A87" s="36"/>
      <c r="B87" s="14"/>
      <c r="C87" s="15"/>
      <c r="D87" s="14"/>
      <c r="P87" s="14"/>
      <c r="Q87" s="15"/>
      <c r="R87" s="14"/>
      <c r="S87" s="36"/>
      <c r="T87" s="36"/>
      <c r="U87" s="50"/>
      <c r="V87" s="50"/>
      <c r="AA87" s="36"/>
      <c r="AB87" s="14"/>
      <c r="AC87" s="15"/>
      <c r="AD87" s="14"/>
      <c r="AP87" s="14"/>
      <c r="AQ87" s="15"/>
      <c r="AR87" s="14"/>
      <c r="AS87" s="36"/>
      <c r="AT87" s="36"/>
      <c r="AU87" s="50"/>
      <c r="AV87" s="50"/>
    </row>
    <row r="88" spans="1:48" ht="17.25" thickBot="1" x14ac:dyDescent="0.3">
      <c r="A88" s="36"/>
      <c r="B88" s="14"/>
      <c r="C88" s="15"/>
      <c r="D88" s="14"/>
      <c r="P88" s="14"/>
      <c r="Q88" s="15"/>
      <c r="R88" s="14"/>
      <c r="S88" s="36"/>
      <c r="T88" s="36"/>
      <c r="U88" s="50"/>
      <c r="V88" s="50"/>
      <c r="AA88" s="36"/>
      <c r="AB88" s="14"/>
      <c r="AC88" s="15"/>
      <c r="AD88" s="14"/>
      <c r="AP88" s="14"/>
      <c r="AQ88" s="15"/>
      <c r="AR88" s="14"/>
      <c r="AS88" s="36"/>
      <c r="AT88" s="36"/>
      <c r="AU88" s="50"/>
      <c r="AV88" s="50"/>
    </row>
    <row r="89" spans="1:48" ht="17.25" thickBot="1" x14ac:dyDescent="0.3">
      <c r="A89" s="36"/>
      <c r="B89" s="14"/>
      <c r="C89" s="15"/>
      <c r="D89" s="14"/>
      <c r="P89" s="14"/>
      <c r="Q89" s="15"/>
      <c r="R89" s="14"/>
      <c r="S89" s="36"/>
      <c r="T89" s="36"/>
      <c r="U89" s="50"/>
      <c r="V89" s="50"/>
      <c r="AA89" s="36"/>
      <c r="AB89" s="14"/>
      <c r="AC89" s="15"/>
      <c r="AD89" s="14"/>
      <c r="AP89" s="14"/>
      <c r="AQ89" s="15"/>
      <c r="AR89" s="14"/>
      <c r="AS89" s="36"/>
      <c r="AT89" s="36"/>
      <c r="AU89" s="50"/>
      <c r="AV89" s="50"/>
    </row>
    <row r="90" spans="1:48" ht="17.25" thickBot="1" x14ac:dyDescent="0.3">
      <c r="A90" s="36"/>
      <c r="B90" s="14"/>
      <c r="C90" s="15"/>
      <c r="D90" s="14"/>
      <c r="P90" s="14"/>
      <c r="Q90" s="15"/>
      <c r="R90" s="14"/>
      <c r="S90" s="36"/>
      <c r="T90" s="36"/>
      <c r="U90" s="50"/>
      <c r="V90" s="50"/>
      <c r="AA90" s="36"/>
      <c r="AB90" s="14"/>
      <c r="AC90" s="15"/>
      <c r="AD90" s="14"/>
      <c r="AP90" s="14"/>
      <c r="AQ90" s="15"/>
      <c r="AR90" s="14"/>
      <c r="AS90" s="36"/>
      <c r="AT90" s="36"/>
      <c r="AU90" s="50"/>
      <c r="AV90" s="50"/>
    </row>
    <row r="91" spans="1:48" ht="17.25" thickBot="1" x14ac:dyDescent="0.3">
      <c r="A91" s="36"/>
      <c r="B91" s="14"/>
      <c r="C91" s="15"/>
      <c r="D91" s="14"/>
      <c r="P91" s="14"/>
      <c r="Q91" s="15"/>
      <c r="R91" s="14"/>
      <c r="S91" s="36"/>
      <c r="T91" s="36"/>
      <c r="U91" s="50"/>
      <c r="V91" s="50"/>
      <c r="AA91" s="36"/>
      <c r="AB91" s="14"/>
      <c r="AC91" s="15"/>
      <c r="AD91" s="14"/>
      <c r="AP91" s="14"/>
      <c r="AQ91" s="15"/>
      <c r="AR91" s="14"/>
      <c r="AS91" s="36"/>
      <c r="AT91" s="36"/>
      <c r="AU91" s="50"/>
      <c r="AV91" s="50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J71"/>
  <sheetViews>
    <sheetView topLeftCell="A7" zoomScale="85" zoomScaleNormal="85" workbookViewId="0">
      <selection activeCell="R35" sqref="R35:R38"/>
    </sheetView>
  </sheetViews>
  <sheetFormatPr defaultRowHeight="16.5" x14ac:dyDescent="0.25"/>
  <cols>
    <col min="1" max="1" width="12.875" customWidth="1"/>
    <col min="2" max="2" width="16.125" customWidth="1"/>
    <col min="3" max="3" width="11.125" customWidth="1"/>
    <col min="4" max="4" width="13.875" customWidth="1"/>
    <col min="5" max="5" width="10.5" bestFit="1" customWidth="1"/>
    <col min="6" max="6" width="13.5" customWidth="1"/>
    <col min="7" max="7" width="12.25" customWidth="1"/>
    <col min="8" max="8" width="9.5" bestFit="1" customWidth="1"/>
    <col min="10" max="10" width="11.75" bestFit="1" customWidth="1"/>
    <col min="12" max="12" width="13.125" customWidth="1"/>
    <col min="13" max="13" width="12" customWidth="1"/>
    <col min="14" max="14" width="11" customWidth="1"/>
    <col min="15" max="15" width="14.625" customWidth="1"/>
    <col min="16" max="16" width="14.375" customWidth="1"/>
    <col min="17" max="17" width="13.75" customWidth="1"/>
    <col min="18" max="18" width="14.125" customWidth="1"/>
    <col min="19" max="20" width="13.125" customWidth="1"/>
    <col min="21" max="23" width="10.625" customWidth="1"/>
    <col min="24" max="24" width="9.5" bestFit="1" customWidth="1"/>
  </cols>
  <sheetData>
    <row r="1" spans="1:36" x14ac:dyDescent="0.25">
      <c r="A1" s="1" t="s">
        <v>53</v>
      </c>
      <c r="B1" s="1" t="s">
        <v>48</v>
      </c>
      <c r="C1" s="1" t="s">
        <v>51</v>
      </c>
      <c r="D1" s="1" t="s">
        <v>52</v>
      </c>
      <c r="E1" s="2" t="s">
        <v>21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7</v>
      </c>
      <c r="L1" s="1" t="s">
        <v>15</v>
      </c>
      <c r="M1" s="2" t="s">
        <v>8</v>
      </c>
      <c r="N1" s="2" t="s">
        <v>9</v>
      </c>
      <c r="O1" s="2" t="s">
        <v>50</v>
      </c>
      <c r="P1" s="7" t="s">
        <v>20</v>
      </c>
      <c r="Q1" s="10" t="s">
        <v>19</v>
      </c>
      <c r="R1" s="10" t="s">
        <v>30</v>
      </c>
    </row>
    <row r="2" spans="1:36" x14ac:dyDescent="0.25">
      <c r="A2" s="22"/>
      <c r="B2" s="37">
        <f ca="1">SUM($B$11:$B$100)+SUM(R11:R100)</f>
        <v>-11486615.706235524</v>
      </c>
      <c r="C2" s="37">
        <f ca="1">SUM(A11:A34)+SUM(S11:S34)</f>
        <v>0</v>
      </c>
      <c r="D2" s="37">
        <f ca="1">IF(ISNUMBER(SUM(D11:D34)+SUM(P11:P34)),SUM(D11:D34)+SUM(P11:P34),0)</f>
        <v>0</v>
      </c>
      <c r="E2" s="37">
        <f>SUMIF(C11:C50,"&gt;0",C11:C50)+SUMIF(Q11:Q50,"&gt;0",Q11:Q50)</f>
        <v>53</v>
      </c>
      <c r="F2" s="22" t="str">
        <f>[1]!'1044070`644'</f>
        <v>Mi台指4W070</v>
      </c>
      <c r="G2" s="23">
        <f>[1]!'1044070`743'</f>
        <v>12236</v>
      </c>
      <c r="H2" s="23">
        <f>[1]!'1044070`744'</f>
        <v>12240</v>
      </c>
      <c r="I2" s="23">
        <f>[1]!'1044070`205'</f>
        <v>12238</v>
      </c>
      <c r="J2" s="23">
        <f>[1]!'1044070`1003'</f>
        <v>27</v>
      </c>
      <c r="K2" s="24">
        <f>[1]!'1044070`1004'</f>
        <v>0.221112</v>
      </c>
      <c r="L2" s="23" t="e">
        <f>I2-I3</f>
        <v>#VALUE!</v>
      </c>
      <c r="M2" s="29">
        <v>44034</v>
      </c>
      <c r="N2" s="30">
        <f ca="1">IF(TODAY()=M2,$S$2/252,(COUNTIF(工作日!$B$2:$B$500,"&lt;="&amp;M2)-COUNTIF(工作日!$B$2:$B$500,"&lt;"&amp;TODAY())-$S$2)/252)</f>
        <v>2.3809523809523808E-2</v>
      </c>
      <c r="O2" s="30">
        <f ca="1">IF(TODAY()=M2,0.001/252,(COUNTIF(工作日!$B$2:$B$133,"&lt;="&amp;M2)-COUNTIF(工作日!$B$2:$B$133,"&lt;="&amp;TODAY())-$S$2)/252)</f>
        <v>1.984126984126984E-2</v>
      </c>
      <c r="P2" s="8">
        <f>I2*0.01</f>
        <v>122.38</v>
      </c>
      <c r="Q2" s="11"/>
      <c r="R2" s="11">
        <f ca="1">SUM($U$11:$U$37)+SUM($V$11:$V$37)</f>
        <v>-14735.330691681876</v>
      </c>
      <c r="S2" s="21">
        <f ca="1">IF(AND(TEXT(NOW(),"hh:mm")&gt;$U$3,TEXT(NOW(),"hh:mm")&lt;$U$2),0,VALUE(TEXT(NOW()-$U$2,"h:mm")/$X$2))</f>
        <v>0</v>
      </c>
      <c r="T2" s="21"/>
      <c r="U2" s="40" t="str">
        <f>TEXT("08:45:00 AM","h:mm")</f>
        <v>8:45</v>
      </c>
      <c r="V2" s="40"/>
      <c r="W2" s="40" t="str">
        <f>TEXT("08:45:00 AM","h:mm")</f>
        <v>8:45</v>
      </c>
      <c r="X2" s="35">
        <v>0.20833333333333334</v>
      </c>
      <c r="Y2" s="40" t="str">
        <f>TEXT("01:45:00 PM","h:mm")</f>
        <v>13:45</v>
      </c>
    </row>
    <row r="3" spans="1:36" x14ac:dyDescent="0.25">
      <c r="A3" s="25">
        <v>0</v>
      </c>
      <c r="B3" s="38">
        <f>A3*I2*200</f>
        <v>0</v>
      </c>
      <c r="C3" s="38"/>
      <c r="D3" s="38"/>
      <c r="F3" s="25" t="str">
        <f>[1]!'101999`644'</f>
        <v>台指期</v>
      </c>
      <c r="G3" s="26" t="str">
        <f>[1]!'101999`743'</f>
        <v>-</v>
      </c>
      <c r="H3" s="26" t="str">
        <f>[1]!'101999`744'</f>
        <v>-</v>
      </c>
      <c r="I3" s="26" t="str">
        <f>[1]!'101999`205'</f>
        <v>-</v>
      </c>
      <c r="J3" s="26">
        <f>[1]!'101999`1003'</f>
        <v>0</v>
      </c>
      <c r="K3" s="27">
        <f>[1]!'101999`1004'</f>
        <v>0</v>
      </c>
      <c r="L3" s="26"/>
      <c r="M3" s="26"/>
      <c r="N3" s="31"/>
      <c r="O3" s="31"/>
      <c r="P3" s="8"/>
      <c r="S3" s="9"/>
      <c r="T3" s="9"/>
      <c r="U3" s="40" t="str">
        <f>TEXT("03:00:00 PM","h:mm")</f>
        <v>15:00</v>
      </c>
    </row>
    <row r="4" spans="1:36" x14ac:dyDescent="0.25">
      <c r="A4" s="25"/>
      <c r="B4" s="38">
        <f ca="1">IF(ISNUMBER(B2+B3),B2+B3,0)</f>
        <v>-11486615.706235524</v>
      </c>
      <c r="C4" s="38"/>
      <c r="D4" s="39" t="e">
        <f ca="1">B4/D2/100</f>
        <v>#DIV/0!</v>
      </c>
      <c r="F4" s="22" t="str">
        <f>[1]!'102070`644'</f>
        <v>#Get Error</v>
      </c>
      <c r="G4" s="23" t="str">
        <f>[1]!'102070`743'</f>
        <v>#Get Error</v>
      </c>
      <c r="H4" s="23" t="str">
        <f>[1]!'102070`744'</f>
        <v>#Get Error</v>
      </c>
      <c r="I4" s="23" t="str">
        <f>[1]!'102070`205'</f>
        <v>#Get Error</v>
      </c>
      <c r="J4" s="23" t="str">
        <f>[1]!'102070`1003'</f>
        <v>#Get Error</v>
      </c>
      <c r="K4" s="24" t="str">
        <f>[1]!'102070`1004'</f>
        <v>#Get Error</v>
      </c>
      <c r="L4" s="26" t="e">
        <f>I4-I5</f>
        <v>#VALUE!</v>
      </c>
      <c r="M4" s="29">
        <v>44034</v>
      </c>
      <c r="N4" s="30">
        <f ca="1">IF(TODAY()=M4,$S$2/252,(COUNTIF(工作日!$B$2:$B$133,"&lt;="&amp;M4)-COUNTIF(工作日!$B$2:$B$133,"&lt;"&amp;TODAY())-$S$2)/252)</f>
        <v>2.3809523809523808E-2</v>
      </c>
      <c r="O4" s="30">
        <f ca="1">(COUNTIF(工作日!$B$2:$B$133,"&lt;="&amp;M4)-COUNTIF(工作日!$B$2:$B$133,"&lt;="&amp;TODAY())-$S$2)/252</f>
        <v>1.984126984126984E-2</v>
      </c>
      <c r="P4" s="8"/>
      <c r="Q4">
        <f ca="1">COUNTIF(工作日!$B$2:$B$2,"&lt;="&amp;M2)-COUNTIF(工作日!$B$2:$B$2,"&lt;"&amp;TODAY())</f>
        <v>1</v>
      </c>
      <c r="S4" s="9"/>
      <c r="T4" s="9"/>
    </row>
    <row r="5" spans="1:36" x14ac:dyDescent="0.25">
      <c r="F5" s="25" t="str">
        <f>[1]!'102999`644'</f>
        <v>電子期</v>
      </c>
      <c r="G5" s="26" t="str">
        <f>[1]!'102999`743'</f>
        <v>-</v>
      </c>
      <c r="H5" s="26" t="str">
        <f>[1]!'102999`744'</f>
        <v>-</v>
      </c>
      <c r="I5" s="26" t="str">
        <f>[1]!'102999`205'</f>
        <v>-</v>
      </c>
      <c r="J5" s="26">
        <f>[1]!'102999`1003'</f>
        <v>0</v>
      </c>
      <c r="K5" s="27">
        <f>[1]!'102999`1004'</f>
        <v>0</v>
      </c>
      <c r="L5" s="26"/>
      <c r="M5" s="26"/>
      <c r="N5" s="31"/>
      <c r="O5" s="31"/>
      <c r="P5" s="8"/>
      <c r="S5" s="9"/>
      <c r="T5" s="9"/>
    </row>
    <row r="6" spans="1:36" x14ac:dyDescent="0.25">
      <c r="F6" s="22" t="str">
        <f>[1]!'103070`644'</f>
        <v>金融期070</v>
      </c>
      <c r="G6" s="23">
        <f>[1]!'103070`743'</f>
        <v>1282.4000000000001</v>
      </c>
      <c r="H6" s="23">
        <f>[1]!'103070`744'</f>
        <v>1282.5999999999999</v>
      </c>
      <c r="I6" s="23">
        <f>[1]!'103070`205'</f>
        <v>1282.4000000000001</v>
      </c>
      <c r="J6" s="23">
        <f>[1]!'103070`1003'</f>
        <v>3</v>
      </c>
      <c r="K6" s="24">
        <f>[1]!'103070`1004'</f>
        <v>0.234484</v>
      </c>
      <c r="L6" s="26">
        <f>I6-I7</f>
        <v>-0.87999999999988177</v>
      </c>
      <c r="M6" s="29">
        <v>44034</v>
      </c>
      <c r="N6" s="30">
        <f ca="1">IF(TODAY()=M6,$S$2/252,(COUNTIF(工作日!$B$2:$B$133,"&lt;="&amp;M6)-COUNTIF(工作日!$B$2:$B$133,"&lt;"&amp;TODAY())-$S$2)/252)</f>
        <v>2.3809523809523808E-2</v>
      </c>
      <c r="O6" s="30">
        <f ca="1">(COUNTIF(工作日!$B$2:$B$133,"&lt;="&amp;M6)-COUNTIF(工作日!$B$2:$B$133,"&lt;="&amp;TODAY())-$S$2)/252</f>
        <v>1.984126984126984E-2</v>
      </c>
      <c r="P6" s="8"/>
      <c r="S6" s="9"/>
      <c r="T6" s="9"/>
    </row>
    <row r="7" spans="1:36" x14ac:dyDescent="0.25">
      <c r="F7" s="25" t="str">
        <f>[1]!'103999`644'</f>
        <v>金融期</v>
      </c>
      <c r="G7" s="26" t="str">
        <f>[1]!'103999`743'</f>
        <v>-</v>
      </c>
      <c r="H7" s="26" t="str">
        <f>[1]!'103999`744'</f>
        <v>-</v>
      </c>
      <c r="I7" s="26">
        <f>[1]!'103999`205'</f>
        <v>1283.28</v>
      </c>
      <c r="J7" s="26">
        <f>[1]!'103999`1003'</f>
        <v>3.57</v>
      </c>
      <c r="K7" s="27">
        <f>[1]!'103999`1004'</f>
        <v>0.27896900000000002</v>
      </c>
      <c r="L7" s="28"/>
      <c r="M7" s="33"/>
      <c r="N7" s="34"/>
      <c r="O7" s="34"/>
      <c r="P7" s="8"/>
    </row>
    <row r="8" spans="1:36" x14ac:dyDescent="0.25">
      <c r="C8">
        <f>(635-(E31+F31)/2)*50*205</f>
        <v>2285750</v>
      </c>
      <c r="D8" s="9"/>
      <c r="L8" t="str">
        <f>[1]!'1044070`644'</f>
        <v>Mi台指4W070</v>
      </c>
      <c r="M8">
        <f>[1]!'1044070`743'</f>
        <v>12236</v>
      </c>
      <c r="N8">
        <f>[1]!'1044070`744'</f>
        <v>12240</v>
      </c>
      <c r="O8">
        <f>[1]!'1044070`205'</f>
        <v>12238</v>
      </c>
      <c r="P8">
        <f>[1]!'1044070`1003'</f>
        <v>27</v>
      </c>
      <c r="Q8">
        <f>[1]!'1044070`253'</f>
        <v>1</v>
      </c>
      <c r="R8">
        <f>[1]!'1044070`212'</f>
        <v>12197</v>
      </c>
      <c r="U8" t="s">
        <v>0</v>
      </c>
      <c r="W8" t="s">
        <v>0</v>
      </c>
    </row>
    <row r="9" spans="1:36" ht="17.25" thickBot="1" x14ac:dyDescent="0.3">
      <c r="A9" s="310" t="s">
        <v>1</v>
      </c>
      <c r="B9" s="311"/>
      <c r="C9" s="311"/>
      <c r="D9" s="311"/>
      <c r="E9" s="311"/>
      <c r="F9" s="311"/>
      <c r="G9" s="311"/>
      <c r="H9" s="311"/>
      <c r="I9" s="312"/>
      <c r="J9" s="16" t="s">
        <v>1855</v>
      </c>
      <c r="K9" s="310" t="s">
        <v>2</v>
      </c>
      <c r="L9" s="311"/>
      <c r="M9" s="311"/>
      <c r="N9" s="311"/>
      <c r="O9" s="311"/>
      <c r="P9" s="311"/>
      <c r="Q9" s="311"/>
      <c r="R9" s="311"/>
      <c r="S9" s="312"/>
    </row>
    <row r="10" spans="1:36" ht="17.25" thickBot="1" x14ac:dyDescent="0.3">
      <c r="A10" s="13" t="s">
        <v>49</v>
      </c>
      <c r="B10" s="13" t="s">
        <v>48</v>
      </c>
      <c r="C10" s="13" t="s">
        <v>21</v>
      </c>
      <c r="D10" s="13" t="s">
        <v>18</v>
      </c>
      <c r="E10" s="12" t="s">
        <v>3</v>
      </c>
      <c r="F10" s="12" t="s">
        <v>4</v>
      </c>
      <c r="G10" s="12" t="s">
        <v>5</v>
      </c>
      <c r="H10" s="12" t="s">
        <v>16</v>
      </c>
      <c r="I10" s="12" t="s">
        <v>17</v>
      </c>
      <c r="J10" s="16" t="s">
        <v>6</v>
      </c>
      <c r="K10" s="12" t="s">
        <v>3</v>
      </c>
      <c r="L10" s="12" t="s">
        <v>4</v>
      </c>
      <c r="M10" s="12" t="s">
        <v>5</v>
      </c>
      <c r="N10" s="12" t="s">
        <v>16</v>
      </c>
      <c r="O10" s="12" t="s">
        <v>17</v>
      </c>
      <c r="P10" s="13" t="s">
        <v>18</v>
      </c>
      <c r="Q10" s="13" t="s">
        <v>21</v>
      </c>
      <c r="R10" s="13" t="s">
        <v>48</v>
      </c>
      <c r="S10" s="13" t="s">
        <v>49</v>
      </c>
      <c r="T10" s="46"/>
      <c r="U10" s="44" t="s">
        <v>62</v>
      </c>
      <c r="V10" s="47" t="s">
        <v>63</v>
      </c>
      <c r="X10" s="4">
        <v>-0.03</v>
      </c>
      <c r="Y10" s="5">
        <f>X10+0.5%</f>
        <v>-2.4999999999999998E-2</v>
      </c>
      <c r="Z10" s="5">
        <f t="shared" ref="Z10:AJ10" si="0">Y10+0.5%</f>
        <v>-1.9999999999999997E-2</v>
      </c>
      <c r="AA10" s="5">
        <f t="shared" si="0"/>
        <v>-1.4999999999999996E-2</v>
      </c>
      <c r="AB10" s="5">
        <f t="shared" si="0"/>
        <v>-9.999999999999995E-3</v>
      </c>
      <c r="AC10" s="5">
        <f t="shared" si="0"/>
        <v>-4.9999999999999949E-3</v>
      </c>
      <c r="AD10" s="5">
        <f t="shared" si="0"/>
        <v>0</v>
      </c>
      <c r="AE10" s="5">
        <f t="shared" si="0"/>
        <v>5.0000000000000001E-3</v>
      </c>
      <c r="AF10" s="5">
        <f t="shared" si="0"/>
        <v>0.01</v>
      </c>
      <c r="AG10" s="5">
        <f t="shared" si="0"/>
        <v>1.4999999999999999E-2</v>
      </c>
      <c r="AH10" s="5">
        <f>AG10+0.5%</f>
        <v>0.02</v>
      </c>
      <c r="AI10" s="5">
        <f t="shared" si="0"/>
        <v>2.5000000000000001E-2</v>
      </c>
      <c r="AJ10" s="5">
        <f t="shared" si="0"/>
        <v>3.0000000000000002E-2</v>
      </c>
    </row>
    <row r="11" spans="1:36" ht="17.25" thickBot="1" x14ac:dyDescent="0.3">
      <c r="A11" s="36">
        <f t="shared" ref="A11:A51" ca="1" si="1">(GBSOption("C",$I$2,$J11, $N$2,$H11, 0,0)-GBSOption("C",$I$2,$J11, $O$2,$H11, 0,0))*$C11*50*-1</f>
        <v>0</v>
      </c>
      <c r="B11" s="14">
        <f t="shared" ref="B11:B51" ca="1" si="2">GBSGreeks("d", "C",$I$2,$J11,$N$2,$H11, 0,0)*50*$I$2*$C11</f>
        <v>0</v>
      </c>
      <c r="C11" s="14">
        <f>SUMIFS(指數型權證!$AH$1:$AH$49,指數型權證!$AL$1:$AL$49,"7",指數型權證!$AJ$1:$AJ$49,J11,指數型權證!$AM$1:$AM$49,"Call")</f>
        <v>0</v>
      </c>
      <c r="D11" s="14">
        <f t="shared" ref="D11:D51" ca="1" si="3">GBSGreeks("g", "C",$I$2,$J11,$N$2,$H11, 0,0)*$P$2*50*$I$2*$C11*-1</f>
        <v>0</v>
      </c>
      <c r="E11" s="17" t="str">
        <f>[3]!'WTX4N0;10000C`267'</f>
        <v>#Get Error</v>
      </c>
      <c r="F11" s="17" t="str">
        <f>[3]!'WTX4N0;10000C`268'</f>
        <v>#Get Error</v>
      </c>
      <c r="G11" s="17" t="str">
        <f>[3]!'WTX4N0;10000C`205'</f>
        <v>#Get Error</v>
      </c>
      <c r="H11" s="19">
        <f t="shared" ref="H11:I34" si="4">IF(ISNUMBER(GBSImpliedVol("C",E11,$I$2,$J11,$N$2,0,0)),GBSImpliedVol("C",E11,$I$2,$J11,$N$2,0,0),0.6)</f>
        <v>0.6</v>
      </c>
      <c r="I11" s="19">
        <f t="shared" si="4"/>
        <v>0.6</v>
      </c>
      <c r="J11" s="18">
        <v>10000</v>
      </c>
      <c r="K11" s="17" t="str">
        <f>[3]!'WTX4N0;10000P`267'</f>
        <v>#Get Error</v>
      </c>
      <c r="L11" s="17" t="str">
        <f>[3]!'WTX4N0;10000P`268'</f>
        <v>#Get Error</v>
      </c>
      <c r="M11" s="17" t="str">
        <f>[3]!'WTX4N0;10000P`205'</f>
        <v>#Get Error</v>
      </c>
      <c r="N11" s="19">
        <f t="shared" ref="N11:O34" si="5">IF(ISNUMBER(GBSImpliedVol("P",K11,$I$2,$J11,$N$2,0,0)),GBSImpliedVol("P",K11,$I$2,$J11,$N$2,0,0),0.6)</f>
        <v>0.6</v>
      </c>
      <c r="O11" s="19">
        <f t="shared" si="5"/>
        <v>0.6</v>
      </c>
      <c r="P11" s="14">
        <f ca="1">GBSGreeks("g", "P",$I$2,$J11,$N$2,$N11, 0,0)*$P$2*50*$I$2*$Q11*-1</f>
        <v>0</v>
      </c>
      <c r="Q11" s="160">
        <f>SUMIFS(指數型權證!$AH$1:$AH$49,指數型權證!$AL$1:$AL$49,"7",指數型權證!$AJ$1:$AJ$49,J11,指數型權證!$AM$1:$AM$49,"Put")</f>
        <v>0</v>
      </c>
      <c r="R11" s="14">
        <f t="shared" ref="R11:R34" ca="1" si="6">GBSGreeks("d", "P",$I$2,$J11,$N$2,$N11, 0,0)*50*$I$2*Q11</f>
        <v>0</v>
      </c>
      <c r="S11" s="36">
        <f t="shared" ref="S11:S51" ca="1" si="7">(GBSOption("P",$I$2,$J11,$N$2,N11,0,0)-GBSOption("P",$I$2,$J11,$O$2,N11,0,0))*Q11*50*-1</f>
        <v>0</v>
      </c>
      <c r="T11" s="36"/>
      <c r="U11" s="48">
        <f t="shared" ref="U11:U58" ca="1" si="8">(GBSOption("C",$I$2,$J11,$N$2,$H11,0, 0)-GBSOption("C",$I$2,$J11,$N$2,$H11+0.01,0, 0))*50*$C11</f>
        <v>0</v>
      </c>
      <c r="V11" s="48">
        <f t="shared" ref="V11:V58" ca="1" si="9">(GBSOption("P",$I$2,$J11,$N$2,$N11,0, 0)-GBSOption("P",$I$2,$J11,$N$2,$N11+0.01,0, 0))*50*$Q11</f>
        <v>0</v>
      </c>
      <c r="W11">
        <f t="shared" ref="W11:W20" si="10">J21</f>
        <v>11000</v>
      </c>
      <c r="X11" s="6">
        <f t="shared" ref="X11:AJ20" ca="1" si="11">GBSOption($I$2,$I$2*(1+X$10),$J21,$N$2,IF($W$8="C",$H21,$N21),0,0)</f>
        <v>7.2657404539363579</v>
      </c>
      <c r="Y11" s="6">
        <f t="shared" ca="1" si="11"/>
        <v>5.3546298133768504</v>
      </c>
      <c r="Z11" s="6">
        <f t="shared" ca="1" si="11"/>
        <v>3.9061556472698906</v>
      </c>
      <c r="AA11" s="6">
        <f t="shared" ca="1" si="11"/>
        <v>2.8207095594615161</v>
      </c>
      <c r="AB11" s="6">
        <f t="shared" ca="1" si="11"/>
        <v>2.0164049316891495</v>
      </c>
      <c r="AC11" s="6">
        <f t="shared" ca="1" si="11"/>
        <v>1.4270285164104977</v>
      </c>
      <c r="AD11" s="6">
        <f t="shared" ca="1" si="11"/>
        <v>0.9998866626321663</v>
      </c>
      <c r="AE11" s="6">
        <f t="shared" ca="1" si="11"/>
        <v>0.69368484327639957</v>
      </c>
      <c r="AF11" s="6">
        <f t="shared" ca="1" si="11"/>
        <v>0.47653970636132759</v>
      </c>
      <c r="AG11" s="6">
        <f t="shared" ca="1" si="11"/>
        <v>0.32418683946747018</v>
      </c>
      <c r="AH11" s="6">
        <f t="shared" ca="1" si="11"/>
        <v>0.21841706108952114</v>
      </c>
      <c r="AI11" s="6">
        <f t="shared" ca="1" si="11"/>
        <v>0.14575029842149442</v>
      </c>
      <c r="AJ11" s="6">
        <f t="shared" ca="1" si="11"/>
        <v>9.6338976101615986E-2</v>
      </c>
    </row>
    <row r="12" spans="1:36" ht="17.25" thickBot="1" x14ac:dyDescent="0.3">
      <c r="A12" s="36">
        <f t="shared" ca="1" si="1"/>
        <v>0</v>
      </c>
      <c r="B12" s="14">
        <f t="shared" ca="1" si="2"/>
        <v>0</v>
      </c>
      <c r="C12" s="14">
        <f>SUMIFS(指數型權證!$AH$1:$AH$49,指數型權證!$AL$1:$AL$49,"7",指數型權證!$AJ$1:$AJ$49,J12,指數型權證!$AM$1:$AM$49,"Call")</f>
        <v>0</v>
      </c>
      <c r="D12" s="14">
        <f t="shared" ca="1" si="3"/>
        <v>0</v>
      </c>
      <c r="E12" s="17" t="str">
        <f>[3]!'WTX4N0;10100C`267'</f>
        <v>#Get Error</v>
      </c>
      <c r="F12" s="17" t="str">
        <f>[3]!'WTX4N0;10100C`268'</f>
        <v>#Get Error</v>
      </c>
      <c r="G12" s="17" t="str">
        <f>[3]!'WTX4N0;10100C`205'</f>
        <v>#Get Error</v>
      </c>
      <c r="H12" s="19">
        <f t="shared" si="4"/>
        <v>0.6</v>
      </c>
      <c r="I12" s="19">
        <f t="shared" si="4"/>
        <v>0.6</v>
      </c>
      <c r="J12" s="18">
        <f>J11+100</f>
        <v>10100</v>
      </c>
      <c r="K12" s="17" t="str">
        <f>[3]!'WTX4N0;10100P`267'</f>
        <v>#Get Error</v>
      </c>
      <c r="L12" s="17" t="str">
        <f>[3]!'WTX4N0;10100P`268'</f>
        <v>#Get Error</v>
      </c>
      <c r="M12" s="17" t="str">
        <f>[3]!'WTX4N0;10100P`205'</f>
        <v>#Get Error</v>
      </c>
      <c r="N12" s="19">
        <f t="shared" si="5"/>
        <v>0.6</v>
      </c>
      <c r="O12" s="19">
        <f t="shared" si="5"/>
        <v>0.6</v>
      </c>
      <c r="P12" s="14">
        <f t="shared" ref="P12:P51" ca="1" si="12">GBSGreeks("g", "P",$I$2,$J12,$N$2,$N12, 0,0)*$P$2*50*$I$2*$Q12*-1</f>
        <v>0</v>
      </c>
      <c r="Q12" s="14">
        <f>SUMIFS(指數型權證!$AH$1:$AH$49,指數型權證!$AL$1:$AL$49,"7",指數型權證!$AJ$1:$AJ$49,J12,指數型權證!$AM$1:$AM$49,"Put")</f>
        <v>0</v>
      </c>
      <c r="R12" s="14">
        <f t="shared" ca="1" si="6"/>
        <v>0</v>
      </c>
      <c r="S12" s="36">
        <f t="shared" ca="1" si="7"/>
        <v>0</v>
      </c>
      <c r="T12" s="36"/>
      <c r="U12" s="48">
        <f t="shared" ca="1" si="8"/>
        <v>0</v>
      </c>
      <c r="V12" s="48">
        <f t="shared" ca="1" si="9"/>
        <v>0</v>
      </c>
      <c r="W12">
        <f t="shared" si="10"/>
        <v>11100</v>
      </c>
      <c r="X12" s="6">
        <f t="shared" ca="1" si="11"/>
        <v>10.136363373439716</v>
      </c>
      <c r="Y12" s="6">
        <f t="shared" ca="1" si="11"/>
        <v>7.4910622215212541</v>
      </c>
      <c r="Z12" s="6">
        <f t="shared" ca="1" si="11"/>
        <v>5.475629852016108</v>
      </c>
      <c r="AA12" s="6">
        <f t="shared" ca="1" si="11"/>
        <v>3.9588226144279943</v>
      </c>
      <c r="AB12" s="6">
        <f t="shared" ca="1" si="11"/>
        <v>2.831105119330755</v>
      </c>
      <c r="AC12" s="6">
        <f t="shared" ca="1" si="11"/>
        <v>2.0027414673196198</v>
      </c>
      <c r="AD12" s="6">
        <f t="shared" ca="1" si="11"/>
        <v>1.4015137580161767</v>
      </c>
      <c r="AE12" s="6">
        <f t="shared" ca="1" si="11"/>
        <v>0.97028935615306622</v>
      </c>
      <c r="AF12" s="6">
        <f t="shared" ca="1" si="11"/>
        <v>0.66461055134139435</v>
      </c>
      <c r="AG12" s="6">
        <f t="shared" ca="1" si="11"/>
        <v>0.45043104718576532</v>
      </c>
      <c r="AH12" s="6">
        <f t="shared" ca="1" si="11"/>
        <v>0.30207840845640582</v>
      </c>
      <c r="AI12" s="6">
        <f t="shared" ca="1" si="11"/>
        <v>0.20048334878772536</v>
      </c>
      <c r="AJ12" s="6">
        <f t="shared" ca="1" si="11"/>
        <v>0.1316869474867732</v>
      </c>
    </row>
    <row r="13" spans="1:36" ht="17.25" thickBot="1" x14ac:dyDescent="0.3">
      <c r="A13" s="36">
        <f t="shared" ca="1" si="1"/>
        <v>0</v>
      </c>
      <c r="B13" s="14">
        <f t="shared" ca="1" si="2"/>
        <v>0</v>
      </c>
      <c r="C13" s="14">
        <f>SUMIFS(指數型權證!$AH$1:$AH$49,指數型權證!$AL$1:$AL$49,"7",指數型權證!$AJ$1:$AJ$49,J13,指數型權證!$AM$1:$AM$49,"Call")</f>
        <v>0</v>
      </c>
      <c r="D13" s="14">
        <f t="shared" ca="1" si="3"/>
        <v>0</v>
      </c>
      <c r="E13" s="17" t="str">
        <f>[3]!'WTX4N0;10200C`267'</f>
        <v>#Get Error</v>
      </c>
      <c r="F13" s="17" t="str">
        <f>[3]!'WTX4N0;10200C`268'</f>
        <v>#Get Error</v>
      </c>
      <c r="G13" s="20" t="str">
        <f>[3]!'WTX4N0;10200C`205'</f>
        <v>#Get Error</v>
      </c>
      <c r="H13" s="19">
        <f t="shared" si="4"/>
        <v>0.6</v>
      </c>
      <c r="I13" s="19">
        <f t="shared" si="4"/>
        <v>0.6</v>
      </c>
      <c r="J13" s="18">
        <f t="shared" ref="J13:J28" si="13">J12+100</f>
        <v>10200</v>
      </c>
      <c r="K13" s="17" t="str">
        <f>[3]!'WTX4N0;10200P`267'</f>
        <v>#Get Error</v>
      </c>
      <c r="L13" s="17" t="str">
        <f>[3]!'WTX4N0;10200P`268'</f>
        <v>#Get Error</v>
      </c>
      <c r="M13" s="17" t="str">
        <f>[3]!'WTX4N0;10200P`205'</f>
        <v>#Get Error</v>
      </c>
      <c r="N13" s="19">
        <f t="shared" si="5"/>
        <v>0.6</v>
      </c>
      <c r="O13" s="19">
        <f t="shared" si="5"/>
        <v>0.6</v>
      </c>
      <c r="P13" s="14">
        <f t="shared" ca="1" si="12"/>
        <v>0</v>
      </c>
      <c r="Q13" s="14">
        <f>SUMIFS(指數型權證!$AH$1:$AH$49,指數型權證!$AL$1:$AL$49,"7",指數型權證!$AJ$1:$AJ$49,J13,指數型權證!$AM$1:$AM$49,"Put")</f>
        <v>0</v>
      </c>
      <c r="R13" s="14">
        <f t="shared" ca="1" si="6"/>
        <v>0</v>
      </c>
      <c r="S13" s="36">
        <f t="shared" ca="1" si="7"/>
        <v>0</v>
      </c>
      <c r="T13" s="36"/>
      <c r="U13" s="48">
        <f t="shared" ca="1" si="8"/>
        <v>0</v>
      </c>
      <c r="V13" s="48">
        <f t="shared" ca="1" si="9"/>
        <v>0</v>
      </c>
      <c r="W13">
        <f t="shared" si="10"/>
        <v>11200</v>
      </c>
      <c r="X13" s="6">
        <f t="shared" ca="1" si="11"/>
        <v>12.544605084172545</v>
      </c>
      <c r="Y13" s="6">
        <f t="shared" ca="1" si="11"/>
        <v>9.184244742560546</v>
      </c>
      <c r="Z13" s="6">
        <f t="shared" ca="1" si="11"/>
        <v>6.6397956713623039</v>
      </c>
      <c r="AA13" s="6">
        <f t="shared" ca="1" si="11"/>
        <v>4.7401689831982985</v>
      </c>
      <c r="AB13" s="6">
        <f t="shared" ca="1" si="11"/>
        <v>3.3417266574125759</v>
      </c>
      <c r="AC13" s="6">
        <f t="shared" ca="1" si="11"/>
        <v>2.3264960390382101</v>
      </c>
      <c r="AD13" s="6">
        <f t="shared" ca="1" si="11"/>
        <v>1.5995935711773035</v>
      </c>
      <c r="AE13" s="6">
        <f t="shared" ca="1" si="11"/>
        <v>1.0862234927724204</v>
      </c>
      <c r="AF13" s="6">
        <f t="shared" ca="1" si="11"/>
        <v>0.72855312721585908</v>
      </c>
      <c r="AG13" s="6">
        <f t="shared" ca="1" si="11"/>
        <v>0.48269135624900811</v>
      </c>
      <c r="AH13" s="6">
        <f t="shared" ca="1" si="11"/>
        <v>0.31592271968822866</v>
      </c>
      <c r="AI13" s="6">
        <f t="shared" ca="1" si="11"/>
        <v>0.20428413158763523</v>
      </c>
      <c r="AJ13" s="6">
        <f t="shared" ca="1" si="11"/>
        <v>0.13051862477771409</v>
      </c>
    </row>
    <row r="14" spans="1:36" ht="17.25" thickBot="1" x14ac:dyDescent="0.3">
      <c r="A14" s="36">
        <f t="shared" ca="1" si="1"/>
        <v>0</v>
      </c>
      <c r="B14" s="14">
        <f t="shared" ca="1" si="2"/>
        <v>0</v>
      </c>
      <c r="C14" s="14">
        <f>SUMIFS(指數型權證!$AH$1:$AH$49,指數型權證!$AL$1:$AL$49,"7",指數型權證!$AJ$1:$AJ$49,J14,指數型權證!$AM$1:$AM$49,"Call")</f>
        <v>0</v>
      </c>
      <c r="D14" s="14">
        <f t="shared" ca="1" si="3"/>
        <v>0</v>
      </c>
      <c r="E14" s="17" t="str">
        <f>[3]!'WTX4N0;10300C`267'</f>
        <v>#Get Error</v>
      </c>
      <c r="F14" s="17" t="str">
        <f>[3]!'WTX4N0;10300C`268'</f>
        <v>#Get Error</v>
      </c>
      <c r="G14" s="17" t="str">
        <f>[3]!'WTX4N0;10300C`205'</f>
        <v>#Get Error</v>
      </c>
      <c r="H14" s="19">
        <f t="shared" si="4"/>
        <v>0.6</v>
      </c>
      <c r="I14" s="19">
        <f t="shared" si="4"/>
        <v>0.6</v>
      </c>
      <c r="J14" s="18">
        <f t="shared" si="13"/>
        <v>10300</v>
      </c>
      <c r="K14" s="17" t="str">
        <f>[3]!'WTX4N0;10300P`267'</f>
        <v>#Get Error</v>
      </c>
      <c r="L14" s="17" t="str">
        <f>[3]!'WTX4N0;10300P`268'</f>
        <v>#Get Error</v>
      </c>
      <c r="M14" s="17" t="str">
        <f>[3]!'WTX4N0;10300P`205'</f>
        <v>#Get Error</v>
      </c>
      <c r="N14" s="19">
        <f t="shared" si="5"/>
        <v>0.6</v>
      </c>
      <c r="O14" s="19">
        <f t="shared" si="5"/>
        <v>0.6</v>
      </c>
      <c r="P14" s="14">
        <f t="shared" ca="1" si="12"/>
        <v>0</v>
      </c>
      <c r="Q14" s="14">
        <f>SUMIFS(指數型權證!$AH$1:$AH$49,指數型權證!$AL$1:$AL$49,"7",指數型權證!$AJ$1:$AJ$49,J14,指數型權證!$AM$1:$AM$49,"Put")</f>
        <v>0</v>
      </c>
      <c r="R14" s="14">
        <f t="shared" ca="1" si="6"/>
        <v>0</v>
      </c>
      <c r="S14" s="36">
        <f t="shared" ca="1" si="7"/>
        <v>0</v>
      </c>
      <c r="T14" s="36"/>
      <c r="U14" s="48">
        <f t="shared" ca="1" si="8"/>
        <v>0</v>
      </c>
      <c r="V14" s="48">
        <f t="shared" ca="1" si="9"/>
        <v>0</v>
      </c>
      <c r="W14">
        <f t="shared" si="10"/>
        <v>11300</v>
      </c>
      <c r="X14" s="6">
        <f t="shared" ca="1" si="11"/>
        <v>15.581018718727609</v>
      </c>
      <c r="Y14" s="6">
        <f t="shared" ca="1" si="11"/>
        <v>11.281498342395416</v>
      </c>
      <c r="Z14" s="6">
        <f t="shared" ca="1" si="11"/>
        <v>8.04926302447236</v>
      </c>
      <c r="AA14" s="6">
        <f t="shared" ca="1" si="11"/>
        <v>5.6591545796322942</v>
      </c>
      <c r="AB14" s="6">
        <f t="shared" ca="1" si="11"/>
        <v>3.9205912029031489</v>
      </c>
      <c r="AC14" s="6">
        <f t="shared" ca="1" si="11"/>
        <v>2.6764790036892991</v>
      </c>
      <c r="AD14" s="6">
        <f t="shared" ca="1" si="11"/>
        <v>1.8005453524633135</v>
      </c>
      <c r="AE14" s="6">
        <f t="shared" ca="1" si="11"/>
        <v>1.1936988273965354</v>
      </c>
      <c r="AF14" s="6">
        <f t="shared" ca="1" si="11"/>
        <v>0.7799457730104552</v>
      </c>
      <c r="AG14" s="6">
        <f t="shared" ca="1" si="11"/>
        <v>0.50228079336107789</v>
      </c>
      <c r="AH14" s="6">
        <f t="shared" ca="1" si="11"/>
        <v>0.31884474496594073</v>
      </c>
      <c r="AI14" s="6">
        <f t="shared" ca="1" si="11"/>
        <v>0.19952821411809865</v>
      </c>
      <c r="AJ14" s="6">
        <f t="shared" ca="1" si="11"/>
        <v>0.12310249541602795</v>
      </c>
    </row>
    <row r="15" spans="1:36" ht="17.25" thickBot="1" x14ac:dyDescent="0.3">
      <c r="A15" s="36">
        <f t="shared" ca="1" si="1"/>
        <v>0</v>
      </c>
      <c r="B15" s="14">
        <f t="shared" ca="1" si="2"/>
        <v>0</v>
      </c>
      <c r="C15" s="14">
        <f>SUMIFS(指數型權證!$AH$1:$AH$49,指數型權證!$AL$1:$AL$49,"7",指數型權證!$AJ$1:$AJ$49,J15,指數型權證!$AM$1:$AM$49,"Call")</f>
        <v>0</v>
      </c>
      <c r="D15" s="14">
        <f t="shared" ca="1" si="3"/>
        <v>0</v>
      </c>
      <c r="E15" s="17" t="str">
        <f>[3]!'WTX4N0;10400C`267'</f>
        <v>#Get Error</v>
      </c>
      <c r="F15" s="17" t="str">
        <f>[3]!'WTX4N0;10400C`268'</f>
        <v>#Get Error</v>
      </c>
      <c r="G15" s="17" t="str">
        <f>[3]!'WTX4N0;10400C`205'</f>
        <v>#Get Error</v>
      </c>
      <c r="H15" s="19">
        <f t="shared" si="4"/>
        <v>0.6</v>
      </c>
      <c r="I15" s="19">
        <f t="shared" si="4"/>
        <v>0.6</v>
      </c>
      <c r="J15" s="18">
        <f t="shared" si="13"/>
        <v>10400</v>
      </c>
      <c r="K15" s="17" t="str">
        <f>[3]!'WTX4N0;10400P`267'</f>
        <v>#Get Error</v>
      </c>
      <c r="L15" s="17" t="str">
        <f>[3]!'WTX4N0;10400P`268'</f>
        <v>#Get Error</v>
      </c>
      <c r="M15" s="17" t="str">
        <f>[3]!'WTX4N0;10400P`205'</f>
        <v>#Get Error</v>
      </c>
      <c r="N15" s="19">
        <f t="shared" si="5"/>
        <v>0.6</v>
      </c>
      <c r="O15" s="19">
        <f t="shared" si="5"/>
        <v>0.6</v>
      </c>
      <c r="P15" s="14">
        <f t="shared" ca="1" si="12"/>
        <v>0</v>
      </c>
      <c r="Q15" s="14">
        <f>SUMIFS(指數型權證!$AH$1:$AH$49,指數型權證!$AL$1:$AL$49,"7",指數型權證!$AJ$1:$AJ$49,J15,指數型權證!$AM$1:$AM$49,"Put")</f>
        <v>0</v>
      </c>
      <c r="R15" s="14">
        <f t="shared" ca="1" si="6"/>
        <v>0</v>
      </c>
      <c r="S15" s="36">
        <f t="shared" ca="1" si="7"/>
        <v>0</v>
      </c>
      <c r="T15" s="36"/>
      <c r="U15" s="48">
        <f t="shared" ca="1" si="8"/>
        <v>0</v>
      </c>
      <c r="V15" s="48">
        <f t="shared" ca="1" si="9"/>
        <v>0</v>
      </c>
      <c r="W15">
        <f t="shared" si="10"/>
        <v>11400</v>
      </c>
      <c r="X15" s="6">
        <f t="shared" ca="1" si="11"/>
        <v>23.553851126724251</v>
      </c>
      <c r="Y15" s="6">
        <f t="shared" ca="1" si="11"/>
        <v>17.273354713041194</v>
      </c>
      <c r="Z15" s="6">
        <f t="shared" ca="1" si="11"/>
        <v>12.473407771732269</v>
      </c>
      <c r="AA15" s="6">
        <f t="shared" ca="1" si="11"/>
        <v>8.8685151738628125</v>
      </c>
      <c r="AB15" s="6">
        <f t="shared" ca="1" si="11"/>
        <v>6.2080125648413569</v>
      </c>
      <c r="AC15" s="6">
        <f t="shared" ca="1" si="11"/>
        <v>4.2783992322461764</v>
      </c>
      <c r="AD15" s="6">
        <f t="shared" ca="1" si="11"/>
        <v>2.9029467879128985</v>
      </c>
      <c r="AE15" s="6">
        <f t="shared" ca="1" si="11"/>
        <v>1.9392651542168216</v>
      </c>
      <c r="AF15" s="6">
        <f t="shared" ca="1" si="11"/>
        <v>1.2755426187972125</v>
      </c>
      <c r="AG15" s="6">
        <f t="shared" ca="1" si="11"/>
        <v>0.82611141921424336</v>
      </c>
      <c r="AH15" s="6">
        <f t="shared" ca="1" si="11"/>
        <v>0.52686616775424111</v>
      </c>
      <c r="AI15" s="6">
        <f t="shared" ca="1" si="11"/>
        <v>0.33091567210260342</v>
      </c>
      <c r="AJ15" s="6">
        <f t="shared" ca="1" si="11"/>
        <v>0.20470640809974738</v>
      </c>
    </row>
    <row r="16" spans="1:36" ht="17.25" thickBot="1" x14ac:dyDescent="0.3">
      <c r="A16" s="36">
        <f t="shared" ca="1" si="1"/>
        <v>0</v>
      </c>
      <c r="B16" s="14">
        <f t="shared" ca="1" si="2"/>
        <v>0</v>
      </c>
      <c r="C16" s="14">
        <f>SUMIFS(指數型權證!$AH$1:$AH$49,指數型權證!$AL$1:$AL$49,"7",指數型權證!$AJ$1:$AJ$49,J16,指數型權證!$AM$1:$AM$49,"Call")</f>
        <v>0</v>
      </c>
      <c r="D16" s="14">
        <f t="shared" ca="1" si="3"/>
        <v>0</v>
      </c>
      <c r="E16" s="17" t="str">
        <f>[3]!'WTX4N0;10500C`267'</f>
        <v>#Get Error</v>
      </c>
      <c r="F16" s="17" t="str">
        <f>[3]!'WTX4N0;10500C`268'</f>
        <v>#Get Error</v>
      </c>
      <c r="G16" s="17" t="str">
        <f>[3]!'WTX4N0;10500C`205'</f>
        <v>#Get Error</v>
      </c>
      <c r="H16" s="19">
        <f t="shared" si="4"/>
        <v>0.6</v>
      </c>
      <c r="I16" s="19">
        <f t="shared" si="4"/>
        <v>0.6</v>
      </c>
      <c r="J16" s="18">
        <f t="shared" si="13"/>
        <v>10500</v>
      </c>
      <c r="K16" s="17" t="str">
        <f>[3]!'WTX4N0;10500P`267'</f>
        <v>#Get Error</v>
      </c>
      <c r="L16" s="17" t="str">
        <f>[3]!'WTX4N0;10500P`268'</f>
        <v>#Get Error</v>
      </c>
      <c r="M16" s="17" t="str">
        <f>[3]!'WTX4N0;10500P`205'</f>
        <v>#Get Error</v>
      </c>
      <c r="N16" s="19">
        <f t="shared" si="5"/>
        <v>0.6</v>
      </c>
      <c r="O16" s="19">
        <f t="shared" si="5"/>
        <v>0.6</v>
      </c>
      <c r="P16" s="14">
        <f t="shared" ca="1" si="12"/>
        <v>0</v>
      </c>
      <c r="Q16" s="14">
        <f>SUMIFS(指數型權證!$AH$1:$AH$49,指數型權證!$AL$1:$AL$49,"7",指數型權證!$AJ$1:$AJ$49,J16,指數型權證!$AM$1:$AM$49,"Put")</f>
        <v>0</v>
      </c>
      <c r="R16" s="14">
        <f t="shared" ca="1" si="6"/>
        <v>0</v>
      </c>
      <c r="S16" s="36">
        <f t="shared" ca="1" si="7"/>
        <v>0</v>
      </c>
      <c r="T16" s="36"/>
      <c r="U16" s="48">
        <f t="shared" ca="1" si="8"/>
        <v>0</v>
      </c>
      <c r="V16" s="48">
        <f t="shared" ca="1" si="9"/>
        <v>0</v>
      </c>
      <c r="W16">
        <f t="shared" si="10"/>
        <v>11500</v>
      </c>
      <c r="X16" s="6">
        <f t="shared" ca="1" si="11"/>
        <v>34.612843969846693</v>
      </c>
      <c r="Y16" s="6">
        <f t="shared" ca="1" si="11"/>
        <v>25.682422824779007</v>
      </c>
      <c r="Z16" s="6">
        <f t="shared" ca="1" si="11"/>
        <v>18.746512496213168</v>
      </c>
      <c r="AA16" s="6">
        <f t="shared" ca="1" si="11"/>
        <v>13.459182368287109</v>
      </c>
      <c r="AB16" s="6">
        <f t="shared" ca="1" si="11"/>
        <v>9.5034130061360909</v>
      </c>
      <c r="AC16" s="6">
        <f t="shared" ca="1" si="11"/>
        <v>6.5988792159071092</v>
      </c>
      <c r="AD16" s="6">
        <f t="shared" ca="1" si="11"/>
        <v>4.5058063056380719</v>
      </c>
      <c r="AE16" s="6">
        <f t="shared" ca="1" si="11"/>
        <v>3.0253923117202755</v>
      </c>
      <c r="AF16" s="6">
        <f t="shared" ca="1" si="11"/>
        <v>1.9975786646485822</v>
      </c>
      <c r="AG16" s="6">
        <f t="shared" ca="1" si="11"/>
        <v>1.2970442121821348</v>
      </c>
      <c r="AH16" s="6">
        <f t="shared" ca="1" si="11"/>
        <v>0.82824387309542646</v>
      </c>
      <c r="AI16" s="6">
        <f t="shared" ca="1" si="11"/>
        <v>0.52016982248222887</v>
      </c>
      <c r="AJ16" s="6">
        <f t="shared" ca="1" si="11"/>
        <v>0.32133092084544457</v>
      </c>
    </row>
    <row r="17" spans="1:36" ht="17.25" thickBot="1" x14ac:dyDescent="0.3">
      <c r="A17" s="36">
        <f t="shared" ca="1" si="1"/>
        <v>0</v>
      </c>
      <c r="B17" s="14">
        <f t="shared" ca="1" si="2"/>
        <v>0</v>
      </c>
      <c r="C17" s="14">
        <f>SUMIFS(指數型權證!$AH$1:$AH$49,指數型權證!$AL$1:$AL$49,"7",指數型權證!$AJ$1:$AJ$49,J17,指數型權證!$AM$1:$AM$49,"Call")</f>
        <v>0</v>
      </c>
      <c r="D17" s="14">
        <f t="shared" ca="1" si="3"/>
        <v>0</v>
      </c>
      <c r="E17" s="17" t="str">
        <f>[3]!'WTX4N0;10600C`267'</f>
        <v>#Get Error</v>
      </c>
      <c r="F17" s="17" t="str">
        <f>[3]!'WTX4N0;10600C`268'</f>
        <v>#Get Error</v>
      </c>
      <c r="G17" s="17" t="str">
        <f>[3]!'WTX4N0;10600C`205'</f>
        <v>#Get Error</v>
      </c>
      <c r="H17" s="19">
        <f t="shared" si="4"/>
        <v>0.6</v>
      </c>
      <c r="I17" s="19">
        <f t="shared" si="4"/>
        <v>0.6</v>
      </c>
      <c r="J17" s="18">
        <f t="shared" si="13"/>
        <v>10600</v>
      </c>
      <c r="K17" s="17" t="str">
        <f>[3]!'WTX4N0;10600P`267'</f>
        <v>#Get Error</v>
      </c>
      <c r="L17" s="17" t="str">
        <f>[3]!'WTX4N0;10600P`268'</f>
        <v>#Get Error</v>
      </c>
      <c r="M17" s="17" t="str">
        <f>[3]!'WTX4N0;10600P`205'</f>
        <v>#Get Error</v>
      </c>
      <c r="N17" s="19">
        <f t="shared" si="5"/>
        <v>0.6</v>
      </c>
      <c r="O17" s="19">
        <f t="shared" si="5"/>
        <v>0.6</v>
      </c>
      <c r="P17" s="14">
        <f t="shared" ca="1" si="12"/>
        <v>0</v>
      </c>
      <c r="Q17" s="14">
        <f>SUMIFS(指數型權證!$AH$1:$AH$49,指數型權證!$AL$1:$AL$49,"7",指數型權證!$AJ$1:$AJ$49,J17,指數型權證!$AM$1:$AM$49,"Put")</f>
        <v>0</v>
      </c>
      <c r="R17" s="14">
        <f t="shared" ca="1" si="6"/>
        <v>0</v>
      </c>
      <c r="S17" s="36">
        <f t="shared" ca="1" si="7"/>
        <v>0</v>
      </c>
      <c r="T17" s="36"/>
      <c r="U17" s="48">
        <f t="shared" ca="1" si="8"/>
        <v>0</v>
      </c>
      <c r="V17" s="48">
        <f t="shared" ca="1" si="9"/>
        <v>0</v>
      </c>
      <c r="W17">
        <f t="shared" si="10"/>
        <v>11600</v>
      </c>
      <c r="X17" s="6">
        <f t="shared" ca="1" si="11"/>
        <v>51.032769986478002</v>
      </c>
      <c r="Y17" s="6">
        <f t="shared" ca="1" si="11"/>
        <v>38.454339384616851</v>
      </c>
      <c r="Z17" s="6">
        <f t="shared" ca="1" si="11"/>
        <v>28.485390384457684</v>
      </c>
      <c r="AA17" s="6">
        <f t="shared" ca="1" si="11"/>
        <v>20.737417542692992</v>
      </c>
      <c r="AB17" s="6">
        <f t="shared" ca="1" si="11"/>
        <v>14.833663167053647</v>
      </c>
      <c r="AC17" s="6">
        <f t="shared" ca="1" si="11"/>
        <v>10.424002468339619</v>
      </c>
      <c r="AD17" s="6">
        <f t="shared" ca="1" si="11"/>
        <v>7.1955758407235306</v>
      </c>
      <c r="AE17" s="6">
        <f t="shared" ca="1" si="11"/>
        <v>4.8787925416501379</v>
      </c>
      <c r="AF17" s="6">
        <f t="shared" ca="1" si="11"/>
        <v>3.2490854195065428</v>
      </c>
      <c r="AG17" s="6">
        <f t="shared" ca="1" si="11"/>
        <v>2.1252561892132324</v>
      </c>
      <c r="AH17" s="6">
        <f t="shared" ca="1" si="11"/>
        <v>1.3654427309316941</v>
      </c>
      <c r="AI17" s="6">
        <f t="shared" ca="1" si="11"/>
        <v>0.86172369695644491</v>
      </c>
      <c r="AJ17" s="6">
        <f t="shared" ca="1" si="11"/>
        <v>0.53422415547875701</v>
      </c>
    </row>
    <row r="18" spans="1:36" ht="17.25" thickBot="1" x14ac:dyDescent="0.3">
      <c r="A18" s="36">
        <f t="shared" ca="1" si="1"/>
        <v>0</v>
      </c>
      <c r="B18" s="14">
        <f t="shared" ca="1" si="2"/>
        <v>0</v>
      </c>
      <c r="C18" s="14">
        <v>0</v>
      </c>
      <c r="D18" s="14">
        <f t="shared" ca="1" si="3"/>
        <v>0</v>
      </c>
      <c r="E18" s="17" t="str">
        <f>[3]!'WTX4N0;10700C`267'</f>
        <v>#Get Error</v>
      </c>
      <c r="F18" s="17" t="str">
        <f>[3]!'WTX4N0;10700C`268'</f>
        <v>#Get Error</v>
      </c>
      <c r="G18" s="17" t="str">
        <f>[3]!'WTX4N0;10700C`205'</f>
        <v>#Get Error</v>
      </c>
      <c r="H18" s="19">
        <f t="shared" si="4"/>
        <v>0.6</v>
      </c>
      <c r="I18" s="19">
        <f t="shared" si="4"/>
        <v>0.6</v>
      </c>
      <c r="J18" s="18">
        <f t="shared" si="13"/>
        <v>10700</v>
      </c>
      <c r="K18" s="17" t="str">
        <f>[3]!'WTX4N0;10700P`267'</f>
        <v>#Get Error</v>
      </c>
      <c r="L18" s="17" t="str">
        <f>[3]!'WTX4N0;10700P`268'</f>
        <v>#Get Error</v>
      </c>
      <c r="M18" s="17" t="str">
        <f>[3]!'WTX4N0;10700P`205'</f>
        <v>#Get Error</v>
      </c>
      <c r="N18" s="19">
        <f t="shared" si="5"/>
        <v>0.6</v>
      </c>
      <c r="O18" s="19">
        <f t="shared" si="5"/>
        <v>0.6</v>
      </c>
      <c r="P18" s="14">
        <f t="shared" ca="1" si="12"/>
        <v>0</v>
      </c>
      <c r="Q18" s="14">
        <f>SUMIFS(指數型權證!$AH$1:$AH$49,指數型權證!$AL$1:$AL$49,"7",指數型權證!$AJ$1:$AJ$49,J18,指數型權證!$AM$1:$AM$49,"Put")</f>
        <v>0</v>
      </c>
      <c r="R18" s="14">
        <f t="shared" ca="1" si="6"/>
        <v>0</v>
      </c>
      <c r="S18" s="36">
        <f t="shared" ca="1" si="7"/>
        <v>0</v>
      </c>
      <c r="T18" s="36"/>
      <c r="U18" s="48">
        <f t="shared" ca="1" si="8"/>
        <v>0</v>
      </c>
      <c r="V18" s="48">
        <f t="shared" ca="1" si="9"/>
        <v>0</v>
      </c>
      <c r="W18">
        <f t="shared" si="10"/>
        <v>11700</v>
      </c>
      <c r="X18" s="6">
        <f t="shared" ca="1" si="11"/>
        <v>71.648057807977864</v>
      </c>
      <c r="Y18" s="6">
        <f t="shared" ca="1" si="11"/>
        <v>54.553160700655653</v>
      </c>
      <c r="Z18" s="6">
        <f t="shared" ca="1" si="11"/>
        <v>40.779408201136491</v>
      </c>
      <c r="AA18" s="6">
        <f t="shared" ca="1" si="11"/>
        <v>29.912393374302219</v>
      </c>
      <c r="AB18" s="6">
        <f t="shared" ca="1" si="11"/>
        <v>21.522000102128821</v>
      </c>
      <c r="AC18" s="6">
        <f t="shared" ca="1" si="11"/>
        <v>15.184728278145695</v>
      </c>
      <c r="AD18" s="6">
        <f t="shared" ca="1" si="11"/>
        <v>10.503378581097378</v>
      </c>
      <c r="AE18" s="6">
        <f t="shared" ca="1" si="11"/>
        <v>7.1216527968052263</v>
      </c>
      <c r="AF18" s="6">
        <f t="shared" ca="1" si="11"/>
        <v>4.7327944248419307</v>
      </c>
      <c r="AG18" s="6">
        <f t="shared" ca="1" si="11"/>
        <v>3.0825797759420257</v>
      </c>
      <c r="AH18" s="6">
        <f t="shared" ca="1" si="11"/>
        <v>1.9677147220848639</v>
      </c>
      <c r="AI18" s="6">
        <f t="shared" ca="1" si="11"/>
        <v>1.2310236609013785</v>
      </c>
      <c r="AJ18" s="6">
        <f t="shared" ca="1" si="11"/>
        <v>0.75482179116815051</v>
      </c>
    </row>
    <row r="19" spans="1:36" ht="17.25" thickBot="1" x14ac:dyDescent="0.3">
      <c r="A19" s="36">
        <f t="shared" ca="1" si="1"/>
        <v>0</v>
      </c>
      <c r="B19" s="14">
        <f t="shared" ca="1" si="2"/>
        <v>0</v>
      </c>
      <c r="C19" s="14">
        <v>0</v>
      </c>
      <c r="D19" s="14">
        <f t="shared" ca="1" si="3"/>
        <v>0</v>
      </c>
      <c r="E19" s="17" t="str">
        <f>[3]!'WTX4N0;10800C`267'</f>
        <v>#Get Error</v>
      </c>
      <c r="F19" s="17" t="str">
        <f>[3]!'WTX4N0;10800C`268'</f>
        <v>#Get Error</v>
      </c>
      <c r="G19" s="17" t="str">
        <f>[3]!'WTX4N0;10800C`205'</f>
        <v>#Get Error</v>
      </c>
      <c r="H19" s="19">
        <f t="shared" si="4"/>
        <v>0.6</v>
      </c>
      <c r="I19" s="19">
        <f t="shared" si="4"/>
        <v>0.6</v>
      </c>
      <c r="J19" s="18">
        <f t="shared" si="13"/>
        <v>10800</v>
      </c>
      <c r="K19" s="17" t="str">
        <f>[3]!'WTX4N0;10800P`267'</f>
        <v>#Get Error</v>
      </c>
      <c r="L19" s="17" t="str">
        <f>[3]!'WTX4N0;10800P`268'</f>
        <v>#Get Error</v>
      </c>
      <c r="M19" s="17" t="str">
        <f>[3]!'WTX4N0;10800P`205'</f>
        <v>#Get Error</v>
      </c>
      <c r="N19" s="19">
        <f t="shared" si="5"/>
        <v>0.6</v>
      </c>
      <c r="O19" s="19">
        <f t="shared" si="5"/>
        <v>0.6</v>
      </c>
      <c r="P19" s="14">
        <f t="shared" ca="1" si="12"/>
        <v>0</v>
      </c>
      <c r="Q19" s="14">
        <f>SUMIFS(指數型權證!$AH$1:$AH$49,指數型權證!$AL$1:$AL$49,"7",指數型權證!$AJ$1:$AJ$49,J19,指數型權證!$AM$1:$AM$49,"Put")</f>
        <v>0</v>
      </c>
      <c r="R19" s="14">
        <f t="shared" ca="1" si="6"/>
        <v>0</v>
      </c>
      <c r="S19" s="36">
        <f t="shared" ca="1" si="7"/>
        <v>0</v>
      </c>
      <c r="T19" s="36"/>
      <c r="U19" s="48">
        <f t="shared" ca="1" si="8"/>
        <v>0</v>
      </c>
      <c r="V19" s="48">
        <f t="shared" ca="1" si="9"/>
        <v>0</v>
      </c>
      <c r="W19">
        <f t="shared" si="10"/>
        <v>11750</v>
      </c>
      <c r="X19" s="6">
        <f t="shared" ca="1" si="11"/>
        <v>378.28893838209507</v>
      </c>
      <c r="Y19" s="6">
        <f t="shared" ca="1" si="11"/>
        <v>352.11647810834518</v>
      </c>
      <c r="Z19" s="6">
        <f t="shared" ca="1" si="11"/>
        <v>327.29780783462627</v>
      </c>
      <c r="AA19" s="6">
        <f t="shared" ca="1" si="11"/>
        <v>303.79853838624706</v>
      </c>
      <c r="AB19" s="6">
        <f t="shared" ca="1" si="11"/>
        <v>281.58345360947828</v>
      </c>
      <c r="AC19" s="6">
        <f t="shared" ca="1" si="11"/>
        <v>260.61631766809973</v>
      </c>
      <c r="AD19" s="6">
        <f t="shared" ca="1" si="11"/>
        <v>240.85977460692715</v>
      </c>
      <c r="AE19" s="6">
        <f t="shared" ca="1" si="11"/>
        <v>222.27532469459052</v>
      </c>
      <c r="AF19" s="6">
        <f t="shared" ca="1" si="11"/>
        <v>204.82336369293981</v>
      </c>
      <c r="AG19" s="6">
        <f t="shared" ca="1" si="11"/>
        <v>188.4632726707483</v>
      </c>
      <c r="AH19" s="6">
        <f t="shared" ca="1" si="11"/>
        <v>173.15354732148415</v>
      </c>
      <c r="AI19" s="6">
        <f t="shared" ca="1" si="11"/>
        <v>158.85195698395296</v>
      </c>
      <c r="AJ19" s="6">
        <f t="shared" ca="1" si="11"/>
        <v>145.51572471748653</v>
      </c>
    </row>
    <row r="20" spans="1:36" ht="17.25" thickBot="1" x14ac:dyDescent="0.3">
      <c r="A20" s="36">
        <f t="shared" ca="1" si="1"/>
        <v>0</v>
      </c>
      <c r="B20" s="14">
        <f t="shared" ca="1" si="2"/>
        <v>0</v>
      </c>
      <c r="C20" s="14">
        <f>SUMIFS(指數型權證!$AH$1:$AH$49,指數型權證!$AL$1:$AL$49,"7",指數型權證!$AJ$1:$AJ$49,J20,指數型權證!$AM$1:$AM$49,"Call")</f>
        <v>0</v>
      </c>
      <c r="D20" s="14">
        <f t="shared" ca="1" si="3"/>
        <v>0</v>
      </c>
      <c r="E20" s="17">
        <f>[3]!'WTX4N0;10900C`267'</f>
        <v>1200</v>
      </c>
      <c r="F20" s="17">
        <f>[3]!'WTX4N0;10900C`268'</f>
        <v>1430</v>
      </c>
      <c r="G20" s="17" t="str">
        <f>[3]!'WTX4N0;10900C`205'</f>
        <v>-</v>
      </c>
      <c r="H20" s="19">
        <f t="shared" ca="1" si="4"/>
        <v>1.610321044921875E-4</v>
      </c>
      <c r="I20" s="19">
        <f t="shared" ca="1" si="4"/>
        <v>0.70398326110839859</v>
      </c>
      <c r="J20" s="18">
        <f t="shared" si="13"/>
        <v>10900</v>
      </c>
      <c r="K20" s="17">
        <f>[3]!'WTX4N0;10900P`267'</f>
        <v>0.2</v>
      </c>
      <c r="L20" s="17">
        <f>[3]!'WTX4N0;10900P`268'</f>
        <v>1.2</v>
      </c>
      <c r="M20" s="17">
        <f>[3]!'WTX4N0;10900P`205'</f>
        <v>1.1000000000000001</v>
      </c>
      <c r="N20" s="19">
        <f t="shared" ca="1" si="5"/>
        <v>0.2539325225830078</v>
      </c>
      <c r="O20" s="19">
        <f t="shared" ca="1" si="5"/>
        <v>0.30434504089355474</v>
      </c>
      <c r="P20" s="14">
        <f ca="1">GBSGreeks("g", "P",$I$2,$J20,$N$2,$N20, 0,0)*$P$2*50*$I$2*$Q20*-1</f>
        <v>0</v>
      </c>
      <c r="Q20" s="14">
        <f>SUMIFS(指數型權證!$AH$1:$AH$49,指數型權證!$AL$1:$AL$49,"7",指數型權證!$AJ$1:$AJ$49,J20,指數型權證!$AM$1:$AM$49,"Put")</f>
        <v>0</v>
      </c>
      <c r="R20" s="14">
        <f t="shared" ca="1" si="6"/>
        <v>0</v>
      </c>
      <c r="S20" s="36">
        <f t="shared" ca="1" si="7"/>
        <v>0</v>
      </c>
      <c r="T20" s="36"/>
      <c r="U20" s="48">
        <f t="shared" ca="1" si="8"/>
        <v>0</v>
      </c>
      <c r="V20" s="48">
        <f t="shared" ca="1" si="9"/>
        <v>0</v>
      </c>
      <c r="W20">
        <f t="shared" si="10"/>
        <v>11800</v>
      </c>
      <c r="X20" s="6">
        <f t="shared" ca="1" si="11"/>
        <v>105.64788579394259</v>
      </c>
      <c r="Y20" s="6">
        <f t="shared" ca="1" si="11"/>
        <v>82.428354831031484</v>
      </c>
      <c r="Z20" s="6">
        <f t="shared" ca="1" si="11"/>
        <v>63.1722312216964</v>
      </c>
      <c r="AA20" s="6">
        <f t="shared" ca="1" si="11"/>
        <v>47.519853377479038</v>
      </c>
      <c r="AB20" s="6">
        <f t="shared" ca="1" si="11"/>
        <v>35.063848844249684</v>
      </c>
      <c r="AC20" s="6">
        <f t="shared" ca="1" si="11"/>
        <v>25.367252139189038</v>
      </c>
      <c r="AD20" s="6">
        <f t="shared" ca="1" si="11"/>
        <v>17.986940523922975</v>
      </c>
      <c r="AE20" s="6">
        <f t="shared" ca="1" si="11"/>
        <v>12.496563750819325</v>
      </c>
      <c r="AF20" s="6">
        <f t="shared" ca="1" si="11"/>
        <v>8.5052074770491668</v>
      </c>
      <c r="AG20" s="6">
        <f t="shared" ca="1" si="11"/>
        <v>5.6699421490634618</v>
      </c>
      <c r="AH20" s="6">
        <f t="shared" ca="1" si="11"/>
        <v>3.701968727541769</v>
      </c>
      <c r="AI20" s="6">
        <f t="shared" ca="1" si="11"/>
        <v>2.3671583551797255</v>
      </c>
      <c r="AJ20" s="6">
        <f t="shared" ca="1" si="11"/>
        <v>1.4823765164912373</v>
      </c>
    </row>
    <row r="21" spans="1:36" ht="17.25" thickBot="1" x14ac:dyDescent="0.3">
      <c r="A21" s="36">
        <f t="shared" ca="1" si="1"/>
        <v>0</v>
      </c>
      <c r="B21" s="14">
        <f t="shared" ca="1" si="2"/>
        <v>0</v>
      </c>
      <c r="C21" s="14">
        <f>SUMIFS(指數型權證!$AH$1:$AH$49,指數型權證!$AL$1:$AL$49,"7",指數型權證!$AJ$1:$AJ$49,J21,指數型權證!$AM$1:$AM$49,"Call")</f>
        <v>0</v>
      </c>
      <c r="D21" s="14">
        <f t="shared" ca="1" si="3"/>
        <v>0</v>
      </c>
      <c r="E21" s="17">
        <f>[3]!'WTX4N0;11000C`267'</f>
        <v>1100</v>
      </c>
      <c r="F21" s="17">
        <f>[3]!'WTX4N0;11000C`268'</f>
        <v>1330</v>
      </c>
      <c r="G21" s="17" t="str">
        <f>[3]!'WTX4N0;11000C`205'</f>
        <v>-</v>
      </c>
      <c r="H21" s="19">
        <f t="shared" ca="1" si="4"/>
        <v>1.610321044921875E-4</v>
      </c>
      <c r="I21" s="19">
        <f t="shared" ca="1" si="4"/>
        <v>0.66516684265136716</v>
      </c>
      <c r="J21" s="18">
        <f t="shared" si="13"/>
        <v>11000</v>
      </c>
      <c r="K21" s="17">
        <f>[3]!'WTX4N0;11000P`267'</f>
        <v>1</v>
      </c>
      <c r="L21" s="17">
        <f>[3]!'WTX4N0;11000P`268'</f>
        <v>1.2</v>
      </c>
      <c r="M21" s="17">
        <f>[3]!'WTX4N0;11000P`205'</f>
        <v>1.2</v>
      </c>
      <c r="N21" s="19">
        <f t="shared" ca="1" si="5"/>
        <v>0.27700265808105473</v>
      </c>
      <c r="O21" s="19">
        <f t="shared" ca="1" si="5"/>
        <v>0.28298380432128906</v>
      </c>
      <c r="P21" s="14">
        <f t="shared" ca="1" si="12"/>
        <v>0</v>
      </c>
      <c r="Q21" s="14">
        <f>SUMIFS(指數型權證!$AH$1:$AH$49,指數型權證!$AL$1:$AL$49,"7",指數型權證!$AJ$1:$AJ$49,J21,指數型權證!$AM$1:$AM$49,"Put")</f>
        <v>0</v>
      </c>
      <c r="R21" s="14">
        <f t="shared" ca="1" si="6"/>
        <v>0</v>
      </c>
      <c r="S21" s="36">
        <f ca="1">(GBSOption("P",$I$2,$J21,$N$2,N21,0,0)-GBSOption("P",$I$2,$J21,$O$2,N21,0,0))*Q21*50*-1</f>
        <v>0</v>
      </c>
      <c r="T21" s="36"/>
      <c r="U21" s="48">
        <f t="shared" ca="1" si="8"/>
        <v>0</v>
      </c>
      <c r="V21" s="48">
        <f t="shared" ca="1" si="9"/>
        <v>0</v>
      </c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</row>
    <row r="22" spans="1:36" ht="17.25" thickBot="1" x14ac:dyDescent="0.3">
      <c r="A22" s="36">
        <f t="shared" ca="1" si="1"/>
        <v>0</v>
      </c>
      <c r="B22" s="14">
        <f t="shared" ca="1" si="2"/>
        <v>0</v>
      </c>
      <c r="C22" s="14">
        <f>SUMIFS(指數型權證!$AH$1:$AH$49,指數型權證!$AL$1:$AL$49,"7",指數型權證!$AJ$1:$AJ$49,J22,指數型權證!$AM$1:$AM$49,"Call")</f>
        <v>0</v>
      </c>
      <c r="D22" s="14">
        <f t="shared" ca="1" si="3"/>
        <v>0</v>
      </c>
      <c r="E22" s="17">
        <f>[3]!'WTX4N0;11100C`267'</f>
        <v>1000</v>
      </c>
      <c r="F22" s="17">
        <f>[3]!'WTX4N0;11100C`268'</f>
        <v>1230</v>
      </c>
      <c r="G22" s="17" t="str">
        <f>[3]!'WTX4N0;11100C`205'</f>
        <v>-</v>
      </c>
      <c r="H22" s="19">
        <f ca="1">IF(ISNUMBER(GBSImpliedVol("C",E22,$I$2,$J22,$N$2,0,0)),GBSImpliedVol("C",E22,$I$2,$J22,$N$2,0,0),0.6)</f>
        <v>1.610321044921875E-4</v>
      </c>
      <c r="I22" s="19">
        <f t="shared" ca="1" si="4"/>
        <v>0.62622835998535165</v>
      </c>
      <c r="J22" s="18">
        <f t="shared" si="13"/>
        <v>11100</v>
      </c>
      <c r="K22" s="17">
        <f>[3]!'WTX4N0;11100P`267'</f>
        <v>1.4</v>
      </c>
      <c r="L22" s="17">
        <f>[3]!'WTX4N0;11100P`268'</f>
        <v>1.6</v>
      </c>
      <c r="M22" s="17">
        <f>[3]!'WTX4N0;11100P`205'</f>
        <v>1.6</v>
      </c>
      <c r="N22" s="19">
        <f t="shared" ca="1" si="5"/>
        <v>0.26650513610839843</v>
      </c>
      <c r="O22" s="19">
        <f t="shared" ca="1" si="5"/>
        <v>0.27089944763183588</v>
      </c>
      <c r="P22" s="14">
        <f t="shared" ca="1" si="12"/>
        <v>0</v>
      </c>
      <c r="Q22" s="14">
        <f>SUMIFS(指數型權證!$AH$1:$AH$49,指數型權證!$AL$1:$AL$49,"7",指數型權證!$AJ$1:$AJ$49,J22,指數型權證!$AM$1:$AM$49,"Put")</f>
        <v>0</v>
      </c>
      <c r="R22" s="14">
        <f t="shared" ca="1" si="6"/>
        <v>0</v>
      </c>
      <c r="S22" s="36">
        <f t="shared" ca="1" si="7"/>
        <v>0</v>
      </c>
      <c r="T22" s="36"/>
      <c r="U22" s="48">
        <f t="shared" ca="1" si="8"/>
        <v>0</v>
      </c>
      <c r="V22" s="48">
        <f t="shared" ca="1" si="9"/>
        <v>0</v>
      </c>
    </row>
    <row r="23" spans="1:36" ht="17.25" thickBot="1" x14ac:dyDescent="0.3">
      <c r="A23" s="36">
        <f t="shared" ca="1" si="1"/>
        <v>0</v>
      </c>
      <c r="B23" s="14">
        <f t="shared" ca="1" si="2"/>
        <v>0</v>
      </c>
      <c r="C23" s="14">
        <f>SUMIFS(指數型權證!$AH$1:$AH$49,指數型權證!$AL$1:$AL$49,"7",指數型權證!$AJ$1:$AJ$49,J23,指數型權證!$AM$1:$AM$49,"Call")</f>
        <v>0</v>
      </c>
      <c r="D23" s="14">
        <f t="shared" ca="1" si="3"/>
        <v>0</v>
      </c>
      <c r="E23" s="17">
        <f>[3]!'WTX4N0;11200C`267'</f>
        <v>900</v>
      </c>
      <c r="F23" s="17">
        <f>[3]!'WTX4N0;11200C`268'</f>
        <v>1130</v>
      </c>
      <c r="G23" s="17" t="str">
        <f>[3]!'WTX4N0;11200C`205'</f>
        <v>-</v>
      </c>
      <c r="H23" s="19">
        <f ca="1">IF(ISNUMBER(GBSImpliedVol("C",E23,$I$2,$J23,$N$2,0,0)),GBSImpliedVol("C",E23,$I$2,$J23,$N$2,0,0),0.6)</f>
        <v>1.610321044921875E-4</v>
      </c>
      <c r="I23" s="19">
        <f t="shared" ca="1" si="4"/>
        <v>0.58704574890136729</v>
      </c>
      <c r="J23" s="18">
        <f t="shared" si="13"/>
        <v>11200</v>
      </c>
      <c r="K23" s="17">
        <f>[3]!'WTX4N0;11200P`267'</f>
        <v>1.6</v>
      </c>
      <c r="L23" s="17">
        <f>[3]!'WTX4N0;11200P`268'</f>
        <v>2.1</v>
      </c>
      <c r="M23" s="17">
        <f>[3]!'WTX4N0;11200P`205'</f>
        <v>2</v>
      </c>
      <c r="N23" s="19">
        <f t="shared" ca="1" si="5"/>
        <v>0.24892789001464843</v>
      </c>
      <c r="O23" s="19">
        <f t="shared" ca="1" si="5"/>
        <v>0.25796064147949216</v>
      </c>
      <c r="P23" s="14">
        <f t="shared" ca="1" si="12"/>
        <v>0</v>
      </c>
      <c r="Q23" s="14">
        <f>SUMIFS(指數型權證!$AH$1:$AH$49,指數型權證!$AL$1:$AL$49,"7",指數型權證!$AJ$1:$AJ$49,J23,指數型權證!$AM$1:$AM$49,"Put")</f>
        <v>0</v>
      </c>
      <c r="R23" s="14">
        <f t="shared" ca="1" si="6"/>
        <v>0</v>
      </c>
      <c r="S23" s="36">
        <f t="shared" ca="1" si="7"/>
        <v>0</v>
      </c>
      <c r="T23" s="36"/>
      <c r="U23" s="48">
        <f t="shared" ca="1" si="8"/>
        <v>0</v>
      </c>
      <c r="V23" s="48">
        <f t="shared" ca="1" si="9"/>
        <v>0</v>
      </c>
    </row>
    <row r="24" spans="1:36" ht="17.25" thickBot="1" x14ac:dyDescent="0.3">
      <c r="A24" s="36">
        <f t="shared" ca="1" si="1"/>
        <v>0</v>
      </c>
      <c r="B24" s="14">
        <f t="shared" ca="1" si="2"/>
        <v>0</v>
      </c>
      <c r="C24" s="14">
        <f>SUMIFS(指數型權證!$AH$1:$AH$49,指數型權證!$AL$1:$AL$49,"7",指數型權證!$AJ$1:$AJ$49,J24,指數型權證!$AM$1:$AM$49,"Call")</f>
        <v>0</v>
      </c>
      <c r="D24" s="14">
        <f t="shared" ca="1" si="3"/>
        <v>0</v>
      </c>
      <c r="E24" s="17">
        <f>[3]!'WTX4N0;11300C`267'</f>
        <v>925</v>
      </c>
      <c r="F24" s="17">
        <f>[3]!'WTX4N0;11300C`268'</f>
        <v>950</v>
      </c>
      <c r="G24" s="17" t="str">
        <f>[3]!'WTX4N0;11300C`205'</f>
        <v>-</v>
      </c>
      <c r="H24" s="19">
        <f ca="1">IF(ISNUMBER(GBSImpliedVol("C",E24,$I$2,$J24,$N$2,0,0)),GBSImpliedVol("C",E24,$I$2,$J24,$N$2,0,0),0.6)</f>
        <v>1.610321044921875E-4</v>
      </c>
      <c r="I24" s="19">
        <f t="shared" ca="1" si="4"/>
        <v>0.31472049865722662</v>
      </c>
      <c r="J24" s="18">
        <f t="shared" si="13"/>
        <v>11300</v>
      </c>
      <c r="K24" s="17">
        <f>[3]!'WTX4N0;11300P`267'</f>
        <v>1.8</v>
      </c>
      <c r="L24" s="17">
        <f>[3]!'WTX4N0;11300P`268'</f>
        <v>2.1</v>
      </c>
      <c r="M24" s="17">
        <f>[3]!'WTX4N0;11300P`205'</f>
        <v>2.1</v>
      </c>
      <c r="N24" s="19">
        <f t="shared" ca="1" si="5"/>
        <v>0.23049619445800781</v>
      </c>
      <c r="O24" s="19">
        <f t="shared" ca="1" si="5"/>
        <v>0.23537876281738282</v>
      </c>
      <c r="P24" s="14">
        <f t="shared" ca="1" si="12"/>
        <v>0</v>
      </c>
      <c r="Q24" s="14">
        <f>SUMIFS(指數型權證!$AH$1:$AH$49,指數型權證!$AL$1:$AL$49,"7",指數型權證!$AJ$1:$AJ$49,J24,指數型權證!$AM$1:$AM$49,"Put")</f>
        <v>0</v>
      </c>
      <c r="R24" s="14">
        <f t="shared" ca="1" si="6"/>
        <v>0</v>
      </c>
      <c r="S24" s="36">
        <f t="shared" ca="1" si="7"/>
        <v>0</v>
      </c>
      <c r="T24" s="36"/>
      <c r="U24" s="48">
        <f t="shared" ca="1" si="8"/>
        <v>0</v>
      </c>
      <c r="V24" s="48">
        <f t="shared" ca="1" si="9"/>
        <v>0</v>
      </c>
    </row>
    <row r="25" spans="1:36" ht="17.25" thickBot="1" x14ac:dyDescent="0.3">
      <c r="A25" s="36">
        <f t="shared" ca="1" si="1"/>
        <v>0</v>
      </c>
      <c r="B25" s="14">
        <f t="shared" ca="1" si="2"/>
        <v>0</v>
      </c>
      <c r="C25" s="14">
        <f>SUMIFS(指數型權證!$AH$1:$AH$49,指數型權證!$AL$1:$AL$49,"7",指數型權證!$AJ$1:$AJ$49,J25,指數型權證!$AM$1:$AM$49,"Call")</f>
        <v>0</v>
      </c>
      <c r="D25" s="14">
        <f t="shared" ca="1" si="3"/>
        <v>0</v>
      </c>
      <c r="E25" s="17">
        <f>[3]!'WTX4N0;11400C`267'</f>
        <v>830</v>
      </c>
      <c r="F25" s="17">
        <f>[3]!'WTX4N0;11400C`268'</f>
        <v>855</v>
      </c>
      <c r="G25" s="17" t="str">
        <f>[3]!'WTX4N0;11400C`205'</f>
        <v>-</v>
      </c>
      <c r="H25" s="19">
        <f t="shared" ca="1" si="4"/>
        <v>1.610321044921875E-4</v>
      </c>
      <c r="I25" s="19">
        <f t="shared" ca="1" si="4"/>
        <v>0.30922760925292969</v>
      </c>
      <c r="J25" s="18">
        <f t="shared" si="13"/>
        <v>11400</v>
      </c>
      <c r="K25" s="17">
        <f>[3]!'WTX4N0;11400P`267'</f>
        <v>2.9</v>
      </c>
      <c r="L25" s="17">
        <f>[3]!'WTX4N0;11400P`268'</f>
        <v>3.1</v>
      </c>
      <c r="M25" s="17">
        <f>[3]!'WTX4N0;11400P`205'</f>
        <v>3</v>
      </c>
      <c r="N25" s="19">
        <f t="shared" ca="1" si="5"/>
        <v>0.22292821350097658</v>
      </c>
      <c r="O25" s="19">
        <f t="shared" ca="1" si="5"/>
        <v>0.2251253692626953</v>
      </c>
      <c r="P25" s="14">
        <f t="shared" ca="1" si="12"/>
        <v>0</v>
      </c>
      <c r="Q25" s="14">
        <f>SUMIFS(指數型權證!$AH$1:$AH$49,指數型權證!$AL$1:$AL$49,"7",指數型權證!$AJ$1:$AJ$49,J25,指數型權證!$AM$1:$AM$49,"Put")</f>
        <v>0</v>
      </c>
      <c r="R25" s="14">
        <f t="shared" ca="1" si="6"/>
        <v>0</v>
      </c>
      <c r="S25" s="36">
        <f t="shared" ca="1" si="7"/>
        <v>0</v>
      </c>
      <c r="T25" s="36"/>
      <c r="U25" s="48">
        <f t="shared" ca="1" si="8"/>
        <v>0</v>
      </c>
      <c r="V25" s="48">
        <f t="shared" ca="1" si="9"/>
        <v>0</v>
      </c>
    </row>
    <row r="26" spans="1:36" ht="17.25" thickBot="1" x14ac:dyDescent="0.3">
      <c r="A26" s="36">
        <f t="shared" ca="1" si="1"/>
        <v>0</v>
      </c>
      <c r="B26" s="14">
        <f t="shared" ca="1" si="2"/>
        <v>0</v>
      </c>
      <c r="C26" s="14">
        <f>SUMIFS(指數型權證!$AH$1:$AH$49,指數型權證!$AL$1:$AL$49,"7",指數型權證!$AJ$1:$AJ$49,J26,指數型權證!$AM$1:$AM$49,"Call")</f>
        <v>0</v>
      </c>
      <c r="D26" s="14">
        <f t="shared" ca="1" si="3"/>
        <v>0</v>
      </c>
      <c r="E26" s="17">
        <f>[3]!'WTX4N0;11500C`267'</f>
        <v>725</v>
      </c>
      <c r="F26" s="17">
        <f>[3]!'WTX4N0;11500C`268'</f>
        <v>755</v>
      </c>
      <c r="G26" s="17" t="str">
        <f>[3]!'WTX4N0;11500C`205'</f>
        <v>-</v>
      </c>
      <c r="H26" s="19">
        <f t="shared" ca="1" si="4"/>
        <v>1.610321044921875E-4</v>
      </c>
      <c r="I26" s="19">
        <f t="shared" ca="1" si="4"/>
        <v>0.27919981384277348</v>
      </c>
      <c r="J26" s="18">
        <f t="shared" si="13"/>
        <v>11500</v>
      </c>
      <c r="K26" s="17">
        <f>[3]!'WTX4N0;11500P`267'</f>
        <v>4.5</v>
      </c>
      <c r="L26" s="17">
        <f>[3]!'WTX4N0;11500P`268'</f>
        <v>5.4</v>
      </c>
      <c r="M26" s="17">
        <f>[3]!'WTX4N0;11500P`205'</f>
        <v>5.4</v>
      </c>
      <c r="N26" s="19">
        <f t="shared" ca="1" si="5"/>
        <v>0.21401752624511719</v>
      </c>
      <c r="O26" s="19">
        <f t="shared" ca="1" si="5"/>
        <v>0.22085312194824219</v>
      </c>
      <c r="P26" s="14">
        <f t="shared" ca="1" si="12"/>
        <v>0</v>
      </c>
      <c r="Q26" s="14">
        <f>SUMIFS(指數型權證!$AH$1:$AH$49,指數型權證!$AL$1:$AL$49,"7",指數型權證!$AJ$1:$AJ$49,J26,指數型權證!$AM$1:$AM$49,"Put")</f>
        <v>0</v>
      </c>
      <c r="R26" s="14">
        <f t="shared" ca="1" si="6"/>
        <v>0</v>
      </c>
      <c r="S26" s="36">
        <f t="shared" ca="1" si="7"/>
        <v>0</v>
      </c>
      <c r="T26" s="36"/>
      <c r="U26" s="48">
        <f t="shared" ca="1" si="8"/>
        <v>0</v>
      </c>
      <c r="V26" s="48">
        <f t="shared" ca="1" si="9"/>
        <v>0</v>
      </c>
    </row>
    <row r="27" spans="1:36" ht="17.25" thickBot="1" x14ac:dyDescent="0.3">
      <c r="A27" s="36">
        <f t="shared" ca="1" si="1"/>
        <v>0</v>
      </c>
      <c r="B27" s="14">
        <f t="shared" ca="1" si="2"/>
        <v>0</v>
      </c>
      <c r="C27" s="14">
        <f>SUMIFS(指數型權證!$AH$1:$AH$49,指數型權證!$AL$1:$AL$49,"7",指數型權證!$AJ$1:$AJ$49,J27,指數型權證!$AM$1:$AM$49,"Call")</f>
        <v>0</v>
      </c>
      <c r="D27" s="14">
        <f t="shared" ca="1" si="3"/>
        <v>0</v>
      </c>
      <c r="E27" s="17">
        <f>[3]!'WTX4N0;11600C`267'</f>
        <v>640</v>
      </c>
      <c r="F27" s="17">
        <f>[3]!'WTX4N0;11600C`268'</f>
        <v>655</v>
      </c>
      <c r="G27" s="17" t="str">
        <f>[3]!'WTX4N0;11600C`205'</f>
        <v>-</v>
      </c>
      <c r="H27" s="19">
        <f t="shared" ca="1" si="4"/>
        <v>0.16580216369628906</v>
      </c>
      <c r="I27" s="19">
        <f t="shared" ca="1" si="4"/>
        <v>0.24892789001464843</v>
      </c>
      <c r="J27" s="18">
        <f t="shared" si="13"/>
        <v>11600</v>
      </c>
      <c r="K27" s="17">
        <f>[3]!'WTX4N0;11600P`267'</f>
        <v>7.2</v>
      </c>
      <c r="L27" s="17">
        <f>[3]!'WTX4N0;11600P`268'</f>
        <v>8</v>
      </c>
      <c r="M27" s="17">
        <f>[3]!'WTX4N0;11600P`205'</f>
        <v>7.4</v>
      </c>
      <c r="N27" s="19">
        <f t="shared" ca="1" si="5"/>
        <v>0.20608335266113284</v>
      </c>
      <c r="O27" s="19">
        <f t="shared" ca="1" si="5"/>
        <v>0.21047766418457034</v>
      </c>
      <c r="P27" s="14">
        <f t="shared" ca="1" si="12"/>
        <v>0</v>
      </c>
      <c r="Q27" s="14">
        <f>SUMIFS(指數型權證!$AH$1:$AH$49,指數型權證!$AL$1:$AL$49,"7",指數型權證!$AJ$1:$AJ$49,J27,指數型權證!$AM$1:$AM$49,"Put")</f>
        <v>0</v>
      </c>
      <c r="R27" s="14">
        <f t="shared" ca="1" si="6"/>
        <v>0</v>
      </c>
      <c r="S27" s="36">
        <f t="shared" ca="1" si="7"/>
        <v>0</v>
      </c>
      <c r="T27" s="36"/>
      <c r="U27" s="48">
        <f t="shared" ca="1" si="8"/>
        <v>0</v>
      </c>
      <c r="V27" s="48">
        <f t="shared" ca="1" si="9"/>
        <v>0</v>
      </c>
    </row>
    <row r="28" spans="1:36" ht="17.25" thickBot="1" x14ac:dyDescent="0.3">
      <c r="A28" s="36">
        <f t="shared" ca="1" si="1"/>
        <v>0</v>
      </c>
      <c r="B28" s="14">
        <f t="shared" ca="1" si="2"/>
        <v>0</v>
      </c>
      <c r="C28" s="14">
        <f>SUMIFS(指數型權證!$AH$1:$AH$49,指數型權證!$AL$1:$AL$49,"7",指數型權證!$AJ$1:$AJ$49,J28,指數型權證!$AM$1:$AM$49,"Call")</f>
        <v>0</v>
      </c>
      <c r="D28" s="14">
        <f t="shared" ca="1" si="3"/>
        <v>0</v>
      </c>
      <c r="E28" s="17">
        <f>[3]!'WTX4N0;11700C`267'</f>
        <v>545</v>
      </c>
      <c r="F28" s="17">
        <f>[3]!'WTX4N0;11700C`268'</f>
        <v>555</v>
      </c>
      <c r="G28" s="17" t="str">
        <f>[3]!'WTX4N0;11700C`205'</f>
        <v>-</v>
      </c>
      <c r="H28" s="19">
        <f t="shared" ca="1" si="4"/>
        <v>0.1780085845947266</v>
      </c>
      <c r="I28" s="19">
        <f t="shared" ca="1" si="4"/>
        <v>0.21816770935058594</v>
      </c>
      <c r="J28" s="18">
        <f t="shared" si="13"/>
        <v>11700</v>
      </c>
      <c r="K28" s="17">
        <f>[3]!'WTX4N0;11700P`267'</f>
        <v>10.5</v>
      </c>
      <c r="L28" s="17">
        <f>[3]!'WTX4N0;11700P`268'</f>
        <v>11.5</v>
      </c>
      <c r="M28" s="17">
        <f>[3]!'WTX4N0;11700P`205'</f>
        <v>11</v>
      </c>
      <c r="N28" s="19">
        <f t="shared" ca="1" si="5"/>
        <v>0.19424312438964841</v>
      </c>
      <c r="O28" s="19">
        <f t="shared" ca="1" si="5"/>
        <v>0.1982712432861328</v>
      </c>
      <c r="P28" s="14">
        <f t="shared" ca="1" si="12"/>
        <v>0</v>
      </c>
      <c r="Q28" s="14">
        <f>SUMIFS(指數型權證!$AH$1:$AH$49,指數型權證!$AL$1:$AL$49,"7",指數型權證!$AJ$1:$AJ$49,J28,指數型權證!$AM$1:$AM$49,"Put")</f>
        <v>0</v>
      </c>
      <c r="R28" s="14">
        <f t="shared" ca="1" si="6"/>
        <v>0</v>
      </c>
      <c r="S28" s="36">
        <f t="shared" ca="1" si="7"/>
        <v>0</v>
      </c>
      <c r="T28" s="36"/>
      <c r="U28" s="48">
        <f t="shared" ca="1" si="8"/>
        <v>0</v>
      </c>
      <c r="V28" s="48">
        <f t="shared" ca="1" si="9"/>
        <v>0</v>
      </c>
    </row>
    <row r="29" spans="1:36" ht="17.25" thickBot="1" x14ac:dyDescent="0.3">
      <c r="A29" s="36">
        <f t="shared" ca="1" si="1"/>
        <v>0</v>
      </c>
      <c r="B29" s="14">
        <f t="shared" ca="1" si="2"/>
        <v>0</v>
      </c>
      <c r="C29" s="14">
        <f>SUMIFS(指數型權證!$AH$1:$AH$49,指數型權證!$AL$1:$AL$49,"7",指數型權證!$AJ$1:$AJ$49,J29,指數型權證!$AM$1:$AM$49,"Call")</f>
        <v>0</v>
      </c>
      <c r="D29" s="14">
        <f t="shared" ca="1" si="3"/>
        <v>0</v>
      </c>
      <c r="E29" s="17" t="str">
        <f>[3]!'WTX4N0;11750C`267'</f>
        <v>#Get Error</v>
      </c>
      <c r="F29" s="17" t="str">
        <f>[3]!'WTX4N0;11750C`268'</f>
        <v>#Get Error</v>
      </c>
      <c r="G29" s="17" t="str">
        <f>[3]!'WTX4N0;11750C`205'</f>
        <v>#Get Error</v>
      </c>
      <c r="H29" s="19">
        <f t="shared" si="4"/>
        <v>0.6</v>
      </c>
      <c r="I29" s="19">
        <f t="shared" si="4"/>
        <v>0.6</v>
      </c>
      <c r="J29" s="18">
        <f>J28+50</f>
        <v>11750</v>
      </c>
      <c r="K29" s="17" t="str">
        <f>[3]!'WTX4N0;11750P`267'</f>
        <v>#Get Error</v>
      </c>
      <c r="L29" s="17" t="str">
        <f>[3]!'WTX4N0;11750P`268'</f>
        <v>#Get Error</v>
      </c>
      <c r="M29" s="17" t="str">
        <f>[3]!'WTX4N0;11750P`205'</f>
        <v>#Get Error</v>
      </c>
      <c r="N29" s="19">
        <f t="shared" si="5"/>
        <v>0.6</v>
      </c>
      <c r="O29" s="19">
        <f t="shared" si="5"/>
        <v>0.6</v>
      </c>
      <c r="P29" s="14">
        <f t="shared" ca="1" si="12"/>
        <v>0</v>
      </c>
      <c r="Q29" s="14">
        <f>SUMIFS(指數型權證!$AH$1:$AH$49,指數型權證!$AL$1:$AL$49,"7",指數型權證!$AJ$1:$AJ$49,J29,指數型權證!$AM$1:$AM$49,"Put")</f>
        <v>0</v>
      </c>
      <c r="R29" s="14">
        <f t="shared" ca="1" si="6"/>
        <v>0</v>
      </c>
      <c r="S29" s="36">
        <f t="shared" ca="1" si="7"/>
        <v>0</v>
      </c>
      <c r="T29" s="36"/>
      <c r="U29" s="48">
        <f t="shared" ca="1" si="8"/>
        <v>0</v>
      </c>
      <c r="V29" s="48">
        <f t="shared" ca="1" si="9"/>
        <v>0</v>
      </c>
    </row>
    <row r="30" spans="1:36" ht="17.25" thickBot="1" x14ac:dyDescent="0.3">
      <c r="A30" s="36">
        <f t="shared" ca="1" si="1"/>
        <v>0</v>
      </c>
      <c r="B30" s="14">
        <f t="shared" ca="1" si="2"/>
        <v>0</v>
      </c>
      <c r="C30" s="14">
        <f>SUMIFS(指數型權證!$AH$1:$AH$49,指數型權證!$AL$1:$AL$49,"7",指數型權證!$AJ$1:$AJ$49,J30,指數型權證!$AM$1:$AM$49,"Call")</f>
        <v>0</v>
      </c>
      <c r="D30" s="14">
        <f t="shared" ca="1" si="3"/>
        <v>0</v>
      </c>
      <c r="E30" s="17">
        <f>[3]!'WTX4N0;11800C`267'</f>
        <v>449</v>
      </c>
      <c r="F30" s="17">
        <f>[3]!'WTX4N0;11800C`268'</f>
        <v>461</v>
      </c>
      <c r="G30" s="17">
        <f>[3]!'WTX4N0;11800C`205'</f>
        <v>449</v>
      </c>
      <c r="H30" s="19">
        <f t="shared" ca="1" si="4"/>
        <v>0.16702280578613279</v>
      </c>
      <c r="I30" s="19">
        <f t="shared" ca="1" si="4"/>
        <v>0.20364206848144531</v>
      </c>
      <c r="J30" s="18">
        <f t="shared" ref="J30:J44" si="14">J29+50</f>
        <v>11800</v>
      </c>
      <c r="K30" s="17">
        <f>[3]!'WTX4N0;11800P`267'</f>
        <v>18</v>
      </c>
      <c r="L30" s="17">
        <f>[3]!'WTX4N0;11800P`268'</f>
        <v>18.5</v>
      </c>
      <c r="M30" s="17">
        <f>[3]!'WTX4N0;11800P`205'</f>
        <v>18</v>
      </c>
      <c r="N30" s="19">
        <f t="shared" ca="1" si="5"/>
        <v>0.18972674865722658</v>
      </c>
      <c r="O30" s="19">
        <f t="shared" ca="1" si="5"/>
        <v>0.19119151916503907</v>
      </c>
      <c r="P30" s="14">
        <f t="shared" ca="1" si="12"/>
        <v>0</v>
      </c>
      <c r="Q30" s="14">
        <f>SUMIFS(指數型權證!$AH$1:$AH$49,指數型權證!$AL$1:$AL$49,"7",指數型權證!$AJ$1:$AJ$49,J30,指數型權證!$AM$1:$AM$49,"Put")</f>
        <v>0</v>
      </c>
      <c r="R30" s="14">
        <f t="shared" ca="1" si="6"/>
        <v>0</v>
      </c>
      <c r="S30" s="36">
        <f t="shared" ca="1" si="7"/>
        <v>0</v>
      </c>
      <c r="T30" s="36"/>
      <c r="U30" s="48">
        <f t="shared" ca="1" si="8"/>
        <v>0</v>
      </c>
      <c r="V30" s="48">
        <f t="shared" ca="1" si="9"/>
        <v>0</v>
      </c>
    </row>
    <row r="31" spans="1:36" ht="17.25" thickBot="1" x14ac:dyDescent="0.3">
      <c r="A31" s="36">
        <f t="shared" ca="1" si="1"/>
        <v>0</v>
      </c>
      <c r="B31" s="14">
        <f t="shared" ca="1" si="2"/>
        <v>0</v>
      </c>
      <c r="C31" s="14">
        <f>SUMIFS(指數型權證!$AH$1:$AH$49,指數型權證!$AL$1:$AL$49,"7",指數型權證!$AJ$1:$AJ$49,J31,指數型權證!$AM$1:$AM$49,"Call")</f>
        <v>0</v>
      </c>
      <c r="D31" s="14">
        <f t="shared" ca="1" si="3"/>
        <v>0</v>
      </c>
      <c r="E31" s="17">
        <f>[3]!'WTX4N0;11850C`267'</f>
        <v>409</v>
      </c>
      <c r="F31" s="17">
        <f>[3]!'WTX4N0;11850C`268'</f>
        <v>415</v>
      </c>
      <c r="G31" s="17">
        <f>[3]!'WTX4N0;11850C`205'</f>
        <v>410</v>
      </c>
      <c r="H31" s="19">
        <f t="shared" ca="1" si="4"/>
        <v>0.18167051086425784</v>
      </c>
      <c r="I31" s="19">
        <f t="shared" ca="1" si="4"/>
        <v>0.19656234436035158</v>
      </c>
      <c r="J31" s="18">
        <f t="shared" si="14"/>
        <v>11850</v>
      </c>
      <c r="K31" s="17">
        <f>[3]!'WTX4N0;11850P`267'</f>
        <v>23</v>
      </c>
      <c r="L31" s="17">
        <f>[3]!'WTX4N0;11850P`268'</f>
        <v>23.5</v>
      </c>
      <c r="M31" s="17">
        <f>[3]!'WTX4N0;11850P`205'</f>
        <v>23.5</v>
      </c>
      <c r="N31" s="19">
        <f t="shared" ca="1" si="5"/>
        <v>0.18679720764160157</v>
      </c>
      <c r="O31" s="19">
        <f t="shared" ca="1" si="5"/>
        <v>0.18801784973144534</v>
      </c>
      <c r="P31" s="14">
        <f t="shared" ca="1" si="12"/>
        <v>0</v>
      </c>
      <c r="Q31" s="14">
        <f>SUMIFS(指數型權證!$AH$1:$AH$49,指數型權證!$AL$1:$AL$49,"7",指數型權證!$AJ$1:$AJ$49,J31,指數型權證!$AM$1:$AM$49,"Put")</f>
        <v>0</v>
      </c>
      <c r="R31" s="14">
        <f t="shared" ca="1" si="6"/>
        <v>0</v>
      </c>
      <c r="S31" s="36">
        <f t="shared" ca="1" si="7"/>
        <v>0</v>
      </c>
      <c r="T31" s="36"/>
      <c r="U31" s="48">
        <f t="shared" ca="1" si="8"/>
        <v>0</v>
      </c>
      <c r="V31" s="48">
        <f t="shared" ca="1" si="9"/>
        <v>0</v>
      </c>
    </row>
    <row r="32" spans="1:36" ht="17.25" thickBot="1" x14ac:dyDescent="0.3">
      <c r="A32" s="36">
        <f t="shared" ca="1" si="1"/>
        <v>0</v>
      </c>
      <c r="B32" s="14">
        <f t="shared" ca="1" si="2"/>
        <v>0</v>
      </c>
      <c r="C32" s="14">
        <f>SUMIFS(指數型權證!$AH$1:$AH$49,指數型權證!$AL$1:$AL$49,"7",指數型權證!$AJ$1:$AJ$49,J32,指數型權證!$AM$1:$AM$49,"Call")</f>
        <v>0</v>
      </c>
      <c r="D32" s="14">
        <f t="shared" ca="1" si="3"/>
        <v>0</v>
      </c>
      <c r="E32" s="17">
        <f>[3]!'WTX4N0;11900C`267'</f>
        <v>365</v>
      </c>
      <c r="F32" s="17">
        <f>[3]!'WTX4N0;11900C`268'</f>
        <v>369</v>
      </c>
      <c r="G32" s="17">
        <f>[3]!'WTX4N0;11900C`205'</f>
        <v>359</v>
      </c>
      <c r="H32" s="19">
        <f t="shared" ca="1" si="4"/>
        <v>0.17886303405761719</v>
      </c>
      <c r="I32" s="19">
        <f t="shared" ca="1" si="4"/>
        <v>0.18765165710449219</v>
      </c>
      <c r="J32" s="18">
        <f t="shared" si="14"/>
        <v>11900</v>
      </c>
      <c r="K32" s="17">
        <f>[3]!'WTX4N0;11900P`267'</f>
        <v>29</v>
      </c>
      <c r="L32" s="17">
        <f>[3]!'WTX4N0;11900P`268'</f>
        <v>30</v>
      </c>
      <c r="M32" s="17">
        <f>[3]!'WTX4N0;11900P`205'</f>
        <v>29.5</v>
      </c>
      <c r="N32" s="19">
        <f t="shared" ca="1" si="5"/>
        <v>0.18337940979003908</v>
      </c>
      <c r="O32" s="19">
        <f t="shared" ca="1" si="5"/>
        <v>0.18557656555175783</v>
      </c>
      <c r="P32" s="14">
        <f t="shared" ca="1" si="12"/>
        <v>0</v>
      </c>
      <c r="Q32" s="14">
        <f>SUMIFS(指數型權證!$AH$1:$AH$49,指數型權證!$AL$1:$AL$49,"7",指數型權證!$AJ$1:$AJ$49,J32,指數型權證!$AM$1:$AM$49,"Put")</f>
        <v>0</v>
      </c>
      <c r="R32" s="14">
        <f t="shared" ca="1" si="6"/>
        <v>0</v>
      </c>
      <c r="S32" s="36">
        <f t="shared" ca="1" si="7"/>
        <v>0</v>
      </c>
      <c r="T32" s="36"/>
      <c r="U32" s="48">
        <f t="shared" ca="1" si="8"/>
        <v>0</v>
      </c>
      <c r="V32" s="48">
        <f t="shared" ca="1" si="9"/>
        <v>0</v>
      </c>
    </row>
    <row r="33" spans="1:22" ht="17.25" thickBot="1" x14ac:dyDescent="0.3">
      <c r="A33" s="36">
        <f t="shared" ca="1" si="1"/>
        <v>0</v>
      </c>
      <c r="B33" s="14">
        <f t="shared" ca="1" si="2"/>
        <v>0</v>
      </c>
      <c r="C33" s="14">
        <f>SUMIFS(指數型權證!$AH$1:$AH$49,指數型權證!$AL$1:$AL$49,"7",指數型權證!$AJ$1:$AJ$49,J33,指數型權證!$AM$1:$AM$49,"Call")</f>
        <v>0</v>
      </c>
      <c r="D33" s="14">
        <f t="shared" ca="1" si="3"/>
        <v>0</v>
      </c>
      <c r="E33" s="17">
        <f>[3]!'WTX4N0;11950C`267'</f>
        <v>322</v>
      </c>
      <c r="F33" s="17">
        <f>[3]!'WTX4N0;11950C`268'</f>
        <v>328</v>
      </c>
      <c r="G33" s="17">
        <f>[3]!'WTX4N0;11950C`205'</f>
        <v>312</v>
      </c>
      <c r="H33" s="19">
        <f t="shared" ca="1" si="4"/>
        <v>0.17520110778808595</v>
      </c>
      <c r="I33" s="19">
        <f t="shared" ca="1" si="4"/>
        <v>0.18679720764160157</v>
      </c>
      <c r="J33" s="18">
        <f t="shared" si="14"/>
        <v>11950</v>
      </c>
      <c r="K33" s="17">
        <f>[3]!'WTX4N0;11950P`267'</f>
        <v>36.5</v>
      </c>
      <c r="L33" s="17">
        <f>[3]!'WTX4N0;11950P`268'</f>
        <v>37.5</v>
      </c>
      <c r="M33" s="17">
        <f>[3]!'WTX4N0;11950P`205'</f>
        <v>37</v>
      </c>
      <c r="N33" s="19">
        <f t="shared" ca="1" si="5"/>
        <v>0.18008367614746096</v>
      </c>
      <c r="O33" s="19">
        <f t="shared" ca="1" si="5"/>
        <v>0.18203670349121095</v>
      </c>
      <c r="P33" s="14">
        <f t="shared" ca="1" si="12"/>
        <v>0</v>
      </c>
      <c r="Q33" s="14">
        <v>0</v>
      </c>
      <c r="R33" s="14">
        <f ca="1">GBSGreeks("d", "P",$I$2,$J33,$N$2,$N33, 0,0)*50*$I$2*Q33</f>
        <v>0</v>
      </c>
      <c r="S33" s="36">
        <f ca="1">(GBSOption("P",$I$2,$J33,$N$2,N33,0,0)-GBSOption("P",$I$2,$J33,$O$2,N33,0,0))*Q33*50*-1</f>
        <v>0</v>
      </c>
      <c r="T33" s="36"/>
      <c r="U33" s="48">
        <f t="shared" ca="1" si="8"/>
        <v>0</v>
      </c>
      <c r="V33" s="48">
        <f t="shared" ca="1" si="9"/>
        <v>0</v>
      </c>
    </row>
    <row r="34" spans="1:22" ht="17.25" thickBot="1" x14ac:dyDescent="0.3">
      <c r="A34" s="36">
        <f t="shared" ca="1" si="1"/>
        <v>0</v>
      </c>
      <c r="B34" s="14">
        <f t="shared" ca="1" si="2"/>
        <v>0</v>
      </c>
      <c r="C34" s="14">
        <f>SUMIFS(指數型權證!$AH$1:$AH$49,指數型權證!$AL$1:$AL$49,"7",指數型權證!$AJ$1:$AJ$49,J34,指數型權證!$AM$1:$AM$49,"Call")</f>
        <v>0</v>
      </c>
      <c r="D34" s="14">
        <f t="shared" ca="1" si="3"/>
        <v>0</v>
      </c>
      <c r="E34" s="17">
        <f>[3]!'WTX4N0;12000C`267'</f>
        <v>283</v>
      </c>
      <c r="F34" s="17">
        <f>[3]!'WTX4N0;12000C`268'</f>
        <v>286</v>
      </c>
      <c r="G34" s="17">
        <f>[3]!'WTX4N0;12000C`205'</f>
        <v>284</v>
      </c>
      <c r="H34" s="19">
        <f t="shared" ca="1" si="4"/>
        <v>0.1755673004150391</v>
      </c>
      <c r="I34" s="19">
        <f t="shared" ca="1" si="4"/>
        <v>0.18081606140136722</v>
      </c>
      <c r="J34" s="18">
        <f t="shared" si="14"/>
        <v>12000</v>
      </c>
      <c r="K34" s="17">
        <f>[3]!'WTX4N0;12000P`267'</f>
        <v>46</v>
      </c>
      <c r="L34" s="17">
        <f>[3]!'WTX4N0;12000P`268'</f>
        <v>47</v>
      </c>
      <c r="M34" s="17">
        <f>[3]!'WTX4N0;12000P`205'</f>
        <v>46.5</v>
      </c>
      <c r="N34" s="19">
        <f t="shared" ca="1" si="5"/>
        <v>0.17739826354980473</v>
      </c>
      <c r="O34" s="19">
        <f t="shared" ca="1" si="5"/>
        <v>0.17910716247558595</v>
      </c>
      <c r="P34" s="14">
        <f t="shared" ca="1" si="12"/>
        <v>0</v>
      </c>
      <c r="Q34" s="14">
        <v>0</v>
      </c>
      <c r="R34" s="14">
        <f t="shared" ca="1" si="6"/>
        <v>0</v>
      </c>
      <c r="S34" s="36">
        <f t="shared" ca="1" si="7"/>
        <v>0</v>
      </c>
      <c r="T34" s="36"/>
      <c r="U34" s="48">
        <f t="shared" ca="1" si="8"/>
        <v>0</v>
      </c>
      <c r="V34" s="48">
        <f t="shared" ca="1" si="9"/>
        <v>0</v>
      </c>
    </row>
    <row r="35" spans="1:22" ht="17.25" thickBot="1" x14ac:dyDescent="0.3">
      <c r="A35" s="36">
        <f t="shared" ca="1" si="1"/>
        <v>0</v>
      </c>
      <c r="B35" s="14">
        <f t="shared" ca="1" si="2"/>
        <v>0</v>
      </c>
      <c r="C35" s="14">
        <f>SUMIFS(指數型權證!$AH$1:$AH$49,指數型權證!$AL$1:$AL$49,"7",指數型權證!$AJ$1:$AJ$49,J35,指數型權證!$AM$1:$AM$49,"Call")</f>
        <v>0</v>
      </c>
      <c r="D35" s="14">
        <f t="shared" ca="1" si="3"/>
        <v>0</v>
      </c>
      <c r="E35" s="17">
        <f>[3]!'WTX4N0;12050C`267'</f>
        <v>244</v>
      </c>
      <c r="F35" s="17">
        <f>[3]!'WTX4N0;12050C`268'</f>
        <v>247</v>
      </c>
      <c r="G35" s="17">
        <f>[3]!'WTX4N0;12050C`205'</f>
        <v>243</v>
      </c>
      <c r="H35" s="19">
        <f t="shared" ref="H35:I50" ca="1" si="15">IF(ISNUMBER(GBSImpliedVol("C",E35,$I$2,$J35,$N$2,0,0)),GBSImpliedVol("C",E35,$I$2,$J35,$N$2,0,0),0.6)</f>
        <v>0.17227156677246094</v>
      </c>
      <c r="I35" s="19">
        <f t="shared" ca="1" si="15"/>
        <v>0.17691000671386722</v>
      </c>
      <c r="J35" s="18">
        <f t="shared" si="14"/>
        <v>12050</v>
      </c>
      <c r="K35" s="17">
        <f>[3]!'WTX4N0;12050P`267'</f>
        <v>56</v>
      </c>
      <c r="L35" s="17">
        <f>[3]!'WTX4N0;12050P`268'</f>
        <v>57</v>
      </c>
      <c r="M35" s="17">
        <f>[3]!'WTX4N0;12050P`205'</f>
        <v>57</v>
      </c>
      <c r="N35" s="19">
        <f t="shared" ref="N35:O50" ca="1" si="16">IF(ISNUMBER(GBSImpliedVol("P",K35,$I$2,$J35,$N$2,0,0)),GBSImpliedVol("P",K35,$I$2,$J35,$N$2,0,0),0.6)</f>
        <v>0.17227156677246094</v>
      </c>
      <c r="O35" s="19">
        <f t="shared" ca="1" si="16"/>
        <v>0.17385840148925782</v>
      </c>
      <c r="P35" s="14">
        <f t="shared" ca="1" si="12"/>
        <v>-769040.59559507831</v>
      </c>
      <c r="Q35" s="14">
        <v>10</v>
      </c>
      <c r="R35" s="14">
        <f ca="1">GBSGreeks("d", "P",$I$2,$J35,$N$2,$N35, 0,0)*50*$I$2*Q35</f>
        <v>-1687033.018262329</v>
      </c>
      <c r="S35" s="36">
        <f t="shared" ca="1" si="7"/>
        <v>-4656.9337331717979</v>
      </c>
      <c r="T35" s="36"/>
      <c r="U35" s="48">
        <f t="shared" ca="1" si="8"/>
        <v>0</v>
      </c>
      <c r="V35" s="48">
        <f t="shared" ca="1" si="9"/>
        <v>-3182.3212875594181</v>
      </c>
    </row>
    <row r="36" spans="1:22" ht="17.25" thickBot="1" x14ac:dyDescent="0.3">
      <c r="A36" s="36">
        <f t="shared" ca="1" si="1"/>
        <v>0</v>
      </c>
      <c r="B36" s="14">
        <f t="shared" ca="1" si="2"/>
        <v>0</v>
      </c>
      <c r="C36" s="14">
        <f>SUMIFS(指數型權證!$AH$1:$AH$49,指數型權證!$AL$1:$AL$49,"7",指數型權證!$AJ$1:$AJ$49,J36,指數型權證!$AM$1:$AM$49,"Call")</f>
        <v>0</v>
      </c>
      <c r="D36" s="14">
        <f t="shared" ca="1" si="3"/>
        <v>0</v>
      </c>
      <c r="E36" s="17">
        <f>[3]!'WTX4N0;12100C`267'</f>
        <v>207</v>
      </c>
      <c r="F36" s="17">
        <f>[3]!'WTX4N0;12100C`268'</f>
        <v>210</v>
      </c>
      <c r="G36" s="17">
        <f>[3]!'WTX4N0;12100C`205'</f>
        <v>208</v>
      </c>
      <c r="H36" s="19">
        <f t="shared" ca="1" si="15"/>
        <v>0.16848757629394531</v>
      </c>
      <c r="I36" s="19">
        <f t="shared" ca="1" si="15"/>
        <v>0.17288188781738281</v>
      </c>
      <c r="J36" s="18">
        <f t="shared" si="14"/>
        <v>12100</v>
      </c>
      <c r="K36" s="17">
        <f>[3]!'WTX4N0;12100P`267'</f>
        <v>70</v>
      </c>
      <c r="L36" s="17">
        <f>[3]!'WTX4N0;12100P`268'</f>
        <v>71</v>
      </c>
      <c r="M36" s="17">
        <f>[3]!'WTX4N0;12100P`205'</f>
        <v>71</v>
      </c>
      <c r="N36" s="19">
        <f ca="1">IF(ISNUMBER(GBSImpliedVol("P",K36,$I$2,$J36,$N$2,0,0)),GBSImpliedVol("P",K36,$I$2,$J36,$N$2,0,0),0.6)</f>
        <v>0.16995234680175783</v>
      </c>
      <c r="O36" s="19">
        <f t="shared" ca="1" si="16"/>
        <v>0.17141711730957035</v>
      </c>
      <c r="P36" s="14">
        <f t="shared" ca="1" si="12"/>
        <v>-1685817.4841807096</v>
      </c>
      <c r="Q36" s="14">
        <v>20</v>
      </c>
      <c r="R36" s="14">
        <f ca="1">GBSGreeks("d", "P",$I$2,$J36,$N$2,$N36, 0,0)*50*$I$2*Q36</f>
        <v>-4013703.5676742326</v>
      </c>
      <c r="S36" s="36">
        <f t="shared" ca="1" si="7"/>
        <v>-10006.211712239015</v>
      </c>
      <c r="T36" s="36"/>
      <c r="U36" s="48">
        <f t="shared" ca="1" si="8"/>
        <v>0</v>
      </c>
      <c r="V36" s="48">
        <f t="shared" ca="1" si="9"/>
        <v>-6853.4365738102997</v>
      </c>
    </row>
    <row r="37" spans="1:22" ht="17.25" thickBot="1" x14ac:dyDescent="0.3">
      <c r="A37" s="36">
        <f t="shared" ca="1" si="1"/>
        <v>0</v>
      </c>
      <c r="B37" s="14">
        <f t="shared" ca="1" si="2"/>
        <v>0</v>
      </c>
      <c r="C37" s="14">
        <f>SUMIFS(指數型權證!$AH$1:$AH$49,指數型權證!$AL$1:$AL$49,"7",指數型權證!$AJ$1:$AJ$49,J37,指數型權證!$AM$1:$AM$49,"Call")</f>
        <v>0</v>
      </c>
      <c r="D37" s="14">
        <f t="shared" ca="1" si="3"/>
        <v>0</v>
      </c>
      <c r="E37" s="17">
        <f>[3]!'WTX4N0;12150C`267'</f>
        <v>173</v>
      </c>
      <c r="F37" s="17">
        <f>[3]!'WTX4N0;12150C`268'</f>
        <v>175</v>
      </c>
      <c r="G37" s="17">
        <f>[3]!'WTX4N0;12150C`205'</f>
        <v>174</v>
      </c>
      <c r="H37" s="19">
        <f t="shared" ca="1" si="15"/>
        <v>0.16531390686035158</v>
      </c>
      <c r="I37" s="19">
        <f t="shared" ca="1" si="15"/>
        <v>0.16812138366699217</v>
      </c>
      <c r="J37" s="18">
        <f t="shared" si="14"/>
        <v>12150</v>
      </c>
      <c r="K37" s="17">
        <f>[3]!'WTX4N0;12150P`267'</f>
        <v>86</v>
      </c>
      <c r="L37" s="17">
        <f>[3]!'WTX4N0;12150P`268'</f>
        <v>87</v>
      </c>
      <c r="M37" s="17">
        <f>[3]!'WTX4N0;12150P`205'</f>
        <v>86</v>
      </c>
      <c r="N37" s="19">
        <f ca="1">IF(ISNUMBER(GBSImpliedVol("P",K37,$I$2,$J37,$N$2,0,0)),GBSImpliedVol("P",K37,$I$2,$J37,$N$2,0,0),0.6)</f>
        <v>0.16665661315917965</v>
      </c>
      <c r="O37" s="19">
        <f t="shared" ca="1" si="16"/>
        <v>0.16812138366699217</v>
      </c>
      <c r="P37" s="14">
        <f t="shared" ca="1" si="12"/>
        <v>-1182038.0019004445</v>
      </c>
      <c r="Q37" s="14">
        <v>13</v>
      </c>
      <c r="R37" s="14">
        <f ca="1">GBSGreeks("d", "P",$I$2,$J37,$N$2,$N37, 0,0)*50*$I$2*Q37</f>
        <v>-3059174.700015014</v>
      </c>
      <c r="S37" s="36">
        <f t="shared" ca="1" si="7"/>
        <v>-6783.0190813390745</v>
      </c>
      <c r="T37" s="36"/>
      <c r="U37" s="48">
        <f t="shared" ca="1" si="8"/>
        <v>0</v>
      </c>
      <c r="V37" s="48">
        <f t="shared" ca="1" si="9"/>
        <v>-4699.5728303121587</v>
      </c>
    </row>
    <row r="38" spans="1:22" ht="17.25" thickBot="1" x14ac:dyDescent="0.3">
      <c r="A38" s="36">
        <f t="shared" ca="1" si="1"/>
        <v>0</v>
      </c>
      <c r="B38" s="14">
        <f t="shared" ca="1" si="2"/>
        <v>0</v>
      </c>
      <c r="C38" s="14">
        <f>SUMIFS(指數型權證!$AH$1:$AH$49,指數型權證!$AL$1:$AL$49,"7",指數型權證!$AJ$1:$AJ$49,J38,指數型權證!$AM$1:$AM$49,"Call")</f>
        <v>0</v>
      </c>
      <c r="D38" s="14">
        <f t="shared" ca="1" si="3"/>
        <v>0</v>
      </c>
      <c r="E38" s="17">
        <f>[3]!'WTX4N0;12200C`267'</f>
        <v>143</v>
      </c>
      <c r="F38" s="17">
        <f>[3]!'WTX4N0;12200C`268'</f>
        <v>144</v>
      </c>
      <c r="G38" s="17">
        <f>[3]!'WTX4N0;12200C`205'</f>
        <v>144</v>
      </c>
      <c r="H38" s="19">
        <f t="shared" ca="1" si="15"/>
        <v>0.16360500793457031</v>
      </c>
      <c r="I38" s="19">
        <f t="shared" ca="1" si="15"/>
        <v>0.16494771423339843</v>
      </c>
      <c r="J38" s="18">
        <f t="shared" si="14"/>
        <v>12200</v>
      </c>
      <c r="K38" s="17">
        <f>[3]!'WTX4N0;12200P`267'</f>
        <v>104</v>
      </c>
      <c r="L38" s="17">
        <f>[3]!'WTX4N0;12200P`268'</f>
        <v>105</v>
      </c>
      <c r="M38" s="17">
        <f>[3]!'WTX4N0;12200P`205'</f>
        <v>104</v>
      </c>
      <c r="N38" s="19">
        <f t="shared" ca="1" si="16"/>
        <v>0.16226230163574218</v>
      </c>
      <c r="O38" s="19">
        <f t="shared" ca="1" si="16"/>
        <v>0.16360500793457031</v>
      </c>
      <c r="P38" s="14">
        <f ca="1">GBSGreeks("g", "P",$I$2,$J38,$N$2,$N38, 0,0)*$P$2*50*$I$2*$Q38*-1</f>
        <v>-965913.05664016341</v>
      </c>
      <c r="Q38" s="14">
        <v>10</v>
      </c>
      <c r="R38" s="14">
        <f t="shared" ref="R38:R51" ca="1" si="17">GBSGreeks("d", "P",$I$2,$J38,$N$2,$N38, 0,0)*50*$I$2*Q38</f>
        <v>-2726704.420283949</v>
      </c>
      <c r="S38" s="36">
        <f t="shared" ca="1" si="7"/>
        <v>-5273.3421691588519</v>
      </c>
      <c r="T38" s="36"/>
      <c r="U38" s="48">
        <f t="shared" ca="1" si="8"/>
        <v>0</v>
      </c>
      <c r="V38" s="48">
        <f t="shared" ca="1" si="9"/>
        <v>-3734.4803600065861</v>
      </c>
    </row>
    <row r="39" spans="1:22" ht="17.25" thickBot="1" x14ac:dyDescent="0.3">
      <c r="A39" s="36">
        <f t="shared" ca="1" si="1"/>
        <v>0</v>
      </c>
      <c r="B39" s="14">
        <f t="shared" ca="1" si="2"/>
        <v>0</v>
      </c>
      <c r="C39" s="14">
        <f>SUMIFS(指數型權證!$AH$1:$AH$49,指數型權證!$AL$1:$AL$49,"7",指數型權證!$AJ$1:$AJ$49,J39,指數型權證!$AM$1:$AM$49,"Call")</f>
        <v>0</v>
      </c>
      <c r="D39" s="14">
        <f t="shared" ca="1" si="3"/>
        <v>0</v>
      </c>
      <c r="E39" s="17">
        <f>[3]!'WTX4N0;12250C`267'</f>
        <v>113</v>
      </c>
      <c r="F39" s="17">
        <f>[3]!'WTX4N0;12250C`268'</f>
        <v>115</v>
      </c>
      <c r="G39" s="17">
        <f>[3]!'WTX4N0;12250C`205'</f>
        <v>114</v>
      </c>
      <c r="H39" s="19">
        <f t="shared" ca="1" si="15"/>
        <v>0.15774592590332034</v>
      </c>
      <c r="I39" s="19">
        <f t="shared" ca="1" si="15"/>
        <v>0.16030927429199218</v>
      </c>
      <c r="J39" s="18">
        <f t="shared" si="14"/>
        <v>12250</v>
      </c>
      <c r="K39" s="17">
        <f>[3]!'WTX4N0;12250P`267'</f>
        <v>125</v>
      </c>
      <c r="L39" s="17">
        <f>[3]!'WTX4N0;12250P`268'</f>
        <v>127</v>
      </c>
      <c r="M39" s="17">
        <f>[3]!'WTX4N0;12250P`205'</f>
        <v>128</v>
      </c>
      <c r="N39" s="19">
        <f t="shared" ca="1" si="16"/>
        <v>0.15774592590332034</v>
      </c>
      <c r="O39" s="19">
        <f t="shared" ca="1" si="16"/>
        <v>0.16030927429199218</v>
      </c>
      <c r="P39" s="14">
        <f t="shared" ca="1" si="12"/>
        <v>0</v>
      </c>
      <c r="Q39" s="14">
        <f>SUMIFS(指數型權證!$AH$1:$AH$49,指數型權證!$AL$1:$AL$49,"7",指數型權證!$AJ$1:$AJ$49,J39,指數型權證!$AM$1:$AM$49,"Put")</f>
        <v>0</v>
      </c>
      <c r="R39" s="14">
        <f t="shared" ca="1" si="17"/>
        <v>0</v>
      </c>
      <c r="S39" s="36">
        <f t="shared" ca="1" si="7"/>
        <v>0</v>
      </c>
      <c r="T39" s="36"/>
      <c r="U39" s="48">
        <f t="shared" ca="1" si="8"/>
        <v>0</v>
      </c>
      <c r="V39" s="48">
        <f t="shared" ca="1" si="9"/>
        <v>0</v>
      </c>
    </row>
    <row r="40" spans="1:22" ht="17.25" thickBot="1" x14ac:dyDescent="0.3">
      <c r="A40" s="36">
        <f t="shared" ca="1" si="1"/>
        <v>0</v>
      </c>
      <c r="B40" s="14">
        <f t="shared" ca="1" si="2"/>
        <v>0</v>
      </c>
      <c r="C40" s="14">
        <f>SUMIFS(指數型權證!$AH$1:$AH$49,指數型權證!$AL$1:$AL$49,"7",指數型權證!$AJ$1:$AJ$49,J40,指數型權證!$AM$1:$AM$49,"Call")</f>
        <v>0</v>
      </c>
      <c r="D40" s="14">
        <f t="shared" ca="1" si="3"/>
        <v>0</v>
      </c>
      <c r="E40" s="17">
        <f>[3]!'WTX4N0;12300C`267'</f>
        <v>89</v>
      </c>
      <c r="F40" s="17">
        <f>[3]!'WTX4N0;12300C`268'</f>
        <v>90</v>
      </c>
      <c r="G40" s="17">
        <f>[3]!'WTX4N0;12300C`205'</f>
        <v>90</v>
      </c>
      <c r="H40" s="19">
        <f t="shared" ca="1" si="15"/>
        <v>0.15542670593261718</v>
      </c>
      <c r="I40" s="19">
        <f t="shared" ca="1" si="15"/>
        <v>0.15689147644042969</v>
      </c>
      <c r="J40" s="18">
        <f t="shared" si="14"/>
        <v>12300</v>
      </c>
      <c r="K40" s="17">
        <f>[3]!'WTX4N0;12300P`267'</f>
        <v>151</v>
      </c>
      <c r="L40" s="17">
        <f>[3]!'WTX4N0;12300P`268'</f>
        <v>152</v>
      </c>
      <c r="M40" s="17">
        <f>[3]!'WTX4N0;12300P`205'</f>
        <v>152</v>
      </c>
      <c r="N40" s="19">
        <f t="shared" ca="1" si="16"/>
        <v>0.15542670593261718</v>
      </c>
      <c r="O40" s="19">
        <f t="shared" ca="1" si="16"/>
        <v>0.15689147644042969</v>
      </c>
      <c r="P40" s="14">
        <f t="shared" ca="1" si="12"/>
        <v>0</v>
      </c>
      <c r="Q40" s="14">
        <f>SUMIFS(指數型權證!$AH$1:$AH$49,指數型權證!$AL$1:$AL$49,"7",指數型權證!$AJ$1:$AJ$49,J40,指數型權證!$AM$1:$AM$49,"Put")</f>
        <v>0</v>
      </c>
      <c r="R40" s="14">
        <f t="shared" ca="1" si="17"/>
        <v>0</v>
      </c>
      <c r="S40" s="36">
        <f t="shared" ca="1" si="7"/>
        <v>0</v>
      </c>
      <c r="T40" s="36"/>
      <c r="U40" s="48">
        <f t="shared" ca="1" si="8"/>
        <v>0</v>
      </c>
      <c r="V40" s="48">
        <f t="shared" ca="1" si="9"/>
        <v>0</v>
      </c>
    </row>
    <row r="41" spans="1:22" ht="17.25" thickBot="1" x14ac:dyDescent="0.3">
      <c r="A41" s="36">
        <f t="shared" ca="1" si="1"/>
        <v>0</v>
      </c>
      <c r="B41" s="14">
        <f t="shared" ca="1" si="2"/>
        <v>0</v>
      </c>
      <c r="C41" s="14">
        <f>SUMIFS(指數型權證!$AH$1:$AH$49,指數型權證!$AL$1:$AL$49,"7",指數型權證!$AJ$1:$AJ$49,J41,指數型權證!$AM$1:$AM$49,"Call")</f>
        <v>0</v>
      </c>
      <c r="D41" s="14">
        <f t="shared" ca="1" si="3"/>
        <v>0</v>
      </c>
      <c r="E41" s="17">
        <f>[3]!'WTX4N0;12350C`267'</f>
        <v>67</v>
      </c>
      <c r="F41" s="17">
        <f>[3]!'WTX4N0;12350C`268'</f>
        <v>69</v>
      </c>
      <c r="G41" s="17">
        <f>[3]!'WTX4N0;12350C`205'</f>
        <v>68</v>
      </c>
      <c r="H41" s="19">
        <f t="shared" ca="1" si="15"/>
        <v>0.15115445861816407</v>
      </c>
      <c r="I41" s="19">
        <f t="shared" ca="1" si="15"/>
        <v>0.15396193542480471</v>
      </c>
      <c r="J41" s="18">
        <f t="shared" si="14"/>
        <v>12350</v>
      </c>
      <c r="K41" s="17">
        <f>[3]!'WTX4N0;12350P`267'</f>
        <v>178</v>
      </c>
      <c r="L41" s="17">
        <f>[3]!'WTX4N0;12350P`268'</f>
        <v>182</v>
      </c>
      <c r="M41" s="17">
        <f>[3]!'WTX4N0;12350P`205'</f>
        <v>183</v>
      </c>
      <c r="N41" s="19">
        <f t="shared" ca="1" si="16"/>
        <v>0.1496896881103516</v>
      </c>
      <c r="O41" s="19">
        <f t="shared" ca="1" si="16"/>
        <v>0.15542670593261718</v>
      </c>
      <c r="P41" s="14">
        <f t="shared" ca="1" si="12"/>
        <v>0</v>
      </c>
      <c r="Q41" s="14">
        <f>SUMIFS(指數型權證!$AH$1:$AH$49,指數型權證!$AL$1:$AL$49,"7",指數型權證!$AJ$1:$AJ$49,J41,指數型權證!$AM$1:$AM$49,"Put")</f>
        <v>0</v>
      </c>
      <c r="R41" s="14">
        <f t="shared" ca="1" si="17"/>
        <v>0</v>
      </c>
      <c r="S41" s="36">
        <f t="shared" ca="1" si="7"/>
        <v>0</v>
      </c>
      <c r="T41" s="36"/>
      <c r="U41" s="48">
        <f t="shared" ca="1" si="8"/>
        <v>0</v>
      </c>
      <c r="V41" s="48">
        <f t="shared" ca="1" si="9"/>
        <v>0</v>
      </c>
    </row>
    <row r="42" spans="1:22" ht="17.25" thickBot="1" x14ac:dyDescent="0.3">
      <c r="A42" s="36">
        <f t="shared" ca="1" si="1"/>
        <v>0</v>
      </c>
      <c r="B42" s="14">
        <f t="shared" ca="1" si="2"/>
        <v>0</v>
      </c>
      <c r="C42" s="14">
        <f>SUMIFS(指數型權證!$AH$1:$AH$49,指數型權證!$AL$1:$AL$49,"7",指數型權證!$AJ$1:$AJ$49,J42,指數型權證!$AM$1:$AM$49,"Call")</f>
        <v>0</v>
      </c>
      <c r="D42" s="14">
        <f t="shared" ca="1" si="3"/>
        <v>0</v>
      </c>
      <c r="E42" s="17">
        <f>[3]!'WTX4N0;12400C`267'</f>
        <v>49.5</v>
      </c>
      <c r="F42" s="17">
        <f>[3]!'WTX4N0;12400C`268'</f>
        <v>52</v>
      </c>
      <c r="G42" s="17">
        <f>[3]!'WTX4N0;12400C`205'</f>
        <v>50</v>
      </c>
      <c r="H42" s="19">
        <f t="shared" ca="1" si="15"/>
        <v>0.14822491760253909</v>
      </c>
      <c r="I42" s="19">
        <f t="shared" ca="1" si="15"/>
        <v>0.15213097229003908</v>
      </c>
      <c r="J42" s="18">
        <f t="shared" si="14"/>
        <v>12400</v>
      </c>
      <c r="K42" s="17">
        <f>[3]!'WTX4N0;12400P`267'</f>
        <v>210</v>
      </c>
      <c r="L42" s="17">
        <f>[3]!'WTX4N0;12400P`268'</f>
        <v>215</v>
      </c>
      <c r="M42" s="17">
        <f>[3]!'WTX4N0;12400P`205'</f>
        <v>214</v>
      </c>
      <c r="N42" s="19">
        <f t="shared" ca="1" si="16"/>
        <v>0.14590569763183597</v>
      </c>
      <c r="O42" s="19">
        <f t="shared" ca="1" si="16"/>
        <v>0.15371780700683596</v>
      </c>
      <c r="P42" s="14">
        <f t="shared" ca="1" si="12"/>
        <v>0</v>
      </c>
      <c r="Q42" s="14">
        <f>SUMIFS(指數型權證!$AH$1:$AH$49,指數型權證!$AL$1:$AL$49,"7",指數型權證!$AJ$1:$AJ$49,J42,指數型權證!$AM$1:$AM$49,"Put")</f>
        <v>0</v>
      </c>
      <c r="R42" s="14">
        <f t="shared" ca="1" si="17"/>
        <v>0</v>
      </c>
      <c r="S42" s="36">
        <f t="shared" ca="1" si="7"/>
        <v>0</v>
      </c>
      <c r="T42" s="36"/>
      <c r="U42" s="48">
        <f t="shared" ca="1" si="8"/>
        <v>0</v>
      </c>
      <c r="V42" s="48">
        <f t="shared" ca="1" si="9"/>
        <v>0</v>
      </c>
    </row>
    <row r="43" spans="1:22" ht="17.25" thickBot="1" x14ac:dyDescent="0.3">
      <c r="A43" s="36">
        <f t="shared" ca="1" si="1"/>
        <v>0</v>
      </c>
      <c r="B43" s="14">
        <f t="shared" ca="1" si="2"/>
        <v>0</v>
      </c>
      <c r="C43" s="14">
        <f>SUMIFS(指數型權證!$AH$1:$AH$49,指數型權證!$AL$1:$AL$49,"7",指數型權證!$AJ$1:$AJ$49,J43,指數型權證!$AM$1:$AM$49,"Call")</f>
        <v>0</v>
      </c>
      <c r="D43" s="14">
        <f t="shared" ca="1" si="3"/>
        <v>0</v>
      </c>
      <c r="E43" s="17">
        <f>[3]!'WTX4N0;12450C`267'</f>
        <v>36.5</v>
      </c>
      <c r="F43" s="17">
        <f>[3]!'WTX4N0;12450C`268'</f>
        <v>37</v>
      </c>
      <c r="G43" s="17">
        <f>[3]!'WTX4N0;12450C`205'</f>
        <v>37</v>
      </c>
      <c r="H43" s="19">
        <f t="shared" ca="1" si="15"/>
        <v>0.14737046813964844</v>
      </c>
      <c r="I43" s="19">
        <f t="shared" ca="1" si="15"/>
        <v>0.14822491760253909</v>
      </c>
      <c r="J43" s="18">
        <f t="shared" si="14"/>
        <v>12450</v>
      </c>
      <c r="K43" s="17">
        <f>[3]!'WTX4N0;12450P`267'</f>
        <v>245</v>
      </c>
      <c r="L43" s="17">
        <f>[3]!'WTX4N0;12450P`268'</f>
        <v>251</v>
      </c>
      <c r="M43" s="17">
        <f>[3]!'WTX4N0;12450P`205'</f>
        <v>266</v>
      </c>
      <c r="N43" s="19">
        <f t="shared" ca="1" si="16"/>
        <v>0.1411451934814453</v>
      </c>
      <c r="O43" s="19">
        <f t="shared" ca="1" si="16"/>
        <v>0.15176477966308594</v>
      </c>
      <c r="P43" s="14">
        <f t="shared" ca="1" si="12"/>
        <v>0</v>
      </c>
      <c r="Q43" s="14">
        <f>SUMIFS(指數型權證!$AH$1:$AH$49,指數型權證!$AL$1:$AL$49,"7",指數型權證!$AJ$1:$AJ$49,J43,指數型權證!$AM$1:$AM$49,"Put")</f>
        <v>0</v>
      </c>
      <c r="R43" s="14">
        <f t="shared" ca="1" si="17"/>
        <v>0</v>
      </c>
      <c r="S43" s="36">
        <f t="shared" ca="1" si="7"/>
        <v>0</v>
      </c>
      <c r="T43" s="36"/>
      <c r="U43" s="48">
        <f t="shared" ca="1" si="8"/>
        <v>0</v>
      </c>
      <c r="V43" s="48">
        <f t="shared" ca="1" si="9"/>
        <v>0</v>
      </c>
    </row>
    <row r="44" spans="1:22" ht="17.25" thickBot="1" x14ac:dyDescent="0.3">
      <c r="A44" s="36">
        <f t="shared" ca="1" si="1"/>
        <v>0</v>
      </c>
      <c r="B44" s="14">
        <f t="shared" ca="1" si="2"/>
        <v>0</v>
      </c>
      <c r="C44" s="14">
        <f>SUMIFS(指數型權證!$AH$1:$AH$49,指數型權證!$AL$1:$AL$49,"7",指數型權證!$AJ$1:$AJ$49,J44,指數型權證!$AM$1:$AM$49,"Call")</f>
        <v>0</v>
      </c>
      <c r="D44" s="14">
        <f t="shared" ca="1" si="3"/>
        <v>0</v>
      </c>
      <c r="E44" s="17">
        <f>[3]!'WTX4N0;12500C`267'</f>
        <v>25</v>
      </c>
      <c r="F44" s="17">
        <f>[3]!'WTX4N0;12500C`268'</f>
        <v>25.5</v>
      </c>
      <c r="G44" s="17">
        <f>[3]!'WTX4N0;12500C`205'</f>
        <v>25</v>
      </c>
      <c r="H44" s="19">
        <f t="shared" ca="1" si="15"/>
        <v>0.14395267028808595</v>
      </c>
      <c r="I44" s="19">
        <f t="shared" ca="1" si="15"/>
        <v>0.14505124816894535</v>
      </c>
      <c r="J44" s="18">
        <f t="shared" si="14"/>
        <v>12500</v>
      </c>
      <c r="K44" s="17">
        <f>[3]!'WTX4N0;12500P`267'</f>
        <v>284</v>
      </c>
      <c r="L44" s="17">
        <f>[3]!'WTX4N0;12500P`268'</f>
        <v>294</v>
      </c>
      <c r="M44" s="17">
        <f>[3]!'WTX4N0;12500P`205'</f>
        <v>293</v>
      </c>
      <c r="N44" s="19">
        <f t="shared" ca="1" si="16"/>
        <v>0.13760533142089842</v>
      </c>
      <c r="O44" s="19">
        <f t="shared" ca="1" si="16"/>
        <v>0.15786799011230471</v>
      </c>
      <c r="P44" s="14">
        <f t="shared" ca="1" si="12"/>
        <v>0</v>
      </c>
      <c r="Q44" s="14">
        <f>SUMIFS(指數型權證!$AH$1:$AH$49,指數型權證!$AL$1:$AL$49,"7",指數型權證!$AJ$1:$AJ$49,J44,指數型權證!$AM$1:$AM$49,"Put")</f>
        <v>0</v>
      </c>
      <c r="R44" s="14">
        <f t="shared" ca="1" si="17"/>
        <v>0</v>
      </c>
      <c r="S44" s="36">
        <f t="shared" ca="1" si="7"/>
        <v>0</v>
      </c>
      <c r="T44" s="36"/>
      <c r="U44" s="48">
        <f t="shared" ca="1" si="8"/>
        <v>0</v>
      </c>
      <c r="V44" s="48">
        <f t="shared" ca="1" si="9"/>
        <v>0</v>
      </c>
    </row>
    <row r="45" spans="1:22" ht="17.25" thickBot="1" x14ac:dyDescent="0.3">
      <c r="A45" s="36">
        <f t="shared" ca="1" si="1"/>
        <v>0</v>
      </c>
      <c r="B45" s="14">
        <f t="shared" ca="1" si="2"/>
        <v>0</v>
      </c>
      <c r="C45" s="14">
        <f>SUMIFS(指數型權證!$AH$1:$AH$49,指數型權證!$AL$1:$AL$49,"7",指數型權證!$AJ$1:$AJ$49,J45,指數型權證!$AM$1:$AM$49,"Call")</f>
        <v>0</v>
      </c>
      <c r="D45" s="14">
        <f t="shared" ca="1" si="3"/>
        <v>0</v>
      </c>
      <c r="E45" s="17">
        <f>[3]!'WTX4N0;12600C`267'</f>
        <v>10</v>
      </c>
      <c r="F45" s="17">
        <f>[3]!'WTX4N0;12600C`268'</f>
        <v>10.5</v>
      </c>
      <c r="G45" s="17">
        <f>[3]!'WTX4N0;12600C`205'</f>
        <v>10.5</v>
      </c>
      <c r="H45" s="19">
        <f t="shared" ca="1" si="15"/>
        <v>0.1367508819580078</v>
      </c>
      <c r="I45" s="19">
        <f t="shared" ca="1" si="15"/>
        <v>0.13845978088378907</v>
      </c>
      <c r="J45" s="18">
        <f t="shared" ref="J45:J51" si="18">J44+100</f>
        <v>12600</v>
      </c>
      <c r="K45" s="17">
        <f>[3]!'WTX4N0;12600P`267'</f>
        <v>274</v>
      </c>
      <c r="L45" s="17">
        <f>[3]!'WTX4N0;12600P`268'</f>
        <v>378</v>
      </c>
      <c r="M45" s="17" t="str">
        <f>[3]!'WTX4N0;12600P`205'</f>
        <v>-</v>
      </c>
      <c r="N45" s="19">
        <f t="shared" ca="1" si="16"/>
        <v>1.610321044921875E-4</v>
      </c>
      <c r="O45" s="19">
        <f t="shared" ca="1" si="16"/>
        <v>0.15493844909667967</v>
      </c>
      <c r="P45" s="14">
        <f t="shared" ca="1" si="12"/>
        <v>0</v>
      </c>
      <c r="Q45" s="14">
        <f>SUMIFS(指數型權證!$AH$1:$AH$49,指數型權證!$AL$1:$AL$49,"7",指數型權證!$AJ$1:$AJ$49,J45,指數型權證!$AM$1:$AM$49,"Put")</f>
        <v>0</v>
      </c>
      <c r="R45" s="14">
        <f t="shared" ca="1" si="17"/>
        <v>0</v>
      </c>
      <c r="S45" s="36">
        <f t="shared" ca="1" si="7"/>
        <v>0</v>
      </c>
      <c r="T45" s="36"/>
      <c r="U45" s="48">
        <f t="shared" ca="1" si="8"/>
        <v>0</v>
      </c>
      <c r="V45" s="48">
        <f t="shared" ca="1" si="9"/>
        <v>0</v>
      </c>
    </row>
    <row r="46" spans="1:22" ht="17.25" thickBot="1" x14ac:dyDescent="0.3">
      <c r="A46" s="36">
        <f t="shared" ca="1" si="1"/>
        <v>0</v>
      </c>
      <c r="B46" s="14">
        <f t="shared" ca="1" si="2"/>
        <v>0</v>
      </c>
      <c r="C46" s="14">
        <f>SUMIFS(指數型權證!$AH$1:$AH$49,指數型權證!$AL$1:$AL$49,"7",指數型權證!$AJ$1:$AJ$49,J46,指數型權證!$AM$1:$AM$49,"Call")</f>
        <v>0</v>
      </c>
      <c r="D46" s="14">
        <f t="shared" ca="1" si="3"/>
        <v>0</v>
      </c>
      <c r="E46" s="17">
        <f>[3]!'WTX4N0;12700C`267'</f>
        <v>4.5999999999999996</v>
      </c>
      <c r="F46" s="17">
        <f>[3]!'WTX4N0;12700C`268'</f>
        <v>4.9000000000000004</v>
      </c>
      <c r="G46" s="17">
        <f>[3]!'WTX4N0;12700C`205'</f>
        <v>5</v>
      </c>
      <c r="H46" s="19">
        <f t="shared" ca="1" si="15"/>
        <v>0.13919216613769533</v>
      </c>
      <c r="I46" s="19">
        <f t="shared" ca="1" si="15"/>
        <v>0.14090106506347658</v>
      </c>
      <c r="J46" s="18">
        <f t="shared" si="18"/>
        <v>12700</v>
      </c>
      <c r="K46" s="17">
        <f>[3]!'WTX4N0;12700P`267'</f>
        <v>368</v>
      </c>
      <c r="L46" s="17">
        <f>[3]!'WTX4N0;12700P`268'</f>
        <v>473</v>
      </c>
      <c r="M46" s="17">
        <f>[3]!'WTX4N0;12700P`205'</f>
        <v>505</v>
      </c>
      <c r="N46" s="19">
        <f t="shared" ca="1" si="16"/>
        <v>1.610321044921875E-4</v>
      </c>
      <c r="O46" s="19">
        <f t="shared" ca="1" si="16"/>
        <v>0.16763312683105466</v>
      </c>
      <c r="P46" s="14">
        <f t="shared" ca="1" si="12"/>
        <v>0</v>
      </c>
      <c r="Q46" s="14">
        <f>SUMIFS(指數型權證!$AH$1:$AH$49,指數型權證!$AL$1:$AL$49,"7",指數型權證!$AJ$1:$AJ$49,J46,指數型權證!$AM$1:$AM$49,"Put")</f>
        <v>0</v>
      </c>
      <c r="R46" s="14">
        <f t="shared" ca="1" si="17"/>
        <v>0</v>
      </c>
      <c r="S46" s="36">
        <f t="shared" ca="1" si="7"/>
        <v>0</v>
      </c>
      <c r="T46" s="36"/>
      <c r="U46" s="48">
        <f t="shared" ca="1" si="8"/>
        <v>0</v>
      </c>
      <c r="V46" s="48">
        <f t="shared" ca="1" si="9"/>
        <v>0</v>
      </c>
    </row>
    <row r="47" spans="1:22" ht="17.25" thickBot="1" x14ac:dyDescent="0.3">
      <c r="A47" s="36">
        <f t="shared" ca="1" si="1"/>
        <v>0</v>
      </c>
      <c r="B47" s="14">
        <f t="shared" ca="1" si="2"/>
        <v>0</v>
      </c>
      <c r="C47" s="14">
        <f>SUMIFS(指數型權證!$AH$1:$AH$49,指數型權證!$AL$1:$AL$49,"7",指數型權證!$AJ$1:$AJ$49,J47,指數型權證!$AM$1:$AM$49,"Call")</f>
        <v>0</v>
      </c>
      <c r="D47" s="14">
        <f t="shared" ca="1" si="3"/>
        <v>0</v>
      </c>
      <c r="E47" s="17">
        <f>[3]!'WTX4N0;12800C`267'</f>
        <v>1.9</v>
      </c>
      <c r="F47" s="17">
        <f>[3]!'WTX4N0;12800C`268'</f>
        <v>2.5</v>
      </c>
      <c r="G47" s="17">
        <f>[3]!'WTX4N0;12800C`205'</f>
        <v>2.2000000000000002</v>
      </c>
      <c r="H47" s="19">
        <f t="shared" ca="1" si="15"/>
        <v>0.14053487243652343</v>
      </c>
      <c r="I47" s="19">
        <f t="shared" ca="1" si="15"/>
        <v>0.1466380828857422</v>
      </c>
      <c r="J47" s="18">
        <f t="shared" si="18"/>
        <v>12800</v>
      </c>
      <c r="K47" s="17">
        <f>[3]!'WTX4N0;12800P`267'</f>
        <v>466</v>
      </c>
      <c r="L47" s="17">
        <f>[3]!'WTX4N0;12800P`268'</f>
        <v>580</v>
      </c>
      <c r="M47" s="17" t="str">
        <f>[3]!'WTX4N0;12800P`205'</f>
        <v>-</v>
      </c>
      <c r="N47" s="19">
        <f t="shared" ca="1" si="16"/>
        <v>1.610321044921875E-4</v>
      </c>
      <c r="O47" s="19">
        <f t="shared" ca="1" si="16"/>
        <v>0.21865596618652344</v>
      </c>
      <c r="P47" s="14">
        <f t="shared" ca="1" si="12"/>
        <v>0</v>
      </c>
      <c r="Q47" s="14">
        <f>SUMIFS(指數型權證!$AH$1:$AH$49,指數型權證!$AL$1:$AL$49,"7",指數型權證!$AJ$1:$AJ$49,J47,指數型權證!$AM$1:$AM$49,"Put")</f>
        <v>0</v>
      </c>
      <c r="R47" s="14">
        <f t="shared" ca="1" si="17"/>
        <v>0</v>
      </c>
      <c r="S47" s="36">
        <f t="shared" ca="1" si="7"/>
        <v>0</v>
      </c>
      <c r="T47" s="36"/>
      <c r="U47" s="48">
        <f t="shared" ca="1" si="8"/>
        <v>0</v>
      </c>
      <c r="V47" s="48">
        <f t="shared" ca="1" si="9"/>
        <v>0</v>
      </c>
    </row>
    <row r="48" spans="1:22" ht="17.25" thickBot="1" x14ac:dyDescent="0.3">
      <c r="A48" s="36">
        <f t="shared" ca="1" si="1"/>
        <v>0</v>
      </c>
      <c r="B48" s="14">
        <f t="shared" ca="1" si="2"/>
        <v>0</v>
      </c>
      <c r="C48" s="14">
        <f>SUMIFS(指數型權證!$AH$1:$AH$49,指數型權證!$AL$1:$AL$49,"7",指數型權證!$AJ$1:$AJ$49,J48,指數型權證!$AM$1:$AM$49,"Call")</f>
        <v>0</v>
      </c>
      <c r="D48" s="14">
        <f t="shared" ca="1" si="3"/>
        <v>0</v>
      </c>
      <c r="E48" s="17">
        <f>[3]!'WTX4N0;12900C`267'</f>
        <v>1</v>
      </c>
      <c r="F48" s="17">
        <f>[3]!'WTX4N0;12900C`268'</f>
        <v>1.3</v>
      </c>
      <c r="G48" s="17">
        <f>[3]!'WTX4N0;12900C`205'</f>
        <v>1.2</v>
      </c>
      <c r="H48" s="19">
        <f t="shared" ca="1" si="15"/>
        <v>0.14761459655761719</v>
      </c>
      <c r="I48" s="19">
        <f t="shared" ca="1" si="15"/>
        <v>0.15274129333496095</v>
      </c>
      <c r="J48" s="18">
        <f t="shared" si="18"/>
        <v>12900</v>
      </c>
      <c r="K48" s="17">
        <f>[3]!'WTX4N0;12900P`267'</f>
        <v>565</v>
      </c>
      <c r="L48" s="17">
        <f>[3]!'WTX4N0;12900P`268'</f>
        <v>680</v>
      </c>
      <c r="M48" s="17" t="str">
        <f>[3]!'WTX4N0;12900P`205'</f>
        <v>-</v>
      </c>
      <c r="N48" s="19">
        <f t="shared" ca="1" si="16"/>
        <v>1.610321044921875E-4</v>
      </c>
      <c r="O48" s="19">
        <f t="shared" ca="1" si="16"/>
        <v>0.24612041320800784</v>
      </c>
      <c r="P48" s="14">
        <f t="shared" ca="1" si="12"/>
        <v>0</v>
      </c>
      <c r="Q48" s="14">
        <f>SUMIFS(指數型權證!$AH$1:$AH$49,指數型權證!$AL$1:$AL$49,"7",指數型權證!$AJ$1:$AJ$49,J48,指數型權證!$AM$1:$AM$49,"Put")</f>
        <v>0</v>
      </c>
      <c r="R48" s="14">
        <f t="shared" ca="1" si="17"/>
        <v>0</v>
      </c>
      <c r="S48" s="36">
        <f t="shared" ca="1" si="7"/>
        <v>0</v>
      </c>
      <c r="T48" s="36"/>
      <c r="U48" s="48">
        <f t="shared" ca="1" si="8"/>
        <v>0</v>
      </c>
      <c r="V48" s="48">
        <f t="shared" ca="1" si="9"/>
        <v>0</v>
      </c>
    </row>
    <row r="49" spans="1:22" ht="17.25" thickBot="1" x14ac:dyDescent="0.3">
      <c r="A49" s="36">
        <f t="shared" ca="1" si="1"/>
        <v>0</v>
      </c>
      <c r="B49" s="14">
        <f t="shared" ca="1" si="2"/>
        <v>0</v>
      </c>
      <c r="C49" s="14">
        <f>SUMIFS(指數型權證!$AH$1:$AH$49,指數型權證!$AL$1:$AL$49,"7",指數型權證!$AJ$1:$AJ$49,J49,指數型權證!$AM$1:$AM$49,"Call")</f>
        <v>0</v>
      </c>
      <c r="D49" s="14">
        <f t="shared" ca="1" si="3"/>
        <v>0</v>
      </c>
      <c r="E49" s="17">
        <f>[3]!'WTX4N0;13000C`267'</f>
        <v>0.2</v>
      </c>
      <c r="F49" s="17">
        <f>[3]!'WTX4N0;13000C`268'</f>
        <v>0.8</v>
      </c>
      <c r="G49" s="17">
        <f>[3]!'WTX4N0;13000C`205'</f>
        <v>0.7</v>
      </c>
      <c r="H49" s="19">
        <f t="shared" ca="1" si="15"/>
        <v>0.13955835876464845</v>
      </c>
      <c r="I49" s="19">
        <f t="shared" ca="1" si="15"/>
        <v>0.1617740447998047</v>
      </c>
      <c r="J49" s="18">
        <f t="shared" si="18"/>
        <v>13000</v>
      </c>
      <c r="K49" s="17">
        <f>[3]!'WTX4N0;13000P`267'</f>
        <v>665</v>
      </c>
      <c r="L49" s="17">
        <f>[3]!'WTX4N0;13000P`268'</f>
        <v>775</v>
      </c>
      <c r="M49" s="17" t="str">
        <f>[3]!'WTX4N0;13000P`205'</f>
        <v>-</v>
      </c>
      <c r="N49" s="19">
        <f t="shared" ca="1" si="16"/>
        <v>1.610321044921875E-4</v>
      </c>
      <c r="O49" s="19">
        <f t="shared" ca="1" si="16"/>
        <v>0.25332220153808593</v>
      </c>
      <c r="P49" s="14">
        <f t="shared" ca="1" si="12"/>
        <v>0</v>
      </c>
      <c r="Q49" s="14">
        <f>SUMIFS(指數型權證!$AH$1:$AH$49,指數型權證!$AL$1:$AL$49,"7",指數型權證!$AJ$1:$AJ$49,J49,指數型權證!$AM$1:$AM$49,"Put")</f>
        <v>0</v>
      </c>
      <c r="R49" s="14">
        <f t="shared" ca="1" si="17"/>
        <v>0</v>
      </c>
      <c r="S49" s="36">
        <f t="shared" ca="1" si="7"/>
        <v>0</v>
      </c>
      <c r="T49" s="36"/>
      <c r="U49" s="48">
        <f t="shared" ca="1" si="8"/>
        <v>0</v>
      </c>
      <c r="V49" s="48">
        <f t="shared" ca="1" si="9"/>
        <v>0</v>
      </c>
    </row>
    <row r="50" spans="1:22" ht="17.25" thickBot="1" x14ac:dyDescent="0.3">
      <c r="A50" s="36">
        <f t="shared" ca="1" si="1"/>
        <v>0</v>
      </c>
      <c r="B50" s="14">
        <f t="shared" ca="1" si="2"/>
        <v>0</v>
      </c>
      <c r="C50" s="14">
        <f>SUMIFS(指數型權證!$AH$1:$AH$49,指數型權證!$AL$1:$AL$49,"7",指數型權證!$AJ$1:$AJ$49,J50,指數型權證!$AM$1:$AM$49,"Call")</f>
        <v>0</v>
      </c>
      <c r="D50" s="14">
        <f t="shared" ca="1" si="3"/>
        <v>0</v>
      </c>
      <c r="E50" s="17">
        <f>[3]!'WTX4N0;13100C`267'</f>
        <v>0.1</v>
      </c>
      <c r="F50" s="17">
        <f>[3]!'WTX4N0;13100C`268'</f>
        <v>0.8</v>
      </c>
      <c r="G50" s="17">
        <f>[3]!'WTX4N0;13100C`205'</f>
        <v>0.4</v>
      </c>
      <c r="H50" s="19">
        <f t="shared" ca="1" si="15"/>
        <v>0.14602776184082036</v>
      </c>
      <c r="I50" s="19">
        <f t="shared" ca="1" si="15"/>
        <v>0.17959541931152345</v>
      </c>
      <c r="J50" s="18">
        <f t="shared" si="18"/>
        <v>13100</v>
      </c>
      <c r="K50" s="17">
        <f>[3]!'WTX4N0;13100P`267'</f>
        <v>765</v>
      </c>
      <c r="L50" s="17">
        <f>[3]!'WTX4N0;13100P`268'</f>
        <v>875</v>
      </c>
      <c r="M50" s="17" t="str">
        <f>[3]!'WTX4N0;13100P`205'</f>
        <v>-</v>
      </c>
      <c r="N50" s="19">
        <f t="shared" ca="1" si="16"/>
        <v>1.610321044921875E-4</v>
      </c>
      <c r="O50" s="19">
        <f t="shared" ca="1" si="16"/>
        <v>0.27797917175292974</v>
      </c>
      <c r="P50" s="14">
        <f t="shared" ca="1" si="12"/>
        <v>0</v>
      </c>
      <c r="Q50" s="14">
        <f>SUMIFS(指數型權證!$AH$1:$AH$49,指數型權證!$AL$1:$AL$49,"7",指數型權證!$AJ$1:$AJ$49,J50,指數型權證!$AM$1:$AM$49,"Put")</f>
        <v>0</v>
      </c>
      <c r="R50" s="14">
        <f t="shared" ca="1" si="17"/>
        <v>0</v>
      </c>
      <c r="S50" s="36">
        <f t="shared" ca="1" si="7"/>
        <v>0</v>
      </c>
      <c r="T50" s="36"/>
      <c r="U50" s="48">
        <f t="shared" ca="1" si="8"/>
        <v>0</v>
      </c>
      <c r="V50" s="48">
        <f t="shared" ca="1" si="9"/>
        <v>0</v>
      </c>
    </row>
    <row r="51" spans="1:22" ht="17.25" thickBot="1" x14ac:dyDescent="0.3">
      <c r="A51" s="36">
        <f t="shared" ca="1" si="1"/>
        <v>0</v>
      </c>
      <c r="B51" s="14">
        <f t="shared" ca="1" si="2"/>
        <v>0</v>
      </c>
      <c r="C51" s="14">
        <f>SUMIFS(指數型權證!$AH$1:$AH$49,指數型權證!$AL$1:$AL$49,"7",指數型權證!$AJ$1:$AJ$49,J51,指數型權證!$AM$1:$AM$49,"Call")</f>
        <v>0</v>
      </c>
      <c r="D51" s="14">
        <f t="shared" ca="1" si="3"/>
        <v>0</v>
      </c>
      <c r="E51" s="17">
        <f>[3]!'WTX4N0;13200C`267'</f>
        <v>0.2</v>
      </c>
      <c r="F51" s="17">
        <f>[3]!'WTX4N0;13200C`268'</f>
        <v>0.5</v>
      </c>
      <c r="G51" s="17">
        <f>[3]!'WTX4N0;13200C`205'</f>
        <v>0.3</v>
      </c>
      <c r="H51" s="19">
        <f t="shared" ref="H51:I51" ca="1" si="19">IF(ISNUMBER(GBSImpliedVol("C",E51,$I$2,$J51,$N$2,0,0)),GBSImpliedVol("C",E51,$I$2,$J51,$N$2,0,0),0.6)</f>
        <v>0.17092886047363284</v>
      </c>
      <c r="I51" s="19">
        <f t="shared" ca="1" si="19"/>
        <v>0.18716340026855469</v>
      </c>
      <c r="J51" s="18">
        <f t="shared" si="18"/>
        <v>13200</v>
      </c>
      <c r="K51" s="17">
        <f>[3]!'WTX4N0;13200P`267'</f>
        <v>865</v>
      </c>
      <c r="L51" s="17">
        <f>[3]!'WTX4N0;13200P`268'</f>
        <v>975</v>
      </c>
      <c r="M51" s="17" t="str">
        <f>[3]!'WTX4N0;13200P`205'</f>
        <v>-</v>
      </c>
      <c r="N51" s="19">
        <f t="shared" ref="N51:O51" ca="1" si="20">IF(ISNUMBER(GBSImpliedVol("P",K51,$I$2,$J51,$N$2,0,0)),GBSImpliedVol("P",K51,$I$2,$J51,$N$2,0,0),0.6)</f>
        <v>1.610321044921875E-4</v>
      </c>
      <c r="O51" s="19">
        <f t="shared" ca="1" si="20"/>
        <v>0.30202582092285157</v>
      </c>
      <c r="P51" s="14">
        <f t="shared" ca="1" si="12"/>
        <v>0</v>
      </c>
      <c r="Q51" s="14">
        <f>SUMIFS(指數型權證!$AH$1:$AH$49,指數型權證!$AL$1:$AL$49,"7",指數型權證!$AJ$1:$AJ$49,J51,指數型權證!$AM$1:$AM$49,"Put")</f>
        <v>0</v>
      </c>
      <c r="R51" s="14">
        <f t="shared" ca="1" si="17"/>
        <v>0</v>
      </c>
      <c r="S51" s="36">
        <f t="shared" ca="1" si="7"/>
        <v>0</v>
      </c>
      <c r="T51" s="36"/>
      <c r="U51" s="48">
        <f t="shared" ca="1" si="8"/>
        <v>0</v>
      </c>
      <c r="V51" s="48">
        <f t="shared" ca="1" si="9"/>
        <v>0</v>
      </c>
    </row>
    <row r="52" spans="1:22" ht="17.25" thickBot="1" x14ac:dyDescent="0.3">
      <c r="A52" s="36"/>
      <c r="B52" s="14"/>
      <c r="C52" s="14"/>
      <c r="D52" s="14"/>
      <c r="E52" s="17"/>
      <c r="F52" s="17"/>
      <c r="G52" s="17"/>
      <c r="H52" s="19"/>
      <c r="I52" s="19"/>
      <c r="J52" s="18"/>
      <c r="K52" s="17"/>
      <c r="L52" s="17"/>
      <c r="M52" s="17"/>
      <c r="N52" s="19"/>
      <c r="O52" s="19"/>
      <c r="P52" s="14"/>
      <c r="Q52" s="14">
        <f>SUMIFS(指數型權證!$AH$1:$AH$49,指數型權證!$AL$1:$AL$49,"7",指數型權證!$AJ$1:$AJ$49,J52,指數型權證!$AM$1:$AM$49,"Put")</f>
        <v>0</v>
      </c>
      <c r="R52" s="14"/>
      <c r="S52" s="36"/>
      <c r="T52" s="36"/>
      <c r="U52" s="48" t="e">
        <f t="shared" ca="1" si="8"/>
        <v>#VALUE!</v>
      </c>
      <c r="V52" s="48" t="e">
        <f t="shared" ca="1" si="9"/>
        <v>#VALUE!</v>
      </c>
    </row>
    <row r="53" spans="1:22" ht="17.25" thickBot="1" x14ac:dyDescent="0.3">
      <c r="A53" s="36"/>
      <c r="B53" s="14"/>
      <c r="C53" s="14"/>
      <c r="D53" s="14"/>
      <c r="E53" s="17"/>
      <c r="F53" s="17"/>
      <c r="G53" s="17"/>
      <c r="H53" s="19"/>
      <c r="I53" s="19"/>
      <c r="J53" s="18"/>
      <c r="K53" s="17"/>
      <c r="L53" s="17"/>
      <c r="M53" s="17"/>
      <c r="N53" s="19"/>
      <c r="O53" s="19"/>
      <c r="P53" s="14"/>
      <c r="Q53" s="14">
        <f>SUMIFS(指數型權證!$AH$1:$AH$49,指數型權證!$AL$1:$AL$49,"7",指數型權證!$AJ$1:$AJ$49,J53,指數型權證!$AM$1:$AM$49,"Put")</f>
        <v>0</v>
      </c>
      <c r="R53" s="14"/>
      <c r="S53" s="36"/>
      <c r="T53" s="36"/>
      <c r="U53" s="48" t="e">
        <f t="shared" ca="1" si="8"/>
        <v>#VALUE!</v>
      </c>
      <c r="V53" s="48" t="e">
        <f t="shared" ca="1" si="9"/>
        <v>#VALUE!</v>
      </c>
    </row>
    <row r="54" spans="1:22" ht="17.25" thickBot="1" x14ac:dyDescent="0.3">
      <c r="A54" s="36"/>
      <c r="B54" s="14"/>
      <c r="C54" s="14"/>
      <c r="D54" s="14"/>
      <c r="E54" s="17"/>
      <c r="F54" s="17"/>
      <c r="G54" s="17"/>
      <c r="H54" s="19"/>
      <c r="I54" s="19"/>
      <c r="J54" s="18"/>
      <c r="K54" s="17"/>
      <c r="L54" s="17"/>
      <c r="M54" s="17"/>
      <c r="N54" s="19"/>
      <c r="O54" s="19"/>
      <c r="P54" s="14"/>
      <c r="Q54" s="14">
        <f>SUMIFS(指數型權證!$AH$1:$AH$49,指數型權證!$AL$1:$AL$49,"7",指數型權證!$AJ$1:$AJ$49,J54,指數型權證!$AM$1:$AM$49,"Put")</f>
        <v>0</v>
      </c>
      <c r="R54" s="14"/>
      <c r="S54" s="36"/>
      <c r="T54" s="36"/>
      <c r="U54" s="48" t="e">
        <f t="shared" ca="1" si="8"/>
        <v>#VALUE!</v>
      </c>
      <c r="V54" s="48" t="e">
        <f t="shared" ca="1" si="9"/>
        <v>#VALUE!</v>
      </c>
    </row>
    <row r="55" spans="1:22" ht="17.25" thickBot="1" x14ac:dyDescent="0.3">
      <c r="A55" s="36"/>
      <c r="B55" s="14"/>
      <c r="C55" s="14"/>
      <c r="D55" s="14"/>
      <c r="E55" s="17"/>
      <c r="F55" s="17"/>
      <c r="G55" s="17"/>
      <c r="H55" s="19"/>
      <c r="I55" s="19"/>
      <c r="J55" s="18"/>
      <c r="K55" s="17"/>
      <c r="L55" s="17"/>
      <c r="M55" s="17"/>
      <c r="N55" s="19"/>
      <c r="O55" s="19"/>
      <c r="P55" s="14"/>
      <c r="Q55" s="14">
        <f>SUMIFS(指數型權證!$AH$1:$AH$49,指數型權證!$AL$1:$AL$49,"7",指數型權證!$AJ$1:$AJ$49,J55,指數型權證!$AM$1:$AM$49,"Put")</f>
        <v>0</v>
      </c>
      <c r="R55" s="14"/>
      <c r="S55" s="36"/>
      <c r="T55" s="36"/>
      <c r="U55" s="48" t="e">
        <f t="shared" ca="1" si="8"/>
        <v>#VALUE!</v>
      </c>
      <c r="V55" s="48" t="e">
        <f t="shared" ca="1" si="9"/>
        <v>#VALUE!</v>
      </c>
    </row>
    <row r="56" spans="1:22" ht="17.25" thickBot="1" x14ac:dyDescent="0.3">
      <c r="A56" s="36"/>
      <c r="B56" s="14"/>
      <c r="C56" s="14"/>
      <c r="D56" s="14"/>
      <c r="E56" s="17"/>
      <c r="F56" s="17"/>
      <c r="G56" s="17"/>
      <c r="H56" s="19"/>
      <c r="I56" s="19"/>
      <c r="J56" s="18"/>
      <c r="K56" s="17"/>
      <c r="L56" s="17"/>
      <c r="M56" s="17"/>
      <c r="N56" s="19"/>
      <c r="O56" s="19"/>
      <c r="P56" s="14"/>
      <c r="Q56" s="14">
        <f>SUMIFS(指數型權證!$AH$1:$AH$49,指數型權證!$AL$1:$AL$49,"7",指數型權證!$AJ$1:$AJ$49,J56,指數型權證!$AM$1:$AM$49,"Put")</f>
        <v>0</v>
      </c>
      <c r="R56" s="14"/>
      <c r="S56" s="36"/>
      <c r="T56" s="36"/>
      <c r="U56" s="48" t="e">
        <f t="shared" ca="1" si="8"/>
        <v>#VALUE!</v>
      </c>
      <c r="V56" s="48" t="e">
        <f t="shared" ca="1" si="9"/>
        <v>#VALUE!</v>
      </c>
    </row>
    <row r="57" spans="1:22" ht="17.25" thickBot="1" x14ac:dyDescent="0.3">
      <c r="A57" s="36"/>
      <c r="B57" s="14"/>
      <c r="C57" s="14"/>
      <c r="D57" s="14"/>
      <c r="E57" s="17"/>
      <c r="F57" s="17"/>
      <c r="G57" s="17"/>
      <c r="H57" s="19"/>
      <c r="I57" s="19"/>
      <c r="J57" s="18"/>
      <c r="K57" s="17"/>
      <c r="L57" s="17"/>
      <c r="M57" s="17"/>
      <c r="N57" s="19"/>
      <c r="O57" s="19"/>
      <c r="P57" s="14"/>
      <c r="Q57" s="14">
        <f>SUMIFS(指數型權證!$AH$1:$AH$49,指數型權證!$AL$1:$AL$49,"7",指數型權證!$AJ$1:$AJ$49,J57,指數型權證!$AM$1:$AM$49,"Put")</f>
        <v>0</v>
      </c>
      <c r="R57" s="14"/>
      <c r="S57" s="36"/>
      <c r="T57" s="36"/>
      <c r="U57" s="48" t="e">
        <f t="shared" ca="1" si="8"/>
        <v>#VALUE!</v>
      </c>
      <c r="V57" s="48" t="e">
        <f t="shared" ca="1" si="9"/>
        <v>#VALUE!</v>
      </c>
    </row>
    <row r="58" spans="1:22" x14ac:dyDescent="0.25">
      <c r="A58" s="36"/>
      <c r="B58" s="14"/>
      <c r="C58" s="14"/>
      <c r="D58" s="14"/>
      <c r="E58" s="17"/>
      <c r="F58" s="17"/>
      <c r="G58" s="17"/>
      <c r="H58" s="19"/>
      <c r="I58" s="19"/>
      <c r="J58" s="18"/>
      <c r="K58" s="17"/>
      <c r="L58" s="17"/>
      <c r="M58" s="17"/>
      <c r="N58" s="19"/>
      <c r="O58" s="19"/>
      <c r="P58" s="14"/>
      <c r="Q58" s="14">
        <f>SUMIFS(指數型權證!$AH$1:$AH$49,指數型權證!$AL$1:$AL$49,"7",指數型權證!$AJ$1:$AJ$49,J58,指數型權證!$AM$1:$AM$49,"Put")</f>
        <v>0</v>
      </c>
      <c r="R58" s="14"/>
      <c r="S58" s="36"/>
      <c r="T58" s="36"/>
      <c r="U58" s="48" t="e">
        <f t="shared" ca="1" si="8"/>
        <v>#VALUE!</v>
      </c>
      <c r="V58" s="48" t="e">
        <f t="shared" ca="1" si="9"/>
        <v>#VALUE!</v>
      </c>
    </row>
    <row r="67" spans="16:16" x14ac:dyDescent="0.25">
      <c r="P67" s="276"/>
    </row>
    <row r="68" spans="16:16" x14ac:dyDescent="0.25">
      <c r="P68" s="276"/>
    </row>
    <row r="69" spans="16:16" x14ac:dyDescent="0.25">
      <c r="P69" s="276"/>
    </row>
    <row r="70" spans="16:16" x14ac:dyDescent="0.25">
      <c r="P70" s="276"/>
    </row>
    <row r="71" spans="16:16" x14ac:dyDescent="0.25">
      <c r="P71" s="276"/>
    </row>
  </sheetData>
  <mergeCells count="2">
    <mergeCell ref="A9:I9"/>
    <mergeCell ref="K9:S9"/>
  </mergeCells>
  <phoneticPr fontId="4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AR45"/>
  <sheetViews>
    <sheetView zoomScale="85" zoomScaleNormal="85" workbookViewId="0">
      <selection activeCell="B2" sqref="B2"/>
    </sheetView>
  </sheetViews>
  <sheetFormatPr defaultRowHeight="16.5" x14ac:dyDescent="0.25"/>
  <cols>
    <col min="1" max="1" width="12.875" customWidth="1"/>
    <col min="2" max="2" width="16.125" customWidth="1"/>
    <col min="3" max="3" width="11.125" customWidth="1"/>
    <col min="4" max="4" width="13.875" customWidth="1"/>
    <col min="5" max="5" width="10.5" bestFit="1" customWidth="1"/>
    <col min="6" max="6" width="13.5" customWidth="1"/>
    <col min="7" max="7" width="12.25" customWidth="1"/>
    <col min="8" max="8" width="9.5" bestFit="1" customWidth="1"/>
    <col min="10" max="10" width="11.75" bestFit="1" customWidth="1"/>
    <col min="12" max="12" width="13.125" customWidth="1"/>
    <col min="13" max="13" width="12" customWidth="1"/>
    <col min="14" max="14" width="11" customWidth="1"/>
    <col min="15" max="15" width="14.625" customWidth="1"/>
    <col min="16" max="16" width="14.375" customWidth="1"/>
    <col min="17" max="17" width="13.75" customWidth="1"/>
    <col min="18" max="18" width="14.125" customWidth="1"/>
    <col min="19" max="20" width="13.125" customWidth="1"/>
    <col min="21" max="23" width="10.625" customWidth="1"/>
    <col min="24" max="24" width="11.625" customWidth="1"/>
    <col min="25" max="25" width="11.75" customWidth="1"/>
    <col min="26" max="26" width="15.625" customWidth="1"/>
    <col min="27" max="40" width="13.5" customWidth="1"/>
    <col min="41" max="41" width="10.125" bestFit="1" customWidth="1"/>
  </cols>
  <sheetData>
    <row r="1" spans="1:40" x14ac:dyDescent="0.25">
      <c r="A1" s="1" t="s">
        <v>53</v>
      </c>
      <c r="B1" s="1" t="s">
        <v>48</v>
      </c>
      <c r="C1" s="1" t="s">
        <v>51</v>
      </c>
      <c r="D1" s="1" t="s">
        <v>52</v>
      </c>
      <c r="E1" s="2" t="s">
        <v>21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7</v>
      </c>
      <c r="L1" s="1" t="s">
        <v>15</v>
      </c>
      <c r="M1" s="2" t="s">
        <v>8</v>
      </c>
      <c r="N1" s="2" t="s">
        <v>9</v>
      </c>
      <c r="O1" s="2" t="s">
        <v>50</v>
      </c>
      <c r="P1" s="7" t="s">
        <v>20</v>
      </c>
      <c r="Q1" s="10" t="s">
        <v>19</v>
      </c>
      <c r="R1" s="10" t="s">
        <v>30</v>
      </c>
      <c r="Z1" s="21">
        <v>14</v>
      </c>
    </row>
    <row r="2" spans="1:40" x14ac:dyDescent="0.25">
      <c r="A2" s="22"/>
      <c r="B2" s="37" t="e">
        <f>SUM(B10:B79)+SUM(R10:R79)+SUM(B3:B5)</f>
        <v>#VALUE!</v>
      </c>
      <c r="C2" s="37" t="e">
        <f>SUM(A10:A50)+SUM(S10:S50)</f>
        <v>#VALUE!</v>
      </c>
      <c r="D2" s="37" t="e">
        <f>SUM($D$10:$D$70)+SUM($P$10:$P$70)</f>
        <v>#VALUE!</v>
      </c>
      <c r="E2" s="37">
        <f>SUMIF(C10:C79,"&gt;0",C10:C79)+SUMIF(Q10:Q79,"&gt;0",Q10:Q79)+選擇權次近月!E2</f>
        <v>31</v>
      </c>
      <c r="F2" s="22" t="str">
        <f>[1]!'101070`644'</f>
        <v>#Get Error</v>
      </c>
      <c r="G2" s="23" t="str">
        <f>[1]!'101070`743'</f>
        <v>#Get Error</v>
      </c>
      <c r="H2" s="23" t="str">
        <f>[1]!'101070`744'</f>
        <v>#Get Error</v>
      </c>
      <c r="I2" s="23" t="str">
        <f>[1]!'101070`205'</f>
        <v>#Get Error</v>
      </c>
      <c r="J2" s="23" t="str">
        <f>[1]!'101070`1003'</f>
        <v>#Get Error</v>
      </c>
      <c r="K2" s="24" t="str">
        <f>[1]!'101070`1004'</f>
        <v>#Get Error</v>
      </c>
      <c r="L2" s="23" t="e">
        <f>I2-I3</f>
        <v>#VALUE!</v>
      </c>
      <c r="M2" s="29">
        <v>44020</v>
      </c>
      <c r="N2" s="30">
        <f ca="1">IF(TODAY()=M2,$S$2/252,(COUNTIF(工作日!$B$2:$B$133,"&lt;="&amp;M2)-COUNTIF(工作日!$B$2:$B$133,"&lt;"&amp;TODAY())-$S$2)/252)</f>
        <v>0</v>
      </c>
      <c r="O2" s="30">
        <f ca="1">IF(TODAY()=M2,0.001/252,(COUNTIF(工作日!$B$2:$B$133,"&lt;="&amp;M2)-COUNTIF(工作日!$B$2:$B$133,"&lt;="&amp;TODAY())-$S$2)/252)</f>
        <v>-3.968253968253968E-3</v>
      </c>
      <c r="P2" s="8" t="e">
        <f>I2*0.01</f>
        <v>#VALUE!</v>
      </c>
      <c r="Q2" s="11"/>
      <c r="R2" s="11" t="e">
        <f>SUM($U$10:$U$33)+SUM($V$10:$V$33)</f>
        <v>#VALUE!</v>
      </c>
      <c r="S2" s="21">
        <f ca="1">IF(AND(TEXT(NOW(),"hh:mm")&gt;$U$3,TEXT(NOW(),"hh:mm")&lt;$U$2),0,VALUE(TEXT(NOW()-$U$2,"h:mm")/$X$2))</f>
        <v>0</v>
      </c>
      <c r="T2" s="21"/>
      <c r="U2" s="40" t="str">
        <f>TEXT("08:45:00 AM","h:mm")</f>
        <v>8:45</v>
      </c>
      <c r="V2" s="40"/>
      <c r="W2" s="40"/>
      <c r="X2" s="35">
        <v>0.20833333333333334</v>
      </c>
      <c r="Y2" s="40" t="str">
        <f>TEXT("01:45:00 PM","h:mm")</f>
        <v>13:45</v>
      </c>
      <c r="Z2" s="35">
        <v>0.625</v>
      </c>
      <c r="AA2" s="56"/>
    </row>
    <row r="3" spans="1:40" x14ac:dyDescent="0.25">
      <c r="A3" s="25">
        <v>0</v>
      </c>
      <c r="B3" s="38" t="e">
        <f>A3*I2*200</f>
        <v>#VALUE!</v>
      </c>
      <c r="C3" s="38"/>
      <c r="D3" s="38"/>
      <c r="F3" s="25" t="str">
        <f>[1]!'101999`644'</f>
        <v>台指期</v>
      </c>
      <c r="G3" s="26" t="str">
        <f>[1]!'101999`743'</f>
        <v>-</v>
      </c>
      <c r="H3" s="26" t="str">
        <f>[1]!'101999`744'</f>
        <v>-</v>
      </c>
      <c r="I3" s="26" t="str">
        <f>[1]!'101999`205'</f>
        <v>-</v>
      </c>
      <c r="J3" s="26">
        <f>[1]!'101999`1003'</f>
        <v>0</v>
      </c>
      <c r="K3" s="27">
        <f>[1]!'101999`1004'</f>
        <v>0</v>
      </c>
      <c r="L3" s="26"/>
      <c r="M3" s="26"/>
      <c r="N3" s="31"/>
      <c r="O3" s="31"/>
      <c r="P3" s="8"/>
      <c r="S3" s="9"/>
      <c r="T3" s="9"/>
      <c r="U3" t="str">
        <f>TEXT("01:45:00 PM","hh:mm")</f>
        <v>13:45</v>
      </c>
      <c r="X3" t="s">
        <v>55</v>
      </c>
    </row>
    <row r="4" spans="1:40" x14ac:dyDescent="0.25">
      <c r="A4" s="25">
        <v>0</v>
      </c>
      <c r="B4" s="38" t="e">
        <f>A4*I8*50</f>
        <v>#VALUE!</v>
      </c>
      <c r="C4" s="38"/>
      <c r="D4" s="38"/>
      <c r="F4" s="22" t="str">
        <f>[1]!'102070`644'</f>
        <v>#Get Error</v>
      </c>
      <c r="G4" s="23" t="str">
        <f>[1]!'102070`743'</f>
        <v>#Get Error</v>
      </c>
      <c r="H4" s="23" t="str">
        <f>[1]!'102070`744'</f>
        <v>#Get Error</v>
      </c>
      <c r="I4" s="23" t="str">
        <f>[1]!'102070`205'</f>
        <v>#Get Error</v>
      </c>
      <c r="J4" s="23" t="str">
        <f>[1]!'102070`1003'</f>
        <v>#Get Error</v>
      </c>
      <c r="K4" s="24" t="str">
        <f>[1]!'102070`1004'</f>
        <v>#Get Error</v>
      </c>
      <c r="L4" s="26" t="e">
        <f>I4-I5</f>
        <v>#VALUE!</v>
      </c>
      <c r="M4" s="29">
        <v>44020</v>
      </c>
      <c r="N4" s="30">
        <f ca="1">IF(TODAY()=M4,$S$2/252,(COUNTIF(工作日!$B$2:$B$133,"&lt;="&amp;M4)-COUNTIF(工作日!$B$2:$B$133,"&lt;"&amp;TODAY())-$S$2)/252)</f>
        <v>0</v>
      </c>
      <c r="O4" s="30">
        <f ca="1">IF(TODAY()=M4,0.001/252,(COUNTIF(工作日!$B$2:$B$133,"&lt;="&amp;M4)-COUNTIF(工作日!$B$2:$B$133,"&lt;="&amp;TODAY())-$S$2)/252)</f>
        <v>-3.968253968253968E-3</v>
      </c>
      <c r="P4" s="8"/>
      <c r="Q4">
        <f ca="1">COUNTIF(工作日!$B$2:$B$2,"&lt;="&amp;M2)-COUNTIF(工作日!$B$2:$B$2,"&lt;"&amp;TODAY())</f>
        <v>0</v>
      </c>
      <c r="S4" s="57"/>
      <c r="T4" s="9"/>
    </row>
    <row r="5" spans="1:40" x14ac:dyDescent="0.25">
      <c r="A5" s="25">
        <v>0</v>
      </c>
      <c r="B5" s="38">
        <v>0</v>
      </c>
      <c r="C5" s="38"/>
      <c r="D5" s="39" t="e">
        <f>B5/D2/100</f>
        <v>#VALUE!</v>
      </c>
      <c r="F5" s="25" t="str">
        <f>[1]!'102999`644'</f>
        <v>電子期</v>
      </c>
      <c r="G5" s="26" t="str">
        <f>[1]!'102999`743'</f>
        <v>-</v>
      </c>
      <c r="H5" s="26" t="str">
        <f>[1]!'102999`744'</f>
        <v>-</v>
      </c>
      <c r="I5" s="26" t="str">
        <f>[1]!'102999`205'</f>
        <v>-</v>
      </c>
      <c r="J5" s="26">
        <f>[1]!'102999`1003'</f>
        <v>0</v>
      </c>
      <c r="K5" s="27">
        <f>[1]!'102999`1004'</f>
        <v>0</v>
      </c>
      <c r="L5" s="26"/>
      <c r="M5" s="26"/>
      <c r="N5" s="31"/>
      <c r="O5" s="31"/>
      <c r="P5" s="8"/>
      <c r="S5" s="9"/>
      <c r="T5" s="9"/>
      <c r="X5" t="s">
        <v>56</v>
      </c>
    </row>
    <row r="6" spans="1:40" x14ac:dyDescent="0.25">
      <c r="F6" s="22" t="str">
        <f>[1]!'103070`644'</f>
        <v>金融期070</v>
      </c>
      <c r="G6" s="23">
        <f>[1]!'103070`743'</f>
        <v>1282.4000000000001</v>
      </c>
      <c r="H6" s="23">
        <f>[1]!'103070`744'</f>
        <v>1282.5999999999999</v>
      </c>
      <c r="I6" s="23">
        <f>[1]!'103070`205'</f>
        <v>1282.4000000000001</v>
      </c>
      <c r="J6" s="23">
        <f>[1]!'103070`1003'</f>
        <v>3</v>
      </c>
      <c r="K6" s="24">
        <f>[1]!'103070`1004'</f>
        <v>0.234484</v>
      </c>
      <c r="L6" s="26">
        <f>I6-I7</f>
        <v>-0.87999999999988177</v>
      </c>
      <c r="M6" s="29">
        <v>44020</v>
      </c>
      <c r="N6" s="30">
        <f ca="1">IF(TODAY()=M6,$S$2/252,(COUNTIF(工作日!$B$2:$B$133,"&lt;="&amp;M6)-COUNTIF(工作日!$B$2:$B$133,"&lt;"&amp;TODAY())-$S$2)/252)</f>
        <v>0</v>
      </c>
      <c r="O6" s="30">
        <f ca="1">IF(TODAY()=M6,0.001/252,(COUNTIF(工作日!$B$2:$B$133,"&lt;="&amp;M6)-COUNTIF(工作日!$B$2:$B$133,"&lt;="&amp;TODAY())-$S$2)/252)</f>
        <v>-3.968253968253968E-3</v>
      </c>
      <c r="P6" s="8"/>
      <c r="S6" s="58"/>
      <c r="T6" s="9"/>
    </row>
    <row r="7" spans="1:40" x14ac:dyDescent="0.25">
      <c r="F7" s="25" t="str">
        <f>[1]!'103999`644'</f>
        <v>金融期</v>
      </c>
      <c r="G7" s="26" t="str">
        <f>[1]!'103999`743'</f>
        <v>-</v>
      </c>
      <c r="H7" s="26" t="str">
        <f>[1]!'103999`744'</f>
        <v>-</v>
      </c>
      <c r="I7" s="26">
        <f>[1]!'103999`205'</f>
        <v>1283.28</v>
      </c>
      <c r="J7" s="26">
        <f>[1]!'103999`1003'</f>
        <v>3.57</v>
      </c>
      <c r="K7" s="27">
        <f>[1]!'103999`1004'</f>
        <v>0.27896900000000002</v>
      </c>
      <c r="L7" s="28"/>
      <c r="M7" s="33"/>
      <c r="N7" s="34"/>
      <c r="O7" s="34"/>
      <c r="P7" s="8"/>
    </row>
    <row r="8" spans="1:40" ht="17.25" thickBot="1" x14ac:dyDescent="0.3">
      <c r="B8" s="3" t="e">
        <f>B33/I2/50</f>
        <v>#VALUE!</v>
      </c>
      <c r="C8" s="9" t="e">
        <f>GBSGreeks("d", "C",$I$2+4,$J33,$N$2,$H33, 0,0)*50*$I$2*$C33-GBSGreeks("d", "C",$I$2,$J33,$N$2,$H33, 0,0)*50*$I$2*$C33</f>
        <v>#VALUE!</v>
      </c>
      <c r="D8" s="9"/>
      <c r="E8" t="e">
        <f>J31-G8</f>
        <v>#VALUE!</v>
      </c>
      <c r="F8" s="22" t="str">
        <f>[1]!'1042070`644'</f>
        <v>#Get Error</v>
      </c>
      <c r="G8" s="23" t="str">
        <f>[1]!'1042070`743'</f>
        <v>#Get Error</v>
      </c>
      <c r="H8" s="23" t="str">
        <f>[1]!'1042070`744'</f>
        <v>#Get Error</v>
      </c>
      <c r="I8" s="23" t="str">
        <f>[1]!'1042070`205'</f>
        <v>#Get Error</v>
      </c>
      <c r="J8" s="23" t="str">
        <f>[1]!'1042070`1003'</f>
        <v>#Get Error</v>
      </c>
      <c r="K8" s="24">
        <f>[1]!'104889`1004'</f>
        <v>0.20688500000000001</v>
      </c>
      <c r="L8" s="23" t="e">
        <f>I8-I9</f>
        <v>#VALUE!</v>
      </c>
      <c r="M8" s="29">
        <v>44020</v>
      </c>
      <c r="N8" s="30">
        <f ca="1">IF(TODAY()=M8,$S$2/252,(COUNTIF(工作日!$B$2:$B$133,"&lt;="&amp;M8)-COUNTIF(工作日!$B$2:$B$133,"&lt;"&amp;TODAY())-$S$2)/252)</f>
        <v>0</v>
      </c>
      <c r="O8" s="30">
        <f ca="1">IF(TODAY()=M8,0.001/252,(COUNTIF(工作日!$B$2:$B$133,"&lt;="&amp;M8)-COUNTIF(工作日!$B$2:$B$133,"&lt;="&amp;TODAY())-$S$2)/252)</f>
        <v>-3.968253968253968E-3</v>
      </c>
      <c r="Q8" t="e">
        <f>(G8+H8)/2</f>
        <v>#VALUE!</v>
      </c>
      <c r="S8" t="e">
        <f>-R20/選擇權近月!I8/50</f>
        <v>#VALUE!</v>
      </c>
    </row>
    <row r="9" spans="1:40" ht="17.25" thickBot="1" x14ac:dyDescent="0.3">
      <c r="A9" s="13" t="s">
        <v>49</v>
      </c>
      <c r="B9" s="13" t="s">
        <v>48</v>
      </c>
      <c r="C9" s="13" t="s">
        <v>21</v>
      </c>
      <c r="D9" s="13" t="s">
        <v>18</v>
      </c>
      <c r="E9" s="12" t="s">
        <v>3</v>
      </c>
      <c r="F9" s="12" t="s">
        <v>4</v>
      </c>
      <c r="G9" s="12" t="s">
        <v>5</v>
      </c>
      <c r="H9" s="12" t="s">
        <v>16</v>
      </c>
      <c r="I9" s="12" t="s">
        <v>17</v>
      </c>
      <c r="J9" s="16" t="s">
        <v>6</v>
      </c>
      <c r="K9" s="12" t="s">
        <v>3</v>
      </c>
      <c r="L9" s="12" t="s">
        <v>4</v>
      </c>
      <c r="M9" s="12" t="s">
        <v>5</v>
      </c>
      <c r="N9" s="12" t="s">
        <v>16</v>
      </c>
      <c r="O9" s="12" t="s">
        <v>17</v>
      </c>
      <c r="P9" s="13" t="s">
        <v>18</v>
      </c>
      <c r="Q9" s="13" t="s">
        <v>21</v>
      </c>
      <c r="R9" s="13" t="s">
        <v>48</v>
      </c>
      <c r="S9" s="13" t="s">
        <v>49</v>
      </c>
      <c r="T9" s="46"/>
      <c r="U9" s="44" t="s">
        <v>62</v>
      </c>
      <c r="V9" s="47" t="s">
        <v>63</v>
      </c>
      <c r="W9" s="53" t="s">
        <v>54</v>
      </c>
      <c r="X9" s="54" t="e">
        <f t="shared" ref="X9:AC9" si="0">Y9-100</f>
        <v>#VALUE!</v>
      </c>
      <c r="Y9" s="54" t="e">
        <f t="shared" si="0"/>
        <v>#VALUE!</v>
      </c>
      <c r="Z9" s="54" t="e">
        <f t="shared" si="0"/>
        <v>#VALUE!</v>
      </c>
      <c r="AA9" s="54" t="e">
        <f t="shared" si="0"/>
        <v>#VALUE!</v>
      </c>
      <c r="AB9" s="54" t="e">
        <f t="shared" si="0"/>
        <v>#VALUE!</v>
      </c>
      <c r="AC9" s="54" t="e">
        <f t="shared" si="0"/>
        <v>#VALUE!</v>
      </c>
      <c r="AD9" s="54" t="e">
        <f>AE9-100</f>
        <v>#VALUE!</v>
      </c>
      <c r="AE9" s="54" t="str">
        <f>$I$2</f>
        <v>#Get Error</v>
      </c>
      <c r="AF9" s="54" t="e">
        <f>AE9+100</f>
        <v>#VALUE!</v>
      </c>
      <c r="AG9" s="54" t="e">
        <f>AF9+100</f>
        <v>#VALUE!</v>
      </c>
      <c r="AH9" s="54" t="e">
        <f>AG9+100</f>
        <v>#VALUE!</v>
      </c>
      <c r="AI9" s="54" t="e">
        <f t="shared" ref="AI9:AN9" si="1">AH9+100</f>
        <v>#VALUE!</v>
      </c>
      <c r="AJ9" s="54" t="e">
        <f t="shared" si="1"/>
        <v>#VALUE!</v>
      </c>
      <c r="AK9" s="54" t="e">
        <f t="shared" si="1"/>
        <v>#VALUE!</v>
      </c>
      <c r="AL9" s="54" t="e">
        <f t="shared" si="1"/>
        <v>#VALUE!</v>
      </c>
      <c r="AM9" s="54" t="e">
        <f t="shared" si="1"/>
        <v>#VALUE!</v>
      </c>
      <c r="AN9" s="54" t="e">
        <f t="shared" si="1"/>
        <v>#VALUE!</v>
      </c>
    </row>
    <row r="10" spans="1:40" ht="17.25" thickBot="1" x14ac:dyDescent="0.3">
      <c r="A10" s="36" t="e">
        <f t="shared" ref="A10:A32" si="2">(GBSOption("C",$I$2,$J10, $N$2,$H10, 0,0)-GBSOption("C",$I$2,$J10, $O$2,$H10, 0,0))*$C10*50*-1</f>
        <v>#VALUE!</v>
      </c>
      <c r="B10" s="14" t="e">
        <f t="shared" ref="B10:B36" si="3">GBSGreeks("d", "C",$I$2,$J10,$N$2,$H10, 0,0)*50*$I$2*$C10</f>
        <v>#VALUE!</v>
      </c>
      <c r="C10" s="14">
        <v>0</v>
      </c>
      <c r="D10" s="14" t="e">
        <f t="shared" ref="D10:D36" si="4">GBSGreeks("g", "C",$I$2,$J10,$N$2,$H10, 0,0)*$P$2*50*$I$2*$C10*-1</f>
        <v>#VALUE!</v>
      </c>
      <c r="E10" s="17" t="str">
        <f>[3]!'WTX2N0;10400C`267'</f>
        <v>#Get Error</v>
      </c>
      <c r="F10" s="17" t="str">
        <f>[3]!'WTX2N0;10400C`268'</f>
        <v>#Get Error</v>
      </c>
      <c r="G10" s="17" t="str">
        <f>[3]!'WTX2N0;10400C`205'</f>
        <v>#Get Error</v>
      </c>
      <c r="H10" s="19">
        <f t="shared" ref="H10:H36" si="5">IF(ISNUMBER(GBSImpliedVol("C",E10,$Q$8,$J10,$N$2,0,0)),GBSImpliedVol("C",E10,$Q$8,$J10,$N$2,0,0),0.6)</f>
        <v>0.6</v>
      </c>
      <c r="I10" s="19">
        <f t="shared" ref="I10:I36" si="6">IF(ISNUMBER(GBSImpliedVol("C",F10,$Q$8,$J10,$N$2,0,0)),GBSImpliedVol("C",F10,$Q$8,$J10,$N$2,0,0),0.6)</f>
        <v>0.6</v>
      </c>
      <c r="J10" s="18">
        <v>10400</v>
      </c>
      <c r="K10" s="17" t="str">
        <f>[3]!'WTX2N0;10400P`267'</f>
        <v>#Get Error</v>
      </c>
      <c r="L10" s="17" t="str">
        <f>[3]!'WTX2N0;10400P`268'</f>
        <v>#Get Error</v>
      </c>
      <c r="M10" s="17" t="str">
        <f>[3]!'WTX2N0;10400P`205'</f>
        <v>#Get Error</v>
      </c>
      <c r="N10" s="19">
        <f t="shared" ref="N10:N36" si="7">IF(ISNUMBER(GBSImpliedVol("P",K10,$Q$8,$J10,$N$2,0,0)),GBSImpliedVol("P",K10,$Q$8,$J10,$N$2,0,0),0.6)</f>
        <v>0.6</v>
      </c>
      <c r="O10" s="19">
        <f t="shared" ref="O10:O36" si="8">IF(ISNUMBER(GBSImpliedVol("P",L10,$Q$8,$J10,$N$2,0,0)),GBSImpliedVol("P",L10,$Q$8,$J10,$N$2,0,0),0.6)</f>
        <v>0.6</v>
      </c>
      <c r="P10" s="14" t="e">
        <f t="shared" ref="P10:P36" si="9">GBSGreeks("g", "P",$I$2,$J10,$N$2,$N10, 0,0)*$P$2*50*$I$2*$Q10*-1</f>
        <v>#VALUE!</v>
      </c>
      <c r="Q10" s="14">
        <v>1</v>
      </c>
      <c r="R10" s="14" t="e">
        <f t="shared" ref="R10:R33" si="10">GBSGreeks("d", "P",$I$2,$J10,$N$2,$N10, 0,0)*50*$I$2*Q10</f>
        <v>#VALUE!</v>
      </c>
      <c r="S10" s="36" t="e">
        <f t="shared" ref="S10:S33" si="11">(GBSOption("P",$I$2,$J10,$N$2,N10,0,0)-GBSOption("P",$I$2,$J10,$O$2,N10,0,0))*Q10*50*-1</f>
        <v>#VALUE!</v>
      </c>
      <c r="T10" s="36"/>
      <c r="U10" s="48" t="e">
        <f t="shared" ref="U10:U45" si="12">(GBSOption("C",$I$2,$J10,$N$2,$H10,0, 0)-GBSOption("C",$I$2,$J10,$N$2,$H10+0.01,0, 0))*50*$C10</f>
        <v>#VALUE!</v>
      </c>
      <c r="V10" s="48" t="e">
        <f t="shared" ref="V10:V45" si="13">(GBSOption("P",$I$2,$J10,$N$2,$N10,0, 0)-GBSOption("P",$I$2,$J10,$N$2,$N10+0.01,0, 0))*50*$Q10</f>
        <v>#VALUE!</v>
      </c>
      <c r="W10" s="53" t="s">
        <v>64</v>
      </c>
      <c r="X10" s="55" t="e">
        <f>(X$9-$I$2)*$A$3*200</f>
        <v>#VALUE!</v>
      </c>
      <c r="Y10" s="55" t="e">
        <f t="shared" ref="Y10:AN10" si="14">(Y$9-$I$2)*$A$3*200</f>
        <v>#VALUE!</v>
      </c>
      <c r="Z10" s="55" t="e">
        <f t="shared" si="14"/>
        <v>#VALUE!</v>
      </c>
      <c r="AA10" s="55" t="e">
        <f t="shared" si="14"/>
        <v>#VALUE!</v>
      </c>
      <c r="AB10" s="55" t="e">
        <f t="shared" si="14"/>
        <v>#VALUE!</v>
      </c>
      <c r="AC10" s="55" t="e">
        <f t="shared" si="14"/>
        <v>#VALUE!</v>
      </c>
      <c r="AD10" s="55" t="e">
        <f t="shared" si="14"/>
        <v>#VALUE!</v>
      </c>
      <c r="AE10" s="55" t="e">
        <f t="shared" si="14"/>
        <v>#VALUE!</v>
      </c>
      <c r="AF10" s="55" t="e">
        <f t="shared" si="14"/>
        <v>#VALUE!</v>
      </c>
      <c r="AG10" s="55" t="e">
        <f t="shared" si="14"/>
        <v>#VALUE!</v>
      </c>
      <c r="AH10" s="55" t="e">
        <f t="shared" si="14"/>
        <v>#VALUE!</v>
      </c>
      <c r="AI10" s="55" t="e">
        <f t="shared" si="14"/>
        <v>#VALUE!</v>
      </c>
      <c r="AJ10" s="55" t="e">
        <f t="shared" si="14"/>
        <v>#VALUE!</v>
      </c>
      <c r="AK10" s="55" t="e">
        <f t="shared" si="14"/>
        <v>#VALUE!</v>
      </c>
      <c r="AL10" s="55" t="e">
        <f t="shared" si="14"/>
        <v>#VALUE!</v>
      </c>
      <c r="AM10" s="55" t="e">
        <f t="shared" si="14"/>
        <v>#VALUE!</v>
      </c>
      <c r="AN10" s="55" t="e">
        <f t="shared" si="14"/>
        <v>#VALUE!</v>
      </c>
    </row>
    <row r="11" spans="1:40" ht="17.25" thickBot="1" x14ac:dyDescent="0.3">
      <c r="A11" s="36" t="e">
        <f t="shared" si="2"/>
        <v>#VALUE!</v>
      </c>
      <c r="B11" s="14" t="e">
        <f t="shared" si="3"/>
        <v>#VALUE!</v>
      </c>
      <c r="C11" s="14">
        <v>0</v>
      </c>
      <c r="D11" s="14" t="e">
        <f t="shared" si="4"/>
        <v>#VALUE!</v>
      </c>
      <c r="E11" s="17" t="str">
        <f>[3]!'WTX2N0;10500C`267'</f>
        <v>#Get Error</v>
      </c>
      <c r="F11" s="17" t="str">
        <f>[3]!'WTX2N0;10500C`268'</f>
        <v>#Get Error</v>
      </c>
      <c r="G11" s="17" t="str">
        <f>[3]!'WTX2N0;10500C`205'</f>
        <v>#Get Error</v>
      </c>
      <c r="H11" s="19">
        <f t="shared" si="5"/>
        <v>0.6</v>
      </c>
      <c r="I11" s="19">
        <f t="shared" si="6"/>
        <v>0.6</v>
      </c>
      <c r="J11" s="18">
        <f>J10+100</f>
        <v>10500</v>
      </c>
      <c r="K11" s="17" t="str">
        <f>[3]!'WTX2N0;10500P`267'</f>
        <v>#Get Error</v>
      </c>
      <c r="L11" s="17" t="str">
        <f>[3]!'WTX2N0;10500P`268'</f>
        <v>#Get Error</v>
      </c>
      <c r="M11" s="17" t="str">
        <f>[3]!'WTX2N0;10500P`205'</f>
        <v>#Get Error</v>
      </c>
      <c r="N11" s="19">
        <f t="shared" si="7"/>
        <v>0.6</v>
      </c>
      <c r="O11" s="19">
        <f t="shared" si="8"/>
        <v>0.6</v>
      </c>
      <c r="P11" s="14" t="e">
        <f t="shared" si="9"/>
        <v>#VALUE!</v>
      </c>
      <c r="Q11" s="14">
        <v>0</v>
      </c>
      <c r="R11" s="14" t="e">
        <f t="shared" si="10"/>
        <v>#VALUE!</v>
      </c>
      <c r="S11" s="36" t="e">
        <f t="shared" si="11"/>
        <v>#VALUE!</v>
      </c>
      <c r="T11" s="36"/>
      <c r="U11" s="48" t="e">
        <f t="shared" si="12"/>
        <v>#VALUE!</v>
      </c>
      <c r="V11" s="48" t="e">
        <f t="shared" si="13"/>
        <v>#VALUE!</v>
      </c>
      <c r="W11" s="42"/>
      <c r="X11" s="52" t="e">
        <f t="shared" ref="X11:AM26" si="15">(GBSOption("C", X$9,$J12,$O$2,$H12,0, 0)*$C12*50-$E12*$C12*50)+(GBSOption("P", X$9,$J12,$O$2,$N12,0, 0)*$Q12*50-$K12*$Q12*50)</f>
        <v>#VALUE!</v>
      </c>
      <c r="Y11" s="52" t="e">
        <f t="shared" si="15"/>
        <v>#VALUE!</v>
      </c>
      <c r="Z11" s="52" t="e">
        <f t="shared" si="15"/>
        <v>#VALUE!</v>
      </c>
      <c r="AA11" s="52" t="e">
        <f t="shared" si="15"/>
        <v>#VALUE!</v>
      </c>
      <c r="AB11" s="52" t="e">
        <f t="shared" si="15"/>
        <v>#VALUE!</v>
      </c>
      <c r="AC11" s="52" t="e">
        <f t="shared" si="15"/>
        <v>#VALUE!</v>
      </c>
      <c r="AD11" s="52" t="e">
        <f t="shared" si="15"/>
        <v>#VALUE!</v>
      </c>
      <c r="AE11" s="52" t="e">
        <f t="shared" si="15"/>
        <v>#VALUE!</v>
      </c>
      <c r="AF11" s="52" t="e">
        <f t="shared" si="15"/>
        <v>#VALUE!</v>
      </c>
      <c r="AG11" s="52" t="e">
        <f t="shared" si="15"/>
        <v>#VALUE!</v>
      </c>
      <c r="AH11" s="52" t="e">
        <f t="shared" si="15"/>
        <v>#VALUE!</v>
      </c>
      <c r="AI11" s="52" t="e">
        <f t="shared" si="15"/>
        <v>#VALUE!</v>
      </c>
      <c r="AJ11" s="52" t="e">
        <f t="shared" si="15"/>
        <v>#VALUE!</v>
      </c>
      <c r="AK11" s="52" t="e">
        <f t="shared" si="15"/>
        <v>#VALUE!</v>
      </c>
      <c r="AL11" s="52" t="e">
        <f t="shared" si="15"/>
        <v>#VALUE!</v>
      </c>
      <c r="AM11" s="52" t="e">
        <f t="shared" si="15"/>
        <v>#VALUE!</v>
      </c>
      <c r="AN11" s="52" t="e">
        <f t="shared" ref="AN11:AN30" si="16">(GBSOption("C", AN$9,$J12,$O$2,$H12,0, 0)*$C12*50-$E12*$C12*50)+(GBSOption("P", AN$9,$J12,$O$2,$N12,0, 0)*$Q12*50-$K12*$Q12*50)</f>
        <v>#VALUE!</v>
      </c>
    </row>
    <row r="12" spans="1:40" ht="17.25" thickBot="1" x14ac:dyDescent="0.3">
      <c r="A12" s="36" t="e">
        <f t="shared" si="2"/>
        <v>#VALUE!</v>
      </c>
      <c r="B12" s="14" t="e">
        <f t="shared" si="3"/>
        <v>#VALUE!</v>
      </c>
      <c r="C12" s="14">
        <v>0</v>
      </c>
      <c r="D12" s="14" t="e">
        <f t="shared" si="4"/>
        <v>#VALUE!</v>
      </c>
      <c r="E12" s="17" t="str">
        <f>[3]!'WTX2N0;10600C`267'</f>
        <v>#Get Error</v>
      </c>
      <c r="F12" s="17" t="str">
        <f>[3]!'WTX2N0;10600C`268'</f>
        <v>#Get Error</v>
      </c>
      <c r="G12" s="20" t="str">
        <f>[3]!'WTX2N0;10600C`205'</f>
        <v>#Get Error</v>
      </c>
      <c r="H12" s="19">
        <f t="shared" si="5"/>
        <v>0.6</v>
      </c>
      <c r="I12" s="19">
        <f t="shared" si="6"/>
        <v>0.6</v>
      </c>
      <c r="J12" s="18">
        <f t="shared" ref="J12:J19" si="17">J11+100</f>
        <v>10600</v>
      </c>
      <c r="K12" s="17" t="str">
        <f>[3]!'WTX2N0;10600P`267'</f>
        <v>#Get Error</v>
      </c>
      <c r="L12" s="17" t="str">
        <f>[3]!'WTX2N0;10600P`268'</f>
        <v>#Get Error</v>
      </c>
      <c r="M12" s="20" t="str">
        <f>[3]!'WTX2N0;10600P`205'</f>
        <v>#Get Error</v>
      </c>
      <c r="N12" s="19">
        <f t="shared" si="7"/>
        <v>0.6</v>
      </c>
      <c r="O12" s="19">
        <f t="shared" si="8"/>
        <v>0.6</v>
      </c>
      <c r="P12" s="14" t="e">
        <f t="shared" si="9"/>
        <v>#VALUE!</v>
      </c>
      <c r="Q12" s="14">
        <v>0</v>
      </c>
      <c r="R12" s="14" t="e">
        <f t="shared" si="10"/>
        <v>#VALUE!</v>
      </c>
      <c r="S12" s="36" t="e">
        <f t="shared" si="11"/>
        <v>#VALUE!</v>
      </c>
      <c r="T12" s="36"/>
      <c r="U12" s="48" t="e">
        <f t="shared" si="12"/>
        <v>#VALUE!</v>
      </c>
      <c r="V12" s="48" t="e">
        <f t="shared" si="13"/>
        <v>#VALUE!</v>
      </c>
      <c r="W12" s="42"/>
      <c r="X12" s="52" t="e">
        <f t="shared" si="15"/>
        <v>#VALUE!</v>
      </c>
      <c r="Y12" s="52" t="e">
        <f t="shared" si="15"/>
        <v>#VALUE!</v>
      </c>
      <c r="Z12" s="52" t="e">
        <f t="shared" si="15"/>
        <v>#VALUE!</v>
      </c>
      <c r="AA12" s="52" t="e">
        <f t="shared" si="15"/>
        <v>#VALUE!</v>
      </c>
      <c r="AB12" s="52" t="e">
        <f t="shared" si="15"/>
        <v>#VALUE!</v>
      </c>
      <c r="AC12" s="52" t="e">
        <f t="shared" si="15"/>
        <v>#VALUE!</v>
      </c>
      <c r="AD12" s="52" t="e">
        <f t="shared" si="15"/>
        <v>#VALUE!</v>
      </c>
      <c r="AE12" s="52" t="e">
        <f t="shared" si="15"/>
        <v>#VALUE!</v>
      </c>
      <c r="AF12" s="52" t="e">
        <f t="shared" si="15"/>
        <v>#VALUE!</v>
      </c>
      <c r="AG12" s="52" t="e">
        <f t="shared" si="15"/>
        <v>#VALUE!</v>
      </c>
      <c r="AH12" s="52" t="e">
        <f t="shared" si="15"/>
        <v>#VALUE!</v>
      </c>
      <c r="AI12" s="52" t="e">
        <f t="shared" si="15"/>
        <v>#VALUE!</v>
      </c>
      <c r="AJ12" s="52" t="e">
        <f t="shared" si="15"/>
        <v>#VALUE!</v>
      </c>
      <c r="AK12" s="52" t="e">
        <f t="shared" si="15"/>
        <v>#VALUE!</v>
      </c>
      <c r="AL12" s="52" t="e">
        <f t="shared" si="15"/>
        <v>#VALUE!</v>
      </c>
      <c r="AM12" s="52" t="e">
        <f t="shared" si="15"/>
        <v>#VALUE!</v>
      </c>
      <c r="AN12" s="52" t="e">
        <f t="shared" si="16"/>
        <v>#VALUE!</v>
      </c>
    </row>
    <row r="13" spans="1:40" ht="17.25" thickBot="1" x14ac:dyDescent="0.3">
      <c r="A13" s="36" t="e">
        <f t="shared" si="2"/>
        <v>#VALUE!</v>
      </c>
      <c r="B13" s="14" t="e">
        <f t="shared" si="3"/>
        <v>#VALUE!</v>
      </c>
      <c r="C13" s="14">
        <v>0</v>
      </c>
      <c r="D13" s="14" t="e">
        <f t="shared" si="4"/>
        <v>#VALUE!</v>
      </c>
      <c r="E13" s="17" t="str">
        <f>[3]!'WTX2N0;10700C`267'</f>
        <v>#Get Error</v>
      </c>
      <c r="F13" s="17" t="str">
        <f>[3]!'WTX2N0;10700C`268'</f>
        <v>#Get Error</v>
      </c>
      <c r="G13" s="17" t="str">
        <f>[3]!'WTX2N0;10700C`205'</f>
        <v>#Get Error</v>
      </c>
      <c r="H13" s="19">
        <f t="shared" si="5"/>
        <v>0.6</v>
      </c>
      <c r="I13" s="19">
        <f t="shared" si="6"/>
        <v>0.6</v>
      </c>
      <c r="J13" s="18">
        <f t="shared" si="17"/>
        <v>10700</v>
      </c>
      <c r="K13" s="17" t="str">
        <f>[3]!'WTX2N0;10700P`267'</f>
        <v>#Get Error</v>
      </c>
      <c r="L13" s="17" t="str">
        <f>[3]!'WTX2N0;10700P`268'</f>
        <v>#Get Error</v>
      </c>
      <c r="M13" s="17" t="str">
        <f>[3]!'WTX2N0;10700P`205'</f>
        <v>#Get Error</v>
      </c>
      <c r="N13" s="19">
        <f t="shared" si="7"/>
        <v>0.6</v>
      </c>
      <c r="O13" s="19">
        <f t="shared" si="8"/>
        <v>0.6</v>
      </c>
      <c r="P13" s="14" t="e">
        <f t="shared" si="9"/>
        <v>#VALUE!</v>
      </c>
      <c r="Q13" s="14">
        <v>0</v>
      </c>
      <c r="R13" s="14" t="e">
        <f t="shared" si="10"/>
        <v>#VALUE!</v>
      </c>
      <c r="S13" s="36" t="e">
        <f t="shared" si="11"/>
        <v>#VALUE!</v>
      </c>
      <c r="T13" s="36"/>
      <c r="U13" s="48" t="e">
        <f t="shared" si="12"/>
        <v>#VALUE!</v>
      </c>
      <c r="V13" s="48" t="e">
        <f t="shared" si="13"/>
        <v>#VALUE!</v>
      </c>
      <c r="W13" s="42"/>
      <c r="X13" s="52" t="e">
        <f t="shared" si="15"/>
        <v>#VALUE!</v>
      </c>
      <c r="Y13" s="52" t="e">
        <f t="shared" si="15"/>
        <v>#VALUE!</v>
      </c>
      <c r="Z13" s="52" t="e">
        <f t="shared" si="15"/>
        <v>#VALUE!</v>
      </c>
      <c r="AA13" s="52" t="e">
        <f t="shared" si="15"/>
        <v>#VALUE!</v>
      </c>
      <c r="AB13" s="52" t="e">
        <f t="shared" si="15"/>
        <v>#VALUE!</v>
      </c>
      <c r="AC13" s="52" t="e">
        <f t="shared" si="15"/>
        <v>#VALUE!</v>
      </c>
      <c r="AD13" s="52" t="e">
        <f t="shared" si="15"/>
        <v>#VALUE!</v>
      </c>
      <c r="AE13" s="52" t="e">
        <f t="shared" si="15"/>
        <v>#VALUE!</v>
      </c>
      <c r="AF13" s="52" t="e">
        <f t="shared" si="15"/>
        <v>#VALUE!</v>
      </c>
      <c r="AG13" s="52" t="e">
        <f t="shared" si="15"/>
        <v>#VALUE!</v>
      </c>
      <c r="AH13" s="52" t="e">
        <f t="shared" si="15"/>
        <v>#VALUE!</v>
      </c>
      <c r="AI13" s="52" t="e">
        <f t="shared" si="15"/>
        <v>#VALUE!</v>
      </c>
      <c r="AJ13" s="52" t="e">
        <f t="shared" si="15"/>
        <v>#VALUE!</v>
      </c>
      <c r="AK13" s="52" t="e">
        <f t="shared" si="15"/>
        <v>#VALUE!</v>
      </c>
      <c r="AL13" s="52" t="e">
        <f t="shared" si="15"/>
        <v>#VALUE!</v>
      </c>
      <c r="AM13" s="52" t="e">
        <f t="shared" si="15"/>
        <v>#VALUE!</v>
      </c>
      <c r="AN13" s="52" t="e">
        <f t="shared" si="16"/>
        <v>#VALUE!</v>
      </c>
    </row>
    <row r="14" spans="1:40" ht="17.25" thickBot="1" x14ac:dyDescent="0.3">
      <c r="A14" s="36" t="e">
        <f t="shared" si="2"/>
        <v>#VALUE!</v>
      </c>
      <c r="B14" s="14" t="e">
        <f t="shared" si="3"/>
        <v>#VALUE!</v>
      </c>
      <c r="C14" s="14">
        <v>0</v>
      </c>
      <c r="D14" s="14" t="e">
        <f t="shared" si="4"/>
        <v>#VALUE!</v>
      </c>
      <c r="E14" s="17" t="str">
        <f>[3]!'WTX2N0;10800C`267'</f>
        <v>#Get Error</v>
      </c>
      <c r="F14" s="17" t="str">
        <f>[3]!'WTX2N0;10800C`268'</f>
        <v>#Get Error</v>
      </c>
      <c r="G14" s="17" t="str">
        <f>[3]!'WTX2N0;10800C`205'</f>
        <v>#Get Error</v>
      </c>
      <c r="H14" s="19">
        <f t="shared" si="5"/>
        <v>0.6</v>
      </c>
      <c r="I14" s="19">
        <f t="shared" si="6"/>
        <v>0.6</v>
      </c>
      <c r="J14" s="18">
        <f t="shared" si="17"/>
        <v>10800</v>
      </c>
      <c r="K14" s="17" t="str">
        <f>[3]!'WTX2N0;10800P`267'</f>
        <v>#Get Error</v>
      </c>
      <c r="L14" s="17" t="str">
        <f>[3]!'WTX2N0;10800P`268'</f>
        <v>#Get Error</v>
      </c>
      <c r="M14" s="17" t="str">
        <f>[3]!'WTX2N0;10800P`205'</f>
        <v>#Get Error</v>
      </c>
      <c r="N14" s="19">
        <f t="shared" si="7"/>
        <v>0.6</v>
      </c>
      <c r="O14" s="19">
        <f t="shared" si="8"/>
        <v>0.6</v>
      </c>
      <c r="P14" s="14" t="e">
        <f t="shared" si="9"/>
        <v>#VALUE!</v>
      </c>
      <c r="Q14" s="14">
        <v>0</v>
      </c>
      <c r="R14" s="14" t="e">
        <f t="shared" si="10"/>
        <v>#VALUE!</v>
      </c>
      <c r="S14" s="36" t="e">
        <f t="shared" si="11"/>
        <v>#VALUE!</v>
      </c>
      <c r="T14" s="36"/>
      <c r="U14" s="48" t="e">
        <f t="shared" si="12"/>
        <v>#VALUE!</v>
      </c>
      <c r="V14" s="48" t="e">
        <f t="shared" si="13"/>
        <v>#VALUE!</v>
      </c>
      <c r="W14" s="42"/>
      <c r="X14" s="52" t="e">
        <f t="shared" si="15"/>
        <v>#VALUE!</v>
      </c>
      <c r="Y14" s="52" t="e">
        <f t="shared" si="15"/>
        <v>#VALUE!</v>
      </c>
      <c r="Z14" s="52" t="e">
        <f t="shared" si="15"/>
        <v>#VALUE!</v>
      </c>
      <c r="AA14" s="52" t="e">
        <f t="shared" si="15"/>
        <v>#VALUE!</v>
      </c>
      <c r="AB14" s="52" t="e">
        <f t="shared" si="15"/>
        <v>#VALUE!</v>
      </c>
      <c r="AC14" s="52" t="e">
        <f t="shared" si="15"/>
        <v>#VALUE!</v>
      </c>
      <c r="AD14" s="52" t="e">
        <f t="shared" si="15"/>
        <v>#VALUE!</v>
      </c>
      <c r="AE14" s="52" t="e">
        <f t="shared" si="15"/>
        <v>#VALUE!</v>
      </c>
      <c r="AF14" s="52" t="e">
        <f t="shared" si="15"/>
        <v>#VALUE!</v>
      </c>
      <c r="AG14" s="52" t="e">
        <f t="shared" si="15"/>
        <v>#VALUE!</v>
      </c>
      <c r="AH14" s="52" t="e">
        <f t="shared" si="15"/>
        <v>#VALUE!</v>
      </c>
      <c r="AI14" s="52" t="e">
        <f t="shared" si="15"/>
        <v>#VALUE!</v>
      </c>
      <c r="AJ14" s="52" t="e">
        <f t="shared" si="15"/>
        <v>#VALUE!</v>
      </c>
      <c r="AK14" s="52" t="e">
        <f t="shared" si="15"/>
        <v>#VALUE!</v>
      </c>
      <c r="AL14" s="52" t="e">
        <f t="shared" si="15"/>
        <v>#VALUE!</v>
      </c>
      <c r="AM14" s="52" t="e">
        <f t="shared" si="15"/>
        <v>#VALUE!</v>
      </c>
      <c r="AN14" s="52" t="e">
        <f t="shared" si="16"/>
        <v>#VALUE!</v>
      </c>
    </row>
    <row r="15" spans="1:40" ht="17.25" thickBot="1" x14ac:dyDescent="0.3">
      <c r="A15" s="36" t="e">
        <f t="shared" si="2"/>
        <v>#VALUE!</v>
      </c>
      <c r="B15" s="14" t="e">
        <f t="shared" si="3"/>
        <v>#VALUE!</v>
      </c>
      <c r="C15" s="14">
        <v>0</v>
      </c>
      <c r="D15" s="14" t="e">
        <f t="shared" si="4"/>
        <v>#VALUE!</v>
      </c>
      <c r="E15" s="17" t="str">
        <f>[3]!'WTX2N0;10900C`267'</f>
        <v>#Get Error</v>
      </c>
      <c r="F15" s="17" t="str">
        <f>[3]!'WTX2N0;10900C`268'</f>
        <v>#Get Error</v>
      </c>
      <c r="G15" s="17" t="str">
        <f>[3]!'WTX2N0;10900C`205'</f>
        <v>#Get Error</v>
      </c>
      <c r="H15" s="19">
        <f t="shared" si="5"/>
        <v>0.6</v>
      </c>
      <c r="I15" s="19">
        <f t="shared" si="6"/>
        <v>0.6</v>
      </c>
      <c r="J15" s="18">
        <f t="shared" si="17"/>
        <v>10900</v>
      </c>
      <c r="K15" s="17" t="str">
        <f>[3]!'WTX2N0;10900P`267'</f>
        <v>#Get Error</v>
      </c>
      <c r="L15" s="17" t="str">
        <f>[3]!'WTX2N0;10900P`268'</f>
        <v>#Get Error</v>
      </c>
      <c r="M15" s="17" t="str">
        <f>[3]!'WTX2N0;10900P`205'</f>
        <v>#Get Error</v>
      </c>
      <c r="N15" s="19">
        <f t="shared" si="7"/>
        <v>0.6</v>
      </c>
      <c r="O15" s="19">
        <f t="shared" si="8"/>
        <v>0.6</v>
      </c>
      <c r="P15" s="14" t="e">
        <f t="shared" si="9"/>
        <v>#VALUE!</v>
      </c>
      <c r="Q15" s="14">
        <v>0</v>
      </c>
      <c r="R15" s="14" t="e">
        <f t="shared" si="10"/>
        <v>#VALUE!</v>
      </c>
      <c r="S15" s="36" t="e">
        <f t="shared" si="11"/>
        <v>#VALUE!</v>
      </c>
      <c r="T15" s="36"/>
      <c r="U15" s="48" t="e">
        <f t="shared" si="12"/>
        <v>#VALUE!</v>
      </c>
      <c r="V15" s="48" t="e">
        <f t="shared" si="13"/>
        <v>#VALUE!</v>
      </c>
      <c r="W15" s="42"/>
      <c r="X15" s="52" t="e">
        <f t="shared" si="15"/>
        <v>#VALUE!</v>
      </c>
      <c r="Y15" s="52" t="e">
        <f t="shared" si="15"/>
        <v>#VALUE!</v>
      </c>
      <c r="Z15" s="52" t="e">
        <f t="shared" si="15"/>
        <v>#VALUE!</v>
      </c>
      <c r="AA15" s="52" t="e">
        <f t="shared" si="15"/>
        <v>#VALUE!</v>
      </c>
      <c r="AB15" s="52" t="e">
        <f t="shared" si="15"/>
        <v>#VALUE!</v>
      </c>
      <c r="AC15" s="52" t="e">
        <f t="shared" si="15"/>
        <v>#VALUE!</v>
      </c>
      <c r="AD15" s="52" t="e">
        <f t="shared" si="15"/>
        <v>#VALUE!</v>
      </c>
      <c r="AE15" s="52" t="e">
        <f t="shared" si="15"/>
        <v>#VALUE!</v>
      </c>
      <c r="AF15" s="52" t="e">
        <f t="shared" si="15"/>
        <v>#VALUE!</v>
      </c>
      <c r="AG15" s="52" t="e">
        <f t="shared" si="15"/>
        <v>#VALUE!</v>
      </c>
      <c r="AH15" s="52" t="e">
        <f t="shared" si="15"/>
        <v>#VALUE!</v>
      </c>
      <c r="AI15" s="52" t="e">
        <f t="shared" si="15"/>
        <v>#VALUE!</v>
      </c>
      <c r="AJ15" s="52" t="e">
        <f t="shared" si="15"/>
        <v>#VALUE!</v>
      </c>
      <c r="AK15" s="52" t="e">
        <f t="shared" si="15"/>
        <v>#VALUE!</v>
      </c>
      <c r="AL15" s="52" t="e">
        <f t="shared" si="15"/>
        <v>#VALUE!</v>
      </c>
      <c r="AM15" s="52" t="e">
        <f t="shared" si="15"/>
        <v>#VALUE!</v>
      </c>
      <c r="AN15" s="52" t="e">
        <f t="shared" si="16"/>
        <v>#VALUE!</v>
      </c>
    </row>
    <row r="16" spans="1:40" ht="17.25" thickBot="1" x14ac:dyDescent="0.3">
      <c r="A16" s="36" t="e">
        <f t="shared" si="2"/>
        <v>#VALUE!</v>
      </c>
      <c r="B16" s="14" t="e">
        <f t="shared" si="3"/>
        <v>#VALUE!</v>
      </c>
      <c r="C16" s="14">
        <v>0</v>
      </c>
      <c r="D16" s="14" t="e">
        <f t="shared" si="4"/>
        <v>#VALUE!</v>
      </c>
      <c r="E16" s="17" t="str">
        <f>[3]!'WTX2N0;11000C`267'</f>
        <v>#Get Error</v>
      </c>
      <c r="F16" s="17" t="str">
        <f>[3]!'WTX2N0;11000C`268'</f>
        <v>#Get Error</v>
      </c>
      <c r="G16" s="17" t="str">
        <f>[3]!'WTX2N0;11000C`205'</f>
        <v>#Get Error</v>
      </c>
      <c r="H16" s="19">
        <f t="shared" si="5"/>
        <v>0.6</v>
      </c>
      <c r="I16" s="19">
        <f t="shared" si="6"/>
        <v>0.6</v>
      </c>
      <c r="J16" s="18">
        <f t="shared" si="17"/>
        <v>11000</v>
      </c>
      <c r="K16" s="17" t="str">
        <f>[3]!'WTX2N0;11000P`267'</f>
        <v>#Get Error</v>
      </c>
      <c r="L16" s="17" t="str">
        <f>[3]!'WTX2N0;11000P`268'</f>
        <v>#Get Error</v>
      </c>
      <c r="M16" s="17" t="str">
        <f>[3]!'WTX2N0;11000P`205'</f>
        <v>#Get Error</v>
      </c>
      <c r="N16" s="19">
        <f t="shared" si="7"/>
        <v>0.6</v>
      </c>
      <c r="O16" s="19">
        <f t="shared" si="8"/>
        <v>0.6</v>
      </c>
      <c r="P16" s="14" t="e">
        <f t="shared" si="9"/>
        <v>#VALUE!</v>
      </c>
      <c r="Q16" s="14">
        <v>0</v>
      </c>
      <c r="R16" s="14" t="e">
        <f t="shared" si="10"/>
        <v>#VALUE!</v>
      </c>
      <c r="S16" s="36" t="e">
        <f t="shared" si="11"/>
        <v>#VALUE!</v>
      </c>
      <c r="T16" s="36"/>
      <c r="U16" s="48" t="e">
        <f t="shared" si="12"/>
        <v>#VALUE!</v>
      </c>
      <c r="V16" s="48" t="e">
        <f t="shared" si="13"/>
        <v>#VALUE!</v>
      </c>
      <c r="W16" s="42"/>
      <c r="X16" s="52" t="e">
        <f t="shared" si="15"/>
        <v>#VALUE!</v>
      </c>
      <c r="Y16" s="52" t="e">
        <f t="shared" si="15"/>
        <v>#VALUE!</v>
      </c>
      <c r="Z16" s="52" t="e">
        <f t="shared" si="15"/>
        <v>#VALUE!</v>
      </c>
      <c r="AA16" s="52" t="e">
        <f t="shared" si="15"/>
        <v>#VALUE!</v>
      </c>
      <c r="AB16" s="52" t="e">
        <f t="shared" si="15"/>
        <v>#VALUE!</v>
      </c>
      <c r="AC16" s="52" t="e">
        <f t="shared" si="15"/>
        <v>#VALUE!</v>
      </c>
      <c r="AD16" s="52" t="e">
        <f t="shared" si="15"/>
        <v>#VALUE!</v>
      </c>
      <c r="AE16" s="52" t="e">
        <f t="shared" si="15"/>
        <v>#VALUE!</v>
      </c>
      <c r="AF16" s="52" t="e">
        <f t="shared" si="15"/>
        <v>#VALUE!</v>
      </c>
      <c r="AG16" s="52" t="e">
        <f t="shared" si="15"/>
        <v>#VALUE!</v>
      </c>
      <c r="AH16" s="52" t="e">
        <f t="shared" si="15"/>
        <v>#VALUE!</v>
      </c>
      <c r="AI16" s="52" t="e">
        <f t="shared" si="15"/>
        <v>#VALUE!</v>
      </c>
      <c r="AJ16" s="52" t="e">
        <f t="shared" si="15"/>
        <v>#VALUE!</v>
      </c>
      <c r="AK16" s="52" t="e">
        <f t="shared" si="15"/>
        <v>#VALUE!</v>
      </c>
      <c r="AL16" s="52" t="e">
        <f t="shared" si="15"/>
        <v>#VALUE!</v>
      </c>
      <c r="AM16" s="52" t="e">
        <f t="shared" si="15"/>
        <v>#VALUE!</v>
      </c>
      <c r="AN16" s="52" t="e">
        <f t="shared" si="16"/>
        <v>#VALUE!</v>
      </c>
    </row>
    <row r="17" spans="1:44" ht="17.25" thickBot="1" x14ac:dyDescent="0.3">
      <c r="A17" s="36" t="e">
        <f t="shared" si="2"/>
        <v>#VALUE!</v>
      </c>
      <c r="B17" s="14" t="e">
        <f t="shared" si="3"/>
        <v>#VALUE!</v>
      </c>
      <c r="C17" s="14">
        <v>0</v>
      </c>
      <c r="D17" s="14" t="e">
        <f t="shared" si="4"/>
        <v>#VALUE!</v>
      </c>
      <c r="E17" s="17" t="str">
        <f>[3]!'WTX2N0;11100C`267'</f>
        <v>#Get Error</v>
      </c>
      <c r="F17" s="17" t="str">
        <f>[3]!'WTX2N0;11100C`268'</f>
        <v>#Get Error</v>
      </c>
      <c r="G17" s="17" t="str">
        <f>[3]!'WTX2N0;11100C`205'</f>
        <v>#Get Error</v>
      </c>
      <c r="H17" s="19">
        <f t="shared" si="5"/>
        <v>0.6</v>
      </c>
      <c r="I17" s="19">
        <f t="shared" si="6"/>
        <v>0.6</v>
      </c>
      <c r="J17" s="18">
        <f t="shared" si="17"/>
        <v>11100</v>
      </c>
      <c r="K17" s="17" t="str">
        <f>[3]!'WTX2N0;11100P`267'</f>
        <v>#Get Error</v>
      </c>
      <c r="L17" s="17" t="str">
        <f>[3]!'WTX2N0;11100P`268'</f>
        <v>#Get Error</v>
      </c>
      <c r="M17" s="17" t="str">
        <f>[3]!'WTX2N0;11100P`205'</f>
        <v>#Get Error</v>
      </c>
      <c r="N17" s="19">
        <f t="shared" si="7"/>
        <v>0.6</v>
      </c>
      <c r="O17" s="19">
        <f t="shared" si="8"/>
        <v>0.6</v>
      </c>
      <c r="P17" s="14" t="e">
        <f t="shared" si="9"/>
        <v>#VALUE!</v>
      </c>
      <c r="Q17" s="14">
        <v>0</v>
      </c>
      <c r="R17" s="14" t="e">
        <f t="shared" si="10"/>
        <v>#VALUE!</v>
      </c>
      <c r="S17" s="36" t="e">
        <f t="shared" si="11"/>
        <v>#VALUE!</v>
      </c>
      <c r="T17" s="36"/>
      <c r="U17" s="48" t="e">
        <f t="shared" si="12"/>
        <v>#VALUE!</v>
      </c>
      <c r="V17" s="48" t="e">
        <f t="shared" si="13"/>
        <v>#VALUE!</v>
      </c>
      <c r="W17" s="42"/>
      <c r="X17" s="52" t="e">
        <f t="shared" si="15"/>
        <v>#VALUE!</v>
      </c>
      <c r="Y17" s="52" t="e">
        <f t="shared" si="15"/>
        <v>#VALUE!</v>
      </c>
      <c r="Z17" s="52" t="e">
        <f t="shared" si="15"/>
        <v>#VALUE!</v>
      </c>
      <c r="AA17" s="52" t="e">
        <f t="shared" si="15"/>
        <v>#VALUE!</v>
      </c>
      <c r="AB17" s="52" t="e">
        <f t="shared" si="15"/>
        <v>#VALUE!</v>
      </c>
      <c r="AC17" s="52" t="e">
        <f t="shared" si="15"/>
        <v>#VALUE!</v>
      </c>
      <c r="AD17" s="52" t="e">
        <f t="shared" si="15"/>
        <v>#VALUE!</v>
      </c>
      <c r="AE17" s="52" t="e">
        <f t="shared" si="15"/>
        <v>#VALUE!</v>
      </c>
      <c r="AF17" s="52" t="e">
        <f t="shared" si="15"/>
        <v>#VALUE!</v>
      </c>
      <c r="AG17" s="52" t="e">
        <f t="shared" si="15"/>
        <v>#VALUE!</v>
      </c>
      <c r="AH17" s="52" t="e">
        <f t="shared" si="15"/>
        <v>#VALUE!</v>
      </c>
      <c r="AI17" s="52" t="e">
        <f t="shared" si="15"/>
        <v>#VALUE!</v>
      </c>
      <c r="AJ17" s="52" t="e">
        <f t="shared" si="15"/>
        <v>#VALUE!</v>
      </c>
      <c r="AK17" s="52" t="e">
        <f t="shared" si="15"/>
        <v>#VALUE!</v>
      </c>
      <c r="AL17" s="52" t="e">
        <f t="shared" si="15"/>
        <v>#VALUE!</v>
      </c>
      <c r="AM17" s="52" t="e">
        <f t="shared" si="15"/>
        <v>#VALUE!</v>
      </c>
      <c r="AN17" s="52" t="e">
        <f t="shared" si="16"/>
        <v>#VALUE!</v>
      </c>
    </row>
    <row r="18" spans="1:44" ht="17.25" thickBot="1" x14ac:dyDescent="0.3">
      <c r="A18" s="36" t="e">
        <f t="shared" si="2"/>
        <v>#VALUE!</v>
      </c>
      <c r="B18" s="14" t="e">
        <f t="shared" si="3"/>
        <v>#VALUE!</v>
      </c>
      <c r="C18" s="14">
        <v>0</v>
      </c>
      <c r="D18" s="14" t="e">
        <f t="shared" si="4"/>
        <v>#VALUE!</v>
      </c>
      <c r="E18" s="17" t="str">
        <f>[3]!'WTX2N0;11200C`267'</f>
        <v>#Get Error</v>
      </c>
      <c r="F18" s="17" t="str">
        <f>[3]!'WTX2N0;11200C`268'</f>
        <v>#Get Error</v>
      </c>
      <c r="G18" s="17" t="str">
        <f>[3]!'WTX2N0;11200C`205'</f>
        <v>#Get Error</v>
      </c>
      <c r="H18" s="19">
        <f t="shared" si="5"/>
        <v>0.6</v>
      </c>
      <c r="I18" s="19">
        <f t="shared" si="6"/>
        <v>0.6</v>
      </c>
      <c r="J18" s="18">
        <f t="shared" si="17"/>
        <v>11200</v>
      </c>
      <c r="K18" s="17" t="str">
        <f>[3]!'WTX2N0;11200P`267'</f>
        <v>#Get Error</v>
      </c>
      <c r="L18" s="17" t="str">
        <f>[3]!'WTX2N0;11200P`268'</f>
        <v>#Get Error</v>
      </c>
      <c r="M18" s="17" t="str">
        <f>[3]!'WTX2N0;11200P`205'</f>
        <v>#Get Error</v>
      </c>
      <c r="N18" s="19">
        <f t="shared" si="7"/>
        <v>0.6</v>
      </c>
      <c r="O18" s="19">
        <f t="shared" si="8"/>
        <v>0.6</v>
      </c>
      <c r="P18" s="14" t="e">
        <f t="shared" si="9"/>
        <v>#VALUE!</v>
      </c>
      <c r="Q18" s="14">
        <v>0</v>
      </c>
      <c r="R18" s="14" t="e">
        <f t="shared" si="10"/>
        <v>#VALUE!</v>
      </c>
      <c r="S18" s="36" t="e">
        <f t="shared" si="11"/>
        <v>#VALUE!</v>
      </c>
      <c r="T18" s="36"/>
      <c r="U18" s="48" t="e">
        <f t="shared" si="12"/>
        <v>#VALUE!</v>
      </c>
      <c r="V18" s="48" t="e">
        <f t="shared" si="13"/>
        <v>#VALUE!</v>
      </c>
      <c r="W18" s="42"/>
      <c r="X18" s="52" t="e">
        <f t="shared" si="15"/>
        <v>#VALUE!</v>
      </c>
      <c r="Y18" s="52" t="e">
        <f t="shared" si="15"/>
        <v>#VALUE!</v>
      </c>
      <c r="Z18" s="52" t="e">
        <f t="shared" si="15"/>
        <v>#VALUE!</v>
      </c>
      <c r="AA18" s="52" t="e">
        <f t="shared" si="15"/>
        <v>#VALUE!</v>
      </c>
      <c r="AB18" s="52" t="e">
        <f t="shared" si="15"/>
        <v>#VALUE!</v>
      </c>
      <c r="AC18" s="52" t="e">
        <f t="shared" si="15"/>
        <v>#VALUE!</v>
      </c>
      <c r="AD18" s="52" t="e">
        <f t="shared" si="15"/>
        <v>#VALUE!</v>
      </c>
      <c r="AE18" s="52" t="e">
        <f t="shared" si="15"/>
        <v>#VALUE!</v>
      </c>
      <c r="AF18" s="52" t="e">
        <f t="shared" si="15"/>
        <v>#VALUE!</v>
      </c>
      <c r="AG18" s="52" t="e">
        <f t="shared" si="15"/>
        <v>#VALUE!</v>
      </c>
      <c r="AH18" s="52" t="e">
        <f t="shared" si="15"/>
        <v>#VALUE!</v>
      </c>
      <c r="AI18" s="52" t="e">
        <f t="shared" si="15"/>
        <v>#VALUE!</v>
      </c>
      <c r="AJ18" s="52" t="e">
        <f t="shared" si="15"/>
        <v>#VALUE!</v>
      </c>
      <c r="AK18" s="52" t="e">
        <f t="shared" si="15"/>
        <v>#VALUE!</v>
      </c>
      <c r="AL18" s="52" t="e">
        <f t="shared" si="15"/>
        <v>#VALUE!</v>
      </c>
      <c r="AM18" s="52" t="e">
        <f t="shared" si="15"/>
        <v>#VALUE!</v>
      </c>
      <c r="AN18" s="52" t="e">
        <f t="shared" si="16"/>
        <v>#VALUE!</v>
      </c>
    </row>
    <row r="19" spans="1:44" ht="17.25" thickBot="1" x14ac:dyDescent="0.3">
      <c r="A19" s="36" t="e">
        <f t="shared" si="2"/>
        <v>#VALUE!</v>
      </c>
      <c r="B19" s="14" t="e">
        <f t="shared" si="3"/>
        <v>#VALUE!</v>
      </c>
      <c r="C19" s="14">
        <v>0</v>
      </c>
      <c r="D19" s="14" t="e">
        <f t="shared" si="4"/>
        <v>#VALUE!</v>
      </c>
      <c r="E19" s="17" t="str">
        <f>[3]!'WTX2N0;11300C`267'</f>
        <v>#Get Error</v>
      </c>
      <c r="F19" s="17" t="str">
        <f>[3]!'WTX2N0;11300C`268'</f>
        <v>#Get Error</v>
      </c>
      <c r="G19" s="17" t="str">
        <f>[3]!'WTX2N0;11300C`205'</f>
        <v>#Get Error</v>
      </c>
      <c r="H19" s="19">
        <f t="shared" si="5"/>
        <v>0.6</v>
      </c>
      <c r="I19" s="19">
        <f t="shared" si="6"/>
        <v>0.6</v>
      </c>
      <c r="J19" s="18">
        <f t="shared" si="17"/>
        <v>11300</v>
      </c>
      <c r="K19" s="17" t="str">
        <f>[3]!'WTX2N0;11300P`267'</f>
        <v>#Get Error</v>
      </c>
      <c r="L19" s="17" t="str">
        <f>[3]!'WTX2N0;11300P`268'</f>
        <v>#Get Error</v>
      </c>
      <c r="M19" s="17" t="str">
        <f>[3]!'WTX2N0;11300P`205'</f>
        <v>#Get Error</v>
      </c>
      <c r="N19" s="19">
        <f t="shared" si="7"/>
        <v>0.6</v>
      </c>
      <c r="O19" s="19">
        <f t="shared" si="8"/>
        <v>0.6</v>
      </c>
      <c r="P19" s="14" t="e">
        <f t="shared" si="9"/>
        <v>#VALUE!</v>
      </c>
      <c r="Q19" s="14">
        <v>0</v>
      </c>
      <c r="R19" s="14" t="e">
        <f t="shared" si="10"/>
        <v>#VALUE!</v>
      </c>
      <c r="S19" s="36" t="e">
        <f t="shared" si="11"/>
        <v>#VALUE!</v>
      </c>
      <c r="T19" s="36"/>
      <c r="U19" s="48" t="e">
        <f t="shared" si="12"/>
        <v>#VALUE!</v>
      </c>
      <c r="V19" s="48" t="e">
        <f t="shared" si="13"/>
        <v>#VALUE!</v>
      </c>
      <c r="W19" s="42"/>
      <c r="X19" s="52" t="e">
        <f t="shared" si="15"/>
        <v>#VALUE!</v>
      </c>
      <c r="Y19" s="52" t="e">
        <f t="shared" si="15"/>
        <v>#VALUE!</v>
      </c>
      <c r="Z19" s="52" t="e">
        <f t="shared" si="15"/>
        <v>#VALUE!</v>
      </c>
      <c r="AA19" s="52" t="e">
        <f t="shared" si="15"/>
        <v>#VALUE!</v>
      </c>
      <c r="AB19" s="52" t="e">
        <f t="shared" si="15"/>
        <v>#VALUE!</v>
      </c>
      <c r="AC19" s="52" t="e">
        <f t="shared" si="15"/>
        <v>#VALUE!</v>
      </c>
      <c r="AD19" s="52" t="e">
        <f t="shared" si="15"/>
        <v>#VALUE!</v>
      </c>
      <c r="AE19" s="52" t="e">
        <f t="shared" si="15"/>
        <v>#VALUE!</v>
      </c>
      <c r="AF19" s="52" t="e">
        <f t="shared" si="15"/>
        <v>#VALUE!</v>
      </c>
      <c r="AG19" s="52" t="e">
        <f t="shared" si="15"/>
        <v>#VALUE!</v>
      </c>
      <c r="AH19" s="52" t="e">
        <f t="shared" si="15"/>
        <v>#VALUE!</v>
      </c>
      <c r="AI19" s="52" t="e">
        <f t="shared" si="15"/>
        <v>#VALUE!</v>
      </c>
      <c r="AJ19" s="52" t="e">
        <f t="shared" si="15"/>
        <v>#VALUE!</v>
      </c>
      <c r="AK19" s="52" t="e">
        <f t="shared" si="15"/>
        <v>#VALUE!</v>
      </c>
      <c r="AL19" s="52" t="e">
        <f t="shared" si="15"/>
        <v>#VALUE!</v>
      </c>
      <c r="AM19" s="52" t="e">
        <f t="shared" si="15"/>
        <v>#VALUE!</v>
      </c>
      <c r="AN19" s="52" t="e">
        <f t="shared" si="16"/>
        <v>#VALUE!</v>
      </c>
    </row>
    <row r="20" spans="1:44" ht="17.25" thickBot="1" x14ac:dyDescent="0.3">
      <c r="A20" s="36" t="e">
        <f t="shared" si="2"/>
        <v>#VALUE!</v>
      </c>
      <c r="B20" s="14" t="e">
        <f t="shared" si="3"/>
        <v>#VALUE!</v>
      </c>
      <c r="C20" s="14">
        <v>0</v>
      </c>
      <c r="D20" s="14" t="e">
        <f t="shared" si="4"/>
        <v>#VALUE!</v>
      </c>
      <c r="E20" s="17" t="str">
        <f>[3]!'WTX2N0;11350C`267'</f>
        <v>#Get Error</v>
      </c>
      <c r="F20" s="17" t="str">
        <f>[3]!'WTX2N0;11350C`268'</f>
        <v>#Get Error</v>
      </c>
      <c r="G20" s="17" t="str">
        <f>[3]!'WTX2N0;11350C`205'</f>
        <v>#Get Error</v>
      </c>
      <c r="H20" s="19">
        <f t="shared" si="5"/>
        <v>0.6</v>
      </c>
      <c r="I20" s="19">
        <f t="shared" si="6"/>
        <v>0.6</v>
      </c>
      <c r="J20" s="18">
        <f>J19+50</f>
        <v>11350</v>
      </c>
      <c r="K20" s="17" t="str">
        <f>[3]!'WTX2N0;11350P`267'</f>
        <v>#Get Error</v>
      </c>
      <c r="L20" s="17" t="str">
        <f>[3]!'WTX2N0;11350P`268'</f>
        <v>#Get Error</v>
      </c>
      <c r="M20" s="17" t="str">
        <f>[3]!'WTX2N0;11350P`205'</f>
        <v>#Get Error</v>
      </c>
      <c r="N20" s="19">
        <f t="shared" si="7"/>
        <v>0.6</v>
      </c>
      <c r="O20" s="19">
        <f t="shared" si="8"/>
        <v>0.6</v>
      </c>
      <c r="P20" s="14" t="e">
        <f t="shared" si="9"/>
        <v>#VALUE!</v>
      </c>
      <c r="Q20" s="14">
        <v>0</v>
      </c>
      <c r="R20" s="14" t="e">
        <f t="shared" si="10"/>
        <v>#VALUE!</v>
      </c>
      <c r="S20" s="36" t="e">
        <f t="shared" si="11"/>
        <v>#VALUE!</v>
      </c>
      <c r="T20" s="36"/>
      <c r="U20" s="48" t="e">
        <f t="shared" si="12"/>
        <v>#VALUE!</v>
      </c>
      <c r="V20" s="48" t="e">
        <f t="shared" si="13"/>
        <v>#VALUE!</v>
      </c>
      <c r="W20" s="42"/>
      <c r="X20" s="52" t="e">
        <f t="shared" si="15"/>
        <v>#VALUE!</v>
      </c>
      <c r="Y20" s="52" t="e">
        <f t="shared" si="15"/>
        <v>#VALUE!</v>
      </c>
      <c r="Z20" s="52" t="e">
        <f t="shared" si="15"/>
        <v>#VALUE!</v>
      </c>
      <c r="AA20" s="52" t="e">
        <f t="shared" si="15"/>
        <v>#VALUE!</v>
      </c>
      <c r="AB20" s="52" t="e">
        <f t="shared" si="15"/>
        <v>#VALUE!</v>
      </c>
      <c r="AC20" s="52" t="e">
        <f t="shared" si="15"/>
        <v>#VALUE!</v>
      </c>
      <c r="AD20" s="52" t="e">
        <f t="shared" si="15"/>
        <v>#VALUE!</v>
      </c>
      <c r="AE20" s="52" t="e">
        <f t="shared" si="15"/>
        <v>#VALUE!</v>
      </c>
      <c r="AF20" s="52" t="e">
        <f t="shared" si="15"/>
        <v>#VALUE!</v>
      </c>
      <c r="AG20" s="52" t="e">
        <f t="shared" si="15"/>
        <v>#VALUE!</v>
      </c>
      <c r="AH20" s="52" t="e">
        <f t="shared" si="15"/>
        <v>#VALUE!</v>
      </c>
      <c r="AI20" s="52" t="e">
        <f t="shared" si="15"/>
        <v>#VALUE!</v>
      </c>
      <c r="AJ20" s="52" t="e">
        <f t="shared" si="15"/>
        <v>#VALUE!</v>
      </c>
      <c r="AK20" s="52" t="e">
        <f t="shared" si="15"/>
        <v>#VALUE!</v>
      </c>
      <c r="AL20" s="52" t="e">
        <f t="shared" si="15"/>
        <v>#VALUE!</v>
      </c>
      <c r="AM20" s="52" t="e">
        <f t="shared" si="15"/>
        <v>#VALUE!</v>
      </c>
      <c r="AN20" s="52" t="e">
        <f t="shared" si="16"/>
        <v>#VALUE!</v>
      </c>
    </row>
    <row r="21" spans="1:44" ht="17.25" thickBot="1" x14ac:dyDescent="0.3">
      <c r="A21" s="36" t="e">
        <f t="shared" si="2"/>
        <v>#VALUE!</v>
      </c>
      <c r="B21" s="14" t="e">
        <f t="shared" si="3"/>
        <v>#VALUE!</v>
      </c>
      <c r="C21" s="14">
        <v>0</v>
      </c>
      <c r="D21" s="14" t="e">
        <f t="shared" si="4"/>
        <v>#VALUE!</v>
      </c>
      <c r="E21" s="17" t="str">
        <f>[3]!'WTX2N0;11400C`267'</f>
        <v>#Get Error</v>
      </c>
      <c r="F21" s="17" t="str">
        <f>[3]!'WTX2N0;11400C`268'</f>
        <v>#Get Error</v>
      </c>
      <c r="G21" s="17" t="str">
        <f>[3]!'WTX2N0;11400C`205'</f>
        <v>#Get Error</v>
      </c>
      <c r="H21" s="19">
        <f t="shared" si="5"/>
        <v>0.6</v>
      </c>
      <c r="I21" s="19">
        <f t="shared" si="6"/>
        <v>0.6</v>
      </c>
      <c r="J21" s="18">
        <f t="shared" ref="J21:J31" si="18">J20+50</f>
        <v>11400</v>
      </c>
      <c r="K21" s="17" t="str">
        <f>[3]!'WTX2N0;11400P`267'</f>
        <v>#Get Error</v>
      </c>
      <c r="L21" s="17" t="str">
        <f>[3]!'WTX2N0;11400P`268'</f>
        <v>#Get Error</v>
      </c>
      <c r="M21" s="17" t="str">
        <f>[3]!'WTX2N0;11400P`205'</f>
        <v>#Get Error</v>
      </c>
      <c r="N21" s="19">
        <f t="shared" si="7"/>
        <v>0.6</v>
      </c>
      <c r="O21" s="19">
        <f t="shared" si="8"/>
        <v>0.6</v>
      </c>
      <c r="P21" s="14" t="e">
        <f t="shared" si="9"/>
        <v>#VALUE!</v>
      </c>
      <c r="Q21" s="14">
        <v>0</v>
      </c>
      <c r="R21" s="14" t="e">
        <f t="shared" si="10"/>
        <v>#VALUE!</v>
      </c>
      <c r="S21" s="36" t="e">
        <f t="shared" si="11"/>
        <v>#VALUE!</v>
      </c>
      <c r="T21" s="36"/>
      <c r="U21" s="48" t="e">
        <f t="shared" si="12"/>
        <v>#VALUE!</v>
      </c>
      <c r="V21" s="48" t="e">
        <f t="shared" si="13"/>
        <v>#VALUE!</v>
      </c>
      <c r="W21" s="42"/>
      <c r="X21" s="52" t="e">
        <f t="shared" si="15"/>
        <v>#VALUE!</v>
      </c>
      <c r="Y21" s="52" t="e">
        <f t="shared" si="15"/>
        <v>#VALUE!</v>
      </c>
      <c r="Z21" s="52" t="e">
        <f t="shared" si="15"/>
        <v>#VALUE!</v>
      </c>
      <c r="AA21" s="52" t="e">
        <f t="shared" si="15"/>
        <v>#VALUE!</v>
      </c>
      <c r="AB21" s="52" t="e">
        <f t="shared" si="15"/>
        <v>#VALUE!</v>
      </c>
      <c r="AC21" s="52" t="e">
        <f t="shared" si="15"/>
        <v>#VALUE!</v>
      </c>
      <c r="AD21" s="52" t="e">
        <f t="shared" si="15"/>
        <v>#VALUE!</v>
      </c>
      <c r="AE21" s="52" t="e">
        <f t="shared" si="15"/>
        <v>#VALUE!</v>
      </c>
      <c r="AF21" s="52" t="e">
        <f t="shared" si="15"/>
        <v>#VALUE!</v>
      </c>
      <c r="AG21" s="52" t="e">
        <f t="shared" si="15"/>
        <v>#VALUE!</v>
      </c>
      <c r="AH21" s="52" t="e">
        <f t="shared" si="15"/>
        <v>#VALUE!</v>
      </c>
      <c r="AI21" s="52" t="e">
        <f t="shared" si="15"/>
        <v>#VALUE!</v>
      </c>
      <c r="AJ21" s="52" t="e">
        <f t="shared" si="15"/>
        <v>#VALUE!</v>
      </c>
      <c r="AK21" s="52" t="e">
        <f t="shared" si="15"/>
        <v>#VALUE!</v>
      </c>
      <c r="AL21" s="52" t="e">
        <f t="shared" si="15"/>
        <v>#VALUE!</v>
      </c>
      <c r="AM21" s="52" t="e">
        <f t="shared" si="15"/>
        <v>#VALUE!</v>
      </c>
      <c r="AN21" s="52" t="e">
        <f t="shared" si="16"/>
        <v>#VALUE!</v>
      </c>
      <c r="AO21" s="43"/>
    </row>
    <row r="22" spans="1:44" ht="17.25" thickBot="1" x14ac:dyDescent="0.3">
      <c r="A22" s="36" t="e">
        <f t="shared" si="2"/>
        <v>#VALUE!</v>
      </c>
      <c r="B22" s="14" t="e">
        <f t="shared" si="3"/>
        <v>#VALUE!</v>
      </c>
      <c r="C22" s="14">
        <v>0</v>
      </c>
      <c r="D22" s="14" t="e">
        <f t="shared" si="4"/>
        <v>#VALUE!</v>
      </c>
      <c r="E22" s="17" t="str">
        <f>[3]!'WTX2N0;11450C`267'</f>
        <v>#Get Error</v>
      </c>
      <c r="F22" s="17" t="str">
        <f>[3]!'WTX2N0;11450C`268'</f>
        <v>#Get Error</v>
      </c>
      <c r="G22" s="17" t="str">
        <f>[3]!'WTX2N0;11450C`205'</f>
        <v>#Get Error</v>
      </c>
      <c r="H22" s="19">
        <f t="shared" si="5"/>
        <v>0.6</v>
      </c>
      <c r="I22" s="19">
        <f t="shared" si="6"/>
        <v>0.6</v>
      </c>
      <c r="J22" s="18">
        <f t="shared" si="18"/>
        <v>11450</v>
      </c>
      <c r="K22" s="17" t="str">
        <f>[3]!'WTX2N0;11450P`267'</f>
        <v>#Get Error</v>
      </c>
      <c r="L22" s="17" t="str">
        <f>[3]!'WTX2N0;11450P`268'</f>
        <v>#Get Error</v>
      </c>
      <c r="M22" s="17" t="str">
        <f>[3]!'WTX2N0;11450P`205'</f>
        <v>#Get Error</v>
      </c>
      <c r="N22" s="19">
        <f t="shared" si="7"/>
        <v>0.6</v>
      </c>
      <c r="O22" s="19">
        <f t="shared" si="8"/>
        <v>0.6</v>
      </c>
      <c r="P22" s="14" t="e">
        <f t="shared" si="9"/>
        <v>#VALUE!</v>
      </c>
      <c r="Q22" s="14">
        <v>0</v>
      </c>
      <c r="R22" s="14" t="e">
        <f t="shared" si="10"/>
        <v>#VALUE!</v>
      </c>
      <c r="S22" s="36" t="e">
        <f t="shared" si="11"/>
        <v>#VALUE!</v>
      </c>
      <c r="T22" s="36"/>
      <c r="U22" s="48" t="e">
        <f t="shared" si="12"/>
        <v>#VALUE!</v>
      </c>
      <c r="V22" s="48" t="e">
        <f t="shared" si="13"/>
        <v>#VALUE!</v>
      </c>
      <c r="W22" s="42"/>
      <c r="X22" s="52" t="e">
        <f t="shared" si="15"/>
        <v>#VALUE!</v>
      </c>
      <c r="Y22" s="52" t="e">
        <f t="shared" si="15"/>
        <v>#VALUE!</v>
      </c>
      <c r="Z22" s="52" t="e">
        <f t="shared" si="15"/>
        <v>#VALUE!</v>
      </c>
      <c r="AA22" s="52" t="e">
        <f t="shared" si="15"/>
        <v>#VALUE!</v>
      </c>
      <c r="AB22" s="52" t="e">
        <f t="shared" si="15"/>
        <v>#VALUE!</v>
      </c>
      <c r="AC22" s="52" t="e">
        <f t="shared" si="15"/>
        <v>#VALUE!</v>
      </c>
      <c r="AD22" s="52" t="e">
        <f t="shared" si="15"/>
        <v>#VALUE!</v>
      </c>
      <c r="AE22" s="52" t="e">
        <f t="shared" si="15"/>
        <v>#VALUE!</v>
      </c>
      <c r="AF22" s="52" t="e">
        <f t="shared" si="15"/>
        <v>#VALUE!</v>
      </c>
      <c r="AG22" s="52" t="e">
        <f t="shared" si="15"/>
        <v>#VALUE!</v>
      </c>
      <c r="AH22" s="52" t="e">
        <f t="shared" si="15"/>
        <v>#VALUE!</v>
      </c>
      <c r="AI22" s="52" t="e">
        <f t="shared" si="15"/>
        <v>#VALUE!</v>
      </c>
      <c r="AJ22" s="52" t="e">
        <f t="shared" si="15"/>
        <v>#VALUE!</v>
      </c>
      <c r="AK22" s="52" t="e">
        <f t="shared" si="15"/>
        <v>#VALUE!</v>
      </c>
      <c r="AL22" s="52" t="e">
        <f t="shared" si="15"/>
        <v>#VALUE!</v>
      </c>
      <c r="AM22" s="52" t="e">
        <f t="shared" si="15"/>
        <v>#VALUE!</v>
      </c>
      <c r="AN22" s="52" t="e">
        <f t="shared" si="16"/>
        <v>#VALUE!</v>
      </c>
      <c r="AP22" s="51"/>
      <c r="AR22" s="41"/>
    </row>
    <row r="23" spans="1:44" ht="17.25" thickBot="1" x14ac:dyDescent="0.3">
      <c r="A23" s="36" t="e">
        <f t="shared" si="2"/>
        <v>#VALUE!</v>
      </c>
      <c r="B23" s="14" t="e">
        <f t="shared" si="3"/>
        <v>#VALUE!</v>
      </c>
      <c r="C23" s="14">
        <v>0</v>
      </c>
      <c r="D23" s="14" t="e">
        <f t="shared" si="4"/>
        <v>#VALUE!</v>
      </c>
      <c r="E23" s="17" t="str">
        <f>[3]!'WTX2N0;11500C`267'</f>
        <v>#Get Error</v>
      </c>
      <c r="F23" s="17" t="str">
        <f>[3]!'WTX2N0;11500C`268'</f>
        <v>#Get Error</v>
      </c>
      <c r="G23" s="20" t="str">
        <f>[3]!'WTX2N0;11500C`205'</f>
        <v>#Get Error</v>
      </c>
      <c r="H23" s="19">
        <f t="shared" si="5"/>
        <v>0.6</v>
      </c>
      <c r="I23" s="19">
        <f t="shared" si="6"/>
        <v>0.6</v>
      </c>
      <c r="J23" s="18">
        <f t="shared" si="18"/>
        <v>11500</v>
      </c>
      <c r="K23" s="17" t="str">
        <f>[3]!'WTX2N0;11500P`267'</f>
        <v>#Get Error</v>
      </c>
      <c r="L23" s="17" t="str">
        <f>[3]!'WTX2N0;11500P`268'</f>
        <v>#Get Error</v>
      </c>
      <c r="M23" s="20" t="str">
        <f>[3]!'WTX2N0;11500P`205'</f>
        <v>#Get Error</v>
      </c>
      <c r="N23" s="19">
        <f t="shared" si="7"/>
        <v>0.6</v>
      </c>
      <c r="O23" s="19">
        <f t="shared" si="8"/>
        <v>0.6</v>
      </c>
      <c r="P23" s="14" t="e">
        <f t="shared" si="9"/>
        <v>#VALUE!</v>
      </c>
      <c r="Q23" s="14">
        <v>0</v>
      </c>
      <c r="R23" s="14" t="e">
        <f t="shared" si="10"/>
        <v>#VALUE!</v>
      </c>
      <c r="S23" s="36" t="e">
        <f t="shared" si="11"/>
        <v>#VALUE!</v>
      </c>
      <c r="T23" s="36"/>
      <c r="U23" s="48" t="e">
        <f t="shared" si="12"/>
        <v>#VALUE!</v>
      </c>
      <c r="V23" s="48" t="e">
        <f t="shared" si="13"/>
        <v>#VALUE!</v>
      </c>
      <c r="W23" s="42"/>
      <c r="X23" s="52" t="e">
        <f t="shared" si="15"/>
        <v>#VALUE!</v>
      </c>
      <c r="Y23" s="52" t="e">
        <f t="shared" si="15"/>
        <v>#VALUE!</v>
      </c>
      <c r="Z23" s="52" t="e">
        <f t="shared" si="15"/>
        <v>#VALUE!</v>
      </c>
      <c r="AA23" s="52" t="e">
        <f t="shared" si="15"/>
        <v>#VALUE!</v>
      </c>
      <c r="AB23" s="52" t="e">
        <f t="shared" si="15"/>
        <v>#VALUE!</v>
      </c>
      <c r="AC23" s="52" t="e">
        <f t="shared" si="15"/>
        <v>#VALUE!</v>
      </c>
      <c r="AD23" s="52" t="e">
        <f t="shared" si="15"/>
        <v>#VALUE!</v>
      </c>
      <c r="AE23" s="52" t="e">
        <f t="shared" si="15"/>
        <v>#VALUE!</v>
      </c>
      <c r="AF23" s="52" t="e">
        <f t="shared" si="15"/>
        <v>#VALUE!</v>
      </c>
      <c r="AG23" s="52" t="e">
        <f t="shared" si="15"/>
        <v>#VALUE!</v>
      </c>
      <c r="AH23" s="52" t="e">
        <f t="shared" si="15"/>
        <v>#VALUE!</v>
      </c>
      <c r="AI23" s="52" t="e">
        <f t="shared" si="15"/>
        <v>#VALUE!</v>
      </c>
      <c r="AJ23" s="52" t="e">
        <f t="shared" si="15"/>
        <v>#VALUE!</v>
      </c>
      <c r="AK23" s="52" t="e">
        <f t="shared" si="15"/>
        <v>#VALUE!</v>
      </c>
      <c r="AL23" s="52" t="e">
        <f t="shared" si="15"/>
        <v>#VALUE!</v>
      </c>
      <c r="AM23" s="52" t="e">
        <f t="shared" si="15"/>
        <v>#VALUE!</v>
      </c>
      <c r="AN23" s="52" t="e">
        <f t="shared" si="16"/>
        <v>#VALUE!</v>
      </c>
    </row>
    <row r="24" spans="1:44" ht="17.25" thickBot="1" x14ac:dyDescent="0.3">
      <c r="A24" s="36" t="e">
        <f>(GBSOption("C",$I$2,$J24, $N$2,$H24, 0,0)-GBSOption("C",$I$2,$J24, $O$2,$H24, 0,0))*$C24*50*-1</f>
        <v>#VALUE!</v>
      </c>
      <c r="B24" s="14" t="e">
        <f t="shared" si="3"/>
        <v>#VALUE!</v>
      </c>
      <c r="C24" s="14">
        <v>0</v>
      </c>
      <c r="D24" s="14" t="e">
        <f t="shared" si="4"/>
        <v>#VALUE!</v>
      </c>
      <c r="E24" s="17" t="str">
        <f>[3]!'WTX2N0;11550C`267'</f>
        <v>#Get Error</v>
      </c>
      <c r="F24" s="17" t="str">
        <f>[3]!'WTX2N0;11550C`268'</f>
        <v>#Get Error</v>
      </c>
      <c r="G24" s="17" t="str">
        <f>[3]!'WTX2N0;11550C`205'</f>
        <v>#Get Error</v>
      </c>
      <c r="H24" s="19">
        <f t="shared" si="5"/>
        <v>0.6</v>
      </c>
      <c r="I24" s="19">
        <f t="shared" si="6"/>
        <v>0.6</v>
      </c>
      <c r="J24" s="18">
        <f t="shared" si="18"/>
        <v>11550</v>
      </c>
      <c r="K24" s="17" t="str">
        <f>[3]!'WTX2N0;11550P`267'</f>
        <v>#Get Error</v>
      </c>
      <c r="L24" s="17" t="str">
        <f>[3]!'WTX2N0;11550P`268'</f>
        <v>#Get Error</v>
      </c>
      <c r="M24" s="17" t="str">
        <f>[3]!'WTX2N0;11550P`205'</f>
        <v>#Get Error</v>
      </c>
      <c r="N24" s="19">
        <f t="shared" si="7"/>
        <v>0.6</v>
      </c>
      <c r="O24" s="19">
        <f t="shared" si="8"/>
        <v>0.6</v>
      </c>
      <c r="P24" s="14" t="e">
        <f t="shared" si="9"/>
        <v>#VALUE!</v>
      </c>
      <c r="Q24" s="14">
        <v>0</v>
      </c>
      <c r="R24" s="14" t="e">
        <f t="shared" si="10"/>
        <v>#VALUE!</v>
      </c>
      <c r="S24" s="36" t="e">
        <f t="shared" si="11"/>
        <v>#VALUE!</v>
      </c>
      <c r="T24" s="36"/>
      <c r="U24" s="48" t="e">
        <f t="shared" si="12"/>
        <v>#VALUE!</v>
      </c>
      <c r="V24" s="48" t="e">
        <f t="shared" si="13"/>
        <v>#VALUE!</v>
      </c>
      <c r="W24" s="42"/>
      <c r="X24" s="52" t="e">
        <f t="shared" si="15"/>
        <v>#VALUE!</v>
      </c>
      <c r="Y24" s="52" t="e">
        <f t="shared" si="15"/>
        <v>#VALUE!</v>
      </c>
      <c r="Z24" s="52" t="e">
        <f t="shared" si="15"/>
        <v>#VALUE!</v>
      </c>
      <c r="AA24" s="52" t="e">
        <f t="shared" si="15"/>
        <v>#VALUE!</v>
      </c>
      <c r="AB24" s="52" t="e">
        <f t="shared" si="15"/>
        <v>#VALUE!</v>
      </c>
      <c r="AC24" s="52" t="e">
        <f t="shared" si="15"/>
        <v>#VALUE!</v>
      </c>
      <c r="AD24" s="52" t="e">
        <f t="shared" si="15"/>
        <v>#VALUE!</v>
      </c>
      <c r="AE24" s="52" t="e">
        <f t="shared" si="15"/>
        <v>#VALUE!</v>
      </c>
      <c r="AF24" s="52" t="e">
        <f t="shared" si="15"/>
        <v>#VALUE!</v>
      </c>
      <c r="AG24" s="52" t="e">
        <f t="shared" si="15"/>
        <v>#VALUE!</v>
      </c>
      <c r="AH24" s="52" t="e">
        <f t="shared" si="15"/>
        <v>#VALUE!</v>
      </c>
      <c r="AI24" s="52" t="e">
        <f t="shared" si="15"/>
        <v>#VALUE!</v>
      </c>
      <c r="AJ24" s="52" t="e">
        <f t="shared" si="15"/>
        <v>#VALUE!</v>
      </c>
      <c r="AK24" s="52" t="e">
        <f t="shared" si="15"/>
        <v>#VALUE!</v>
      </c>
      <c r="AL24" s="52" t="e">
        <f t="shared" si="15"/>
        <v>#VALUE!</v>
      </c>
      <c r="AM24" s="52" t="e">
        <f t="shared" si="15"/>
        <v>#VALUE!</v>
      </c>
      <c r="AN24" s="52" t="e">
        <f t="shared" si="16"/>
        <v>#VALUE!</v>
      </c>
    </row>
    <row r="25" spans="1:44" ht="17.25" thickBot="1" x14ac:dyDescent="0.3">
      <c r="A25" s="36" t="e">
        <f t="shared" si="2"/>
        <v>#VALUE!</v>
      </c>
      <c r="B25" s="14" t="e">
        <f t="shared" si="3"/>
        <v>#VALUE!</v>
      </c>
      <c r="C25" s="14">
        <v>0</v>
      </c>
      <c r="D25" s="14" t="e">
        <f t="shared" si="4"/>
        <v>#VALUE!</v>
      </c>
      <c r="E25" s="17" t="str">
        <f>[3]!'WTX2N0;11600C`267'</f>
        <v>#Get Error</v>
      </c>
      <c r="F25" s="17" t="str">
        <f>[3]!'WTX2N0;11600C`268'</f>
        <v>#Get Error</v>
      </c>
      <c r="G25" s="17" t="str">
        <f>[3]!'WTX2N0;11600C`205'</f>
        <v>#Get Error</v>
      </c>
      <c r="H25" s="19">
        <f t="shared" si="5"/>
        <v>0.6</v>
      </c>
      <c r="I25" s="19">
        <f t="shared" si="6"/>
        <v>0.6</v>
      </c>
      <c r="J25" s="18">
        <f t="shared" si="18"/>
        <v>11600</v>
      </c>
      <c r="K25" s="17" t="str">
        <f>[3]!'WTX2N0;11600P`267'</f>
        <v>#Get Error</v>
      </c>
      <c r="L25" s="17" t="str">
        <f>[3]!'WTX2N0;11600P`268'</f>
        <v>#Get Error</v>
      </c>
      <c r="M25" s="17" t="str">
        <f>[3]!'WTX2N0;11600P`205'</f>
        <v>#Get Error</v>
      </c>
      <c r="N25" s="19">
        <f t="shared" si="7"/>
        <v>0.6</v>
      </c>
      <c r="O25" s="19">
        <f t="shared" si="8"/>
        <v>0.6</v>
      </c>
      <c r="P25" s="14" t="e">
        <f t="shared" si="9"/>
        <v>#VALUE!</v>
      </c>
      <c r="Q25" s="14">
        <v>0</v>
      </c>
      <c r="R25" s="14" t="e">
        <f t="shared" si="10"/>
        <v>#VALUE!</v>
      </c>
      <c r="S25" s="36" t="e">
        <f t="shared" si="11"/>
        <v>#VALUE!</v>
      </c>
      <c r="T25" s="36"/>
      <c r="U25" s="48" t="e">
        <f t="shared" si="12"/>
        <v>#VALUE!</v>
      </c>
      <c r="V25" s="48" t="e">
        <f t="shared" si="13"/>
        <v>#VALUE!</v>
      </c>
      <c r="W25" s="42"/>
      <c r="X25" s="52" t="e">
        <f t="shared" si="15"/>
        <v>#VALUE!</v>
      </c>
      <c r="Y25" s="52" t="e">
        <f t="shared" si="15"/>
        <v>#VALUE!</v>
      </c>
      <c r="Z25" s="52" t="e">
        <f t="shared" si="15"/>
        <v>#VALUE!</v>
      </c>
      <c r="AA25" s="52" t="e">
        <f t="shared" si="15"/>
        <v>#VALUE!</v>
      </c>
      <c r="AB25" s="52" t="e">
        <f t="shared" si="15"/>
        <v>#VALUE!</v>
      </c>
      <c r="AC25" s="52" t="e">
        <f t="shared" si="15"/>
        <v>#VALUE!</v>
      </c>
      <c r="AD25" s="52" t="e">
        <f t="shared" si="15"/>
        <v>#VALUE!</v>
      </c>
      <c r="AE25" s="52" t="e">
        <f t="shared" si="15"/>
        <v>#VALUE!</v>
      </c>
      <c r="AF25" s="52" t="e">
        <f t="shared" si="15"/>
        <v>#VALUE!</v>
      </c>
      <c r="AG25" s="52" t="e">
        <f t="shared" si="15"/>
        <v>#VALUE!</v>
      </c>
      <c r="AH25" s="52" t="e">
        <f t="shared" si="15"/>
        <v>#VALUE!</v>
      </c>
      <c r="AI25" s="52" t="e">
        <f t="shared" si="15"/>
        <v>#VALUE!</v>
      </c>
      <c r="AJ25" s="52" t="e">
        <f t="shared" si="15"/>
        <v>#VALUE!</v>
      </c>
      <c r="AK25" s="52" t="e">
        <f t="shared" si="15"/>
        <v>#VALUE!</v>
      </c>
      <c r="AL25" s="52" t="e">
        <f t="shared" si="15"/>
        <v>#VALUE!</v>
      </c>
      <c r="AM25" s="52" t="e">
        <f t="shared" si="15"/>
        <v>#VALUE!</v>
      </c>
      <c r="AN25" s="52" t="e">
        <f t="shared" si="16"/>
        <v>#VALUE!</v>
      </c>
    </row>
    <row r="26" spans="1:44" ht="17.25" thickBot="1" x14ac:dyDescent="0.3">
      <c r="A26" s="36" t="e">
        <f t="shared" si="2"/>
        <v>#VALUE!</v>
      </c>
      <c r="B26" s="14" t="e">
        <f t="shared" si="3"/>
        <v>#VALUE!</v>
      </c>
      <c r="C26" s="14">
        <v>0</v>
      </c>
      <c r="D26" s="14" t="e">
        <f t="shared" si="4"/>
        <v>#VALUE!</v>
      </c>
      <c r="E26" s="17" t="str">
        <f>[3]!'WTX2N0;11650C`267'</f>
        <v>#Get Error</v>
      </c>
      <c r="F26" s="17" t="str">
        <f>[3]!'WTX2N0;11650C`268'</f>
        <v>#Get Error</v>
      </c>
      <c r="G26" s="17" t="str">
        <f>[3]!'WTX2N0;11650C`205'</f>
        <v>#Get Error</v>
      </c>
      <c r="H26" s="19">
        <f t="shared" si="5"/>
        <v>0.6</v>
      </c>
      <c r="I26" s="19">
        <f t="shared" si="6"/>
        <v>0.6</v>
      </c>
      <c r="J26" s="18">
        <f t="shared" si="18"/>
        <v>11650</v>
      </c>
      <c r="K26" s="17" t="str">
        <f>[3]!'WTX2N0;11650P`267'</f>
        <v>#Get Error</v>
      </c>
      <c r="L26" s="17" t="str">
        <f>[3]!'WTX2N0;11650P`268'</f>
        <v>#Get Error</v>
      </c>
      <c r="M26" s="17" t="str">
        <f>[3]!'WTX2N0;11650P`205'</f>
        <v>#Get Error</v>
      </c>
      <c r="N26" s="19">
        <f t="shared" si="7"/>
        <v>0.6</v>
      </c>
      <c r="O26" s="19">
        <f t="shared" si="8"/>
        <v>0.6</v>
      </c>
      <c r="P26" s="14" t="e">
        <f t="shared" si="9"/>
        <v>#VALUE!</v>
      </c>
      <c r="Q26" s="14">
        <v>0</v>
      </c>
      <c r="R26" s="14" t="e">
        <f t="shared" si="10"/>
        <v>#VALUE!</v>
      </c>
      <c r="S26" s="36" t="e">
        <f t="shared" si="11"/>
        <v>#VALUE!</v>
      </c>
      <c r="T26" s="36"/>
      <c r="U26" s="48" t="e">
        <f t="shared" si="12"/>
        <v>#VALUE!</v>
      </c>
      <c r="V26" s="48" t="e">
        <f t="shared" si="13"/>
        <v>#VALUE!</v>
      </c>
      <c r="W26" s="42"/>
      <c r="X26" s="52" t="e">
        <f t="shared" si="15"/>
        <v>#VALUE!</v>
      </c>
      <c r="Y26" s="52" t="e">
        <f t="shared" si="15"/>
        <v>#VALUE!</v>
      </c>
      <c r="Z26" s="52" t="e">
        <f t="shared" si="15"/>
        <v>#VALUE!</v>
      </c>
      <c r="AA26" s="52" t="e">
        <f t="shared" si="15"/>
        <v>#VALUE!</v>
      </c>
      <c r="AB26" s="52" t="e">
        <f t="shared" si="15"/>
        <v>#VALUE!</v>
      </c>
      <c r="AC26" s="52" t="e">
        <f t="shared" si="15"/>
        <v>#VALUE!</v>
      </c>
      <c r="AD26" s="52" t="e">
        <f t="shared" si="15"/>
        <v>#VALUE!</v>
      </c>
      <c r="AE26" s="52" t="e">
        <f t="shared" si="15"/>
        <v>#VALUE!</v>
      </c>
      <c r="AF26" s="52" t="e">
        <f t="shared" si="15"/>
        <v>#VALUE!</v>
      </c>
      <c r="AG26" s="52" t="e">
        <f t="shared" si="15"/>
        <v>#VALUE!</v>
      </c>
      <c r="AH26" s="52" t="e">
        <f t="shared" si="15"/>
        <v>#VALUE!</v>
      </c>
      <c r="AI26" s="52" t="e">
        <f t="shared" si="15"/>
        <v>#VALUE!</v>
      </c>
      <c r="AJ26" s="52" t="e">
        <f t="shared" si="15"/>
        <v>#VALUE!</v>
      </c>
      <c r="AK26" s="52" t="e">
        <f t="shared" si="15"/>
        <v>#VALUE!</v>
      </c>
      <c r="AL26" s="52" t="e">
        <f t="shared" si="15"/>
        <v>#VALUE!</v>
      </c>
      <c r="AM26" s="52" t="e">
        <f>(GBSOption("C", AM$9,$J27,$O$2,$H27,0, 0)*$C27*50-$E27*$C27*50)+(GBSOption("P", AM$9,$J27,$O$2,$N27,0, 0)*$Q27*50-$K27*$Q27*50)</f>
        <v>#VALUE!</v>
      </c>
      <c r="AN26" s="52" t="e">
        <f t="shared" si="16"/>
        <v>#VALUE!</v>
      </c>
    </row>
    <row r="27" spans="1:44" ht="17.25" thickBot="1" x14ac:dyDescent="0.3">
      <c r="A27" s="36" t="e">
        <f t="shared" si="2"/>
        <v>#VALUE!</v>
      </c>
      <c r="B27" s="14" t="e">
        <f t="shared" si="3"/>
        <v>#VALUE!</v>
      </c>
      <c r="C27" s="14">
        <v>0</v>
      </c>
      <c r="D27" s="14" t="e">
        <f t="shared" si="4"/>
        <v>#VALUE!</v>
      </c>
      <c r="E27" s="17" t="str">
        <f>[3]!'WTX2N0;11700C`267'</f>
        <v>#Get Error</v>
      </c>
      <c r="F27" s="17" t="str">
        <f>[3]!'WTX2N0;11700C`268'</f>
        <v>#Get Error</v>
      </c>
      <c r="G27" s="17" t="str">
        <f>[3]!'WTX2N0;11700C`205'</f>
        <v>#Get Error</v>
      </c>
      <c r="H27" s="19">
        <f t="shared" si="5"/>
        <v>0.6</v>
      </c>
      <c r="I27" s="19">
        <f t="shared" si="6"/>
        <v>0.6</v>
      </c>
      <c r="J27" s="18">
        <f t="shared" si="18"/>
        <v>11700</v>
      </c>
      <c r="K27" s="17" t="str">
        <f>[3]!'WTX2N0;11700P`267'</f>
        <v>#Get Error</v>
      </c>
      <c r="L27" s="17" t="str">
        <f>[3]!'WTX2N0;11700P`268'</f>
        <v>#Get Error</v>
      </c>
      <c r="M27" s="17" t="str">
        <f>[3]!'WTX2N0;11700P`205'</f>
        <v>#Get Error</v>
      </c>
      <c r="N27" s="19">
        <f t="shared" si="7"/>
        <v>0.6</v>
      </c>
      <c r="O27" s="19">
        <f t="shared" si="8"/>
        <v>0.6</v>
      </c>
      <c r="P27" s="14" t="e">
        <f t="shared" si="9"/>
        <v>#VALUE!</v>
      </c>
      <c r="Q27" s="14">
        <v>0</v>
      </c>
      <c r="R27" s="14" t="e">
        <f t="shared" si="10"/>
        <v>#VALUE!</v>
      </c>
      <c r="S27" s="36" t="e">
        <f t="shared" si="11"/>
        <v>#VALUE!</v>
      </c>
      <c r="T27" s="36"/>
      <c r="U27" s="48" t="e">
        <f t="shared" si="12"/>
        <v>#VALUE!</v>
      </c>
      <c r="V27" s="48" t="e">
        <f t="shared" si="13"/>
        <v>#VALUE!</v>
      </c>
      <c r="W27" s="42"/>
      <c r="X27" s="52" t="e">
        <f t="shared" ref="X27:AL30" si="19">(GBSOption("C", X$9,$J28,$O$2,$H28,0, 0)*$C28*50-$E28*$C28*50)+(GBSOption("P", X$9,$J28,$O$2,$N28,0, 0)*$Q28*50-$K28*$Q28*50)</f>
        <v>#VALUE!</v>
      </c>
      <c r="Y27" s="52" t="e">
        <f t="shared" si="19"/>
        <v>#VALUE!</v>
      </c>
      <c r="Z27" s="52" t="e">
        <f t="shared" si="19"/>
        <v>#VALUE!</v>
      </c>
      <c r="AA27" s="52" t="e">
        <f t="shared" si="19"/>
        <v>#VALUE!</v>
      </c>
      <c r="AB27" s="52" t="e">
        <f t="shared" si="19"/>
        <v>#VALUE!</v>
      </c>
      <c r="AC27" s="52" t="e">
        <f t="shared" si="19"/>
        <v>#VALUE!</v>
      </c>
      <c r="AD27" s="52" t="e">
        <f t="shared" si="19"/>
        <v>#VALUE!</v>
      </c>
      <c r="AE27" s="52" t="e">
        <f t="shared" si="19"/>
        <v>#VALUE!</v>
      </c>
      <c r="AF27" s="52" t="e">
        <f t="shared" si="19"/>
        <v>#VALUE!</v>
      </c>
      <c r="AG27" s="52" t="e">
        <f t="shared" si="19"/>
        <v>#VALUE!</v>
      </c>
      <c r="AH27" s="52" t="e">
        <f t="shared" si="19"/>
        <v>#VALUE!</v>
      </c>
      <c r="AI27" s="52" t="e">
        <f t="shared" si="19"/>
        <v>#VALUE!</v>
      </c>
      <c r="AJ27" s="52" t="e">
        <f t="shared" si="19"/>
        <v>#VALUE!</v>
      </c>
      <c r="AK27" s="52" t="e">
        <f t="shared" si="19"/>
        <v>#VALUE!</v>
      </c>
      <c r="AL27" s="52" t="e">
        <f t="shared" si="19"/>
        <v>#VALUE!</v>
      </c>
      <c r="AM27" s="52" t="e">
        <f>(GBSOption("C", AM$9,$J28,$O$2,$H28,0, 0)*$C28*50-$E28*$C28*50)+(GBSOption("P", AM$9,$J28,$O$2,$N28,0, 0)*$Q28*50-$K28*$Q28*50)</f>
        <v>#VALUE!</v>
      </c>
      <c r="AN27" s="52" t="e">
        <f t="shared" si="16"/>
        <v>#VALUE!</v>
      </c>
    </row>
    <row r="28" spans="1:44" ht="17.25" thickBot="1" x14ac:dyDescent="0.3">
      <c r="A28" s="36" t="e">
        <f t="shared" si="2"/>
        <v>#VALUE!</v>
      </c>
      <c r="B28" s="14" t="e">
        <f t="shared" si="3"/>
        <v>#VALUE!</v>
      </c>
      <c r="C28" s="14">
        <v>0</v>
      </c>
      <c r="D28" s="14" t="e">
        <f t="shared" si="4"/>
        <v>#VALUE!</v>
      </c>
      <c r="E28" s="17" t="str">
        <f>[3]!'WTX2N0;11750C`267'</f>
        <v>#Get Error</v>
      </c>
      <c r="F28" s="17" t="str">
        <f>[3]!'WTX2N0;11750C`268'</f>
        <v>#Get Error</v>
      </c>
      <c r="G28" s="17" t="str">
        <f>[3]!'WTX2N0;11750C`205'</f>
        <v>#Get Error</v>
      </c>
      <c r="H28" s="19">
        <f t="shared" si="5"/>
        <v>0.6</v>
      </c>
      <c r="I28" s="19">
        <f t="shared" si="6"/>
        <v>0.6</v>
      </c>
      <c r="J28" s="18">
        <f t="shared" si="18"/>
        <v>11750</v>
      </c>
      <c r="K28" s="17" t="str">
        <f>[3]!'WTX2N0;11750P`267'</f>
        <v>#Get Error</v>
      </c>
      <c r="L28" s="17" t="str">
        <f>[3]!'WTX2N0;11750P`268'</f>
        <v>#Get Error</v>
      </c>
      <c r="M28" s="17" t="str">
        <f>[3]!'WTX2N0;11750P`205'</f>
        <v>#Get Error</v>
      </c>
      <c r="N28" s="19">
        <f t="shared" si="7"/>
        <v>0.6</v>
      </c>
      <c r="O28" s="19">
        <f t="shared" si="8"/>
        <v>0.6</v>
      </c>
      <c r="P28" s="14" t="e">
        <f t="shared" si="9"/>
        <v>#VALUE!</v>
      </c>
      <c r="Q28" s="14">
        <v>0</v>
      </c>
      <c r="R28" s="14" t="e">
        <f t="shared" si="10"/>
        <v>#VALUE!</v>
      </c>
      <c r="S28" s="36" t="e">
        <f t="shared" si="11"/>
        <v>#VALUE!</v>
      </c>
      <c r="T28" s="36"/>
      <c r="U28" s="48" t="e">
        <f t="shared" si="12"/>
        <v>#VALUE!</v>
      </c>
      <c r="V28" s="48" t="e">
        <f t="shared" si="13"/>
        <v>#VALUE!</v>
      </c>
      <c r="W28" s="42"/>
      <c r="X28" s="52" t="e">
        <f t="shared" si="19"/>
        <v>#VALUE!</v>
      </c>
      <c r="Y28" s="52" t="e">
        <f t="shared" si="19"/>
        <v>#VALUE!</v>
      </c>
      <c r="Z28" s="52" t="e">
        <f t="shared" si="19"/>
        <v>#VALUE!</v>
      </c>
      <c r="AA28" s="52" t="e">
        <f t="shared" si="19"/>
        <v>#VALUE!</v>
      </c>
      <c r="AB28" s="52" t="e">
        <f t="shared" si="19"/>
        <v>#VALUE!</v>
      </c>
      <c r="AC28" s="52" t="e">
        <f t="shared" si="19"/>
        <v>#VALUE!</v>
      </c>
      <c r="AD28" s="52" t="e">
        <f t="shared" si="19"/>
        <v>#VALUE!</v>
      </c>
      <c r="AE28" s="52" t="e">
        <f t="shared" si="19"/>
        <v>#VALUE!</v>
      </c>
      <c r="AF28" s="52" t="e">
        <f t="shared" si="19"/>
        <v>#VALUE!</v>
      </c>
      <c r="AG28" s="52" t="e">
        <f t="shared" si="19"/>
        <v>#VALUE!</v>
      </c>
      <c r="AH28" s="52" t="e">
        <f t="shared" si="19"/>
        <v>#VALUE!</v>
      </c>
      <c r="AI28" s="52" t="e">
        <f t="shared" si="19"/>
        <v>#VALUE!</v>
      </c>
      <c r="AJ28" s="52" t="e">
        <f t="shared" si="19"/>
        <v>#VALUE!</v>
      </c>
      <c r="AK28" s="52" t="e">
        <f t="shared" si="19"/>
        <v>#VALUE!</v>
      </c>
      <c r="AL28" s="52" t="e">
        <f t="shared" si="19"/>
        <v>#VALUE!</v>
      </c>
      <c r="AM28" s="52" t="e">
        <f>(GBSOption("C", AM$9,$J29,$O$2,$H29,0, 0)*$C29*50-$E29*$C29*50)+(GBSOption("P", AM$9,$J29,$O$2,$N29,0, 0)*$Q29*50-$K29*$Q29*50)</f>
        <v>#VALUE!</v>
      </c>
      <c r="AN28" s="52" t="e">
        <f t="shared" si="16"/>
        <v>#VALUE!</v>
      </c>
    </row>
    <row r="29" spans="1:44" ht="17.25" thickBot="1" x14ac:dyDescent="0.3">
      <c r="A29" s="36" t="e">
        <f t="shared" si="2"/>
        <v>#VALUE!</v>
      </c>
      <c r="B29" s="14" t="e">
        <f t="shared" si="3"/>
        <v>#VALUE!</v>
      </c>
      <c r="C29" s="14">
        <v>0</v>
      </c>
      <c r="D29" s="14" t="e">
        <f t="shared" si="4"/>
        <v>#VALUE!</v>
      </c>
      <c r="E29" s="17" t="str">
        <f>[3]!'WTX2N0;11800C`267'</f>
        <v>#Get Error</v>
      </c>
      <c r="F29" s="17" t="str">
        <f>[3]!'WTX2N0;11800C`268'</f>
        <v>#Get Error</v>
      </c>
      <c r="G29" s="17" t="str">
        <f>[3]!'WTX2N0;11800C`205'</f>
        <v>#Get Error</v>
      </c>
      <c r="H29" s="19">
        <f t="shared" si="5"/>
        <v>0.6</v>
      </c>
      <c r="I29" s="19">
        <f t="shared" si="6"/>
        <v>0.6</v>
      </c>
      <c r="J29" s="18">
        <f t="shared" si="18"/>
        <v>11800</v>
      </c>
      <c r="K29" s="17" t="str">
        <f>[3]!'WTX2N0;11800P`267'</f>
        <v>#Get Error</v>
      </c>
      <c r="L29" s="17" t="str">
        <f>[3]!'WTX2N0;11800P`268'</f>
        <v>#Get Error</v>
      </c>
      <c r="M29" s="17" t="str">
        <f>[3]!'WTX2N0;11800P`205'</f>
        <v>#Get Error</v>
      </c>
      <c r="N29" s="19">
        <f t="shared" si="7"/>
        <v>0.6</v>
      </c>
      <c r="O29" s="19">
        <f t="shared" si="8"/>
        <v>0.6</v>
      </c>
      <c r="P29" s="14" t="e">
        <f t="shared" si="9"/>
        <v>#VALUE!</v>
      </c>
      <c r="Q29" s="14">
        <v>0</v>
      </c>
      <c r="R29" s="14" t="e">
        <f t="shared" si="10"/>
        <v>#VALUE!</v>
      </c>
      <c r="S29" s="36" t="e">
        <f t="shared" si="11"/>
        <v>#VALUE!</v>
      </c>
      <c r="T29" s="36"/>
      <c r="U29" s="48" t="e">
        <f t="shared" si="12"/>
        <v>#VALUE!</v>
      </c>
      <c r="V29" s="48" t="e">
        <f t="shared" si="13"/>
        <v>#VALUE!</v>
      </c>
      <c r="W29" s="42"/>
      <c r="X29" s="52" t="e">
        <f t="shared" si="19"/>
        <v>#VALUE!</v>
      </c>
      <c r="Y29" s="52" t="e">
        <f t="shared" si="19"/>
        <v>#VALUE!</v>
      </c>
      <c r="Z29" s="52" t="e">
        <f t="shared" si="19"/>
        <v>#VALUE!</v>
      </c>
      <c r="AA29" s="52" t="e">
        <f t="shared" si="19"/>
        <v>#VALUE!</v>
      </c>
      <c r="AB29" s="52" t="e">
        <f t="shared" si="19"/>
        <v>#VALUE!</v>
      </c>
      <c r="AC29" s="52" t="e">
        <f t="shared" si="19"/>
        <v>#VALUE!</v>
      </c>
      <c r="AD29" s="52" t="e">
        <f t="shared" si="19"/>
        <v>#VALUE!</v>
      </c>
      <c r="AE29" s="52" t="e">
        <f t="shared" si="19"/>
        <v>#VALUE!</v>
      </c>
      <c r="AF29" s="52" t="e">
        <f t="shared" si="19"/>
        <v>#VALUE!</v>
      </c>
      <c r="AG29" s="52" t="e">
        <f t="shared" si="19"/>
        <v>#VALUE!</v>
      </c>
      <c r="AH29" s="52" t="e">
        <f t="shared" si="19"/>
        <v>#VALUE!</v>
      </c>
      <c r="AI29" s="52" t="e">
        <f t="shared" si="19"/>
        <v>#VALUE!</v>
      </c>
      <c r="AJ29" s="52" t="e">
        <f t="shared" si="19"/>
        <v>#VALUE!</v>
      </c>
      <c r="AK29" s="52" t="e">
        <f t="shared" si="19"/>
        <v>#VALUE!</v>
      </c>
      <c r="AL29" s="52" t="e">
        <f t="shared" si="19"/>
        <v>#VALUE!</v>
      </c>
      <c r="AM29" s="52" t="e">
        <f>(GBSOption("C", AM$9,$J30,$O$2,$H30,0, 0)*$C30*50-$E30*$C30*50)+(GBSOption("P", AM$9,$J30,$O$2,$N30,0, 0)*$Q30*50-$K30*$Q30*50)</f>
        <v>#VALUE!</v>
      </c>
      <c r="AN29" s="52" t="e">
        <f t="shared" si="16"/>
        <v>#VALUE!</v>
      </c>
    </row>
    <row r="30" spans="1:44" ht="17.25" thickBot="1" x14ac:dyDescent="0.3">
      <c r="A30" s="36" t="e">
        <f t="shared" si="2"/>
        <v>#VALUE!</v>
      </c>
      <c r="B30" s="14" t="e">
        <f t="shared" si="3"/>
        <v>#VALUE!</v>
      </c>
      <c r="C30" s="14">
        <v>0</v>
      </c>
      <c r="D30" s="14" t="e">
        <f t="shared" si="4"/>
        <v>#VALUE!</v>
      </c>
      <c r="E30" s="17" t="str">
        <f>[3]!'WTX2N0;11850C`267'</f>
        <v>#Get Error</v>
      </c>
      <c r="F30" s="17" t="str">
        <f>[3]!'WTX2N0;11850C`268'</f>
        <v>#Get Error</v>
      </c>
      <c r="G30" s="17" t="str">
        <f>[3]!'WTX2N0;11850C`205'</f>
        <v>#Get Error</v>
      </c>
      <c r="H30" s="19">
        <f t="shared" si="5"/>
        <v>0.6</v>
      </c>
      <c r="I30" s="19">
        <f t="shared" si="6"/>
        <v>0.6</v>
      </c>
      <c r="J30" s="18">
        <f t="shared" si="18"/>
        <v>11850</v>
      </c>
      <c r="K30" s="17" t="str">
        <f>[3]!'WTX2N0;11850P`267'</f>
        <v>#Get Error</v>
      </c>
      <c r="L30" s="17" t="str">
        <f>[3]!'WTX2N0;11850P`268'</f>
        <v>#Get Error</v>
      </c>
      <c r="M30" s="17" t="str">
        <f>[3]!'WTX2N0;11850P`205'</f>
        <v>#Get Error</v>
      </c>
      <c r="N30" s="19">
        <f t="shared" si="7"/>
        <v>0.6</v>
      </c>
      <c r="O30" s="19">
        <f t="shared" si="8"/>
        <v>0.6</v>
      </c>
      <c r="P30" s="14" t="e">
        <f t="shared" si="9"/>
        <v>#VALUE!</v>
      </c>
      <c r="Q30" s="14">
        <v>0</v>
      </c>
      <c r="R30" s="14" t="e">
        <f t="shared" si="10"/>
        <v>#VALUE!</v>
      </c>
      <c r="S30" s="36" t="e">
        <f t="shared" si="11"/>
        <v>#VALUE!</v>
      </c>
      <c r="T30" s="36"/>
      <c r="U30" s="48" t="e">
        <f t="shared" si="12"/>
        <v>#VALUE!</v>
      </c>
      <c r="V30" s="48" t="e">
        <f t="shared" si="13"/>
        <v>#VALUE!</v>
      </c>
      <c r="W30" s="42"/>
      <c r="X30" s="52" t="e">
        <f t="shared" si="19"/>
        <v>#VALUE!</v>
      </c>
      <c r="Y30" s="52" t="e">
        <f t="shared" si="19"/>
        <v>#VALUE!</v>
      </c>
      <c r="Z30" s="52" t="e">
        <f t="shared" si="19"/>
        <v>#VALUE!</v>
      </c>
      <c r="AA30" s="52" t="e">
        <f t="shared" si="19"/>
        <v>#VALUE!</v>
      </c>
      <c r="AB30" s="52" t="e">
        <f t="shared" si="19"/>
        <v>#VALUE!</v>
      </c>
      <c r="AC30" s="52" t="e">
        <f t="shared" si="19"/>
        <v>#VALUE!</v>
      </c>
      <c r="AD30" s="52" t="e">
        <f t="shared" si="19"/>
        <v>#VALUE!</v>
      </c>
      <c r="AE30" s="52" t="e">
        <f t="shared" si="19"/>
        <v>#VALUE!</v>
      </c>
      <c r="AF30" s="52" t="e">
        <f t="shared" si="19"/>
        <v>#VALUE!</v>
      </c>
      <c r="AG30" s="52" t="e">
        <f t="shared" si="19"/>
        <v>#VALUE!</v>
      </c>
      <c r="AH30" s="52" t="e">
        <f t="shared" si="19"/>
        <v>#VALUE!</v>
      </c>
      <c r="AI30" s="52" t="e">
        <f t="shared" si="19"/>
        <v>#VALUE!</v>
      </c>
      <c r="AJ30" s="52" t="e">
        <f t="shared" si="19"/>
        <v>#VALUE!</v>
      </c>
      <c r="AK30" s="52" t="e">
        <f t="shared" si="19"/>
        <v>#VALUE!</v>
      </c>
      <c r="AL30" s="52" t="e">
        <f t="shared" si="19"/>
        <v>#VALUE!</v>
      </c>
      <c r="AM30" s="52" t="e">
        <f>(GBSOption("C", AM$9,$J31,$O$2,$H31,0, 0)*$C31*50-$E31*$C31*50)+(GBSOption("P", AM$9,$J31,$O$2,$N31,0, 0)*$Q31*50-$K31*$Q31*50)</f>
        <v>#VALUE!</v>
      </c>
      <c r="AN30" s="52" t="e">
        <f t="shared" si="16"/>
        <v>#VALUE!</v>
      </c>
    </row>
    <row r="31" spans="1:44" ht="17.25" thickBot="1" x14ac:dyDescent="0.3">
      <c r="A31" s="36" t="e">
        <f t="shared" si="2"/>
        <v>#VALUE!</v>
      </c>
      <c r="B31" s="14" t="e">
        <f t="shared" si="3"/>
        <v>#VALUE!</v>
      </c>
      <c r="C31" s="14">
        <v>0</v>
      </c>
      <c r="D31" s="14" t="e">
        <f t="shared" si="4"/>
        <v>#VALUE!</v>
      </c>
      <c r="E31" s="17" t="str">
        <f>[3]!'WTX2N0;11900C`267'</f>
        <v>#Get Error</v>
      </c>
      <c r="F31" s="17" t="str">
        <f>[3]!'WTX2N0;11900C`268'</f>
        <v>#Get Error</v>
      </c>
      <c r="G31" s="17" t="str">
        <f>[3]!'WTX2N0;11900C`205'</f>
        <v>#Get Error</v>
      </c>
      <c r="H31" s="19">
        <f t="shared" si="5"/>
        <v>0.6</v>
      </c>
      <c r="I31" s="19">
        <f t="shared" si="6"/>
        <v>0.6</v>
      </c>
      <c r="J31" s="18">
        <f t="shared" si="18"/>
        <v>11900</v>
      </c>
      <c r="K31" s="17" t="str">
        <f>[3]!'WTX2N0;11900P`267'</f>
        <v>#Get Error</v>
      </c>
      <c r="L31" s="17" t="str">
        <f>[3]!'WTX2N0;11900P`268'</f>
        <v>#Get Error</v>
      </c>
      <c r="M31" s="17" t="str">
        <f>[3]!'WTX2N0;11900P`205'</f>
        <v>#Get Error</v>
      </c>
      <c r="N31" s="19">
        <f t="shared" si="7"/>
        <v>0.6</v>
      </c>
      <c r="O31" s="19">
        <f t="shared" si="8"/>
        <v>0.6</v>
      </c>
      <c r="P31" s="14" t="e">
        <f>GBSGreeks("g", "P",$I$2,$J31,$N$2,$N31, 0,0)*$P$2*50*$I$2*$Q31*-1</f>
        <v>#VALUE!</v>
      </c>
      <c r="Q31" s="14">
        <v>0</v>
      </c>
      <c r="R31" s="14" t="e">
        <f t="shared" si="10"/>
        <v>#VALUE!</v>
      </c>
      <c r="S31" s="36" t="e">
        <f t="shared" si="11"/>
        <v>#VALUE!</v>
      </c>
      <c r="T31" s="36"/>
      <c r="U31" s="48" t="e">
        <f t="shared" si="12"/>
        <v>#VALUE!</v>
      </c>
      <c r="V31" s="48" t="e">
        <f t="shared" si="13"/>
        <v>#VALUE!</v>
      </c>
      <c r="W31" s="42"/>
      <c r="X31" s="52" t="e">
        <f>(GBSOption("C", X$9,#REF!,$O$2,#REF!,0, 0)*#REF!*50-#REF!*#REF!*50)+(GBSOption("P", X$9,#REF!,$O$2,#REF!,0, 0)*#REF!*50-#REF!*#REF!*50)</f>
        <v>#VALUE!</v>
      </c>
      <c r="Y31" s="52" t="e">
        <f>(GBSOption("C", Y$9,#REF!,$O$2,#REF!,0, 0)*#REF!*50-#REF!*#REF!*50)+(GBSOption("P", Y$9,#REF!,$O$2,#REF!,0, 0)*#REF!*50-#REF!*#REF!*50)</f>
        <v>#VALUE!</v>
      </c>
      <c r="Z31" s="52" t="e">
        <f>(GBSOption("C", Z$9,#REF!,$O$2,#REF!,0, 0)*#REF!*50-#REF!*#REF!*50)+(GBSOption("P", Z$9,#REF!,$O$2,#REF!,0, 0)*#REF!*50-#REF!*#REF!*50)</f>
        <v>#VALUE!</v>
      </c>
      <c r="AA31" s="52" t="e">
        <f>(GBSOption("C", AA$9,#REF!,$O$2,#REF!,0, 0)*#REF!*50-#REF!*#REF!*50)+(GBSOption("P", AA$9,#REF!,$O$2,#REF!,0, 0)*#REF!*50-#REF!*#REF!*50)</f>
        <v>#VALUE!</v>
      </c>
      <c r="AB31" s="52" t="e">
        <f>(GBSOption("C", AB$9,#REF!,$O$2,#REF!,0, 0)*#REF!*50-#REF!*#REF!*50)+(GBSOption("P", AB$9,#REF!,$O$2,#REF!,0, 0)*#REF!*50-#REF!*#REF!*50)</f>
        <v>#VALUE!</v>
      </c>
      <c r="AC31" s="52" t="e">
        <f>(GBSOption("C", AC$9,#REF!,$O$2,#REF!,0, 0)*#REF!*50-#REF!*#REF!*50)+(GBSOption("P", AC$9,#REF!,$O$2,#REF!,0, 0)*#REF!*50-#REF!*#REF!*50)</f>
        <v>#VALUE!</v>
      </c>
      <c r="AD31" s="52" t="e">
        <f>(GBSOption("C", AD$9,#REF!,$O$2,#REF!,0, 0)*#REF!*50-#REF!*#REF!*50)+(GBSOption("P", AD$9,#REF!,$O$2,#REF!,0, 0)*#REF!*50-#REF!*#REF!*50)</f>
        <v>#VALUE!</v>
      </c>
      <c r="AE31" s="52" t="e">
        <f>(GBSOption("C", AE$9,#REF!,$O$2,#REF!,0, 0)*#REF!*50-#REF!*#REF!*50)+(GBSOption("P", AE$9,#REF!,$O$2,#REF!,0, 0)*#REF!*50-#REF!*#REF!*50)</f>
        <v>#VALUE!</v>
      </c>
      <c r="AF31" s="52" t="e">
        <f>(GBSOption("C", AF$9,#REF!,$O$2,#REF!,0, 0)*#REF!*50-#REF!*#REF!*50)+(GBSOption("P", AF$9,#REF!,$O$2,#REF!,0, 0)*#REF!*50-#REF!*#REF!*50)</f>
        <v>#VALUE!</v>
      </c>
      <c r="AG31" s="52" t="e">
        <f>(GBSOption("C", AG$9,#REF!,$O$2,#REF!,0, 0)*#REF!*50-#REF!*#REF!*50)+(GBSOption("P", AG$9,#REF!,$O$2,#REF!,0, 0)*#REF!*50-#REF!*#REF!*50)</f>
        <v>#VALUE!</v>
      </c>
      <c r="AH31" s="52" t="e">
        <f>(GBSOption("C", AH$9,#REF!,$O$2,#REF!,0, 0)*#REF!*50-#REF!*#REF!*50)+(GBSOption("P", AH$9,#REF!,$O$2,#REF!,0, 0)*#REF!*50-#REF!*#REF!*50)</f>
        <v>#VALUE!</v>
      </c>
      <c r="AI31" s="52" t="e">
        <f>(GBSOption("C", AI$9,#REF!,$O$2,#REF!,0, 0)*#REF!*50-#REF!*#REF!*50)+(GBSOption("P", AI$9,#REF!,$O$2,#REF!,0, 0)*#REF!*50-#REF!*#REF!*50)</f>
        <v>#VALUE!</v>
      </c>
      <c r="AJ31" s="52" t="e">
        <f>(GBSOption("C", AJ$9,#REF!,$O$2,#REF!,0, 0)*#REF!*50-#REF!*#REF!*50)+(GBSOption("P", AJ$9,#REF!,$O$2,#REF!,0, 0)*#REF!*50-#REF!*#REF!*50)</f>
        <v>#VALUE!</v>
      </c>
      <c r="AK31" s="52" t="e">
        <f>(GBSOption("C", AK$9,#REF!,$O$2,#REF!,0, 0)*#REF!*50-#REF!*#REF!*50)+(GBSOption("P", AK$9,#REF!,$O$2,#REF!,0, 0)*#REF!*50-#REF!*#REF!*50)</f>
        <v>#VALUE!</v>
      </c>
      <c r="AL31" s="52" t="e">
        <f>(GBSOption("C", AL$9,#REF!,$O$2,#REF!,0, 0)*#REF!*50-#REF!*#REF!*50)+(GBSOption("P", AL$9,#REF!,$O$2,#REF!,0, 0)*#REF!*50-#REF!*#REF!*50)</f>
        <v>#VALUE!</v>
      </c>
      <c r="AM31" s="52" t="e">
        <f>(GBSOption("C", AM$9,#REF!,$O$2,#REF!,0, 0)*#REF!*50-#REF!*#REF!*50)+(GBSOption("P", AM$9,#REF!,$O$2,#REF!,0, 0)*#REF!*50-#REF!*#REF!*50)</f>
        <v>#VALUE!</v>
      </c>
      <c r="AN31" s="52" t="e">
        <f>(GBSOption("C", AN$9,#REF!,$O$2,#REF!,0, 0)*#REF!*50-#REF!*#REF!*50)+(GBSOption("P", AN$9,#REF!,$O$2,#REF!,0, 0)*#REF!*50-#REF!*#REF!*50)</f>
        <v>#VALUE!</v>
      </c>
    </row>
    <row r="32" spans="1:44" ht="17.25" thickBot="1" x14ac:dyDescent="0.3">
      <c r="A32" s="36" t="e">
        <f t="shared" si="2"/>
        <v>#VALUE!</v>
      </c>
      <c r="B32" s="14" t="e">
        <f t="shared" si="3"/>
        <v>#VALUE!</v>
      </c>
      <c r="C32" s="14">
        <v>0</v>
      </c>
      <c r="D32" s="14" t="e">
        <f t="shared" si="4"/>
        <v>#VALUE!</v>
      </c>
      <c r="E32" s="17" t="str">
        <f>[3]!'WTX2N0;11950C`267'</f>
        <v>#Get Error</v>
      </c>
      <c r="F32" s="17" t="str">
        <f>[3]!'WTX2N0;11950C`268'</f>
        <v>#Get Error</v>
      </c>
      <c r="G32" s="17" t="str">
        <f>[3]!'WTX2N0;11950C`205'</f>
        <v>#Get Error</v>
      </c>
      <c r="H32" s="19">
        <f t="shared" si="5"/>
        <v>0.6</v>
      </c>
      <c r="I32" s="19">
        <f t="shared" si="6"/>
        <v>0.6</v>
      </c>
      <c r="J32" s="18">
        <f>J31+50</f>
        <v>11950</v>
      </c>
      <c r="K32" s="17" t="str">
        <f>[3]!'WTX2N0;11950P`267'</f>
        <v>#Get Error</v>
      </c>
      <c r="L32" s="17" t="str">
        <f>[3]!'WTX2N0;11950P`268'</f>
        <v>#Get Error</v>
      </c>
      <c r="M32" s="17" t="str">
        <f>[3]!'WTX2N0;11950P`205'</f>
        <v>#Get Error</v>
      </c>
      <c r="N32" s="19">
        <f t="shared" si="7"/>
        <v>0.6</v>
      </c>
      <c r="O32" s="19">
        <f t="shared" si="8"/>
        <v>0.6</v>
      </c>
      <c r="P32" s="14" t="e">
        <f t="shared" si="9"/>
        <v>#VALUE!</v>
      </c>
      <c r="Q32" s="14">
        <v>0</v>
      </c>
      <c r="R32" s="14" t="e">
        <f t="shared" si="10"/>
        <v>#VALUE!</v>
      </c>
      <c r="S32" s="36" t="e">
        <f t="shared" si="11"/>
        <v>#VALUE!</v>
      </c>
      <c r="T32" s="36"/>
      <c r="U32" s="48" t="e">
        <f t="shared" si="12"/>
        <v>#VALUE!</v>
      </c>
      <c r="V32" s="48" t="e">
        <f t="shared" si="13"/>
        <v>#VALUE!</v>
      </c>
      <c r="W32" s="42"/>
      <c r="X32" s="52" t="e">
        <f>(GBSOption("C", X$9,#REF!,$O$2,#REF!,0, 0)*#REF!*50-#REF!*#REF!*50)+(GBSOption("P", X$9,#REF!,$O$2,#REF!,0, 0)*#REF!*50-#REF!*#REF!*50)</f>
        <v>#VALUE!</v>
      </c>
      <c r="Y32" s="52" t="e">
        <f>(GBSOption("C", Y$9,#REF!,$O$2,#REF!,0, 0)*#REF!*50-#REF!*#REF!*50)+(GBSOption("P", Y$9,#REF!,$O$2,#REF!,0, 0)*#REF!*50-#REF!*#REF!*50)</f>
        <v>#VALUE!</v>
      </c>
      <c r="Z32" s="52" t="e">
        <f>(GBSOption("C", Z$9,#REF!,$O$2,#REF!,0, 0)*#REF!*50-#REF!*#REF!*50)+(GBSOption("P", Z$9,#REF!,$O$2,#REF!,0, 0)*#REF!*50-#REF!*#REF!*50)</f>
        <v>#VALUE!</v>
      </c>
      <c r="AA32" s="52" t="e">
        <f>(GBSOption("C", AA$9,#REF!,$O$2,#REF!,0, 0)*#REF!*50-#REF!*#REF!*50)+(GBSOption("P", AA$9,#REF!,$O$2,#REF!,0, 0)*#REF!*50-#REF!*#REF!*50)</f>
        <v>#VALUE!</v>
      </c>
      <c r="AB32" s="52" t="e">
        <f>(GBSOption("C", AB$9,#REF!,$O$2,#REF!,0, 0)*#REF!*50-#REF!*#REF!*50)+(GBSOption("P", AB$9,#REF!,$O$2,#REF!,0, 0)*#REF!*50-#REF!*#REF!*50)</f>
        <v>#VALUE!</v>
      </c>
      <c r="AC32" s="52" t="e">
        <f>(GBSOption("C", AC$9,#REF!,$O$2,#REF!,0, 0)*#REF!*50-#REF!*#REF!*50)+(GBSOption("P", AC$9,#REF!,$O$2,#REF!,0, 0)*#REF!*50-#REF!*#REF!*50)</f>
        <v>#VALUE!</v>
      </c>
      <c r="AD32" s="52" t="e">
        <f>(GBSOption("C", AD$9,#REF!,$O$2,#REF!,0, 0)*#REF!*50-#REF!*#REF!*50)+(GBSOption("P", AD$9,#REF!,$O$2,#REF!,0, 0)*#REF!*50-#REF!*#REF!*50)</f>
        <v>#VALUE!</v>
      </c>
      <c r="AE32" s="52" t="e">
        <f>(GBSOption("C", AE$9,#REF!,$O$2,#REF!,0, 0)*#REF!*50-#REF!*#REF!*50)+(GBSOption("P", AE$9,#REF!,$O$2,#REF!,0, 0)*#REF!*50-#REF!*#REF!*50)</f>
        <v>#VALUE!</v>
      </c>
      <c r="AF32" s="52" t="e">
        <f>(GBSOption("C", AF$9,#REF!,$O$2,#REF!,0, 0)*#REF!*50-#REF!*#REF!*50)+(GBSOption("P", AF$9,#REF!,$O$2,#REF!,0, 0)*#REF!*50-#REF!*#REF!*50)</f>
        <v>#VALUE!</v>
      </c>
      <c r="AG32" s="52" t="e">
        <f>(GBSOption("C", AG$9,#REF!,$O$2,#REF!,0, 0)*#REF!*50-#REF!*#REF!*50)+(GBSOption("P", AG$9,#REF!,$O$2,#REF!,0, 0)*#REF!*50-#REF!*#REF!*50)</f>
        <v>#VALUE!</v>
      </c>
      <c r="AH32" s="52" t="e">
        <f>(GBSOption("C", AH$9,#REF!,$O$2,#REF!,0, 0)*#REF!*50-#REF!*#REF!*50)+(GBSOption("P", AH$9,#REF!,$O$2,#REF!,0, 0)*#REF!*50-#REF!*#REF!*50)</f>
        <v>#VALUE!</v>
      </c>
      <c r="AI32" s="52" t="e">
        <f>(GBSOption("C", AI$9,#REF!,$O$2,#REF!,0, 0)*#REF!*50-#REF!*#REF!*50)+(GBSOption("P", AI$9,#REF!,$O$2,#REF!,0, 0)*#REF!*50-#REF!*#REF!*50)</f>
        <v>#VALUE!</v>
      </c>
      <c r="AJ32" s="52" t="e">
        <f>(GBSOption("C", AJ$9,#REF!,$O$2,#REF!,0, 0)*#REF!*50-#REF!*#REF!*50)+(GBSOption("P", AJ$9,#REF!,$O$2,#REF!,0, 0)*#REF!*50-#REF!*#REF!*50)</f>
        <v>#VALUE!</v>
      </c>
      <c r="AK32" s="52" t="e">
        <f>(GBSOption("C", AK$9,#REF!,$O$2,#REF!,0, 0)*#REF!*50-#REF!*#REF!*50)+(GBSOption("P", AK$9,#REF!,$O$2,#REF!,0, 0)*#REF!*50-#REF!*#REF!*50)</f>
        <v>#VALUE!</v>
      </c>
      <c r="AL32" s="52" t="e">
        <f>(GBSOption("C", AL$9,#REF!,$O$2,#REF!,0, 0)*#REF!*50-#REF!*#REF!*50)+(GBSOption("P", AL$9,#REF!,$O$2,#REF!,0, 0)*#REF!*50-#REF!*#REF!*50)</f>
        <v>#VALUE!</v>
      </c>
      <c r="AM32" s="52" t="e">
        <f>(GBSOption("C", AM$9,#REF!,$O$2,#REF!,0, 0)*#REF!*50-#REF!*#REF!*50)+(GBSOption("P", AM$9,#REF!,$O$2,#REF!,0, 0)*#REF!*50-#REF!*#REF!*50)</f>
        <v>#VALUE!</v>
      </c>
      <c r="AN32" s="52" t="e">
        <f>(GBSOption("C", AN$9,#REF!,$O$2,#REF!,0, 0)*#REF!*50-#REF!*#REF!*50)+(GBSOption("P", AN$9,#REF!,$O$2,#REF!,0, 0)*#REF!*50-#REF!*#REF!*50)</f>
        <v>#VALUE!</v>
      </c>
    </row>
    <row r="33" spans="1:40" ht="17.25" thickBot="1" x14ac:dyDescent="0.3">
      <c r="A33" s="36" t="e">
        <f t="shared" ref="A33:A36" si="20">(GBSOption("C",$I$2,$J33, $N$2,$H33, 0,0)-GBSOption("C",$I$2,$J33, $O$2,$H33, 0,0))*$C33*50*-1</f>
        <v>#VALUE!</v>
      </c>
      <c r="B33" s="14" t="e">
        <f t="shared" si="3"/>
        <v>#VALUE!</v>
      </c>
      <c r="C33" s="14">
        <v>0</v>
      </c>
      <c r="D33" s="14" t="e">
        <f t="shared" si="4"/>
        <v>#VALUE!</v>
      </c>
      <c r="E33" s="17" t="str">
        <f>[3]!'WTX2N0;12000C`267'</f>
        <v>#Get Error</v>
      </c>
      <c r="F33" s="17" t="str">
        <f>[3]!'WTX2N0;12000C`268'</f>
        <v>#Get Error</v>
      </c>
      <c r="G33" s="17" t="str">
        <f>[3]!'WTX2N0;12000C`205'</f>
        <v>#Get Error</v>
      </c>
      <c r="H33" s="19">
        <f t="shared" si="5"/>
        <v>0.6</v>
      </c>
      <c r="I33" s="19">
        <f t="shared" si="6"/>
        <v>0.6</v>
      </c>
      <c r="J33" s="18">
        <f>J32+50</f>
        <v>12000</v>
      </c>
      <c r="K33" s="17" t="str">
        <f>[3]!'WTX2N0;12000P`267'</f>
        <v>#Get Error</v>
      </c>
      <c r="L33" s="17" t="str">
        <f>[3]!'WTX2N0;12000P`268'</f>
        <v>#Get Error</v>
      </c>
      <c r="M33" s="17" t="str">
        <f>[3]!'WTX2N0;12000P`205'</f>
        <v>#Get Error</v>
      </c>
      <c r="N33" s="19">
        <f t="shared" si="7"/>
        <v>0.6</v>
      </c>
      <c r="O33" s="19">
        <f t="shared" si="8"/>
        <v>0.6</v>
      </c>
      <c r="P33" s="14" t="e">
        <f t="shared" si="9"/>
        <v>#VALUE!</v>
      </c>
      <c r="Q33" s="14">
        <v>0</v>
      </c>
      <c r="R33" s="14" t="e">
        <f t="shared" si="10"/>
        <v>#VALUE!</v>
      </c>
      <c r="S33" s="36" t="e">
        <f t="shared" si="11"/>
        <v>#VALUE!</v>
      </c>
      <c r="T33" s="36"/>
      <c r="U33" s="48" t="e">
        <f t="shared" si="12"/>
        <v>#VALUE!</v>
      </c>
      <c r="V33" s="48" t="e">
        <f t="shared" si="13"/>
        <v>#VALUE!</v>
      </c>
      <c r="W33" s="42"/>
      <c r="X33" s="52" t="e">
        <f>(GBSOption("C", X$9,#REF!,$O$2,#REF!,0, 0)*#REF!*50-#REF!*#REF!*50)+(GBSOption("P", X$9,#REF!,$O$2,#REF!,0, 0)*#REF!*50-#REF!*#REF!*50)</f>
        <v>#VALUE!</v>
      </c>
      <c r="Y33" s="52" t="e">
        <f>(GBSOption("C", Y$9,#REF!,$O$2,#REF!,0, 0)*#REF!*50-#REF!*#REF!*50)+(GBSOption("P", Y$9,#REF!,$O$2,#REF!,0, 0)*#REF!*50-#REF!*#REF!*50)</f>
        <v>#VALUE!</v>
      </c>
      <c r="Z33" s="52" t="e">
        <f>(GBSOption("C", Z$9,#REF!,$O$2,#REF!,0, 0)*#REF!*50-#REF!*#REF!*50)+(GBSOption("P", Z$9,#REF!,$O$2,#REF!,0, 0)*#REF!*50-#REF!*#REF!*50)</f>
        <v>#VALUE!</v>
      </c>
      <c r="AA33" s="52" t="e">
        <f>(GBSOption("C", AA$9,#REF!,$O$2,#REF!,0, 0)*#REF!*50-#REF!*#REF!*50)+(GBSOption("P", AA$9,#REF!,$O$2,#REF!,0, 0)*#REF!*50-#REF!*#REF!*50)</f>
        <v>#VALUE!</v>
      </c>
      <c r="AB33" s="52" t="e">
        <f>(GBSOption("C", AB$9,#REF!,$O$2,#REF!,0, 0)*#REF!*50-#REF!*#REF!*50)+(GBSOption("P", AB$9,#REF!,$O$2,#REF!,0, 0)*#REF!*50-#REF!*#REF!*50)</f>
        <v>#VALUE!</v>
      </c>
      <c r="AC33" s="52" t="e">
        <f>(GBSOption("C", AC$9,#REF!,$O$2,#REF!,0, 0)*#REF!*50-#REF!*#REF!*50)+(GBSOption("P", AC$9,#REF!,$O$2,#REF!,0, 0)*#REF!*50-#REF!*#REF!*50)</f>
        <v>#VALUE!</v>
      </c>
      <c r="AD33" s="52" t="e">
        <f>(GBSOption("C", AD$9,#REF!,$O$2,#REF!,0, 0)*#REF!*50-#REF!*#REF!*50)+(GBSOption("P", AD$9,#REF!,$O$2,#REF!,0, 0)*#REF!*50-#REF!*#REF!*50)</f>
        <v>#VALUE!</v>
      </c>
      <c r="AE33" s="52" t="e">
        <f>(GBSOption("C", AE$9,#REF!,$O$2,#REF!,0, 0)*#REF!*50-#REF!*#REF!*50)+(GBSOption("P", AE$9,#REF!,$O$2,#REF!,0, 0)*#REF!*50-#REF!*#REF!*50)</f>
        <v>#VALUE!</v>
      </c>
      <c r="AF33" s="52" t="e">
        <f>(GBSOption("C", AF$9,#REF!,$O$2,#REF!,0, 0)*#REF!*50-#REF!*#REF!*50)+(GBSOption("P", AF$9,#REF!,$O$2,#REF!,0, 0)*#REF!*50-#REF!*#REF!*50)</f>
        <v>#VALUE!</v>
      </c>
      <c r="AG33" s="52" t="e">
        <f>(GBSOption("C", AG$9,#REF!,$O$2,#REF!,0, 0)*#REF!*50-#REF!*#REF!*50)+(GBSOption("P", AG$9,#REF!,$O$2,#REF!,0, 0)*#REF!*50-#REF!*#REF!*50)</f>
        <v>#VALUE!</v>
      </c>
      <c r="AH33" s="52" t="e">
        <f>(GBSOption("C", AH$9,#REF!,$O$2,#REF!,0, 0)*#REF!*50-#REF!*#REF!*50)+(GBSOption("P", AH$9,#REF!,$O$2,#REF!,0, 0)*#REF!*50-#REF!*#REF!*50)</f>
        <v>#VALUE!</v>
      </c>
      <c r="AI33" s="52" t="e">
        <f>(GBSOption("C", AI$9,#REF!,$O$2,#REF!,0, 0)*#REF!*50-#REF!*#REF!*50)+(GBSOption("P", AI$9,#REF!,$O$2,#REF!,0, 0)*#REF!*50-#REF!*#REF!*50)</f>
        <v>#VALUE!</v>
      </c>
      <c r="AJ33" s="52" t="e">
        <f>(GBSOption("C", AJ$9,#REF!,$O$2,#REF!,0, 0)*#REF!*50-#REF!*#REF!*50)+(GBSOption("P", AJ$9,#REF!,$O$2,#REF!,0, 0)*#REF!*50-#REF!*#REF!*50)</f>
        <v>#VALUE!</v>
      </c>
      <c r="AK33" s="52" t="e">
        <f>(GBSOption("C", AK$9,#REF!,$O$2,#REF!,0, 0)*#REF!*50-#REF!*#REF!*50)+(GBSOption("P", AK$9,#REF!,$O$2,#REF!,0, 0)*#REF!*50-#REF!*#REF!*50)</f>
        <v>#VALUE!</v>
      </c>
      <c r="AL33" s="52" t="e">
        <f>(GBSOption("C", AL$9,#REF!,$O$2,#REF!,0, 0)*#REF!*50-#REF!*#REF!*50)+(GBSOption("P", AL$9,#REF!,$O$2,#REF!,0, 0)*#REF!*50-#REF!*#REF!*50)</f>
        <v>#VALUE!</v>
      </c>
      <c r="AM33" s="52" t="e">
        <f>(GBSOption("C", AM$9,#REF!,$O$2,#REF!,0, 0)*#REF!*50-#REF!*#REF!*50)+(GBSOption("P", AM$9,#REF!,$O$2,#REF!,0, 0)*#REF!*50-#REF!*#REF!*50)</f>
        <v>#VALUE!</v>
      </c>
      <c r="AN33" s="52" t="e">
        <f>(GBSOption("C", AN$9,#REF!,$O$2,#REF!,0, 0)*#REF!*50-#REF!*#REF!*50)+(GBSOption("P", AN$9,#REF!,$O$2,#REF!,0, 0)*#REF!*50-#REF!*#REF!*50)</f>
        <v>#VALUE!</v>
      </c>
    </row>
    <row r="34" spans="1:40" ht="17.25" thickBot="1" x14ac:dyDescent="0.3">
      <c r="A34" s="36" t="e">
        <f t="shared" si="20"/>
        <v>#VALUE!</v>
      </c>
      <c r="B34" s="14" t="e">
        <f t="shared" si="3"/>
        <v>#VALUE!</v>
      </c>
      <c r="C34" s="14">
        <v>0</v>
      </c>
      <c r="D34" s="14" t="e">
        <f t="shared" si="4"/>
        <v>#VALUE!</v>
      </c>
      <c r="E34" s="17" t="str">
        <f>[3]!'WTX2N0;12100C`267'</f>
        <v>#Get Error</v>
      </c>
      <c r="F34" s="17" t="str">
        <f>[3]!'WTX2N0;12100C`268'</f>
        <v>#Get Error</v>
      </c>
      <c r="G34" s="17" t="str">
        <f>[3]!'WTX2N0;12100C`205'</f>
        <v>#Get Error</v>
      </c>
      <c r="H34" s="19">
        <f t="shared" si="5"/>
        <v>0.6</v>
      </c>
      <c r="I34" s="19">
        <f t="shared" si="6"/>
        <v>0.6</v>
      </c>
      <c r="J34" s="18">
        <f t="shared" ref="J34:J36" si="21">J33+100</f>
        <v>12100</v>
      </c>
      <c r="K34" s="17" t="str">
        <f>[3]!'WTX2N0;12100P`267'</f>
        <v>#Get Error</v>
      </c>
      <c r="L34" s="17" t="str">
        <f>[3]!'WTX2N0;12100P`268'</f>
        <v>#Get Error</v>
      </c>
      <c r="M34" s="17" t="str">
        <f>[3]!'WTX2N0;12100P`205'</f>
        <v>#Get Error</v>
      </c>
      <c r="N34" s="19">
        <f t="shared" si="7"/>
        <v>0.6</v>
      </c>
      <c r="O34" s="19">
        <f t="shared" si="8"/>
        <v>0.6</v>
      </c>
      <c r="P34" s="14" t="e">
        <f t="shared" si="9"/>
        <v>#VALUE!</v>
      </c>
      <c r="Q34" s="14">
        <v>0</v>
      </c>
      <c r="R34" s="14" t="e">
        <f t="shared" ref="R34:R36" si="22">GBSGreeks("d", "P",$I$2,$J34,$N$2,$N34, 0,0)*50*$I$2*Q34</f>
        <v>#VALUE!</v>
      </c>
      <c r="S34" s="36" t="e">
        <f t="shared" ref="S34:S36" si="23">(GBSOption("P",$I$2,$J34,$N$2,N34,0,0)-GBSOption("P",$I$2,$J34,$O$2,N34,0,0))*Q34*50*-1</f>
        <v>#VALUE!</v>
      </c>
      <c r="T34" s="36"/>
      <c r="U34" s="48" t="e">
        <f t="shared" si="12"/>
        <v>#VALUE!</v>
      </c>
      <c r="V34" s="48" t="e">
        <f t="shared" si="13"/>
        <v>#VALUE!</v>
      </c>
      <c r="W34" s="42"/>
      <c r="X34" s="52" t="e">
        <f>(GBSOption("C", X$9,#REF!,$O$2,#REF!,0, 0)*#REF!*50-#REF!*#REF!*50)+(GBSOption("P", X$9,#REF!,$O$2,#REF!,0, 0)*#REF!*50-#REF!*#REF!*50)</f>
        <v>#VALUE!</v>
      </c>
      <c r="Y34" s="52" t="e">
        <f>(GBSOption("C", Y$9,#REF!,$O$2,#REF!,0, 0)*#REF!*50-#REF!*#REF!*50)+(GBSOption("P", Y$9,#REF!,$O$2,#REF!,0, 0)*#REF!*50-#REF!*#REF!*50)</f>
        <v>#VALUE!</v>
      </c>
      <c r="Z34" s="52" t="e">
        <f>(GBSOption("C", Z$9,#REF!,$O$2,#REF!,0, 0)*#REF!*50-#REF!*#REF!*50)+(GBSOption("P", Z$9,#REF!,$O$2,#REF!,0, 0)*#REF!*50-#REF!*#REF!*50)</f>
        <v>#VALUE!</v>
      </c>
      <c r="AA34" s="52" t="e">
        <f>(GBSOption("C", AA$9,#REF!,$O$2,#REF!,0, 0)*#REF!*50-#REF!*#REF!*50)+(GBSOption("P", AA$9,#REF!,$O$2,#REF!,0, 0)*#REF!*50-#REF!*#REF!*50)</f>
        <v>#VALUE!</v>
      </c>
      <c r="AB34" s="52" t="e">
        <f>(GBSOption("C", AB$9,#REF!,$O$2,#REF!,0, 0)*#REF!*50-#REF!*#REF!*50)+(GBSOption("P", AB$9,#REF!,$O$2,#REF!,0, 0)*#REF!*50-#REF!*#REF!*50)</f>
        <v>#VALUE!</v>
      </c>
      <c r="AC34" s="52" t="e">
        <f>(GBSOption("C", AC$9,#REF!,$O$2,#REF!,0, 0)*#REF!*50-#REF!*#REF!*50)+(GBSOption("P", AC$9,#REF!,$O$2,#REF!,0, 0)*#REF!*50-#REF!*#REF!*50)</f>
        <v>#VALUE!</v>
      </c>
      <c r="AD34" s="52" t="e">
        <f>(GBSOption("C", AD$9,#REF!,$O$2,#REF!,0, 0)*#REF!*50-#REF!*#REF!*50)+(GBSOption("P", AD$9,#REF!,$O$2,#REF!,0, 0)*#REF!*50-#REF!*#REF!*50)</f>
        <v>#VALUE!</v>
      </c>
      <c r="AE34" s="52" t="e">
        <f>(GBSOption("C", AE$9,#REF!,$O$2,#REF!,0, 0)*#REF!*50-#REF!*#REF!*50)+(GBSOption("P", AE$9,#REF!,$O$2,#REF!,0, 0)*#REF!*50-#REF!*#REF!*50)</f>
        <v>#VALUE!</v>
      </c>
      <c r="AF34" s="52" t="e">
        <f>(GBSOption("C", AF$9,#REF!,$O$2,#REF!,0, 0)*#REF!*50-#REF!*#REF!*50)+(GBSOption("P", AF$9,#REF!,$O$2,#REF!,0, 0)*#REF!*50-#REF!*#REF!*50)</f>
        <v>#VALUE!</v>
      </c>
      <c r="AG34" s="52" t="e">
        <f>(GBSOption("C", AG$9,#REF!,$O$2,#REF!,0, 0)*#REF!*50-#REF!*#REF!*50)+(GBSOption("P", AG$9,#REF!,$O$2,#REF!,0, 0)*#REF!*50-#REF!*#REF!*50)</f>
        <v>#VALUE!</v>
      </c>
      <c r="AH34" s="52" t="e">
        <f>(GBSOption("C", AH$9,#REF!,$O$2,#REF!,0, 0)*#REF!*50-#REF!*#REF!*50)+(GBSOption("P", AH$9,#REF!,$O$2,#REF!,0, 0)*#REF!*50-#REF!*#REF!*50)</f>
        <v>#VALUE!</v>
      </c>
      <c r="AI34" s="52" t="e">
        <f>(GBSOption("C", AI$9,#REF!,$O$2,#REF!,0, 0)*#REF!*50-#REF!*#REF!*50)+(GBSOption("P", AI$9,#REF!,$O$2,#REF!,0, 0)*#REF!*50-#REF!*#REF!*50)</f>
        <v>#VALUE!</v>
      </c>
      <c r="AJ34" s="52" t="e">
        <f>(GBSOption("C", AJ$9,#REF!,$O$2,#REF!,0, 0)*#REF!*50-#REF!*#REF!*50)+(GBSOption("P", AJ$9,#REF!,$O$2,#REF!,0, 0)*#REF!*50-#REF!*#REF!*50)</f>
        <v>#VALUE!</v>
      </c>
      <c r="AK34" s="52" t="e">
        <f>(GBSOption("C", AK$9,#REF!,$O$2,#REF!,0, 0)*#REF!*50-#REF!*#REF!*50)+(GBSOption("P", AK$9,#REF!,$O$2,#REF!,0, 0)*#REF!*50-#REF!*#REF!*50)</f>
        <v>#VALUE!</v>
      </c>
      <c r="AL34" s="52" t="e">
        <f>(GBSOption("C", AL$9,#REF!,$O$2,#REF!,0, 0)*#REF!*50-#REF!*#REF!*50)+(GBSOption("P", AL$9,#REF!,$O$2,#REF!,0, 0)*#REF!*50-#REF!*#REF!*50)</f>
        <v>#VALUE!</v>
      </c>
      <c r="AM34" s="52" t="e">
        <f>(GBSOption("C", AM$9,#REF!,$O$2,#REF!,0, 0)*#REF!*50-#REF!*#REF!*50)+(GBSOption("P", AM$9,#REF!,$O$2,#REF!,0, 0)*#REF!*50-#REF!*#REF!*50)</f>
        <v>#VALUE!</v>
      </c>
      <c r="AN34" s="52" t="e">
        <f>(GBSOption("C", AN$9,#REF!,$O$2,#REF!,0, 0)*#REF!*50-#REF!*#REF!*50)+(GBSOption("P", AN$9,#REF!,$O$2,#REF!,0, 0)*#REF!*50-#REF!*#REF!*50)</f>
        <v>#VALUE!</v>
      </c>
    </row>
    <row r="35" spans="1:40" ht="17.25" thickBot="1" x14ac:dyDescent="0.3">
      <c r="A35" s="36" t="e">
        <f t="shared" si="20"/>
        <v>#VALUE!</v>
      </c>
      <c r="B35" s="14" t="e">
        <f t="shared" si="3"/>
        <v>#VALUE!</v>
      </c>
      <c r="C35" s="14">
        <v>0</v>
      </c>
      <c r="D35" s="14" t="e">
        <f t="shared" si="4"/>
        <v>#VALUE!</v>
      </c>
      <c r="E35" s="17" t="str">
        <f>[3]!'WTX2N0;12200C`267'</f>
        <v>#Get Error</v>
      </c>
      <c r="F35" s="17" t="str">
        <f>[3]!'WTX2N0;12200C`268'</f>
        <v>#Get Error</v>
      </c>
      <c r="G35" s="17" t="str">
        <f>[3]!'WTX2N0;12200C`205'</f>
        <v>#Get Error</v>
      </c>
      <c r="H35" s="19">
        <f t="shared" si="5"/>
        <v>0.6</v>
      </c>
      <c r="I35" s="19">
        <f t="shared" si="6"/>
        <v>0.6</v>
      </c>
      <c r="J35" s="18">
        <f t="shared" si="21"/>
        <v>12200</v>
      </c>
      <c r="K35" s="17" t="str">
        <f>[3]!'WTX2N0;12200P`267'</f>
        <v>#Get Error</v>
      </c>
      <c r="L35" s="17" t="str">
        <f>[3]!'WTX2N0;12200P`268'</f>
        <v>#Get Error</v>
      </c>
      <c r="M35" s="17" t="str">
        <f>[3]!'WTX2N0;12200P`205'</f>
        <v>#Get Error</v>
      </c>
      <c r="N35" s="19">
        <f t="shared" si="7"/>
        <v>0.6</v>
      </c>
      <c r="O35" s="19">
        <f t="shared" si="8"/>
        <v>0.6</v>
      </c>
      <c r="P35" s="14" t="e">
        <f t="shared" si="9"/>
        <v>#VALUE!</v>
      </c>
      <c r="Q35" s="14">
        <v>0</v>
      </c>
      <c r="R35" s="14" t="e">
        <f t="shared" si="22"/>
        <v>#VALUE!</v>
      </c>
      <c r="S35" s="36" t="e">
        <f t="shared" si="23"/>
        <v>#VALUE!</v>
      </c>
      <c r="T35" s="36"/>
      <c r="U35" s="48" t="e">
        <f t="shared" si="12"/>
        <v>#VALUE!</v>
      </c>
      <c r="V35" s="48" t="e">
        <f t="shared" si="13"/>
        <v>#VALUE!</v>
      </c>
      <c r="W35" s="42"/>
      <c r="X35" s="52" t="e">
        <f>(GBSOption("C", X$9,#REF!,$O$2,#REF!,0, 0)*#REF!*50-#REF!*#REF!*50)+(GBSOption("P", X$9,#REF!,$O$2,#REF!,0, 0)*#REF!*50-#REF!*#REF!*50)</f>
        <v>#VALUE!</v>
      </c>
      <c r="Y35" s="52" t="e">
        <f>(GBSOption("C", Y$9,#REF!,$O$2,#REF!,0, 0)*#REF!*50-#REF!*#REF!*50)+(GBSOption("P", Y$9,#REF!,$O$2,#REF!,0, 0)*#REF!*50-#REF!*#REF!*50)</f>
        <v>#VALUE!</v>
      </c>
      <c r="Z35" s="52" t="e">
        <f>(GBSOption("C", Z$9,#REF!,$O$2,#REF!,0, 0)*#REF!*50-#REF!*#REF!*50)+(GBSOption("P", Z$9,#REF!,$O$2,#REF!,0, 0)*#REF!*50-#REF!*#REF!*50)</f>
        <v>#VALUE!</v>
      </c>
      <c r="AA35" s="52" t="e">
        <f>(GBSOption("C", AA$9,#REF!,$O$2,#REF!,0, 0)*#REF!*50-#REF!*#REF!*50)+(GBSOption("P", AA$9,#REF!,$O$2,#REF!,0, 0)*#REF!*50-#REF!*#REF!*50)</f>
        <v>#VALUE!</v>
      </c>
      <c r="AB35" s="52" t="e">
        <f>(GBSOption("C", AB$9,#REF!,$O$2,#REF!,0, 0)*#REF!*50-#REF!*#REF!*50)+(GBSOption("P", AB$9,#REF!,$O$2,#REF!,0, 0)*#REF!*50-#REF!*#REF!*50)</f>
        <v>#VALUE!</v>
      </c>
      <c r="AC35" s="52" t="e">
        <f>(GBSOption("C", AC$9,#REF!,$O$2,#REF!,0, 0)*#REF!*50-#REF!*#REF!*50)+(GBSOption("P", AC$9,#REF!,$O$2,#REF!,0, 0)*#REF!*50-#REF!*#REF!*50)</f>
        <v>#VALUE!</v>
      </c>
      <c r="AD35" s="52" t="e">
        <f>(GBSOption("C", AD$9,#REF!,$O$2,#REF!,0, 0)*#REF!*50-#REF!*#REF!*50)+(GBSOption("P", AD$9,#REF!,$O$2,#REF!,0, 0)*#REF!*50-#REF!*#REF!*50)</f>
        <v>#VALUE!</v>
      </c>
      <c r="AE35" s="52" t="e">
        <f>(GBSOption("C", AE$9,#REF!,$O$2,#REF!,0, 0)*#REF!*50-#REF!*#REF!*50)+(GBSOption("P", AE$9,#REF!,$O$2,#REF!,0, 0)*#REF!*50-#REF!*#REF!*50)</f>
        <v>#VALUE!</v>
      </c>
      <c r="AF35" s="52" t="e">
        <f>(GBSOption("C", AF$9,#REF!,$O$2,#REF!,0, 0)*#REF!*50-#REF!*#REF!*50)+(GBSOption("P", AF$9,#REF!,$O$2,#REF!,0, 0)*#REF!*50-#REF!*#REF!*50)</f>
        <v>#VALUE!</v>
      </c>
      <c r="AG35" s="52" t="e">
        <f>(GBSOption("C", AG$9,#REF!,$O$2,#REF!,0, 0)*#REF!*50-#REF!*#REF!*50)+(GBSOption("P", AG$9,#REF!,$O$2,#REF!,0, 0)*#REF!*50-#REF!*#REF!*50)</f>
        <v>#VALUE!</v>
      </c>
      <c r="AH35" s="52" t="e">
        <f>(GBSOption("C", AH$9,#REF!,$O$2,#REF!,0, 0)*#REF!*50-#REF!*#REF!*50)+(GBSOption("P", AH$9,#REF!,$O$2,#REF!,0, 0)*#REF!*50-#REF!*#REF!*50)</f>
        <v>#VALUE!</v>
      </c>
      <c r="AI35" s="52" t="e">
        <f>(GBSOption("C", AI$9,#REF!,$O$2,#REF!,0, 0)*#REF!*50-#REF!*#REF!*50)+(GBSOption("P", AI$9,#REF!,$O$2,#REF!,0, 0)*#REF!*50-#REF!*#REF!*50)</f>
        <v>#VALUE!</v>
      </c>
      <c r="AJ35" s="52" t="e">
        <f>(GBSOption("C", AJ$9,#REF!,$O$2,#REF!,0, 0)*#REF!*50-#REF!*#REF!*50)+(GBSOption("P", AJ$9,#REF!,$O$2,#REF!,0, 0)*#REF!*50-#REF!*#REF!*50)</f>
        <v>#VALUE!</v>
      </c>
      <c r="AK35" s="52" t="e">
        <f>(GBSOption("C", AK$9,#REF!,$O$2,#REF!,0, 0)*#REF!*50-#REF!*#REF!*50)+(GBSOption("P", AK$9,#REF!,$O$2,#REF!,0, 0)*#REF!*50-#REF!*#REF!*50)</f>
        <v>#VALUE!</v>
      </c>
      <c r="AL35" s="52" t="e">
        <f>(GBSOption("C", AL$9,#REF!,$O$2,#REF!,0, 0)*#REF!*50-#REF!*#REF!*50)+(GBSOption("P", AL$9,#REF!,$O$2,#REF!,0, 0)*#REF!*50-#REF!*#REF!*50)</f>
        <v>#VALUE!</v>
      </c>
      <c r="AM35" s="52" t="e">
        <f>(GBSOption("C", AM$9,#REF!,$O$2,#REF!,0, 0)*#REF!*50-#REF!*#REF!*50)+(GBSOption("P", AM$9,#REF!,$O$2,#REF!,0, 0)*#REF!*50-#REF!*#REF!*50)</f>
        <v>#VALUE!</v>
      </c>
      <c r="AN35" s="52" t="e">
        <f>(GBSOption("C", AN$9,#REF!,$O$2,#REF!,0, 0)*#REF!*50-#REF!*#REF!*50)+(GBSOption("P", AN$9,#REF!,$O$2,#REF!,0, 0)*#REF!*50-#REF!*#REF!*50)</f>
        <v>#VALUE!</v>
      </c>
    </row>
    <row r="36" spans="1:40" ht="17.25" thickBot="1" x14ac:dyDescent="0.3">
      <c r="A36" s="36" t="e">
        <f t="shared" si="20"/>
        <v>#VALUE!</v>
      </c>
      <c r="B36" s="14" t="e">
        <f t="shared" si="3"/>
        <v>#VALUE!</v>
      </c>
      <c r="C36" s="14">
        <v>0</v>
      </c>
      <c r="D36" s="14" t="e">
        <f t="shared" si="4"/>
        <v>#VALUE!</v>
      </c>
      <c r="E36" s="17" t="str">
        <f>[3]!'WTX2N0;12300C`267'</f>
        <v>#Get Error</v>
      </c>
      <c r="F36" s="17" t="str">
        <f>[3]!'WTX2N0;12300C`268'</f>
        <v>#Get Error</v>
      </c>
      <c r="G36" s="17" t="str">
        <f>[3]!'WTX2N0;12300C`205'</f>
        <v>#Get Error</v>
      </c>
      <c r="H36" s="19">
        <f t="shared" si="5"/>
        <v>0.6</v>
      </c>
      <c r="I36" s="19">
        <f t="shared" si="6"/>
        <v>0.6</v>
      </c>
      <c r="J36" s="18">
        <f t="shared" si="21"/>
        <v>12300</v>
      </c>
      <c r="K36" s="17" t="str">
        <f>[3]!'WTX2N0;12300P`267'</f>
        <v>#Get Error</v>
      </c>
      <c r="L36" s="17" t="str">
        <f>[3]!'WTX2N0;12300P`268'</f>
        <v>#Get Error</v>
      </c>
      <c r="M36" s="17" t="str">
        <f>[3]!'WTX2N0;12300P`205'</f>
        <v>#Get Error</v>
      </c>
      <c r="N36" s="19">
        <f t="shared" si="7"/>
        <v>0.6</v>
      </c>
      <c r="O36" s="19">
        <f t="shared" si="8"/>
        <v>0.6</v>
      </c>
      <c r="P36" s="14" t="e">
        <f t="shared" si="9"/>
        <v>#VALUE!</v>
      </c>
      <c r="Q36" s="14">
        <v>0</v>
      </c>
      <c r="R36" s="14" t="e">
        <f t="shared" si="22"/>
        <v>#VALUE!</v>
      </c>
      <c r="S36" s="36" t="e">
        <f t="shared" si="23"/>
        <v>#VALUE!</v>
      </c>
      <c r="T36" s="36"/>
      <c r="U36" s="48" t="e">
        <f t="shared" si="12"/>
        <v>#VALUE!</v>
      </c>
      <c r="V36" s="48" t="e">
        <f t="shared" si="13"/>
        <v>#VALUE!</v>
      </c>
      <c r="W36" s="42"/>
      <c r="X36" s="52" t="e">
        <f>(GBSOption("C", X$9,#REF!,$O$2,#REF!,0, 0)*#REF!*50-#REF!*#REF!*50)+(GBSOption("P", X$9,#REF!,$O$2,#REF!,0, 0)*#REF!*50-#REF!*#REF!*50)</f>
        <v>#VALUE!</v>
      </c>
      <c r="Y36" s="52" t="e">
        <f>(GBSOption("C", Y$9,#REF!,$O$2,#REF!,0, 0)*#REF!*50-#REF!*#REF!*50)+(GBSOption("P", Y$9,#REF!,$O$2,#REF!,0, 0)*#REF!*50-#REF!*#REF!*50)</f>
        <v>#VALUE!</v>
      </c>
      <c r="Z36" s="52" t="e">
        <f>(GBSOption("C", Z$9,#REF!,$O$2,#REF!,0, 0)*#REF!*50-#REF!*#REF!*50)+(GBSOption("P", Z$9,#REF!,$O$2,#REF!,0, 0)*#REF!*50-#REF!*#REF!*50)</f>
        <v>#VALUE!</v>
      </c>
      <c r="AA36" s="52" t="e">
        <f>(GBSOption("C", AA$9,#REF!,$O$2,#REF!,0, 0)*#REF!*50-#REF!*#REF!*50)+(GBSOption("P", AA$9,#REF!,$O$2,#REF!,0, 0)*#REF!*50-#REF!*#REF!*50)</f>
        <v>#VALUE!</v>
      </c>
      <c r="AB36" s="52" t="e">
        <f>(GBSOption("C", AB$9,#REF!,$O$2,#REF!,0, 0)*#REF!*50-#REF!*#REF!*50)+(GBSOption("P", AB$9,#REF!,$O$2,#REF!,0, 0)*#REF!*50-#REF!*#REF!*50)</f>
        <v>#VALUE!</v>
      </c>
      <c r="AC36" s="52" t="e">
        <f>(GBSOption("C", AC$9,#REF!,$O$2,#REF!,0, 0)*#REF!*50-#REF!*#REF!*50)+(GBSOption("P", AC$9,#REF!,$O$2,#REF!,0, 0)*#REF!*50-#REF!*#REF!*50)</f>
        <v>#VALUE!</v>
      </c>
      <c r="AD36" s="52" t="e">
        <f>(GBSOption("C", AD$9,#REF!,$O$2,#REF!,0, 0)*#REF!*50-#REF!*#REF!*50)+(GBSOption("P", AD$9,#REF!,$O$2,#REF!,0, 0)*#REF!*50-#REF!*#REF!*50)</f>
        <v>#VALUE!</v>
      </c>
      <c r="AE36" s="52" t="e">
        <f>(GBSOption("C", AE$9,#REF!,$O$2,#REF!,0, 0)*#REF!*50-#REF!*#REF!*50)+(GBSOption("P", AE$9,#REF!,$O$2,#REF!,0, 0)*#REF!*50-#REF!*#REF!*50)</f>
        <v>#VALUE!</v>
      </c>
      <c r="AF36" s="52" t="e">
        <f>(GBSOption("C", AF$9,#REF!,$O$2,#REF!,0, 0)*#REF!*50-#REF!*#REF!*50)+(GBSOption("P", AF$9,#REF!,$O$2,#REF!,0, 0)*#REF!*50-#REF!*#REF!*50)</f>
        <v>#VALUE!</v>
      </c>
      <c r="AG36" s="52" t="e">
        <f>(GBSOption("C", AG$9,#REF!,$O$2,#REF!,0, 0)*#REF!*50-#REF!*#REF!*50)+(GBSOption("P", AG$9,#REF!,$O$2,#REF!,0, 0)*#REF!*50-#REF!*#REF!*50)</f>
        <v>#VALUE!</v>
      </c>
      <c r="AH36" s="52" t="e">
        <f>(GBSOption("C", AH$9,#REF!,$O$2,#REF!,0, 0)*#REF!*50-#REF!*#REF!*50)+(GBSOption("P", AH$9,#REF!,$O$2,#REF!,0, 0)*#REF!*50-#REF!*#REF!*50)</f>
        <v>#VALUE!</v>
      </c>
      <c r="AI36" s="52" t="e">
        <f>(GBSOption("C", AI$9,#REF!,$O$2,#REF!,0, 0)*#REF!*50-#REF!*#REF!*50)+(GBSOption("P", AI$9,#REF!,$O$2,#REF!,0, 0)*#REF!*50-#REF!*#REF!*50)</f>
        <v>#VALUE!</v>
      </c>
      <c r="AJ36" s="52" t="e">
        <f>(GBSOption("C", AJ$9,#REF!,$O$2,#REF!,0, 0)*#REF!*50-#REF!*#REF!*50)+(GBSOption("P", AJ$9,#REF!,$O$2,#REF!,0, 0)*#REF!*50-#REF!*#REF!*50)</f>
        <v>#VALUE!</v>
      </c>
      <c r="AK36" s="52" t="e">
        <f>(GBSOption("C", AK$9,#REF!,$O$2,#REF!,0, 0)*#REF!*50-#REF!*#REF!*50)+(GBSOption("P", AK$9,#REF!,$O$2,#REF!,0, 0)*#REF!*50-#REF!*#REF!*50)</f>
        <v>#VALUE!</v>
      </c>
      <c r="AL36" s="52" t="e">
        <f>(GBSOption("C", AL$9,#REF!,$O$2,#REF!,0, 0)*#REF!*50-#REF!*#REF!*50)+(GBSOption("P", AL$9,#REF!,$O$2,#REF!,0, 0)*#REF!*50-#REF!*#REF!*50)</f>
        <v>#VALUE!</v>
      </c>
      <c r="AM36" s="52" t="e">
        <f>(GBSOption("C", AM$9,#REF!,$O$2,#REF!,0, 0)*#REF!*50-#REF!*#REF!*50)+(GBSOption("P", AM$9,#REF!,$O$2,#REF!,0, 0)*#REF!*50-#REF!*#REF!*50)</f>
        <v>#VALUE!</v>
      </c>
      <c r="AN36" s="52" t="e">
        <f>(GBSOption("C", AN$9,#REF!,$O$2,#REF!,0, 0)*#REF!*50-#REF!*#REF!*50)+(GBSOption("P", AN$9,#REF!,$O$2,#REF!,0, 0)*#REF!*50-#REF!*#REF!*50)</f>
        <v>#VALUE!</v>
      </c>
    </row>
    <row r="37" spans="1:40" ht="17.25" thickBot="1" x14ac:dyDescent="0.3">
      <c r="A37" s="36"/>
      <c r="B37" s="14"/>
      <c r="C37" s="14"/>
      <c r="D37" s="14"/>
      <c r="E37" s="17"/>
      <c r="F37" s="17"/>
      <c r="G37" s="17"/>
      <c r="H37" s="19"/>
      <c r="I37" s="19"/>
      <c r="J37" s="18"/>
      <c r="K37" s="17"/>
      <c r="L37" s="17"/>
      <c r="M37" s="17"/>
      <c r="N37" s="19"/>
      <c r="O37" s="19"/>
      <c r="P37" s="14"/>
      <c r="Q37" s="14"/>
      <c r="R37" s="14"/>
      <c r="S37" s="36"/>
      <c r="T37" s="36"/>
      <c r="U37" s="48" t="e">
        <f t="shared" si="12"/>
        <v>#VALUE!</v>
      </c>
      <c r="V37" s="48" t="e">
        <f t="shared" si="13"/>
        <v>#VALUE!</v>
      </c>
      <c r="W37" s="42"/>
      <c r="X37" s="52" t="e">
        <f>(GBSOption("C", X$9,#REF!,$O$2,#REF!,0, 0)*#REF!*50-#REF!*#REF!*50)+(GBSOption("P", X$9,#REF!,$O$2,#REF!,0, 0)*#REF!*50-#REF!*#REF!*50)</f>
        <v>#VALUE!</v>
      </c>
      <c r="Y37" s="52" t="e">
        <f>(GBSOption("C", Y$9,#REF!,$O$2,#REF!,0, 0)*#REF!*50-#REF!*#REF!*50)+(GBSOption("P", Y$9,#REF!,$O$2,#REF!,0, 0)*#REF!*50-#REF!*#REF!*50)</f>
        <v>#VALUE!</v>
      </c>
      <c r="Z37" s="52" t="e">
        <f>(GBSOption("C", Z$9,#REF!,$O$2,#REF!,0, 0)*#REF!*50-#REF!*#REF!*50)+(GBSOption("P", Z$9,#REF!,$O$2,#REF!,0, 0)*#REF!*50-#REF!*#REF!*50)</f>
        <v>#VALUE!</v>
      </c>
      <c r="AA37" s="52" t="e">
        <f>(GBSOption("C", AA$9,#REF!,$O$2,#REF!,0, 0)*#REF!*50-#REF!*#REF!*50)+(GBSOption("P", AA$9,#REF!,$O$2,#REF!,0, 0)*#REF!*50-#REF!*#REF!*50)</f>
        <v>#VALUE!</v>
      </c>
      <c r="AB37" s="52" t="e">
        <f>(GBSOption("C", AB$9,#REF!,$O$2,#REF!,0, 0)*#REF!*50-#REF!*#REF!*50)+(GBSOption("P", AB$9,#REF!,$O$2,#REF!,0, 0)*#REF!*50-#REF!*#REF!*50)</f>
        <v>#VALUE!</v>
      </c>
      <c r="AC37" s="52" t="e">
        <f>(GBSOption("C", AC$9,#REF!,$O$2,#REF!,0, 0)*#REF!*50-#REF!*#REF!*50)+(GBSOption("P", AC$9,#REF!,$O$2,#REF!,0, 0)*#REF!*50-#REF!*#REF!*50)</f>
        <v>#VALUE!</v>
      </c>
      <c r="AD37" s="52" t="e">
        <f>(GBSOption("C", AD$9,#REF!,$O$2,#REF!,0, 0)*#REF!*50-#REF!*#REF!*50)+(GBSOption("P", AD$9,#REF!,$O$2,#REF!,0, 0)*#REF!*50-#REF!*#REF!*50)</f>
        <v>#VALUE!</v>
      </c>
      <c r="AE37" s="52" t="e">
        <f>(GBSOption("C", AE$9,#REF!,$O$2,#REF!,0, 0)*#REF!*50-#REF!*#REF!*50)+(GBSOption("P", AE$9,#REF!,$O$2,#REF!,0, 0)*#REF!*50-#REF!*#REF!*50)</f>
        <v>#VALUE!</v>
      </c>
      <c r="AF37" s="52" t="e">
        <f>(GBSOption("C", AF$9,#REF!,$O$2,#REF!,0, 0)*#REF!*50-#REF!*#REF!*50)+(GBSOption("P", AF$9,#REF!,$O$2,#REF!,0, 0)*#REF!*50-#REF!*#REF!*50)</f>
        <v>#VALUE!</v>
      </c>
      <c r="AG37" s="52" t="e">
        <f>(GBSOption("C", AG$9,#REF!,$O$2,#REF!,0, 0)*#REF!*50-#REF!*#REF!*50)+(GBSOption("P", AG$9,#REF!,$O$2,#REF!,0, 0)*#REF!*50-#REF!*#REF!*50)</f>
        <v>#VALUE!</v>
      </c>
      <c r="AH37" s="52" t="e">
        <f>(GBSOption("C", AH$9,#REF!,$O$2,#REF!,0, 0)*#REF!*50-#REF!*#REF!*50)+(GBSOption("P", AH$9,#REF!,$O$2,#REF!,0, 0)*#REF!*50-#REF!*#REF!*50)</f>
        <v>#VALUE!</v>
      </c>
      <c r="AI37" s="52" t="e">
        <f>(GBSOption("C", AI$9,#REF!,$O$2,#REF!,0, 0)*#REF!*50-#REF!*#REF!*50)+(GBSOption("P", AI$9,#REF!,$O$2,#REF!,0, 0)*#REF!*50-#REF!*#REF!*50)</f>
        <v>#VALUE!</v>
      </c>
      <c r="AJ37" s="52" t="e">
        <f>(GBSOption("C", AJ$9,#REF!,$O$2,#REF!,0, 0)*#REF!*50-#REF!*#REF!*50)+(GBSOption("P", AJ$9,#REF!,$O$2,#REF!,0, 0)*#REF!*50-#REF!*#REF!*50)</f>
        <v>#VALUE!</v>
      </c>
      <c r="AK37" s="52" t="e">
        <f>(GBSOption("C", AK$9,#REF!,$O$2,#REF!,0, 0)*#REF!*50-#REF!*#REF!*50)+(GBSOption("P", AK$9,#REF!,$O$2,#REF!,0, 0)*#REF!*50-#REF!*#REF!*50)</f>
        <v>#VALUE!</v>
      </c>
      <c r="AL37" s="52" t="e">
        <f>(GBSOption("C", AL$9,#REF!,$O$2,#REF!,0, 0)*#REF!*50-#REF!*#REF!*50)+(GBSOption("P", AL$9,#REF!,$O$2,#REF!,0, 0)*#REF!*50-#REF!*#REF!*50)</f>
        <v>#VALUE!</v>
      </c>
      <c r="AM37" s="52" t="e">
        <f>(GBSOption("C", AM$9,#REF!,$O$2,#REF!,0, 0)*#REF!*50-#REF!*#REF!*50)+(GBSOption("P", AM$9,#REF!,$O$2,#REF!,0, 0)*#REF!*50-#REF!*#REF!*50)</f>
        <v>#VALUE!</v>
      </c>
      <c r="AN37" s="52" t="e">
        <f>(GBSOption("C", AN$9,#REF!,$O$2,#REF!,0, 0)*#REF!*50-#REF!*#REF!*50)+(GBSOption("P", AN$9,#REF!,$O$2,#REF!,0, 0)*#REF!*50-#REF!*#REF!*50)</f>
        <v>#VALUE!</v>
      </c>
    </row>
    <row r="38" spans="1:40" ht="17.25" thickBot="1" x14ac:dyDescent="0.3">
      <c r="A38" s="36"/>
      <c r="B38" s="14"/>
      <c r="C38" s="14"/>
      <c r="D38" s="14"/>
      <c r="E38" s="17"/>
      <c r="F38" s="17"/>
      <c r="G38" s="17"/>
      <c r="H38" s="19"/>
      <c r="I38" s="19"/>
      <c r="J38" s="18"/>
      <c r="K38" s="17"/>
      <c r="L38" s="17"/>
      <c r="M38" s="17"/>
      <c r="N38" s="19"/>
      <c r="O38" s="19"/>
      <c r="P38" s="14"/>
      <c r="Q38" s="14"/>
      <c r="R38" s="14"/>
      <c r="S38" s="36"/>
      <c r="T38" s="36"/>
      <c r="U38" s="48" t="e">
        <f t="shared" si="12"/>
        <v>#VALUE!</v>
      </c>
      <c r="V38" s="48" t="e">
        <f t="shared" si="13"/>
        <v>#VALUE!</v>
      </c>
      <c r="W38" s="42"/>
      <c r="X38" s="52" t="e">
        <f>(GBSOption("C", X$9,#REF!,$O$2,#REF!,0, 0)*#REF!*50-#REF!*#REF!*50)+(GBSOption("P", X$9,#REF!,$O$2,#REF!,0, 0)*#REF!*50-#REF!*#REF!*50)</f>
        <v>#VALUE!</v>
      </c>
      <c r="Y38" s="52" t="e">
        <f>(GBSOption("C", Y$9,#REF!,$O$2,#REF!,0, 0)*#REF!*50-#REF!*#REF!*50)+(GBSOption("P", Y$9,#REF!,$O$2,#REF!,0, 0)*#REF!*50-#REF!*#REF!*50)</f>
        <v>#VALUE!</v>
      </c>
      <c r="Z38" s="52" t="e">
        <f>(GBSOption("C", Z$9,#REF!,$O$2,#REF!,0, 0)*#REF!*50-#REF!*#REF!*50)+(GBSOption("P", Z$9,#REF!,$O$2,#REF!,0, 0)*#REF!*50-#REF!*#REF!*50)</f>
        <v>#VALUE!</v>
      </c>
      <c r="AA38" s="52" t="e">
        <f>(GBSOption("C", AA$9,#REF!,$O$2,#REF!,0, 0)*#REF!*50-#REF!*#REF!*50)+(GBSOption("P", AA$9,#REF!,$O$2,#REF!,0, 0)*#REF!*50-#REF!*#REF!*50)</f>
        <v>#VALUE!</v>
      </c>
      <c r="AB38" s="52" t="e">
        <f>(GBSOption("C", AB$9,#REF!,$O$2,#REF!,0, 0)*#REF!*50-#REF!*#REF!*50)+(GBSOption("P", AB$9,#REF!,$O$2,#REF!,0, 0)*#REF!*50-#REF!*#REF!*50)</f>
        <v>#VALUE!</v>
      </c>
      <c r="AC38" s="52" t="e">
        <f>(GBSOption("C", AC$9,#REF!,$O$2,#REF!,0, 0)*#REF!*50-#REF!*#REF!*50)+(GBSOption("P", AC$9,#REF!,$O$2,#REF!,0, 0)*#REF!*50-#REF!*#REF!*50)</f>
        <v>#VALUE!</v>
      </c>
      <c r="AD38" s="52" t="e">
        <f>(GBSOption("C", AD$9,#REF!,$O$2,#REF!,0, 0)*#REF!*50-#REF!*#REF!*50)+(GBSOption("P", AD$9,#REF!,$O$2,#REF!,0, 0)*#REF!*50-#REF!*#REF!*50)</f>
        <v>#VALUE!</v>
      </c>
      <c r="AE38" s="52" t="e">
        <f>(GBSOption("C", AE$9,#REF!,$O$2,#REF!,0, 0)*#REF!*50-#REF!*#REF!*50)+(GBSOption("P", AE$9,#REF!,$O$2,#REF!,0, 0)*#REF!*50-#REF!*#REF!*50)</f>
        <v>#VALUE!</v>
      </c>
      <c r="AF38" s="52" t="e">
        <f>(GBSOption("C", AF$9,#REF!,$O$2,#REF!,0, 0)*#REF!*50-#REF!*#REF!*50)+(GBSOption("P", AF$9,#REF!,$O$2,#REF!,0, 0)*#REF!*50-#REF!*#REF!*50)</f>
        <v>#VALUE!</v>
      </c>
      <c r="AG38" s="52" t="e">
        <f>(GBSOption("C", AG$9,#REF!,$O$2,#REF!,0, 0)*#REF!*50-#REF!*#REF!*50)+(GBSOption("P", AG$9,#REF!,$O$2,#REF!,0, 0)*#REF!*50-#REF!*#REF!*50)</f>
        <v>#VALUE!</v>
      </c>
      <c r="AH38" s="52" t="e">
        <f>(GBSOption("C", AH$9,#REF!,$O$2,#REF!,0, 0)*#REF!*50-#REF!*#REF!*50)+(GBSOption("P", AH$9,#REF!,$O$2,#REF!,0, 0)*#REF!*50-#REF!*#REF!*50)</f>
        <v>#VALUE!</v>
      </c>
      <c r="AI38" s="52" t="e">
        <f>(GBSOption("C", AI$9,#REF!,$O$2,#REF!,0, 0)*#REF!*50-#REF!*#REF!*50)+(GBSOption("P", AI$9,#REF!,$O$2,#REF!,0, 0)*#REF!*50-#REF!*#REF!*50)</f>
        <v>#VALUE!</v>
      </c>
      <c r="AJ38" s="52" t="e">
        <f>(GBSOption("C", AJ$9,#REF!,$O$2,#REF!,0, 0)*#REF!*50-#REF!*#REF!*50)+(GBSOption("P", AJ$9,#REF!,$O$2,#REF!,0, 0)*#REF!*50-#REF!*#REF!*50)</f>
        <v>#VALUE!</v>
      </c>
      <c r="AK38" s="52" t="e">
        <f>(GBSOption("C", AK$9,#REF!,$O$2,#REF!,0, 0)*#REF!*50-#REF!*#REF!*50)+(GBSOption("P", AK$9,#REF!,$O$2,#REF!,0, 0)*#REF!*50-#REF!*#REF!*50)</f>
        <v>#VALUE!</v>
      </c>
      <c r="AL38" s="52" t="e">
        <f>(GBSOption("C", AL$9,#REF!,$O$2,#REF!,0, 0)*#REF!*50-#REF!*#REF!*50)+(GBSOption("P", AL$9,#REF!,$O$2,#REF!,0, 0)*#REF!*50-#REF!*#REF!*50)</f>
        <v>#VALUE!</v>
      </c>
      <c r="AM38" s="52" t="e">
        <f>(GBSOption("C", AM$9,#REF!,$O$2,#REF!,0, 0)*#REF!*50-#REF!*#REF!*50)+(GBSOption("P", AM$9,#REF!,$O$2,#REF!,0, 0)*#REF!*50-#REF!*#REF!*50)</f>
        <v>#VALUE!</v>
      </c>
      <c r="AN38" s="52" t="e">
        <f>(GBSOption("C", AN$9,#REF!,$O$2,#REF!,0, 0)*#REF!*50-#REF!*#REF!*50)+(GBSOption("P", AN$9,#REF!,$O$2,#REF!,0, 0)*#REF!*50-#REF!*#REF!*50)</f>
        <v>#VALUE!</v>
      </c>
    </row>
    <row r="39" spans="1:40" ht="17.25" thickBot="1" x14ac:dyDescent="0.3">
      <c r="A39" s="36"/>
      <c r="B39" s="14"/>
      <c r="C39" s="14"/>
      <c r="D39" s="14"/>
      <c r="E39" s="17"/>
      <c r="F39" s="17"/>
      <c r="G39" s="17"/>
      <c r="H39" s="19"/>
      <c r="I39" s="19"/>
      <c r="J39" s="18"/>
      <c r="K39" s="17"/>
      <c r="L39" s="17"/>
      <c r="M39" s="17"/>
      <c r="N39" s="19"/>
      <c r="O39" s="19"/>
      <c r="P39" s="14"/>
      <c r="Q39" s="14"/>
      <c r="R39" s="14"/>
      <c r="S39" s="36"/>
      <c r="T39" s="36"/>
      <c r="U39" s="48" t="e">
        <f t="shared" si="12"/>
        <v>#VALUE!</v>
      </c>
      <c r="V39" s="48" t="e">
        <f t="shared" si="13"/>
        <v>#VALUE!</v>
      </c>
      <c r="W39" s="42"/>
      <c r="X39" s="52" t="e">
        <f>(GBSOption("C", X$9,#REF!,$O$2,#REF!,0, 0)*#REF!*50-#REF!*#REF!*50)+(GBSOption("P", X$9,#REF!,$O$2,#REF!,0, 0)*#REF!*50-#REF!*#REF!*50)</f>
        <v>#VALUE!</v>
      </c>
      <c r="Y39" s="52" t="e">
        <f>(GBSOption("C", Y$9,#REF!,$O$2,#REF!,0, 0)*#REF!*50-#REF!*#REF!*50)+(GBSOption("P", Y$9,#REF!,$O$2,#REF!,0, 0)*#REF!*50-#REF!*#REF!*50)</f>
        <v>#VALUE!</v>
      </c>
      <c r="Z39" s="52" t="e">
        <f>(GBSOption("C", Z$9,#REF!,$O$2,#REF!,0, 0)*#REF!*50-#REF!*#REF!*50)+(GBSOption("P", Z$9,#REF!,$O$2,#REF!,0, 0)*#REF!*50-#REF!*#REF!*50)</f>
        <v>#VALUE!</v>
      </c>
      <c r="AA39" s="52" t="e">
        <f>(GBSOption("C", AA$9,#REF!,$O$2,#REF!,0, 0)*#REF!*50-#REF!*#REF!*50)+(GBSOption("P", AA$9,#REF!,$O$2,#REF!,0, 0)*#REF!*50-#REF!*#REF!*50)</f>
        <v>#VALUE!</v>
      </c>
      <c r="AB39" s="52" t="e">
        <f>(GBSOption("C", AB$9,#REF!,$O$2,#REF!,0, 0)*#REF!*50-#REF!*#REF!*50)+(GBSOption("P", AB$9,#REF!,$O$2,#REF!,0, 0)*#REF!*50-#REF!*#REF!*50)</f>
        <v>#VALUE!</v>
      </c>
      <c r="AC39" s="52" t="e">
        <f>(GBSOption("C", AC$9,#REF!,$O$2,#REF!,0, 0)*#REF!*50-#REF!*#REF!*50)+(GBSOption("P", AC$9,#REF!,$O$2,#REF!,0, 0)*#REF!*50-#REF!*#REF!*50)</f>
        <v>#VALUE!</v>
      </c>
      <c r="AD39" s="52" t="e">
        <f>(GBSOption("C", AD$9,#REF!,$O$2,#REF!,0, 0)*#REF!*50-#REF!*#REF!*50)+(GBSOption("P", AD$9,#REF!,$O$2,#REF!,0, 0)*#REF!*50-#REF!*#REF!*50)</f>
        <v>#VALUE!</v>
      </c>
      <c r="AE39" s="52" t="e">
        <f>(GBSOption("C", AE$9,#REF!,$O$2,#REF!,0, 0)*#REF!*50-#REF!*#REF!*50)+(GBSOption("P", AE$9,#REF!,$O$2,#REF!,0, 0)*#REF!*50-#REF!*#REF!*50)</f>
        <v>#VALUE!</v>
      </c>
      <c r="AF39" s="52" t="e">
        <f>(GBSOption("C", AF$9,#REF!,$O$2,#REF!,0, 0)*#REF!*50-#REF!*#REF!*50)+(GBSOption("P", AF$9,#REF!,$O$2,#REF!,0, 0)*#REF!*50-#REF!*#REF!*50)</f>
        <v>#VALUE!</v>
      </c>
      <c r="AG39" s="52" t="e">
        <f>(GBSOption("C", AG$9,#REF!,$O$2,#REF!,0, 0)*#REF!*50-#REF!*#REF!*50)+(GBSOption("P", AG$9,#REF!,$O$2,#REF!,0, 0)*#REF!*50-#REF!*#REF!*50)</f>
        <v>#VALUE!</v>
      </c>
      <c r="AH39" s="52" t="e">
        <f>(GBSOption("C", AH$9,#REF!,$O$2,#REF!,0, 0)*#REF!*50-#REF!*#REF!*50)+(GBSOption("P", AH$9,#REF!,$O$2,#REF!,0, 0)*#REF!*50-#REF!*#REF!*50)</f>
        <v>#VALUE!</v>
      </c>
      <c r="AI39" s="52" t="e">
        <f>(GBSOption("C", AI$9,#REF!,$O$2,#REF!,0, 0)*#REF!*50-#REF!*#REF!*50)+(GBSOption("P", AI$9,#REF!,$O$2,#REF!,0, 0)*#REF!*50-#REF!*#REF!*50)</f>
        <v>#VALUE!</v>
      </c>
      <c r="AJ39" s="52" t="e">
        <f>(GBSOption("C", AJ$9,#REF!,$O$2,#REF!,0, 0)*#REF!*50-#REF!*#REF!*50)+(GBSOption("P", AJ$9,#REF!,$O$2,#REF!,0, 0)*#REF!*50-#REF!*#REF!*50)</f>
        <v>#VALUE!</v>
      </c>
      <c r="AK39" s="52" t="e">
        <f>(GBSOption("C", AK$9,#REF!,$O$2,#REF!,0, 0)*#REF!*50-#REF!*#REF!*50)+(GBSOption("P", AK$9,#REF!,$O$2,#REF!,0, 0)*#REF!*50-#REF!*#REF!*50)</f>
        <v>#VALUE!</v>
      </c>
      <c r="AL39" s="52" t="e">
        <f>(GBSOption("C", AL$9,#REF!,$O$2,#REF!,0, 0)*#REF!*50-#REF!*#REF!*50)+(GBSOption("P", AL$9,#REF!,$O$2,#REF!,0, 0)*#REF!*50-#REF!*#REF!*50)</f>
        <v>#VALUE!</v>
      </c>
      <c r="AM39" s="52" t="e">
        <f>(GBSOption("C", AM$9,#REF!,$O$2,#REF!,0, 0)*#REF!*50-#REF!*#REF!*50)+(GBSOption("P", AM$9,#REF!,$O$2,#REF!,0, 0)*#REF!*50-#REF!*#REF!*50)</f>
        <v>#VALUE!</v>
      </c>
      <c r="AN39" s="52" t="e">
        <f>(GBSOption("C", AN$9,#REF!,$O$2,#REF!,0, 0)*#REF!*50-#REF!*#REF!*50)+(GBSOption("P", AN$9,#REF!,$O$2,#REF!,0, 0)*#REF!*50-#REF!*#REF!*50)</f>
        <v>#VALUE!</v>
      </c>
    </row>
    <row r="40" spans="1:40" ht="17.25" thickBot="1" x14ac:dyDescent="0.3">
      <c r="A40" s="36"/>
      <c r="B40" s="14"/>
      <c r="C40" s="14"/>
      <c r="D40" s="14"/>
      <c r="E40" s="17"/>
      <c r="F40" s="17"/>
      <c r="G40" s="17"/>
      <c r="H40" s="19"/>
      <c r="I40" s="19"/>
      <c r="J40" s="18"/>
      <c r="K40" s="17"/>
      <c r="L40" s="17"/>
      <c r="M40" s="17"/>
      <c r="N40" s="19"/>
      <c r="O40" s="19"/>
      <c r="P40" s="14"/>
      <c r="Q40" s="14"/>
      <c r="R40" s="14"/>
      <c r="S40" s="36"/>
      <c r="T40" s="36"/>
      <c r="U40" s="48" t="e">
        <f t="shared" si="12"/>
        <v>#VALUE!</v>
      </c>
      <c r="V40" s="48" t="e">
        <f t="shared" si="13"/>
        <v>#VALUE!</v>
      </c>
      <c r="W40" s="42"/>
      <c r="X40" s="52" t="e">
        <f>(GBSOption("C", X$9,#REF!,$O$2,#REF!,0, 0)*#REF!*50-#REF!*#REF!*50)+(GBSOption("P", X$9,#REF!,$O$2,#REF!,0, 0)*#REF!*50-#REF!*#REF!*50)</f>
        <v>#VALUE!</v>
      </c>
      <c r="Y40" s="52" t="e">
        <f>(GBSOption("C", Y$9,#REF!,$O$2,#REF!,0, 0)*#REF!*50-#REF!*#REF!*50)+(GBSOption("P", Y$9,#REF!,$O$2,#REF!,0, 0)*#REF!*50-#REF!*#REF!*50)</f>
        <v>#VALUE!</v>
      </c>
      <c r="Z40" s="52" t="e">
        <f>(GBSOption("C", Z$9,#REF!,$O$2,#REF!,0, 0)*#REF!*50-#REF!*#REF!*50)+(GBSOption("P", Z$9,#REF!,$O$2,#REF!,0, 0)*#REF!*50-#REF!*#REF!*50)</f>
        <v>#VALUE!</v>
      </c>
      <c r="AA40" s="52" t="e">
        <f>(GBSOption("C", AA$9,#REF!,$O$2,#REF!,0, 0)*#REF!*50-#REF!*#REF!*50)+(GBSOption("P", AA$9,#REF!,$O$2,#REF!,0, 0)*#REF!*50-#REF!*#REF!*50)</f>
        <v>#VALUE!</v>
      </c>
      <c r="AB40" s="52" t="e">
        <f>(GBSOption("C", AB$9,#REF!,$O$2,#REF!,0, 0)*#REF!*50-#REF!*#REF!*50)+(GBSOption("P", AB$9,#REF!,$O$2,#REF!,0, 0)*#REF!*50-#REF!*#REF!*50)</f>
        <v>#VALUE!</v>
      </c>
      <c r="AC40" s="52" t="e">
        <f>(GBSOption("C", AC$9,#REF!,$O$2,#REF!,0, 0)*#REF!*50-#REF!*#REF!*50)+(GBSOption("P", AC$9,#REF!,$O$2,#REF!,0, 0)*#REF!*50-#REF!*#REF!*50)</f>
        <v>#VALUE!</v>
      </c>
      <c r="AD40" s="52" t="e">
        <f>(GBSOption("C", AD$9,#REF!,$O$2,#REF!,0, 0)*#REF!*50-#REF!*#REF!*50)+(GBSOption("P", AD$9,#REF!,$O$2,#REF!,0, 0)*#REF!*50-#REF!*#REF!*50)</f>
        <v>#VALUE!</v>
      </c>
      <c r="AE40" s="52" t="e">
        <f>(GBSOption("C", AE$9,#REF!,$O$2,#REF!,0, 0)*#REF!*50-#REF!*#REF!*50)+(GBSOption("P", AE$9,#REF!,$O$2,#REF!,0, 0)*#REF!*50-#REF!*#REF!*50)</f>
        <v>#VALUE!</v>
      </c>
      <c r="AF40" s="52" t="e">
        <f>(GBSOption("C", AF$9,#REF!,$O$2,#REF!,0, 0)*#REF!*50-#REF!*#REF!*50)+(GBSOption("P", AF$9,#REF!,$O$2,#REF!,0, 0)*#REF!*50-#REF!*#REF!*50)</f>
        <v>#VALUE!</v>
      </c>
      <c r="AG40" s="52" t="e">
        <f>(GBSOption("C", AG$9,#REF!,$O$2,#REF!,0, 0)*#REF!*50-#REF!*#REF!*50)+(GBSOption("P", AG$9,#REF!,$O$2,#REF!,0, 0)*#REF!*50-#REF!*#REF!*50)</f>
        <v>#VALUE!</v>
      </c>
      <c r="AH40" s="52" t="e">
        <f>(GBSOption("C", AH$9,#REF!,$O$2,#REF!,0, 0)*#REF!*50-#REF!*#REF!*50)+(GBSOption("P", AH$9,#REF!,$O$2,#REF!,0, 0)*#REF!*50-#REF!*#REF!*50)</f>
        <v>#VALUE!</v>
      </c>
      <c r="AI40" s="52" t="e">
        <f>(GBSOption("C", AI$9,#REF!,$O$2,#REF!,0, 0)*#REF!*50-#REF!*#REF!*50)+(GBSOption("P", AI$9,#REF!,$O$2,#REF!,0, 0)*#REF!*50-#REF!*#REF!*50)</f>
        <v>#VALUE!</v>
      </c>
      <c r="AJ40" s="52" t="e">
        <f>(GBSOption("C", AJ$9,#REF!,$O$2,#REF!,0, 0)*#REF!*50-#REF!*#REF!*50)+(GBSOption("P", AJ$9,#REF!,$O$2,#REF!,0, 0)*#REF!*50-#REF!*#REF!*50)</f>
        <v>#VALUE!</v>
      </c>
      <c r="AK40" s="52" t="e">
        <f>(GBSOption("C", AK$9,#REF!,$O$2,#REF!,0, 0)*#REF!*50-#REF!*#REF!*50)+(GBSOption("P", AK$9,#REF!,$O$2,#REF!,0, 0)*#REF!*50-#REF!*#REF!*50)</f>
        <v>#VALUE!</v>
      </c>
      <c r="AL40" s="52" t="e">
        <f>(GBSOption("C", AL$9,#REF!,$O$2,#REF!,0, 0)*#REF!*50-#REF!*#REF!*50)+(GBSOption("P", AL$9,#REF!,$O$2,#REF!,0, 0)*#REF!*50-#REF!*#REF!*50)</f>
        <v>#VALUE!</v>
      </c>
      <c r="AM40" s="52" t="e">
        <f>(GBSOption("C", AM$9,#REF!,$O$2,#REF!,0, 0)*#REF!*50-#REF!*#REF!*50)+(GBSOption("P", AM$9,#REF!,$O$2,#REF!,0, 0)*#REF!*50-#REF!*#REF!*50)</f>
        <v>#VALUE!</v>
      </c>
      <c r="AN40" s="52" t="e">
        <f>(GBSOption("C", AN$9,#REF!,$O$2,#REF!,0, 0)*#REF!*50-#REF!*#REF!*50)+(GBSOption("P", AN$9,#REF!,$O$2,#REF!,0, 0)*#REF!*50-#REF!*#REF!*50)</f>
        <v>#VALUE!</v>
      </c>
    </row>
    <row r="41" spans="1:40" ht="17.25" thickBot="1" x14ac:dyDescent="0.3">
      <c r="A41" s="36"/>
      <c r="B41" s="14"/>
      <c r="C41" s="14"/>
      <c r="D41" s="14"/>
      <c r="E41" s="17"/>
      <c r="F41" s="17"/>
      <c r="G41" s="17"/>
      <c r="H41" s="19"/>
      <c r="I41" s="19"/>
      <c r="J41" s="18"/>
      <c r="K41" s="17"/>
      <c r="L41" s="17"/>
      <c r="M41" s="17"/>
      <c r="N41" s="19"/>
      <c r="O41" s="19"/>
      <c r="P41" s="14"/>
      <c r="Q41" s="14"/>
      <c r="R41" s="14"/>
      <c r="S41" s="36"/>
      <c r="T41" s="36"/>
      <c r="U41" s="48" t="e">
        <f t="shared" si="12"/>
        <v>#VALUE!</v>
      </c>
      <c r="V41" s="48" t="e">
        <f t="shared" si="13"/>
        <v>#VALUE!</v>
      </c>
      <c r="W41" s="42"/>
      <c r="X41" s="52" t="e">
        <f>(GBSOption("C", X$9,#REF!,$O$2,#REF!,0, 0)*#REF!*50-#REF!*#REF!*50)+(GBSOption("P", X$9,#REF!,$O$2,#REF!,0, 0)*#REF!*50-#REF!*#REF!*50)</f>
        <v>#VALUE!</v>
      </c>
      <c r="Y41" s="52" t="e">
        <f>(GBSOption("C", Y$9,#REF!,$O$2,#REF!,0, 0)*#REF!*50-#REF!*#REF!*50)+(GBSOption("P", Y$9,#REF!,$O$2,#REF!,0, 0)*#REF!*50-#REF!*#REF!*50)</f>
        <v>#VALUE!</v>
      </c>
      <c r="Z41" s="52" t="e">
        <f>(GBSOption("C", Z$9,#REF!,$O$2,#REF!,0, 0)*#REF!*50-#REF!*#REF!*50)+(GBSOption("P", Z$9,#REF!,$O$2,#REF!,0, 0)*#REF!*50-#REF!*#REF!*50)</f>
        <v>#VALUE!</v>
      </c>
      <c r="AA41" s="52" t="e">
        <f>(GBSOption("C", AA$9,#REF!,$O$2,#REF!,0, 0)*#REF!*50-#REF!*#REF!*50)+(GBSOption("P", AA$9,#REF!,$O$2,#REF!,0, 0)*#REF!*50-#REF!*#REF!*50)</f>
        <v>#VALUE!</v>
      </c>
      <c r="AB41" s="52" t="e">
        <f>(GBSOption("C", AB$9,#REF!,$O$2,#REF!,0, 0)*#REF!*50-#REF!*#REF!*50)+(GBSOption("P", AB$9,#REF!,$O$2,#REF!,0, 0)*#REF!*50-#REF!*#REF!*50)</f>
        <v>#VALUE!</v>
      </c>
      <c r="AC41" s="52" t="e">
        <f>(GBSOption("C", AC$9,#REF!,$O$2,#REF!,0, 0)*#REF!*50-#REF!*#REF!*50)+(GBSOption("P", AC$9,#REF!,$O$2,#REF!,0, 0)*#REF!*50-#REF!*#REF!*50)</f>
        <v>#VALUE!</v>
      </c>
      <c r="AD41" s="52" t="e">
        <f>(GBSOption("C", AD$9,#REF!,$O$2,#REF!,0, 0)*#REF!*50-#REF!*#REF!*50)+(GBSOption("P", AD$9,#REF!,$O$2,#REF!,0, 0)*#REF!*50-#REF!*#REF!*50)</f>
        <v>#VALUE!</v>
      </c>
      <c r="AE41" s="52" t="e">
        <f>(GBSOption("C", AE$9,#REF!,$O$2,#REF!,0, 0)*#REF!*50-#REF!*#REF!*50)+(GBSOption("P", AE$9,#REF!,$O$2,#REF!,0, 0)*#REF!*50-#REF!*#REF!*50)</f>
        <v>#VALUE!</v>
      </c>
      <c r="AF41" s="52" t="e">
        <f>(GBSOption("C", AF$9,#REF!,$O$2,#REF!,0, 0)*#REF!*50-#REF!*#REF!*50)+(GBSOption("P", AF$9,#REF!,$O$2,#REF!,0, 0)*#REF!*50-#REF!*#REF!*50)</f>
        <v>#VALUE!</v>
      </c>
      <c r="AG41" s="52" t="e">
        <f>(GBSOption("C", AG$9,#REF!,$O$2,#REF!,0, 0)*#REF!*50-#REF!*#REF!*50)+(GBSOption("P", AG$9,#REF!,$O$2,#REF!,0, 0)*#REF!*50-#REF!*#REF!*50)</f>
        <v>#VALUE!</v>
      </c>
      <c r="AH41" s="52" t="e">
        <f>(GBSOption("C", AH$9,#REF!,$O$2,#REF!,0, 0)*#REF!*50-#REF!*#REF!*50)+(GBSOption("P", AH$9,#REF!,$O$2,#REF!,0, 0)*#REF!*50-#REF!*#REF!*50)</f>
        <v>#VALUE!</v>
      </c>
      <c r="AI41" s="52" t="e">
        <f>(GBSOption("C", AI$9,#REF!,$O$2,#REF!,0, 0)*#REF!*50-#REF!*#REF!*50)+(GBSOption("P", AI$9,#REF!,$O$2,#REF!,0, 0)*#REF!*50-#REF!*#REF!*50)</f>
        <v>#VALUE!</v>
      </c>
      <c r="AJ41" s="52" t="e">
        <f>(GBSOption("C", AJ$9,#REF!,$O$2,#REF!,0, 0)*#REF!*50-#REF!*#REF!*50)+(GBSOption("P", AJ$9,#REF!,$O$2,#REF!,0, 0)*#REF!*50-#REF!*#REF!*50)</f>
        <v>#VALUE!</v>
      </c>
      <c r="AK41" s="52" t="e">
        <f>(GBSOption("C", AK$9,#REF!,$O$2,#REF!,0, 0)*#REF!*50-#REF!*#REF!*50)+(GBSOption("P", AK$9,#REF!,$O$2,#REF!,0, 0)*#REF!*50-#REF!*#REF!*50)</f>
        <v>#VALUE!</v>
      </c>
      <c r="AL41" s="52" t="e">
        <f>(GBSOption("C", AL$9,#REF!,$O$2,#REF!,0, 0)*#REF!*50-#REF!*#REF!*50)+(GBSOption("P", AL$9,#REF!,$O$2,#REF!,0, 0)*#REF!*50-#REF!*#REF!*50)</f>
        <v>#VALUE!</v>
      </c>
      <c r="AM41" s="52" t="e">
        <f>(GBSOption("C", AM$9,#REF!,$O$2,#REF!,0, 0)*#REF!*50-#REF!*#REF!*50)+(GBSOption("P", AM$9,#REF!,$O$2,#REF!,0, 0)*#REF!*50-#REF!*#REF!*50)</f>
        <v>#VALUE!</v>
      </c>
      <c r="AN41" s="52" t="e">
        <f>(GBSOption("C", AN$9,#REF!,$O$2,#REF!,0, 0)*#REF!*50-#REF!*#REF!*50)+(GBSOption("P", AN$9,#REF!,$O$2,#REF!,0, 0)*#REF!*50-#REF!*#REF!*50)</f>
        <v>#VALUE!</v>
      </c>
    </row>
    <row r="42" spans="1:40" ht="17.25" thickBot="1" x14ac:dyDescent="0.3">
      <c r="A42" s="36"/>
      <c r="B42" s="14"/>
      <c r="C42" s="14"/>
      <c r="D42" s="14"/>
      <c r="E42" s="17"/>
      <c r="F42" s="17"/>
      <c r="G42" s="17"/>
      <c r="H42" s="19"/>
      <c r="I42" s="19"/>
      <c r="J42" s="18"/>
      <c r="K42" s="17"/>
      <c r="L42" s="17"/>
      <c r="M42" s="17"/>
      <c r="N42" s="19"/>
      <c r="O42" s="19"/>
      <c r="P42" s="14"/>
      <c r="Q42" s="14"/>
      <c r="R42" s="14"/>
      <c r="S42" s="36"/>
      <c r="T42" s="36"/>
      <c r="U42" s="48" t="e">
        <f t="shared" si="12"/>
        <v>#VALUE!</v>
      </c>
      <c r="V42" s="48" t="e">
        <f t="shared" si="13"/>
        <v>#VALUE!</v>
      </c>
      <c r="W42" s="42"/>
      <c r="X42" s="52" t="e">
        <f>(GBSOption("C", X$9,#REF!,$O$2,#REF!,0, 0)*#REF!*50-#REF!*#REF!*50)+(GBSOption("P", X$9,#REF!,$O$2,#REF!,0, 0)*#REF!*50-#REF!*#REF!*50)</f>
        <v>#VALUE!</v>
      </c>
      <c r="Y42" s="52" t="e">
        <f>(GBSOption("C", Y$9,#REF!,$O$2,#REF!,0, 0)*#REF!*50-#REF!*#REF!*50)+(GBSOption("P", Y$9,#REF!,$O$2,#REF!,0, 0)*#REF!*50-#REF!*#REF!*50)</f>
        <v>#VALUE!</v>
      </c>
      <c r="Z42" s="52" t="e">
        <f>(GBSOption("C", Z$9,#REF!,$O$2,#REF!,0, 0)*#REF!*50-#REF!*#REF!*50)+(GBSOption("P", Z$9,#REF!,$O$2,#REF!,0, 0)*#REF!*50-#REF!*#REF!*50)</f>
        <v>#VALUE!</v>
      </c>
      <c r="AA42" s="52" t="e">
        <f>(GBSOption("C", AA$9,#REF!,$O$2,#REF!,0, 0)*#REF!*50-#REF!*#REF!*50)+(GBSOption("P", AA$9,#REF!,$O$2,#REF!,0, 0)*#REF!*50-#REF!*#REF!*50)</f>
        <v>#VALUE!</v>
      </c>
      <c r="AB42" s="52" t="e">
        <f>(GBSOption("C", AB$9,#REF!,$O$2,#REF!,0, 0)*#REF!*50-#REF!*#REF!*50)+(GBSOption("P", AB$9,#REF!,$O$2,#REF!,0, 0)*#REF!*50-#REF!*#REF!*50)</f>
        <v>#VALUE!</v>
      </c>
      <c r="AC42" s="52" t="e">
        <f>(GBSOption("C", AC$9,#REF!,$O$2,#REF!,0, 0)*#REF!*50-#REF!*#REF!*50)+(GBSOption("P", AC$9,#REF!,$O$2,#REF!,0, 0)*#REF!*50-#REF!*#REF!*50)</f>
        <v>#VALUE!</v>
      </c>
      <c r="AD42" s="52" t="e">
        <f>(GBSOption("C", AD$9,#REF!,$O$2,#REF!,0, 0)*#REF!*50-#REF!*#REF!*50)+(GBSOption("P", AD$9,#REF!,$O$2,#REF!,0, 0)*#REF!*50-#REF!*#REF!*50)</f>
        <v>#VALUE!</v>
      </c>
      <c r="AE42" s="52" t="e">
        <f>(GBSOption("C", AE$9,#REF!,$O$2,#REF!,0, 0)*#REF!*50-#REF!*#REF!*50)+(GBSOption("P", AE$9,#REF!,$O$2,#REF!,0, 0)*#REF!*50-#REF!*#REF!*50)</f>
        <v>#VALUE!</v>
      </c>
      <c r="AF42" s="52" t="e">
        <f>(GBSOption("C", AF$9,#REF!,$O$2,#REF!,0, 0)*#REF!*50-#REF!*#REF!*50)+(GBSOption("P", AF$9,#REF!,$O$2,#REF!,0, 0)*#REF!*50-#REF!*#REF!*50)</f>
        <v>#VALUE!</v>
      </c>
      <c r="AG42" s="52" t="e">
        <f>(GBSOption("C", AG$9,#REF!,$O$2,#REF!,0, 0)*#REF!*50-#REF!*#REF!*50)+(GBSOption("P", AG$9,#REF!,$O$2,#REF!,0, 0)*#REF!*50-#REF!*#REF!*50)</f>
        <v>#VALUE!</v>
      </c>
      <c r="AH42" s="52" t="e">
        <f>(GBSOption("C", AH$9,#REF!,$O$2,#REF!,0, 0)*#REF!*50-#REF!*#REF!*50)+(GBSOption("P", AH$9,#REF!,$O$2,#REF!,0, 0)*#REF!*50-#REF!*#REF!*50)</f>
        <v>#VALUE!</v>
      </c>
      <c r="AI42" s="52" t="e">
        <f>(GBSOption("C", AI$9,#REF!,$O$2,#REF!,0, 0)*#REF!*50-#REF!*#REF!*50)+(GBSOption("P", AI$9,#REF!,$O$2,#REF!,0, 0)*#REF!*50-#REF!*#REF!*50)</f>
        <v>#VALUE!</v>
      </c>
      <c r="AJ42" s="52" t="e">
        <f>(GBSOption("C", AJ$9,#REF!,$O$2,#REF!,0, 0)*#REF!*50-#REF!*#REF!*50)+(GBSOption("P", AJ$9,#REF!,$O$2,#REF!,0, 0)*#REF!*50-#REF!*#REF!*50)</f>
        <v>#VALUE!</v>
      </c>
      <c r="AK42" s="52" t="e">
        <f>(GBSOption("C", AK$9,#REF!,$O$2,#REF!,0, 0)*#REF!*50-#REF!*#REF!*50)+(GBSOption("P", AK$9,#REF!,$O$2,#REF!,0, 0)*#REF!*50-#REF!*#REF!*50)</f>
        <v>#VALUE!</v>
      </c>
      <c r="AL42" s="52" t="e">
        <f>(GBSOption("C", AL$9,#REF!,$O$2,#REF!,0, 0)*#REF!*50-#REF!*#REF!*50)+(GBSOption("P", AL$9,#REF!,$O$2,#REF!,0, 0)*#REF!*50-#REF!*#REF!*50)</f>
        <v>#VALUE!</v>
      </c>
      <c r="AM42" s="52" t="e">
        <f>(GBSOption("C", AM$9,#REF!,$O$2,#REF!,0, 0)*#REF!*50-#REF!*#REF!*50)+(GBSOption("P", AM$9,#REF!,$O$2,#REF!,0, 0)*#REF!*50-#REF!*#REF!*50)</f>
        <v>#VALUE!</v>
      </c>
      <c r="AN42" s="52" t="e">
        <f>(GBSOption("C", AN$9,#REF!,$O$2,#REF!,0, 0)*#REF!*50-#REF!*#REF!*50)+(GBSOption("P", AN$9,#REF!,$O$2,#REF!,0, 0)*#REF!*50-#REF!*#REF!*50)</f>
        <v>#VALUE!</v>
      </c>
    </row>
    <row r="43" spans="1:40" ht="17.25" thickBot="1" x14ac:dyDescent="0.3">
      <c r="A43" s="36"/>
      <c r="B43" s="14"/>
      <c r="C43" s="14"/>
      <c r="D43" s="14"/>
      <c r="E43" s="17"/>
      <c r="F43" s="17"/>
      <c r="G43" s="17"/>
      <c r="H43" s="19"/>
      <c r="I43" s="19"/>
      <c r="J43" s="18"/>
      <c r="K43" s="17"/>
      <c r="L43" s="17"/>
      <c r="M43" s="17"/>
      <c r="N43" s="19"/>
      <c r="O43" s="19"/>
      <c r="P43" s="14"/>
      <c r="Q43" s="14"/>
      <c r="R43" s="14"/>
      <c r="S43" s="36"/>
      <c r="T43" s="36"/>
      <c r="U43" s="48" t="e">
        <f t="shared" si="12"/>
        <v>#VALUE!</v>
      </c>
      <c r="V43" s="48" t="e">
        <f t="shared" si="13"/>
        <v>#VALUE!</v>
      </c>
      <c r="W43" s="42"/>
      <c r="X43" s="52" t="e">
        <f>(GBSOption("C", X$9,#REF!,$O$2,#REF!,0, 0)*#REF!*50-#REF!*#REF!*50)+(GBSOption("P", X$9,#REF!,$O$2,#REF!,0, 0)*#REF!*50-#REF!*#REF!*50)</f>
        <v>#VALUE!</v>
      </c>
      <c r="Y43" s="52" t="e">
        <f>(GBSOption("C", Y$9,#REF!,$O$2,#REF!,0, 0)*#REF!*50-#REF!*#REF!*50)+(GBSOption("P", Y$9,#REF!,$O$2,#REF!,0, 0)*#REF!*50-#REF!*#REF!*50)</f>
        <v>#VALUE!</v>
      </c>
      <c r="Z43" s="52" t="e">
        <f>(GBSOption("C", Z$9,#REF!,$O$2,#REF!,0, 0)*#REF!*50-#REF!*#REF!*50)+(GBSOption("P", Z$9,#REF!,$O$2,#REF!,0, 0)*#REF!*50-#REF!*#REF!*50)</f>
        <v>#VALUE!</v>
      </c>
      <c r="AA43" s="52" t="e">
        <f>(GBSOption("C", AA$9,#REF!,$O$2,#REF!,0, 0)*#REF!*50-#REF!*#REF!*50)+(GBSOption("P", AA$9,#REF!,$O$2,#REF!,0, 0)*#REF!*50-#REF!*#REF!*50)</f>
        <v>#VALUE!</v>
      </c>
      <c r="AB43" s="52" t="e">
        <f>(GBSOption("C", AB$9,#REF!,$O$2,#REF!,0, 0)*#REF!*50-#REF!*#REF!*50)+(GBSOption("P", AB$9,#REF!,$O$2,#REF!,0, 0)*#REF!*50-#REF!*#REF!*50)</f>
        <v>#VALUE!</v>
      </c>
      <c r="AC43" s="52" t="e">
        <f>(GBSOption("C", AC$9,#REF!,$O$2,#REF!,0, 0)*#REF!*50-#REF!*#REF!*50)+(GBSOption("P", AC$9,#REF!,$O$2,#REF!,0, 0)*#REF!*50-#REF!*#REF!*50)</f>
        <v>#VALUE!</v>
      </c>
      <c r="AD43" s="52" t="e">
        <f>(GBSOption("C", AD$9,#REF!,$O$2,#REF!,0, 0)*#REF!*50-#REF!*#REF!*50)+(GBSOption("P", AD$9,#REF!,$O$2,#REF!,0, 0)*#REF!*50-#REF!*#REF!*50)</f>
        <v>#VALUE!</v>
      </c>
      <c r="AE43" s="52" t="e">
        <f>(GBSOption("C", AE$9,#REF!,$O$2,#REF!,0, 0)*#REF!*50-#REF!*#REF!*50)+(GBSOption("P", AE$9,#REF!,$O$2,#REF!,0, 0)*#REF!*50-#REF!*#REF!*50)</f>
        <v>#VALUE!</v>
      </c>
      <c r="AF43" s="52" t="e">
        <f>(GBSOption("C", AF$9,#REF!,$O$2,#REF!,0, 0)*#REF!*50-#REF!*#REF!*50)+(GBSOption("P", AF$9,#REF!,$O$2,#REF!,0, 0)*#REF!*50-#REF!*#REF!*50)</f>
        <v>#VALUE!</v>
      </c>
      <c r="AG43" s="52" t="e">
        <f>(GBSOption("C", AG$9,#REF!,$O$2,#REF!,0, 0)*#REF!*50-#REF!*#REF!*50)+(GBSOption("P", AG$9,#REF!,$O$2,#REF!,0, 0)*#REF!*50-#REF!*#REF!*50)</f>
        <v>#VALUE!</v>
      </c>
      <c r="AH43" s="52" t="e">
        <f>(GBSOption("C", AH$9,#REF!,$O$2,#REF!,0, 0)*#REF!*50-#REF!*#REF!*50)+(GBSOption("P", AH$9,#REF!,$O$2,#REF!,0, 0)*#REF!*50-#REF!*#REF!*50)</f>
        <v>#VALUE!</v>
      </c>
      <c r="AI43" s="52" t="e">
        <f>(GBSOption("C", AI$9,#REF!,$O$2,#REF!,0, 0)*#REF!*50-#REF!*#REF!*50)+(GBSOption("P", AI$9,#REF!,$O$2,#REF!,0, 0)*#REF!*50-#REF!*#REF!*50)</f>
        <v>#VALUE!</v>
      </c>
      <c r="AJ43" s="52" t="e">
        <f>(GBSOption("C", AJ$9,#REF!,$O$2,#REF!,0, 0)*#REF!*50-#REF!*#REF!*50)+(GBSOption("P", AJ$9,#REF!,$O$2,#REF!,0, 0)*#REF!*50-#REF!*#REF!*50)</f>
        <v>#VALUE!</v>
      </c>
      <c r="AK43" s="52" t="e">
        <f>(GBSOption("C", AK$9,#REF!,$O$2,#REF!,0, 0)*#REF!*50-#REF!*#REF!*50)+(GBSOption("P", AK$9,#REF!,$O$2,#REF!,0, 0)*#REF!*50-#REF!*#REF!*50)</f>
        <v>#VALUE!</v>
      </c>
      <c r="AL43" s="52" t="e">
        <f>(GBSOption("C", AL$9,#REF!,$O$2,#REF!,0, 0)*#REF!*50-#REF!*#REF!*50)+(GBSOption("P", AL$9,#REF!,$O$2,#REF!,0, 0)*#REF!*50-#REF!*#REF!*50)</f>
        <v>#VALUE!</v>
      </c>
      <c r="AM43" s="52" t="e">
        <f>(GBSOption("C", AM$9,#REF!,$O$2,#REF!,0, 0)*#REF!*50-#REF!*#REF!*50)+(GBSOption("P", AM$9,#REF!,$O$2,#REF!,0, 0)*#REF!*50-#REF!*#REF!*50)</f>
        <v>#VALUE!</v>
      </c>
      <c r="AN43" s="52" t="e">
        <f>(GBSOption("C", AN$9,#REF!,$O$2,#REF!,0, 0)*#REF!*50-#REF!*#REF!*50)+(GBSOption("P", AN$9,#REF!,$O$2,#REF!,0, 0)*#REF!*50-#REF!*#REF!*50)</f>
        <v>#VALUE!</v>
      </c>
    </row>
    <row r="44" spans="1:40" ht="17.25" thickBot="1" x14ac:dyDescent="0.3">
      <c r="A44" s="36"/>
      <c r="B44" s="14"/>
      <c r="C44" s="14"/>
      <c r="D44" s="14"/>
      <c r="E44" s="17"/>
      <c r="F44" s="17"/>
      <c r="G44" s="17"/>
      <c r="H44" s="19"/>
      <c r="I44" s="19"/>
      <c r="J44" s="18"/>
      <c r="K44" s="17"/>
      <c r="L44" s="17"/>
      <c r="M44" s="17"/>
      <c r="N44" s="19"/>
      <c r="O44" s="19"/>
      <c r="P44" s="14"/>
      <c r="Q44" s="14"/>
      <c r="R44" s="14"/>
      <c r="S44" s="36"/>
      <c r="T44" s="36"/>
      <c r="U44" s="48" t="e">
        <f t="shared" si="12"/>
        <v>#VALUE!</v>
      </c>
      <c r="V44" s="48" t="e">
        <f t="shared" si="13"/>
        <v>#VALUE!</v>
      </c>
      <c r="W44" s="42"/>
      <c r="X44" s="52" t="e">
        <f>(GBSOption("C", X$9,#REF!,$O$2,#REF!,0, 0)*#REF!*50-#REF!*#REF!*50)+(GBSOption("P", X$9,#REF!,$O$2,#REF!,0, 0)*#REF!*50-#REF!*#REF!*50)</f>
        <v>#VALUE!</v>
      </c>
      <c r="Y44" s="52" t="e">
        <f>(GBSOption("C", Y$9,#REF!,$O$2,#REF!,0, 0)*#REF!*50-#REF!*#REF!*50)+(GBSOption("P", Y$9,#REF!,$O$2,#REF!,0, 0)*#REF!*50-#REF!*#REF!*50)</f>
        <v>#VALUE!</v>
      </c>
      <c r="Z44" s="52" t="e">
        <f>(GBSOption("C", Z$9,#REF!,$O$2,#REF!,0, 0)*#REF!*50-#REF!*#REF!*50)+(GBSOption("P", Z$9,#REF!,$O$2,#REF!,0, 0)*#REF!*50-#REF!*#REF!*50)</f>
        <v>#VALUE!</v>
      </c>
      <c r="AA44" s="52" t="e">
        <f>(GBSOption("C", AA$9,#REF!,$O$2,#REF!,0, 0)*#REF!*50-#REF!*#REF!*50)+(GBSOption("P", AA$9,#REF!,$O$2,#REF!,0, 0)*#REF!*50-#REF!*#REF!*50)</f>
        <v>#VALUE!</v>
      </c>
      <c r="AB44" s="52" t="e">
        <f>(GBSOption("C", AB$9,#REF!,$O$2,#REF!,0, 0)*#REF!*50-#REF!*#REF!*50)+(GBSOption("P", AB$9,#REF!,$O$2,#REF!,0, 0)*#REF!*50-#REF!*#REF!*50)</f>
        <v>#VALUE!</v>
      </c>
      <c r="AC44" s="52" t="e">
        <f>(GBSOption("C", AC$9,#REF!,$O$2,#REF!,0, 0)*#REF!*50-#REF!*#REF!*50)+(GBSOption("P", AC$9,#REF!,$O$2,#REF!,0, 0)*#REF!*50-#REF!*#REF!*50)</f>
        <v>#VALUE!</v>
      </c>
      <c r="AD44" s="52" t="e">
        <f>(GBSOption("C", AD$9,#REF!,$O$2,#REF!,0, 0)*#REF!*50-#REF!*#REF!*50)+(GBSOption("P", AD$9,#REF!,$O$2,#REF!,0, 0)*#REF!*50-#REF!*#REF!*50)</f>
        <v>#VALUE!</v>
      </c>
      <c r="AE44" s="52" t="e">
        <f>(GBSOption("C", AE$9,#REF!,$O$2,#REF!,0, 0)*#REF!*50-#REF!*#REF!*50)+(GBSOption("P", AE$9,#REF!,$O$2,#REF!,0, 0)*#REF!*50-#REF!*#REF!*50)</f>
        <v>#VALUE!</v>
      </c>
      <c r="AF44" s="52" t="e">
        <f>(GBSOption("C", AF$9,#REF!,$O$2,#REF!,0, 0)*#REF!*50-#REF!*#REF!*50)+(GBSOption("P", AF$9,#REF!,$O$2,#REF!,0, 0)*#REF!*50-#REF!*#REF!*50)</f>
        <v>#VALUE!</v>
      </c>
      <c r="AG44" s="52" t="e">
        <f>(GBSOption("C", AG$9,#REF!,$O$2,#REF!,0, 0)*#REF!*50-#REF!*#REF!*50)+(GBSOption("P", AG$9,#REF!,$O$2,#REF!,0, 0)*#REF!*50-#REF!*#REF!*50)</f>
        <v>#VALUE!</v>
      </c>
      <c r="AH44" s="52" t="e">
        <f>(GBSOption("C", AH$9,#REF!,$O$2,#REF!,0, 0)*#REF!*50-#REF!*#REF!*50)+(GBSOption("P", AH$9,#REF!,$O$2,#REF!,0, 0)*#REF!*50-#REF!*#REF!*50)</f>
        <v>#VALUE!</v>
      </c>
      <c r="AI44" s="52" t="e">
        <f>(GBSOption("C", AI$9,#REF!,$O$2,#REF!,0, 0)*#REF!*50-#REF!*#REF!*50)+(GBSOption("P", AI$9,#REF!,$O$2,#REF!,0, 0)*#REF!*50-#REF!*#REF!*50)</f>
        <v>#VALUE!</v>
      </c>
      <c r="AJ44" s="52" t="e">
        <f>(GBSOption("C", AJ$9,#REF!,$O$2,#REF!,0, 0)*#REF!*50-#REF!*#REF!*50)+(GBSOption("P", AJ$9,#REF!,$O$2,#REF!,0, 0)*#REF!*50-#REF!*#REF!*50)</f>
        <v>#VALUE!</v>
      </c>
      <c r="AK44" s="52" t="e">
        <f>(GBSOption("C", AK$9,#REF!,$O$2,#REF!,0, 0)*#REF!*50-#REF!*#REF!*50)+(GBSOption("P", AK$9,#REF!,$O$2,#REF!,0, 0)*#REF!*50-#REF!*#REF!*50)</f>
        <v>#VALUE!</v>
      </c>
      <c r="AL44" s="52" t="e">
        <f>(GBSOption("C", AL$9,#REF!,$O$2,#REF!,0, 0)*#REF!*50-#REF!*#REF!*50)+(GBSOption("P", AL$9,#REF!,$O$2,#REF!,0, 0)*#REF!*50-#REF!*#REF!*50)</f>
        <v>#VALUE!</v>
      </c>
      <c r="AM44" s="52" t="e">
        <f>(GBSOption("C", AM$9,#REF!,$O$2,#REF!,0, 0)*#REF!*50-#REF!*#REF!*50)+(GBSOption("P", AM$9,#REF!,$O$2,#REF!,0, 0)*#REF!*50-#REF!*#REF!*50)</f>
        <v>#VALUE!</v>
      </c>
      <c r="AN44" s="52" t="e">
        <f>(GBSOption("C", AN$9,#REF!,$O$2,#REF!,0, 0)*#REF!*50-#REF!*#REF!*50)+(GBSOption("P", AN$9,#REF!,$O$2,#REF!,0, 0)*#REF!*50-#REF!*#REF!*50)</f>
        <v>#VALUE!</v>
      </c>
    </row>
    <row r="45" spans="1:40" x14ac:dyDescent="0.25">
      <c r="A45" s="36"/>
      <c r="B45" s="14"/>
      <c r="C45" s="14"/>
      <c r="D45" s="14"/>
      <c r="E45" s="17"/>
      <c r="F45" s="17"/>
      <c r="G45" s="17"/>
      <c r="H45" s="19"/>
      <c r="I45" s="19"/>
      <c r="J45" s="18"/>
      <c r="K45" s="17"/>
      <c r="L45" s="17"/>
      <c r="M45" s="17"/>
      <c r="N45" s="19"/>
      <c r="O45" s="19"/>
      <c r="P45" s="14"/>
      <c r="Q45" s="14"/>
      <c r="R45" s="14"/>
      <c r="S45" s="36"/>
      <c r="T45" s="36"/>
      <c r="U45" s="48" t="e">
        <f t="shared" si="12"/>
        <v>#VALUE!</v>
      </c>
      <c r="V45" s="48" t="e">
        <f t="shared" si="13"/>
        <v>#VALUE!</v>
      </c>
      <c r="W45" s="42"/>
      <c r="X45" s="52" t="e">
        <f>(GBSOption("C", X$9,#REF!,$O$2,#REF!,0, 0)*#REF!*50-#REF!*#REF!*50)+(GBSOption("P", X$9,#REF!,$O$2,#REF!,0, 0)*#REF!*50-#REF!*#REF!*50)</f>
        <v>#VALUE!</v>
      </c>
      <c r="Y45" s="52" t="e">
        <f>(GBSOption("C", Y$9,#REF!,$O$2,#REF!,0, 0)*#REF!*50-#REF!*#REF!*50)+(GBSOption("P", Y$9,#REF!,$O$2,#REF!,0, 0)*#REF!*50-#REF!*#REF!*50)</f>
        <v>#VALUE!</v>
      </c>
      <c r="Z45" s="52" t="e">
        <f>(GBSOption("C", Z$9,#REF!,$O$2,#REF!,0, 0)*#REF!*50-#REF!*#REF!*50)+(GBSOption("P", Z$9,#REF!,$O$2,#REF!,0, 0)*#REF!*50-#REF!*#REF!*50)</f>
        <v>#VALUE!</v>
      </c>
      <c r="AA45" s="52" t="e">
        <f>(GBSOption("C", AA$9,#REF!,$O$2,#REF!,0, 0)*#REF!*50-#REF!*#REF!*50)+(GBSOption("P", AA$9,#REF!,$O$2,#REF!,0, 0)*#REF!*50-#REF!*#REF!*50)</f>
        <v>#VALUE!</v>
      </c>
      <c r="AB45" s="52" t="e">
        <f>(GBSOption("C", AB$9,#REF!,$O$2,#REF!,0, 0)*#REF!*50-#REF!*#REF!*50)+(GBSOption("P", AB$9,#REF!,$O$2,#REF!,0, 0)*#REF!*50-#REF!*#REF!*50)</f>
        <v>#VALUE!</v>
      </c>
      <c r="AC45" s="52" t="e">
        <f>(GBSOption("C", AC$9,#REF!,$O$2,#REF!,0, 0)*#REF!*50-#REF!*#REF!*50)+(GBSOption("P", AC$9,#REF!,$O$2,#REF!,0, 0)*#REF!*50-#REF!*#REF!*50)</f>
        <v>#VALUE!</v>
      </c>
      <c r="AD45" s="52" t="e">
        <f>(GBSOption("C", AD$9,#REF!,$O$2,#REF!,0, 0)*#REF!*50-#REF!*#REF!*50)+(GBSOption("P", AD$9,#REF!,$O$2,#REF!,0, 0)*#REF!*50-#REF!*#REF!*50)</f>
        <v>#VALUE!</v>
      </c>
      <c r="AE45" s="52" t="e">
        <f>(GBSOption("C", AE$9,#REF!,$O$2,#REF!,0, 0)*#REF!*50-#REF!*#REF!*50)+(GBSOption("P", AE$9,#REF!,$O$2,#REF!,0, 0)*#REF!*50-#REF!*#REF!*50)</f>
        <v>#VALUE!</v>
      </c>
      <c r="AF45" s="52" t="e">
        <f>(GBSOption("C", AF$9,#REF!,$O$2,#REF!,0, 0)*#REF!*50-#REF!*#REF!*50)+(GBSOption("P", AF$9,#REF!,$O$2,#REF!,0, 0)*#REF!*50-#REF!*#REF!*50)</f>
        <v>#VALUE!</v>
      </c>
      <c r="AG45" s="52" t="e">
        <f>(GBSOption("C", AG$9,#REF!,$O$2,#REF!,0, 0)*#REF!*50-#REF!*#REF!*50)+(GBSOption("P", AG$9,#REF!,$O$2,#REF!,0, 0)*#REF!*50-#REF!*#REF!*50)</f>
        <v>#VALUE!</v>
      </c>
      <c r="AH45" s="52" t="e">
        <f>(GBSOption("C", AH$9,#REF!,$O$2,#REF!,0, 0)*#REF!*50-#REF!*#REF!*50)+(GBSOption("P", AH$9,#REF!,$O$2,#REF!,0, 0)*#REF!*50-#REF!*#REF!*50)</f>
        <v>#VALUE!</v>
      </c>
      <c r="AI45" s="52" t="e">
        <f>(GBSOption("C", AI$9,#REF!,$O$2,#REF!,0, 0)*#REF!*50-#REF!*#REF!*50)+(GBSOption("P", AI$9,#REF!,$O$2,#REF!,0, 0)*#REF!*50-#REF!*#REF!*50)</f>
        <v>#VALUE!</v>
      </c>
      <c r="AJ45" s="52" t="e">
        <f>(GBSOption("C", AJ$9,#REF!,$O$2,#REF!,0, 0)*#REF!*50-#REF!*#REF!*50)+(GBSOption("P", AJ$9,#REF!,$O$2,#REF!,0, 0)*#REF!*50-#REF!*#REF!*50)</f>
        <v>#VALUE!</v>
      </c>
      <c r="AK45" s="52" t="e">
        <f>(GBSOption("C", AK$9,#REF!,$O$2,#REF!,0, 0)*#REF!*50-#REF!*#REF!*50)+(GBSOption("P", AK$9,#REF!,$O$2,#REF!,0, 0)*#REF!*50-#REF!*#REF!*50)</f>
        <v>#VALUE!</v>
      </c>
      <c r="AL45" s="52" t="e">
        <f>(GBSOption("C", AL$9,#REF!,$O$2,#REF!,0, 0)*#REF!*50-#REF!*#REF!*50)+(GBSOption("P", AL$9,#REF!,$O$2,#REF!,0, 0)*#REF!*50-#REF!*#REF!*50)</f>
        <v>#VALUE!</v>
      </c>
      <c r="AM45" s="52" t="e">
        <f>(GBSOption("C", AM$9,#REF!,$O$2,#REF!,0, 0)*#REF!*50-#REF!*#REF!*50)+(GBSOption("P", AM$9,#REF!,$O$2,#REF!,0, 0)*#REF!*50-#REF!*#REF!*50)</f>
        <v>#VALUE!</v>
      </c>
      <c r="AN45" s="52" t="e">
        <f>(GBSOption("C", AN$9,#REF!,$O$2,#REF!,0, 0)*#REF!*50-#REF!*#REF!*50)+(GBSOption("P", AN$9,#REF!,$O$2,#REF!,0, 0)*#REF!*50-#REF!*#REF!*50)</f>
        <v>#VALUE!</v>
      </c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J161"/>
  <sheetViews>
    <sheetView workbookViewId="0">
      <selection activeCell="A2" sqref="A2"/>
    </sheetView>
  </sheetViews>
  <sheetFormatPr defaultRowHeight="16.5" x14ac:dyDescent="0.25"/>
  <cols>
    <col min="1" max="1" width="12.875" customWidth="1"/>
    <col min="2" max="2" width="16.125" customWidth="1"/>
    <col min="3" max="3" width="11.125" customWidth="1"/>
    <col min="4" max="4" width="13.875" customWidth="1"/>
    <col min="5" max="5" width="10.5" bestFit="1" customWidth="1"/>
    <col min="6" max="6" width="13.5" customWidth="1"/>
    <col min="7" max="7" width="12.25" customWidth="1"/>
    <col min="8" max="8" width="9.5" bestFit="1" customWidth="1"/>
    <col min="10" max="10" width="11.75" bestFit="1" customWidth="1"/>
    <col min="12" max="12" width="13.125" customWidth="1"/>
    <col min="13" max="13" width="12" customWidth="1"/>
    <col min="14" max="14" width="11" customWidth="1"/>
    <col min="15" max="15" width="14.625" customWidth="1"/>
    <col min="16" max="16" width="14.375" customWidth="1"/>
    <col min="17" max="17" width="13.75" customWidth="1"/>
    <col min="18" max="18" width="14.125" customWidth="1"/>
    <col min="19" max="20" width="13.125" customWidth="1"/>
    <col min="21" max="23" width="10.625" customWidth="1"/>
    <col min="24" max="24" width="9.5" bestFit="1" customWidth="1"/>
  </cols>
  <sheetData>
    <row r="1" spans="1:36" x14ac:dyDescent="0.25">
      <c r="A1" s="1" t="s">
        <v>53</v>
      </c>
      <c r="B1" s="1" t="s">
        <v>48</v>
      </c>
      <c r="C1" s="1" t="s">
        <v>51</v>
      </c>
      <c r="D1" s="1" t="s">
        <v>52</v>
      </c>
      <c r="E1" s="2" t="s">
        <v>21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7</v>
      </c>
      <c r="L1" s="1" t="s">
        <v>15</v>
      </c>
      <c r="M1" s="2" t="s">
        <v>8</v>
      </c>
      <c r="N1" s="2" t="s">
        <v>9</v>
      </c>
      <c r="O1" s="2" t="s">
        <v>50</v>
      </c>
      <c r="P1" s="7" t="s">
        <v>20</v>
      </c>
      <c r="Q1" s="10" t="s">
        <v>19</v>
      </c>
      <c r="R1" s="10" t="s">
        <v>30</v>
      </c>
    </row>
    <row r="2" spans="1:36" x14ac:dyDescent="0.25">
      <c r="A2" s="22"/>
      <c r="B2" s="37">
        <f ca="1">SUM($B$11:$B$34)+SUM(R11:R34)</f>
        <v>13492572.638692021</v>
      </c>
      <c r="C2" s="37">
        <f ca="1">SUM(A11:A34)+SUM(S11:S34)</f>
        <v>-14421.061142163142</v>
      </c>
      <c r="D2" s="37">
        <f ca="1">IF(ISNUMBER(SUM(D11:D34)+SUM(P11:P34)),SUM(D11:D34)+SUM(P11:P34),0)</f>
        <v>-1246383.5824761302</v>
      </c>
      <c r="E2" s="37">
        <f>SUMIF(C11:C50,"&gt;0",C11:C50)+SUMIF(Q11:Q50,"&gt;0",Q11:Q50)</f>
        <v>457</v>
      </c>
      <c r="F2" s="22" t="str">
        <f>[1]!'101080`644'</f>
        <v>台指期080</v>
      </c>
      <c r="G2" s="23">
        <f>[1]!'101080`743'</f>
        <v>12108</v>
      </c>
      <c r="H2" s="23">
        <f>[1]!'101080`744'</f>
        <v>12109</v>
      </c>
      <c r="I2" s="23">
        <f>[1]!'101080`205'</f>
        <v>12109</v>
      </c>
      <c r="J2" s="23">
        <f>[1]!'101080`1003'</f>
        <v>25</v>
      </c>
      <c r="K2" s="24">
        <f>[1]!'101080`1004'</f>
        <v>0.20688500000000001</v>
      </c>
      <c r="L2" s="23" t="e">
        <f>I2-I3</f>
        <v>#VALUE!</v>
      </c>
      <c r="M2" s="29">
        <f>ThirdWednesday("2020/08/01")</f>
        <v>44062</v>
      </c>
      <c r="N2" s="30">
        <f ca="1">IF(TODAY()=M2,$S$2/252,(COUNTIF(工作日!$B$2:$B$500,"&lt;="&amp;M2)-COUNTIF(工作日!$B$2:$B$500,"&lt;"&amp;TODAY())-$S$2)/252)</f>
        <v>0.10317460317460317</v>
      </c>
      <c r="O2" s="30">
        <f ca="1">IF(TODAY()=M2,0.001/252,(COUNTIF(工作日!$B$2:$B$133,"&lt;="&amp;M2)-COUNTIF(工作日!$B$2:$B$133,"&lt;="&amp;TODAY())-$S$2)/252)</f>
        <v>9.9206349206349201E-2</v>
      </c>
      <c r="P2" s="8">
        <f>I2*0.01</f>
        <v>121.09</v>
      </c>
      <c r="Q2" s="11"/>
      <c r="R2" s="11">
        <f ca="1">SUM($U$11:$U$37)+SUM($V$11:$V$37)</f>
        <v>723.72897126152566</v>
      </c>
      <c r="S2" s="21">
        <f ca="1">IF(AND(TEXT(NOW(),"hh:mm")&gt;$U$3,TEXT(NOW(),"hh:mm")&lt;$U$2),0,VALUE(TEXT(NOW()-$U$2,"h:mm")/$X$2))</f>
        <v>0</v>
      </c>
      <c r="T2" s="21"/>
      <c r="U2" s="40" t="str">
        <f>TEXT("08:45:00 AM","h:mm")</f>
        <v>8:45</v>
      </c>
      <c r="V2" s="40"/>
      <c r="W2" s="40" t="str">
        <f>TEXT("08:45:00 AM","h:mm")</f>
        <v>8:45</v>
      </c>
      <c r="X2" s="35">
        <v>0.20833333333333334</v>
      </c>
      <c r="Y2" s="40" t="str">
        <f>TEXT("01:45:00 PM","h:mm")</f>
        <v>13:45</v>
      </c>
    </row>
    <row r="3" spans="1:36" x14ac:dyDescent="0.25">
      <c r="A3" s="25">
        <v>0</v>
      </c>
      <c r="B3" s="38">
        <f>A3*I2*200</f>
        <v>0</v>
      </c>
      <c r="C3" s="38"/>
      <c r="D3" s="38"/>
      <c r="F3" s="25" t="str">
        <f>[1]!'101999`644'</f>
        <v>台指期</v>
      </c>
      <c r="G3" s="26" t="str">
        <f>[1]!'101999`743'</f>
        <v>-</v>
      </c>
      <c r="H3" s="26" t="str">
        <f>[1]!'101999`744'</f>
        <v>-</v>
      </c>
      <c r="I3" s="26" t="str">
        <f>[1]!'101999`205'</f>
        <v>-</v>
      </c>
      <c r="J3" s="26">
        <f>[1]!'101999`1003'</f>
        <v>0</v>
      </c>
      <c r="K3" s="27">
        <f>[1]!'101999`1004'</f>
        <v>0</v>
      </c>
      <c r="L3" s="26"/>
      <c r="M3" s="26"/>
      <c r="N3" s="31"/>
      <c r="O3" s="31"/>
      <c r="P3" s="8"/>
      <c r="S3" s="9"/>
      <c r="T3" s="9"/>
      <c r="U3" s="40" t="str">
        <f>TEXT("03:00:00 PM","h:mm")</f>
        <v>15:00</v>
      </c>
    </row>
    <row r="4" spans="1:36" x14ac:dyDescent="0.25">
      <c r="A4" s="25"/>
      <c r="B4" s="38">
        <f ca="1">IF(ISNUMBER(B2+B3),B2+B3,0)</f>
        <v>13492572.638692021</v>
      </c>
      <c r="C4" s="38"/>
      <c r="D4" s="39">
        <f ca="1">B4/D2/100</f>
        <v>-0.10825377378516954</v>
      </c>
      <c r="F4" s="22" t="str">
        <f>[1]!'102080`644'</f>
        <v>電子期080</v>
      </c>
      <c r="G4" s="23">
        <f>[1]!'102080`743'</f>
        <v>559.70000000000005</v>
      </c>
      <c r="H4" s="23">
        <f>[1]!'102080`744'</f>
        <v>559.79999999999995</v>
      </c>
      <c r="I4" s="23">
        <f>[1]!'102080`205'</f>
        <v>559.70000000000005</v>
      </c>
      <c r="J4" s="23">
        <f>[1]!'102080`1003'</f>
        <v>0.5</v>
      </c>
      <c r="K4" s="24">
        <f>[1]!'102080`1004'</f>
        <v>8.9413000000000006E-2</v>
      </c>
      <c r="L4" s="26" t="e">
        <f>I4-I5</f>
        <v>#VALUE!</v>
      </c>
      <c r="M4" s="29">
        <f>ThirdWednesday("2020/08/01")</f>
        <v>44062</v>
      </c>
      <c r="N4" s="30">
        <f ca="1">IF(TODAY()=M4,$S$2/252,(COUNTIF(工作日!$B$2:$B$133,"&lt;="&amp;M4)-COUNTIF(工作日!$B$2:$B$133,"&lt;"&amp;TODAY())-$S$2)/252)</f>
        <v>0.10317460317460317</v>
      </c>
      <c r="O4" s="30">
        <f ca="1">(COUNTIF(工作日!$B$2:$B$133,"&lt;="&amp;M4)-COUNTIF(工作日!$B$2:$B$133,"&lt;="&amp;TODAY())-$S$2)/252</f>
        <v>9.9206349206349201E-2</v>
      </c>
      <c r="P4" s="8"/>
      <c r="Q4">
        <f ca="1">COUNTIF(工作日!$B$2:$B$2,"&lt;="&amp;M2)-COUNTIF(工作日!$B$2:$B$2,"&lt;"&amp;TODAY())</f>
        <v>1</v>
      </c>
      <c r="S4" s="9"/>
      <c r="T4" s="9"/>
    </row>
    <row r="5" spans="1:36" x14ac:dyDescent="0.25">
      <c r="F5" s="25" t="str">
        <f>[1]!'102999`644'</f>
        <v>電子期</v>
      </c>
      <c r="G5" s="26" t="str">
        <f>[1]!'102999`743'</f>
        <v>-</v>
      </c>
      <c r="H5" s="26" t="str">
        <f>[1]!'102999`744'</f>
        <v>-</v>
      </c>
      <c r="I5" s="26" t="str">
        <f>[1]!'102999`205'</f>
        <v>-</v>
      </c>
      <c r="J5" s="26">
        <f>[1]!'102999`1003'</f>
        <v>0</v>
      </c>
      <c r="K5" s="27">
        <f>[1]!'102999`1004'</f>
        <v>0</v>
      </c>
      <c r="L5" s="26"/>
      <c r="M5" s="26"/>
      <c r="N5" s="31"/>
      <c r="O5" s="31"/>
      <c r="P5" s="8"/>
      <c r="S5" s="9" t="str">
        <f ca="1">TEXT(NOW(),"hh:mm")</f>
        <v>19:02</v>
      </c>
      <c r="T5" s="9"/>
    </row>
    <row r="6" spans="1:36" x14ac:dyDescent="0.25">
      <c r="F6" s="22" t="str">
        <f>[1]!'103080`644'</f>
        <v>金融期080</v>
      </c>
      <c r="G6" s="23">
        <f>[1]!'103080`743'</f>
        <v>1258.4000000000001</v>
      </c>
      <c r="H6" s="23">
        <f>[1]!'103080`744'</f>
        <v>1258.8</v>
      </c>
      <c r="I6" s="23">
        <f>[1]!'103080`205'</f>
        <v>1258.5999999999999</v>
      </c>
      <c r="J6" s="23">
        <f>[1]!'103080`1003'</f>
        <v>6.2</v>
      </c>
      <c r="K6" s="24">
        <f>[1]!'103080`1004'</f>
        <v>0.49504900000000002</v>
      </c>
      <c r="L6" s="26">
        <f>I6-I7</f>
        <v>-24.680000000000064</v>
      </c>
      <c r="M6" s="32">
        <f>M4</f>
        <v>44062</v>
      </c>
      <c r="N6" s="30">
        <f ca="1">IF(TODAY()=M6,$S$2/252,(COUNTIF(工作日!$B$2:$B$133,"&lt;="&amp;M6)-COUNTIF(工作日!$B$2:$B$133,"&lt;"&amp;TODAY())-$S$2)/252)</f>
        <v>0.10317460317460317</v>
      </c>
      <c r="O6" s="30">
        <f ca="1">(COUNTIF(工作日!$B$2:$B$133,"&lt;="&amp;M6)-COUNTIF(工作日!$B$2:$B$133,"&lt;="&amp;TODAY())-$S$2)/252</f>
        <v>9.9206349206349201E-2</v>
      </c>
      <c r="P6" s="8"/>
      <c r="S6" s="9"/>
      <c r="T6" s="9"/>
    </row>
    <row r="7" spans="1:36" x14ac:dyDescent="0.25">
      <c r="F7" s="25" t="str">
        <f>[1]!'103999`644'</f>
        <v>金融期</v>
      </c>
      <c r="G7" s="26" t="str">
        <f>[1]!'103999`743'</f>
        <v>-</v>
      </c>
      <c r="H7" s="26" t="str">
        <f>[1]!'103999`744'</f>
        <v>-</v>
      </c>
      <c r="I7" s="26">
        <f>[1]!'103999`205'</f>
        <v>1283.28</v>
      </c>
      <c r="J7" s="26">
        <f>[1]!'103999`1003'</f>
        <v>3.57</v>
      </c>
      <c r="K7" s="27">
        <f>[1]!'103999`1004'</f>
        <v>0.27896900000000002</v>
      </c>
      <c r="L7" s="28"/>
      <c r="M7" s="33"/>
      <c r="N7" s="34"/>
      <c r="O7" s="34"/>
      <c r="P7" s="8"/>
    </row>
    <row r="8" spans="1:36" x14ac:dyDescent="0.25">
      <c r="D8" s="9"/>
      <c r="U8" t="s">
        <v>0</v>
      </c>
      <c r="W8" t="s">
        <v>0</v>
      </c>
    </row>
    <row r="9" spans="1:36" ht="17.25" thickBot="1" x14ac:dyDescent="0.3">
      <c r="A9" s="310" t="s">
        <v>1</v>
      </c>
      <c r="B9" s="311"/>
      <c r="C9" s="311"/>
      <c r="D9" s="311"/>
      <c r="E9" s="311"/>
      <c r="F9" s="311"/>
      <c r="G9" s="311"/>
      <c r="H9" s="311"/>
      <c r="I9" s="312"/>
      <c r="J9" s="16" t="s">
        <v>2949</v>
      </c>
      <c r="K9" s="310" t="s">
        <v>2</v>
      </c>
      <c r="L9" s="311"/>
      <c r="M9" s="311"/>
      <c r="N9" s="311"/>
      <c r="O9" s="311"/>
      <c r="P9" s="311"/>
      <c r="Q9" s="311"/>
      <c r="R9" s="311"/>
      <c r="S9" s="312"/>
    </row>
    <row r="10" spans="1:36" ht="17.25" thickBot="1" x14ac:dyDescent="0.3">
      <c r="A10" s="13" t="s">
        <v>49</v>
      </c>
      <c r="B10" s="13" t="s">
        <v>48</v>
      </c>
      <c r="C10" s="13" t="s">
        <v>21</v>
      </c>
      <c r="D10" s="13" t="s">
        <v>18</v>
      </c>
      <c r="E10" s="12" t="s">
        <v>3</v>
      </c>
      <c r="F10" s="12" t="s">
        <v>4</v>
      </c>
      <c r="G10" s="12" t="s">
        <v>5</v>
      </c>
      <c r="H10" s="12" t="s">
        <v>16</v>
      </c>
      <c r="I10" s="12" t="s">
        <v>17</v>
      </c>
      <c r="J10" s="16" t="s">
        <v>6</v>
      </c>
      <c r="K10" s="12" t="s">
        <v>3</v>
      </c>
      <c r="L10" s="12" t="s">
        <v>4</v>
      </c>
      <c r="M10" s="12" t="s">
        <v>5</v>
      </c>
      <c r="N10" s="12" t="s">
        <v>16</v>
      </c>
      <c r="O10" s="12" t="s">
        <v>17</v>
      </c>
      <c r="P10" s="13" t="s">
        <v>18</v>
      </c>
      <c r="Q10" s="13" t="s">
        <v>21</v>
      </c>
      <c r="R10" s="13" t="s">
        <v>48</v>
      </c>
      <c r="S10" s="13" t="s">
        <v>49</v>
      </c>
      <c r="T10" s="46"/>
      <c r="U10" s="44" t="s">
        <v>62</v>
      </c>
      <c r="V10" s="47" t="s">
        <v>63</v>
      </c>
      <c r="X10" s="4">
        <v>-0.03</v>
      </c>
      <c r="Y10" s="5">
        <f>X10+0.5%</f>
        <v>-2.4999999999999998E-2</v>
      </c>
      <c r="Z10" s="5">
        <f t="shared" ref="Z10:AJ10" si="0">Y10+0.5%</f>
        <v>-1.9999999999999997E-2</v>
      </c>
      <c r="AA10" s="5">
        <f t="shared" si="0"/>
        <v>-1.4999999999999996E-2</v>
      </c>
      <c r="AB10" s="5">
        <f t="shared" si="0"/>
        <v>-9.999999999999995E-3</v>
      </c>
      <c r="AC10" s="5">
        <f t="shared" si="0"/>
        <v>-4.9999999999999949E-3</v>
      </c>
      <c r="AD10" s="5">
        <f t="shared" si="0"/>
        <v>0</v>
      </c>
      <c r="AE10" s="5">
        <f t="shared" si="0"/>
        <v>5.0000000000000001E-3</v>
      </c>
      <c r="AF10" s="5">
        <f t="shared" si="0"/>
        <v>0.01</v>
      </c>
      <c r="AG10" s="5">
        <f t="shared" si="0"/>
        <v>1.4999999999999999E-2</v>
      </c>
      <c r="AH10" s="5">
        <f>AG10+0.5%</f>
        <v>0.02</v>
      </c>
      <c r="AI10" s="5">
        <f t="shared" si="0"/>
        <v>2.5000000000000001E-2</v>
      </c>
      <c r="AJ10" s="5">
        <f t="shared" si="0"/>
        <v>3.0000000000000002E-2</v>
      </c>
    </row>
    <row r="11" spans="1:36" x14ac:dyDescent="0.25">
      <c r="A11" s="36">
        <f t="shared" ref="A11:A50" ca="1" si="1">(GBSOption("C",$I$2,$J11, $N$2,$H11, 0,0)-GBSOption("C",$I$2,$J11, $O$2,$H11, 0,0))*$C11*50*-1</f>
        <v>0</v>
      </c>
      <c r="B11" s="14">
        <f t="shared" ref="B11:B50" ca="1" si="2">GBSGreeks("d", "C",$I$2,$J11,$N$2,$H11, 0,0)*50*$I$2*$C11</f>
        <v>0</v>
      </c>
      <c r="C11" s="14">
        <f>SUMIFS(指數型權證!$AH$1:$AH$49,指數型權證!$AL$1:$AL$49,"8",指數型權證!$AJ$1:$AJ$49,J11,指數型權證!$AM$1:$AM$49,"Call")</f>
        <v>0</v>
      </c>
      <c r="D11" s="14">
        <f t="shared" ref="D11:D50" ca="1" si="3">GBSGreeks("g", "C",$I$2,$J11,$N$2,$H11, 0,0)*$P$2*50*$I$2*$C11*-1</f>
        <v>0</v>
      </c>
      <c r="E11" s="17">
        <f>[3]!'WTXOQ0;9100C`267'</f>
        <v>2870</v>
      </c>
      <c r="F11" s="17">
        <f>[3]!'WTXOQ0;9100C`268'</f>
        <v>3120</v>
      </c>
      <c r="G11" s="17" t="str">
        <f>[3]!'WTXOQ0;9100C`205'</f>
        <v>-</v>
      </c>
      <c r="H11" s="19">
        <f t="shared" ref="H11:I34" ca="1" si="4">IF(ISNUMBER(GBSImpliedVol("C",E11,$I$2,$J11,$N$2,0,0)),GBSImpliedVol("C",E11,$I$2,$J11,$N$2,0,0),0.6)</f>
        <v>1.610321044921875E-4</v>
      </c>
      <c r="I11" s="19">
        <f t="shared" ca="1" si="4"/>
        <v>0.69519463806152348</v>
      </c>
      <c r="J11" s="18">
        <v>9100</v>
      </c>
      <c r="K11" s="17">
        <f>[3]!'WTXOQ0;9100P`267'</f>
        <v>7.5</v>
      </c>
      <c r="L11" s="17">
        <f>[3]!'WTXOQ0;9100P`268'</f>
        <v>8.3000000000000007</v>
      </c>
      <c r="M11" s="17">
        <f>[3]!'WTXOQ0;9100P`205'</f>
        <v>7.7</v>
      </c>
      <c r="N11" s="19">
        <f t="shared" ref="N11:O34" ca="1" si="5">IF(ISNUMBER(GBSImpliedVol("P",K11,$I$2,$J11,$N$2,0,0)),GBSImpliedVol("P",K11,$I$2,$J11,$N$2,0,0),0.6)</f>
        <v>0.41139535217285161</v>
      </c>
      <c r="O11" s="19">
        <f t="shared" ca="1" si="5"/>
        <v>0.41737649841308599</v>
      </c>
      <c r="P11" s="14">
        <f t="shared" ref="P11:P50" ca="1" si="6">GBSGreeks("g", "P",$I$2,$J11,$N$2,$N11, 0,0)*$P$2*50*$I$2*$Q11*-1</f>
        <v>0</v>
      </c>
      <c r="Q11" s="14">
        <f>SUMIFS(指數型權證!$AH$1:$AH$49,指數型權證!$AL$1:$AL$49,"8",指數型權證!$AJ$1:$AJ$49,J11,指數型權證!$AM$1:$AM$49,"Put")</f>
        <v>0</v>
      </c>
      <c r="R11" s="14">
        <f t="shared" ref="R11:R34" ca="1" si="7">GBSGreeks("d", "P",$I$2,$J11,$N$2,$N11, 0,0)*50*$I$2*Q11</f>
        <v>0</v>
      </c>
      <c r="S11" s="36">
        <f t="shared" ref="S11:S44" ca="1" si="8">(GBSOption("P",$I$2,$J11,$N$2,N11,0,0)-GBSOption("P",$I$2,$J11,$O$2,N11,0,0))*Q11*50*-1</f>
        <v>0</v>
      </c>
      <c r="T11" s="36"/>
      <c r="U11" s="48">
        <f t="shared" ref="U11:U50" ca="1" si="9">(GBSOption("C",$I$2,$J11,$N$2,$H11,0, 0)-GBSOption("C",$I$2,$J11,$N$2,$H11+0.01,0, 0))*50*$C11</f>
        <v>0</v>
      </c>
      <c r="V11" s="48">
        <f t="shared" ref="V11:V50" ca="1" si="10">(GBSOption("P",$I$2,$J11,$N$2,$N11,0, 0)-GBSOption("P",$I$2,$J11,$N$2,$N11+0.01,0, 0))*50*$Q11</f>
        <v>0</v>
      </c>
      <c r="W11">
        <f t="shared" ref="W11:W20" si="11">J21</f>
        <v>10100</v>
      </c>
      <c r="X11" s="6">
        <f t="shared" ref="X11:AJ20" ca="1" si="12">GBSOption($I$2,$I$2*(1+X$10),$J21,$N$2,IF($W$8="C",$H21,$N21),0,0)</f>
        <v>34.125620118127031</v>
      </c>
      <c r="Y11" s="6">
        <f t="shared" ca="1" si="12"/>
        <v>30.489665141540868</v>
      </c>
      <c r="Z11" s="6">
        <f t="shared" ca="1" si="12"/>
        <v>27.202775744532762</v>
      </c>
      <c r="AA11" s="6">
        <f t="shared" ca="1" si="12"/>
        <v>24.236389117080194</v>
      </c>
      <c r="AB11" s="6">
        <f t="shared" ca="1" si="12"/>
        <v>21.563661042898769</v>
      </c>
      <c r="AC11" s="6">
        <f t="shared" ca="1" si="12"/>
        <v>19.159439340563303</v>
      </c>
      <c r="AD11" s="6">
        <f t="shared" ca="1" si="12"/>
        <v>17.000226864874978</v>
      </c>
      <c r="AE11" s="6">
        <f t="shared" ca="1" si="12"/>
        <v>15.064135595051894</v>
      </c>
      <c r="AF11" s="6">
        <f t="shared" ca="1" si="12"/>
        <v>13.330833281760345</v>
      </c>
      <c r="AG11" s="6">
        <f t="shared" ca="1" si="12"/>
        <v>11.781484051153553</v>
      </c>
      <c r="AH11" s="6">
        <f t="shared" ca="1" si="12"/>
        <v>10.398684275500212</v>
      </c>
      <c r="AI11" s="6">
        <f t="shared" ca="1" si="12"/>
        <v>9.166394920947317</v>
      </c>
      <c r="AJ11" s="6">
        <f t="shared" ca="1" si="12"/>
        <v>8.0698714770638453</v>
      </c>
    </row>
    <row r="12" spans="1:36" x14ac:dyDescent="0.25">
      <c r="A12" s="36">
        <f t="shared" ca="1" si="1"/>
        <v>0</v>
      </c>
      <c r="B12" s="14">
        <f t="shared" ca="1" si="2"/>
        <v>0</v>
      </c>
      <c r="C12" s="14">
        <f>SUMIFS(指數型權證!$AH$1:$AH$49,指數型權證!$AL$1:$AL$49,"8",指數型權證!$AJ$1:$AJ$49,J12,指數型權證!$AM$1:$AM$49,"Call")</f>
        <v>0</v>
      </c>
      <c r="D12" s="14">
        <f t="shared" ca="1" si="3"/>
        <v>0</v>
      </c>
      <c r="E12" s="17">
        <f>[3]!'WTXOQ0;9200C`267'</f>
        <v>2770</v>
      </c>
      <c r="F12" s="17">
        <f>[3]!'WTXOQ0;9200C`268'</f>
        <v>3020</v>
      </c>
      <c r="G12" s="17" t="str">
        <f>[3]!'WTXOQ0;9200C`205'</f>
        <v>-</v>
      </c>
      <c r="H12" s="19">
        <f t="shared" ca="1" si="4"/>
        <v>1.610321044921875E-4</v>
      </c>
      <c r="I12" s="19">
        <f t="shared" ca="1" si="4"/>
        <v>0.67456578674316403</v>
      </c>
      <c r="J12" s="18">
        <f t="shared" ref="J12:J44" si="13">J11+100</f>
        <v>9200</v>
      </c>
      <c r="K12" s="17">
        <f>[3]!'WTXOQ0;9200P`267'</f>
        <v>7</v>
      </c>
      <c r="L12" s="17">
        <f>[3]!'WTXOQ0;9200P`268'</f>
        <v>10</v>
      </c>
      <c r="M12" s="17" t="str">
        <f>[3]!'WTXOQ0;9200P`205'</f>
        <v>-</v>
      </c>
      <c r="N12" s="19">
        <f t="shared" ca="1" si="5"/>
        <v>0.3936960418701172</v>
      </c>
      <c r="O12" s="19">
        <f t="shared" ca="1" si="5"/>
        <v>0.41456902160644538</v>
      </c>
      <c r="P12" s="14">
        <f t="shared" ca="1" si="6"/>
        <v>0</v>
      </c>
      <c r="Q12" s="14">
        <f>SUMIFS(指數型權證!$AH$1:$AH$49,指數型權證!$AL$1:$AL$49,"8",指數型權證!$AJ$1:$AJ$49,J12,指數型權證!$AM$1:$AM$49,"Put")</f>
        <v>0</v>
      </c>
      <c r="R12" s="14">
        <f t="shared" ca="1" si="7"/>
        <v>0</v>
      </c>
      <c r="S12" s="36">
        <f t="shared" ca="1" si="8"/>
        <v>0</v>
      </c>
      <c r="T12" s="36"/>
      <c r="U12" s="49">
        <f t="shared" ca="1" si="9"/>
        <v>0</v>
      </c>
      <c r="V12" s="49">
        <f t="shared" ca="1" si="10"/>
        <v>0</v>
      </c>
      <c r="W12">
        <f t="shared" si="11"/>
        <v>10200</v>
      </c>
      <c r="X12" s="6">
        <f t="shared" ca="1" si="12"/>
        <v>30.974450258673169</v>
      </c>
      <c r="Y12" s="6">
        <f t="shared" ca="1" si="12"/>
        <v>27.409755230868246</v>
      </c>
      <c r="Z12" s="6">
        <f t="shared" ca="1" si="12"/>
        <v>24.214440936760372</v>
      </c>
      <c r="AA12" s="6">
        <f t="shared" ca="1" si="12"/>
        <v>21.355901301885947</v>
      </c>
      <c r="AB12" s="6">
        <f t="shared" ca="1" si="12"/>
        <v>18.803647545534968</v>
      </c>
      <c r="AC12" s="6">
        <f t="shared" ca="1" si="12"/>
        <v>16.529272063625299</v>
      </c>
      <c r="AD12" s="6">
        <f t="shared" ca="1" si="12"/>
        <v>14.506397605454691</v>
      </c>
      <c r="AE12" s="6">
        <f t="shared" ca="1" si="12"/>
        <v>12.710614065698854</v>
      </c>
      <c r="AF12" s="6">
        <f t="shared" ca="1" si="12"/>
        <v>11.119405121822949</v>
      </c>
      <c r="AG12" s="6">
        <f t="shared" ca="1" si="12"/>
        <v>9.7120668230008125</v>
      </c>
      <c r="AH12" s="6">
        <f t="shared" ca="1" si="12"/>
        <v>8.4696200880100374</v>
      </c>
      <c r="AI12" s="6">
        <f t="shared" ca="1" si="12"/>
        <v>7.3747189041283274</v>
      </c>
      <c r="AJ12" s="6">
        <f t="shared" ca="1" si="12"/>
        <v>6.4115558431875064</v>
      </c>
    </row>
    <row r="13" spans="1:36" x14ac:dyDescent="0.25">
      <c r="A13" s="36">
        <f t="shared" ca="1" si="1"/>
        <v>0</v>
      </c>
      <c r="B13" s="14">
        <f t="shared" ca="1" si="2"/>
        <v>0</v>
      </c>
      <c r="C13" s="14">
        <f>SUMIFS(指數型權證!$AH$1:$AH$49,指數型權證!$AL$1:$AL$49,"8",指數型權證!$AJ$1:$AJ$49,J13,指數型權證!$AM$1:$AM$49,"Call")</f>
        <v>0</v>
      </c>
      <c r="D13" s="14">
        <f t="shared" ca="1" si="3"/>
        <v>0</v>
      </c>
      <c r="E13" s="17">
        <f>[3]!'WTXOQ0;9300C`267'</f>
        <v>2670</v>
      </c>
      <c r="F13" s="17">
        <f>[3]!'WTXOQ0;9300C`268'</f>
        <v>2920</v>
      </c>
      <c r="G13" s="20" t="str">
        <f>[3]!'WTXOQ0;9300C`205'</f>
        <v>-</v>
      </c>
      <c r="H13" s="19">
        <f t="shared" ca="1" si="4"/>
        <v>1.610321044921875E-4</v>
      </c>
      <c r="I13" s="19">
        <f t="shared" ca="1" si="4"/>
        <v>0.65418106384277341</v>
      </c>
      <c r="J13" s="18">
        <f t="shared" si="13"/>
        <v>9300</v>
      </c>
      <c r="K13" s="17">
        <f>[3]!'WTXOQ0;9300P`267'</f>
        <v>8.5</v>
      </c>
      <c r="L13" s="17">
        <f>[3]!'WTXOQ0;9300P`268'</f>
        <v>9.4</v>
      </c>
      <c r="M13" s="17">
        <f>[3]!'WTXOQ0;9300P`205'</f>
        <v>9.8000000000000007</v>
      </c>
      <c r="N13" s="19">
        <f t="shared" ca="1" si="5"/>
        <v>0.39076650085449216</v>
      </c>
      <c r="O13" s="19">
        <f t="shared" ca="1" si="5"/>
        <v>0.39662558288574212</v>
      </c>
      <c r="P13" s="14">
        <f t="shared" ca="1" si="6"/>
        <v>0</v>
      </c>
      <c r="Q13" s="14">
        <f>SUMIFS(指數型權證!$AH$1:$AH$49,指數型權證!$AL$1:$AL$49,"8",指數型權證!$AJ$1:$AJ$49,J13,指數型權證!$AM$1:$AM$49,"Put")</f>
        <v>0</v>
      </c>
      <c r="R13" s="14">
        <f t="shared" ca="1" si="7"/>
        <v>0</v>
      </c>
      <c r="S13" s="36">
        <f t="shared" ca="1" si="8"/>
        <v>0</v>
      </c>
      <c r="T13" s="36"/>
      <c r="U13" s="49">
        <f t="shared" ca="1" si="9"/>
        <v>0</v>
      </c>
      <c r="V13" s="49">
        <f t="shared" ca="1" si="10"/>
        <v>0</v>
      </c>
      <c r="W13">
        <f t="shared" si="11"/>
        <v>10300</v>
      </c>
      <c r="X13" s="6">
        <f t="shared" ca="1" si="12"/>
        <v>45.810764513863006</v>
      </c>
      <c r="Y13" s="6">
        <f t="shared" ca="1" si="12"/>
        <v>40.996870532375276</v>
      </c>
      <c r="Z13" s="6">
        <f t="shared" ca="1" si="12"/>
        <v>36.632844939982803</v>
      </c>
      <c r="AA13" s="6">
        <f t="shared" ca="1" si="12"/>
        <v>32.683813378408736</v>
      </c>
      <c r="AB13" s="6">
        <f t="shared" ca="1" si="12"/>
        <v>29.116719521435751</v>
      </c>
      <c r="AC13" s="6">
        <f t="shared" ca="1" si="12"/>
        <v>25.900339712854624</v>
      </c>
      <c r="AD13" s="6">
        <f t="shared" ca="1" si="12"/>
        <v>23.005281099358129</v>
      </c>
      <c r="AE13" s="6">
        <f t="shared" ca="1" si="12"/>
        <v>20.403964960194884</v>
      </c>
      <c r="AF13" s="6">
        <f t="shared" ca="1" si="12"/>
        <v>18.070596974724154</v>
      </c>
      <c r="AG13" s="6">
        <f t="shared" ca="1" si="12"/>
        <v>15.981126167292448</v>
      </c>
      <c r="AH13" s="6">
        <f t="shared" ca="1" si="12"/>
        <v>14.113194232840547</v>
      </c>
      <c r="AI13" s="6">
        <f t="shared" ca="1" si="12"/>
        <v>12.446076882938177</v>
      </c>
      <c r="AJ13" s="6">
        <f t="shared" ca="1" si="12"/>
        <v>10.960618766061565</v>
      </c>
    </row>
    <row r="14" spans="1:36" x14ac:dyDescent="0.25">
      <c r="A14" s="36">
        <f t="shared" ca="1" si="1"/>
        <v>0</v>
      </c>
      <c r="B14" s="14">
        <f t="shared" ca="1" si="2"/>
        <v>0</v>
      </c>
      <c r="C14" s="14">
        <f>SUMIFS(指數型權證!$AH$1:$AH$49,指數型權證!$AL$1:$AL$49,"8",指數型權證!$AJ$1:$AJ$49,J14,指數型權證!$AM$1:$AM$49,"Call")</f>
        <v>0</v>
      </c>
      <c r="D14" s="14">
        <f t="shared" ca="1" si="3"/>
        <v>0</v>
      </c>
      <c r="E14" s="17">
        <f>[3]!'WTXOQ0;9400C`267'</f>
        <v>2570</v>
      </c>
      <c r="F14" s="17">
        <f>[3]!'WTXOQ0;9400C`268'</f>
        <v>2820</v>
      </c>
      <c r="G14" s="17" t="str">
        <f>[3]!'WTXOQ0;9400C`205'</f>
        <v>-</v>
      </c>
      <c r="H14" s="19">
        <f t="shared" ca="1" si="4"/>
        <v>1.610321044921875E-4</v>
      </c>
      <c r="I14" s="19">
        <f t="shared" ca="1" si="4"/>
        <v>0.63391840515136721</v>
      </c>
      <c r="J14" s="18">
        <f t="shared" si="13"/>
        <v>9400</v>
      </c>
      <c r="K14" s="17">
        <f>[3]!'WTXOQ0;9400P`267'</f>
        <v>6</v>
      </c>
      <c r="L14" s="17">
        <f>[3]!'WTXOQ0;9400P`268'</f>
        <v>11</v>
      </c>
      <c r="M14" s="17" t="str">
        <f>[3]!'WTXOQ0;9400P`205'</f>
        <v>-</v>
      </c>
      <c r="N14" s="19">
        <f t="shared" ca="1" si="5"/>
        <v>0.35866361389160162</v>
      </c>
      <c r="O14" s="19">
        <f t="shared" ca="1" si="5"/>
        <v>0.39198714294433595</v>
      </c>
      <c r="P14" s="14">
        <f t="shared" ca="1" si="6"/>
        <v>0</v>
      </c>
      <c r="Q14" s="14">
        <f>SUMIFS(指數型權證!$AH$1:$AH$49,指數型權證!$AL$1:$AL$49,"8",指數型權證!$AJ$1:$AJ$49,J14,指數型權證!$AM$1:$AM$49,"Put")</f>
        <v>0</v>
      </c>
      <c r="R14" s="14">
        <f t="shared" ca="1" si="7"/>
        <v>0</v>
      </c>
      <c r="S14" s="36">
        <f t="shared" ca="1" si="8"/>
        <v>0</v>
      </c>
      <c r="T14" s="36"/>
      <c r="U14" s="49">
        <f t="shared" ca="1" si="9"/>
        <v>0</v>
      </c>
      <c r="V14" s="49">
        <f t="shared" ca="1" si="10"/>
        <v>0</v>
      </c>
      <c r="W14">
        <f t="shared" si="11"/>
        <v>10400</v>
      </c>
      <c r="X14" s="6">
        <f t="shared" ca="1" si="12"/>
        <v>51.071885126731502</v>
      </c>
      <c r="Y14" s="6">
        <f t="shared" ca="1" si="12"/>
        <v>45.670031066970544</v>
      </c>
      <c r="Z14" s="6">
        <f t="shared" ca="1" si="12"/>
        <v>40.773056547726497</v>
      </c>
      <c r="AA14" s="6">
        <f t="shared" ca="1" si="12"/>
        <v>36.342351171837073</v>
      </c>
      <c r="AB14" s="6">
        <f t="shared" ca="1" si="12"/>
        <v>32.34119076069301</v>
      </c>
      <c r="AC14" s="6">
        <f t="shared" ca="1" si="12"/>
        <v>28.73477826842246</v>
      </c>
      <c r="AD14" s="6">
        <f t="shared" ca="1" si="12"/>
        <v>25.490264159809211</v>
      </c>
      <c r="AE14" s="6">
        <f t="shared" ca="1" si="12"/>
        <v>22.576748044710769</v>
      </c>
      <c r="AF14" s="6">
        <f t="shared" ca="1" si="12"/>
        <v>19.965263477688879</v>
      </c>
      <c r="AG14" s="6">
        <f t="shared" ca="1" si="12"/>
        <v>17.62874788898279</v>
      </c>
      <c r="AH14" s="6">
        <f t="shared" ca="1" si="12"/>
        <v>15.541999620404104</v>
      </c>
      <c r="AI14" s="6">
        <f t="shared" ca="1" si="12"/>
        <v>13.681624005254177</v>
      </c>
      <c r="AJ14" s="6">
        <f t="shared" ca="1" si="12"/>
        <v>12.025970362822797</v>
      </c>
    </row>
    <row r="15" spans="1:36" x14ac:dyDescent="0.25">
      <c r="A15" s="36">
        <f t="shared" ca="1" si="1"/>
        <v>0</v>
      </c>
      <c r="B15" s="14">
        <f t="shared" ca="1" si="2"/>
        <v>0</v>
      </c>
      <c r="C15" s="14">
        <f>SUMIFS(指數型權證!$AH$1:$AH$49,指數型權證!$AL$1:$AL$49,"8",指數型權證!$AJ$1:$AJ$49,J15,指數型權證!$AM$1:$AM$49,"Call")</f>
        <v>0</v>
      </c>
      <c r="D15" s="14">
        <f t="shared" ca="1" si="3"/>
        <v>0</v>
      </c>
      <c r="E15" s="17">
        <f>[3]!'WTXOQ0;9500C`267'</f>
        <v>2470</v>
      </c>
      <c r="F15" s="17">
        <f>[3]!'WTXOQ0;9500C`268'</f>
        <v>2720</v>
      </c>
      <c r="G15" s="17" t="str">
        <f>[3]!'WTXOQ0;9500C`205'</f>
        <v>-</v>
      </c>
      <c r="H15" s="19">
        <f t="shared" ca="1" si="4"/>
        <v>1.610321044921875E-4</v>
      </c>
      <c r="I15" s="19">
        <f t="shared" ca="1" si="4"/>
        <v>0.61377781066894543</v>
      </c>
      <c r="J15" s="18">
        <f t="shared" si="13"/>
        <v>9500</v>
      </c>
      <c r="K15" s="17">
        <f>[3]!'WTXOQ0;9500P`267'</f>
        <v>10</v>
      </c>
      <c r="L15" s="17">
        <f>[3]!'WTXOQ0;9500P`268'</f>
        <v>11</v>
      </c>
      <c r="M15" s="17">
        <f>[3]!'WTXOQ0;9500P`205'</f>
        <v>10</v>
      </c>
      <c r="N15" s="19">
        <f t="shared" ca="1" si="5"/>
        <v>0.37221274108886715</v>
      </c>
      <c r="O15" s="19">
        <f t="shared" ca="1" si="5"/>
        <v>0.3778276947021485</v>
      </c>
      <c r="P15" s="14">
        <f t="shared" ca="1" si="6"/>
        <v>0</v>
      </c>
      <c r="Q15" s="14">
        <f>SUMIFS(指數型權證!$AH$1:$AH$49,指數型權證!$AL$1:$AL$49,"8",指數型權證!$AJ$1:$AJ$49,J15,指數型權證!$AM$1:$AM$49,"Put")</f>
        <v>0</v>
      </c>
      <c r="R15" s="14">
        <f t="shared" ca="1" si="7"/>
        <v>0</v>
      </c>
      <c r="S15" s="36">
        <f t="shared" ca="1" si="8"/>
        <v>0</v>
      </c>
      <c r="T15" s="36"/>
      <c r="U15" s="49">
        <f t="shared" ca="1" si="9"/>
        <v>0</v>
      </c>
      <c r="V15" s="49">
        <f t="shared" ca="1" si="10"/>
        <v>0</v>
      </c>
      <c r="W15">
        <f t="shared" si="11"/>
        <v>10500</v>
      </c>
      <c r="X15" s="6">
        <f t="shared" ca="1" si="12"/>
        <v>53.481368494696234</v>
      </c>
      <c r="Y15" s="6">
        <f t="shared" ca="1" si="12"/>
        <v>47.641939387342482</v>
      </c>
      <c r="Z15" s="6">
        <f t="shared" ca="1" si="12"/>
        <v>42.363052527171526</v>
      </c>
      <c r="AA15" s="6">
        <f t="shared" ca="1" si="12"/>
        <v>37.601159403508525</v>
      </c>
      <c r="AB15" s="6">
        <f t="shared" ca="1" si="12"/>
        <v>33.31478055824482</v>
      </c>
      <c r="AC15" s="6">
        <f t="shared" ca="1" si="12"/>
        <v>29.464576666694896</v>
      </c>
      <c r="AD15" s="6">
        <f t="shared" ca="1" si="12"/>
        <v>26.01339266123308</v>
      </c>
      <c r="AE15" s="6">
        <f t="shared" ca="1" si="12"/>
        <v>22.926276992780874</v>
      </c>
      <c r="AF15" s="6">
        <f t="shared" ca="1" si="12"/>
        <v>20.170478353990056</v>
      </c>
      <c r="AG15" s="6">
        <f t="shared" ca="1" si="12"/>
        <v>17.71542232662215</v>
      </c>
      <c r="AH15" s="6">
        <f t="shared" ca="1" si="12"/>
        <v>15.53267047611121</v>
      </c>
      <c r="AI15" s="6">
        <f t="shared" ca="1" si="12"/>
        <v>13.595864410731732</v>
      </c>
      <c r="AJ15" s="6">
        <f t="shared" ca="1" si="12"/>
        <v>11.880657262255848</v>
      </c>
    </row>
    <row r="16" spans="1:36" x14ac:dyDescent="0.25">
      <c r="A16" s="36">
        <f t="shared" ca="1" si="1"/>
        <v>0</v>
      </c>
      <c r="B16" s="14">
        <f t="shared" ca="1" si="2"/>
        <v>0</v>
      </c>
      <c r="C16" s="14">
        <f>SUMIFS(指數型權證!$AH$1:$AH$49,指數型權證!$AL$1:$AL$49,"8",指數型權證!$AJ$1:$AJ$49,J16,指數型權證!$AM$1:$AM$49,"Call")</f>
        <v>0</v>
      </c>
      <c r="D16" s="14">
        <f t="shared" ca="1" si="3"/>
        <v>0</v>
      </c>
      <c r="E16" s="17">
        <f>[3]!'WTXOQ0;9600C`267'</f>
        <v>2370</v>
      </c>
      <c r="F16" s="17">
        <f>[3]!'WTXOQ0;9600C`268'</f>
        <v>2630</v>
      </c>
      <c r="G16" s="17" t="str">
        <f>[3]!'WTXOQ0;9600C`205'</f>
        <v>-</v>
      </c>
      <c r="H16" s="19">
        <f t="shared" ca="1" si="4"/>
        <v>1.610321044921875E-4</v>
      </c>
      <c r="I16" s="19">
        <f t="shared" ca="1" si="4"/>
        <v>0.60877317810058607</v>
      </c>
      <c r="J16" s="18">
        <f t="shared" si="13"/>
        <v>9600</v>
      </c>
      <c r="K16" s="17">
        <f>[3]!'WTXOQ0;9600P`267'</f>
        <v>9.5</v>
      </c>
      <c r="L16" s="17">
        <f>[3]!'WTXOQ0;9600P`268'</f>
        <v>17</v>
      </c>
      <c r="M16" s="17" t="str">
        <f>[3]!'WTXOQ0;9600P`205'</f>
        <v>-</v>
      </c>
      <c r="N16" s="19">
        <f t="shared" ca="1" si="5"/>
        <v>0.35548994445800786</v>
      </c>
      <c r="O16" s="19">
        <f t="shared" ca="1" si="5"/>
        <v>0.39101062927246094</v>
      </c>
      <c r="P16" s="14">
        <f t="shared" ca="1" si="6"/>
        <v>0</v>
      </c>
      <c r="Q16" s="14">
        <f>SUMIFS(指數型權證!$AH$1:$AH$49,指數型權證!$AL$1:$AL$49,"8",指數型權證!$AJ$1:$AJ$49,J16,指數型權證!$AM$1:$AM$49,"Put")</f>
        <v>0</v>
      </c>
      <c r="R16" s="14">
        <f t="shared" ca="1" si="7"/>
        <v>0</v>
      </c>
      <c r="S16" s="36">
        <f t="shared" ca="1" si="8"/>
        <v>0</v>
      </c>
      <c r="T16" s="36"/>
      <c r="U16" s="49">
        <f t="shared" ca="1" si="9"/>
        <v>0</v>
      </c>
      <c r="V16" s="49">
        <f t="shared" ca="1" si="10"/>
        <v>0</v>
      </c>
      <c r="W16">
        <f t="shared" si="11"/>
        <v>10600</v>
      </c>
      <c r="X16" s="6">
        <f t="shared" ca="1" si="12"/>
        <v>66.120823557459815</v>
      </c>
      <c r="Y16" s="6">
        <f t="shared" ca="1" si="12"/>
        <v>59.149980879105591</v>
      </c>
      <c r="Z16" s="6">
        <f t="shared" ca="1" si="12"/>
        <v>52.818431869536447</v>
      </c>
      <c r="AA16" s="6">
        <f t="shared" ca="1" si="12"/>
        <v>47.079898473171667</v>
      </c>
      <c r="AB16" s="6">
        <f t="shared" ca="1" si="12"/>
        <v>41.88992210180151</v>
      </c>
      <c r="AC16" s="6">
        <f t="shared" ca="1" si="12"/>
        <v>37.205984308590246</v>
      </c>
      <c r="AD16" s="6">
        <f t="shared" ca="1" si="12"/>
        <v>32.987598789133401</v>
      </c>
      <c r="AE16" s="6">
        <f t="shared" ca="1" si="12"/>
        <v>29.196376043128666</v>
      </c>
      <c r="AF16" s="6">
        <f t="shared" ca="1" si="12"/>
        <v>25.796062432734061</v>
      </c>
      <c r="AG16" s="6">
        <f t="shared" ca="1" si="12"/>
        <v>22.752555670990727</v>
      </c>
      <c r="AH16" s="6">
        <f t="shared" ca="1" si="12"/>
        <v>20.033898977089255</v>
      </c>
      <c r="AI16" s="6">
        <f t="shared" ca="1" si="12"/>
        <v>17.610256255707817</v>
      </c>
      <c r="AJ16" s="6">
        <f t="shared" ca="1" si="12"/>
        <v>15.453870706311996</v>
      </c>
    </row>
    <row r="17" spans="1:36" x14ac:dyDescent="0.25">
      <c r="A17" s="36">
        <f t="shared" ca="1" si="1"/>
        <v>0</v>
      </c>
      <c r="B17" s="14">
        <f t="shared" ca="1" si="2"/>
        <v>0</v>
      </c>
      <c r="C17" s="14">
        <f>SUMIFS(指數型權證!$AH$1:$AH$49,指數型權證!$AL$1:$AL$49,"8",指數型權證!$AJ$1:$AJ$49,J17,指數型權證!$AM$1:$AM$49,"Call")</f>
        <v>0</v>
      </c>
      <c r="D17" s="14">
        <f t="shared" ca="1" si="3"/>
        <v>0</v>
      </c>
      <c r="E17" s="17">
        <f>[3]!'WTXOQ0;9700C`267'</f>
        <v>2270</v>
      </c>
      <c r="F17" s="17">
        <f>[3]!'WTXOQ0;9700C`268'</f>
        <v>2530</v>
      </c>
      <c r="G17" s="17" t="str">
        <f>[3]!'WTXOQ0;9700C`205'</f>
        <v>-</v>
      </c>
      <c r="H17" s="19">
        <f t="shared" ca="1" si="4"/>
        <v>1.610321044921875E-4</v>
      </c>
      <c r="I17" s="19">
        <f t="shared" ca="1" si="4"/>
        <v>0.58851051940917976</v>
      </c>
      <c r="J17" s="18">
        <f t="shared" si="13"/>
        <v>9700</v>
      </c>
      <c r="K17" s="17">
        <f>[3]!'WTXOQ0;9700P`267'</f>
        <v>11</v>
      </c>
      <c r="L17" s="17">
        <f>[3]!'WTXOQ0;9700P`268'</f>
        <v>14</v>
      </c>
      <c r="M17" s="17">
        <f>[3]!'WTXOQ0;9700P`205'</f>
        <v>15</v>
      </c>
      <c r="N17" s="19">
        <f t="shared" ca="1" si="5"/>
        <v>0.3497529266357422</v>
      </c>
      <c r="O17" s="19">
        <f t="shared" ca="1" si="5"/>
        <v>0.3637903106689454</v>
      </c>
      <c r="P17" s="14">
        <f t="shared" ca="1" si="6"/>
        <v>0</v>
      </c>
      <c r="Q17" s="14">
        <f>SUMIFS(指數型權證!$AH$1:$AH$49,指數型權證!$AL$1:$AL$49,"8",指數型權證!$AJ$1:$AJ$49,J17,指數型權證!$AM$1:$AM$49,"Put")</f>
        <v>0</v>
      </c>
      <c r="R17" s="14">
        <f t="shared" ca="1" si="7"/>
        <v>0</v>
      </c>
      <c r="S17" s="36">
        <f t="shared" ca="1" si="8"/>
        <v>0</v>
      </c>
      <c r="T17" s="36"/>
      <c r="U17" s="49">
        <f t="shared" ca="1" si="9"/>
        <v>0</v>
      </c>
      <c r="V17" s="49">
        <f t="shared" ca="1" si="10"/>
        <v>0</v>
      </c>
      <c r="W17">
        <f t="shared" si="11"/>
        <v>10700</v>
      </c>
      <c r="X17" s="6">
        <f t="shared" ca="1" si="12"/>
        <v>64.461953115453028</v>
      </c>
      <c r="Y17" s="6">
        <f t="shared" ca="1" si="12"/>
        <v>57.206303068989513</v>
      </c>
      <c r="Z17" s="6">
        <f t="shared" ca="1" si="12"/>
        <v>50.658414102281753</v>
      </c>
      <c r="AA17" s="6">
        <f t="shared" ca="1" si="12"/>
        <v>44.764236126311935</v>
      </c>
      <c r="AB17" s="6">
        <f t="shared" ca="1" si="12"/>
        <v>39.47187052149895</v>
      </c>
      <c r="AC17" s="6">
        <f t="shared" ca="1" si="12"/>
        <v>34.731749176247206</v>
      </c>
      <c r="AD17" s="6">
        <f t="shared" ca="1" si="12"/>
        <v>30.496772128263675</v>
      </c>
      <c r="AE17" s="6">
        <f t="shared" ca="1" si="12"/>
        <v>26.722405513760808</v>
      </c>
      <c r="AF17" s="6">
        <f t="shared" ca="1" si="12"/>
        <v>23.366742255978821</v>
      </c>
      <c r="AG17" s="6">
        <f t="shared" ca="1" si="12"/>
        <v>20.390528464535414</v>
      </c>
      <c r="AH17" s="6">
        <f t="shared" ca="1" si="12"/>
        <v>17.757158889708052</v>
      </c>
      <c r="AI17" s="6">
        <f t="shared" ca="1" si="12"/>
        <v>15.432645000286328</v>
      </c>
      <c r="AJ17" s="6">
        <f t="shared" ca="1" si="12"/>
        <v>13.385559350364163</v>
      </c>
    </row>
    <row r="18" spans="1:36" x14ac:dyDescent="0.25">
      <c r="A18" s="36">
        <f t="shared" ca="1" si="1"/>
        <v>0</v>
      </c>
      <c r="B18" s="14">
        <f t="shared" ca="1" si="2"/>
        <v>0</v>
      </c>
      <c r="C18" s="14">
        <f>SUMIFS(指數型權證!$AH$1:$AH$49,指數型權證!$AL$1:$AL$49,"8",指數型權證!$AJ$1:$AJ$49,J18,指數型權證!$AM$1:$AM$49,"Call")</f>
        <v>0</v>
      </c>
      <c r="D18" s="14">
        <f t="shared" ca="1" si="3"/>
        <v>0</v>
      </c>
      <c r="E18" s="17">
        <f>[3]!'WTXOQ0;9800C`267'</f>
        <v>2180</v>
      </c>
      <c r="F18" s="17">
        <f>[3]!'WTXOQ0;9800C`268'</f>
        <v>2430</v>
      </c>
      <c r="G18" s="17" t="str">
        <f>[3]!'WTXOQ0;9800C`205'</f>
        <v>-</v>
      </c>
      <c r="H18" s="19">
        <f t="shared" ca="1" si="4"/>
        <v>1.610321044921875E-4</v>
      </c>
      <c r="I18" s="19">
        <f t="shared" ca="1" si="4"/>
        <v>0.56836992492675786</v>
      </c>
      <c r="J18" s="18">
        <f t="shared" si="13"/>
        <v>9800</v>
      </c>
      <c r="K18" s="17">
        <f>[3]!'WTXOQ0;9800P`267'</f>
        <v>14</v>
      </c>
      <c r="L18" s="17">
        <f>[3]!'WTXOQ0;9800P`268'</f>
        <v>15</v>
      </c>
      <c r="M18" s="17">
        <f>[3]!'WTXOQ0;9800P`205'</f>
        <v>14</v>
      </c>
      <c r="N18" s="19">
        <f t="shared" ca="1" si="5"/>
        <v>0.34950879821777348</v>
      </c>
      <c r="O18" s="19">
        <f t="shared" ca="1" si="5"/>
        <v>0.35365898132324225</v>
      </c>
      <c r="P18" s="14">
        <f t="shared" ca="1" si="6"/>
        <v>0</v>
      </c>
      <c r="Q18" s="14">
        <f>SUMIFS(指數型權證!$AH$1:$AH$49,指數型權證!$AL$1:$AL$49,"8",指數型權證!$AJ$1:$AJ$49,J18,指數型權證!$AM$1:$AM$49,"Put")</f>
        <v>0</v>
      </c>
      <c r="R18" s="14">
        <f t="shared" ca="1" si="7"/>
        <v>0</v>
      </c>
      <c r="S18" s="36">
        <f t="shared" ca="1" si="8"/>
        <v>0</v>
      </c>
      <c r="T18" s="36"/>
      <c r="U18" s="49">
        <f t="shared" ca="1" si="9"/>
        <v>0</v>
      </c>
      <c r="V18" s="49">
        <f t="shared" ca="1" si="10"/>
        <v>0</v>
      </c>
      <c r="W18">
        <f t="shared" si="11"/>
        <v>10800</v>
      </c>
      <c r="X18" s="6">
        <f t="shared" ca="1" si="12"/>
        <v>85.9585727890329</v>
      </c>
      <c r="Y18" s="6">
        <f t="shared" ca="1" si="12"/>
        <v>76.960516800892009</v>
      </c>
      <c r="Z18" s="6">
        <f t="shared" ca="1" si="12"/>
        <v>68.766438397686585</v>
      </c>
      <c r="AA18" s="6">
        <f t="shared" ca="1" si="12"/>
        <v>61.322263577261545</v>
      </c>
      <c r="AB18" s="6">
        <f t="shared" ca="1" si="12"/>
        <v>54.575375326101245</v>
      </c>
      <c r="AC18" s="6">
        <f t="shared" ca="1" si="12"/>
        <v>48.474849161145592</v>
      </c>
      <c r="AD18" s="6">
        <f t="shared" ca="1" si="12"/>
        <v>42.971653767659802</v>
      </c>
      <c r="AE18" s="6">
        <f t="shared" ca="1" si="12"/>
        <v>38.018816195921538</v>
      </c>
      <c r="AF18" s="6">
        <f t="shared" ca="1" si="12"/>
        <v>33.57155202494144</v>
      </c>
      <c r="AG18" s="6">
        <f t="shared" ca="1" si="12"/>
        <v>29.587361677794533</v>
      </c>
      <c r="AH18" s="6">
        <f t="shared" ca="1" si="12"/>
        <v>26.026094690878669</v>
      </c>
      <c r="AI18" s="6">
        <f t="shared" ca="1" si="12"/>
        <v>22.849984210883481</v>
      </c>
      <c r="AJ18" s="6">
        <f t="shared" ca="1" si="12"/>
        <v>20.023654331876603</v>
      </c>
    </row>
    <row r="19" spans="1:36" x14ac:dyDescent="0.25">
      <c r="A19" s="36">
        <f t="shared" ca="1" si="1"/>
        <v>0</v>
      </c>
      <c r="B19" s="14">
        <f t="shared" ca="1" si="2"/>
        <v>0</v>
      </c>
      <c r="C19" s="14">
        <f>SUMIFS(指數型權證!$AH$1:$AH$49,指數型權證!$AL$1:$AL$49,"8",指數型權證!$AJ$1:$AJ$49,J19,指數型權證!$AM$1:$AM$49,"Call")</f>
        <v>0</v>
      </c>
      <c r="D19" s="14">
        <f t="shared" ca="1" si="3"/>
        <v>0</v>
      </c>
      <c r="E19" s="17">
        <f>[3]!'WTXOQ0;9900C`267'</f>
        <v>2080</v>
      </c>
      <c r="F19" s="17">
        <f>[3]!'WTXOQ0;9900C`268'</f>
        <v>2330</v>
      </c>
      <c r="G19" s="17" t="str">
        <f>[3]!'WTXOQ0;9900C`205'</f>
        <v>-</v>
      </c>
      <c r="H19" s="19">
        <f t="shared" ca="1" si="4"/>
        <v>1.610321044921875E-4</v>
      </c>
      <c r="I19" s="19">
        <f t="shared" ca="1" si="4"/>
        <v>0.54822933044433597</v>
      </c>
      <c r="J19" s="18">
        <f t="shared" si="13"/>
        <v>9900</v>
      </c>
      <c r="K19" s="17">
        <f>[3]!'WTXOQ0;9900P`267'</f>
        <v>15</v>
      </c>
      <c r="L19" s="17">
        <f>[3]!'WTXOQ0;9900P`268'</f>
        <v>24</v>
      </c>
      <c r="M19" s="17">
        <f>[3]!'WTXOQ0;9900P`205'</f>
        <v>17</v>
      </c>
      <c r="N19" s="19">
        <f t="shared" ca="1" si="5"/>
        <v>0.33925540466308596</v>
      </c>
      <c r="O19" s="19">
        <f t="shared" ca="1" si="5"/>
        <v>0.36989352111816415</v>
      </c>
      <c r="P19" s="14">
        <f t="shared" ca="1" si="6"/>
        <v>0</v>
      </c>
      <c r="Q19" s="14">
        <f>SUMIFS(指數型權證!$AH$1:$AH$49,指數型權證!$AL$1:$AL$49,"8",指數型權證!$AJ$1:$AJ$49,J19,指數型權證!$AM$1:$AM$49,"Put")</f>
        <v>0</v>
      </c>
      <c r="R19" s="14">
        <f t="shared" ca="1" si="7"/>
        <v>0</v>
      </c>
      <c r="S19" s="36">
        <f t="shared" ca="1" si="8"/>
        <v>0</v>
      </c>
      <c r="T19" s="36"/>
      <c r="U19" s="49">
        <f t="shared" ca="1" si="9"/>
        <v>0</v>
      </c>
      <c r="V19" s="49">
        <f t="shared" ca="1" si="10"/>
        <v>0</v>
      </c>
      <c r="W19">
        <f t="shared" si="11"/>
        <v>10900</v>
      </c>
      <c r="X19" s="6">
        <f t="shared" ca="1" si="12"/>
        <v>99.299688103379367</v>
      </c>
      <c r="Y19" s="6">
        <f t="shared" ca="1" si="12"/>
        <v>89.020283011963571</v>
      </c>
      <c r="Z19" s="6">
        <f t="shared" ca="1" si="12"/>
        <v>79.638837239240559</v>
      </c>
      <c r="AA19" s="6">
        <f t="shared" ca="1" si="12"/>
        <v>71.098104860511967</v>
      </c>
      <c r="AB19" s="6">
        <f t="shared" ca="1" si="12"/>
        <v>63.341924994125449</v>
      </c>
      <c r="AC19" s="6">
        <f t="shared" ca="1" si="12"/>
        <v>56.315522484728618</v>
      </c>
      <c r="AD19" s="6">
        <f t="shared" ca="1" si="12"/>
        <v>49.965774283370656</v>
      </c>
      <c r="AE19" s="6">
        <f t="shared" ca="1" si="12"/>
        <v>44.241439073727605</v>
      </c>
      <c r="AF19" s="6">
        <f t="shared" ca="1" si="12"/>
        <v>39.093349018293814</v>
      </c>
      <c r="AG19" s="6">
        <f t="shared" ca="1" si="12"/>
        <v>34.474563624401824</v>
      </c>
      <c r="AH19" s="6">
        <f t="shared" ca="1" si="12"/>
        <v>30.340486664732676</v>
      </c>
      <c r="AI19" s="6">
        <f t="shared" ca="1" si="12"/>
        <v>26.648947840921785</v>
      </c>
      <c r="AJ19" s="6">
        <f t="shared" ca="1" si="12"/>
        <v>23.360251464484023</v>
      </c>
    </row>
    <row r="20" spans="1:36" x14ac:dyDescent="0.25">
      <c r="A20" s="36">
        <f t="shared" ca="1" si="1"/>
        <v>0</v>
      </c>
      <c r="B20" s="14">
        <f t="shared" ca="1" si="2"/>
        <v>0</v>
      </c>
      <c r="C20" s="14">
        <f>SUMIFS(指數型權證!$AH$1:$AH$49,指數型權證!$AL$1:$AL$49,"8",指數型權證!$AJ$1:$AJ$49,J20,指數型權證!$AM$1:$AM$49,"Call")</f>
        <v>0</v>
      </c>
      <c r="D20" s="14">
        <f t="shared" ca="1" si="3"/>
        <v>0</v>
      </c>
      <c r="E20" s="17">
        <f>[3]!'WTXOQ0;10000C`267'</f>
        <v>1980</v>
      </c>
      <c r="F20" s="17">
        <f>[3]!'WTXOQ0;10000C`268'</f>
        <v>2230</v>
      </c>
      <c r="G20" s="17">
        <f>[3]!'WTXOQ0;10000C`205'</f>
        <v>2130</v>
      </c>
      <c r="H20" s="19">
        <f t="shared" ca="1" si="4"/>
        <v>1.610321044921875E-4</v>
      </c>
      <c r="I20" s="19">
        <f t="shared" ca="1" si="4"/>
        <v>0.52821080017089839</v>
      </c>
      <c r="J20" s="18">
        <f t="shared" si="13"/>
        <v>10000</v>
      </c>
      <c r="K20" s="17">
        <f>[3]!'WTXOQ0;10000P`267'</f>
        <v>16</v>
      </c>
      <c r="L20" s="17">
        <f>[3]!'WTXOQ0;10000P`268'</f>
        <v>19</v>
      </c>
      <c r="M20" s="17">
        <f>[3]!'WTXOQ0;10000P`205'</f>
        <v>17</v>
      </c>
      <c r="N20" s="19">
        <f t="shared" ca="1" si="5"/>
        <v>0.3286358184814453</v>
      </c>
      <c r="O20" s="19">
        <f t="shared" ca="1" si="5"/>
        <v>0.3391333404541016</v>
      </c>
      <c r="P20" s="14">
        <f ca="1">GBSGreeks("g", "P",$I$2,$J20,$N$2,$N20, 0,0)*$P$2*50*$I$2*$Q20*-1</f>
        <v>0</v>
      </c>
      <c r="Q20" s="14">
        <f>SUMIFS(指數型權證!$AH$1:$AH$49,指數型權證!$AL$1:$AL$49,"8",指數型權證!$AJ$1:$AJ$49,J20,指數型權證!$AM$1:$AM$49,"Put")</f>
        <v>0</v>
      </c>
      <c r="R20" s="14">
        <f t="shared" ca="1" si="7"/>
        <v>0</v>
      </c>
      <c r="S20" s="36">
        <f t="shared" ca="1" si="8"/>
        <v>0</v>
      </c>
      <c r="T20" s="36"/>
      <c r="U20" s="49">
        <f t="shared" ca="1" si="9"/>
        <v>0</v>
      </c>
      <c r="V20" s="49">
        <f t="shared" ca="1" si="10"/>
        <v>0</v>
      </c>
      <c r="W20">
        <f t="shared" si="11"/>
        <v>11000</v>
      </c>
      <c r="X20" s="6">
        <f t="shared" ca="1" si="12"/>
        <v>114.49109606959229</v>
      </c>
      <c r="Y20" s="6">
        <f t="shared" ca="1" si="12"/>
        <v>102.77745151104851</v>
      </c>
      <c r="Z20" s="6">
        <f t="shared" ca="1" si="12"/>
        <v>92.062485401445173</v>
      </c>
      <c r="AA20" s="6">
        <f t="shared" ca="1" si="12"/>
        <v>82.286259156167105</v>
      </c>
      <c r="AB20" s="6">
        <f t="shared" ca="1" si="12"/>
        <v>73.389434593367554</v>
      </c>
      <c r="AC20" s="6">
        <f t="shared" ca="1" si="12"/>
        <v>65.313639707668528</v>
      </c>
      <c r="AD20" s="6">
        <f t="shared" ca="1" si="12"/>
        <v>58.001804484409114</v>
      </c>
      <c r="AE20" s="6">
        <f t="shared" ca="1" si="12"/>
        <v>51.39846153896741</v>
      </c>
      <c r="AF20" s="6">
        <f t="shared" ca="1" si="12"/>
        <v>45.450008155871984</v>
      </c>
      <c r="AG20" s="6">
        <f t="shared" ca="1" si="12"/>
        <v>40.104927867105296</v>
      </c>
      <c r="AH20" s="6">
        <f t="shared" ca="1" si="12"/>
        <v>35.313971050932743</v>
      </c>
      <c r="AI20" s="6">
        <f t="shared" ca="1" si="12"/>
        <v>31.030295157839621</v>
      </c>
      <c r="AJ20" s="6">
        <f t="shared" ca="1" si="12"/>
        <v>27.20956608833972</v>
      </c>
    </row>
    <row r="21" spans="1:36" x14ac:dyDescent="0.25">
      <c r="A21" s="36">
        <f t="shared" ca="1" si="1"/>
        <v>0</v>
      </c>
      <c r="B21" s="14">
        <f t="shared" ca="1" si="2"/>
        <v>0</v>
      </c>
      <c r="C21" s="14">
        <f>SUMIFS(指數型權證!$AH$1:$AH$49,指數型權證!$AL$1:$AL$49,"8",指數型權證!$AJ$1:$AJ$49,J21,指數型權證!$AM$1:$AM$49,"Call")</f>
        <v>0</v>
      </c>
      <c r="D21" s="14">
        <f t="shared" ca="1" si="3"/>
        <v>0</v>
      </c>
      <c r="E21" s="17">
        <f>[3]!'WTXOQ0;10100C`267'</f>
        <v>1880</v>
      </c>
      <c r="F21" s="17">
        <f>[3]!'WTXOQ0;10100C`268'</f>
        <v>2130</v>
      </c>
      <c r="G21" s="17" t="str">
        <f>[3]!'WTXOQ0;10100C`205'</f>
        <v>-</v>
      </c>
      <c r="H21" s="19">
        <f t="shared" ca="1" si="4"/>
        <v>1.610321044921875E-4</v>
      </c>
      <c r="I21" s="19">
        <f t="shared" ca="1" si="4"/>
        <v>0.50831433410644533</v>
      </c>
      <c r="J21" s="18">
        <f t="shared" si="13"/>
        <v>10100</v>
      </c>
      <c r="K21" s="17">
        <f>[3]!'WTXOQ0;10100P`267'</f>
        <v>17</v>
      </c>
      <c r="L21" s="17">
        <f>[3]!'WTXOQ0;10100P`268'</f>
        <v>22</v>
      </c>
      <c r="M21" s="17">
        <f>[3]!'WTXOQ0;10100P`205'</f>
        <v>20</v>
      </c>
      <c r="N21" s="19">
        <f t="shared" ca="1" si="5"/>
        <v>0.31777210388183591</v>
      </c>
      <c r="O21" s="19">
        <f t="shared" ca="1" si="5"/>
        <v>0.33364045104980466</v>
      </c>
      <c r="P21" s="14">
        <f t="shared" ca="1" si="6"/>
        <v>0</v>
      </c>
      <c r="Q21" s="14">
        <f>SUMIFS(指數型權證!$AH$1:$AH$49,指數型權證!$AL$1:$AL$49,"8",指數型權證!$AJ$1:$AJ$49,J21,指數型權證!$AM$1:$AM$49,"Put")</f>
        <v>0</v>
      </c>
      <c r="R21" s="14">
        <f t="shared" ca="1" si="7"/>
        <v>0</v>
      </c>
      <c r="S21" s="36">
        <f ca="1">(GBSOption("P",$I$2,$J21,$N$2,N21,0,0)-GBSOption("P",$I$2,$J21,$O$2,N21,0,0))*Q21*50*-1</f>
        <v>0</v>
      </c>
      <c r="T21" s="36"/>
      <c r="U21" s="49">
        <f t="shared" ca="1" si="9"/>
        <v>0</v>
      </c>
      <c r="V21" s="49">
        <f ca="1">(GBSOption("P",$I$2,$J21,$N$2,$N21,0, 0)-GBSOption("P",$I$2,$J21,$N$2,$N21+0.01,0, 0))*50*$Q21</f>
        <v>0</v>
      </c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</row>
    <row r="22" spans="1:36" x14ac:dyDescent="0.25">
      <c r="A22" s="36">
        <f t="shared" ca="1" si="1"/>
        <v>0</v>
      </c>
      <c r="B22" s="14">
        <f t="shared" ca="1" si="2"/>
        <v>0</v>
      </c>
      <c r="C22" s="14">
        <f>SUMIFS(指數型權證!$AH$1:$AH$49,指數型權證!$AL$1:$AL$49,"8",指數型權證!$AJ$1:$AJ$49,J22,指數型權證!$AM$1:$AM$49,"Call")</f>
        <v>0</v>
      </c>
      <c r="D22" s="14">
        <f t="shared" ca="1" si="3"/>
        <v>0</v>
      </c>
      <c r="E22" s="17">
        <f>[3]!'WTXOQ0;10200C`267'</f>
        <v>1790</v>
      </c>
      <c r="F22" s="17">
        <f>[3]!'WTXOQ0;10200C`268'</f>
        <v>2040</v>
      </c>
      <c r="G22" s="17" t="str">
        <f>[3]!'WTXOQ0;10200C`205'</f>
        <v>-</v>
      </c>
      <c r="H22" s="19">
        <f ca="1">IF(ISNUMBER(GBSImpliedVol("C",E22,$I$2,$J22,$N$2,0,0)),GBSImpliedVol("C",E22,$I$2,$J22,$N$2,0,0),0.6)</f>
        <v>1.610321044921875E-4</v>
      </c>
      <c r="I22" s="19">
        <f t="shared" ca="1" si="4"/>
        <v>0.50099048156738291</v>
      </c>
      <c r="J22" s="18">
        <f t="shared" si="13"/>
        <v>10200</v>
      </c>
      <c r="K22" s="17">
        <f>[3]!'WTXOQ0;10200P`267'</f>
        <v>14.5</v>
      </c>
      <c r="L22" s="17">
        <f>[3]!'WTXOQ0;10200P`268'</f>
        <v>21.5</v>
      </c>
      <c r="M22" s="17">
        <f>[3]!'WTXOQ0;10200P`205'</f>
        <v>22.5</v>
      </c>
      <c r="N22" s="19">
        <f t="shared" ca="1" si="5"/>
        <v>0.29470196838378909</v>
      </c>
      <c r="O22" s="19">
        <f t="shared" ca="1" si="5"/>
        <v>0.3172838470458984</v>
      </c>
      <c r="P22" s="14">
        <f t="shared" ca="1" si="6"/>
        <v>0</v>
      </c>
      <c r="Q22" s="14">
        <f>SUMIFS(指數型權證!$AH$1:$AH$49,指數型權證!$AL$1:$AL$49,"8",指數型權證!$AJ$1:$AJ$49,J22,指數型權證!$AM$1:$AM$49,"Put")</f>
        <v>0</v>
      </c>
      <c r="R22" s="14">
        <f t="shared" ca="1" si="7"/>
        <v>0</v>
      </c>
      <c r="S22" s="36">
        <f t="shared" ca="1" si="8"/>
        <v>0</v>
      </c>
      <c r="T22" s="36"/>
      <c r="U22" s="49">
        <f t="shared" ca="1" si="9"/>
        <v>0</v>
      </c>
      <c r="V22" s="49">
        <f t="shared" ca="1" si="10"/>
        <v>0</v>
      </c>
    </row>
    <row r="23" spans="1:36" x14ac:dyDescent="0.25">
      <c r="A23" s="36">
        <f t="shared" ca="1" si="1"/>
        <v>0</v>
      </c>
      <c r="B23" s="14">
        <f t="shared" ca="1" si="2"/>
        <v>0</v>
      </c>
      <c r="C23" s="14">
        <f>SUMIFS(指數型權證!$AH$1:$AH$49,指數型權證!$AL$1:$AL$49,"8",指數型權證!$AJ$1:$AJ$49,J23,指數型權證!$AM$1:$AM$49,"Call")</f>
        <v>0</v>
      </c>
      <c r="D23" s="14">
        <f t="shared" ca="1" si="3"/>
        <v>0</v>
      </c>
      <c r="E23" s="17">
        <f>[3]!'WTXOQ0;10300C`267'</f>
        <v>1690</v>
      </c>
      <c r="F23" s="17">
        <f>[3]!'WTXOQ0;10300C`268'</f>
        <v>1940</v>
      </c>
      <c r="G23" s="17" t="str">
        <f>[3]!'WTXOQ0;10300C`205'</f>
        <v>-</v>
      </c>
      <c r="H23" s="19">
        <f ca="1">IF(ISNUMBER(GBSImpliedVol("C",E23,$I$2,$J23,$N$2,0,0)),GBSImpliedVol("C",E23,$I$2,$J23,$N$2,0,0),0.6)</f>
        <v>1.610321044921875E-4</v>
      </c>
      <c r="I23" s="19">
        <f t="shared" ca="1" si="4"/>
        <v>0.48084988708496101</v>
      </c>
      <c r="J23" s="18">
        <f t="shared" si="13"/>
        <v>10300</v>
      </c>
      <c r="K23" s="17">
        <f>[3]!'WTXOQ0;10300P`267'</f>
        <v>23</v>
      </c>
      <c r="L23" s="17">
        <f>[3]!'WTXOQ0;10300P`268'</f>
        <v>24.5</v>
      </c>
      <c r="M23" s="17">
        <f>[3]!'WTXOQ0;10300P`205'</f>
        <v>24</v>
      </c>
      <c r="N23" s="19">
        <f t="shared" ca="1" si="5"/>
        <v>0.30654219665527349</v>
      </c>
      <c r="O23" s="19">
        <f t="shared" ca="1" si="5"/>
        <v>0.31044825134277343</v>
      </c>
      <c r="P23" s="14">
        <f t="shared" ca="1" si="6"/>
        <v>0</v>
      </c>
      <c r="Q23" s="14">
        <f>SUMIFS(指數型權證!$AH$1:$AH$49,指數型權證!$AL$1:$AL$49,"8",指數型權證!$AJ$1:$AJ$49,J23,指數型權證!$AM$1:$AM$49,"Put")</f>
        <v>0</v>
      </c>
      <c r="R23" s="14">
        <f t="shared" ca="1" si="7"/>
        <v>0</v>
      </c>
      <c r="S23" s="36">
        <f t="shared" ca="1" si="8"/>
        <v>0</v>
      </c>
      <c r="T23" s="36"/>
      <c r="U23" s="49">
        <f t="shared" ca="1" si="9"/>
        <v>0</v>
      </c>
      <c r="V23" s="49">
        <f t="shared" ca="1" si="10"/>
        <v>0</v>
      </c>
    </row>
    <row r="24" spans="1:36" x14ac:dyDescent="0.25">
      <c r="A24" s="36">
        <f t="shared" ca="1" si="1"/>
        <v>0</v>
      </c>
      <c r="B24" s="14">
        <f t="shared" ca="1" si="2"/>
        <v>0</v>
      </c>
      <c r="C24" s="14">
        <f>SUMIFS(指數型權證!$AH$1:$AH$49,指數型權證!$AL$1:$AL$49,"8",指數型權證!$AJ$1:$AJ$49,J24,指數型權證!$AM$1:$AM$49,"Call")</f>
        <v>0</v>
      </c>
      <c r="D24" s="14">
        <f t="shared" ca="1" si="3"/>
        <v>0</v>
      </c>
      <c r="E24" s="17">
        <f>[3]!'WTXOQ0;10400C`267'</f>
        <v>1590</v>
      </c>
      <c r="F24" s="17">
        <f>[3]!'WTXOQ0;10400C`268'</f>
        <v>1840</v>
      </c>
      <c r="G24" s="17" t="str">
        <f>[3]!'WTXOQ0;10400C`205'</f>
        <v>-</v>
      </c>
      <c r="H24" s="19">
        <f ca="1">IF(ISNUMBER(GBSImpliedVol("C",E24,$I$2,$J24,$N$2,0,0)),GBSImpliedVol("C",E24,$I$2,$J24,$N$2,0,0),0.6)</f>
        <v>1.610321044921875E-4</v>
      </c>
      <c r="I24" s="19">
        <f t="shared" ca="1" si="4"/>
        <v>0.46083135681152343</v>
      </c>
      <c r="J24" s="18">
        <f t="shared" si="13"/>
        <v>10400</v>
      </c>
      <c r="K24" s="17">
        <f>[3]!'WTXOQ0;10400P`267'</f>
        <v>25.5</v>
      </c>
      <c r="L24" s="17">
        <f>[3]!'WTXOQ0;10400P`268'</f>
        <v>28</v>
      </c>
      <c r="M24" s="17">
        <f>[3]!'WTXOQ0;10400P`205'</f>
        <v>26</v>
      </c>
      <c r="N24" s="19">
        <f t="shared" ca="1" si="5"/>
        <v>0.29787563781738291</v>
      </c>
      <c r="O24" s="19">
        <f t="shared" ca="1" si="5"/>
        <v>0.30385678405761718</v>
      </c>
      <c r="P24" s="14">
        <f t="shared" ca="1" si="6"/>
        <v>0</v>
      </c>
      <c r="Q24" s="14">
        <f>SUMIFS(指數型權證!$AH$1:$AH$49,指數型權證!$AL$1:$AL$49,"8",指數型權證!$AJ$1:$AJ$49,J24,指數型權證!$AM$1:$AM$49,"Put")</f>
        <v>0</v>
      </c>
      <c r="R24" s="14">
        <f t="shared" ca="1" si="7"/>
        <v>0</v>
      </c>
      <c r="S24" s="36">
        <f t="shared" ca="1" si="8"/>
        <v>0</v>
      </c>
      <c r="T24" s="36"/>
      <c r="U24" s="49">
        <f t="shared" ca="1" si="9"/>
        <v>0</v>
      </c>
      <c r="V24" s="49">
        <f t="shared" ca="1" si="10"/>
        <v>0</v>
      </c>
    </row>
    <row r="25" spans="1:36" x14ac:dyDescent="0.25">
      <c r="A25" s="36">
        <f t="shared" ca="1" si="1"/>
        <v>0</v>
      </c>
      <c r="B25" s="14">
        <f t="shared" ca="1" si="2"/>
        <v>0</v>
      </c>
      <c r="C25" s="14">
        <f>SUMIFS(指數型權證!$AH$1:$AH$49,指數型權證!$AL$1:$AL$49,"8",指數型權證!$AJ$1:$AJ$49,J25,指數型權證!$AM$1:$AM$49,"Call")</f>
        <v>0</v>
      </c>
      <c r="D25" s="14">
        <f t="shared" ca="1" si="3"/>
        <v>0</v>
      </c>
      <c r="E25" s="17">
        <f>[3]!'WTXOQ0;10500C`267'</f>
        <v>1500</v>
      </c>
      <c r="F25" s="17">
        <f>[3]!'WTXOQ0;10500C`268'</f>
        <v>1750</v>
      </c>
      <c r="G25" s="17" t="str">
        <f>[3]!'WTXOQ0;10500C`205'</f>
        <v>-</v>
      </c>
      <c r="H25" s="19">
        <f t="shared" ca="1" si="4"/>
        <v>1.610321044921875E-4</v>
      </c>
      <c r="I25" s="19">
        <f t="shared" ca="1" si="4"/>
        <v>0.45204273376464843</v>
      </c>
      <c r="J25" s="18">
        <f t="shared" si="13"/>
        <v>10500</v>
      </c>
      <c r="K25" s="17">
        <f>[3]!'WTXOQ0;10500P`267'</f>
        <v>26</v>
      </c>
      <c r="L25" s="17">
        <f>[3]!'WTXOQ0;10500P`268'</f>
        <v>27</v>
      </c>
      <c r="M25" s="17">
        <f>[3]!'WTXOQ0;10500P`205'</f>
        <v>27</v>
      </c>
      <c r="N25" s="19">
        <f t="shared" ca="1" si="5"/>
        <v>0.28396031799316407</v>
      </c>
      <c r="O25" s="19">
        <f t="shared" ca="1" si="5"/>
        <v>0.28627953796386718</v>
      </c>
      <c r="P25" s="14">
        <f t="shared" ca="1" si="6"/>
        <v>0</v>
      </c>
      <c r="Q25" s="14">
        <f>SUMIFS(指數型權證!$AH$1:$AH$49,指數型權證!$AL$1:$AL$49,"8",指數型權證!$AJ$1:$AJ$49,J25,指數型權證!$AM$1:$AM$49,"Put")</f>
        <v>0</v>
      </c>
      <c r="R25" s="14">
        <f t="shared" ca="1" si="7"/>
        <v>0</v>
      </c>
      <c r="S25" s="36">
        <f t="shared" ca="1" si="8"/>
        <v>0</v>
      </c>
      <c r="T25" s="36"/>
      <c r="U25" s="49">
        <f t="shared" ca="1" si="9"/>
        <v>0</v>
      </c>
      <c r="V25" s="49">
        <f t="shared" ca="1" si="10"/>
        <v>0</v>
      </c>
    </row>
    <row r="26" spans="1:36" x14ac:dyDescent="0.25">
      <c r="A26" s="36">
        <f t="shared" ca="1" si="1"/>
        <v>0</v>
      </c>
      <c r="B26" s="14">
        <f t="shared" ca="1" si="2"/>
        <v>0</v>
      </c>
      <c r="C26" s="14">
        <f>SUMIFS(指數型權證!$AH$1:$AH$49,指數型權證!$AL$1:$AL$49,"8",指數型權證!$AJ$1:$AJ$49,J26,指數型權證!$AM$1:$AM$49,"Call")</f>
        <v>0</v>
      </c>
      <c r="D26" s="14">
        <f t="shared" ca="1" si="3"/>
        <v>0</v>
      </c>
      <c r="E26" s="17">
        <f>[3]!'WTXOQ0;10600C`267'</f>
        <v>1400</v>
      </c>
      <c r="F26" s="17">
        <f>[3]!'WTXOQ0;10600C`268'</f>
        <v>1640</v>
      </c>
      <c r="G26" s="17" t="str">
        <f>[3]!'WTXOQ0;10600C`205'</f>
        <v>-</v>
      </c>
      <c r="H26" s="19">
        <f t="shared" ca="1" si="4"/>
        <v>1.610321044921875E-4</v>
      </c>
      <c r="I26" s="19">
        <f t="shared" ca="1" si="4"/>
        <v>0.42055016784667976</v>
      </c>
      <c r="J26" s="18">
        <f t="shared" si="13"/>
        <v>10600</v>
      </c>
      <c r="K26" s="17">
        <f>[3]!'WTXOQ0;10600P`267'</f>
        <v>33</v>
      </c>
      <c r="L26" s="17">
        <f>[3]!'WTXOQ0;10600P`268'</f>
        <v>38.5</v>
      </c>
      <c r="M26" s="17">
        <f>[3]!'WTXOQ0;10600P`205'</f>
        <v>33</v>
      </c>
      <c r="N26" s="19">
        <f t="shared" ca="1" si="5"/>
        <v>0.28359412536621093</v>
      </c>
      <c r="O26" s="19">
        <f t="shared" ca="1" si="5"/>
        <v>0.29421371154785159</v>
      </c>
      <c r="P26" s="14">
        <f t="shared" ca="1" si="6"/>
        <v>0</v>
      </c>
      <c r="Q26" s="14">
        <f>SUMIFS(指數型權證!$AH$1:$AH$49,指數型權證!$AL$1:$AL$49,"8",指數型權證!$AJ$1:$AJ$49,J26,指數型權證!$AM$1:$AM$49,"Put")</f>
        <v>0</v>
      </c>
      <c r="R26" s="14">
        <f t="shared" ca="1" si="7"/>
        <v>0</v>
      </c>
      <c r="S26" s="36">
        <f t="shared" ca="1" si="8"/>
        <v>0</v>
      </c>
      <c r="T26" s="36"/>
      <c r="U26" s="49">
        <f t="shared" ca="1" si="9"/>
        <v>0</v>
      </c>
      <c r="V26" s="49">
        <f t="shared" ca="1" si="10"/>
        <v>0</v>
      </c>
    </row>
    <row r="27" spans="1:36" x14ac:dyDescent="0.25">
      <c r="A27" s="36">
        <f t="shared" ca="1" si="1"/>
        <v>0</v>
      </c>
      <c r="B27" s="14">
        <f t="shared" ca="1" si="2"/>
        <v>0</v>
      </c>
      <c r="C27" s="14">
        <f>SUMIFS(指數型權證!$AH$1:$AH$49,指數型權證!$AL$1:$AL$49,"8",指數型權證!$AJ$1:$AJ$49,J27,指數型權證!$AM$1:$AM$49,"Call")</f>
        <v>0</v>
      </c>
      <c r="D27" s="14">
        <f t="shared" ca="1" si="3"/>
        <v>0</v>
      </c>
      <c r="E27" s="17">
        <f>[3]!'WTXOQ0;10700C`267'</f>
        <v>1420</v>
      </c>
      <c r="F27" s="17">
        <f>[3]!'WTXOQ0;10700C`268'</f>
        <v>1550</v>
      </c>
      <c r="G27" s="17" t="str">
        <f>[3]!'WTXOQ0;10700C`205'</f>
        <v>-</v>
      </c>
      <c r="H27" s="19">
        <f t="shared" ca="1" si="4"/>
        <v>0.21352926940917968</v>
      </c>
      <c r="I27" s="19">
        <f t="shared" ca="1" si="4"/>
        <v>0.41115122375488289</v>
      </c>
      <c r="J27" s="18">
        <f t="shared" si="13"/>
        <v>10700</v>
      </c>
      <c r="K27" s="17">
        <f>[3]!'WTXOQ0;10700P`267'</f>
        <v>30.5</v>
      </c>
      <c r="L27" s="17">
        <f>[3]!'WTXOQ0;10700P`268'</f>
        <v>40</v>
      </c>
      <c r="M27" s="17">
        <f>[3]!'WTXOQ0;10700P`205'</f>
        <v>40.5</v>
      </c>
      <c r="N27" s="19">
        <f ca="1">IF(ISNUMBER(GBSImpliedVol("P",K27,$I$2,$J27,$N$2,0,0)),GBSImpliedVol("P",K27,$I$2,$J27,$N$2,0,0),0.6)</f>
        <v>0.26296527404785153</v>
      </c>
      <c r="O27" s="19">
        <f t="shared" ca="1" si="5"/>
        <v>0.28078664855957036</v>
      </c>
      <c r="P27" s="14">
        <f t="shared" ca="1" si="6"/>
        <v>1378436.1348603468</v>
      </c>
      <c r="Q27" s="14">
        <f>SUMIFS(指數型權證!$AH$1:$AH$49,指數型權證!$AL$1:$AL$49,"8",指數型權證!$AJ$1:$AJ$49,J27,指數型權證!$AM$1:$AM$49,"Put")</f>
        <v>-150</v>
      </c>
      <c r="R27" s="14">
        <f ca="1">GBSGreeks("d", "P",$I$2,$J27,$N$2,$N27, 0,0)*50*$I$2*Q27</f>
        <v>5987452.7764193984</v>
      </c>
      <c r="S27" s="36">
        <f t="shared" ca="1" si="8"/>
        <v>18714.84601967597</v>
      </c>
      <c r="T27" s="36"/>
      <c r="U27" s="49">
        <f t="shared" ca="1" si="9"/>
        <v>0</v>
      </c>
      <c r="V27" s="49">
        <f t="shared" ca="1" si="10"/>
        <v>38942.104459041933</v>
      </c>
    </row>
    <row r="28" spans="1:36" x14ac:dyDescent="0.25">
      <c r="A28" s="36">
        <f t="shared" ca="1" si="1"/>
        <v>0</v>
      </c>
      <c r="B28" s="14">
        <f t="shared" ca="1" si="2"/>
        <v>0</v>
      </c>
      <c r="C28" s="14">
        <f>SUMIFS(指數型權證!$AH$1:$AH$49,指數型權證!$AL$1:$AL$49,"8",指數型權證!$AJ$1:$AJ$49,J28,指數型權證!$AM$1:$AM$49,"Call")</f>
        <v>0</v>
      </c>
      <c r="D28" s="14">
        <f t="shared" ca="1" si="3"/>
        <v>0</v>
      </c>
      <c r="E28" s="17">
        <f>[3]!'WTXOQ0;10800C`267'</f>
        <v>1220</v>
      </c>
      <c r="F28" s="17">
        <f>[3]!'WTXOQ0;10800C`268'</f>
        <v>1370</v>
      </c>
      <c r="G28" s="17">
        <f>[3]!'WTXOQ0;10800C`205'</f>
        <v>1350</v>
      </c>
      <c r="H28" s="19">
        <f t="shared" ca="1" si="4"/>
        <v>1.610321044921875E-4</v>
      </c>
      <c r="I28" s="19">
        <f t="shared" ca="1" si="4"/>
        <v>0.29665499572753912</v>
      </c>
      <c r="J28" s="18">
        <f t="shared" si="13"/>
        <v>10800</v>
      </c>
      <c r="K28" s="17">
        <f>[3]!'WTXOQ0;10800P`267'</f>
        <v>43</v>
      </c>
      <c r="L28" s="17">
        <f>[3]!'WTXOQ0;10800P`268'</f>
        <v>44.5</v>
      </c>
      <c r="M28" s="17">
        <f>[3]!'WTXOQ0;10800P`205'</f>
        <v>43</v>
      </c>
      <c r="N28" s="19">
        <f ca="1">IF(ISNUMBER(GBSImpliedVol("P",K28,$I$2,$J28,$N$2,0,0)),GBSImpliedVol("P",K28,$I$2,$J28,$N$2,0,0),0.6)</f>
        <v>0.26943467712402341</v>
      </c>
      <c r="O28" s="19">
        <f t="shared" ca="1" si="5"/>
        <v>0.27187596130371089</v>
      </c>
      <c r="P28" s="14">
        <f t="shared" ca="1" si="6"/>
        <v>0</v>
      </c>
      <c r="Q28" s="14">
        <v>0</v>
      </c>
      <c r="R28" s="14">
        <f t="shared" ca="1" si="7"/>
        <v>0</v>
      </c>
      <c r="S28" s="36">
        <f t="shared" ca="1" si="8"/>
        <v>0</v>
      </c>
      <c r="T28" s="36"/>
      <c r="U28" s="49">
        <f t="shared" ca="1" si="9"/>
        <v>0</v>
      </c>
      <c r="V28" s="49">
        <f t="shared" ca="1" si="10"/>
        <v>0</v>
      </c>
    </row>
    <row r="29" spans="1:36" x14ac:dyDescent="0.25">
      <c r="A29" s="36">
        <f t="shared" ca="1" si="1"/>
        <v>-2185.1400426861574</v>
      </c>
      <c r="B29" s="14">
        <f t="shared" ca="1" si="2"/>
        <v>10087625.53972373</v>
      </c>
      <c r="C29" s="14">
        <f>SUMIFS(指數型權證!$AH$1:$AH$49,指數型權證!$AL$1:$AL$49,"8",指數型權證!$AJ$1:$AJ$49,J29,指數型權證!$AM$1:$AM$49,"Call")</f>
        <v>18</v>
      </c>
      <c r="D29" s="14">
        <f t="shared" ca="1" si="3"/>
        <v>-204977.95086846882</v>
      </c>
      <c r="E29" s="17">
        <f>[3]!'WTXOQ0;10900C`267'</f>
        <v>1240</v>
      </c>
      <c r="F29" s="17">
        <f>[3]!'WTXOQ0;10900C`268'</f>
        <v>1290</v>
      </c>
      <c r="G29" s="17" t="str">
        <f>[3]!'WTXOQ0;10900C`205'</f>
        <v>-</v>
      </c>
      <c r="H29" s="19">
        <f t="shared" ca="1" si="4"/>
        <v>0.23281541442871095</v>
      </c>
      <c r="I29" s="19">
        <f t="shared" ca="1" si="4"/>
        <v>0.30458916931152347</v>
      </c>
      <c r="J29" s="18">
        <f t="shared" si="13"/>
        <v>10900</v>
      </c>
      <c r="K29" s="17">
        <f>[3]!'WTXOQ0;10900P`267'</f>
        <v>50</v>
      </c>
      <c r="L29" s="17">
        <f>[3]!'WTXOQ0;10900P`268'</f>
        <v>56</v>
      </c>
      <c r="M29" s="17">
        <f>[3]!'WTXOQ0;10900P`205'</f>
        <v>51</v>
      </c>
      <c r="N29" s="19">
        <f t="shared" ca="1" si="5"/>
        <v>0.2635755950927734</v>
      </c>
      <c r="O29" s="19">
        <f t="shared" ca="1" si="5"/>
        <v>0.27224215393066403</v>
      </c>
      <c r="P29" s="14">
        <f t="shared" ca="1" si="6"/>
        <v>-499963.92072705488</v>
      </c>
      <c r="Q29" s="14">
        <f>SUMIFS(指數型權證!$AH$1:$AH$49,指數型權證!$AL$1:$AL$49,"8",指數型權證!$AJ$1:$AJ$49,J29,指數型權證!$AM$1:$AM$49,"Put")</f>
        <v>40</v>
      </c>
      <c r="R29" s="14">
        <f t="shared" ca="1" si="7"/>
        <v>-2408003.6143076564</v>
      </c>
      <c r="S29" s="36">
        <f t="shared" ca="1" si="8"/>
        <v>-6860.8380522157122</v>
      </c>
      <c r="T29" s="36"/>
      <c r="U29" s="49">
        <f t="shared" ca="1" si="9"/>
        <v>-5134.7371259429565</v>
      </c>
      <c r="V29" s="49">
        <f t="shared" ca="1" si="10"/>
        <v>-14000.136563408931</v>
      </c>
    </row>
    <row r="30" spans="1:36" x14ac:dyDescent="0.25">
      <c r="A30" s="36">
        <f t="shared" ca="1" si="1"/>
        <v>0</v>
      </c>
      <c r="B30" s="14">
        <f t="shared" ca="1" si="2"/>
        <v>0</v>
      </c>
      <c r="C30" s="14">
        <f>SUMIFS(指數型權證!$AH$1:$AH$49,指數型權證!$AL$1:$AL$49,"8",指數型權證!$AJ$1:$AJ$49,J30,指數型權證!$AM$1:$AM$49,"Call")</f>
        <v>0</v>
      </c>
      <c r="D30" s="14">
        <f t="shared" ca="1" si="3"/>
        <v>0</v>
      </c>
      <c r="E30" s="17">
        <f>[3]!'WTXOQ0;11000C`267'</f>
        <v>1150</v>
      </c>
      <c r="F30" s="17">
        <f>[3]!'WTXOQ0;11000C`268'</f>
        <v>1180</v>
      </c>
      <c r="G30" s="17">
        <f>[3]!'WTXOQ0;11000C`205'</f>
        <v>1150</v>
      </c>
      <c r="H30" s="19">
        <f t="shared" ca="1" si="4"/>
        <v>0.23342573547363285</v>
      </c>
      <c r="I30" s="19">
        <f t="shared" ca="1" si="4"/>
        <v>0.27419518127441406</v>
      </c>
      <c r="J30" s="18">
        <f t="shared" si="13"/>
        <v>11000</v>
      </c>
      <c r="K30" s="17">
        <f>[3]!'WTXOQ0;11000P`267'</f>
        <v>58</v>
      </c>
      <c r="L30" s="17">
        <f>[3]!'WTXOQ0;11000P`268'</f>
        <v>59</v>
      </c>
      <c r="M30" s="17">
        <f>[3]!'WTXOQ0;11000P`205'</f>
        <v>58</v>
      </c>
      <c r="N30" s="19">
        <f t="shared" ca="1" si="5"/>
        <v>0.25759444885253907</v>
      </c>
      <c r="O30" s="19">
        <f t="shared" ca="1" si="5"/>
        <v>0.25893715515136717</v>
      </c>
      <c r="P30" s="14">
        <f t="shared" ca="1" si="6"/>
        <v>0</v>
      </c>
      <c r="Q30" s="14">
        <f>SUMIFS(指數型權證!$AH$1:$AH$49,指數型權證!$AL$1:$AL$49,"8",指數型權證!$AJ$1:$AJ$49,J30,指數型權證!$AM$1:$AM$49,"Put")</f>
        <v>0</v>
      </c>
      <c r="R30" s="14">
        <f t="shared" ca="1" si="7"/>
        <v>0</v>
      </c>
      <c r="S30" s="36">
        <f t="shared" ca="1" si="8"/>
        <v>0</v>
      </c>
      <c r="T30" s="36"/>
      <c r="U30" s="49">
        <f t="shared" ca="1" si="9"/>
        <v>0</v>
      </c>
      <c r="V30" s="49">
        <f t="shared" ca="1" si="10"/>
        <v>0</v>
      </c>
    </row>
    <row r="31" spans="1:36" x14ac:dyDescent="0.25">
      <c r="A31" s="36">
        <f t="shared" ca="1" si="1"/>
        <v>0</v>
      </c>
      <c r="B31" s="14">
        <f t="shared" ca="1" si="2"/>
        <v>0</v>
      </c>
      <c r="C31" s="14">
        <f>SUMIFS(指數型權證!$AH$1:$AH$49,指數型權證!$AL$1:$AL$49,"8",指數型權證!$AJ$1:$AJ$49,J31,指數型權證!$AM$1:$AM$49,"Call")</f>
        <v>0</v>
      </c>
      <c r="D31" s="14">
        <f t="shared" ca="1" si="3"/>
        <v>0</v>
      </c>
      <c r="E31" s="17">
        <f>[3]!'WTXOQ0;11100C`267'</f>
        <v>1060</v>
      </c>
      <c r="F31" s="17">
        <f>[3]!'WTXOQ0;11100C`268'</f>
        <v>1080</v>
      </c>
      <c r="G31" s="17" t="str">
        <f>[3]!'WTXOQ0;11100C`205'</f>
        <v>-</v>
      </c>
      <c r="H31" s="19">
        <f t="shared" ca="1" si="4"/>
        <v>0.23098445129394532</v>
      </c>
      <c r="I31" s="19">
        <f t="shared" ca="1" si="4"/>
        <v>0.25600761413574213</v>
      </c>
      <c r="J31" s="18">
        <f t="shared" si="13"/>
        <v>11100</v>
      </c>
      <c r="K31" s="17">
        <f>[3]!'WTXOQ0;11100P`267'</f>
        <v>67</v>
      </c>
      <c r="L31" s="17">
        <f>[3]!'WTXOQ0;11100P`268'</f>
        <v>68</v>
      </c>
      <c r="M31" s="17">
        <f>[3]!'WTXOQ0;11100P`205'</f>
        <v>68</v>
      </c>
      <c r="N31" s="19">
        <f t="shared" ca="1" si="5"/>
        <v>0.2512471099853516</v>
      </c>
      <c r="O31" s="19">
        <f t="shared" ca="1" si="5"/>
        <v>0.25246775207519534</v>
      </c>
      <c r="P31" s="14">
        <f t="shared" ca="1" si="6"/>
        <v>-320260.77144999866</v>
      </c>
      <c r="Q31" s="14">
        <f>SUMIFS(指數型權證!$AH$1:$AH$49,指數型權證!$AL$1:$AL$49,"8",指數型權證!$AJ$1:$AJ$49,J31,指數型權證!$AM$1:$AM$49,"Put")</f>
        <v>20</v>
      </c>
      <c r="R31" s="14">
        <f t="shared" ca="1" si="7"/>
        <v>-1594534.9629005576</v>
      </c>
      <c r="S31" s="36">
        <f t="shared" ca="1" si="8"/>
        <v>-4007.4988511248293</v>
      </c>
      <c r="T31" s="36"/>
      <c r="U31" s="49">
        <f t="shared" ca="1" si="9"/>
        <v>0</v>
      </c>
      <c r="V31" s="49">
        <f t="shared" ca="1" si="10"/>
        <v>-8495.1706114890731</v>
      </c>
    </row>
    <row r="32" spans="1:36" x14ac:dyDescent="0.25">
      <c r="A32" s="36">
        <f t="shared" ca="1" si="1"/>
        <v>-2881.9443105326741</v>
      </c>
      <c r="B32" s="14">
        <f t="shared" ca="1" si="2"/>
        <v>7819014.215362276</v>
      </c>
      <c r="C32" s="14">
        <f>SUMIFS(指數型權證!$AH$1:$AH$49,指數型權證!$AL$1:$AL$49,"8",指數型權證!$AJ$1:$AJ$49,J32,指數型權證!$AM$1:$AM$49,"Call")</f>
        <v>15</v>
      </c>
      <c r="D32" s="14">
        <f t="shared" ca="1" si="3"/>
        <v>-270045.36223006097</v>
      </c>
      <c r="E32" s="17">
        <f>[3]!'WTXOQ0;11200C`267'</f>
        <v>975</v>
      </c>
      <c r="F32" s="17">
        <f>[3]!'WTXOQ0;11200C`268'</f>
        <v>995</v>
      </c>
      <c r="G32" s="17" t="str">
        <f>[3]!'WTXOQ0;11200C`205'</f>
        <v>-</v>
      </c>
      <c r="H32" s="19">
        <f t="shared" ca="1" si="4"/>
        <v>0.23196096496582033</v>
      </c>
      <c r="I32" s="19">
        <f t="shared" ca="1" si="4"/>
        <v>0.25405458679199222</v>
      </c>
      <c r="J32" s="18">
        <f t="shared" si="13"/>
        <v>11200</v>
      </c>
      <c r="K32" s="17">
        <f>[3]!'WTXOQ0;11200P`267'</f>
        <v>78</v>
      </c>
      <c r="L32" s="17">
        <f>[3]!'WTXOQ0;11200P`268'</f>
        <v>79</v>
      </c>
      <c r="M32" s="17">
        <f>[3]!'WTXOQ0;11200P`205'</f>
        <v>78</v>
      </c>
      <c r="N32" s="19">
        <f t="shared" ca="1" si="5"/>
        <v>0.24551009216308595</v>
      </c>
      <c r="O32" s="19">
        <f t="shared" ca="1" si="5"/>
        <v>0.24648660583496096</v>
      </c>
      <c r="P32" s="14">
        <f t="shared" ca="1" si="6"/>
        <v>-1569420.8983105219</v>
      </c>
      <c r="Q32" s="14">
        <f>SUMIFS(指數型權證!$AH$1:$AH$49,指數型權證!$AL$1:$AL$49,"8",指數型權證!$AJ$1:$AJ$49,J32,指數型權證!$AM$1:$AM$49,"Put")</f>
        <v>87</v>
      </c>
      <c r="R32" s="14">
        <f t="shared" ca="1" si="7"/>
        <v>-7992702.6461396767</v>
      </c>
      <c r="S32" s="36">
        <f t="shared" ca="1" si="8"/>
        <v>-18782.071357581597</v>
      </c>
      <c r="T32" s="36"/>
      <c r="U32" s="49">
        <f t="shared" ca="1" si="9"/>
        <v>-6615.6753295650215</v>
      </c>
      <c r="V32" s="49">
        <f t="shared" ca="1" si="10"/>
        <v>-40545.070711427295</v>
      </c>
    </row>
    <row r="33" spans="1:22" x14ac:dyDescent="0.25">
      <c r="A33" s="36">
        <f t="shared" ca="1" si="1"/>
        <v>0</v>
      </c>
      <c r="B33" s="14">
        <f t="shared" ca="1" si="2"/>
        <v>0</v>
      </c>
      <c r="C33" s="14">
        <f>SUMIFS(指數型權證!$AH$1:$AH$49,指數型權證!$AL$1:$AL$49,"8",指數型權證!$AJ$1:$AJ$49,J33,指數型權證!$AM$1:$AM$49,"Call")</f>
        <v>0</v>
      </c>
      <c r="D33" s="14">
        <f t="shared" ca="1" si="3"/>
        <v>0</v>
      </c>
      <c r="E33" s="17">
        <f>[3]!'WTXOQ0;11300C`267'</f>
        <v>885</v>
      </c>
      <c r="F33" s="17">
        <f>[3]!'WTXOQ0;11300C`268'</f>
        <v>905</v>
      </c>
      <c r="G33" s="17" t="str">
        <f>[3]!'WTXOQ0;11300C`205'</f>
        <v>-</v>
      </c>
      <c r="H33" s="19">
        <f t="shared" ca="1" si="4"/>
        <v>0.22451504821777343</v>
      </c>
      <c r="I33" s="19">
        <f t="shared" ca="1" si="4"/>
        <v>0.24489977111816408</v>
      </c>
      <c r="J33" s="18">
        <f t="shared" si="13"/>
        <v>11300</v>
      </c>
      <c r="K33" s="17">
        <f>[3]!'WTXOQ0;11300P`267'</f>
        <v>87</v>
      </c>
      <c r="L33" s="17">
        <f>[3]!'WTXOQ0;11300P`268'</f>
        <v>90</v>
      </c>
      <c r="M33" s="17">
        <f>[3]!'WTXOQ0;11300P`205'</f>
        <v>88</v>
      </c>
      <c r="N33" s="19">
        <f t="shared" ca="1" si="5"/>
        <v>0.23586701965332033</v>
      </c>
      <c r="O33" s="19">
        <f t="shared" ca="1" si="5"/>
        <v>0.23891862487792973</v>
      </c>
      <c r="P33" s="14">
        <f t="shared" ca="1" si="6"/>
        <v>-2029227.7069448861</v>
      </c>
      <c r="Q33" s="14">
        <f>SUMIFS(指數型權證!$AH$1:$AH$49,指數型權證!$AL$1:$AL$49,"8",指數型權證!$AJ$1:$AJ$49,J33,指數型權證!$AM$1:$AM$49,"Put")</f>
        <v>100</v>
      </c>
      <c r="R33" s="14">
        <f ca="1">GBSGreeks("d", "P",$I$2,$J33,$N$2,$N33, 0,0)*50*$I$2*Q33</f>
        <v>-10347790.208556425</v>
      </c>
      <c r="S33" s="36">
        <f ca="1">(GBSOption("P",$I$2,$J33,$N$2,N33,0,0)-GBSOption("P",$I$2,$J33,$O$2,N33,0,0))*Q33*50*-1</f>
        <v>-22442.343602640663</v>
      </c>
      <c r="T33" s="36"/>
      <c r="U33" s="49">
        <f t="shared" ca="1" si="9"/>
        <v>0</v>
      </c>
      <c r="V33" s="49">
        <f t="shared" ca="1" si="10"/>
        <v>-50242.013262845328</v>
      </c>
    </row>
    <row r="34" spans="1:22" x14ac:dyDescent="0.25">
      <c r="A34" s="36">
        <f t="shared" ca="1" si="1"/>
        <v>0</v>
      </c>
      <c r="B34" s="14">
        <f t="shared" ca="1" si="2"/>
        <v>0</v>
      </c>
      <c r="C34" s="14">
        <f>SUMIFS(指數型權證!$AH$1:$AH$49,指數型權證!$AL$1:$AL$49,"8",指數型權證!$AJ$1:$AJ$49,J34,指數型權證!$AM$1:$AM$49,"Call")</f>
        <v>0</v>
      </c>
      <c r="D34" s="14">
        <f t="shared" ca="1" si="3"/>
        <v>0</v>
      </c>
      <c r="E34" s="17">
        <f>[3]!'WTXOQ0;11400C`267'</f>
        <v>805</v>
      </c>
      <c r="F34" s="17">
        <f>[3]!'WTXOQ0;11400C`268'</f>
        <v>820</v>
      </c>
      <c r="G34" s="17">
        <f>[3]!'WTXOQ0;11400C`205'</f>
        <v>780</v>
      </c>
      <c r="H34" s="19">
        <f t="shared" ca="1" si="4"/>
        <v>0.22500330505371094</v>
      </c>
      <c r="I34" s="19">
        <f t="shared" ca="1" si="4"/>
        <v>0.23891862487792973</v>
      </c>
      <c r="J34" s="18">
        <f t="shared" si="13"/>
        <v>11400</v>
      </c>
      <c r="K34" s="17">
        <f>[3]!'WTXOQ0;11400P`267'</f>
        <v>102</v>
      </c>
      <c r="L34" s="17">
        <f>[3]!'WTXOQ0;11400P`268'</f>
        <v>104</v>
      </c>
      <c r="M34" s="17">
        <f>[3]!'WTXOQ0;11400P`205'</f>
        <v>104</v>
      </c>
      <c r="N34" s="19">
        <f t="shared" ca="1" si="5"/>
        <v>0.23061825866699218</v>
      </c>
      <c r="O34" s="19">
        <f t="shared" ca="1" si="5"/>
        <v>0.23244922180175784</v>
      </c>
      <c r="P34" s="14">
        <f t="shared" ca="1" si="6"/>
        <v>2269076.8931945143</v>
      </c>
      <c r="Q34" s="14">
        <v>-100</v>
      </c>
      <c r="R34" s="14">
        <f t="shared" ca="1" si="7"/>
        <v>11941511.539090933</v>
      </c>
      <c r="S34" s="36">
        <f t="shared" ca="1" si="8"/>
        <v>24023.929054942528</v>
      </c>
      <c r="T34" s="36"/>
      <c r="U34" s="49">
        <f t="shared" ca="1" si="9"/>
        <v>0</v>
      </c>
      <c r="V34" s="49">
        <f t="shared" ca="1" si="10"/>
        <v>54741.409317652622</v>
      </c>
    </row>
    <row r="35" spans="1:22" x14ac:dyDescent="0.25">
      <c r="A35" s="36">
        <f t="shared" ca="1" si="1"/>
        <v>0</v>
      </c>
      <c r="B35" s="14">
        <f t="shared" ca="1" si="2"/>
        <v>0</v>
      </c>
      <c r="C35" s="14">
        <f>SUMIFS(指數型權證!$AH$1:$AH$49,指數型權證!$AL$1:$AL$49,"8",指數型權證!$AJ$1:$AJ$49,J35,指數型權證!$AM$1:$AM$49,"Call")</f>
        <v>0</v>
      </c>
      <c r="D35" s="14">
        <f t="shared" ca="1" si="3"/>
        <v>0</v>
      </c>
      <c r="E35" s="17">
        <f>[3]!'WTXOQ0;11500C`267'</f>
        <v>725</v>
      </c>
      <c r="F35" s="17">
        <f>[3]!'WTXOQ0;11500C`268'</f>
        <v>735</v>
      </c>
      <c r="G35" s="17">
        <f>[3]!'WTXOQ0;11500C`205'</f>
        <v>710</v>
      </c>
      <c r="H35" s="19">
        <f t="shared" ref="H35:I44" ca="1" si="14">IF(ISNUMBER(GBSImpliedVol("C",E35,$I$2,$J35,$N$2,0,0)),GBSImpliedVol("C",E35,$I$2,$J35,$N$2,0,0),0.6)</f>
        <v>0.22243995666503907</v>
      </c>
      <c r="I35" s="19">
        <f t="shared" ca="1" si="14"/>
        <v>0.23098445129394532</v>
      </c>
      <c r="J35" s="18">
        <f t="shared" si="13"/>
        <v>11500</v>
      </c>
      <c r="K35" s="17">
        <f>[3]!'WTXOQ0;11500P`267'</f>
        <v>118</v>
      </c>
      <c r="L35" s="17">
        <f>[3]!'WTXOQ0;11500P`268'</f>
        <v>120</v>
      </c>
      <c r="M35" s="17">
        <f>[3]!'WTXOQ0;11500P`205'</f>
        <v>119</v>
      </c>
      <c r="N35" s="19">
        <f t="shared" ref="N35:O44" ca="1" si="15">IF(ISNUMBER(GBSImpliedVol("P",K35,$I$2,$J35,$N$2,0,0)),GBSImpliedVol("P",K35,$I$2,$J35,$N$2,0,0),0.6)</f>
        <v>0.22414885559082035</v>
      </c>
      <c r="O35" s="19">
        <f t="shared" ca="1" si="15"/>
        <v>0.22585775451660156</v>
      </c>
      <c r="P35" s="14">
        <f t="shared" ca="1" si="6"/>
        <v>2527180.3920935718</v>
      </c>
      <c r="Q35" s="14">
        <v>-100</v>
      </c>
      <c r="R35" s="14">
        <f ca="1">GBSGreeks("d", "P",$I$2,$J35,$N$2,$N35, 0,0)*50*$I$2*Q35</f>
        <v>13672104.762296079</v>
      </c>
      <c r="S35" s="36">
        <f t="shared" ca="1" si="8"/>
        <v>25306.98811683962</v>
      </c>
      <c r="T35" s="36"/>
      <c r="U35" s="49">
        <f t="shared" ca="1" si="9"/>
        <v>0</v>
      </c>
      <c r="V35" s="49">
        <f t="shared" ca="1" si="10"/>
        <v>59075.283338070789</v>
      </c>
    </row>
    <row r="36" spans="1:22" x14ac:dyDescent="0.25">
      <c r="A36" s="36">
        <f t="shared" ca="1" si="1"/>
        <v>0</v>
      </c>
      <c r="B36" s="14">
        <f t="shared" ca="1" si="2"/>
        <v>0</v>
      </c>
      <c r="C36" s="14">
        <f>SUMIFS(指數型權證!$AH$1:$AH$49,指數型權證!$AL$1:$AL$49,"8",指數型權證!$AJ$1:$AJ$49,J36,指數型權證!$AM$1:$AM$49,"Call")</f>
        <v>0</v>
      </c>
      <c r="D36" s="14">
        <f t="shared" ca="1" si="3"/>
        <v>0</v>
      </c>
      <c r="E36" s="17">
        <f>[3]!'WTXOQ0;11600C`267'</f>
        <v>640</v>
      </c>
      <c r="F36" s="17">
        <f>[3]!'WTXOQ0;11600C`268'</f>
        <v>655</v>
      </c>
      <c r="G36" s="17">
        <f>[3]!'WTXOQ0;11600C`205'</f>
        <v>650</v>
      </c>
      <c r="H36" s="19">
        <f t="shared" ca="1" si="14"/>
        <v>0.21328514099121096</v>
      </c>
      <c r="I36" s="19">
        <f t="shared" ca="1" si="14"/>
        <v>0.2251253692626953</v>
      </c>
      <c r="J36" s="18">
        <f t="shared" si="13"/>
        <v>11600</v>
      </c>
      <c r="K36" s="17">
        <f>[3]!'WTXOQ0;11600P`267'</f>
        <v>139</v>
      </c>
      <c r="L36" s="17">
        <f>[3]!'WTXOQ0;11600P`268'</f>
        <v>140</v>
      </c>
      <c r="M36" s="17">
        <f>[3]!'WTXOQ0;11600P`205'</f>
        <v>140</v>
      </c>
      <c r="N36" s="19">
        <f t="shared" ca="1" si="15"/>
        <v>0.21963247985839845</v>
      </c>
      <c r="O36" s="19">
        <f t="shared" ca="1" si="15"/>
        <v>0.22036486511230471</v>
      </c>
      <c r="P36" s="14">
        <f t="shared" ca="1" si="6"/>
        <v>0</v>
      </c>
      <c r="Q36" s="14">
        <v>0</v>
      </c>
      <c r="R36" s="14">
        <f ca="1">GBSGreeks("d", "P",$I$2,$J36,$N$2,$N36, 0,0)*50*$I$2*Q36</f>
        <v>0</v>
      </c>
      <c r="S36" s="36">
        <f t="shared" ca="1" si="8"/>
        <v>0</v>
      </c>
      <c r="T36" s="36"/>
      <c r="U36" s="49">
        <f t="shared" ca="1" si="9"/>
        <v>0</v>
      </c>
      <c r="V36" s="49">
        <f t="shared" ca="1" si="10"/>
        <v>0</v>
      </c>
    </row>
    <row r="37" spans="1:22" ht="17.25" thickBot="1" x14ac:dyDescent="0.3">
      <c r="A37" s="36">
        <f t="shared" ca="1" si="1"/>
        <v>0</v>
      </c>
      <c r="B37" s="14">
        <f t="shared" ca="1" si="2"/>
        <v>0</v>
      </c>
      <c r="C37" s="14">
        <f>SUMIFS(指數型權證!$AH$1:$AH$49,指數型權證!$AL$1:$AL$49,"8",指數型權證!$AJ$1:$AJ$49,J37,指數型權證!$AM$1:$AM$49,"Call")</f>
        <v>0</v>
      </c>
      <c r="D37" s="14">
        <f t="shared" ca="1" si="3"/>
        <v>0</v>
      </c>
      <c r="E37" s="17">
        <f>[3]!'WTXOQ0;11700C`267'</f>
        <v>565</v>
      </c>
      <c r="F37" s="17">
        <f>[3]!'WTXOQ0;11700C`268'</f>
        <v>570</v>
      </c>
      <c r="G37" s="17">
        <f>[3]!'WTXOQ0;11700C`205'</f>
        <v>570</v>
      </c>
      <c r="H37" s="19">
        <f t="shared" ca="1" si="14"/>
        <v>0.20962321472167969</v>
      </c>
      <c r="I37" s="19">
        <f t="shared" ca="1" si="14"/>
        <v>0.21340720520019532</v>
      </c>
      <c r="J37" s="18">
        <f t="shared" si="13"/>
        <v>11700</v>
      </c>
      <c r="K37" s="17">
        <f>[3]!'WTXOQ0;11700P`267'</f>
        <v>160</v>
      </c>
      <c r="L37" s="17">
        <f>[3]!'WTXOQ0;11700P`268'</f>
        <v>162</v>
      </c>
      <c r="M37" s="17">
        <f>[3]!'WTXOQ0;11700P`205'</f>
        <v>161</v>
      </c>
      <c r="N37" s="19">
        <f t="shared" ca="1" si="15"/>
        <v>0.21267481994628909</v>
      </c>
      <c r="O37" s="19">
        <f t="shared" ca="1" si="15"/>
        <v>0.21413959045410158</v>
      </c>
      <c r="P37" s="14">
        <f t="shared" ca="1" si="6"/>
        <v>-1224320.3124333145</v>
      </c>
      <c r="Q37" s="14">
        <f>SUMIFS(指數型權證!$AH$1:$AH$49,指數型權證!$AL$1:$AL$49,"8",指數型權證!$AJ$1:$AJ$49,J37,指數型權證!$AM$1:$AM$49,"Put")</f>
        <v>40</v>
      </c>
      <c r="R37" s="14">
        <f ca="1">GBSGreeks("d", "P",$I$2,$J37,$N$2,$N37, 0,0)*50*$I$2*Q37</f>
        <v>-7158780.771255577</v>
      </c>
      <c r="S37" s="36">
        <f t="shared" ca="1" si="8"/>
        <v>-11061.48879393794</v>
      </c>
      <c r="T37" s="36"/>
      <c r="U37" s="50">
        <f t="shared" ca="1" si="9"/>
        <v>0</v>
      </c>
      <c r="V37" s="50">
        <f t="shared" ca="1" si="10"/>
        <v>-27002.264538825217</v>
      </c>
    </row>
    <row r="38" spans="1:22" ht="17.25" thickBot="1" x14ac:dyDescent="0.3">
      <c r="A38" s="36">
        <f t="shared" ca="1" si="1"/>
        <v>0</v>
      </c>
      <c r="B38" s="14">
        <f t="shared" ca="1" si="2"/>
        <v>0</v>
      </c>
      <c r="C38" s="14">
        <f>SUMIFS(指數型權證!$AH$1:$AH$49,指數型權證!$AL$1:$AL$49,"8",指數型權證!$AJ$1:$AJ$49,J38,指數型權證!$AM$1:$AM$49,"Call")</f>
        <v>0</v>
      </c>
      <c r="D38" s="14">
        <f t="shared" ca="1" si="3"/>
        <v>0</v>
      </c>
      <c r="E38" s="17">
        <f>[3]!'WTXOQ0;11800C`267'</f>
        <v>491</v>
      </c>
      <c r="F38" s="17">
        <f>[3]!'WTXOQ0;11800C`268'</f>
        <v>495</v>
      </c>
      <c r="G38" s="17">
        <f>[3]!'WTXOQ0;11800C`205'</f>
        <v>492</v>
      </c>
      <c r="H38" s="19">
        <f t="shared" ca="1" si="14"/>
        <v>0.20413032531738282</v>
      </c>
      <c r="I38" s="19">
        <f t="shared" ca="1" si="14"/>
        <v>0.20693780212402346</v>
      </c>
      <c r="J38" s="18">
        <f t="shared" si="13"/>
        <v>11800</v>
      </c>
      <c r="K38" s="17">
        <f>[3]!'WTXOQ0;11800P`267'</f>
        <v>185</v>
      </c>
      <c r="L38" s="17">
        <f>[3]!'WTXOQ0;11800P`268'</f>
        <v>188</v>
      </c>
      <c r="M38" s="17">
        <f>[3]!'WTXOQ0;11800P`205'</f>
        <v>185</v>
      </c>
      <c r="N38" s="19">
        <f t="shared" ca="1" si="15"/>
        <v>0.2062054168701172</v>
      </c>
      <c r="O38" s="19">
        <f t="shared" ca="1" si="15"/>
        <v>0.20828050842285162</v>
      </c>
      <c r="P38" s="14">
        <f t="shared" ca="1" si="6"/>
        <v>-2000451.6051034597</v>
      </c>
      <c r="Q38" s="14">
        <f>SUMIFS(指數型權證!$AH$1:$AH$49,指數型權證!$AL$1:$AL$49,"8",指數型權證!$AJ$1:$AJ$49,J38,指數型權證!$AM$1:$AM$49,"Put")</f>
        <v>60</v>
      </c>
      <c r="R38" s="14">
        <f t="shared" ref="R38:R44" ca="1" si="16">GBSGreeks("d", "P",$I$2,$J38,$N$2,$N38, 0,0)*50*$I$2*Q38</f>
        <v>-12206452.287033767</v>
      </c>
      <c r="S38" s="36">
        <f t="shared" ca="1" si="8"/>
        <v>-17008.307144468945</v>
      </c>
      <c r="T38" s="36"/>
      <c r="U38" s="50">
        <f t="shared" ca="1" si="9"/>
        <v>0</v>
      </c>
      <c r="V38" s="50">
        <f t="shared" ca="1" si="10"/>
        <v>-42687.780592621493</v>
      </c>
    </row>
    <row r="39" spans="1:22" ht="17.25" thickBot="1" x14ac:dyDescent="0.3">
      <c r="A39" s="36">
        <f t="shared" ca="1" si="1"/>
        <v>0</v>
      </c>
      <c r="B39" s="14">
        <f t="shared" ca="1" si="2"/>
        <v>0</v>
      </c>
      <c r="C39" s="14">
        <f>SUMIFS(指數型權證!$AH$1:$AH$49,指數型權證!$AL$1:$AL$49,"8",指數型權證!$AJ$1:$AJ$49,J39,指數型權證!$AM$1:$AM$49,"Call")</f>
        <v>0</v>
      </c>
      <c r="D39" s="14">
        <f t="shared" ca="1" si="3"/>
        <v>0</v>
      </c>
      <c r="E39" s="17">
        <f>[3]!'WTXOQ0;11900C`267'</f>
        <v>420</v>
      </c>
      <c r="F39" s="17">
        <f>[3]!'WTXOQ0;11900C`268'</f>
        <v>426</v>
      </c>
      <c r="G39" s="17">
        <f>[3]!'WTXOQ0;11900C`205'</f>
        <v>417</v>
      </c>
      <c r="H39" s="19">
        <f t="shared" ca="1" si="14"/>
        <v>0.19778298645019529</v>
      </c>
      <c r="I39" s="19">
        <f t="shared" ca="1" si="14"/>
        <v>0.2018111053466797</v>
      </c>
      <c r="J39" s="18">
        <f t="shared" si="13"/>
        <v>11900</v>
      </c>
      <c r="K39" s="17">
        <f>[3]!'WTXOQ0;11900P`267'</f>
        <v>212</v>
      </c>
      <c r="L39" s="17">
        <f>[3]!'WTXOQ0;11900P`268'</f>
        <v>217</v>
      </c>
      <c r="M39" s="17">
        <f>[3]!'WTXOQ0;11900P`205'</f>
        <v>212</v>
      </c>
      <c r="N39" s="19">
        <f t="shared" ca="1" si="15"/>
        <v>0.19851537170410155</v>
      </c>
      <c r="O39" s="19">
        <f t="shared" ca="1" si="15"/>
        <v>0.2018111053466797</v>
      </c>
      <c r="P39" s="14">
        <f t="shared" ca="1" si="6"/>
        <v>-976295.30102863547</v>
      </c>
      <c r="Q39" s="14">
        <f>SUMIFS(指數型權證!$AH$1:$AH$49,指數型權證!$AL$1:$AL$49,"8",指數型權證!$AJ$1:$AJ$49,J39,指數型權證!$AM$1:$AM$49,"Put")</f>
        <v>27</v>
      </c>
      <c r="R39" s="14">
        <f t="shared" ca="1" si="16"/>
        <v>-6215406.1718976898</v>
      </c>
      <c r="S39" s="36">
        <f t="shared" ca="1" si="8"/>
        <v>-7700.9927128787494</v>
      </c>
      <c r="T39" s="36"/>
      <c r="U39" s="50">
        <f t="shared" ca="1" si="9"/>
        <v>0</v>
      </c>
      <c r="V39" s="50">
        <f t="shared" ca="1" si="10"/>
        <v>-20026.870872560066</v>
      </c>
    </row>
    <row r="40" spans="1:22" ht="17.25" thickBot="1" x14ac:dyDescent="0.3">
      <c r="A40" s="36">
        <f t="shared" ca="1" si="1"/>
        <v>0</v>
      </c>
      <c r="B40" s="14">
        <f t="shared" ca="1" si="2"/>
        <v>0</v>
      </c>
      <c r="C40" s="14">
        <f>SUMIFS(指數型權證!$AH$1:$AH$49,指數型權證!$AL$1:$AL$49,"8",指數型權證!$AJ$1:$AJ$49,J40,指數型權證!$AM$1:$AM$49,"Call")</f>
        <v>0</v>
      </c>
      <c r="D40" s="14">
        <f t="shared" ca="1" si="3"/>
        <v>0</v>
      </c>
      <c r="E40" s="17">
        <f>[3]!'WTXOQ0;12000C`267'</f>
        <v>354</v>
      </c>
      <c r="F40" s="17">
        <f>[3]!'WTXOQ0;12000C`268'</f>
        <v>358</v>
      </c>
      <c r="G40" s="17">
        <f>[3]!'WTXOQ0;12000C`205'</f>
        <v>357</v>
      </c>
      <c r="H40" s="19">
        <f t="shared" ca="1" si="14"/>
        <v>0.19192390441894533</v>
      </c>
      <c r="I40" s="19">
        <f t="shared" ca="1" si="14"/>
        <v>0.19448725280761717</v>
      </c>
      <c r="J40" s="18">
        <f t="shared" si="13"/>
        <v>12000</v>
      </c>
      <c r="K40" s="17">
        <f>[3]!'WTXOQ0;12000P`267'</f>
        <v>248</v>
      </c>
      <c r="L40" s="17">
        <f>[3]!'WTXOQ0;12000P`268'</f>
        <v>251</v>
      </c>
      <c r="M40" s="17">
        <f>[3]!'WTXOQ0;12000P`205'</f>
        <v>251</v>
      </c>
      <c r="N40" s="19">
        <f ca="1">IF(ISNUMBER(GBSImpliedVol("P",K40,$I$2,$J40,$N$2,0,0)),GBSImpliedVol("P",K40,$I$2,$J40,$N$2,0,0),0.6)</f>
        <v>0.1938769317626953</v>
      </c>
      <c r="O40" s="19">
        <f t="shared" ca="1" si="15"/>
        <v>0.19582995910644532</v>
      </c>
      <c r="P40" s="14">
        <f t="shared" ca="1" si="6"/>
        <v>-1909385.4802612127</v>
      </c>
      <c r="Q40" s="14">
        <f>SUMIFS(指數型權證!$AH$1:$AH$49,指數型權證!$AL$1:$AL$49,"8",指數型權證!$AJ$1:$AJ$49,J40,指數型權證!$AM$1:$AM$49,"Put")</f>
        <v>50</v>
      </c>
      <c r="R40" s="14">
        <f t="shared" ca="1" si="16"/>
        <v>-13017367.819646183</v>
      </c>
      <c r="S40" s="36">
        <f t="shared" ca="1" si="8"/>
        <v>-14380.032398021925</v>
      </c>
      <c r="T40" s="36"/>
      <c r="U40" s="50">
        <f t="shared" ca="1" si="9"/>
        <v>0</v>
      </c>
      <c r="V40" s="50">
        <f t="shared" ca="1" si="10"/>
        <v>-38221.609766906047</v>
      </c>
    </row>
    <row r="41" spans="1:22" ht="17.25" thickBot="1" x14ac:dyDescent="0.3">
      <c r="A41" s="36">
        <f t="shared" ca="1" si="1"/>
        <v>0</v>
      </c>
      <c r="B41" s="14">
        <f t="shared" ca="1" si="2"/>
        <v>0</v>
      </c>
      <c r="C41" s="14">
        <f>SUMIFS(指數型權證!$AH$1:$AH$49,指數型權證!$AL$1:$AL$49,"8",指數型權證!$AJ$1:$AJ$49,J41,指數型權證!$AM$1:$AM$49,"Call")</f>
        <v>0</v>
      </c>
      <c r="D41" s="14">
        <f t="shared" ca="1" si="3"/>
        <v>0</v>
      </c>
      <c r="E41" s="17">
        <f>[3]!'WTXOQ0;12100C`267'</f>
        <v>293</v>
      </c>
      <c r="F41" s="17">
        <f>[3]!'WTXOQ0;12100C`268'</f>
        <v>299</v>
      </c>
      <c r="G41" s="17">
        <f>[3]!'WTXOQ0;12100C`205'</f>
        <v>295</v>
      </c>
      <c r="H41" s="19">
        <f t="shared" ca="1" si="14"/>
        <v>0.18594275817871095</v>
      </c>
      <c r="I41" s="19">
        <f t="shared" ca="1" si="14"/>
        <v>0.18984881286621094</v>
      </c>
      <c r="J41" s="18">
        <f t="shared" si="13"/>
        <v>12100</v>
      </c>
      <c r="K41" s="17">
        <f>[3]!'WTXOQ0;12100P`267'</f>
        <v>287</v>
      </c>
      <c r="L41" s="17">
        <f>[3]!'WTXOQ0;12100P`268'</f>
        <v>290</v>
      </c>
      <c r="M41" s="17">
        <f>[3]!'WTXOQ0;12100P`205'</f>
        <v>290</v>
      </c>
      <c r="N41" s="19">
        <f t="shared" ca="1" si="15"/>
        <v>0.18789578552246095</v>
      </c>
      <c r="O41" s="19">
        <f t="shared" ca="1" si="15"/>
        <v>0.18984881286621094</v>
      </c>
      <c r="P41" s="14">
        <f t="shared" ca="1" si="6"/>
        <v>0</v>
      </c>
      <c r="Q41" s="14">
        <f>SUMIFS(指數型權證!$AH$1:$AH$49,指數型權證!$AL$1:$AL$49,"8",指數型權證!$AJ$1:$AJ$49,J41,指數型權證!$AM$1:$AM$49,"Put")</f>
        <v>0</v>
      </c>
      <c r="R41" s="14">
        <f t="shared" ca="1" si="16"/>
        <v>0</v>
      </c>
      <c r="S41" s="36">
        <f t="shared" ca="1" si="8"/>
        <v>0</v>
      </c>
      <c r="T41" s="36"/>
      <c r="U41" s="50">
        <f t="shared" ca="1" si="9"/>
        <v>0</v>
      </c>
      <c r="V41" s="50">
        <f t="shared" ca="1" si="10"/>
        <v>0</v>
      </c>
    </row>
    <row r="42" spans="1:22" ht="17.25" thickBot="1" x14ac:dyDescent="0.3">
      <c r="A42" s="36">
        <f t="shared" ca="1" si="1"/>
        <v>0</v>
      </c>
      <c r="B42" s="14">
        <f t="shared" ca="1" si="2"/>
        <v>0</v>
      </c>
      <c r="C42" s="14">
        <f>SUMIFS(指數型權證!$AH$1:$AH$49,指數型權證!$AL$1:$AL$49,"8",指數型權證!$AJ$1:$AJ$49,J42,指數型權證!$AM$1:$AM$49,"Call")</f>
        <v>0</v>
      </c>
      <c r="D42" s="14">
        <f t="shared" ca="1" si="3"/>
        <v>0</v>
      </c>
      <c r="E42" s="17">
        <f>[3]!'WTXOQ0;12200C`267'</f>
        <v>243</v>
      </c>
      <c r="F42" s="17">
        <f>[3]!'WTXOQ0;12200C`268'</f>
        <v>246</v>
      </c>
      <c r="G42" s="17">
        <f>[3]!'WTXOQ0;12200C`205'</f>
        <v>243</v>
      </c>
      <c r="H42" s="19">
        <f t="shared" ca="1" si="14"/>
        <v>0.1837456024169922</v>
      </c>
      <c r="I42" s="19">
        <f t="shared" ca="1" si="14"/>
        <v>0.1856986297607422</v>
      </c>
      <c r="J42" s="18">
        <f t="shared" si="13"/>
        <v>12200</v>
      </c>
      <c r="K42" s="17">
        <f>[3]!'WTXOQ0;12200P`267'</f>
        <v>334</v>
      </c>
      <c r="L42" s="17">
        <f>[3]!'WTXOQ0;12200P`268'</f>
        <v>338</v>
      </c>
      <c r="M42" s="17">
        <f>[3]!'WTXOQ0;12200P`205'</f>
        <v>333</v>
      </c>
      <c r="N42" s="19">
        <f t="shared" ca="1" si="15"/>
        <v>0.1837456024169922</v>
      </c>
      <c r="O42" s="19">
        <f t="shared" ca="1" si="15"/>
        <v>0.18643101501464843</v>
      </c>
      <c r="P42" s="14">
        <f t="shared" ca="1" si="6"/>
        <v>0</v>
      </c>
      <c r="Q42" s="14">
        <f>SUMIFS(指數型權證!$AH$1:$AH$49,指數型權證!$AL$1:$AL$49,"8",指數型權證!$AJ$1:$AJ$49,J42,指數型權證!$AM$1:$AM$49,"Put")</f>
        <v>0</v>
      </c>
      <c r="R42" s="14">
        <f t="shared" ca="1" si="16"/>
        <v>0</v>
      </c>
      <c r="S42" s="36">
        <f t="shared" ca="1" si="8"/>
        <v>0</v>
      </c>
      <c r="T42" s="36"/>
      <c r="U42" s="50">
        <f t="shared" ca="1" si="9"/>
        <v>0</v>
      </c>
      <c r="V42" s="50">
        <f t="shared" ca="1" si="10"/>
        <v>0</v>
      </c>
    </row>
    <row r="43" spans="1:22" ht="17.25" thickBot="1" x14ac:dyDescent="0.3">
      <c r="A43" s="36">
        <f t="shared" ca="1" si="1"/>
        <v>0</v>
      </c>
      <c r="B43" s="14">
        <f t="shared" ca="1" si="2"/>
        <v>0</v>
      </c>
      <c r="C43" s="14">
        <f>SUMIFS(指數型權證!$AH$1:$AH$49,指數型權證!$AL$1:$AL$49,"8",指數型權證!$AJ$1:$AJ$49,J43,指數型權證!$AM$1:$AM$49,"Call")</f>
        <v>0</v>
      </c>
      <c r="D43" s="14">
        <f t="shared" ca="1" si="3"/>
        <v>0</v>
      </c>
      <c r="E43" s="17">
        <f>[3]!'WTXOQ0;12300C`267'</f>
        <v>197</v>
      </c>
      <c r="F43" s="17">
        <f>[3]!'WTXOQ0;12300C`268'</f>
        <v>200</v>
      </c>
      <c r="G43" s="17">
        <f>[3]!'WTXOQ0;12300C`205'</f>
        <v>199</v>
      </c>
      <c r="H43" s="19">
        <f t="shared" ca="1" si="14"/>
        <v>0.18057193298339846</v>
      </c>
      <c r="I43" s="19">
        <f t="shared" ca="1" si="14"/>
        <v>0.18252496032714843</v>
      </c>
      <c r="J43" s="18">
        <f t="shared" si="13"/>
        <v>12300</v>
      </c>
      <c r="K43" s="17">
        <f>[3]!'WTXOQ0;12300P`267'</f>
        <v>388</v>
      </c>
      <c r="L43" s="17">
        <f>[3]!'WTXOQ0;12300P`268'</f>
        <v>390</v>
      </c>
      <c r="M43" s="17">
        <f>[3]!'WTXOQ0;12300P`205'</f>
        <v>390</v>
      </c>
      <c r="N43" s="19">
        <f t="shared" ca="1" si="15"/>
        <v>0.18057193298339846</v>
      </c>
      <c r="O43" s="19">
        <f t="shared" ca="1" si="15"/>
        <v>0.18191463928222659</v>
      </c>
      <c r="P43" s="14">
        <f t="shared" ca="1" si="6"/>
        <v>0</v>
      </c>
      <c r="Q43" s="14">
        <f>SUMIFS(指數型權證!$AH$1:$AH$49,指數型權證!$AL$1:$AL$49,"8",指數型權證!$AJ$1:$AJ$49,J43,指數型權證!$AM$1:$AM$49,"Put")</f>
        <v>0</v>
      </c>
      <c r="R43" s="14">
        <f t="shared" ca="1" si="16"/>
        <v>0</v>
      </c>
      <c r="S43" s="36">
        <f t="shared" ca="1" si="8"/>
        <v>0</v>
      </c>
      <c r="T43" s="36"/>
      <c r="U43" s="50">
        <f t="shared" ca="1" si="9"/>
        <v>0</v>
      </c>
      <c r="V43" s="50">
        <f t="shared" ca="1" si="10"/>
        <v>0</v>
      </c>
    </row>
    <row r="44" spans="1:22" ht="17.25" thickBot="1" x14ac:dyDescent="0.3">
      <c r="A44" s="36">
        <f t="shared" ca="1" si="1"/>
        <v>0</v>
      </c>
      <c r="B44" s="14">
        <f t="shared" ca="1" si="2"/>
        <v>0</v>
      </c>
      <c r="C44" s="14">
        <f>SUMIFS(指數型權證!$AH$1:$AH$49,指數型權證!$AL$1:$AL$49,"8",指數型權證!$AJ$1:$AJ$49,J44,指數型權證!$AM$1:$AM$49,"Call")</f>
        <v>0</v>
      </c>
      <c r="D44" s="14">
        <f t="shared" ca="1" si="3"/>
        <v>0</v>
      </c>
      <c r="E44" s="17">
        <f>[3]!'WTXOQ0;12400C`267'</f>
        <v>156</v>
      </c>
      <c r="F44" s="17">
        <f>[3]!'WTXOQ0;12400C`268'</f>
        <v>158</v>
      </c>
      <c r="G44" s="17">
        <f>[3]!'WTXOQ0;12400C`205'</f>
        <v>156</v>
      </c>
      <c r="H44" s="19">
        <f t="shared" ca="1" si="14"/>
        <v>0.17678794250488286</v>
      </c>
      <c r="I44" s="19">
        <f t="shared" ca="1" si="14"/>
        <v>0.17825271301269532</v>
      </c>
      <c r="J44" s="18">
        <f t="shared" si="13"/>
        <v>12400</v>
      </c>
      <c r="K44" s="17">
        <f>[3]!'WTXOQ0;12400P`267'</f>
        <v>445</v>
      </c>
      <c r="L44" s="17">
        <f>[3]!'WTXOQ0;12400P`268'</f>
        <v>450</v>
      </c>
      <c r="M44" s="17">
        <f>[3]!'WTXOQ0;12400P`205'</f>
        <v>446</v>
      </c>
      <c r="N44" s="19">
        <f t="shared" ca="1" si="15"/>
        <v>0.17544523620605471</v>
      </c>
      <c r="O44" s="19">
        <f t="shared" ca="1" si="15"/>
        <v>0.17886303405761719</v>
      </c>
      <c r="P44" s="14">
        <f t="shared" ca="1" si="6"/>
        <v>0</v>
      </c>
      <c r="Q44" s="14">
        <f>SUMIFS(指數型權證!$AH$1:$AH$49,指數型權證!$AL$1:$AL$49,"8",指數型權證!$AJ$1:$AJ$49,J44,指數型權證!$AM$1:$AM$49,"Put")</f>
        <v>0</v>
      </c>
      <c r="R44" s="14">
        <f t="shared" ca="1" si="16"/>
        <v>0</v>
      </c>
      <c r="S44" s="36">
        <f t="shared" ca="1" si="8"/>
        <v>0</v>
      </c>
      <c r="T44" s="36"/>
      <c r="U44" s="50">
        <f t="shared" ca="1" si="9"/>
        <v>0</v>
      </c>
      <c r="V44" s="50">
        <f t="shared" ca="1" si="10"/>
        <v>0</v>
      </c>
    </row>
    <row r="45" spans="1:22" ht="17.25" thickBot="1" x14ac:dyDescent="0.3">
      <c r="A45" s="36">
        <f t="shared" ca="1" si="1"/>
        <v>0</v>
      </c>
      <c r="B45" s="14">
        <f t="shared" ca="1" si="2"/>
        <v>0</v>
      </c>
      <c r="C45" s="14">
        <f>SUMIFS(指數型權證!$AH$1:$AH$49,指數型權證!$AL$1:$AL$49,"8",指數型權證!$AJ$1:$AJ$49,J45,指數型權證!$AM$1:$AM$49,"Call")</f>
        <v>0</v>
      </c>
      <c r="D45" s="14">
        <f t="shared" ca="1" si="3"/>
        <v>0</v>
      </c>
      <c r="E45" s="17">
        <f>[3]!'WTXOQ0;12500C`267'</f>
        <v>124</v>
      </c>
      <c r="F45" s="17">
        <f>[3]!'WTXOQ0;12500C`268'</f>
        <v>126</v>
      </c>
      <c r="G45" s="17">
        <f>[3]!'WTXOQ0;12500C`205'</f>
        <v>126</v>
      </c>
      <c r="H45" s="19">
        <f t="shared" ref="H45:H50" ca="1" si="17">IF(ISNUMBER(GBSImpliedVol("C",E45,$I$2,$J45,$N$2,0,0)),GBSImpliedVol("C",E45,$I$2,$J45,$N$2,0,0),0.6)</f>
        <v>0.17544523620605471</v>
      </c>
      <c r="I45" s="19">
        <f t="shared" ref="I45:I50" ca="1" si="18">IF(ISNUMBER(GBSImpliedVol("C",F45,$I$2,$J45,$N$2,0,0)),GBSImpliedVol("C",F45,$I$2,$J45,$N$2,0,0),0.6)</f>
        <v>0.17703207092285161</v>
      </c>
      <c r="J45" s="18">
        <f>J44+100</f>
        <v>12500</v>
      </c>
      <c r="K45" s="17">
        <f>[3]!'WTXOQ0;12500P`267'</f>
        <v>510</v>
      </c>
      <c r="L45" s="17">
        <f>[3]!'WTXOQ0;12500P`268'</f>
        <v>520</v>
      </c>
      <c r="M45" s="17">
        <f>[3]!'WTXOQ0;12500P`205'</f>
        <v>550</v>
      </c>
      <c r="N45" s="19">
        <f t="shared" ref="N45:N50" ca="1" si="19">IF(ISNUMBER(GBSImpliedVol("P",K45,$I$2,$J45,$N$2,0,0)),GBSImpliedVol("P",K45,$I$2,$J45,$N$2,0,0),0.6)</f>
        <v>0.17178330993652344</v>
      </c>
      <c r="O45" s="19">
        <f t="shared" ref="O45:O50" ca="1" si="20">IF(ISNUMBER(GBSImpliedVol("P",L45,$I$2,$J45,$N$2,0,0)),GBSImpliedVol("P",L45,$I$2,$J45,$N$2,0,0),0.6)</f>
        <v>0.17922922668457034</v>
      </c>
      <c r="P45" s="14">
        <f t="shared" ca="1" si="6"/>
        <v>0</v>
      </c>
      <c r="Q45" s="14">
        <f>SUMIFS(指數型權證!$AH$1:$AH$49,指數型權證!$AL$1:$AL$49,"8",指數型權證!$AJ$1:$AJ$49,J45,指數型權證!$AM$1:$AM$49,"Put")</f>
        <v>0</v>
      </c>
      <c r="R45" s="14">
        <f t="shared" ref="R45:R50" ca="1" si="21">GBSGreeks("d", "P",$I$2,$J45,$N$2,$N45, 0,0)*50*$I$2*Q45</f>
        <v>0</v>
      </c>
      <c r="S45" s="36">
        <f t="shared" ref="S45:S50" ca="1" si="22">(GBSOption("P",$I$2,$J45,$N$2,N45,0,0)-GBSOption("P",$I$2,$J45,$O$2,N45,0,0))*Q45*50*-1</f>
        <v>0</v>
      </c>
      <c r="T45" s="36"/>
      <c r="U45" s="50">
        <f t="shared" ca="1" si="9"/>
        <v>0</v>
      </c>
      <c r="V45" s="50">
        <f t="shared" ca="1" si="10"/>
        <v>0</v>
      </c>
    </row>
    <row r="46" spans="1:22" ht="17.25" thickBot="1" x14ac:dyDescent="0.3">
      <c r="A46" s="36">
        <f t="shared" ca="1" si="1"/>
        <v>0</v>
      </c>
      <c r="B46" s="14">
        <f t="shared" ca="1" si="2"/>
        <v>0</v>
      </c>
      <c r="C46" s="14">
        <f>SUMIFS(指數型權證!$AH$1:$AH$49,指數型權證!$AL$1:$AL$49,"8",指數型權證!$AJ$1:$AJ$49,J46,指數型權證!$AM$1:$AM$49,"Call")</f>
        <v>0</v>
      </c>
      <c r="D46" s="14">
        <f t="shared" ca="1" si="3"/>
        <v>0</v>
      </c>
      <c r="E46" s="17">
        <f>[3]!'WTXOQ0;12600C`267'</f>
        <v>96</v>
      </c>
      <c r="F46" s="17">
        <f>[3]!'WTXOQ0;12600C`268'</f>
        <v>98</v>
      </c>
      <c r="G46" s="17">
        <f>[3]!'WTXOQ0;12600C`205'</f>
        <v>97</v>
      </c>
      <c r="H46" s="19">
        <f t="shared" ca="1" si="17"/>
        <v>0.17337014465332032</v>
      </c>
      <c r="I46" s="19">
        <f t="shared" ca="1" si="18"/>
        <v>0.1749569793701172</v>
      </c>
      <c r="J46" s="18">
        <f t="shared" ref="J46:J50" si="23">J45+100</f>
        <v>12600</v>
      </c>
      <c r="K46" s="17">
        <f>[3]!'WTXOQ0;12600P`267'</f>
        <v>580</v>
      </c>
      <c r="L46" s="17">
        <f>[3]!'WTXOQ0;12600P`268'</f>
        <v>595</v>
      </c>
      <c r="M46" s="17" t="str">
        <f>[3]!'WTXOQ0;12600P`205'</f>
        <v>-</v>
      </c>
      <c r="N46" s="19">
        <f t="shared" ca="1" si="19"/>
        <v>0.16763312683105466</v>
      </c>
      <c r="O46" s="19">
        <f t="shared" ca="1" si="20"/>
        <v>0.17983954772949221</v>
      </c>
      <c r="P46" s="14">
        <f t="shared" ca="1" si="6"/>
        <v>0</v>
      </c>
      <c r="Q46" s="14">
        <f>SUMIFS(指數型權證!$AH$1:$AH$49,指數型權證!$AL$1:$AL$49,"8",指數型權證!$AJ$1:$AJ$49,J46,指數型權證!$AM$1:$AM$49,"Put")</f>
        <v>0</v>
      </c>
      <c r="R46" s="14">
        <f t="shared" ca="1" si="21"/>
        <v>0</v>
      </c>
      <c r="S46" s="36">
        <f t="shared" ca="1" si="22"/>
        <v>0</v>
      </c>
      <c r="T46" s="36"/>
      <c r="U46" s="50">
        <f t="shared" ca="1" si="9"/>
        <v>0</v>
      </c>
      <c r="V46" s="50">
        <f t="shared" ca="1" si="10"/>
        <v>0</v>
      </c>
    </row>
    <row r="47" spans="1:22" ht="17.25" thickBot="1" x14ac:dyDescent="0.3">
      <c r="A47" s="36">
        <f t="shared" ca="1" si="1"/>
        <v>0</v>
      </c>
      <c r="B47" s="14">
        <f t="shared" ca="1" si="2"/>
        <v>0</v>
      </c>
      <c r="C47" s="14">
        <f>SUMIFS(指數型權證!$AH$1:$AH$49,指數型權證!$AL$1:$AL$49,"8",指數型權證!$AJ$1:$AJ$49,J47,指數型權證!$AM$1:$AM$49,"Call")</f>
        <v>0</v>
      </c>
      <c r="D47" s="14">
        <f t="shared" ca="1" si="3"/>
        <v>0</v>
      </c>
      <c r="E47" s="17">
        <f>[3]!'WTXOQ0;12700C`267'</f>
        <v>74</v>
      </c>
      <c r="F47" s="17">
        <f>[3]!'WTXOQ0;12700C`268'</f>
        <v>75</v>
      </c>
      <c r="G47" s="17">
        <f>[3]!'WTXOQ0;12700C`205'</f>
        <v>75</v>
      </c>
      <c r="H47" s="19">
        <f t="shared" ca="1" si="17"/>
        <v>0.17227156677246094</v>
      </c>
      <c r="I47" s="19">
        <f t="shared" ca="1" si="18"/>
        <v>0.17324808044433593</v>
      </c>
      <c r="J47" s="18">
        <f t="shared" si="23"/>
        <v>12700</v>
      </c>
      <c r="K47" s="17">
        <f>[3]!'WTXOQ0;12700P`267'</f>
        <v>660</v>
      </c>
      <c r="L47" s="17">
        <f>[3]!'WTXOQ0;12700P`268'</f>
        <v>670</v>
      </c>
      <c r="M47" s="17">
        <f>[3]!'WTXOQ0;12700P`205'</f>
        <v>695</v>
      </c>
      <c r="N47" s="19">
        <f ca="1">IF(ISNUMBER(GBSImpliedVol("P",K47,$I$2,$J47,$N$2,0,0)),GBSImpliedVol("P",K47,$I$2,$J47,$N$2,0,0),0.6)</f>
        <v>0.16763312683105466</v>
      </c>
      <c r="O47" s="19">
        <f t="shared" ca="1" si="20"/>
        <v>0.17678794250488286</v>
      </c>
      <c r="P47" s="14">
        <f t="shared" ca="1" si="6"/>
        <v>0</v>
      </c>
      <c r="Q47" s="14">
        <f>SUMIFS(指數型權證!$AH$1:$AH$49,指數型權證!$AL$1:$AL$49,"8",指數型權證!$AJ$1:$AJ$49,J47,指數型權證!$AM$1:$AM$49,"Put")</f>
        <v>0</v>
      </c>
      <c r="R47" s="14">
        <f t="shared" ca="1" si="21"/>
        <v>0</v>
      </c>
      <c r="S47" s="36">
        <f t="shared" ca="1" si="22"/>
        <v>0</v>
      </c>
      <c r="T47" s="36"/>
      <c r="U47" s="50">
        <f t="shared" ca="1" si="9"/>
        <v>0</v>
      </c>
      <c r="V47" s="50">
        <f t="shared" ca="1" si="10"/>
        <v>0</v>
      </c>
    </row>
    <row r="48" spans="1:22" ht="17.25" thickBot="1" x14ac:dyDescent="0.3">
      <c r="A48" s="36">
        <f t="shared" ca="1" si="1"/>
        <v>0</v>
      </c>
      <c r="B48" s="14">
        <f t="shared" ca="1" si="2"/>
        <v>0</v>
      </c>
      <c r="C48" s="14">
        <f>SUMIFS(指數型權證!$AH$1:$AH$49,指數型權證!$AL$1:$AL$49,"8",指數型權證!$AJ$1:$AJ$49,J48,指數型權證!$AM$1:$AM$49,"Call")</f>
        <v>0</v>
      </c>
      <c r="D48" s="14">
        <f t="shared" ca="1" si="3"/>
        <v>0</v>
      </c>
      <c r="E48" s="17">
        <f>[3]!'WTXOQ0;12800C`267'</f>
        <v>57</v>
      </c>
      <c r="F48" s="17">
        <f>[3]!'WTXOQ0;12800C`268'</f>
        <v>58</v>
      </c>
      <c r="G48" s="17">
        <f>[3]!'WTXOQ0;12800C`205'</f>
        <v>58</v>
      </c>
      <c r="H48" s="19">
        <f t="shared" ca="1" si="17"/>
        <v>0.17214950256347658</v>
      </c>
      <c r="I48" s="19">
        <f t="shared" ca="1" si="18"/>
        <v>0.17324808044433593</v>
      </c>
      <c r="J48" s="18">
        <f t="shared" si="23"/>
        <v>12800</v>
      </c>
      <c r="K48" s="17">
        <f>[3]!'WTXOQ0;12800P`267'</f>
        <v>735</v>
      </c>
      <c r="L48" s="17">
        <f>[3]!'WTXOQ0;12800P`268'</f>
        <v>755</v>
      </c>
      <c r="M48" s="17">
        <f>[3]!'WTXOQ0;12800P`205'</f>
        <v>780</v>
      </c>
      <c r="N48" s="19">
        <f t="shared" ca="1" si="19"/>
        <v>0.15811211853027343</v>
      </c>
      <c r="O48" s="19">
        <f t="shared" ca="1" si="20"/>
        <v>0.17922922668457034</v>
      </c>
      <c r="P48" s="14">
        <f t="shared" ca="1" si="6"/>
        <v>0</v>
      </c>
      <c r="Q48" s="14">
        <f>SUMIFS(指數型權證!$AH$1:$AH$49,指數型權證!$AL$1:$AL$49,"8",指數型權證!$AJ$1:$AJ$49,J48,指數型權證!$AM$1:$AM$49,"Put")</f>
        <v>0</v>
      </c>
      <c r="R48" s="14">
        <f t="shared" ca="1" si="21"/>
        <v>0</v>
      </c>
      <c r="S48" s="36">
        <f t="shared" ca="1" si="22"/>
        <v>0</v>
      </c>
      <c r="T48" s="36"/>
      <c r="U48" s="50">
        <f t="shared" ca="1" si="9"/>
        <v>0</v>
      </c>
      <c r="V48" s="50">
        <f t="shared" ca="1" si="10"/>
        <v>0</v>
      </c>
    </row>
    <row r="49" spans="1:22" ht="17.25" thickBot="1" x14ac:dyDescent="0.3">
      <c r="A49" s="36">
        <f t="shared" ca="1" si="1"/>
        <v>0</v>
      </c>
      <c r="B49" s="14">
        <f t="shared" ca="1" si="2"/>
        <v>0</v>
      </c>
      <c r="C49" s="14">
        <f>SUMIFS(指數型權證!$AH$1:$AH$49,指數型權證!$AL$1:$AL$49,"8",指數型權證!$AJ$1:$AJ$49,J49,指數型權證!$AM$1:$AM$49,"Call")</f>
        <v>0</v>
      </c>
      <c r="D49" s="14">
        <f t="shared" ca="1" si="3"/>
        <v>0</v>
      </c>
      <c r="E49" s="17">
        <f>[3]!'WTXOQ0;12900C`267'</f>
        <v>41</v>
      </c>
      <c r="F49" s="17">
        <f>[3]!'WTXOQ0;12900C`268'</f>
        <v>44</v>
      </c>
      <c r="G49" s="17">
        <f>[3]!'WTXOQ0;12900C`205'</f>
        <v>42.5</v>
      </c>
      <c r="H49" s="19">
        <f t="shared" ca="1" si="17"/>
        <v>0.16921996154785157</v>
      </c>
      <c r="I49" s="19">
        <f t="shared" ca="1" si="18"/>
        <v>0.17288188781738281</v>
      </c>
      <c r="J49" s="18">
        <f t="shared" si="23"/>
        <v>12900</v>
      </c>
      <c r="K49" s="17">
        <f>[3]!'WTXOQ0;12900P`267'</f>
        <v>730</v>
      </c>
      <c r="L49" s="17">
        <f>[3]!'WTXOQ0;12900P`268'</f>
        <v>840</v>
      </c>
      <c r="M49" s="17" t="str">
        <f>[3]!'WTXOQ0;12900P`205'</f>
        <v>-</v>
      </c>
      <c r="N49" s="19">
        <f t="shared" ca="1" si="19"/>
        <v>1.610321044921875E-4</v>
      </c>
      <c r="O49" s="19">
        <f t="shared" ca="1" si="20"/>
        <v>0.17874096984863283</v>
      </c>
      <c r="P49" s="14">
        <f t="shared" ca="1" si="6"/>
        <v>0</v>
      </c>
      <c r="Q49" s="14">
        <f>SUMIFS(指數型權證!$AH$1:$AH$49,指數型權證!$AL$1:$AL$49,"8",指數型權證!$AJ$1:$AJ$49,J49,指數型權證!$AM$1:$AM$49,"Put")</f>
        <v>0</v>
      </c>
      <c r="R49" s="14">
        <f t="shared" ca="1" si="21"/>
        <v>0</v>
      </c>
      <c r="S49" s="36">
        <f t="shared" ca="1" si="22"/>
        <v>0</v>
      </c>
      <c r="T49" s="36"/>
      <c r="U49" s="50">
        <f t="shared" ca="1" si="9"/>
        <v>0</v>
      </c>
      <c r="V49" s="50">
        <f t="shared" ca="1" si="10"/>
        <v>0</v>
      </c>
    </row>
    <row r="50" spans="1:22" ht="17.25" thickBot="1" x14ac:dyDescent="0.3">
      <c r="A50" s="36">
        <f t="shared" ca="1" si="1"/>
        <v>0</v>
      </c>
      <c r="B50" s="14">
        <f t="shared" ca="1" si="2"/>
        <v>0</v>
      </c>
      <c r="C50" s="14">
        <f>SUMIFS(指數型權證!$AH$1:$AH$49,指數型權證!$AL$1:$AL$49,"8",指數型權證!$AJ$1:$AJ$49,J50,指數型權證!$AM$1:$AM$49,"Call")</f>
        <v>0</v>
      </c>
      <c r="D50" s="14">
        <f t="shared" ca="1" si="3"/>
        <v>0</v>
      </c>
      <c r="E50" s="17">
        <f>[3]!'WTXOQ0;13000C`267'</f>
        <v>31</v>
      </c>
      <c r="F50" s="17">
        <f>[3]!'WTXOQ0;13000C`268'</f>
        <v>31.5</v>
      </c>
      <c r="G50" s="17">
        <f>[3]!'WTXOQ0;13000C`205'</f>
        <v>31</v>
      </c>
      <c r="H50" s="19">
        <f t="shared" ca="1" si="17"/>
        <v>0.16970821838378908</v>
      </c>
      <c r="I50" s="19">
        <f t="shared" ca="1" si="18"/>
        <v>0.17044060363769534</v>
      </c>
      <c r="J50" s="18">
        <f t="shared" si="23"/>
        <v>13000</v>
      </c>
      <c r="K50" s="17">
        <f>[3]!'WTXOQ0;13000P`267'</f>
        <v>905</v>
      </c>
      <c r="L50" s="17">
        <f>[3]!'WTXOQ0;13000P`268'</f>
        <v>935</v>
      </c>
      <c r="M50" s="17" t="str">
        <f>[3]!'WTXOQ0;13000P`205'</f>
        <v>-</v>
      </c>
      <c r="N50" s="19">
        <f t="shared" ca="1" si="19"/>
        <v>0.14053487243652343</v>
      </c>
      <c r="O50" s="19">
        <f t="shared" ca="1" si="20"/>
        <v>0.18716340026855469</v>
      </c>
      <c r="P50" s="14">
        <f t="shared" ca="1" si="6"/>
        <v>0</v>
      </c>
      <c r="Q50" s="14">
        <f>SUMIFS(指數型權證!$AH$1:$AH$49,指數型權證!$AL$1:$AL$49,"8",指數型權證!$AJ$1:$AJ$49,J50,指數型權證!$AM$1:$AM$49,"Put")</f>
        <v>0</v>
      </c>
      <c r="R50" s="14">
        <f t="shared" ca="1" si="21"/>
        <v>0</v>
      </c>
      <c r="S50" s="36">
        <f t="shared" ca="1" si="22"/>
        <v>0</v>
      </c>
      <c r="T50" s="36"/>
      <c r="U50" s="50">
        <f t="shared" ca="1" si="9"/>
        <v>0</v>
      </c>
      <c r="V50" s="50">
        <f t="shared" ca="1" si="10"/>
        <v>0</v>
      </c>
    </row>
    <row r="51" spans="1:22" ht="17.25" thickBot="1" x14ac:dyDescent="0.3">
      <c r="A51" s="36"/>
      <c r="B51" s="14"/>
      <c r="C51" s="14"/>
      <c r="D51" s="14"/>
      <c r="E51" s="17"/>
      <c r="F51" s="17"/>
      <c r="G51" s="17"/>
      <c r="H51" s="19"/>
      <c r="I51" s="19"/>
      <c r="J51" s="18"/>
      <c r="K51" s="17"/>
      <c r="L51" s="17"/>
      <c r="M51" s="17"/>
      <c r="N51" s="19"/>
      <c r="O51" s="19"/>
      <c r="P51" s="14"/>
      <c r="Q51" s="15"/>
      <c r="R51" s="14"/>
      <c r="S51" s="36"/>
      <c r="T51" s="36"/>
      <c r="U51" s="50"/>
      <c r="V51" s="50"/>
    </row>
    <row r="52" spans="1:22" ht="17.25" thickBot="1" x14ac:dyDescent="0.3">
      <c r="A52" s="36"/>
      <c r="B52" s="14"/>
      <c r="C52" s="14"/>
      <c r="D52" s="14"/>
      <c r="E52" s="17"/>
      <c r="F52" s="17"/>
      <c r="G52" s="17"/>
      <c r="H52" s="19"/>
      <c r="I52" s="19"/>
      <c r="J52" s="18"/>
      <c r="K52" s="17"/>
      <c r="L52" s="17"/>
      <c r="M52" s="17"/>
      <c r="N52" s="19"/>
      <c r="O52" s="19"/>
      <c r="P52" s="14"/>
      <c r="Q52" s="15"/>
      <c r="R52" s="14"/>
      <c r="S52" s="36"/>
      <c r="T52" s="36"/>
      <c r="U52" s="50"/>
      <c r="V52" s="50"/>
    </row>
    <row r="53" spans="1:22" ht="17.25" thickBot="1" x14ac:dyDescent="0.3">
      <c r="A53" s="36"/>
      <c r="B53" s="14"/>
      <c r="C53" s="14"/>
      <c r="D53" s="14"/>
      <c r="E53" s="17"/>
      <c r="F53" s="17"/>
      <c r="G53" s="17"/>
      <c r="H53" s="19"/>
      <c r="I53" s="19"/>
      <c r="J53" s="18"/>
      <c r="K53" s="17"/>
      <c r="L53" s="17"/>
      <c r="M53" s="17"/>
      <c r="N53" s="19"/>
      <c r="O53" s="19"/>
      <c r="P53" s="14"/>
      <c r="Q53" s="15"/>
      <c r="R53" s="14"/>
      <c r="S53" s="36"/>
      <c r="T53" s="36"/>
      <c r="U53" s="50"/>
      <c r="V53" s="50"/>
    </row>
    <row r="54" spans="1:22" ht="17.25" thickBot="1" x14ac:dyDescent="0.3">
      <c r="A54" s="36"/>
      <c r="B54" s="14"/>
      <c r="C54" s="14"/>
      <c r="D54" s="14"/>
      <c r="E54" s="17"/>
      <c r="F54" s="17"/>
      <c r="G54" s="17"/>
      <c r="H54" s="19"/>
      <c r="I54" s="19"/>
      <c r="J54" s="18"/>
      <c r="K54" s="17"/>
      <c r="L54" s="17"/>
      <c r="M54" s="17"/>
      <c r="N54" s="19"/>
      <c r="O54" s="19"/>
      <c r="P54" s="14"/>
      <c r="Q54" s="15"/>
      <c r="R54" s="14"/>
      <c r="S54" s="36"/>
      <c r="T54" s="36"/>
      <c r="U54" s="50"/>
      <c r="V54" s="50"/>
    </row>
    <row r="55" spans="1:22" ht="17.25" thickBot="1" x14ac:dyDescent="0.3">
      <c r="A55" s="36"/>
      <c r="B55" s="14"/>
      <c r="C55" s="14"/>
      <c r="D55" s="14"/>
      <c r="E55" s="17"/>
      <c r="F55" s="17"/>
      <c r="G55" s="17"/>
      <c r="H55" s="19"/>
      <c r="I55" s="19"/>
      <c r="J55" s="18"/>
      <c r="K55" s="17"/>
      <c r="L55" s="17"/>
      <c r="M55" s="17"/>
      <c r="N55" s="19"/>
      <c r="O55" s="19"/>
      <c r="P55" s="14"/>
      <c r="Q55" s="15"/>
      <c r="R55" s="14"/>
      <c r="S55" s="36"/>
      <c r="T55" s="36"/>
      <c r="U55" s="50"/>
      <c r="V55" s="50"/>
    </row>
    <row r="56" spans="1:22" ht="17.25" thickBot="1" x14ac:dyDescent="0.3">
      <c r="A56" s="36"/>
      <c r="B56" s="14"/>
      <c r="C56" s="14"/>
      <c r="D56" s="14"/>
      <c r="E56" s="17"/>
      <c r="F56" s="17"/>
      <c r="G56" s="17"/>
      <c r="H56" s="19"/>
      <c r="I56" s="19"/>
      <c r="J56" s="18"/>
      <c r="K56" s="17"/>
      <c r="L56" s="17"/>
      <c r="M56" s="17"/>
      <c r="N56" s="19"/>
      <c r="O56" s="19"/>
      <c r="P56" s="14"/>
      <c r="Q56" s="15"/>
      <c r="R56" s="14"/>
      <c r="S56" s="36"/>
      <c r="T56" s="36"/>
      <c r="U56" s="50"/>
      <c r="V56" s="50"/>
    </row>
    <row r="57" spans="1:22" ht="17.25" thickBot="1" x14ac:dyDescent="0.3">
      <c r="A57" s="36"/>
      <c r="B57" s="14"/>
      <c r="C57" s="14"/>
      <c r="D57" s="14"/>
      <c r="E57" s="17"/>
      <c r="F57" s="17"/>
      <c r="G57" s="17"/>
      <c r="H57" s="19"/>
      <c r="I57" s="19"/>
      <c r="J57" s="18"/>
      <c r="K57" s="17"/>
      <c r="L57" s="17"/>
      <c r="M57" s="17"/>
      <c r="N57" s="19"/>
      <c r="O57" s="19"/>
      <c r="P57" s="14"/>
      <c r="Q57" s="15"/>
      <c r="R57" s="14"/>
      <c r="S57" s="36"/>
      <c r="T57" s="36"/>
      <c r="U57" s="50"/>
      <c r="V57" s="50"/>
    </row>
    <row r="58" spans="1:22" ht="17.25" thickBot="1" x14ac:dyDescent="0.3">
      <c r="A58" s="36"/>
      <c r="B58" s="14"/>
      <c r="C58" s="15"/>
      <c r="D58" s="14"/>
      <c r="E58" s="17"/>
      <c r="F58" s="17"/>
      <c r="G58" s="17"/>
      <c r="H58" s="19"/>
      <c r="I58" s="19"/>
      <c r="J58" s="18"/>
      <c r="K58" s="17"/>
      <c r="L58" s="17"/>
      <c r="M58" s="17"/>
      <c r="N58" s="19"/>
      <c r="O58" s="19"/>
      <c r="P58" s="14"/>
      <c r="Q58" s="15"/>
      <c r="R58" s="14"/>
      <c r="S58" s="36"/>
      <c r="T58" s="36"/>
      <c r="U58" s="50"/>
      <c r="V58" s="50"/>
    </row>
    <row r="59" spans="1:22" ht="17.25" thickBot="1" x14ac:dyDescent="0.3">
      <c r="A59" s="36"/>
      <c r="B59" s="14"/>
      <c r="C59" s="15"/>
      <c r="D59" s="14"/>
      <c r="E59" s="17"/>
      <c r="F59" s="17"/>
      <c r="G59" s="17"/>
      <c r="H59" s="19"/>
      <c r="I59" s="19"/>
      <c r="J59" s="18"/>
      <c r="K59" s="17"/>
      <c r="L59" s="17"/>
      <c r="M59" s="17"/>
      <c r="N59" s="19"/>
      <c r="O59" s="19"/>
      <c r="P59" s="14"/>
      <c r="Q59" s="15"/>
      <c r="R59" s="14"/>
      <c r="S59" s="36"/>
      <c r="T59" s="36"/>
      <c r="U59" s="50"/>
      <c r="V59" s="50"/>
    </row>
    <row r="60" spans="1:22" ht="17.25" thickBot="1" x14ac:dyDescent="0.3">
      <c r="A60" s="36"/>
      <c r="B60" s="14"/>
      <c r="C60" s="15"/>
      <c r="D60" s="14"/>
      <c r="E60" s="17"/>
      <c r="F60" s="17"/>
      <c r="G60" s="17"/>
      <c r="H60" s="19"/>
      <c r="I60" s="19"/>
      <c r="J60" s="18"/>
      <c r="K60" s="17"/>
      <c r="L60" s="17"/>
      <c r="M60" s="17"/>
      <c r="N60" s="19"/>
      <c r="O60" s="19"/>
      <c r="P60" s="14"/>
      <c r="Q60" s="15"/>
      <c r="R60" s="14"/>
      <c r="S60" s="36"/>
      <c r="T60" s="36"/>
      <c r="U60" s="50"/>
      <c r="V60" s="50"/>
    </row>
    <row r="61" spans="1:22" ht="17.25" thickBot="1" x14ac:dyDescent="0.3">
      <c r="A61" s="36"/>
      <c r="B61" s="14"/>
      <c r="C61" s="15"/>
      <c r="D61" s="14"/>
      <c r="E61" s="17"/>
      <c r="F61" s="17"/>
      <c r="G61" s="17"/>
      <c r="H61" s="19"/>
      <c r="I61" s="19"/>
      <c r="J61" s="18"/>
      <c r="K61" s="17"/>
      <c r="L61" s="17"/>
      <c r="M61" s="17"/>
      <c r="N61" s="19"/>
      <c r="O61" s="19"/>
      <c r="P61" s="14"/>
      <c r="Q61" s="15"/>
      <c r="R61" s="14"/>
      <c r="S61" s="36"/>
      <c r="T61" s="36"/>
      <c r="U61" s="50"/>
      <c r="V61" s="50"/>
    </row>
    <row r="62" spans="1:22" ht="17.25" thickBot="1" x14ac:dyDescent="0.3">
      <c r="A62" s="36"/>
      <c r="B62" s="14"/>
      <c r="C62" s="15"/>
      <c r="D62" s="14"/>
      <c r="E62" s="17"/>
      <c r="F62" s="17"/>
      <c r="G62" s="17"/>
      <c r="H62" s="19"/>
      <c r="I62" s="19"/>
      <c r="J62" s="18"/>
      <c r="K62" s="17"/>
      <c r="L62" s="17"/>
      <c r="M62" s="17"/>
      <c r="N62" s="19"/>
      <c r="O62" s="19"/>
      <c r="P62" s="14"/>
      <c r="Q62" s="15"/>
      <c r="R62" s="14"/>
      <c r="S62" s="36"/>
      <c r="T62" s="36"/>
      <c r="U62" s="50"/>
      <c r="V62" s="50"/>
    </row>
    <row r="63" spans="1:22" ht="17.25" thickBot="1" x14ac:dyDescent="0.3">
      <c r="A63" s="36"/>
      <c r="B63" s="14"/>
      <c r="C63" s="15"/>
      <c r="D63" s="14"/>
      <c r="E63" s="17"/>
      <c r="F63" s="17"/>
      <c r="G63" s="17"/>
      <c r="H63" s="19"/>
      <c r="I63" s="19"/>
      <c r="J63" s="18"/>
      <c r="K63" s="17"/>
      <c r="L63" s="17"/>
      <c r="M63" s="17"/>
      <c r="N63" s="19"/>
      <c r="O63" s="19"/>
      <c r="P63" s="14"/>
      <c r="Q63" s="15"/>
      <c r="R63" s="14"/>
      <c r="S63" s="36"/>
      <c r="T63" s="36"/>
      <c r="U63" s="50"/>
      <c r="V63" s="50"/>
    </row>
    <row r="64" spans="1:22" ht="17.25" thickBot="1" x14ac:dyDescent="0.3">
      <c r="A64" s="36"/>
      <c r="B64" s="14"/>
      <c r="C64" s="15"/>
      <c r="D64" s="14"/>
      <c r="E64" s="17"/>
      <c r="F64" s="17"/>
      <c r="G64" s="17"/>
      <c r="H64" s="19"/>
      <c r="I64" s="19"/>
      <c r="J64" s="18"/>
      <c r="K64" s="17"/>
      <c r="L64" s="17"/>
      <c r="M64" s="17"/>
      <c r="N64" s="19"/>
      <c r="O64" s="19"/>
      <c r="P64" s="14"/>
      <c r="Q64" s="15"/>
      <c r="R64" s="14"/>
      <c r="S64" s="36"/>
      <c r="T64" s="36"/>
      <c r="U64" s="50"/>
      <c r="V64" s="50"/>
    </row>
    <row r="65" spans="1:22" ht="17.25" thickBot="1" x14ac:dyDescent="0.3">
      <c r="A65" s="36"/>
      <c r="B65" s="14"/>
      <c r="C65" s="15"/>
      <c r="D65" s="14"/>
      <c r="E65" s="17"/>
      <c r="F65" s="17"/>
      <c r="G65" s="17"/>
      <c r="H65" s="19"/>
      <c r="I65" s="19"/>
      <c r="J65" s="18"/>
      <c r="K65" s="17"/>
      <c r="L65" s="17"/>
      <c r="M65" s="17"/>
      <c r="N65" s="19"/>
      <c r="O65" s="19"/>
      <c r="P65" s="14"/>
      <c r="Q65" s="15"/>
      <c r="R65" s="14"/>
      <c r="S65" s="36"/>
      <c r="T65" s="36"/>
      <c r="U65" s="50"/>
      <c r="V65" s="50"/>
    </row>
    <row r="66" spans="1:22" ht="17.25" thickBot="1" x14ac:dyDescent="0.3">
      <c r="A66" s="36"/>
      <c r="B66" s="14"/>
      <c r="C66" s="15"/>
      <c r="D66" s="14"/>
      <c r="E66" s="17"/>
      <c r="F66" s="17"/>
      <c r="G66" s="17"/>
      <c r="H66" s="19"/>
      <c r="I66" s="19"/>
      <c r="J66" s="18"/>
      <c r="K66" s="17"/>
      <c r="L66" s="17"/>
      <c r="M66" s="17"/>
      <c r="N66" s="19"/>
      <c r="O66" s="19"/>
      <c r="P66" s="14"/>
      <c r="Q66" s="15"/>
      <c r="R66" s="14"/>
      <c r="S66" s="36"/>
      <c r="T66" s="36"/>
      <c r="U66" s="50"/>
      <c r="V66" s="50"/>
    </row>
    <row r="67" spans="1:22" ht="17.25" thickBot="1" x14ac:dyDescent="0.3">
      <c r="A67" s="36"/>
      <c r="B67" s="14"/>
      <c r="C67" s="15"/>
      <c r="D67" s="14"/>
      <c r="E67" s="17"/>
      <c r="F67" s="17"/>
      <c r="G67" s="17"/>
      <c r="H67" s="19"/>
      <c r="I67" s="19"/>
      <c r="J67" s="18"/>
      <c r="K67" s="17"/>
      <c r="L67" s="17"/>
      <c r="M67" s="17"/>
      <c r="N67" s="19"/>
      <c r="O67" s="19"/>
      <c r="P67" s="14"/>
      <c r="Q67" s="15"/>
      <c r="R67" s="14"/>
      <c r="S67" s="36"/>
      <c r="T67" s="36"/>
      <c r="U67" s="50"/>
      <c r="V67" s="50"/>
    </row>
    <row r="68" spans="1:22" ht="17.25" thickBot="1" x14ac:dyDescent="0.3">
      <c r="A68" s="36"/>
      <c r="B68" s="14"/>
      <c r="C68" s="15"/>
      <c r="D68" s="14"/>
      <c r="E68" s="17"/>
      <c r="F68" s="17"/>
      <c r="G68" s="17"/>
      <c r="H68" s="19"/>
      <c r="I68" s="19"/>
      <c r="J68" s="18"/>
      <c r="K68" s="17"/>
      <c r="L68" s="17"/>
      <c r="M68" s="17"/>
      <c r="N68" s="19"/>
      <c r="O68" s="19"/>
      <c r="P68" s="14"/>
      <c r="Q68" s="15"/>
      <c r="R68" s="14"/>
      <c r="S68" s="36"/>
      <c r="T68" s="36"/>
      <c r="U68" s="50"/>
      <c r="V68" s="50"/>
    </row>
    <row r="69" spans="1:22" ht="17.25" thickBot="1" x14ac:dyDescent="0.3">
      <c r="A69" s="36"/>
      <c r="B69" s="14"/>
      <c r="C69" s="15"/>
      <c r="D69" s="14"/>
      <c r="E69" s="17"/>
      <c r="F69" s="17"/>
      <c r="G69" s="17"/>
      <c r="H69" s="19"/>
      <c r="I69" s="19"/>
      <c r="J69" s="18"/>
      <c r="K69" s="17"/>
      <c r="L69" s="17"/>
      <c r="M69" s="17"/>
      <c r="N69" s="19"/>
      <c r="O69" s="19"/>
      <c r="P69" s="14"/>
      <c r="Q69" s="15"/>
      <c r="R69" s="14"/>
      <c r="S69" s="36"/>
      <c r="T69" s="36"/>
      <c r="U69" s="50"/>
      <c r="V69" s="50"/>
    </row>
    <row r="70" spans="1:22" ht="17.25" thickBot="1" x14ac:dyDescent="0.3">
      <c r="A70" s="36"/>
      <c r="B70" s="14"/>
      <c r="C70" s="15"/>
      <c r="D70" s="14"/>
      <c r="E70" s="17"/>
      <c r="F70" s="17"/>
      <c r="G70" s="17"/>
      <c r="H70" s="19"/>
      <c r="I70" s="19"/>
      <c r="J70" s="18"/>
      <c r="K70" s="17"/>
      <c r="L70" s="17"/>
      <c r="M70" s="17"/>
      <c r="N70" s="19"/>
      <c r="O70" s="19"/>
      <c r="P70" s="14"/>
      <c r="Q70" s="15"/>
      <c r="R70" s="14"/>
      <c r="S70" s="36"/>
      <c r="T70" s="36"/>
      <c r="U70" s="50"/>
      <c r="V70" s="50"/>
    </row>
    <row r="71" spans="1:22" ht="17.25" thickBot="1" x14ac:dyDescent="0.3">
      <c r="A71" s="36"/>
      <c r="B71" s="14"/>
      <c r="C71" s="15"/>
      <c r="D71" s="14"/>
      <c r="E71" s="17"/>
      <c r="F71" s="17"/>
      <c r="G71" s="17"/>
      <c r="H71" s="19"/>
      <c r="I71" s="19"/>
      <c r="J71" s="18"/>
      <c r="K71" s="17"/>
      <c r="L71" s="17"/>
      <c r="M71" s="17"/>
      <c r="N71" s="19"/>
      <c r="O71" s="19"/>
      <c r="P71" s="14"/>
      <c r="Q71" s="15"/>
      <c r="R71" s="14"/>
      <c r="S71" s="36"/>
      <c r="T71" s="36"/>
      <c r="U71" s="50"/>
      <c r="V71" s="50"/>
    </row>
    <row r="72" spans="1:22" ht="17.25" thickBot="1" x14ac:dyDescent="0.3">
      <c r="A72" s="36"/>
      <c r="B72" s="14"/>
      <c r="C72" s="15"/>
      <c r="D72" s="14"/>
      <c r="E72" s="17"/>
      <c r="F72" s="17"/>
      <c r="G72" s="17"/>
      <c r="H72" s="19"/>
      <c r="I72" s="19"/>
      <c r="J72" s="18"/>
      <c r="K72" s="17"/>
      <c r="L72" s="17"/>
      <c r="M72" s="17"/>
      <c r="N72" s="19"/>
      <c r="O72" s="19"/>
      <c r="P72" s="14"/>
      <c r="Q72" s="15"/>
      <c r="R72" s="14"/>
      <c r="S72" s="36"/>
      <c r="T72" s="36"/>
      <c r="U72" s="50"/>
      <c r="V72" s="50"/>
    </row>
    <row r="73" spans="1:22" ht="17.25" thickBot="1" x14ac:dyDescent="0.3">
      <c r="A73" s="36"/>
      <c r="B73" s="14"/>
      <c r="C73" s="15"/>
      <c r="D73" s="14"/>
      <c r="E73" s="17"/>
      <c r="F73" s="17"/>
      <c r="G73" s="17"/>
      <c r="H73" s="19"/>
      <c r="I73" s="19"/>
      <c r="J73" s="18"/>
      <c r="K73" s="17"/>
      <c r="L73" s="17"/>
      <c r="M73" s="17"/>
      <c r="N73" s="19"/>
      <c r="O73" s="19"/>
      <c r="P73" s="14"/>
      <c r="Q73" s="15"/>
      <c r="R73" s="14"/>
      <c r="S73" s="36"/>
      <c r="T73" s="36"/>
      <c r="U73" s="50"/>
      <c r="V73" s="50"/>
    </row>
    <row r="74" spans="1:22" ht="17.25" thickBot="1" x14ac:dyDescent="0.3">
      <c r="A74" s="36"/>
      <c r="B74" s="14"/>
      <c r="C74" s="15"/>
      <c r="D74" s="14"/>
      <c r="E74" s="17"/>
      <c r="F74" s="17"/>
      <c r="G74" s="17"/>
      <c r="H74" s="19"/>
      <c r="I74" s="19"/>
      <c r="J74" s="18"/>
      <c r="K74" s="17"/>
      <c r="L74" s="17"/>
      <c r="M74" s="17"/>
      <c r="N74" s="19"/>
      <c r="O74" s="19"/>
      <c r="P74" s="14"/>
      <c r="Q74" s="15"/>
      <c r="R74" s="14"/>
      <c r="S74" s="36"/>
      <c r="T74" s="36"/>
      <c r="U74" s="50"/>
      <c r="V74" s="50"/>
    </row>
    <row r="75" spans="1:22" ht="17.25" thickBot="1" x14ac:dyDescent="0.3">
      <c r="A75" s="36"/>
      <c r="B75" s="14"/>
      <c r="C75" s="15"/>
      <c r="D75" s="14"/>
      <c r="E75" s="17"/>
      <c r="F75" s="17"/>
      <c r="G75" s="17"/>
      <c r="H75" s="19"/>
      <c r="I75" s="19"/>
      <c r="J75" s="18"/>
      <c r="K75" s="17"/>
      <c r="L75" s="17"/>
      <c r="M75" s="17"/>
      <c r="N75" s="19"/>
      <c r="O75" s="19"/>
      <c r="P75" s="14"/>
      <c r="Q75" s="15"/>
      <c r="R75" s="14"/>
      <c r="S75" s="36"/>
      <c r="T75" s="36"/>
      <c r="U75" s="50"/>
      <c r="V75" s="50"/>
    </row>
    <row r="76" spans="1:22" ht="17.25" thickBot="1" x14ac:dyDescent="0.3">
      <c r="A76" s="36"/>
      <c r="B76" s="14"/>
      <c r="C76" s="15"/>
      <c r="D76" s="14"/>
      <c r="E76" s="17"/>
      <c r="F76" s="17"/>
      <c r="G76" s="17"/>
      <c r="H76" s="19"/>
      <c r="I76" s="19"/>
      <c r="J76" s="18"/>
      <c r="K76" s="17"/>
      <c r="L76" s="17"/>
      <c r="M76" s="17"/>
      <c r="N76" s="19"/>
      <c r="O76" s="19"/>
      <c r="P76" s="14"/>
      <c r="Q76" s="15"/>
      <c r="R76" s="14"/>
      <c r="S76" s="36"/>
      <c r="T76" s="36"/>
      <c r="U76" s="50"/>
      <c r="V76" s="50"/>
    </row>
    <row r="77" spans="1:22" ht="17.25" thickBot="1" x14ac:dyDescent="0.3">
      <c r="A77" s="36"/>
      <c r="B77" s="14"/>
      <c r="C77" s="15"/>
      <c r="D77" s="14"/>
      <c r="E77" s="17"/>
      <c r="F77" s="17"/>
      <c r="G77" s="17"/>
      <c r="H77" s="19"/>
      <c r="I77" s="19"/>
      <c r="J77" s="18"/>
      <c r="K77" s="17"/>
      <c r="L77" s="17"/>
      <c r="M77" s="17"/>
      <c r="N77" s="19"/>
      <c r="O77" s="19"/>
      <c r="P77" s="14"/>
      <c r="Q77" s="15"/>
      <c r="R77" s="14"/>
      <c r="S77" s="36"/>
      <c r="T77" s="36"/>
      <c r="U77" s="50"/>
      <c r="V77" s="50"/>
    </row>
    <row r="78" spans="1:22" ht="17.25" thickBot="1" x14ac:dyDescent="0.3">
      <c r="A78" s="36"/>
      <c r="B78" s="14"/>
      <c r="C78" s="15"/>
      <c r="D78" s="14"/>
      <c r="E78" s="17"/>
      <c r="F78" s="17"/>
      <c r="G78" s="17"/>
      <c r="H78" s="19"/>
      <c r="I78" s="19"/>
      <c r="J78" s="18"/>
      <c r="K78" s="17"/>
      <c r="L78" s="17"/>
      <c r="M78" s="17"/>
      <c r="N78" s="19"/>
      <c r="O78" s="19"/>
      <c r="P78" s="14"/>
      <c r="Q78" s="15"/>
      <c r="R78" s="14"/>
      <c r="S78" s="36"/>
      <c r="T78" s="36"/>
      <c r="U78" s="50"/>
      <c r="V78" s="50"/>
    </row>
    <row r="79" spans="1:22" ht="17.25" thickBot="1" x14ac:dyDescent="0.3">
      <c r="A79" s="36"/>
      <c r="B79" s="14"/>
      <c r="C79" s="15"/>
      <c r="D79" s="14"/>
      <c r="E79" s="17"/>
      <c r="F79" s="17"/>
      <c r="G79" s="17"/>
      <c r="H79" s="19"/>
      <c r="I79" s="19"/>
      <c r="J79" s="18"/>
      <c r="K79" s="17"/>
      <c r="L79" s="17"/>
      <c r="M79" s="17"/>
      <c r="N79" s="19"/>
      <c r="O79" s="19"/>
      <c r="P79" s="14"/>
      <c r="Q79" s="15"/>
      <c r="R79" s="14"/>
      <c r="S79" s="36"/>
      <c r="T79" s="36"/>
      <c r="U79" s="50"/>
      <c r="V79" s="50"/>
    </row>
    <row r="80" spans="1:22" ht="17.25" thickBot="1" x14ac:dyDescent="0.3">
      <c r="A80" s="36"/>
      <c r="B80" s="14"/>
      <c r="C80" s="15"/>
      <c r="D80" s="14"/>
      <c r="E80" s="17"/>
      <c r="F80" s="17"/>
      <c r="G80" s="17"/>
      <c r="H80" s="19"/>
      <c r="I80" s="19"/>
      <c r="J80" s="18"/>
      <c r="K80" s="17"/>
      <c r="L80" s="17"/>
      <c r="M80" s="17"/>
      <c r="N80" s="19"/>
      <c r="O80" s="19"/>
      <c r="P80" s="14"/>
      <c r="Q80" s="15"/>
      <c r="R80" s="14"/>
      <c r="S80" s="36"/>
      <c r="T80" s="36"/>
      <c r="U80" s="50"/>
      <c r="V80" s="50"/>
    </row>
    <row r="81" spans="1:22" ht="17.25" thickBot="1" x14ac:dyDescent="0.3">
      <c r="A81" s="36"/>
      <c r="B81" s="14"/>
      <c r="C81" s="15"/>
      <c r="D81" s="14"/>
      <c r="E81" s="17"/>
      <c r="F81" s="17"/>
      <c r="G81" s="17"/>
      <c r="H81" s="19"/>
      <c r="I81" s="19"/>
      <c r="J81" s="18"/>
      <c r="K81" s="17"/>
      <c r="L81" s="17"/>
      <c r="M81" s="17"/>
      <c r="N81" s="19"/>
      <c r="O81" s="19"/>
      <c r="P81" s="14"/>
      <c r="Q81" s="15"/>
      <c r="R81" s="14"/>
      <c r="S81" s="36"/>
      <c r="T81" s="36"/>
      <c r="U81" s="50"/>
      <c r="V81" s="50"/>
    </row>
    <row r="82" spans="1:22" ht="17.25" thickBot="1" x14ac:dyDescent="0.3">
      <c r="A82" s="36"/>
      <c r="B82" s="14"/>
      <c r="C82" s="15"/>
      <c r="D82" s="14"/>
      <c r="E82" s="17"/>
      <c r="F82" s="17"/>
      <c r="G82" s="17"/>
      <c r="H82" s="19"/>
      <c r="I82" s="19"/>
      <c r="J82" s="18"/>
      <c r="K82" s="17"/>
      <c r="L82" s="17"/>
      <c r="M82" s="17"/>
      <c r="N82" s="19"/>
      <c r="O82" s="19"/>
      <c r="P82" s="14"/>
      <c r="Q82" s="15"/>
      <c r="R82" s="14"/>
      <c r="S82" s="36"/>
      <c r="T82" s="36"/>
      <c r="U82" s="50"/>
      <c r="V82" s="50"/>
    </row>
    <row r="83" spans="1:22" ht="17.25" thickBot="1" x14ac:dyDescent="0.3">
      <c r="A83" s="36"/>
      <c r="B83" s="14"/>
      <c r="C83" s="15"/>
      <c r="D83" s="14"/>
      <c r="E83" s="17"/>
      <c r="F83" s="17"/>
      <c r="G83" s="17"/>
      <c r="H83" s="19"/>
      <c r="I83" s="19"/>
      <c r="J83" s="18"/>
      <c r="K83" s="17"/>
      <c r="L83" s="17"/>
      <c r="M83" s="17"/>
      <c r="N83" s="19"/>
      <c r="O83" s="19"/>
      <c r="P83" s="14"/>
      <c r="Q83" s="15"/>
      <c r="R83" s="14"/>
      <c r="S83" s="36"/>
      <c r="T83" s="36"/>
      <c r="U83" s="50"/>
      <c r="V83" s="50"/>
    </row>
    <row r="84" spans="1:22" ht="17.25" thickBot="1" x14ac:dyDescent="0.3">
      <c r="A84" s="36"/>
      <c r="B84" s="14"/>
      <c r="C84" s="15"/>
      <c r="D84" s="14"/>
      <c r="E84" s="17"/>
      <c r="F84" s="17"/>
      <c r="G84" s="17"/>
      <c r="H84" s="19"/>
      <c r="I84" s="19"/>
      <c r="J84" s="18"/>
      <c r="K84" s="17"/>
      <c r="L84" s="17"/>
      <c r="M84" s="17"/>
      <c r="N84" s="19"/>
      <c r="O84" s="19"/>
      <c r="P84" s="14"/>
      <c r="Q84" s="15"/>
      <c r="R84" s="14"/>
      <c r="S84" s="36"/>
      <c r="T84" s="36"/>
      <c r="U84" s="50"/>
      <c r="V84" s="50"/>
    </row>
    <row r="85" spans="1:22" ht="17.25" thickBot="1" x14ac:dyDescent="0.3">
      <c r="A85" s="36"/>
      <c r="B85" s="14"/>
      <c r="C85" s="15"/>
      <c r="D85" s="14"/>
      <c r="E85" s="17"/>
      <c r="F85" s="17"/>
      <c r="G85" s="17"/>
      <c r="H85" s="19"/>
      <c r="I85" s="19"/>
      <c r="J85" s="18"/>
      <c r="K85" s="17"/>
      <c r="L85" s="17"/>
      <c r="M85" s="17"/>
      <c r="N85" s="19"/>
      <c r="O85" s="19"/>
      <c r="P85" s="14"/>
      <c r="Q85" s="15"/>
      <c r="R85" s="14"/>
      <c r="S85" s="36"/>
      <c r="T85" s="36"/>
      <c r="U85" s="50"/>
      <c r="V85" s="50"/>
    </row>
    <row r="86" spans="1:22" ht="17.25" thickBot="1" x14ac:dyDescent="0.3">
      <c r="A86" s="36"/>
      <c r="B86" s="14"/>
      <c r="C86" s="15"/>
      <c r="D86" s="14"/>
      <c r="E86" s="17"/>
      <c r="F86" s="17"/>
      <c r="G86" s="17"/>
      <c r="H86" s="19"/>
      <c r="I86" s="19"/>
      <c r="J86" s="18"/>
      <c r="K86" s="17"/>
      <c r="L86" s="17"/>
      <c r="M86" s="17"/>
      <c r="N86" s="19"/>
      <c r="O86" s="19"/>
      <c r="P86" s="14"/>
      <c r="Q86" s="15"/>
      <c r="R86" s="14"/>
      <c r="S86" s="36"/>
      <c r="T86" s="36"/>
      <c r="U86" s="50"/>
      <c r="V86" s="50"/>
    </row>
    <row r="87" spans="1:22" ht="17.25" thickBot="1" x14ac:dyDescent="0.3">
      <c r="A87" s="36"/>
      <c r="B87" s="14"/>
      <c r="C87" s="15"/>
      <c r="D87" s="14"/>
      <c r="E87" s="17"/>
      <c r="F87" s="17"/>
      <c r="G87" s="17"/>
      <c r="H87" s="19"/>
      <c r="I87" s="19"/>
      <c r="J87" s="18"/>
      <c r="K87" s="17"/>
      <c r="L87" s="17"/>
      <c r="M87" s="17"/>
      <c r="N87" s="19"/>
      <c r="O87" s="19"/>
      <c r="P87" s="14"/>
      <c r="Q87" s="15"/>
      <c r="R87" s="14"/>
      <c r="S87" s="36"/>
      <c r="T87" s="36"/>
      <c r="U87" s="50"/>
      <c r="V87" s="50"/>
    </row>
    <row r="88" spans="1:22" ht="17.25" thickBot="1" x14ac:dyDescent="0.3">
      <c r="A88" s="36"/>
      <c r="B88" s="14"/>
      <c r="C88" s="15"/>
      <c r="D88" s="14"/>
      <c r="E88" s="17"/>
      <c r="F88" s="17"/>
      <c r="G88" s="17"/>
      <c r="H88" s="19"/>
      <c r="I88" s="19"/>
      <c r="J88" s="18"/>
      <c r="K88" s="17"/>
      <c r="L88" s="17"/>
      <c r="M88" s="17"/>
      <c r="N88" s="19"/>
      <c r="O88" s="19"/>
      <c r="P88" s="14"/>
      <c r="Q88" s="15"/>
      <c r="R88" s="14"/>
      <c r="S88" s="36"/>
      <c r="T88" s="36"/>
      <c r="U88" s="50"/>
      <c r="V88" s="50"/>
    </row>
    <row r="89" spans="1:22" ht="17.25" thickBot="1" x14ac:dyDescent="0.3">
      <c r="A89" s="36"/>
      <c r="B89" s="14"/>
      <c r="C89" s="15"/>
      <c r="D89" s="14"/>
      <c r="E89" s="17"/>
      <c r="F89" s="17"/>
      <c r="G89" s="17"/>
      <c r="H89" s="19"/>
      <c r="I89" s="19"/>
      <c r="J89" s="18"/>
      <c r="K89" s="17"/>
      <c r="L89" s="17"/>
      <c r="M89" s="17"/>
      <c r="N89" s="19"/>
      <c r="O89" s="19"/>
      <c r="P89" s="14"/>
      <c r="Q89" s="15"/>
      <c r="R89" s="14"/>
      <c r="S89" s="36"/>
      <c r="T89" s="36"/>
      <c r="U89" s="50"/>
      <c r="V89" s="50"/>
    </row>
    <row r="90" spans="1:22" ht="17.25" thickBot="1" x14ac:dyDescent="0.3">
      <c r="A90" s="36"/>
      <c r="B90" s="14"/>
      <c r="C90" s="15"/>
      <c r="D90" s="14"/>
      <c r="E90" s="17"/>
      <c r="F90" s="17"/>
      <c r="G90" s="17"/>
      <c r="H90" s="19"/>
      <c r="I90" s="19"/>
      <c r="J90" s="18"/>
      <c r="K90" s="17"/>
      <c r="L90" s="17"/>
      <c r="M90" s="17"/>
      <c r="N90" s="19"/>
      <c r="O90" s="19"/>
      <c r="P90" s="14"/>
      <c r="Q90" s="15"/>
      <c r="R90" s="14"/>
      <c r="S90" s="36"/>
      <c r="T90" s="36"/>
      <c r="U90" s="50"/>
      <c r="V90" s="50"/>
    </row>
    <row r="91" spans="1:22" ht="17.25" thickBot="1" x14ac:dyDescent="0.3">
      <c r="A91" s="36"/>
      <c r="B91" s="14"/>
      <c r="C91" s="15"/>
      <c r="D91" s="14"/>
      <c r="E91" s="17"/>
      <c r="F91" s="17"/>
      <c r="G91" s="17"/>
      <c r="H91" s="19"/>
      <c r="I91" s="19"/>
      <c r="J91" s="18"/>
      <c r="K91" s="17"/>
      <c r="L91" s="17"/>
      <c r="M91" s="17"/>
      <c r="N91" s="19"/>
      <c r="O91" s="19"/>
      <c r="P91" s="14"/>
      <c r="Q91" s="15"/>
      <c r="R91" s="14"/>
      <c r="S91" s="36"/>
      <c r="T91" s="36"/>
      <c r="U91" s="50"/>
      <c r="V91" s="50"/>
    </row>
    <row r="92" spans="1:22" ht="17.25" thickBot="1" x14ac:dyDescent="0.3">
      <c r="A92" s="36"/>
      <c r="B92" s="14"/>
      <c r="C92" s="15"/>
      <c r="D92" s="14"/>
      <c r="E92" s="17"/>
      <c r="F92" s="17"/>
      <c r="G92" s="17"/>
      <c r="H92" s="19"/>
      <c r="I92" s="19"/>
      <c r="J92" s="18"/>
      <c r="K92" s="17"/>
      <c r="L92" s="17"/>
      <c r="M92" s="17"/>
      <c r="N92" s="19"/>
      <c r="O92" s="19"/>
      <c r="P92" s="14"/>
      <c r="Q92" s="15"/>
      <c r="R92" s="14"/>
      <c r="S92" s="36"/>
      <c r="T92" s="36"/>
      <c r="U92" s="50"/>
      <c r="V92" s="50"/>
    </row>
    <row r="93" spans="1:22" ht="17.25" thickBot="1" x14ac:dyDescent="0.3">
      <c r="A93" s="36"/>
      <c r="B93" s="14"/>
      <c r="C93" s="15"/>
      <c r="D93" s="14"/>
      <c r="E93" s="17"/>
      <c r="F93" s="17"/>
      <c r="G93" s="17"/>
      <c r="H93" s="19"/>
      <c r="I93" s="19"/>
      <c r="J93" s="18"/>
      <c r="K93" s="17"/>
      <c r="L93" s="17"/>
      <c r="M93" s="17"/>
      <c r="N93" s="19"/>
      <c r="O93" s="19"/>
      <c r="P93" s="14"/>
      <c r="Q93" s="15"/>
      <c r="R93" s="14"/>
      <c r="S93" s="36"/>
      <c r="T93" s="36"/>
      <c r="U93" s="50"/>
      <c r="V93" s="50"/>
    </row>
    <row r="94" spans="1:22" ht="17.25" thickBot="1" x14ac:dyDescent="0.3">
      <c r="A94" s="36"/>
      <c r="B94" s="14"/>
      <c r="C94" s="15"/>
      <c r="D94" s="14"/>
      <c r="E94" s="17"/>
      <c r="F94" s="17"/>
      <c r="G94" s="17"/>
      <c r="H94" s="19"/>
      <c r="I94" s="19"/>
      <c r="J94" s="18"/>
      <c r="K94" s="17"/>
      <c r="L94" s="17"/>
      <c r="M94" s="17"/>
      <c r="N94" s="19"/>
      <c r="O94" s="19"/>
      <c r="P94" s="14"/>
      <c r="Q94" s="15"/>
      <c r="R94" s="14"/>
      <c r="S94" s="36"/>
      <c r="T94" s="36"/>
      <c r="U94" s="50"/>
      <c r="V94" s="50"/>
    </row>
    <row r="95" spans="1:22" ht="17.25" thickBot="1" x14ac:dyDescent="0.3">
      <c r="A95" s="36"/>
      <c r="B95" s="14"/>
      <c r="C95" s="15"/>
      <c r="D95" s="14"/>
      <c r="E95" s="17"/>
      <c r="F95" s="17"/>
      <c r="G95" s="17"/>
      <c r="H95" s="19"/>
      <c r="I95" s="19"/>
      <c r="J95" s="18"/>
      <c r="K95" s="17"/>
      <c r="L95" s="17"/>
      <c r="M95" s="17"/>
      <c r="N95" s="19"/>
      <c r="O95" s="19"/>
      <c r="P95" s="14"/>
      <c r="Q95" s="15"/>
      <c r="R95" s="14"/>
      <c r="S95" s="36"/>
      <c r="T95" s="36"/>
      <c r="U95" s="50"/>
      <c r="V95" s="50"/>
    </row>
    <row r="96" spans="1:22" ht="17.25" thickBot="1" x14ac:dyDescent="0.3">
      <c r="A96" s="36"/>
      <c r="B96" s="14"/>
      <c r="C96" s="15"/>
      <c r="D96" s="14"/>
      <c r="E96" s="17"/>
      <c r="F96" s="17"/>
      <c r="G96" s="17"/>
      <c r="H96" s="19"/>
      <c r="I96" s="19"/>
      <c r="J96" s="18"/>
      <c r="K96" s="17"/>
      <c r="L96" s="17"/>
      <c r="M96" s="17"/>
      <c r="N96" s="19"/>
      <c r="O96" s="19"/>
      <c r="P96" s="14"/>
      <c r="Q96" s="15"/>
      <c r="R96" s="14"/>
      <c r="S96" s="36"/>
      <c r="T96" s="36"/>
      <c r="U96" s="50"/>
      <c r="V96" s="50"/>
    </row>
    <row r="97" spans="1:22" ht="17.25" thickBot="1" x14ac:dyDescent="0.3">
      <c r="A97" s="36"/>
      <c r="B97" s="14"/>
      <c r="C97" s="15"/>
      <c r="D97" s="14"/>
      <c r="E97" s="17"/>
      <c r="F97" s="17"/>
      <c r="G97" s="17"/>
      <c r="H97" s="19"/>
      <c r="I97" s="19"/>
      <c r="J97" s="18"/>
      <c r="K97" s="17"/>
      <c r="L97" s="17"/>
      <c r="M97" s="17"/>
      <c r="N97" s="19"/>
      <c r="O97" s="19"/>
      <c r="P97" s="14"/>
      <c r="Q97" s="15"/>
      <c r="R97" s="14"/>
      <c r="S97" s="36"/>
      <c r="T97" s="36"/>
      <c r="U97" s="50"/>
      <c r="V97" s="50"/>
    </row>
    <row r="98" spans="1:22" ht="17.25" thickBot="1" x14ac:dyDescent="0.3">
      <c r="A98" s="36"/>
      <c r="B98" s="14"/>
      <c r="C98" s="15"/>
      <c r="D98" s="14"/>
      <c r="E98" s="17"/>
      <c r="F98" s="17"/>
      <c r="G98" s="17"/>
      <c r="H98" s="19"/>
      <c r="I98" s="19"/>
      <c r="J98" s="18"/>
      <c r="K98" s="17"/>
      <c r="L98" s="17"/>
      <c r="M98" s="17"/>
      <c r="N98" s="19"/>
      <c r="O98" s="19"/>
      <c r="P98" s="14"/>
      <c r="Q98" s="15"/>
      <c r="R98" s="14"/>
      <c r="S98" s="36"/>
      <c r="T98" s="36"/>
      <c r="U98" s="50"/>
      <c r="V98" s="50"/>
    </row>
    <row r="99" spans="1:22" ht="17.25" thickBot="1" x14ac:dyDescent="0.3">
      <c r="A99" s="36"/>
      <c r="B99" s="14"/>
      <c r="C99" s="15"/>
      <c r="D99" s="14"/>
      <c r="E99" s="17"/>
      <c r="F99" s="17"/>
      <c r="G99" s="17"/>
      <c r="H99" s="19"/>
      <c r="I99" s="19"/>
      <c r="J99" s="18"/>
      <c r="K99" s="17"/>
      <c r="L99" s="17"/>
      <c r="M99" s="17"/>
      <c r="N99" s="19"/>
      <c r="O99" s="19"/>
      <c r="P99" s="14"/>
      <c r="Q99" s="15"/>
      <c r="R99" s="14"/>
      <c r="S99" s="36"/>
      <c r="T99" s="36"/>
      <c r="U99" s="50"/>
      <c r="V99" s="50"/>
    </row>
    <row r="100" spans="1:22" ht="17.25" thickBot="1" x14ac:dyDescent="0.3">
      <c r="A100" s="36"/>
      <c r="B100" s="14"/>
      <c r="C100" s="15"/>
      <c r="D100" s="14"/>
      <c r="E100" s="17"/>
      <c r="F100" s="17"/>
      <c r="G100" s="17"/>
      <c r="H100" s="19"/>
      <c r="I100" s="19"/>
      <c r="J100" s="18"/>
      <c r="K100" s="17"/>
      <c r="L100" s="17"/>
      <c r="M100" s="17"/>
      <c r="N100" s="19"/>
      <c r="O100" s="19"/>
      <c r="P100" s="14"/>
      <c r="Q100" s="15"/>
      <c r="R100" s="14"/>
      <c r="S100" s="36"/>
      <c r="T100" s="36"/>
      <c r="U100" s="50"/>
      <c r="V100" s="50"/>
    </row>
    <row r="101" spans="1:22" ht="17.25" thickBot="1" x14ac:dyDescent="0.3">
      <c r="A101" s="36"/>
      <c r="B101" s="14"/>
      <c r="C101" s="15"/>
      <c r="D101" s="14"/>
      <c r="E101" s="17"/>
      <c r="F101" s="17"/>
      <c r="G101" s="17"/>
      <c r="H101" s="19"/>
      <c r="I101" s="19"/>
      <c r="J101" s="18"/>
      <c r="K101" s="17"/>
      <c r="L101" s="17"/>
      <c r="M101" s="17"/>
      <c r="N101" s="19"/>
      <c r="O101" s="19"/>
      <c r="P101" s="14"/>
      <c r="Q101" s="15"/>
      <c r="R101" s="14"/>
      <c r="S101" s="36"/>
      <c r="T101" s="36"/>
      <c r="U101" s="50"/>
      <c r="V101" s="50"/>
    </row>
    <row r="102" spans="1:22" ht="17.25" thickBot="1" x14ac:dyDescent="0.3">
      <c r="A102" s="36"/>
      <c r="B102" s="14"/>
      <c r="C102" s="15"/>
      <c r="D102" s="14"/>
      <c r="E102" s="17"/>
      <c r="F102" s="17"/>
      <c r="G102" s="17"/>
      <c r="H102" s="19"/>
      <c r="I102" s="19"/>
      <c r="J102" s="18"/>
      <c r="K102" s="17"/>
      <c r="L102" s="17"/>
      <c r="M102" s="17"/>
      <c r="N102" s="19"/>
      <c r="O102" s="19"/>
      <c r="P102" s="14"/>
      <c r="Q102" s="15"/>
      <c r="R102" s="14"/>
      <c r="S102" s="36"/>
      <c r="T102" s="36"/>
      <c r="U102" s="50"/>
      <c r="V102" s="50"/>
    </row>
    <row r="103" spans="1:22" ht="17.25" thickBot="1" x14ac:dyDescent="0.3">
      <c r="A103" s="36"/>
      <c r="B103" s="14"/>
      <c r="C103" s="15"/>
      <c r="D103" s="14"/>
      <c r="E103" s="17"/>
      <c r="F103" s="17"/>
      <c r="G103" s="17"/>
      <c r="H103" s="19"/>
      <c r="I103" s="19"/>
      <c r="J103" s="18"/>
      <c r="K103" s="17"/>
      <c r="L103" s="17"/>
      <c r="M103" s="17"/>
      <c r="N103" s="19"/>
      <c r="O103" s="19"/>
      <c r="P103" s="14"/>
      <c r="Q103" s="15"/>
      <c r="R103" s="14"/>
      <c r="S103" s="36"/>
      <c r="T103" s="36"/>
      <c r="U103" s="50"/>
      <c r="V103" s="50"/>
    </row>
    <row r="104" spans="1:22" ht="17.25" thickBot="1" x14ac:dyDescent="0.3">
      <c r="A104" s="36"/>
      <c r="B104" s="14"/>
      <c r="C104" s="15"/>
      <c r="D104" s="14"/>
      <c r="E104" s="17"/>
      <c r="F104" s="17"/>
      <c r="G104" s="17"/>
      <c r="H104" s="19"/>
      <c r="I104" s="19"/>
      <c r="J104" s="18"/>
      <c r="K104" s="17"/>
      <c r="L104" s="17"/>
      <c r="M104" s="17"/>
      <c r="N104" s="19"/>
      <c r="O104" s="19"/>
      <c r="P104" s="14"/>
      <c r="Q104" s="15"/>
      <c r="R104" s="14"/>
      <c r="S104" s="36"/>
      <c r="T104" s="36"/>
      <c r="U104" s="50"/>
      <c r="V104" s="50"/>
    </row>
    <row r="105" spans="1:22" ht="17.25" thickBot="1" x14ac:dyDescent="0.3">
      <c r="A105" s="36"/>
      <c r="B105" s="14"/>
      <c r="C105" s="15"/>
      <c r="D105" s="14"/>
      <c r="E105" s="17"/>
      <c r="F105" s="17"/>
      <c r="G105" s="17"/>
      <c r="H105" s="19"/>
      <c r="I105" s="19"/>
      <c r="J105" s="18"/>
      <c r="K105" s="17"/>
      <c r="L105" s="17"/>
      <c r="M105" s="17"/>
      <c r="N105" s="19"/>
      <c r="O105" s="19"/>
      <c r="P105" s="14"/>
      <c r="Q105" s="15"/>
      <c r="R105" s="14"/>
      <c r="S105" s="36"/>
      <c r="T105" s="36"/>
      <c r="U105" s="50"/>
      <c r="V105" s="50"/>
    </row>
    <row r="106" spans="1:22" ht="17.25" thickBot="1" x14ac:dyDescent="0.3">
      <c r="A106" s="36"/>
      <c r="B106" s="14"/>
      <c r="C106" s="15"/>
      <c r="D106" s="14"/>
      <c r="E106" s="17"/>
      <c r="F106" s="17"/>
      <c r="G106" s="17"/>
      <c r="H106" s="19"/>
      <c r="I106" s="19"/>
      <c r="J106" s="18"/>
      <c r="K106" s="17"/>
      <c r="L106" s="17"/>
      <c r="M106" s="17"/>
      <c r="N106" s="19"/>
      <c r="O106" s="19"/>
      <c r="P106" s="14"/>
      <c r="Q106" s="15"/>
      <c r="R106" s="14"/>
      <c r="S106" s="36"/>
      <c r="T106" s="36"/>
      <c r="U106" s="50"/>
      <c r="V106" s="50"/>
    </row>
    <row r="107" spans="1:22" ht="17.25" thickBot="1" x14ac:dyDescent="0.3">
      <c r="A107" s="36"/>
      <c r="B107" s="14"/>
      <c r="C107" s="15"/>
      <c r="D107" s="14"/>
      <c r="E107" s="17"/>
      <c r="F107" s="17"/>
      <c r="G107" s="17"/>
      <c r="H107" s="19"/>
      <c r="I107" s="19"/>
      <c r="J107" s="18"/>
      <c r="K107" s="17"/>
      <c r="L107" s="17"/>
      <c r="M107" s="17"/>
      <c r="N107" s="19"/>
      <c r="O107" s="19"/>
      <c r="P107" s="14"/>
      <c r="Q107" s="15"/>
      <c r="R107" s="14"/>
      <c r="S107" s="36"/>
      <c r="T107" s="36"/>
      <c r="U107" s="50"/>
      <c r="V107" s="50"/>
    </row>
    <row r="108" spans="1:22" ht="17.25" thickBot="1" x14ac:dyDescent="0.3">
      <c r="A108" s="36"/>
      <c r="B108" s="14"/>
      <c r="C108" s="15"/>
      <c r="D108" s="14"/>
      <c r="E108" s="17"/>
      <c r="F108" s="17"/>
      <c r="G108" s="17"/>
      <c r="H108" s="19"/>
      <c r="I108" s="19"/>
      <c r="J108" s="18"/>
      <c r="K108" s="17"/>
      <c r="L108" s="17"/>
      <c r="M108" s="17"/>
      <c r="N108" s="19"/>
      <c r="O108" s="19"/>
      <c r="P108" s="14"/>
      <c r="Q108" s="15"/>
      <c r="R108" s="14"/>
      <c r="S108" s="36"/>
      <c r="T108" s="36"/>
      <c r="U108" s="50"/>
      <c r="V108" s="50"/>
    </row>
    <row r="109" spans="1:22" ht="17.25" thickBot="1" x14ac:dyDescent="0.3">
      <c r="A109" s="36"/>
      <c r="B109" s="14"/>
      <c r="C109" s="15"/>
      <c r="D109" s="14"/>
      <c r="E109" s="17"/>
      <c r="F109" s="17"/>
      <c r="G109" s="17"/>
      <c r="H109" s="19"/>
      <c r="I109" s="19"/>
      <c r="J109" s="18"/>
      <c r="K109" s="17"/>
      <c r="L109" s="17"/>
      <c r="M109" s="17"/>
      <c r="N109" s="19"/>
      <c r="O109" s="19"/>
      <c r="P109" s="14"/>
      <c r="Q109" s="15"/>
      <c r="R109" s="14"/>
      <c r="S109" s="36"/>
      <c r="T109" s="36"/>
      <c r="U109" s="50"/>
      <c r="V109" s="50"/>
    </row>
    <row r="110" spans="1:22" ht="17.25" thickBot="1" x14ac:dyDescent="0.3">
      <c r="A110" s="36"/>
      <c r="B110" s="14"/>
      <c r="C110" s="15"/>
      <c r="D110" s="14"/>
      <c r="E110" s="17"/>
      <c r="F110" s="17"/>
      <c r="G110" s="17"/>
      <c r="H110" s="19"/>
      <c r="I110" s="19"/>
      <c r="J110" s="18"/>
      <c r="K110" s="17"/>
      <c r="L110" s="17"/>
      <c r="M110" s="17"/>
      <c r="N110" s="19"/>
      <c r="O110" s="19"/>
      <c r="P110" s="14"/>
      <c r="Q110" s="15"/>
      <c r="R110" s="14"/>
      <c r="S110" s="36"/>
      <c r="T110" s="36"/>
      <c r="U110" s="50"/>
      <c r="V110" s="50"/>
    </row>
    <row r="111" spans="1:22" ht="17.25" thickBot="1" x14ac:dyDescent="0.3">
      <c r="A111" s="36"/>
      <c r="B111" s="14"/>
      <c r="C111" s="15"/>
      <c r="D111" s="14"/>
      <c r="E111" s="17"/>
      <c r="F111" s="17"/>
      <c r="G111" s="17"/>
      <c r="H111" s="19"/>
      <c r="I111" s="19"/>
      <c r="J111" s="18"/>
      <c r="K111" s="17"/>
      <c r="L111" s="17"/>
      <c r="M111" s="17"/>
      <c r="N111" s="19"/>
      <c r="O111" s="19"/>
      <c r="P111" s="14"/>
      <c r="Q111" s="15"/>
      <c r="R111" s="14"/>
      <c r="S111" s="36"/>
      <c r="T111" s="36"/>
      <c r="U111" s="50"/>
      <c r="V111" s="50"/>
    </row>
    <row r="112" spans="1:22" ht="17.25" thickBot="1" x14ac:dyDescent="0.3">
      <c r="A112" s="36"/>
      <c r="B112" s="14"/>
      <c r="C112" s="15"/>
      <c r="D112" s="14"/>
      <c r="E112" s="17"/>
      <c r="F112" s="17"/>
      <c r="G112" s="17"/>
      <c r="H112" s="19"/>
      <c r="I112" s="19"/>
      <c r="J112" s="18"/>
      <c r="K112" s="17"/>
      <c r="L112" s="17"/>
      <c r="M112" s="17"/>
      <c r="N112" s="19"/>
      <c r="O112" s="19"/>
      <c r="P112" s="14"/>
      <c r="Q112" s="15"/>
      <c r="R112" s="14"/>
      <c r="S112" s="36"/>
      <c r="T112" s="36"/>
      <c r="U112" s="50"/>
      <c r="V112" s="50"/>
    </row>
    <row r="113" spans="1:22" ht="17.25" thickBot="1" x14ac:dyDescent="0.3">
      <c r="A113" s="36"/>
      <c r="B113" s="14"/>
      <c r="C113" s="15"/>
      <c r="D113" s="14"/>
      <c r="E113" s="17"/>
      <c r="F113" s="17"/>
      <c r="G113" s="17"/>
      <c r="H113" s="19"/>
      <c r="I113" s="19"/>
      <c r="J113" s="18"/>
      <c r="K113" s="17"/>
      <c r="L113" s="17"/>
      <c r="M113" s="17"/>
      <c r="N113" s="19"/>
      <c r="O113" s="19"/>
      <c r="P113" s="14"/>
      <c r="Q113" s="15"/>
      <c r="R113" s="14"/>
      <c r="S113" s="36"/>
      <c r="T113" s="36"/>
      <c r="U113" s="50"/>
      <c r="V113" s="50"/>
    </row>
    <row r="114" spans="1:22" ht="17.25" thickBot="1" x14ac:dyDescent="0.3">
      <c r="A114" s="36"/>
      <c r="B114" s="14"/>
      <c r="C114" s="15"/>
      <c r="D114" s="14"/>
      <c r="E114" s="17"/>
      <c r="F114" s="17"/>
      <c r="G114" s="17"/>
      <c r="H114" s="19"/>
      <c r="I114" s="19"/>
      <c r="J114" s="18"/>
      <c r="K114" s="17"/>
      <c r="L114" s="17"/>
      <c r="M114" s="17"/>
      <c r="N114" s="19"/>
      <c r="O114" s="19"/>
      <c r="P114" s="14"/>
      <c r="Q114" s="15"/>
      <c r="R114" s="14"/>
      <c r="S114" s="36"/>
      <c r="T114" s="36"/>
      <c r="U114" s="50"/>
      <c r="V114" s="50"/>
    </row>
    <row r="115" spans="1:22" ht="17.25" thickBot="1" x14ac:dyDescent="0.3">
      <c r="A115" s="36"/>
      <c r="B115" s="14"/>
      <c r="C115" s="15"/>
      <c r="D115" s="14"/>
      <c r="E115" s="17"/>
      <c r="F115" s="17"/>
      <c r="G115" s="17"/>
      <c r="H115" s="19"/>
      <c r="I115" s="19"/>
      <c r="J115" s="18"/>
      <c r="K115" s="17"/>
      <c r="L115" s="17"/>
      <c r="M115" s="17"/>
      <c r="N115" s="19"/>
      <c r="O115" s="19"/>
      <c r="P115" s="14"/>
      <c r="Q115" s="15"/>
      <c r="R115" s="14"/>
      <c r="S115" s="36"/>
      <c r="T115" s="36"/>
      <c r="U115" s="50"/>
      <c r="V115" s="50"/>
    </row>
    <row r="116" spans="1:22" ht="17.25" thickBot="1" x14ac:dyDescent="0.3">
      <c r="A116" s="36"/>
      <c r="B116" s="14"/>
      <c r="C116" s="15"/>
      <c r="D116" s="14"/>
      <c r="E116" s="17"/>
      <c r="F116" s="17"/>
      <c r="G116" s="17"/>
      <c r="H116" s="19"/>
      <c r="I116" s="19"/>
      <c r="J116" s="18"/>
      <c r="K116" s="17"/>
      <c r="L116" s="17"/>
      <c r="M116" s="17"/>
      <c r="N116" s="19"/>
      <c r="O116" s="19"/>
      <c r="P116" s="14"/>
      <c r="Q116" s="15"/>
      <c r="R116" s="14"/>
      <c r="S116" s="36"/>
      <c r="T116" s="36"/>
      <c r="U116" s="50"/>
      <c r="V116" s="50"/>
    </row>
    <row r="117" spans="1:22" ht="17.25" thickBot="1" x14ac:dyDescent="0.3">
      <c r="A117" s="36"/>
      <c r="B117" s="14"/>
      <c r="C117" s="15"/>
      <c r="D117" s="14"/>
      <c r="E117" s="17"/>
      <c r="F117" s="17"/>
      <c r="G117" s="17"/>
      <c r="H117" s="19"/>
      <c r="I117" s="19"/>
      <c r="J117" s="18"/>
      <c r="K117" s="17"/>
      <c r="L117" s="17"/>
      <c r="M117" s="17"/>
      <c r="N117" s="19"/>
      <c r="O117" s="19"/>
      <c r="P117" s="14"/>
      <c r="Q117" s="15"/>
      <c r="R117" s="14"/>
      <c r="S117" s="36"/>
      <c r="T117" s="36"/>
      <c r="U117" s="50"/>
      <c r="V117" s="50"/>
    </row>
    <row r="118" spans="1:22" ht="17.25" thickBot="1" x14ac:dyDescent="0.3">
      <c r="A118" s="36"/>
      <c r="B118" s="14"/>
      <c r="C118" s="15"/>
      <c r="D118" s="14"/>
      <c r="E118" s="17"/>
      <c r="F118" s="17"/>
      <c r="G118" s="17"/>
      <c r="H118" s="19"/>
      <c r="I118" s="19"/>
      <c r="J118" s="18"/>
      <c r="K118" s="17"/>
      <c r="L118" s="17"/>
      <c r="M118" s="17"/>
      <c r="N118" s="19"/>
      <c r="O118" s="19"/>
      <c r="P118" s="14"/>
      <c r="Q118" s="15"/>
      <c r="R118" s="14"/>
      <c r="S118" s="36"/>
      <c r="T118" s="36"/>
      <c r="U118" s="50"/>
      <c r="V118" s="50"/>
    </row>
    <row r="119" spans="1:22" ht="17.25" thickBot="1" x14ac:dyDescent="0.3">
      <c r="A119" s="36"/>
      <c r="B119" s="14"/>
      <c r="C119" s="15"/>
      <c r="D119" s="14"/>
      <c r="E119" s="17"/>
      <c r="F119" s="17"/>
      <c r="G119" s="17"/>
      <c r="H119" s="19"/>
      <c r="I119" s="19"/>
      <c r="J119" s="18"/>
      <c r="K119" s="17"/>
      <c r="L119" s="17"/>
      <c r="M119" s="17"/>
      <c r="N119" s="19"/>
      <c r="O119" s="19"/>
      <c r="P119" s="14"/>
      <c r="Q119" s="15"/>
      <c r="R119" s="14"/>
      <c r="S119" s="36"/>
      <c r="T119" s="36"/>
      <c r="U119" s="50"/>
      <c r="V119" s="50"/>
    </row>
    <row r="120" spans="1:22" ht="17.25" thickBot="1" x14ac:dyDescent="0.3">
      <c r="A120" s="36"/>
      <c r="B120" s="14"/>
      <c r="C120" s="15"/>
      <c r="D120" s="14"/>
      <c r="E120" s="17"/>
      <c r="F120" s="17"/>
      <c r="G120" s="17"/>
      <c r="H120" s="19"/>
      <c r="I120" s="19"/>
      <c r="J120" s="18"/>
      <c r="K120" s="17"/>
      <c r="L120" s="17"/>
      <c r="M120" s="17"/>
      <c r="N120" s="19"/>
      <c r="O120" s="19"/>
      <c r="P120" s="14"/>
      <c r="Q120" s="15"/>
      <c r="R120" s="14"/>
      <c r="S120" s="36"/>
      <c r="T120" s="36"/>
      <c r="U120" s="50"/>
      <c r="V120" s="50"/>
    </row>
    <row r="121" spans="1:22" ht="17.25" thickBot="1" x14ac:dyDescent="0.3">
      <c r="A121" s="36"/>
      <c r="B121" s="14"/>
      <c r="C121" s="15"/>
      <c r="D121" s="14"/>
      <c r="E121" s="17"/>
      <c r="F121" s="17"/>
      <c r="G121" s="17"/>
      <c r="H121" s="19"/>
      <c r="I121" s="19"/>
      <c r="J121" s="18"/>
      <c r="K121" s="17"/>
      <c r="L121" s="17"/>
      <c r="M121" s="17"/>
      <c r="N121" s="19"/>
      <c r="O121" s="19"/>
      <c r="P121" s="14"/>
      <c r="Q121" s="15"/>
      <c r="R121" s="14"/>
      <c r="S121" s="36"/>
      <c r="T121" s="36"/>
      <c r="U121" s="50"/>
      <c r="V121" s="50"/>
    </row>
    <row r="122" spans="1:22" ht="17.25" thickBot="1" x14ac:dyDescent="0.3">
      <c r="A122" s="36"/>
      <c r="B122" s="14"/>
      <c r="C122" s="15"/>
      <c r="D122" s="14"/>
      <c r="E122" s="17"/>
      <c r="F122" s="17"/>
      <c r="G122" s="17"/>
      <c r="H122" s="19"/>
      <c r="I122" s="19"/>
      <c r="J122" s="18"/>
      <c r="K122" s="17"/>
      <c r="L122" s="17"/>
      <c r="M122" s="17"/>
      <c r="N122" s="19"/>
      <c r="O122" s="19"/>
      <c r="P122" s="14"/>
      <c r="Q122" s="15"/>
      <c r="R122" s="14"/>
      <c r="S122" s="36"/>
      <c r="T122" s="36"/>
      <c r="U122" s="50"/>
      <c r="V122" s="50"/>
    </row>
    <row r="123" spans="1:22" ht="17.25" thickBot="1" x14ac:dyDescent="0.3">
      <c r="A123" s="36"/>
      <c r="B123" s="14"/>
      <c r="C123" s="15"/>
      <c r="D123" s="14"/>
      <c r="E123" s="17"/>
      <c r="F123" s="17"/>
      <c r="G123" s="17"/>
      <c r="H123" s="19"/>
      <c r="I123" s="19"/>
      <c r="J123" s="18"/>
      <c r="K123" s="17"/>
      <c r="L123" s="17"/>
      <c r="M123" s="17"/>
      <c r="N123" s="19"/>
      <c r="O123" s="19"/>
      <c r="P123" s="14"/>
      <c r="Q123" s="15"/>
      <c r="R123" s="14"/>
      <c r="S123" s="36"/>
      <c r="T123" s="36"/>
      <c r="U123" s="50"/>
      <c r="V123" s="50"/>
    </row>
    <row r="124" spans="1:22" ht="17.25" thickBot="1" x14ac:dyDescent="0.3">
      <c r="A124" s="36"/>
      <c r="B124" s="14"/>
      <c r="C124" s="15"/>
      <c r="D124" s="14"/>
      <c r="E124" s="17"/>
      <c r="F124" s="17"/>
      <c r="G124" s="17"/>
      <c r="H124" s="19"/>
      <c r="I124" s="19"/>
      <c r="J124" s="18"/>
      <c r="K124" s="17"/>
      <c r="L124" s="17"/>
      <c r="M124" s="17"/>
      <c r="N124" s="19"/>
      <c r="O124" s="19"/>
      <c r="P124" s="14"/>
      <c r="Q124" s="15"/>
      <c r="R124" s="14"/>
      <c r="S124" s="36"/>
      <c r="T124" s="36"/>
      <c r="U124" s="50"/>
      <c r="V124" s="50"/>
    </row>
    <row r="125" spans="1:22" ht="17.25" thickBot="1" x14ac:dyDescent="0.3">
      <c r="A125" s="36"/>
      <c r="B125" s="14"/>
      <c r="C125" s="15"/>
      <c r="D125" s="14"/>
      <c r="E125" s="17"/>
      <c r="F125" s="17"/>
      <c r="G125" s="17"/>
      <c r="H125" s="19"/>
      <c r="I125" s="19"/>
      <c r="J125" s="18"/>
      <c r="K125" s="17"/>
      <c r="L125" s="17"/>
      <c r="M125" s="17"/>
      <c r="N125" s="19"/>
      <c r="O125" s="19"/>
      <c r="P125" s="14"/>
      <c r="Q125" s="15"/>
      <c r="R125" s="14"/>
      <c r="S125" s="36"/>
      <c r="T125" s="36"/>
      <c r="U125" s="50"/>
      <c r="V125" s="50"/>
    </row>
    <row r="126" spans="1:22" ht="17.25" thickBot="1" x14ac:dyDescent="0.3">
      <c r="A126" s="36"/>
      <c r="B126" s="14"/>
      <c r="C126" s="15"/>
      <c r="D126" s="14"/>
      <c r="E126" s="17"/>
      <c r="F126" s="17"/>
      <c r="G126" s="17"/>
      <c r="H126" s="19"/>
      <c r="I126" s="19"/>
      <c r="J126" s="18"/>
      <c r="K126" s="17"/>
      <c r="L126" s="17"/>
      <c r="M126" s="17"/>
      <c r="N126" s="19"/>
      <c r="O126" s="19"/>
      <c r="P126" s="14"/>
      <c r="Q126" s="15"/>
      <c r="R126" s="14"/>
      <c r="S126" s="36"/>
      <c r="T126" s="36"/>
      <c r="U126" s="50"/>
      <c r="V126" s="50"/>
    </row>
    <row r="127" spans="1:22" ht="17.25" thickBot="1" x14ac:dyDescent="0.3">
      <c r="A127" s="36"/>
      <c r="B127" s="14"/>
      <c r="C127" s="15"/>
      <c r="D127" s="14"/>
      <c r="E127" s="17"/>
      <c r="F127" s="17"/>
      <c r="G127" s="17"/>
      <c r="H127" s="19"/>
      <c r="I127" s="19"/>
      <c r="J127" s="18"/>
      <c r="K127" s="17"/>
      <c r="L127" s="17"/>
      <c r="M127" s="17"/>
      <c r="N127" s="19"/>
      <c r="O127" s="19"/>
      <c r="P127" s="14"/>
      <c r="Q127" s="15"/>
      <c r="R127" s="14"/>
      <c r="S127" s="36"/>
      <c r="T127" s="36"/>
      <c r="U127" s="50"/>
      <c r="V127" s="50"/>
    </row>
    <row r="128" spans="1:22" ht="17.25" thickBot="1" x14ac:dyDescent="0.3">
      <c r="A128" s="36"/>
      <c r="B128" s="14"/>
      <c r="C128" s="15"/>
      <c r="D128" s="14"/>
      <c r="E128" s="17"/>
      <c r="F128" s="17"/>
      <c r="G128" s="17"/>
      <c r="H128" s="19"/>
      <c r="I128" s="19"/>
      <c r="J128" s="18"/>
      <c r="K128" s="17"/>
      <c r="L128" s="17"/>
      <c r="M128" s="17"/>
      <c r="N128" s="19"/>
      <c r="O128" s="19"/>
      <c r="P128" s="14"/>
      <c r="Q128" s="15"/>
      <c r="R128" s="14"/>
      <c r="S128" s="36"/>
      <c r="T128" s="36"/>
      <c r="U128" s="50"/>
      <c r="V128" s="50"/>
    </row>
    <row r="129" spans="1:22" ht="17.25" thickBot="1" x14ac:dyDescent="0.3">
      <c r="A129" s="36"/>
      <c r="B129" s="14"/>
      <c r="C129" s="15"/>
      <c r="D129" s="14"/>
      <c r="E129" s="17"/>
      <c r="F129" s="17"/>
      <c r="G129" s="17"/>
      <c r="H129" s="19"/>
      <c r="I129" s="19"/>
      <c r="J129" s="18"/>
      <c r="K129" s="17"/>
      <c r="L129" s="17"/>
      <c r="M129" s="17"/>
      <c r="N129" s="19"/>
      <c r="O129" s="19"/>
      <c r="P129" s="14"/>
      <c r="Q129" s="15"/>
      <c r="R129" s="14"/>
      <c r="S129" s="36"/>
      <c r="T129" s="36"/>
      <c r="U129" s="50"/>
      <c r="V129" s="50"/>
    </row>
    <row r="130" spans="1:22" ht="17.25" thickBot="1" x14ac:dyDescent="0.3">
      <c r="A130" s="36"/>
      <c r="B130" s="14"/>
      <c r="C130" s="15"/>
      <c r="D130" s="14"/>
      <c r="E130" s="17"/>
      <c r="F130" s="17"/>
      <c r="G130" s="17"/>
      <c r="H130" s="19"/>
      <c r="I130" s="19"/>
      <c r="J130" s="18"/>
      <c r="K130" s="17"/>
      <c r="L130" s="17"/>
      <c r="M130" s="17"/>
      <c r="N130" s="19"/>
      <c r="O130" s="19"/>
      <c r="P130" s="14"/>
      <c r="Q130" s="15"/>
      <c r="R130" s="14"/>
      <c r="S130" s="36"/>
      <c r="T130" s="36"/>
      <c r="U130" s="50"/>
      <c r="V130" s="50"/>
    </row>
    <row r="131" spans="1:22" ht="17.25" thickBot="1" x14ac:dyDescent="0.3">
      <c r="A131" s="36"/>
      <c r="B131" s="14"/>
      <c r="C131" s="15"/>
      <c r="D131" s="14"/>
      <c r="E131" s="17"/>
      <c r="F131" s="17"/>
      <c r="G131" s="17"/>
      <c r="H131" s="19"/>
      <c r="I131" s="19"/>
      <c r="J131" s="18"/>
      <c r="K131" s="17"/>
      <c r="L131" s="17"/>
      <c r="M131" s="17"/>
      <c r="N131" s="19"/>
      <c r="O131" s="19"/>
      <c r="P131" s="14"/>
      <c r="Q131" s="15"/>
      <c r="R131" s="14"/>
      <c r="S131" s="36"/>
      <c r="T131" s="36"/>
      <c r="U131" s="50"/>
      <c r="V131" s="50"/>
    </row>
    <row r="132" spans="1:22" ht="17.25" thickBot="1" x14ac:dyDescent="0.3">
      <c r="A132" s="36"/>
      <c r="B132" s="14"/>
      <c r="C132" s="15"/>
      <c r="D132" s="14"/>
      <c r="E132" s="17"/>
      <c r="F132" s="17"/>
      <c r="G132" s="17"/>
      <c r="H132" s="19"/>
      <c r="I132" s="19"/>
      <c r="J132" s="18"/>
      <c r="K132" s="17"/>
      <c r="L132" s="17"/>
      <c r="M132" s="17"/>
      <c r="N132" s="19"/>
      <c r="O132" s="19"/>
      <c r="P132" s="14"/>
      <c r="Q132" s="15"/>
      <c r="R132" s="14"/>
      <c r="S132" s="36"/>
      <c r="T132" s="36"/>
      <c r="U132" s="50"/>
      <c r="V132" s="50"/>
    </row>
    <row r="133" spans="1:22" ht="17.25" thickBot="1" x14ac:dyDescent="0.3">
      <c r="A133" s="36"/>
      <c r="B133" s="14"/>
      <c r="C133" s="15"/>
      <c r="D133" s="14"/>
      <c r="E133" s="17"/>
      <c r="F133" s="17"/>
      <c r="G133" s="17"/>
      <c r="H133" s="19"/>
      <c r="I133" s="19"/>
      <c r="J133" s="18"/>
      <c r="K133" s="17"/>
      <c r="L133" s="17"/>
      <c r="M133" s="17"/>
      <c r="N133" s="19"/>
      <c r="O133" s="19"/>
      <c r="P133" s="14"/>
      <c r="Q133" s="15"/>
      <c r="R133" s="14"/>
      <c r="S133" s="36"/>
      <c r="T133" s="36"/>
      <c r="U133" s="50"/>
      <c r="V133" s="50"/>
    </row>
    <row r="134" spans="1:22" ht="17.25" thickBot="1" x14ac:dyDescent="0.3">
      <c r="A134" s="36"/>
      <c r="B134" s="14"/>
      <c r="C134" s="15"/>
      <c r="D134" s="14"/>
      <c r="E134" s="17"/>
      <c r="F134" s="17"/>
      <c r="G134" s="17"/>
      <c r="H134" s="19"/>
      <c r="I134" s="19"/>
      <c r="J134" s="18"/>
      <c r="K134" s="17"/>
      <c r="L134" s="17"/>
      <c r="M134" s="17"/>
      <c r="N134" s="19"/>
      <c r="O134" s="19"/>
      <c r="P134" s="14"/>
      <c r="Q134" s="15"/>
      <c r="R134" s="14"/>
      <c r="S134" s="36"/>
      <c r="T134" s="36"/>
      <c r="U134" s="50"/>
      <c r="V134" s="50"/>
    </row>
    <row r="135" spans="1:22" ht="17.25" thickBot="1" x14ac:dyDescent="0.3">
      <c r="A135" s="36"/>
      <c r="B135" s="14"/>
      <c r="C135" s="15"/>
      <c r="D135" s="14"/>
      <c r="E135" s="17"/>
      <c r="F135" s="17"/>
      <c r="G135" s="17"/>
      <c r="H135" s="19"/>
      <c r="I135" s="19"/>
      <c r="J135" s="18"/>
      <c r="K135" s="17"/>
      <c r="L135" s="17"/>
      <c r="M135" s="17"/>
      <c r="N135" s="19"/>
      <c r="O135" s="19"/>
      <c r="P135" s="14"/>
      <c r="Q135" s="15"/>
      <c r="R135" s="14"/>
      <c r="S135" s="36"/>
      <c r="T135" s="36"/>
      <c r="U135" s="50"/>
      <c r="V135" s="50"/>
    </row>
    <row r="136" spans="1:22" ht="17.25" thickBot="1" x14ac:dyDescent="0.3">
      <c r="A136" s="36"/>
      <c r="B136" s="14"/>
      <c r="C136" s="15"/>
      <c r="D136" s="14"/>
      <c r="E136" s="17"/>
      <c r="F136" s="17"/>
      <c r="G136" s="17"/>
      <c r="H136" s="19"/>
      <c r="I136" s="19"/>
      <c r="J136" s="18"/>
      <c r="K136" s="17"/>
      <c r="L136" s="17"/>
      <c r="M136" s="17"/>
      <c r="N136" s="19"/>
      <c r="O136" s="19"/>
      <c r="P136" s="14"/>
      <c r="Q136" s="15"/>
      <c r="R136" s="14"/>
      <c r="S136" s="36"/>
      <c r="T136" s="36"/>
      <c r="U136" s="50"/>
      <c r="V136" s="50"/>
    </row>
    <row r="137" spans="1:22" ht="17.25" thickBot="1" x14ac:dyDescent="0.3">
      <c r="A137" s="36"/>
      <c r="B137" s="14"/>
      <c r="C137" s="15"/>
      <c r="D137" s="14"/>
      <c r="E137" s="17"/>
      <c r="F137" s="17"/>
      <c r="G137" s="17"/>
      <c r="H137" s="19"/>
      <c r="I137" s="19"/>
      <c r="J137" s="18"/>
      <c r="K137" s="17"/>
      <c r="L137" s="17"/>
      <c r="M137" s="17"/>
      <c r="N137" s="19"/>
      <c r="O137" s="19"/>
      <c r="P137" s="14"/>
      <c r="Q137" s="15"/>
      <c r="R137" s="14"/>
      <c r="S137" s="36"/>
      <c r="T137" s="36"/>
      <c r="U137" s="50"/>
      <c r="V137" s="50"/>
    </row>
    <row r="138" spans="1:22" ht="17.25" thickBot="1" x14ac:dyDescent="0.3">
      <c r="A138" s="36"/>
      <c r="B138" s="14"/>
      <c r="C138" s="15"/>
      <c r="D138" s="14"/>
      <c r="E138" s="17"/>
      <c r="F138" s="17"/>
      <c r="G138" s="17"/>
      <c r="H138" s="19"/>
      <c r="I138" s="19"/>
      <c r="J138" s="18"/>
      <c r="K138" s="17"/>
      <c r="L138" s="17"/>
      <c r="M138" s="17"/>
      <c r="N138" s="19"/>
      <c r="O138" s="19"/>
      <c r="P138" s="14"/>
      <c r="Q138" s="15"/>
      <c r="R138" s="14"/>
      <c r="S138" s="36"/>
      <c r="T138" s="36"/>
      <c r="U138" s="50"/>
      <c r="V138" s="50"/>
    </row>
    <row r="139" spans="1:22" ht="17.25" thickBot="1" x14ac:dyDescent="0.3">
      <c r="A139" s="36"/>
      <c r="B139" s="14"/>
      <c r="C139" s="15"/>
      <c r="D139" s="14"/>
      <c r="E139" s="17"/>
      <c r="F139" s="17"/>
      <c r="G139" s="17"/>
      <c r="H139" s="19"/>
      <c r="I139" s="19"/>
      <c r="J139" s="18"/>
      <c r="K139" s="17"/>
      <c r="L139" s="17"/>
      <c r="M139" s="17"/>
      <c r="N139" s="19"/>
      <c r="O139" s="19"/>
      <c r="P139" s="14"/>
      <c r="Q139" s="15"/>
      <c r="R139" s="14"/>
      <c r="S139" s="36"/>
      <c r="T139" s="36"/>
      <c r="U139" s="50"/>
      <c r="V139" s="50"/>
    </row>
    <row r="140" spans="1:22" ht="17.25" thickBot="1" x14ac:dyDescent="0.3">
      <c r="A140" s="36"/>
      <c r="B140" s="14"/>
      <c r="C140" s="15"/>
      <c r="D140" s="14"/>
      <c r="E140" s="17"/>
      <c r="F140" s="17"/>
      <c r="G140" s="17"/>
      <c r="H140" s="19"/>
      <c r="I140" s="19"/>
      <c r="J140" s="18"/>
      <c r="K140" s="17"/>
      <c r="L140" s="17"/>
      <c r="M140" s="17"/>
      <c r="N140" s="19"/>
      <c r="O140" s="19"/>
      <c r="P140" s="14"/>
      <c r="Q140" s="15"/>
      <c r="R140" s="14"/>
      <c r="S140" s="36"/>
      <c r="T140" s="36"/>
      <c r="U140" s="50"/>
      <c r="V140" s="50"/>
    </row>
    <row r="141" spans="1:22" ht="17.25" thickBot="1" x14ac:dyDescent="0.3">
      <c r="A141" s="36"/>
      <c r="B141" s="14"/>
      <c r="C141" s="15"/>
      <c r="D141" s="14"/>
      <c r="E141" s="17"/>
      <c r="F141" s="17"/>
      <c r="G141" s="17"/>
      <c r="H141" s="19"/>
      <c r="I141" s="19"/>
      <c r="J141" s="18"/>
      <c r="K141" s="17"/>
      <c r="L141" s="17"/>
      <c r="M141" s="17"/>
      <c r="N141" s="19"/>
      <c r="O141" s="19"/>
      <c r="P141" s="14"/>
      <c r="Q141" s="15"/>
      <c r="R141" s="14"/>
      <c r="S141" s="36"/>
      <c r="T141" s="36"/>
      <c r="U141" s="50"/>
      <c r="V141" s="50"/>
    </row>
    <row r="142" spans="1:22" ht="17.25" thickBot="1" x14ac:dyDescent="0.3">
      <c r="A142" s="36"/>
      <c r="B142" s="14"/>
      <c r="C142" s="15"/>
      <c r="D142" s="14"/>
      <c r="E142" s="17"/>
      <c r="F142" s="17"/>
      <c r="G142" s="17"/>
      <c r="H142" s="19"/>
      <c r="I142" s="19"/>
      <c r="J142" s="18"/>
      <c r="K142" s="17"/>
      <c r="L142" s="17"/>
      <c r="M142" s="17"/>
      <c r="N142" s="19"/>
      <c r="O142" s="19"/>
      <c r="P142" s="14"/>
      <c r="Q142" s="15"/>
      <c r="R142" s="14"/>
      <c r="S142" s="36"/>
      <c r="T142" s="36"/>
      <c r="U142" s="50"/>
      <c r="V142" s="50"/>
    </row>
    <row r="143" spans="1:22" ht="17.25" thickBot="1" x14ac:dyDescent="0.3">
      <c r="A143" s="36"/>
      <c r="B143" s="14"/>
      <c r="C143" s="15"/>
      <c r="D143" s="14"/>
      <c r="E143" s="17"/>
      <c r="F143" s="17"/>
      <c r="G143" s="17"/>
      <c r="H143" s="19"/>
      <c r="I143" s="19"/>
      <c r="J143" s="18"/>
      <c r="K143" s="17"/>
      <c r="L143" s="17"/>
      <c r="M143" s="17"/>
      <c r="N143" s="19"/>
      <c r="O143" s="19"/>
      <c r="P143" s="14"/>
      <c r="Q143" s="15"/>
      <c r="R143" s="14"/>
      <c r="S143" s="36"/>
      <c r="T143" s="36"/>
      <c r="U143" s="50"/>
      <c r="V143" s="50"/>
    </row>
    <row r="144" spans="1:22" ht="17.25" thickBot="1" x14ac:dyDescent="0.3">
      <c r="A144" s="36"/>
      <c r="B144" s="14"/>
      <c r="C144" s="15"/>
      <c r="D144" s="14"/>
      <c r="E144" s="17"/>
      <c r="F144" s="17"/>
      <c r="G144" s="17"/>
      <c r="H144" s="19"/>
      <c r="I144" s="19"/>
      <c r="J144" s="18"/>
      <c r="K144" s="17"/>
      <c r="L144" s="17"/>
      <c r="M144" s="17"/>
      <c r="N144" s="19"/>
      <c r="O144" s="19"/>
      <c r="P144" s="14"/>
      <c r="Q144" s="15"/>
      <c r="R144" s="14"/>
      <c r="S144" s="36"/>
      <c r="T144" s="36"/>
      <c r="U144" s="50"/>
      <c r="V144" s="50"/>
    </row>
    <row r="145" spans="1:22" ht="17.25" thickBot="1" x14ac:dyDescent="0.3">
      <c r="A145" s="36"/>
      <c r="B145" s="14"/>
      <c r="C145" s="15"/>
      <c r="D145" s="14"/>
      <c r="E145" s="17"/>
      <c r="F145" s="17"/>
      <c r="G145" s="17"/>
      <c r="H145" s="19"/>
      <c r="I145" s="19"/>
      <c r="J145" s="18"/>
      <c r="K145" s="17"/>
      <c r="L145" s="17"/>
      <c r="M145" s="17"/>
      <c r="N145" s="19"/>
      <c r="O145" s="19"/>
      <c r="P145" s="14"/>
      <c r="Q145" s="15"/>
      <c r="R145" s="14"/>
      <c r="S145" s="36"/>
      <c r="T145" s="36"/>
      <c r="U145" s="50"/>
      <c r="V145" s="50"/>
    </row>
    <row r="146" spans="1:22" ht="17.25" thickBot="1" x14ac:dyDescent="0.3">
      <c r="A146" s="36"/>
      <c r="B146" s="14"/>
      <c r="C146" s="15"/>
      <c r="D146" s="14"/>
      <c r="E146" s="17"/>
      <c r="F146" s="17"/>
      <c r="G146" s="17"/>
      <c r="H146" s="19"/>
      <c r="I146" s="19"/>
      <c r="J146" s="18"/>
      <c r="K146" s="17"/>
      <c r="L146" s="17"/>
      <c r="M146" s="17"/>
      <c r="N146" s="19"/>
      <c r="O146" s="19"/>
      <c r="P146" s="14"/>
      <c r="Q146" s="15"/>
      <c r="R146" s="14"/>
      <c r="S146" s="36"/>
      <c r="T146" s="36"/>
      <c r="U146" s="50"/>
      <c r="V146" s="50"/>
    </row>
    <row r="147" spans="1:22" ht="17.25" thickBot="1" x14ac:dyDescent="0.3">
      <c r="A147" s="36"/>
      <c r="B147" s="14"/>
      <c r="C147" s="15"/>
      <c r="D147" s="14"/>
      <c r="E147" s="17"/>
      <c r="F147" s="17"/>
      <c r="G147" s="17"/>
      <c r="H147" s="19"/>
      <c r="I147" s="19"/>
      <c r="J147" s="18"/>
      <c r="K147" s="17"/>
      <c r="L147" s="17"/>
      <c r="M147" s="17"/>
      <c r="N147" s="19"/>
      <c r="O147" s="19"/>
      <c r="P147" s="14"/>
      <c r="Q147" s="15"/>
      <c r="R147" s="14"/>
      <c r="S147" s="36"/>
      <c r="T147" s="36"/>
      <c r="U147" s="50"/>
      <c r="V147" s="50"/>
    </row>
    <row r="148" spans="1:22" ht="17.25" thickBot="1" x14ac:dyDescent="0.3">
      <c r="A148" s="36"/>
      <c r="B148" s="14"/>
      <c r="C148" s="15"/>
      <c r="D148" s="14"/>
      <c r="E148" s="17"/>
      <c r="F148" s="17"/>
      <c r="G148" s="17"/>
      <c r="H148" s="19"/>
      <c r="I148" s="19"/>
      <c r="J148" s="18"/>
      <c r="K148" s="17"/>
      <c r="L148" s="17"/>
      <c r="M148" s="17"/>
      <c r="N148" s="19"/>
      <c r="O148" s="19"/>
      <c r="P148" s="14"/>
      <c r="Q148" s="15"/>
      <c r="R148" s="14"/>
      <c r="S148" s="36"/>
      <c r="T148" s="36"/>
      <c r="U148" s="50"/>
      <c r="V148" s="50"/>
    </row>
    <row r="149" spans="1:22" ht="17.25" thickBot="1" x14ac:dyDescent="0.3">
      <c r="A149" s="36"/>
      <c r="B149" s="14"/>
      <c r="C149" s="15"/>
      <c r="D149" s="14"/>
      <c r="E149" s="17"/>
      <c r="F149" s="17"/>
      <c r="G149" s="17"/>
      <c r="H149" s="19"/>
      <c r="I149" s="19"/>
      <c r="J149" s="18"/>
      <c r="K149" s="17"/>
      <c r="L149" s="17"/>
      <c r="M149" s="17"/>
      <c r="N149" s="19"/>
      <c r="O149" s="19"/>
      <c r="P149" s="14"/>
      <c r="Q149" s="15"/>
      <c r="R149" s="14"/>
      <c r="S149" s="36"/>
      <c r="T149" s="36"/>
      <c r="U149" s="50"/>
      <c r="V149" s="50"/>
    </row>
    <row r="150" spans="1:22" ht="17.25" thickBot="1" x14ac:dyDescent="0.3">
      <c r="A150" s="36"/>
      <c r="B150" s="14"/>
      <c r="C150" s="15"/>
      <c r="D150" s="14"/>
      <c r="E150" s="17"/>
      <c r="F150" s="17"/>
      <c r="G150" s="17"/>
      <c r="H150" s="19"/>
      <c r="I150" s="19"/>
      <c r="J150" s="18"/>
      <c r="K150" s="17"/>
      <c r="L150" s="17"/>
      <c r="M150" s="17"/>
      <c r="N150" s="19"/>
      <c r="O150" s="19"/>
      <c r="P150" s="14"/>
      <c r="Q150" s="15"/>
      <c r="R150" s="14"/>
      <c r="S150" s="36"/>
      <c r="T150" s="36"/>
      <c r="U150" s="50"/>
      <c r="V150" s="50"/>
    </row>
    <row r="151" spans="1:22" ht="17.25" thickBot="1" x14ac:dyDescent="0.3">
      <c r="A151" s="36"/>
      <c r="B151" s="14"/>
      <c r="C151" s="15"/>
      <c r="D151" s="14"/>
      <c r="E151" s="17"/>
      <c r="F151" s="17"/>
      <c r="G151" s="17"/>
      <c r="H151" s="19"/>
      <c r="I151" s="19"/>
      <c r="J151" s="18"/>
      <c r="K151" s="17"/>
      <c r="L151" s="17"/>
      <c r="M151" s="17"/>
      <c r="N151" s="19"/>
      <c r="O151" s="19"/>
      <c r="P151" s="14"/>
      <c r="Q151" s="15"/>
      <c r="R151" s="14"/>
      <c r="S151" s="36"/>
      <c r="T151" s="36"/>
      <c r="U151" s="50"/>
      <c r="V151" s="50"/>
    </row>
    <row r="152" spans="1:22" ht="17.25" thickBot="1" x14ac:dyDescent="0.3">
      <c r="A152" s="36"/>
      <c r="B152" s="14"/>
      <c r="C152" s="15"/>
      <c r="D152" s="14"/>
      <c r="E152" s="17"/>
      <c r="F152" s="17"/>
      <c r="G152" s="17"/>
      <c r="H152" s="19"/>
      <c r="I152" s="19"/>
      <c r="J152" s="18"/>
      <c r="K152" s="17"/>
      <c r="L152" s="17"/>
      <c r="M152" s="17"/>
      <c r="N152" s="19"/>
      <c r="O152" s="19"/>
      <c r="P152" s="14"/>
      <c r="Q152" s="15"/>
      <c r="R152" s="14"/>
      <c r="S152" s="36"/>
      <c r="T152" s="36"/>
      <c r="U152" s="50"/>
      <c r="V152" s="50"/>
    </row>
    <row r="153" spans="1:22" ht="17.25" thickBot="1" x14ac:dyDescent="0.3">
      <c r="A153" s="36"/>
      <c r="B153" s="14"/>
      <c r="C153" s="15"/>
      <c r="D153" s="14"/>
      <c r="E153" s="17"/>
      <c r="F153" s="17"/>
      <c r="G153" s="17"/>
      <c r="H153" s="19"/>
      <c r="I153" s="19"/>
      <c r="J153" s="18"/>
      <c r="K153" s="17"/>
      <c r="L153" s="17"/>
      <c r="M153" s="17"/>
      <c r="N153" s="19"/>
      <c r="O153" s="19"/>
      <c r="P153" s="14"/>
      <c r="Q153" s="15"/>
      <c r="R153" s="14"/>
      <c r="S153" s="36"/>
      <c r="T153" s="36"/>
      <c r="U153" s="50"/>
      <c r="V153" s="50"/>
    </row>
    <row r="154" spans="1:22" ht="17.25" thickBot="1" x14ac:dyDescent="0.3">
      <c r="A154" s="36"/>
      <c r="B154" s="14"/>
      <c r="C154" s="15"/>
      <c r="D154" s="14"/>
      <c r="E154" s="17"/>
      <c r="F154" s="17"/>
      <c r="G154" s="17"/>
      <c r="H154" s="19"/>
      <c r="I154" s="19"/>
      <c r="J154" s="18"/>
      <c r="K154" s="17"/>
      <c r="L154" s="17"/>
      <c r="M154" s="17"/>
      <c r="N154" s="19"/>
      <c r="O154" s="19"/>
      <c r="P154" s="14"/>
      <c r="Q154" s="15"/>
      <c r="R154" s="14"/>
      <c r="S154" s="36"/>
      <c r="T154" s="36"/>
      <c r="U154" s="50"/>
      <c r="V154" s="50"/>
    </row>
    <row r="155" spans="1:22" ht="17.25" thickBot="1" x14ac:dyDescent="0.3">
      <c r="A155" s="36"/>
      <c r="B155" s="14"/>
      <c r="C155" s="15"/>
      <c r="D155" s="14"/>
      <c r="E155" s="17"/>
      <c r="F155" s="17"/>
      <c r="G155" s="17"/>
      <c r="H155" s="19"/>
      <c r="I155" s="19"/>
      <c r="J155" s="18"/>
      <c r="K155" s="17"/>
      <c r="L155" s="17"/>
      <c r="M155" s="17"/>
      <c r="N155" s="19"/>
      <c r="O155" s="19"/>
      <c r="P155" s="14"/>
      <c r="Q155" s="15"/>
      <c r="R155" s="14"/>
      <c r="S155" s="36"/>
      <c r="T155" s="36"/>
      <c r="U155" s="50"/>
      <c r="V155" s="50"/>
    </row>
    <row r="156" spans="1:22" ht="17.25" thickBot="1" x14ac:dyDescent="0.3">
      <c r="A156" s="36"/>
      <c r="B156" s="14"/>
      <c r="C156" s="15"/>
      <c r="D156" s="14"/>
      <c r="E156" s="17"/>
      <c r="F156" s="17"/>
      <c r="G156" s="17"/>
      <c r="H156" s="19"/>
      <c r="I156" s="19"/>
      <c r="J156" s="18"/>
      <c r="K156" s="17"/>
      <c r="L156" s="17"/>
      <c r="M156" s="17"/>
      <c r="N156" s="19"/>
      <c r="O156" s="19"/>
      <c r="P156" s="14"/>
      <c r="Q156" s="15"/>
      <c r="R156" s="14"/>
      <c r="S156" s="36"/>
      <c r="T156" s="36"/>
      <c r="U156" s="50"/>
      <c r="V156" s="50"/>
    </row>
    <row r="157" spans="1:22" ht="17.25" thickBot="1" x14ac:dyDescent="0.3">
      <c r="A157" s="36"/>
      <c r="B157" s="14"/>
      <c r="C157" s="15"/>
      <c r="D157" s="14"/>
      <c r="E157" s="17"/>
      <c r="F157" s="17"/>
      <c r="G157" s="17"/>
      <c r="H157" s="19"/>
      <c r="I157" s="19"/>
      <c r="J157" s="18"/>
      <c r="K157" s="17"/>
      <c r="L157" s="17"/>
      <c r="M157" s="17"/>
      <c r="N157" s="19"/>
      <c r="O157" s="19"/>
      <c r="P157" s="14"/>
      <c r="Q157" s="15"/>
      <c r="R157" s="14"/>
      <c r="S157" s="36"/>
      <c r="T157" s="36"/>
      <c r="U157" s="50"/>
      <c r="V157" s="50"/>
    </row>
    <row r="158" spans="1:22" ht="17.25" thickBot="1" x14ac:dyDescent="0.3">
      <c r="A158" s="36"/>
      <c r="B158" s="14"/>
      <c r="C158" s="15"/>
      <c r="D158" s="14"/>
      <c r="E158" s="17"/>
      <c r="F158" s="17"/>
      <c r="G158" s="17"/>
      <c r="H158" s="19"/>
      <c r="I158" s="19"/>
      <c r="J158" s="18"/>
      <c r="K158" s="17"/>
      <c r="L158" s="17"/>
      <c r="M158" s="17"/>
      <c r="N158" s="19"/>
      <c r="O158" s="19"/>
      <c r="P158" s="14"/>
      <c r="Q158" s="15"/>
      <c r="R158" s="14"/>
      <c r="S158" s="36"/>
      <c r="T158" s="36"/>
      <c r="U158" s="50"/>
      <c r="V158" s="50"/>
    </row>
    <row r="159" spans="1:22" ht="17.25" thickBot="1" x14ac:dyDescent="0.3">
      <c r="A159" s="36"/>
      <c r="B159" s="14"/>
      <c r="C159" s="15"/>
      <c r="D159" s="14"/>
      <c r="E159" s="17"/>
      <c r="F159" s="17"/>
      <c r="G159" s="17"/>
      <c r="H159" s="19"/>
      <c r="I159" s="19"/>
      <c r="J159" s="18"/>
      <c r="K159" s="17"/>
      <c r="L159" s="17"/>
      <c r="M159" s="17"/>
      <c r="N159" s="19"/>
      <c r="O159" s="19"/>
      <c r="P159" s="14"/>
      <c r="Q159" s="15"/>
      <c r="R159" s="14"/>
      <c r="S159" s="36"/>
      <c r="T159" s="36"/>
      <c r="U159" s="50"/>
      <c r="V159" s="50"/>
    </row>
    <row r="160" spans="1:22" ht="17.25" thickBot="1" x14ac:dyDescent="0.3">
      <c r="A160" s="36"/>
      <c r="B160" s="14"/>
      <c r="C160" s="15"/>
      <c r="D160" s="14"/>
      <c r="E160" s="17"/>
      <c r="F160" s="17"/>
      <c r="G160" s="17"/>
      <c r="H160" s="19"/>
      <c r="I160" s="19"/>
      <c r="J160" s="18"/>
      <c r="K160" s="17"/>
      <c r="L160" s="17"/>
      <c r="M160" s="17"/>
      <c r="N160" s="19"/>
      <c r="O160" s="19"/>
      <c r="P160" s="14"/>
      <c r="Q160" s="15"/>
      <c r="R160" s="14"/>
      <c r="S160" s="36"/>
      <c r="T160" s="36"/>
      <c r="U160" s="50"/>
      <c r="V160" s="50"/>
    </row>
    <row r="161" spans="1:22" ht="17.25" thickBot="1" x14ac:dyDescent="0.3">
      <c r="A161" s="36"/>
      <c r="B161" s="14"/>
      <c r="C161" s="15"/>
      <c r="D161" s="14"/>
      <c r="E161" s="17"/>
      <c r="F161" s="17"/>
      <c r="G161" s="17"/>
      <c r="H161" s="19"/>
      <c r="I161" s="19"/>
      <c r="J161" s="18"/>
      <c r="K161" s="17"/>
      <c r="L161" s="17"/>
      <c r="M161" s="17"/>
      <c r="N161" s="19"/>
      <c r="O161" s="19"/>
      <c r="P161" s="14"/>
      <c r="Q161" s="15"/>
      <c r="R161" s="14"/>
      <c r="S161" s="36"/>
      <c r="T161" s="36"/>
      <c r="U161" s="50"/>
      <c r="V161" s="50"/>
    </row>
  </sheetData>
  <mergeCells count="2">
    <mergeCell ref="A9:I9"/>
    <mergeCell ref="K9:S9"/>
  </mergeCells>
  <phoneticPr fontId="4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AJ61"/>
  <sheetViews>
    <sheetView workbookViewId="0">
      <selection activeCell="A2" sqref="A2"/>
    </sheetView>
  </sheetViews>
  <sheetFormatPr defaultRowHeight="16.5" x14ac:dyDescent="0.25"/>
  <cols>
    <col min="1" max="1" width="12.875" customWidth="1"/>
    <col min="2" max="2" width="16.125" customWidth="1"/>
    <col min="3" max="3" width="11.125" customWidth="1"/>
    <col min="4" max="4" width="13.875" customWidth="1"/>
    <col min="5" max="5" width="10.5" bestFit="1" customWidth="1"/>
    <col min="6" max="6" width="13.5" customWidth="1"/>
    <col min="7" max="7" width="12.25" customWidth="1"/>
    <col min="8" max="8" width="9.5" bestFit="1" customWidth="1"/>
    <col min="10" max="10" width="11.75" bestFit="1" customWidth="1"/>
    <col min="12" max="12" width="13.125" customWidth="1"/>
    <col min="13" max="13" width="12" customWidth="1"/>
    <col min="14" max="14" width="11" customWidth="1"/>
    <col min="15" max="15" width="14.625" customWidth="1"/>
    <col min="16" max="16" width="14.375" customWidth="1"/>
    <col min="17" max="17" width="13.75" customWidth="1"/>
    <col min="18" max="18" width="14.125" customWidth="1"/>
    <col min="19" max="20" width="13.125" customWidth="1"/>
    <col min="21" max="23" width="10.625" customWidth="1"/>
    <col min="24" max="24" width="9.5" bestFit="1" customWidth="1"/>
  </cols>
  <sheetData>
    <row r="1" spans="1:36" x14ac:dyDescent="0.25">
      <c r="A1" s="1" t="s">
        <v>53</v>
      </c>
      <c r="B1" s="1" t="s">
        <v>48</v>
      </c>
      <c r="C1" s="1" t="s">
        <v>51</v>
      </c>
      <c r="D1" s="1" t="s">
        <v>52</v>
      </c>
      <c r="E1" s="2" t="s">
        <v>21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7</v>
      </c>
      <c r="L1" s="1" t="s">
        <v>15</v>
      </c>
      <c r="M1" s="2" t="s">
        <v>8</v>
      </c>
      <c r="N1" s="2" t="s">
        <v>9</v>
      </c>
      <c r="O1" s="2" t="s">
        <v>50</v>
      </c>
      <c r="P1" s="7" t="s">
        <v>20</v>
      </c>
      <c r="Q1" s="10" t="s">
        <v>19</v>
      </c>
      <c r="R1" s="10" t="s">
        <v>30</v>
      </c>
    </row>
    <row r="2" spans="1:36" x14ac:dyDescent="0.25">
      <c r="A2" s="22"/>
      <c r="B2" s="37">
        <f ca="1">SUM($B$11:$B$34)+SUM(R11:R34)</f>
        <v>-436502.07965729572</v>
      </c>
      <c r="C2" s="37">
        <f ca="1">SUM(A11:A34)+SUM(S11:S34)</f>
        <v>-1435.9571665301348</v>
      </c>
      <c r="D2" s="37">
        <f ca="1">IF(ISNUMBER(SUM(D11:D34)+SUM(P11:P34)),SUM(D11:D34)+SUM(P11:P34),0)</f>
        <v>-78470.774936058588</v>
      </c>
      <c r="E2" s="37">
        <f>SUMIF(C11:C50,"&gt;0",C11:C50)+SUMIF(Q11:Q50,"&gt;0",Q11:Q50)</f>
        <v>30</v>
      </c>
      <c r="F2" s="22" t="str">
        <f>[1]!'101090`644'</f>
        <v>台指期090</v>
      </c>
      <c r="G2" s="23">
        <f>[1]!'101090`743'</f>
        <v>12064</v>
      </c>
      <c r="H2" s="23">
        <f>[1]!'101090`744'</f>
        <v>12067</v>
      </c>
      <c r="I2" s="23">
        <f>[1]!'101090`205'</f>
        <v>12067</v>
      </c>
      <c r="J2" s="23">
        <f>[1]!'101090`1003'</f>
        <v>29</v>
      </c>
      <c r="K2" s="24">
        <f>[1]!'101090`1004'</f>
        <v>0.24090300000000001</v>
      </c>
      <c r="L2" s="23" t="e">
        <f>I2-I3</f>
        <v>#VALUE!</v>
      </c>
      <c r="M2" s="29">
        <f>ThirdWednesday("2020/09/01")</f>
        <v>44090</v>
      </c>
      <c r="N2" s="30">
        <f ca="1">IF(TODAY()=M2,$S$2/252,(COUNTIF(工作日!$B$2:$B$500,"&lt;="&amp;M2)-COUNTIF(工作日!$B$2:$B$500,"&lt;"&amp;TODAY())-$S$2)/252)</f>
        <v>0.18253968253968253</v>
      </c>
      <c r="O2" s="30">
        <f ca="1">IF(TODAY()=M2,0.001/252,(COUNTIF(工作日!$B$2:$B$133,"&lt;="&amp;M2)-COUNTIF(工作日!$B$2:$B$133,"&lt;="&amp;TODAY())-$S$2)/252)</f>
        <v>0.17857142857142858</v>
      </c>
      <c r="P2" s="8">
        <f>I2*0.01</f>
        <v>120.67</v>
      </c>
      <c r="Q2" s="11"/>
      <c r="R2" s="11">
        <f ca="1">SUM($U$11:$U$37)+SUM($V$11:$V$37)</f>
        <v>-4643.4813965835228</v>
      </c>
      <c r="S2" s="21">
        <f ca="1">IF(AND(TEXT(NOW(),"hh:mm")&gt;$U$3,TEXT(NOW(),"hh:mm")&lt;$U$2),0,VALUE(TEXT(NOW()-$U$2,"h:mm")/$X$2))</f>
        <v>0</v>
      </c>
      <c r="T2" s="21"/>
      <c r="U2" s="40" t="str">
        <f>TEXT("08:45:00 AM","h:mm")</f>
        <v>8:45</v>
      </c>
      <c r="V2" s="40"/>
      <c r="W2" s="40" t="str">
        <f>TEXT("08:45:00 AM","h:mm")</f>
        <v>8:45</v>
      </c>
      <c r="X2" s="35">
        <v>0.20833333333333334</v>
      </c>
      <c r="Y2" s="40" t="str">
        <f>TEXT("01:45:00 PM","h:mm")</f>
        <v>13:45</v>
      </c>
    </row>
    <row r="3" spans="1:36" x14ac:dyDescent="0.25">
      <c r="A3" s="25">
        <v>0</v>
      </c>
      <c r="B3" s="38">
        <f>A3*I2*200</f>
        <v>0</v>
      </c>
      <c r="C3" s="38"/>
      <c r="D3" s="38"/>
      <c r="F3" s="25" t="str">
        <f>[1]!'101999`644'</f>
        <v>台指期</v>
      </c>
      <c r="G3" s="26" t="str">
        <f>[1]!'101999`743'</f>
        <v>-</v>
      </c>
      <c r="H3" s="26" t="str">
        <f>[1]!'101999`744'</f>
        <v>-</v>
      </c>
      <c r="I3" s="26" t="str">
        <f>[1]!'101999`205'</f>
        <v>-</v>
      </c>
      <c r="J3" s="26">
        <f>[1]!'101999`1003'</f>
        <v>0</v>
      </c>
      <c r="K3" s="27">
        <f>[1]!'101999`1004'</f>
        <v>0</v>
      </c>
      <c r="L3" s="26"/>
      <c r="M3" s="26"/>
      <c r="N3" s="31"/>
      <c r="O3" s="31"/>
      <c r="P3" s="8"/>
      <c r="S3" s="9"/>
      <c r="T3" s="9"/>
      <c r="U3" s="40" t="str">
        <f>TEXT("03:00:00 PM","h:mm")</f>
        <v>15:00</v>
      </c>
    </row>
    <row r="4" spans="1:36" x14ac:dyDescent="0.25">
      <c r="A4" s="25"/>
      <c r="B4" s="38">
        <f ca="1">IF(ISNUMBER(B2+B3),B2+B3,0)</f>
        <v>-436502.07965729572</v>
      </c>
      <c r="C4" s="38"/>
      <c r="D4" s="39">
        <f ca="1">B4/D2/100</f>
        <v>5.5626069707222427E-2</v>
      </c>
      <c r="F4" s="22" t="str">
        <f>[1]!'102090`644'</f>
        <v>電子期090</v>
      </c>
      <c r="G4" s="23">
        <f>[1]!'102090`743'</f>
        <v>556.25</v>
      </c>
      <c r="H4" s="23">
        <f>[1]!'102090`744'</f>
        <v>558.54999999999995</v>
      </c>
      <c r="I4" s="23">
        <f>[1]!'102090`205'</f>
        <v>556.75</v>
      </c>
      <c r="J4" s="23">
        <f>[1]!'102090`1003'</f>
        <v>-16</v>
      </c>
      <c r="K4" s="24">
        <f>[1]!'102090`1004'</f>
        <v>-2.793539</v>
      </c>
      <c r="L4" s="26" t="e">
        <f>I4-I5</f>
        <v>#VALUE!</v>
      </c>
      <c r="M4" s="29">
        <f>ThirdWednesday("2020/09/01")</f>
        <v>44090</v>
      </c>
      <c r="N4" s="30">
        <f ca="1">IF(TODAY()=M4,$S$2/252,(COUNTIF(工作日!$B$2:$B$133,"&lt;="&amp;M4)-COUNTIF(工作日!$B$2:$B$133,"&lt;"&amp;TODAY())-$S$2)/252)</f>
        <v>0.18253968253968253</v>
      </c>
      <c r="O4" s="30">
        <f ca="1">(COUNTIF(工作日!$B$2:$B$133,"&lt;="&amp;M4)-COUNTIF(工作日!$B$2:$B$133,"&lt;="&amp;TODAY())-$S$2)/252</f>
        <v>0.17857142857142858</v>
      </c>
      <c r="P4" s="8"/>
      <c r="Q4">
        <f ca="1">COUNTIF(工作日!$B$2:$B$2,"&lt;="&amp;M2)-COUNTIF(工作日!$B$2:$B$2,"&lt;"&amp;TODAY())</f>
        <v>1</v>
      </c>
      <c r="S4" s="9"/>
      <c r="T4" s="9"/>
    </row>
    <row r="5" spans="1:36" x14ac:dyDescent="0.25">
      <c r="F5" s="25" t="str">
        <f>[1]!'102999`644'</f>
        <v>電子期</v>
      </c>
      <c r="G5" s="26" t="str">
        <f>[1]!'102999`743'</f>
        <v>-</v>
      </c>
      <c r="H5" s="26" t="str">
        <f>[1]!'102999`744'</f>
        <v>-</v>
      </c>
      <c r="I5" s="26" t="str">
        <f>[1]!'102999`205'</f>
        <v>-</v>
      </c>
      <c r="J5" s="26">
        <f>[1]!'102999`1003'</f>
        <v>0</v>
      </c>
      <c r="K5" s="27">
        <f>[1]!'102999`1004'</f>
        <v>0</v>
      </c>
      <c r="L5" s="26"/>
      <c r="M5" s="26"/>
      <c r="N5" s="31"/>
      <c r="O5" s="31"/>
      <c r="P5" s="8"/>
      <c r="S5" s="9"/>
      <c r="T5" s="9"/>
    </row>
    <row r="6" spans="1:36" x14ac:dyDescent="0.25">
      <c r="F6" s="22" t="str">
        <f>[1]!'103090`644'</f>
        <v>金融期090</v>
      </c>
      <c r="G6" s="23">
        <f>[1]!'103090`743'</f>
        <v>1251.2</v>
      </c>
      <c r="H6" s="23">
        <f>[1]!'103090`744'</f>
        <v>1255</v>
      </c>
      <c r="I6" s="23" t="str">
        <f>[1]!'103090`205'</f>
        <v>-</v>
      </c>
      <c r="J6" s="23">
        <f>[1]!'103090`1003'</f>
        <v>0</v>
      </c>
      <c r="K6" s="24">
        <f>[1]!'103090`1004'</f>
        <v>0</v>
      </c>
      <c r="L6" s="26" t="e">
        <f>I6-I7</f>
        <v>#VALUE!</v>
      </c>
      <c r="M6" s="32">
        <f>M4</f>
        <v>44090</v>
      </c>
      <c r="N6" s="30">
        <f ca="1">IF(TODAY()=M6,$S$2/252,(COUNTIF(工作日!$B$2:$B$133,"&lt;="&amp;M6)-COUNTIF(工作日!$B$2:$B$133,"&lt;"&amp;TODAY())-$S$2)/252)</f>
        <v>0.18253968253968253</v>
      </c>
      <c r="O6" s="30">
        <f ca="1">(COUNTIF(工作日!$B$2:$B$133,"&lt;="&amp;M6)-COUNTIF(工作日!$B$2:$B$133,"&lt;="&amp;TODAY())-$S$2)/252</f>
        <v>0.17857142857142858</v>
      </c>
      <c r="P6" s="8"/>
      <c r="S6" s="9"/>
      <c r="T6" s="9"/>
    </row>
    <row r="7" spans="1:36" x14ac:dyDescent="0.25">
      <c r="F7" s="25" t="str">
        <f>[1]!'103999`644'</f>
        <v>金融期</v>
      </c>
      <c r="G7" s="26" t="str">
        <f>[1]!'103999`743'</f>
        <v>-</v>
      </c>
      <c r="H7" s="26" t="str">
        <f>[1]!'103999`744'</f>
        <v>-</v>
      </c>
      <c r="I7" s="26">
        <f>[1]!'103999`205'</f>
        <v>1283.28</v>
      </c>
      <c r="J7" s="26">
        <f>[1]!'103999`1003'</f>
        <v>3.57</v>
      </c>
      <c r="K7" s="27">
        <f>[1]!'103999`1004'</f>
        <v>0.27896900000000002</v>
      </c>
      <c r="L7" s="28"/>
      <c r="M7" s="33"/>
      <c r="N7" s="34"/>
      <c r="O7" s="34"/>
      <c r="P7" s="8"/>
    </row>
    <row r="8" spans="1:36" x14ac:dyDescent="0.25">
      <c r="D8" s="9"/>
      <c r="U8" t="s">
        <v>0</v>
      </c>
      <c r="W8" t="s">
        <v>0</v>
      </c>
    </row>
    <row r="9" spans="1:36" ht="17.25" thickBot="1" x14ac:dyDescent="0.3">
      <c r="A9" s="310" t="s">
        <v>1</v>
      </c>
      <c r="B9" s="311"/>
      <c r="C9" s="311"/>
      <c r="D9" s="311"/>
      <c r="E9" s="311"/>
      <c r="F9" s="311"/>
      <c r="G9" s="311"/>
      <c r="H9" s="311"/>
      <c r="I9" s="312"/>
      <c r="J9" s="16" t="s">
        <v>2950</v>
      </c>
      <c r="K9" s="310" t="s">
        <v>2</v>
      </c>
      <c r="L9" s="311"/>
      <c r="M9" s="311"/>
      <c r="N9" s="311"/>
      <c r="O9" s="311"/>
      <c r="P9" s="311"/>
      <c r="Q9" s="311"/>
      <c r="R9" s="311"/>
      <c r="S9" s="312"/>
    </row>
    <row r="10" spans="1:36" ht="17.25" thickBot="1" x14ac:dyDescent="0.3">
      <c r="A10" s="13" t="s">
        <v>49</v>
      </c>
      <c r="B10" s="13" t="s">
        <v>48</v>
      </c>
      <c r="C10" s="13" t="s">
        <v>21</v>
      </c>
      <c r="D10" s="13" t="s">
        <v>18</v>
      </c>
      <c r="E10" s="12" t="s">
        <v>3</v>
      </c>
      <c r="F10" s="12" t="s">
        <v>4</v>
      </c>
      <c r="G10" s="12" t="s">
        <v>5</v>
      </c>
      <c r="H10" s="12" t="s">
        <v>16</v>
      </c>
      <c r="I10" s="12" t="s">
        <v>17</v>
      </c>
      <c r="J10" s="16" t="s">
        <v>6</v>
      </c>
      <c r="K10" s="12" t="s">
        <v>3</v>
      </c>
      <c r="L10" s="12" t="s">
        <v>4</v>
      </c>
      <c r="M10" s="12" t="s">
        <v>5</v>
      </c>
      <c r="N10" s="12" t="s">
        <v>16</v>
      </c>
      <c r="O10" s="12" t="s">
        <v>17</v>
      </c>
      <c r="P10" s="13" t="s">
        <v>18</v>
      </c>
      <c r="Q10" s="13" t="s">
        <v>21</v>
      </c>
      <c r="R10" s="13" t="s">
        <v>48</v>
      </c>
      <c r="S10" s="13" t="s">
        <v>49</v>
      </c>
      <c r="T10" s="46"/>
      <c r="U10" s="44" t="s">
        <v>62</v>
      </c>
      <c r="V10" s="47" t="s">
        <v>63</v>
      </c>
      <c r="X10" s="4">
        <v>-0.03</v>
      </c>
      <c r="Y10" s="5">
        <f>X10+0.5%</f>
        <v>-2.4999999999999998E-2</v>
      </c>
      <c r="Z10" s="5">
        <f t="shared" ref="Z10:AJ10" si="0">Y10+0.5%</f>
        <v>-1.9999999999999997E-2</v>
      </c>
      <c r="AA10" s="5">
        <f t="shared" si="0"/>
        <v>-1.4999999999999996E-2</v>
      </c>
      <c r="AB10" s="5">
        <f t="shared" si="0"/>
        <v>-9.999999999999995E-3</v>
      </c>
      <c r="AC10" s="5">
        <f t="shared" si="0"/>
        <v>-4.9999999999999949E-3</v>
      </c>
      <c r="AD10" s="5">
        <f t="shared" si="0"/>
        <v>0</v>
      </c>
      <c r="AE10" s="5">
        <f t="shared" si="0"/>
        <v>5.0000000000000001E-3</v>
      </c>
      <c r="AF10" s="5">
        <f t="shared" si="0"/>
        <v>0.01</v>
      </c>
      <c r="AG10" s="5">
        <f t="shared" si="0"/>
        <v>1.4999999999999999E-2</v>
      </c>
      <c r="AH10" s="5">
        <f>AG10+0.5%</f>
        <v>0.02</v>
      </c>
      <c r="AI10" s="5">
        <f t="shared" si="0"/>
        <v>2.5000000000000001E-2</v>
      </c>
      <c r="AJ10" s="5">
        <f t="shared" si="0"/>
        <v>3.0000000000000002E-2</v>
      </c>
    </row>
    <row r="11" spans="1:36" x14ac:dyDescent="0.25">
      <c r="A11" s="36">
        <f t="shared" ref="A11:A55" ca="1" si="1">(GBSOption("C",$I$2,$J11, $N$2,$H11, 0,0)-GBSOption("C",$I$2,$J11, $O$2,$H11, 0,0))*$C11*50*-1</f>
        <v>0</v>
      </c>
      <c r="B11" s="14">
        <f t="shared" ref="B11:B55" ca="1" si="2">GBSGreeks("d", "C",$I$2,$J11,$N$2,$H11, 0,0)*50*$I$2*$C11</f>
        <v>0</v>
      </c>
      <c r="C11" s="14"/>
      <c r="D11" s="14">
        <f t="shared" ref="D11:D55" ca="1" si="3">GBSGreeks("g", "C",$I$2,$J11,$N$2,$H11, 0,0)*$P$2*50*$I$2*$C11*-1</f>
        <v>0</v>
      </c>
      <c r="E11" s="17">
        <f>[3]!'WTXOU0;6800C`267'</f>
        <v>5130</v>
      </c>
      <c r="F11" s="17">
        <f>[3]!'WTXOU0;6800C`268'</f>
        <v>5380</v>
      </c>
      <c r="G11" s="17" t="str">
        <f>[3]!'WTXOU0;6800C`205'</f>
        <v>-</v>
      </c>
      <c r="H11" s="19">
        <f t="shared" ref="H11:H37" ca="1" si="4">IF(ISNUMBER(GBSImpliedVol("C",E11,$G$2,$J11,$N$2,0,0)),GBSImpliedVol("C",E11,$G$2,$J11,$N$2,0,0),0.6)</f>
        <v>1.610321044921875E-4</v>
      </c>
      <c r="I11" s="19">
        <f t="shared" ref="I11:I37" ca="1" si="5">IF(ISNUMBER(GBSImpliedVol("C",F11,$H$2,$J11,$N$2,0,0)),GBSImpliedVol("C",F11,$H$2,$J11,$N$2,0,0),0.6)</f>
        <v>0.92040310363769529</v>
      </c>
      <c r="J11" s="18">
        <v>6800</v>
      </c>
      <c r="K11" s="17">
        <f>[3]!'WTXOU0;6800P`267'</f>
        <v>4</v>
      </c>
      <c r="L11" s="17">
        <f>[3]!'WTXOU0;6800P`268'</f>
        <v>7.5</v>
      </c>
      <c r="M11" s="17" t="str">
        <f>[3]!'WTXOU0;6800P`205'</f>
        <v>-</v>
      </c>
      <c r="N11" s="19">
        <f t="shared" ref="N11:N37" ca="1" si="6">IF(ISNUMBER(GBSImpliedVol("P",K11,$G$2,$J11,$N$2,0,0)),GBSImpliedVol("P",K11,$G$2,$J11,$N$2,0,0),0.6)</f>
        <v>0.53516846008300789</v>
      </c>
      <c r="O11" s="19">
        <f t="shared" ref="O11:O37" ca="1" si="7">IF(ISNUMBER(GBSImpliedVol("P",L11,$H$2,$J11,$N$2,0,0)),GBSImpliedVol("P",L11,$H$2,$J11,$N$2,0,0),0.6)</f>
        <v>0.5774026763916017</v>
      </c>
      <c r="P11" s="14">
        <f t="shared" ref="P11:P55" ca="1" si="8">GBSGreeks("g", "P",$I$2,$J11,$N$2,$N11, 0,0)*$P$2*50*$I$2*$Q11*-1</f>
        <v>0</v>
      </c>
      <c r="Q11" s="14">
        <v>0</v>
      </c>
      <c r="R11" s="14">
        <f t="shared" ref="R11:R37" ca="1" si="9">GBSGreeks("d", "P",$I$2,$J11,$N$2,$N11, 0,0)*50*$I$2*Q11</f>
        <v>0</v>
      </c>
      <c r="S11" s="36">
        <f t="shared" ref="S11:S37" ca="1" si="10">(GBSOption("P",$I$2,$J11,$N$2,N11,0,0)-GBSOption("P",$I$2,$J11,$O$2,N11,0,0))*Q11*50*-1</f>
        <v>0</v>
      </c>
      <c r="T11" s="36"/>
      <c r="U11" s="48">
        <f t="shared" ref="U11:U55" ca="1" si="11">(GBSOption("C",$I$2,$J11,$N$2,$H11,0, 0)-GBSOption("C",$I$2,$J11,$N$2,$H11+0.01,0, 0))*50*$C11</f>
        <v>0</v>
      </c>
      <c r="V11" s="48">
        <f t="shared" ref="V11:V55" ca="1" si="12">(GBSOption("P",$I$2,$J11,$N$2,$N11,0, 0)-GBSOption("P",$I$2,$J11,$N$2,$N11+0.01,0, 0))*50*$Q11</f>
        <v>0</v>
      </c>
      <c r="W11">
        <f t="shared" ref="W11:W20" si="13">J21</f>
        <v>8800</v>
      </c>
      <c r="X11" s="6">
        <f t="shared" ref="X11:AJ20" ca="1" si="14">GBSOption($I$2,$I$2*(1+X$10),$J21,$N$2,IF($W$8="C",$H21,$N21),0,0)</f>
        <v>30.992240080756876</v>
      </c>
      <c r="Y11" s="6">
        <f t="shared" ca="1" si="14"/>
        <v>28.819418142200433</v>
      </c>
      <c r="Z11" s="6">
        <f t="shared" ca="1" si="14"/>
        <v>26.788782500728882</v>
      </c>
      <c r="AA11" s="6">
        <f t="shared" ca="1" si="14"/>
        <v>24.891932181622352</v>
      </c>
      <c r="AB11" s="6">
        <f t="shared" ca="1" si="14"/>
        <v>23.120883458223336</v>
      </c>
      <c r="AC11" s="6">
        <f t="shared" ca="1" si="14"/>
        <v>21.468056035688765</v>
      </c>
      <c r="AD11" s="6">
        <f t="shared" ca="1" si="14"/>
        <v>19.926259058639928</v>
      </c>
      <c r="AE11" s="6">
        <f t="shared" ca="1" si="14"/>
        <v>18.48867701830833</v>
      </c>
      <c r="AF11" s="6">
        <f t="shared" ca="1" si="14"/>
        <v>17.148855628242362</v>
      </c>
      <c r="AG11" s="6">
        <f t="shared" ca="1" si="14"/>
        <v>15.900687731312667</v>
      </c>
      <c r="AH11" s="6">
        <f t="shared" ca="1" si="14"/>
        <v>14.738399294577233</v>
      </c>
      <c r="AI11" s="6">
        <f t="shared" ca="1" si="14"/>
        <v>13.656535542710605</v>
      </c>
      <c r="AJ11" s="6">
        <f t="shared" ca="1" si="14"/>
        <v>12.649947275063882</v>
      </c>
    </row>
    <row r="12" spans="1:36" x14ac:dyDescent="0.25">
      <c r="A12" s="36">
        <f t="shared" ca="1" si="1"/>
        <v>0</v>
      </c>
      <c r="B12" s="14">
        <f t="shared" ca="1" si="2"/>
        <v>0</v>
      </c>
      <c r="C12" s="14"/>
      <c r="D12" s="14">
        <f t="shared" ca="1" si="3"/>
        <v>0</v>
      </c>
      <c r="E12" s="17">
        <f>[3]!'WTXOU0;7000C`267'</f>
        <v>4930</v>
      </c>
      <c r="F12" s="17">
        <f>[3]!'WTXOU0;7000C`268'</f>
        <v>5180</v>
      </c>
      <c r="G12" s="17" t="str">
        <f>[3]!'WTXOU0;7000C`205'</f>
        <v>-</v>
      </c>
      <c r="H12" s="19">
        <f t="shared" ca="1" si="4"/>
        <v>1.610321044921875E-4</v>
      </c>
      <c r="I12" s="19">
        <f t="shared" ca="1" si="5"/>
        <v>0.88134255676269546</v>
      </c>
      <c r="J12" s="18">
        <f>J11+200</f>
        <v>7000</v>
      </c>
      <c r="K12" s="17">
        <f>[3]!'WTXOU0;7000P`267'</f>
        <v>7</v>
      </c>
      <c r="L12" s="17">
        <f>[3]!'WTXOU0;7000P`268'</f>
        <v>10</v>
      </c>
      <c r="M12" s="17" t="str">
        <f>[3]!'WTXOU0;7000P`205'</f>
        <v>-</v>
      </c>
      <c r="N12" s="19">
        <f t="shared" ca="1" si="6"/>
        <v>0.54578804626464839</v>
      </c>
      <c r="O12" s="19">
        <f t="shared" ca="1" si="7"/>
        <v>0.57203185119628919</v>
      </c>
      <c r="P12" s="14">
        <f t="shared" ca="1" si="8"/>
        <v>0</v>
      </c>
      <c r="Q12" s="14"/>
      <c r="R12" s="14">
        <f t="shared" ca="1" si="9"/>
        <v>0</v>
      </c>
      <c r="S12" s="36">
        <f t="shared" ca="1" si="10"/>
        <v>0</v>
      </c>
      <c r="T12" s="36"/>
      <c r="U12" s="49">
        <f t="shared" ca="1" si="11"/>
        <v>0</v>
      </c>
      <c r="V12" s="49">
        <f t="shared" ca="1" si="12"/>
        <v>0</v>
      </c>
      <c r="W12">
        <f t="shared" si="13"/>
        <v>9000</v>
      </c>
      <c r="X12" s="6">
        <f t="shared" ca="1" si="14"/>
        <v>36.587437745221138</v>
      </c>
      <c r="Y12" s="6">
        <f t="shared" ca="1" si="14"/>
        <v>33.999137982432799</v>
      </c>
      <c r="Z12" s="6">
        <f t="shared" ca="1" si="14"/>
        <v>31.580585596595416</v>
      </c>
      <c r="AA12" s="6">
        <f t="shared" ca="1" si="14"/>
        <v>29.321844890122652</v>
      </c>
      <c r="AB12" s="6">
        <f t="shared" ca="1" si="14"/>
        <v>27.213456445976263</v>
      </c>
      <c r="AC12" s="6">
        <f t="shared" ca="1" si="14"/>
        <v>25.246423536430239</v>
      </c>
      <c r="AD12" s="6">
        <f t="shared" ca="1" si="14"/>
        <v>23.412198054910355</v>
      </c>
      <c r="AE12" s="6">
        <f t="shared" ca="1" si="14"/>
        <v>21.702666075982961</v>
      </c>
      <c r="AF12" s="6">
        <f t="shared" ca="1" si="14"/>
        <v>20.110133141014554</v>
      </c>
      <c r="AG12" s="6">
        <f t="shared" ca="1" si="14"/>
        <v>18.627309359521178</v>
      </c>
      <c r="AH12" s="6">
        <f t="shared" ca="1" si="14"/>
        <v>17.247294408807399</v>
      </c>
      <c r="AI12" s="6">
        <f t="shared" ca="1" si="14"/>
        <v>15.963562507241427</v>
      </c>
      <c r="AJ12" s="6">
        <f t="shared" ca="1" si="14"/>
        <v>14.769947429447821</v>
      </c>
    </row>
    <row r="13" spans="1:36" x14ac:dyDescent="0.25">
      <c r="A13" s="36">
        <f t="shared" ca="1" si="1"/>
        <v>0</v>
      </c>
      <c r="B13" s="14">
        <f t="shared" ca="1" si="2"/>
        <v>0</v>
      </c>
      <c r="C13" s="14"/>
      <c r="D13" s="14">
        <f t="shared" ca="1" si="3"/>
        <v>0</v>
      </c>
      <c r="E13" s="17">
        <f>[3]!'WTXOU0;7200C`267'</f>
        <v>4730</v>
      </c>
      <c r="F13" s="17">
        <f>[3]!'WTXOU0;7200C`268'</f>
        <v>4980</v>
      </c>
      <c r="G13" s="20" t="str">
        <f>[3]!'WTXOU0;7200C`205'</f>
        <v>-</v>
      </c>
      <c r="H13" s="19">
        <f t="shared" ca="1" si="4"/>
        <v>1.610321044921875E-4</v>
      </c>
      <c r="I13" s="19">
        <f t="shared" ca="1" si="5"/>
        <v>0.84325852355957043</v>
      </c>
      <c r="J13" s="18">
        <f t="shared" ref="J13:J27" si="15">J12+200</f>
        <v>7200</v>
      </c>
      <c r="K13" s="17">
        <f>[3]!'WTXOU0;7200P`267'</f>
        <v>7</v>
      </c>
      <c r="L13" s="17">
        <f>[3]!'WTXOU0;7200P`268'</f>
        <v>11</v>
      </c>
      <c r="M13" s="17" t="str">
        <f>[3]!'WTXOU0;7200P`205'</f>
        <v>-</v>
      </c>
      <c r="N13" s="19">
        <f t="shared" ca="1" si="6"/>
        <v>0.52003249816894537</v>
      </c>
      <c r="O13" s="19">
        <f t="shared" ca="1" si="7"/>
        <v>0.55237951354980475</v>
      </c>
      <c r="P13" s="14">
        <f t="shared" ca="1" si="8"/>
        <v>0</v>
      </c>
      <c r="Q13" s="14"/>
      <c r="R13" s="14">
        <f t="shared" ca="1" si="9"/>
        <v>0</v>
      </c>
      <c r="S13" s="36">
        <f t="shared" ca="1" si="10"/>
        <v>0</v>
      </c>
      <c r="T13" s="36"/>
      <c r="U13" s="49">
        <f t="shared" ca="1" si="11"/>
        <v>0</v>
      </c>
      <c r="V13" s="49">
        <f t="shared" ca="1" si="12"/>
        <v>0</v>
      </c>
      <c r="W13">
        <f t="shared" si="13"/>
        <v>9200</v>
      </c>
      <c r="X13" s="6">
        <f t="shared" ca="1" si="14"/>
        <v>45.037311585340497</v>
      </c>
      <c r="Y13" s="6">
        <f t="shared" ca="1" si="14"/>
        <v>41.867853135953006</v>
      </c>
      <c r="Z13" s="6">
        <f t="shared" ca="1" si="14"/>
        <v>38.903544624470008</v>
      </c>
      <c r="AA13" s="6">
        <f t="shared" ca="1" si="14"/>
        <v>36.132702904738295</v>
      </c>
      <c r="AB13" s="6">
        <f t="shared" ca="1" si="14"/>
        <v>33.544170787718635</v>
      </c>
      <c r="AC13" s="6">
        <f t="shared" ca="1" si="14"/>
        <v>31.127305532760428</v>
      </c>
      <c r="AD13" s="6">
        <f t="shared" ca="1" si="14"/>
        <v>28.87196643158007</v>
      </c>
      <c r="AE13" s="6">
        <f t="shared" ca="1" si="14"/>
        <v>26.76850161955138</v>
      </c>
      <c r="AF13" s="6">
        <f t="shared" ca="1" si="14"/>
        <v>24.807734241625393</v>
      </c>
      <c r="AG13" s="6">
        <f t="shared" ca="1" si="14"/>
        <v>22.980948092572365</v>
      </c>
      <c r="AH13" s="6">
        <f t="shared" ca="1" si="14"/>
        <v>21.279872843422424</v>
      </c>
      <c r="AI13" s="6">
        <f t="shared" ca="1" si="14"/>
        <v>19.696668958119314</v>
      </c>
      <c r="AJ13" s="6">
        <f t="shared" ca="1" si="14"/>
        <v>18.223912396491905</v>
      </c>
    </row>
    <row r="14" spans="1:36" x14ac:dyDescent="0.25">
      <c r="A14" s="36">
        <f t="shared" ca="1" si="1"/>
        <v>0</v>
      </c>
      <c r="B14" s="14">
        <f t="shared" ca="1" si="2"/>
        <v>0</v>
      </c>
      <c r="C14" s="14"/>
      <c r="D14" s="14">
        <f t="shared" ca="1" si="3"/>
        <v>0</v>
      </c>
      <c r="E14" s="17">
        <f>[3]!'WTXOU0;7400C`267'</f>
        <v>4530</v>
      </c>
      <c r="F14" s="17">
        <f>[3]!'WTXOU0;7400C`268'</f>
        <v>4780</v>
      </c>
      <c r="G14" s="17" t="str">
        <f>[3]!'WTXOU0;7400C`205'</f>
        <v>-</v>
      </c>
      <c r="H14" s="19">
        <f t="shared" ca="1" si="4"/>
        <v>1.610321044921875E-4</v>
      </c>
      <c r="I14" s="19">
        <f t="shared" ca="1" si="5"/>
        <v>0.80615100402832041</v>
      </c>
      <c r="J14" s="18">
        <f t="shared" si="15"/>
        <v>7400</v>
      </c>
      <c r="K14" s="17">
        <f>[3]!'WTXOU0;7400P`267'</f>
        <v>8</v>
      </c>
      <c r="L14" s="17">
        <f>[3]!'WTXOU0;7400P`268'</f>
        <v>12</v>
      </c>
      <c r="M14" s="17" t="str">
        <f>[3]!'WTXOU0;7400P`205'</f>
        <v>-</v>
      </c>
      <c r="N14" s="19">
        <f t="shared" ca="1" si="6"/>
        <v>0.5035538299560548</v>
      </c>
      <c r="O14" s="19">
        <f t="shared" ca="1" si="7"/>
        <v>0.53248304748535158</v>
      </c>
      <c r="P14" s="14">
        <f t="shared" ca="1" si="8"/>
        <v>0</v>
      </c>
      <c r="Q14" s="14"/>
      <c r="R14" s="14">
        <f t="shared" ca="1" si="9"/>
        <v>0</v>
      </c>
      <c r="S14" s="36">
        <f t="shared" ca="1" si="10"/>
        <v>0</v>
      </c>
      <c r="T14" s="36"/>
      <c r="U14" s="49">
        <f t="shared" ca="1" si="11"/>
        <v>0</v>
      </c>
      <c r="V14" s="49">
        <f t="shared" ca="1" si="12"/>
        <v>0</v>
      </c>
      <c r="W14">
        <f t="shared" si="13"/>
        <v>9400</v>
      </c>
      <c r="X14" s="6">
        <f t="shared" ca="1" si="14"/>
        <v>26.426748511637804</v>
      </c>
      <c r="Y14" s="6">
        <f t="shared" ca="1" si="14"/>
        <v>24.070191422315673</v>
      </c>
      <c r="Z14" s="6">
        <f t="shared" ca="1" si="14"/>
        <v>21.907200318658074</v>
      </c>
      <c r="AA14" s="6">
        <f t="shared" ca="1" si="14"/>
        <v>19.923686430951157</v>
      </c>
      <c r="AB14" s="6">
        <f t="shared" ca="1" si="14"/>
        <v>18.106393362944424</v>
      </c>
      <c r="AC14" s="6">
        <f t="shared" ca="1" si="14"/>
        <v>16.442868338001432</v>
      </c>
      <c r="AD14" s="6">
        <f t="shared" ca="1" si="14"/>
        <v>14.921432143770087</v>
      </c>
      <c r="AE14" s="6">
        <f t="shared" ca="1" si="14"/>
        <v>13.531148109015716</v>
      </c>
      <c r="AF14" s="6">
        <f t="shared" ca="1" si="14"/>
        <v>12.261790418449843</v>
      </c>
      <c r="AG14" s="6">
        <f t="shared" ca="1" si="14"/>
        <v>11.103812043733456</v>
      </c>
      <c r="AH14" s="6">
        <f t="shared" ca="1" si="14"/>
        <v>10.048312541254457</v>
      </c>
      <c r="AI14" s="6">
        <f t="shared" ca="1" si="14"/>
        <v>9.0870059405020172</v>
      </c>
      <c r="AJ14" s="6">
        <f t="shared" ca="1" si="14"/>
        <v>8.2121889209172156</v>
      </c>
    </row>
    <row r="15" spans="1:36" x14ac:dyDescent="0.25">
      <c r="A15" s="36">
        <f t="shared" ca="1" si="1"/>
        <v>0</v>
      </c>
      <c r="B15" s="14">
        <f t="shared" ca="1" si="2"/>
        <v>0</v>
      </c>
      <c r="C15" s="14"/>
      <c r="D15" s="14">
        <f t="shared" ca="1" si="3"/>
        <v>0</v>
      </c>
      <c r="E15" s="17">
        <f>[3]!'WTXOU0;7600C`267'</f>
        <v>4330</v>
      </c>
      <c r="F15" s="17">
        <f>[3]!'WTXOU0;7600C`268'</f>
        <v>4580</v>
      </c>
      <c r="G15" s="17" t="str">
        <f>[3]!'WTXOU0;7600C`205'</f>
        <v>-</v>
      </c>
      <c r="H15" s="19">
        <f t="shared" ca="1" si="4"/>
        <v>1.610321044921875E-4</v>
      </c>
      <c r="I15" s="19">
        <f t="shared" ca="1" si="5"/>
        <v>0.76989793395996098</v>
      </c>
      <c r="J15" s="18">
        <f t="shared" si="15"/>
        <v>7600</v>
      </c>
      <c r="K15" s="17">
        <f>[3]!'WTXOU0;7600P`267'</f>
        <v>9</v>
      </c>
      <c r="L15" s="17">
        <f>[3]!'WTXOU0;7600P`268'</f>
        <v>13</v>
      </c>
      <c r="M15" s="17" t="str">
        <f>[3]!'WTXOU0;7600P`205'</f>
        <v>-</v>
      </c>
      <c r="N15" s="19">
        <f t="shared" ca="1" si="6"/>
        <v>0.48646484069824225</v>
      </c>
      <c r="O15" s="19">
        <f t="shared" ca="1" si="7"/>
        <v>0.51246451721191399</v>
      </c>
      <c r="P15" s="14">
        <f t="shared" ca="1" si="8"/>
        <v>0</v>
      </c>
      <c r="Q15" s="14"/>
      <c r="R15" s="14">
        <f t="shared" ca="1" si="9"/>
        <v>0</v>
      </c>
      <c r="S15" s="36">
        <f t="shared" ca="1" si="10"/>
        <v>0</v>
      </c>
      <c r="T15" s="36"/>
      <c r="U15" s="49">
        <f t="shared" ca="1" si="11"/>
        <v>0</v>
      </c>
      <c r="V15" s="49">
        <f t="shared" ca="1" si="12"/>
        <v>0</v>
      </c>
      <c r="W15">
        <f t="shared" si="13"/>
        <v>9600</v>
      </c>
      <c r="X15" s="6">
        <f t="shared" ca="1" si="14"/>
        <v>56.005748754666371</v>
      </c>
      <c r="Y15" s="6">
        <f t="shared" ca="1" si="14"/>
        <v>51.830193023786833</v>
      </c>
      <c r="Z15" s="6">
        <f t="shared" ca="1" si="14"/>
        <v>47.936585197222144</v>
      </c>
      <c r="AA15" s="6">
        <f t="shared" ca="1" si="14"/>
        <v>44.308636974493901</v>
      </c>
      <c r="AB15" s="6">
        <f t="shared" ca="1" si="14"/>
        <v>40.930750025239206</v>
      </c>
      <c r="AC15" s="6">
        <f t="shared" ca="1" si="14"/>
        <v>37.788009709961848</v>
      </c>
      <c r="AD15" s="6">
        <f t="shared" ca="1" si="14"/>
        <v>34.866176444401873</v>
      </c>
      <c r="AE15" s="6">
        <f t="shared" ca="1" si="14"/>
        <v>32.151674950579391</v>
      </c>
      <c r="AF15" s="6">
        <f t="shared" ca="1" si="14"/>
        <v>29.631581632214925</v>
      </c>
      <c r="AG15" s="6">
        <f t="shared" ca="1" si="14"/>
        <v>27.293610304822671</v>
      </c>
      <c r="AH15" s="6">
        <f t="shared" ca="1" si="14"/>
        <v>25.126096501916628</v>
      </c>
      <c r="AI15" s="6">
        <f t="shared" ca="1" si="14"/>
        <v>23.117980568506805</v>
      </c>
      <c r="AJ15" s="6">
        <f t="shared" ca="1" si="14"/>
        <v>21.258789741913102</v>
      </c>
    </row>
    <row r="16" spans="1:36" x14ac:dyDescent="0.25">
      <c r="A16" s="36">
        <f t="shared" ca="1" si="1"/>
        <v>0</v>
      </c>
      <c r="B16" s="14">
        <f t="shared" ca="1" si="2"/>
        <v>0</v>
      </c>
      <c r="C16" s="14"/>
      <c r="D16" s="14">
        <f t="shared" ca="1" si="3"/>
        <v>0</v>
      </c>
      <c r="E16" s="17">
        <f>[3]!'WTXOU0;7800C`267'</f>
        <v>4130</v>
      </c>
      <c r="F16" s="17">
        <f>[3]!'WTXOU0;7800C`268'</f>
        <v>4380</v>
      </c>
      <c r="G16" s="17" t="str">
        <f>[3]!'WTXOU0;7800C`205'</f>
        <v>-</v>
      </c>
      <c r="H16" s="19">
        <f t="shared" ca="1" si="4"/>
        <v>1.610321044921875E-4</v>
      </c>
      <c r="I16" s="19">
        <f t="shared" ca="1" si="5"/>
        <v>0.73449931335449226</v>
      </c>
      <c r="J16" s="18">
        <f t="shared" si="15"/>
        <v>7800</v>
      </c>
      <c r="K16" s="17">
        <f>[3]!'WTXOU0;7800P`267'</f>
        <v>10.5</v>
      </c>
      <c r="L16" s="17">
        <f>[3]!'WTXOU0;7800P`268'</f>
        <v>14.5</v>
      </c>
      <c r="M16" s="17" t="str">
        <f>[3]!'WTXOU0;7800P`205'</f>
        <v>-</v>
      </c>
      <c r="N16" s="19">
        <f t="shared" ca="1" si="6"/>
        <v>0.47181713562011718</v>
      </c>
      <c r="O16" s="19">
        <f t="shared" ca="1" si="7"/>
        <v>0.4947652069091798</v>
      </c>
      <c r="P16" s="14">
        <f t="shared" ca="1" si="8"/>
        <v>0</v>
      </c>
      <c r="Q16" s="14"/>
      <c r="R16" s="14">
        <f t="shared" ca="1" si="9"/>
        <v>0</v>
      </c>
      <c r="S16" s="36">
        <f t="shared" ca="1" si="10"/>
        <v>0</v>
      </c>
      <c r="T16" s="36"/>
      <c r="U16" s="49">
        <f t="shared" ca="1" si="11"/>
        <v>0</v>
      </c>
      <c r="V16" s="49">
        <f t="shared" ca="1" si="12"/>
        <v>0</v>
      </c>
      <c r="W16">
        <f t="shared" si="13"/>
        <v>9800</v>
      </c>
      <c r="X16" s="6">
        <f t="shared" ca="1" si="14"/>
        <v>65.972533039743681</v>
      </c>
      <c r="Y16" s="6">
        <f t="shared" ca="1" si="14"/>
        <v>61.000318752010422</v>
      </c>
      <c r="Z16" s="6">
        <f t="shared" ca="1" si="14"/>
        <v>56.36422217511921</v>
      </c>
      <c r="AA16" s="6">
        <f t="shared" ca="1" si="14"/>
        <v>52.045175612332535</v>
      </c>
      <c r="AB16" s="6">
        <f t="shared" ca="1" si="14"/>
        <v>48.024857213147421</v>
      </c>
      <c r="AC16" s="6">
        <f t="shared" ca="1" si="14"/>
        <v>44.285692805029107</v>
      </c>
      <c r="AD16" s="6">
        <f t="shared" ca="1" si="14"/>
        <v>40.810854266311779</v>
      </c>
      <c r="AE16" s="6">
        <f t="shared" ca="1" si="14"/>
        <v>37.584254724459853</v>
      </c>
      <c r="AF16" s="6">
        <f t="shared" ca="1" si="14"/>
        <v>34.590540866378788</v>
      </c>
      <c r="AG16" s="6">
        <f t="shared" ca="1" si="14"/>
        <v>31.815082646452641</v>
      </c>
      <c r="AH16" s="6">
        <f t="shared" ca="1" si="14"/>
        <v>29.243960673634636</v>
      </c>
      <c r="AI16" s="6">
        <f t="shared" ca="1" si="14"/>
        <v>26.863951551873928</v>
      </c>
      <c r="AJ16" s="6">
        <f t="shared" ca="1" si="14"/>
        <v>24.662511438932079</v>
      </c>
    </row>
    <row r="17" spans="1:36" x14ac:dyDescent="0.25">
      <c r="A17" s="36">
        <f t="shared" ca="1" si="1"/>
        <v>0</v>
      </c>
      <c r="B17" s="14">
        <f t="shared" ca="1" si="2"/>
        <v>0</v>
      </c>
      <c r="C17" s="14"/>
      <c r="D17" s="14">
        <f t="shared" ca="1" si="3"/>
        <v>0</v>
      </c>
      <c r="E17" s="17">
        <f>[3]!'WTXOU0;8000C`267'</f>
        <v>3930</v>
      </c>
      <c r="F17" s="17">
        <f>[3]!'WTXOU0;8000C`268'</f>
        <v>4190</v>
      </c>
      <c r="G17" s="17" t="str">
        <f>[3]!'WTXOU0;8000C`205'</f>
        <v>-</v>
      </c>
      <c r="H17" s="19">
        <f t="shared" ca="1" si="4"/>
        <v>1.610321044921875E-4</v>
      </c>
      <c r="I17" s="19">
        <f t="shared" ca="1" si="5"/>
        <v>0.71509110412597665</v>
      </c>
      <c r="J17" s="18">
        <f t="shared" si="15"/>
        <v>8000</v>
      </c>
      <c r="K17" s="17">
        <f>[3]!'WTXOU0;8000P`267'</f>
        <v>12.5</v>
      </c>
      <c r="L17" s="17">
        <f>[3]!'WTXOU0;8000P`268'</f>
        <v>16.5</v>
      </c>
      <c r="M17" s="17" t="str">
        <f>[3]!'WTXOU0;8000P`205'</f>
        <v>-</v>
      </c>
      <c r="N17" s="19">
        <f t="shared" ca="1" si="6"/>
        <v>0.45875626525878904</v>
      </c>
      <c r="O17" s="19">
        <f t="shared" ca="1" si="7"/>
        <v>0.47877479553222668</v>
      </c>
      <c r="P17" s="14">
        <f t="shared" ca="1" si="8"/>
        <v>0</v>
      </c>
      <c r="Q17" s="14"/>
      <c r="R17" s="14">
        <f t="shared" ca="1" si="9"/>
        <v>0</v>
      </c>
      <c r="S17" s="36">
        <f t="shared" ca="1" si="10"/>
        <v>0</v>
      </c>
      <c r="T17" s="36"/>
      <c r="U17" s="49">
        <f t="shared" ca="1" si="11"/>
        <v>0</v>
      </c>
      <c r="V17" s="49">
        <f t="shared" ca="1" si="12"/>
        <v>0</v>
      </c>
      <c r="W17">
        <f t="shared" si="13"/>
        <v>10000</v>
      </c>
      <c r="X17" s="6">
        <f t="shared" ca="1" si="14"/>
        <v>72.421387007668926</v>
      </c>
      <c r="Y17" s="6">
        <f t="shared" ca="1" si="14"/>
        <v>66.740865183759098</v>
      </c>
      <c r="Z17" s="6">
        <f t="shared" ca="1" si="14"/>
        <v>61.456246130376641</v>
      </c>
      <c r="AA17" s="6">
        <f t="shared" ca="1" si="14"/>
        <v>56.544806745354599</v>
      </c>
      <c r="AB17" s="6">
        <f t="shared" ca="1" si="14"/>
        <v>51.984665753303659</v>
      </c>
      <c r="AC17" s="6">
        <f t="shared" ca="1" si="14"/>
        <v>47.754796726973858</v>
      </c>
      <c r="AD17" s="6">
        <f t="shared" ca="1" si="14"/>
        <v>43.83503589127438</v>
      </c>
      <c r="AE17" s="6">
        <f t="shared" ca="1" si="14"/>
        <v>40.206085061812871</v>
      </c>
      <c r="AF17" s="6">
        <f t="shared" ca="1" si="14"/>
        <v>36.849510088144264</v>
      </c>
      <c r="AG17" s="6">
        <f t="shared" ca="1" si="14"/>
        <v>33.747735182970793</v>
      </c>
      <c r="AH17" s="6">
        <f t="shared" ca="1" si="14"/>
        <v>30.884033523103664</v>
      </c>
      <c r="AI17" s="6">
        <f t="shared" ca="1" si="14"/>
        <v>28.242514506931695</v>
      </c>
      <c r="AJ17" s="6">
        <f t="shared" ca="1" si="14"/>
        <v>25.808108047446687</v>
      </c>
    </row>
    <row r="18" spans="1:36" x14ac:dyDescent="0.25">
      <c r="A18" s="36">
        <f t="shared" ca="1" si="1"/>
        <v>0</v>
      </c>
      <c r="B18" s="14">
        <f t="shared" ca="1" si="2"/>
        <v>0</v>
      </c>
      <c r="C18" s="14"/>
      <c r="D18" s="14">
        <f t="shared" ca="1" si="3"/>
        <v>0</v>
      </c>
      <c r="E18" s="17">
        <f>[3]!'WTXOU0;8200C`267'</f>
        <v>3740</v>
      </c>
      <c r="F18" s="17">
        <f>[3]!'WTXOU0;8200C`268'</f>
        <v>3990</v>
      </c>
      <c r="G18" s="17" t="str">
        <f>[3]!'WTXOU0;8200C`205'</f>
        <v>-</v>
      </c>
      <c r="H18" s="19">
        <f t="shared" ca="1" si="4"/>
        <v>1.610321044921875E-4</v>
      </c>
      <c r="I18" s="19">
        <f t="shared" ca="1" si="5"/>
        <v>0.68066899719238294</v>
      </c>
      <c r="J18" s="18">
        <f t="shared" si="15"/>
        <v>8200</v>
      </c>
      <c r="K18" s="17">
        <f>[3]!'WTXOU0;8200P`267'</f>
        <v>14</v>
      </c>
      <c r="L18" s="17">
        <f>[3]!'WTXOU0;8200P`268'</f>
        <v>18</v>
      </c>
      <c r="M18" s="17" t="str">
        <f>[3]!'WTXOU0;8200P`205'</f>
        <v>-</v>
      </c>
      <c r="N18" s="19">
        <f t="shared" ca="1" si="6"/>
        <v>0.44178934020996097</v>
      </c>
      <c r="O18" s="19">
        <f t="shared" ca="1" si="7"/>
        <v>0.45985484313964842</v>
      </c>
      <c r="P18" s="14">
        <f t="shared" ca="1" si="8"/>
        <v>0</v>
      </c>
      <c r="Q18" s="14">
        <v>0</v>
      </c>
      <c r="R18" s="14">
        <f t="shared" ca="1" si="9"/>
        <v>0</v>
      </c>
      <c r="S18" s="36">
        <f t="shared" ca="1" si="10"/>
        <v>0</v>
      </c>
      <c r="T18" s="36"/>
      <c r="U18" s="49">
        <f t="shared" ca="1" si="11"/>
        <v>0</v>
      </c>
      <c r="V18" s="49">
        <f t="shared" ca="1" si="12"/>
        <v>0</v>
      </c>
      <c r="W18">
        <f t="shared" si="13"/>
        <v>10100</v>
      </c>
      <c r="X18" s="6">
        <f t="shared" ca="1" si="14"/>
        <v>17.952789329918954</v>
      </c>
      <c r="Y18" s="6">
        <f t="shared" ca="1" si="14"/>
        <v>15.579941107659165</v>
      </c>
      <c r="Z18" s="6">
        <f t="shared" ca="1" si="14"/>
        <v>13.493151518911066</v>
      </c>
      <c r="AA18" s="6">
        <f t="shared" ca="1" si="14"/>
        <v>11.662266022474871</v>
      </c>
      <c r="AB18" s="6">
        <f t="shared" ca="1" si="14"/>
        <v>10.059649450565152</v>
      </c>
      <c r="AC18" s="6">
        <f t="shared" ca="1" si="14"/>
        <v>8.6600744599459798</v>
      </c>
      <c r="AD18" s="6">
        <f t="shared" ca="1" si="14"/>
        <v>7.4405990645338509</v>
      </c>
      <c r="AE18" s="6">
        <f t="shared" ca="1" si="14"/>
        <v>6.3804364515219323</v>
      </c>
      <c r="AF18" s="6">
        <f t="shared" ca="1" si="14"/>
        <v>5.4608199612310564</v>
      </c>
      <c r="AG18" s="6">
        <f t="shared" ca="1" si="14"/>
        <v>4.6648657749022835</v>
      </c>
      <c r="AH18" s="6">
        <f t="shared" ca="1" si="14"/>
        <v>3.9774355156794683</v>
      </c>
      <c r="AI18" s="6">
        <f t="shared" ca="1" si="14"/>
        <v>3.3850006357636935</v>
      </c>
      <c r="AJ18" s="6">
        <f t="shared" ca="1" si="14"/>
        <v>2.8755101442351787</v>
      </c>
    </row>
    <row r="19" spans="1:36" x14ac:dyDescent="0.25">
      <c r="A19" s="36">
        <f t="shared" ca="1" si="1"/>
        <v>0</v>
      </c>
      <c r="B19" s="14">
        <f t="shared" ca="1" si="2"/>
        <v>0</v>
      </c>
      <c r="C19" s="14"/>
      <c r="D19" s="14">
        <f t="shared" ca="1" si="3"/>
        <v>0</v>
      </c>
      <c r="E19" s="17">
        <f>[3]!'WTXOU0;8400C`267'</f>
        <v>3540</v>
      </c>
      <c r="F19" s="17">
        <f>[3]!'WTXOU0;8400C`268'</f>
        <v>3790</v>
      </c>
      <c r="G19" s="17" t="str">
        <f>[3]!'WTXOU0;8400C`205'</f>
        <v>-</v>
      </c>
      <c r="H19" s="19">
        <f t="shared" ca="1" si="4"/>
        <v>1.610321044921875E-4</v>
      </c>
      <c r="I19" s="19">
        <f t="shared" ca="1" si="5"/>
        <v>0.64685721130371099</v>
      </c>
      <c r="J19" s="18">
        <f t="shared" si="15"/>
        <v>8400</v>
      </c>
      <c r="K19" s="17">
        <f>[3]!'WTXOU0;8400P`267'</f>
        <v>15.5</v>
      </c>
      <c r="L19" s="17">
        <f>[3]!'WTXOU0;8400P`268'</f>
        <v>20.5</v>
      </c>
      <c r="M19" s="17" t="str">
        <f>[3]!'WTXOU0;8400P`205'</f>
        <v>-</v>
      </c>
      <c r="N19" s="19">
        <f t="shared" ca="1" si="6"/>
        <v>0.42421209411621102</v>
      </c>
      <c r="O19" s="19">
        <f t="shared" ca="1" si="7"/>
        <v>0.44423062438964844</v>
      </c>
      <c r="P19" s="14">
        <f t="shared" ca="1" si="8"/>
        <v>0</v>
      </c>
      <c r="Q19" s="14">
        <v>0</v>
      </c>
      <c r="R19" s="14">
        <f t="shared" ca="1" si="9"/>
        <v>0</v>
      </c>
      <c r="S19" s="36">
        <f t="shared" ca="1" si="10"/>
        <v>0</v>
      </c>
      <c r="T19" s="36"/>
      <c r="U19" s="49">
        <f t="shared" ca="1" si="11"/>
        <v>0</v>
      </c>
      <c r="V19" s="49">
        <f t="shared" ca="1" si="12"/>
        <v>0</v>
      </c>
      <c r="W19">
        <f t="shared" si="13"/>
        <v>10200</v>
      </c>
      <c r="X19" s="6">
        <f t="shared" ca="1" si="14"/>
        <v>20.371971766026849</v>
      </c>
      <c r="Y19" s="6">
        <f t="shared" ca="1" si="14"/>
        <v>17.652980115738909</v>
      </c>
      <c r="Z19" s="6">
        <f t="shared" ca="1" si="14"/>
        <v>15.263408736544804</v>
      </c>
      <c r="AA19" s="6">
        <f t="shared" ca="1" si="14"/>
        <v>13.168669408345952</v>
      </c>
      <c r="AB19" s="6">
        <f t="shared" ca="1" si="14"/>
        <v>11.336986584676836</v>
      </c>
      <c r="AC19" s="6">
        <f t="shared" ca="1" si="14"/>
        <v>9.7392930849461266</v>
      </c>
      <c r="AD19" s="6">
        <f t="shared" ca="1" si="14"/>
        <v>8.3491091212463591</v>
      </c>
      <c r="AE19" s="6">
        <f t="shared" ca="1" si="14"/>
        <v>7.1424087089227903</v>
      </c>
      <c r="AF19" s="6">
        <f t="shared" ca="1" si="14"/>
        <v>6.0974771708916586</v>
      </c>
      <c r="AG19" s="6">
        <f t="shared" ca="1" si="14"/>
        <v>5.194763070695914</v>
      </c>
      <c r="AH19" s="6">
        <f t="shared" ca="1" si="14"/>
        <v>4.4167275156293604</v>
      </c>
      <c r="AI19" s="6">
        <f t="shared" ca="1" si="14"/>
        <v>3.7476933731631408</v>
      </c>
      <c r="AJ19" s="6">
        <f t="shared" ca="1" si="14"/>
        <v>3.1736965530638166</v>
      </c>
    </row>
    <row r="20" spans="1:36" x14ac:dyDescent="0.25">
      <c r="A20" s="36">
        <f t="shared" ca="1" si="1"/>
        <v>0</v>
      </c>
      <c r="B20" s="14">
        <f t="shared" ca="1" si="2"/>
        <v>0</v>
      </c>
      <c r="C20" s="14"/>
      <c r="D20" s="14">
        <f t="shared" ca="1" si="3"/>
        <v>0</v>
      </c>
      <c r="E20" s="17">
        <f>[3]!'WTXOU0;8600C`267'</f>
        <v>3340</v>
      </c>
      <c r="F20" s="17">
        <f>[3]!'WTXOU0;8600C`268'</f>
        <v>3590</v>
      </c>
      <c r="G20" s="17" t="str">
        <f>[3]!'WTXOU0;8600C`205'</f>
        <v>-</v>
      </c>
      <c r="H20" s="19">
        <f t="shared" ca="1" si="4"/>
        <v>1.610321044921875E-4</v>
      </c>
      <c r="I20" s="19">
        <f t="shared" ca="1" si="5"/>
        <v>0.61365574645996102</v>
      </c>
      <c r="J20" s="18">
        <f t="shared" si="15"/>
        <v>8600</v>
      </c>
      <c r="K20" s="17">
        <f>[3]!'WTXOU0;8600P`267'</f>
        <v>17</v>
      </c>
      <c r="L20" s="17">
        <f>[3]!'WTXOU0;8600P`268'</f>
        <v>22</v>
      </c>
      <c r="M20" s="17" t="str">
        <f>[3]!'WTXOU0;8600P`205'</f>
        <v>-</v>
      </c>
      <c r="N20" s="19">
        <f t="shared" ca="1" si="6"/>
        <v>0.40614659118652346</v>
      </c>
      <c r="O20" s="19">
        <f t="shared" ca="1" si="7"/>
        <v>0.42421209411621102</v>
      </c>
      <c r="P20" s="14">
        <f ca="1">GBSGreeks("g", "P",$I$2,$J20,$N$2,$N20, 0,0)*$P$2*50*$I$2*$Q20*-1</f>
        <v>0</v>
      </c>
      <c r="Q20" s="14">
        <v>0</v>
      </c>
      <c r="R20" s="14">
        <f t="shared" ca="1" si="9"/>
        <v>0</v>
      </c>
      <c r="S20" s="36">
        <f t="shared" ca="1" si="10"/>
        <v>0</v>
      </c>
      <c r="T20" s="36"/>
      <c r="U20" s="49">
        <f t="shared" ca="1" si="11"/>
        <v>0</v>
      </c>
      <c r="V20" s="49">
        <f t="shared" ca="1" si="12"/>
        <v>0</v>
      </c>
      <c r="W20">
        <f t="shared" si="13"/>
        <v>10300</v>
      </c>
      <c r="X20" s="6">
        <f t="shared" ca="1" si="14"/>
        <v>23.041425051678964</v>
      </c>
      <c r="Y20" s="6">
        <f t="shared" ca="1" si="14"/>
        <v>19.931101488197164</v>
      </c>
      <c r="Z20" s="6">
        <f t="shared" ca="1" si="14"/>
        <v>17.199971569515657</v>
      </c>
      <c r="AA20" s="6">
        <f t="shared" ca="1" si="14"/>
        <v>14.808359718385145</v>
      </c>
      <c r="AB20" s="6">
        <f t="shared" ca="1" si="14"/>
        <v>12.719720751323855</v>
      </c>
      <c r="AC20" s="6">
        <f t="shared" ca="1" si="14"/>
        <v>10.900550217334752</v>
      </c>
      <c r="AD20" s="6">
        <f t="shared" ca="1" si="14"/>
        <v>9.3202704048616702</v>
      </c>
      <c r="AE20" s="6">
        <f t="shared" ca="1" si="14"/>
        <v>7.9510970877697531</v>
      </c>
      <c r="AF20" s="6">
        <f t="shared" ca="1" si="14"/>
        <v>6.7678917505051741</v>
      </c>
      <c r="AG20" s="6">
        <f t="shared" ca="1" si="14"/>
        <v>5.7480036318941918</v>
      </c>
      <c r="AH20" s="6">
        <f t="shared" ca="1" si="14"/>
        <v>4.8711054810116785</v>
      </c>
      <c r="AI20" s="6">
        <f t="shared" ca="1" si="14"/>
        <v>4.1190264487070767</v>
      </c>
      <c r="AJ20" s="6">
        <f t="shared" ca="1" si="14"/>
        <v>3.475585062855103</v>
      </c>
    </row>
    <row r="21" spans="1:36" x14ac:dyDescent="0.25">
      <c r="A21" s="36">
        <f t="shared" ca="1" si="1"/>
        <v>0</v>
      </c>
      <c r="B21" s="14">
        <f t="shared" ca="1" si="2"/>
        <v>0</v>
      </c>
      <c r="C21" s="14"/>
      <c r="D21" s="14">
        <f t="shared" ca="1" si="3"/>
        <v>0</v>
      </c>
      <c r="E21" s="17">
        <f>[3]!'WTXOU0;8800C`267'</f>
        <v>3140</v>
      </c>
      <c r="F21" s="17">
        <f>[3]!'WTXOU0;8800C`268'</f>
        <v>3400</v>
      </c>
      <c r="G21" s="17" t="str">
        <f>[3]!'WTXOU0;8800C`205'</f>
        <v>-</v>
      </c>
      <c r="H21" s="19">
        <f t="shared" ca="1" si="4"/>
        <v>1.610321044921875E-4</v>
      </c>
      <c r="I21" s="19">
        <f t="shared" ca="1" si="5"/>
        <v>0.59375928039550796</v>
      </c>
      <c r="J21" s="18">
        <f t="shared" si="15"/>
        <v>8800</v>
      </c>
      <c r="K21" s="17">
        <f>[3]!'WTXOU0;8800P`267'</f>
        <v>20</v>
      </c>
      <c r="L21" s="17">
        <f>[3]!'WTXOU0;8800P`268'</f>
        <v>25</v>
      </c>
      <c r="M21" s="17" t="str">
        <f>[3]!'WTXOU0;8800P`205'</f>
        <v>-</v>
      </c>
      <c r="N21" s="19">
        <f t="shared" ca="1" si="6"/>
        <v>0.39271952819824218</v>
      </c>
      <c r="O21" s="19">
        <f t="shared" ca="1" si="7"/>
        <v>0.40858787536621094</v>
      </c>
      <c r="P21" s="14">
        <f t="shared" ca="1" si="8"/>
        <v>0</v>
      </c>
      <c r="Q21" s="14">
        <v>0</v>
      </c>
      <c r="R21" s="14">
        <f t="shared" ca="1" si="9"/>
        <v>0</v>
      </c>
      <c r="S21" s="36">
        <f ca="1">(GBSOption("P",$I$2,$J21,$N$2,N21,0,0)-GBSOption("P",$I$2,$J21,$O$2,N21,0,0))*Q21*50*-1</f>
        <v>0</v>
      </c>
      <c r="T21" s="36"/>
      <c r="U21" s="49">
        <f t="shared" ca="1" si="11"/>
        <v>0</v>
      </c>
      <c r="V21" s="49">
        <f ca="1">(GBSOption("P",$I$2,$J21,$N$2,$N21,0, 0)-GBSOption("P",$I$2,$J21,$N$2,$N21+0.01,0, 0))*50*$Q21</f>
        <v>0</v>
      </c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</row>
    <row r="22" spans="1:36" x14ac:dyDescent="0.25">
      <c r="A22" s="36">
        <f t="shared" ca="1" si="1"/>
        <v>0</v>
      </c>
      <c r="B22" s="14">
        <f t="shared" ca="1" si="2"/>
        <v>0</v>
      </c>
      <c r="C22" s="14"/>
      <c r="D22" s="14">
        <f t="shared" ca="1" si="3"/>
        <v>0</v>
      </c>
      <c r="E22" s="17">
        <f>[3]!'WTXOU0;9000C`267'</f>
        <v>2950</v>
      </c>
      <c r="F22" s="17">
        <f>[3]!'WTXOU0;9000C`268'</f>
        <v>3200</v>
      </c>
      <c r="G22" s="17" t="str">
        <f>[3]!'WTXOU0;9000C`205'</f>
        <v>-</v>
      </c>
      <c r="H22" s="19">
        <f t="shared" ca="1" si="4"/>
        <v>1.610321044921875E-4</v>
      </c>
      <c r="I22" s="19">
        <f t="shared" ca="1" si="5"/>
        <v>0.56116813659667975</v>
      </c>
      <c r="J22" s="18">
        <f t="shared" si="15"/>
        <v>9000</v>
      </c>
      <c r="K22" s="17">
        <f>[3]!'WTXOU0;9000P`267'</f>
        <v>23.5</v>
      </c>
      <c r="L22" s="17">
        <f>[3]!'WTXOU0;9000P`268'</f>
        <v>28.5</v>
      </c>
      <c r="M22" s="17">
        <f>[3]!'WTXOU0;9000P`205'</f>
        <v>25</v>
      </c>
      <c r="N22" s="19">
        <f t="shared" ca="1" si="6"/>
        <v>0.37929246520996096</v>
      </c>
      <c r="O22" s="19">
        <f t="shared" ca="1" si="7"/>
        <v>0.39320778503417975</v>
      </c>
      <c r="P22" s="14">
        <f t="shared" ca="1" si="8"/>
        <v>0</v>
      </c>
      <c r="Q22" s="14">
        <v>0</v>
      </c>
      <c r="R22" s="14">
        <f t="shared" ca="1" si="9"/>
        <v>0</v>
      </c>
      <c r="S22" s="36">
        <f t="shared" ca="1" si="10"/>
        <v>0</v>
      </c>
      <c r="T22" s="36"/>
      <c r="U22" s="49">
        <f t="shared" ca="1" si="11"/>
        <v>0</v>
      </c>
      <c r="V22" s="49">
        <f t="shared" ca="1" si="12"/>
        <v>0</v>
      </c>
    </row>
    <row r="23" spans="1:36" x14ac:dyDescent="0.25">
      <c r="A23" s="36">
        <f t="shared" ca="1" si="1"/>
        <v>0</v>
      </c>
      <c r="B23" s="14">
        <f t="shared" ca="1" si="2"/>
        <v>0</v>
      </c>
      <c r="C23" s="14"/>
      <c r="D23" s="14">
        <f t="shared" ca="1" si="3"/>
        <v>0</v>
      </c>
      <c r="E23" s="17">
        <f>[3]!'WTXOU0;9200C`267'</f>
        <v>2750</v>
      </c>
      <c r="F23" s="17">
        <f>[3]!'WTXOU0;9200C`268'</f>
        <v>3000</v>
      </c>
      <c r="G23" s="17" t="str">
        <f>[3]!'WTXOU0;9200C`205'</f>
        <v>-</v>
      </c>
      <c r="H23" s="19">
        <f t="shared" ca="1" si="4"/>
        <v>1.610321044921875E-4</v>
      </c>
      <c r="I23" s="19">
        <f t="shared" ca="1" si="5"/>
        <v>0.52906524963378909</v>
      </c>
      <c r="J23" s="18">
        <f t="shared" si="15"/>
        <v>9200</v>
      </c>
      <c r="K23" s="17">
        <f>[3]!'WTXOU0;9200P`267'</f>
        <v>29</v>
      </c>
      <c r="L23" s="17">
        <f>[3]!'WTXOU0;9200P`268'</f>
        <v>154</v>
      </c>
      <c r="M23" s="17">
        <f>[3]!'WTXOU0;9200P`205'</f>
        <v>29</v>
      </c>
      <c r="N23" s="19">
        <f t="shared" ca="1" si="6"/>
        <v>0.36928320007324222</v>
      </c>
      <c r="O23" s="19">
        <f t="shared" ca="1" si="7"/>
        <v>0.55250157775878916</v>
      </c>
      <c r="P23" s="14">
        <f t="shared" ca="1" si="8"/>
        <v>0</v>
      </c>
      <c r="Q23" s="14">
        <v>0</v>
      </c>
      <c r="R23" s="14">
        <f t="shared" ca="1" si="9"/>
        <v>0</v>
      </c>
      <c r="S23" s="36">
        <f t="shared" ca="1" si="10"/>
        <v>0</v>
      </c>
      <c r="T23" s="36"/>
      <c r="U23" s="49">
        <f t="shared" ca="1" si="11"/>
        <v>0</v>
      </c>
      <c r="V23" s="49">
        <f t="shared" ca="1" si="12"/>
        <v>0</v>
      </c>
    </row>
    <row r="24" spans="1:36" x14ac:dyDescent="0.25">
      <c r="A24" s="36">
        <f t="shared" ca="1" si="1"/>
        <v>0</v>
      </c>
      <c r="B24" s="14">
        <f t="shared" ca="1" si="2"/>
        <v>0</v>
      </c>
      <c r="C24" s="14">
        <v>0</v>
      </c>
      <c r="D24" s="14">
        <f t="shared" ca="1" si="3"/>
        <v>0</v>
      </c>
      <c r="E24" s="17">
        <f>[3]!'WTXOU0;9400C`267'</f>
        <v>2560</v>
      </c>
      <c r="F24" s="17">
        <f>[3]!'WTXOU0;9400C`268'</f>
        <v>2810</v>
      </c>
      <c r="G24" s="17" t="str">
        <f>[3]!'WTXOU0;9400C`205'</f>
        <v>-</v>
      </c>
      <c r="H24" s="19">
        <f t="shared" ca="1" si="4"/>
        <v>1.610321044921875E-4</v>
      </c>
      <c r="I24" s="19">
        <f t="shared" ca="1" si="5"/>
        <v>0.50819226989746102</v>
      </c>
      <c r="J24" s="18">
        <f t="shared" si="15"/>
        <v>9400</v>
      </c>
      <c r="K24" s="17">
        <f>[3]!'WTXOU0;9400P`267'</f>
        <v>15</v>
      </c>
      <c r="L24" s="17">
        <f>[3]!'WTXOU0;9400P`268'</f>
        <v>49</v>
      </c>
      <c r="M24" s="17" t="str">
        <f>[3]!'WTXOU0;9400P`205'</f>
        <v>-</v>
      </c>
      <c r="N24" s="19">
        <f t="shared" ca="1" si="6"/>
        <v>0.30605393981933599</v>
      </c>
      <c r="O24" s="19">
        <f t="shared" ca="1" si="7"/>
        <v>0.3849074188232422</v>
      </c>
      <c r="P24" s="14">
        <f t="shared" ca="1" si="8"/>
        <v>-78470.774936058588</v>
      </c>
      <c r="Q24" s="14">
        <v>30</v>
      </c>
      <c r="R24" s="14">
        <f t="shared" ca="1" si="9"/>
        <v>-436502.07965729572</v>
      </c>
      <c r="S24" s="36">
        <f t="shared" ca="1" si="10"/>
        <v>-1435.9571665301348</v>
      </c>
      <c r="T24" s="36"/>
      <c r="U24" s="49">
        <f t="shared" ca="1" si="11"/>
        <v>0</v>
      </c>
      <c r="V24" s="49">
        <f t="shared" ca="1" si="12"/>
        <v>-4643.4813965835228</v>
      </c>
    </row>
    <row r="25" spans="1:36" x14ac:dyDescent="0.25">
      <c r="A25" s="36">
        <f t="shared" ca="1" si="1"/>
        <v>0</v>
      </c>
      <c r="B25" s="14">
        <f t="shared" ca="1" si="2"/>
        <v>0</v>
      </c>
      <c r="C25" s="14">
        <v>0</v>
      </c>
      <c r="D25" s="14">
        <f t="shared" ca="1" si="3"/>
        <v>0</v>
      </c>
      <c r="E25" s="17">
        <f>[3]!'WTXOU0;9600C`267'</f>
        <v>2360</v>
      </c>
      <c r="F25" s="17">
        <f>[3]!'WTXOU0;9600C`268'</f>
        <v>2610</v>
      </c>
      <c r="G25" s="17" t="str">
        <f>[3]!'WTXOU0;9600C`205'</f>
        <v>-</v>
      </c>
      <c r="H25" s="19">
        <f t="shared" ca="1" si="4"/>
        <v>1.610321044921875E-4</v>
      </c>
      <c r="I25" s="19">
        <f t="shared" ca="1" si="5"/>
        <v>0.47645557556152351</v>
      </c>
      <c r="J25" s="18">
        <f t="shared" si="15"/>
        <v>9600</v>
      </c>
      <c r="K25" s="17">
        <f>[3]!'WTXOU0;9600P`267'</f>
        <v>35</v>
      </c>
      <c r="L25" s="17">
        <f>[3]!'WTXOU0;9600P`268'</f>
        <v>42</v>
      </c>
      <c r="M25" s="17" t="str">
        <f>[3]!'WTXOU0;9600P`205'</f>
        <v>-</v>
      </c>
      <c r="N25" s="19">
        <f t="shared" ca="1" si="6"/>
        <v>0.3330301300048828</v>
      </c>
      <c r="O25" s="19">
        <f t="shared" ca="1" si="7"/>
        <v>0.34645719299316408</v>
      </c>
      <c r="P25" s="14">
        <f t="shared" ca="1" si="8"/>
        <v>0</v>
      </c>
      <c r="Q25" s="14">
        <v>0</v>
      </c>
      <c r="R25" s="14">
        <f t="shared" ca="1" si="9"/>
        <v>0</v>
      </c>
      <c r="S25" s="36">
        <f t="shared" ca="1" si="10"/>
        <v>0</v>
      </c>
      <c r="T25" s="36"/>
      <c r="U25" s="49">
        <f t="shared" ca="1" si="11"/>
        <v>0</v>
      </c>
      <c r="V25" s="49">
        <f t="shared" ca="1" si="12"/>
        <v>0</v>
      </c>
    </row>
    <row r="26" spans="1:36" x14ac:dyDescent="0.25">
      <c r="A26" s="36">
        <f t="shared" ca="1" si="1"/>
        <v>0</v>
      </c>
      <c r="B26" s="14">
        <f t="shared" ca="1" si="2"/>
        <v>0</v>
      </c>
      <c r="C26" s="14">
        <v>0</v>
      </c>
      <c r="D26" s="14">
        <f t="shared" ca="1" si="3"/>
        <v>0</v>
      </c>
      <c r="E26" s="17">
        <f>[3]!'WTXOU0;9800C`267'</f>
        <v>2180</v>
      </c>
      <c r="F26" s="17">
        <f>[3]!'WTXOU0;9800C`268'</f>
        <v>2420</v>
      </c>
      <c r="G26" s="17" t="str">
        <f>[3]!'WTXOU0;9800C`205'</f>
        <v>-</v>
      </c>
      <c r="H26" s="19">
        <f t="shared" ca="1" si="4"/>
        <v>1.610321044921875E-4</v>
      </c>
      <c r="I26" s="19">
        <f t="shared" ca="1" si="5"/>
        <v>0.45472814636230474</v>
      </c>
      <c r="J26" s="18">
        <f t="shared" si="15"/>
        <v>9800</v>
      </c>
      <c r="K26" s="17">
        <f>[3]!'WTXOU0;9800P`267'</f>
        <v>41</v>
      </c>
      <c r="L26" s="17">
        <f>[3]!'WTXOU0;9800P`268'</f>
        <v>52</v>
      </c>
      <c r="M26" s="17" t="str">
        <f>[3]!'WTXOU0;9800P`205'</f>
        <v>-</v>
      </c>
      <c r="N26" s="19">
        <f t="shared" ca="1" si="6"/>
        <v>0.31911481018066407</v>
      </c>
      <c r="O26" s="19">
        <f t="shared" ca="1" si="7"/>
        <v>0.33730237731933593</v>
      </c>
      <c r="P26" s="14">
        <f t="shared" ca="1" si="8"/>
        <v>0</v>
      </c>
      <c r="Q26" s="14">
        <v>0</v>
      </c>
      <c r="R26" s="14">
        <f t="shared" ca="1" si="9"/>
        <v>0</v>
      </c>
      <c r="S26" s="36">
        <f t="shared" ca="1" si="10"/>
        <v>0</v>
      </c>
      <c r="T26" s="36"/>
      <c r="U26" s="49">
        <f t="shared" ca="1" si="11"/>
        <v>0</v>
      </c>
      <c r="V26" s="49">
        <f t="shared" ca="1" si="12"/>
        <v>0</v>
      </c>
    </row>
    <row r="27" spans="1:36" x14ac:dyDescent="0.25">
      <c r="A27" s="36">
        <f t="shared" ca="1" si="1"/>
        <v>0</v>
      </c>
      <c r="B27" s="14">
        <f t="shared" ca="1" si="2"/>
        <v>0</v>
      </c>
      <c r="C27" s="14">
        <v>0</v>
      </c>
      <c r="D27" s="14">
        <f t="shared" ca="1" si="3"/>
        <v>0</v>
      </c>
      <c r="E27" s="17">
        <f>[3]!'WTXOU0;10000C`267'</f>
        <v>1980</v>
      </c>
      <c r="F27" s="17">
        <f>[3]!'WTXOU0;10000C`268'</f>
        <v>2230</v>
      </c>
      <c r="G27" s="17" t="str">
        <f>[3]!'WTXOU0;10000C`205'</f>
        <v>-</v>
      </c>
      <c r="H27" s="19">
        <f t="shared" ca="1" si="4"/>
        <v>1.610321044921875E-4</v>
      </c>
      <c r="I27" s="19">
        <f t="shared" ca="1" si="5"/>
        <v>0.43214626770019537</v>
      </c>
      <c r="J27" s="18">
        <f t="shared" si="15"/>
        <v>10000</v>
      </c>
      <c r="K27" s="17">
        <f>[3]!'WTXOU0;10000P`267'</f>
        <v>44</v>
      </c>
      <c r="L27" s="17">
        <f>[3]!'WTXOU0;10000P`268'</f>
        <v>55</v>
      </c>
      <c r="M27" s="17">
        <f>[3]!'WTXOU0;10000P`205'</f>
        <v>53</v>
      </c>
      <c r="N27" s="19">
        <f t="shared" ca="1" si="6"/>
        <v>0.29897421569824223</v>
      </c>
      <c r="O27" s="19">
        <f t="shared" ca="1" si="7"/>
        <v>0.31557494812011722</v>
      </c>
      <c r="P27" s="14">
        <f t="shared" ca="1" si="8"/>
        <v>0</v>
      </c>
      <c r="Q27" s="14"/>
      <c r="R27" s="14">
        <f t="shared" ca="1" si="9"/>
        <v>0</v>
      </c>
      <c r="S27" s="36">
        <f t="shared" ca="1" si="10"/>
        <v>0</v>
      </c>
      <c r="T27" s="36"/>
      <c r="U27" s="49">
        <f t="shared" ca="1" si="11"/>
        <v>0</v>
      </c>
      <c r="V27" s="49">
        <f t="shared" ca="1" si="12"/>
        <v>0</v>
      </c>
    </row>
    <row r="28" spans="1:36" x14ac:dyDescent="0.25">
      <c r="A28" s="36">
        <f t="shared" ca="1" si="1"/>
        <v>0</v>
      </c>
      <c r="B28" s="14">
        <f t="shared" ca="1" si="2"/>
        <v>0</v>
      </c>
      <c r="C28" s="14">
        <v>0</v>
      </c>
      <c r="D28" s="14">
        <f t="shared" ca="1" si="3"/>
        <v>0</v>
      </c>
      <c r="E28" s="17">
        <f>[3]!'WTXOU0;10100C`267'</f>
        <v>1880</v>
      </c>
      <c r="F28" s="17">
        <f>[3]!'WTXOU0;10100C`268'</f>
        <v>2130</v>
      </c>
      <c r="G28" s="17" t="str">
        <f>[3]!'WTXOU0;10100C`205'</f>
        <v>-</v>
      </c>
      <c r="H28" s="19">
        <f t="shared" ca="1" si="4"/>
        <v>1.610321044921875E-4</v>
      </c>
      <c r="I28" s="19">
        <f t="shared" ca="1" si="5"/>
        <v>0.41615585632324226</v>
      </c>
      <c r="J28" s="18">
        <f>J27+100</f>
        <v>10100</v>
      </c>
      <c r="K28" s="17">
        <f>[3]!'WTXOU0;10100P`267'</f>
        <v>7.5</v>
      </c>
      <c r="L28" s="17">
        <f>[3]!'WTXOU0;10100P`268'</f>
        <v>64</v>
      </c>
      <c r="M28" s="17" t="str">
        <f>[3]!'WTXOU0;10100P`205'</f>
        <v>-</v>
      </c>
      <c r="N28" s="19">
        <f t="shared" ca="1" si="6"/>
        <v>0.20474064636230468</v>
      </c>
      <c r="O28" s="19">
        <f t="shared" ca="1" si="7"/>
        <v>0.3144763702392579</v>
      </c>
      <c r="P28" s="14">
        <f t="shared" ca="1" si="8"/>
        <v>0</v>
      </c>
      <c r="Q28" s="14">
        <v>0</v>
      </c>
      <c r="R28" s="14">
        <f t="shared" ca="1" si="9"/>
        <v>0</v>
      </c>
      <c r="S28" s="36">
        <f t="shared" ca="1" si="10"/>
        <v>0</v>
      </c>
      <c r="T28" s="36"/>
      <c r="U28" s="49">
        <f t="shared" ca="1" si="11"/>
        <v>0</v>
      </c>
      <c r="V28" s="49">
        <f t="shared" ca="1" si="12"/>
        <v>0</v>
      </c>
    </row>
    <row r="29" spans="1:36" x14ac:dyDescent="0.25">
      <c r="A29" s="36">
        <f t="shared" ca="1" si="1"/>
        <v>0</v>
      </c>
      <c r="B29" s="14">
        <f t="shared" ca="1" si="2"/>
        <v>0</v>
      </c>
      <c r="C29" s="14">
        <v>0</v>
      </c>
      <c r="D29" s="14">
        <f t="shared" ca="1" si="3"/>
        <v>0</v>
      </c>
      <c r="E29" s="17">
        <f>[3]!'WTXOU0;10200C`267'</f>
        <v>1790</v>
      </c>
      <c r="F29" s="17">
        <f>[3]!'WTXOU0;10200C`268'</f>
        <v>2040</v>
      </c>
      <c r="G29" s="17" t="str">
        <f>[3]!'WTXOU0;10200C`205'</f>
        <v>-</v>
      </c>
      <c r="H29" s="19">
        <f t="shared" ca="1" si="4"/>
        <v>1.610321044921875E-4</v>
      </c>
      <c r="I29" s="19">
        <f t="shared" ca="1" si="5"/>
        <v>0.40883200378417972</v>
      </c>
      <c r="J29" s="18">
        <f t="shared" ref="J29:J55" si="16">J28+100</f>
        <v>10200</v>
      </c>
      <c r="K29" s="17">
        <f>[3]!'WTXOU0;10200P`267'</f>
        <v>8.4</v>
      </c>
      <c r="L29" s="17">
        <f>[3]!'WTXOU0;10200P`268'</f>
        <v>71</v>
      </c>
      <c r="M29" s="17" t="str">
        <f>[3]!'WTXOU0;10200P`205'</f>
        <v>-</v>
      </c>
      <c r="N29" s="19">
        <f t="shared" ca="1" si="6"/>
        <v>0.19851537170410155</v>
      </c>
      <c r="O29" s="19">
        <f t="shared" ca="1" si="7"/>
        <v>0.30959380187988284</v>
      </c>
      <c r="P29" s="14">
        <f t="shared" ca="1" si="8"/>
        <v>0</v>
      </c>
      <c r="Q29" s="14">
        <v>0</v>
      </c>
      <c r="R29" s="14">
        <f t="shared" ca="1" si="9"/>
        <v>0</v>
      </c>
      <c r="S29" s="36">
        <f t="shared" ca="1" si="10"/>
        <v>0</v>
      </c>
      <c r="T29" s="36"/>
      <c r="U29" s="49">
        <f t="shared" ca="1" si="11"/>
        <v>0</v>
      </c>
      <c r="V29" s="49">
        <f t="shared" ca="1" si="12"/>
        <v>0</v>
      </c>
    </row>
    <row r="30" spans="1:36" x14ac:dyDescent="0.25">
      <c r="A30" s="36">
        <f t="shared" ca="1" si="1"/>
        <v>0</v>
      </c>
      <c r="B30" s="14">
        <f t="shared" ca="1" si="2"/>
        <v>0</v>
      </c>
      <c r="C30" s="14">
        <v>0</v>
      </c>
      <c r="D30" s="14">
        <f t="shared" ca="1" si="3"/>
        <v>0</v>
      </c>
      <c r="E30" s="17">
        <f>[3]!'WTXOU0;10300C`267'</f>
        <v>1690</v>
      </c>
      <c r="F30" s="17">
        <f>[3]!'WTXOU0;10300C`268'</f>
        <v>1950</v>
      </c>
      <c r="G30" s="17" t="str">
        <f>[3]!'WTXOU0;10300C`205'</f>
        <v>-</v>
      </c>
      <c r="H30" s="19">
        <f t="shared" ca="1" si="4"/>
        <v>1.610321044921875E-4</v>
      </c>
      <c r="I30" s="19">
        <f t="shared" ca="1" si="5"/>
        <v>0.40089783020019532</v>
      </c>
      <c r="J30" s="18">
        <f t="shared" si="16"/>
        <v>10300</v>
      </c>
      <c r="K30" s="17">
        <f>[3]!'WTXOU0;10300P`267'</f>
        <v>9.4</v>
      </c>
      <c r="L30" s="17">
        <f>[3]!'WTXOU0;10300P`268'</f>
        <v>78</v>
      </c>
      <c r="M30" s="17" t="str">
        <f>[3]!'WTXOU0;10300P`205'</f>
        <v>-</v>
      </c>
      <c r="N30" s="19">
        <f t="shared" ca="1" si="6"/>
        <v>0.19204596862792969</v>
      </c>
      <c r="O30" s="19">
        <f t="shared" ca="1" si="7"/>
        <v>0.3039788482666016</v>
      </c>
      <c r="P30" s="14">
        <f t="shared" ca="1" si="8"/>
        <v>0</v>
      </c>
      <c r="Q30" s="14">
        <v>0</v>
      </c>
      <c r="R30" s="14">
        <f t="shared" ca="1" si="9"/>
        <v>0</v>
      </c>
      <c r="S30" s="36">
        <f t="shared" ca="1" si="10"/>
        <v>0</v>
      </c>
      <c r="T30" s="36"/>
      <c r="U30" s="49">
        <f t="shared" ca="1" si="11"/>
        <v>0</v>
      </c>
      <c r="V30" s="49">
        <f t="shared" ca="1" si="12"/>
        <v>0</v>
      </c>
    </row>
    <row r="31" spans="1:36" x14ac:dyDescent="0.25">
      <c r="A31" s="36">
        <f t="shared" ca="1" si="1"/>
        <v>0</v>
      </c>
      <c r="B31" s="14">
        <f t="shared" ca="1" si="2"/>
        <v>0</v>
      </c>
      <c r="C31" s="14">
        <v>0</v>
      </c>
      <c r="D31" s="14">
        <f t="shared" ca="1" si="3"/>
        <v>0</v>
      </c>
      <c r="E31" s="17">
        <f>[3]!'WTXOU0;10400C`267'</f>
        <v>1600</v>
      </c>
      <c r="F31" s="17">
        <f>[3]!'WTXOU0;10400C`268'</f>
        <v>1850</v>
      </c>
      <c r="G31" s="17" t="str">
        <f>[3]!'WTXOU0;10400C`205'</f>
        <v>-</v>
      </c>
      <c r="H31" s="19">
        <f t="shared" ca="1" si="4"/>
        <v>1.610321044921875E-4</v>
      </c>
      <c r="I31" s="19">
        <f t="shared" ca="1" si="5"/>
        <v>0.38466329040527347</v>
      </c>
      <c r="J31" s="18">
        <f t="shared" si="16"/>
        <v>10400</v>
      </c>
      <c r="K31" s="17">
        <f>[3]!'WTXOU0;10400P`267'</f>
        <v>60</v>
      </c>
      <c r="L31" s="17">
        <f>[3]!'WTXOU0;10400P`268'</f>
        <v>200</v>
      </c>
      <c r="M31" s="17">
        <f>[3]!'WTXOU0;10400P`205'</f>
        <v>77</v>
      </c>
      <c r="N31" s="19">
        <f t="shared" ca="1" si="6"/>
        <v>0.26943467712402341</v>
      </c>
      <c r="O31" s="19">
        <f t="shared" ca="1" si="7"/>
        <v>0.39784622497558592</v>
      </c>
      <c r="P31" s="14">
        <f t="shared" ca="1" si="8"/>
        <v>0</v>
      </c>
      <c r="Q31" s="14">
        <v>0</v>
      </c>
      <c r="R31" s="14">
        <f t="shared" ca="1" si="9"/>
        <v>0</v>
      </c>
      <c r="S31" s="36">
        <f t="shared" ca="1" si="10"/>
        <v>0</v>
      </c>
      <c r="T31" s="36"/>
      <c r="U31" s="49">
        <f t="shared" ca="1" si="11"/>
        <v>0</v>
      </c>
      <c r="V31" s="49">
        <f t="shared" ca="1" si="12"/>
        <v>0</v>
      </c>
    </row>
    <row r="32" spans="1:36" x14ac:dyDescent="0.25">
      <c r="A32" s="36">
        <f t="shared" ca="1" si="1"/>
        <v>0</v>
      </c>
      <c r="B32" s="14">
        <f t="shared" ca="1" si="2"/>
        <v>0</v>
      </c>
      <c r="C32" s="14">
        <v>0</v>
      </c>
      <c r="D32" s="14">
        <f t="shared" ca="1" si="3"/>
        <v>0</v>
      </c>
      <c r="E32" s="17">
        <f>[3]!'WTXOU0;10500C`267'</f>
        <v>1510</v>
      </c>
      <c r="F32" s="17">
        <f>[3]!'WTXOU0;10500C`268'</f>
        <v>1760</v>
      </c>
      <c r="G32" s="17" t="str">
        <f>[3]!'WTXOU0;10500C`205'</f>
        <v>-</v>
      </c>
      <c r="H32" s="19">
        <f t="shared" ca="1" si="4"/>
        <v>1.610321044921875E-4</v>
      </c>
      <c r="I32" s="19">
        <f t="shared" ca="1" si="5"/>
        <v>0.37599673156738289</v>
      </c>
      <c r="J32" s="18">
        <f t="shared" si="16"/>
        <v>10500</v>
      </c>
      <c r="K32" s="17">
        <f>[3]!'WTXOU0;10500P`267'</f>
        <v>18.5</v>
      </c>
      <c r="L32" s="17">
        <f>[3]!'WTXOU0;10500P`268'</f>
        <v>86</v>
      </c>
      <c r="M32" s="17">
        <f>[3]!'WTXOU0;10500P`205'</f>
        <v>83</v>
      </c>
      <c r="N32" s="19">
        <f t="shared" ca="1" si="6"/>
        <v>0.19485344543457031</v>
      </c>
      <c r="O32" s="19">
        <f t="shared" ca="1" si="7"/>
        <v>0.2846927032470703</v>
      </c>
      <c r="P32" s="14">
        <f t="shared" ca="1" si="8"/>
        <v>0</v>
      </c>
      <c r="Q32" s="14">
        <v>0</v>
      </c>
      <c r="R32" s="14">
        <f t="shared" ca="1" si="9"/>
        <v>0</v>
      </c>
      <c r="S32" s="36">
        <f t="shared" ca="1" si="10"/>
        <v>0</v>
      </c>
      <c r="T32" s="36"/>
      <c r="U32" s="49">
        <f t="shared" ca="1" si="11"/>
        <v>0</v>
      </c>
      <c r="V32" s="49">
        <f t="shared" ca="1" si="12"/>
        <v>0</v>
      </c>
    </row>
    <row r="33" spans="1:22" x14ac:dyDescent="0.25">
      <c r="A33" s="36">
        <f t="shared" ca="1" si="1"/>
        <v>0</v>
      </c>
      <c r="B33" s="14">
        <f t="shared" ca="1" si="2"/>
        <v>0</v>
      </c>
      <c r="C33" s="14">
        <v>0</v>
      </c>
      <c r="D33" s="14">
        <f t="shared" ca="1" si="3"/>
        <v>0</v>
      </c>
      <c r="E33" s="17">
        <f>[3]!'WTXOU0;10600C`267'</f>
        <v>1420</v>
      </c>
      <c r="F33" s="17">
        <f>[3]!'WTXOU0;10600C`268'</f>
        <v>1660</v>
      </c>
      <c r="G33" s="17" t="str">
        <f>[3]!'WTXOU0;10600C`205'</f>
        <v>-</v>
      </c>
      <c r="H33" s="19">
        <f t="shared" ca="1" si="4"/>
        <v>1.610321044921875E-4</v>
      </c>
      <c r="I33" s="19">
        <f t="shared" ca="1" si="5"/>
        <v>0.35964012756347663</v>
      </c>
      <c r="J33" s="18">
        <f t="shared" si="16"/>
        <v>10600</v>
      </c>
      <c r="K33" s="17">
        <f>[3]!'WTXOU0;10600P`267'</f>
        <v>50</v>
      </c>
      <c r="L33" s="17">
        <f>[3]!'WTXOU0;10600P`268'</f>
        <v>94</v>
      </c>
      <c r="M33" s="17">
        <f>[3]!'WTXOU0;10600P`205'</f>
        <v>97</v>
      </c>
      <c r="N33" s="19">
        <f t="shared" ca="1" si="6"/>
        <v>0.23147270812988283</v>
      </c>
      <c r="O33" s="19">
        <f t="shared" ca="1" si="7"/>
        <v>0.27822330017089847</v>
      </c>
      <c r="P33" s="14">
        <f t="shared" ca="1" si="8"/>
        <v>0</v>
      </c>
      <c r="Q33" s="14">
        <v>0</v>
      </c>
      <c r="R33" s="14">
        <f t="shared" ca="1" si="9"/>
        <v>0</v>
      </c>
      <c r="S33" s="36">
        <f t="shared" ca="1" si="10"/>
        <v>0</v>
      </c>
      <c r="T33" s="36"/>
      <c r="U33" s="49">
        <f t="shared" ca="1" si="11"/>
        <v>0</v>
      </c>
      <c r="V33" s="49">
        <f t="shared" ca="1" si="12"/>
        <v>0</v>
      </c>
    </row>
    <row r="34" spans="1:22" x14ac:dyDescent="0.25">
      <c r="A34" s="36">
        <f t="shared" ca="1" si="1"/>
        <v>0</v>
      </c>
      <c r="B34" s="14">
        <f t="shared" ca="1" si="2"/>
        <v>0</v>
      </c>
      <c r="C34" s="14">
        <v>0</v>
      </c>
      <c r="D34" s="14">
        <f t="shared" ca="1" si="3"/>
        <v>0</v>
      </c>
      <c r="E34" s="17">
        <f>[3]!'WTXOU0;10700C`267'</f>
        <v>1320</v>
      </c>
      <c r="F34" s="17">
        <f>[3]!'WTXOU0;10700C`268'</f>
        <v>1580</v>
      </c>
      <c r="G34" s="17" t="str">
        <f>[3]!'WTXOU0;10700C`205'</f>
        <v>-</v>
      </c>
      <c r="H34" s="19">
        <f t="shared" ca="1" si="4"/>
        <v>1.610321044921875E-4</v>
      </c>
      <c r="I34" s="19">
        <f t="shared" ca="1" si="5"/>
        <v>0.35744297180175788</v>
      </c>
      <c r="J34" s="18">
        <f t="shared" si="16"/>
        <v>10700</v>
      </c>
      <c r="K34" s="17">
        <f>[3]!'WTXOU0;10700P`267'</f>
        <v>51</v>
      </c>
      <c r="L34" s="17">
        <f>[3]!'WTXOU0;10700P`268'</f>
        <v>223</v>
      </c>
      <c r="M34" s="17">
        <f>[3]!'WTXOU0;10700P`205'</f>
        <v>103</v>
      </c>
      <c r="N34" s="19">
        <f t="shared" ca="1" si="6"/>
        <v>0.21987660827636721</v>
      </c>
      <c r="O34" s="19">
        <f t="shared" ca="1" si="7"/>
        <v>0.36440063171386716</v>
      </c>
      <c r="P34" s="14">
        <f t="shared" ca="1" si="8"/>
        <v>0</v>
      </c>
      <c r="Q34" s="14">
        <v>0</v>
      </c>
      <c r="R34" s="14">
        <f t="shared" ca="1" si="9"/>
        <v>0</v>
      </c>
      <c r="S34" s="36">
        <f t="shared" ca="1" si="10"/>
        <v>0</v>
      </c>
      <c r="T34" s="36"/>
      <c r="U34" s="49">
        <f t="shared" ca="1" si="11"/>
        <v>0</v>
      </c>
      <c r="V34" s="49">
        <f t="shared" ca="1" si="12"/>
        <v>0</v>
      </c>
    </row>
    <row r="35" spans="1:22" x14ac:dyDescent="0.25">
      <c r="A35" s="36">
        <f t="shared" ca="1" si="1"/>
        <v>0</v>
      </c>
      <c r="B35" s="14">
        <f t="shared" ca="1" si="2"/>
        <v>0</v>
      </c>
      <c r="C35" s="14">
        <v>0</v>
      </c>
      <c r="D35" s="14">
        <f t="shared" ca="1" si="3"/>
        <v>0</v>
      </c>
      <c r="E35" s="17">
        <f>[3]!'WTXOU0;10800C`267'</f>
        <v>1230</v>
      </c>
      <c r="F35" s="17">
        <f>[3]!'WTXOU0;10800C`268'</f>
        <v>1490</v>
      </c>
      <c r="G35" s="17" t="str">
        <f>[3]!'WTXOU0;10800C`205'</f>
        <v>-</v>
      </c>
      <c r="H35" s="19">
        <f t="shared" ca="1" si="4"/>
        <v>1.610321044921875E-4</v>
      </c>
      <c r="I35" s="19">
        <f t="shared" ca="1" si="5"/>
        <v>0.34743370666503909</v>
      </c>
      <c r="J35" s="18">
        <f t="shared" si="16"/>
        <v>10800</v>
      </c>
      <c r="K35" s="17">
        <f>[3]!'WTXOU0;10800P`267'</f>
        <v>100</v>
      </c>
      <c r="L35" s="17">
        <f>[3]!'WTXOU0;10800P`268'</f>
        <v>232</v>
      </c>
      <c r="M35" s="17">
        <f>[3]!'WTXOU0;10800P`205'</f>
        <v>116</v>
      </c>
      <c r="N35" s="19">
        <f t="shared" ca="1" si="6"/>
        <v>0.25454284362792967</v>
      </c>
      <c r="O35" s="19">
        <f t="shared" ca="1" si="7"/>
        <v>0.35353691711425794</v>
      </c>
      <c r="P35" s="14">
        <f t="shared" ca="1" si="8"/>
        <v>0</v>
      </c>
      <c r="Q35" s="14">
        <v>0</v>
      </c>
      <c r="R35" s="14">
        <f t="shared" ca="1" si="9"/>
        <v>0</v>
      </c>
      <c r="S35" s="36">
        <f t="shared" ca="1" si="10"/>
        <v>0</v>
      </c>
      <c r="T35" s="36"/>
      <c r="U35" s="49">
        <f t="shared" ca="1" si="11"/>
        <v>0</v>
      </c>
      <c r="V35" s="49">
        <f t="shared" ca="1" si="12"/>
        <v>0</v>
      </c>
    </row>
    <row r="36" spans="1:22" x14ac:dyDescent="0.25">
      <c r="A36" s="36">
        <f t="shared" ca="1" si="1"/>
        <v>0</v>
      </c>
      <c r="B36" s="14">
        <f t="shared" ca="1" si="2"/>
        <v>0</v>
      </c>
      <c r="C36" s="14">
        <v>0</v>
      </c>
      <c r="D36" s="14">
        <f t="shared" ca="1" si="3"/>
        <v>0</v>
      </c>
      <c r="E36" s="17">
        <f>[3]!'WTXOU0;10900C`267'</f>
        <v>1140</v>
      </c>
      <c r="F36" s="17">
        <f>[3]!'WTXOU0;10900C`268'</f>
        <v>1400</v>
      </c>
      <c r="G36" s="17" t="str">
        <f>[3]!'WTXOU0;10900C`205'</f>
        <v>-</v>
      </c>
      <c r="H36" s="19">
        <f t="shared" ca="1" si="4"/>
        <v>1.610321044921875E-4</v>
      </c>
      <c r="I36" s="19">
        <f t="shared" ca="1" si="5"/>
        <v>0.33693618469238285</v>
      </c>
      <c r="J36" s="18">
        <f t="shared" si="16"/>
        <v>10900</v>
      </c>
      <c r="K36" s="17">
        <f>[3]!'WTXOU0;10900P`267'</f>
        <v>41</v>
      </c>
      <c r="L36" s="17">
        <f>[3]!'WTXOU0;10900P`268'</f>
        <v>248</v>
      </c>
      <c r="M36" s="17" t="str">
        <f>[3]!'WTXOU0;10900P`205'</f>
        <v>-</v>
      </c>
      <c r="N36" s="19">
        <f t="shared" ca="1" si="6"/>
        <v>0.18301321716308594</v>
      </c>
      <c r="O36" s="19">
        <f t="shared" ca="1" si="7"/>
        <v>0.34670132141113286</v>
      </c>
      <c r="P36" s="14">
        <f t="shared" ca="1" si="8"/>
        <v>0</v>
      </c>
      <c r="Q36" s="14">
        <v>0</v>
      </c>
      <c r="R36" s="14">
        <f t="shared" ca="1" si="9"/>
        <v>0</v>
      </c>
      <c r="S36" s="36">
        <f t="shared" ca="1" si="10"/>
        <v>0</v>
      </c>
      <c r="T36" s="36"/>
      <c r="U36" s="49">
        <f t="shared" ca="1" si="11"/>
        <v>0</v>
      </c>
      <c r="V36" s="49">
        <f t="shared" ca="1" si="12"/>
        <v>0</v>
      </c>
    </row>
    <row r="37" spans="1:22" x14ac:dyDescent="0.25">
      <c r="A37" s="36">
        <f t="shared" ca="1" si="1"/>
        <v>0</v>
      </c>
      <c r="B37" s="14">
        <f t="shared" ca="1" si="2"/>
        <v>0</v>
      </c>
      <c r="C37" s="14">
        <v>0</v>
      </c>
      <c r="D37" s="14">
        <f t="shared" ca="1" si="3"/>
        <v>0</v>
      </c>
      <c r="E37" s="17">
        <f>[3]!'WTXOU0;11000C`267'</f>
        <v>1060</v>
      </c>
      <c r="F37" s="17">
        <f>[3]!'WTXOU0;11000C`268'</f>
        <v>1310</v>
      </c>
      <c r="G37" s="17" t="str">
        <f>[3]!'WTXOU0;11000C`205'</f>
        <v>-</v>
      </c>
      <c r="H37" s="19">
        <f t="shared" ca="1" si="4"/>
        <v>1.610321044921875E-4</v>
      </c>
      <c r="I37" s="19">
        <f t="shared" ca="1" si="5"/>
        <v>0.32595040588378904</v>
      </c>
      <c r="J37" s="18">
        <f t="shared" si="16"/>
        <v>11000</v>
      </c>
      <c r="K37" s="17">
        <f>[3]!'WTXOU0;11000P`267'</f>
        <v>111</v>
      </c>
      <c r="L37" s="17">
        <f>[3]!'WTXOU0;11000P`268'</f>
        <v>140</v>
      </c>
      <c r="M37" s="17">
        <f>[3]!'WTXOU0;11000P`205'</f>
        <v>138</v>
      </c>
      <c r="N37" s="19">
        <f t="shared" ca="1" si="6"/>
        <v>0.23415812072753908</v>
      </c>
      <c r="O37" s="19">
        <f t="shared" ca="1" si="7"/>
        <v>0.25637380676269528</v>
      </c>
      <c r="P37" s="14">
        <f t="shared" ca="1" si="8"/>
        <v>0</v>
      </c>
      <c r="Q37" s="14">
        <v>0</v>
      </c>
      <c r="R37" s="14">
        <f t="shared" ca="1" si="9"/>
        <v>0</v>
      </c>
      <c r="S37" s="36">
        <f t="shared" ca="1" si="10"/>
        <v>0</v>
      </c>
      <c r="T37" s="36"/>
      <c r="U37" s="49">
        <f t="shared" ca="1" si="11"/>
        <v>0</v>
      </c>
      <c r="V37" s="49">
        <f t="shared" ca="1" si="12"/>
        <v>0</v>
      </c>
    </row>
    <row r="38" spans="1:22" x14ac:dyDescent="0.25">
      <c r="A38" s="36">
        <f t="shared" ca="1" si="1"/>
        <v>0</v>
      </c>
      <c r="B38" s="14">
        <f t="shared" ca="1" si="2"/>
        <v>0</v>
      </c>
      <c r="C38" s="14">
        <v>0</v>
      </c>
      <c r="D38" s="14">
        <f t="shared" ca="1" si="3"/>
        <v>0</v>
      </c>
      <c r="E38" s="17">
        <f>[3]!'WTXOU0;11100C`267'</f>
        <v>975</v>
      </c>
      <c r="F38" s="17">
        <f>[3]!'WTXOU0;11100C`268'</f>
        <v>1220</v>
      </c>
      <c r="G38" s="17" t="str">
        <f>[3]!'WTXOU0;11100C`205'</f>
        <v>-</v>
      </c>
      <c r="H38" s="19">
        <f t="shared" ref="H38:H55" ca="1" si="17">IF(ISNUMBER(GBSImpliedVol("C",E38,$G$2,$J38,$N$2,0,0)),GBSImpliedVol("C",E38,$G$2,$J38,$N$2,0,0),0.6)</f>
        <v>0.11599996643066407</v>
      </c>
      <c r="I38" s="19">
        <f t="shared" ref="I38:I55" ca="1" si="18">IF(ISNUMBER(GBSImpliedVol("C",F38,$H$2,$J38,$N$2,0,0)),GBSImpliedVol("C",F38,$H$2,$J38,$N$2,0,0),0.6)</f>
        <v>0.3145984344482422</v>
      </c>
      <c r="J38" s="18">
        <f t="shared" si="16"/>
        <v>11100</v>
      </c>
      <c r="K38" s="17">
        <f>[3]!'WTXOU0;11100P`267'</f>
        <v>47.5</v>
      </c>
      <c r="L38" s="17">
        <f>[3]!'WTXOU0;11100P`268'</f>
        <v>166</v>
      </c>
      <c r="M38" s="17" t="str">
        <f>[3]!'WTXOU0;11100P`205'</f>
        <v>-</v>
      </c>
      <c r="N38" s="19">
        <f t="shared" ref="N38:N55" ca="1" si="19">IF(ISNUMBER(GBSImpliedVol("P",K38,$G$2,$J38,$N$2,0,0)),GBSImpliedVol("P",K38,$G$2,$J38,$N$2,0,0),0.6)</f>
        <v>0.16494771423339843</v>
      </c>
      <c r="O38" s="19">
        <f t="shared" ref="O38:O55" ca="1" si="20">IF(ISNUMBER(GBSImpliedVol("P",L38,$H$2,$J38,$N$2,0,0)),GBSImpliedVol("P",L38,$H$2,$J38,$N$2,0,0),0.6)</f>
        <v>0.25869302673339845</v>
      </c>
      <c r="P38" s="14">
        <f t="shared" ca="1" si="8"/>
        <v>0</v>
      </c>
      <c r="Q38" s="14">
        <v>0</v>
      </c>
      <c r="R38" s="14">
        <f t="shared" ref="R38:R55" ca="1" si="21">GBSGreeks("d", "P",$I$2,$J38,$N$2,$N38, 0,0)*50*$I$2*Q38</f>
        <v>0</v>
      </c>
      <c r="S38" s="36">
        <f t="shared" ref="S38:S55" ca="1" si="22">(GBSOption("P",$I$2,$J38,$N$2,N38,0,0)-GBSOption("P",$I$2,$J38,$O$2,N38,0,0))*Q38*50*-1</f>
        <v>0</v>
      </c>
      <c r="T38" s="36"/>
      <c r="U38" s="49">
        <f t="shared" ca="1" si="11"/>
        <v>0</v>
      </c>
      <c r="V38" s="49">
        <f t="shared" ca="1" si="12"/>
        <v>0</v>
      </c>
    </row>
    <row r="39" spans="1:22" x14ac:dyDescent="0.25">
      <c r="A39" s="36">
        <f t="shared" ca="1" si="1"/>
        <v>0</v>
      </c>
      <c r="B39" s="14">
        <f t="shared" ca="1" si="2"/>
        <v>0</v>
      </c>
      <c r="C39" s="14">
        <v>0</v>
      </c>
      <c r="D39" s="14">
        <f t="shared" ca="1" si="3"/>
        <v>0</v>
      </c>
      <c r="E39" s="17">
        <f>[3]!'WTXOU0;11200C`267'</f>
        <v>890</v>
      </c>
      <c r="F39" s="17">
        <f>[3]!'WTXOU0;11200C`268'</f>
        <v>1140</v>
      </c>
      <c r="G39" s="17">
        <f>[3]!'WTXOU0;11200C`205'</f>
        <v>1000</v>
      </c>
      <c r="H39" s="19">
        <f t="shared" ca="1" si="17"/>
        <v>0.12869464416503906</v>
      </c>
      <c r="I39" s="19">
        <f t="shared" ca="1" si="18"/>
        <v>0.30861728820800782</v>
      </c>
      <c r="J39" s="18">
        <f t="shared" si="16"/>
        <v>11200</v>
      </c>
      <c r="K39" s="17">
        <f>[3]!'WTXOU0;11200P`267'</f>
        <v>69</v>
      </c>
      <c r="L39" s="17">
        <f>[3]!'WTXOU0;11200P`268'</f>
        <v>290</v>
      </c>
      <c r="M39" s="17" t="str">
        <f>[3]!'WTXOU0;11200P`205'</f>
        <v>-</v>
      </c>
      <c r="N39" s="19">
        <f t="shared" ca="1" si="19"/>
        <v>0.17141711730957035</v>
      </c>
      <c r="O39" s="19">
        <f t="shared" ca="1" si="20"/>
        <v>0.31862655334472656</v>
      </c>
      <c r="P39" s="14">
        <f t="shared" ca="1" si="8"/>
        <v>0</v>
      </c>
      <c r="Q39" s="14">
        <v>0</v>
      </c>
      <c r="R39" s="14">
        <f t="shared" ca="1" si="21"/>
        <v>0</v>
      </c>
      <c r="S39" s="36">
        <f t="shared" ca="1" si="22"/>
        <v>0</v>
      </c>
      <c r="T39" s="36"/>
      <c r="U39" s="49">
        <f t="shared" ca="1" si="11"/>
        <v>0</v>
      </c>
      <c r="V39" s="49">
        <f t="shared" ca="1" si="12"/>
        <v>0</v>
      </c>
    </row>
    <row r="40" spans="1:22" x14ac:dyDescent="0.25">
      <c r="A40" s="36">
        <f t="shared" ca="1" si="1"/>
        <v>0</v>
      </c>
      <c r="B40" s="14">
        <f t="shared" ca="1" si="2"/>
        <v>0</v>
      </c>
      <c r="C40" s="14">
        <v>0</v>
      </c>
      <c r="D40" s="14">
        <f t="shared" ca="1" si="3"/>
        <v>0</v>
      </c>
      <c r="E40" s="17">
        <f>[3]!'WTXOU0;11300C`267'</f>
        <v>805</v>
      </c>
      <c r="F40" s="17">
        <f>[3]!'WTXOU0;11300C`268'</f>
        <v>1060</v>
      </c>
      <c r="G40" s="17" t="str">
        <f>[3]!'WTXOU0;11300C`205'</f>
        <v>-</v>
      </c>
      <c r="H40" s="19">
        <f t="shared" ca="1" si="17"/>
        <v>0.13296689147949217</v>
      </c>
      <c r="I40" s="19">
        <f t="shared" ca="1" si="18"/>
        <v>0.30165962829589843</v>
      </c>
      <c r="J40" s="18">
        <f t="shared" si="16"/>
        <v>11300</v>
      </c>
      <c r="K40" s="17">
        <f>[3]!'WTXOU0;11300P`267'</f>
        <v>65</v>
      </c>
      <c r="L40" s="17">
        <f>[3]!'WTXOU0;11300P`268'</f>
        <v>307</v>
      </c>
      <c r="M40" s="17" t="str">
        <f>[3]!'WTXOU0;11300P`205'</f>
        <v>-</v>
      </c>
      <c r="N40" s="19">
        <f t="shared" ca="1" si="19"/>
        <v>0.15420606384277344</v>
      </c>
      <c r="O40" s="19">
        <f t="shared" ca="1" si="20"/>
        <v>0.30971586608886714</v>
      </c>
      <c r="P40" s="14">
        <f t="shared" ca="1" si="8"/>
        <v>0</v>
      </c>
      <c r="Q40" s="14">
        <v>0</v>
      </c>
      <c r="R40" s="14">
        <f t="shared" ca="1" si="21"/>
        <v>0</v>
      </c>
      <c r="S40" s="36">
        <f t="shared" ca="1" si="22"/>
        <v>0</v>
      </c>
      <c r="T40" s="36"/>
      <c r="U40" s="49">
        <f t="shared" ca="1" si="11"/>
        <v>0</v>
      </c>
      <c r="V40" s="49">
        <f t="shared" ca="1" si="12"/>
        <v>0</v>
      </c>
    </row>
    <row r="41" spans="1:22" x14ac:dyDescent="0.25">
      <c r="A41" s="36">
        <f t="shared" ca="1" si="1"/>
        <v>0</v>
      </c>
      <c r="B41" s="14">
        <f t="shared" ca="1" si="2"/>
        <v>0</v>
      </c>
      <c r="C41" s="14">
        <v>0</v>
      </c>
      <c r="D41" s="14">
        <f t="shared" ca="1" si="3"/>
        <v>0</v>
      </c>
      <c r="E41" s="17">
        <f>[3]!'WTXOU0;11400C`267'</f>
        <v>725</v>
      </c>
      <c r="F41" s="17">
        <f>[3]!'WTXOU0;11400C`268'</f>
        <v>970</v>
      </c>
      <c r="G41" s="17" t="str">
        <f>[3]!'WTXOU0;11400C`205'</f>
        <v>-</v>
      </c>
      <c r="H41" s="19">
        <f t="shared" ca="1" si="17"/>
        <v>0.13711707458496092</v>
      </c>
      <c r="I41" s="19">
        <f t="shared" ca="1" si="18"/>
        <v>0.28835462951660162</v>
      </c>
      <c r="J41" s="18">
        <f t="shared" si="16"/>
        <v>11400</v>
      </c>
      <c r="K41" s="17">
        <f>[3]!'WTXOU0;11400P`267'</f>
        <v>86</v>
      </c>
      <c r="L41" s="17">
        <f>[3]!'WTXOU0;11400P`268'</f>
        <v>212</v>
      </c>
      <c r="M41" s="17">
        <f>[3]!'WTXOU0;11400P`205'</f>
        <v>213</v>
      </c>
      <c r="N41" s="19">
        <f t="shared" ca="1" si="19"/>
        <v>0.15591496276855468</v>
      </c>
      <c r="O41" s="19">
        <f t="shared" ca="1" si="20"/>
        <v>0.23635527648925783</v>
      </c>
      <c r="P41" s="14">
        <f t="shared" ca="1" si="8"/>
        <v>0</v>
      </c>
      <c r="Q41" s="14">
        <v>0</v>
      </c>
      <c r="R41" s="14">
        <f t="shared" ca="1" si="21"/>
        <v>0</v>
      </c>
      <c r="S41" s="36">
        <f t="shared" ca="1" si="22"/>
        <v>0</v>
      </c>
      <c r="T41" s="36"/>
      <c r="U41" s="49">
        <f t="shared" ca="1" si="11"/>
        <v>0</v>
      </c>
      <c r="V41" s="49">
        <f t="shared" ca="1" si="12"/>
        <v>0</v>
      </c>
    </row>
    <row r="42" spans="1:22" x14ac:dyDescent="0.25">
      <c r="A42" s="36">
        <f t="shared" ca="1" si="1"/>
        <v>0</v>
      </c>
      <c r="B42" s="14">
        <f t="shared" ca="1" si="2"/>
        <v>0</v>
      </c>
      <c r="C42" s="14">
        <v>0</v>
      </c>
      <c r="D42" s="14">
        <f t="shared" ca="1" si="3"/>
        <v>0</v>
      </c>
      <c r="E42" s="17">
        <f>[3]!'WTXOU0;11500C`267'</f>
        <v>770</v>
      </c>
      <c r="F42" s="17">
        <f>[3]!'WTXOU0;11500C`268'</f>
        <v>890</v>
      </c>
      <c r="G42" s="17" t="str">
        <f>[3]!'WTXOU0;11500C`205'</f>
        <v>-</v>
      </c>
      <c r="H42" s="19">
        <f t="shared" ca="1" si="17"/>
        <v>0.2145057830810547</v>
      </c>
      <c r="I42" s="19">
        <f t="shared" ca="1" si="18"/>
        <v>0.27981013488769535</v>
      </c>
      <c r="J42" s="18">
        <f t="shared" si="16"/>
        <v>11500</v>
      </c>
      <c r="K42" s="17">
        <f>[3]!'WTXOU0;11500P`267'</f>
        <v>202</v>
      </c>
      <c r="L42" s="17">
        <f>[3]!'WTXOU0;11500P`268'</f>
        <v>225</v>
      </c>
      <c r="M42" s="17">
        <f>[3]!'WTXOU0;11500P`205'</f>
        <v>224</v>
      </c>
      <c r="N42" s="19">
        <f t="shared" ca="1" si="19"/>
        <v>0.21218656311035161</v>
      </c>
      <c r="O42" s="19">
        <f t="shared" ca="1" si="20"/>
        <v>0.22573569030761717</v>
      </c>
      <c r="P42" s="14">
        <f t="shared" ca="1" si="8"/>
        <v>0</v>
      </c>
      <c r="Q42" s="14">
        <v>0</v>
      </c>
      <c r="R42" s="14">
        <f t="shared" ca="1" si="21"/>
        <v>0</v>
      </c>
      <c r="S42" s="36">
        <f t="shared" ca="1" si="22"/>
        <v>0</v>
      </c>
      <c r="T42" s="36"/>
      <c r="U42" s="49">
        <f t="shared" ca="1" si="11"/>
        <v>0</v>
      </c>
      <c r="V42" s="49">
        <f t="shared" ca="1" si="12"/>
        <v>0</v>
      </c>
    </row>
    <row r="43" spans="1:22" x14ac:dyDescent="0.25">
      <c r="A43" s="36">
        <f t="shared" ca="1" si="1"/>
        <v>0</v>
      </c>
      <c r="B43" s="14">
        <f t="shared" ca="1" si="2"/>
        <v>0</v>
      </c>
      <c r="C43" s="14">
        <v>0</v>
      </c>
      <c r="D43" s="14">
        <f t="shared" ca="1" si="3"/>
        <v>0</v>
      </c>
      <c r="E43" s="17">
        <f>[3]!'WTXOU0;11600C`267'</f>
        <v>700</v>
      </c>
      <c r="F43" s="17">
        <f>[3]!'WTXOU0;11600C`268'</f>
        <v>715</v>
      </c>
      <c r="G43" s="17" t="str">
        <f>[3]!'WTXOU0;11600C`205'</f>
        <v>-</v>
      </c>
      <c r="H43" s="19">
        <f t="shared" ca="1" si="17"/>
        <v>0.21267481994628909</v>
      </c>
      <c r="I43" s="19">
        <f t="shared" ca="1" si="18"/>
        <v>0.21975454406738285</v>
      </c>
      <c r="J43" s="18">
        <f t="shared" si="16"/>
        <v>11600</v>
      </c>
      <c r="K43" s="17">
        <f>[3]!'WTXOU0;11600P`267'</f>
        <v>241</v>
      </c>
      <c r="L43" s="17">
        <f>[3]!'WTXOU0;11600P`268'</f>
        <v>247</v>
      </c>
      <c r="M43" s="17">
        <f>[3]!'WTXOU0;11600P`205'</f>
        <v>261</v>
      </c>
      <c r="N43" s="19">
        <f t="shared" ca="1" si="19"/>
        <v>0.21536023254394535</v>
      </c>
      <c r="O43" s="19">
        <f t="shared" ca="1" si="20"/>
        <v>0.21914422302246095</v>
      </c>
      <c r="P43" s="14">
        <f t="shared" ca="1" si="8"/>
        <v>0</v>
      </c>
      <c r="Q43" s="14">
        <v>0</v>
      </c>
      <c r="R43" s="14">
        <f t="shared" ca="1" si="21"/>
        <v>0</v>
      </c>
      <c r="S43" s="36">
        <f t="shared" ca="1" si="22"/>
        <v>0</v>
      </c>
      <c r="T43" s="36"/>
      <c r="U43" s="49">
        <f t="shared" ca="1" si="11"/>
        <v>0</v>
      </c>
      <c r="V43" s="49">
        <f t="shared" ca="1" si="12"/>
        <v>0</v>
      </c>
    </row>
    <row r="44" spans="1:22" x14ac:dyDescent="0.25">
      <c r="A44" s="36">
        <f t="shared" ca="1" si="1"/>
        <v>0</v>
      </c>
      <c r="B44" s="14">
        <f t="shared" ca="1" si="2"/>
        <v>0</v>
      </c>
      <c r="C44" s="14">
        <v>0</v>
      </c>
      <c r="D44" s="14">
        <f t="shared" ca="1" si="3"/>
        <v>0</v>
      </c>
      <c r="E44" s="17">
        <f>[3]!'WTXOU0;11700C`267'</f>
        <v>630</v>
      </c>
      <c r="F44" s="17">
        <f>[3]!'WTXOU0;11700C`268'</f>
        <v>645</v>
      </c>
      <c r="G44" s="17" t="str">
        <f>[3]!'WTXOU0;11700C`205'</f>
        <v>-</v>
      </c>
      <c r="H44" s="19">
        <f t="shared" ca="1" si="17"/>
        <v>0.20913495788574221</v>
      </c>
      <c r="I44" s="19">
        <f t="shared" ca="1" si="18"/>
        <v>0.21597055358886721</v>
      </c>
      <c r="J44" s="18">
        <f t="shared" si="16"/>
        <v>11700</v>
      </c>
      <c r="K44" s="17">
        <f>[3]!'WTXOU0;11700P`267'</f>
        <v>266</v>
      </c>
      <c r="L44" s="17">
        <f>[3]!'WTXOU0;11700P`268'</f>
        <v>276</v>
      </c>
      <c r="M44" s="17" t="str">
        <f>[3]!'WTXOU0;11700P`205'</f>
        <v>-</v>
      </c>
      <c r="N44" s="19">
        <f t="shared" ca="1" si="19"/>
        <v>0.20913495788574221</v>
      </c>
      <c r="O44" s="19">
        <f t="shared" ca="1" si="20"/>
        <v>0.2149940399169922</v>
      </c>
      <c r="P44" s="14">
        <f t="shared" ca="1" si="8"/>
        <v>0</v>
      </c>
      <c r="Q44" s="14">
        <v>0</v>
      </c>
      <c r="R44" s="14">
        <f t="shared" ca="1" si="21"/>
        <v>0</v>
      </c>
      <c r="S44" s="36">
        <f t="shared" ca="1" si="22"/>
        <v>0</v>
      </c>
      <c r="T44" s="36"/>
      <c r="U44" s="49">
        <f t="shared" ca="1" si="11"/>
        <v>0</v>
      </c>
      <c r="V44" s="49">
        <f t="shared" ca="1" si="12"/>
        <v>0</v>
      </c>
    </row>
    <row r="45" spans="1:22" x14ac:dyDescent="0.25">
      <c r="A45" s="36">
        <f t="shared" ca="1" si="1"/>
        <v>0</v>
      </c>
      <c r="B45" s="14">
        <f t="shared" ca="1" si="2"/>
        <v>0</v>
      </c>
      <c r="C45" s="14">
        <v>0</v>
      </c>
      <c r="D45" s="14">
        <f t="shared" ca="1" si="3"/>
        <v>0</v>
      </c>
      <c r="E45" s="17">
        <f>[3]!'WTXOU0;11800C`267'</f>
        <v>560</v>
      </c>
      <c r="F45" s="17">
        <f>[3]!'WTXOU0;11800C`268'</f>
        <v>570</v>
      </c>
      <c r="G45" s="17">
        <f>[3]!'WTXOU0;11800C`205'</f>
        <v>535</v>
      </c>
      <c r="H45" s="19">
        <f t="shared" ca="1" si="17"/>
        <v>0.20400826110839843</v>
      </c>
      <c r="I45" s="19">
        <f t="shared" ca="1" si="18"/>
        <v>0.20815844421386723</v>
      </c>
      <c r="J45" s="18">
        <f t="shared" si="16"/>
        <v>11800</v>
      </c>
      <c r="K45" s="17">
        <f>[3]!'WTXOU0;11800P`267'</f>
        <v>296</v>
      </c>
      <c r="L45" s="17">
        <f>[3]!'WTXOU0;11800P`268'</f>
        <v>306</v>
      </c>
      <c r="M45" s="17">
        <f>[3]!'WTXOU0;11800P`205'</f>
        <v>297</v>
      </c>
      <c r="N45" s="19">
        <f t="shared" ca="1" si="19"/>
        <v>0.20400826110839843</v>
      </c>
      <c r="O45" s="19">
        <f t="shared" ca="1" si="20"/>
        <v>0.20974527893066408</v>
      </c>
      <c r="P45" s="14">
        <f t="shared" ca="1" si="8"/>
        <v>0</v>
      </c>
      <c r="Q45" s="14">
        <v>0</v>
      </c>
      <c r="R45" s="14">
        <f t="shared" ca="1" si="21"/>
        <v>0</v>
      </c>
      <c r="S45" s="36">
        <f t="shared" ca="1" si="22"/>
        <v>0</v>
      </c>
      <c r="T45" s="36"/>
      <c r="U45" s="49">
        <f t="shared" ca="1" si="11"/>
        <v>0</v>
      </c>
      <c r="V45" s="49">
        <f t="shared" ca="1" si="12"/>
        <v>0</v>
      </c>
    </row>
    <row r="46" spans="1:22" x14ac:dyDescent="0.25">
      <c r="A46" s="36">
        <f t="shared" ca="1" si="1"/>
        <v>0</v>
      </c>
      <c r="B46" s="14">
        <f t="shared" ca="1" si="2"/>
        <v>0</v>
      </c>
      <c r="C46" s="14">
        <v>0</v>
      </c>
      <c r="D46" s="14">
        <f t="shared" ca="1" si="3"/>
        <v>0</v>
      </c>
      <c r="E46" s="17">
        <f>[3]!'WTXOU0;11900C`267'</f>
        <v>495</v>
      </c>
      <c r="F46" s="17">
        <f>[3]!'WTXOU0;11900C`268'</f>
        <v>500</v>
      </c>
      <c r="G46" s="17">
        <f>[3]!'WTXOU0;11900C`205'</f>
        <v>485</v>
      </c>
      <c r="H46" s="19">
        <f t="shared" ca="1" si="17"/>
        <v>0.19973601379394532</v>
      </c>
      <c r="I46" s="19">
        <f t="shared" ca="1" si="18"/>
        <v>0.2013228485107422</v>
      </c>
      <c r="J46" s="18">
        <f t="shared" si="16"/>
        <v>11900</v>
      </c>
      <c r="K46" s="17">
        <f>[3]!'WTXOU0;11900P`267'</f>
        <v>331</v>
      </c>
      <c r="L46" s="17">
        <f>[3]!'WTXOU0;11900P`268'</f>
        <v>339</v>
      </c>
      <c r="M46" s="17" t="str">
        <f>[3]!'WTXOU0;11900P`205'</f>
        <v>-</v>
      </c>
      <c r="N46" s="19">
        <f t="shared" ca="1" si="19"/>
        <v>0.19973601379394532</v>
      </c>
      <c r="O46" s="19">
        <f t="shared" ca="1" si="20"/>
        <v>0.20437445373535157</v>
      </c>
      <c r="P46" s="14">
        <f t="shared" ca="1" si="8"/>
        <v>0</v>
      </c>
      <c r="Q46" s="14">
        <v>0</v>
      </c>
      <c r="R46" s="14">
        <f t="shared" ca="1" si="21"/>
        <v>0</v>
      </c>
      <c r="S46" s="36">
        <f t="shared" ca="1" si="22"/>
        <v>0</v>
      </c>
      <c r="T46" s="36"/>
      <c r="U46" s="49">
        <f t="shared" ca="1" si="11"/>
        <v>0</v>
      </c>
      <c r="V46" s="49">
        <f t="shared" ca="1" si="12"/>
        <v>0</v>
      </c>
    </row>
    <row r="47" spans="1:22" x14ac:dyDescent="0.25">
      <c r="A47" s="36">
        <f t="shared" ca="1" si="1"/>
        <v>0</v>
      </c>
      <c r="B47" s="14">
        <f t="shared" ca="1" si="2"/>
        <v>0</v>
      </c>
      <c r="C47" s="14">
        <v>0</v>
      </c>
      <c r="D47" s="14">
        <f t="shared" ca="1" si="3"/>
        <v>0</v>
      </c>
      <c r="E47" s="17">
        <f>[3]!'WTXOU0;12000C`267'</f>
        <v>430</v>
      </c>
      <c r="F47" s="17">
        <f>[3]!'WTXOU0;12000C`268'</f>
        <v>441</v>
      </c>
      <c r="G47" s="17">
        <f>[3]!'WTXOU0;12000C`205'</f>
        <v>422</v>
      </c>
      <c r="H47" s="19">
        <f t="shared" ca="1" si="17"/>
        <v>0.19363280334472657</v>
      </c>
      <c r="I47" s="19">
        <f t="shared" ca="1" si="18"/>
        <v>0.1982712432861328</v>
      </c>
      <c r="J47" s="18">
        <f t="shared" si="16"/>
        <v>12000</v>
      </c>
      <c r="K47" s="17">
        <f>[3]!'WTXOU0;12000P`267'</f>
        <v>369</v>
      </c>
      <c r="L47" s="17">
        <f>[3]!'WTXOU0;12000P`268'</f>
        <v>377</v>
      </c>
      <c r="M47" s="17">
        <f>[3]!'WTXOU0;12000P`205'</f>
        <v>381</v>
      </c>
      <c r="N47" s="19">
        <f t="shared" ca="1" si="19"/>
        <v>0.19509757385253906</v>
      </c>
      <c r="O47" s="19">
        <f t="shared" ca="1" si="20"/>
        <v>0.19973601379394532</v>
      </c>
      <c r="P47" s="14">
        <f t="shared" ca="1" si="8"/>
        <v>0</v>
      </c>
      <c r="Q47" s="14">
        <v>0</v>
      </c>
      <c r="R47" s="14">
        <f t="shared" ca="1" si="21"/>
        <v>0</v>
      </c>
      <c r="S47" s="36">
        <f t="shared" ca="1" si="22"/>
        <v>0</v>
      </c>
      <c r="T47" s="36"/>
      <c r="U47" s="49">
        <f t="shared" ca="1" si="11"/>
        <v>0</v>
      </c>
      <c r="V47" s="49">
        <f t="shared" ca="1" si="12"/>
        <v>0</v>
      </c>
    </row>
    <row r="48" spans="1:22" x14ac:dyDescent="0.25">
      <c r="A48" s="36">
        <f t="shared" ca="1" si="1"/>
        <v>0</v>
      </c>
      <c r="B48" s="14">
        <f t="shared" ca="1" si="2"/>
        <v>0</v>
      </c>
      <c r="C48" s="14">
        <v>0</v>
      </c>
      <c r="D48" s="14">
        <f t="shared" ca="1" si="3"/>
        <v>0</v>
      </c>
      <c r="E48" s="17">
        <f>[3]!'WTXOU0;12100C`267'</f>
        <v>377</v>
      </c>
      <c r="F48" s="17">
        <f>[3]!'WTXOU0;12100C`268'</f>
        <v>385</v>
      </c>
      <c r="G48" s="17" t="str">
        <f>[3]!'WTXOU0;12100C`205'</f>
        <v>-</v>
      </c>
      <c r="H48" s="19">
        <f t="shared" ca="1" si="17"/>
        <v>0.19167977600097658</v>
      </c>
      <c r="I48" s="19">
        <f t="shared" ca="1" si="18"/>
        <v>0.19485344543457031</v>
      </c>
      <c r="J48" s="18">
        <f t="shared" si="16"/>
        <v>12100</v>
      </c>
      <c r="K48" s="17">
        <f>[3]!'WTXOU0;12100P`267'</f>
        <v>411</v>
      </c>
      <c r="L48" s="17">
        <f>[3]!'WTXOU0;12100P`268'</f>
        <v>420</v>
      </c>
      <c r="M48" s="17" t="str">
        <f>[3]!'WTXOU0;12100P`205'</f>
        <v>-</v>
      </c>
      <c r="N48" s="19">
        <f t="shared" ca="1" si="19"/>
        <v>0.19070326232910156</v>
      </c>
      <c r="O48" s="19">
        <f t="shared" ca="1" si="20"/>
        <v>0.19582995910644532</v>
      </c>
      <c r="P48" s="14">
        <f t="shared" ca="1" si="8"/>
        <v>0</v>
      </c>
      <c r="Q48" s="14">
        <v>0</v>
      </c>
      <c r="R48" s="14">
        <f t="shared" ca="1" si="21"/>
        <v>0</v>
      </c>
      <c r="S48" s="36">
        <f t="shared" ca="1" si="22"/>
        <v>0</v>
      </c>
      <c r="T48" s="36"/>
      <c r="U48" s="49">
        <f t="shared" ca="1" si="11"/>
        <v>0</v>
      </c>
      <c r="V48" s="49">
        <f t="shared" ca="1" si="12"/>
        <v>0</v>
      </c>
    </row>
    <row r="49" spans="1:22" x14ac:dyDescent="0.25">
      <c r="A49" s="36">
        <f t="shared" ca="1" si="1"/>
        <v>0</v>
      </c>
      <c r="B49" s="14">
        <f t="shared" ca="1" si="2"/>
        <v>0</v>
      </c>
      <c r="C49" s="14">
        <v>0</v>
      </c>
      <c r="D49" s="14">
        <f t="shared" ca="1" si="3"/>
        <v>0</v>
      </c>
      <c r="E49" s="17">
        <f>[3]!'WTXOU0;12200C`267'</f>
        <v>324</v>
      </c>
      <c r="F49" s="17">
        <f>[3]!'WTXOU0;12200C`268'</f>
        <v>333</v>
      </c>
      <c r="G49" s="17">
        <f>[3]!'WTXOU0;12200C`205'</f>
        <v>329</v>
      </c>
      <c r="H49" s="19">
        <f t="shared" ca="1" si="17"/>
        <v>0.18777372131347658</v>
      </c>
      <c r="I49" s="19">
        <f t="shared" ca="1" si="18"/>
        <v>0.19155771179199219</v>
      </c>
      <c r="J49" s="18">
        <f t="shared" si="16"/>
        <v>12200</v>
      </c>
      <c r="K49" s="17">
        <f>[3]!'WTXOU0;12200P`267'</f>
        <v>458</v>
      </c>
      <c r="L49" s="17">
        <f>[3]!'WTXOU0;12200P`268'</f>
        <v>468</v>
      </c>
      <c r="M49" s="17">
        <f>[3]!'WTXOU0;12200P`205'</f>
        <v>475</v>
      </c>
      <c r="N49" s="19">
        <f t="shared" ca="1" si="19"/>
        <v>0.18679720764160157</v>
      </c>
      <c r="O49" s="19">
        <f t="shared" ca="1" si="20"/>
        <v>0.1925342254638672</v>
      </c>
      <c r="P49" s="14">
        <f t="shared" ca="1" si="8"/>
        <v>0</v>
      </c>
      <c r="Q49" s="14">
        <v>0</v>
      </c>
      <c r="R49" s="14">
        <f t="shared" ca="1" si="21"/>
        <v>0</v>
      </c>
      <c r="S49" s="36">
        <f t="shared" ca="1" si="22"/>
        <v>0</v>
      </c>
      <c r="T49" s="36"/>
      <c r="U49" s="49">
        <f t="shared" ca="1" si="11"/>
        <v>0</v>
      </c>
      <c r="V49" s="49">
        <f t="shared" ca="1" si="12"/>
        <v>0</v>
      </c>
    </row>
    <row r="50" spans="1:22" x14ac:dyDescent="0.25">
      <c r="A50" s="36">
        <f t="shared" ca="1" si="1"/>
        <v>0</v>
      </c>
      <c r="B50" s="14">
        <f t="shared" ca="1" si="2"/>
        <v>0</v>
      </c>
      <c r="C50" s="14">
        <v>0</v>
      </c>
      <c r="D50" s="14">
        <f t="shared" ca="1" si="3"/>
        <v>0</v>
      </c>
      <c r="E50" s="17">
        <f>[3]!'WTXOU0;12300C`267'</f>
        <v>276</v>
      </c>
      <c r="F50" s="17">
        <f>[3]!'WTXOU0;12300C`268'</f>
        <v>285</v>
      </c>
      <c r="G50" s="17">
        <f>[3]!'WTXOU0;12300C`205'</f>
        <v>275</v>
      </c>
      <c r="H50" s="19">
        <f t="shared" ca="1" si="17"/>
        <v>0.1842338592529297</v>
      </c>
      <c r="I50" s="19">
        <f t="shared" ca="1" si="18"/>
        <v>0.1881399139404297</v>
      </c>
      <c r="J50" s="18">
        <f t="shared" si="16"/>
        <v>12300</v>
      </c>
      <c r="K50" s="17">
        <f>[3]!'WTXOU0;12300P`267'</f>
        <v>505</v>
      </c>
      <c r="L50" s="17">
        <f>[3]!'WTXOU0;12300P`268'</f>
        <v>525</v>
      </c>
      <c r="M50" s="17">
        <f>[3]!'WTXOU0;12300P`205'</f>
        <v>535</v>
      </c>
      <c r="N50" s="19">
        <f t="shared" ca="1" si="19"/>
        <v>0.18081606140136722</v>
      </c>
      <c r="O50" s="19">
        <f t="shared" ca="1" si="20"/>
        <v>0.19155771179199219</v>
      </c>
      <c r="P50" s="14">
        <f t="shared" ca="1" si="8"/>
        <v>0</v>
      </c>
      <c r="Q50" s="14">
        <v>0</v>
      </c>
      <c r="R50" s="14">
        <f t="shared" ca="1" si="21"/>
        <v>0</v>
      </c>
      <c r="S50" s="36">
        <f t="shared" ca="1" si="22"/>
        <v>0</v>
      </c>
      <c r="T50" s="36"/>
      <c r="U50" s="49">
        <f t="shared" ca="1" si="11"/>
        <v>0</v>
      </c>
      <c r="V50" s="49">
        <f t="shared" ca="1" si="12"/>
        <v>0</v>
      </c>
    </row>
    <row r="51" spans="1:22" x14ac:dyDescent="0.25">
      <c r="A51" s="36">
        <f t="shared" ca="1" si="1"/>
        <v>0</v>
      </c>
      <c r="B51" s="14">
        <f t="shared" ca="1" si="2"/>
        <v>0</v>
      </c>
      <c r="C51" s="14">
        <v>0</v>
      </c>
      <c r="D51" s="14">
        <f t="shared" ca="1" si="3"/>
        <v>0</v>
      </c>
      <c r="E51" s="17">
        <f>[3]!'WTXOU0;12400C`267'</f>
        <v>232</v>
      </c>
      <c r="F51" s="17">
        <f>[3]!'WTXOU0;12400C`268'</f>
        <v>242</v>
      </c>
      <c r="G51" s="17">
        <f>[3]!'WTXOU0;12400C`205'</f>
        <v>230</v>
      </c>
      <c r="H51" s="19">
        <f t="shared" ca="1" si="17"/>
        <v>0.18057193298339846</v>
      </c>
      <c r="I51" s="19">
        <f t="shared" ca="1" si="18"/>
        <v>0.18508830871582035</v>
      </c>
      <c r="J51" s="18">
        <f t="shared" si="16"/>
        <v>12400</v>
      </c>
      <c r="K51" s="17">
        <f>[3]!'WTXOU0;12400P`267'</f>
        <v>565</v>
      </c>
      <c r="L51" s="17">
        <f>[3]!'WTXOU0;12400P`268'</f>
        <v>580</v>
      </c>
      <c r="M51" s="17">
        <f>[3]!'WTXOU0;12400P`205'</f>
        <v>605</v>
      </c>
      <c r="N51" s="19">
        <f t="shared" ca="1" si="19"/>
        <v>0.17910716247558595</v>
      </c>
      <c r="O51" s="19">
        <f t="shared" ca="1" si="20"/>
        <v>0.18765165710449219</v>
      </c>
      <c r="P51" s="14">
        <f t="shared" ca="1" si="8"/>
        <v>0</v>
      </c>
      <c r="Q51" s="14">
        <v>0</v>
      </c>
      <c r="R51" s="14">
        <f t="shared" ca="1" si="21"/>
        <v>0</v>
      </c>
      <c r="S51" s="36">
        <f t="shared" ca="1" si="22"/>
        <v>0</v>
      </c>
      <c r="T51" s="36"/>
      <c r="U51" s="49">
        <f t="shared" ca="1" si="11"/>
        <v>0</v>
      </c>
      <c r="V51" s="49">
        <f t="shared" ca="1" si="12"/>
        <v>0</v>
      </c>
    </row>
    <row r="52" spans="1:22" x14ac:dyDescent="0.25">
      <c r="A52" s="36">
        <f t="shared" ca="1" si="1"/>
        <v>0</v>
      </c>
      <c r="B52" s="14">
        <f t="shared" ca="1" si="2"/>
        <v>0</v>
      </c>
      <c r="C52" s="14">
        <v>0</v>
      </c>
      <c r="D52" s="14">
        <f t="shared" ca="1" si="3"/>
        <v>0</v>
      </c>
      <c r="E52" s="17">
        <f>[3]!'WTXOU0;12500C`267'</f>
        <v>196</v>
      </c>
      <c r="F52" s="17">
        <f>[3]!'WTXOU0;12500C`268'</f>
        <v>204</v>
      </c>
      <c r="G52" s="17">
        <f>[3]!'WTXOU0;12500C`205'</f>
        <v>204</v>
      </c>
      <c r="H52" s="19">
        <f t="shared" ca="1" si="17"/>
        <v>0.17886303405761719</v>
      </c>
      <c r="I52" s="19">
        <f t="shared" ca="1" si="18"/>
        <v>0.18252496032714843</v>
      </c>
      <c r="J52" s="18">
        <f t="shared" si="16"/>
        <v>12500</v>
      </c>
      <c r="K52" s="17">
        <f>[3]!'WTXOU0;12500P`267'</f>
        <v>625</v>
      </c>
      <c r="L52" s="17">
        <f>[3]!'WTXOU0;12500P`268'</f>
        <v>645</v>
      </c>
      <c r="M52" s="17">
        <f>[3]!'WTXOU0;12500P`205'</f>
        <v>670</v>
      </c>
      <c r="N52" s="19">
        <f t="shared" ca="1" si="19"/>
        <v>0.17507904357910159</v>
      </c>
      <c r="O52" s="19">
        <f t="shared" ca="1" si="20"/>
        <v>0.18679720764160157</v>
      </c>
      <c r="P52" s="14">
        <f t="shared" ca="1" si="8"/>
        <v>0</v>
      </c>
      <c r="Q52" s="14">
        <v>0</v>
      </c>
      <c r="R52" s="14">
        <f t="shared" ca="1" si="21"/>
        <v>0</v>
      </c>
      <c r="S52" s="36">
        <f t="shared" ca="1" si="22"/>
        <v>0</v>
      </c>
      <c r="T52" s="36"/>
      <c r="U52" s="49">
        <f t="shared" ca="1" si="11"/>
        <v>0</v>
      </c>
      <c r="V52" s="49">
        <f t="shared" ca="1" si="12"/>
        <v>0</v>
      </c>
    </row>
    <row r="53" spans="1:22" x14ac:dyDescent="0.25">
      <c r="A53" s="36">
        <f t="shared" ca="1" si="1"/>
        <v>0</v>
      </c>
      <c r="B53" s="14">
        <f t="shared" ca="1" si="2"/>
        <v>0</v>
      </c>
      <c r="C53" s="14">
        <v>0</v>
      </c>
      <c r="D53" s="14">
        <f t="shared" ca="1" si="3"/>
        <v>0</v>
      </c>
      <c r="E53" s="17">
        <f>[3]!'WTXOU0;12600C`267'</f>
        <v>160</v>
      </c>
      <c r="F53" s="17">
        <f>[3]!'WTXOU0;12600C`268'</f>
        <v>172</v>
      </c>
      <c r="G53" s="17">
        <f>[3]!'WTXOU0;12600C`205'</f>
        <v>169</v>
      </c>
      <c r="H53" s="19">
        <f t="shared" ca="1" si="17"/>
        <v>0.17483491516113284</v>
      </c>
      <c r="I53" s="19">
        <f t="shared" ca="1" si="18"/>
        <v>0.18106018981933597</v>
      </c>
      <c r="J53" s="18">
        <f t="shared" si="16"/>
        <v>12600</v>
      </c>
      <c r="K53" s="17">
        <f>[3]!'WTXOU0;12600P`267'</f>
        <v>600</v>
      </c>
      <c r="L53" s="17">
        <f>[3]!'WTXOU0;12600P`268'</f>
        <v>835</v>
      </c>
      <c r="M53" s="17" t="str">
        <f>[3]!'WTXOU0;12600P`205'</f>
        <v>-</v>
      </c>
      <c r="N53" s="19">
        <f t="shared" ca="1" si="19"/>
        <v>0.11599996643066407</v>
      </c>
      <c r="O53" s="19">
        <f t="shared" ca="1" si="20"/>
        <v>0.25051472473144532</v>
      </c>
      <c r="P53" s="14">
        <f t="shared" ca="1" si="8"/>
        <v>0</v>
      </c>
      <c r="Q53" s="14">
        <v>0</v>
      </c>
      <c r="R53" s="14">
        <f t="shared" ca="1" si="21"/>
        <v>0</v>
      </c>
      <c r="S53" s="36">
        <f t="shared" ca="1" si="22"/>
        <v>0</v>
      </c>
      <c r="T53" s="36"/>
      <c r="U53" s="49">
        <f t="shared" ca="1" si="11"/>
        <v>0</v>
      </c>
      <c r="V53" s="49">
        <f t="shared" ca="1" si="12"/>
        <v>0</v>
      </c>
    </row>
    <row r="54" spans="1:22" x14ac:dyDescent="0.25">
      <c r="A54" s="36">
        <f t="shared" ca="1" si="1"/>
        <v>0</v>
      </c>
      <c r="B54" s="14">
        <f t="shared" ca="1" si="2"/>
        <v>0</v>
      </c>
      <c r="C54" s="14">
        <v>0</v>
      </c>
      <c r="D54" s="14">
        <f t="shared" ca="1" si="3"/>
        <v>0</v>
      </c>
      <c r="E54" s="17">
        <f>[3]!'WTXOU0;12700C`267'</f>
        <v>30.5</v>
      </c>
      <c r="F54" s="17">
        <f>[3]!'WTXOU0;12700C`268'</f>
        <v>253</v>
      </c>
      <c r="G54" s="17" t="str">
        <f>[3]!'WTXOU0;12700C`205'</f>
        <v>-</v>
      </c>
      <c r="H54" s="19">
        <f t="shared" ca="1" si="17"/>
        <v>0.10098606872558594</v>
      </c>
      <c r="I54" s="19">
        <f t="shared" ca="1" si="18"/>
        <v>0.24087165222167969</v>
      </c>
      <c r="J54" s="18">
        <f t="shared" si="16"/>
        <v>12700</v>
      </c>
      <c r="K54" s="17">
        <f>[3]!'WTXOU0;12700P`267'</f>
        <v>670</v>
      </c>
      <c r="L54" s="17">
        <f>[3]!'WTXOU0;12700P`268'</f>
        <v>825</v>
      </c>
      <c r="M54" s="17" t="str">
        <f>[3]!'WTXOU0;12700P`205'</f>
        <v>-</v>
      </c>
      <c r="N54" s="19">
        <f t="shared" ca="1" si="19"/>
        <v>0.10428180236816409</v>
      </c>
      <c r="O54" s="19">
        <f t="shared" ca="1" si="20"/>
        <v>0.20742605895996097</v>
      </c>
      <c r="P54" s="14">
        <f t="shared" ca="1" si="8"/>
        <v>0</v>
      </c>
      <c r="Q54" s="14">
        <v>0</v>
      </c>
      <c r="R54" s="14">
        <f t="shared" ca="1" si="21"/>
        <v>0</v>
      </c>
      <c r="S54" s="36">
        <f t="shared" ca="1" si="22"/>
        <v>0</v>
      </c>
      <c r="T54" s="36"/>
      <c r="U54" s="49">
        <f t="shared" ca="1" si="11"/>
        <v>0</v>
      </c>
      <c r="V54" s="49">
        <f t="shared" ca="1" si="12"/>
        <v>0</v>
      </c>
    </row>
    <row r="55" spans="1:22" x14ac:dyDescent="0.25">
      <c r="A55" s="36">
        <f t="shared" ca="1" si="1"/>
        <v>0</v>
      </c>
      <c r="B55" s="14">
        <f t="shared" ca="1" si="2"/>
        <v>0</v>
      </c>
      <c r="C55" s="14">
        <v>0</v>
      </c>
      <c r="D55" s="14">
        <f t="shared" ca="1" si="3"/>
        <v>0</v>
      </c>
      <c r="E55" s="17">
        <f>[3]!'WTXOU0;12800C`267'</f>
        <v>100</v>
      </c>
      <c r="F55" s="17">
        <f>[3]!'WTXOU0;12800C`268'</f>
        <v>129</v>
      </c>
      <c r="G55" s="17">
        <f>[3]!'WTXOU0;12800C`205'</f>
        <v>109</v>
      </c>
      <c r="H55" s="19">
        <f t="shared" ca="1" si="17"/>
        <v>0.16629042053222656</v>
      </c>
      <c r="I55" s="19">
        <f t="shared" ca="1" si="18"/>
        <v>0.18460005187988285</v>
      </c>
      <c r="J55" s="18">
        <f t="shared" si="16"/>
        <v>12800</v>
      </c>
      <c r="K55" s="17">
        <f>[3]!'WTXOU0;12800P`267'</f>
        <v>740</v>
      </c>
      <c r="L55" s="17">
        <f>[3]!'WTXOU0;12800P`268'</f>
        <v>985</v>
      </c>
      <c r="M55" s="17" t="str">
        <f>[3]!'WTXOU0;12800P`205'</f>
        <v>-</v>
      </c>
      <c r="N55" s="19">
        <f t="shared" ca="1" si="19"/>
        <v>7.2178915405273436E-2</v>
      </c>
      <c r="O55" s="19">
        <f t="shared" ca="1" si="20"/>
        <v>0.25564142150878905</v>
      </c>
      <c r="P55" s="14">
        <f t="shared" ca="1" si="8"/>
        <v>0</v>
      </c>
      <c r="Q55" s="14">
        <v>0</v>
      </c>
      <c r="R55" s="14">
        <f t="shared" ca="1" si="21"/>
        <v>0</v>
      </c>
      <c r="S55" s="36">
        <f t="shared" ca="1" si="22"/>
        <v>0</v>
      </c>
      <c r="T55" s="36"/>
      <c r="U55" s="49">
        <f t="shared" ca="1" si="11"/>
        <v>0</v>
      </c>
      <c r="V55" s="49">
        <f t="shared" ca="1" si="12"/>
        <v>0</v>
      </c>
    </row>
    <row r="56" spans="1:22" x14ac:dyDescent="0.25">
      <c r="J56" s="18"/>
      <c r="K56" s="17"/>
      <c r="L56" s="17"/>
      <c r="M56" s="17"/>
      <c r="N56" s="19"/>
      <c r="O56" s="19"/>
      <c r="P56" s="14"/>
      <c r="Q56" s="14"/>
      <c r="R56" s="14"/>
      <c r="S56" s="36"/>
      <c r="T56" s="36"/>
      <c r="U56" s="49"/>
      <c r="V56" s="49"/>
    </row>
    <row r="57" spans="1:22" x14ac:dyDescent="0.25">
      <c r="J57" s="18"/>
      <c r="K57" s="17"/>
      <c r="L57" s="17"/>
      <c r="M57" s="17"/>
      <c r="N57" s="19"/>
      <c r="O57" s="19"/>
      <c r="P57" s="14"/>
      <c r="Q57" s="14"/>
      <c r="R57" s="14"/>
      <c r="S57" s="36"/>
      <c r="T57" s="36"/>
      <c r="U57" s="49"/>
      <c r="V57" s="49"/>
    </row>
    <row r="58" spans="1:22" x14ac:dyDescent="0.25">
      <c r="J58" s="18"/>
    </row>
    <row r="59" spans="1:22" x14ac:dyDescent="0.25">
      <c r="J59" s="18"/>
    </row>
    <row r="60" spans="1:22" x14ac:dyDescent="0.25">
      <c r="J60" s="18"/>
    </row>
    <row r="61" spans="1:22" x14ac:dyDescent="0.25">
      <c r="J61" s="18"/>
    </row>
  </sheetData>
  <mergeCells count="2">
    <mergeCell ref="A9:I9"/>
    <mergeCell ref="K9:S9"/>
  </mergeCells>
  <phoneticPr fontId="4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AJ61"/>
  <sheetViews>
    <sheetView workbookViewId="0">
      <selection activeCell="A2" sqref="A2"/>
    </sheetView>
  </sheetViews>
  <sheetFormatPr defaultRowHeight="16.5" x14ac:dyDescent="0.25"/>
  <cols>
    <col min="1" max="1" width="12.875" customWidth="1"/>
    <col min="2" max="2" width="16.125" customWidth="1"/>
    <col min="3" max="3" width="11.125" customWidth="1"/>
    <col min="4" max="4" width="13.875" customWidth="1"/>
    <col min="5" max="5" width="10.5" bestFit="1" customWidth="1"/>
    <col min="6" max="6" width="13.5" customWidth="1"/>
    <col min="7" max="7" width="12.25" customWidth="1"/>
    <col min="8" max="8" width="9.5" bestFit="1" customWidth="1"/>
    <col min="10" max="10" width="11.75" bestFit="1" customWidth="1"/>
    <col min="12" max="12" width="13.125" customWidth="1"/>
    <col min="13" max="13" width="12" customWidth="1"/>
    <col min="14" max="14" width="11" customWidth="1"/>
    <col min="15" max="15" width="14.625" customWidth="1"/>
    <col min="16" max="16" width="14.375" customWidth="1"/>
    <col min="17" max="17" width="13.75" customWidth="1"/>
    <col min="18" max="18" width="14.125" customWidth="1"/>
    <col min="19" max="20" width="13.125" customWidth="1"/>
    <col min="21" max="23" width="10.625" customWidth="1"/>
    <col min="24" max="24" width="9.5" bestFit="1" customWidth="1"/>
  </cols>
  <sheetData>
    <row r="1" spans="1:36" x14ac:dyDescent="0.25">
      <c r="A1" s="1" t="s">
        <v>53</v>
      </c>
      <c r="B1" s="1" t="s">
        <v>48</v>
      </c>
      <c r="C1" s="1" t="s">
        <v>51</v>
      </c>
      <c r="D1" s="1" t="s">
        <v>52</v>
      </c>
      <c r="E1" s="2" t="s">
        <v>21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7</v>
      </c>
      <c r="L1" s="1" t="s">
        <v>15</v>
      </c>
      <c r="M1" s="2" t="s">
        <v>8</v>
      </c>
      <c r="N1" s="2" t="s">
        <v>9</v>
      </c>
      <c r="O1" s="2" t="s">
        <v>50</v>
      </c>
      <c r="P1" s="7" t="s">
        <v>20</v>
      </c>
      <c r="Q1" s="10" t="s">
        <v>19</v>
      </c>
      <c r="R1" s="10" t="s">
        <v>30</v>
      </c>
    </row>
    <row r="2" spans="1:36" x14ac:dyDescent="0.25">
      <c r="A2" s="22"/>
      <c r="B2" s="37">
        <f ca="1">SUM($B$11:$B$34)+SUM(R11:R34)</f>
        <v>-436502.07965729572</v>
      </c>
      <c r="C2" s="37">
        <f ca="1">SUM(A11:A34)+SUM(S11:S34)</f>
        <v>-1435.9571665301348</v>
      </c>
      <c r="D2" s="37">
        <f ca="1">IF(ISNUMBER(SUM(D11:D34)+SUM(P11:P34)),SUM(D11:D34)+SUM(P11:P34),0)</f>
        <v>-78470.774936058588</v>
      </c>
      <c r="E2" s="37">
        <f>SUMIF(C11:C50,"&gt;0",C11:C50)+SUMIF(Q11:Q50,"&gt;0",Q11:Q50)</f>
        <v>30</v>
      </c>
      <c r="F2" s="22" t="str">
        <f>[1]!'101090`644'</f>
        <v>台指期090</v>
      </c>
      <c r="G2" s="23">
        <f>[1]!'101090`743'</f>
        <v>12064</v>
      </c>
      <c r="H2" s="23">
        <f>[1]!'101090`744'</f>
        <v>12067</v>
      </c>
      <c r="I2" s="23">
        <f>[1]!'101090`205'</f>
        <v>12067</v>
      </c>
      <c r="J2" s="23">
        <f>[1]!'101090`1003'</f>
        <v>29</v>
      </c>
      <c r="K2" s="24">
        <f>[1]!'101090`1004'</f>
        <v>0.24090300000000001</v>
      </c>
      <c r="L2" s="23" t="e">
        <f>I2-I3</f>
        <v>#VALUE!</v>
      </c>
      <c r="M2" s="29">
        <f>ThirdWednesday("2020/09/01")</f>
        <v>44090</v>
      </c>
      <c r="N2" s="30">
        <f ca="1">IF(TODAY()=M2,$S$2/252,(COUNTIF(工作日!$B$2:$B$500,"&lt;="&amp;M2)-COUNTIF(工作日!$B$2:$B$500,"&lt;"&amp;TODAY())-$S$2)/252)</f>
        <v>0.18253968253968253</v>
      </c>
      <c r="O2" s="30">
        <f ca="1">IF(TODAY()=M2,0.001/252,(COUNTIF(工作日!$B$2:$B$133,"&lt;="&amp;M2)-COUNTIF(工作日!$B$2:$B$133,"&lt;="&amp;TODAY())-$S$2)/252)</f>
        <v>0.17857142857142858</v>
      </c>
      <c r="P2" s="8">
        <f>I2*0.01</f>
        <v>120.67</v>
      </c>
      <c r="Q2" s="11"/>
      <c r="R2" s="11">
        <f ca="1">SUM($U$11:$U$37)+SUM($V$11:$V$37)</f>
        <v>-4643.4813965835228</v>
      </c>
      <c r="S2" s="21">
        <f ca="1">IF(OR(TEXT(NOW(),"hh:mm")&gt;$U$3,TEXT(NOW(),"hh:mm")&lt;$U$3),0,VALUE(TEXT(NOW()-$U$2,"h:mm")/$X$2))</f>
        <v>0</v>
      </c>
      <c r="T2" s="21"/>
      <c r="U2" s="40" t="str">
        <f>TEXT("08:45:00 AM","h:mm")</f>
        <v>8:45</v>
      </c>
      <c r="V2" s="40"/>
      <c r="W2" s="40" t="str">
        <f>TEXT("08:45:00 AM","h:mm")</f>
        <v>8:45</v>
      </c>
      <c r="X2" s="35">
        <v>0.20833333333333334</v>
      </c>
      <c r="Y2" s="40" t="str">
        <f>TEXT("01:45:00 PM","h:mm")</f>
        <v>13:45</v>
      </c>
    </row>
    <row r="3" spans="1:36" x14ac:dyDescent="0.25">
      <c r="A3" s="25">
        <v>0</v>
      </c>
      <c r="B3" s="38">
        <f>A3*I2*200</f>
        <v>0</v>
      </c>
      <c r="C3" s="38"/>
      <c r="D3" s="38"/>
      <c r="F3" s="25" t="str">
        <f>[1]!'101999`644'</f>
        <v>台指期</v>
      </c>
      <c r="G3" s="26" t="str">
        <f>[1]!'101999`743'</f>
        <v>-</v>
      </c>
      <c r="H3" s="26" t="str">
        <f>[1]!'101999`744'</f>
        <v>-</v>
      </c>
      <c r="I3" s="26" t="str">
        <f>[1]!'101999`205'</f>
        <v>-</v>
      </c>
      <c r="J3" s="26">
        <f>[1]!'101999`1003'</f>
        <v>0</v>
      </c>
      <c r="K3" s="27">
        <f>[1]!'101999`1004'</f>
        <v>0</v>
      </c>
      <c r="L3" s="26"/>
      <c r="M3" s="26"/>
      <c r="N3" s="31"/>
      <c r="O3" s="31"/>
      <c r="P3" s="8"/>
      <c r="S3" s="9"/>
      <c r="T3" s="9"/>
    </row>
    <row r="4" spans="1:36" x14ac:dyDescent="0.25">
      <c r="A4" s="25"/>
      <c r="B4" s="38">
        <f ca="1">IF(ISNUMBER(B2+B3),B2+B3,0)</f>
        <v>-436502.07965729572</v>
      </c>
      <c r="C4" s="38"/>
      <c r="D4" s="39">
        <f ca="1">B4/D2/100</f>
        <v>5.5626069707222427E-2</v>
      </c>
      <c r="F4" s="22" t="str">
        <f>[1]!'102090`644'</f>
        <v>電子期090</v>
      </c>
      <c r="G4" s="23">
        <f>[1]!'102090`743'</f>
        <v>556.25</v>
      </c>
      <c r="H4" s="23">
        <f>[1]!'102090`744'</f>
        <v>558.54999999999995</v>
      </c>
      <c r="I4" s="23">
        <f>[1]!'102090`205'</f>
        <v>556.75</v>
      </c>
      <c r="J4" s="23">
        <f>[1]!'102090`1003'</f>
        <v>-16</v>
      </c>
      <c r="K4" s="24">
        <f>[1]!'102090`1004'</f>
        <v>-2.793539</v>
      </c>
      <c r="L4" s="26" t="e">
        <f>I4-I5</f>
        <v>#VALUE!</v>
      </c>
      <c r="M4" s="29">
        <f>ThirdWednesday("2020/09/01")</f>
        <v>44090</v>
      </c>
      <c r="N4" s="30">
        <f ca="1">IF(TODAY()=M4,$S$2/252,(COUNTIF(工作日!$B$2:$B$133,"&lt;="&amp;M4)-COUNTIF(工作日!$B$2:$B$133,"&lt;"&amp;TODAY())-$S$2)/252)</f>
        <v>0.18253968253968253</v>
      </c>
      <c r="O4" s="30">
        <f ca="1">(COUNTIF(工作日!$B$2:$B$133,"&lt;="&amp;M4)-COUNTIF(工作日!$B$2:$B$133,"&lt;="&amp;TODAY())-$S$2)/252</f>
        <v>0.17857142857142858</v>
      </c>
      <c r="P4" s="8"/>
      <c r="Q4">
        <f ca="1">COUNTIF(工作日!$B$2:$B$2,"&lt;="&amp;M2)-COUNTIF(工作日!$B$2:$B$2,"&lt;"&amp;TODAY())</f>
        <v>1</v>
      </c>
      <c r="S4" s="9"/>
      <c r="T4" s="9"/>
    </row>
    <row r="5" spans="1:36" x14ac:dyDescent="0.25">
      <c r="F5" s="25" t="str">
        <f>[1]!'102999`644'</f>
        <v>電子期</v>
      </c>
      <c r="G5" s="26" t="str">
        <f>[1]!'102999`743'</f>
        <v>-</v>
      </c>
      <c r="H5" s="26" t="str">
        <f>[1]!'102999`744'</f>
        <v>-</v>
      </c>
      <c r="I5" s="26" t="str">
        <f>[1]!'102999`205'</f>
        <v>-</v>
      </c>
      <c r="J5" s="26">
        <f>[1]!'102999`1003'</f>
        <v>0</v>
      </c>
      <c r="K5" s="27">
        <f>[1]!'102999`1004'</f>
        <v>0</v>
      </c>
      <c r="L5" s="26"/>
      <c r="M5" s="26"/>
      <c r="N5" s="31"/>
      <c r="O5" s="31"/>
      <c r="P5" s="8"/>
      <c r="S5" s="9"/>
      <c r="T5" s="9"/>
    </row>
    <row r="6" spans="1:36" x14ac:dyDescent="0.25">
      <c r="F6" s="22" t="str">
        <f>[1]!'103090`644'</f>
        <v>金融期090</v>
      </c>
      <c r="G6" s="23">
        <f>[1]!'103090`743'</f>
        <v>1251.2</v>
      </c>
      <c r="H6" s="23">
        <f>[1]!'103090`744'</f>
        <v>1255</v>
      </c>
      <c r="I6" s="23" t="str">
        <f>[1]!'103090`205'</f>
        <v>-</v>
      </c>
      <c r="J6" s="23">
        <f>[1]!'103090`1003'</f>
        <v>0</v>
      </c>
      <c r="K6" s="24">
        <f>[1]!'103090`1004'</f>
        <v>0</v>
      </c>
      <c r="L6" s="26" t="e">
        <f>I6-I7</f>
        <v>#VALUE!</v>
      </c>
      <c r="M6" s="32">
        <f>M4</f>
        <v>44090</v>
      </c>
      <c r="N6" s="30">
        <f ca="1">IF(TODAY()=M6,$S$2/252,(COUNTIF(工作日!$B$2:$B$133,"&lt;="&amp;M6)-COUNTIF(工作日!$B$2:$B$133,"&lt;"&amp;TODAY())-$S$2)/252)</f>
        <v>0.18253968253968253</v>
      </c>
      <c r="O6" s="30">
        <f ca="1">(COUNTIF(工作日!$B$2:$B$133,"&lt;="&amp;M6)-COUNTIF(工作日!$B$2:$B$133,"&lt;="&amp;TODAY())-$S$2)/252</f>
        <v>0.17857142857142858</v>
      </c>
      <c r="P6" s="8"/>
      <c r="S6" s="9"/>
      <c r="T6" s="9"/>
    </row>
    <row r="7" spans="1:36" x14ac:dyDescent="0.25">
      <c r="F7" s="25" t="str">
        <f>[1]!'103999`644'</f>
        <v>金融期</v>
      </c>
      <c r="G7" s="26" t="str">
        <f>[1]!'103999`743'</f>
        <v>-</v>
      </c>
      <c r="H7" s="26" t="str">
        <f>[1]!'103999`744'</f>
        <v>-</v>
      </c>
      <c r="I7" s="26">
        <f>[1]!'103999`205'</f>
        <v>1283.28</v>
      </c>
      <c r="J7" s="26">
        <f>[1]!'103999`1003'</f>
        <v>3.57</v>
      </c>
      <c r="K7" s="27">
        <f>[1]!'103999`1004'</f>
        <v>0.27896900000000002</v>
      </c>
      <c r="L7" s="28"/>
      <c r="M7" s="33"/>
      <c r="N7" s="34"/>
      <c r="O7" s="34"/>
      <c r="P7" s="8"/>
    </row>
    <row r="8" spans="1:36" x14ac:dyDescent="0.25">
      <c r="D8" s="9"/>
      <c r="U8" t="s">
        <v>0</v>
      </c>
      <c r="W8" t="s">
        <v>0</v>
      </c>
    </row>
    <row r="9" spans="1:36" ht="17.25" thickBot="1" x14ac:dyDescent="0.3">
      <c r="A9" s="310" t="s">
        <v>1</v>
      </c>
      <c r="B9" s="311"/>
      <c r="C9" s="311"/>
      <c r="D9" s="311"/>
      <c r="E9" s="311"/>
      <c r="F9" s="311"/>
      <c r="G9" s="311"/>
      <c r="H9" s="311"/>
      <c r="I9" s="312"/>
      <c r="J9" s="16" t="s">
        <v>2950</v>
      </c>
      <c r="K9" s="310" t="s">
        <v>2</v>
      </c>
      <c r="L9" s="311"/>
      <c r="M9" s="311"/>
      <c r="N9" s="311"/>
      <c r="O9" s="311"/>
      <c r="P9" s="311"/>
      <c r="Q9" s="311"/>
      <c r="R9" s="311"/>
      <c r="S9" s="312"/>
    </row>
    <row r="10" spans="1:36" ht="17.25" thickBot="1" x14ac:dyDescent="0.3">
      <c r="A10" s="13" t="s">
        <v>49</v>
      </c>
      <c r="B10" s="13" t="s">
        <v>48</v>
      </c>
      <c r="C10" s="13" t="s">
        <v>21</v>
      </c>
      <c r="D10" s="13" t="s">
        <v>18</v>
      </c>
      <c r="E10" s="12" t="s">
        <v>3</v>
      </c>
      <c r="F10" s="12" t="s">
        <v>4</v>
      </c>
      <c r="G10" s="12" t="s">
        <v>5</v>
      </c>
      <c r="H10" s="12" t="s">
        <v>16</v>
      </c>
      <c r="I10" s="12" t="s">
        <v>17</v>
      </c>
      <c r="J10" s="16" t="s">
        <v>6</v>
      </c>
      <c r="K10" s="12" t="s">
        <v>3</v>
      </c>
      <c r="L10" s="12" t="s">
        <v>4</v>
      </c>
      <c r="M10" s="12" t="s">
        <v>5</v>
      </c>
      <c r="N10" s="12" t="s">
        <v>16</v>
      </c>
      <c r="O10" s="12" t="s">
        <v>17</v>
      </c>
      <c r="P10" s="13" t="s">
        <v>18</v>
      </c>
      <c r="Q10" s="13" t="s">
        <v>21</v>
      </c>
      <c r="R10" s="13" t="s">
        <v>48</v>
      </c>
      <c r="S10" s="13" t="s">
        <v>49</v>
      </c>
      <c r="T10" s="46"/>
      <c r="U10" s="44" t="s">
        <v>62</v>
      </c>
      <c r="V10" s="47" t="s">
        <v>63</v>
      </c>
      <c r="X10" s="4">
        <v>-0.03</v>
      </c>
      <c r="Y10" s="5">
        <f>X10+0.5%</f>
        <v>-2.4999999999999998E-2</v>
      </c>
      <c r="Z10" s="5">
        <f t="shared" ref="Z10:AJ10" si="0">Y10+0.5%</f>
        <v>-1.9999999999999997E-2</v>
      </c>
      <c r="AA10" s="5">
        <f t="shared" si="0"/>
        <v>-1.4999999999999996E-2</v>
      </c>
      <c r="AB10" s="5">
        <f t="shared" si="0"/>
        <v>-9.999999999999995E-3</v>
      </c>
      <c r="AC10" s="5">
        <f t="shared" si="0"/>
        <v>-4.9999999999999949E-3</v>
      </c>
      <c r="AD10" s="5">
        <f t="shared" si="0"/>
        <v>0</v>
      </c>
      <c r="AE10" s="5">
        <f t="shared" si="0"/>
        <v>5.0000000000000001E-3</v>
      </c>
      <c r="AF10" s="5">
        <f t="shared" si="0"/>
        <v>0.01</v>
      </c>
      <c r="AG10" s="5">
        <f t="shared" si="0"/>
        <v>1.4999999999999999E-2</v>
      </c>
      <c r="AH10" s="5">
        <f>AG10+0.5%</f>
        <v>0.02</v>
      </c>
      <c r="AI10" s="5">
        <f t="shared" si="0"/>
        <v>2.5000000000000001E-2</v>
      </c>
      <c r="AJ10" s="5">
        <f t="shared" si="0"/>
        <v>3.0000000000000002E-2</v>
      </c>
    </row>
    <row r="11" spans="1:36" x14ac:dyDescent="0.25">
      <c r="A11" s="36">
        <f t="shared" ref="A11:A37" ca="1" si="1">(GBSOption("C",$I$2,$J11, $N$2,$H11, 0,0)-GBSOption("C",$I$2,$J11, $O$2,$H11, 0,0))*$C11*50*-1</f>
        <v>0</v>
      </c>
      <c r="B11" s="14">
        <f t="shared" ref="B11:B37" ca="1" si="2">GBSGreeks("d", "C",$I$2,$J11,$N$2,$H11, 0,0)*50*$I$2*$C11</f>
        <v>0</v>
      </c>
      <c r="C11" s="14"/>
      <c r="D11" s="14">
        <f t="shared" ref="D11:D37" ca="1" si="3">GBSGreeks("g", "C",$I$2,$J11,$N$2,$H11, 0,0)*$P$2*50*$I$2*$C11*-1</f>
        <v>0</v>
      </c>
      <c r="E11" s="17">
        <f>[3]!'WTXOU0;6800C`267'</f>
        <v>5130</v>
      </c>
      <c r="F11" s="17">
        <f>[3]!'WTXOU0;6800C`268'</f>
        <v>5380</v>
      </c>
      <c r="G11" s="17" t="str">
        <f>[3]!'WTXOU0;6800C`205'</f>
        <v>-</v>
      </c>
      <c r="H11" s="19">
        <f t="shared" ref="H11:H37" ca="1" si="4">IF(ISNUMBER(GBSImpliedVol("C",E11,$G$2,$J11,$N$2,0,0)),GBSImpliedVol("C",E11,$G$2,$J11,$N$2,0,0),0.6)</f>
        <v>1.610321044921875E-4</v>
      </c>
      <c r="I11" s="19">
        <f t="shared" ref="I11:I37" ca="1" si="5">IF(ISNUMBER(GBSImpliedVol("C",F11,$H$2,$J11,$N$2,0,0)),GBSImpliedVol("C",F11,$H$2,$J11,$N$2,0,0),0.6)</f>
        <v>0.92040310363769529</v>
      </c>
      <c r="J11" s="18">
        <v>6800</v>
      </c>
      <c r="K11" s="17">
        <f>[3]!'WTXOU0;6800P`267'</f>
        <v>4</v>
      </c>
      <c r="L11" s="17">
        <f>[3]!'WTXOU0;6800P`268'</f>
        <v>7.5</v>
      </c>
      <c r="M11" s="17" t="str">
        <f>[3]!'WTXOU0;6800P`205'</f>
        <v>-</v>
      </c>
      <c r="N11" s="19">
        <f t="shared" ref="N11:N37" ca="1" si="6">IF(ISNUMBER(GBSImpliedVol("P",K11,$G$2,$J11,$N$2,0,0)),GBSImpliedVol("P",K11,$G$2,$J11,$N$2,0,0),0.6)</f>
        <v>0.53516846008300789</v>
      </c>
      <c r="O11" s="19">
        <f t="shared" ref="O11:O37" ca="1" si="7">IF(ISNUMBER(GBSImpliedVol("P",L11,$H$2,$J11,$N$2,0,0)),GBSImpliedVol("P",L11,$H$2,$J11,$N$2,0,0),0.6)</f>
        <v>0.5774026763916017</v>
      </c>
      <c r="P11" s="14">
        <f t="shared" ref="P11:P37" ca="1" si="8">GBSGreeks("g", "P",$I$2,$J11,$N$2,$N11, 0,0)*$P$2*50*$I$2*$Q11*-1</f>
        <v>0</v>
      </c>
      <c r="Q11" s="14">
        <v>0</v>
      </c>
      <c r="R11" s="14">
        <f t="shared" ref="R11:R37" ca="1" si="9">GBSGreeks("d", "P",$I$2,$J11,$N$2,$N11, 0,0)*50*$I$2*Q11</f>
        <v>0</v>
      </c>
      <c r="S11" s="36">
        <f t="shared" ref="S11:S37" ca="1" si="10">(GBSOption("P",$I$2,$J11,$N$2,N11,0,0)-GBSOption("P",$I$2,$J11,$O$2,N11,0,0))*Q11*50*-1</f>
        <v>0</v>
      </c>
      <c r="T11" s="36"/>
      <c r="U11" s="48">
        <f t="shared" ref="U11:U37" ca="1" si="11">(GBSOption("C",$I$2,$J11,$N$2,$H11,0, 0)-GBSOption("C",$I$2,$J11,$N$2,$H11+0.01,0, 0))*50*$C11</f>
        <v>0</v>
      </c>
      <c r="V11" s="48">
        <f t="shared" ref="V11:V37" ca="1" si="12">(GBSOption("P",$I$2,$J11,$N$2,$N11,0, 0)-GBSOption("P",$I$2,$J11,$N$2,$N11+0.01,0, 0))*50*$Q11</f>
        <v>0</v>
      </c>
      <c r="W11">
        <f t="shared" ref="W11:W20" si="13">J21</f>
        <v>8800</v>
      </c>
      <c r="X11" s="6">
        <f t="shared" ref="X11:AJ20" ca="1" si="14">GBSOption($I$2,$I$2*(1+X$10),$J21,$N$2,IF($W$8="C",$H21,$N21),0,0)</f>
        <v>30.992240080756876</v>
      </c>
      <c r="Y11" s="6">
        <f t="shared" ca="1" si="14"/>
        <v>28.819418142200433</v>
      </c>
      <c r="Z11" s="6">
        <f t="shared" ca="1" si="14"/>
        <v>26.788782500728882</v>
      </c>
      <c r="AA11" s="6">
        <f t="shared" ca="1" si="14"/>
        <v>24.891932181622352</v>
      </c>
      <c r="AB11" s="6">
        <f t="shared" ca="1" si="14"/>
        <v>23.120883458223336</v>
      </c>
      <c r="AC11" s="6">
        <f t="shared" ca="1" si="14"/>
        <v>21.468056035688765</v>
      </c>
      <c r="AD11" s="6">
        <f t="shared" ca="1" si="14"/>
        <v>19.926259058639928</v>
      </c>
      <c r="AE11" s="6">
        <f t="shared" ca="1" si="14"/>
        <v>18.48867701830833</v>
      </c>
      <c r="AF11" s="6">
        <f t="shared" ca="1" si="14"/>
        <v>17.148855628242362</v>
      </c>
      <c r="AG11" s="6">
        <f t="shared" ca="1" si="14"/>
        <v>15.900687731312667</v>
      </c>
      <c r="AH11" s="6">
        <f t="shared" ca="1" si="14"/>
        <v>14.738399294577233</v>
      </c>
      <c r="AI11" s="6">
        <f t="shared" ca="1" si="14"/>
        <v>13.656535542710605</v>
      </c>
      <c r="AJ11" s="6">
        <f t="shared" ca="1" si="14"/>
        <v>12.649947275063882</v>
      </c>
    </row>
    <row r="12" spans="1:36" x14ac:dyDescent="0.25">
      <c r="A12" s="36">
        <f t="shared" ca="1" si="1"/>
        <v>0</v>
      </c>
      <c r="B12" s="14">
        <f t="shared" ca="1" si="2"/>
        <v>0</v>
      </c>
      <c r="C12" s="14"/>
      <c r="D12" s="14">
        <f t="shared" ca="1" si="3"/>
        <v>0</v>
      </c>
      <c r="E12" s="17">
        <f>[3]!'WTXOU0;7000C`267'</f>
        <v>4930</v>
      </c>
      <c r="F12" s="17">
        <f>[3]!'WTXOU0;7000C`268'</f>
        <v>5180</v>
      </c>
      <c r="G12" s="17" t="str">
        <f>[3]!'WTXOU0;7000C`205'</f>
        <v>-</v>
      </c>
      <c r="H12" s="19">
        <f t="shared" ca="1" si="4"/>
        <v>1.610321044921875E-4</v>
      </c>
      <c r="I12" s="19">
        <f t="shared" ca="1" si="5"/>
        <v>0.88134255676269546</v>
      </c>
      <c r="J12" s="18">
        <f>J11+200</f>
        <v>7000</v>
      </c>
      <c r="K12" s="17">
        <f>[3]!'WTXOU0;7000P`267'</f>
        <v>7</v>
      </c>
      <c r="L12" s="17">
        <f>[3]!'WTXOU0;7000P`268'</f>
        <v>10</v>
      </c>
      <c r="M12" s="17" t="str">
        <f>[3]!'WTXOU0;7000P`205'</f>
        <v>-</v>
      </c>
      <c r="N12" s="19">
        <f t="shared" ca="1" si="6"/>
        <v>0.54578804626464839</v>
      </c>
      <c r="O12" s="19">
        <f t="shared" ca="1" si="7"/>
        <v>0.57203185119628919</v>
      </c>
      <c r="P12" s="14">
        <f t="shared" ca="1" si="8"/>
        <v>0</v>
      </c>
      <c r="Q12" s="14"/>
      <c r="R12" s="14">
        <f t="shared" ca="1" si="9"/>
        <v>0</v>
      </c>
      <c r="S12" s="36">
        <f t="shared" ca="1" si="10"/>
        <v>0</v>
      </c>
      <c r="T12" s="36"/>
      <c r="U12" s="49">
        <f t="shared" ca="1" si="11"/>
        <v>0</v>
      </c>
      <c r="V12" s="49">
        <f t="shared" ca="1" si="12"/>
        <v>0</v>
      </c>
      <c r="W12">
        <f t="shared" si="13"/>
        <v>9000</v>
      </c>
      <c r="X12" s="6">
        <f t="shared" ca="1" si="14"/>
        <v>36.587437745221138</v>
      </c>
      <c r="Y12" s="6">
        <f t="shared" ca="1" si="14"/>
        <v>33.999137982432799</v>
      </c>
      <c r="Z12" s="6">
        <f t="shared" ca="1" si="14"/>
        <v>31.580585596595416</v>
      </c>
      <c r="AA12" s="6">
        <f t="shared" ca="1" si="14"/>
        <v>29.321844890122652</v>
      </c>
      <c r="AB12" s="6">
        <f t="shared" ca="1" si="14"/>
        <v>27.213456445976263</v>
      </c>
      <c r="AC12" s="6">
        <f t="shared" ca="1" si="14"/>
        <v>25.246423536430239</v>
      </c>
      <c r="AD12" s="6">
        <f t="shared" ca="1" si="14"/>
        <v>23.412198054910355</v>
      </c>
      <c r="AE12" s="6">
        <f t="shared" ca="1" si="14"/>
        <v>21.702666075982961</v>
      </c>
      <c r="AF12" s="6">
        <f t="shared" ca="1" si="14"/>
        <v>20.110133141014554</v>
      </c>
      <c r="AG12" s="6">
        <f t="shared" ca="1" si="14"/>
        <v>18.627309359521178</v>
      </c>
      <c r="AH12" s="6">
        <f t="shared" ca="1" si="14"/>
        <v>17.247294408807399</v>
      </c>
      <c r="AI12" s="6">
        <f t="shared" ca="1" si="14"/>
        <v>15.963562507241427</v>
      </c>
      <c r="AJ12" s="6">
        <f t="shared" ca="1" si="14"/>
        <v>14.769947429447821</v>
      </c>
    </row>
    <row r="13" spans="1:36" x14ac:dyDescent="0.25">
      <c r="A13" s="36">
        <f t="shared" ca="1" si="1"/>
        <v>0</v>
      </c>
      <c r="B13" s="14">
        <f t="shared" ca="1" si="2"/>
        <v>0</v>
      </c>
      <c r="C13" s="14"/>
      <c r="D13" s="14">
        <f t="shared" ca="1" si="3"/>
        <v>0</v>
      </c>
      <c r="E13" s="17">
        <f>[3]!'WTXOU0;7200C`267'</f>
        <v>4730</v>
      </c>
      <c r="F13" s="17">
        <f>[3]!'WTXOU0;7200C`268'</f>
        <v>4980</v>
      </c>
      <c r="G13" s="20" t="str">
        <f>[3]!'WTXOU0;7200C`205'</f>
        <v>-</v>
      </c>
      <c r="H13" s="19">
        <f t="shared" ca="1" si="4"/>
        <v>1.610321044921875E-4</v>
      </c>
      <c r="I13" s="19">
        <f t="shared" ca="1" si="5"/>
        <v>0.84325852355957043</v>
      </c>
      <c r="J13" s="18">
        <f t="shared" ref="J13:J37" si="15">J12+200</f>
        <v>7200</v>
      </c>
      <c r="K13" s="17">
        <f>[3]!'WTXOU0;7200P`267'</f>
        <v>7</v>
      </c>
      <c r="L13" s="17">
        <f>[3]!'WTXOU0;7200P`268'</f>
        <v>11</v>
      </c>
      <c r="M13" s="17" t="str">
        <f>[3]!'WTXOU0;7200P`205'</f>
        <v>-</v>
      </c>
      <c r="N13" s="19">
        <f t="shared" ca="1" si="6"/>
        <v>0.52003249816894537</v>
      </c>
      <c r="O13" s="19">
        <f t="shared" ca="1" si="7"/>
        <v>0.55237951354980475</v>
      </c>
      <c r="P13" s="14">
        <f t="shared" ca="1" si="8"/>
        <v>0</v>
      </c>
      <c r="Q13" s="14"/>
      <c r="R13" s="14">
        <f t="shared" ca="1" si="9"/>
        <v>0</v>
      </c>
      <c r="S13" s="36">
        <f t="shared" ca="1" si="10"/>
        <v>0</v>
      </c>
      <c r="T13" s="36"/>
      <c r="U13" s="49">
        <f t="shared" ca="1" si="11"/>
        <v>0</v>
      </c>
      <c r="V13" s="49">
        <f t="shared" ca="1" si="12"/>
        <v>0</v>
      </c>
      <c r="W13">
        <f t="shared" si="13"/>
        <v>9200</v>
      </c>
      <c r="X13" s="6">
        <f t="shared" ca="1" si="14"/>
        <v>45.037311585340497</v>
      </c>
      <c r="Y13" s="6">
        <f t="shared" ca="1" si="14"/>
        <v>41.867853135953006</v>
      </c>
      <c r="Z13" s="6">
        <f t="shared" ca="1" si="14"/>
        <v>38.903544624470008</v>
      </c>
      <c r="AA13" s="6">
        <f t="shared" ca="1" si="14"/>
        <v>36.132702904738295</v>
      </c>
      <c r="AB13" s="6">
        <f t="shared" ca="1" si="14"/>
        <v>33.544170787718635</v>
      </c>
      <c r="AC13" s="6">
        <f t="shared" ca="1" si="14"/>
        <v>31.127305532760428</v>
      </c>
      <c r="AD13" s="6">
        <f t="shared" ca="1" si="14"/>
        <v>28.87196643158007</v>
      </c>
      <c r="AE13" s="6">
        <f t="shared" ca="1" si="14"/>
        <v>26.76850161955138</v>
      </c>
      <c r="AF13" s="6">
        <f t="shared" ca="1" si="14"/>
        <v>24.807734241625393</v>
      </c>
      <c r="AG13" s="6">
        <f t="shared" ca="1" si="14"/>
        <v>22.980948092572365</v>
      </c>
      <c r="AH13" s="6">
        <f t="shared" ca="1" si="14"/>
        <v>21.279872843422424</v>
      </c>
      <c r="AI13" s="6">
        <f t="shared" ca="1" si="14"/>
        <v>19.696668958119314</v>
      </c>
      <c r="AJ13" s="6">
        <f t="shared" ca="1" si="14"/>
        <v>18.223912396491905</v>
      </c>
    </row>
    <row r="14" spans="1:36" x14ac:dyDescent="0.25">
      <c r="A14" s="36">
        <f t="shared" ca="1" si="1"/>
        <v>0</v>
      </c>
      <c r="B14" s="14">
        <f t="shared" ca="1" si="2"/>
        <v>0</v>
      </c>
      <c r="C14" s="14"/>
      <c r="D14" s="14">
        <f t="shared" ca="1" si="3"/>
        <v>0</v>
      </c>
      <c r="E14" s="17">
        <f>[3]!'WTXOU0;7400C`267'</f>
        <v>4530</v>
      </c>
      <c r="F14" s="17">
        <f>[3]!'WTXOU0;7400C`268'</f>
        <v>4780</v>
      </c>
      <c r="G14" s="17" t="str">
        <f>[3]!'WTXOU0;7400C`205'</f>
        <v>-</v>
      </c>
      <c r="H14" s="19">
        <f t="shared" ca="1" si="4"/>
        <v>1.610321044921875E-4</v>
      </c>
      <c r="I14" s="19">
        <f t="shared" ca="1" si="5"/>
        <v>0.80615100402832041</v>
      </c>
      <c r="J14" s="18">
        <f t="shared" si="15"/>
        <v>7400</v>
      </c>
      <c r="K14" s="17">
        <f>[3]!'WTXOU0;7400P`267'</f>
        <v>8</v>
      </c>
      <c r="L14" s="17">
        <f>[3]!'WTXOU0;7400P`268'</f>
        <v>12</v>
      </c>
      <c r="M14" s="17" t="str">
        <f>[3]!'WTXOU0;7400P`205'</f>
        <v>-</v>
      </c>
      <c r="N14" s="19">
        <f t="shared" ca="1" si="6"/>
        <v>0.5035538299560548</v>
      </c>
      <c r="O14" s="19">
        <f t="shared" ca="1" si="7"/>
        <v>0.53248304748535158</v>
      </c>
      <c r="P14" s="14">
        <f t="shared" ca="1" si="8"/>
        <v>0</v>
      </c>
      <c r="Q14" s="14"/>
      <c r="R14" s="14">
        <f t="shared" ca="1" si="9"/>
        <v>0</v>
      </c>
      <c r="S14" s="36">
        <f t="shared" ca="1" si="10"/>
        <v>0</v>
      </c>
      <c r="T14" s="36"/>
      <c r="U14" s="49">
        <f t="shared" ca="1" si="11"/>
        <v>0</v>
      </c>
      <c r="V14" s="49">
        <f t="shared" ca="1" si="12"/>
        <v>0</v>
      </c>
      <c r="W14">
        <f t="shared" si="13"/>
        <v>9400</v>
      </c>
      <c r="X14" s="6">
        <f t="shared" ca="1" si="14"/>
        <v>26.426748511637804</v>
      </c>
      <c r="Y14" s="6">
        <f t="shared" ca="1" si="14"/>
        <v>24.070191422315673</v>
      </c>
      <c r="Z14" s="6">
        <f t="shared" ca="1" si="14"/>
        <v>21.907200318658074</v>
      </c>
      <c r="AA14" s="6">
        <f t="shared" ca="1" si="14"/>
        <v>19.923686430951157</v>
      </c>
      <c r="AB14" s="6">
        <f t="shared" ca="1" si="14"/>
        <v>18.106393362944424</v>
      </c>
      <c r="AC14" s="6">
        <f t="shared" ca="1" si="14"/>
        <v>16.442868338001432</v>
      </c>
      <c r="AD14" s="6">
        <f t="shared" ca="1" si="14"/>
        <v>14.921432143770087</v>
      </c>
      <c r="AE14" s="6">
        <f t="shared" ca="1" si="14"/>
        <v>13.531148109015716</v>
      </c>
      <c r="AF14" s="6">
        <f t="shared" ca="1" si="14"/>
        <v>12.261790418449843</v>
      </c>
      <c r="AG14" s="6">
        <f t="shared" ca="1" si="14"/>
        <v>11.103812043733456</v>
      </c>
      <c r="AH14" s="6">
        <f t="shared" ca="1" si="14"/>
        <v>10.048312541254457</v>
      </c>
      <c r="AI14" s="6">
        <f t="shared" ca="1" si="14"/>
        <v>9.0870059405020172</v>
      </c>
      <c r="AJ14" s="6">
        <f t="shared" ca="1" si="14"/>
        <v>8.2121889209172156</v>
      </c>
    </row>
    <row r="15" spans="1:36" x14ac:dyDescent="0.25">
      <c r="A15" s="36">
        <f t="shared" ca="1" si="1"/>
        <v>0</v>
      </c>
      <c r="B15" s="14">
        <f t="shared" ca="1" si="2"/>
        <v>0</v>
      </c>
      <c r="C15" s="14"/>
      <c r="D15" s="14">
        <f t="shared" ca="1" si="3"/>
        <v>0</v>
      </c>
      <c r="E15" s="17">
        <f>[3]!'WTXOU0;7600C`267'</f>
        <v>4330</v>
      </c>
      <c r="F15" s="17">
        <f>[3]!'WTXOU0;7600C`268'</f>
        <v>4580</v>
      </c>
      <c r="G15" s="17" t="str">
        <f>[3]!'WTXOU0;7600C`205'</f>
        <v>-</v>
      </c>
      <c r="H15" s="19">
        <f t="shared" ca="1" si="4"/>
        <v>1.610321044921875E-4</v>
      </c>
      <c r="I15" s="19">
        <f t="shared" ca="1" si="5"/>
        <v>0.76989793395996098</v>
      </c>
      <c r="J15" s="18">
        <f t="shared" si="15"/>
        <v>7600</v>
      </c>
      <c r="K15" s="17">
        <f>[3]!'WTXOU0;7600P`267'</f>
        <v>9</v>
      </c>
      <c r="L15" s="17">
        <f>[3]!'WTXOU0;7600P`268'</f>
        <v>13</v>
      </c>
      <c r="M15" s="17" t="str">
        <f>[3]!'WTXOU0;7600P`205'</f>
        <v>-</v>
      </c>
      <c r="N15" s="19">
        <f t="shared" ca="1" si="6"/>
        <v>0.48646484069824225</v>
      </c>
      <c r="O15" s="19">
        <f t="shared" ca="1" si="7"/>
        <v>0.51246451721191399</v>
      </c>
      <c r="P15" s="14">
        <f t="shared" ca="1" si="8"/>
        <v>0</v>
      </c>
      <c r="Q15" s="14"/>
      <c r="R15" s="14">
        <f t="shared" ca="1" si="9"/>
        <v>0</v>
      </c>
      <c r="S15" s="36">
        <f t="shared" ca="1" si="10"/>
        <v>0</v>
      </c>
      <c r="T15" s="36"/>
      <c r="U15" s="49">
        <f t="shared" ca="1" si="11"/>
        <v>0</v>
      </c>
      <c r="V15" s="49">
        <f t="shared" ca="1" si="12"/>
        <v>0</v>
      </c>
      <c r="W15">
        <f t="shared" si="13"/>
        <v>9600</v>
      </c>
      <c r="X15" s="6">
        <f t="shared" ca="1" si="14"/>
        <v>56.005748754666371</v>
      </c>
      <c r="Y15" s="6">
        <f t="shared" ca="1" si="14"/>
        <v>51.830193023786833</v>
      </c>
      <c r="Z15" s="6">
        <f t="shared" ca="1" si="14"/>
        <v>47.936585197222144</v>
      </c>
      <c r="AA15" s="6">
        <f t="shared" ca="1" si="14"/>
        <v>44.308636974493901</v>
      </c>
      <c r="AB15" s="6">
        <f t="shared" ca="1" si="14"/>
        <v>40.930750025239206</v>
      </c>
      <c r="AC15" s="6">
        <f t="shared" ca="1" si="14"/>
        <v>37.788009709961848</v>
      </c>
      <c r="AD15" s="6">
        <f t="shared" ca="1" si="14"/>
        <v>34.866176444401873</v>
      </c>
      <c r="AE15" s="6">
        <f t="shared" ca="1" si="14"/>
        <v>32.151674950579391</v>
      </c>
      <c r="AF15" s="6">
        <f t="shared" ca="1" si="14"/>
        <v>29.631581632214925</v>
      </c>
      <c r="AG15" s="6">
        <f t="shared" ca="1" si="14"/>
        <v>27.293610304822671</v>
      </c>
      <c r="AH15" s="6">
        <f t="shared" ca="1" si="14"/>
        <v>25.126096501916628</v>
      </c>
      <c r="AI15" s="6">
        <f t="shared" ca="1" si="14"/>
        <v>23.117980568506805</v>
      </c>
      <c r="AJ15" s="6">
        <f t="shared" ca="1" si="14"/>
        <v>21.258789741913102</v>
      </c>
    </row>
    <row r="16" spans="1:36" x14ac:dyDescent="0.25">
      <c r="A16" s="36">
        <f t="shared" ca="1" si="1"/>
        <v>0</v>
      </c>
      <c r="B16" s="14">
        <f t="shared" ca="1" si="2"/>
        <v>0</v>
      </c>
      <c r="C16" s="14"/>
      <c r="D16" s="14">
        <f t="shared" ca="1" si="3"/>
        <v>0</v>
      </c>
      <c r="E16" s="17">
        <f>[3]!'WTXOU0;7800C`267'</f>
        <v>4130</v>
      </c>
      <c r="F16" s="17">
        <f>[3]!'WTXOU0;7800C`268'</f>
        <v>4380</v>
      </c>
      <c r="G16" s="17" t="str">
        <f>[3]!'WTXOU0;7800C`205'</f>
        <v>-</v>
      </c>
      <c r="H16" s="19">
        <f t="shared" ca="1" si="4"/>
        <v>1.610321044921875E-4</v>
      </c>
      <c r="I16" s="19">
        <f t="shared" ca="1" si="5"/>
        <v>0.73449931335449226</v>
      </c>
      <c r="J16" s="18">
        <f t="shared" si="15"/>
        <v>7800</v>
      </c>
      <c r="K16" s="17">
        <f>[3]!'WTXOU0;7800P`267'</f>
        <v>10.5</v>
      </c>
      <c r="L16" s="17">
        <f>[3]!'WTXOU0;7800P`268'</f>
        <v>14.5</v>
      </c>
      <c r="M16" s="17" t="str">
        <f>[3]!'WTXOU0;7800P`205'</f>
        <v>-</v>
      </c>
      <c r="N16" s="19">
        <f t="shared" ca="1" si="6"/>
        <v>0.47181713562011718</v>
      </c>
      <c r="O16" s="19">
        <f t="shared" ca="1" si="7"/>
        <v>0.4947652069091798</v>
      </c>
      <c r="P16" s="14">
        <f t="shared" ca="1" si="8"/>
        <v>0</v>
      </c>
      <c r="Q16" s="14"/>
      <c r="R16" s="14">
        <f t="shared" ca="1" si="9"/>
        <v>0</v>
      </c>
      <c r="S16" s="36">
        <f t="shared" ca="1" si="10"/>
        <v>0</v>
      </c>
      <c r="T16" s="36"/>
      <c r="U16" s="49">
        <f t="shared" ca="1" si="11"/>
        <v>0</v>
      </c>
      <c r="V16" s="49">
        <f t="shared" ca="1" si="12"/>
        <v>0</v>
      </c>
      <c r="W16">
        <f t="shared" si="13"/>
        <v>9800</v>
      </c>
      <c r="X16" s="6">
        <f t="shared" ca="1" si="14"/>
        <v>65.972533039743681</v>
      </c>
      <c r="Y16" s="6">
        <f t="shared" ca="1" si="14"/>
        <v>61.000318752010422</v>
      </c>
      <c r="Z16" s="6">
        <f t="shared" ca="1" si="14"/>
        <v>56.36422217511921</v>
      </c>
      <c r="AA16" s="6">
        <f t="shared" ca="1" si="14"/>
        <v>52.045175612332535</v>
      </c>
      <c r="AB16" s="6">
        <f t="shared" ca="1" si="14"/>
        <v>48.024857213147421</v>
      </c>
      <c r="AC16" s="6">
        <f t="shared" ca="1" si="14"/>
        <v>44.285692805029107</v>
      </c>
      <c r="AD16" s="6">
        <f t="shared" ca="1" si="14"/>
        <v>40.810854266311779</v>
      </c>
      <c r="AE16" s="6">
        <f t="shared" ca="1" si="14"/>
        <v>37.584254724459853</v>
      </c>
      <c r="AF16" s="6">
        <f t="shared" ca="1" si="14"/>
        <v>34.590540866378788</v>
      </c>
      <c r="AG16" s="6">
        <f t="shared" ca="1" si="14"/>
        <v>31.815082646452641</v>
      </c>
      <c r="AH16" s="6">
        <f t="shared" ca="1" si="14"/>
        <v>29.243960673634636</v>
      </c>
      <c r="AI16" s="6">
        <f t="shared" ca="1" si="14"/>
        <v>26.863951551873928</v>
      </c>
      <c r="AJ16" s="6">
        <f t="shared" ca="1" si="14"/>
        <v>24.662511438932079</v>
      </c>
    </row>
    <row r="17" spans="1:36" x14ac:dyDescent="0.25">
      <c r="A17" s="36">
        <f t="shared" ca="1" si="1"/>
        <v>0</v>
      </c>
      <c r="B17" s="14">
        <f t="shared" ca="1" si="2"/>
        <v>0</v>
      </c>
      <c r="C17" s="14"/>
      <c r="D17" s="14">
        <f t="shared" ca="1" si="3"/>
        <v>0</v>
      </c>
      <c r="E17" s="17">
        <f>[3]!'WTXOU0;8000C`267'</f>
        <v>3930</v>
      </c>
      <c r="F17" s="17">
        <f>[3]!'WTXOU0;8000C`268'</f>
        <v>4190</v>
      </c>
      <c r="G17" s="17" t="str">
        <f>[3]!'WTXOU0;8000C`205'</f>
        <v>-</v>
      </c>
      <c r="H17" s="19">
        <f t="shared" ca="1" si="4"/>
        <v>1.610321044921875E-4</v>
      </c>
      <c r="I17" s="19">
        <f t="shared" ca="1" si="5"/>
        <v>0.71509110412597665</v>
      </c>
      <c r="J17" s="18">
        <f t="shared" si="15"/>
        <v>8000</v>
      </c>
      <c r="K17" s="17">
        <f>[3]!'WTXOU0;8000P`267'</f>
        <v>12.5</v>
      </c>
      <c r="L17" s="17">
        <f>[3]!'WTXOU0;8000P`268'</f>
        <v>16.5</v>
      </c>
      <c r="M17" s="17" t="str">
        <f>[3]!'WTXOU0;8000P`205'</f>
        <v>-</v>
      </c>
      <c r="N17" s="19">
        <f t="shared" ca="1" si="6"/>
        <v>0.45875626525878904</v>
      </c>
      <c r="O17" s="19">
        <f t="shared" ca="1" si="7"/>
        <v>0.47877479553222668</v>
      </c>
      <c r="P17" s="14">
        <f t="shared" ca="1" si="8"/>
        <v>0</v>
      </c>
      <c r="Q17" s="14"/>
      <c r="R17" s="14">
        <f t="shared" ca="1" si="9"/>
        <v>0</v>
      </c>
      <c r="S17" s="36">
        <f t="shared" ca="1" si="10"/>
        <v>0</v>
      </c>
      <c r="T17" s="36"/>
      <c r="U17" s="49">
        <f t="shared" ca="1" si="11"/>
        <v>0</v>
      </c>
      <c r="V17" s="49">
        <f t="shared" ca="1" si="12"/>
        <v>0</v>
      </c>
      <c r="W17">
        <f t="shared" si="13"/>
        <v>10000</v>
      </c>
      <c r="X17" s="6">
        <f t="shared" ca="1" si="14"/>
        <v>72.421387007668926</v>
      </c>
      <c r="Y17" s="6">
        <f t="shared" ca="1" si="14"/>
        <v>66.740865183759098</v>
      </c>
      <c r="Z17" s="6">
        <f t="shared" ca="1" si="14"/>
        <v>61.456246130376641</v>
      </c>
      <c r="AA17" s="6">
        <f t="shared" ca="1" si="14"/>
        <v>56.544806745354599</v>
      </c>
      <c r="AB17" s="6">
        <f t="shared" ca="1" si="14"/>
        <v>51.984665753303659</v>
      </c>
      <c r="AC17" s="6">
        <f t="shared" ca="1" si="14"/>
        <v>47.754796726973858</v>
      </c>
      <c r="AD17" s="6">
        <f t="shared" ca="1" si="14"/>
        <v>43.83503589127438</v>
      </c>
      <c r="AE17" s="6">
        <f t="shared" ca="1" si="14"/>
        <v>40.206085061812871</v>
      </c>
      <c r="AF17" s="6">
        <f t="shared" ca="1" si="14"/>
        <v>36.849510088144264</v>
      </c>
      <c r="AG17" s="6">
        <f t="shared" ca="1" si="14"/>
        <v>33.747735182970793</v>
      </c>
      <c r="AH17" s="6">
        <f t="shared" ca="1" si="14"/>
        <v>30.884033523103664</v>
      </c>
      <c r="AI17" s="6">
        <f t="shared" ca="1" si="14"/>
        <v>28.242514506931695</v>
      </c>
      <c r="AJ17" s="6">
        <f t="shared" ca="1" si="14"/>
        <v>25.808108047446687</v>
      </c>
    </row>
    <row r="18" spans="1:36" x14ac:dyDescent="0.25">
      <c r="A18" s="36">
        <f t="shared" ca="1" si="1"/>
        <v>0</v>
      </c>
      <c r="B18" s="14">
        <f t="shared" ca="1" si="2"/>
        <v>0</v>
      </c>
      <c r="C18" s="14"/>
      <c r="D18" s="14">
        <f t="shared" ca="1" si="3"/>
        <v>0</v>
      </c>
      <c r="E18" s="17">
        <f>[3]!'WTXOU0;8200C`267'</f>
        <v>3740</v>
      </c>
      <c r="F18" s="17">
        <f>[3]!'WTXOU0;8200C`268'</f>
        <v>3990</v>
      </c>
      <c r="G18" s="17" t="str">
        <f>[3]!'WTXOU0;8200C`205'</f>
        <v>-</v>
      </c>
      <c r="H18" s="19">
        <f t="shared" ca="1" si="4"/>
        <v>1.610321044921875E-4</v>
      </c>
      <c r="I18" s="19">
        <f t="shared" ca="1" si="5"/>
        <v>0.68066899719238294</v>
      </c>
      <c r="J18" s="18">
        <f t="shared" si="15"/>
        <v>8200</v>
      </c>
      <c r="K18" s="17">
        <f>[3]!'WTXOU0;8200P`267'</f>
        <v>14</v>
      </c>
      <c r="L18" s="17">
        <f>[3]!'WTXOU0;8200P`268'</f>
        <v>18</v>
      </c>
      <c r="M18" s="17" t="str">
        <f>[3]!'WTXOU0;8200P`205'</f>
        <v>-</v>
      </c>
      <c r="N18" s="19">
        <f t="shared" ca="1" si="6"/>
        <v>0.44178934020996097</v>
      </c>
      <c r="O18" s="19">
        <f t="shared" ca="1" si="7"/>
        <v>0.45985484313964842</v>
      </c>
      <c r="P18" s="14">
        <f t="shared" ca="1" si="8"/>
        <v>0</v>
      </c>
      <c r="Q18" s="14">
        <v>0</v>
      </c>
      <c r="R18" s="14">
        <f t="shared" ca="1" si="9"/>
        <v>0</v>
      </c>
      <c r="S18" s="36">
        <f t="shared" ca="1" si="10"/>
        <v>0</v>
      </c>
      <c r="T18" s="36"/>
      <c r="U18" s="49">
        <f t="shared" ca="1" si="11"/>
        <v>0</v>
      </c>
      <c r="V18" s="49">
        <f t="shared" ca="1" si="12"/>
        <v>0</v>
      </c>
      <c r="W18">
        <f t="shared" si="13"/>
        <v>10200</v>
      </c>
      <c r="X18" s="6">
        <f t="shared" ca="1" si="14"/>
        <v>20.371971766026849</v>
      </c>
      <c r="Y18" s="6">
        <f t="shared" ca="1" si="14"/>
        <v>17.652980115738909</v>
      </c>
      <c r="Z18" s="6">
        <f t="shared" ca="1" si="14"/>
        <v>15.263408736544804</v>
      </c>
      <c r="AA18" s="6">
        <f t="shared" ca="1" si="14"/>
        <v>13.168669408345952</v>
      </c>
      <c r="AB18" s="6">
        <f t="shared" ca="1" si="14"/>
        <v>11.336986584676836</v>
      </c>
      <c r="AC18" s="6">
        <f t="shared" ca="1" si="14"/>
        <v>9.7392930849461266</v>
      </c>
      <c r="AD18" s="6">
        <f t="shared" ca="1" si="14"/>
        <v>8.3491091212463591</v>
      </c>
      <c r="AE18" s="6">
        <f t="shared" ca="1" si="14"/>
        <v>7.1424087089227903</v>
      </c>
      <c r="AF18" s="6">
        <f t="shared" ca="1" si="14"/>
        <v>6.0974771708916586</v>
      </c>
      <c r="AG18" s="6">
        <f t="shared" ca="1" si="14"/>
        <v>5.194763070695914</v>
      </c>
      <c r="AH18" s="6">
        <f t="shared" ca="1" si="14"/>
        <v>4.4167275156293604</v>
      </c>
      <c r="AI18" s="6">
        <f t="shared" ca="1" si="14"/>
        <v>3.7476933731631408</v>
      </c>
      <c r="AJ18" s="6">
        <f t="shared" ca="1" si="14"/>
        <v>3.1736965530638166</v>
      </c>
    </row>
    <row r="19" spans="1:36" x14ac:dyDescent="0.25">
      <c r="A19" s="36">
        <f t="shared" ca="1" si="1"/>
        <v>0</v>
      </c>
      <c r="B19" s="14">
        <f t="shared" ca="1" si="2"/>
        <v>0</v>
      </c>
      <c r="C19" s="14"/>
      <c r="D19" s="14">
        <f t="shared" ca="1" si="3"/>
        <v>0</v>
      </c>
      <c r="E19" s="17">
        <f>[3]!'WTXOU0;8400C`267'</f>
        <v>3540</v>
      </c>
      <c r="F19" s="17">
        <f>[3]!'WTXOU0;8400C`268'</f>
        <v>3790</v>
      </c>
      <c r="G19" s="17" t="str">
        <f>[3]!'WTXOU0;8400C`205'</f>
        <v>-</v>
      </c>
      <c r="H19" s="19">
        <f t="shared" ca="1" si="4"/>
        <v>1.610321044921875E-4</v>
      </c>
      <c r="I19" s="19">
        <f t="shared" ca="1" si="5"/>
        <v>0.64685721130371099</v>
      </c>
      <c r="J19" s="18">
        <f t="shared" si="15"/>
        <v>8400</v>
      </c>
      <c r="K19" s="17">
        <f>[3]!'WTXOU0;8400P`267'</f>
        <v>15.5</v>
      </c>
      <c r="L19" s="17">
        <f>[3]!'WTXOU0;8400P`268'</f>
        <v>20.5</v>
      </c>
      <c r="M19" s="17" t="str">
        <f>[3]!'WTXOU0;8400P`205'</f>
        <v>-</v>
      </c>
      <c r="N19" s="19">
        <f t="shared" ca="1" si="6"/>
        <v>0.42421209411621102</v>
      </c>
      <c r="O19" s="19">
        <f t="shared" ca="1" si="7"/>
        <v>0.44423062438964844</v>
      </c>
      <c r="P19" s="14">
        <f t="shared" ca="1" si="8"/>
        <v>0</v>
      </c>
      <c r="Q19" s="14">
        <v>0</v>
      </c>
      <c r="R19" s="14">
        <f t="shared" ca="1" si="9"/>
        <v>0</v>
      </c>
      <c r="S19" s="36">
        <f t="shared" ca="1" si="10"/>
        <v>0</v>
      </c>
      <c r="T19" s="36"/>
      <c r="U19" s="49">
        <f t="shared" ca="1" si="11"/>
        <v>0</v>
      </c>
      <c r="V19" s="49">
        <f t="shared" ca="1" si="12"/>
        <v>0</v>
      </c>
      <c r="W19">
        <f t="shared" si="13"/>
        <v>10400</v>
      </c>
      <c r="X19" s="6">
        <f t="shared" ca="1" si="14"/>
        <v>100.45262893530203</v>
      </c>
      <c r="Y19" s="6">
        <f t="shared" ca="1" si="14"/>
        <v>92.34816755261906</v>
      </c>
      <c r="Z19" s="6">
        <f t="shared" ca="1" si="14"/>
        <v>84.80997008086814</v>
      </c>
      <c r="AA19" s="6">
        <f t="shared" ca="1" si="14"/>
        <v>77.807296658591994</v>
      </c>
      <c r="AB19" s="6">
        <f t="shared" ca="1" si="14"/>
        <v>71.31022320213529</v>
      </c>
      <c r="AC19" s="6">
        <f t="shared" ca="1" si="14"/>
        <v>65.289703681024577</v>
      </c>
      <c r="AD19" s="6">
        <f t="shared" ca="1" si="14"/>
        <v>59.717623195962808</v>
      </c>
      <c r="AE19" s="6">
        <f t="shared" ca="1" si="14"/>
        <v>54.566841983693919</v>
      </c>
      <c r="AF19" s="6">
        <f t="shared" ca="1" si="14"/>
        <v>49.811230594550949</v>
      </c>
      <c r="AG19" s="6">
        <f t="shared" ca="1" si="14"/>
        <v>45.425696588549371</v>
      </c>
      <c r="AH19" s="6">
        <f t="shared" ca="1" si="14"/>
        <v>41.38620317632023</v>
      </c>
      <c r="AI19" s="6">
        <f t="shared" ca="1" si="14"/>
        <v>37.669780293645175</v>
      </c>
      <c r="AJ19" s="6">
        <f t="shared" ca="1" si="14"/>
        <v>34.25452864460442</v>
      </c>
    </row>
    <row r="20" spans="1:36" x14ac:dyDescent="0.25">
      <c r="A20" s="36">
        <f t="shared" ca="1" si="1"/>
        <v>0</v>
      </c>
      <c r="B20" s="14">
        <f t="shared" ca="1" si="2"/>
        <v>0</v>
      </c>
      <c r="C20" s="14"/>
      <c r="D20" s="14">
        <f t="shared" ca="1" si="3"/>
        <v>0</v>
      </c>
      <c r="E20" s="17">
        <f>[3]!'WTXOU0;8600C`267'</f>
        <v>3340</v>
      </c>
      <c r="F20" s="17">
        <f>[3]!'WTXOU0;8600C`268'</f>
        <v>3590</v>
      </c>
      <c r="G20" s="17" t="str">
        <f>[3]!'WTXOU0;8600C`205'</f>
        <v>-</v>
      </c>
      <c r="H20" s="19">
        <f t="shared" ca="1" si="4"/>
        <v>1.610321044921875E-4</v>
      </c>
      <c r="I20" s="19">
        <f t="shared" ca="1" si="5"/>
        <v>0.61365574645996102</v>
      </c>
      <c r="J20" s="18">
        <f t="shared" si="15"/>
        <v>8600</v>
      </c>
      <c r="K20" s="17">
        <f>[3]!'WTXOU0;8600P`267'</f>
        <v>17</v>
      </c>
      <c r="L20" s="17">
        <f>[3]!'WTXOU0;8600P`268'</f>
        <v>22</v>
      </c>
      <c r="M20" s="17" t="str">
        <f>[3]!'WTXOU0;8600P`205'</f>
        <v>-</v>
      </c>
      <c r="N20" s="19">
        <f t="shared" ca="1" si="6"/>
        <v>0.40614659118652346</v>
      </c>
      <c r="O20" s="19">
        <f t="shared" ca="1" si="7"/>
        <v>0.42421209411621102</v>
      </c>
      <c r="P20" s="14">
        <f ca="1">GBSGreeks("g", "P",$I$2,$J20,$N$2,$N20, 0,0)*$P$2*50*$I$2*$Q20*-1</f>
        <v>0</v>
      </c>
      <c r="Q20" s="14">
        <v>0</v>
      </c>
      <c r="R20" s="14">
        <f t="shared" ca="1" si="9"/>
        <v>0</v>
      </c>
      <c r="S20" s="36">
        <f t="shared" ca="1" si="10"/>
        <v>0</v>
      </c>
      <c r="T20" s="36"/>
      <c r="U20" s="49">
        <f t="shared" ca="1" si="11"/>
        <v>0</v>
      </c>
      <c r="V20" s="49">
        <f t="shared" ca="1" si="12"/>
        <v>0</v>
      </c>
      <c r="W20">
        <f t="shared" si="13"/>
        <v>10600</v>
      </c>
      <c r="X20" s="6">
        <f t="shared" ca="1" si="14"/>
        <v>91.284392143114161</v>
      </c>
      <c r="Y20" s="6">
        <f t="shared" ca="1" si="14"/>
        <v>82.800221730589143</v>
      </c>
      <c r="Z20" s="6">
        <f t="shared" ca="1" si="14"/>
        <v>74.993723669784558</v>
      </c>
      <c r="AA20" s="6">
        <f t="shared" ca="1" si="14"/>
        <v>67.823511100048918</v>
      </c>
      <c r="AB20" s="6">
        <f t="shared" ca="1" si="14"/>
        <v>61.249325054876095</v>
      </c>
      <c r="AC20" s="6">
        <f t="shared" ca="1" si="14"/>
        <v>55.232160835482397</v>
      </c>
      <c r="AD20" s="6">
        <f t="shared" ca="1" si="14"/>
        <v>49.734375608164612</v>
      </c>
      <c r="AE20" s="6">
        <f t="shared" ca="1" si="14"/>
        <v>44.719777254542741</v>
      </c>
      <c r="AF20" s="6">
        <f t="shared" ca="1" si="14"/>
        <v>40.153694864169339</v>
      </c>
      <c r="AG20" s="6">
        <f t="shared" ca="1" si="14"/>
        <v>36.003031555359037</v>
      </c>
      <c r="AH20" s="6">
        <f t="shared" ca="1" si="14"/>
        <v>32.236300546887435</v>
      </c>
      <c r="AI20" s="6">
        <f t="shared" ca="1" si="14"/>
        <v>28.823645585764144</v>
      </c>
      <c r="AJ20" s="6">
        <f t="shared" ca="1" si="14"/>
        <v>25.736846969292706</v>
      </c>
    </row>
    <row r="21" spans="1:36" x14ac:dyDescent="0.25">
      <c r="A21" s="36">
        <f t="shared" ca="1" si="1"/>
        <v>0</v>
      </c>
      <c r="B21" s="14">
        <f t="shared" ca="1" si="2"/>
        <v>0</v>
      </c>
      <c r="C21" s="14"/>
      <c r="D21" s="14">
        <f t="shared" ca="1" si="3"/>
        <v>0</v>
      </c>
      <c r="E21" s="17">
        <f>[3]!'WTXOU0;8800C`267'</f>
        <v>3140</v>
      </c>
      <c r="F21" s="17">
        <f>[3]!'WTXOU0;8800C`268'</f>
        <v>3400</v>
      </c>
      <c r="G21" s="17" t="str">
        <f>[3]!'WTXOU0;8800C`205'</f>
        <v>-</v>
      </c>
      <c r="H21" s="19">
        <f t="shared" ca="1" si="4"/>
        <v>1.610321044921875E-4</v>
      </c>
      <c r="I21" s="19">
        <f t="shared" ca="1" si="5"/>
        <v>0.59375928039550796</v>
      </c>
      <c r="J21" s="18">
        <f t="shared" si="15"/>
        <v>8800</v>
      </c>
      <c r="K21" s="17">
        <f>[3]!'WTXOU0;8800P`267'</f>
        <v>20</v>
      </c>
      <c r="L21" s="17">
        <f>[3]!'WTXOU0;8800P`268'</f>
        <v>25</v>
      </c>
      <c r="M21" s="17" t="str">
        <f>[3]!'WTXOU0;8800P`205'</f>
        <v>-</v>
      </c>
      <c r="N21" s="19">
        <f t="shared" ca="1" si="6"/>
        <v>0.39271952819824218</v>
      </c>
      <c r="O21" s="19">
        <f t="shared" ca="1" si="7"/>
        <v>0.40858787536621094</v>
      </c>
      <c r="P21" s="14">
        <f t="shared" ca="1" si="8"/>
        <v>0</v>
      </c>
      <c r="Q21" s="14">
        <v>0</v>
      </c>
      <c r="R21" s="14">
        <f t="shared" ca="1" si="9"/>
        <v>0</v>
      </c>
      <c r="S21" s="36">
        <f ca="1">(GBSOption("P",$I$2,$J21,$N$2,N21,0,0)-GBSOption("P",$I$2,$J21,$O$2,N21,0,0))*Q21*50*-1</f>
        <v>0</v>
      </c>
      <c r="T21" s="36"/>
      <c r="U21" s="49">
        <f t="shared" ca="1" si="11"/>
        <v>0</v>
      </c>
      <c r="V21" s="49">
        <f ca="1">(GBSOption("P",$I$2,$J21,$N$2,$N21,0, 0)-GBSOption("P",$I$2,$J21,$N$2,$N21+0.01,0, 0))*50*$Q21</f>
        <v>0</v>
      </c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</row>
    <row r="22" spans="1:36" x14ac:dyDescent="0.25">
      <c r="A22" s="36">
        <f t="shared" ca="1" si="1"/>
        <v>0</v>
      </c>
      <c r="B22" s="14">
        <f t="shared" ca="1" si="2"/>
        <v>0</v>
      </c>
      <c r="C22" s="14"/>
      <c r="D22" s="14">
        <f t="shared" ca="1" si="3"/>
        <v>0</v>
      </c>
      <c r="E22" s="17">
        <f>[3]!'WTXOU0;9000C`267'</f>
        <v>2950</v>
      </c>
      <c r="F22" s="17">
        <f>[3]!'WTXOU0;9000C`268'</f>
        <v>3200</v>
      </c>
      <c r="G22" s="17" t="str">
        <f>[3]!'WTXOU0;9000C`205'</f>
        <v>-</v>
      </c>
      <c r="H22" s="19">
        <f t="shared" ca="1" si="4"/>
        <v>1.610321044921875E-4</v>
      </c>
      <c r="I22" s="19">
        <f t="shared" ca="1" si="5"/>
        <v>0.56116813659667975</v>
      </c>
      <c r="J22" s="18">
        <f t="shared" si="15"/>
        <v>9000</v>
      </c>
      <c r="K22" s="17">
        <f>[3]!'WTXOU0;9000P`267'</f>
        <v>23.5</v>
      </c>
      <c r="L22" s="17">
        <f>[3]!'WTXOU0;9000P`268'</f>
        <v>28.5</v>
      </c>
      <c r="M22" s="17">
        <f>[3]!'WTXOU0;9000P`205'</f>
        <v>25</v>
      </c>
      <c r="N22" s="19">
        <f t="shared" ca="1" si="6"/>
        <v>0.37929246520996096</v>
      </c>
      <c r="O22" s="19">
        <f t="shared" ca="1" si="7"/>
        <v>0.39320778503417975</v>
      </c>
      <c r="P22" s="14">
        <f t="shared" ca="1" si="8"/>
        <v>0</v>
      </c>
      <c r="Q22" s="14">
        <v>0</v>
      </c>
      <c r="R22" s="14">
        <f t="shared" ca="1" si="9"/>
        <v>0</v>
      </c>
      <c r="S22" s="36">
        <f t="shared" ca="1" si="10"/>
        <v>0</v>
      </c>
      <c r="T22" s="36"/>
      <c r="U22" s="49">
        <f t="shared" ca="1" si="11"/>
        <v>0</v>
      </c>
      <c r="V22" s="49">
        <f t="shared" ca="1" si="12"/>
        <v>0</v>
      </c>
    </row>
    <row r="23" spans="1:36" x14ac:dyDescent="0.25">
      <c r="A23" s="36">
        <f t="shared" ca="1" si="1"/>
        <v>0</v>
      </c>
      <c r="B23" s="14">
        <f t="shared" ca="1" si="2"/>
        <v>0</v>
      </c>
      <c r="C23" s="14"/>
      <c r="D23" s="14">
        <f t="shared" ca="1" si="3"/>
        <v>0</v>
      </c>
      <c r="E23" s="17">
        <f>[3]!'WTXOU0;9200C`267'</f>
        <v>2750</v>
      </c>
      <c r="F23" s="17">
        <f>[3]!'WTXOU0;9200C`268'</f>
        <v>3000</v>
      </c>
      <c r="G23" s="17" t="str">
        <f>[3]!'WTXOU0;9200C`205'</f>
        <v>-</v>
      </c>
      <c r="H23" s="19">
        <f t="shared" ca="1" si="4"/>
        <v>1.610321044921875E-4</v>
      </c>
      <c r="I23" s="19">
        <f t="shared" ca="1" si="5"/>
        <v>0.52906524963378909</v>
      </c>
      <c r="J23" s="18">
        <f t="shared" si="15"/>
        <v>9200</v>
      </c>
      <c r="K23" s="17">
        <f>[3]!'WTXOU0;9200P`267'</f>
        <v>29</v>
      </c>
      <c r="L23" s="17">
        <f>[3]!'WTXOU0;9200P`268'</f>
        <v>154</v>
      </c>
      <c r="M23" s="17">
        <f>[3]!'WTXOU0;9200P`205'</f>
        <v>29</v>
      </c>
      <c r="N23" s="19">
        <f t="shared" ca="1" si="6"/>
        <v>0.36928320007324222</v>
      </c>
      <c r="O23" s="19">
        <f t="shared" ca="1" si="7"/>
        <v>0.55250157775878916</v>
      </c>
      <c r="P23" s="14">
        <f t="shared" ca="1" si="8"/>
        <v>0</v>
      </c>
      <c r="Q23" s="14">
        <v>0</v>
      </c>
      <c r="R23" s="14">
        <f t="shared" ca="1" si="9"/>
        <v>0</v>
      </c>
      <c r="S23" s="36">
        <f t="shared" ca="1" si="10"/>
        <v>0</v>
      </c>
      <c r="T23" s="36"/>
      <c r="U23" s="49">
        <f t="shared" ca="1" si="11"/>
        <v>0</v>
      </c>
      <c r="V23" s="49">
        <f t="shared" ca="1" si="12"/>
        <v>0</v>
      </c>
    </row>
    <row r="24" spans="1:36" x14ac:dyDescent="0.25">
      <c r="A24" s="36">
        <f t="shared" ca="1" si="1"/>
        <v>0</v>
      </c>
      <c r="B24" s="14">
        <f t="shared" ca="1" si="2"/>
        <v>0</v>
      </c>
      <c r="C24" s="14">
        <v>0</v>
      </c>
      <c r="D24" s="14">
        <f t="shared" ca="1" si="3"/>
        <v>0</v>
      </c>
      <c r="E24" s="17">
        <f>[3]!'WTXOU0;9400C`267'</f>
        <v>2560</v>
      </c>
      <c r="F24" s="17">
        <f>[3]!'WTXOU0;9400C`268'</f>
        <v>2810</v>
      </c>
      <c r="G24" s="17" t="str">
        <f>[3]!'WTXOU0;9400C`205'</f>
        <v>-</v>
      </c>
      <c r="H24" s="19">
        <f t="shared" ca="1" si="4"/>
        <v>1.610321044921875E-4</v>
      </c>
      <c r="I24" s="19">
        <f t="shared" ca="1" si="5"/>
        <v>0.50819226989746102</v>
      </c>
      <c r="J24" s="18">
        <f t="shared" si="15"/>
        <v>9400</v>
      </c>
      <c r="K24" s="17">
        <f>[3]!'WTXOU0;9400P`267'</f>
        <v>15</v>
      </c>
      <c r="L24" s="17">
        <f>[3]!'WTXOU0;9400P`268'</f>
        <v>49</v>
      </c>
      <c r="M24" s="17" t="str">
        <f>[3]!'WTXOU0;9400P`205'</f>
        <v>-</v>
      </c>
      <c r="N24" s="19">
        <f t="shared" ca="1" si="6"/>
        <v>0.30605393981933599</v>
      </c>
      <c r="O24" s="19">
        <f t="shared" ca="1" si="7"/>
        <v>0.3849074188232422</v>
      </c>
      <c r="P24" s="14">
        <f t="shared" ca="1" si="8"/>
        <v>-78470.774936058588</v>
      </c>
      <c r="Q24" s="14">
        <v>30</v>
      </c>
      <c r="R24" s="14">
        <f t="shared" ca="1" si="9"/>
        <v>-436502.07965729572</v>
      </c>
      <c r="S24" s="36">
        <f t="shared" ca="1" si="10"/>
        <v>-1435.9571665301348</v>
      </c>
      <c r="T24" s="36"/>
      <c r="U24" s="49">
        <f t="shared" ca="1" si="11"/>
        <v>0</v>
      </c>
      <c r="V24" s="49">
        <f t="shared" ca="1" si="12"/>
        <v>-4643.4813965835228</v>
      </c>
    </row>
    <row r="25" spans="1:36" x14ac:dyDescent="0.25">
      <c r="A25" s="36">
        <f t="shared" ca="1" si="1"/>
        <v>0</v>
      </c>
      <c r="B25" s="14">
        <f t="shared" ca="1" si="2"/>
        <v>0</v>
      </c>
      <c r="C25" s="14">
        <v>0</v>
      </c>
      <c r="D25" s="14">
        <f t="shared" ca="1" si="3"/>
        <v>0</v>
      </c>
      <c r="E25" s="17">
        <f>[3]!'WTXOU0;9600C`267'</f>
        <v>2360</v>
      </c>
      <c r="F25" s="17">
        <f>[3]!'WTXOU0;9600C`268'</f>
        <v>2610</v>
      </c>
      <c r="G25" s="17" t="str">
        <f>[3]!'WTXOU0;9600C`205'</f>
        <v>-</v>
      </c>
      <c r="H25" s="19">
        <f t="shared" ca="1" si="4"/>
        <v>1.610321044921875E-4</v>
      </c>
      <c r="I25" s="19">
        <f t="shared" ca="1" si="5"/>
        <v>0.47645557556152351</v>
      </c>
      <c r="J25" s="18">
        <f t="shared" si="15"/>
        <v>9600</v>
      </c>
      <c r="K25" s="17">
        <f>[3]!'WTXOU0;9600P`267'</f>
        <v>35</v>
      </c>
      <c r="L25" s="17">
        <f>[3]!'WTXOU0;9600P`268'</f>
        <v>42</v>
      </c>
      <c r="M25" s="17" t="str">
        <f>[3]!'WTXOU0;9600P`205'</f>
        <v>-</v>
      </c>
      <c r="N25" s="19">
        <f t="shared" ca="1" si="6"/>
        <v>0.3330301300048828</v>
      </c>
      <c r="O25" s="19">
        <f t="shared" ca="1" si="7"/>
        <v>0.34645719299316408</v>
      </c>
      <c r="P25" s="14">
        <f t="shared" ca="1" si="8"/>
        <v>0</v>
      </c>
      <c r="Q25" s="14">
        <v>0</v>
      </c>
      <c r="R25" s="14">
        <f t="shared" ca="1" si="9"/>
        <v>0</v>
      </c>
      <c r="S25" s="36">
        <f t="shared" ca="1" si="10"/>
        <v>0</v>
      </c>
      <c r="T25" s="36"/>
      <c r="U25" s="49">
        <f t="shared" ca="1" si="11"/>
        <v>0</v>
      </c>
      <c r="V25" s="49">
        <f t="shared" ca="1" si="12"/>
        <v>0</v>
      </c>
    </row>
    <row r="26" spans="1:36" x14ac:dyDescent="0.25">
      <c r="A26" s="36">
        <f t="shared" ca="1" si="1"/>
        <v>0</v>
      </c>
      <c r="B26" s="14">
        <f t="shared" ca="1" si="2"/>
        <v>0</v>
      </c>
      <c r="C26" s="14">
        <v>0</v>
      </c>
      <c r="D26" s="14">
        <f t="shared" ca="1" si="3"/>
        <v>0</v>
      </c>
      <c r="E26" s="17">
        <f>[3]!'WTXOU0;9800C`267'</f>
        <v>2180</v>
      </c>
      <c r="F26" s="17">
        <f>[3]!'WTXOU0;9800C`268'</f>
        <v>2420</v>
      </c>
      <c r="G26" s="17" t="str">
        <f>[3]!'WTXOU0;9800C`205'</f>
        <v>-</v>
      </c>
      <c r="H26" s="19">
        <f t="shared" ca="1" si="4"/>
        <v>1.610321044921875E-4</v>
      </c>
      <c r="I26" s="19">
        <f t="shared" ca="1" si="5"/>
        <v>0.45472814636230474</v>
      </c>
      <c r="J26" s="18">
        <f t="shared" si="15"/>
        <v>9800</v>
      </c>
      <c r="K26" s="17">
        <f>[3]!'WTXOU0;9800P`267'</f>
        <v>41</v>
      </c>
      <c r="L26" s="17">
        <f>[3]!'WTXOU0;9800P`268'</f>
        <v>52</v>
      </c>
      <c r="M26" s="17" t="str">
        <f>[3]!'WTXOU0;9800P`205'</f>
        <v>-</v>
      </c>
      <c r="N26" s="19">
        <f t="shared" ca="1" si="6"/>
        <v>0.31911481018066407</v>
      </c>
      <c r="O26" s="19">
        <f t="shared" ca="1" si="7"/>
        <v>0.33730237731933593</v>
      </c>
      <c r="P26" s="14">
        <f t="shared" ca="1" si="8"/>
        <v>0</v>
      </c>
      <c r="Q26" s="14">
        <v>0</v>
      </c>
      <c r="R26" s="14">
        <f t="shared" ca="1" si="9"/>
        <v>0</v>
      </c>
      <c r="S26" s="36">
        <f t="shared" ca="1" si="10"/>
        <v>0</v>
      </c>
      <c r="T26" s="36"/>
      <c r="U26" s="49">
        <f t="shared" ca="1" si="11"/>
        <v>0</v>
      </c>
      <c r="V26" s="49">
        <f t="shared" ca="1" si="12"/>
        <v>0</v>
      </c>
    </row>
    <row r="27" spans="1:36" x14ac:dyDescent="0.25">
      <c r="A27" s="36">
        <f t="shared" ca="1" si="1"/>
        <v>0</v>
      </c>
      <c r="B27" s="14">
        <f t="shared" ca="1" si="2"/>
        <v>0</v>
      </c>
      <c r="C27" s="14">
        <v>0</v>
      </c>
      <c r="D27" s="14">
        <f t="shared" ca="1" si="3"/>
        <v>0</v>
      </c>
      <c r="E27" s="17">
        <f>[3]!'WTXOU0;10000C`267'</f>
        <v>1980</v>
      </c>
      <c r="F27" s="17">
        <f>[3]!'WTXOU0;10000C`268'</f>
        <v>2230</v>
      </c>
      <c r="G27" s="17" t="str">
        <f>[3]!'WTXOU0;10000C`205'</f>
        <v>-</v>
      </c>
      <c r="H27" s="19">
        <f t="shared" ca="1" si="4"/>
        <v>1.610321044921875E-4</v>
      </c>
      <c r="I27" s="19">
        <f t="shared" ca="1" si="5"/>
        <v>0.43214626770019537</v>
      </c>
      <c r="J27" s="18">
        <f t="shared" si="15"/>
        <v>10000</v>
      </c>
      <c r="K27" s="17">
        <f>[3]!'WTXOU0;10000P`267'</f>
        <v>44</v>
      </c>
      <c r="L27" s="17">
        <f>[3]!'WTXOU0;10000P`268'</f>
        <v>55</v>
      </c>
      <c r="M27" s="17">
        <f>[3]!'WTXOU0;10000P`205'</f>
        <v>53</v>
      </c>
      <c r="N27" s="19">
        <f t="shared" ca="1" si="6"/>
        <v>0.29897421569824223</v>
      </c>
      <c r="O27" s="19">
        <f t="shared" ca="1" si="7"/>
        <v>0.31557494812011722</v>
      </c>
      <c r="P27" s="14">
        <f t="shared" ca="1" si="8"/>
        <v>0</v>
      </c>
      <c r="Q27" s="14"/>
      <c r="R27" s="14">
        <f t="shared" ca="1" si="9"/>
        <v>0</v>
      </c>
      <c r="S27" s="36">
        <f t="shared" ca="1" si="10"/>
        <v>0</v>
      </c>
      <c r="T27" s="36"/>
      <c r="U27" s="49">
        <f t="shared" ca="1" si="11"/>
        <v>0</v>
      </c>
      <c r="V27" s="49">
        <f t="shared" ca="1" si="12"/>
        <v>0</v>
      </c>
    </row>
    <row r="28" spans="1:36" x14ac:dyDescent="0.25">
      <c r="A28" s="36">
        <f t="shared" ca="1" si="1"/>
        <v>0</v>
      </c>
      <c r="B28" s="14">
        <f t="shared" ca="1" si="2"/>
        <v>0</v>
      </c>
      <c r="C28" s="14">
        <v>0</v>
      </c>
      <c r="D28" s="14">
        <f t="shared" ca="1" si="3"/>
        <v>0</v>
      </c>
      <c r="E28" s="17">
        <f>[3]!'WTXOU0;10200C`267'</f>
        <v>1790</v>
      </c>
      <c r="F28" s="17">
        <f>[3]!'WTXOU0;10200C`268'</f>
        <v>2040</v>
      </c>
      <c r="G28" s="17" t="str">
        <f>[3]!'WTXOU0;10200C`205'</f>
        <v>-</v>
      </c>
      <c r="H28" s="19">
        <f t="shared" ca="1" si="4"/>
        <v>1.610321044921875E-4</v>
      </c>
      <c r="I28" s="19">
        <f t="shared" ca="1" si="5"/>
        <v>0.40883200378417972</v>
      </c>
      <c r="J28" s="18">
        <f t="shared" si="15"/>
        <v>10200</v>
      </c>
      <c r="K28" s="17">
        <f>[3]!'WTXOU0;10200P`267'</f>
        <v>8.4</v>
      </c>
      <c r="L28" s="17">
        <f>[3]!'WTXOU0;10200P`268'</f>
        <v>71</v>
      </c>
      <c r="M28" s="17" t="str">
        <f>[3]!'WTXOU0;10200P`205'</f>
        <v>-</v>
      </c>
      <c r="N28" s="19">
        <f t="shared" ca="1" si="6"/>
        <v>0.19851537170410155</v>
      </c>
      <c r="O28" s="19">
        <f t="shared" ca="1" si="7"/>
        <v>0.30959380187988284</v>
      </c>
      <c r="P28" s="14">
        <f t="shared" ca="1" si="8"/>
        <v>0</v>
      </c>
      <c r="Q28" s="14">
        <v>0</v>
      </c>
      <c r="R28" s="14">
        <f t="shared" ca="1" si="9"/>
        <v>0</v>
      </c>
      <c r="S28" s="36">
        <f t="shared" ca="1" si="10"/>
        <v>0</v>
      </c>
      <c r="T28" s="36"/>
      <c r="U28" s="49">
        <f t="shared" ca="1" si="11"/>
        <v>0</v>
      </c>
      <c r="V28" s="49">
        <f t="shared" ca="1" si="12"/>
        <v>0</v>
      </c>
    </row>
    <row r="29" spans="1:36" x14ac:dyDescent="0.25">
      <c r="A29" s="36">
        <f t="shared" ca="1" si="1"/>
        <v>0</v>
      </c>
      <c r="B29" s="14">
        <f t="shared" ca="1" si="2"/>
        <v>0</v>
      </c>
      <c r="C29" s="14">
        <v>0</v>
      </c>
      <c r="D29" s="14">
        <f t="shared" ca="1" si="3"/>
        <v>0</v>
      </c>
      <c r="E29" s="17">
        <f>[3]!'WTXOU0;10400C`267'</f>
        <v>1600</v>
      </c>
      <c r="F29" s="17">
        <f>[3]!'WTXOU0;10400C`268'</f>
        <v>1850</v>
      </c>
      <c r="G29" s="17" t="str">
        <f>[3]!'WTXOU0;10400C`205'</f>
        <v>-</v>
      </c>
      <c r="H29" s="19">
        <f t="shared" ca="1" si="4"/>
        <v>1.610321044921875E-4</v>
      </c>
      <c r="I29" s="19">
        <f t="shared" ca="1" si="5"/>
        <v>0.38466329040527347</v>
      </c>
      <c r="J29" s="18">
        <f t="shared" si="15"/>
        <v>10400</v>
      </c>
      <c r="K29" s="17">
        <f>[3]!'WTXOU0;10400P`267'</f>
        <v>60</v>
      </c>
      <c r="L29" s="17">
        <f>[3]!'WTXOU0;10400P`268'</f>
        <v>200</v>
      </c>
      <c r="M29" s="17">
        <f>[3]!'WTXOU0;10400P`205'</f>
        <v>77</v>
      </c>
      <c r="N29" s="19">
        <f t="shared" ca="1" si="6"/>
        <v>0.26943467712402341</v>
      </c>
      <c r="O29" s="19">
        <f t="shared" ca="1" si="7"/>
        <v>0.39784622497558592</v>
      </c>
      <c r="P29" s="14">
        <f t="shared" ca="1" si="8"/>
        <v>0</v>
      </c>
      <c r="Q29" s="14">
        <v>0</v>
      </c>
      <c r="R29" s="14">
        <f t="shared" ca="1" si="9"/>
        <v>0</v>
      </c>
      <c r="S29" s="36">
        <f t="shared" ca="1" si="10"/>
        <v>0</v>
      </c>
      <c r="T29" s="36"/>
      <c r="U29" s="49">
        <f t="shared" ca="1" si="11"/>
        <v>0</v>
      </c>
      <c r="V29" s="49">
        <f t="shared" ca="1" si="12"/>
        <v>0</v>
      </c>
    </row>
    <row r="30" spans="1:36" x14ac:dyDescent="0.25">
      <c r="A30" s="36">
        <f t="shared" ca="1" si="1"/>
        <v>0</v>
      </c>
      <c r="B30" s="14">
        <f t="shared" ca="1" si="2"/>
        <v>0</v>
      </c>
      <c r="C30" s="14">
        <v>0</v>
      </c>
      <c r="D30" s="14">
        <f t="shared" ca="1" si="3"/>
        <v>0</v>
      </c>
      <c r="E30" s="17">
        <f>[3]!'WTXOU0;10600C`267'</f>
        <v>1420</v>
      </c>
      <c r="F30" s="17">
        <f>[3]!'WTXOU0;10600C`268'</f>
        <v>1660</v>
      </c>
      <c r="G30" s="17" t="str">
        <f>[3]!'WTXOU0;10600C`205'</f>
        <v>-</v>
      </c>
      <c r="H30" s="19">
        <f t="shared" ca="1" si="4"/>
        <v>1.610321044921875E-4</v>
      </c>
      <c r="I30" s="19">
        <f t="shared" ca="1" si="5"/>
        <v>0.35964012756347663</v>
      </c>
      <c r="J30" s="18">
        <f t="shared" si="15"/>
        <v>10600</v>
      </c>
      <c r="K30" s="17">
        <f>[3]!'WTXOU0;10600P`267'</f>
        <v>50</v>
      </c>
      <c r="L30" s="17">
        <f>[3]!'WTXOU0;10600P`268'</f>
        <v>94</v>
      </c>
      <c r="M30" s="17">
        <f>[3]!'WTXOU0;10600P`205'</f>
        <v>97</v>
      </c>
      <c r="N30" s="19">
        <f t="shared" ca="1" si="6"/>
        <v>0.23147270812988283</v>
      </c>
      <c r="O30" s="19">
        <f t="shared" ca="1" si="7"/>
        <v>0.27822330017089847</v>
      </c>
      <c r="P30" s="14">
        <f t="shared" ca="1" si="8"/>
        <v>0</v>
      </c>
      <c r="Q30" s="14">
        <v>0</v>
      </c>
      <c r="R30" s="14">
        <f t="shared" ca="1" si="9"/>
        <v>0</v>
      </c>
      <c r="S30" s="36">
        <f t="shared" ca="1" si="10"/>
        <v>0</v>
      </c>
      <c r="T30" s="36"/>
      <c r="U30" s="49">
        <f t="shared" ca="1" si="11"/>
        <v>0</v>
      </c>
      <c r="V30" s="49">
        <f t="shared" ca="1" si="12"/>
        <v>0</v>
      </c>
    </row>
    <row r="31" spans="1:36" x14ac:dyDescent="0.25">
      <c r="A31" s="36">
        <f t="shared" ca="1" si="1"/>
        <v>0</v>
      </c>
      <c r="B31" s="14">
        <f t="shared" ca="1" si="2"/>
        <v>0</v>
      </c>
      <c r="C31" s="14">
        <v>0</v>
      </c>
      <c r="D31" s="14">
        <f t="shared" ca="1" si="3"/>
        <v>0</v>
      </c>
      <c r="E31" s="17">
        <f>[3]!'WTXOU0;10800C`267'</f>
        <v>1230</v>
      </c>
      <c r="F31" s="17">
        <f>[3]!'WTXOU0;10800C`268'</f>
        <v>1490</v>
      </c>
      <c r="G31" s="17" t="str">
        <f>[3]!'WTXOU0;10800C`205'</f>
        <v>-</v>
      </c>
      <c r="H31" s="19">
        <f t="shared" ca="1" si="4"/>
        <v>1.610321044921875E-4</v>
      </c>
      <c r="I31" s="19">
        <f t="shared" ca="1" si="5"/>
        <v>0.34743370666503909</v>
      </c>
      <c r="J31" s="18">
        <f t="shared" si="15"/>
        <v>10800</v>
      </c>
      <c r="K31" s="17">
        <f>[3]!'WTXOU0;10800P`267'</f>
        <v>100</v>
      </c>
      <c r="L31" s="17">
        <f>[3]!'WTXOU0;10800P`268'</f>
        <v>232</v>
      </c>
      <c r="M31" s="17">
        <f>[3]!'WTXOU0;10800P`205'</f>
        <v>116</v>
      </c>
      <c r="N31" s="19">
        <f t="shared" ca="1" si="6"/>
        <v>0.25454284362792967</v>
      </c>
      <c r="O31" s="19">
        <f t="shared" ca="1" si="7"/>
        <v>0.35353691711425794</v>
      </c>
      <c r="P31" s="14">
        <f t="shared" ca="1" si="8"/>
        <v>0</v>
      </c>
      <c r="Q31" s="14">
        <v>0</v>
      </c>
      <c r="R31" s="14">
        <f t="shared" ca="1" si="9"/>
        <v>0</v>
      </c>
      <c r="S31" s="36">
        <f t="shared" ca="1" si="10"/>
        <v>0</v>
      </c>
      <c r="T31" s="36"/>
      <c r="U31" s="49">
        <f t="shared" ca="1" si="11"/>
        <v>0</v>
      </c>
      <c r="V31" s="49">
        <f t="shared" ca="1" si="12"/>
        <v>0</v>
      </c>
    </row>
    <row r="32" spans="1:36" x14ac:dyDescent="0.25">
      <c r="A32" s="36">
        <f t="shared" ca="1" si="1"/>
        <v>0</v>
      </c>
      <c r="B32" s="14">
        <f t="shared" ca="1" si="2"/>
        <v>0</v>
      </c>
      <c r="C32" s="14">
        <v>0</v>
      </c>
      <c r="D32" s="14">
        <f t="shared" ca="1" si="3"/>
        <v>0</v>
      </c>
      <c r="E32" s="17">
        <f>[3]!'WTXOU0;11000C`267'</f>
        <v>1060</v>
      </c>
      <c r="F32" s="17">
        <f>[3]!'WTXOU0;11000C`268'</f>
        <v>1310</v>
      </c>
      <c r="G32" s="17" t="str">
        <f>[3]!'WTXOU0;11000C`205'</f>
        <v>-</v>
      </c>
      <c r="H32" s="19">
        <f t="shared" ca="1" si="4"/>
        <v>1.610321044921875E-4</v>
      </c>
      <c r="I32" s="19">
        <f t="shared" ca="1" si="5"/>
        <v>0.32595040588378904</v>
      </c>
      <c r="J32" s="18">
        <f t="shared" si="15"/>
        <v>11000</v>
      </c>
      <c r="K32" s="17">
        <f>[3]!'WTXOU0;11000P`267'</f>
        <v>111</v>
      </c>
      <c r="L32" s="17">
        <f>[3]!'WTXOU0;11000P`268'</f>
        <v>140</v>
      </c>
      <c r="M32" s="17">
        <f>[3]!'WTXOU0;11000P`205'</f>
        <v>138</v>
      </c>
      <c r="N32" s="19">
        <f t="shared" ca="1" si="6"/>
        <v>0.23415812072753908</v>
      </c>
      <c r="O32" s="19">
        <f t="shared" ca="1" si="7"/>
        <v>0.25637380676269528</v>
      </c>
      <c r="P32" s="14">
        <f t="shared" ca="1" si="8"/>
        <v>0</v>
      </c>
      <c r="Q32" s="14">
        <v>0</v>
      </c>
      <c r="R32" s="14">
        <f t="shared" ca="1" si="9"/>
        <v>0</v>
      </c>
      <c r="S32" s="36">
        <f t="shared" ca="1" si="10"/>
        <v>0</v>
      </c>
      <c r="T32" s="36"/>
      <c r="U32" s="49">
        <f t="shared" ca="1" si="11"/>
        <v>0</v>
      </c>
      <c r="V32" s="49">
        <f t="shared" ca="1" si="12"/>
        <v>0</v>
      </c>
    </row>
    <row r="33" spans="1:22" x14ac:dyDescent="0.25">
      <c r="A33" s="36">
        <f t="shared" ca="1" si="1"/>
        <v>0</v>
      </c>
      <c r="B33" s="14">
        <f t="shared" ca="1" si="2"/>
        <v>0</v>
      </c>
      <c r="C33" s="14">
        <v>0</v>
      </c>
      <c r="D33" s="14">
        <f t="shared" ca="1" si="3"/>
        <v>0</v>
      </c>
      <c r="E33" s="17">
        <f>[3]!'WTXOU0;11200C`267'</f>
        <v>890</v>
      </c>
      <c r="F33" s="17">
        <f>[3]!'WTXOU0;11200C`268'</f>
        <v>1140</v>
      </c>
      <c r="G33" s="17">
        <f>[3]!'WTXOU0;11200C`205'</f>
        <v>1000</v>
      </c>
      <c r="H33" s="19">
        <f t="shared" ca="1" si="4"/>
        <v>0.12869464416503906</v>
      </c>
      <c r="I33" s="19">
        <f t="shared" ca="1" si="5"/>
        <v>0.30861728820800782</v>
      </c>
      <c r="J33" s="18">
        <f t="shared" si="15"/>
        <v>11200</v>
      </c>
      <c r="K33" s="17">
        <f>[3]!'WTXOU0;11200P`267'</f>
        <v>69</v>
      </c>
      <c r="L33" s="17">
        <f>[3]!'WTXOU0;11200P`268'</f>
        <v>290</v>
      </c>
      <c r="M33" s="17" t="str">
        <f>[3]!'WTXOU0;11200P`205'</f>
        <v>-</v>
      </c>
      <c r="N33" s="19">
        <f t="shared" ca="1" si="6"/>
        <v>0.17141711730957035</v>
      </c>
      <c r="O33" s="19">
        <f t="shared" ca="1" si="7"/>
        <v>0.31862655334472656</v>
      </c>
      <c r="P33" s="14">
        <f t="shared" ca="1" si="8"/>
        <v>0</v>
      </c>
      <c r="Q33" s="14">
        <v>0</v>
      </c>
      <c r="R33" s="14">
        <f t="shared" ca="1" si="9"/>
        <v>0</v>
      </c>
      <c r="S33" s="36">
        <f t="shared" ca="1" si="10"/>
        <v>0</v>
      </c>
      <c r="T33" s="36"/>
      <c r="U33" s="49">
        <f t="shared" ca="1" si="11"/>
        <v>0</v>
      </c>
      <c r="V33" s="49">
        <f t="shared" ca="1" si="12"/>
        <v>0</v>
      </c>
    </row>
    <row r="34" spans="1:22" x14ac:dyDescent="0.25">
      <c r="A34" s="36">
        <f t="shared" ca="1" si="1"/>
        <v>0</v>
      </c>
      <c r="B34" s="14">
        <f t="shared" ca="1" si="2"/>
        <v>0</v>
      </c>
      <c r="C34" s="14">
        <v>0</v>
      </c>
      <c r="D34" s="14">
        <f t="shared" ca="1" si="3"/>
        <v>0</v>
      </c>
      <c r="E34" s="17">
        <f>[3]!'WTXOU0;11400C`267'</f>
        <v>725</v>
      </c>
      <c r="F34" s="17">
        <f>[3]!'WTXOU0;11400C`268'</f>
        <v>970</v>
      </c>
      <c r="G34" s="17" t="str">
        <f>[3]!'WTXOU0;11400C`205'</f>
        <v>-</v>
      </c>
      <c r="H34" s="19">
        <f t="shared" ca="1" si="4"/>
        <v>0.13711707458496092</v>
      </c>
      <c r="I34" s="19">
        <f t="shared" ca="1" si="5"/>
        <v>0.28835462951660162</v>
      </c>
      <c r="J34" s="18">
        <f t="shared" si="15"/>
        <v>11400</v>
      </c>
      <c r="K34" s="17">
        <f>[3]!'WTXOU0;11400P`267'</f>
        <v>86</v>
      </c>
      <c r="L34" s="17">
        <f>[3]!'WTXOU0;11400P`268'</f>
        <v>212</v>
      </c>
      <c r="M34" s="17">
        <f>[3]!'WTXOU0;11400P`205'</f>
        <v>213</v>
      </c>
      <c r="N34" s="19">
        <f t="shared" ca="1" si="6"/>
        <v>0.15591496276855468</v>
      </c>
      <c r="O34" s="19">
        <f t="shared" ca="1" si="7"/>
        <v>0.23635527648925783</v>
      </c>
      <c r="P34" s="14">
        <f t="shared" ca="1" si="8"/>
        <v>0</v>
      </c>
      <c r="Q34" s="14">
        <v>0</v>
      </c>
      <c r="R34" s="14">
        <f t="shared" ca="1" si="9"/>
        <v>0</v>
      </c>
      <c r="S34" s="36">
        <f t="shared" ca="1" si="10"/>
        <v>0</v>
      </c>
      <c r="T34" s="36"/>
      <c r="U34" s="49">
        <f t="shared" ca="1" si="11"/>
        <v>0</v>
      </c>
      <c r="V34" s="49">
        <f t="shared" ca="1" si="12"/>
        <v>0</v>
      </c>
    </row>
    <row r="35" spans="1:22" x14ac:dyDescent="0.25">
      <c r="A35" s="36">
        <f t="shared" ca="1" si="1"/>
        <v>0</v>
      </c>
      <c r="B35" s="14">
        <f t="shared" ca="1" si="2"/>
        <v>0</v>
      </c>
      <c r="C35" s="14">
        <v>0</v>
      </c>
      <c r="D35" s="14">
        <f t="shared" ca="1" si="3"/>
        <v>0</v>
      </c>
      <c r="E35" s="17">
        <f>[3]!'WTXOU0;11600C`267'</f>
        <v>700</v>
      </c>
      <c r="F35" s="17">
        <f>[3]!'WTXOU0;11600C`268'</f>
        <v>715</v>
      </c>
      <c r="G35" s="17" t="str">
        <f>[3]!'WTXOU0;11600C`205'</f>
        <v>-</v>
      </c>
      <c r="H35" s="19">
        <f t="shared" ca="1" si="4"/>
        <v>0.21267481994628909</v>
      </c>
      <c r="I35" s="19">
        <f t="shared" ca="1" si="5"/>
        <v>0.21975454406738285</v>
      </c>
      <c r="J35" s="18">
        <f t="shared" si="15"/>
        <v>11600</v>
      </c>
      <c r="K35" s="17">
        <f>[3]!'WTXOU0;11600P`267'</f>
        <v>241</v>
      </c>
      <c r="L35" s="17">
        <f>[3]!'WTXOU0;11600P`268'</f>
        <v>247</v>
      </c>
      <c r="M35" s="17">
        <f>[3]!'WTXOU0;11600P`205'</f>
        <v>261</v>
      </c>
      <c r="N35" s="19">
        <f t="shared" ca="1" si="6"/>
        <v>0.21536023254394535</v>
      </c>
      <c r="O35" s="19">
        <f t="shared" ca="1" si="7"/>
        <v>0.21914422302246095</v>
      </c>
      <c r="P35" s="14">
        <f t="shared" ca="1" si="8"/>
        <v>0</v>
      </c>
      <c r="Q35" s="14">
        <v>0</v>
      </c>
      <c r="R35" s="14">
        <f t="shared" ca="1" si="9"/>
        <v>0</v>
      </c>
      <c r="S35" s="36">
        <f t="shared" ca="1" si="10"/>
        <v>0</v>
      </c>
      <c r="T35" s="36"/>
      <c r="U35" s="49">
        <f t="shared" ca="1" si="11"/>
        <v>0</v>
      </c>
      <c r="V35" s="49">
        <f t="shared" ca="1" si="12"/>
        <v>0</v>
      </c>
    </row>
    <row r="36" spans="1:22" x14ac:dyDescent="0.25">
      <c r="A36" s="36">
        <f t="shared" ca="1" si="1"/>
        <v>0</v>
      </c>
      <c r="B36" s="14">
        <f t="shared" ca="1" si="2"/>
        <v>0</v>
      </c>
      <c r="C36" s="14">
        <v>0</v>
      </c>
      <c r="D36" s="14">
        <f t="shared" ca="1" si="3"/>
        <v>0</v>
      </c>
      <c r="E36" s="17">
        <f>[3]!'WTXOU0;11800C`267'</f>
        <v>560</v>
      </c>
      <c r="F36" s="17">
        <f>[3]!'WTXOU0;11800C`268'</f>
        <v>570</v>
      </c>
      <c r="G36" s="17">
        <f>[3]!'WTXOU0;11800C`205'</f>
        <v>535</v>
      </c>
      <c r="H36" s="19">
        <f t="shared" ca="1" si="4"/>
        <v>0.20400826110839843</v>
      </c>
      <c r="I36" s="19">
        <f t="shared" ca="1" si="5"/>
        <v>0.20815844421386723</v>
      </c>
      <c r="J36" s="18">
        <f t="shared" si="15"/>
        <v>11800</v>
      </c>
      <c r="K36" s="17">
        <f>[3]!'WTXOU0;11800P`267'</f>
        <v>296</v>
      </c>
      <c r="L36" s="17">
        <f>[3]!'WTXOU0;11800P`268'</f>
        <v>306</v>
      </c>
      <c r="M36" s="17">
        <f>[3]!'WTXOU0;11800P`205'</f>
        <v>297</v>
      </c>
      <c r="N36" s="19">
        <f t="shared" ca="1" si="6"/>
        <v>0.20400826110839843</v>
      </c>
      <c r="O36" s="19">
        <f t="shared" ca="1" si="7"/>
        <v>0.20974527893066408</v>
      </c>
      <c r="P36" s="14">
        <f t="shared" ca="1" si="8"/>
        <v>0</v>
      </c>
      <c r="Q36" s="14">
        <v>0</v>
      </c>
      <c r="R36" s="14">
        <f t="shared" ca="1" si="9"/>
        <v>0</v>
      </c>
      <c r="S36" s="36">
        <f t="shared" ca="1" si="10"/>
        <v>0</v>
      </c>
      <c r="T36" s="36"/>
      <c r="U36" s="49">
        <f t="shared" ca="1" si="11"/>
        <v>0</v>
      </c>
      <c r="V36" s="49">
        <f t="shared" ca="1" si="12"/>
        <v>0</v>
      </c>
    </row>
    <row r="37" spans="1:22" x14ac:dyDescent="0.25">
      <c r="A37" s="36">
        <f t="shared" ca="1" si="1"/>
        <v>0</v>
      </c>
      <c r="B37" s="14">
        <f t="shared" ca="1" si="2"/>
        <v>0</v>
      </c>
      <c r="C37" s="14">
        <v>0</v>
      </c>
      <c r="D37" s="14">
        <f t="shared" ca="1" si="3"/>
        <v>0</v>
      </c>
      <c r="E37" s="17">
        <f>[3]!'WTXOU0;12000C`267'</f>
        <v>430</v>
      </c>
      <c r="F37" s="17">
        <f>[3]!'WTXOU0;12000C`268'</f>
        <v>441</v>
      </c>
      <c r="G37" s="17">
        <f>[3]!'WTXOU0;12000C`205'</f>
        <v>422</v>
      </c>
      <c r="H37" s="19">
        <f t="shared" ca="1" si="4"/>
        <v>0.19363280334472657</v>
      </c>
      <c r="I37" s="19">
        <f t="shared" ca="1" si="5"/>
        <v>0.1982712432861328</v>
      </c>
      <c r="J37" s="18">
        <f t="shared" si="15"/>
        <v>12000</v>
      </c>
      <c r="K37" s="17">
        <f>[3]!'WTXOU0;12000P`267'</f>
        <v>369</v>
      </c>
      <c r="L37" s="17">
        <f>[3]!'WTXOU0;12000P`268'</f>
        <v>377</v>
      </c>
      <c r="M37" s="17">
        <f>[3]!'WTXOU0;12000P`205'</f>
        <v>381</v>
      </c>
      <c r="N37" s="19">
        <f t="shared" ca="1" si="6"/>
        <v>0.19509757385253906</v>
      </c>
      <c r="O37" s="19">
        <f t="shared" ca="1" si="7"/>
        <v>0.19973601379394532</v>
      </c>
      <c r="P37" s="14">
        <f t="shared" ca="1" si="8"/>
        <v>0</v>
      </c>
      <c r="Q37" s="14">
        <v>0</v>
      </c>
      <c r="R37" s="14">
        <f t="shared" ca="1" si="9"/>
        <v>0</v>
      </c>
      <c r="S37" s="36">
        <f t="shared" ca="1" si="10"/>
        <v>0</v>
      </c>
      <c r="T37" s="36"/>
      <c r="U37" s="49">
        <f t="shared" ca="1" si="11"/>
        <v>0</v>
      </c>
      <c r="V37" s="49">
        <f t="shared" ca="1" si="12"/>
        <v>0</v>
      </c>
    </row>
    <row r="38" spans="1:22" x14ac:dyDescent="0.25">
      <c r="J38" s="18"/>
    </row>
    <row r="39" spans="1:22" x14ac:dyDescent="0.25">
      <c r="J39" s="18"/>
    </row>
    <row r="40" spans="1:22" x14ac:dyDescent="0.25">
      <c r="J40" s="18"/>
    </row>
    <row r="41" spans="1:22" x14ac:dyDescent="0.25">
      <c r="J41" s="18"/>
    </row>
    <row r="42" spans="1:22" x14ac:dyDescent="0.25">
      <c r="J42" s="18"/>
    </row>
    <row r="43" spans="1:22" x14ac:dyDescent="0.25">
      <c r="J43" s="18"/>
    </row>
    <row r="44" spans="1:22" x14ac:dyDescent="0.25">
      <c r="J44" s="18"/>
    </row>
    <row r="45" spans="1:22" x14ac:dyDescent="0.25">
      <c r="J45" s="18"/>
    </row>
    <row r="46" spans="1:22" x14ac:dyDescent="0.25">
      <c r="J46" s="18"/>
    </row>
    <row r="47" spans="1:22" x14ac:dyDescent="0.25">
      <c r="J47" s="18"/>
    </row>
    <row r="48" spans="1:22" x14ac:dyDescent="0.25">
      <c r="J48" s="18"/>
    </row>
    <row r="49" spans="10:10" x14ac:dyDescent="0.25">
      <c r="J49" s="18"/>
    </row>
    <row r="50" spans="10:10" x14ac:dyDescent="0.25">
      <c r="J50" s="18"/>
    </row>
    <row r="51" spans="10:10" x14ac:dyDescent="0.25">
      <c r="J51" s="18"/>
    </row>
    <row r="52" spans="10:10" x14ac:dyDescent="0.25">
      <c r="J52" s="18"/>
    </row>
    <row r="53" spans="10:10" x14ac:dyDescent="0.25">
      <c r="J53" s="18"/>
    </row>
    <row r="54" spans="10:10" x14ac:dyDescent="0.25">
      <c r="J54" s="18"/>
    </row>
    <row r="55" spans="10:10" x14ac:dyDescent="0.25">
      <c r="J55" s="18"/>
    </row>
    <row r="56" spans="10:10" x14ac:dyDescent="0.25">
      <c r="J56" s="18"/>
    </row>
    <row r="57" spans="10:10" x14ac:dyDescent="0.25">
      <c r="J57" s="18"/>
    </row>
    <row r="58" spans="10:10" x14ac:dyDescent="0.25">
      <c r="J58" s="18"/>
    </row>
    <row r="59" spans="10:10" x14ac:dyDescent="0.25">
      <c r="J59" s="18"/>
    </row>
    <row r="60" spans="10:10" x14ac:dyDescent="0.25">
      <c r="J60" s="18"/>
    </row>
    <row r="61" spans="10:10" x14ac:dyDescent="0.25">
      <c r="J61" s="18"/>
    </row>
  </sheetData>
  <mergeCells count="2">
    <mergeCell ref="A9:I9"/>
    <mergeCell ref="K9:S9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J61"/>
  <sheetViews>
    <sheetView workbookViewId="0">
      <selection activeCell="A2" sqref="A2"/>
    </sheetView>
  </sheetViews>
  <sheetFormatPr defaultRowHeight="16.5" x14ac:dyDescent="0.25"/>
  <cols>
    <col min="1" max="1" width="12.875" customWidth="1"/>
    <col min="2" max="2" width="16.125" customWidth="1"/>
    <col min="3" max="3" width="11.125" customWidth="1"/>
    <col min="4" max="4" width="13.875" customWidth="1"/>
    <col min="5" max="5" width="10.5" bestFit="1" customWidth="1"/>
    <col min="6" max="6" width="13.5" customWidth="1"/>
    <col min="7" max="7" width="12.25" customWidth="1"/>
    <col min="8" max="8" width="9.5" bestFit="1" customWidth="1"/>
    <col min="10" max="10" width="11.75" bestFit="1" customWidth="1"/>
    <col min="12" max="12" width="13.125" customWidth="1"/>
    <col min="13" max="13" width="12" customWidth="1"/>
    <col min="14" max="14" width="11" customWidth="1"/>
    <col min="15" max="15" width="14.625" customWidth="1"/>
    <col min="16" max="16" width="14.375" customWidth="1"/>
    <col min="17" max="17" width="13.75" customWidth="1"/>
    <col min="18" max="18" width="14.125" customWidth="1"/>
    <col min="19" max="20" width="13.125" customWidth="1"/>
    <col min="21" max="23" width="10.625" customWidth="1"/>
    <col min="24" max="24" width="9.5" bestFit="1" customWidth="1"/>
  </cols>
  <sheetData>
    <row r="1" spans="1:36" x14ac:dyDescent="0.25">
      <c r="A1" s="1" t="s">
        <v>53</v>
      </c>
      <c r="B1" s="1" t="s">
        <v>48</v>
      </c>
      <c r="C1" s="1" t="s">
        <v>51</v>
      </c>
      <c r="D1" s="1" t="s">
        <v>52</v>
      </c>
      <c r="E1" s="2" t="s">
        <v>21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7</v>
      </c>
      <c r="L1" s="1" t="s">
        <v>15</v>
      </c>
      <c r="M1" s="2" t="s">
        <v>8</v>
      </c>
      <c r="N1" s="2" t="s">
        <v>9</v>
      </c>
      <c r="O1" s="2" t="s">
        <v>50</v>
      </c>
      <c r="P1" s="7" t="s">
        <v>20</v>
      </c>
      <c r="Q1" s="10" t="s">
        <v>19</v>
      </c>
      <c r="R1" s="10" t="s">
        <v>30</v>
      </c>
    </row>
    <row r="2" spans="1:36" x14ac:dyDescent="0.25">
      <c r="A2" s="22"/>
      <c r="B2" s="37">
        <f ca="1">SUM($B$11:$B$34)+SUM(R11:R34)</f>
        <v>-1713002.1359045568</v>
      </c>
      <c r="C2" s="37">
        <f ca="1">SUM(A11:A34)+SUM(S11:S34)</f>
        <v>-2863.9704561515273</v>
      </c>
      <c r="D2" s="37">
        <f ca="1">IF(ISNUMBER(SUM(D11:D34)+SUM(P11:P34)),SUM(D11:D34)+SUM(P11:P34),0)</f>
        <v>-152654.46268375087</v>
      </c>
      <c r="E2" s="37">
        <f>SUMIF(C11:C50,"&gt;0",C11:C50)+SUMIF(Q11:Q50,"&gt;0",Q11:Q50)</f>
        <v>30</v>
      </c>
      <c r="F2" s="22" t="str">
        <f>[1]!'101120`644'</f>
        <v>台指期120</v>
      </c>
      <c r="G2" s="23">
        <f>[1]!'101120`743'</f>
        <v>11963</v>
      </c>
      <c r="H2" s="23">
        <f>[1]!'101120`744'</f>
        <v>11967</v>
      </c>
      <c r="I2" s="23">
        <f>[1]!'101120`205'</f>
        <v>11960</v>
      </c>
      <c r="J2" s="23">
        <f>[1]!'101120`1003'</f>
        <v>18</v>
      </c>
      <c r="K2" s="24">
        <f>[1]!'101120`1004'</f>
        <v>0.150728</v>
      </c>
      <c r="L2" s="23" t="e">
        <f>I2-I3</f>
        <v>#VALUE!</v>
      </c>
      <c r="M2" s="29">
        <f>ThirdWednesday("2020/12/01")</f>
        <v>44181</v>
      </c>
      <c r="N2" s="30">
        <f ca="1">IF(TODAY()=M2,$S$2/252,(COUNTIF(工作日!$B$2:$B$500,"&lt;="&amp;M2)-COUNTIF(工作日!$B$2:$B$500,"&lt;"&amp;TODAY())-$S$2)/252)</f>
        <v>0.4204100529100529</v>
      </c>
      <c r="O2" s="30">
        <f ca="1">IF(TODAY()=M2,0.001/252,(COUNTIF(工作日!$B$2:$B$133,"&lt;="&amp;M2)-COUNTIF(工作日!$B$2:$B$133,"&lt;="&amp;TODAY())-$S$2)/252)</f>
        <v>0.41644179894179895</v>
      </c>
      <c r="P2" s="8">
        <f>I2*0.01</f>
        <v>119.60000000000001</v>
      </c>
      <c r="Q2" s="11"/>
      <c r="R2" s="11">
        <f ca="1">SUM($U$11:$U$37)+SUM($V$11:$V$37)</f>
        <v>-20211.602087503528</v>
      </c>
      <c r="S2" s="21">
        <f ca="1">VALUE(TEXT(NOW()-$U$2,"h:mm")/$X$2)</f>
        <v>2.0566666666666666</v>
      </c>
      <c r="T2" s="21"/>
      <c r="U2" s="40" t="str">
        <f>TEXT("08:45:00 AM","h:mm")</f>
        <v>8:45</v>
      </c>
      <c r="V2" s="40"/>
      <c r="W2" s="40" t="str">
        <f>TEXT("08:45:00 AM","h:mm")</f>
        <v>8:45</v>
      </c>
      <c r="X2" s="35">
        <v>0.20833333333333334</v>
      </c>
      <c r="Y2" s="40" t="str">
        <f>TEXT("01:45:00 PM","h:mm")</f>
        <v>13:45</v>
      </c>
    </row>
    <row r="3" spans="1:36" x14ac:dyDescent="0.25">
      <c r="A3" s="25">
        <v>0</v>
      </c>
      <c r="B3" s="38">
        <f>A3*I2*200</f>
        <v>0</v>
      </c>
      <c r="C3" s="38"/>
      <c r="D3" s="38"/>
      <c r="F3" s="25" t="str">
        <f>[1]!'101999`644'</f>
        <v>台指期</v>
      </c>
      <c r="G3" s="26" t="str">
        <f>[1]!'101999`743'</f>
        <v>-</v>
      </c>
      <c r="H3" s="26" t="str">
        <f>[1]!'101999`744'</f>
        <v>-</v>
      </c>
      <c r="I3" s="26" t="str">
        <f>[1]!'101999`205'</f>
        <v>-</v>
      </c>
      <c r="J3" s="26">
        <f>[1]!'101999`1003'</f>
        <v>0</v>
      </c>
      <c r="K3" s="27">
        <f>[1]!'101999`1004'</f>
        <v>0</v>
      </c>
      <c r="L3" s="26"/>
      <c r="M3" s="26"/>
      <c r="N3" s="31"/>
      <c r="O3" s="31"/>
      <c r="P3" s="8"/>
      <c r="S3" s="9"/>
      <c r="T3" s="9"/>
    </row>
    <row r="4" spans="1:36" x14ac:dyDescent="0.25">
      <c r="A4" s="25"/>
      <c r="B4" s="38">
        <f ca="1">IF(ISNUMBER(B2+B3),B2+B3,0)</f>
        <v>-1713002.1359045568</v>
      </c>
      <c r="C4" s="38"/>
      <c r="D4" s="39">
        <f ca="1">B4/D2/100</f>
        <v>0.11221435035628968</v>
      </c>
      <c r="F4" s="22" t="str">
        <f>[1]!'102120`644'</f>
        <v>電子期120</v>
      </c>
      <c r="G4" s="23">
        <f>[1]!'102120`743'</f>
        <v>546.70000000000005</v>
      </c>
      <c r="H4" s="23">
        <f>[1]!'102120`744'</f>
        <v>563.79999999999995</v>
      </c>
      <c r="I4" s="23" t="str">
        <f>[1]!'102120`205'</f>
        <v>-</v>
      </c>
      <c r="J4" s="23">
        <f>[1]!'102120`1003'</f>
        <v>0</v>
      </c>
      <c r="K4" s="24">
        <f>[1]!'102120`1004'</f>
        <v>0</v>
      </c>
      <c r="L4" s="26" t="e">
        <f>I4-I5</f>
        <v>#VALUE!</v>
      </c>
      <c r="M4" s="29">
        <f>ThirdWednesday("2020/12/01")</f>
        <v>44181</v>
      </c>
      <c r="N4" s="30">
        <f ca="1">IF(TODAY()=M4,$S$2/252,(COUNTIF(工作日!$B$2:$B$133,"&lt;="&amp;M4)-COUNTIF(工作日!$B$2:$B$133,"&lt;"&amp;TODAY())-$S$2)/252)</f>
        <v>0.4204100529100529</v>
      </c>
      <c r="O4" s="30">
        <f ca="1">(COUNTIF(工作日!$B$2:$B$133,"&lt;="&amp;M4)-COUNTIF(工作日!$B$2:$B$133,"&lt;="&amp;TODAY())-$S$2)/252</f>
        <v>0.41644179894179895</v>
      </c>
      <c r="P4" s="8"/>
      <c r="Q4">
        <f ca="1">COUNTIF(工作日!$B$2:$B$2,"&lt;="&amp;M2)-COUNTIF(工作日!$B$2:$B$2,"&lt;"&amp;TODAY())</f>
        <v>1</v>
      </c>
      <c r="S4" s="9"/>
      <c r="T4" s="9"/>
    </row>
    <row r="5" spans="1:36" x14ac:dyDescent="0.25">
      <c r="F5" s="25" t="str">
        <f>[1]!'102999`644'</f>
        <v>電子期</v>
      </c>
      <c r="G5" s="26" t="str">
        <f>[1]!'102999`743'</f>
        <v>-</v>
      </c>
      <c r="H5" s="26" t="str">
        <f>[1]!'102999`744'</f>
        <v>-</v>
      </c>
      <c r="I5" s="26" t="str">
        <f>[1]!'102999`205'</f>
        <v>-</v>
      </c>
      <c r="J5" s="26">
        <f>[1]!'102999`1003'</f>
        <v>0</v>
      </c>
      <c r="K5" s="27">
        <f>[1]!'102999`1004'</f>
        <v>0</v>
      </c>
      <c r="L5" s="26"/>
      <c r="M5" s="26"/>
      <c r="N5" s="31"/>
      <c r="O5" s="31"/>
      <c r="P5" s="8"/>
      <c r="S5" s="9"/>
      <c r="T5" s="9"/>
    </row>
    <row r="6" spans="1:36" x14ac:dyDescent="0.25">
      <c r="F6" s="22" t="str">
        <f>[1]!'103120`644'</f>
        <v>金融期120</v>
      </c>
      <c r="G6" s="23">
        <f>[1]!'103120`743'</f>
        <v>1228.4000000000001</v>
      </c>
      <c r="H6" s="23">
        <f>[1]!'103120`744'</f>
        <v>1263.8</v>
      </c>
      <c r="I6" s="23" t="str">
        <f>[1]!'103120`205'</f>
        <v>-</v>
      </c>
      <c r="J6" s="23">
        <f>[1]!'103120`1003'</f>
        <v>0</v>
      </c>
      <c r="K6" s="24">
        <f>[1]!'103120`1004'</f>
        <v>0</v>
      </c>
      <c r="L6" s="26" t="e">
        <f>I6-I7</f>
        <v>#VALUE!</v>
      </c>
      <c r="M6" s="32">
        <f>M4</f>
        <v>44181</v>
      </c>
      <c r="N6" s="30">
        <f ca="1">IF(TODAY()=M6,$S$2/252,(COUNTIF(工作日!$B$2:$B$133,"&lt;="&amp;M6)-COUNTIF(工作日!$B$2:$B$133,"&lt;"&amp;TODAY())-$S$2)/252)</f>
        <v>0.4204100529100529</v>
      </c>
      <c r="O6" s="30">
        <f ca="1">(COUNTIF(工作日!$B$2:$B$133,"&lt;="&amp;M6)-COUNTIF(工作日!$B$2:$B$133,"&lt;="&amp;TODAY())-$S$2)/252</f>
        <v>0.41644179894179895</v>
      </c>
      <c r="P6" s="8"/>
      <c r="S6" s="9"/>
      <c r="T6" s="9"/>
    </row>
    <row r="7" spans="1:36" x14ac:dyDescent="0.25">
      <c r="F7" s="25" t="str">
        <f>[1]!'103999`644'</f>
        <v>金融期</v>
      </c>
      <c r="G7" s="26" t="str">
        <f>[1]!'103999`743'</f>
        <v>-</v>
      </c>
      <c r="H7" s="26" t="str">
        <f>[1]!'103999`744'</f>
        <v>-</v>
      </c>
      <c r="I7" s="26">
        <f>[1]!'103999`205'</f>
        <v>1283.28</v>
      </c>
      <c r="J7" s="26">
        <f>[1]!'103999`1003'</f>
        <v>3.57</v>
      </c>
      <c r="K7" s="27">
        <f>[1]!'103999`1004'</f>
        <v>0.27896900000000002</v>
      </c>
      <c r="L7" s="28"/>
      <c r="M7" s="33"/>
      <c r="N7" s="34"/>
      <c r="O7" s="34"/>
      <c r="P7" s="8"/>
    </row>
    <row r="8" spans="1:36" x14ac:dyDescent="0.25">
      <c r="D8" s="9"/>
      <c r="U8" t="s">
        <v>0</v>
      </c>
      <c r="W8" t="s">
        <v>0</v>
      </c>
    </row>
    <row r="9" spans="1:36" ht="17.25" thickBot="1" x14ac:dyDescent="0.3">
      <c r="A9" s="310" t="s">
        <v>1</v>
      </c>
      <c r="B9" s="311"/>
      <c r="C9" s="311"/>
      <c r="D9" s="311"/>
      <c r="E9" s="311"/>
      <c r="F9" s="311"/>
      <c r="G9" s="311"/>
      <c r="H9" s="311"/>
      <c r="I9" s="312"/>
      <c r="J9" s="16" t="s">
        <v>65</v>
      </c>
      <c r="K9" s="310" t="s">
        <v>2</v>
      </c>
      <c r="L9" s="311"/>
      <c r="M9" s="311"/>
      <c r="N9" s="311"/>
      <c r="O9" s="311"/>
      <c r="P9" s="311"/>
      <c r="Q9" s="311"/>
      <c r="R9" s="311"/>
      <c r="S9" s="312"/>
    </row>
    <row r="10" spans="1:36" ht="17.25" thickBot="1" x14ac:dyDescent="0.3">
      <c r="A10" s="13" t="s">
        <v>49</v>
      </c>
      <c r="B10" s="13" t="s">
        <v>48</v>
      </c>
      <c r="C10" s="13" t="s">
        <v>21</v>
      </c>
      <c r="D10" s="13" t="s">
        <v>18</v>
      </c>
      <c r="E10" s="12" t="s">
        <v>3</v>
      </c>
      <c r="F10" s="12" t="s">
        <v>4</v>
      </c>
      <c r="G10" s="12" t="s">
        <v>5</v>
      </c>
      <c r="H10" s="12" t="s">
        <v>16</v>
      </c>
      <c r="I10" s="12" t="s">
        <v>17</v>
      </c>
      <c r="J10" s="16" t="s">
        <v>6</v>
      </c>
      <c r="K10" s="12" t="s">
        <v>3</v>
      </c>
      <c r="L10" s="12" t="s">
        <v>4</v>
      </c>
      <c r="M10" s="12" t="s">
        <v>5</v>
      </c>
      <c r="N10" s="12" t="s">
        <v>16</v>
      </c>
      <c r="O10" s="12" t="s">
        <v>17</v>
      </c>
      <c r="P10" s="13" t="s">
        <v>18</v>
      </c>
      <c r="Q10" s="13" t="s">
        <v>21</v>
      </c>
      <c r="R10" s="13" t="s">
        <v>48</v>
      </c>
      <c r="S10" s="13" t="s">
        <v>49</v>
      </c>
      <c r="T10" s="46"/>
      <c r="U10" s="44" t="s">
        <v>62</v>
      </c>
      <c r="V10" s="47" t="s">
        <v>63</v>
      </c>
      <c r="X10" s="4">
        <v>-0.03</v>
      </c>
      <c r="Y10" s="5">
        <f>X10+0.5%</f>
        <v>-2.4999999999999998E-2</v>
      </c>
      <c r="Z10" s="5">
        <f t="shared" ref="Z10:AJ10" si="0">Y10+0.5%</f>
        <v>-1.9999999999999997E-2</v>
      </c>
      <c r="AA10" s="5">
        <f t="shared" si="0"/>
        <v>-1.4999999999999996E-2</v>
      </c>
      <c r="AB10" s="5">
        <f t="shared" si="0"/>
        <v>-9.999999999999995E-3</v>
      </c>
      <c r="AC10" s="5">
        <f t="shared" si="0"/>
        <v>-4.9999999999999949E-3</v>
      </c>
      <c r="AD10" s="5">
        <f t="shared" si="0"/>
        <v>0</v>
      </c>
      <c r="AE10" s="5">
        <f t="shared" si="0"/>
        <v>5.0000000000000001E-3</v>
      </c>
      <c r="AF10" s="5">
        <f t="shared" si="0"/>
        <v>0.01</v>
      </c>
      <c r="AG10" s="5">
        <f t="shared" si="0"/>
        <v>1.4999999999999999E-2</v>
      </c>
      <c r="AH10" s="5">
        <f>AG10+0.5%</f>
        <v>0.02</v>
      </c>
      <c r="AI10" s="5">
        <f t="shared" si="0"/>
        <v>2.5000000000000001E-2</v>
      </c>
      <c r="AJ10" s="5">
        <f t="shared" si="0"/>
        <v>3.0000000000000002E-2</v>
      </c>
    </row>
    <row r="11" spans="1:36" x14ac:dyDescent="0.25">
      <c r="A11" s="36">
        <f t="shared" ref="A11:A42" ca="1" si="1">(GBSOption("C",$I$2,$J11, $N$2,$H11, 0,0)-GBSOption("C",$I$2,$J11, $O$2,$H11, 0,0))*$C11*50*-1</f>
        <v>0</v>
      </c>
      <c r="B11" s="14">
        <f t="shared" ref="B11:B42" ca="1" si="2">GBSGreeks("d", "C",$I$2,$J11,$N$2,$H11, 0,0)*50*$I$2*$C11</f>
        <v>0</v>
      </c>
      <c r="C11" s="14"/>
      <c r="D11" s="14">
        <f t="shared" ref="D11:D42" ca="1" si="3">GBSGreeks("g", "C",$I$2,$J11,$N$2,$H11, 0,0)*$P$2*50*$I$2*$C11*-1</f>
        <v>0</v>
      </c>
      <c r="E11" s="17">
        <f>[3]!'WTXOZ0;6800C`267'</f>
        <v>5040</v>
      </c>
      <c r="F11" s="17">
        <f>[3]!'WTXOZ0;6800C`268'</f>
        <v>5290</v>
      </c>
      <c r="G11" s="17" t="str">
        <f>[3]!'WTXOZ0;6800C`205'</f>
        <v>-</v>
      </c>
      <c r="H11" s="19">
        <f t="shared" ref="H11:H37" ca="1" si="4">IF(ISNUMBER(GBSImpliedVol("C",E11,$G$2,$J11,$N$2,0,0)),GBSImpliedVol("C",E11,$G$2,$J11,$N$2,0,0),0.6)</f>
        <v>1.610321044921875E-4</v>
      </c>
      <c r="I11" s="19">
        <f t="shared" ref="I11:I37" ca="1" si="5">IF(ISNUMBER(GBSImpliedVol("C",F11,$H$2,$J11,$N$2,0,0)),GBSImpliedVol("C",F11,$H$2,$J11,$N$2,0,0),0.6)</f>
        <v>0.6125571685791017</v>
      </c>
      <c r="J11" s="18">
        <v>6800</v>
      </c>
      <c r="K11" s="17">
        <f>[3]!'WTXOZ0;6800P`267'</f>
        <v>30</v>
      </c>
      <c r="L11" s="17">
        <f>[3]!'WTXOZ0;6800P`268'</f>
        <v>33.5</v>
      </c>
      <c r="M11" s="17" t="str">
        <f>[3]!'WTXOZ0;6800P`205'</f>
        <v>-</v>
      </c>
      <c r="N11" s="19">
        <f t="shared" ref="N11:N37" ca="1" si="6">IF(ISNUMBER(GBSImpliedVol("P",K11,$G$2,$J11,$N$2,0,0)),GBSImpliedVol("P",K11,$G$2,$J11,$N$2,0,0),0.6)</f>
        <v>0.46034309997558592</v>
      </c>
      <c r="O11" s="19">
        <f t="shared" ref="O11:O37" ca="1" si="7">IF(ISNUMBER(GBSImpliedVol("P",L11,$H$2,$J11,$N$2,0,0)),GBSImpliedVol("P",L11,$H$2,$J11,$N$2,0,0),0.6)</f>
        <v>0.4693758514404297</v>
      </c>
      <c r="P11" s="14">
        <f t="shared" ref="P11:P42" ca="1" si="8">GBSGreeks("g", "P",$I$2,$J11,$N$2,$N11, 0,0)*$P$2*50*$I$2*$Q11*-1</f>
        <v>0</v>
      </c>
      <c r="Q11" s="14">
        <v>0</v>
      </c>
      <c r="R11" s="14">
        <f t="shared" ref="R11:R30" ca="1" si="9">GBSGreeks("d", "P",$I$2,$J11,$N$2,$N11, 0,0)*50*$I$2*Q11</f>
        <v>0</v>
      </c>
      <c r="S11" s="36">
        <f t="shared" ref="S11:S30" ca="1" si="10">(GBSOption("P",$I$2,$J11,$N$2,N11,0,0)-GBSOption("P",$I$2,$J11,$O$2,N11,0,0))*Q11*50*-1</f>
        <v>0</v>
      </c>
      <c r="T11" s="36"/>
      <c r="U11" s="48">
        <f t="shared" ref="U11:U42" ca="1" si="11">(GBSOption("C",$I$2,$J11,$N$2,$H11,0, 0)-GBSOption("C",$I$2,$J11,$N$2,$H11+0.01,0, 0))*50*$C11</f>
        <v>0</v>
      </c>
      <c r="V11" s="48">
        <f t="shared" ref="V11:V42" ca="1" si="12">(GBSOption("P",$I$2,$J11,$N$2,$N11,0, 0)-GBSOption("P",$I$2,$J11,$N$2,$N11+0.01,0, 0))*50*$Q11</f>
        <v>0</v>
      </c>
      <c r="W11">
        <f t="shared" ref="W11:W20" si="13">J21</f>
        <v>8800</v>
      </c>
      <c r="X11" s="6">
        <f t="shared" ref="X11:AJ20" ca="1" si="14">GBSOption($I$2,$I$2*(1+X$10),$J21,$N$2,IF($W$8="C",$H21,$N21),0,0)</f>
        <v>34.219342495060694</v>
      </c>
      <c r="Y11" s="6">
        <f t="shared" ca="1" si="14"/>
        <v>31.843277212834515</v>
      </c>
      <c r="Z11" s="6">
        <f t="shared" ca="1" si="14"/>
        <v>29.620745042146687</v>
      </c>
      <c r="AA11" s="6">
        <f t="shared" ca="1" si="14"/>
        <v>27.542836304400129</v>
      </c>
      <c r="AB11" s="6">
        <f t="shared" ca="1" si="14"/>
        <v>25.601070611629236</v>
      </c>
      <c r="AC11" s="6">
        <f t="shared" ca="1" si="14"/>
        <v>23.787383779400116</v>
      </c>
      <c r="AD11" s="6">
        <f t="shared" ca="1" si="14"/>
        <v>22.09411444238426</v>
      </c>
      <c r="AE11" s="6">
        <f t="shared" ca="1" si="14"/>
        <v>20.513990456059254</v>
      </c>
      <c r="AF11" s="6">
        <f t="shared" ca="1" si="14"/>
        <v>19.040115161467856</v>
      </c>
      <c r="AG11" s="6">
        <f t="shared" ca="1" si="14"/>
        <v>17.665953583565837</v>
      </c>
      <c r="AH11" s="6">
        <f t="shared" ca="1" si="14"/>
        <v>16.385318627427669</v>
      </c>
      <c r="AI11" s="6">
        <f t="shared" ca="1" si="14"/>
        <v>15.192357330553619</v>
      </c>
      <c r="AJ11" s="6">
        <f t="shared" ca="1" si="14"/>
        <v>14.081537223624055</v>
      </c>
    </row>
    <row r="12" spans="1:36" x14ac:dyDescent="0.25">
      <c r="A12" s="36">
        <f t="shared" ca="1" si="1"/>
        <v>0</v>
      </c>
      <c r="B12" s="14">
        <f t="shared" ca="1" si="2"/>
        <v>0</v>
      </c>
      <c r="C12" s="14"/>
      <c r="D12" s="14">
        <f t="shared" ca="1" si="3"/>
        <v>0</v>
      </c>
      <c r="E12" s="17">
        <f>[3]!'WTXOZ0;7000C`267'</f>
        <v>4850</v>
      </c>
      <c r="F12" s="17">
        <f>[3]!'WTXOZ0;7000C`268'</f>
        <v>5100</v>
      </c>
      <c r="G12" s="17" t="str">
        <f>[3]!'WTXOZ0;7000C`205'</f>
        <v>-</v>
      </c>
      <c r="H12" s="19">
        <f t="shared" ca="1" si="4"/>
        <v>1.610321044921875E-4</v>
      </c>
      <c r="I12" s="19">
        <f t="shared" ca="1" si="5"/>
        <v>0.59766533508300801</v>
      </c>
      <c r="J12" s="18">
        <f>J11+200</f>
        <v>7000</v>
      </c>
      <c r="K12" s="17">
        <f>[3]!'WTXOZ0;7000P`267'</f>
        <v>30</v>
      </c>
      <c r="L12" s="17">
        <f>[3]!'WTXOZ0;7000P`268'</f>
        <v>37</v>
      </c>
      <c r="M12" s="17" t="str">
        <f>[3]!'WTXOZ0;7000P`205'</f>
        <v>-</v>
      </c>
      <c r="N12" s="19">
        <f t="shared" ca="1" si="6"/>
        <v>0.43959218444824222</v>
      </c>
      <c r="O12" s="19">
        <f t="shared" ca="1" si="7"/>
        <v>0.4561929168701172</v>
      </c>
      <c r="P12" s="14">
        <f t="shared" ca="1" si="8"/>
        <v>0</v>
      </c>
      <c r="Q12" s="14"/>
      <c r="R12" s="14">
        <f t="shared" ca="1" si="9"/>
        <v>0</v>
      </c>
      <c r="S12" s="36">
        <f t="shared" ca="1" si="10"/>
        <v>0</v>
      </c>
      <c r="T12" s="36"/>
      <c r="U12" s="49">
        <f t="shared" ca="1" si="11"/>
        <v>0</v>
      </c>
      <c r="V12" s="49">
        <f t="shared" ca="1" si="12"/>
        <v>0</v>
      </c>
      <c r="W12">
        <f t="shared" si="13"/>
        <v>9000</v>
      </c>
      <c r="X12" s="6">
        <f t="shared" ca="1" si="14"/>
        <v>109.6942982167365</v>
      </c>
      <c r="Y12" s="6">
        <f t="shared" ca="1" si="14"/>
        <v>104.38464836922041</v>
      </c>
      <c r="Z12" s="6">
        <f t="shared" ca="1" si="14"/>
        <v>99.310440586129204</v>
      </c>
      <c r="AA12" s="6">
        <f t="shared" ca="1" si="14"/>
        <v>94.462656700438217</v>
      </c>
      <c r="AB12" s="6">
        <f t="shared" ca="1" si="14"/>
        <v>89.832531834137114</v>
      </c>
      <c r="AC12" s="6">
        <f t="shared" ca="1" si="14"/>
        <v>85.411553314233231</v>
      </c>
      <c r="AD12" s="6">
        <f t="shared" ca="1" si="14"/>
        <v>81.191459134322301</v>
      </c>
      <c r="AE12" s="6">
        <f t="shared" ca="1" si="14"/>
        <v>77.164235992921249</v>
      </c>
      <c r="AF12" s="6">
        <f t="shared" ca="1" si="14"/>
        <v>73.322116939651508</v>
      </c>
      <c r="AG12" s="6">
        <f t="shared" ca="1" si="14"/>
        <v>69.657578659814106</v>
      </c>
      <c r="AH12" s="6">
        <f t="shared" ca="1" si="14"/>
        <v>66.163338427364579</v>
      </c>
      <c r="AI12" s="6">
        <f t="shared" ca="1" si="14"/>
        <v>62.832350755562736</v>
      </c>
      <c r="AJ12" s="6">
        <f t="shared" ca="1" si="14"/>
        <v>59.657803773716182</v>
      </c>
    </row>
    <row r="13" spans="1:36" x14ac:dyDescent="0.25">
      <c r="A13" s="36">
        <f t="shared" ca="1" si="1"/>
        <v>0</v>
      </c>
      <c r="B13" s="14">
        <f t="shared" ca="1" si="2"/>
        <v>0</v>
      </c>
      <c r="C13" s="14"/>
      <c r="D13" s="14">
        <f t="shared" ca="1" si="3"/>
        <v>0</v>
      </c>
      <c r="E13" s="17">
        <f>[3]!'WTXOZ0;7200C`267'</f>
        <v>4650</v>
      </c>
      <c r="F13" s="17">
        <f>[3]!'WTXOZ0;7200C`268'</f>
        <v>4900</v>
      </c>
      <c r="G13" s="20" t="str">
        <f>[3]!'WTXOZ0;7200C`205'</f>
        <v>-</v>
      </c>
      <c r="H13" s="19">
        <f t="shared" ca="1" si="4"/>
        <v>1.610321044921875E-4</v>
      </c>
      <c r="I13" s="19">
        <f t="shared" ca="1" si="5"/>
        <v>0.57178772277832035</v>
      </c>
      <c r="J13" s="18">
        <f t="shared" ref="J13:J42" si="15">J12+200</f>
        <v>7200</v>
      </c>
      <c r="K13" s="17">
        <f>[3]!'WTXOZ0;7200P`267'</f>
        <v>30</v>
      </c>
      <c r="L13" s="17">
        <f>[3]!'WTXOZ0;7200P`268'</f>
        <v>41</v>
      </c>
      <c r="M13" s="17" t="str">
        <f>[3]!'WTXOZ0;7200P`205'</f>
        <v>-</v>
      </c>
      <c r="N13" s="19">
        <f t="shared" ca="1" si="6"/>
        <v>0.4192074615478516</v>
      </c>
      <c r="O13" s="19">
        <f t="shared" ca="1" si="7"/>
        <v>0.44349823913574216</v>
      </c>
      <c r="P13" s="14">
        <f t="shared" ca="1" si="8"/>
        <v>0</v>
      </c>
      <c r="Q13" s="14"/>
      <c r="R13" s="14">
        <f t="shared" ca="1" si="9"/>
        <v>0</v>
      </c>
      <c r="S13" s="36">
        <f t="shared" ca="1" si="10"/>
        <v>0</v>
      </c>
      <c r="T13" s="36"/>
      <c r="U13" s="49">
        <f t="shared" ca="1" si="11"/>
        <v>0</v>
      </c>
      <c r="V13" s="49">
        <f t="shared" ca="1" si="12"/>
        <v>0</v>
      </c>
      <c r="W13">
        <f t="shared" si="13"/>
        <v>9200</v>
      </c>
      <c r="X13" s="6">
        <f t="shared" ca="1" si="14"/>
        <v>136.6884041028467</v>
      </c>
      <c r="Y13" s="6">
        <f t="shared" ca="1" si="14"/>
        <v>130.30854577154187</v>
      </c>
      <c r="Z13" s="6">
        <f t="shared" ca="1" si="14"/>
        <v>124.19893904766856</v>
      </c>
      <c r="AA13" s="6">
        <f t="shared" ca="1" si="14"/>
        <v>118.34989045864593</v>
      </c>
      <c r="AB13" s="6">
        <f t="shared" ca="1" si="14"/>
        <v>112.75194462279283</v>
      </c>
      <c r="AC13" s="6">
        <f t="shared" ca="1" si="14"/>
        <v>107.39588532695149</v>
      </c>
      <c r="AD13" s="6">
        <f t="shared" ca="1" si="14"/>
        <v>102.27273607341589</v>
      </c>
      <c r="AE13" s="6">
        <f t="shared" ca="1" si="14"/>
        <v>97.373760122696225</v>
      </c>
      <c r="AF13" s="6">
        <f t="shared" ca="1" si="14"/>
        <v>92.690460059368263</v>
      </c>
      <c r="AG13" s="6">
        <f t="shared" ca="1" si="14"/>
        <v>88.214576908703251</v>
      </c>
      <c r="AH13" s="6">
        <f t="shared" ca="1" si="14"/>
        <v>83.938088831995913</v>
      </c>
      <c r="AI13" s="6">
        <f t="shared" ca="1" si="14"/>
        <v>79.85320942855256</v>
      </c>
      <c r="AJ13" s="6">
        <f t="shared" ca="1" si="14"/>
        <v>75.952385672056693</v>
      </c>
    </row>
    <row r="14" spans="1:36" x14ac:dyDescent="0.25">
      <c r="A14" s="36">
        <f t="shared" ca="1" si="1"/>
        <v>0</v>
      </c>
      <c r="B14" s="14">
        <f t="shared" ca="1" si="2"/>
        <v>0</v>
      </c>
      <c r="C14" s="14"/>
      <c r="D14" s="14">
        <f t="shared" ca="1" si="3"/>
        <v>0</v>
      </c>
      <c r="E14" s="17">
        <f>[3]!'WTXOZ0;7400C`267'</f>
        <v>4450</v>
      </c>
      <c r="F14" s="17">
        <f>[3]!'WTXOZ0;7400C`268'</f>
        <v>4710</v>
      </c>
      <c r="G14" s="17" t="str">
        <f>[3]!'WTXOZ0;7400C`205'</f>
        <v>-</v>
      </c>
      <c r="H14" s="19">
        <f t="shared" ca="1" si="4"/>
        <v>1.610321044921875E-4</v>
      </c>
      <c r="I14" s="19">
        <f t="shared" ca="1" si="5"/>
        <v>0.55677382507324225</v>
      </c>
      <c r="J14" s="18">
        <f t="shared" si="15"/>
        <v>7400</v>
      </c>
      <c r="K14" s="17">
        <f>[3]!'WTXOZ0;7400P`267'</f>
        <v>33</v>
      </c>
      <c r="L14" s="17">
        <f>[3]!'WTXOZ0;7400P`268'</f>
        <v>44.5</v>
      </c>
      <c r="M14" s="17" t="str">
        <f>[3]!'WTXOZ0;7400P`205'</f>
        <v>-</v>
      </c>
      <c r="N14" s="19">
        <f t="shared" ca="1" si="6"/>
        <v>0.40614659118652346</v>
      </c>
      <c r="O14" s="19">
        <f t="shared" ca="1" si="7"/>
        <v>0.42946085510253912</v>
      </c>
      <c r="P14" s="14">
        <f t="shared" ca="1" si="8"/>
        <v>0</v>
      </c>
      <c r="Q14" s="14"/>
      <c r="R14" s="14">
        <f t="shared" ca="1" si="9"/>
        <v>0</v>
      </c>
      <c r="S14" s="36">
        <f t="shared" ca="1" si="10"/>
        <v>0</v>
      </c>
      <c r="T14" s="36"/>
      <c r="U14" s="49">
        <f t="shared" ca="1" si="11"/>
        <v>0</v>
      </c>
      <c r="V14" s="49">
        <f t="shared" ca="1" si="12"/>
        <v>0</v>
      </c>
      <c r="W14">
        <f t="shared" si="13"/>
        <v>9400</v>
      </c>
      <c r="X14" s="6">
        <f t="shared" ca="1" si="14"/>
        <v>155.56739185132383</v>
      </c>
      <c r="Y14" s="6">
        <f t="shared" ca="1" si="14"/>
        <v>148.29815633072616</v>
      </c>
      <c r="Z14" s="6">
        <f t="shared" ca="1" si="14"/>
        <v>141.33421584333553</v>
      </c>
      <c r="AA14" s="6">
        <f t="shared" ca="1" si="14"/>
        <v>134.6649296590941</v>
      </c>
      <c r="AB14" s="6">
        <f t="shared" ca="1" si="14"/>
        <v>128.2798927683701</v>
      </c>
      <c r="AC14" s="6">
        <f t="shared" ca="1" si="14"/>
        <v>122.16893913614406</v>
      </c>
      <c r="AD14" s="6">
        <f t="shared" ca="1" si="14"/>
        <v>116.32214431100745</v>
      </c>
      <c r="AE14" s="6">
        <f t="shared" ca="1" si="14"/>
        <v>110.72982741208935</v>
      </c>
      <c r="AF14" s="6">
        <f t="shared" ca="1" si="14"/>
        <v>105.3825525188923</v>
      </c>
      <c r="AG14" s="6">
        <f t="shared" ca="1" si="14"/>
        <v>100.27112949070677</v>
      </c>
      <c r="AH14" s="6">
        <f t="shared" ca="1" si="14"/>
        <v>95.386614243375931</v>
      </c>
      <c r="AI14" s="6">
        <f t="shared" ca="1" si="14"/>
        <v>90.720308512121278</v>
      </c>
      <c r="AJ14" s="6">
        <f t="shared" ca="1" si="14"/>
        <v>86.263759129703573</v>
      </c>
    </row>
    <row r="15" spans="1:36" x14ac:dyDescent="0.25">
      <c r="A15" s="36">
        <f t="shared" ca="1" si="1"/>
        <v>0</v>
      </c>
      <c r="B15" s="14">
        <f t="shared" ca="1" si="2"/>
        <v>0</v>
      </c>
      <c r="C15" s="14"/>
      <c r="D15" s="14">
        <f t="shared" ca="1" si="3"/>
        <v>0</v>
      </c>
      <c r="E15" s="17">
        <f>[3]!'WTXOZ0;7600C`267'</f>
        <v>4260</v>
      </c>
      <c r="F15" s="17">
        <f>[3]!'WTXOZ0;7600C`268'</f>
        <v>4510</v>
      </c>
      <c r="G15" s="17" t="str">
        <f>[3]!'WTXOZ0;7600C`205'</f>
        <v>-</v>
      </c>
      <c r="H15" s="19">
        <f t="shared" ca="1" si="4"/>
        <v>1.610321044921875E-4</v>
      </c>
      <c r="I15" s="19">
        <f t="shared" ca="1" si="5"/>
        <v>0.53175066223144529</v>
      </c>
      <c r="J15" s="18">
        <f t="shared" si="15"/>
        <v>7600</v>
      </c>
      <c r="K15" s="17">
        <f>[3]!'WTXOZ0;7600P`267'</f>
        <v>37</v>
      </c>
      <c r="L15" s="17">
        <f>[3]!'WTXOZ0;7600P`268'</f>
        <v>49</v>
      </c>
      <c r="M15" s="17" t="str">
        <f>[3]!'WTXOZ0;7600P`205'</f>
        <v>-</v>
      </c>
      <c r="N15" s="19">
        <f t="shared" ca="1" si="6"/>
        <v>0.39467255554199221</v>
      </c>
      <c r="O15" s="19">
        <f t="shared" ca="1" si="7"/>
        <v>0.41664411315917982</v>
      </c>
      <c r="P15" s="14">
        <f t="shared" ca="1" si="8"/>
        <v>0</v>
      </c>
      <c r="Q15" s="14"/>
      <c r="R15" s="14">
        <f t="shared" ca="1" si="9"/>
        <v>0</v>
      </c>
      <c r="S15" s="36">
        <f t="shared" ca="1" si="10"/>
        <v>0</v>
      </c>
      <c r="T15" s="36"/>
      <c r="U15" s="49">
        <f t="shared" ca="1" si="11"/>
        <v>0</v>
      </c>
      <c r="V15" s="49">
        <f t="shared" ca="1" si="12"/>
        <v>0</v>
      </c>
      <c r="W15">
        <f t="shared" si="13"/>
        <v>9600</v>
      </c>
      <c r="X15" s="6">
        <f t="shared" ca="1" si="14"/>
        <v>163.06650913576945</v>
      </c>
      <c r="Y15" s="6">
        <f t="shared" ca="1" si="14"/>
        <v>155.12960182298872</v>
      </c>
      <c r="Z15" s="6">
        <f t="shared" ca="1" si="14"/>
        <v>147.53645014995499</v>
      </c>
      <c r="AA15" s="6">
        <f t="shared" ca="1" si="14"/>
        <v>140.2749425225652</v>
      </c>
      <c r="AB15" s="6">
        <f t="shared" ca="1" si="14"/>
        <v>133.33321784632039</v>
      </c>
      <c r="AC15" s="6">
        <f t="shared" ca="1" si="14"/>
        <v>126.69967167145026</v>
      </c>
      <c r="AD15" s="6">
        <f t="shared" ca="1" si="14"/>
        <v>120.36296147594284</v>
      </c>
      <c r="AE15" s="6">
        <f t="shared" ca="1" si="14"/>
        <v>114.31201110710248</v>
      </c>
      <c r="AF15" s="6">
        <f t="shared" ca="1" si="14"/>
        <v>108.53601440646271</v>
      </c>
      <c r="AG15" s="6">
        <f t="shared" ca="1" si="14"/>
        <v>103.02443804633043</v>
      </c>
      <c r="AH15" s="6">
        <f t="shared" ca="1" si="14"/>
        <v>97.767023609088284</v>
      </c>
      <c r="AI15" s="6">
        <f t="shared" ca="1" si="14"/>
        <v>92.753788942680757</v>
      </c>
      <c r="AJ15" s="6">
        <f t="shared" ca="1" si="14"/>
        <v>87.975028827473722</v>
      </c>
    </row>
    <row r="16" spans="1:36" x14ac:dyDescent="0.25">
      <c r="A16" s="36">
        <f t="shared" ca="1" si="1"/>
        <v>0</v>
      </c>
      <c r="B16" s="14">
        <f t="shared" ca="1" si="2"/>
        <v>0</v>
      </c>
      <c r="C16" s="14"/>
      <c r="D16" s="14">
        <f t="shared" ca="1" si="3"/>
        <v>0</v>
      </c>
      <c r="E16" s="17">
        <f>[3]!'WTXOZ0;7800C`267'</f>
        <v>4060</v>
      </c>
      <c r="F16" s="17">
        <f>[3]!'WTXOZ0;7800C`268'</f>
        <v>4320</v>
      </c>
      <c r="G16" s="17" t="str">
        <f>[3]!'WTXOZ0;7800C`205'</f>
        <v>-</v>
      </c>
      <c r="H16" s="19">
        <f t="shared" ca="1" si="4"/>
        <v>1.610321044921875E-4</v>
      </c>
      <c r="I16" s="19">
        <f t="shared" ca="1" si="5"/>
        <v>0.51661470031738288</v>
      </c>
      <c r="J16" s="18">
        <f t="shared" si="15"/>
        <v>7800</v>
      </c>
      <c r="K16" s="17">
        <f>[3]!'WTXOZ0;7800P`267'</f>
        <v>42</v>
      </c>
      <c r="L16" s="17">
        <f>[3]!'WTXOZ0;7800P`268'</f>
        <v>54</v>
      </c>
      <c r="M16" s="17" t="str">
        <f>[3]!'WTXOZ0;7800P`205'</f>
        <v>-</v>
      </c>
      <c r="N16" s="19">
        <f t="shared" ca="1" si="6"/>
        <v>0.38441916198730475</v>
      </c>
      <c r="O16" s="19">
        <f t="shared" ca="1" si="7"/>
        <v>0.4041935638427735</v>
      </c>
      <c r="P16" s="14">
        <f t="shared" ca="1" si="8"/>
        <v>0</v>
      </c>
      <c r="Q16" s="14"/>
      <c r="R16" s="14">
        <f t="shared" ca="1" si="9"/>
        <v>0</v>
      </c>
      <c r="S16" s="36">
        <f t="shared" ca="1" si="10"/>
        <v>0</v>
      </c>
      <c r="T16" s="36"/>
      <c r="U16" s="49">
        <f t="shared" ca="1" si="11"/>
        <v>0</v>
      </c>
      <c r="V16" s="49">
        <f t="shared" ca="1" si="12"/>
        <v>0</v>
      </c>
      <c r="W16">
        <f t="shared" si="13"/>
        <v>9800</v>
      </c>
      <c r="X16" s="6">
        <f t="shared" ca="1" si="14"/>
        <v>143.45165220137918</v>
      </c>
      <c r="Y16" s="6">
        <f t="shared" ca="1" si="14"/>
        <v>135.50236582974298</v>
      </c>
      <c r="Z16" s="6">
        <f t="shared" ca="1" si="14"/>
        <v>127.94165738213431</v>
      </c>
      <c r="AA16" s="6">
        <f t="shared" ca="1" si="14"/>
        <v>120.75429518053394</v>
      </c>
      <c r="AB16" s="6">
        <f t="shared" ca="1" si="14"/>
        <v>113.92538039025848</v>
      </c>
      <c r="AC16" s="6">
        <f t="shared" ca="1" si="14"/>
        <v>107.44035856489919</v>
      </c>
      <c r="AD16" s="6">
        <f t="shared" ca="1" si="14"/>
        <v>101.28502962519609</v>
      </c>
      <c r="AE16" s="6">
        <f t="shared" ca="1" si="14"/>
        <v>95.445556305210616</v>
      </c>
      <c r="AF16" s="6">
        <f t="shared" ca="1" si="14"/>
        <v>89.90847110903114</v>
      </c>
      <c r="AG16" s="6">
        <f t="shared" ca="1" si="14"/>
        <v>84.660681829469354</v>
      </c>
      <c r="AH16" s="6">
        <f t="shared" ca="1" si="14"/>
        <v>79.689475686959852</v>
      </c>
      <c r="AI16" s="6">
        <f t="shared" ca="1" si="14"/>
        <v>74.982522152317173</v>
      </c>
      <c r="AJ16" s="6">
        <f t="shared" ca="1" si="14"/>
        <v>70.527874521182</v>
      </c>
    </row>
    <row r="17" spans="1:36" x14ac:dyDescent="0.25">
      <c r="A17" s="36">
        <f t="shared" ca="1" si="1"/>
        <v>0</v>
      </c>
      <c r="B17" s="14">
        <f t="shared" ca="1" si="2"/>
        <v>0</v>
      </c>
      <c r="C17" s="14"/>
      <c r="D17" s="14">
        <f t="shared" ca="1" si="3"/>
        <v>0</v>
      </c>
      <c r="E17" s="17">
        <f>[3]!'WTXOZ0;8000C`267'</f>
        <v>3870</v>
      </c>
      <c r="F17" s="17">
        <f>[3]!'WTXOZ0;8000C`268'</f>
        <v>4120</v>
      </c>
      <c r="G17" s="17" t="str">
        <f>[3]!'WTXOZ0;8000C`205'</f>
        <v>-</v>
      </c>
      <c r="H17" s="19">
        <f t="shared" ca="1" si="4"/>
        <v>1.610321044921875E-4</v>
      </c>
      <c r="I17" s="19">
        <f t="shared" ca="1" si="5"/>
        <v>0.49244598693847663</v>
      </c>
      <c r="J17" s="18">
        <f t="shared" si="15"/>
        <v>8000</v>
      </c>
      <c r="K17" s="17">
        <f>[3]!'WTXOZ0;8000P`267'</f>
        <v>47.5</v>
      </c>
      <c r="L17" s="17">
        <f>[3]!'WTXOZ0;8000P`268'</f>
        <v>59</v>
      </c>
      <c r="M17" s="17" t="str">
        <f>[3]!'WTXOZ0;8000P`205'</f>
        <v>-</v>
      </c>
      <c r="N17" s="19">
        <f t="shared" ca="1" si="6"/>
        <v>0.37392164001464845</v>
      </c>
      <c r="O17" s="19">
        <f t="shared" ca="1" si="7"/>
        <v>0.39125475769042972</v>
      </c>
      <c r="P17" s="14">
        <f t="shared" ca="1" si="8"/>
        <v>0</v>
      </c>
      <c r="Q17" s="14"/>
      <c r="R17" s="14">
        <f t="shared" ca="1" si="9"/>
        <v>0</v>
      </c>
      <c r="S17" s="36">
        <f t="shared" ca="1" si="10"/>
        <v>0</v>
      </c>
      <c r="T17" s="36"/>
      <c r="U17" s="49">
        <f t="shared" ca="1" si="11"/>
        <v>0</v>
      </c>
      <c r="V17" s="49">
        <f t="shared" ca="1" si="12"/>
        <v>0</v>
      </c>
      <c r="W17">
        <f t="shared" si="13"/>
        <v>10000</v>
      </c>
      <c r="X17" s="6">
        <f t="shared" ca="1" si="14"/>
        <v>219.10066502544646</v>
      </c>
      <c r="Y17" s="6">
        <f t="shared" ca="1" si="14"/>
        <v>208.62753839364333</v>
      </c>
      <c r="Z17" s="6">
        <f t="shared" ca="1" si="14"/>
        <v>198.58923830900216</v>
      </c>
      <c r="AA17" s="6">
        <f t="shared" ca="1" si="14"/>
        <v>188.97189397813582</v>
      </c>
      <c r="AB17" s="6">
        <f t="shared" ca="1" si="14"/>
        <v>179.76182216414247</v>
      </c>
      <c r="AC17" s="6">
        <f t="shared" ca="1" si="14"/>
        <v>170.94554027959936</v>
      </c>
      <c r="AD17" s="6">
        <f t="shared" ca="1" si="14"/>
        <v>162.50977858443952</v>
      </c>
      <c r="AE17" s="6">
        <f t="shared" ca="1" si="14"/>
        <v>154.44149145580769</v>
      </c>
      <c r="AF17" s="6">
        <f t="shared" ca="1" si="14"/>
        <v>146.72786770836785</v>
      </c>
      <c r="AG17" s="6">
        <f t="shared" ca="1" si="14"/>
        <v>139.35633995374357</v>
      </c>
      <c r="AH17" s="6">
        <f t="shared" ca="1" si="14"/>
        <v>132.31459299672437</v>
      </c>
      <c r="AI17" s="6">
        <f t="shared" ca="1" si="14"/>
        <v>125.59057127379245</v>
      </c>
      <c r="AJ17" s="6">
        <f t="shared" ca="1" si="14"/>
        <v>119.1724853464043</v>
      </c>
    </row>
    <row r="18" spans="1:36" x14ac:dyDescent="0.25">
      <c r="A18" s="36">
        <f t="shared" ca="1" si="1"/>
        <v>0</v>
      </c>
      <c r="B18" s="14">
        <f t="shared" ca="1" si="2"/>
        <v>0</v>
      </c>
      <c r="C18" s="14"/>
      <c r="D18" s="14">
        <f t="shared" ca="1" si="3"/>
        <v>0</v>
      </c>
      <c r="E18" s="17">
        <f>[3]!'WTXOZ0;8200C`267'</f>
        <v>3680</v>
      </c>
      <c r="F18" s="17">
        <f>[3]!'WTXOZ0;8200C`268'</f>
        <v>3930</v>
      </c>
      <c r="G18" s="17" t="str">
        <f>[3]!'WTXOZ0;8200C`205'</f>
        <v>-</v>
      </c>
      <c r="H18" s="19">
        <f t="shared" ca="1" si="4"/>
        <v>1.610321044921875E-4</v>
      </c>
      <c r="I18" s="19">
        <f t="shared" ca="1" si="5"/>
        <v>0.47706589660644538</v>
      </c>
      <c r="J18" s="18">
        <f t="shared" si="15"/>
        <v>8200</v>
      </c>
      <c r="K18" s="17">
        <f>[3]!'WTXOZ0;8200P`267'</f>
        <v>53</v>
      </c>
      <c r="L18" s="17">
        <f>[3]!'WTXOZ0;8200P`268'</f>
        <v>179</v>
      </c>
      <c r="M18" s="17" t="str">
        <f>[3]!'WTXOZ0;8200P`205'</f>
        <v>-</v>
      </c>
      <c r="N18" s="19">
        <f t="shared" ca="1" si="6"/>
        <v>0.36269173278808597</v>
      </c>
      <c r="O18" s="19">
        <f t="shared" ca="1" si="7"/>
        <v>0.49012676696777346</v>
      </c>
      <c r="P18" s="14">
        <f t="shared" ca="1" si="8"/>
        <v>0</v>
      </c>
      <c r="Q18" s="14">
        <v>0</v>
      </c>
      <c r="R18" s="14">
        <f t="shared" ca="1" si="9"/>
        <v>0</v>
      </c>
      <c r="S18" s="36">
        <f t="shared" ca="1" si="10"/>
        <v>0</v>
      </c>
      <c r="T18" s="36"/>
      <c r="U18" s="49">
        <f t="shared" ca="1" si="11"/>
        <v>0</v>
      </c>
      <c r="V18" s="49">
        <f t="shared" ca="1" si="12"/>
        <v>0</v>
      </c>
      <c r="W18">
        <f t="shared" si="13"/>
        <v>10200</v>
      </c>
      <c r="X18" s="6">
        <f t="shared" ca="1" si="14"/>
        <v>244.13772228063183</v>
      </c>
      <c r="Y18" s="6">
        <f t="shared" ca="1" si="14"/>
        <v>232.34143484580773</v>
      </c>
      <c r="Z18" s="6">
        <f t="shared" ca="1" si="14"/>
        <v>221.03354718235809</v>
      </c>
      <c r="AA18" s="6">
        <f t="shared" ca="1" si="14"/>
        <v>210.19903647582314</v>
      </c>
      <c r="AB18" s="6">
        <f t="shared" ca="1" si="14"/>
        <v>199.82302770837035</v>
      </c>
      <c r="AC18" s="6">
        <f t="shared" ca="1" si="14"/>
        <v>189.89081114426907</v>
      </c>
      <c r="AD18" s="6">
        <f t="shared" ca="1" si="14"/>
        <v>180.38785899787158</v>
      </c>
      <c r="AE18" s="6">
        <f t="shared" ca="1" si="14"/>
        <v>171.29984119695942</v>
      </c>
      <c r="AF18" s="6">
        <f t="shared" ca="1" si="14"/>
        <v>162.61264017271239</v>
      </c>
      <c r="AG18" s="6">
        <f t="shared" ca="1" si="14"/>
        <v>154.31236462407782</v>
      </c>
      <c r="AH18" s="6">
        <f t="shared" ca="1" si="14"/>
        <v>146.38536221915146</v>
      </c>
      <c r="AI18" s="6">
        <f t="shared" ca="1" si="14"/>
        <v>138.81823120946601</v>
      </c>
      <c r="AJ18" s="6">
        <f t="shared" ca="1" si="14"/>
        <v>131.59783094482168</v>
      </c>
    </row>
    <row r="19" spans="1:36" x14ac:dyDescent="0.25">
      <c r="A19" s="36">
        <f t="shared" ca="1" si="1"/>
        <v>0</v>
      </c>
      <c r="B19" s="14">
        <f t="shared" ca="1" si="2"/>
        <v>0</v>
      </c>
      <c r="C19" s="14"/>
      <c r="D19" s="14">
        <f t="shared" ca="1" si="3"/>
        <v>0</v>
      </c>
      <c r="E19" s="17">
        <f>[3]!'WTXOZ0;8400C`267'</f>
        <v>3480</v>
      </c>
      <c r="F19" s="17">
        <f>[3]!'WTXOZ0;8400C`268'</f>
        <v>3740</v>
      </c>
      <c r="G19" s="17" t="str">
        <f>[3]!'WTXOZ0;8400C`205'</f>
        <v>-</v>
      </c>
      <c r="H19" s="19">
        <f t="shared" ca="1" si="4"/>
        <v>1.610321044921875E-4</v>
      </c>
      <c r="I19" s="19">
        <f t="shared" ca="1" si="5"/>
        <v>0.4614416778564453</v>
      </c>
      <c r="J19" s="18">
        <f t="shared" si="15"/>
        <v>8400</v>
      </c>
      <c r="K19" s="17">
        <f>[3]!'WTXOZ0;8400P`267'</f>
        <v>9</v>
      </c>
      <c r="L19" s="17">
        <f>[3]!'WTXOZ0;8400P`268'</f>
        <v>186</v>
      </c>
      <c r="M19" s="17" t="str">
        <f>[3]!'WTXOZ0;8400P`205'</f>
        <v>-</v>
      </c>
      <c r="N19" s="19">
        <f t="shared" ca="1" si="6"/>
        <v>0.25283394470214848</v>
      </c>
      <c r="O19" s="19">
        <f t="shared" ca="1" si="7"/>
        <v>0.47145094299316409</v>
      </c>
      <c r="P19" s="14">
        <f t="shared" ca="1" si="8"/>
        <v>0</v>
      </c>
      <c r="Q19" s="14">
        <v>0</v>
      </c>
      <c r="R19" s="14">
        <f t="shared" ca="1" si="9"/>
        <v>0</v>
      </c>
      <c r="S19" s="36">
        <f t="shared" ca="1" si="10"/>
        <v>0</v>
      </c>
      <c r="T19" s="36"/>
      <c r="U19" s="49">
        <f t="shared" ca="1" si="11"/>
        <v>0</v>
      </c>
      <c r="V19" s="49">
        <f t="shared" ca="1" si="12"/>
        <v>0</v>
      </c>
      <c r="W19">
        <f t="shared" si="13"/>
        <v>10400</v>
      </c>
      <c r="X19" s="6">
        <f t="shared" ca="1" si="14"/>
        <v>286.09821518239886</v>
      </c>
      <c r="Y19" s="6">
        <f t="shared" ca="1" si="14"/>
        <v>272.55210371962221</v>
      </c>
      <c r="Z19" s="6">
        <f t="shared" ca="1" si="14"/>
        <v>259.54730914672035</v>
      </c>
      <c r="AA19" s="6">
        <f t="shared" ca="1" si="14"/>
        <v>247.06840895946056</v>
      </c>
      <c r="AB19" s="6">
        <f t="shared" ca="1" si="14"/>
        <v>235.10006064564686</v>
      </c>
      <c r="AC19" s="6">
        <f t="shared" ca="1" si="14"/>
        <v>223.62702141837775</v>
      </c>
      <c r="AD19" s="6">
        <f t="shared" ca="1" si="14"/>
        <v>212.63416758768679</v>
      </c>
      <c r="AE19" s="6">
        <f t="shared" ca="1" si="14"/>
        <v>202.10651340377794</v>
      </c>
      <c r="AF19" s="6">
        <f t="shared" ca="1" si="14"/>
        <v>192.02922923071438</v>
      </c>
      <c r="AG19" s="6">
        <f t="shared" ca="1" si="14"/>
        <v>182.38765893275911</v>
      </c>
      <c r="AH19" s="6">
        <f t="shared" ca="1" si="14"/>
        <v>173.167336376778</v>
      </c>
      <c r="AI19" s="6">
        <f t="shared" ca="1" si="14"/>
        <v>164.35400097339738</v>
      </c>
      <c r="AJ19" s="6">
        <f t="shared" ca="1" si="14"/>
        <v>155.93361219700523</v>
      </c>
    </row>
    <row r="20" spans="1:36" x14ac:dyDescent="0.25">
      <c r="A20" s="36">
        <f t="shared" ca="1" si="1"/>
        <v>0</v>
      </c>
      <c r="B20" s="14">
        <f t="shared" ca="1" si="2"/>
        <v>0</v>
      </c>
      <c r="C20" s="14"/>
      <c r="D20" s="14">
        <f t="shared" ca="1" si="3"/>
        <v>0</v>
      </c>
      <c r="E20" s="17">
        <f>[3]!'WTXOZ0;8600C`267'</f>
        <v>3290</v>
      </c>
      <c r="F20" s="17">
        <f>[3]!'WTXOZ0;8600C`268'</f>
        <v>3540</v>
      </c>
      <c r="G20" s="17" t="str">
        <f>[3]!'WTXOZ0;8600C`205'</f>
        <v>-</v>
      </c>
      <c r="H20" s="19">
        <f t="shared" ca="1" si="4"/>
        <v>1.610321044921875E-4</v>
      </c>
      <c r="I20" s="19">
        <f t="shared" ca="1" si="5"/>
        <v>0.43800534973144534</v>
      </c>
      <c r="J20" s="18">
        <f t="shared" si="15"/>
        <v>8600</v>
      </c>
      <c r="K20" s="17">
        <f>[3]!'WTXOZ0;8600P`267'</f>
        <v>9</v>
      </c>
      <c r="L20" s="17">
        <f>[3]!'WTXOZ0;8600P`268'</f>
        <v>194</v>
      </c>
      <c r="M20" s="17" t="str">
        <f>[3]!'WTXOZ0;8600P`205'</f>
        <v>-</v>
      </c>
      <c r="N20" s="19">
        <f t="shared" ca="1" si="6"/>
        <v>0.23794211120605471</v>
      </c>
      <c r="O20" s="19">
        <f t="shared" ca="1" si="7"/>
        <v>0.45350750427246095</v>
      </c>
      <c r="P20" s="14">
        <f ca="1">GBSGreeks("g", "P",$I$2,$J20,$N$2,$N20, 0,0)*$P$2*50*$I$2*$Q20*-1</f>
        <v>0</v>
      </c>
      <c r="Q20" s="14">
        <v>0</v>
      </c>
      <c r="R20" s="14">
        <f t="shared" ca="1" si="9"/>
        <v>0</v>
      </c>
      <c r="S20" s="36">
        <f t="shared" ca="1" si="10"/>
        <v>0</v>
      </c>
      <c r="T20" s="36"/>
      <c r="U20" s="49">
        <f t="shared" ca="1" si="11"/>
        <v>0</v>
      </c>
      <c r="V20" s="49">
        <f t="shared" ca="1" si="12"/>
        <v>0</v>
      </c>
      <c r="W20">
        <f t="shared" si="13"/>
        <v>10600</v>
      </c>
      <c r="X20" s="6">
        <f t="shared" ca="1" si="14"/>
        <v>327.26270340439743</v>
      </c>
      <c r="Y20" s="6">
        <f t="shared" ca="1" si="14"/>
        <v>311.88924122853712</v>
      </c>
      <c r="Z20" s="6">
        <f t="shared" ca="1" si="14"/>
        <v>297.11538699213384</v>
      </c>
      <c r="AA20" s="6">
        <f t="shared" ca="1" si="14"/>
        <v>282.92521927940925</v>
      </c>
      <c r="AB20" s="6">
        <f t="shared" ca="1" si="14"/>
        <v>269.30282554868376</v>
      </c>
      <c r="AC20" s="6">
        <f t="shared" ca="1" si="14"/>
        <v>256.23232306506355</v>
      </c>
      <c r="AD20" s="6">
        <f t="shared" ca="1" si="14"/>
        <v>243.69788023365697</v>
      </c>
      <c r="AE20" s="6">
        <f t="shared" ca="1" si="14"/>
        <v>231.68373804634422</v>
      </c>
      <c r="AF20" s="6">
        <f t="shared" ca="1" si="14"/>
        <v>220.1742313916491</v>
      </c>
      <c r="AG20" s="6">
        <f t="shared" ca="1" si="14"/>
        <v>209.15381001078239</v>
      </c>
      <c r="AH20" s="6">
        <f t="shared" ca="1" si="14"/>
        <v>198.60705891370773</v>
      </c>
      <c r="AI20" s="6">
        <f t="shared" ca="1" si="14"/>
        <v>188.51871809724562</v>
      </c>
      <c r="AJ20" s="6">
        <f t="shared" ca="1" si="14"/>
        <v>178.87370143295249</v>
      </c>
    </row>
    <row r="21" spans="1:36" x14ac:dyDescent="0.25">
      <c r="A21" s="36">
        <f t="shared" ca="1" si="1"/>
        <v>0</v>
      </c>
      <c r="B21" s="14">
        <f t="shared" ca="1" si="2"/>
        <v>0</v>
      </c>
      <c r="C21" s="14"/>
      <c r="D21" s="14">
        <f t="shared" ca="1" si="3"/>
        <v>0</v>
      </c>
      <c r="E21" s="17">
        <f>[3]!'WTXOZ0;8800C`267'</f>
        <v>3100</v>
      </c>
      <c r="F21" s="17">
        <f>[3]!'WTXOZ0;8800C`268'</f>
        <v>3350</v>
      </c>
      <c r="G21" s="17" t="str">
        <f>[3]!'WTXOZ0;8800C`205'</f>
        <v>-</v>
      </c>
      <c r="H21" s="19">
        <f t="shared" ca="1" si="4"/>
        <v>1.610321044921875E-4</v>
      </c>
      <c r="I21" s="19">
        <f t="shared" ca="1" si="5"/>
        <v>0.42213700256347664</v>
      </c>
      <c r="J21" s="18">
        <f t="shared" si="15"/>
        <v>8800</v>
      </c>
      <c r="K21" s="17">
        <f>[3]!'WTXOZ0;8800P`267'</f>
        <v>22</v>
      </c>
      <c r="L21" s="17">
        <f>[3]!'WTXOZ0;8800P`268'</f>
        <v>203</v>
      </c>
      <c r="M21" s="17" t="str">
        <f>[3]!'WTXOZ0;8800P`205'</f>
        <v>-</v>
      </c>
      <c r="N21" s="19">
        <f t="shared" ca="1" si="6"/>
        <v>0.25747238464355471</v>
      </c>
      <c r="O21" s="19">
        <f t="shared" ca="1" si="7"/>
        <v>0.43605232238769531</v>
      </c>
      <c r="P21" s="14">
        <f t="shared" ca="1" si="8"/>
        <v>0</v>
      </c>
      <c r="Q21" s="14">
        <v>0</v>
      </c>
      <c r="R21" s="14">
        <f t="shared" ca="1" si="9"/>
        <v>0</v>
      </c>
      <c r="S21" s="36">
        <f ca="1">(GBSOption("P",$I$2,$J21,$N$2,N21,0,0)-GBSOption("P",$I$2,$J21,$O$2,N21,0,0))*Q21*50*-1</f>
        <v>0</v>
      </c>
      <c r="T21" s="36"/>
      <c r="U21" s="49">
        <f t="shared" ca="1" si="11"/>
        <v>0</v>
      </c>
      <c r="V21" s="49">
        <f ca="1">(GBSOption("P",$I$2,$J21,$N$2,$N21,0, 0)-GBSOption("P",$I$2,$J21,$N$2,$N21+0.01,0, 0))*50*$Q21</f>
        <v>0</v>
      </c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</row>
    <row r="22" spans="1:36" x14ac:dyDescent="0.25">
      <c r="A22" s="36">
        <f t="shared" ca="1" si="1"/>
        <v>0</v>
      </c>
      <c r="B22" s="14">
        <f t="shared" ca="1" si="2"/>
        <v>0</v>
      </c>
      <c r="C22" s="14"/>
      <c r="D22" s="14">
        <f t="shared" ca="1" si="3"/>
        <v>0</v>
      </c>
      <c r="E22" s="17">
        <f>[3]!'WTXOZ0;9000C`267'</f>
        <v>2910</v>
      </c>
      <c r="F22" s="17">
        <f>[3]!'WTXOZ0;9000C`268'</f>
        <v>3160</v>
      </c>
      <c r="G22" s="17" t="str">
        <f>[3]!'WTXOZ0;9000C`205'</f>
        <v>-</v>
      </c>
      <c r="H22" s="19">
        <f t="shared" ca="1" si="4"/>
        <v>1.610321044921875E-4</v>
      </c>
      <c r="I22" s="19">
        <f t="shared" ca="1" si="5"/>
        <v>0.40590246276855468</v>
      </c>
      <c r="J22" s="18">
        <f t="shared" si="15"/>
        <v>9000</v>
      </c>
      <c r="K22" s="17">
        <f>[3]!'WTXOZ0;9000P`267'</f>
        <v>81</v>
      </c>
      <c r="L22" s="17">
        <f>[3]!'WTXOZ0;9000P`268'</f>
        <v>213</v>
      </c>
      <c r="M22" s="17" t="str">
        <f>[3]!'WTXOZ0;9000P`205'</f>
        <v>-</v>
      </c>
      <c r="N22" s="19">
        <f t="shared" ca="1" si="6"/>
        <v>0.31740591125488282</v>
      </c>
      <c r="O22" s="19">
        <f t="shared" ca="1" si="7"/>
        <v>0.4192074615478516</v>
      </c>
      <c r="P22" s="14">
        <f t="shared" ca="1" si="8"/>
        <v>0</v>
      </c>
      <c r="Q22" s="14">
        <v>0</v>
      </c>
      <c r="R22" s="14">
        <f t="shared" ca="1" si="9"/>
        <v>0</v>
      </c>
      <c r="S22" s="36">
        <f t="shared" ca="1" si="10"/>
        <v>0</v>
      </c>
      <c r="T22" s="36"/>
      <c r="U22" s="49">
        <f t="shared" ca="1" si="11"/>
        <v>0</v>
      </c>
      <c r="V22" s="49">
        <f t="shared" ca="1" si="12"/>
        <v>0</v>
      </c>
    </row>
    <row r="23" spans="1:36" x14ac:dyDescent="0.25">
      <c r="A23" s="36">
        <f t="shared" ca="1" si="1"/>
        <v>0</v>
      </c>
      <c r="B23" s="14">
        <f t="shared" ca="1" si="2"/>
        <v>0</v>
      </c>
      <c r="C23" s="14"/>
      <c r="D23" s="14">
        <f t="shared" ca="1" si="3"/>
        <v>0</v>
      </c>
      <c r="E23" s="17">
        <f>[3]!'WTXOZ0;9200C`267'</f>
        <v>2720</v>
      </c>
      <c r="F23" s="17">
        <f>[3]!'WTXOZ0;9200C`268'</f>
        <v>2980</v>
      </c>
      <c r="G23" s="17" t="str">
        <f>[3]!'WTXOZ0;9200C`205'</f>
        <v>-</v>
      </c>
      <c r="H23" s="19">
        <f t="shared" ca="1" si="4"/>
        <v>1.610321044921875E-4</v>
      </c>
      <c r="I23" s="19">
        <f t="shared" ca="1" si="5"/>
        <v>0.39577113342285153</v>
      </c>
      <c r="J23" s="18">
        <f t="shared" si="15"/>
        <v>9200</v>
      </c>
      <c r="K23" s="17">
        <f>[3]!'WTXOZ0;9200P`267'</f>
        <v>102</v>
      </c>
      <c r="L23" s="17">
        <f>[3]!'WTXOZ0;9200P`268'</f>
        <v>225</v>
      </c>
      <c r="M23" s="17" t="str">
        <f>[3]!'WTXOZ0;9200P`205'</f>
        <v>-</v>
      </c>
      <c r="N23" s="19">
        <f t="shared" ca="1" si="6"/>
        <v>0.31655146179199223</v>
      </c>
      <c r="O23" s="19">
        <f t="shared" ca="1" si="7"/>
        <v>0.40321705017089848</v>
      </c>
      <c r="P23" s="14">
        <f t="shared" ca="1" si="8"/>
        <v>0</v>
      </c>
      <c r="Q23" s="14">
        <v>0</v>
      </c>
      <c r="R23" s="14">
        <f t="shared" ca="1" si="9"/>
        <v>0</v>
      </c>
      <c r="S23" s="36">
        <f t="shared" ca="1" si="10"/>
        <v>0</v>
      </c>
      <c r="T23" s="36"/>
      <c r="U23" s="49">
        <f t="shared" ca="1" si="11"/>
        <v>0</v>
      </c>
      <c r="V23" s="49">
        <f t="shared" ca="1" si="12"/>
        <v>0</v>
      </c>
    </row>
    <row r="24" spans="1:36" x14ac:dyDescent="0.25">
      <c r="A24" s="36">
        <f t="shared" ca="1" si="1"/>
        <v>0</v>
      </c>
      <c r="B24" s="14">
        <f t="shared" ca="1" si="2"/>
        <v>0</v>
      </c>
      <c r="C24" s="14">
        <v>0</v>
      </c>
      <c r="D24" s="14">
        <f t="shared" ca="1" si="3"/>
        <v>0</v>
      </c>
      <c r="E24" s="17">
        <f>[3]!'WTXOZ0;9400C`267'</f>
        <v>2540</v>
      </c>
      <c r="F24" s="17">
        <f>[3]!'WTXOZ0;9400C`268'</f>
        <v>2790</v>
      </c>
      <c r="G24" s="17" t="str">
        <f>[3]!'WTXOZ0;9400C`205'</f>
        <v>-</v>
      </c>
      <c r="H24" s="19">
        <f t="shared" ca="1" si="4"/>
        <v>1.610321044921875E-4</v>
      </c>
      <c r="I24" s="19">
        <f t="shared" ca="1" si="5"/>
        <v>0.37868214416503909</v>
      </c>
      <c r="J24" s="18">
        <f t="shared" si="15"/>
        <v>9400</v>
      </c>
      <c r="K24" s="17">
        <f>[3]!'WTXOZ0;9400P`267'</f>
        <v>116</v>
      </c>
      <c r="L24" s="17">
        <f>[3]!'WTXOZ0;9400P`268'</f>
        <v>238</v>
      </c>
      <c r="M24" s="17" t="str">
        <f>[3]!'WTXOZ0;9400P`205'</f>
        <v>-</v>
      </c>
      <c r="N24" s="19">
        <f t="shared" ca="1" si="6"/>
        <v>0.3075187103271485</v>
      </c>
      <c r="O24" s="19">
        <f t="shared" ca="1" si="7"/>
        <v>0.38747076721191409</v>
      </c>
      <c r="P24" s="14">
        <f t="shared" ca="1" si="8"/>
        <v>-152654.46268375087</v>
      </c>
      <c r="Q24" s="14">
        <v>30</v>
      </c>
      <c r="R24" s="14">
        <f t="shared" ca="1" si="9"/>
        <v>-1713002.1359045568</v>
      </c>
      <c r="S24" s="36">
        <f t="shared" ca="1" si="10"/>
        <v>-2863.9704561515273</v>
      </c>
      <c r="T24" s="36"/>
      <c r="U24" s="49">
        <f t="shared" ca="1" si="11"/>
        <v>0</v>
      </c>
      <c r="V24" s="49">
        <f t="shared" ca="1" si="12"/>
        <v>-20211.602087503528</v>
      </c>
    </row>
    <row r="25" spans="1:36" x14ac:dyDescent="0.25">
      <c r="A25" s="36">
        <f t="shared" ca="1" si="1"/>
        <v>0</v>
      </c>
      <c r="B25" s="14">
        <f t="shared" ca="1" si="2"/>
        <v>0</v>
      </c>
      <c r="C25" s="14">
        <v>0</v>
      </c>
      <c r="D25" s="14">
        <f t="shared" ca="1" si="3"/>
        <v>0</v>
      </c>
      <c r="E25" s="17">
        <f>[3]!'WTXOZ0;9600C`267'</f>
        <v>2350</v>
      </c>
      <c r="F25" s="17">
        <f>[3]!'WTXOZ0;9600C`268'</f>
        <v>2600</v>
      </c>
      <c r="G25" s="17" t="str">
        <f>[3]!'WTXOZ0;9600C`205'</f>
        <v>-</v>
      </c>
      <c r="H25" s="19">
        <f t="shared" ca="1" si="4"/>
        <v>1.610321044921875E-4</v>
      </c>
      <c r="I25" s="19">
        <f t="shared" ca="1" si="5"/>
        <v>0.36134902648925793</v>
      </c>
      <c r="J25" s="18">
        <f t="shared" si="15"/>
        <v>9600</v>
      </c>
      <c r="K25" s="17">
        <f>[3]!'WTXOZ0;9600P`267'</f>
        <v>120</v>
      </c>
      <c r="L25" s="17">
        <f>[3]!'WTXOZ0;9600P`268'</f>
        <v>257</v>
      </c>
      <c r="M25" s="17" t="str">
        <f>[3]!'WTXOZ0;9600P`205'</f>
        <v>-</v>
      </c>
      <c r="N25" s="19">
        <f t="shared" ca="1" si="6"/>
        <v>0.29018559265136723</v>
      </c>
      <c r="O25" s="19">
        <f t="shared" ca="1" si="7"/>
        <v>0.37465402526855474</v>
      </c>
      <c r="P25" s="14">
        <f t="shared" ca="1" si="8"/>
        <v>0</v>
      </c>
      <c r="Q25" s="14">
        <v>0</v>
      </c>
      <c r="R25" s="14">
        <f t="shared" ca="1" si="9"/>
        <v>0</v>
      </c>
      <c r="S25" s="36">
        <f t="shared" ca="1" si="10"/>
        <v>0</v>
      </c>
      <c r="T25" s="36"/>
      <c r="U25" s="49">
        <f t="shared" ca="1" si="11"/>
        <v>0</v>
      </c>
      <c r="V25" s="49">
        <f t="shared" ca="1" si="12"/>
        <v>0</v>
      </c>
    </row>
    <row r="26" spans="1:36" x14ac:dyDescent="0.25">
      <c r="A26" s="36">
        <f t="shared" ca="1" si="1"/>
        <v>0</v>
      </c>
      <c r="B26" s="14">
        <f t="shared" ca="1" si="2"/>
        <v>0</v>
      </c>
      <c r="C26" s="14">
        <v>0</v>
      </c>
      <c r="D26" s="14">
        <f t="shared" ca="1" si="3"/>
        <v>0</v>
      </c>
      <c r="E26" s="17">
        <f>[3]!'WTXOZ0;9800C`267'</f>
        <v>2180</v>
      </c>
      <c r="F26" s="17">
        <f>[3]!'WTXOZ0;9800C`268'</f>
        <v>2420</v>
      </c>
      <c r="G26" s="17" t="str">
        <f>[3]!'WTXOZ0;9800C`205'</f>
        <v>-</v>
      </c>
      <c r="H26" s="19">
        <f t="shared" ca="1" si="4"/>
        <v>0.17080679626464845</v>
      </c>
      <c r="I26" s="19">
        <f t="shared" ca="1" si="5"/>
        <v>0.34889847717285161</v>
      </c>
      <c r="J26" s="18">
        <f t="shared" si="15"/>
        <v>9800</v>
      </c>
      <c r="K26" s="17">
        <f>[3]!'WTXOZ0;9800P`267'</f>
        <v>101</v>
      </c>
      <c r="L26" s="17">
        <f>[3]!'WTXOZ0;9800P`268'</f>
        <v>274</v>
      </c>
      <c r="M26" s="17" t="str">
        <f>[3]!'WTXOZ0;9800P`205'</f>
        <v>-</v>
      </c>
      <c r="N26" s="19">
        <f t="shared" ca="1" si="6"/>
        <v>0.2564958709716797</v>
      </c>
      <c r="O26" s="19">
        <f t="shared" ca="1" si="7"/>
        <v>0.36000632019042977</v>
      </c>
      <c r="P26" s="14">
        <f t="shared" ca="1" si="8"/>
        <v>0</v>
      </c>
      <c r="Q26" s="14">
        <v>0</v>
      </c>
      <c r="R26" s="14">
        <f t="shared" ca="1" si="9"/>
        <v>0</v>
      </c>
      <c r="S26" s="36">
        <f t="shared" ca="1" si="10"/>
        <v>0</v>
      </c>
      <c r="T26" s="36"/>
      <c r="U26" s="49">
        <f t="shared" ca="1" si="11"/>
        <v>0</v>
      </c>
      <c r="V26" s="49">
        <f t="shared" ca="1" si="12"/>
        <v>0</v>
      </c>
    </row>
    <row r="27" spans="1:36" x14ac:dyDescent="0.25">
      <c r="A27" s="36">
        <f t="shared" ca="1" si="1"/>
        <v>0</v>
      </c>
      <c r="B27" s="14">
        <f t="shared" ca="1" si="2"/>
        <v>0</v>
      </c>
      <c r="C27" s="14">
        <v>0</v>
      </c>
      <c r="D27" s="14">
        <f t="shared" ca="1" si="3"/>
        <v>0</v>
      </c>
      <c r="E27" s="17">
        <f>[3]!'WTXOZ0;10000C`267'</f>
        <v>1990</v>
      </c>
      <c r="F27" s="17">
        <f>[3]!'WTXOZ0;10000C`268'</f>
        <v>2240</v>
      </c>
      <c r="G27" s="17" t="str">
        <f>[3]!'WTXOZ0;10000C`205'</f>
        <v>-</v>
      </c>
      <c r="H27" s="19">
        <f t="shared" ca="1" si="4"/>
        <v>0.17092886047363284</v>
      </c>
      <c r="I27" s="19">
        <f t="shared" ca="1" si="5"/>
        <v>0.33571554260253905</v>
      </c>
      <c r="J27" s="18">
        <f t="shared" si="15"/>
        <v>10000</v>
      </c>
      <c r="K27" s="17">
        <f>[3]!'WTXOZ0;10000P`267'</f>
        <v>162</v>
      </c>
      <c r="L27" s="17">
        <f>[3]!'WTXOZ0;10000P`268'</f>
        <v>294</v>
      </c>
      <c r="M27" s="17" t="str">
        <f>[3]!'WTXOZ0;10000P`205'</f>
        <v>-</v>
      </c>
      <c r="N27" s="19">
        <f t="shared" ca="1" si="6"/>
        <v>0.2759040802001953</v>
      </c>
      <c r="O27" s="19">
        <f t="shared" ca="1" si="7"/>
        <v>0.34609100036621093</v>
      </c>
      <c r="P27" s="14">
        <f t="shared" ca="1" si="8"/>
        <v>0</v>
      </c>
      <c r="Q27" s="14"/>
      <c r="R27" s="14">
        <f t="shared" ca="1" si="9"/>
        <v>0</v>
      </c>
      <c r="S27" s="36">
        <f t="shared" ca="1" si="10"/>
        <v>0</v>
      </c>
      <c r="T27" s="36"/>
      <c r="U27" s="49">
        <f t="shared" ca="1" si="11"/>
        <v>0</v>
      </c>
      <c r="V27" s="49">
        <f t="shared" ca="1" si="12"/>
        <v>0</v>
      </c>
    </row>
    <row r="28" spans="1:36" x14ac:dyDescent="0.25">
      <c r="A28" s="36">
        <f t="shared" ca="1" si="1"/>
        <v>0</v>
      </c>
      <c r="B28" s="14">
        <f t="shared" ca="1" si="2"/>
        <v>0</v>
      </c>
      <c r="C28" s="14">
        <v>0</v>
      </c>
      <c r="D28" s="14">
        <f t="shared" ca="1" si="3"/>
        <v>0</v>
      </c>
      <c r="E28" s="17">
        <f>[3]!'WTXOZ0;10200C`267'</f>
        <v>1810</v>
      </c>
      <c r="F28" s="17">
        <f>[3]!'WTXOZ0;10200C`268'</f>
        <v>2070</v>
      </c>
      <c r="G28" s="17" t="str">
        <f>[3]!'WTXOZ0;10200C`205'</f>
        <v>-</v>
      </c>
      <c r="H28" s="19">
        <f t="shared" ca="1" si="4"/>
        <v>0.17654381408691411</v>
      </c>
      <c r="I28" s="19">
        <f t="shared" ca="1" si="5"/>
        <v>0.32631659851074213</v>
      </c>
      <c r="J28" s="18">
        <f t="shared" si="15"/>
        <v>10200</v>
      </c>
      <c r="K28" s="17">
        <f>[3]!'WTXOZ0;10200P`267'</f>
        <v>180</v>
      </c>
      <c r="L28" s="17">
        <f>[3]!'WTXOZ0;10200P`268'</f>
        <v>318</v>
      </c>
      <c r="M28" s="17" t="str">
        <f>[3]!'WTXOZ0;10200P`205'</f>
        <v>-</v>
      </c>
      <c r="N28" s="19">
        <f t="shared" ca="1" si="6"/>
        <v>0.26455210876464841</v>
      </c>
      <c r="O28" s="19">
        <f t="shared" ca="1" si="7"/>
        <v>0.33327425842285152</v>
      </c>
      <c r="P28" s="14">
        <f t="shared" ca="1" si="8"/>
        <v>0</v>
      </c>
      <c r="Q28" s="14">
        <v>0</v>
      </c>
      <c r="R28" s="14">
        <f t="shared" ca="1" si="9"/>
        <v>0</v>
      </c>
      <c r="S28" s="36">
        <f t="shared" ca="1" si="10"/>
        <v>0</v>
      </c>
      <c r="T28" s="36"/>
      <c r="U28" s="49">
        <f t="shared" ca="1" si="11"/>
        <v>0</v>
      </c>
      <c r="V28" s="49">
        <f t="shared" ca="1" si="12"/>
        <v>0</v>
      </c>
    </row>
    <row r="29" spans="1:36" x14ac:dyDescent="0.25">
      <c r="A29" s="36">
        <f t="shared" ca="1" si="1"/>
        <v>0</v>
      </c>
      <c r="B29" s="14">
        <f t="shared" ca="1" si="2"/>
        <v>0</v>
      </c>
      <c r="C29" s="14">
        <v>0</v>
      </c>
      <c r="D29" s="14">
        <f t="shared" ca="1" si="3"/>
        <v>0</v>
      </c>
      <c r="E29" s="17">
        <f>[3]!'WTXOZ0;10400C`267'</f>
        <v>1650</v>
      </c>
      <c r="F29" s="17">
        <f>[3]!'WTXOZ0;10400C`268'</f>
        <v>1890</v>
      </c>
      <c r="G29" s="17" t="str">
        <f>[3]!'WTXOZ0;10400C`205'</f>
        <v>-</v>
      </c>
      <c r="H29" s="19">
        <f t="shared" ca="1" si="4"/>
        <v>0.18960468444824219</v>
      </c>
      <c r="I29" s="19">
        <f t="shared" ca="1" si="5"/>
        <v>0.3110585723876953</v>
      </c>
      <c r="J29" s="18">
        <f t="shared" si="15"/>
        <v>10400</v>
      </c>
      <c r="K29" s="17">
        <f>[3]!'WTXOZ0;10400P`267'</f>
        <v>212</v>
      </c>
      <c r="L29" s="17">
        <f>[3]!'WTXOZ0;10400P`268'</f>
        <v>228</v>
      </c>
      <c r="M29" s="17" t="str">
        <f>[3]!'WTXOZ0;10400P`205'</f>
        <v>-</v>
      </c>
      <c r="N29" s="19">
        <f t="shared" ca="1" si="6"/>
        <v>0.25918128356933595</v>
      </c>
      <c r="O29" s="19">
        <f t="shared" ca="1" si="7"/>
        <v>0.26723752136230472</v>
      </c>
      <c r="P29" s="14">
        <f t="shared" ca="1" si="8"/>
        <v>0</v>
      </c>
      <c r="Q29" s="14">
        <v>0</v>
      </c>
      <c r="R29" s="14">
        <f t="shared" ca="1" si="9"/>
        <v>0</v>
      </c>
      <c r="S29" s="36">
        <f t="shared" ca="1" si="10"/>
        <v>0</v>
      </c>
      <c r="T29" s="36"/>
      <c r="U29" s="49">
        <f t="shared" ca="1" si="11"/>
        <v>0</v>
      </c>
      <c r="V29" s="49">
        <f t="shared" ca="1" si="12"/>
        <v>0</v>
      </c>
    </row>
    <row r="30" spans="1:36" x14ac:dyDescent="0.25">
      <c r="A30" s="36">
        <f t="shared" ca="1" si="1"/>
        <v>0</v>
      </c>
      <c r="B30" s="14">
        <f t="shared" ca="1" si="2"/>
        <v>0</v>
      </c>
      <c r="C30" s="14">
        <v>0</v>
      </c>
      <c r="D30" s="14">
        <f t="shared" ca="1" si="3"/>
        <v>0</v>
      </c>
      <c r="E30" s="17">
        <f>[3]!'WTXOZ0;10600C`267'</f>
        <v>1470</v>
      </c>
      <c r="F30" s="17">
        <f>[3]!'WTXOZ0;10600C`268'</f>
        <v>1720</v>
      </c>
      <c r="G30" s="17" t="str">
        <f>[3]!'WTXOZ0;10600C`205'</f>
        <v>-</v>
      </c>
      <c r="H30" s="19">
        <f t="shared" ca="1" si="4"/>
        <v>0.18289115295410158</v>
      </c>
      <c r="I30" s="19">
        <f t="shared" ca="1" si="5"/>
        <v>0.29934040832519537</v>
      </c>
      <c r="J30" s="18">
        <f t="shared" si="15"/>
        <v>10600</v>
      </c>
      <c r="K30" s="17">
        <f>[3]!'WTXOZ0;10600P`267'</f>
        <v>243</v>
      </c>
      <c r="L30" s="17">
        <f>[3]!'WTXOZ0;10600P`268'</f>
        <v>259</v>
      </c>
      <c r="M30" s="17" t="str">
        <f>[3]!'WTXOZ0;10600P`205'</f>
        <v>-</v>
      </c>
      <c r="N30" s="19">
        <f t="shared" ca="1" si="6"/>
        <v>0.25112504577636718</v>
      </c>
      <c r="O30" s="19">
        <f t="shared" ca="1" si="7"/>
        <v>0.25869302673339845</v>
      </c>
      <c r="P30" s="14">
        <f t="shared" ca="1" si="8"/>
        <v>0</v>
      </c>
      <c r="Q30" s="14">
        <v>0</v>
      </c>
      <c r="R30" s="14">
        <f t="shared" ca="1" si="9"/>
        <v>0</v>
      </c>
      <c r="S30" s="36">
        <f t="shared" ca="1" si="10"/>
        <v>0</v>
      </c>
      <c r="T30" s="36"/>
      <c r="U30" s="49">
        <f t="shared" ca="1" si="11"/>
        <v>0</v>
      </c>
      <c r="V30" s="49">
        <f t="shared" ca="1" si="12"/>
        <v>0</v>
      </c>
    </row>
    <row r="31" spans="1:36" x14ac:dyDescent="0.25">
      <c r="A31" s="36">
        <f t="shared" ca="1" si="1"/>
        <v>0</v>
      </c>
      <c r="B31" s="14">
        <f t="shared" ca="1" si="2"/>
        <v>0</v>
      </c>
      <c r="C31" s="14">
        <v>0</v>
      </c>
      <c r="D31" s="14">
        <f t="shared" ca="1" si="3"/>
        <v>0</v>
      </c>
      <c r="E31" s="17">
        <f>[3]!'WTXOZ0;10800C`267'</f>
        <v>1310</v>
      </c>
      <c r="F31" s="17">
        <f>[3]!'WTXOZ0;10800C`268'</f>
        <v>1550</v>
      </c>
      <c r="G31" s="17" t="str">
        <f>[3]!'WTXOZ0;10800C`205'</f>
        <v>-</v>
      </c>
      <c r="H31" s="19">
        <f t="shared" ca="1" si="4"/>
        <v>0.18398973083496095</v>
      </c>
      <c r="I31" s="19">
        <f t="shared" ca="1" si="5"/>
        <v>0.28615747375488287</v>
      </c>
      <c r="J31" s="18">
        <f t="shared" si="15"/>
        <v>10800</v>
      </c>
      <c r="K31" s="17">
        <f>[3]!'WTXOZ0;10800P`267'</f>
        <v>278</v>
      </c>
      <c r="L31" s="17">
        <f>[3]!'WTXOZ0;10800P`268'</f>
        <v>295</v>
      </c>
      <c r="M31" s="17" t="str">
        <f>[3]!'WTXOZ0;10800P`205'</f>
        <v>-</v>
      </c>
      <c r="N31" s="19">
        <f t="shared" ca="1" si="6"/>
        <v>0.24294674377441411</v>
      </c>
      <c r="O31" s="19">
        <f t="shared" ca="1" si="7"/>
        <v>0.25039266052246095</v>
      </c>
      <c r="P31" s="14">
        <f t="shared" ca="1" si="8"/>
        <v>0</v>
      </c>
      <c r="Q31" s="14">
        <v>0</v>
      </c>
      <c r="R31" s="14">
        <f t="shared" ref="R31:R37" ca="1" si="16">GBSGreeks("d", "P",$I$2,$J31,$N$2,$N31, 0,0)*50*$I$2*Q31</f>
        <v>0</v>
      </c>
      <c r="S31" s="36">
        <f t="shared" ref="S31:S37" ca="1" si="17">(GBSOption("P",$I$2,$J31,$N$2,N31,0,0)-GBSOption("P",$I$2,$J31,$O$2,N31,0,0))*Q31*50*-1</f>
        <v>0</v>
      </c>
      <c r="T31" s="36"/>
      <c r="U31" s="49">
        <f t="shared" ca="1" si="11"/>
        <v>0</v>
      </c>
      <c r="V31" s="49">
        <f t="shared" ca="1" si="12"/>
        <v>0</v>
      </c>
    </row>
    <row r="32" spans="1:36" x14ac:dyDescent="0.25">
      <c r="A32" s="36">
        <f t="shared" ca="1" si="1"/>
        <v>0</v>
      </c>
      <c r="B32" s="14">
        <f t="shared" ca="1" si="2"/>
        <v>0</v>
      </c>
      <c r="C32" s="14">
        <v>0</v>
      </c>
      <c r="D32" s="14">
        <f t="shared" ca="1" si="3"/>
        <v>0</v>
      </c>
      <c r="E32" s="17">
        <f>[3]!'WTXOZ0;11000C`267'</f>
        <v>1240</v>
      </c>
      <c r="F32" s="17">
        <f>[3]!'WTXOZ0;11000C`268'</f>
        <v>1310</v>
      </c>
      <c r="G32" s="17" t="str">
        <f>[3]!'WTXOZ0;11000C`205'</f>
        <v>-</v>
      </c>
      <c r="H32" s="19">
        <f t="shared" ca="1" si="4"/>
        <v>0.21841183776855469</v>
      </c>
      <c r="I32" s="19">
        <f t="shared" ca="1" si="5"/>
        <v>0.24489977111816408</v>
      </c>
      <c r="J32" s="18">
        <f t="shared" si="15"/>
        <v>11000</v>
      </c>
      <c r="K32" s="17">
        <f>[3]!'WTXOZ0;11000P`267'</f>
        <v>319</v>
      </c>
      <c r="L32" s="17">
        <f>[3]!'WTXOZ0;11000P`268'</f>
        <v>336</v>
      </c>
      <c r="M32" s="17" t="str">
        <f>[3]!'WTXOZ0;11000P`205'</f>
        <v>-</v>
      </c>
      <c r="N32" s="19">
        <f t="shared" ca="1" si="6"/>
        <v>0.23513463439941407</v>
      </c>
      <c r="O32" s="19">
        <f t="shared" ca="1" si="7"/>
        <v>0.24221435852050785</v>
      </c>
      <c r="P32" s="14">
        <f t="shared" ca="1" si="8"/>
        <v>0</v>
      </c>
      <c r="Q32" s="14">
        <v>0</v>
      </c>
      <c r="R32" s="14">
        <f t="shared" ca="1" si="16"/>
        <v>0</v>
      </c>
      <c r="S32" s="36">
        <f t="shared" ca="1" si="17"/>
        <v>0</v>
      </c>
      <c r="T32" s="36"/>
      <c r="U32" s="49">
        <f t="shared" ca="1" si="11"/>
        <v>0</v>
      </c>
      <c r="V32" s="49">
        <f t="shared" ca="1" si="12"/>
        <v>0</v>
      </c>
    </row>
    <row r="33" spans="1:22" x14ac:dyDescent="0.25">
      <c r="A33" s="36">
        <f t="shared" ca="1" si="1"/>
        <v>0</v>
      </c>
      <c r="B33" s="14">
        <f t="shared" ca="1" si="2"/>
        <v>0</v>
      </c>
      <c r="C33" s="14">
        <v>0</v>
      </c>
      <c r="D33" s="14">
        <f t="shared" ca="1" si="3"/>
        <v>0</v>
      </c>
      <c r="E33" s="17">
        <f>[3]!'WTXOZ0;11200C`267'</f>
        <v>1090</v>
      </c>
      <c r="F33" s="17">
        <f>[3]!'WTXOZ0;11200C`268'</f>
        <v>1160</v>
      </c>
      <c r="G33" s="17" t="str">
        <f>[3]!'WTXOZ0;11200C`205'</f>
        <v>-</v>
      </c>
      <c r="H33" s="19">
        <f t="shared" ca="1" si="4"/>
        <v>0.21291894836425784</v>
      </c>
      <c r="I33" s="19">
        <f t="shared" ca="1" si="5"/>
        <v>0.23782004699707035</v>
      </c>
      <c r="J33" s="18">
        <f t="shared" si="15"/>
        <v>11200</v>
      </c>
      <c r="K33" s="17">
        <f>[3]!'WTXOZ0;11200P`267'</f>
        <v>366</v>
      </c>
      <c r="L33" s="17">
        <f>[3]!'WTXOZ0;11200P`268'</f>
        <v>384</v>
      </c>
      <c r="M33" s="17" t="str">
        <f>[3]!'WTXOZ0;11200P`205'</f>
        <v>-</v>
      </c>
      <c r="N33" s="19">
        <f t="shared" ca="1" si="6"/>
        <v>0.22744458923339844</v>
      </c>
      <c r="O33" s="19">
        <f t="shared" ca="1" si="7"/>
        <v>0.2345243133544922</v>
      </c>
      <c r="P33" s="14">
        <f t="shared" ca="1" si="8"/>
        <v>0</v>
      </c>
      <c r="Q33" s="14">
        <v>0</v>
      </c>
      <c r="R33" s="14">
        <f t="shared" ca="1" si="16"/>
        <v>0</v>
      </c>
      <c r="S33" s="36">
        <f t="shared" ca="1" si="17"/>
        <v>0</v>
      </c>
      <c r="T33" s="36"/>
      <c r="U33" s="49">
        <f t="shared" ca="1" si="11"/>
        <v>0</v>
      </c>
      <c r="V33" s="49">
        <f t="shared" ca="1" si="12"/>
        <v>0</v>
      </c>
    </row>
    <row r="34" spans="1:22" x14ac:dyDescent="0.25">
      <c r="A34" s="36">
        <f t="shared" ca="1" si="1"/>
        <v>0</v>
      </c>
      <c r="B34" s="14">
        <f t="shared" ca="1" si="2"/>
        <v>0</v>
      </c>
      <c r="C34" s="14">
        <v>0</v>
      </c>
      <c r="D34" s="14">
        <f t="shared" ca="1" si="3"/>
        <v>0</v>
      </c>
      <c r="E34" s="17">
        <f>[3]!'WTXOZ0;11400C`267'</f>
        <v>950</v>
      </c>
      <c r="F34" s="17">
        <f>[3]!'WTXOZ0;11400C`268'</f>
        <v>1090</v>
      </c>
      <c r="G34" s="17" t="str">
        <f>[3]!'WTXOZ0;11400C`205'</f>
        <v>-</v>
      </c>
      <c r="H34" s="19">
        <f t="shared" ca="1" si="4"/>
        <v>0.20828050842285162</v>
      </c>
      <c r="I34" s="19">
        <f t="shared" ca="1" si="5"/>
        <v>0.25637380676269528</v>
      </c>
      <c r="J34" s="18">
        <f t="shared" si="15"/>
        <v>11400</v>
      </c>
      <c r="K34" s="17">
        <f>[3]!'WTXOZ0;11400P`267'</f>
        <v>421</v>
      </c>
      <c r="L34" s="17">
        <f>[3]!'WTXOZ0;11400P`268'</f>
        <v>440</v>
      </c>
      <c r="M34" s="17" t="str">
        <f>[3]!'WTXOZ0;11400P`205'</f>
        <v>-</v>
      </c>
      <c r="N34" s="19">
        <f t="shared" ca="1" si="6"/>
        <v>0.22036486511230471</v>
      </c>
      <c r="O34" s="19">
        <f t="shared" ca="1" si="7"/>
        <v>0.22744458923339844</v>
      </c>
      <c r="P34" s="14">
        <f t="shared" ca="1" si="8"/>
        <v>0</v>
      </c>
      <c r="Q34" s="14">
        <v>0</v>
      </c>
      <c r="R34" s="14">
        <f t="shared" ca="1" si="16"/>
        <v>0</v>
      </c>
      <c r="S34" s="36">
        <f t="shared" ca="1" si="17"/>
        <v>0</v>
      </c>
      <c r="T34" s="36"/>
      <c r="U34" s="49">
        <f t="shared" ca="1" si="11"/>
        <v>0</v>
      </c>
      <c r="V34" s="49">
        <f t="shared" ca="1" si="12"/>
        <v>0</v>
      </c>
    </row>
    <row r="35" spans="1:22" x14ac:dyDescent="0.25">
      <c r="A35" s="36">
        <f t="shared" ca="1" si="1"/>
        <v>0</v>
      </c>
      <c r="B35" s="14">
        <f t="shared" ca="1" si="2"/>
        <v>0</v>
      </c>
      <c r="C35" s="14">
        <v>0</v>
      </c>
      <c r="D35" s="14">
        <f t="shared" ca="1" si="3"/>
        <v>0</v>
      </c>
      <c r="E35" s="17">
        <f>[3]!'WTXOZ0;11600C`267'</f>
        <v>845</v>
      </c>
      <c r="F35" s="17">
        <f>[3]!'WTXOZ0;11600C`268'</f>
        <v>870</v>
      </c>
      <c r="G35" s="17" t="str">
        <f>[3]!'WTXOZ0;11600C`205'</f>
        <v>-</v>
      </c>
      <c r="H35" s="19">
        <f t="shared" ca="1" si="4"/>
        <v>0.21267481994628909</v>
      </c>
      <c r="I35" s="19">
        <f t="shared" ca="1" si="5"/>
        <v>0.22024280090332035</v>
      </c>
      <c r="J35" s="18">
        <f t="shared" si="15"/>
        <v>11600</v>
      </c>
      <c r="K35" s="17">
        <f>[3]!'WTXOZ0;11600P`267'</f>
        <v>483</v>
      </c>
      <c r="L35" s="17">
        <f>[3]!'WTXOZ0;11600P`268'</f>
        <v>505</v>
      </c>
      <c r="M35" s="17" t="str">
        <f>[3]!'WTXOZ0;11600P`205'</f>
        <v>-</v>
      </c>
      <c r="N35" s="19">
        <f t="shared" ca="1" si="6"/>
        <v>0.21304101257324221</v>
      </c>
      <c r="O35" s="19">
        <f t="shared" ca="1" si="7"/>
        <v>0.22097518615722658</v>
      </c>
      <c r="P35" s="14">
        <f t="shared" ca="1" si="8"/>
        <v>0</v>
      </c>
      <c r="Q35" s="14">
        <v>0</v>
      </c>
      <c r="R35" s="14">
        <f t="shared" ca="1" si="16"/>
        <v>0</v>
      </c>
      <c r="S35" s="36">
        <f t="shared" ca="1" si="17"/>
        <v>0</v>
      </c>
      <c r="T35" s="36"/>
      <c r="U35" s="49">
        <f t="shared" ca="1" si="11"/>
        <v>0</v>
      </c>
      <c r="V35" s="49">
        <f t="shared" ca="1" si="12"/>
        <v>0</v>
      </c>
    </row>
    <row r="36" spans="1:22" x14ac:dyDescent="0.25">
      <c r="A36" s="36">
        <f t="shared" ca="1" si="1"/>
        <v>0</v>
      </c>
      <c r="B36" s="14">
        <f t="shared" ca="1" si="2"/>
        <v>0</v>
      </c>
      <c r="C36" s="14">
        <v>0</v>
      </c>
      <c r="D36" s="14">
        <f t="shared" ca="1" si="3"/>
        <v>0</v>
      </c>
      <c r="E36" s="17">
        <f>[3]!'WTXOZ0;11800C`267'</f>
        <v>720</v>
      </c>
      <c r="F36" s="17">
        <f>[3]!'WTXOZ0;11800C`268'</f>
        <v>745</v>
      </c>
      <c r="G36" s="17" t="str">
        <f>[3]!'WTXOZ0;11800C`205'</f>
        <v>-</v>
      </c>
      <c r="H36" s="19">
        <f t="shared" ca="1" si="4"/>
        <v>0.2068157379150391</v>
      </c>
      <c r="I36" s="19">
        <f t="shared" ca="1" si="5"/>
        <v>0.21426165466308594</v>
      </c>
      <c r="J36" s="18">
        <f t="shared" si="15"/>
        <v>11800</v>
      </c>
      <c r="K36" s="17">
        <f>[3]!'WTXOZ0;11800P`267'</f>
        <v>555</v>
      </c>
      <c r="L36" s="17">
        <f>[3]!'WTXOZ0;11800P`268'</f>
        <v>575</v>
      </c>
      <c r="M36" s="17" t="str">
        <f>[3]!'WTXOZ0;11800P`205'</f>
        <v>-</v>
      </c>
      <c r="N36" s="19">
        <f t="shared" ca="1" si="6"/>
        <v>0.2062054168701172</v>
      </c>
      <c r="O36" s="19">
        <f t="shared" ca="1" si="7"/>
        <v>0.21328514099121096</v>
      </c>
      <c r="P36" s="14">
        <f t="shared" ca="1" si="8"/>
        <v>0</v>
      </c>
      <c r="Q36" s="14">
        <v>0</v>
      </c>
      <c r="R36" s="14">
        <f t="shared" ca="1" si="16"/>
        <v>0</v>
      </c>
      <c r="S36" s="36">
        <f t="shared" ca="1" si="17"/>
        <v>0</v>
      </c>
      <c r="T36" s="36"/>
      <c r="U36" s="49">
        <f t="shared" ca="1" si="11"/>
        <v>0</v>
      </c>
      <c r="V36" s="49">
        <f t="shared" ca="1" si="12"/>
        <v>0</v>
      </c>
    </row>
    <row r="37" spans="1:22" x14ac:dyDescent="0.25">
      <c r="A37" s="36">
        <f t="shared" ca="1" si="1"/>
        <v>0</v>
      </c>
      <c r="B37" s="14">
        <f t="shared" ca="1" si="2"/>
        <v>0</v>
      </c>
      <c r="C37" s="14">
        <v>0</v>
      </c>
      <c r="D37" s="14">
        <f t="shared" ca="1" si="3"/>
        <v>0</v>
      </c>
      <c r="E37" s="17">
        <f>[3]!'WTXOZ0;12000C`267'</f>
        <v>600</v>
      </c>
      <c r="F37" s="17">
        <f>[3]!'WTXOZ0;12000C`268'</f>
        <v>620</v>
      </c>
      <c r="G37" s="17" t="str">
        <f>[3]!'WTXOZ0;12000C`205'</f>
        <v>-</v>
      </c>
      <c r="H37" s="19">
        <f t="shared" ca="1" si="4"/>
        <v>0.19961394958496093</v>
      </c>
      <c r="I37" s="19">
        <f t="shared" ca="1" si="5"/>
        <v>0.20535096740722658</v>
      </c>
      <c r="J37" s="18">
        <f t="shared" si="15"/>
        <v>12000</v>
      </c>
      <c r="K37" s="17">
        <f>[3]!'WTXOZ0;12000P`267'</f>
        <v>635</v>
      </c>
      <c r="L37" s="17">
        <f>[3]!'WTXOZ0;12000P`268'</f>
        <v>655</v>
      </c>
      <c r="M37" s="17" t="str">
        <f>[3]!'WTXOZ0;12000P`205'</f>
        <v>-</v>
      </c>
      <c r="N37" s="19">
        <f t="shared" ca="1" si="6"/>
        <v>0.19888156433105467</v>
      </c>
      <c r="O37" s="19">
        <f t="shared" ca="1" si="7"/>
        <v>0.20596128845214845</v>
      </c>
      <c r="P37" s="14">
        <f t="shared" ca="1" si="8"/>
        <v>0</v>
      </c>
      <c r="Q37" s="14">
        <v>0</v>
      </c>
      <c r="R37" s="14">
        <f t="shared" ca="1" si="16"/>
        <v>0</v>
      </c>
      <c r="S37" s="36">
        <f t="shared" ca="1" si="17"/>
        <v>0</v>
      </c>
      <c r="T37" s="36"/>
      <c r="U37" s="49">
        <f t="shared" ca="1" si="11"/>
        <v>0</v>
      </c>
      <c r="V37" s="49">
        <f t="shared" ca="1" si="12"/>
        <v>0</v>
      </c>
    </row>
    <row r="38" spans="1:22" x14ac:dyDescent="0.25">
      <c r="A38" s="36">
        <f t="shared" ca="1" si="1"/>
        <v>0</v>
      </c>
      <c r="B38" s="14">
        <f t="shared" ca="1" si="2"/>
        <v>0</v>
      </c>
      <c r="C38" s="14">
        <v>0</v>
      </c>
      <c r="D38" s="14">
        <f t="shared" ca="1" si="3"/>
        <v>0</v>
      </c>
      <c r="E38" s="17">
        <f>[3]!'WTXOZ0;12200C`267'</f>
        <v>495</v>
      </c>
      <c r="F38" s="17">
        <f>[3]!'WTXOZ0;12200C`268'</f>
        <v>515</v>
      </c>
      <c r="G38" s="17" t="str">
        <f>[3]!'WTXOZ0;12200C`205'</f>
        <v>-</v>
      </c>
      <c r="H38" s="19">
        <f t="shared" ref="H38:H42" ca="1" si="18">IF(ISNUMBER(GBSImpliedVol("C",E38,$G$2,$J38,$N$2,0,0)),GBSImpliedVol("C",E38,$G$2,$J38,$N$2,0,0),0.6)</f>
        <v>0.19412106018066405</v>
      </c>
      <c r="I38" s="19">
        <f t="shared" ref="I38:I42" ca="1" si="19">IF(ISNUMBER(GBSImpliedVol("C",F38,$H$2,$J38,$N$2,0,0)),GBSImpliedVol("C",F38,$H$2,$J38,$N$2,0,0),0.6)</f>
        <v>0.19998014221191407</v>
      </c>
      <c r="J38" s="18">
        <f t="shared" si="15"/>
        <v>12200</v>
      </c>
      <c r="K38" s="17">
        <f>[3]!'WTXOZ0;12200P`267'</f>
        <v>725</v>
      </c>
      <c r="L38" s="17">
        <f>[3]!'WTXOZ0;12200P`268'</f>
        <v>750</v>
      </c>
      <c r="M38" s="17" t="str">
        <f>[3]!'WTXOZ0;12200P`205'</f>
        <v>-</v>
      </c>
      <c r="N38" s="19">
        <f t="shared" ref="N38:N42" ca="1" si="20">IF(ISNUMBER(GBSImpliedVol("P",K38,$G$2,$J38,$N$2,0,0)),GBSImpliedVol("P",K38,$G$2,$J38,$N$2,0,0),0.6)</f>
        <v>0.19180184020996094</v>
      </c>
      <c r="O38" s="19">
        <f t="shared" ref="O38:O42" ca="1" si="21">IF(ISNUMBER(GBSImpliedVol("P",L38,$H$2,$J38,$N$2,0,0)),GBSImpliedVol("P",L38,$H$2,$J38,$N$2,0,0),0.6)</f>
        <v>0.20059046325683594</v>
      </c>
      <c r="P38" s="14">
        <f t="shared" ca="1" si="8"/>
        <v>0</v>
      </c>
      <c r="Q38" s="14">
        <v>0</v>
      </c>
      <c r="R38" s="14">
        <f t="shared" ref="R38:R42" ca="1" si="22">GBSGreeks("d", "P",$I$2,$J38,$N$2,$N38, 0,0)*50*$I$2*Q38</f>
        <v>0</v>
      </c>
      <c r="S38" s="36">
        <f t="shared" ref="S38:S42" ca="1" si="23">(GBSOption("P",$I$2,$J38,$N$2,N38,0,0)-GBSOption("P",$I$2,$J38,$O$2,N38,0,0))*Q38*50*-1</f>
        <v>0</v>
      </c>
      <c r="T38" s="36"/>
      <c r="U38" s="49">
        <f t="shared" ca="1" si="11"/>
        <v>0</v>
      </c>
      <c r="V38" s="49">
        <f t="shared" ca="1" si="12"/>
        <v>0</v>
      </c>
    </row>
    <row r="39" spans="1:22" x14ac:dyDescent="0.25">
      <c r="A39" s="36">
        <f t="shared" ca="1" si="1"/>
        <v>0</v>
      </c>
      <c r="B39" s="14">
        <f t="shared" ca="1" si="2"/>
        <v>0</v>
      </c>
      <c r="C39" s="14">
        <v>0</v>
      </c>
      <c r="D39" s="14">
        <f t="shared" ca="1" si="3"/>
        <v>0</v>
      </c>
      <c r="E39" s="17">
        <f>[3]!'WTXOZ0;12400C`267'</f>
        <v>402</v>
      </c>
      <c r="F39" s="17">
        <f>[3]!'WTXOZ0;12400C`268'</f>
        <v>421</v>
      </c>
      <c r="G39" s="17" t="str">
        <f>[3]!'WTXOZ0;12400C`205'</f>
        <v>-</v>
      </c>
      <c r="H39" s="19">
        <f t="shared" ca="1" si="18"/>
        <v>0.18899436340332035</v>
      </c>
      <c r="I39" s="19">
        <f t="shared" ca="1" si="19"/>
        <v>0.19485344543457031</v>
      </c>
      <c r="J39" s="18">
        <f t="shared" si="15"/>
        <v>12400</v>
      </c>
      <c r="K39" s="17">
        <f>[3]!'WTXOZ0;12400P`267'</f>
        <v>745</v>
      </c>
      <c r="L39" s="17">
        <f>[3]!'WTXOZ0;12400P`268'</f>
        <v>895</v>
      </c>
      <c r="M39" s="17" t="str">
        <f>[3]!'WTXOZ0;12400P`205'</f>
        <v>-</v>
      </c>
      <c r="N39" s="19">
        <f t="shared" ca="1" si="20"/>
        <v>0.15762386169433595</v>
      </c>
      <c r="O39" s="19">
        <f t="shared" ca="1" si="21"/>
        <v>0.20828050842285162</v>
      </c>
      <c r="P39" s="14">
        <f t="shared" ca="1" si="8"/>
        <v>0</v>
      </c>
      <c r="Q39" s="14">
        <v>0</v>
      </c>
      <c r="R39" s="14">
        <f t="shared" ca="1" si="22"/>
        <v>0</v>
      </c>
      <c r="S39" s="36">
        <f t="shared" ca="1" si="23"/>
        <v>0</v>
      </c>
      <c r="T39" s="36"/>
      <c r="U39" s="49">
        <f t="shared" ca="1" si="11"/>
        <v>0</v>
      </c>
      <c r="V39" s="49">
        <f t="shared" ca="1" si="12"/>
        <v>0</v>
      </c>
    </row>
    <row r="40" spans="1:22" x14ac:dyDescent="0.25">
      <c r="A40" s="36">
        <f t="shared" ca="1" si="1"/>
        <v>0</v>
      </c>
      <c r="B40" s="14">
        <f t="shared" ca="1" si="2"/>
        <v>0</v>
      </c>
      <c r="C40" s="14">
        <v>0</v>
      </c>
      <c r="D40" s="14">
        <f t="shared" ca="1" si="3"/>
        <v>0</v>
      </c>
      <c r="E40" s="17">
        <f>[3]!'WTXOZ0;12600C`267'</f>
        <v>322</v>
      </c>
      <c r="F40" s="17">
        <f>[3]!'WTXOZ0;12600C`268'</f>
        <v>340</v>
      </c>
      <c r="G40" s="17" t="str">
        <f>[3]!'WTXOZ0;12600C`205'</f>
        <v>-</v>
      </c>
      <c r="H40" s="19">
        <f t="shared" ca="1" si="18"/>
        <v>0.18472211608886721</v>
      </c>
      <c r="I40" s="19">
        <f t="shared" ca="1" si="19"/>
        <v>0.19045913391113281</v>
      </c>
      <c r="J40" s="18">
        <f t="shared" si="15"/>
        <v>12600</v>
      </c>
      <c r="K40" s="17">
        <f>[3]!'WTXOZ0;12600P`267'</f>
        <v>870</v>
      </c>
      <c r="L40" s="17">
        <f>[3]!'WTXOZ0;12600P`268'</f>
        <v>1010</v>
      </c>
      <c r="M40" s="17" t="str">
        <f>[3]!'WTXOZ0;12600P`205'</f>
        <v>-</v>
      </c>
      <c r="N40" s="19">
        <f t="shared" ca="1" si="20"/>
        <v>0.15322955017089845</v>
      </c>
      <c r="O40" s="19">
        <f t="shared" ca="1" si="21"/>
        <v>0.20315381164550783</v>
      </c>
      <c r="P40" s="14">
        <f t="shared" ca="1" si="8"/>
        <v>0</v>
      </c>
      <c r="Q40" s="14">
        <v>0</v>
      </c>
      <c r="R40" s="14">
        <f t="shared" ca="1" si="22"/>
        <v>0</v>
      </c>
      <c r="S40" s="36">
        <f t="shared" ca="1" si="23"/>
        <v>0</v>
      </c>
      <c r="T40" s="36"/>
      <c r="U40" s="49">
        <f t="shared" ca="1" si="11"/>
        <v>0</v>
      </c>
      <c r="V40" s="49">
        <f t="shared" ca="1" si="12"/>
        <v>0</v>
      </c>
    </row>
    <row r="41" spans="1:22" x14ac:dyDescent="0.25">
      <c r="A41" s="36">
        <f t="shared" ca="1" si="1"/>
        <v>0</v>
      </c>
      <c r="B41" s="14">
        <f t="shared" ca="1" si="2"/>
        <v>0</v>
      </c>
      <c r="C41" s="14">
        <v>0</v>
      </c>
      <c r="D41" s="14">
        <f t="shared" ca="1" si="3"/>
        <v>0</v>
      </c>
      <c r="E41" s="17">
        <f>[3]!'WTXOZ0;12800C`267'</f>
        <v>254</v>
      </c>
      <c r="F41" s="17">
        <f>[3]!'WTXOZ0;12800C`268'</f>
        <v>272</v>
      </c>
      <c r="G41" s="17" t="str">
        <f>[3]!'WTXOZ0;12800C`205'</f>
        <v>-</v>
      </c>
      <c r="H41" s="19">
        <f t="shared" ca="1" si="18"/>
        <v>0.18081606140136722</v>
      </c>
      <c r="I41" s="19">
        <f t="shared" ca="1" si="19"/>
        <v>0.18704133605957032</v>
      </c>
      <c r="J41" s="18">
        <f t="shared" si="15"/>
        <v>12800</v>
      </c>
      <c r="K41" s="17">
        <f>[3]!'WTXOZ0;12800P`267'</f>
        <v>1000</v>
      </c>
      <c r="L41" s="17">
        <f>[3]!'WTXOZ0;12800P`268'</f>
        <v>1160</v>
      </c>
      <c r="M41" s="17" t="str">
        <f>[3]!'WTXOZ0;12800P`205'</f>
        <v>-</v>
      </c>
      <c r="N41" s="19">
        <f t="shared" ca="1" si="20"/>
        <v>0.14590569763183597</v>
      </c>
      <c r="O41" s="19">
        <f t="shared" ca="1" si="21"/>
        <v>0.2068157379150391</v>
      </c>
      <c r="P41" s="14">
        <f t="shared" ca="1" si="8"/>
        <v>0</v>
      </c>
      <c r="Q41" s="14">
        <v>0</v>
      </c>
      <c r="R41" s="14">
        <f t="shared" ca="1" si="22"/>
        <v>0</v>
      </c>
      <c r="S41" s="36">
        <f t="shared" ca="1" si="23"/>
        <v>0</v>
      </c>
      <c r="T41" s="36"/>
      <c r="U41" s="49">
        <f t="shared" ca="1" si="11"/>
        <v>0</v>
      </c>
      <c r="V41" s="49">
        <f t="shared" ca="1" si="12"/>
        <v>0</v>
      </c>
    </row>
    <row r="42" spans="1:22" x14ac:dyDescent="0.25">
      <c r="A42" s="36">
        <f t="shared" ca="1" si="1"/>
        <v>0</v>
      </c>
      <c r="B42" s="14">
        <f t="shared" ca="1" si="2"/>
        <v>0</v>
      </c>
      <c r="C42" s="14">
        <v>0</v>
      </c>
      <c r="D42" s="14">
        <f t="shared" ca="1" si="3"/>
        <v>0</v>
      </c>
      <c r="E42" s="17">
        <f>[3]!'WTXOZ0;13000C`267'</f>
        <v>198</v>
      </c>
      <c r="F42" s="17">
        <f>[3]!'WTXOZ0;13000C`268'</f>
        <v>210</v>
      </c>
      <c r="G42" s="17" t="str">
        <f>[3]!'WTXOZ0;13000C`205'</f>
        <v>-</v>
      </c>
      <c r="H42" s="19">
        <f t="shared" ca="1" si="18"/>
        <v>0.17776445617675785</v>
      </c>
      <c r="I42" s="19">
        <f t="shared" ca="1" si="19"/>
        <v>0.18215876770019532</v>
      </c>
      <c r="J42" s="18">
        <f t="shared" si="15"/>
        <v>13000</v>
      </c>
      <c r="K42" s="17">
        <f>[3]!'WTXOZ0;13000P`267'</f>
        <v>1140</v>
      </c>
      <c r="L42" s="17">
        <f>[3]!'WTXOZ0;13000P`268'</f>
        <v>1330</v>
      </c>
      <c r="M42" s="17" t="str">
        <f>[3]!'WTXOZ0;13000P`205'</f>
        <v>-</v>
      </c>
      <c r="N42" s="19">
        <f t="shared" ca="1" si="20"/>
        <v>0.13650675354003905</v>
      </c>
      <c r="O42" s="19">
        <f t="shared" ca="1" si="21"/>
        <v>0.21548229675292971</v>
      </c>
      <c r="P42" s="14">
        <f t="shared" ca="1" si="8"/>
        <v>0</v>
      </c>
      <c r="Q42" s="14">
        <v>0</v>
      </c>
      <c r="R42" s="14">
        <f t="shared" ca="1" si="22"/>
        <v>0</v>
      </c>
      <c r="S42" s="36">
        <f t="shared" ca="1" si="23"/>
        <v>0</v>
      </c>
      <c r="T42" s="36"/>
      <c r="U42" s="49">
        <f t="shared" ca="1" si="11"/>
        <v>0</v>
      </c>
      <c r="V42" s="49">
        <f t="shared" ca="1" si="12"/>
        <v>0</v>
      </c>
    </row>
    <row r="43" spans="1:22" x14ac:dyDescent="0.25">
      <c r="J43" s="18"/>
    </row>
    <row r="44" spans="1:22" x14ac:dyDescent="0.25">
      <c r="J44" s="18"/>
    </row>
    <row r="45" spans="1:22" x14ac:dyDescent="0.25">
      <c r="J45" s="18"/>
    </row>
    <row r="46" spans="1:22" x14ac:dyDescent="0.25">
      <c r="J46" s="18"/>
    </row>
    <row r="47" spans="1:22" x14ac:dyDescent="0.25">
      <c r="J47" s="18"/>
    </row>
    <row r="48" spans="1:22" x14ac:dyDescent="0.25">
      <c r="J48" s="18"/>
    </row>
    <row r="49" spans="10:10" x14ac:dyDescent="0.25">
      <c r="J49" s="18"/>
    </row>
    <row r="50" spans="10:10" x14ac:dyDescent="0.25">
      <c r="J50" s="18"/>
    </row>
    <row r="51" spans="10:10" x14ac:dyDescent="0.25">
      <c r="J51" s="18"/>
    </row>
    <row r="52" spans="10:10" x14ac:dyDescent="0.25">
      <c r="J52" s="18"/>
    </row>
    <row r="53" spans="10:10" x14ac:dyDescent="0.25">
      <c r="J53" s="18"/>
    </row>
    <row r="54" spans="10:10" x14ac:dyDescent="0.25">
      <c r="J54" s="18"/>
    </row>
    <row r="55" spans="10:10" x14ac:dyDescent="0.25">
      <c r="J55" s="18"/>
    </row>
    <row r="56" spans="10:10" x14ac:dyDescent="0.25">
      <c r="J56" s="18"/>
    </row>
    <row r="57" spans="10:10" x14ac:dyDescent="0.25">
      <c r="J57" s="18"/>
    </row>
    <row r="58" spans="10:10" x14ac:dyDescent="0.25">
      <c r="J58" s="18"/>
    </row>
    <row r="59" spans="10:10" x14ac:dyDescent="0.25">
      <c r="J59" s="18"/>
    </row>
    <row r="60" spans="10:10" x14ac:dyDescent="0.25">
      <c r="J60" s="18"/>
    </row>
    <row r="61" spans="10:10" x14ac:dyDescent="0.25">
      <c r="J61" s="18"/>
    </row>
  </sheetData>
  <mergeCells count="2">
    <mergeCell ref="A9:I9"/>
    <mergeCell ref="K9:S9"/>
  </mergeCells>
  <phoneticPr fontId="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G1495"/>
  <sheetViews>
    <sheetView topLeftCell="A124" workbookViewId="0">
      <selection activeCell="L150" sqref="L150"/>
    </sheetView>
  </sheetViews>
  <sheetFormatPr defaultRowHeight="16.5" x14ac:dyDescent="0.25"/>
  <cols>
    <col min="1" max="1" width="9" style="77"/>
    <col min="2" max="3" width="9" style="76"/>
    <col min="4" max="4" width="12.75" style="76" customWidth="1"/>
    <col min="5" max="5" width="13" style="76" customWidth="1"/>
    <col min="6" max="16384" width="9" style="76"/>
  </cols>
  <sheetData>
    <row r="1" spans="1:7" x14ac:dyDescent="0.25">
      <c r="A1" s="78" t="s">
        <v>1576</v>
      </c>
      <c r="B1" s="78" t="s">
        <v>1579</v>
      </c>
      <c r="C1" s="78" t="s">
        <v>1584</v>
      </c>
      <c r="D1" s="78" t="s">
        <v>1585</v>
      </c>
      <c r="E1" s="78" t="s">
        <v>1586</v>
      </c>
      <c r="F1" s="78" t="s">
        <v>1587</v>
      </c>
      <c r="G1" s="78" t="s">
        <v>1588</v>
      </c>
    </row>
    <row r="2" spans="1:7" x14ac:dyDescent="0.25">
      <c r="A2" s="78" t="s">
        <v>1577</v>
      </c>
      <c r="B2" s="78" t="s">
        <v>1580</v>
      </c>
      <c r="C2" s="78"/>
      <c r="D2" s="78"/>
      <c r="E2" s="78"/>
      <c r="F2" s="78"/>
      <c r="G2" s="78"/>
    </row>
    <row r="3" spans="1:7" x14ac:dyDescent="0.25">
      <c r="A3" s="78" t="s">
        <v>1578</v>
      </c>
      <c r="B3" s="78" t="s">
        <v>1581</v>
      </c>
      <c r="C3" s="78" t="s">
        <v>3058</v>
      </c>
      <c r="D3" s="78" t="s">
        <v>267</v>
      </c>
      <c r="E3" s="78" t="s">
        <v>3059</v>
      </c>
      <c r="F3" s="78" t="s">
        <v>3060</v>
      </c>
      <c r="G3" s="78" t="s">
        <v>3062</v>
      </c>
    </row>
    <row r="4" spans="1:7" x14ac:dyDescent="0.25">
      <c r="A4" s="76"/>
    </row>
    <row r="5" spans="1:7" x14ac:dyDescent="0.25">
      <c r="A5" s="76" t="s">
        <v>1582</v>
      </c>
      <c r="B5" s="76" t="s">
        <v>1583</v>
      </c>
      <c r="C5" s="76" t="s">
        <v>266</v>
      </c>
      <c r="D5" s="76" t="s">
        <v>267</v>
      </c>
      <c r="E5" s="76" t="s">
        <v>3059</v>
      </c>
      <c r="F5" s="76" t="s">
        <v>3061</v>
      </c>
      <c r="G5" s="76" t="s">
        <v>3062</v>
      </c>
    </row>
    <row r="6" spans="1:7" x14ac:dyDescent="0.25">
      <c r="A6" s="77" t="s">
        <v>319</v>
      </c>
      <c r="B6" s="76" t="s">
        <v>320</v>
      </c>
      <c r="C6" s="76" t="s">
        <v>321</v>
      </c>
      <c r="D6" s="76" t="s">
        <v>322</v>
      </c>
      <c r="E6" s="79">
        <v>44095</v>
      </c>
      <c r="F6" s="76">
        <v>12524.05</v>
      </c>
      <c r="G6" s="76">
        <v>1E-3</v>
      </c>
    </row>
    <row r="7" spans="1:7" x14ac:dyDescent="0.25">
      <c r="A7" s="77" t="s">
        <v>319</v>
      </c>
      <c r="B7" s="76" t="s">
        <v>320</v>
      </c>
      <c r="C7" s="76" t="s">
        <v>323</v>
      </c>
      <c r="D7" s="76" t="s">
        <v>324</v>
      </c>
      <c r="E7" s="79">
        <v>44090</v>
      </c>
      <c r="F7" s="76">
        <v>13723.81</v>
      </c>
      <c r="G7" s="76">
        <v>1E-3</v>
      </c>
    </row>
    <row r="8" spans="1:7" x14ac:dyDescent="0.25">
      <c r="A8" s="77" t="s">
        <v>319</v>
      </c>
      <c r="B8" s="76" t="s">
        <v>320</v>
      </c>
      <c r="C8" s="76" t="s">
        <v>325</v>
      </c>
      <c r="D8" s="76" t="s">
        <v>326</v>
      </c>
      <c r="E8" s="79">
        <v>44090</v>
      </c>
      <c r="F8" s="76">
        <v>13485.14</v>
      </c>
      <c r="G8" s="76">
        <v>1E-3</v>
      </c>
    </row>
    <row r="9" spans="1:7" x14ac:dyDescent="0.25">
      <c r="A9" s="77" t="s">
        <v>319</v>
      </c>
      <c r="B9" s="76" t="s">
        <v>320</v>
      </c>
      <c r="C9" s="76" t="s">
        <v>327</v>
      </c>
      <c r="D9" s="76" t="s">
        <v>328</v>
      </c>
      <c r="E9" s="79">
        <v>44126</v>
      </c>
      <c r="F9" s="76">
        <v>13547.56</v>
      </c>
      <c r="G9" s="76">
        <v>1E-3</v>
      </c>
    </row>
    <row r="10" spans="1:7" x14ac:dyDescent="0.25">
      <c r="A10" s="77" t="s">
        <v>319</v>
      </c>
      <c r="B10" s="76" t="s">
        <v>320</v>
      </c>
      <c r="C10" s="76" t="s">
        <v>329</v>
      </c>
      <c r="D10" s="76" t="s">
        <v>330</v>
      </c>
      <c r="E10" s="79">
        <v>44109</v>
      </c>
      <c r="F10" s="76">
        <v>13735.64</v>
      </c>
      <c r="G10" s="76">
        <v>1E-3</v>
      </c>
    </row>
    <row r="11" spans="1:7" x14ac:dyDescent="0.25">
      <c r="A11" s="77" t="s">
        <v>319</v>
      </c>
      <c r="B11" s="76" t="s">
        <v>320</v>
      </c>
      <c r="C11" s="76" t="s">
        <v>331</v>
      </c>
      <c r="D11" s="76" t="s">
        <v>332</v>
      </c>
      <c r="E11" s="79">
        <v>44027</v>
      </c>
      <c r="F11" s="76">
        <v>13592.15</v>
      </c>
      <c r="G11" s="76">
        <v>1E-3</v>
      </c>
    </row>
    <row r="12" spans="1:7" x14ac:dyDescent="0.25">
      <c r="A12" s="77" t="s">
        <v>319</v>
      </c>
      <c r="B12" s="76" t="s">
        <v>320</v>
      </c>
      <c r="C12" s="76" t="s">
        <v>333</v>
      </c>
      <c r="D12" s="76" t="s">
        <v>334</v>
      </c>
      <c r="E12" s="79">
        <v>44027</v>
      </c>
      <c r="F12" s="76">
        <v>13834.86</v>
      </c>
      <c r="G12" s="76">
        <v>1E-3</v>
      </c>
    </row>
    <row r="13" spans="1:7" x14ac:dyDescent="0.25">
      <c r="A13" s="77" t="s">
        <v>319</v>
      </c>
      <c r="B13" s="76" t="s">
        <v>320</v>
      </c>
      <c r="C13" s="76" t="s">
        <v>335</v>
      </c>
      <c r="D13" s="76" t="s">
        <v>336</v>
      </c>
      <c r="E13" s="79">
        <v>44138</v>
      </c>
      <c r="F13" s="76">
        <v>12910.26</v>
      </c>
      <c r="G13" s="76">
        <v>1E-3</v>
      </c>
    </row>
    <row r="14" spans="1:7" x14ac:dyDescent="0.25">
      <c r="A14" s="77" t="s">
        <v>319</v>
      </c>
      <c r="B14" s="76" t="s">
        <v>320</v>
      </c>
      <c r="C14" s="76" t="s">
        <v>337</v>
      </c>
      <c r="D14" s="76" t="s">
        <v>338</v>
      </c>
      <c r="E14" s="79">
        <v>44062</v>
      </c>
      <c r="F14" s="76">
        <v>13108.38</v>
      </c>
      <c r="G14" s="76">
        <v>1E-3</v>
      </c>
    </row>
    <row r="15" spans="1:7" x14ac:dyDescent="0.25">
      <c r="A15" s="77" t="s">
        <v>319</v>
      </c>
      <c r="B15" s="76" t="s">
        <v>320</v>
      </c>
      <c r="C15" s="76" t="s">
        <v>339</v>
      </c>
      <c r="D15" s="76" t="s">
        <v>340</v>
      </c>
      <c r="E15" s="79">
        <v>44169</v>
      </c>
      <c r="F15" s="76">
        <v>12836.84</v>
      </c>
      <c r="G15" s="76">
        <v>1E-3</v>
      </c>
    </row>
    <row r="16" spans="1:7" x14ac:dyDescent="0.25">
      <c r="A16" s="77" t="s">
        <v>319</v>
      </c>
      <c r="B16" s="76" t="s">
        <v>320</v>
      </c>
      <c r="C16" s="76" t="s">
        <v>2500</v>
      </c>
      <c r="D16" s="76" t="s">
        <v>2501</v>
      </c>
      <c r="E16" s="79">
        <v>44172</v>
      </c>
      <c r="F16" s="76">
        <v>12923.04</v>
      </c>
      <c r="G16" s="76">
        <v>1E-3</v>
      </c>
    </row>
    <row r="17" spans="1:7" x14ac:dyDescent="0.25">
      <c r="A17" s="77" t="s">
        <v>319</v>
      </c>
      <c r="B17" s="76" t="s">
        <v>320</v>
      </c>
      <c r="C17" s="76" t="s">
        <v>2589</v>
      </c>
      <c r="D17" s="76" t="s">
        <v>2590</v>
      </c>
      <c r="E17" s="79">
        <v>44211</v>
      </c>
      <c r="F17" s="76">
        <v>13073.32</v>
      </c>
      <c r="G17" s="76">
        <v>1E-3</v>
      </c>
    </row>
    <row r="18" spans="1:7" x14ac:dyDescent="0.25">
      <c r="A18" s="77" t="s">
        <v>319</v>
      </c>
      <c r="B18" s="76" t="s">
        <v>320</v>
      </c>
      <c r="C18" s="76" t="s">
        <v>2591</v>
      </c>
      <c r="D18" s="76" t="s">
        <v>2592</v>
      </c>
      <c r="E18" s="79">
        <v>44180</v>
      </c>
      <c r="F18" s="76">
        <v>12845.95</v>
      </c>
      <c r="G18" s="76">
        <v>1E-3</v>
      </c>
    </row>
    <row r="19" spans="1:7" x14ac:dyDescent="0.25">
      <c r="A19" s="77" t="s">
        <v>319</v>
      </c>
      <c r="B19" s="76" t="s">
        <v>320</v>
      </c>
      <c r="C19" s="76" t="s">
        <v>2593</v>
      </c>
      <c r="D19" s="76" t="s">
        <v>2594</v>
      </c>
      <c r="E19" s="79">
        <v>44181</v>
      </c>
      <c r="F19" s="76">
        <v>12778.02</v>
      </c>
      <c r="G19" s="76">
        <v>1E-3</v>
      </c>
    </row>
    <row r="20" spans="1:7" x14ac:dyDescent="0.25">
      <c r="A20" s="77" t="s">
        <v>319</v>
      </c>
      <c r="B20" s="76" t="s">
        <v>320</v>
      </c>
      <c r="C20" s="76" t="s">
        <v>2861</v>
      </c>
      <c r="D20" s="76" t="s">
        <v>2862</v>
      </c>
      <c r="E20" s="79">
        <v>44263</v>
      </c>
      <c r="F20" s="76">
        <v>13587.37</v>
      </c>
      <c r="G20" s="76">
        <v>1E-3</v>
      </c>
    </row>
    <row r="21" spans="1:7" x14ac:dyDescent="0.25">
      <c r="A21" s="77" t="s">
        <v>319</v>
      </c>
      <c r="B21" s="76" t="s">
        <v>320</v>
      </c>
      <c r="C21" s="76" t="s">
        <v>2863</v>
      </c>
      <c r="D21" s="76" t="s">
        <v>2864</v>
      </c>
      <c r="E21" s="79">
        <v>44244</v>
      </c>
      <c r="F21" s="76">
        <v>13708.69</v>
      </c>
      <c r="G21" s="76">
        <v>1E-3</v>
      </c>
    </row>
    <row r="22" spans="1:7" x14ac:dyDescent="0.25">
      <c r="A22" s="77" t="s">
        <v>319</v>
      </c>
      <c r="B22" s="76" t="s">
        <v>320</v>
      </c>
      <c r="C22" s="76" t="s">
        <v>2865</v>
      </c>
      <c r="D22" s="76" t="s">
        <v>2866</v>
      </c>
      <c r="E22" s="79">
        <v>44294</v>
      </c>
      <c r="F22" s="76">
        <v>13951.32</v>
      </c>
      <c r="G22" s="76">
        <v>1E-3</v>
      </c>
    </row>
    <row r="23" spans="1:7" x14ac:dyDescent="0.25">
      <c r="A23" s="77" t="s">
        <v>319</v>
      </c>
      <c r="B23" s="76" t="s">
        <v>320</v>
      </c>
      <c r="C23" s="76" t="s">
        <v>341</v>
      </c>
      <c r="D23" s="76" t="s">
        <v>342</v>
      </c>
      <c r="E23" s="79">
        <v>44181</v>
      </c>
      <c r="F23" s="76">
        <v>7938.66</v>
      </c>
      <c r="G23" s="76">
        <v>1E-3</v>
      </c>
    </row>
    <row r="24" spans="1:7" x14ac:dyDescent="0.25">
      <c r="A24" s="77" t="s">
        <v>319</v>
      </c>
      <c r="B24" s="76" t="s">
        <v>320</v>
      </c>
      <c r="C24" s="76" t="s">
        <v>343</v>
      </c>
      <c r="D24" s="76" t="s">
        <v>344</v>
      </c>
      <c r="E24" s="79">
        <v>44305</v>
      </c>
      <c r="F24" s="76">
        <v>8141.9</v>
      </c>
      <c r="G24" s="76">
        <v>1E-3</v>
      </c>
    </row>
    <row r="25" spans="1:7" x14ac:dyDescent="0.25">
      <c r="A25" s="77" t="s">
        <v>319</v>
      </c>
      <c r="B25" s="76" t="s">
        <v>320</v>
      </c>
      <c r="C25" s="76" t="s">
        <v>345</v>
      </c>
      <c r="D25" s="76" t="s">
        <v>346</v>
      </c>
      <c r="E25" s="79">
        <v>44308</v>
      </c>
      <c r="F25" s="76">
        <v>6270.4</v>
      </c>
      <c r="G25" s="76">
        <v>1E-3</v>
      </c>
    </row>
    <row r="26" spans="1:7" x14ac:dyDescent="0.25">
      <c r="A26" s="77" t="s">
        <v>319</v>
      </c>
      <c r="B26" s="76" t="s">
        <v>320</v>
      </c>
      <c r="C26" s="76" t="s">
        <v>347</v>
      </c>
      <c r="D26" s="76" t="s">
        <v>348</v>
      </c>
      <c r="E26" s="79">
        <v>44340</v>
      </c>
      <c r="F26" s="76">
        <v>6628.71</v>
      </c>
      <c r="G26" s="76">
        <v>1E-3</v>
      </c>
    </row>
    <row r="27" spans="1:7" x14ac:dyDescent="0.25">
      <c r="A27" s="77" t="s">
        <v>319</v>
      </c>
      <c r="B27" s="76" t="s">
        <v>320</v>
      </c>
      <c r="C27" s="76" t="s">
        <v>1449</v>
      </c>
      <c r="D27" s="76" t="s">
        <v>1450</v>
      </c>
      <c r="E27" s="79">
        <v>44201</v>
      </c>
      <c r="F27" s="76">
        <v>8426.69</v>
      </c>
      <c r="G27" s="76">
        <v>1E-3</v>
      </c>
    </row>
    <row r="28" spans="1:7" x14ac:dyDescent="0.25">
      <c r="A28" s="77" t="s">
        <v>319</v>
      </c>
      <c r="B28" s="76" t="s">
        <v>320</v>
      </c>
      <c r="C28" s="76" t="s">
        <v>1856</v>
      </c>
      <c r="D28" s="76" t="s">
        <v>1857</v>
      </c>
      <c r="E28" s="79">
        <v>44305</v>
      </c>
      <c r="F28" s="76">
        <v>8598.73</v>
      </c>
      <c r="G28" s="76">
        <v>1E-3</v>
      </c>
    </row>
    <row r="29" spans="1:7" x14ac:dyDescent="0.25">
      <c r="A29" s="77" t="s">
        <v>319</v>
      </c>
      <c r="B29" s="76" t="s">
        <v>320</v>
      </c>
      <c r="C29" s="76" t="s">
        <v>1905</v>
      </c>
      <c r="D29" s="76" t="s">
        <v>1906</v>
      </c>
      <c r="E29" s="79">
        <v>44125</v>
      </c>
      <c r="F29" s="76">
        <v>9080.68</v>
      </c>
      <c r="G29" s="76">
        <v>1E-3</v>
      </c>
    </row>
    <row r="30" spans="1:7" x14ac:dyDescent="0.25">
      <c r="A30" s="77" t="s">
        <v>319</v>
      </c>
      <c r="B30" s="76" t="s">
        <v>320</v>
      </c>
      <c r="C30" s="76" t="s">
        <v>2502</v>
      </c>
      <c r="D30" s="76" t="s">
        <v>2503</v>
      </c>
      <c r="E30" s="79">
        <v>44354</v>
      </c>
      <c r="F30" s="76">
        <v>9377.7800000000007</v>
      </c>
      <c r="G30" s="76">
        <v>1E-3</v>
      </c>
    </row>
    <row r="31" spans="1:7" x14ac:dyDescent="0.25">
      <c r="A31" s="77" t="s">
        <v>319</v>
      </c>
      <c r="B31" s="76" t="s">
        <v>320</v>
      </c>
      <c r="C31" s="76" t="s">
        <v>2504</v>
      </c>
      <c r="D31" s="76" t="s">
        <v>2505</v>
      </c>
      <c r="E31" s="79">
        <v>44144</v>
      </c>
      <c r="F31" s="76">
        <v>8005.42</v>
      </c>
      <c r="G31" s="76">
        <v>1E-3</v>
      </c>
    </row>
    <row r="32" spans="1:7" x14ac:dyDescent="0.25">
      <c r="A32" s="77" t="s">
        <v>319</v>
      </c>
      <c r="B32" s="76" t="s">
        <v>320</v>
      </c>
      <c r="C32" s="76" t="s">
        <v>2595</v>
      </c>
      <c r="D32" s="76" t="s">
        <v>2596</v>
      </c>
      <c r="E32" s="79">
        <v>44301</v>
      </c>
      <c r="F32" s="76">
        <v>9776.57</v>
      </c>
      <c r="G32" s="76">
        <v>1E-3</v>
      </c>
    </row>
    <row r="33" spans="1:7" x14ac:dyDescent="0.25">
      <c r="A33" s="77" t="s">
        <v>319</v>
      </c>
      <c r="B33" s="76" t="s">
        <v>320</v>
      </c>
      <c r="C33" s="76" t="s">
        <v>2597</v>
      </c>
      <c r="D33" s="76" t="s">
        <v>2598</v>
      </c>
      <c r="E33" s="79">
        <v>44181</v>
      </c>
      <c r="F33" s="76">
        <v>9925.7900000000009</v>
      </c>
      <c r="G33" s="76">
        <v>1E-3</v>
      </c>
    </row>
    <row r="34" spans="1:7" x14ac:dyDescent="0.25">
      <c r="A34" s="77" t="s">
        <v>319</v>
      </c>
      <c r="B34" s="76" t="s">
        <v>320</v>
      </c>
      <c r="C34" s="76" t="s">
        <v>349</v>
      </c>
      <c r="D34" s="76" t="s">
        <v>350</v>
      </c>
      <c r="E34" s="79">
        <v>44090</v>
      </c>
      <c r="F34" s="76">
        <v>7000</v>
      </c>
      <c r="G34" s="76">
        <v>1.4999999999999999E-2</v>
      </c>
    </row>
    <row r="35" spans="1:7" x14ac:dyDescent="0.25">
      <c r="A35" s="77" t="s">
        <v>319</v>
      </c>
      <c r="B35" s="76" t="s">
        <v>320</v>
      </c>
      <c r="C35" s="76">
        <v>50077</v>
      </c>
      <c r="D35" s="76" t="s">
        <v>352</v>
      </c>
      <c r="E35" s="79">
        <v>44095</v>
      </c>
      <c r="F35" s="76">
        <v>13588</v>
      </c>
      <c r="G35" s="76">
        <v>1.4999999999999999E-2</v>
      </c>
    </row>
    <row r="36" spans="1:7" x14ac:dyDescent="0.25">
      <c r="A36" s="77" t="s">
        <v>319</v>
      </c>
      <c r="B36" s="76" t="s">
        <v>320</v>
      </c>
      <c r="C36" s="76">
        <v>47676</v>
      </c>
      <c r="D36" s="76" t="s">
        <v>351</v>
      </c>
      <c r="E36" s="79">
        <v>44090</v>
      </c>
      <c r="F36" s="76">
        <v>13000</v>
      </c>
      <c r="G36" s="76">
        <v>0.03</v>
      </c>
    </row>
    <row r="37" spans="1:7" x14ac:dyDescent="0.25">
      <c r="A37" s="77" t="s">
        <v>319</v>
      </c>
      <c r="B37" s="76" t="s">
        <v>320</v>
      </c>
      <c r="C37" s="76">
        <v>53401</v>
      </c>
      <c r="D37" s="76" t="s">
        <v>353</v>
      </c>
      <c r="E37" s="79">
        <v>44089</v>
      </c>
      <c r="F37" s="76">
        <v>12688</v>
      </c>
      <c r="G37" s="76">
        <v>8.0000000000000002E-3</v>
      </c>
    </row>
    <row r="38" spans="1:7" x14ac:dyDescent="0.25">
      <c r="A38" s="77" t="s">
        <v>319</v>
      </c>
      <c r="B38" s="76" t="s">
        <v>320</v>
      </c>
      <c r="C38" s="76">
        <v>53452</v>
      </c>
      <c r="D38" s="76" t="s">
        <v>354</v>
      </c>
      <c r="E38" s="79">
        <v>44027</v>
      </c>
      <c r="F38" s="76">
        <v>12800</v>
      </c>
      <c r="G38" s="76">
        <v>8.0000000000000002E-3</v>
      </c>
    </row>
    <row r="39" spans="1:7" x14ac:dyDescent="0.25">
      <c r="A39" s="77" t="s">
        <v>319</v>
      </c>
      <c r="B39" s="76" t="s">
        <v>320</v>
      </c>
      <c r="C39" s="76">
        <v>53522</v>
      </c>
      <c r="D39" s="76" t="s">
        <v>355</v>
      </c>
      <c r="E39" s="79">
        <v>44090</v>
      </c>
      <c r="F39" s="76">
        <v>11800</v>
      </c>
      <c r="G39" s="76">
        <v>7.0000000000000001E-3</v>
      </c>
    </row>
    <row r="40" spans="1:7" x14ac:dyDescent="0.25">
      <c r="A40" s="77" t="s">
        <v>319</v>
      </c>
      <c r="B40" s="76" t="s">
        <v>320</v>
      </c>
      <c r="C40" s="76">
        <v>53573</v>
      </c>
      <c r="D40" s="76" t="s">
        <v>356</v>
      </c>
      <c r="E40" s="79">
        <v>44090</v>
      </c>
      <c r="F40" s="76">
        <v>12000</v>
      </c>
      <c r="G40" s="76">
        <v>5.0000000000000001E-3</v>
      </c>
    </row>
    <row r="41" spans="1:7" x14ac:dyDescent="0.25">
      <c r="A41" s="77" t="s">
        <v>319</v>
      </c>
      <c r="B41" s="76" t="s">
        <v>320</v>
      </c>
      <c r="C41" s="76">
        <v>54377</v>
      </c>
      <c r="D41" s="76" t="s">
        <v>357</v>
      </c>
      <c r="E41" s="79">
        <v>44103</v>
      </c>
      <c r="F41" s="76">
        <v>12000</v>
      </c>
      <c r="G41" s="76">
        <v>2E-3</v>
      </c>
    </row>
    <row r="42" spans="1:7" x14ac:dyDescent="0.25">
      <c r="A42" s="77" t="s">
        <v>319</v>
      </c>
      <c r="B42" s="76" t="s">
        <v>320</v>
      </c>
      <c r="C42" s="76">
        <v>54421</v>
      </c>
      <c r="D42" s="76" t="s">
        <v>358</v>
      </c>
      <c r="E42" s="79">
        <v>44103</v>
      </c>
      <c r="F42" s="76">
        <v>15000</v>
      </c>
      <c r="G42" s="76">
        <v>2E-3</v>
      </c>
    </row>
    <row r="43" spans="1:7" x14ac:dyDescent="0.25">
      <c r="A43" s="77" t="s">
        <v>319</v>
      </c>
      <c r="B43" s="76" t="s">
        <v>320</v>
      </c>
      <c r="C43" s="76">
        <v>54633</v>
      </c>
      <c r="D43" s="76" t="s">
        <v>359</v>
      </c>
      <c r="E43" s="79">
        <v>44109</v>
      </c>
      <c r="F43" s="76">
        <v>12682</v>
      </c>
      <c r="G43" s="76">
        <v>4.0000000000000001E-3</v>
      </c>
    </row>
    <row r="44" spans="1:7" x14ac:dyDescent="0.25">
      <c r="A44" s="77" t="s">
        <v>319</v>
      </c>
      <c r="B44" s="76" t="s">
        <v>320</v>
      </c>
      <c r="C44" s="76">
        <v>55752</v>
      </c>
      <c r="D44" s="76" t="s">
        <v>360</v>
      </c>
      <c r="E44" s="79">
        <v>44027</v>
      </c>
      <c r="F44" s="76">
        <v>12600</v>
      </c>
      <c r="G44" s="76">
        <v>2.5000000000000001E-2</v>
      </c>
    </row>
    <row r="45" spans="1:7" x14ac:dyDescent="0.25">
      <c r="A45" s="77" t="s">
        <v>319</v>
      </c>
      <c r="B45" s="76" t="s">
        <v>320</v>
      </c>
      <c r="C45" s="76">
        <v>55756</v>
      </c>
      <c r="D45" s="76" t="s">
        <v>361</v>
      </c>
      <c r="E45" s="79">
        <v>44027</v>
      </c>
      <c r="F45" s="76">
        <v>12800</v>
      </c>
      <c r="G45" s="76">
        <v>5.0000000000000001E-3</v>
      </c>
    </row>
    <row r="46" spans="1:7" x14ac:dyDescent="0.25">
      <c r="A46" s="77" t="s">
        <v>319</v>
      </c>
      <c r="B46" s="76" t="s">
        <v>320</v>
      </c>
      <c r="C46" s="76">
        <v>55764</v>
      </c>
      <c r="D46" s="76" t="s">
        <v>362</v>
      </c>
      <c r="E46" s="79">
        <v>44027</v>
      </c>
      <c r="F46" s="76">
        <v>11300</v>
      </c>
      <c r="G46" s="76">
        <v>5.0000000000000001E-3</v>
      </c>
    </row>
    <row r="47" spans="1:7" x14ac:dyDescent="0.25">
      <c r="A47" s="77" t="s">
        <v>319</v>
      </c>
      <c r="B47" s="76" t="s">
        <v>320</v>
      </c>
      <c r="C47" s="76">
        <v>55765</v>
      </c>
      <c r="D47" s="76" t="s">
        <v>363</v>
      </c>
      <c r="E47" s="79">
        <v>44027</v>
      </c>
      <c r="F47" s="76">
        <v>11700</v>
      </c>
      <c r="G47" s="76">
        <v>7.0000000000000001E-3</v>
      </c>
    </row>
    <row r="48" spans="1:7" x14ac:dyDescent="0.25">
      <c r="A48" s="77" t="s">
        <v>319</v>
      </c>
      <c r="B48" s="76" t="s">
        <v>320</v>
      </c>
      <c r="C48" s="76">
        <v>55766</v>
      </c>
      <c r="D48" s="76" t="s">
        <v>364</v>
      </c>
      <c r="E48" s="79">
        <v>44027</v>
      </c>
      <c r="F48" s="76">
        <v>12100</v>
      </c>
      <c r="G48" s="76">
        <v>6.0000000000000001E-3</v>
      </c>
    </row>
    <row r="49" spans="1:7" x14ac:dyDescent="0.25">
      <c r="A49" s="77" t="s">
        <v>319</v>
      </c>
      <c r="B49" s="76" t="s">
        <v>320</v>
      </c>
      <c r="C49" s="76">
        <v>55767</v>
      </c>
      <c r="D49" s="76" t="s">
        <v>365</v>
      </c>
      <c r="E49" s="79">
        <v>44027</v>
      </c>
      <c r="F49" s="76">
        <v>12500</v>
      </c>
      <c r="G49" s="76">
        <v>0.01</v>
      </c>
    </row>
    <row r="50" spans="1:7" x14ac:dyDescent="0.25">
      <c r="A50" s="77" t="s">
        <v>319</v>
      </c>
      <c r="B50" s="76" t="s">
        <v>320</v>
      </c>
      <c r="C50" s="76">
        <v>55768</v>
      </c>
      <c r="D50" s="76" t="s">
        <v>366</v>
      </c>
      <c r="E50" s="79">
        <v>44027</v>
      </c>
      <c r="F50" s="76">
        <v>12900</v>
      </c>
      <c r="G50" s="76">
        <v>1.4999999999999999E-2</v>
      </c>
    </row>
    <row r="51" spans="1:7" x14ac:dyDescent="0.25">
      <c r="A51" s="77" t="s">
        <v>319</v>
      </c>
      <c r="B51" s="76" t="s">
        <v>320</v>
      </c>
      <c r="C51" s="76">
        <v>55791</v>
      </c>
      <c r="D51" s="76" t="s">
        <v>367</v>
      </c>
      <c r="E51" s="79">
        <v>44027</v>
      </c>
      <c r="F51" s="76">
        <v>11700</v>
      </c>
      <c r="G51" s="76">
        <v>5.0000000000000001E-3</v>
      </c>
    </row>
    <row r="52" spans="1:7" x14ac:dyDescent="0.25">
      <c r="A52" s="77" t="s">
        <v>319</v>
      </c>
      <c r="B52" s="76" t="s">
        <v>320</v>
      </c>
      <c r="C52" s="76">
        <v>55792</v>
      </c>
      <c r="D52" s="76" t="s">
        <v>368</v>
      </c>
      <c r="E52" s="79">
        <v>44027</v>
      </c>
      <c r="F52" s="76">
        <v>12500</v>
      </c>
      <c r="G52" s="76">
        <v>0.01</v>
      </c>
    </row>
    <row r="53" spans="1:7" x14ac:dyDescent="0.25">
      <c r="A53" s="77" t="s">
        <v>319</v>
      </c>
      <c r="B53" s="76" t="s">
        <v>320</v>
      </c>
      <c r="C53" s="76">
        <v>55793</v>
      </c>
      <c r="D53" s="76" t="s">
        <v>369</v>
      </c>
      <c r="E53" s="79">
        <v>44027</v>
      </c>
      <c r="F53" s="76">
        <v>12300</v>
      </c>
      <c r="G53" s="76">
        <v>8.0000000000000002E-3</v>
      </c>
    </row>
    <row r="54" spans="1:7" x14ac:dyDescent="0.25">
      <c r="A54" s="77" t="s">
        <v>319</v>
      </c>
      <c r="B54" s="76" t="s">
        <v>320</v>
      </c>
      <c r="C54" s="76">
        <v>55822</v>
      </c>
      <c r="D54" s="76" t="s">
        <v>370</v>
      </c>
      <c r="E54" s="79">
        <v>44027</v>
      </c>
      <c r="F54" s="76">
        <v>12000</v>
      </c>
      <c r="G54" s="76">
        <v>5.0000000000000001E-3</v>
      </c>
    </row>
    <row r="55" spans="1:7" x14ac:dyDescent="0.25">
      <c r="A55" s="77" t="s">
        <v>319</v>
      </c>
      <c r="B55" s="76" t="s">
        <v>320</v>
      </c>
      <c r="C55" s="76">
        <v>55823</v>
      </c>
      <c r="D55" s="76" t="s">
        <v>371</v>
      </c>
      <c r="E55" s="79">
        <v>44027</v>
      </c>
      <c r="F55" s="76">
        <v>12300</v>
      </c>
      <c r="G55" s="76">
        <v>5.0000000000000001E-3</v>
      </c>
    </row>
    <row r="56" spans="1:7" x14ac:dyDescent="0.25">
      <c r="A56" s="77" t="s">
        <v>319</v>
      </c>
      <c r="B56" s="76" t="s">
        <v>320</v>
      </c>
      <c r="C56" s="76">
        <v>55824</v>
      </c>
      <c r="D56" s="76" t="s">
        <v>372</v>
      </c>
      <c r="E56" s="79">
        <v>44027</v>
      </c>
      <c r="F56" s="76">
        <v>12800</v>
      </c>
      <c r="G56" s="76">
        <v>0.01</v>
      </c>
    </row>
    <row r="57" spans="1:7" x14ac:dyDescent="0.25">
      <c r="A57" s="77" t="s">
        <v>319</v>
      </c>
      <c r="B57" s="76" t="s">
        <v>320</v>
      </c>
      <c r="C57" s="76">
        <v>55825</v>
      </c>
      <c r="D57" s="76" t="s">
        <v>373</v>
      </c>
      <c r="E57" s="79">
        <v>44027</v>
      </c>
      <c r="F57" s="76">
        <v>13500</v>
      </c>
      <c r="G57" s="76">
        <v>0.05</v>
      </c>
    </row>
    <row r="58" spans="1:7" x14ac:dyDescent="0.25">
      <c r="A58" s="77" t="s">
        <v>319</v>
      </c>
      <c r="B58" s="76" t="s">
        <v>320</v>
      </c>
      <c r="C58" s="76">
        <v>55864</v>
      </c>
      <c r="D58" s="76" t="s">
        <v>374</v>
      </c>
      <c r="E58" s="79">
        <v>44027</v>
      </c>
      <c r="F58" s="76">
        <v>12200</v>
      </c>
      <c r="G58" s="76">
        <v>6.0000000000000001E-3</v>
      </c>
    </row>
    <row r="59" spans="1:7" x14ac:dyDescent="0.25">
      <c r="A59" s="77" t="s">
        <v>319</v>
      </c>
      <c r="B59" s="76" t="s">
        <v>320</v>
      </c>
      <c r="C59" s="76">
        <v>55865</v>
      </c>
      <c r="D59" s="76" t="s">
        <v>375</v>
      </c>
      <c r="E59" s="79">
        <v>44027</v>
      </c>
      <c r="F59" s="76">
        <v>12000</v>
      </c>
      <c r="G59" s="76">
        <v>5.0000000000000001E-3</v>
      </c>
    </row>
    <row r="60" spans="1:7" x14ac:dyDescent="0.25">
      <c r="A60" s="77" t="s">
        <v>319</v>
      </c>
      <c r="B60" s="76" t="s">
        <v>320</v>
      </c>
      <c r="C60" s="76">
        <v>55866</v>
      </c>
      <c r="D60" s="76" t="s">
        <v>376</v>
      </c>
      <c r="E60" s="79">
        <v>44027</v>
      </c>
      <c r="F60" s="76">
        <v>11900</v>
      </c>
      <c r="G60" s="76">
        <v>5.0000000000000001E-3</v>
      </c>
    </row>
    <row r="61" spans="1:7" x14ac:dyDescent="0.25">
      <c r="A61" s="77" t="s">
        <v>319</v>
      </c>
      <c r="B61" s="76" t="s">
        <v>320</v>
      </c>
      <c r="C61" s="76">
        <v>55867</v>
      </c>
      <c r="D61" s="76" t="s">
        <v>377</v>
      </c>
      <c r="E61" s="79">
        <v>44027</v>
      </c>
      <c r="F61" s="76">
        <v>12400</v>
      </c>
      <c r="G61" s="76">
        <v>8.0000000000000002E-3</v>
      </c>
    </row>
    <row r="62" spans="1:7" x14ac:dyDescent="0.25">
      <c r="A62" s="77" t="s">
        <v>319</v>
      </c>
      <c r="B62" s="76" t="s">
        <v>320</v>
      </c>
      <c r="C62" s="76">
        <v>55868</v>
      </c>
      <c r="D62" s="76" t="s">
        <v>378</v>
      </c>
      <c r="E62" s="79">
        <v>44027</v>
      </c>
      <c r="F62" s="76">
        <v>12800</v>
      </c>
      <c r="G62" s="76">
        <v>0.01</v>
      </c>
    </row>
    <row r="63" spans="1:7" x14ac:dyDescent="0.25">
      <c r="A63" s="77" t="s">
        <v>319</v>
      </c>
      <c r="B63" s="76" t="s">
        <v>320</v>
      </c>
      <c r="C63" s="76">
        <v>55869</v>
      </c>
      <c r="D63" s="76" t="s">
        <v>379</v>
      </c>
      <c r="E63" s="79">
        <v>44027</v>
      </c>
      <c r="F63" s="76">
        <v>12600</v>
      </c>
      <c r="G63" s="76">
        <v>0.01</v>
      </c>
    </row>
    <row r="64" spans="1:7" x14ac:dyDescent="0.25">
      <c r="A64" s="77" t="s">
        <v>319</v>
      </c>
      <c r="B64" s="76" t="s">
        <v>320</v>
      </c>
      <c r="C64" s="76">
        <v>55884</v>
      </c>
      <c r="D64" s="76" t="s">
        <v>380</v>
      </c>
      <c r="E64" s="79">
        <v>44027</v>
      </c>
      <c r="F64" s="76">
        <v>11900</v>
      </c>
      <c r="G64" s="76">
        <v>4.0000000000000001E-3</v>
      </c>
    </row>
    <row r="65" spans="1:7" x14ac:dyDescent="0.25">
      <c r="A65" s="77" t="s">
        <v>319</v>
      </c>
      <c r="B65" s="76" t="s">
        <v>320</v>
      </c>
      <c r="C65" s="76">
        <v>55942</v>
      </c>
      <c r="D65" s="76" t="s">
        <v>381</v>
      </c>
      <c r="E65" s="79">
        <v>44181</v>
      </c>
      <c r="F65" s="76">
        <v>12100</v>
      </c>
      <c r="G65" s="76">
        <v>7.0000000000000001E-3</v>
      </c>
    </row>
    <row r="66" spans="1:7" x14ac:dyDescent="0.25">
      <c r="A66" s="77" t="s">
        <v>319</v>
      </c>
      <c r="B66" s="76" t="s">
        <v>320</v>
      </c>
      <c r="C66" s="76">
        <v>55981</v>
      </c>
      <c r="D66" s="76" t="s">
        <v>382</v>
      </c>
      <c r="E66" s="79">
        <v>44028</v>
      </c>
      <c r="F66" s="76">
        <v>12700</v>
      </c>
      <c r="G66" s="76">
        <v>6.0000000000000001E-3</v>
      </c>
    </row>
    <row r="67" spans="1:7" x14ac:dyDescent="0.25">
      <c r="A67" s="77" t="s">
        <v>319</v>
      </c>
      <c r="B67" s="76" t="s">
        <v>320</v>
      </c>
      <c r="C67" s="76">
        <v>55998</v>
      </c>
      <c r="D67" s="76" t="s">
        <v>383</v>
      </c>
      <c r="E67" s="79">
        <v>44090</v>
      </c>
      <c r="F67" s="76">
        <v>14000</v>
      </c>
      <c r="G67" s="76">
        <v>5.0000000000000001E-3</v>
      </c>
    </row>
    <row r="68" spans="1:7" x14ac:dyDescent="0.25">
      <c r="A68" s="77" t="s">
        <v>319</v>
      </c>
      <c r="B68" s="76" t="s">
        <v>320</v>
      </c>
      <c r="C68" s="76">
        <v>56005</v>
      </c>
      <c r="D68" s="76" t="s">
        <v>384</v>
      </c>
      <c r="E68" s="79">
        <v>44028</v>
      </c>
      <c r="F68" s="76">
        <v>13300</v>
      </c>
      <c r="G68" s="76">
        <v>1.2E-2</v>
      </c>
    </row>
    <row r="69" spans="1:7" x14ac:dyDescent="0.25">
      <c r="A69" s="77" t="s">
        <v>319</v>
      </c>
      <c r="B69" s="76" t="s">
        <v>320</v>
      </c>
      <c r="C69" s="76" t="s">
        <v>2203</v>
      </c>
      <c r="D69" s="76" t="s">
        <v>2204</v>
      </c>
      <c r="E69" s="79">
        <v>44183</v>
      </c>
      <c r="F69" s="76">
        <v>9376.6299999999992</v>
      </c>
      <c r="G69" s="76">
        <v>1E-3</v>
      </c>
    </row>
    <row r="70" spans="1:7" x14ac:dyDescent="0.25">
      <c r="A70" s="77" t="s">
        <v>319</v>
      </c>
      <c r="B70" s="76" t="s">
        <v>320</v>
      </c>
      <c r="C70" s="76">
        <v>56148</v>
      </c>
      <c r="D70" s="76" t="s">
        <v>245</v>
      </c>
      <c r="E70" s="79">
        <v>44041</v>
      </c>
      <c r="F70" s="76">
        <v>12700</v>
      </c>
      <c r="G70" s="76">
        <v>0.01</v>
      </c>
    </row>
    <row r="71" spans="1:7" x14ac:dyDescent="0.25">
      <c r="A71" s="77" t="s">
        <v>319</v>
      </c>
      <c r="B71" s="76" t="s">
        <v>320</v>
      </c>
      <c r="C71" s="76">
        <v>56630</v>
      </c>
      <c r="D71" s="76" t="s">
        <v>389</v>
      </c>
      <c r="E71" s="79">
        <v>44047</v>
      </c>
      <c r="F71" s="76">
        <v>11800</v>
      </c>
      <c r="G71" s="76">
        <v>4.0000000000000001E-3</v>
      </c>
    </row>
    <row r="72" spans="1:7" x14ac:dyDescent="0.25">
      <c r="A72" s="77" t="s">
        <v>319</v>
      </c>
      <c r="B72" s="76" t="s">
        <v>320</v>
      </c>
      <c r="C72" s="76">
        <v>56631</v>
      </c>
      <c r="D72" s="76" t="s">
        <v>390</v>
      </c>
      <c r="E72" s="79">
        <v>44047</v>
      </c>
      <c r="F72" s="76">
        <v>11600</v>
      </c>
      <c r="G72" s="76">
        <v>3.0000000000000001E-3</v>
      </c>
    </row>
    <row r="73" spans="1:7" x14ac:dyDescent="0.25">
      <c r="A73" s="77" t="s">
        <v>319</v>
      </c>
      <c r="B73" s="76" t="s">
        <v>320</v>
      </c>
      <c r="C73" s="76">
        <v>56638</v>
      </c>
      <c r="D73" s="76" t="s">
        <v>244</v>
      </c>
      <c r="E73" s="79">
        <v>44048</v>
      </c>
      <c r="F73" s="76">
        <v>12000</v>
      </c>
      <c r="G73" s="76">
        <v>7.0000000000000001E-3</v>
      </c>
    </row>
    <row r="74" spans="1:7" x14ac:dyDescent="0.25">
      <c r="A74" s="77" t="s">
        <v>319</v>
      </c>
      <c r="B74" s="76" t="s">
        <v>320</v>
      </c>
      <c r="C74" s="76">
        <v>56660</v>
      </c>
      <c r="D74" s="76" t="s">
        <v>391</v>
      </c>
      <c r="E74" s="79">
        <v>44109</v>
      </c>
      <c r="F74" s="76">
        <v>11600</v>
      </c>
      <c r="G74" s="76">
        <v>6.0000000000000001E-3</v>
      </c>
    </row>
    <row r="75" spans="1:7" x14ac:dyDescent="0.25">
      <c r="A75" s="77" t="s">
        <v>319</v>
      </c>
      <c r="B75" s="76" t="s">
        <v>320</v>
      </c>
      <c r="C75" s="76">
        <v>56661</v>
      </c>
      <c r="D75" s="76" t="s">
        <v>392</v>
      </c>
      <c r="E75" s="79">
        <v>44109</v>
      </c>
      <c r="F75" s="76">
        <v>11400</v>
      </c>
      <c r="G75" s="76">
        <v>5.0000000000000001E-3</v>
      </c>
    </row>
    <row r="76" spans="1:7" x14ac:dyDescent="0.25">
      <c r="A76" s="77" t="s">
        <v>319</v>
      </c>
      <c r="B76" s="76" t="s">
        <v>320</v>
      </c>
      <c r="C76" s="76">
        <v>56662</v>
      </c>
      <c r="D76" s="76" t="s">
        <v>393</v>
      </c>
      <c r="E76" s="79">
        <v>44109</v>
      </c>
      <c r="F76" s="76">
        <v>11200</v>
      </c>
      <c r="G76" s="76">
        <v>4.0000000000000001E-3</v>
      </c>
    </row>
    <row r="77" spans="1:7" x14ac:dyDescent="0.25">
      <c r="A77" s="77" t="s">
        <v>319</v>
      </c>
      <c r="B77" s="76" t="s">
        <v>320</v>
      </c>
      <c r="C77" s="76">
        <v>56663</v>
      </c>
      <c r="D77" s="76" t="s">
        <v>394</v>
      </c>
      <c r="E77" s="79">
        <v>44109</v>
      </c>
      <c r="F77" s="76">
        <v>11000</v>
      </c>
      <c r="G77" s="76">
        <v>4.0000000000000001E-3</v>
      </c>
    </row>
    <row r="78" spans="1:7" x14ac:dyDescent="0.25">
      <c r="A78" s="77" t="s">
        <v>319</v>
      </c>
      <c r="B78" s="76" t="s">
        <v>320</v>
      </c>
      <c r="C78" s="76">
        <v>56322</v>
      </c>
      <c r="D78" s="76" t="s">
        <v>385</v>
      </c>
      <c r="E78" s="79">
        <v>44046</v>
      </c>
      <c r="F78" s="76">
        <v>12300</v>
      </c>
      <c r="G78" s="76">
        <v>5.0000000000000001E-3</v>
      </c>
    </row>
    <row r="79" spans="1:7" x14ac:dyDescent="0.25">
      <c r="A79" s="77" t="s">
        <v>319</v>
      </c>
      <c r="B79" s="76" t="s">
        <v>320</v>
      </c>
      <c r="C79" s="76">
        <v>56464</v>
      </c>
      <c r="D79" s="76" t="s">
        <v>386</v>
      </c>
      <c r="E79" s="79">
        <v>44077</v>
      </c>
      <c r="F79" s="76">
        <v>11600</v>
      </c>
      <c r="G79" s="76">
        <v>2E-3</v>
      </c>
    </row>
    <row r="80" spans="1:7" x14ac:dyDescent="0.25">
      <c r="A80" s="77" t="s">
        <v>319</v>
      </c>
      <c r="B80" s="76" t="s">
        <v>320</v>
      </c>
      <c r="C80" s="76">
        <v>56465</v>
      </c>
      <c r="D80" s="76" t="s">
        <v>387</v>
      </c>
      <c r="E80" s="79">
        <v>44077</v>
      </c>
      <c r="F80" s="76">
        <v>11800</v>
      </c>
      <c r="G80" s="76">
        <v>4.0000000000000001E-3</v>
      </c>
    </row>
    <row r="81" spans="1:7" x14ac:dyDescent="0.25">
      <c r="A81" s="77" t="s">
        <v>319</v>
      </c>
      <c r="B81" s="76" t="s">
        <v>320</v>
      </c>
      <c r="C81" s="76">
        <v>56466</v>
      </c>
      <c r="D81" s="76" t="s">
        <v>388</v>
      </c>
      <c r="E81" s="79">
        <v>44077</v>
      </c>
      <c r="F81" s="76">
        <v>12000</v>
      </c>
      <c r="G81" s="76">
        <v>6.0000000000000001E-3</v>
      </c>
    </row>
    <row r="82" spans="1:7" x14ac:dyDescent="0.25">
      <c r="A82" s="77" t="s">
        <v>319</v>
      </c>
      <c r="B82" s="76" t="s">
        <v>320</v>
      </c>
      <c r="C82" s="76">
        <v>56793</v>
      </c>
      <c r="D82" s="76" t="s">
        <v>395</v>
      </c>
      <c r="E82" s="79">
        <v>44049</v>
      </c>
      <c r="F82" s="76">
        <v>11900</v>
      </c>
      <c r="G82" s="76">
        <v>6.0000000000000001E-3</v>
      </c>
    </row>
    <row r="83" spans="1:7" x14ac:dyDescent="0.25">
      <c r="A83" s="77" t="s">
        <v>319</v>
      </c>
      <c r="B83" s="76" t="s">
        <v>320</v>
      </c>
      <c r="C83" s="76">
        <v>56800</v>
      </c>
      <c r="D83" s="76" t="s">
        <v>396</v>
      </c>
      <c r="E83" s="79">
        <v>44049</v>
      </c>
      <c r="F83" s="76">
        <v>11600</v>
      </c>
      <c r="G83" s="76">
        <v>4.0000000000000001E-3</v>
      </c>
    </row>
    <row r="84" spans="1:7" x14ac:dyDescent="0.25">
      <c r="A84" s="77" t="s">
        <v>319</v>
      </c>
      <c r="B84" s="76" t="s">
        <v>320</v>
      </c>
      <c r="C84" s="76">
        <v>56912</v>
      </c>
      <c r="D84" s="76" t="s">
        <v>397</v>
      </c>
      <c r="E84" s="79">
        <v>44083</v>
      </c>
      <c r="F84" s="76">
        <v>12000</v>
      </c>
      <c r="G84" s="76">
        <v>5.0000000000000001E-3</v>
      </c>
    </row>
    <row r="85" spans="1:7" x14ac:dyDescent="0.25">
      <c r="A85" s="77" t="s">
        <v>319</v>
      </c>
      <c r="B85" s="76" t="s">
        <v>320</v>
      </c>
      <c r="C85" s="76">
        <v>56913</v>
      </c>
      <c r="D85" s="76" t="s">
        <v>398</v>
      </c>
      <c r="E85" s="79">
        <v>44083</v>
      </c>
      <c r="F85" s="76">
        <v>12500</v>
      </c>
      <c r="G85" s="76">
        <v>5.0000000000000001E-3</v>
      </c>
    </row>
    <row r="86" spans="1:7" x14ac:dyDescent="0.25">
      <c r="A86" s="77" t="s">
        <v>319</v>
      </c>
      <c r="B86" s="76" t="s">
        <v>320</v>
      </c>
      <c r="C86" s="76">
        <v>56914</v>
      </c>
      <c r="D86" s="76" t="s">
        <v>399</v>
      </c>
      <c r="E86" s="79">
        <v>44083</v>
      </c>
      <c r="F86" s="76">
        <v>11500</v>
      </c>
      <c r="G86" s="76">
        <v>5.0000000000000001E-3</v>
      </c>
    </row>
    <row r="87" spans="1:7" x14ac:dyDescent="0.25">
      <c r="A87" s="77" t="s">
        <v>319</v>
      </c>
      <c r="B87" s="76" t="s">
        <v>320</v>
      </c>
      <c r="C87" s="76" t="s">
        <v>400</v>
      </c>
      <c r="D87" s="76" t="s">
        <v>401</v>
      </c>
      <c r="E87" s="79">
        <v>44027</v>
      </c>
      <c r="F87" s="76">
        <v>11000</v>
      </c>
      <c r="G87" s="76">
        <v>4.0000000000000001E-3</v>
      </c>
    </row>
    <row r="88" spans="1:7" x14ac:dyDescent="0.25">
      <c r="A88" s="77" t="s">
        <v>319</v>
      </c>
      <c r="B88" s="76" t="s">
        <v>320</v>
      </c>
      <c r="C88" s="76" t="s">
        <v>402</v>
      </c>
      <c r="D88" s="76" t="s">
        <v>403</v>
      </c>
      <c r="E88" s="79">
        <v>44027</v>
      </c>
      <c r="F88" s="76">
        <v>10400</v>
      </c>
      <c r="G88" s="76">
        <v>6.0000000000000001E-3</v>
      </c>
    </row>
    <row r="89" spans="1:7" x14ac:dyDescent="0.25">
      <c r="A89" s="77" t="s">
        <v>319</v>
      </c>
      <c r="B89" s="76" t="s">
        <v>320</v>
      </c>
      <c r="C89" s="76" t="s">
        <v>404</v>
      </c>
      <c r="D89" s="76" t="s">
        <v>405</v>
      </c>
      <c r="E89" s="79">
        <v>44027</v>
      </c>
      <c r="F89" s="76">
        <v>11200</v>
      </c>
      <c r="G89" s="76">
        <v>6.0000000000000001E-3</v>
      </c>
    </row>
    <row r="90" spans="1:7" x14ac:dyDescent="0.25">
      <c r="A90" s="77" t="s">
        <v>319</v>
      </c>
      <c r="B90" s="76" t="s">
        <v>320</v>
      </c>
      <c r="C90" s="76" t="s">
        <v>406</v>
      </c>
      <c r="D90" s="76" t="s">
        <v>407</v>
      </c>
      <c r="E90" s="79">
        <v>44027</v>
      </c>
      <c r="F90" s="76">
        <v>10600</v>
      </c>
      <c r="G90" s="76">
        <v>6.0000000000000001E-3</v>
      </c>
    </row>
    <row r="91" spans="1:7" x14ac:dyDescent="0.25">
      <c r="A91" s="77" t="s">
        <v>319</v>
      </c>
      <c r="B91" s="76" t="s">
        <v>320</v>
      </c>
      <c r="C91" s="76">
        <v>57411</v>
      </c>
      <c r="D91" s="76" t="s">
        <v>408</v>
      </c>
      <c r="E91" s="79">
        <v>44090</v>
      </c>
      <c r="F91" s="76">
        <v>12200</v>
      </c>
      <c r="G91" s="76">
        <v>8.0000000000000002E-3</v>
      </c>
    </row>
    <row r="92" spans="1:7" x14ac:dyDescent="0.25">
      <c r="A92" s="77" t="s">
        <v>319</v>
      </c>
      <c r="B92" s="76" t="s">
        <v>320</v>
      </c>
      <c r="C92" s="76">
        <v>57412</v>
      </c>
      <c r="D92" s="76" t="s">
        <v>409</v>
      </c>
      <c r="E92" s="79">
        <v>44090</v>
      </c>
      <c r="F92" s="76">
        <v>13400</v>
      </c>
      <c r="G92" s="76">
        <v>2.5000000000000001E-2</v>
      </c>
    </row>
    <row r="93" spans="1:7" x14ac:dyDescent="0.25">
      <c r="A93" s="77" t="s">
        <v>319</v>
      </c>
      <c r="B93" s="76" t="s">
        <v>320</v>
      </c>
      <c r="C93" s="76">
        <v>57413</v>
      </c>
      <c r="D93" s="76" t="s">
        <v>410</v>
      </c>
      <c r="E93" s="79">
        <v>44181</v>
      </c>
      <c r="F93" s="76">
        <v>12500</v>
      </c>
      <c r="G93" s="76">
        <v>8.0000000000000002E-3</v>
      </c>
    </row>
    <row r="94" spans="1:7" x14ac:dyDescent="0.25">
      <c r="A94" s="77" t="s">
        <v>319</v>
      </c>
      <c r="B94" s="76" t="s">
        <v>320</v>
      </c>
      <c r="C94" s="76">
        <v>57443</v>
      </c>
      <c r="D94" s="76" t="s">
        <v>412</v>
      </c>
      <c r="E94" s="79">
        <v>44090</v>
      </c>
      <c r="F94" s="76">
        <v>12500</v>
      </c>
      <c r="G94" s="76">
        <v>5.0000000000000001E-3</v>
      </c>
    </row>
    <row r="95" spans="1:7" x14ac:dyDescent="0.25">
      <c r="A95" s="77" t="s">
        <v>319</v>
      </c>
      <c r="B95" s="76" t="s">
        <v>320</v>
      </c>
      <c r="C95" s="76">
        <v>57459</v>
      </c>
      <c r="D95" s="76" t="s">
        <v>413</v>
      </c>
      <c r="E95" s="79">
        <v>44090</v>
      </c>
      <c r="F95" s="76">
        <v>12000</v>
      </c>
      <c r="G95" s="76">
        <v>4.0000000000000001E-3</v>
      </c>
    </row>
    <row r="96" spans="1:7" x14ac:dyDescent="0.25">
      <c r="A96" s="77" t="s">
        <v>319</v>
      </c>
      <c r="B96" s="76" t="s">
        <v>320</v>
      </c>
      <c r="C96" s="76" t="s">
        <v>422</v>
      </c>
      <c r="D96" s="76" t="s">
        <v>423</v>
      </c>
      <c r="E96" s="79">
        <v>44090</v>
      </c>
      <c r="F96" s="76">
        <v>12000</v>
      </c>
      <c r="G96" s="76">
        <v>1E-3</v>
      </c>
    </row>
    <row r="97" spans="1:7" x14ac:dyDescent="0.25">
      <c r="A97" s="77" t="s">
        <v>319</v>
      </c>
      <c r="B97" s="76" t="s">
        <v>320</v>
      </c>
      <c r="C97" s="76" t="s">
        <v>424</v>
      </c>
      <c r="D97" s="76" t="s">
        <v>425</v>
      </c>
      <c r="E97" s="79">
        <v>44090</v>
      </c>
      <c r="F97" s="76">
        <v>11600</v>
      </c>
      <c r="G97" s="76">
        <v>1E-3</v>
      </c>
    </row>
    <row r="98" spans="1:7" x14ac:dyDescent="0.25">
      <c r="A98" s="77" t="s">
        <v>319</v>
      </c>
      <c r="B98" s="76" t="s">
        <v>320</v>
      </c>
      <c r="C98" s="76" t="s">
        <v>426</v>
      </c>
      <c r="D98" s="76" t="s">
        <v>427</v>
      </c>
      <c r="E98" s="79">
        <v>44090</v>
      </c>
      <c r="F98" s="76">
        <v>12500</v>
      </c>
      <c r="G98" s="76">
        <v>1E-3</v>
      </c>
    </row>
    <row r="99" spans="1:7" x14ac:dyDescent="0.25">
      <c r="A99" s="77" t="s">
        <v>319</v>
      </c>
      <c r="B99" s="76" t="s">
        <v>320</v>
      </c>
      <c r="C99" s="76">
        <v>57653</v>
      </c>
      <c r="D99" s="76" t="s">
        <v>428</v>
      </c>
      <c r="E99" s="79">
        <v>44062</v>
      </c>
      <c r="F99" s="76">
        <v>12200</v>
      </c>
      <c r="G99" s="76">
        <v>0.01</v>
      </c>
    </row>
    <row r="100" spans="1:7" x14ac:dyDescent="0.25">
      <c r="A100" s="77" t="s">
        <v>319</v>
      </c>
      <c r="B100" s="76" t="s">
        <v>320</v>
      </c>
      <c r="C100" s="76">
        <v>57661</v>
      </c>
      <c r="D100" s="76" t="s">
        <v>429</v>
      </c>
      <c r="E100" s="79">
        <v>44062</v>
      </c>
      <c r="F100" s="76">
        <v>11500</v>
      </c>
      <c r="G100" s="76">
        <v>1E-3</v>
      </c>
    </row>
    <row r="101" spans="1:7" x14ac:dyDescent="0.25">
      <c r="A101" s="77" t="s">
        <v>319</v>
      </c>
      <c r="B101" s="76" t="s">
        <v>320</v>
      </c>
      <c r="C101" s="76">
        <v>57676</v>
      </c>
      <c r="D101" s="76" t="s">
        <v>430</v>
      </c>
      <c r="E101" s="79">
        <v>44062</v>
      </c>
      <c r="F101" s="76">
        <v>12700</v>
      </c>
      <c r="G101" s="76">
        <v>1.4999999999999999E-2</v>
      </c>
    </row>
    <row r="102" spans="1:7" x14ac:dyDescent="0.25">
      <c r="A102" s="77" t="s">
        <v>319</v>
      </c>
      <c r="B102" s="76" t="s">
        <v>320</v>
      </c>
      <c r="C102" s="76">
        <v>57677</v>
      </c>
      <c r="D102" s="76" t="s">
        <v>431</v>
      </c>
      <c r="E102" s="79">
        <v>44062</v>
      </c>
      <c r="F102" s="76">
        <v>12500</v>
      </c>
      <c r="G102" s="76">
        <v>1.2E-2</v>
      </c>
    </row>
    <row r="103" spans="1:7" x14ac:dyDescent="0.25">
      <c r="A103" s="77" t="s">
        <v>319</v>
      </c>
      <c r="B103" s="76" t="s">
        <v>320</v>
      </c>
      <c r="C103" s="76">
        <v>57678</v>
      </c>
      <c r="D103" s="76" t="s">
        <v>432</v>
      </c>
      <c r="E103" s="79">
        <v>44062</v>
      </c>
      <c r="F103" s="76">
        <v>11900</v>
      </c>
      <c r="G103" s="76">
        <v>6.0000000000000001E-3</v>
      </c>
    </row>
    <row r="104" spans="1:7" x14ac:dyDescent="0.25">
      <c r="A104" s="77" t="s">
        <v>319</v>
      </c>
      <c r="B104" s="76" t="s">
        <v>320</v>
      </c>
      <c r="C104" s="76">
        <v>57679</v>
      </c>
      <c r="D104" s="76" t="s">
        <v>433</v>
      </c>
      <c r="E104" s="79">
        <v>44062</v>
      </c>
      <c r="F104" s="76">
        <v>11500</v>
      </c>
      <c r="G104" s="76">
        <v>4.0000000000000001E-3</v>
      </c>
    </row>
    <row r="105" spans="1:7" x14ac:dyDescent="0.25">
      <c r="A105" s="77" t="s">
        <v>319</v>
      </c>
      <c r="B105" s="76" t="s">
        <v>320</v>
      </c>
      <c r="C105" s="76">
        <v>57680</v>
      </c>
      <c r="D105" s="76" t="s">
        <v>434</v>
      </c>
      <c r="E105" s="79">
        <v>44062</v>
      </c>
      <c r="F105" s="76">
        <v>12300</v>
      </c>
      <c r="G105" s="76">
        <v>0.01</v>
      </c>
    </row>
    <row r="106" spans="1:7" x14ac:dyDescent="0.25">
      <c r="A106" s="77" t="s">
        <v>319</v>
      </c>
      <c r="B106" s="76" t="s">
        <v>320</v>
      </c>
      <c r="C106" s="76" t="s">
        <v>414</v>
      </c>
      <c r="D106" s="76" t="s">
        <v>415</v>
      </c>
      <c r="E106" s="79">
        <v>44090</v>
      </c>
      <c r="F106" s="76">
        <v>9800</v>
      </c>
      <c r="G106" s="76">
        <v>0.01</v>
      </c>
    </row>
    <row r="107" spans="1:7" x14ac:dyDescent="0.25">
      <c r="A107" s="77" t="s">
        <v>319</v>
      </c>
      <c r="B107" s="76" t="s">
        <v>320</v>
      </c>
      <c r="C107" s="76" t="s">
        <v>416</v>
      </c>
      <c r="D107" s="76" t="s">
        <v>417</v>
      </c>
      <c r="E107" s="79">
        <v>44090</v>
      </c>
      <c r="F107" s="76">
        <v>10800</v>
      </c>
      <c r="G107" s="76">
        <v>7.0000000000000001E-3</v>
      </c>
    </row>
    <row r="108" spans="1:7" x14ac:dyDescent="0.25">
      <c r="A108" s="77" t="s">
        <v>319</v>
      </c>
      <c r="B108" s="76" t="s">
        <v>320</v>
      </c>
      <c r="C108" s="76" t="s">
        <v>418</v>
      </c>
      <c r="D108" s="76" t="s">
        <v>419</v>
      </c>
      <c r="E108" s="79">
        <v>44090</v>
      </c>
      <c r="F108" s="76">
        <v>11200</v>
      </c>
      <c r="G108" s="76">
        <v>6.0000000000000001E-3</v>
      </c>
    </row>
    <row r="109" spans="1:7" x14ac:dyDescent="0.25">
      <c r="A109" s="77" t="s">
        <v>319</v>
      </c>
      <c r="B109" s="76" t="s">
        <v>320</v>
      </c>
      <c r="C109" s="76" t="s">
        <v>420</v>
      </c>
      <c r="D109" s="76" t="s">
        <v>421</v>
      </c>
      <c r="E109" s="79">
        <v>44090</v>
      </c>
      <c r="F109" s="76">
        <v>7000</v>
      </c>
      <c r="G109" s="76">
        <v>3.7999999999999999E-2</v>
      </c>
    </row>
    <row r="110" spans="1:7" x14ac:dyDescent="0.25">
      <c r="A110" s="77" t="s">
        <v>319</v>
      </c>
      <c r="B110" s="76" t="s">
        <v>320</v>
      </c>
      <c r="C110" s="76">
        <v>57425</v>
      </c>
      <c r="D110" s="76" t="s">
        <v>411</v>
      </c>
      <c r="E110" s="79">
        <v>44181</v>
      </c>
      <c r="F110" s="76">
        <v>13000</v>
      </c>
      <c r="G110" s="76">
        <v>0.01</v>
      </c>
    </row>
    <row r="111" spans="1:7" x14ac:dyDescent="0.25">
      <c r="A111" s="77" t="s">
        <v>319</v>
      </c>
      <c r="B111" s="76" t="s">
        <v>320</v>
      </c>
      <c r="C111" s="76">
        <v>57692</v>
      </c>
      <c r="D111" s="76" t="s">
        <v>435</v>
      </c>
      <c r="E111" s="79">
        <v>44062</v>
      </c>
      <c r="F111" s="76">
        <v>11400</v>
      </c>
      <c r="G111" s="76">
        <v>4.0000000000000001E-3</v>
      </c>
    </row>
    <row r="112" spans="1:7" x14ac:dyDescent="0.25">
      <c r="A112" s="77" t="s">
        <v>319</v>
      </c>
      <c r="B112" s="76" t="s">
        <v>320</v>
      </c>
      <c r="C112" s="76">
        <v>57693</v>
      </c>
      <c r="D112" s="76" t="s">
        <v>436</v>
      </c>
      <c r="E112" s="79">
        <v>44062</v>
      </c>
      <c r="F112" s="76">
        <v>12400</v>
      </c>
      <c r="G112" s="76">
        <v>1.2E-2</v>
      </c>
    </row>
    <row r="113" spans="1:7" x14ac:dyDescent="0.25">
      <c r="A113" s="77" t="s">
        <v>319</v>
      </c>
      <c r="B113" s="76" t="s">
        <v>320</v>
      </c>
      <c r="C113" s="76">
        <v>57694</v>
      </c>
      <c r="D113" s="76" t="s">
        <v>437</v>
      </c>
      <c r="E113" s="79">
        <v>44062</v>
      </c>
      <c r="F113" s="76">
        <v>12800</v>
      </c>
      <c r="G113" s="76">
        <v>1.7999999999999999E-2</v>
      </c>
    </row>
    <row r="114" spans="1:7" x14ac:dyDescent="0.25">
      <c r="A114" s="77" t="s">
        <v>319</v>
      </c>
      <c r="B114" s="76" t="s">
        <v>320</v>
      </c>
      <c r="C114" s="76">
        <v>57705</v>
      </c>
      <c r="D114" s="76" t="s">
        <v>438</v>
      </c>
      <c r="E114" s="79">
        <v>44062</v>
      </c>
      <c r="F114" s="76">
        <v>11500</v>
      </c>
      <c r="G114" s="76">
        <v>5.0000000000000001E-3</v>
      </c>
    </row>
    <row r="115" spans="1:7" x14ac:dyDescent="0.25">
      <c r="A115" s="77" t="s">
        <v>319</v>
      </c>
      <c r="B115" s="76" t="s">
        <v>320</v>
      </c>
      <c r="C115" s="76">
        <v>57706</v>
      </c>
      <c r="D115" s="76" t="s">
        <v>439</v>
      </c>
      <c r="E115" s="79">
        <v>44062</v>
      </c>
      <c r="F115" s="76">
        <v>12000</v>
      </c>
      <c r="G115" s="76">
        <v>7.0000000000000001E-3</v>
      </c>
    </row>
    <row r="116" spans="1:7" x14ac:dyDescent="0.25">
      <c r="A116" s="77" t="s">
        <v>319</v>
      </c>
      <c r="B116" s="76" t="s">
        <v>320</v>
      </c>
      <c r="C116" s="76">
        <v>57707</v>
      </c>
      <c r="D116" s="76" t="s">
        <v>440</v>
      </c>
      <c r="E116" s="79">
        <v>44062</v>
      </c>
      <c r="F116" s="76">
        <v>12400</v>
      </c>
      <c r="G116" s="76">
        <v>8.0000000000000002E-3</v>
      </c>
    </row>
    <row r="117" spans="1:7" x14ac:dyDescent="0.25">
      <c r="A117" s="77" t="s">
        <v>319</v>
      </c>
      <c r="B117" s="76" t="s">
        <v>320</v>
      </c>
      <c r="C117" s="76">
        <v>57708</v>
      </c>
      <c r="D117" s="76" t="s">
        <v>441</v>
      </c>
      <c r="E117" s="79">
        <v>44062</v>
      </c>
      <c r="F117" s="76">
        <v>12700</v>
      </c>
      <c r="G117" s="76">
        <v>1.4999999999999999E-2</v>
      </c>
    </row>
    <row r="118" spans="1:7" x14ac:dyDescent="0.25">
      <c r="A118" s="77" t="s">
        <v>319</v>
      </c>
      <c r="B118" s="76" t="s">
        <v>320</v>
      </c>
      <c r="C118" s="76">
        <v>57722</v>
      </c>
      <c r="D118" s="76" t="s">
        <v>442</v>
      </c>
      <c r="E118" s="79">
        <v>44062</v>
      </c>
      <c r="F118" s="76">
        <v>11900</v>
      </c>
      <c r="G118" s="76">
        <v>6.0000000000000001E-3</v>
      </c>
    </row>
    <row r="119" spans="1:7" x14ac:dyDescent="0.25">
      <c r="A119" s="77" t="s">
        <v>319</v>
      </c>
      <c r="B119" s="76" t="s">
        <v>320</v>
      </c>
      <c r="C119" s="76">
        <v>57723</v>
      </c>
      <c r="D119" s="76" t="s">
        <v>443</v>
      </c>
      <c r="E119" s="79">
        <v>44062</v>
      </c>
      <c r="F119" s="76">
        <v>13700</v>
      </c>
      <c r="G119" s="76">
        <v>0.06</v>
      </c>
    </row>
    <row r="120" spans="1:7" x14ac:dyDescent="0.25">
      <c r="A120" s="77" t="s">
        <v>319</v>
      </c>
      <c r="B120" s="76" t="s">
        <v>320</v>
      </c>
      <c r="C120" s="76">
        <v>57905</v>
      </c>
      <c r="D120" s="76" t="s">
        <v>454</v>
      </c>
      <c r="E120" s="79">
        <v>44067</v>
      </c>
      <c r="F120" s="76">
        <v>12800</v>
      </c>
      <c r="G120" s="76">
        <v>0.01</v>
      </c>
    </row>
    <row r="121" spans="1:7" x14ac:dyDescent="0.25">
      <c r="A121" s="77" t="s">
        <v>319</v>
      </c>
      <c r="B121" s="76" t="s">
        <v>320</v>
      </c>
      <c r="C121" s="76" t="s">
        <v>455</v>
      </c>
      <c r="D121" s="76" t="s">
        <v>456</v>
      </c>
      <c r="E121" s="79">
        <v>44091</v>
      </c>
      <c r="F121" s="76">
        <v>9500</v>
      </c>
      <c r="G121" s="76">
        <v>5.0000000000000001E-3</v>
      </c>
    </row>
    <row r="122" spans="1:7" x14ac:dyDescent="0.25">
      <c r="A122" s="77" t="s">
        <v>319</v>
      </c>
      <c r="B122" s="76" t="s">
        <v>320</v>
      </c>
      <c r="C122" s="76" t="s">
        <v>457</v>
      </c>
      <c r="D122" s="76" t="s">
        <v>458</v>
      </c>
      <c r="E122" s="79">
        <v>44091</v>
      </c>
      <c r="F122" s="76">
        <v>10500</v>
      </c>
      <c r="G122" s="76">
        <v>3.0000000000000001E-3</v>
      </c>
    </row>
    <row r="123" spans="1:7" x14ac:dyDescent="0.25">
      <c r="A123" s="77" t="s">
        <v>319</v>
      </c>
      <c r="B123" s="76" t="s">
        <v>320</v>
      </c>
      <c r="C123" s="76" t="s">
        <v>459</v>
      </c>
      <c r="D123" s="76" t="s">
        <v>460</v>
      </c>
      <c r="E123" s="79">
        <v>44091</v>
      </c>
      <c r="F123" s="76">
        <v>11000</v>
      </c>
      <c r="G123" s="76">
        <v>2E-3</v>
      </c>
    </row>
    <row r="124" spans="1:7" x14ac:dyDescent="0.25">
      <c r="A124" s="77" t="s">
        <v>319</v>
      </c>
      <c r="B124" s="76" t="s">
        <v>320</v>
      </c>
      <c r="C124" s="76">
        <v>57965</v>
      </c>
      <c r="D124" s="76" t="s">
        <v>461</v>
      </c>
      <c r="E124" s="79">
        <v>44067</v>
      </c>
      <c r="F124" s="76">
        <v>17000</v>
      </c>
      <c r="G124" s="76">
        <v>3.0000000000000001E-3</v>
      </c>
    </row>
    <row r="125" spans="1:7" x14ac:dyDescent="0.25">
      <c r="A125" s="77" t="s">
        <v>319</v>
      </c>
      <c r="B125" s="76" t="s">
        <v>320</v>
      </c>
      <c r="C125" s="76" t="s">
        <v>444</v>
      </c>
      <c r="D125" s="76" t="s">
        <v>445</v>
      </c>
      <c r="E125" s="79">
        <v>44090</v>
      </c>
      <c r="F125" s="76">
        <v>10000</v>
      </c>
      <c r="G125" s="76">
        <v>5.0000000000000001E-3</v>
      </c>
    </row>
    <row r="126" spans="1:7" x14ac:dyDescent="0.25">
      <c r="A126" s="77" t="s">
        <v>319</v>
      </c>
      <c r="B126" s="76" t="s">
        <v>320</v>
      </c>
      <c r="C126" s="76" t="s">
        <v>446</v>
      </c>
      <c r="D126" s="76" t="s">
        <v>447</v>
      </c>
      <c r="E126" s="79">
        <v>44090</v>
      </c>
      <c r="F126" s="76">
        <v>11000</v>
      </c>
      <c r="G126" s="76">
        <v>3.0000000000000001E-3</v>
      </c>
    </row>
    <row r="127" spans="1:7" x14ac:dyDescent="0.25">
      <c r="A127" s="77" t="s">
        <v>319</v>
      </c>
      <c r="B127" s="76" t="s">
        <v>320</v>
      </c>
      <c r="C127" s="76">
        <v>57752</v>
      </c>
      <c r="D127" s="76" t="s">
        <v>448</v>
      </c>
      <c r="E127" s="79">
        <v>44062</v>
      </c>
      <c r="F127" s="76">
        <v>11600</v>
      </c>
      <c r="G127" s="76">
        <v>5.0000000000000001E-3</v>
      </c>
    </row>
    <row r="128" spans="1:7" x14ac:dyDescent="0.25">
      <c r="A128" s="77" t="s">
        <v>319</v>
      </c>
      <c r="B128" s="76" t="s">
        <v>320</v>
      </c>
      <c r="C128" s="76">
        <v>57753</v>
      </c>
      <c r="D128" s="76" t="s">
        <v>449</v>
      </c>
      <c r="E128" s="79">
        <v>44062</v>
      </c>
      <c r="F128" s="76">
        <v>12500</v>
      </c>
      <c r="G128" s="76">
        <v>0.02</v>
      </c>
    </row>
    <row r="129" spans="1:7" x14ac:dyDescent="0.25">
      <c r="A129" s="77" t="s">
        <v>319</v>
      </c>
      <c r="B129" s="76" t="s">
        <v>320</v>
      </c>
      <c r="C129" s="76">
        <v>57754</v>
      </c>
      <c r="D129" s="76" t="s">
        <v>450</v>
      </c>
      <c r="E129" s="79">
        <v>44062</v>
      </c>
      <c r="F129" s="76">
        <v>13000</v>
      </c>
      <c r="G129" s="76">
        <v>2.5000000000000001E-2</v>
      </c>
    </row>
    <row r="130" spans="1:7" x14ac:dyDescent="0.25">
      <c r="A130" s="77" t="s">
        <v>319</v>
      </c>
      <c r="B130" s="76" t="s">
        <v>320</v>
      </c>
      <c r="C130" s="76" t="s">
        <v>451</v>
      </c>
      <c r="D130" s="76" t="s">
        <v>452</v>
      </c>
      <c r="E130" s="79">
        <v>44090</v>
      </c>
      <c r="F130" s="76">
        <v>11000</v>
      </c>
      <c r="G130" s="76">
        <v>3.0000000000000001E-3</v>
      </c>
    </row>
    <row r="131" spans="1:7" x14ac:dyDescent="0.25">
      <c r="A131" s="77" t="s">
        <v>319</v>
      </c>
      <c r="B131" s="76" t="s">
        <v>320</v>
      </c>
      <c r="C131" s="76">
        <v>57829</v>
      </c>
      <c r="D131" s="76" t="s">
        <v>453</v>
      </c>
      <c r="E131" s="79">
        <v>44063</v>
      </c>
      <c r="F131" s="76">
        <v>15000</v>
      </c>
      <c r="G131" s="76">
        <v>2E-3</v>
      </c>
    </row>
    <row r="132" spans="1:7" x14ac:dyDescent="0.25">
      <c r="A132" s="77" t="s">
        <v>319</v>
      </c>
      <c r="B132" s="76" t="s">
        <v>320</v>
      </c>
      <c r="C132" s="76">
        <v>58209</v>
      </c>
      <c r="D132" s="76" t="s">
        <v>462</v>
      </c>
      <c r="E132" s="79">
        <v>44200</v>
      </c>
      <c r="F132" s="76">
        <v>13000</v>
      </c>
      <c r="G132" s="76">
        <v>0.01</v>
      </c>
    </row>
    <row r="133" spans="1:7" x14ac:dyDescent="0.25">
      <c r="A133" s="77" t="s">
        <v>319</v>
      </c>
      <c r="B133" s="76" t="s">
        <v>320</v>
      </c>
      <c r="C133" s="76">
        <v>58210</v>
      </c>
      <c r="D133" s="76" t="s">
        <v>463</v>
      </c>
      <c r="E133" s="79">
        <v>44167</v>
      </c>
      <c r="F133" s="76">
        <v>11700</v>
      </c>
      <c r="G133" s="76">
        <v>4.0000000000000001E-3</v>
      </c>
    </row>
    <row r="134" spans="1:7" x14ac:dyDescent="0.25">
      <c r="A134" s="77" t="s">
        <v>319</v>
      </c>
      <c r="B134" s="76" t="s">
        <v>320</v>
      </c>
      <c r="C134" s="76">
        <v>58252</v>
      </c>
      <c r="D134" s="76" t="s">
        <v>464</v>
      </c>
      <c r="E134" s="79">
        <v>44109</v>
      </c>
      <c r="F134" s="76">
        <v>12700</v>
      </c>
      <c r="G134" s="76">
        <v>1.4999999999999999E-2</v>
      </c>
    </row>
    <row r="135" spans="1:7" x14ac:dyDescent="0.25">
      <c r="A135" s="77" t="s">
        <v>319</v>
      </c>
      <c r="B135" s="76" t="s">
        <v>320</v>
      </c>
      <c r="C135" s="76">
        <v>58253</v>
      </c>
      <c r="D135" s="76" t="s">
        <v>465</v>
      </c>
      <c r="E135" s="79">
        <v>44109</v>
      </c>
      <c r="F135" s="76">
        <v>12500</v>
      </c>
      <c r="G135" s="76">
        <v>1.4999999999999999E-2</v>
      </c>
    </row>
    <row r="136" spans="1:7" x14ac:dyDescent="0.25">
      <c r="A136" s="77" t="s">
        <v>319</v>
      </c>
      <c r="B136" s="76" t="s">
        <v>320</v>
      </c>
      <c r="C136" s="76">
        <v>58254</v>
      </c>
      <c r="D136" s="76" t="s">
        <v>466</v>
      </c>
      <c r="E136" s="79">
        <v>44109</v>
      </c>
      <c r="F136" s="76">
        <v>11800</v>
      </c>
      <c r="G136" s="76">
        <v>6.0000000000000001E-3</v>
      </c>
    </row>
    <row r="137" spans="1:7" x14ac:dyDescent="0.25">
      <c r="A137" s="77" t="s">
        <v>319</v>
      </c>
      <c r="B137" s="76" t="s">
        <v>320</v>
      </c>
      <c r="C137" s="76">
        <v>58255</v>
      </c>
      <c r="D137" s="76" t="s">
        <v>467</v>
      </c>
      <c r="E137" s="79">
        <v>44109</v>
      </c>
      <c r="F137" s="76">
        <v>11500</v>
      </c>
      <c r="G137" s="76">
        <v>5.0000000000000001E-3</v>
      </c>
    </row>
    <row r="138" spans="1:7" x14ac:dyDescent="0.25">
      <c r="A138" s="77" t="s">
        <v>319</v>
      </c>
      <c r="B138" s="76" t="s">
        <v>320</v>
      </c>
      <c r="C138" s="76">
        <v>58256</v>
      </c>
      <c r="D138" s="76" t="s">
        <v>468</v>
      </c>
      <c r="E138" s="79">
        <v>44109</v>
      </c>
      <c r="F138" s="76">
        <v>10800</v>
      </c>
      <c r="G138" s="76">
        <v>3.0000000000000001E-3</v>
      </c>
    </row>
    <row r="139" spans="1:7" x14ac:dyDescent="0.25">
      <c r="A139" s="77" t="s">
        <v>319</v>
      </c>
      <c r="B139" s="76" t="s">
        <v>320</v>
      </c>
      <c r="C139" s="76">
        <v>58460</v>
      </c>
      <c r="D139" s="76" t="s">
        <v>472</v>
      </c>
      <c r="E139" s="79">
        <v>44078</v>
      </c>
      <c r="F139" s="76">
        <v>12200</v>
      </c>
      <c r="G139" s="76">
        <v>8.0000000000000002E-3</v>
      </c>
    </row>
    <row r="140" spans="1:7" x14ac:dyDescent="0.25">
      <c r="A140" s="77" t="s">
        <v>319</v>
      </c>
      <c r="B140" s="76" t="s">
        <v>320</v>
      </c>
      <c r="C140" s="76">
        <v>58469</v>
      </c>
      <c r="D140" s="76" t="s">
        <v>473</v>
      </c>
      <c r="E140" s="79">
        <v>44109</v>
      </c>
      <c r="F140" s="76">
        <v>11688</v>
      </c>
      <c r="G140" s="76">
        <v>3.0000000000000001E-3</v>
      </c>
    </row>
    <row r="141" spans="1:7" x14ac:dyDescent="0.25">
      <c r="A141" s="77" t="s">
        <v>319</v>
      </c>
      <c r="B141" s="76" t="s">
        <v>320</v>
      </c>
      <c r="C141" s="76">
        <v>58379</v>
      </c>
      <c r="D141" s="76" t="s">
        <v>469</v>
      </c>
      <c r="E141" s="79">
        <v>44078</v>
      </c>
      <c r="F141" s="76">
        <v>11300</v>
      </c>
      <c r="G141" s="76">
        <v>3.0000000000000001E-3</v>
      </c>
    </row>
    <row r="142" spans="1:7" x14ac:dyDescent="0.25">
      <c r="A142" s="77" t="s">
        <v>319</v>
      </c>
      <c r="B142" s="76" t="s">
        <v>320</v>
      </c>
      <c r="C142" s="76">
        <v>58380</v>
      </c>
      <c r="D142" s="76" t="s">
        <v>470</v>
      </c>
      <c r="E142" s="79">
        <v>44078</v>
      </c>
      <c r="F142" s="76">
        <v>11500</v>
      </c>
      <c r="G142" s="76">
        <v>3.0000000000000001E-3</v>
      </c>
    </row>
    <row r="143" spans="1:7" x14ac:dyDescent="0.25">
      <c r="A143" s="77" t="s">
        <v>319</v>
      </c>
      <c r="B143" s="76" t="s">
        <v>320</v>
      </c>
      <c r="C143" s="76">
        <v>58423</v>
      </c>
      <c r="D143" s="76" t="s">
        <v>471</v>
      </c>
      <c r="E143" s="79">
        <v>44078</v>
      </c>
      <c r="F143" s="76">
        <v>11200</v>
      </c>
      <c r="G143" s="76">
        <v>0.01</v>
      </c>
    </row>
    <row r="144" spans="1:7" x14ac:dyDescent="0.25">
      <c r="A144" s="77" t="s">
        <v>319</v>
      </c>
      <c r="B144" s="76" t="s">
        <v>320</v>
      </c>
      <c r="C144" s="76">
        <v>58661</v>
      </c>
      <c r="D144" s="76" t="s">
        <v>474</v>
      </c>
      <c r="E144" s="79">
        <v>44174</v>
      </c>
      <c r="F144" s="76">
        <v>12888</v>
      </c>
      <c r="G144" s="76">
        <v>8.0000000000000002E-3</v>
      </c>
    </row>
    <row r="145" spans="1:7" x14ac:dyDescent="0.25">
      <c r="A145" s="77" t="s">
        <v>319</v>
      </c>
      <c r="B145" s="76" t="s">
        <v>320</v>
      </c>
      <c r="C145" s="76">
        <v>58708</v>
      </c>
      <c r="D145" s="76" t="s">
        <v>475</v>
      </c>
      <c r="E145" s="79">
        <v>44116</v>
      </c>
      <c r="F145" s="76">
        <v>11600</v>
      </c>
      <c r="G145" s="76">
        <v>5.0000000000000001E-3</v>
      </c>
    </row>
    <row r="146" spans="1:7" x14ac:dyDescent="0.25">
      <c r="A146" s="77" t="s">
        <v>319</v>
      </c>
      <c r="B146" s="76" t="s">
        <v>320</v>
      </c>
      <c r="C146" s="76">
        <v>58709</v>
      </c>
      <c r="D146" s="76" t="s">
        <v>476</v>
      </c>
      <c r="E146" s="79">
        <v>44116</v>
      </c>
      <c r="F146" s="76">
        <v>12100</v>
      </c>
      <c r="G146" s="76">
        <v>5.0000000000000001E-3</v>
      </c>
    </row>
    <row r="147" spans="1:7" x14ac:dyDescent="0.25">
      <c r="A147" s="77" t="s">
        <v>319</v>
      </c>
      <c r="B147" s="76" t="s">
        <v>320</v>
      </c>
      <c r="C147" s="76">
        <v>58710</v>
      </c>
      <c r="D147" s="76" t="s">
        <v>477</v>
      </c>
      <c r="E147" s="79">
        <v>44116</v>
      </c>
      <c r="F147" s="76">
        <v>12700</v>
      </c>
      <c r="G147" s="76">
        <v>5.0000000000000001E-3</v>
      </c>
    </row>
    <row r="148" spans="1:7" x14ac:dyDescent="0.25">
      <c r="A148" s="77" t="s">
        <v>319</v>
      </c>
      <c r="B148" s="76" t="s">
        <v>320</v>
      </c>
      <c r="C148" s="76">
        <v>58782</v>
      </c>
      <c r="D148" s="76" t="s">
        <v>478</v>
      </c>
      <c r="E148" s="79">
        <v>44084</v>
      </c>
      <c r="F148" s="76">
        <v>11000</v>
      </c>
      <c r="G148" s="76">
        <v>5.0000000000000001E-3</v>
      </c>
    </row>
    <row r="149" spans="1:7" x14ac:dyDescent="0.25">
      <c r="A149" s="77" t="s">
        <v>319</v>
      </c>
      <c r="B149" s="76" t="s">
        <v>320</v>
      </c>
      <c r="C149" s="76">
        <v>58783</v>
      </c>
      <c r="D149" s="76" t="s">
        <v>479</v>
      </c>
      <c r="E149" s="79">
        <v>44084</v>
      </c>
      <c r="F149" s="76">
        <v>11200</v>
      </c>
      <c r="G149" s="76">
        <v>5.0000000000000001E-3</v>
      </c>
    </row>
    <row r="150" spans="1:7" x14ac:dyDescent="0.25">
      <c r="A150" s="77" t="s">
        <v>319</v>
      </c>
      <c r="B150" s="76" t="s">
        <v>320</v>
      </c>
      <c r="C150" s="76">
        <v>58784</v>
      </c>
      <c r="D150" s="76" t="s">
        <v>480</v>
      </c>
      <c r="E150" s="79">
        <v>44084</v>
      </c>
      <c r="F150" s="76">
        <v>11400</v>
      </c>
      <c r="G150" s="76">
        <v>0.01</v>
      </c>
    </row>
    <row r="151" spans="1:7" x14ac:dyDescent="0.25">
      <c r="A151" s="77" t="s">
        <v>319</v>
      </c>
      <c r="B151" s="76" t="s">
        <v>320</v>
      </c>
      <c r="C151" s="76">
        <v>58785</v>
      </c>
      <c r="D151" s="76" t="s">
        <v>481</v>
      </c>
      <c r="E151" s="79">
        <v>44084</v>
      </c>
      <c r="F151" s="76">
        <v>12000</v>
      </c>
      <c r="G151" s="76">
        <v>0.02</v>
      </c>
    </row>
    <row r="152" spans="1:7" x14ac:dyDescent="0.25">
      <c r="A152" s="77" t="s">
        <v>319</v>
      </c>
      <c r="B152" s="76" t="s">
        <v>320</v>
      </c>
      <c r="C152" s="76">
        <v>58960</v>
      </c>
      <c r="D152" s="76" t="s">
        <v>482</v>
      </c>
      <c r="E152" s="79">
        <v>44088</v>
      </c>
      <c r="F152" s="76">
        <v>10800</v>
      </c>
      <c r="G152" s="76">
        <v>0.01</v>
      </c>
    </row>
    <row r="153" spans="1:7" x14ac:dyDescent="0.25">
      <c r="A153" s="77" t="s">
        <v>319</v>
      </c>
      <c r="B153" s="76" t="s">
        <v>320</v>
      </c>
      <c r="C153" s="76" t="s">
        <v>484</v>
      </c>
      <c r="D153" s="76" t="s">
        <v>485</v>
      </c>
      <c r="E153" s="79">
        <v>44096</v>
      </c>
      <c r="F153" s="76">
        <v>8000</v>
      </c>
      <c r="G153" s="76">
        <v>2.5000000000000001E-2</v>
      </c>
    </row>
    <row r="154" spans="1:7" x14ac:dyDescent="0.25">
      <c r="A154" s="77" t="s">
        <v>319</v>
      </c>
      <c r="B154" s="76" t="s">
        <v>320</v>
      </c>
      <c r="C154" s="76">
        <v>59010</v>
      </c>
      <c r="D154" s="76" t="s">
        <v>486</v>
      </c>
      <c r="E154" s="79">
        <v>44088</v>
      </c>
      <c r="F154" s="76">
        <v>12800</v>
      </c>
      <c r="G154" s="76">
        <v>0.01</v>
      </c>
    </row>
    <row r="155" spans="1:7" x14ac:dyDescent="0.25">
      <c r="A155" s="77" t="s">
        <v>319</v>
      </c>
      <c r="B155" s="76" t="s">
        <v>320</v>
      </c>
      <c r="C155" s="76">
        <v>59011</v>
      </c>
      <c r="D155" s="76" t="s">
        <v>487</v>
      </c>
      <c r="E155" s="79">
        <v>44116</v>
      </c>
      <c r="F155" s="76">
        <v>10400</v>
      </c>
      <c r="G155" s="76">
        <v>3.0000000000000001E-3</v>
      </c>
    </row>
    <row r="156" spans="1:7" x14ac:dyDescent="0.25">
      <c r="A156" s="77" t="s">
        <v>319</v>
      </c>
      <c r="B156" s="76" t="s">
        <v>320</v>
      </c>
      <c r="C156" s="76">
        <v>59012</v>
      </c>
      <c r="D156" s="76" t="s">
        <v>488</v>
      </c>
      <c r="E156" s="79">
        <v>44116</v>
      </c>
      <c r="F156" s="76">
        <v>10600</v>
      </c>
      <c r="G156" s="76">
        <v>3.0000000000000001E-3</v>
      </c>
    </row>
    <row r="157" spans="1:7" x14ac:dyDescent="0.25">
      <c r="A157" s="77" t="s">
        <v>319</v>
      </c>
      <c r="B157" s="76" t="s">
        <v>320</v>
      </c>
      <c r="C157" s="76">
        <v>59013</v>
      </c>
      <c r="D157" s="76" t="s">
        <v>489</v>
      </c>
      <c r="E157" s="79">
        <v>44116</v>
      </c>
      <c r="F157" s="76">
        <v>11000</v>
      </c>
      <c r="G157" s="76">
        <v>4.0000000000000001E-3</v>
      </c>
    </row>
    <row r="158" spans="1:7" x14ac:dyDescent="0.25">
      <c r="A158" s="77" t="s">
        <v>319</v>
      </c>
      <c r="B158" s="76" t="s">
        <v>320</v>
      </c>
      <c r="C158" s="76">
        <v>58974</v>
      </c>
      <c r="D158" s="76" t="s">
        <v>483</v>
      </c>
      <c r="E158" s="79">
        <v>44088</v>
      </c>
      <c r="F158" s="76">
        <v>12000</v>
      </c>
      <c r="G158" s="76">
        <v>3.0000000000000001E-3</v>
      </c>
    </row>
    <row r="159" spans="1:7" x14ac:dyDescent="0.25">
      <c r="A159" s="77" t="s">
        <v>319</v>
      </c>
      <c r="B159" s="76" t="s">
        <v>320</v>
      </c>
      <c r="C159" s="76" t="s">
        <v>490</v>
      </c>
      <c r="D159" s="76" t="s">
        <v>491</v>
      </c>
      <c r="E159" s="79">
        <v>44187</v>
      </c>
      <c r="F159" s="76">
        <v>7000</v>
      </c>
      <c r="G159" s="76">
        <v>3.5000000000000003E-2</v>
      </c>
    </row>
    <row r="160" spans="1:7" x14ac:dyDescent="0.25">
      <c r="A160" s="77" t="s">
        <v>319</v>
      </c>
      <c r="B160" s="76" t="s">
        <v>320</v>
      </c>
      <c r="C160" s="76">
        <v>59132</v>
      </c>
      <c r="D160" s="76" t="s">
        <v>495</v>
      </c>
      <c r="E160" s="79">
        <v>44090</v>
      </c>
      <c r="F160" s="76">
        <v>9500</v>
      </c>
      <c r="G160" s="76">
        <v>4.0000000000000001E-3</v>
      </c>
    </row>
    <row r="161" spans="1:7" x14ac:dyDescent="0.25">
      <c r="A161" s="77" t="s">
        <v>319</v>
      </c>
      <c r="B161" s="76" t="s">
        <v>320</v>
      </c>
      <c r="C161" s="76">
        <v>59133</v>
      </c>
      <c r="D161" s="76" t="s">
        <v>496</v>
      </c>
      <c r="E161" s="79">
        <v>44090</v>
      </c>
      <c r="F161" s="76">
        <v>9900</v>
      </c>
      <c r="G161" s="76">
        <v>4.0000000000000001E-3</v>
      </c>
    </row>
    <row r="162" spans="1:7" x14ac:dyDescent="0.25">
      <c r="A162" s="77" t="s">
        <v>319</v>
      </c>
      <c r="B162" s="76" t="s">
        <v>320</v>
      </c>
      <c r="C162" s="76">
        <v>59134</v>
      </c>
      <c r="D162" s="76" t="s">
        <v>497</v>
      </c>
      <c r="E162" s="79">
        <v>44090</v>
      </c>
      <c r="F162" s="76">
        <v>10300</v>
      </c>
      <c r="G162" s="76">
        <v>5.0000000000000001E-3</v>
      </c>
    </row>
    <row r="163" spans="1:7" x14ac:dyDescent="0.25">
      <c r="A163" s="77" t="s">
        <v>319</v>
      </c>
      <c r="B163" s="76" t="s">
        <v>320</v>
      </c>
      <c r="C163" s="76">
        <v>59135</v>
      </c>
      <c r="D163" s="76" t="s">
        <v>498</v>
      </c>
      <c r="E163" s="79">
        <v>44090</v>
      </c>
      <c r="F163" s="76">
        <v>10700</v>
      </c>
      <c r="G163" s="76">
        <v>6.0000000000000001E-3</v>
      </c>
    </row>
    <row r="164" spans="1:7" x14ac:dyDescent="0.25">
      <c r="A164" s="77" t="s">
        <v>319</v>
      </c>
      <c r="B164" s="76" t="s">
        <v>320</v>
      </c>
      <c r="C164" s="76">
        <v>59136</v>
      </c>
      <c r="D164" s="76" t="s">
        <v>499</v>
      </c>
      <c r="E164" s="79">
        <v>44090</v>
      </c>
      <c r="F164" s="76">
        <v>11500</v>
      </c>
      <c r="G164" s="76">
        <v>0.01</v>
      </c>
    </row>
    <row r="165" spans="1:7" x14ac:dyDescent="0.25">
      <c r="A165" s="77" t="s">
        <v>319</v>
      </c>
      <c r="B165" s="76" t="s">
        <v>320</v>
      </c>
      <c r="C165" s="76">
        <v>59141</v>
      </c>
      <c r="D165" s="76" t="s">
        <v>500</v>
      </c>
      <c r="E165" s="79">
        <v>44090</v>
      </c>
      <c r="F165" s="76">
        <v>10800</v>
      </c>
      <c r="G165" s="76">
        <v>5.0000000000000001E-3</v>
      </c>
    </row>
    <row r="166" spans="1:7" x14ac:dyDescent="0.25">
      <c r="A166" s="77" t="s">
        <v>319</v>
      </c>
      <c r="B166" s="76" t="s">
        <v>320</v>
      </c>
      <c r="C166" s="76">
        <v>59149</v>
      </c>
      <c r="D166" s="76" t="s">
        <v>501</v>
      </c>
      <c r="E166" s="79">
        <v>44090</v>
      </c>
      <c r="F166" s="76">
        <v>9700</v>
      </c>
      <c r="G166" s="76">
        <v>5.0000000000000001E-3</v>
      </c>
    </row>
    <row r="167" spans="1:7" x14ac:dyDescent="0.25">
      <c r="A167" s="77" t="s">
        <v>319</v>
      </c>
      <c r="B167" s="76" t="s">
        <v>320</v>
      </c>
      <c r="C167" s="76">
        <v>59150</v>
      </c>
      <c r="D167" s="76" t="s">
        <v>502</v>
      </c>
      <c r="E167" s="79">
        <v>44090</v>
      </c>
      <c r="F167" s="76">
        <v>10000</v>
      </c>
      <c r="G167" s="76">
        <v>5.0000000000000001E-3</v>
      </c>
    </row>
    <row r="168" spans="1:7" x14ac:dyDescent="0.25">
      <c r="A168" s="77" t="s">
        <v>319</v>
      </c>
      <c r="B168" s="76" t="s">
        <v>320</v>
      </c>
      <c r="C168" s="76">
        <v>59151</v>
      </c>
      <c r="D168" s="76" t="s">
        <v>503</v>
      </c>
      <c r="E168" s="79">
        <v>44090</v>
      </c>
      <c r="F168" s="76">
        <v>10200</v>
      </c>
      <c r="G168" s="76">
        <v>5.0000000000000001E-3</v>
      </c>
    </row>
    <row r="169" spans="1:7" x14ac:dyDescent="0.25">
      <c r="A169" s="77" t="s">
        <v>319</v>
      </c>
      <c r="B169" s="76" t="s">
        <v>320</v>
      </c>
      <c r="C169" s="76">
        <v>59152</v>
      </c>
      <c r="D169" s="76" t="s">
        <v>504</v>
      </c>
      <c r="E169" s="79">
        <v>44090</v>
      </c>
      <c r="F169" s="76">
        <v>10400</v>
      </c>
      <c r="G169" s="76">
        <v>5.0000000000000001E-3</v>
      </c>
    </row>
    <row r="170" spans="1:7" x14ac:dyDescent="0.25">
      <c r="A170" s="77" t="s">
        <v>319</v>
      </c>
      <c r="B170" s="76" t="s">
        <v>320</v>
      </c>
      <c r="C170" s="76">
        <v>59153</v>
      </c>
      <c r="D170" s="76" t="s">
        <v>505</v>
      </c>
      <c r="E170" s="79">
        <v>44090</v>
      </c>
      <c r="F170" s="76">
        <v>10600</v>
      </c>
      <c r="G170" s="76">
        <v>5.0000000000000001E-3</v>
      </c>
    </row>
    <row r="171" spans="1:7" x14ac:dyDescent="0.25">
      <c r="A171" s="77" t="s">
        <v>319</v>
      </c>
      <c r="B171" s="76" t="s">
        <v>320</v>
      </c>
      <c r="C171" s="76">
        <v>59104</v>
      </c>
      <c r="D171" s="76" t="s">
        <v>492</v>
      </c>
      <c r="E171" s="79">
        <v>44089</v>
      </c>
      <c r="F171" s="76">
        <v>11000</v>
      </c>
      <c r="G171" s="76">
        <v>5.0000000000000001E-3</v>
      </c>
    </row>
    <row r="172" spans="1:7" x14ac:dyDescent="0.25">
      <c r="A172" s="77" t="s">
        <v>319</v>
      </c>
      <c r="B172" s="76" t="s">
        <v>320</v>
      </c>
      <c r="C172" s="76">
        <v>59105</v>
      </c>
      <c r="D172" s="76" t="s">
        <v>493</v>
      </c>
      <c r="E172" s="79">
        <v>44089</v>
      </c>
      <c r="F172" s="76">
        <v>11500</v>
      </c>
      <c r="G172" s="76">
        <v>6.0000000000000001E-3</v>
      </c>
    </row>
    <row r="173" spans="1:7" x14ac:dyDescent="0.25">
      <c r="A173" s="77" t="s">
        <v>319</v>
      </c>
      <c r="B173" s="76" t="s">
        <v>320</v>
      </c>
      <c r="C173" s="76">
        <v>59106</v>
      </c>
      <c r="D173" s="76" t="s">
        <v>494</v>
      </c>
      <c r="E173" s="79">
        <v>44089</v>
      </c>
      <c r="F173" s="76">
        <v>12000</v>
      </c>
      <c r="G173" s="76">
        <v>8.0000000000000002E-3</v>
      </c>
    </row>
    <row r="174" spans="1:7" x14ac:dyDescent="0.25">
      <c r="A174" s="77" t="s">
        <v>319</v>
      </c>
      <c r="B174" s="76" t="s">
        <v>320</v>
      </c>
      <c r="C174" s="76">
        <v>59175</v>
      </c>
      <c r="D174" s="76" t="s">
        <v>506</v>
      </c>
      <c r="E174" s="79">
        <v>44090</v>
      </c>
      <c r="F174" s="76">
        <v>10900</v>
      </c>
      <c r="G174" s="76">
        <v>5.0000000000000001E-3</v>
      </c>
    </row>
    <row r="175" spans="1:7" x14ac:dyDescent="0.25">
      <c r="A175" s="77" t="s">
        <v>319</v>
      </c>
      <c r="B175" s="76" t="s">
        <v>320</v>
      </c>
      <c r="C175" s="76">
        <v>59176</v>
      </c>
      <c r="D175" s="76" t="s">
        <v>507</v>
      </c>
      <c r="E175" s="79">
        <v>44090</v>
      </c>
      <c r="F175" s="76">
        <v>11300</v>
      </c>
      <c r="G175" s="76">
        <v>8.0000000000000002E-3</v>
      </c>
    </row>
    <row r="176" spans="1:7" x14ac:dyDescent="0.25">
      <c r="A176" s="77" t="s">
        <v>319</v>
      </c>
      <c r="B176" s="76" t="s">
        <v>320</v>
      </c>
      <c r="C176" s="76">
        <v>59177</v>
      </c>
      <c r="D176" s="76" t="s">
        <v>508</v>
      </c>
      <c r="E176" s="79">
        <v>44090</v>
      </c>
      <c r="F176" s="76">
        <v>10700</v>
      </c>
      <c r="G176" s="76">
        <v>4.0000000000000001E-3</v>
      </c>
    </row>
    <row r="177" spans="1:7" x14ac:dyDescent="0.25">
      <c r="A177" s="77" t="s">
        <v>319</v>
      </c>
      <c r="B177" s="76" t="s">
        <v>320</v>
      </c>
      <c r="C177" s="76">
        <v>59178</v>
      </c>
      <c r="D177" s="76" t="s">
        <v>509</v>
      </c>
      <c r="E177" s="79">
        <v>44090</v>
      </c>
      <c r="F177" s="76">
        <v>10500</v>
      </c>
      <c r="G177" s="76">
        <v>3.0000000000000001E-3</v>
      </c>
    </row>
    <row r="178" spans="1:7" x14ac:dyDescent="0.25">
      <c r="A178" s="77" t="s">
        <v>319</v>
      </c>
      <c r="B178" s="76" t="s">
        <v>320</v>
      </c>
      <c r="C178" s="76">
        <v>59225</v>
      </c>
      <c r="D178" s="76" t="s">
        <v>512</v>
      </c>
      <c r="E178" s="79">
        <v>44090</v>
      </c>
      <c r="F178" s="76">
        <v>11800</v>
      </c>
      <c r="G178" s="76">
        <v>8.9999999999999993E-3</v>
      </c>
    </row>
    <row r="179" spans="1:7" x14ac:dyDescent="0.25">
      <c r="A179" s="77" t="s">
        <v>319</v>
      </c>
      <c r="B179" s="76" t="s">
        <v>320</v>
      </c>
      <c r="C179" s="76">
        <v>59226</v>
      </c>
      <c r="D179" s="76" t="s">
        <v>513</v>
      </c>
      <c r="E179" s="79">
        <v>44090</v>
      </c>
      <c r="F179" s="76">
        <v>11400</v>
      </c>
      <c r="G179" s="76">
        <v>6.0000000000000001E-3</v>
      </c>
    </row>
    <row r="180" spans="1:7" x14ac:dyDescent="0.25">
      <c r="A180" s="77" t="s">
        <v>319</v>
      </c>
      <c r="B180" s="76" t="s">
        <v>320</v>
      </c>
      <c r="C180" s="76">
        <v>59227</v>
      </c>
      <c r="D180" s="76" t="s">
        <v>514</v>
      </c>
      <c r="E180" s="79">
        <v>44090</v>
      </c>
      <c r="F180" s="76">
        <v>11000</v>
      </c>
      <c r="G180" s="76">
        <v>5.0000000000000001E-3</v>
      </c>
    </row>
    <row r="181" spans="1:7" x14ac:dyDescent="0.25">
      <c r="A181" s="77" t="s">
        <v>319</v>
      </c>
      <c r="B181" s="76" t="s">
        <v>320</v>
      </c>
      <c r="C181" s="76">
        <v>59228</v>
      </c>
      <c r="D181" s="76" t="s">
        <v>515</v>
      </c>
      <c r="E181" s="79">
        <v>44090</v>
      </c>
      <c r="F181" s="76">
        <v>10600</v>
      </c>
      <c r="G181" s="76">
        <v>3.0000000000000001E-3</v>
      </c>
    </row>
    <row r="182" spans="1:7" x14ac:dyDescent="0.25">
      <c r="A182" s="77" t="s">
        <v>319</v>
      </c>
      <c r="B182" s="76" t="s">
        <v>320</v>
      </c>
      <c r="C182" s="76">
        <v>59229</v>
      </c>
      <c r="D182" s="76" t="s">
        <v>516</v>
      </c>
      <c r="E182" s="79">
        <v>44090</v>
      </c>
      <c r="F182" s="76">
        <v>10200</v>
      </c>
      <c r="G182" s="76">
        <v>3.0000000000000001E-3</v>
      </c>
    </row>
    <row r="183" spans="1:7" x14ac:dyDescent="0.25">
      <c r="A183" s="77" t="s">
        <v>319</v>
      </c>
      <c r="B183" s="76" t="s">
        <v>320</v>
      </c>
      <c r="C183" s="76">
        <v>59185</v>
      </c>
      <c r="D183" s="76" t="s">
        <v>510</v>
      </c>
      <c r="E183" s="79">
        <v>44090</v>
      </c>
      <c r="F183" s="76">
        <v>11500</v>
      </c>
      <c r="G183" s="76">
        <v>0.01</v>
      </c>
    </row>
    <row r="184" spans="1:7" x14ac:dyDescent="0.25">
      <c r="A184" s="77" t="s">
        <v>319</v>
      </c>
      <c r="B184" s="76" t="s">
        <v>320</v>
      </c>
      <c r="C184" s="76">
        <v>59192</v>
      </c>
      <c r="D184" s="76" t="s">
        <v>511</v>
      </c>
      <c r="E184" s="79">
        <v>44181</v>
      </c>
      <c r="F184" s="76">
        <v>10800</v>
      </c>
      <c r="G184" s="76">
        <v>2E-3</v>
      </c>
    </row>
    <row r="185" spans="1:7" x14ac:dyDescent="0.25">
      <c r="A185" s="77" t="s">
        <v>319</v>
      </c>
      <c r="B185" s="76" t="s">
        <v>320</v>
      </c>
      <c r="C185" s="76">
        <v>59255</v>
      </c>
      <c r="D185" s="76" t="s">
        <v>517</v>
      </c>
      <c r="E185" s="79">
        <v>44091</v>
      </c>
      <c r="F185" s="76">
        <v>10000</v>
      </c>
      <c r="G185" s="76">
        <v>2E-3</v>
      </c>
    </row>
    <row r="186" spans="1:7" x14ac:dyDescent="0.25">
      <c r="A186" s="77" t="s">
        <v>319</v>
      </c>
      <c r="B186" s="76" t="s">
        <v>320</v>
      </c>
      <c r="C186" s="76">
        <v>59256</v>
      </c>
      <c r="D186" s="76" t="s">
        <v>518</v>
      </c>
      <c r="E186" s="79">
        <v>44091</v>
      </c>
      <c r="F186" s="76">
        <v>10500</v>
      </c>
      <c r="G186" s="76">
        <v>3.0000000000000001E-3</v>
      </c>
    </row>
    <row r="187" spans="1:7" x14ac:dyDescent="0.25">
      <c r="A187" s="77" t="s">
        <v>319</v>
      </c>
      <c r="B187" s="76" t="s">
        <v>320</v>
      </c>
      <c r="C187" s="76">
        <v>59257</v>
      </c>
      <c r="D187" s="76" t="s">
        <v>519</v>
      </c>
      <c r="E187" s="79">
        <v>44091</v>
      </c>
      <c r="F187" s="76">
        <v>10300</v>
      </c>
      <c r="G187" s="76">
        <v>3.0000000000000001E-3</v>
      </c>
    </row>
    <row r="188" spans="1:7" x14ac:dyDescent="0.25">
      <c r="A188" s="77" t="s">
        <v>319</v>
      </c>
      <c r="B188" s="76" t="s">
        <v>320</v>
      </c>
      <c r="C188" s="76">
        <v>59269</v>
      </c>
      <c r="D188" s="76" t="s">
        <v>520</v>
      </c>
      <c r="E188" s="79">
        <v>44152</v>
      </c>
      <c r="F188" s="76">
        <v>12000</v>
      </c>
      <c r="G188" s="76">
        <v>5.0000000000000001E-3</v>
      </c>
    </row>
    <row r="189" spans="1:7" x14ac:dyDescent="0.25">
      <c r="A189" s="77" t="s">
        <v>319</v>
      </c>
      <c r="B189" s="76" t="s">
        <v>320</v>
      </c>
      <c r="C189" s="76">
        <v>59392</v>
      </c>
      <c r="D189" s="76" t="s">
        <v>521</v>
      </c>
      <c r="E189" s="79">
        <v>44095</v>
      </c>
      <c r="F189" s="76">
        <v>9500</v>
      </c>
      <c r="G189" s="76">
        <v>2E-3</v>
      </c>
    </row>
    <row r="190" spans="1:7" x14ac:dyDescent="0.25">
      <c r="A190" s="77" t="s">
        <v>319</v>
      </c>
      <c r="B190" s="76" t="s">
        <v>320</v>
      </c>
      <c r="C190" s="76">
        <v>59393</v>
      </c>
      <c r="D190" s="76" t="s">
        <v>522</v>
      </c>
      <c r="E190" s="79">
        <v>44095</v>
      </c>
      <c r="F190" s="76">
        <v>9700</v>
      </c>
      <c r="G190" s="76">
        <v>2E-3</v>
      </c>
    </row>
    <row r="191" spans="1:7" x14ac:dyDescent="0.25">
      <c r="A191" s="77" t="s">
        <v>319</v>
      </c>
      <c r="B191" s="76" t="s">
        <v>320</v>
      </c>
      <c r="C191" s="76">
        <v>59394</v>
      </c>
      <c r="D191" s="76" t="s">
        <v>523</v>
      </c>
      <c r="E191" s="79">
        <v>44095</v>
      </c>
      <c r="F191" s="76">
        <v>10100</v>
      </c>
      <c r="G191" s="76">
        <v>3.0000000000000001E-3</v>
      </c>
    </row>
    <row r="192" spans="1:7" x14ac:dyDescent="0.25">
      <c r="A192" s="77" t="s">
        <v>319</v>
      </c>
      <c r="B192" s="76" t="s">
        <v>320</v>
      </c>
      <c r="C192" s="76">
        <v>59411</v>
      </c>
      <c r="D192" s="76" t="s">
        <v>524</v>
      </c>
      <c r="E192" s="79">
        <v>44095</v>
      </c>
      <c r="F192" s="76">
        <v>9800</v>
      </c>
      <c r="G192" s="76">
        <v>5.0000000000000001E-3</v>
      </c>
    </row>
    <row r="193" spans="1:7" x14ac:dyDescent="0.25">
      <c r="A193" s="77" t="s">
        <v>319</v>
      </c>
      <c r="B193" s="76" t="s">
        <v>320</v>
      </c>
      <c r="C193" s="76">
        <v>59412</v>
      </c>
      <c r="D193" s="76" t="s">
        <v>525</v>
      </c>
      <c r="E193" s="79">
        <v>44095</v>
      </c>
      <c r="F193" s="76">
        <v>9400</v>
      </c>
      <c r="G193" s="76">
        <v>5.0000000000000001E-3</v>
      </c>
    </row>
    <row r="194" spans="1:7" x14ac:dyDescent="0.25">
      <c r="A194" s="77" t="s">
        <v>319</v>
      </c>
      <c r="B194" s="76" t="s">
        <v>320</v>
      </c>
      <c r="C194" s="76">
        <v>59483</v>
      </c>
      <c r="D194" s="76" t="s">
        <v>530</v>
      </c>
      <c r="E194" s="79">
        <v>44096</v>
      </c>
      <c r="F194" s="76">
        <v>8700</v>
      </c>
      <c r="G194" s="76">
        <v>4.0000000000000001E-3</v>
      </c>
    </row>
    <row r="195" spans="1:7" x14ac:dyDescent="0.25">
      <c r="A195" s="77" t="s">
        <v>319</v>
      </c>
      <c r="B195" s="76" t="s">
        <v>320</v>
      </c>
      <c r="C195" s="76">
        <v>59484</v>
      </c>
      <c r="D195" s="76" t="s">
        <v>531</v>
      </c>
      <c r="E195" s="79">
        <v>44096</v>
      </c>
      <c r="F195" s="76">
        <v>9100</v>
      </c>
      <c r="G195" s="76">
        <v>4.0000000000000001E-3</v>
      </c>
    </row>
    <row r="196" spans="1:7" x14ac:dyDescent="0.25">
      <c r="A196" s="77" t="s">
        <v>319</v>
      </c>
      <c r="B196" s="76" t="s">
        <v>320</v>
      </c>
      <c r="C196" s="76">
        <v>59444</v>
      </c>
      <c r="D196" s="76" t="s">
        <v>526</v>
      </c>
      <c r="E196" s="79">
        <v>44095</v>
      </c>
      <c r="F196" s="76">
        <v>11500</v>
      </c>
      <c r="G196" s="76">
        <v>5.0000000000000001E-3</v>
      </c>
    </row>
    <row r="197" spans="1:7" x14ac:dyDescent="0.25">
      <c r="A197" s="77" t="s">
        <v>319</v>
      </c>
      <c r="B197" s="76" t="s">
        <v>320</v>
      </c>
      <c r="C197" s="76">
        <v>59445</v>
      </c>
      <c r="D197" s="76" t="s">
        <v>527</v>
      </c>
      <c r="E197" s="79">
        <v>44095</v>
      </c>
      <c r="F197" s="76">
        <v>11000</v>
      </c>
      <c r="G197" s="76">
        <v>5.0000000000000001E-3</v>
      </c>
    </row>
    <row r="198" spans="1:7" x14ac:dyDescent="0.25">
      <c r="A198" s="77" t="s">
        <v>319</v>
      </c>
      <c r="B198" s="76" t="s">
        <v>320</v>
      </c>
      <c r="C198" s="76">
        <v>59446</v>
      </c>
      <c r="D198" s="76" t="s">
        <v>528</v>
      </c>
      <c r="E198" s="79">
        <v>44095</v>
      </c>
      <c r="F198" s="76">
        <v>10500</v>
      </c>
      <c r="G198" s="76">
        <v>5.0000000000000001E-3</v>
      </c>
    </row>
    <row r="199" spans="1:7" x14ac:dyDescent="0.25">
      <c r="A199" s="77" t="s">
        <v>319</v>
      </c>
      <c r="B199" s="76" t="s">
        <v>320</v>
      </c>
      <c r="C199" s="76">
        <v>59447</v>
      </c>
      <c r="D199" s="76" t="s">
        <v>529</v>
      </c>
      <c r="E199" s="79">
        <v>44095</v>
      </c>
      <c r="F199" s="76">
        <v>10000</v>
      </c>
      <c r="G199" s="76">
        <v>5.0000000000000001E-3</v>
      </c>
    </row>
    <row r="200" spans="1:7" x14ac:dyDescent="0.25">
      <c r="A200" s="77" t="s">
        <v>319</v>
      </c>
      <c r="B200" s="76" t="s">
        <v>320</v>
      </c>
      <c r="C200" s="76">
        <v>59601</v>
      </c>
      <c r="D200" s="76" t="s">
        <v>534</v>
      </c>
      <c r="E200" s="79">
        <v>44127</v>
      </c>
      <c r="F200" s="76">
        <v>9500</v>
      </c>
      <c r="G200" s="76">
        <v>3.0000000000000001E-3</v>
      </c>
    </row>
    <row r="201" spans="1:7" x14ac:dyDescent="0.25">
      <c r="A201" s="77" t="s">
        <v>319</v>
      </c>
      <c r="B201" s="76" t="s">
        <v>320</v>
      </c>
      <c r="C201" s="76">
        <v>59602</v>
      </c>
      <c r="D201" s="76" t="s">
        <v>535</v>
      </c>
      <c r="E201" s="79">
        <v>44127</v>
      </c>
      <c r="F201" s="76">
        <v>9000</v>
      </c>
      <c r="G201" s="76">
        <v>3.0000000000000001E-3</v>
      </c>
    </row>
    <row r="202" spans="1:7" x14ac:dyDescent="0.25">
      <c r="A202" s="77" t="s">
        <v>319</v>
      </c>
      <c r="B202" s="76" t="s">
        <v>320</v>
      </c>
      <c r="C202" s="76">
        <v>59603</v>
      </c>
      <c r="D202" s="76" t="s">
        <v>536</v>
      </c>
      <c r="E202" s="79">
        <v>44127</v>
      </c>
      <c r="F202" s="76">
        <v>8700</v>
      </c>
      <c r="G202" s="76">
        <v>2E-3</v>
      </c>
    </row>
    <row r="203" spans="1:7" x14ac:dyDescent="0.25">
      <c r="A203" s="77" t="s">
        <v>319</v>
      </c>
      <c r="B203" s="76" t="s">
        <v>320</v>
      </c>
      <c r="C203" s="76">
        <v>59604</v>
      </c>
      <c r="D203" s="76" t="s">
        <v>537</v>
      </c>
      <c r="E203" s="79">
        <v>44127</v>
      </c>
      <c r="F203" s="76">
        <v>8500</v>
      </c>
      <c r="G203" s="76">
        <v>2E-3</v>
      </c>
    </row>
    <row r="204" spans="1:7" x14ac:dyDescent="0.25">
      <c r="A204" s="77" t="s">
        <v>319</v>
      </c>
      <c r="B204" s="76" t="s">
        <v>320</v>
      </c>
      <c r="C204" s="76">
        <v>59605</v>
      </c>
      <c r="D204" s="76" t="s">
        <v>538</v>
      </c>
      <c r="E204" s="79">
        <v>44127</v>
      </c>
      <c r="F204" s="76">
        <v>8300</v>
      </c>
      <c r="G204" s="76">
        <v>2E-3</v>
      </c>
    </row>
    <row r="205" spans="1:7" x14ac:dyDescent="0.25">
      <c r="A205" s="77" t="s">
        <v>319</v>
      </c>
      <c r="B205" s="76" t="s">
        <v>320</v>
      </c>
      <c r="C205" s="76">
        <v>59575</v>
      </c>
      <c r="D205" s="76" t="s">
        <v>532</v>
      </c>
      <c r="E205" s="79">
        <v>44097</v>
      </c>
      <c r="F205" s="76">
        <v>9400</v>
      </c>
      <c r="G205" s="76">
        <v>1E-3</v>
      </c>
    </row>
    <row r="206" spans="1:7" x14ac:dyDescent="0.25">
      <c r="A206" s="77" t="s">
        <v>319</v>
      </c>
      <c r="B206" s="76" t="s">
        <v>320</v>
      </c>
      <c r="C206" s="76">
        <v>59576</v>
      </c>
      <c r="D206" s="76" t="s">
        <v>533</v>
      </c>
      <c r="E206" s="79">
        <v>44097</v>
      </c>
      <c r="F206" s="76">
        <v>9000</v>
      </c>
      <c r="G206" s="76">
        <v>1E-3</v>
      </c>
    </row>
    <row r="207" spans="1:7" x14ac:dyDescent="0.25">
      <c r="A207" s="77" t="s">
        <v>319</v>
      </c>
      <c r="B207" s="76" t="s">
        <v>320</v>
      </c>
      <c r="C207" s="76">
        <v>59774</v>
      </c>
      <c r="D207" s="76" t="s">
        <v>1087</v>
      </c>
      <c r="E207" s="79">
        <v>44102</v>
      </c>
      <c r="F207" s="76">
        <v>8300</v>
      </c>
      <c r="G207" s="76">
        <v>3.0000000000000001E-3</v>
      </c>
    </row>
    <row r="208" spans="1:7" x14ac:dyDescent="0.25">
      <c r="A208" s="77" t="s">
        <v>319</v>
      </c>
      <c r="B208" s="76" t="s">
        <v>320</v>
      </c>
      <c r="C208" s="76">
        <v>59798</v>
      </c>
      <c r="D208" s="76" t="s">
        <v>1088</v>
      </c>
      <c r="E208" s="79">
        <v>44102</v>
      </c>
      <c r="F208" s="76">
        <v>9000</v>
      </c>
      <c r="G208" s="76">
        <v>4.0000000000000001E-3</v>
      </c>
    </row>
    <row r="209" spans="1:7" x14ac:dyDescent="0.25">
      <c r="A209" s="77" t="s">
        <v>319</v>
      </c>
      <c r="B209" s="76" t="s">
        <v>320</v>
      </c>
      <c r="C209" s="76">
        <v>59891</v>
      </c>
      <c r="D209" s="76" t="s">
        <v>1091</v>
      </c>
      <c r="E209" s="79">
        <v>44103</v>
      </c>
      <c r="F209" s="76">
        <v>9600</v>
      </c>
      <c r="G209" s="76">
        <v>4.0000000000000001E-3</v>
      </c>
    </row>
    <row r="210" spans="1:7" x14ac:dyDescent="0.25">
      <c r="A210" s="77" t="s">
        <v>319</v>
      </c>
      <c r="B210" s="76" t="s">
        <v>320</v>
      </c>
      <c r="C210" s="76">
        <v>59881</v>
      </c>
      <c r="D210" s="76" t="s">
        <v>1089</v>
      </c>
      <c r="E210" s="79">
        <v>44103</v>
      </c>
      <c r="F210" s="76">
        <v>10800</v>
      </c>
      <c r="G210" s="76">
        <v>2E-3</v>
      </c>
    </row>
    <row r="211" spans="1:7" x14ac:dyDescent="0.25">
      <c r="A211" s="77" t="s">
        <v>319</v>
      </c>
      <c r="B211" s="76" t="s">
        <v>320</v>
      </c>
      <c r="C211" s="76">
        <v>59882</v>
      </c>
      <c r="D211" s="76" t="s">
        <v>1090</v>
      </c>
      <c r="E211" s="79">
        <v>44194</v>
      </c>
      <c r="F211" s="76">
        <v>12682</v>
      </c>
      <c r="G211" s="76">
        <v>3.0000000000000001E-3</v>
      </c>
    </row>
    <row r="212" spans="1:7" x14ac:dyDescent="0.25">
      <c r="A212" s="77" t="s">
        <v>319</v>
      </c>
      <c r="B212" s="76" t="s">
        <v>320</v>
      </c>
      <c r="C212" s="76">
        <v>60035</v>
      </c>
      <c r="D212" s="76" t="s">
        <v>1426</v>
      </c>
      <c r="E212" s="79">
        <v>44104</v>
      </c>
      <c r="F212" s="76">
        <v>12700</v>
      </c>
      <c r="G212" s="76">
        <v>1E-3</v>
      </c>
    </row>
    <row r="213" spans="1:7" x14ac:dyDescent="0.25">
      <c r="A213" s="77" t="s">
        <v>319</v>
      </c>
      <c r="B213" s="76" t="s">
        <v>320</v>
      </c>
      <c r="C213" s="76">
        <v>60147</v>
      </c>
      <c r="D213" s="76" t="s">
        <v>1456</v>
      </c>
      <c r="E213" s="79">
        <v>44109</v>
      </c>
      <c r="F213" s="76">
        <v>11000</v>
      </c>
      <c r="G213" s="76">
        <v>5.0000000000000001E-3</v>
      </c>
    </row>
    <row r="214" spans="1:7" x14ac:dyDescent="0.25">
      <c r="A214" s="77" t="s">
        <v>319</v>
      </c>
      <c r="B214" s="76" t="s">
        <v>320</v>
      </c>
      <c r="C214" s="76">
        <v>60148</v>
      </c>
      <c r="D214" s="76" t="s">
        <v>1457</v>
      </c>
      <c r="E214" s="79">
        <v>44109</v>
      </c>
      <c r="F214" s="76">
        <v>12000</v>
      </c>
      <c r="G214" s="76">
        <v>0.01</v>
      </c>
    </row>
    <row r="215" spans="1:7" x14ac:dyDescent="0.25">
      <c r="A215" s="77" t="s">
        <v>319</v>
      </c>
      <c r="B215" s="76" t="s">
        <v>320</v>
      </c>
      <c r="C215" s="76">
        <v>60206</v>
      </c>
      <c r="D215" s="76" t="s">
        <v>1458</v>
      </c>
      <c r="E215" s="79">
        <v>44109</v>
      </c>
      <c r="F215" s="76">
        <v>9500</v>
      </c>
      <c r="G215" s="76">
        <v>3.0000000000000001E-3</v>
      </c>
    </row>
    <row r="216" spans="1:7" x14ac:dyDescent="0.25">
      <c r="A216" s="77" t="s">
        <v>319</v>
      </c>
      <c r="B216" s="76" t="s">
        <v>320</v>
      </c>
      <c r="C216" s="76">
        <v>60207</v>
      </c>
      <c r="D216" s="76" t="s">
        <v>1459</v>
      </c>
      <c r="E216" s="79">
        <v>44109</v>
      </c>
      <c r="F216" s="76">
        <v>10000</v>
      </c>
      <c r="G216" s="76">
        <v>3.0000000000000001E-3</v>
      </c>
    </row>
    <row r="217" spans="1:7" x14ac:dyDescent="0.25">
      <c r="A217" s="77" t="s">
        <v>319</v>
      </c>
      <c r="B217" s="76" t="s">
        <v>320</v>
      </c>
      <c r="C217" s="76">
        <v>60255</v>
      </c>
      <c r="D217" s="76" t="s">
        <v>1451</v>
      </c>
      <c r="E217" s="79">
        <v>44140</v>
      </c>
      <c r="F217" s="76">
        <v>10000</v>
      </c>
      <c r="G217" s="76">
        <v>2E-3</v>
      </c>
    </row>
    <row r="218" spans="1:7" x14ac:dyDescent="0.25">
      <c r="A218" s="77" t="s">
        <v>319</v>
      </c>
      <c r="B218" s="76" t="s">
        <v>320</v>
      </c>
      <c r="C218" s="76">
        <v>60256</v>
      </c>
      <c r="D218" s="76" t="s">
        <v>1452</v>
      </c>
      <c r="E218" s="79">
        <v>44140</v>
      </c>
      <c r="F218" s="76">
        <v>9800</v>
      </c>
      <c r="G218" s="76">
        <v>2E-3</v>
      </c>
    </row>
    <row r="219" spans="1:7" x14ac:dyDescent="0.25">
      <c r="A219" s="77" t="s">
        <v>319</v>
      </c>
      <c r="B219" s="76" t="s">
        <v>320</v>
      </c>
      <c r="C219" s="76">
        <v>60257</v>
      </c>
      <c r="D219" s="76" t="s">
        <v>1453</v>
      </c>
      <c r="E219" s="79">
        <v>44140</v>
      </c>
      <c r="F219" s="76">
        <v>9300</v>
      </c>
      <c r="G219" s="76">
        <v>2E-3</v>
      </c>
    </row>
    <row r="220" spans="1:7" x14ac:dyDescent="0.25">
      <c r="A220" s="77" t="s">
        <v>319</v>
      </c>
      <c r="B220" s="76" t="s">
        <v>320</v>
      </c>
      <c r="C220" s="76" t="s">
        <v>539</v>
      </c>
      <c r="D220" s="76" t="s">
        <v>540</v>
      </c>
      <c r="E220" s="79">
        <v>44103</v>
      </c>
      <c r="F220" s="76">
        <v>8800</v>
      </c>
      <c r="G220" s="76">
        <v>2E-3</v>
      </c>
    </row>
    <row r="221" spans="1:7" x14ac:dyDescent="0.25">
      <c r="A221" s="77" t="s">
        <v>319</v>
      </c>
      <c r="B221" s="76" t="s">
        <v>320</v>
      </c>
      <c r="C221" s="76">
        <v>60261</v>
      </c>
      <c r="D221" s="76" t="s">
        <v>1454</v>
      </c>
      <c r="E221" s="79">
        <v>44110</v>
      </c>
      <c r="F221" s="76">
        <v>10200</v>
      </c>
      <c r="G221" s="76">
        <v>4.0000000000000001E-3</v>
      </c>
    </row>
    <row r="222" spans="1:7" x14ac:dyDescent="0.25">
      <c r="A222" s="77" t="s">
        <v>319</v>
      </c>
      <c r="B222" s="76" t="s">
        <v>320</v>
      </c>
      <c r="C222" s="76">
        <v>60262</v>
      </c>
      <c r="D222" s="76" t="s">
        <v>1455</v>
      </c>
      <c r="E222" s="79">
        <v>44141</v>
      </c>
      <c r="F222" s="76">
        <v>10600</v>
      </c>
      <c r="G222" s="76">
        <v>5.0000000000000001E-3</v>
      </c>
    </row>
    <row r="223" spans="1:7" x14ac:dyDescent="0.25">
      <c r="A223" s="77" t="s">
        <v>319</v>
      </c>
      <c r="B223" s="76" t="s">
        <v>320</v>
      </c>
      <c r="C223" s="76">
        <v>60515</v>
      </c>
      <c r="D223" s="76" t="s">
        <v>1460</v>
      </c>
      <c r="E223" s="79">
        <v>44144</v>
      </c>
      <c r="F223" s="76">
        <v>10100</v>
      </c>
      <c r="G223" s="76">
        <v>1E-3</v>
      </c>
    </row>
    <row r="224" spans="1:7" x14ac:dyDescent="0.25">
      <c r="A224" s="77" t="s">
        <v>319</v>
      </c>
      <c r="B224" s="76" t="s">
        <v>320</v>
      </c>
      <c r="C224" s="76">
        <v>60516</v>
      </c>
      <c r="D224" s="76" t="s">
        <v>1461</v>
      </c>
      <c r="E224" s="79">
        <v>44144</v>
      </c>
      <c r="F224" s="76">
        <v>9200</v>
      </c>
      <c r="G224" s="76">
        <v>1E-3</v>
      </c>
    </row>
    <row r="225" spans="1:7" x14ac:dyDescent="0.25">
      <c r="A225" s="77" t="s">
        <v>319</v>
      </c>
      <c r="B225" s="76" t="s">
        <v>320</v>
      </c>
      <c r="C225" s="76">
        <v>60517</v>
      </c>
      <c r="D225" s="76" t="s">
        <v>1462</v>
      </c>
      <c r="E225" s="79">
        <v>44144</v>
      </c>
      <c r="F225" s="76">
        <v>9600</v>
      </c>
      <c r="G225" s="76">
        <v>1E-3</v>
      </c>
    </row>
    <row r="226" spans="1:7" x14ac:dyDescent="0.25">
      <c r="A226" s="77" t="s">
        <v>319</v>
      </c>
      <c r="B226" s="76" t="s">
        <v>320</v>
      </c>
      <c r="C226" s="76">
        <v>60011</v>
      </c>
      <c r="D226" s="76" t="s">
        <v>1425</v>
      </c>
      <c r="E226" s="79">
        <v>44195</v>
      </c>
      <c r="F226" s="76">
        <v>9700</v>
      </c>
      <c r="G226" s="76">
        <v>2E-3</v>
      </c>
    </row>
    <row r="227" spans="1:7" x14ac:dyDescent="0.25">
      <c r="A227" s="77" t="s">
        <v>319</v>
      </c>
      <c r="B227" s="76" t="s">
        <v>320</v>
      </c>
      <c r="C227" s="76">
        <v>60533</v>
      </c>
      <c r="D227" s="76" t="s">
        <v>1464</v>
      </c>
      <c r="E227" s="79">
        <v>44144</v>
      </c>
      <c r="F227" s="76">
        <v>10800</v>
      </c>
      <c r="G227" s="76">
        <v>2E-3</v>
      </c>
    </row>
    <row r="228" spans="1:7" x14ac:dyDescent="0.25">
      <c r="A228" s="77" t="s">
        <v>319</v>
      </c>
      <c r="B228" s="76" t="s">
        <v>320</v>
      </c>
      <c r="C228" s="76" t="s">
        <v>541</v>
      </c>
      <c r="D228" s="76" t="s">
        <v>542</v>
      </c>
      <c r="E228" s="79">
        <v>44109</v>
      </c>
      <c r="F228" s="76">
        <v>12800</v>
      </c>
      <c r="G228" s="76">
        <v>1E-3</v>
      </c>
    </row>
    <row r="229" spans="1:7" x14ac:dyDescent="0.25">
      <c r="A229" s="77" t="s">
        <v>319</v>
      </c>
      <c r="B229" s="76" t="s">
        <v>320</v>
      </c>
      <c r="C229" s="76">
        <v>60578</v>
      </c>
      <c r="D229" s="76" t="s">
        <v>1463</v>
      </c>
      <c r="E229" s="79">
        <v>44174</v>
      </c>
      <c r="F229" s="76">
        <v>12000</v>
      </c>
      <c r="G229" s="76">
        <v>2E-3</v>
      </c>
    </row>
    <row r="230" spans="1:7" x14ac:dyDescent="0.25">
      <c r="A230" s="77" t="s">
        <v>319</v>
      </c>
      <c r="B230" s="76" t="s">
        <v>320</v>
      </c>
      <c r="C230" s="76">
        <v>60689</v>
      </c>
      <c r="D230" s="76" t="s">
        <v>1591</v>
      </c>
      <c r="E230" s="79">
        <v>44116</v>
      </c>
      <c r="F230" s="76">
        <v>12000</v>
      </c>
      <c r="G230" s="76">
        <v>5.0000000000000001E-3</v>
      </c>
    </row>
    <row r="231" spans="1:7" x14ac:dyDescent="0.25">
      <c r="A231" s="77" t="s">
        <v>319</v>
      </c>
      <c r="B231" s="76" t="s">
        <v>320</v>
      </c>
      <c r="C231" s="76">
        <v>60690</v>
      </c>
      <c r="D231" s="76" t="s">
        <v>1592</v>
      </c>
      <c r="E231" s="79">
        <v>44116</v>
      </c>
      <c r="F231" s="76">
        <v>11500</v>
      </c>
      <c r="G231" s="76">
        <v>5.0000000000000001E-3</v>
      </c>
    </row>
    <row r="232" spans="1:7" x14ac:dyDescent="0.25">
      <c r="A232" s="77" t="s">
        <v>319</v>
      </c>
      <c r="B232" s="76" t="s">
        <v>320</v>
      </c>
      <c r="C232" s="76">
        <v>60691</v>
      </c>
      <c r="D232" s="76" t="s">
        <v>1593</v>
      </c>
      <c r="E232" s="79">
        <v>44116</v>
      </c>
      <c r="F232" s="76">
        <v>12500</v>
      </c>
      <c r="G232" s="76">
        <v>5.0000000000000001E-3</v>
      </c>
    </row>
    <row r="233" spans="1:7" x14ac:dyDescent="0.25">
      <c r="A233" s="77" t="s">
        <v>319</v>
      </c>
      <c r="B233" s="76" t="s">
        <v>320</v>
      </c>
      <c r="C233" s="76">
        <v>60778</v>
      </c>
      <c r="D233" s="76" t="s">
        <v>1589</v>
      </c>
      <c r="E233" s="79">
        <v>44117</v>
      </c>
      <c r="F233" s="76">
        <v>11100</v>
      </c>
      <c r="G233" s="76">
        <v>5.0000000000000001E-3</v>
      </c>
    </row>
    <row r="234" spans="1:7" x14ac:dyDescent="0.25">
      <c r="A234" s="77" t="s">
        <v>319</v>
      </c>
      <c r="B234" s="76" t="s">
        <v>320</v>
      </c>
      <c r="C234" s="76">
        <v>60779</v>
      </c>
      <c r="D234" s="76" t="s">
        <v>1590</v>
      </c>
      <c r="E234" s="79">
        <v>44117</v>
      </c>
      <c r="F234" s="76">
        <v>9900</v>
      </c>
      <c r="G234" s="76">
        <v>3.0000000000000001E-3</v>
      </c>
    </row>
    <row r="235" spans="1:7" x14ac:dyDescent="0.25">
      <c r="A235" s="77" t="s">
        <v>319</v>
      </c>
      <c r="B235" s="76" t="s">
        <v>320</v>
      </c>
      <c r="C235" s="76" t="s">
        <v>543</v>
      </c>
      <c r="D235" s="76" t="s">
        <v>544</v>
      </c>
      <c r="E235" s="79">
        <v>44109</v>
      </c>
      <c r="F235" s="76">
        <v>11400</v>
      </c>
      <c r="G235" s="76">
        <v>3.0000000000000001E-3</v>
      </c>
    </row>
    <row r="236" spans="1:7" x14ac:dyDescent="0.25">
      <c r="A236" s="77" t="s">
        <v>319</v>
      </c>
      <c r="B236" s="76" t="s">
        <v>320</v>
      </c>
      <c r="C236" s="76">
        <v>60901</v>
      </c>
      <c r="D236" s="76" t="s">
        <v>1594</v>
      </c>
      <c r="E236" s="79">
        <v>44119</v>
      </c>
      <c r="F236" s="76">
        <v>11000</v>
      </c>
      <c r="G236" s="76">
        <v>5.0000000000000001E-3</v>
      </c>
    </row>
    <row r="237" spans="1:7" x14ac:dyDescent="0.25">
      <c r="A237" s="77" t="s">
        <v>319</v>
      </c>
      <c r="B237" s="76" t="s">
        <v>320</v>
      </c>
      <c r="C237" s="76">
        <v>61051</v>
      </c>
      <c r="D237" s="76" t="s">
        <v>1858</v>
      </c>
      <c r="E237" s="79">
        <v>44123</v>
      </c>
      <c r="F237" s="76">
        <v>12688</v>
      </c>
      <c r="G237" s="76">
        <v>8.0000000000000002E-3</v>
      </c>
    </row>
    <row r="238" spans="1:7" x14ac:dyDescent="0.25">
      <c r="A238" s="77" t="s">
        <v>319</v>
      </c>
      <c r="B238" s="76" t="s">
        <v>320</v>
      </c>
      <c r="C238" s="76">
        <v>61217</v>
      </c>
      <c r="D238" s="76" t="s">
        <v>1907</v>
      </c>
      <c r="E238" s="79">
        <v>44124</v>
      </c>
      <c r="F238" s="76">
        <v>10700</v>
      </c>
      <c r="G238" s="76">
        <v>2E-3</v>
      </c>
    </row>
    <row r="239" spans="1:7" x14ac:dyDescent="0.25">
      <c r="A239" s="77" t="s">
        <v>319</v>
      </c>
      <c r="B239" s="76" t="s">
        <v>320</v>
      </c>
      <c r="C239" s="76">
        <v>61218</v>
      </c>
      <c r="D239" s="76" t="s">
        <v>1908</v>
      </c>
      <c r="E239" s="79">
        <v>44124</v>
      </c>
      <c r="F239" s="76">
        <v>10500</v>
      </c>
      <c r="G239" s="76">
        <v>1E-3</v>
      </c>
    </row>
    <row r="240" spans="1:7" x14ac:dyDescent="0.25">
      <c r="A240" s="77" t="s">
        <v>319</v>
      </c>
      <c r="B240" s="76" t="s">
        <v>320</v>
      </c>
      <c r="C240" s="76">
        <v>61219</v>
      </c>
      <c r="D240" s="76" t="s">
        <v>1909</v>
      </c>
      <c r="E240" s="79">
        <v>44124</v>
      </c>
      <c r="F240" s="76">
        <v>10300</v>
      </c>
      <c r="G240" s="76">
        <v>1E-3</v>
      </c>
    </row>
    <row r="241" spans="1:7" x14ac:dyDescent="0.25">
      <c r="A241" s="77" t="s">
        <v>319</v>
      </c>
      <c r="B241" s="76" t="s">
        <v>320</v>
      </c>
      <c r="C241" s="76">
        <v>61220</v>
      </c>
      <c r="D241" s="76" t="s">
        <v>1910</v>
      </c>
      <c r="E241" s="79">
        <v>44124</v>
      </c>
      <c r="F241" s="76">
        <v>9900</v>
      </c>
      <c r="G241" s="76">
        <v>1E-3</v>
      </c>
    </row>
    <row r="242" spans="1:7" x14ac:dyDescent="0.25">
      <c r="A242" s="77" t="s">
        <v>319</v>
      </c>
      <c r="B242" s="76" t="s">
        <v>320</v>
      </c>
      <c r="C242" s="76">
        <v>61221</v>
      </c>
      <c r="D242" s="76" t="s">
        <v>1911</v>
      </c>
      <c r="E242" s="79">
        <v>44124</v>
      </c>
      <c r="F242" s="76">
        <v>9700</v>
      </c>
      <c r="G242" s="76">
        <v>1E-3</v>
      </c>
    </row>
    <row r="243" spans="1:7" x14ac:dyDescent="0.25">
      <c r="A243" s="77" t="s">
        <v>319</v>
      </c>
      <c r="B243" s="76" t="s">
        <v>320</v>
      </c>
      <c r="C243" s="76">
        <v>61250</v>
      </c>
      <c r="D243" s="76" t="s">
        <v>1912</v>
      </c>
      <c r="E243" s="79">
        <v>44125</v>
      </c>
      <c r="F243" s="76">
        <v>9800</v>
      </c>
      <c r="G243" s="76">
        <v>3.0000000000000001E-3</v>
      </c>
    </row>
    <row r="244" spans="1:7" x14ac:dyDescent="0.25">
      <c r="A244" s="77" t="s">
        <v>319</v>
      </c>
      <c r="B244" s="76" t="s">
        <v>320</v>
      </c>
      <c r="C244" s="76">
        <v>61251</v>
      </c>
      <c r="D244" s="76" t="s">
        <v>1913</v>
      </c>
      <c r="E244" s="79">
        <v>44125</v>
      </c>
      <c r="F244" s="76">
        <v>10200</v>
      </c>
      <c r="G244" s="76">
        <v>4.0000000000000001E-3</v>
      </c>
    </row>
    <row r="245" spans="1:7" x14ac:dyDescent="0.25">
      <c r="A245" s="77" t="s">
        <v>319</v>
      </c>
      <c r="B245" s="76" t="s">
        <v>320</v>
      </c>
      <c r="C245" s="76">
        <v>61252</v>
      </c>
      <c r="D245" s="76" t="s">
        <v>1914</v>
      </c>
      <c r="E245" s="79">
        <v>44125</v>
      </c>
      <c r="F245" s="76">
        <v>10600</v>
      </c>
      <c r="G245" s="76">
        <v>4.0000000000000001E-3</v>
      </c>
    </row>
    <row r="246" spans="1:7" x14ac:dyDescent="0.25">
      <c r="A246" s="77" t="s">
        <v>319</v>
      </c>
      <c r="B246" s="76" t="s">
        <v>320</v>
      </c>
      <c r="C246" s="76">
        <v>61253</v>
      </c>
      <c r="D246" s="76" t="s">
        <v>1915</v>
      </c>
      <c r="E246" s="79">
        <v>44125</v>
      </c>
      <c r="F246" s="76">
        <v>11400</v>
      </c>
      <c r="G246" s="76">
        <v>5.0000000000000001E-3</v>
      </c>
    </row>
    <row r="247" spans="1:7" x14ac:dyDescent="0.25">
      <c r="A247" s="77" t="s">
        <v>319</v>
      </c>
      <c r="B247" s="76" t="s">
        <v>320</v>
      </c>
      <c r="C247" s="76">
        <v>61273</v>
      </c>
      <c r="D247" s="76" t="s">
        <v>1916</v>
      </c>
      <c r="E247" s="79">
        <v>44125</v>
      </c>
      <c r="F247" s="76">
        <v>11600</v>
      </c>
      <c r="G247" s="76">
        <v>8.0000000000000002E-3</v>
      </c>
    </row>
    <row r="248" spans="1:7" x14ac:dyDescent="0.25">
      <c r="A248" s="77" t="s">
        <v>319</v>
      </c>
      <c r="B248" s="76" t="s">
        <v>320</v>
      </c>
      <c r="C248" s="76">
        <v>61274</v>
      </c>
      <c r="D248" s="76" t="s">
        <v>1917</v>
      </c>
      <c r="E248" s="79">
        <v>44125</v>
      </c>
      <c r="F248" s="76">
        <v>12000</v>
      </c>
      <c r="G248" s="76">
        <v>0.01</v>
      </c>
    </row>
    <row r="249" spans="1:7" x14ac:dyDescent="0.25">
      <c r="A249" s="77" t="s">
        <v>319</v>
      </c>
      <c r="B249" s="76" t="s">
        <v>320</v>
      </c>
      <c r="C249" s="76">
        <v>61275</v>
      </c>
      <c r="D249" s="76" t="s">
        <v>1918</v>
      </c>
      <c r="E249" s="79">
        <v>44125</v>
      </c>
      <c r="F249" s="76">
        <v>13000</v>
      </c>
      <c r="G249" s="76">
        <v>0.02</v>
      </c>
    </row>
    <row r="250" spans="1:7" x14ac:dyDescent="0.25">
      <c r="A250" s="77" t="s">
        <v>319</v>
      </c>
      <c r="B250" s="76" t="s">
        <v>320</v>
      </c>
      <c r="C250" s="76">
        <v>61299</v>
      </c>
      <c r="D250" s="76" t="s">
        <v>1919</v>
      </c>
      <c r="E250" s="79">
        <v>44125</v>
      </c>
      <c r="F250" s="76">
        <v>10500</v>
      </c>
      <c r="G250" s="76">
        <v>1E-3</v>
      </c>
    </row>
    <row r="251" spans="1:7" x14ac:dyDescent="0.25">
      <c r="A251" s="77" t="s">
        <v>319</v>
      </c>
      <c r="B251" s="76" t="s">
        <v>320</v>
      </c>
      <c r="C251" s="76">
        <v>61300</v>
      </c>
      <c r="D251" s="76" t="s">
        <v>1920</v>
      </c>
      <c r="E251" s="79">
        <v>44125</v>
      </c>
      <c r="F251" s="76">
        <v>11000</v>
      </c>
      <c r="G251" s="76">
        <v>1E-3</v>
      </c>
    </row>
    <row r="252" spans="1:7" x14ac:dyDescent="0.25">
      <c r="A252" s="77" t="s">
        <v>319</v>
      </c>
      <c r="B252" s="76" t="s">
        <v>320</v>
      </c>
      <c r="C252" s="76" t="s">
        <v>545</v>
      </c>
      <c r="D252" s="76" t="s">
        <v>546</v>
      </c>
      <c r="E252" s="79">
        <v>44112</v>
      </c>
      <c r="F252" s="76">
        <v>9500</v>
      </c>
      <c r="G252" s="76">
        <v>7.0000000000000001E-3</v>
      </c>
    </row>
    <row r="253" spans="1:7" x14ac:dyDescent="0.25">
      <c r="A253" s="77" t="s">
        <v>319</v>
      </c>
      <c r="B253" s="76" t="s">
        <v>320</v>
      </c>
      <c r="C253" s="76">
        <v>61860</v>
      </c>
      <c r="D253" s="76" t="s">
        <v>2050</v>
      </c>
      <c r="E253" s="79">
        <v>44139</v>
      </c>
      <c r="F253" s="76">
        <v>10800</v>
      </c>
      <c r="G253" s="76">
        <v>5.0000000000000001E-3</v>
      </c>
    </row>
    <row r="254" spans="1:7" x14ac:dyDescent="0.25">
      <c r="A254" s="77" t="s">
        <v>319</v>
      </c>
      <c r="B254" s="76" t="s">
        <v>320</v>
      </c>
      <c r="C254" s="76">
        <v>61861</v>
      </c>
      <c r="D254" s="76" t="s">
        <v>2051</v>
      </c>
      <c r="E254" s="79">
        <v>44139</v>
      </c>
      <c r="F254" s="76">
        <v>11500</v>
      </c>
      <c r="G254" s="76">
        <v>5.0000000000000001E-3</v>
      </c>
    </row>
    <row r="255" spans="1:7" x14ac:dyDescent="0.25">
      <c r="A255" s="77" t="s">
        <v>319</v>
      </c>
      <c r="B255" s="76" t="s">
        <v>320</v>
      </c>
      <c r="C255" s="76">
        <v>61883</v>
      </c>
      <c r="D255" s="76" t="s">
        <v>2052</v>
      </c>
      <c r="E255" s="79">
        <v>44139</v>
      </c>
      <c r="F255" s="76">
        <v>10400</v>
      </c>
      <c r="G255" s="76">
        <v>1E-3</v>
      </c>
    </row>
    <row r="256" spans="1:7" x14ac:dyDescent="0.25">
      <c r="A256" s="77" t="s">
        <v>319</v>
      </c>
      <c r="B256" s="76" t="s">
        <v>320</v>
      </c>
      <c r="C256" s="76">
        <v>61884</v>
      </c>
      <c r="D256" s="76" t="s">
        <v>2053</v>
      </c>
      <c r="E256" s="79">
        <v>44139</v>
      </c>
      <c r="F256" s="76">
        <v>11400</v>
      </c>
      <c r="G256" s="76">
        <v>2E-3</v>
      </c>
    </row>
    <row r="257" spans="1:7" x14ac:dyDescent="0.25">
      <c r="A257" s="77" t="s">
        <v>319</v>
      </c>
      <c r="B257" s="76" t="s">
        <v>320</v>
      </c>
      <c r="C257" s="76">
        <v>61885</v>
      </c>
      <c r="D257" s="76" t="s">
        <v>2054</v>
      </c>
      <c r="E257" s="79">
        <v>44139</v>
      </c>
      <c r="F257" s="76">
        <v>10800</v>
      </c>
      <c r="G257" s="76">
        <v>2E-3</v>
      </c>
    </row>
    <row r="258" spans="1:7" x14ac:dyDescent="0.25">
      <c r="A258" s="77" t="s">
        <v>319</v>
      </c>
      <c r="B258" s="76" t="s">
        <v>320</v>
      </c>
      <c r="C258" s="76">
        <v>61930</v>
      </c>
      <c r="D258" s="76" t="s">
        <v>2055</v>
      </c>
      <c r="E258" s="79">
        <v>44140</v>
      </c>
      <c r="F258" s="76">
        <v>12500</v>
      </c>
      <c r="G258" s="76">
        <v>5.0000000000000001E-3</v>
      </c>
    </row>
    <row r="259" spans="1:7" x14ac:dyDescent="0.25">
      <c r="A259" s="77" t="s">
        <v>319</v>
      </c>
      <c r="B259" s="76" t="s">
        <v>320</v>
      </c>
      <c r="C259" s="76">
        <v>61952</v>
      </c>
      <c r="D259" s="76" t="s">
        <v>2056</v>
      </c>
      <c r="E259" s="79">
        <v>44140</v>
      </c>
      <c r="F259" s="76">
        <v>11800</v>
      </c>
      <c r="G259" s="76">
        <v>5.0000000000000001E-3</v>
      </c>
    </row>
    <row r="260" spans="1:7" x14ac:dyDescent="0.25">
      <c r="A260" s="77" t="s">
        <v>319</v>
      </c>
      <c r="B260" s="76" t="s">
        <v>320</v>
      </c>
      <c r="C260" s="76">
        <v>61999</v>
      </c>
      <c r="D260" s="76" t="s">
        <v>2057</v>
      </c>
      <c r="E260" s="79">
        <v>44140</v>
      </c>
      <c r="F260" s="76">
        <v>10200</v>
      </c>
      <c r="G260" s="76">
        <v>1E-3</v>
      </c>
    </row>
    <row r="261" spans="1:7" x14ac:dyDescent="0.25">
      <c r="A261" s="77" t="s">
        <v>319</v>
      </c>
      <c r="B261" s="76" t="s">
        <v>320</v>
      </c>
      <c r="C261" s="76">
        <v>62000</v>
      </c>
      <c r="D261" s="76" t="s">
        <v>2058</v>
      </c>
      <c r="E261" s="79">
        <v>44140</v>
      </c>
      <c r="F261" s="76">
        <v>10800</v>
      </c>
      <c r="G261" s="76">
        <v>1E-3</v>
      </c>
    </row>
    <row r="262" spans="1:7" x14ac:dyDescent="0.25">
      <c r="A262" s="77" t="s">
        <v>319</v>
      </c>
      <c r="B262" s="76" t="s">
        <v>320</v>
      </c>
      <c r="C262" s="76">
        <v>62001</v>
      </c>
      <c r="D262" s="76" t="s">
        <v>2059</v>
      </c>
      <c r="E262" s="79">
        <v>44140</v>
      </c>
      <c r="F262" s="76">
        <v>11200</v>
      </c>
      <c r="G262" s="76">
        <v>1E-3</v>
      </c>
    </row>
    <row r="263" spans="1:7" x14ac:dyDescent="0.25">
      <c r="A263" s="77" t="s">
        <v>319</v>
      </c>
      <c r="B263" s="76" t="s">
        <v>320</v>
      </c>
      <c r="C263" s="76">
        <v>62024</v>
      </c>
      <c r="D263" s="76" t="s">
        <v>2162</v>
      </c>
      <c r="E263" s="79">
        <v>44172</v>
      </c>
      <c r="F263" s="76">
        <v>11688.88</v>
      </c>
      <c r="G263" s="76">
        <v>2E-3</v>
      </c>
    </row>
    <row r="264" spans="1:7" x14ac:dyDescent="0.25">
      <c r="A264" s="77" t="s">
        <v>319</v>
      </c>
      <c r="B264" s="76" t="s">
        <v>320</v>
      </c>
      <c r="C264" s="76">
        <v>62115</v>
      </c>
      <c r="D264" s="76" t="s">
        <v>2163</v>
      </c>
      <c r="E264" s="79">
        <v>44141</v>
      </c>
      <c r="F264" s="76">
        <v>10500</v>
      </c>
      <c r="G264" s="76">
        <v>2E-3</v>
      </c>
    </row>
    <row r="265" spans="1:7" x14ac:dyDescent="0.25">
      <c r="A265" s="77" t="s">
        <v>319</v>
      </c>
      <c r="B265" s="76" t="s">
        <v>320</v>
      </c>
      <c r="C265" s="76">
        <v>62484</v>
      </c>
      <c r="D265" s="76" t="s">
        <v>2180</v>
      </c>
      <c r="E265" s="79">
        <v>44147</v>
      </c>
      <c r="F265" s="76">
        <v>13000</v>
      </c>
      <c r="G265" s="76">
        <v>1.4999999999999999E-2</v>
      </c>
    </row>
    <row r="266" spans="1:7" x14ac:dyDescent="0.25">
      <c r="A266" s="77" t="s">
        <v>319</v>
      </c>
      <c r="B266" s="76" t="s">
        <v>320</v>
      </c>
      <c r="C266" s="76">
        <v>62507</v>
      </c>
      <c r="D266" s="76" t="s">
        <v>2205</v>
      </c>
      <c r="E266" s="79">
        <v>44148</v>
      </c>
      <c r="F266" s="76">
        <v>11000</v>
      </c>
      <c r="G266" s="76">
        <v>5.0000000000000001E-3</v>
      </c>
    </row>
    <row r="267" spans="1:7" x14ac:dyDescent="0.25">
      <c r="A267" s="77" t="s">
        <v>319</v>
      </c>
      <c r="B267" s="76" t="s">
        <v>320</v>
      </c>
      <c r="C267" s="76">
        <v>62508</v>
      </c>
      <c r="D267" s="76" t="s">
        <v>2206</v>
      </c>
      <c r="E267" s="79">
        <v>44148</v>
      </c>
      <c r="F267" s="76">
        <v>12200</v>
      </c>
      <c r="G267" s="76">
        <v>7.0000000000000001E-3</v>
      </c>
    </row>
    <row r="268" spans="1:7" x14ac:dyDescent="0.25">
      <c r="A268" s="77" t="s">
        <v>319</v>
      </c>
      <c r="B268" s="76" t="s">
        <v>320</v>
      </c>
      <c r="C268" s="76" t="s">
        <v>547</v>
      </c>
      <c r="D268" s="76" t="s">
        <v>548</v>
      </c>
      <c r="E268" s="79">
        <v>44027</v>
      </c>
      <c r="F268" s="76">
        <v>11000</v>
      </c>
      <c r="G268" s="76">
        <v>0.02</v>
      </c>
    </row>
    <row r="269" spans="1:7" x14ac:dyDescent="0.25">
      <c r="A269" s="77" t="s">
        <v>319</v>
      </c>
      <c r="B269" s="76" t="s">
        <v>320</v>
      </c>
      <c r="C269" s="76" t="s">
        <v>549</v>
      </c>
      <c r="D269" s="76" t="s">
        <v>550</v>
      </c>
      <c r="E269" s="79">
        <v>44027</v>
      </c>
      <c r="F269" s="76">
        <v>10400</v>
      </c>
      <c r="G269" s="76">
        <v>0.04</v>
      </c>
    </row>
    <row r="270" spans="1:7" x14ac:dyDescent="0.25">
      <c r="A270" s="77" t="s">
        <v>319</v>
      </c>
      <c r="B270" s="76" t="s">
        <v>320</v>
      </c>
      <c r="C270" s="76" t="s">
        <v>551</v>
      </c>
      <c r="D270" s="76" t="s">
        <v>552</v>
      </c>
      <c r="E270" s="79">
        <v>44027</v>
      </c>
      <c r="F270" s="76">
        <v>12100</v>
      </c>
      <c r="G270" s="76">
        <v>2E-3</v>
      </c>
    </row>
    <row r="271" spans="1:7" x14ac:dyDescent="0.25">
      <c r="A271" s="77" t="s">
        <v>319</v>
      </c>
      <c r="B271" s="76" t="s">
        <v>320</v>
      </c>
      <c r="C271" s="76" t="s">
        <v>553</v>
      </c>
      <c r="D271" s="76" t="s">
        <v>554</v>
      </c>
      <c r="E271" s="79">
        <v>44027</v>
      </c>
      <c r="F271" s="76">
        <v>11700</v>
      </c>
      <c r="G271" s="76">
        <v>3.0000000000000001E-3</v>
      </c>
    </row>
    <row r="272" spans="1:7" x14ac:dyDescent="0.25">
      <c r="A272" s="77" t="s">
        <v>319</v>
      </c>
      <c r="B272" s="76" t="s">
        <v>320</v>
      </c>
      <c r="C272" s="76" t="s">
        <v>555</v>
      </c>
      <c r="D272" s="76" t="s">
        <v>556</v>
      </c>
      <c r="E272" s="79">
        <v>44027</v>
      </c>
      <c r="F272" s="76">
        <v>8500</v>
      </c>
      <c r="G272" s="76">
        <v>0.03</v>
      </c>
    </row>
    <row r="273" spans="1:7" x14ac:dyDescent="0.25">
      <c r="A273" s="77" t="s">
        <v>319</v>
      </c>
      <c r="B273" s="76" t="s">
        <v>320</v>
      </c>
      <c r="C273" s="76" t="s">
        <v>557</v>
      </c>
      <c r="D273" s="76" t="s">
        <v>558</v>
      </c>
      <c r="E273" s="79">
        <v>44027</v>
      </c>
      <c r="F273" s="76">
        <v>10000</v>
      </c>
      <c r="G273" s="76">
        <v>1.4999999999999999E-2</v>
      </c>
    </row>
    <row r="274" spans="1:7" x14ac:dyDescent="0.25">
      <c r="A274" s="77" t="s">
        <v>319</v>
      </c>
      <c r="B274" s="76" t="s">
        <v>320</v>
      </c>
      <c r="C274" s="76" t="s">
        <v>559</v>
      </c>
      <c r="D274" s="76" t="s">
        <v>560</v>
      </c>
      <c r="E274" s="79">
        <v>44027</v>
      </c>
      <c r="F274" s="76">
        <v>10400</v>
      </c>
      <c r="G274" s="76">
        <v>8.0000000000000002E-3</v>
      </c>
    </row>
    <row r="275" spans="1:7" x14ac:dyDescent="0.25">
      <c r="A275" s="77" t="s">
        <v>319</v>
      </c>
      <c r="B275" s="76" t="s">
        <v>320</v>
      </c>
      <c r="C275" s="76" t="s">
        <v>575</v>
      </c>
      <c r="D275" s="76" t="s">
        <v>576</v>
      </c>
      <c r="E275" s="79">
        <v>44027</v>
      </c>
      <c r="F275" s="76">
        <v>11500</v>
      </c>
      <c r="G275" s="76">
        <v>7.0000000000000001E-3</v>
      </c>
    </row>
    <row r="276" spans="1:7" x14ac:dyDescent="0.25">
      <c r="A276" s="77" t="s">
        <v>319</v>
      </c>
      <c r="B276" s="76" t="s">
        <v>320</v>
      </c>
      <c r="C276" s="76">
        <v>62788</v>
      </c>
      <c r="D276" s="76" t="s">
        <v>2207</v>
      </c>
      <c r="E276" s="79">
        <v>44153</v>
      </c>
      <c r="F276" s="76">
        <v>11800</v>
      </c>
      <c r="G276" s="76">
        <v>2E-3</v>
      </c>
    </row>
    <row r="277" spans="1:7" x14ac:dyDescent="0.25">
      <c r="A277" s="77" t="s">
        <v>319</v>
      </c>
      <c r="B277" s="76" t="s">
        <v>320</v>
      </c>
      <c r="C277" s="76">
        <v>62789</v>
      </c>
      <c r="D277" s="76" t="s">
        <v>2208</v>
      </c>
      <c r="E277" s="79">
        <v>44153</v>
      </c>
      <c r="F277" s="76">
        <v>11400</v>
      </c>
      <c r="G277" s="76">
        <v>1E-3</v>
      </c>
    </row>
    <row r="278" spans="1:7" x14ac:dyDescent="0.25">
      <c r="A278" s="77" t="s">
        <v>319</v>
      </c>
      <c r="B278" s="76" t="s">
        <v>320</v>
      </c>
      <c r="C278" s="76" t="s">
        <v>577</v>
      </c>
      <c r="D278" s="76" t="s">
        <v>578</v>
      </c>
      <c r="E278" s="79">
        <v>44027</v>
      </c>
      <c r="F278" s="76">
        <v>11700</v>
      </c>
      <c r="G278" s="76">
        <v>6.0000000000000001E-3</v>
      </c>
    </row>
    <row r="279" spans="1:7" x14ac:dyDescent="0.25">
      <c r="A279" s="77" t="s">
        <v>319</v>
      </c>
      <c r="B279" s="76" t="s">
        <v>320</v>
      </c>
      <c r="C279" s="76">
        <v>62790</v>
      </c>
      <c r="D279" s="76" t="s">
        <v>2209</v>
      </c>
      <c r="E279" s="79">
        <v>44153</v>
      </c>
      <c r="F279" s="76">
        <v>11000</v>
      </c>
      <c r="G279" s="76">
        <v>1E-3</v>
      </c>
    </row>
    <row r="280" spans="1:7" x14ac:dyDescent="0.25">
      <c r="A280" s="77" t="s">
        <v>319</v>
      </c>
      <c r="B280" s="76" t="s">
        <v>320</v>
      </c>
      <c r="C280" s="76">
        <v>62791</v>
      </c>
      <c r="D280" s="76" t="s">
        <v>2210</v>
      </c>
      <c r="E280" s="79">
        <v>44153</v>
      </c>
      <c r="F280" s="76">
        <v>10600</v>
      </c>
      <c r="G280" s="76">
        <v>1E-3</v>
      </c>
    </row>
    <row r="281" spans="1:7" x14ac:dyDescent="0.25">
      <c r="A281" s="77" t="s">
        <v>319</v>
      </c>
      <c r="B281" s="76" t="s">
        <v>320</v>
      </c>
      <c r="C281" s="76">
        <v>62792</v>
      </c>
      <c r="D281" s="76" t="s">
        <v>2211</v>
      </c>
      <c r="E281" s="79">
        <v>44153</v>
      </c>
      <c r="F281" s="76">
        <v>10400</v>
      </c>
      <c r="G281" s="76">
        <v>1E-3</v>
      </c>
    </row>
    <row r="282" spans="1:7" x14ac:dyDescent="0.25">
      <c r="A282" s="77" t="s">
        <v>319</v>
      </c>
      <c r="B282" s="76" t="s">
        <v>320</v>
      </c>
      <c r="C282" s="76" t="s">
        <v>579</v>
      </c>
      <c r="D282" s="76" t="s">
        <v>580</v>
      </c>
      <c r="E282" s="79">
        <v>44027</v>
      </c>
      <c r="F282" s="76">
        <v>11900</v>
      </c>
      <c r="G282" s="76">
        <v>5.0000000000000001E-3</v>
      </c>
    </row>
    <row r="283" spans="1:7" x14ac:dyDescent="0.25">
      <c r="A283" s="77" t="s">
        <v>319</v>
      </c>
      <c r="B283" s="76" t="s">
        <v>320</v>
      </c>
      <c r="C283" s="76" t="s">
        <v>581</v>
      </c>
      <c r="D283" s="76" t="s">
        <v>582</v>
      </c>
      <c r="E283" s="79">
        <v>44027</v>
      </c>
      <c r="F283" s="76">
        <v>12100</v>
      </c>
      <c r="G283" s="76">
        <v>4.0000000000000001E-3</v>
      </c>
    </row>
    <row r="284" spans="1:7" x14ac:dyDescent="0.25">
      <c r="A284" s="77" t="s">
        <v>319</v>
      </c>
      <c r="B284" s="76" t="s">
        <v>320</v>
      </c>
      <c r="C284" s="76" t="s">
        <v>583</v>
      </c>
      <c r="D284" s="76" t="s">
        <v>584</v>
      </c>
      <c r="E284" s="79">
        <v>44027</v>
      </c>
      <c r="F284" s="76">
        <v>12300</v>
      </c>
      <c r="G284" s="76">
        <v>4.0000000000000001E-3</v>
      </c>
    </row>
    <row r="285" spans="1:7" x14ac:dyDescent="0.25">
      <c r="A285" s="77" t="s">
        <v>319</v>
      </c>
      <c r="B285" s="76" t="s">
        <v>320</v>
      </c>
      <c r="C285" s="76">
        <v>62838</v>
      </c>
      <c r="D285" s="76" t="s">
        <v>2212</v>
      </c>
      <c r="E285" s="79">
        <v>44153</v>
      </c>
      <c r="F285" s="76">
        <v>10000</v>
      </c>
      <c r="G285" s="76">
        <v>4.0000000000000001E-3</v>
      </c>
    </row>
    <row r="286" spans="1:7" x14ac:dyDescent="0.25">
      <c r="A286" s="77" t="s">
        <v>319</v>
      </c>
      <c r="B286" s="76" t="s">
        <v>320</v>
      </c>
      <c r="C286" s="76">
        <v>62839</v>
      </c>
      <c r="D286" s="76" t="s">
        <v>2213</v>
      </c>
      <c r="E286" s="79">
        <v>44153</v>
      </c>
      <c r="F286" s="76">
        <v>10500</v>
      </c>
      <c r="G286" s="76">
        <v>4.0000000000000001E-3</v>
      </c>
    </row>
    <row r="287" spans="1:7" x14ac:dyDescent="0.25">
      <c r="A287" s="77" t="s">
        <v>319</v>
      </c>
      <c r="B287" s="76" t="s">
        <v>320</v>
      </c>
      <c r="C287" s="76">
        <v>62840</v>
      </c>
      <c r="D287" s="76" t="s">
        <v>2214</v>
      </c>
      <c r="E287" s="79">
        <v>44153</v>
      </c>
      <c r="F287" s="76">
        <v>11000</v>
      </c>
      <c r="G287" s="76">
        <v>4.0000000000000001E-3</v>
      </c>
    </row>
    <row r="288" spans="1:7" x14ac:dyDescent="0.25">
      <c r="A288" s="77" t="s">
        <v>319</v>
      </c>
      <c r="B288" s="76" t="s">
        <v>320</v>
      </c>
      <c r="C288" s="76">
        <v>62841</v>
      </c>
      <c r="D288" s="76" t="s">
        <v>2215</v>
      </c>
      <c r="E288" s="79">
        <v>44153</v>
      </c>
      <c r="F288" s="76">
        <v>11500</v>
      </c>
      <c r="G288" s="76">
        <v>5.0000000000000001E-3</v>
      </c>
    </row>
    <row r="289" spans="1:7" x14ac:dyDescent="0.25">
      <c r="A289" s="77" t="s">
        <v>319</v>
      </c>
      <c r="B289" s="76" t="s">
        <v>320</v>
      </c>
      <c r="C289" s="76">
        <v>62842</v>
      </c>
      <c r="D289" s="76" t="s">
        <v>2216</v>
      </c>
      <c r="E289" s="79">
        <v>44153</v>
      </c>
      <c r="F289" s="76">
        <v>12000</v>
      </c>
      <c r="G289" s="76">
        <v>0.01</v>
      </c>
    </row>
    <row r="290" spans="1:7" x14ac:dyDescent="0.25">
      <c r="A290" s="77" t="s">
        <v>319</v>
      </c>
      <c r="B290" s="76" t="s">
        <v>320</v>
      </c>
      <c r="C290" s="76">
        <v>62843</v>
      </c>
      <c r="D290" s="76" t="s">
        <v>2217</v>
      </c>
      <c r="E290" s="79">
        <v>44153</v>
      </c>
      <c r="F290" s="76">
        <v>13000</v>
      </c>
      <c r="G290" s="76">
        <v>0.02</v>
      </c>
    </row>
    <row r="291" spans="1:7" x14ac:dyDescent="0.25">
      <c r="A291" s="77" t="s">
        <v>319</v>
      </c>
      <c r="B291" s="76" t="s">
        <v>320</v>
      </c>
      <c r="C291" s="76" t="s">
        <v>561</v>
      </c>
      <c r="D291" s="76" t="s">
        <v>562</v>
      </c>
      <c r="E291" s="79">
        <v>44027</v>
      </c>
      <c r="F291" s="76">
        <v>10800</v>
      </c>
      <c r="G291" s="76">
        <v>0.01</v>
      </c>
    </row>
    <row r="292" spans="1:7" x14ac:dyDescent="0.25">
      <c r="A292" s="77" t="s">
        <v>319</v>
      </c>
      <c r="B292" s="76" t="s">
        <v>320</v>
      </c>
      <c r="C292" s="76" t="s">
        <v>563</v>
      </c>
      <c r="D292" s="76" t="s">
        <v>564</v>
      </c>
      <c r="E292" s="79">
        <v>44027</v>
      </c>
      <c r="F292" s="76">
        <v>11200</v>
      </c>
      <c r="G292" s="76">
        <v>8.0000000000000002E-3</v>
      </c>
    </row>
    <row r="293" spans="1:7" x14ac:dyDescent="0.25">
      <c r="A293" s="77" t="s">
        <v>319</v>
      </c>
      <c r="B293" s="76" t="s">
        <v>320</v>
      </c>
      <c r="C293" s="76" t="s">
        <v>565</v>
      </c>
      <c r="D293" s="76" t="s">
        <v>566</v>
      </c>
      <c r="E293" s="79">
        <v>44027</v>
      </c>
      <c r="F293" s="76">
        <v>11600</v>
      </c>
      <c r="G293" s="76">
        <v>6.0000000000000001E-3</v>
      </c>
    </row>
    <row r="294" spans="1:7" x14ac:dyDescent="0.25">
      <c r="A294" s="77" t="s">
        <v>319</v>
      </c>
      <c r="B294" s="76" t="s">
        <v>320</v>
      </c>
      <c r="C294" s="76" t="s">
        <v>567</v>
      </c>
      <c r="D294" s="76" t="s">
        <v>568</v>
      </c>
      <c r="E294" s="79">
        <v>44027</v>
      </c>
      <c r="F294" s="76">
        <v>12000</v>
      </c>
      <c r="G294" s="76">
        <v>5.0000000000000001E-3</v>
      </c>
    </row>
    <row r="295" spans="1:7" x14ac:dyDescent="0.25">
      <c r="A295" s="77" t="s">
        <v>319</v>
      </c>
      <c r="B295" s="76" t="s">
        <v>320</v>
      </c>
      <c r="C295" s="76">
        <v>62847</v>
      </c>
      <c r="D295" s="76" t="s">
        <v>2221</v>
      </c>
      <c r="E295" s="79">
        <v>44153</v>
      </c>
      <c r="F295" s="76">
        <v>11200</v>
      </c>
      <c r="G295" s="76">
        <v>1E-3</v>
      </c>
    </row>
    <row r="296" spans="1:7" x14ac:dyDescent="0.25">
      <c r="A296" s="77" t="s">
        <v>319</v>
      </c>
      <c r="B296" s="76" t="s">
        <v>320</v>
      </c>
      <c r="C296" s="76">
        <v>62848</v>
      </c>
      <c r="D296" s="76" t="s">
        <v>2222</v>
      </c>
      <c r="E296" s="79">
        <v>44153</v>
      </c>
      <c r="F296" s="76">
        <v>11500</v>
      </c>
      <c r="G296" s="76">
        <v>1E-3</v>
      </c>
    </row>
    <row r="297" spans="1:7" x14ac:dyDescent="0.25">
      <c r="A297" s="77" t="s">
        <v>319</v>
      </c>
      <c r="B297" s="76" t="s">
        <v>320</v>
      </c>
      <c r="C297" s="76">
        <v>62864</v>
      </c>
      <c r="D297" s="76" t="s">
        <v>2223</v>
      </c>
      <c r="E297" s="79">
        <v>44153</v>
      </c>
      <c r="F297" s="76">
        <v>11200</v>
      </c>
      <c r="G297" s="76">
        <v>5.0000000000000001E-3</v>
      </c>
    </row>
    <row r="298" spans="1:7" x14ac:dyDescent="0.25">
      <c r="A298" s="77" t="s">
        <v>319</v>
      </c>
      <c r="B298" s="76" t="s">
        <v>320</v>
      </c>
      <c r="C298" s="76">
        <v>62865</v>
      </c>
      <c r="D298" s="76" t="s">
        <v>2224</v>
      </c>
      <c r="E298" s="79">
        <v>44153</v>
      </c>
      <c r="F298" s="76">
        <v>12000</v>
      </c>
      <c r="G298" s="76">
        <v>7.0000000000000001E-3</v>
      </c>
    </row>
    <row r="299" spans="1:7" x14ac:dyDescent="0.25">
      <c r="A299" s="77" t="s">
        <v>319</v>
      </c>
      <c r="B299" s="76" t="s">
        <v>320</v>
      </c>
      <c r="C299" s="76">
        <v>62866</v>
      </c>
      <c r="D299" s="76" t="s">
        <v>2225</v>
      </c>
      <c r="E299" s="79">
        <v>44153</v>
      </c>
      <c r="F299" s="76">
        <v>12500</v>
      </c>
      <c r="G299" s="76">
        <v>0.02</v>
      </c>
    </row>
    <row r="300" spans="1:7" x14ac:dyDescent="0.25">
      <c r="A300" s="77" t="s">
        <v>319</v>
      </c>
      <c r="B300" s="76" t="s">
        <v>320</v>
      </c>
      <c r="C300" s="76" t="s">
        <v>585</v>
      </c>
      <c r="D300" s="76" t="s">
        <v>586</v>
      </c>
      <c r="E300" s="79">
        <v>44027</v>
      </c>
      <c r="F300" s="76">
        <v>12500</v>
      </c>
      <c r="G300" s="76">
        <v>5.0000000000000001E-3</v>
      </c>
    </row>
    <row r="301" spans="1:7" x14ac:dyDescent="0.25">
      <c r="A301" s="77" t="s">
        <v>319</v>
      </c>
      <c r="B301" s="76" t="s">
        <v>320</v>
      </c>
      <c r="C301" s="76" t="s">
        <v>587</v>
      </c>
      <c r="D301" s="76" t="s">
        <v>588</v>
      </c>
      <c r="E301" s="79">
        <v>44027</v>
      </c>
      <c r="F301" s="76">
        <v>12300</v>
      </c>
      <c r="G301" s="76">
        <v>5.0000000000000001E-3</v>
      </c>
    </row>
    <row r="302" spans="1:7" x14ac:dyDescent="0.25">
      <c r="A302" s="77" t="s">
        <v>319</v>
      </c>
      <c r="B302" s="76" t="s">
        <v>320</v>
      </c>
      <c r="C302" s="76" t="s">
        <v>589</v>
      </c>
      <c r="D302" s="76" t="s">
        <v>590</v>
      </c>
      <c r="E302" s="79">
        <v>44027</v>
      </c>
      <c r="F302" s="76">
        <v>12100</v>
      </c>
      <c r="G302" s="76">
        <v>5.0000000000000001E-3</v>
      </c>
    </row>
    <row r="303" spans="1:7" x14ac:dyDescent="0.25">
      <c r="A303" s="77" t="s">
        <v>319</v>
      </c>
      <c r="B303" s="76" t="s">
        <v>320</v>
      </c>
      <c r="C303" s="76" t="s">
        <v>591</v>
      </c>
      <c r="D303" s="76" t="s">
        <v>592</v>
      </c>
      <c r="E303" s="79">
        <v>44027</v>
      </c>
      <c r="F303" s="76">
        <v>11900</v>
      </c>
      <c r="G303" s="76">
        <v>5.0000000000000001E-3</v>
      </c>
    </row>
    <row r="304" spans="1:7" x14ac:dyDescent="0.25">
      <c r="A304" s="77" t="s">
        <v>319</v>
      </c>
      <c r="B304" s="76" t="s">
        <v>320</v>
      </c>
      <c r="C304" s="76" t="s">
        <v>593</v>
      </c>
      <c r="D304" s="76" t="s">
        <v>594</v>
      </c>
      <c r="E304" s="79">
        <v>44027</v>
      </c>
      <c r="F304" s="76">
        <v>11700</v>
      </c>
      <c r="G304" s="76">
        <v>0.01</v>
      </c>
    </row>
    <row r="305" spans="1:7" x14ac:dyDescent="0.25">
      <c r="A305" s="77" t="s">
        <v>319</v>
      </c>
      <c r="B305" s="76" t="s">
        <v>320</v>
      </c>
      <c r="C305" s="76" t="s">
        <v>595</v>
      </c>
      <c r="D305" s="76" t="s">
        <v>596</v>
      </c>
      <c r="E305" s="79">
        <v>44027</v>
      </c>
      <c r="F305" s="76">
        <v>11500</v>
      </c>
      <c r="G305" s="76">
        <v>0.01</v>
      </c>
    </row>
    <row r="306" spans="1:7" x14ac:dyDescent="0.25">
      <c r="A306" s="77" t="s">
        <v>319</v>
      </c>
      <c r="B306" s="76" t="s">
        <v>320</v>
      </c>
      <c r="C306" s="76" t="s">
        <v>597</v>
      </c>
      <c r="D306" s="76" t="s">
        <v>598</v>
      </c>
      <c r="E306" s="79">
        <v>44027</v>
      </c>
      <c r="F306" s="76">
        <v>11200</v>
      </c>
      <c r="G306" s="76">
        <v>0.01</v>
      </c>
    </row>
    <row r="307" spans="1:7" x14ac:dyDescent="0.25">
      <c r="A307" s="77" t="s">
        <v>319</v>
      </c>
      <c r="B307" s="76" t="s">
        <v>320</v>
      </c>
      <c r="C307" s="76" t="s">
        <v>599</v>
      </c>
      <c r="D307" s="76" t="s">
        <v>600</v>
      </c>
      <c r="E307" s="79">
        <v>44027</v>
      </c>
      <c r="F307" s="76">
        <v>10500</v>
      </c>
      <c r="G307" s="76">
        <v>0.05</v>
      </c>
    </row>
    <row r="308" spans="1:7" x14ac:dyDescent="0.25">
      <c r="A308" s="77" t="s">
        <v>319</v>
      </c>
      <c r="B308" s="76" t="s">
        <v>320</v>
      </c>
      <c r="C308" s="76" t="s">
        <v>569</v>
      </c>
      <c r="D308" s="76" t="s">
        <v>570</v>
      </c>
      <c r="E308" s="79">
        <v>44027</v>
      </c>
      <c r="F308" s="76">
        <v>10700</v>
      </c>
      <c r="G308" s="76">
        <v>1.4E-2</v>
      </c>
    </row>
    <row r="309" spans="1:7" x14ac:dyDescent="0.25">
      <c r="A309" s="77" t="s">
        <v>319</v>
      </c>
      <c r="B309" s="76" t="s">
        <v>320</v>
      </c>
      <c r="C309" s="76" t="s">
        <v>571</v>
      </c>
      <c r="D309" s="76" t="s">
        <v>572</v>
      </c>
      <c r="E309" s="79">
        <v>44027</v>
      </c>
      <c r="F309" s="76">
        <v>11100</v>
      </c>
      <c r="G309" s="76">
        <v>0.01</v>
      </c>
    </row>
    <row r="310" spans="1:7" x14ac:dyDescent="0.25">
      <c r="A310" s="77" t="s">
        <v>319</v>
      </c>
      <c r="B310" s="76" t="s">
        <v>320</v>
      </c>
      <c r="C310" s="76">
        <v>62769</v>
      </c>
      <c r="D310" s="76" t="s">
        <v>2218</v>
      </c>
      <c r="E310" s="79">
        <v>44153</v>
      </c>
      <c r="F310" s="76">
        <v>11300</v>
      </c>
      <c r="G310" s="76">
        <v>3.0000000000000001E-3</v>
      </c>
    </row>
    <row r="311" spans="1:7" x14ac:dyDescent="0.25">
      <c r="A311" s="77" t="s">
        <v>319</v>
      </c>
      <c r="B311" s="76" t="s">
        <v>320</v>
      </c>
      <c r="C311" s="76" t="s">
        <v>573</v>
      </c>
      <c r="D311" s="76" t="s">
        <v>574</v>
      </c>
      <c r="E311" s="79">
        <v>44027</v>
      </c>
      <c r="F311" s="76">
        <v>11300</v>
      </c>
      <c r="G311" s="76">
        <v>8.0000000000000002E-3</v>
      </c>
    </row>
    <row r="312" spans="1:7" x14ac:dyDescent="0.25">
      <c r="A312" s="77" t="s">
        <v>319</v>
      </c>
      <c r="B312" s="76" t="s">
        <v>320</v>
      </c>
      <c r="C312" s="76">
        <v>62770</v>
      </c>
      <c r="D312" s="76" t="s">
        <v>2219</v>
      </c>
      <c r="E312" s="79">
        <v>44153</v>
      </c>
      <c r="F312" s="76">
        <v>10800</v>
      </c>
      <c r="G312" s="76">
        <v>3.0000000000000001E-3</v>
      </c>
    </row>
    <row r="313" spans="1:7" x14ac:dyDescent="0.25">
      <c r="A313" s="77" t="s">
        <v>319</v>
      </c>
      <c r="B313" s="76" t="s">
        <v>320</v>
      </c>
      <c r="C313" s="76">
        <v>62771</v>
      </c>
      <c r="D313" s="76" t="s">
        <v>2220</v>
      </c>
      <c r="E313" s="79">
        <v>44153</v>
      </c>
      <c r="F313" s="76">
        <v>11700</v>
      </c>
      <c r="G313" s="76">
        <v>5.0000000000000001E-3</v>
      </c>
    </row>
    <row r="314" spans="1:7" x14ac:dyDescent="0.25">
      <c r="A314" s="77" t="s">
        <v>319</v>
      </c>
      <c r="B314" s="76" t="s">
        <v>320</v>
      </c>
      <c r="C314" s="76" t="s">
        <v>601</v>
      </c>
      <c r="D314" s="76" t="s">
        <v>602</v>
      </c>
      <c r="E314" s="79">
        <v>44027</v>
      </c>
      <c r="F314" s="76">
        <v>11600</v>
      </c>
      <c r="G314" s="76">
        <v>5.0000000000000001E-3</v>
      </c>
    </row>
    <row r="315" spans="1:7" x14ac:dyDescent="0.25">
      <c r="A315" s="77" t="s">
        <v>319</v>
      </c>
      <c r="B315" s="76" t="s">
        <v>320</v>
      </c>
      <c r="C315" s="76" t="s">
        <v>603</v>
      </c>
      <c r="D315" s="76" t="s">
        <v>604</v>
      </c>
      <c r="E315" s="79">
        <v>44027</v>
      </c>
      <c r="F315" s="76">
        <v>11800</v>
      </c>
      <c r="G315" s="76">
        <v>4.0000000000000001E-3</v>
      </c>
    </row>
    <row r="316" spans="1:7" x14ac:dyDescent="0.25">
      <c r="A316" s="77" t="s">
        <v>319</v>
      </c>
      <c r="B316" s="76" t="s">
        <v>320</v>
      </c>
      <c r="C316" s="76" t="s">
        <v>605</v>
      </c>
      <c r="D316" s="76" t="s">
        <v>606</v>
      </c>
      <c r="E316" s="79">
        <v>44027</v>
      </c>
      <c r="F316" s="76">
        <v>10800</v>
      </c>
      <c r="G316" s="76">
        <v>0.01</v>
      </c>
    </row>
    <row r="317" spans="1:7" x14ac:dyDescent="0.25">
      <c r="A317" s="77" t="s">
        <v>319</v>
      </c>
      <c r="B317" s="76" t="s">
        <v>320</v>
      </c>
      <c r="C317" s="76" t="s">
        <v>607</v>
      </c>
      <c r="D317" s="76" t="s">
        <v>608</v>
      </c>
      <c r="E317" s="79">
        <v>44027</v>
      </c>
      <c r="F317" s="76">
        <v>11000</v>
      </c>
      <c r="G317" s="76">
        <v>8.0000000000000002E-3</v>
      </c>
    </row>
    <row r="318" spans="1:7" x14ac:dyDescent="0.25">
      <c r="A318" s="77" t="s">
        <v>319</v>
      </c>
      <c r="B318" s="76" t="s">
        <v>320</v>
      </c>
      <c r="C318" s="76" t="s">
        <v>609</v>
      </c>
      <c r="D318" s="76" t="s">
        <v>610</v>
      </c>
      <c r="E318" s="79">
        <v>44027</v>
      </c>
      <c r="F318" s="76">
        <v>11200</v>
      </c>
      <c r="G318" s="76">
        <v>6.0000000000000001E-3</v>
      </c>
    </row>
    <row r="319" spans="1:7" x14ac:dyDescent="0.25">
      <c r="A319" s="77" t="s">
        <v>319</v>
      </c>
      <c r="B319" s="76" t="s">
        <v>320</v>
      </c>
      <c r="C319" s="76" t="s">
        <v>611</v>
      </c>
      <c r="D319" s="76" t="s">
        <v>612</v>
      </c>
      <c r="E319" s="79">
        <v>44027</v>
      </c>
      <c r="F319" s="76">
        <v>11400</v>
      </c>
      <c r="G319" s="76">
        <v>6.0000000000000001E-3</v>
      </c>
    </row>
    <row r="320" spans="1:7" x14ac:dyDescent="0.25">
      <c r="A320" s="77" t="s">
        <v>319</v>
      </c>
      <c r="B320" s="76" t="s">
        <v>320</v>
      </c>
      <c r="C320" s="76" t="s">
        <v>613</v>
      </c>
      <c r="D320" s="76" t="s">
        <v>614</v>
      </c>
      <c r="E320" s="79">
        <v>44027</v>
      </c>
      <c r="F320" s="76">
        <v>12200</v>
      </c>
      <c r="G320" s="76">
        <v>3.0000000000000001E-3</v>
      </c>
    </row>
    <row r="321" spans="1:7" x14ac:dyDescent="0.25">
      <c r="A321" s="77" t="s">
        <v>319</v>
      </c>
      <c r="B321" s="76" t="s">
        <v>320</v>
      </c>
      <c r="C321" s="76" t="s">
        <v>615</v>
      </c>
      <c r="D321" s="76" t="s">
        <v>616</v>
      </c>
      <c r="E321" s="79">
        <v>44027</v>
      </c>
      <c r="F321" s="76">
        <v>10700</v>
      </c>
      <c r="G321" s="76">
        <v>0.01</v>
      </c>
    </row>
    <row r="322" spans="1:7" x14ac:dyDescent="0.25">
      <c r="A322" s="77" t="s">
        <v>319</v>
      </c>
      <c r="B322" s="76" t="s">
        <v>320</v>
      </c>
      <c r="C322" s="76">
        <v>63174</v>
      </c>
      <c r="D322" s="76" t="s">
        <v>2343</v>
      </c>
      <c r="E322" s="79">
        <v>44221</v>
      </c>
      <c r="F322" s="76">
        <v>11888</v>
      </c>
      <c r="G322" s="76">
        <v>2E-3</v>
      </c>
    </row>
    <row r="323" spans="1:7" x14ac:dyDescent="0.25">
      <c r="A323" s="77" t="s">
        <v>319</v>
      </c>
      <c r="B323" s="76" t="s">
        <v>320</v>
      </c>
      <c r="C323" s="76" t="s">
        <v>617</v>
      </c>
      <c r="D323" s="76" t="s">
        <v>618</v>
      </c>
      <c r="E323" s="79">
        <v>44027</v>
      </c>
      <c r="F323" s="76">
        <v>10500</v>
      </c>
      <c r="G323" s="76">
        <v>0.01</v>
      </c>
    </row>
    <row r="324" spans="1:7" x14ac:dyDescent="0.25">
      <c r="A324" s="77" t="s">
        <v>319</v>
      </c>
      <c r="B324" s="76" t="s">
        <v>320</v>
      </c>
      <c r="C324" s="76" t="s">
        <v>619</v>
      </c>
      <c r="D324" s="76" t="s">
        <v>620</v>
      </c>
      <c r="E324" s="79">
        <v>44027</v>
      </c>
      <c r="F324" s="76">
        <v>9500</v>
      </c>
      <c r="G324" s="76">
        <v>0.02</v>
      </c>
    </row>
    <row r="325" spans="1:7" x14ac:dyDescent="0.25">
      <c r="A325" s="77" t="s">
        <v>319</v>
      </c>
      <c r="B325" s="76" t="s">
        <v>320</v>
      </c>
      <c r="C325" s="76" t="s">
        <v>621</v>
      </c>
      <c r="D325" s="76" t="s">
        <v>622</v>
      </c>
      <c r="E325" s="79">
        <v>44027</v>
      </c>
      <c r="F325" s="76">
        <v>9000</v>
      </c>
      <c r="G325" s="76">
        <v>0.03</v>
      </c>
    </row>
    <row r="326" spans="1:7" x14ac:dyDescent="0.25">
      <c r="A326" s="77" t="s">
        <v>319</v>
      </c>
      <c r="B326" s="76" t="s">
        <v>320</v>
      </c>
      <c r="C326" s="76">
        <v>63254</v>
      </c>
      <c r="D326" s="76" t="s">
        <v>2344</v>
      </c>
      <c r="E326" s="79">
        <v>44159</v>
      </c>
      <c r="F326" s="76">
        <v>12000</v>
      </c>
      <c r="G326" s="76">
        <v>2E-3</v>
      </c>
    </row>
    <row r="327" spans="1:7" x14ac:dyDescent="0.25">
      <c r="A327" s="77" t="s">
        <v>319</v>
      </c>
      <c r="B327" s="76" t="s">
        <v>320</v>
      </c>
      <c r="C327" s="76">
        <v>63255</v>
      </c>
      <c r="D327" s="76" t="s">
        <v>2345</v>
      </c>
      <c r="E327" s="79">
        <v>44159</v>
      </c>
      <c r="F327" s="76">
        <v>11500</v>
      </c>
      <c r="G327" s="76">
        <v>2E-3</v>
      </c>
    </row>
    <row r="328" spans="1:7" x14ac:dyDescent="0.25">
      <c r="A328" s="77" t="s">
        <v>319</v>
      </c>
      <c r="B328" s="76" t="s">
        <v>320</v>
      </c>
      <c r="C328" s="76" t="s">
        <v>623</v>
      </c>
      <c r="D328" s="76" t="s">
        <v>624</v>
      </c>
      <c r="E328" s="79">
        <v>44181</v>
      </c>
      <c r="F328" s="76">
        <v>11500</v>
      </c>
      <c r="G328" s="76">
        <v>6.0000000000000001E-3</v>
      </c>
    </row>
    <row r="329" spans="1:7" x14ac:dyDescent="0.25">
      <c r="A329" s="77" t="s">
        <v>319</v>
      </c>
      <c r="B329" s="76" t="s">
        <v>320</v>
      </c>
      <c r="C329" s="76" t="s">
        <v>625</v>
      </c>
      <c r="D329" s="76" t="s">
        <v>626</v>
      </c>
      <c r="E329" s="79">
        <v>44181</v>
      </c>
      <c r="F329" s="76">
        <v>11900</v>
      </c>
      <c r="G329" s="76">
        <v>5.0000000000000001E-3</v>
      </c>
    </row>
    <row r="330" spans="1:7" x14ac:dyDescent="0.25">
      <c r="A330" s="77" t="s">
        <v>319</v>
      </c>
      <c r="B330" s="76" t="s">
        <v>320</v>
      </c>
      <c r="C330" s="76" t="s">
        <v>627</v>
      </c>
      <c r="D330" s="76" t="s">
        <v>628</v>
      </c>
      <c r="E330" s="79">
        <v>44060</v>
      </c>
      <c r="F330" s="76">
        <v>11300</v>
      </c>
      <c r="G330" s="76">
        <v>6.0000000000000001E-3</v>
      </c>
    </row>
    <row r="331" spans="1:7" x14ac:dyDescent="0.25">
      <c r="A331" s="77" t="s">
        <v>319</v>
      </c>
      <c r="B331" s="76" t="s">
        <v>320</v>
      </c>
      <c r="C331" s="76" t="s">
        <v>629</v>
      </c>
      <c r="D331" s="76" t="s">
        <v>630</v>
      </c>
      <c r="E331" s="79">
        <v>44090</v>
      </c>
      <c r="F331" s="76">
        <v>11000</v>
      </c>
      <c r="G331" s="76">
        <v>6.0000000000000001E-3</v>
      </c>
    </row>
    <row r="332" spans="1:7" x14ac:dyDescent="0.25">
      <c r="A332" s="77" t="s">
        <v>319</v>
      </c>
      <c r="B332" s="76" t="s">
        <v>320</v>
      </c>
      <c r="C332" s="76" t="s">
        <v>631</v>
      </c>
      <c r="D332" s="76" t="s">
        <v>632</v>
      </c>
      <c r="E332" s="79">
        <v>44120</v>
      </c>
      <c r="F332" s="76">
        <v>10700</v>
      </c>
      <c r="G332" s="76">
        <v>6.0000000000000001E-3</v>
      </c>
    </row>
    <row r="333" spans="1:7" x14ac:dyDescent="0.25">
      <c r="A333" s="77" t="s">
        <v>319</v>
      </c>
      <c r="B333" s="76" t="s">
        <v>320</v>
      </c>
      <c r="C333" s="76" t="s">
        <v>633</v>
      </c>
      <c r="D333" s="76" t="s">
        <v>634</v>
      </c>
      <c r="E333" s="79">
        <v>44090</v>
      </c>
      <c r="F333" s="76">
        <v>11500</v>
      </c>
      <c r="G333" s="76">
        <v>2E-3</v>
      </c>
    </row>
    <row r="334" spans="1:7" x14ac:dyDescent="0.25">
      <c r="A334" s="77" t="s">
        <v>319</v>
      </c>
      <c r="B334" s="76" t="s">
        <v>320</v>
      </c>
      <c r="C334" s="76" t="s">
        <v>635</v>
      </c>
      <c r="D334" s="76" t="s">
        <v>636</v>
      </c>
      <c r="E334" s="79">
        <v>44090</v>
      </c>
      <c r="F334" s="76">
        <v>11300</v>
      </c>
      <c r="G334" s="76">
        <v>3.0000000000000001E-3</v>
      </c>
    </row>
    <row r="335" spans="1:7" x14ac:dyDescent="0.25">
      <c r="A335" s="77" t="s">
        <v>319</v>
      </c>
      <c r="B335" s="76" t="s">
        <v>320</v>
      </c>
      <c r="C335" s="76" t="s">
        <v>637</v>
      </c>
      <c r="D335" s="76" t="s">
        <v>638</v>
      </c>
      <c r="E335" s="79">
        <v>44090</v>
      </c>
      <c r="F335" s="76">
        <v>11000</v>
      </c>
      <c r="G335" s="76">
        <v>4.0000000000000001E-3</v>
      </c>
    </row>
    <row r="336" spans="1:7" x14ac:dyDescent="0.25">
      <c r="A336" s="77" t="s">
        <v>319</v>
      </c>
      <c r="B336" s="76" t="s">
        <v>320</v>
      </c>
      <c r="C336" s="76" t="s">
        <v>639</v>
      </c>
      <c r="D336" s="76" t="s">
        <v>640</v>
      </c>
      <c r="E336" s="79">
        <v>44090</v>
      </c>
      <c r="F336" s="76">
        <v>12200</v>
      </c>
      <c r="G336" s="76">
        <v>1E-3</v>
      </c>
    </row>
    <row r="337" spans="1:7" x14ac:dyDescent="0.25">
      <c r="A337" s="77" t="s">
        <v>319</v>
      </c>
      <c r="B337" s="76" t="s">
        <v>320</v>
      </c>
      <c r="C337" s="76" t="s">
        <v>641</v>
      </c>
      <c r="D337" s="76" t="s">
        <v>642</v>
      </c>
      <c r="E337" s="79">
        <v>44028</v>
      </c>
      <c r="F337" s="76">
        <v>12000</v>
      </c>
      <c r="G337" s="76">
        <v>5.0000000000000001E-3</v>
      </c>
    </row>
    <row r="338" spans="1:7" x14ac:dyDescent="0.25">
      <c r="A338" s="77" t="s">
        <v>319</v>
      </c>
      <c r="B338" s="76" t="s">
        <v>320</v>
      </c>
      <c r="C338" s="76" t="s">
        <v>643</v>
      </c>
      <c r="D338" s="76" t="s">
        <v>644</v>
      </c>
      <c r="E338" s="79">
        <v>44032</v>
      </c>
      <c r="F338" s="76">
        <v>11300</v>
      </c>
      <c r="G338" s="76">
        <v>0.01</v>
      </c>
    </row>
    <row r="339" spans="1:7" x14ac:dyDescent="0.25">
      <c r="A339" s="77" t="s">
        <v>319</v>
      </c>
      <c r="B339" s="76" t="s">
        <v>320</v>
      </c>
      <c r="C339" s="76" t="s">
        <v>645</v>
      </c>
      <c r="D339" s="76" t="s">
        <v>646</v>
      </c>
      <c r="E339" s="79">
        <v>44032</v>
      </c>
      <c r="F339" s="76">
        <v>11700</v>
      </c>
      <c r="G339" s="76">
        <v>8.9999999999999993E-3</v>
      </c>
    </row>
    <row r="340" spans="1:7" x14ac:dyDescent="0.25">
      <c r="A340" s="77" t="s">
        <v>319</v>
      </c>
      <c r="B340" s="76" t="s">
        <v>320</v>
      </c>
      <c r="C340" s="76" t="s">
        <v>647</v>
      </c>
      <c r="D340" s="76" t="s">
        <v>648</v>
      </c>
      <c r="E340" s="79">
        <v>44062</v>
      </c>
      <c r="F340" s="76">
        <v>10500</v>
      </c>
      <c r="G340" s="76">
        <v>0.01</v>
      </c>
    </row>
    <row r="341" spans="1:7" x14ac:dyDescent="0.25">
      <c r="A341" s="77" t="s">
        <v>319</v>
      </c>
      <c r="B341" s="76" t="s">
        <v>320</v>
      </c>
      <c r="C341" s="76" t="s">
        <v>649</v>
      </c>
      <c r="D341" s="76" t="s">
        <v>650</v>
      </c>
      <c r="E341" s="79">
        <v>44062</v>
      </c>
      <c r="F341" s="76">
        <v>11000</v>
      </c>
      <c r="G341" s="76">
        <v>6.0000000000000001E-3</v>
      </c>
    </row>
    <row r="342" spans="1:7" x14ac:dyDescent="0.25">
      <c r="A342" s="77" t="s">
        <v>319</v>
      </c>
      <c r="B342" s="76" t="s">
        <v>320</v>
      </c>
      <c r="C342" s="76">
        <v>63855</v>
      </c>
      <c r="D342" s="76" t="s">
        <v>2455</v>
      </c>
      <c r="E342" s="79">
        <v>44166</v>
      </c>
      <c r="F342" s="76">
        <v>11300</v>
      </c>
      <c r="G342" s="76">
        <v>1E-3</v>
      </c>
    </row>
    <row r="343" spans="1:7" x14ac:dyDescent="0.25">
      <c r="A343" s="77" t="s">
        <v>319</v>
      </c>
      <c r="B343" s="76" t="s">
        <v>320</v>
      </c>
      <c r="C343" s="76">
        <v>63856</v>
      </c>
      <c r="D343" s="76" t="s">
        <v>2456</v>
      </c>
      <c r="E343" s="79">
        <v>44166</v>
      </c>
      <c r="F343" s="76">
        <v>11100</v>
      </c>
      <c r="G343" s="76">
        <v>1E-3</v>
      </c>
    </row>
    <row r="344" spans="1:7" x14ac:dyDescent="0.25">
      <c r="A344" s="77" t="s">
        <v>319</v>
      </c>
      <c r="B344" s="76" t="s">
        <v>320</v>
      </c>
      <c r="C344" s="76">
        <v>63857</v>
      </c>
      <c r="D344" s="76" t="s">
        <v>2457</v>
      </c>
      <c r="E344" s="79">
        <v>44166</v>
      </c>
      <c r="F344" s="76">
        <v>10900</v>
      </c>
      <c r="G344" s="76">
        <v>1E-3</v>
      </c>
    </row>
    <row r="345" spans="1:7" x14ac:dyDescent="0.25">
      <c r="A345" s="77" t="s">
        <v>319</v>
      </c>
      <c r="B345" s="76" t="s">
        <v>320</v>
      </c>
      <c r="C345" s="76" t="s">
        <v>651</v>
      </c>
      <c r="D345" s="76" t="s">
        <v>652</v>
      </c>
      <c r="E345" s="79">
        <v>44046</v>
      </c>
      <c r="F345" s="76">
        <v>11400</v>
      </c>
      <c r="G345" s="76">
        <v>6.0000000000000001E-3</v>
      </c>
    </row>
    <row r="346" spans="1:7" x14ac:dyDescent="0.25">
      <c r="A346" s="77" t="s">
        <v>319</v>
      </c>
      <c r="B346" s="76" t="s">
        <v>320</v>
      </c>
      <c r="C346" s="76">
        <v>64414</v>
      </c>
      <c r="D346" s="76" t="s">
        <v>2506</v>
      </c>
      <c r="E346" s="79">
        <v>44173</v>
      </c>
      <c r="F346" s="76">
        <v>12000</v>
      </c>
      <c r="G346" s="76">
        <v>4.0000000000000001E-3</v>
      </c>
    </row>
    <row r="347" spans="1:7" x14ac:dyDescent="0.25">
      <c r="A347" s="77" t="s">
        <v>319</v>
      </c>
      <c r="B347" s="76" t="s">
        <v>320</v>
      </c>
      <c r="C347" s="76">
        <v>64512</v>
      </c>
      <c r="D347" s="76" t="s">
        <v>2507</v>
      </c>
      <c r="E347" s="79">
        <v>44174</v>
      </c>
      <c r="F347" s="76">
        <v>12500</v>
      </c>
      <c r="G347" s="76">
        <v>2E-3</v>
      </c>
    </row>
    <row r="348" spans="1:7" x14ac:dyDescent="0.25">
      <c r="A348" s="77" t="s">
        <v>319</v>
      </c>
      <c r="B348" s="76" t="s">
        <v>320</v>
      </c>
      <c r="C348" s="76">
        <v>64631</v>
      </c>
      <c r="D348" s="76" t="s">
        <v>2508</v>
      </c>
      <c r="E348" s="79">
        <v>44175</v>
      </c>
      <c r="F348" s="76">
        <v>11600</v>
      </c>
      <c r="G348" s="76">
        <v>1E-3</v>
      </c>
    </row>
    <row r="349" spans="1:7" x14ac:dyDescent="0.25">
      <c r="A349" s="77" t="s">
        <v>319</v>
      </c>
      <c r="B349" s="76" t="s">
        <v>320</v>
      </c>
      <c r="C349" s="76">
        <v>64632</v>
      </c>
      <c r="D349" s="76" t="s">
        <v>2509</v>
      </c>
      <c r="E349" s="79">
        <v>44175</v>
      </c>
      <c r="F349" s="76">
        <v>11200</v>
      </c>
      <c r="G349" s="76">
        <v>1E-3</v>
      </c>
    </row>
    <row r="350" spans="1:7" x14ac:dyDescent="0.25">
      <c r="A350" s="77" t="s">
        <v>319</v>
      </c>
      <c r="B350" s="76" t="s">
        <v>320</v>
      </c>
      <c r="C350" s="76">
        <v>64633</v>
      </c>
      <c r="D350" s="76" t="s">
        <v>2510</v>
      </c>
      <c r="E350" s="79">
        <v>44175</v>
      </c>
      <c r="F350" s="76">
        <v>11500</v>
      </c>
      <c r="G350" s="76">
        <v>1E-3</v>
      </c>
    </row>
    <row r="351" spans="1:7" x14ac:dyDescent="0.25">
      <c r="A351" s="77" t="s">
        <v>319</v>
      </c>
      <c r="B351" s="76" t="s">
        <v>320</v>
      </c>
      <c r="C351" s="76">
        <v>64634</v>
      </c>
      <c r="D351" s="76" t="s">
        <v>2511</v>
      </c>
      <c r="E351" s="79">
        <v>44175</v>
      </c>
      <c r="F351" s="76">
        <v>11700</v>
      </c>
      <c r="G351" s="76">
        <v>1E-3</v>
      </c>
    </row>
    <row r="352" spans="1:7" x14ac:dyDescent="0.25">
      <c r="A352" s="77" t="s">
        <v>319</v>
      </c>
      <c r="B352" s="76" t="s">
        <v>320</v>
      </c>
      <c r="C352" s="76">
        <v>64635</v>
      </c>
      <c r="D352" s="76" t="s">
        <v>2512</v>
      </c>
      <c r="E352" s="79">
        <v>44175</v>
      </c>
      <c r="F352" s="76">
        <v>12000</v>
      </c>
      <c r="G352" s="76">
        <v>2E-3</v>
      </c>
    </row>
    <row r="353" spans="1:7" x14ac:dyDescent="0.25">
      <c r="A353" s="77" t="s">
        <v>319</v>
      </c>
      <c r="B353" s="76" t="s">
        <v>320</v>
      </c>
      <c r="C353" s="76">
        <v>64636</v>
      </c>
      <c r="D353" s="76" t="s">
        <v>2513</v>
      </c>
      <c r="E353" s="79">
        <v>44175</v>
      </c>
      <c r="F353" s="76">
        <v>12400</v>
      </c>
      <c r="G353" s="76">
        <v>2E-3</v>
      </c>
    </row>
    <row r="354" spans="1:7" x14ac:dyDescent="0.25">
      <c r="A354" s="77" t="s">
        <v>319</v>
      </c>
      <c r="B354" s="76" t="s">
        <v>320</v>
      </c>
      <c r="C354" s="76">
        <v>64525</v>
      </c>
      <c r="D354" s="76" t="s">
        <v>2514</v>
      </c>
      <c r="E354" s="79">
        <v>44174</v>
      </c>
      <c r="F354" s="76">
        <v>11300</v>
      </c>
      <c r="G354" s="76">
        <v>4.0000000000000001E-3</v>
      </c>
    </row>
    <row r="355" spans="1:7" x14ac:dyDescent="0.25">
      <c r="A355" s="77" t="s">
        <v>319</v>
      </c>
      <c r="B355" s="76" t="s">
        <v>320</v>
      </c>
      <c r="C355" s="76">
        <v>64526</v>
      </c>
      <c r="D355" s="76" t="s">
        <v>2515</v>
      </c>
      <c r="E355" s="79">
        <v>44174</v>
      </c>
      <c r="F355" s="76">
        <v>11700</v>
      </c>
      <c r="G355" s="76">
        <v>4.0000000000000001E-3</v>
      </c>
    </row>
    <row r="356" spans="1:7" x14ac:dyDescent="0.25">
      <c r="A356" s="77" t="s">
        <v>319</v>
      </c>
      <c r="B356" s="76" t="s">
        <v>320</v>
      </c>
      <c r="C356" s="76" t="s">
        <v>655</v>
      </c>
      <c r="D356" s="76" t="s">
        <v>656</v>
      </c>
      <c r="E356" s="79">
        <v>44077</v>
      </c>
      <c r="F356" s="76">
        <v>11200</v>
      </c>
      <c r="G356" s="76">
        <v>2E-3</v>
      </c>
    </row>
    <row r="357" spans="1:7" x14ac:dyDescent="0.25">
      <c r="A357" s="77" t="s">
        <v>319</v>
      </c>
      <c r="B357" s="76" t="s">
        <v>320</v>
      </c>
      <c r="C357" s="76" t="s">
        <v>657</v>
      </c>
      <c r="D357" s="76" t="s">
        <v>658</v>
      </c>
      <c r="E357" s="79">
        <v>44077</v>
      </c>
      <c r="F357" s="76">
        <v>11000</v>
      </c>
      <c r="G357" s="76">
        <v>2E-3</v>
      </c>
    </row>
    <row r="358" spans="1:7" x14ac:dyDescent="0.25">
      <c r="A358" s="77" t="s">
        <v>319</v>
      </c>
      <c r="B358" s="76" t="s">
        <v>320</v>
      </c>
      <c r="C358" s="76" t="s">
        <v>659</v>
      </c>
      <c r="D358" s="76" t="s">
        <v>660</v>
      </c>
      <c r="E358" s="79">
        <v>44046</v>
      </c>
      <c r="F358" s="76">
        <v>11000</v>
      </c>
      <c r="G358" s="76">
        <v>2E-3</v>
      </c>
    </row>
    <row r="359" spans="1:7" x14ac:dyDescent="0.25">
      <c r="A359" s="77" t="s">
        <v>319</v>
      </c>
      <c r="B359" s="76" t="s">
        <v>320</v>
      </c>
      <c r="C359" s="76" t="s">
        <v>246</v>
      </c>
      <c r="D359" s="76" t="s">
        <v>247</v>
      </c>
      <c r="E359" s="79">
        <v>44109</v>
      </c>
      <c r="F359" s="76">
        <v>10700</v>
      </c>
      <c r="G359" s="76">
        <v>6.0000000000000001E-3</v>
      </c>
    </row>
    <row r="360" spans="1:7" x14ac:dyDescent="0.25">
      <c r="A360" s="77" t="s">
        <v>319</v>
      </c>
      <c r="B360" s="76" t="s">
        <v>320</v>
      </c>
      <c r="C360" s="76">
        <v>64910</v>
      </c>
      <c r="D360" s="76" t="s">
        <v>2599</v>
      </c>
      <c r="E360" s="79">
        <v>44180</v>
      </c>
      <c r="F360" s="76">
        <v>12300</v>
      </c>
      <c r="G360" s="76">
        <v>7.0000000000000001E-3</v>
      </c>
    </row>
    <row r="361" spans="1:7" x14ac:dyDescent="0.25">
      <c r="A361" s="77" t="s">
        <v>319</v>
      </c>
      <c r="B361" s="76" t="s">
        <v>320</v>
      </c>
      <c r="C361" s="76" t="s">
        <v>661</v>
      </c>
      <c r="D361" s="76" t="s">
        <v>662</v>
      </c>
      <c r="E361" s="79">
        <v>44109</v>
      </c>
      <c r="F361" s="76">
        <v>10300</v>
      </c>
      <c r="G361" s="76">
        <v>6.0000000000000001E-3</v>
      </c>
    </row>
    <row r="362" spans="1:7" x14ac:dyDescent="0.25">
      <c r="A362" s="77" t="s">
        <v>319</v>
      </c>
      <c r="B362" s="76" t="s">
        <v>320</v>
      </c>
      <c r="C362" s="76" t="s">
        <v>663</v>
      </c>
      <c r="D362" s="76" t="s">
        <v>664</v>
      </c>
      <c r="E362" s="79">
        <v>44109</v>
      </c>
      <c r="F362" s="76">
        <v>10500</v>
      </c>
      <c r="G362" s="76">
        <v>5.0000000000000001E-3</v>
      </c>
    </row>
    <row r="363" spans="1:7" x14ac:dyDescent="0.25">
      <c r="A363" s="77" t="s">
        <v>319</v>
      </c>
      <c r="B363" s="76" t="s">
        <v>320</v>
      </c>
      <c r="C363" s="76" t="s">
        <v>665</v>
      </c>
      <c r="D363" s="76" t="s">
        <v>666</v>
      </c>
      <c r="E363" s="79">
        <v>44109</v>
      </c>
      <c r="F363" s="76">
        <v>10700</v>
      </c>
      <c r="G363" s="76">
        <v>4.0000000000000001E-3</v>
      </c>
    </row>
    <row r="364" spans="1:7" x14ac:dyDescent="0.25">
      <c r="A364" s="77" t="s">
        <v>319</v>
      </c>
      <c r="B364" s="76" t="s">
        <v>320</v>
      </c>
      <c r="C364" s="76" t="s">
        <v>667</v>
      </c>
      <c r="D364" s="76" t="s">
        <v>668</v>
      </c>
      <c r="E364" s="79">
        <v>44109</v>
      </c>
      <c r="F364" s="76">
        <v>10900</v>
      </c>
      <c r="G364" s="76">
        <v>4.0000000000000001E-3</v>
      </c>
    </row>
    <row r="365" spans="1:7" x14ac:dyDescent="0.25">
      <c r="A365" s="77" t="s">
        <v>319</v>
      </c>
      <c r="B365" s="76" t="s">
        <v>320</v>
      </c>
      <c r="C365" s="76" t="s">
        <v>669</v>
      </c>
      <c r="D365" s="76" t="s">
        <v>670</v>
      </c>
      <c r="E365" s="79">
        <v>44109</v>
      </c>
      <c r="F365" s="76">
        <v>11000</v>
      </c>
      <c r="G365" s="76">
        <v>1E-3</v>
      </c>
    </row>
    <row r="366" spans="1:7" x14ac:dyDescent="0.25">
      <c r="A366" s="77" t="s">
        <v>319</v>
      </c>
      <c r="B366" s="76" t="s">
        <v>320</v>
      </c>
      <c r="C366" s="76">
        <v>65055</v>
      </c>
      <c r="D366" s="76" t="s">
        <v>2600</v>
      </c>
      <c r="E366" s="79">
        <v>44244</v>
      </c>
      <c r="F366" s="76">
        <v>12682</v>
      </c>
      <c r="G366" s="76">
        <v>2E-3</v>
      </c>
    </row>
    <row r="367" spans="1:7" x14ac:dyDescent="0.25">
      <c r="A367" s="77" t="s">
        <v>319</v>
      </c>
      <c r="B367" s="76" t="s">
        <v>320</v>
      </c>
      <c r="C367" s="76">
        <v>65056</v>
      </c>
      <c r="D367" s="76" t="s">
        <v>2601</v>
      </c>
      <c r="E367" s="79">
        <v>44181</v>
      </c>
      <c r="F367" s="76">
        <v>11800</v>
      </c>
      <c r="G367" s="76">
        <v>4.0000000000000001E-3</v>
      </c>
    </row>
    <row r="368" spans="1:7" x14ac:dyDescent="0.25">
      <c r="A368" s="77" t="s">
        <v>319</v>
      </c>
      <c r="B368" s="76" t="s">
        <v>320</v>
      </c>
      <c r="C368" s="76">
        <v>65057</v>
      </c>
      <c r="D368" s="76" t="s">
        <v>2602</v>
      </c>
      <c r="E368" s="79">
        <v>44181</v>
      </c>
      <c r="F368" s="76">
        <v>11000</v>
      </c>
      <c r="G368" s="76">
        <v>3.0000000000000001E-3</v>
      </c>
    </row>
    <row r="369" spans="1:7" x14ac:dyDescent="0.25">
      <c r="A369" s="77" t="s">
        <v>319</v>
      </c>
      <c r="B369" s="76" t="s">
        <v>320</v>
      </c>
      <c r="C369" s="76">
        <v>65068</v>
      </c>
      <c r="D369" s="76" t="s">
        <v>2603</v>
      </c>
      <c r="E369" s="79">
        <v>44181</v>
      </c>
      <c r="F369" s="76">
        <v>10800</v>
      </c>
      <c r="G369" s="76">
        <v>2E-3</v>
      </c>
    </row>
    <row r="370" spans="1:7" x14ac:dyDescent="0.25">
      <c r="A370" s="77" t="s">
        <v>319</v>
      </c>
      <c r="B370" s="76" t="s">
        <v>320</v>
      </c>
      <c r="C370" s="76">
        <v>65069</v>
      </c>
      <c r="D370" s="76" t="s">
        <v>2604</v>
      </c>
      <c r="E370" s="79">
        <v>44181</v>
      </c>
      <c r="F370" s="76">
        <v>11500</v>
      </c>
      <c r="G370" s="76">
        <v>2E-3</v>
      </c>
    </row>
    <row r="371" spans="1:7" x14ac:dyDescent="0.25">
      <c r="A371" s="77" t="s">
        <v>319</v>
      </c>
      <c r="B371" s="76" t="s">
        <v>320</v>
      </c>
      <c r="C371" s="76">
        <v>65070</v>
      </c>
      <c r="D371" s="76" t="s">
        <v>2605</v>
      </c>
      <c r="E371" s="79">
        <v>44181</v>
      </c>
      <c r="F371" s="76">
        <v>11900</v>
      </c>
      <c r="G371" s="76">
        <v>4.0000000000000001E-3</v>
      </c>
    </row>
    <row r="372" spans="1:7" x14ac:dyDescent="0.25">
      <c r="A372" s="77" t="s">
        <v>319</v>
      </c>
      <c r="B372" s="76" t="s">
        <v>320</v>
      </c>
      <c r="C372" s="76">
        <v>65114</v>
      </c>
      <c r="D372" s="76" t="s">
        <v>2606</v>
      </c>
      <c r="E372" s="79">
        <v>44181</v>
      </c>
      <c r="F372" s="76">
        <v>10300</v>
      </c>
      <c r="G372" s="76">
        <v>3.0000000000000001E-3</v>
      </c>
    </row>
    <row r="373" spans="1:7" x14ac:dyDescent="0.25">
      <c r="A373" s="77" t="s">
        <v>319</v>
      </c>
      <c r="B373" s="76" t="s">
        <v>320</v>
      </c>
      <c r="C373" s="76">
        <v>65115</v>
      </c>
      <c r="D373" s="76" t="s">
        <v>2607</v>
      </c>
      <c r="E373" s="79">
        <v>44181</v>
      </c>
      <c r="F373" s="76">
        <v>11000</v>
      </c>
      <c r="G373" s="76">
        <v>3.0000000000000001E-3</v>
      </c>
    </row>
    <row r="374" spans="1:7" x14ac:dyDescent="0.25">
      <c r="A374" s="77" t="s">
        <v>319</v>
      </c>
      <c r="B374" s="76" t="s">
        <v>320</v>
      </c>
      <c r="C374" s="76">
        <v>65116</v>
      </c>
      <c r="D374" s="76" t="s">
        <v>2608</v>
      </c>
      <c r="E374" s="79">
        <v>44181</v>
      </c>
      <c r="F374" s="76">
        <v>11800</v>
      </c>
      <c r="G374" s="76">
        <v>5.0000000000000001E-3</v>
      </c>
    </row>
    <row r="375" spans="1:7" x14ac:dyDescent="0.25">
      <c r="A375" s="77" t="s">
        <v>319</v>
      </c>
      <c r="B375" s="76" t="s">
        <v>320</v>
      </c>
      <c r="C375" s="76">
        <v>65117</v>
      </c>
      <c r="D375" s="76" t="s">
        <v>2609</v>
      </c>
      <c r="E375" s="79">
        <v>44181</v>
      </c>
      <c r="F375" s="76">
        <v>12300</v>
      </c>
      <c r="G375" s="76">
        <v>0.01</v>
      </c>
    </row>
    <row r="376" spans="1:7" x14ac:dyDescent="0.25">
      <c r="A376" s="77" t="s">
        <v>319</v>
      </c>
      <c r="B376" s="76" t="s">
        <v>320</v>
      </c>
      <c r="C376" s="76">
        <v>65120</v>
      </c>
      <c r="D376" s="76" t="s">
        <v>2610</v>
      </c>
      <c r="E376" s="79">
        <v>44181</v>
      </c>
      <c r="F376" s="76">
        <v>11800</v>
      </c>
      <c r="G376" s="76">
        <v>1E-3</v>
      </c>
    </row>
    <row r="377" spans="1:7" x14ac:dyDescent="0.25">
      <c r="A377" s="77" t="s">
        <v>319</v>
      </c>
      <c r="B377" s="76" t="s">
        <v>320</v>
      </c>
      <c r="C377" s="76">
        <v>65121</v>
      </c>
      <c r="D377" s="76" t="s">
        <v>2611</v>
      </c>
      <c r="E377" s="79">
        <v>44181</v>
      </c>
      <c r="F377" s="76">
        <v>12500</v>
      </c>
      <c r="G377" s="76">
        <v>2E-3</v>
      </c>
    </row>
    <row r="378" spans="1:7" x14ac:dyDescent="0.25">
      <c r="A378" s="77" t="s">
        <v>319</v>
      </c>
      <c r="B378" s="76" t="s">
        <v>320</v>
      </c>
      <c r="C378" s="76">
        <v>65192</v>
      </c>
      <c r="D378" s="76" t="s">
        <v>2612</v>
      </c>
      <c r="E378" s="79">
        <v>44182</v>
      </c>
      <c r="F378" s="76">
        <v>11500</v>
      </c>
      <c r="G378" s="76">
        <v>1E-3</v>
      </c>
    </row>
    <row r="379" spans="1:7" x14ac:dyDescent="0.25">
      <c r="A379" s="77" t="s">
        <v>319</v>
      </c>
      <c r="B379" s="76" t="s">
        <v>320</v>
      </c>
      <c r="C379" s="76" t="s">
        <v>671</v>
      </c>
      <c r="D379" s="76" t="s">
        <v>672</v>
      </c>
      <c r="E379" s="79">
        <v>44049</v>
      </c>
      <c r="F379" s="76">
        <v>11100</v>
      </c>
      <c r="G379" s="76">
        <v>4.0000000000000001E-3</v>
      </c>
    </row>
    <row r="380" spans="1:7" x14ac:dyDescent="0.25">
      <c r="A380" s="77" t="s">
        <v>319</v>
      </c>
      <c r="B380" s="76" t="s">
        <v>320</v>
      </c>
      <c r="C380" s="76" t="s">
        <v>653</v>
      </c>
      <c r="D380" s="76" t="s">
        <v>654</v>
      </c>
      <c r="E380" s="79">
        <v>44077</v>
      </c>
      <c r="F380" s="76">
        <v>11400</v>
      </c>
      <c r="G380" s="76">
        <v>2E-3</v>
      </c>
    </row>
    <row r="381" spans="1:7" x14ac:dyDescent="0.25">
      <c r="A381" s="77" t="s">
        <v>319</v>
      </c>
      <c r="B381" s="76" t="s">
        <v>320</v>
      </c>
      <c r="C381" s="76" t="s">
        <v>673</v>
      </c>
      <c r="D381" s="76" t="s">
        <v>674</v>
      </c>
      <c r="E381" s="79">
        <v>44053</v>
      </c>
      <c r="F381" s="76">
        <v>11000</v>
      </c>
      <c r="G381" s="76">
        <v>6.0000000000000001E-3</v>
      </c>
    </row>
    <row r="382" spans="1:7" x14ac:dyDescent="0.25">
      <c r="A382" s="77" t="s">
        <v>319</v>
      </c>
      <c r="B382" s="76" t="s">
        <v>320</v>
      </c>
      <c r="C382" s="76">
        <v>65486</v>
      </c>
      <c r="D382" s="76" t="s">
        <v>2707</v>
      </c>
      <c r="E382" s="79">
        <v>44187</v>
      </c>
      <c r="F382" s="76">
        <v>12700</v>
      </c>
      <c r="G382" s="76">
        <v>3.0000000000000001E-3</v>
      </c>
    </row>
    <row r="383" spans="1:7" x14ac:dyDescent="0.25">
      <c r="A383" s="77" t="s">
        <v>319</v>
      </c>
      <c r="B383" s="76" t="s">
        <v>320</v>
      </c>
      <c r="C383" s="76">
        <v>65487</v>
      </c>
      <c r="D383" s="76" t="s">
        <v>2708</v>
      </c>
      <c r="E383" s="79">
        <v>44187</v>
      </c>
      <c r="F383" s="76">
        <v>12200</v>
      </c>
      <c r="G383" s="76">
        <v>2E-3</v>
      </c>
    </row>
    <row r="384" spans="1:7" x14ac:dyDescent="0.25">
      <c r="A384" s="77" t="s">
        <v>319</v>
      </c>
      <c r="B384" s="76" t="s">
        <v>320</v>
      </c>
      <c r="C384" s="76">
        <v>65488</v>
      </c>
      <c r="D384" s="76" t="s">
        <v>2709</v>
      </c>
      <c r="E384" s="79">
        <v>44187</v>
      </c>
      <c r="F384" s="76">
        <v>12100</v>
      </c>
      <c r="G384" s="76">
        <v>2E-3</v>
      </c>
    </row>
    <row r="385" spans="1:7" x14ac:dyDescent="0.25">
      <c r="A385" s="77" t="s">
        <v>319</v>
      </c>
      <c r="B385" s="76" t="s">
        <v>320</v>
      </c>
      <c r="C385" s="76">
        <v>65489</v>
      </c>
      <c r="D385" s="76" t="s">
        <v>2710</v>
      </c>
      <c r="E385" s="79">
        <v>44187</v>
      </c>
      <c r="F385" s="76">
        <v>11900</v>
      </c>
      <c r="G385" s="76">
        <v>2E-3</v>
      </c>
    </row>
    <row r="386" spans="1:7" x14ac:dyDescent="0.25">
      <c r="A386" s="77" t="s">
        <v>319</v>
      </c>
      <c r="B386" s="76" t="s">
        <v>320</v>
      </c>
      <c r="C386" s="76" t="s">
        <v>679</v>
      </c>
      <c r="D386" s="76" t="s">
        <v>680</v>
      </c>
      <c r="E386" s="79">
        <v>44083</v>
      </c>
      <c r="F386" s="76">
        <v>11000</v>
      </c>
      <c r="G386" s="76">
        <v>5.0000000000000001E-3</v>
      </c>
    </row>
    <row r="387" spans="1:7" x14ac:dyDescent="0.25">
      <c r="A387" s="77" t="s">
        <v>319</v>
      </c>
      <c r="B387" s="76" t="s">
        <v>320</v>
      </c>
      <c r="C387" s="76">
        <v>65616</v>
      </c>
      <c r="D387" s="76" t="s">
        <v>2728</v>
      </c>
      <c r="E387" s="79">
        <v>44188</v>
      </c>
      <c r="F387" s="76">
        <v>12500</v>
      </c>
      <c r="G387" s="76">
        <v>2E-3</v>
      </c>
    </row>
    <row r="388" spans="1:7" x14ac:dyDescent="0.25">
      <c r="A388" s="77" t="s">
        <v>319</v>
      </c>
      <c r="B388" s="76" t="s">
        <v>320</v>
      </c>
      <c r="C388" s="76">
        <v>65617</v>
      </c>
      <c r="D388" s="76" t="s">
        <v>2729</v>
      </c>
      <c r="E388" s="79">
        <v>44188</v>
      </c>
      <c r="F388" s="76">
        <v>12000</v>
      </c>
      <c r="G388" s="76">
        <v>2E-3</v>
      </c>
    </row>
    <row r="389" spans="1:7" x14ac:dyDescent="0.25">
      <c r="A389" s="77" t="s">
        <v>319</v>
      </c>
      <c r="B389" s="76" t="s">
        <v>320</v>
      </c>
      <c r="C389" s="76" t="s">
        <v>675</v>
      </c>
      <c r="D389" s="76" t="s">
        <v>676</v>
      </c>
      <c r="E389" s="79">
        <v>44083</v>
      </c>
      <c r="F389" s="76">
        <v>10000</v>
      </c>
      <c r="G389" s="76">
        <v>5.0000000000000001E-3</v>
      </c>
    </row>
    <row r="390" spans="1:7" x14ac:dyDescent="0.25">
      <c r="A390" s="77" t="s">
        <v>319</v>
      </c>
      <c r="B390" s="76" t="s">
        <v>320</v>
      </c>
      <c r="C390" s="76" t="s">
        <v>677</v>
      </c>
      <c r="D390" s="76" t="s">
        <v>678</v>
      </c>
      <c r="E390" s="79">
        <v>44083</v>
      </c>
      <c r="F390" s="76">
        <v>10500</v>
      </c>
      <c r="G390" s="76">
        <v>5.0000000000000001E-3</v>
      </c>
    </row>
    <row r="391" spans="1:7" x14ac:dyDescent="0.25">
      <c r="A391" s="77" t="s">
        <v>319</v>
      </c>
      <c r="B391" s="76" t="s">
        <v>320</v>
      </c>
      <c r="C391" s="76" t="s">
        <v>681</v>
      </c>
      <c r="D391" s="76" t="s">
        <v>682</v>
      </c>
      <c r="E391" s="79">
        <v>44053</v>
      </c>
      <c r="F391" s="76">
        <v>10000</v>
      </c>
      <c r="G391" s="76">
        <v>6.0000000000000001E-3</v>
      </c>
    </row>
    <row r="392" spans="1:7" x14ac:dyDescent="0.25">
      <c r="A392" s="77" t="s">
        <v>319</v>
      </c>
      <c r="B392" s="76" t="s">
        <v>320</v>
      </c>
      <c r="C392" s="76">
        <v>65863</v>
      </c>
      <c r="D392" s="76" t="s">
        <v>2748</v>
      </c>
      <c r="E392" s="79">
        <v>44196</v>
      </c>
      <c r="F392" s="76">
        <v>13000</v>
      </c>
      <c r="G392" s="76">
        <v>3.0000000000000001E-3</v>
      </c>
    </row>
    <row r="393" spans="1:7" x14ac:dyDescent="0.25">
      <c r="A393" s="77" t="s">
        <v>319</v>
      </c>
      <c r="B393" s="76" t="s">
        <v>320</v>
      </c>
      <c r="C393" s="76" t="s">
        <v>683</v>
      </c>
      <c r="D393" s="76" t="s">
        <v>684</v>
      </c>
      <c r="E393" s="79">
        <v>44053</v>
      </c>
      <c r="F393" s="76">
        <v>10200</v>
      </c>
      <c r="G393" s="76">
        <v>7.0000000000000001E-3</v>
      </c>
    </row>
    <row r="394" spans="1:7" x14ac:dyDescent="0.25">
      <c r="A394" s="77" t="s">
        <v>319</v>
      </c>
      <c r="B394" s="76" t="s">
        <v>320</v>
      </c>
      <c r="C394" s="76">
        <v>66195</v>
      </c>
      <c r="D394" s="76" t="s">
        <v>2867</v>
      </c>
      <c r="E394" s="79">
        <v>44260</v>
      </c>
      <c r="F394" s="76">
        <v>13000</v>
      </c>
      <c r="G394" s="76">
        <v>4.0000000000000001E-3</v>
      </c>
    </row>
    <row r="395" spans="1:7" x14ac:dyDescent="0.25">
      <c r="A395" s="77" t="s">
        <v>319</v>
      </c>
      <c r="B395" s="76" t="s">
        <v>320</v>
      </c>
      <c r="C395" s="76">
        <v>66578</v>
      </c>
      <c r="D395" s="76" t="s">
        <v>2869</v>
      </c>
      <c r="E395" s="79">
        <v>44203</v>
      </c>
      <c r="F395" s="76">
        <v>12800</v>
      </c>
      <c r="G395" s="76">
        <v>3.0000000000000001E-3</v>
      </c>
    </row>
    <row r="396" spans="1:7" x14ac:dyDescent="0.25">
      <c r="A396" s="77" t="s">
        <v>319</v>
      </c>
      <c r="B396" s="76" t="s">
        <v>320</v>
      </c>
      <c r="C396" s="76">
        <v>66579</v>
      </c>
      <c r="D396" s="76" t="s">
        <v>2870</v>
      </c>
      <c r="E396" s="79">
        <v>44203</v>
      </c>
      <c r="F396" s="76">
        <v>12300</v>
      </c>
      <c r="G396" s="76">
        <v>3.0000000000000001E-3</v>
      </c>
    </row>
    <row r="397" spans="1:7" x14ac:dyDescent="0.25">
      <c r="A397" s="77" t="s">
        <v>319</v>
      </c>
      <c r="B397" s="76" t="s">
        <v>320</v>
      </c>
      <c r="C397" s="76">
        <v>66580</v>
      </c>
      <c r="D397" s="76" t="s">
        <v>2871</v>
      </c>
      <c r="E397" s="79">
        <v>44203</v>
      </c>
      <c r="F397" s="76">
        <v>11900</v>
      </c>
      <c r="G397" s="76">
        <v>2E-3</v>
      </c>
    </row>
    <row r="398" spans="1:7" x14ac:dyDescent="0.25">
      <c r="A398" s="77" t="s">
        <v>319</v>
      </c>
      <c r="B398" s="76" t="s">
        <v>320</v>
      </c>
      <c r="C398" s="76">
        <v>66581</v>
      </c>
      <c r="D398" s="76" t="s">
        <v>2872</v>
      </c>
      <c r="E398" s="79">
        <v>44203</v>
      </c>
      <c r="F398" s="76">
        <v>11800</v>
      </c>
      <c r="G398" s="76">
        <v>2E-3</v>
      </c>
    </row>
    <row r="399" spans="1:7" x14ac:dyDescent="0.25">
      <c r="A399" s="77" t="s">
        <v>319</v>
      </c>
      <c r="B399" s="76" t="s">
        <v>320</v>
      </c>
      <c r="C399" s="76">
        <v>66582</v>
      </c>
      <c r="D399" s="76" t="s">
        <v>2873</v>
      </c>
      <c r="E399" s="79">
        <v>44203</v>
      </c>
      <c r="F399" s="76">
        <v>11400</v>
      </c>
      <c r="G399" s="76">
        <v>2E-3</v>
      </c>
    </row>
    <row r="400" spans="1:7" x14ac:dyDescent="0.25">
      <c r="A400" s="77" t="s">
        <v>319</v>
      </c>
      <c r="B400" s="76" t="s">
        <v>320</v>
      </c>
      <c r="C400" s="76">
        <v>66642</v>
      </c>
      <c r="D400" s="76" t="s">
        <v>2874</v>
      </c>
      <c r="E400" s="79">
        <v>44293</v>
      </c>
      <c r="F400" s="76">
        <v>13888</v>
      </c>
      <c r="G400" s="76">
        <v>4.0000000000000001E-3</v>
      </c>
    </row>
    <row r="401" spans="1:7" x14ac:dyDescent="0.25">
      <c r="A401" s="77" t="s">
        <v>319</v>
      </c>
      <c r="B401" s="76" t="s">
        <v>320</v>
      </c>
      <c r="C401" s="76">
        <v>66711</v>
      </c>
      <c r="D401" s="76" t="s">
        <v>2875</v>
      </c>
      <c r="E401" s="79">
        <v>44204</v>
      </c>
      <c r="F401" s="76">
        <v>12000</v>
      </c>
      <c r="G401" s="76">
        <v>3.0000000000000001E-3</v>
      </c>
    </row>
    <row r="402" spans="1:7" x14ac:dyDescent="0.25">
      <c r="A402" s="77" t="s">
        <v>319</v>
      </c>
      <c r="B402" s="76" t="s">
        <v>320</v>
      </c>
      <c r="C402" s="76">
        <v>66374</v>
      </c>
      <c r="D402" s="76" t="s">
        <v>2868</v>
      </c>
      <c r="E402" s="79">
        <v>44292</v>
      </c>
      <c r="F402" s="76">
        <v>16888</v>
      </c>
      <c r="G402" s="76">
        <v>0.01</v>
      </c>
    </row>
    <row r="403" spans="1:7" x14ac:dyDescent="0.25">
      <c r="A403" s="77" t="s">
        <v>319</v>
      </c>
      <c r="B403" s="76" t="s">
        <v>320</v>
      </c>
      <c r="C403" s="76" t="s">
        <v>685</v>
      </c>
      <c r="D403" s="76" t="s">
        <v>686</v>
      </c>
      <c r="E403" s="79">
        <v>44181</v>
      </c>
      <c r="F403" s="76">
        <v>10700</v>
      </c>
      <c r="G403" s="76">
        <v>8.0000000000000002E-3</v>
      </c>
    </row>
    <row r="404" spans="1:7" x14ac:dyDescent="0.25">
      <c r="A404" s="77" t="s">
        <v>319</v>
      </c>
      <c r="B404" s="76" t="s">
        <v>320</v>
      </c>
      <c r="C404" s="76" t="s">
        <v>687</v>
      </c>
      <c r="D404" s="76" t="s">
        <v>688</v>
      </c>
      <c r="E404" s="79">
        <v>44060</v>
      </c>
      <c r="F404" s="76">
        <v>11600</v>
      </c>
      <c r="G404" s="76">
        <v>3.0000000000000001E-3</v>
      </c>
    </row>
    <row r="405" spans="1:7" x14ac:dyDescent="0.25">
      <c r="A405" s="77" t="s">
        <v>319</v>
      </c>
      <c r="B405" s="76" t="s">
        <v>320</v>
      </c>
      <c r="C405" s="76" t="s">
        <v>689</v>
      </c>
      <c r="D405" s="76" t="s">
        <v>690</v>
      </c>
      <c r="E405" s="79">
        <v>44090</v>
      </c>
      <c r="F405" s="76">
        <v>10600</v>
      </c>
      <c r="G405" s="76">
        <v>6.0000000000000001E-3</v>
      </c>
    </row>
    <row r="406" spans="1:7" x14ac:dyDescent="0.25">
      <c r="A406" s="77" t="s">
        <v>319</v>
      </c>
      <c r="B406" s="76" t="s">
        <v>320</v>
      </c>
      <c r="C406" s="76" t="s">
        <v>691</v>
      </c>
      <c r="D406" s="76" t="s">
        <v>692</v>
      </c>
      <c r="E406" s="79">
        <v>44090</v>
      </c>
      <c r="F406" s="76">
        <v>10000</v>
      </c>
      <c r="G406" s="76">
        <v>6.0000000000000001E-3</v>
      </c>
    </row>
    <row r="407" spans="1:7" x14ac:dyDescent="0.25">
      <c r="A407" s="77" t="s">
        <v>319</v>
      </c>
      <c r="B407" s="76" t="s">
        <v>320</v>
      </c>
      <c r="C407" s="76" t="s">
        <v>693</v>
      </c>
      <c r="D407" s="76" t="s">
        <v>694</v>
      </c>
      <c r="E407" s="79">
        <v>44090</v>
      </c>
      <c r="F407" s="76">
        <v>10500</v>
      </c>
      <c r="G407" s="76">
        <v>4.0000000000000001E-3</v>
      </c>
    </row>
    <row r="408" spans="1:7" x14ac:dyDescent="0.25">
      <c r="A408" s="77" t="s">
        <v>319</v>
      </c>
      <c r="B408" s="76" t="s">
        <v>320</v>
      </c>
      <c r="C408" s="76" t="s">
        <v>695</v>
      </c>
      <c r="D408" s="76" t="s">
        <v>696</v>
      </c>
      <c r="E408" s="79">
        <v>44090</v>
      </c>
      <c r="F408" s="76">
        <v>10800</v>
      </c>
      <c r="G408" s="76">
        <v>0.01</v>
      </c>
    </row>
    <row r="409" spans="1:7" x14ac:dyDescent="0.25">
      <c r="A409" s="77" t="s">
        <v>319</v>
      </c>
      <c r="B409" s="76" t="s">
        <v>320</v>
      </c>
      <c r="C409" s="76" t="s">
        <v>697</v>
      </c>
      <c r="D409" s="76" t="s">
        <v>698</v>
      </c>
      <c r="E409" s="79">
        <v>44090</v>
      </c>
      <c r="F409" s="76">
        <v>10600</v>
      </c>
      <c r="G409" s="76">
        <v>0.01</v>
      </c>
    </row>
    <row r="410" spans="1:7" x14ac:dyDescent="0.25">
      <c r="A410" s="77" t="s">
        <v>319</v>
      </c>
      <c r="B410" s="76" t="s">
        <v>320</v>
      </c>
      <c r="C410" s="76" t="s">
        <v>699</v>
      </c>
      <c r="D410" s="76" t="s">
        <v>700</v>
      </c>
      <c r="E410" s="79">
        <v>44090</v>
      </c>
      <c r="F410" s="76">
        <v>10400</v>
      </c>
      <c r="G410" s="76">
        <v>0.02</v>
      </c>
    </row>
    <row r="411" spans="1:7" x14ac:dyDescent="0.25">
      <c r="A411" s="77" t="s">
        <v>319</v>
      </c>
      <c r="B411" s="76" t="s">
        <v>320</v>
      </c>
      <c r="C411" s="76" t="s">
        <v>701</v>
      </c>
      <c r="D411" s="76" t="s">
        <v>702</v>
      </c>
      <c r="E411" s="79">
        <v>44090</v>
      </c>
      <c r="F411" s="76">
        <v>10200</v>
      </c>
      <c r="G411" s="76">
        <v>0.02</v>
      </c>
    </row>
    <row r="412" spans="1:7" x14ac:dyDescent="0.25">
      <c r="A412" s="77" t="s">
        <v>319</v>
      </c>
      <c r="B412" s="76" t="s">
        <v>320</v>
      </c>
      <c r="C412" s="76" t="s">
        <v>703</v>
      </c>
      <c r="D412" s="76" t="s">
        <v>704</v>
      </c>
      <c r="E412" s="79">
        <v>44090</v>
      </c>
      <c r="F412" s="76">
        <v>10000</v>
      </c>
      <c r="G412" s="76">
        <v>2.5000000000000001E-2</v>
      </c>
    </row>
    <row r="413" spans="1:7" x14ac:dyDescent="0.25">
      <c r="A413" s="77" t="s">
        <v>319</v>
      </c>
      <c r="B413" s="76" t="s">
        <v>320</v>
      </c>
      <c r="C413" s="76" t="s">
        <v>705</v>
      </c>
      <c r="D413" s="76" t="s">
        <v>706</v>
      </c>
      <c r="E413" s="79">
        <v>44090</v>
      </c>
      <c r="F413" s="76">
        <v>10000</v>
      </c>
      <c r="G413" s="76">
        <v>0.02</v>
      </c>
    </row>
    <row r="414" spans="1:7" x14ac:dyDescent="0.25">
      <c r="A414" s="77" t="s">
        <v>319</v>
      </c>
      <c r="B414" s="76" t="s">
        <v>320</v>
      </c>
      <c r="C414" s="76" t="s">
        <v>707</v>
      </c>
      <c r="D414" s="76" t="s">
        <v>708</v>
      </c>
      <c r="E414" s="79">
        <v>44090</v>
      </c>
      <c r="F414" s="76">
        <v>10800</v>
      </c>
      <c r="G414" s="76">
        <v>2E-3</v>
      </c>
    </row>
    <row r="415" spans="1:7" x14ac:dyDescent="0.25">
      <c r="A415" s="77" t="s">
        <v>319</v>
      </c>
      <c r="B415" s="76" t="s">
        <v>320</v>
      </c>
      <c r="C415" s="76" t="s">
        <v>709</v>
      </c>
      <c r="D415" s="76" t="s">
        <v>710</v>
      </c>
      <c r="E415" s="79">
        <v>44123</v>
      </c>
      <c r="F415" s="76">
        <v>11800</v>
      </c>
      <c r="G415" s="76">
        <v>1E-3</v>
      </c>
    </row>
    <row r="416" spans="1:7" x14ac:dyDescent="0.25">
      <c r="A416" s="77" t="s">
        <v>319</v>
      </c>
      <c r="B416" s="76" t="s">
        <v>320</v>
      </c>
      <c r="C416" s="76" t="s">
        <v>711</v>
      </c>
      <c r="D416" s="76" t="s">
        <v>712</v>
      </c>
      <c r="E416" s="79">
        <v>44123</v>
      </c>
      <c r="F416" s="76">
        <v>10000</v>
      </c>
      <c r="G416" s="76">
        <v>5.0000000000000001E-3</v>
      </c>
    </row>
    <row r="417" spans="1:7" x14ac:dyDescent="0.25">
      <c r="A417" s="77" t="s">
        <v>319</v>
      </c>
      <c r="B417" s="76" t="s">
        <v>320</v>
      </c>
      <c r="C417" s="76" t="s">
        <v>719</v>
      </c>
      <c r="D417" s="76" t="s">
        <v>720</v>
      </c>
      <c r="E417" s="79">
        <v>44062</v>
      </c>
      <c r="F417" s="76">
        <v>11500</v>
      </c>
      <c r="G417" s="76">
        <v>3.0000000000000001E-3</v>
      </c>
    </row>
    <row r="418" spans="1:7" x14ac:dyDescent="0.25">
      <c r="A418" s="77" t="s">
        <v>319</v>
      </c>
      <c r="B418" s="76" t="s">
        <v>320</v>
      </c>
      <c r="C418" s="76" t="s">
        <v>721</v>
      </c>
      <c r="D418" s="76" t="s">
        <v>722</v>
      </c>
      <c r="E418" s="79">
        <v>44062</v>
      </c>
      <c r="F418" s="76">
        <v>11000</v>
      </c>
      <c r="G418" s="76">
        <v>5.0000000000000001E-3</v>
      </c>
    </row>
    <row r="419" spans="1:7" x14ac:dyDescent="0.25">
      <c r="A419" s="77" t="s">
        <v>319</v>
      </c>
      <c r="B419" s="76" t="s">
        <v>320</v>
      </c>
      <c r="C419" s="76" t="s">
        <v>723</v>
      </c>
      <c r="D419" s="76" t="s">
        <v>724</v>
      </c>
      <c r="E419" s="79">
        <v>44062</v>
      </c>
      <c r="F419" s="76">
        <v>9800</v>
      </c>
      <c r="G419" s="76">
        <v>1.4999999999999999E-2</v>
      </c>
    </row>
    <row r="420" spans="1:7" x14ac:dyDescent="0.25">
      <c r="A420" s="77" t="s">
        <v>319</v>
      </c>
      <c r="B420" s="76" t="s">
        <v>320</v>
      </c>
      <c r="C420" s="76" t="s">
        <v>725</v>
      </c>
      <c r="D420" s="76" t="s">
        <v>726</v>
      </c>
      <c r="E420" s="79">
        <v>44062</v>
      </c>
      <c r="F420" s="76">
        <v>10000</v>
      </c>
      <c r="G420" s="76">
        <v>1.2E-2</v>
      </c>
    </row>
    <row r="421" spans="1:7" x14ac:dyDescent="0.25">
      <c r="A421" s="77" t="s">
        <v>319</v>
      </c>
      <c r="B421" s="76" t="s">
        <v>320</v>
      </c>
      <c r="C421" s="76" t="s">
        <v>727</v>
      </c>
      <c r="D421" s="76" t="s">
        <v>728</v>
      </c>
      <c r="E421" s="79">
        <v>44062</v>
      </c>
      <c r="F421" s="76">
        <v>10400</v>
      </c>
      <c r="G421" s="76">
        <v>8.0000000000000002E-3</v>
      </c>
    </row>
    <row r="422" spans="1:7" x14ac:dyDescent="0.25">
      <c r="A422" s="77" t="s">
        <v>319</v>
      </c>
      <c r="B422" s="76" t="s">
        <v>320</v>
      </c>
      <c r="C422" s="76" t="s">
        <v>729</v>
      </c>
      <c r="D422" s="76" t="s">
        <v>730</v>
      </c>
      <c r="E422" s="79">
        <v>44062</v>
      </c>
      <c r="F422" s="76">
        <v>10800</v>
      </c>
      <c r="G422" s="76">
        <v>6.0000000000000001E-3</v>
      </c>
    </row>
    <row r="423" spans="1:7" x14ac:dyDescent="0.25">
      <c r="A423" s="77" t="s">
        <v>319</v>
      </c>
      <c r="B423" s="76" t="s">
        <v>320</v>
      </c>
      <c r="C423" s="76" t="s">
        <v>731</v>
      </c>
      <c r="D423" s="76" t="s">
        <v>732</v>
      </c>
      <c r="E423" s="79">
        <v>44062</v>
      </c>
      <c r="F423" s="76">
        <v>11200</v>
      </c>
      <c r="G423" s="76">
        <v>4.0000000000000001E-3</v>
      </c>
    </row>
    <row r="424" spans="1:7" x14ac:dyDescent="0.25">
      <c r="A424" s="77" t="s">
        <v>319</v>
      </c>
      <c r="B424" s="76" t="s">
        <v>320</v>
      </c>
      <c r="C424" s="76" t="s">
        <v>733</v>
      </c>
      <c r="D424" s="76" t="s">
        <v>734</v>
      </c>
      <c r="E424" s="79">
        <v>44062</v>
      </c>
      <c r="F424" s="76">
        <v>10600</v>
      </c>
      <c r="G424" s="76">
        <v>1.2E-2</v>
      </c>
    </row>
    <row r="425" spans="1:7" x14ac:dyDescent="0.25">
      <c r="A425" s="77" t="s">
        <v>319</v>
      </c>
      <c r="B425" s="76" t="s">
        <v>320</v>
      </c>
      <c r="C425" s="76" t="s">
        <v>735</v>
      </c>
      <c r="D425" s="76" t="s">
        <v>736</v>
      </c>
      <c r="E425" s="79">
        <v>44062</v>
      </c>
      <c r="F425" s="76">
        <v>11000</v>
      </c>
      <c r="G425" s="76">
        <v>8.0000000000000002E-3</v>
      </c>
    </row>
    <row r="426" spans="1:7" x14ac:dyDescent="0.25">
      <c r="A426" s="77" t="s">
        <v>319</v>
      </c>
      <c r="B426" s="76" t="s">
        <v>320</v>
      </c>
      <c r="C426" s="76" t="s">
        <v>737</v>
      </c>
      <c r="D426" s="76" t="s">
        <v>738</v>
      </c>
      <c r="E426" s="79">
        <v>44062</v>
      </c>
      <c r="F426" s="76">
        <v>11200</v>
      </c>
      <c r="G426" s="76">
        <v>6.0000000000000001E-3</v>
      </c>
    </row>
    <row r="427" spans="1:7" x14ac:dyDescent="0.25">
      <c r="A427" s="77" t="s">
        <v>319</v>
      </c>
      <c r="B427" s="76" t="s">
        <v>320</v>
      </c>
      <c r="C427" s="76" t="s">
        <v>739</v>
      </c>
      <c r="D427" s="76" t="s">
        <v>740</v>
      </c>
      <c r="E427" s="79">
        <v>44062</v>
      </c>
      <c r="F427" s="76">
        <v>11400</v>
      </c>
      <c r="G427" s="76">
        <v>6.0000000000000001E-3</v>
      </c>
    </row>
    <row r="428" spans="1:7" x14ac:dyDescent="0.25">
      <c r="A428" s="77" t="s">
        <v>319</v>
      </c>
      <c r="B428" s="76" t="s">
        <v>320</v>
      </c>
      <c r="C428" s="76" t="s">
        <v>741</v>
      </c>
      <c r="D428" s="76" t="s">
        <v>742</v>
      </c>
      <c r="E428" s="79">
        <v>44062</v>
      </c>
      <c r="F428" s="76">
        <v>11600</v>
      </c>
      <c r="G428" s="76">
        <v>5.0000000000000001E-3</v>
      </c>
    </row>
    <row r="429" spans="1:7" x14ac:dyDescent="0.25">
      <c r="A429" s="77" t="s">
        <v>319</v>
      </c>
      <c r="B429" s="76" t="s">
        <v>320</v>
      </c>
      <c r="C429" s="76" t="s">
        <v>743</v>
      </c>
      <c r="D429" s="76" t="s">
        <v>744</v>
      </c>
      <c r="E429" s="79">
        <v>44062</v>
      </c>
      <c r="F429" s="76">
        <v>11800</v>
      </c>
      <c r="G429" s="76">
        <v>4.0000000000000001E-3</v>
      </c>
    </row>
    <row r="430" spans="1:7" x14ac:dyDescent="0.25">
      <c r="A430" s="77" t="s">
        <v>319</v>
      </c>
      <c r="B430" s="76" t="s">
        <v>320</v>
      </c>
      <c r="C430" s="76" t="s">
        <v>745</v>
      </c>
      <c r="D430" s="76" t="s">
        <v>746</v>
      </c>
      <c r="E430" s="79">
        <v>44062</v>
      </c>
      <c r="F430" s="76">
        <v>12000</v>
      </c>
      <c r="G430" s="76">
        <v>4.0000000000000001E-3</v>
      </c>
    </row>
    <row r="431" spans="1:7" x14ac:dyDescent="0.25">
      <c r="A431" s="77" t="s">
        <v>319</v>
      </c>
      <c r="B431" s="76" t="s">
        <v>320</v>
      </c>
      <c r="C431" s="76" t="s">
        <v>747</v>
      </c>
      <c r="D431" s="76" t="s">
        <v>748</v>
      </c>
      <c r="E431" s="79">
        <v>44062</v>
      </c>
      <c r="F431" s="76">
        <v>12200</v>
      </c>
      <c r="G431" s="76">
        <v>3.0000000000000001E-3</v>
      </c>
    </row>
    <row r="432" spans="1:7" x14ac:dyDescent="0.25">
      <c r="A432" s="77" t="s">
        <v>319</v>
      </c>
      <c r="B432" s="76" t="s">
        <v>320</v>
      </c>
      <c r="C432" s="76">
        <v>67413</v>
      </c>
      <c r="D432" s="76" t="s">
        <v>3063</v>
      </c>
      <c r="E432" s="79">
        <v>44302</v>
      </c>
      <c r="F432" s="76">
        <v>12888</v>
      </c>
      <c r="G432" s="76">
        <v>1E-3</v>
      </c>
    </row>
    <row r="433" spans="1:7" x14ac:dyDescent="0.25">
      <c r="A433" s="77" t="s">
        <v>319</v>
      </c>
      <c r="B433" s="76" t="s">
        <v>320</v>
      </c>
      <c r="C433" s="76" t="s">
        <v>715</v>
      </c>
      <c r="D433" s="76" t="s">
        <v>716</v>
      </c>
      <c r="E433" s="79">
        <v>44062</v>
      </c>
      <c r="F433" s="76">
        <v>11200</v>
      </c>
      <c r="G433" s="76">
        <v>5.0000000000000001E-3</v>
      </c>
    </row>
    <row r="434" spans="1:7" x14ac:dyDescent="0.25">
      <c r="A434" s="77" t="s">
        <v>319</v>
      </c>
      <c r="B434" s="76" t="s">
        <v>320</v>
      </c>
      <c r="C434" s="76" t="s">
        <v>717</v>
      </c>
      <c r="D434" s="76" t="s">
        <v>718</v>
      </c>
      <c r="E434" s="79">
        <v>44062</v>
      </c>
      <c r="F434" s="76">
        <v>10600</v>
      </c>
      <c r="G434" s="76">
        <v>0.01</v>
      </c>
    </row>
    <row r="435" spans="1:7" x14ac:dyDescent="0.25">
      <c r="A435" s="77" t="s">
        <v>319</v>
      </c>
      <c r="B435" s="76" t="s">
        <v>320</v>
      </c>
      <c r="C435" s="76" t="s">
        <v>749</v>
      </c>
      <c r="D435" s="76" t="s">
        <v>750</v>
      </c>
      <c r="E435" s="79">
        <v>44062</v>
      </c>
      <c r="F435" s="76">
        <v>9000</v>
      </c>
      <c r="G435" s="76">
        <v>0.03</v>
      </c>
    </row>
    <row r="436" spans="1:7" x14ac:dyDescent="0.25">
      <c r="A436" s="77" t="s">
        <v>319</v>
      </c>
      <c r="B436" s="76" t="s">
        <v>320</v>
      </c>
      <c r="C436" s="76" t="s">
        <v>751</v>
      </c>
      <c r="D436" s="76" t="s">
        <v>752</v>
      </c>
      <c r="E436" s="79">
        <v>44062</v>
      </c>
      <c r="F436" s="76">
        <v>10600</v>
      </c>
      <c r="G436" s="76">
        <v>1.4999999999999999E-2</v>
      </c>
    </row>
    <row r="437" spans="1:7" x14ac:dyDescent="0.25">
      <c r="A437" s="77" t="s">
        <v>319</v>
      </c>
      <c r="B437" s="76" t="s">
        <v>320</v>
      </c>
      <c r="C437" s="76" t="s">
        <v>753</v>
      </c>
      <c r="D437" s="76" t="s">
        <v>754</v>
      </c>
      <c r="E437" s="79">
        <v>44062</v>
      </c>
      <c r="F437" s="76">
        <v>11100</v>
      </c>
      <c r="G437" s="76">
        <v>7.0000000000000001E-3</v>
      </c>
    </row>
    <row r="438" spans="1:7" x14ac:dyDescent="0.25">
      <c r="A438" s="77" t="s">
        <v>319</v>
      </c>
      <c r="B438" s="76" t="s">
        <v>320</v>
      </c>
      <c r="C438" s="76" t="s">
        <v>755</v>
      </c>
      <c r="D438" s="76" t="s">
        <v>756</v>
      </c>
      <c r="E438" s="79">
        <v>44062</v>
      </c>
      <c r="F438" s="76">
        <v>11600</v>
      </c>
      <c r="G438" s="76">
        <v>6.0000000000000001E-3</v>
      </c>
    </row>
    <row r="439" spans="1:7" x14ac:dyDescent="0.25">
      <c r="A439" s="77" t="s">
        <v>319</v>
      </c>
      <c r="B439" s="76" t="s">
        <v>320</v>
      </c>
      <c r="C439" s="76" t="s">
        <v>757</v>
      </c>
      <c r="D439" s="76" t="s">
        <v>758</v>
      </c>
      <c r="E439" s="79">
        <v>44062</v>
      </c>
      <c r="F439" s="76">
        <v>11900</v>
      </c>
      <c r="G439" s="76">
        <v>6.0000000000000001E-3</v>
      </c>
    </row>
    <row r="440" spans="1:7" x14ac:dyDescent="0.25">
      <c r="A440" s="77" t="s">
        <v>319</v>
      </c>
      <c r="B440" s="76" t="s">
        <v>320</v>
      </c>
      <c r="C440" s="76" t="s">
        <v>759</v>
      </c>
      <c r="D440" s="76" t="s">
        <v>760</v>
      </c>
      <c r="E440" s="79">
        <v>44062</v>
      </c>
      <c r="F440" s="76">
        <v>11000</v>
      </c>
      <c r="G440" s="76">
        <v>4.0000000000000001E-3</v>
      </c>
    </row>
    <row r="441" spans="1:7" x14ac:dyDescent="0.25">
      <c r="A441" s="77" t="s">
        <v>319</v>
      </c>
      <c r="B441" s="76" t="s">
        <v>320</v>
      </c>
      <c r="C441" s="76" t="s">
        <v>761</v>
      </c>
      <c r="D441" s="76" t="s">
        <v>762</v>
      </c>
      <c r="E441" s="79">
        <v>44062</v>
      </c>
      <c r="F441" s="76">
        <v>10600</v>
      </c>
      <c r="G441" s="76">
        <v>5.0000000000000001E-3</v>
      </c>
    </row>
    <row r="442" spans="1:7" x14ac:dyDescent="0.25">
      <c r="A442" s="77" t="s">
        <v>319</v>
      </c>
      <c r="B442" s="76" t="s">
        <v>320</v>
      </c>
      <c r="C442" s="76" t="s">
        <v>763</v>
      </c>
      <c r="D442" s="76" t="s">
        <v>764</v>
      </c>
      <c r="E442" s="79">
        <v>44062</v>
      </c>
      <c r="F442" s="76">
        <v>10500</v>
      </c>
      <c r="G442" s="76">
        <v>5.0000000000000001E-3</v>
      </c>
    </row>
    <row r="443" spans="1:7" x14ac:dyDescent="0.25">
      <c r="A443" s="77" t="s">
        <v>319</v>
      </c>
      <c r="B443" s="76" t="s">
        <v>320</v>
      </c>
      <c r="C443" s="76" t="s">
        <v>765</v>
      </c>
      <c r="D443" s="76" t="s">
        <v>766</v>
      </c>
      <c r="E443" s="79">
        <v>44062</v>
      </c>
      <c r="F443" s="76">
        <v>10000</v>
      </c>
      <c r="G443" s="76">
        <v>7.0000000000000001E-3</v>
      </c>
    </row>
    <row r="444" spans="1:7" x14ac:dyDescent="0.25">
      <c r="A444" s="77" t="s">
        <v>319</v>
      </c>
      <c r="B444" s="76" t="s">
        <v>320</v>
      </c>
      <c r="C444" s="76" t="s">
        <v>767</v>
      </c>
      <c r="D444" s="76" t="s">
        <v>768</v>
      </c>
      <c r="E444" s="79">
        <v>44062</v>
      </c>
      <c r="F444" s="76">
        <v>8500</v>
      </c>
      <c r="G444" s="76">
        <v>0.03</v>
      </c>
    </row>
    <row r="445" spans="1:7" x14ac:dyDescent="0.25">
      <c r="A445" s="77" t="s">
        <v>319</v>
      </c>
      <c r="B445" s="76" t="s">
        <v>320</v>
      </c>
      <c r="C445" s="76" t="s">
        <v>769</v>
      </c>
      <c r="D445" s="76" t="s">
        <v>770</v>
      </c>
      <c r="E445" s="79">
        <v>44062</v>
      </c>
      <c r="F445" s="76">
        <v>8000</v>
      </c>
      <c r="G445" s="76">
        <v>0.05</v>
      </c>
    </row>
    <row r="446" spans="1:7" x14ac:dyDescent="0.25">
      <c r="A446" s="77" t="s">
        <v>319</v>
      </c>
      <c r="B446" s="76" t="s">
        <v>320</v>
      </c>
      <c r="C446" s="76" t="s">
        <v>771</v>
      </c>
      <c r="D446" s="76" t="s">
        <v>772</v>
      </c>
      <c r="E446" s="79">
        <v>44062</v>
      </c>
      <c r="F446" s="76">
        <v>7500</v>
      </c>
      <c r="G446" s="76">
        <v>7.0000000000000007E-2</v>
      </c>
    </row>
    <row r="447" spans="1:7" x14ac:dyDescent="0.25">
      <c r="A447" s="77" t="s">
        <v>319</v>
      </c>
      <c r="B447" s="76" t="s">
        <v>320</v>
      </c>
      <c r="C447" s="76" t="s">
        <v>773</v>
      </c>
      <c r="D447" s="76" t="s">
        <v>774</v>
      </c>
      <c r="E447" s="79">
        <v>44062</v>
      </c>
      <c r="F447" s="76">
        <v>6500</v>
      </c>
      <c r="G447" s="76">
        <v>0.15</v>
      </c>
    </row>
    <row r="448" spans="1:7" x14ac:dyDescent="0.25">
      <c r="A448" s="77" t="s">
        <v>319</v>
      </c>
      <c r="B448" s="76" t="s">
        <v>320</v>
      </c>
      <c r="C448" s="76" t="s">
        <v>775</v>
      </c>
      <c r="D448" s="76" t="s">
        <v>776</v>
      </c>
      <c r="E448" s="79">
        <v>44062</v>
      </c>
      <c r="F448" s="76">
        <v>10200</v>
      </c>
      <c r="G448" s="76">
        <v>0.02</v>
      </c>
    </row>
    <row r="449" spans="1:7" x14ac:dyDescent="0.25">
      <c r="A449" s="77" t="s">
        <v>319</v>
      </c>
      <c r="B449" s="76" t="s">
        <v>320</v>
      </c>
      <c r="C449" s="76" t="s">
        <v>777</v>
      </c>
      <c r="D449" s="76" t="s">
        <v>778</v>
      </c>
      <c r="E449" s="79">
        <v>44062</v>
      </c>
      <c r="F449" s="76">
        <v>10600</v>
      </c>
      <c r="G449" s="76">
        <v>1.4999999999999999E-2</v>
      </c>
    </row>
    <row r="450" spans="1:7" x14ac:dyDescent="0.25">
      <c r="A450" s="77" t="s">
        <v>319</v>
      </c>
      <c r="B450" s="76" t="s">
        <v>320</v>
      </c>
      <c r="C450" s="76" t="s">
        <v>779</v>
      </c>
      <c r="D450" s="76" t="s">
        <v>780</v>
      </c>
      <c r="E450" s="79">
        <v>44062</v>
      </c>
      <c r="F450" s="76">
        <v>10900</v>
      </c>
      <c r="G450" s="76">
        <v>0.01</v>
      </c>
    </row>
    <row r="451" spans="1:7" x14ac:dyDescent="0.25">
      <c r="A451" s="77" t="s">
        <v>319</v>
      </c>
      <c r="B451" s="76" t="s">
        <v>320</v>
      </c>
      <c r="C451" s="76" t="s">
        <v>781</v>
      </c>
      <c r="D451" s="76" t="s">
        <v>782</v>
      </c>
      <c r="E451" s="79">
        <v>44062</v>
      </c>
      <c r="F451" s="76">
        <v>11100</v>
      </c>
      <c r="G451" s="76">
        <v>8.0000000000000002E-3</v>
      </c>
    </row>
    <row r="452" spans="1:7" x14ac:dyDescent="0.25">
      <c r="A452" s="77" t="s">
        <v>319</v>
      </c>
      <c r="B452" s="76" t="s">
        <v>320</v>
      </c>
      <c r="C452" s="76" t="s">
        <v>783</v>
      </c>
      <c r="D452" s="76" t="s">
        <v>784</v>
      </c>
      <c r="E452" s="79">
        <v>44062</v>
      </c>
      <c r="F452" s="76">
        <v>11400</v>
      </c>
      <c r="G452" s="76">
        <v>5.0000000000000001E-3</v>
      </c>
    </row>
    <row r="453" spans="1:7" x14ac:dyDescent="0.25">
      <c r="A453" s="77" t="s">
        <v>319</v>
      </c>
      <c r="B453" s="76" t="s">
        <v>320</v>
      </c>
      <c r="C453" s="76" t="s">
        <v>785</v>
      </c>
      <c r="D453" s="76" t="s">
        <v>786</v>
      </c>
      <c r="E453" s="79">
        <v>44062</v>
      </c>
      <c r="F453" s="76">
        <v>11600</v>
      </c>
      <c r="G453" s="76">
        <v>5.0000000000000001E-3</v>
      </c>
    </row>
    <row r="454" spans="1:7" x14ac:dyDescent="0.25">
      <c r="A454" s="77" t="s">
        <v>319</v>
      </c>
      <c r="B454" s="76" t="s">
        <v>320</v>
      </c>
      <c r="C454" s="76" t="s">
        <v>787</v>
      </c>
      <c r="D454" s="76" t="s">
        <v>788</v>
      </c>
      <c r="E454" s="79">
        <v>44062</v>
      </c>
      <c r="F454" s="76">
        <v>11800</v>
      </c>
      <c r="G454" s="76">
        <v>5.0000000000000001E-3</v>
      </c>
    </row>
    <row r="455" spans="1:7" x14ac:dyDescent="0.25">
      <c r="A455" s="77" t="s">
        <v>319</v>
      </c>
      <c r="B455" s="76" t="s">
        <v>320</v>
      </c>
      <c r="C455" s="76" t="s">
        <v>789</v>
      </c>
      <c r="D455" s="76" t="s">
        <v>790</v>
      </c>
      <c r="E455" s="79">
        <v>44063</v>
      </c>
      <c r="F455" s="76">
        <v>10100</v>
      </c>
      <c r="G455" s="76">
        <v>0.01</v>
      </c>
    </row>
    <row r="456" spans="1:7" x14ac:dyDescent="0.25">
      <c r="A456" s="77" t="s">
        <v>319</v>
      </c>
      <c r="B456" s="76" t="s">
        <v>320</v>
      </c>
      <c r="C456" s="76" t="s">
        <v>791</v>
      </c>
      <c r="D456" s="76" t="s">
        <v>792</v>
      </c>
      <c r="E456" s="79">
        <v>44124</v>
      </c>
      <c r="F456" s="76">
        <v>8000</v>
      </c>
      <c r="G456" s="76">
        <v>1.4999999999999999E-2</v>
      </c>
    </row>
    <row r="457" spans="1:7" x14ac:dyDescent="0.25">
      <c r="A457" s="77" t="s">
        <v>319</v>
      </c>
      <c r="B457" s="76" t="s">
        <v>320</v>
      </c>
      <c r="C457" s="76" t="s">
        <v>793</v>
      </c>
      <c r="D457" s="76" t="s">
        <v>794</v>
      </c>
      <c r="E457" s="79">
        <v>44124</v>
      </c>
      <c r="F457" s="76">
        <v>9000</v>
      </c>
      <c r="G457" s="76">
        <v>0.01</v>
      </c>
    </row>
    <row r="458" spans="1:7" x14ac:dyDescent="0.25">
      <c r="A458" s="77" t="s">
        <v>319</v>
      </c>
      <c r="B458" s="76" t="s">
        <v>320</v>
      </c>
      <c r="C458" s="76" t="s">
        <v>795</v>
      </c>
      <c r="D458" s="76" t="s">
        <v>796</v>
      </c>
      <c r="E458" s="79">
        <v>44063</v>
      </c>
      <c r="F458" s="76">
        <v>7000</v>
      </c>
      <c r="G458" s="76">
        <v>5.0000000000000001E-3</v>
      </c>
    </row>
    <row r="459" spans="1:7" x14ac:dyDescent="0.25">
      <c r="A459" s="77" t="s">
        <v>319</v>
      </c>
      <c r="B459" s="76" t="s">
        <v>320</v>
      </c>
      <c r="C459" s="76" t="s">
        <v>713</v>
      </c>
      <c r="D459" s="76" t="s">
        <v>714</v>
      </c>
      <c r="E459" s="79">
        <v>44061</v>
      </c>
      <c r="F459" s="76">
        <v>10500</v>
      </c>
      <c r="G459" s="76">
        <v>5.0000000000000001E-3</v>
      </c>
    </row>
    <row r="460" spans="1:7" x14ac:dyDescent="0.25">
      <c r="A460" s="77" t="s">
        <v>319</v>
      </c>
      <c r="B460" s="76" t="s">
        <v>320</v>
      </c>
      <c r="C460" s="76" t="s">
        <v>797</v>
      </c>
      <c r="D460" s="76" t="s">
        <v>798</v>
      </c>
      <c r="E460" s="79">
        <v>44067</v>
      </c>
      <c r="F460" s="76">
        <v>7000</v>
      </c>
      <c r="G460" s="76">
        <v>3.0000000000000001E-3</v>
      </c>
    </row>
    <row r="461" spans="1:7" x14ac:dyDescent="0.25">
      <c r="A461" s="77" t="s">
        <v>319</v>
      </c>
      <c r="B461" s="76" t="s">
        <v>320</v>
      </c>
      <c r="C461" s="76" t="s">
        <v>248</v>
      </c>
      <c r="D461" s="76" t="s">
        <v>249</v>
      </c>
      <c r="E461" s="79">
        <v>44069</v>
      </c>
      <c r="F461" s="76">
        <v>11000</v>
      </c>
      <c r="G461" s="76">
        <v>0.01</v>
      </c>
    </row>
    <row r="462" spans="1:7" x14ac:dyDescent="0.25">
      <c r="A462" s="77" t="s">
        <v>319</v>
      </c>
      <c r="B462" s="76" t="s">
        <v>320</v>
      </c>
      <c r="C462" s="76" t="s">
        <v>799</v>
      </c>
      <c r="D462" s="76" t="s">
        <v>800</v>
      </c>
      <c r="E462" s="79">
        <v>44137</v>
      </c>
      <c r="F462" s="76">
        <v>10200</v>
      </c>
      <c r="G462" s="76">
        <v>6.0000000000000001E-3</v>
      </c>
    </row>
    <row r="463" spans="1:7" x14ac:dyDescent="0.25">
      <c r="A463" s="77" t="s">
        <v>319</v>
      </c>
      <c r="B463" s="76" t="s">
        <v>320</v>
      </c>
      <c r="C463" s="76" t="s">
        <v>801</v>
      </c>
      <c r="D463" s="76" t="s">
        <v>802</v>
      </c>
      <c r="E463" s="79">
        <v>44109</v>
      </c>
      <c r="F463" s="76">
        <v>9500</v>
      </c>
      <c r="G463" s="76">
        <v>0.01</v>
      </c>
    </row>
    <row r="464" spans="1:7" x14ac:dyDescent="0.25">
      <c r="A464" s="77" t="s">
        <v>319</v>
      </c>
      <c r="B464" s="76" t="s">
        <v>320</v>
      </c>
      <c r="C464" s="76" t="s">
        <v>803</v>
      </c>
      <c r="D464" s="76" t="s">
        <v>804</v>
      </c>
      <c r="E464" s="79">
        <v>44109</v>
      </c>
      <c r="F464" s="76">
        <v>9700</v>
      </c>
      <c r="G464" s="76">
        <v>0.01</v>
      </c>
    </row>
    <row r="465" spans="1:7" x14ac:dyDescent="0.25">
      <c r="A465" s="77" t="s">
        <v>319</v>
      </c>
      <c r="B465" s="76" t="s">
        <v>320</v>
      </c>
      <c r="C465" s="76" t="s">
        <v>805</v>
      </c>
      <c r="D465" s="76" t="s">
        <v>806</v>
      </c>
      <c r="E465" s="79">
        <v>44109</v>
      </c>
      <c r="F465" s="76">
        <v>10200</v>
      </c>
      <c r="G465" s="76">
        <v>6.0000000000000001E-3</v>
      </c>
    </row>
    <row r="466" spans="1:7" x14ac:dyDescent="0.25">
      <c r="A466" s="77" t="s">
        <v>319</v>
      </c>
      <c r="B466" s="76" t="s">
        <v>320</v>
      </c>
      <c r="C466" s="76" t="s">
        <v>807</v>
      </c>
      <c r="D466" s="76" t="s">
        <v>808</v>
      </c>
      <c r="E466" s="79">
        <v>44109</v>
      </c>
      <c r="F466" s="76">
        <v>10600</v>
      </c>
      <c r="G466" s="76">
        <v>5.0000000000000001E-3</v>
      </c>
    </row>
    <row r="467" spans="1:7" x14ac:dyDescent="0.25">
      <c r="A467" s="77" t="s">
        <v>319</v>
      </c>
      <c r="B467" s="76" t="s">
        <v>320</v>
      </c>
      <c r="C467" s="76" t="s">
        <v>809</v>
      </c>
      <c r="D467" s="76" t="s">
        <v>810</v>
      </c>
      <c r="E467" s="79">
        <v>44109</v>
      </c>
      <c r="F467" s="76">
        <v>11200</v>
      </c>
      <c r="G467" s="76">
        <v>3.0000000000000001E-3</v>
      </c>
    </row>
    <row r="468" spans="1:7" x14ac:dyDescent="0.25">
      <c r="A468" s="77" t="s">
        <v>319</v>
      </c>
      <c r="B468" s="76" t="s">
        <v>320</v>
      </c>
      <c r="C468" s="76" t="s">
        <v>811</v>
      </c>
      <c r="D468" s="76" t="s">
        <v>812</v>
      </c>
      <c r="E468" s="79">
        <v>44078</v>
      </c>
      <c r="F468" s="76">
        <v>10800</v>
      </c>
      <c r="G468" s="76">
        <v>2E-3</v>
      </c>
    </row>
    <row r="469" spans="1:7" x14ac:dyDescent="0.25">
      <c r="A469" s="77" t="s">
        <v>319</v>
      </c>
      <c r="B469" s="76" t="s">
        <v>320</v>
      </c>
      <c r="C469" s="76" t="s">
        <v>813</v>
      </c>
      <c r="D469" s="76" t="s">
        <v>814</v>
      </c>
      <c r="E469" s="79">
        <v>44078</v>
      </c>
      <c r="F469" s="76">
        <v>10200</v>
      </c>
      <c r="G469" s="76">
        <v>2E-3</v>
      </c>
    </row>
    <row r="470" spans="1:7" x14ac:dyDescent="0.25">
      <c r="A470" s="77" t="s">
        <v>319</v>
      </c>
      <c r="B470" s="76" t="s">
        <v>320</v>
      </c>
      <c r="C470" s="76" t="s">
        <v>317</v>
      </c>
      <c r="D470" s="76" t="s">
        <v>815</v>
      </c>
      <c r="E470" s="79">
        <v>44140</v>
      </c>
      <c r="F470" s="76">
        <v>10000</v>
      </c>
      <c r="G470" s="76">
        <v>2E-3</v>
      </c>
    </row>
    <row r="471" spans="1:7" x14ac:dyDescent="0.25">
      <c r="A471" s="77" t="s">
        <v>319</v>
      </c>
      <c r="B471" s="76" t="s">
        <v>320</v>
      </c>
      <c r="C471" s="76" t="s">
        <v>816</v>
      </c>
      <c r="D471" s="76" t="s">
        <v>817</v>
      </c>
      <c r="E471" s="79">
        <v>44081</v>
      </c>
      <c r="F471" s="76">
        <v>10000</v>
      </c>
      <c r="G471" s="76">
        <v>4.0000000000000001E-3</v>
      </c>
    </row>
    <row r="472" spans="1:7" x14ac:dyDescent="0.25">
      <c r="A472" s="77" t="s">
        <v>319</v>
      </c>
      <c r="B472" s="76" t="s">
        <v>320</v>
      </c>
      <c r="C472" s="76" t="s">
        <v>820</v>
      </c>
      <c r="D472" s="76" t="s">
        <v>821</v>
      </c>
      <c r="E472" s="79">
        <v>44083</v>
      </c>
      <c r="F472" s="76">
        <v>11400</v>
      </c>
      <c r="G472" s="76">
        <v>3.0000000000000001E-3</v>
      </c>
    </row>
    <row r="473" spans="1:7" x14ac:dyDescent="0.25">
      <c r="A473" s="77" t="s">
        <v>319</v>
      </c>
      <c r="B473" s="76" t="s">
        <v>320</v>
      </c>
      <c r="C473" s="76" t="s">
        <v>822</v>
      </c>
      <c r="D473" s="76" t="s">
        <v>823</v>
      </c>
      <c r="E473" s="79">
        <v>44116</v>
      </c>
      <c r="F473" s="76">
        <v>10900</v>
      </c>
      <c r="G473" s="76">
        <v>5.0000000000000001E-3</v>
      </c>
    </row>
    <row r="474" spans="1:7" x14ac:dyDescent="0.25">
      <c r="A474" s="77" t="s">
        <v>319</v>
      </c>
      <c r="B474" s="76" t="s">
        <v>320</v>
      </c>
      <c r="C474" s="76" t="s">
        <v>824</v>
      </c>
      <c r="D474" s="76" t="s">
        <v>825</v>
      </c>
      <c r="E474" s="79">
        <v>44116</v>
      </c>
      <c r="F474" s="76">
        <v>10400</v>
      </c>
      <c r="G474" s="76">
        <v>5.0000000000000001E-3</v>
      </c>
    </row>
    <row r="475" spans="1:7" x14ac:dyDescent="0.25">
      <c r="A475" s="77" t="s">
        <v>319</v>
      </c>
      <c r="B475" s="76" t="s">
        <v>320</v>
      </c>
      <c r="C475" s="76" t="s">
        <v>826</v>
      </c>
      <c r="D475" s="76" t="s">
        <v>827</v>
      </c>
      <c r="E475" s="79">
        <v>44116</v>
      </c>
      <c r="F475" s="76">
        <v>9900</v>
      </c>
      <c r="G475" s="76">
        <v>0.01</v>
      </c>
    </row>
    <row r="476" spans="1:7" x14ac:dyDescent="0.25">
      <c r="A476" s="77" t="s">
        <v>319</v>
      </c>
      <c r="B476" s="76" t="s">
        <v>320</v>
      </c>
      <c r="C476" s="76" t="s">
        <v>818</v>
      </c>
      <c r="D476" s="76" t="s">
        <v>819</v>
      </c>
      <c r="E476" s="79">
        <v>44174</v>
      </c>
      <c r="F476" s="76">
        <v>7000</v>
      </c>
      <c r="G476" s="76">
        <v>0.03</v>
      </c>
    </row>
    <row r="477" spans="1:7" x14ac:dyDescent="0.25">
      <c r="A477" s="77" t="s">
        <v>319</v>
      </c>
      <c r="B477" s="76" t="s">
        <v>320</v>
      </c>
      <c r="C477" s="76" t="s">
        <v>828</v>
      </c>
      <c r="D477" s="76" t="s">
        <v>829</v>
      </c>
      <c r="E477" s="79">
        <v>44145</v>
      </c>
      <c r="F477" s="76">
        <v>9000</v>
      </c>
      <c r="G477" s="76">
        <v>4.0000000000000001E-3</v>
      </c>
    </row>
    <row r="478" spans="1:7" x14ac:dyDescent="0.25">
      <c r="A478" s="77" t="s">
        <v>319</v>
      </c>
      <c r="B478" s="76" t="s">
        <v>320</v>
      </c>
      <c r="C478" s="76" t="s">
        <v>832</v>
      </c>
      <c r="D478" s="76" t="s">
        <v>833</v>
      </c>
      <c r="E478" s="79">
        <v>44088</v>
      </c>
      <c r="F478" s="76">
        <v>9800</v>
      </c>
      <c r="G478" s="76">
        <v>0.01</v>
      </c>
    </row>
    <row r="479" spans="1:7" x14ac:dyDescent="0.25">
      <c r="A479" s="77" t="s">
        <v>319</v>
      </c>
      <c r="B479" s="76" t="s">
        <v>320</v>
      </c>
      <c r="C479" s="76" t="s">
        <v>834</v>
      </c>
      <c r="D479" s="76" t="s">
        <v>835</v>
      </c>
      <c r="E479" s="79">
        <v>44116</v>
      </c>
      <c r="F479" s="76">
        <v>9200</v>
      </c>
      <c r="G479" s="76">
        <v>5.0000000000000001E-3</v>
      </c>
    </row>
    <row r="480" spans="1:7" x14ac:dyDescent="0.25">
      <c r="A480" s="77" t="s">
        <v>319</v>
      </c>
      <c r="B480" s="76" t="s">
        <v>320</v>
      </c>
      <c r="C480" s="76" t="s">
        <v>836</v>
      </c>
      <c r="D480" s="76" t="s">
        <v>837</v>
      </c>
      <c r="E480" s="79">
        <v>44116</v>
      </c>
      <c r="F480" s="76">
        <v>10000</v>
      </c>
      <c r="G480" s="76">
        <v>3.0000000000000001E-3</v>
      </c>
    </row>
    <row r="481" spans="1:7" x14ac:dyDescent="0.25">
      <c r="A481" s="77" t="s">
        <v>319</v>
      </c>
      <c r="B481" s="76" t="s">
        <v>320</v>
      </c>
      <c r="C481" s="76" t="s">
        <v>838</v>
      </c>
      <c r="D481" s="76" t="s">
        <v>839</v>
      </c>
      <c r="E481" s="79">
        <v>44116</v>
      </c>
      <c r="F481" s="76">
        <v>10400</v>
      </c>
      <c r="G481" s="76">
        <v>3.0000000000000001E-3</v>
      </c>
    </row>
    <row r="482" spans="1:7" x14ac:dyDescent="0.25">
      <c r="A482" s="77" t="s">
        <v>319</v>
      </c>
      <c r="B482" s="76" t="s">
        <v>320</v>
      </c>
      <c r="C482" s="76" t="s">
        <v>859</v>
      </c>
      <c r="D482" s="76" t="s">
        <v>860</v>
      </c>
      <c r="E482" s="79">
        <v>44090</v>
      </c>
      <c r="F482" s="76">
        <v>10000</v>
      </c>
      <c r="G482" s="76">
        <v>3.0000000000000001E-3</v>
      </c>
    </row>
    <row r="483" spans="1:7" x14ac:dyDescent="0.25">
      <c r="A483" s="77" t="s">
        <v>319</v>
      </c>
      <c r="B483" s="76" t="s">
        <v>320</v>
      </c>
      <c r="C483" s="76" t="s">
        <v>861</v>
      </c>
      <c r="D483" s="76" t="s">
        <v>862</v>
      </c>
      <c r="E483" s="79">
        <v>44090</v>
      </c>
      <c r="F483" s="76">
        <v>9500</v>
      </c>
      <c r="G483" s="76">
        <v>8.0000000000000002E-3</v>
      </c>
    </row>
    <row r="484" spans="1:7" x14ac:dyDescent="0.25">
      <c r="A484" s="77" t="s">
        <v>319</v>
      </c>
      <c r="B484" s="76" t="s">
        <v>320</v>
      </c>
      <c r="C484" s="76" t="s">
        <v>863</v>
      </c>
      <c r="D484" s="76" t="s">
        <v>864</v>
      </c>
      <c r="E484" s="79">
        <v>44090</v>
      </c>
      <c r="F484" s="76">
        <v>10400</v>
      </c>
      <c r="G484" s="76">
        <v>5.0000000000000001E-3</v>
      </c>
    </row>
    <row r="485" spans="1:7" x14ac:dyDescent="0.25">
      <c r="A485" s="77" t="s">
        <v>319</v>
      </c>
      <c r="B485" s="76" t="s">
        <v>320</v>
      </c>
      <c r="C485" s="76" t="s">
        <v>865</v>
      </c>
      <c r="D485" s="76" t="s">
        <v>866</v>
      </c>
      <c r="E485" s="79">
        <v>44090</v>
      </c>
      <c r="F485" s="76">
        <v>10000</v>
      </c>
      <c r="G485" s="76">
        <v>5.0000000000000001E-3</v>
      </c>
    </row>
    <row r="486" spans="1:7" x14ac:dyDescent="0.25">
      <c r="A486" s="77" t="s">
        <v>319</v>
      </c>
      <c r="B486" s="76" t="s">
        <v>320</v>
      </c>
      <c r="C486" s="76" t="s">
        <v>867</v>
      </c>
      <c r="D486" s="76" t="s">
        <v>868</v>
      </c>
      <c r="E486" s="79">
        <v>44090</v>
      </c>
      <c r="F486" s="76">
        <v>9800</v>
      </c>
      <c r="G486" s="76">
        <v>5.0000000000000001E-3</v>
      </c>
    </row>
    <row r="487" spans="1:7" x14ac:dyDescent="0.25">
      <c r="A487" s="77" t="s">
        <v>319</v>
      </c>
      <c r="B487" s="76" t="s">
        <v>320</v>
      </c>
      <c r="C487" s="76" t="s">
        <v>869</v>
      </c>
      <c r="D487" s="76" t="s">
        <v>870</v>
      </c>
      <c r="E487" s="79">
        <v>44090</v>
      </c>
      <c r="F487" s="76">
        <v>9600</v>
      </c>
      <c r="G487" s="76">
        <v>5.0000000000000001E-3</v>
      </c>
    </row>
    <row r="488" spans="1:7" x14ac:dyDescent="0.25">
      <c r="A488" s="77" t="s">
        <v>319</v>
      </c>
      <c r="B488" s="76" t="s">
        <v>320</v>
      </c>
      <c r="C488" s="76" t="s">
        <v>871</v>
      </c>
      <c r="D488" s="76" t="s">
        <v>872</v>
      </c>
      <c r="E488" s="79">
        <v>44090</v>
      </c>
      <c r="F488" s="76">
        <v>9400</v>
      </c>
      <c r="G488" s="76">
        <v>5.0000000000000001E-3</v>
      </c>
    </row>
    <row r="489" spans="1:7" x14ac:dyDescent="0.25">
      <c r="A489" s="77" t="s">
        <v>319</v>
      </c>
      <c r="B489" s="76" t="s">
        <v>320</v>
      </c>
      <c r="C489" s="76" t="s">
        <v>873</v>
      </c>
      <c r="D489" s="76" t="s">
        <v>874</v>
      </c>
      <c r="E489" s="79">
        <v>44090</v>
      </c>
      <c r="F489" s="76">
        <v>9000</v>
      </c>
      <c r="G489" s="76">
        <v>0.01</v>
      </c>
    </row>
    <row r="490" spans="1:7" x14ac:dyDescent="0.25">
      <c r="A490" s="77" t="s">
        <v>319</v>
      </c>
      <c r="B490" s="76" t="s">
        <v>320</v>
      </c>
      <c r="C490" s="76" t="s">
        <v>875</v>
      </c>
      <c r="D490" s="76" t="s">
        <v>876</v>
      </c>
      <c r="E490" s="79">
        <v>44090</v>
      </c>
      <c r="F490" s="76">
        <v>9500</v>
      </c>
      <c r="G490" s="76">
        <v>6.0000000000000001E-3</v>
      </c>
    </row>
    <row r="491" spans="1:7" x14ac:dyDescent="0.25">
      <c r="A491" s="77" t="s">
        <v>319</v>
      </c>
      <c r="B491" s="76" t="s">
        <v>320</v>
      </c>
      <c r="C491" s="76" t="s">
        <v>877</v>
      </c>
      <c r="D491" s="76" t="s">
        <v>878</v>
      </c>
      <c r="E491" s="79">
        <v>44090</v>
      </c>
      <c r="F491" s="76">
        <v>9700</v>
      </c>
      <c r="G491" s="76">
        <v>6.0000000000000001E-3</v>
      </c>
    </row>
    <row r="492" spans="1:7" x14ac:dyDescent="0.25">
      <c r="A492" s="77" t="s">
        <v>319</v>
      </c>
      <c r="B492" s="76" t="s">
        <v>320</v>
      </c>
      <c r="C492" s="76" t="s">
        <v>879</v>
      </c>
      <c r="D492" s="76" t="s">
        <v>880</v>
      </c>
      <c r="E492" s="79">
        <v>44090</v>
      </c>
      <c r="F492" s="76">
        <v>10100</v>
      </c>
      <c r="G492" s="76">
        <v>4.0000000000000001E-3</v>
      </c>
    </row>
    <row r="493" spans="1:7" x14ac:dyDescent="0.25">
      <c r="A493" s="77" t="s">
        <v>319</v>
      </c>
      <c r="B493" s="76" t="s">
        <v>320</v>
      </c>
      <c r="C493" s="76" t="s">
        <v>881</v>
      </c>
      <c r="D493" s="76" t="s">
        <v>882</v>
      </c>
      <c r="E493" s="79">
        <v>44090</v>
      </c>
      <c r="F493" s="76">
        <v>10300</v>
      </c>
      <c r="G493" s="76">
        <v>4.0000000000000001E-3</v>
      </c>
    </row>
    <row r="494" spans="1:7" x14ac:dyDescent="0.25">
      <c r="A494" s="77" t="s">
        <v>319</v>
      </c>
      <c r="B494" s="76" t="s">
        <v>320</v>
      </c>
      <c r="C494" s="76" t="s">
        <v>883</v>
      </c>
      <c r="D494" s="76" t="s">
        <v>884</v>
      </c>
      <c r="E494" s="79">
        <v>44090</v>
      </c>
      <c r="F494" s="76">
        <v>10500</v>
      </c>
      <c r="G494" s="76">
        <v>4.0000000000000001E-3</v>
      </c>
    </row>
    <row r="495" spans="1:7" x14ac:dyDescent="0.25">
      <c r="A495" s="77" t="s">
        <v>319</v>
      </c>
      <c r="B495" s="76" t="s">
        <v>320</v>
      </c>
      <c r="C495" s="76" t="s">
        <v>885</v>
      </c>
      <c r="D495" s="76" t="s">
        <v>886</v>
      </c>
      <c r="E495" s="79">
        <v>44090</v>
      </c>
      <c r="F495" s="76">
        <v>10700</v>
      </c>
      <c r="G495" s="76">
        <v>3.0000000000000001E-3</v>
      </c>
    </row>
    <row r="496" spans="1:7" x14ac:dyDescent="0.25">
      <c r="A496" s="77" t="s">
        <v>319</v>
      </c>
      <c r="B496" s="76" t="s">
        <v>320</v>
      </c>
      <c r="C496" s="76" t="s">
        <v>887</v>
      </c>
      <c r="D496" s="76" t="s">
        <v>888</v>
      </c>
      <c r="E496" s="79">
        <v>44090</v>
      </c>
      <c r="F496" s="76">
        <v>10900</v>
      </c>
      <c r="G496" s="76">
        <v>3.0000000000000001E-3</v>
      </c>
    </row>
    <row r="497" spans="1:7" x14ac:dyDescent="0.25">
      <c r="A497" s="77" t="s">
        <v>319</v>
      </c>
      <c r="B497" s="76" t="s">
        <v>320</v>
      </c>
      <c r="C497" s="76" t="s">
        <v>889</v>
      </c>
      <c r="D497" s="76" t="s">
        <v>890</v>
      </c>
      <c r="E497" s="79">
        <v>44090</v>
      </c>
      <c r="F497" s="76">
        <v>11100</v>
      </c>
      <c r="G497" s="76">
        <v>3.0000000000000001E-3</v>
      </c>
    </row>
    <row r="498" spans="1:7" x14ac:dyDescent="0.25">
      <c r="A498" s="77" t="s">
        <v>319</v>
      </c>
      <c r="B498" s="76" t="s">
        <v>320</v>
      </c>
      <c r="C498" s="76" t="s">
        <v>840</v>
      </c>
      <c r="D498" s="76" t="s">
        <v>841</v>
      </c>
      <c r="E498" s="79">
        <v>44089</v>
      </c>
      <c r="F498" s="76">
        <v>10900</v>
      </c>
      <c r="G498" s="76">
        <v>3.0000000000000001E-3</v>
      </c>
    </row>
    <row r="499" spans="1:7" x14ac:dyDescent="0.25">
      <c r="A499" s="77" t="s">
        <v>319</v>
      </c>
      <c r="B499" s="76" t="s">
        <v>320</v>
      </c>
      <c r="C499" s="76" t="s">
        <v>842</v>
      </c>
      <c r="D499" s="76" t="s">
        <v>843</v>
      </c>
      <c r="E499" s="79">
        <v>44089</v>
      </c>
      <c r="F499" s="76">
        <v>10400</v>
      </c>
      <c r="G499" s="76">
        <v>4.0000000000000001E-3</v>
      </c>
    </row>
    <row r="500" spans="1:7" x14ac:dyDescent="0.25">
      <c r="A500" s="77" t="s">
        <v>319</v>
      </c>
      <c r="B500" s="76" t="s">
        <v>320</v>
      </c>
      <c r="C500" s="76" t="s">
        <v>844</v>
      </c>
      <c r="D500" s="76" t="s">
        <v>845</v>
      </c>
      <c r="E500" s="79">
        <v>44089</v>
      </c>
      <c r="F500" s="76">
        <v>10200</v>
      </c>
      <c r="G500" s="76">
        <v>4.0000000000000001E-3</v>
      </c>
    </row>
    <row r="501" spans="1:7" x14ac:dyDescent="0.25">
      <c r="A501" s="77" t="s">
        <v>319</v>
      </c>
      <c r="B501" s="76" t="s">
        <v>320</v>
      </c>
      <c r="C501" s="76" t="s">
        <v>846</v>
      </c>
      <c r="D501" s="76" t="s">
        <v>847</v>
      </c>
      <c r="E501" s="79">
        <v>44089</v>
      </c>
      <c r="F501" s="76">
        <v>9800</v>
      </c>
      <c r="G501" s="76">
        <v>4.0000000000000001E-3</v>
      </c>
    </row>
    <row r="502" spans="1:7" x14ac:dyDescent="0.25">
      <c r="A502" s="77" t="s">
        <v>319</v>
      </c>
      <c r="B502" s="76" t="s">
        <v>320</v>
      </c>
      <c r="C502" s="76" t="s">
        <v>848</v>
      </c>
      <c r="D502" s="76" t="s">
        <v>849</v>
      </c>
      <c r="E502" s="79">
        <v>44089</v>
      </c>
      <c r="F502" s="76">
        <v>6000</v>
      </c>
      <c r="G502" s="76">
        <v>0.08</v>
      </c>
    </row>
    <row r="503" spans="1:7" x14ac:dyDescent="0.25">
      <c r="A503" s="77" t="s">
        <v>319</v>
      </c>
      <c r="B503" s="76" t="s">
        <v>320</v>
      </c>
      <c r="C503" s="76" t="s">
        <v>891</v>
      </c>
      <c r="D503" s="76" t="s">
        <v>892</v>
      </c>
      <c r="E503" s="79">
        <v>44181</v>
      </c>
      <c r="F503" s="76">
        <v>7000</v>
      </c>
      <c r="G503" s="76">
        <v>8.0000000000000002E-3</v>
      </c>
    </row>
    <row r="504" spans="1:7" x14ac:dyDescent="0.25">
      <c r="A504" s="77" t="s">
        <v>319</v>
      </c>
      <c r="B504" s="76" t="s">
        <v>320</v>
      </c>
      <c r="C504" s="76" t="s">
        <v>893</v>
      </c>
      <c r="D504" s="76" t="s">
        <v>894</v>
      </c>
      <c r="E504" s="79">
        <v>44181</v>
      </c>
      <c r="F504" s="76">
        <v>9000</v>
      </c>
      <c r="G504" s="76">
        <v>2E-3</v>
      </c>
    </row>
    <row r="505" spans="1:7" x14ac:dyDescent="0.25">
      <c r="A505" s="77" t="s">
        <v>319</v>
      </c>
      <c r="B505" s="76" t="s">
        <v>320</v>
      </c>
      <c r="C505" s="76" t="s">
        <v>895</v>
      </c>
      <c r="D505" s="76" t="s">
        <v>896</v>
      </c>
      <c r="E505" s="79">
        <v>44090</v>
      </c>
      <c r="F505" s="76">
        <v>9700</v>
      </c>
      <c r="G505" s="76">
        <v>2E-3</v>
      </c>
    </row>
    <row r="506" spans="1:7" x14ac:dyDescent="0.25">
      <c r="A506" s="77" t="s">
        <v>319</v>
      </c>
      <c r="B506" s="76" t="s">
        <v>320</v>
      </c>
      <c r="C506" s="76" t="s">
        <v>897</v>
      </c>
      <c r="D506" s="76" t="s">
        <v>898</v>
      </c>
      <c r="E506" s="79">
        <v>44090</v>
      </c>
      <c r="F506" s="76">
        <v>9500</v>
      </c>
      <c r="G506" s="76">
        <v>2E-3</v>
      </c>
    </row>
    <row r="507" spans="1:7" x14ac:dyDescent="0.25">
      <c r="A507" s="77" t="s">
        <v>319</v>
      </c>
      <c r="B507" s="76" t="s">
        <v>320</v>
      </c>
      <c r="C507" s="76" t="s">
        <v>899</v>
      </c>
      <c r="D507" s="76" t="s">
        <v>900</v>
      </c>
      <c r="E507" s="79">
        <v>44181</v>
      </c>
      <c r="F507" s="76">
        <v>10000</v>
      </c>
      <c r="G507" s="76">
        <v>1E-3</v>
      </c>
    </row>
    <row r="508" spans="1:7" x14ac:dyDescent="0.25">
      <c r="A508" s="77" t="s">
        <v>319</v>
      </c>
      <c r="B508" s="76" t="s">
        <v>320</v>
      </c>
      <c r="C508" s="76" t="s">
        <v>901</v>
      </c>
      <c r="D508" s="76" t="s">
        <v>902</v>
      </c>
      <c r="E508" s="79">
        <v>44090</v>
      </c>
      <c r="F508" s="76">
        <v>9000</v>
      </c>
      <c r="G508" s="76">
        <v>6.0000000000000001E-3</v>
      </c>
    </row>
    <row r="509" spans="1:7" x14ac:dyDescent="0.25">
      <c r="A509" s="77" t="s">
        <v>319</v>
      </c>
      <c r="B509" s="76" t="s">
        <v>320</v>
      </c>
      <c r="C509" s="76" t="s">
        <v>903</v>
      </c>
      <c r="D509" s="76" t="s">
        <v>904</v>
      </c>
      <c r="E509" s="79">
        <v>44090</v>
      </c>
      <c r="F509" s="76">
        <v>9400</v>
      </c>
      <c r="G509" s="76">
        <v>5.0000000000000001E-3</v>
      </c>
    </row>
    <row r="510" spans="1:7" x14ac:dyDescent="0.25">
      <c r="A510" s="77" t="s">
        <v>319</v>
      </c>
      <c r="B510" s="76" t="s">
        <v>320</v>
      </c>
      <c r="C510" s="76" t="s">
        <v>905</v>
      </c>
      <c r="D510" s="76" t="s">
        <v>906</v>
      </c>
      <c r="E510" s="79">
        <v>44090</v>
      </c>
      <c r="F510" s="76">
        <v>9900</v>
      </c>
      <c r="G510" s="76">
        <v>4.0000000000000001E-3</v>
      </c>
    </row>
    <row r="511" spans="1:7" x14ac:dyDescent="0.25">
      <c r="A511" s="77" t="s">
        <v>319</v>
      </c>
      <c r="B511" s="76" t="s">
        <v>320</v>
      </c>
      <c r="C511" s="76" t="s">
        <v>907</v>
      </c>
      <c r="D511" s="76" t="s">
        <v>908</v>
      </c>
      <c r="E511" s="79">
        <v>44090</v>
      </c>
      <c r="F511" s="76">
        <v>10100</v>
      </c>
      <c r="G511" s="76">
        <v>3.0000000000000001E-3</v>
      </c>
    </row>
    <row r="512" spans="1:7" x14ac:dyDescent="0.25">
      <c r="A512" s="77" t="s">
        <v>319</v>
      </c>
      <c r="B512" s="76" t="s">
        <v>320</v>
      </c>
      <c r="C512" s="76" t="s">
        <v>909</v>
      </c>
      <c r="D512" s="76" t="s">
        <v>910</v>
      </c>
      <c r="E512" s="79">
        <v>44090</v>
      </c>
      <c r="F512" s="76">
        <v>10300</v>
      </c>
      <c r="G512" s="76">
        <v>3.0000000000000001E-3</v>
      </c>
    </row>
    <row r="513" spans="1:7" x14ac:dyDescent="0.25">
      <c r="A513" s="77" t="s">
        <v>319</v>
      </c>
      <c r="B513" s="76" t="s">
        <v>320</v>
      </c>
      <c r="C513" s="76" t="s">
        <v>915</v>
      </c>
      <c r="D513" s="76" t="s">
        <v>916</v>
      </c>
      <c r="E513" s="79">
        <v>44152</v>
      </c>
      <c r="F513" s="76">
        <v>7000</v>
      </c>
      <c r="G513" s="76">
        <v>3.0000000000000001E-3</v>
      </c>
    </row>
    <row r="514" spans="1:7" x14ac:dyDescent="0.25">
      <c r="A514" s="77" t="s">
        <v>319</v>
      </c>
      <c r="B514" s="76" t="s">
        <v>320</v>
      </c>
      <c r="C514" s="76" t="s">
        <v>315</v>
      </c>
      <c r="D514" s="76" t="s">
        <v>850</v>
      </c>
      <c r="E514" s="79">
        <v>44090</v>
      </c>
      <c r="F514" s="76">
        <v>8500</v>
      </c>
      <c r="G514" s="76">
        <v>0.01</v>
      </c>
    </row>
    <row r="515" spans="1:7" x14ac:dyDescent="0.25">
      <c r="A515" s="77" t="s">
        <v>319</v>
      </c>
      <c r="B515" s="76" t="s">
        <v>320</v>
      </c>
      <c r="C515" s="76" t="s">
        <v>851</v>
      </c>
      <c r="D515" s="76" t="s">
        <v>852</v>
      </c>
      <c r="E515" s="79">
        <v>44090</v>
      </c>
      <c r="F515" s="76">
        <v>9100</v>
      </c>
      <c r="G515" s="76">
        <v>6.0000000000000001E-3</v>
      </c>
    </row>
    <row r="516" spans="1:7" x14ac:dyDescent="0.25">
      <c r="A516" s="77" t="s">
        <v>319</v>
      </c>
      <c r="B516" s="76" t="s">
        <v>320</v>
      </c>
      <c r="C516" s="76" t="s">
        <v>853</v>
      </c>
      <c r="D516" s="76" t="s">
        <v>854</v>
      </c>
      <c r="E516" s="79">
        <v>44090</v>
      </c>
      <c r="F516" s="76">
        <v>9500</v>
      </c>
      <c r="G516" s="76">
        <v>5.0000000000000001E-3</v>
      </c>
    </row>
    <row r="517" spans="1:7" x14ac:dyDescent="0.25">
      <c r="A517" s="77" t="s">
        <v>319</v>
      </c>
      <c r="B517" s="76" t="s">
        <v>320</v>
      </c>
      <c r="C517" s="76" t="s">
        <v>855</v>
      </c>
      <c r="D517" s="76" t="s">
        <v>856</v>
      </c>
      <c r="E517" s="79">
        <v>44090</v>
      </c>
      <c r="F517" s="76">
        <v>9900</v>
      </c>
      <c r="G517" s="76">
        <v>4.0000000000000001E-3</v>
      </c>
    </row>
    <row r="518" spans="1:7" x14ac:dyDescent="0.25">
      <c r="A518" s="77" t="s">
        <v>319</v>
      </c>
      <c r="B518" s="76" t="s">
        <v>320</v>
      </c>
      <c r="C518" s="76" t="s">
        <v>857</v>
      </c>
      <c r="D518" s="76" t="s">
        <v>858</v>
      </c>
      <c r="E518" s="79">
        <v>44090</v>
      </c>
      <c r="F518" s="76">
        <v>10300</v>
      </c>
      <c r="G518" s="76">
        <v>4.0000000000000001E-3</v>
      </c>
    </row>
    <row r="519" spans="1:7" x14ac:dyDescent="0.25">
      <c r="A519" s="77" t="s">
        <v>319</v>
      </c>
      <c r="B519" s="76" t="s">
        <v>320</v>
      </c>
      <c r="C519" s="76" t="s">
        <v>830</v>
      </c>
      <c r="D519" s="76" t="s">
        <v>831</v>
      </c>
      <c r="E519" s="79">
        <v>44085</v>
      </c>
      <c r="F519" s="76">
        <v>10800</v>
      </c>
      <c r="G519" s="76">
        <v>2E-3</v>
      </c>
    </row>
    <row r="520" spans="1:7" x14ac:dyDescent="0.25">
      <c r="A520" s="77" t="s">
        <v>319</v>
      </c>
      <c r="B520" s="76" t="s">
        <v>320</v>
      </c>
      <c r="C520" s="76" t="s">
        <v>911</v>
      </c>
      <c r="D520" s="76" t="s">
        <v>912</v>
      </c>
      <c r="E520" s="79">
        <v>44091</v>
      </c>
      <c r="F520" s="76">
        <v>9300</v>
      </c>
      <c r="G520" s="76">
        <v>4.0000000000000001E-3</v>
      </c>
    </row>
    <row r="521" spans="1:7" x14ac:dyDescent="0.25">
      <c r="A521" s="77" t="s">
        <v>319</v>
      </c>
      <c r="B521" s="76" t="s">
        <v>320</v>
      </c>
      <c r="C521" s="76" t="s">
        <v>913</v>
      </c>
      <c r="D521" s="76" t="s">
        <v>914</v>
      </c>
      <c r="E521" s="79">
        <v>44091</v>
      </c>
      <c r="F521" s="76">
        <v>8500</v>
      </c>
      <c r="G521" s="76">
        <v>6.0000000000000001E-3</v>
      </c>
    </row>
    <row r="522" spans="1:7" x14ac:dyDescent="0.25">
      <c r="A522" s="77" t="s">
        <v>319</v>
      </c>
      <c r="B522" s="76" t="s">
        <v>320</v>
      </c>
      <c r="C522" s="76" t="s">
        <v>316</v>
      </c>
      <c r="D522" s="76" t="s">
        <v>917</v>
      </c>
      <c r="E522" s="79">
        <v>44095</v>
      </c>
      <c r="F522" s="76">
        <v>9100</v>
      </c>
      <c r="G522" s="76">
        <v>2E-3</v>
      </c>
    </row>
    <row r="523" spans="1:7" x14ac:dyDescent="0.25">
      <c r="A523" s="77" t="s">
        <v>319</v>
      </c>
      <c r="B523" s="76" t="s">
        <v>320</v>
      </c>
      <c r="C523" s="76" t="s">
        <v>918</v>
      </c>
      <c r="D523" s="76" t="s">
        <v>919</v>
      </c>
      <c r="E523" s="79">
        <v>44095</v>
      </c>
      <c r="F523" s="76">
        <v>8700</v>
      </c>
      <c r="G523" s="76">
        <v>2E-3</v>
      </c>
    </row>
    <row r="524" spans="1:7" x14ac:dyDescent="0.25">
      <c r="A524" s="77" t="s">
        <v>319</v>
      </c>
      <c r="B524" s="76" t="s">
        <v>320</v>
      </c>
      <c r="C524" s="76" t="s">
        <v>920</v>
      </c>
      <c r="D524" s="76" t="s">
        <v>921</v>
      </c>
      <c r="E524" s="79">
        <v>44095</v>
      </c>
      <c r="F524" s="76">
        <v>8000</v>
      </c>
      <c r="G524" s="76">
        <v>5.0000000000000001E-3</v>
      </c>
    </row>
    <row r="525" spans="1:7" x14ac:dyDescent="0.25">
      <c r="A525" s="77" t="s">
        <v>319</v>
      </c>
      <c r="B525" s="76" t="s">
        <v>320</v>
      </c>
      <c r="C525" s="76" t="s">
        <v>922</v>
      </c>
      <c r="D525" s="76" t="s">
        <v>923</v>
      </c>
      <c r="E525" s="79">
        <v>44095</v>
      </c>
      <c r="F525" s="76">
        <v>8500</v>
      </c>
      <c r="G525" s="76">
        <v>5.0000000000000001E-3</v>
      </c>
    </row>
    <row r="526" spans="1:7" x14ac:dyDescent="0.25">
      <c r="A526" s="77" t="s">
        <v>319</v>
      </c>
      <c r="B526" s="76" t="s">
        <v>320</v>
      </c>
      <c r="C526" s="76" t="s">
        <v>924</v>
      </c>
      <c r="D526" s="76" t="s">
        <v>925</v>
      </c>
      <c r="E526" s="79">
        <v>44096</v>
      </c>
      <c r="F526" s="76">
        <v>7500</v>
      </c>
      <c r="G526" s="76">
        <v>3.0000000000000001E-3</v>
      </c>
    </row>
    <row r="527" spans="1:7" x14ac:dyDescent="0.25">
      <c r="A527" s="77" t="s">
        <v>319</v>
      </c>
      <c r="B527" s="76" t="s">
        <v>320</v>
      </c>
      <c r="C527" s="76" t="s">
        <v>926</v>
      </c>
      <c r="D527" s="76" t="s">
        <v>927</v>
      </c>
      <c r="E527" s="79">
        <v>44096</v>
      </c>
      <c r="F527" s="76">
        <v>8000</v>
      </c>
      <c r="G527" s="76">
        <v>4.0000000000000001E-3</v>
      </c>
    </row>
    <row r="528" spans="1:7" x14ac:dyDescent="0.25">
      <c r="A528" s="77" t="s">
        <v>319</v>
      </c>
      <c r="B528" s="76" t="s">
        <v>320</v>
      </c>
      <c r="C528" s="76" t="s">
        <v>928</v>
      </c>
      <c r="D528" s="76" t="s">
        <v>929</v>
      </c>
      <c r="E528" s="79">
        <v>44097</v>
      </c>
      <c r="F528" s="76">
        <v>8000</v>
      </c>
      <c r="G528" s="76">
        <v>1E-3</v>
      </c>
    </row>
    <row r="529" spans="1:7" x14ac:dyDescent="0.25">
      <c r="A529" s="77" t="s">
        <v>319</v>
      </c>
      <c r="B529" s="76" t="s">
        <v>320</v>
      </c>
      <c r="C529" s="76" t="s">
        <v>930</v>
      </c>
      <c r="D529" s="76" t="s">
        <v>931</v>
      </c>
      <c r="E529" s="79">
        <v>44097</v>
      </c>
      <c r="F529" s="76">
        <v>7500</v>
      </c>
      <c r="G529" s="76">
        <v>1E-3</v>
      </c>
    </row>
    <row r="530" spans="1:7" x14ac:dyDescent="0.25">
      <c r="A530" s="77" t="s">
        <v>319</v>
      </c>
      <c r="B530" s="76" t="s">
        <v>320</v>
      </c>
      <c r="C530" s="76" t="s">
        <v>932</v>
      </c>
      <c r="D530" s="76" t="s">
        <v>933</v>
      </c>
      <c r="E530" s="79">
        <v>44097</v>
      </c>
      <c r="F530" s="76">
        <v>8500</v>
      </c>
      <c r="G530" s="76">
        <v>1E-3</v>
      </c>
    </row>
    <row r="531" spans="1:7" x14ac:dyDescent="0.25">
      <c r="A531" s="77" t="s">
        <v>319</v>
      </c>
      <c r="B531" s="76" t="s">
        <v>320</v>
      </c>
      <c r="C531" s="76" t="s">
        <v>934</v>
      </c>
      <c r="D531" s="76" t="s">
        <v>935</v>
      </c>
      <c r="E531" s="79">
        <v>44127</v>
      </c>
      <c r="F531" s="76">
        <v>7000</v>
      </c>
      <c r="G531" s="76">
        <v>2E-3</v>
      </c>
    </row>
    <row r="532" spans="1:7" x14ac:dyDescent="0.25">
      <c r="A532" s="77" t="s">
        <v>319</v>
      </c>
      <c r="B532" s="76" t="s">
        <v>320</v>
      </c>
      <c r="C532" s="76" t="s">
        <v>936</v>
      </c>
      <c r="D532" s="76" t="s">
        <v>937</v>
      </c>
      <c r="E532" s="79">
        <v>44127</v>
      </c>
      <c r="F532" s="76">
        <v>7300</v>
      </c>
      <c r="G532" s="76">
        <v>2E-3</v>
      </c>
    </row>
    <row r="533" spans="1:7" x14ac:dyDescent="0.25">
      <c r="A533" s="77" t="s">
        <v>319</v>
      </c>
      <c r="B533" s="76" t="s">
        <v>320</v>
      </c>
      <c r="C533" s="76" t="s">
        <v>938</v>
      </c>
      <c r="D533" s="76" t="s">
        <v>939</v>
      </c>
      <c r="E533" s="79">
        <v>44127</v>
      </c>
      <c r="F533" s="76">
        <v>7500</v>
      </c>
      <c r="G533" s="76">
        <v>2E-3</v>
      </c>
    </row>
    <row r="534" spans="1:7" x14ac:dyDescent="0.25">
      <c r="A534" s="77" t="s">
        <v>319</v>
      </c>
      <c r="B534" s="76" t="s">
        <v>320</v>
      </c>
      <c r="C534" s="76" t="s">
        <v>940</v>
      </c>
      <c r="D534" s="76" t="s">
        <v>941</v>
      </c>
      <c r="E534" s="79">
        <v>44127</v>
      </c>
      <c r="F534" s="76">
        <v>7800</v>
      </c>
      <c r="G534" s="76">
        <v>2E-3</v>
      </c>
    </row>
    <row r="535" spans="1:7" x14ac:dyDescent="0.25">
      <c r="A535" s="77" t="s">
        <v>319</v>
      </c>
      <c r="B535" s="76" t="s">
        <v>320</v>
      </c>
      <c r="C535" s="76" t="s">
        <v>942</v>
      </c>
      <c r="D535" s="76" t="s">
        <v>943</v>
      </c>
      <c r="E535" s="79">
        <v>44127</v>
      </c>
      <c r="F535" s="76">
        <v>8000</v>
      </c>
      <c r="G535" s="76">
        <v>2E-3</v>
      </c>
    </row>
    <row r="536" spans="1:7" x14ac:dyDescent="0.25">
      <c r="A536" s="77" t="s">
        <v>319</v>
      </c>
      <c r="B536" s="76" t="s">
        <v>320</v>
      </c>
      <c r="C536" s="76" t="s">
        <v>1102</v>
      </c>
      <c r="D536" s="76" t="s">
        <v>1103</v>
      </c>
      <c r="E536" s="79">
        <v>44102</v>
      </c>
      <c r="F536" s="76">
        <v>7750</v>
      </c>
      <c r="G536" s="76">
        <v>3.0000000000000001E-3</v>
      </c>
    </row>
    <row r="537" spans="1:7" x14ac:dyDescent="0.25">
      <c r="A537" s="77" t="s">
        <v>319</v>
      </c>
      <c r="B537" s="76" t="s">
        <v>320</v>
      </c>
      <c r="C537" s="76" t="s">
        <v>1104</v>
      </c>
      <c r="D537" s="76" t="s">
        <v>1105</v>
      </c>
      <c r="E537" s="79">
        <v>44102</v>
      </c>
      <c r="F537" s="76">
        <v>8250</v>
      </c>
      <c r="G537" s="76">
        <v>3.0000000000000001E-3</v>
      </c>
    </row>
    <row r="538" spans="1:7" x14ac:dyDescent="0.25">
      <c r="A538" s="77" t="s">
        <v>319</v>
      </c>
      <c r="B538" s="76" t="s">
        <v>320</v>
      </c>
      <c r="C538" s="76" t="s">
        <v>1098</v>
      </c>
      <c r="D538" s="76" t="s">
        <v>1099</v>
      </c>
      <c r="E538" s="79">
        <v>44102</v>
      </c>
      <c r="F538" s="76">
        <v>8000</v>
      </c>
      <c r="G538" s="76">
        <v>4.0000000000000001E-3</v>
      </c>
    </row>
    <row r="539" spans="1:7" x14ac:dyDescent="0.25">
      <c r="A539" s="77" t="s">
        <v>319</v>
      </c>
      <c r="B539" s="76" t="s">
        <v>320</v>
      </c>
      <c r="C539" s="76" t="s">
        <v>1100</v>
      </c>
      <c r="D539" s="76" t="s">
        <v>1101</v>
      </c>
      <c r="E539" s="79">
        <v>44102</v>
      </c>
      <c r="F539" s="76">
        <v>7500</v>
      </c>
      <c r="G539" s="76">
        <v>4.0000000000000001E-3</v>
      </c>
    </row>
    <row r="540" spans="1:7" x14ac:dyDescent="0.25">
      <c r="A540" s="77" t="s">
        <v>319</v>
      </c>
      <c r="B540" s="76" t="s">
        <v>320</v>
      </c>
      <c r="C540" s="76" t="s">
        <v>1092</v>
      </c>
      <c r="D540" s="76" t="s">
        <v>1093</v>
      </c>
      <c r="E540" s="79">
        <v>44103</v>
      </c>
      <c r="F540" s="76">
        <v>8750</v>
      </c>
      <c r="G540" s="76">
        <v>3.0000000000000001E-3</v>
      </c>
    </row>
    <row r="541" spans="1:7" x14ac:dyDescent="0.25">
      <c r="A541" s="77" t="s">
        <v>319</v>
      </c>
      <c r="B541" s="76" t="s">
        <v>320</v>
      </c>
      <c r="C541" s="76" t="s">
        <v>1094</v>
      </c>
      <c r="D541" s="76" t="s">
        <v>1095</v>
      </c>
      <c r="E541" s="79">
        <v>44103</v>
      </c>
      <c r="F541" s="76">
        <v>8500</v>
      </c>
      <c r="G541" s="76">
        <v>4.0000000000000001E-3</v>
      </c>
    </row>
    <row r="542" spans="1:7" x14ac:dyDescent="0.25">
      <c r="A542" s="77" t="s">
        <v>319</v>
      </c>
      <c r="B542" s="76" t="s">
        <v>320</v>
      </c>
      <c r="C542" s="76" t="s">
        <v>1096</v>
      </c>
      <c r="D542" s="76" t="s">
        <v>1097</v>
      </c>
      <c r="E542" s="79">
        <v>44103</v>
      </c>
      <c r="F542" s="76">
        <v>7000</v>
      </c>
      <c r="G542" s="76">
        <v>5.0000000000000001E-3</v>
      </c>
    </row>
    <row r="543" spans="1:7" x14ac:dyDescent="0.25">
      <c r="A543" s="77" t="s">
        <v>319</v>
      </c>
      <c r="B543" s="76" t="s">
        <v>320</v>
      </c>
      <c r="C543" s="76" t="s">
        <v>1427</v>
      </c>
      <c r="D543" s="76" t="s">
        <v>1428</v>
      </c>
      <c r="E543" s="79">
        <v>44104</v>
      </c>
      <c r="F543" s="76">
        <v>9100</v>
      </c>
      <c r="G543" s="76">
        <v>2E-3</v>
      </c>
    </row>
    <row r="544" spans="1:7" x14ac:dyDescent="0.25">
      <c r="A544" s="77" t="s">
        <v>319</v>
      </c>
      <c r="B544" s="76" t="s">
        <v>320</v>
      </c>
      <c r="C544" s="76" t="s">
        <v>1429</v>
      </c>
      <c r="D544" s="76" t="s">
        <v>1430</v>
      </c>
      <c r="E544" s="79">
        <v>44104</v>
      </c>
      <c r="F544" s="76">
        <v>9500</v>
      </c>
      <c r="G544" s="76">
        <v>2E-3</v>
      </c>
    </row>
    <row r="545" spans="1:7" x14ac:dyDescent="0.25">
      <c r="A545" s="77" t="s">
        <v>319</v>
      </c>
      <c r="B545" s="76" t="s">
        <v>320</v>
      </c>
      <c r="C545" s="76" t="s">
        <v>1431</v>
      </c>
      <c r="D545" s="76" t="s">
        <v>1432</v>
      </c>
      <c r="E545" s="79">
        <v>44195</v>
      </c>
      <c r="F545" s="76">
        <v>8400</v>
      </c>
      <c r="G545" s="76">
        <v>2E-3</v>
      </c>
    </row>
    <row r="546" spans="1:7" x14ac:dyDescent="0.25">
      <c r="A546" s="77" t="s">
        <v>319</v>
      </c>
      <c r="B546" s="76" t="s">
        <v>320</v>
      </c>
      <c r="C546" s="76" t="s">
        <v>1433</v>
      </c>
      <c r="D546" s="76" t="s">
        <v>1434</v>
      </c>
      <c r="E546" s="79">
        <v>44195</v>
      </c>
      <c r="F546" s="76">
        <v>8700</v>
      </c>
      <c r="G546" s="76">
        <v>2E-3</v>
      </c>
    </row>
    <row r="547" spans="1:7" x14ac:dyDescent="0.25">
      <c r="A547" s="77" t="s">
        <v>319</v>
      </c>
      <c r="B547" s="76" t="s">
        <v>320</v>
      </c>
      <c r="C547" s="76" t="s">
        <v>1465</v>
      </c>
      <c r="D547" s="76" t="s">
        <v>1466</v>
      </c>
      <c r="E547" s="79">
        <v>44109</v>
      </c>
      <c r="F547" s="76">
        <v>6500</v>
      </c>
      <c r="G547" s="76">
        <v>7.0000000000000001E-3</v>
      </c>
    </row>
    <row r="548" spans="1:7" x14ac:dyDescent="0.25">
      <c r="A548" s="77" t="s">
        <v>319</v>
      </c>
      <c r="B548" s="76" t="s">
        <v>320</v>
      </c>
      <c r="C548" s="76" t="s">
        <v>1467</v>
      </c>
      <c r="D548" s="76" t="s">
        <v>1468</v>
      </c>
      <c r="E548" s="79">
        <v>44109</v>
      </c>
      <c r="F548" s="76">
        <v>7000</v>
      </c>
      <c r="G548" s="76">
        <v>5.0000000000000001E-3</v>
      </c>
    </row>
    <row r="549" spans="1:7" x14ac:dyDescent="0.25">
      <c r="A549" s="77" t="s">
        <v>319</v>
      </c>
      <c r="B549" s="76" t="s">
        <v>320</v>
      </c>
      <c r="C549" s="76" t="s">
        <v>1469</v>
      </c>
      <c r="D549" s="76" t="s">
        <v>1470</v>
      </c>
      <c r="E549" s="79">
        <v>44109</v>
      </c>
      <c r="F549" s="76">
        <v>7250</v>
      </c>
      <c r="G549" s="76">
        <v>5.0000000000000001E-3</v>
      </c>
    </row>
    <row r="550" spans="1:7" x14ac:dyDescent="0.25">
      <c r="A550" s="77" t="s">
        <v>319</v>
      </c>
      <c r="B550" s="76" t="s">
        <v>320</v>
      </c>
      <c r="C550" s="76" t="s">
        <v>1471</v>
      </c>
      <c r="D550" s="76" t="s">
        <v>1472</v>
      </c>
      <c r="E550" s="79">
        <v>44109</v>
      </c>
      <c r="F550" s="76">
        <v>7500</v>
      </c>
      <c r="G550" s="76">
        <v>5.0000000000000001E-3</v>
      </c>
    </row>
    <row r="551" spans="1:7" x14ac:dyDescent="0.25">
      <c r="A551" s="77" t="s">
        <v>319</v>
      </c>
      <c r="B551" s="76" t="s">
        <v>320</v>
      </c>
      <c r="C551" s="76" t="s">
        <v>1473</v>
      </c>
      <c r="D551" s="76" t="s">
        <v>1474</v>
      </c>
      <c r="E551" s="79">
        <v>44109</v>
      </c>
      <c r="F551" s="76">
        <v>7750</v>
      </c>
      <c r="G551" s="76">
        <v>4.0000000000000001E-3</v>
      </c>
    </row>
    <row r="552" spans="1:7" x14ac:dyDescent="0.25">
      <c r="A552" s="77" t="s">
        <v>319</v>
      </c>
      <c r="B552" s="76" t="s">
        <v>320</v>
      </c>
      <c r="C552" s="76" t="s">
        <v>1475</v>
      </c>
      <c r="D552" s="76" t="s">
        <v>1476</v>
      </c>
      <c r="E552" s="79">
        <v>44109</v>
      </c>
      <c r="F552" s="76">
        <v>8250</v>
      </c>
      <c r="G552" s="76">
        <v>3.0000000000000001E-3</v>
      </c>
    </row>
    <row r="553" spans="1:7" x14ac:dyDescent="0.25">
      <c r="A553" s="77" t="s">
        <v>319</v>
      </c>
      <c r="B553" s="76" t="s">
        <v>320</v>
      </c>
      <c r="C553" s="76" t="s">
        <v>1477</v>
      </c>
      <c r="D553" s="76" t="s">
        <v>1478</v>
      </c>
      <c r="E553" s="79">
        <v>44109</v>
      </c>
      <c r="F553" s="76">
        <v>7500</v>
      </c>
      <c r="G553" s="76">
        <v>3.0000000000000001E-3</v>
      </c>
    </row>
    <row r="554" spans="1:7" x14ac:dyDescent="0.25">
      <c r="A554" s="77" t="s">
        <v>319</v>
      </c>
      <c r="B554" s="76" t="s">
        <v>320</v>
      </c>
      <c r="C554" s="76" t="s">
        <v>1479</v>
      </c>
      <c r="D554" s="76" t="s">
        <v>1480</v>
      </c>
      <c r="E554" s="79">
        <v>44109</v>
      </c>
      <c r="F554" s="76">
        <v>8500</v>
      </c>
      <c r="G554" s="76">
        <v>1E-3</v>
      </c>
    </row>
    <row r="555" spans="1:7" x14ac:dyDescent="0.25">
      <c r="A555" s="77" t="s">
        <v>319</v>
      </c>
      <c r="B555" s="76" t="s">
        <v>320</v>
      </c>
      <c r="C555" s="76" t="s">
        <v>1481</v>
      </c>
      <c r="D555" s="76" t="s">
        <v>1482</v>
      </c>
      <c r="E555" s="79">
        <v>44109</v>
      </c>
      <c r="F555" s="76">
        <v>9000</v>
      </c>
      <c r="G555" s="76">
        <v>2E-3</v>
      </c>
    </row>
    <row r="556" spans="1:7" x14ac:dyDescent="0.25">
      <c r="A556" s="77" t="s">
        <v>319</v>
      </c>
      <c r="B556" s="76" t="s">
        <v>320</v>
      </c>
      <c r="C556" s="76" t="s">
        <v>1483</v>
      </c>
      <c r="D556" s="76" t="s">
        <v>1484</v>
      </c>
      <c r="E556" s="79">
        <v>44140</v>
      </c>
      <c r="F556" s="76">
        <v>7500</v>
      </c>
      <c r="G556" s="76">
        <v>2E-3</v>
      </c>
    </row>
    <row r="557" spans="1:7" x14ac:dyDescent="0.25">
      <c r="A557" s="77" t="s">
        <v>319</v>
      </c>
      <c r="B557" s="76" t="s">
        <v>320</v>
      </c>
      <c r="C557" s="76" t="s">
        <v>1485</v>
      </c>
      <c r="D557" s="76" t="s">
        <v>1486</v>
      </c>
      <c r="E557" s="79">
        <v>44140</v>
      </c>
      <c r="F557" s="76">
        <v>8000</v>
      </c>
      <c r="G557" s="76">
        <v>3.0000000000000001E-3</v>
      </c>
    </row>
    <row r="558" spans="1:7" x14ac:dyDescent="0.25">
      <c r="A558" s="77" t="s">
        <v>319</v>
      </c>
      <c r="B558" s="76" t="s">
        <v>320</v>
      </c>
      <c r="C558" s="76" t="s">
        <v>1487</v>
      </c>
      <c r="D558" s="76" t="s">
        <v>1488</v>
      </c>
      <c r="E558" s="79">
        <v>44140</v>
      </c>
      <c r="F558" s="76">
        <v>8500</v>
      </c>
      <c r="G558" s="76">
        <v>2E-3</v>
      </c>
    </row>
    <row r="559" spans="1:7" x14ac:dyDescent="0.25">
      <c r="A559" s="77" t="s">
        <v>319</v>
      </c>
      <c r="B559" s="76" t="s">
        <v>320</v>
      </c>
      <c r="C559" s="76" t="s">
        <v>1489</v>
      </c>
      <c r="D559" s="76" t="s">
        <v>1490</v>
      </c>
      <c r="E559" s="79">
        <v>44140</v>
      </c>
      <c r="F559" s="76">
        <v>8200</v>
      </c>
      <c r="G559" s="76">
        <v>2E-3</v>
      </c>
    </row>
    <row r="560" spans="1:7" x14ac:dyDescent="0.25">
      <c r="A560" s="77" t="s">
        <v>319</v>
      </c>
      <c r="B560" s="76" t="s">
        <v>320</v>
      </c>
      <c r="C560" s="76" t="s">
        <v>1491</v>
      </c>
      <c r="D560" s="76" t="s">
        <v>1492</v>
      </c>
      <c r="E560" s="79">
        <v>44140</v>
      </c>
      <c r="F560" s="76">
        <v>8600</v>
      </c>
      <c r="G560" s="76">
        <v>2E-3</v>
      </c>
    </row>
    <row r="561" spans="1:7" x14ac:dyDescent="0.25">
      <c r="A561" s="77" t="s">
        <v>319</v>
      </c>
      <c r="B561" s="76" t="s">
        <v>320</v>
      </c>
      <c r="C561" s="76" t="s">
        <v>1493</v>
      </c>
      <c r="D561" s="76" t="s">
        <v>1494</v>
      </c>
      <c r="E561" s="79">
        <v>44140</v>
      </c>
      <c r="F561" s="76">
        <v>9000</v>
      </c>
      <c r="G561" s="76">
        <v>1E-3</v>
      </c>
    </row>
    <row r="562" spans="1:7" x14ac:dyDescent="0.25">
      <c r="A562" s="77" t="s">
        <v>319</v>
      </c>
      <c r="B562" s="76" t="s">
        <v>320</v>
      </c>
      <c r="C562" s="76" t="s">
        <v>1495</v>
      </c>
      <c r="D562" s="76" t="s">
        <v>1496</v>
      </c>
      <c r="E562" s="79">
        <v>44111</v>
      </c>
      <c r="F562" s="76">
        <v>6000</v>
      </c>
      <c r="G562" s="76">
        <v>6.0000000000000001E-3</v>
      </c>
    </row>
    <row r="563" spans="1:7" x14ac:dyDescent="0.25">
      <c r="A563" s="77" t="s">
        <v>319</v>
      </c>
      <c r="B563" s="76" t="s">
        <v>320</v>
      </c>
      <c r="C563" s="76" t="s">
        <v>1497</v>
      </c>
      <c r="D563" s="76" t="s">
        <v>1498</v>
      </c>
      <c r="E563" s="79">
        <v>44111</v>
      </c>
      <c r="F563" s="76">
        <v>6750</v>
      </c>
      <c r="G563" s="76">
        <v>5.0000000000000001E-3</v>
      </c>
    </row>
    <row r="564" spans="1:7" x14ac:dyDescent="0.25">
      <c r="A564" s="77" t="s">
        <v>319</v>
      </c>
      <c r="B564" s="76" t="s">
        <v>320</v>
      </c>
      <c r="C564" s="76" t="s">
        <v>1499</v>
      </c>
      <c r="D564" s="76" t="s">
        <v>1500</v>
      </c>
      <c r="E564" s="79">
        <v>44144</v>
      </c>
      <c r="F564" s="76">
        <v>8100</v>
      </c>
      <c r="G564" s="76">
        <v>1E-3</v>
      </c>
    </row>
    <row r="565" spans="1:7" x14ac:dyDescent="0.25">
      <c r="A565" s="77" t="s">
        <v>319</v>
      </c>
      <c r="B565" s="76" t="s">
        <v>320</v>
      </c>
      <c r="C565" s="76" t="s">
        <v>1501</v>
      </c>
      <c r="D565" s="76" t="s">
        <v>1502</v>
      </c>
      <c r="E565" s="79">
        <v>44144</v>
      </c>
      <c r="F565" s="76">
        <v>8500</v>
      </c>
      <c r="G565" s="76">
        <v>1E-3</v>
      </c>
    </row>
    <row r="566" spans="1:7" x14ac:dyDescent="0.25">
      <c r="A566" s="77" t="s">
        <v>319</v>
      </c>
      <c r="B566" s="76" t="s">
        <v>320</v>
      </c>
      <c r="C566" s="76" t="s">
        <v>1503</v>
      </c>
      <c r="D566" s="76" t="s">
        <v>1504</v>
      </c>
      <c r="E566" s="79">
        <v>44144</v>
      </c>
      <c r="F566" s="76">
        <v>8800</v>
      </c>
      <c r="G566" s="76">
        <v>1E-3</v>
      </c>
    </row>
    <row r="567" spans="1:7" x14ac:dyDescent="0.25">
      <c r="A567" s="77" t="s">
        <v>319</v>
      </c>
      <c r="B567" s="76" t="s">
        <v>320</v>
      </c>
      <c r="C567" s="76" t="s">
        <v>1505</v>
      </c>
      <c r="D567" s="76" t="s">
        <v>1506</v>
      </c>
      <c r="E567" s="79">
        <v>44144</v>
      </c>
      <c r="F567" s="76">
        <v>8800</v>
      </c>
      <c r="G567" s="76">
        <v>1E-3</v>
      </c>
    </row>
    <row r="568" spans="1:7" x14ac:dyDescent="0.25">
      <c r="A568" s="77" t="s">
        <v>319</v>
      </c>
      <c r="B568" s="76" t="s">
        <v>320</v>
      </c>
      <c r="C568" s="76" t="s">
        <v>1507</v>
      </c>
      <c r="D568" s="76" t="s">
        <v>1508</v>
      </c>
      <c r="E568" s="79">
        <v>44144</v>
      </c>
      <c r="F568" s="76">
        <v>7000</v>
      </c>
      <c r="G568" s="76">
        <v>1E-3</v>
      </c>
    </row>
    <row r="569" spans="1:7" x14ac:dyDescent="0.25">
      <c r="A569" s="77" t="s">
        <v>319</v>
      </c>
      <c r="B569" s="76" t="s">
        <v>320</v>
      </c>
      <c r="C569" s="76" t="s">
        <v>1509</v>
      </c>
      <c r="D569" s="76" t="s">
        <v>1510</v>
      </c>
      <c r="E569" s="79">
        <v>44144</v>
      </c>
      <c r="F569" s="76">
        <v>5888</v>
      </c>
      <c r="G569" s="76">
        <v>1E-3</v>
      </c>
    </row>
    <row r="570" spans="1:7" x14ac:dyDescent="0.25">
      <c r="A570" s="77" t="s">
        <v>319</v>
      </c>
      <c r="B570" s="76" t="s">
        <v>320</v>
      </c>
      <c r="C570" s="76" t="s">
        <v>1511</v>
      </c>
      <c r="D570" s="76" t="s">
        <v>1512</v>
      </c>
      <c r="E570" s="79">
        <v>44174</v>
      </c>
      <c r="F570" s="76">
        <v>8000</v>
      </c>
      <c r="G570" s="76">
        <v>1E-3</v>
      </c>
    </row>
    <row r="571" spans="1:7" x14ac:dyDescent="0.25">
      <c r="A571" s="77" t="s">
        <v>319</v>
      </c>
      <c r="B571" s="76" t="s">
        <v>320</v>
      </c>
      <c r="C571" s="76" t="s">
        <v>1595</v>
      </c>
      <c r="D571" s="76" t="s">
        <v>1596</v>
      </c>
      <c r="E571" s="79">
        <v>44208</v>
      </c>
      <c r="F571" s="76">
        <v>6000</v>
      </c>
      <c r="G571" s="76">
        <v>2E-3</v>
      </c>
    </row>
    <row r="572" spans="1:7" x14ac:dyDescent="0.25">
      <c r="A572" s="77" t="s">
        <v>319</v>
      </c>
      <c r="B572" s="76" t="s">
        <v>320</v>
      </c>
      <c r="C572" s="76" t="s">
        <v>1601</v>
      </c>
      <c r="D572" s="76" t="s">
        <v>1602</v>
      </c>
      <c r="E572" s="79">
        <v>44210</v>
      </c>
      <c r="F572" s="76">
        <v>8888</v>
      </c>
      <c r="G572" s="76">
        <v>1E-3</v>
      </c>
    </row>
    <row r="573" spans="1:7" x14ac:dyDescent="0.25">
      <c r="A573" s="77" t="s">
        <v>319</v>
      </c>
      <c r="B573" s="76" t="s">
        <v>320</v>
      </c>
      <c r="C573" s="76" t="s">
        <v>1603</v>
      </c>
      <c r="D573" s="76" t="s">
        <v>1604</v>
      </c>
      <c r="E573" s="79">
        <v>44210</v>
      </c>
      <c r="F573" s="76">
        <v>6888</v>
      </c>
      <c r="G573" s="76">
        <v>2E-3</v>
      </c>
    </row>
    <row r="574" spans="1:7" x14ac:dyDescent="0.25">
      <c r="A574" s="77" t="s">
        <v>319</v>
      </c>
      <c r="B574" s="76" t="s">
        <v>320</v>
      </c>
      <c r="C574" s="76" t="s">
        <v>1597</v>
      </c>
      <c r="D574" s="76" t="s">
        <v>1598</v>
      </c>
      <c r="E574" s="79">
        <v>44116</v>
      </c>
      <c r="F574" s="76">
        <v>9000</v>
      </c>
      <c r="G574" s="76">
        <v>2E-3</v>
      </c>
    </row>
    <row r="575" spans="1:7" x14ac:dyDescent="0.25">
      <c r="A575" s="77" t="s">
        <v>319</v>
      </c>
      <c r="B575" s="76" t="s">
        <v>320</v>
      </c>
      <c r="C575" s="76" t="s">
        <v>1599</v>
      </c>
      <c r="D575" s="76" t="s">
        <v>1600</v>
      </c>
      <c r="E575" s="79">
        <v>44116</v>
      </c>
      <c r="F575" s="76">
        <v>8500</v>
      </c>
      <c r="G575" s="76">
        <v>2E-3</v>
      </c>
    </row>
    <row r="576" spans="1:7" x14ac:dyDescent="0.25">
      <c r="A576" s="77" t="s">
        <v>319</v>
      </c>
      <c r="B576" s="76" t="s">
        <v>320</v>
      </c>
      <c r="C576" s="76" t="s">
        <v>1605</v>
      </c>
      <c r="D576" s="76" t="s">
        <v>1606</v>
      </c>
      <c r="E576" s="79">
        <v>44119</v>
      </c>
      <c r="F576" s="76">
        <v>9100</v>
      </c>
      <c r="G576" s="76">
        <v>2E-3</v>
      </c>
    </row>
    <row r="577" spans="1:7" x14ac:dyDescent="0.25">
      <c r="A577" s="77" t="s">
        <v>319</v>
      </c>
      <c r="B577" s="76" t="s">
        <v>320</v>
      </c>
      <c r="C577" s="76" t="s">
        <v>1607</v>
      </c>
      <c r="D577" s="76" t="s">
        <v>1608</v>
      </c>
      <c r="E577" s="79">
        <v>44119</v>
      </c>
      <c r="F577" s="76">
        <v>9800</v>
      </c>
      <c r="G577" s="76">
        <v>3.0000000000000001E-3</v>
      </c>
    </row>
    <row r="578" spans="1:7" x14ac:dyDescent="0.25">
      <c r="A578" s="77" t="s">
        <v>319</v>
      </c>
      <c r="B578" s="76" t="s">
        <v>320</v>
      </c>
      <c r="C578" s="76" t="s">
        <v>1609</v>
      </c>
      <c r="D578" s="76" t="s">
        <v>1610</v>
      </c>
      <c r="E578" s="79">
        <v>44119</v>
      </c>
      <c r="F578" s="76">
        <v>10200</v>
      </c>
      <c r="G578" s="76">
        <v>2E-3</v>
      </c>
    </row>
    <row r="579" spans="1:7" x14ac:dyDescent="0.25">
      <c r="A579" s="77" t="s">
        <v>319</v>
      </c>
      <c r="B579" s="76" t="s">
        <v>320</v>
      </c>
      <c r="C579" s="76" t="s">
        <v>1611</v>
      </c>
      <c r="D579" s="76" t="s">
        <v>1612</v>
      </c>
      <c r="E579" s="79">
        <v>44119</v>
      </c>
      <c r="F579" s="76">
        <v>7800</v>
      </c>
      <c r="G579" s="76">
        <v>3.0000000000000001E-3</v>
      </c>
    </row>
    <row r="580" spans="1:7" x14ac:dyDescent="0.25">
      <c r="A580" s="77" t="s">
        <v>319</v>
      </c>
      <c r="B580" s="76" t="s">
        <v>320</v>
      </c>
      <c r="C580" s="76" t="s">
        <v>1613</v>
      </c>
      <c r="D580" s="76" t="s">
        <v>1614</v>
      </c>
      <c r="E580" s="79">
        <v>44119</v>
      </c>
      <c r="F580" s="76">
        <v>8800</v>
      </c>
      <c r="G580" s="76">
        <v>2E-3</v>
      </c>
    </row>
    <row r="581" spans="1:7" x14ac:dyDescent="0.25">
      <c r="A581" s="77" t="s">
        <v>319</v>
      </c>
      <c r="B581" s="76" t="s">
        <v>320</v>
      </c>
      <c r="C581" s="76" t="s">
        <v>1859</v>
      </c>
      <c r="D581" s="76" t="s">
        <v>1860</v>
      </c>
      <c r="E581" s="79">
        <v>44123</v>
      </c>
      <c r="F581" s="76">
        <v>10000</v>
      </c>
      <c r="G581" s="76">
        <v>1E-3</v>
      </c>
    </row>
    <row r="582" spans="1:7" x14ac:dyDescent="0.25">
      <c r="A582" s="77" t="s">
        <v>319</v>
      </c>
      <c r="B582" s="76" t="s">
        <v>320</v>
      </c>
      <c r="C582" s="76" t="s">
        <v>1921</v>
      </c>
      <c r="D582" s="76" t="s">
        <v>1922</v>
      </c>
      <c r="E582" s="79">
        <v>44125</v>
      </c>
      <c r="F582" s="76">
        <v>8500</v>
      </c>
      <c r="G582" s="76">
        <v>4.0000000000000001E-3</v>
      </c>
    </row>
    <row r="583" spans="1:7" x14ac:dyDescent="0.25">
      <c r="A583" s="77" t="s">
        <v>319</v>
      </c>
      <c r="B583" s="76" t="s">
        <v>320</v>
      </c>
      <c r="C583" s="76" t="s">
        <v>1923</v>
      </c>
      <c r="D583" s="76" t="s">
        <v>1924</v>
      </c>
      <c r="E583" s="79">
        <v>44125</v>
      </c>
      <c r="F583" s="76">
        <v>9200</v>
      </c>
      <c r="G583" s="76">
        <v>4.0000000000000001E-3</v>
      </c>
    </row>
    <row r="584" spans="1:7" x14ac:dyDescent="0.25">
      <c r="A584" s="77" t="s">
        <v>319</v>
      </c>
      <c r="B584" s="76" t="s">
        <v>320</v>
      </c>
      <c r="C584" s="76" t="s">
        <v>1925</v>
      </c>
      <c r="D584" s="76" t="s">
        <v>1926</v>
      </c>
      <c r="E584" s="79">
        <v>44125</v>
      </c>
      <c r="F584" s="76">
        <v>9600</v>
      </c>
      <c r="G584" s="76">
        <v>3.0000000000000001E-3</v>
      </c>
    </row>
    <row r="585" spans="1:7" x14ac:dyDescent="0.25">
      <c r="A585" s="77" t="s">
        <v>319</v>
      </c>
      <c r="B585" s="76" t="s">
        <v>320</v>
      </c>
      <c r="C585" s="76" t="s">
        <v>1927</v>
      </c>
      <c r="D585" s="76" t="s">
        <v>1928</v>
      </c>
      <c r="E585" s="79">
        <v>44125</v>
      </c>
      <c r="F585" s="76">
        <v>10000</v>
      </c>
      <c r="G585" s="76">
        <v>3.0000000000000001E-3</v>
      </c>
    </row>
    <row r="586" spans="1:7" x14ac:dyDescent="0.25">
      <c r="A586" s="77" t="s">
        <v>319</v>
      </c>
      <c r="B586" s="76" t="s">
        <v>320</v>
      </c>
      <c r="C586" s="76" t="s">
        <v>1929</v>
      </c>
      <c r="D586" s="76" t="s">
        <v>1930</v>
      </c>
      <c r="E586" s="79">
        <v>44125</v>
      </c>
      <c r="F586" s="76">
        <v>10400</v>
      </c>
      <c r="G586" s="76">
        <v>3.0000000000000001E-3</v>
      </c>
    </row>
    <row r="587" spans="1:7" x14ac:dyDescent="0.25">
      <c r="A587" s="77" t="s">
        <v>319</v>
      </c>
      <c r="B587" s="76" t="s">
        <v>320</v>
      </c>
      <c r="C587" s="76" t="s">
        <v>1931</v>
      </c>
      <c r="D587" s="76" t="s">
        <v>1932</v>
      </c>
      <c r="E587" s="79">
        <v>44125</v>
      </c>
      <c r="F587" s="76">
        <v>8800</v>
      </c>
      <c r="G587" s="76">
        <v>3.0000000000000001E-3</v>
      </c>
    </row>
    <row r="588" spans="1:7" x14ac:dyDescent="0.25">
      <c r="A588" s="77" t="s">
        <v>319</v>
      </c>
      <c r="B588" s="76" t="s">
        <v>320</v>
      </c>
      <c r="C588" s="76" t="s">
        <v>1933</v>
      </c>
      <c r="D588" s="76" t="s">
        <v>1934</v>
      </c>
      <c r="E588" s="79">
        <v>44125</v>
      </c>
      <c r="F588" s="76">
        <v>9000</v>
      </c>
      <c r="G588" s="76">
        <v>3.0000000000000001E-3</v>
      </c>
    </row>
    <row r="589" spans="1:7" x14ac:dyDescent="0.25">
      <c r="A589" s="77" t="s">
        <v>319</v>
      </c>
      <c r="B589" s="76" t="s">
        <v>320</v>
      </c>
      <c r="C589" s="76" t="s">
        <v>1935</v>
      </c>
      <c r="D589" s="76" t="s">
        <v>1936</v>
      </c>
      <c r="E589" s="79">
        <v>44125</v>
      </c>
      <c r="F589" s="76">
        <v>9200</v>
      </c>
      <c r="G589" s="76">
        <v>3.0000000000000001E-3</v>
      </c>
    </row>
    <row r="590" spans="1:7" x14ac:dyDescent="0.25">
      <c r="A590" s="77" t="s">
        <v>319</v>
      </c>
      <c r="B590" s="76" t="s">
        <v>320</v>
      </c>
      <c r="C590" s="76" t="s">
        <v>1937</v>
      </c>
      <c r="D590" s="76" t="s">
        <v>1938</v>
      </c>
      <c r="E590" s="79">
        <v>44125</v>
      </c>
      <c r="F590" s="76">
        <v>9400</v>
      </c>
      <c r="G590" s="76">
        <v>3.0000000000000001E-3</v>
      </c>
    </row>
    <row r="591" spans="1:7" x14ac:dyDescent="0.25">
      <c r="A591" s="77" t="s">
        <v>319</v>
      </c>
      <c r="B591" s="76" t="s">
        <v>320</v>
      </c>
      <c r="C591" s="76" t="s">
        <v>1939</v>
      </c>
      <c r="D591" s="76" t="s">
        <v>1940</v>
      </c>
      <c r="E591" s="79">
        <v>44125</v>
      </c>
      <c r="F591" s="76">
        <v>9600</v>
      </c>
      <c r="G591" s="76">
        <v>3.0000000000000001E-3</v>
      </c>
    </row>
    <row r="592" spans="1:7" x14ac:dyDescent="0.25">
      <c r="A592" s="77" t="s">
        <v>319</v>
      </c>
      <c r="B592" s="76" t="s">
        <v>320</v>
      </c>
      <c r="C592" s="76" t="s">
        <v>1941</v>
      </c>
      <c r="D592" s="76" t="s">
        <v>1942</v>
      </c>
      <c r="E592" s="79">
        <v>44125</v>
      </c>
      <c r="F592" s="76">
        <v>10800</v>
      </c>
      <c r="G592" s="76">
        <v>2E-3</v>
      </c>
    </row>
    <row r="593" spans="1:7" x14ac:dyDescent="0.25">
      <c r="A593" s="77" t="s">
        <v>319</v>
      </c>
      <c r="B593" s="76" t="s">
        <v>320</v>
      </c>
      <c r="C593" s="76" t="s">
        <v>1943</v>
      </c>
      <c r="D593" s="76" t="s">
        <v>1944</v>
      </c>
      <c r="E593" s="79">
        <v>44125</v>
      </c>
      <c r="F593" s="76">
        <v>10400</v>
      </c>
      <c r="G593" s="76">
        <v>2E-3</v>
      </c>
    </row>
    <row r="594" spans="1:7" x14ac:dyDescent="0.25">
      <c r="A594" s="77" t="s">
        <v>319</v>
      </c>
      <c r="B594" s="76" t="s">
        <v>320</v>
      </c>
      <c r="C594" s="76" t="s">
        <v>1945</v>
      </c>
      <c r="D594" s="76" t="s">
        <v>1946</v>
      </c>
      <c r="E594" s="79">
        <v>44125</v>
      </c>
      <c r="F594" s="76">
        <v>10600</v>
      </c>
      <c r="G594" s="76">
        <v>2E-3</v>
      </c>
    </row>
    <row r="595" spans="1:7" x14ac:dyDescent="0.25">
      <c r="A595" s="77" t="s">
        <v>319</v>
      </c>
      <c r="B595" s="76" t="s">
        <v>320</v>
      </c>
      <c r="C595" s="76" t="s">
        <v>1947</v>
      </c>
      <c r="D595" s="76" t="s">
        <v>1948</v>
      </c>
      <c r="E595" s="79">
        <v>44125</v>
      </c>
      <c r="F595" s="76">
        <v>11000</v>
      </c>
      <c r="G595" s="76">
        <v>2E-3</v>
      </c>
    </row>
    <row r="596" spans="1:7" x14ac:dyDescent="0.25">
      <c r="A596" s="77" t="s">
        <v>319</v>
      </c>
      <c r="B596" s="76" t="s">
        <v>320</v>
      </c>
      <c r="C596" s="76" t="s">
        <v>1949</v>
      </c>
      <c r="D596" s="76" t="s">
        <v>1950</v>
      </c>
      <c r="E596" s="79">
        <v>44124</v>
      </c>
      <c r="F596" s="76">
        <v>9100</v>
      </c>
      <c r="G596" s="76">
        <v>1E-3</v>
      </c>
    </row>
    <row r="597" spans="1:7" x14ac:dyDescent="0.25">
      <c r="A597" s="77" t="s">
        <v>319</v>
      </c>
      <c r="B597" s="76" t="s">
        <v>320</v>
      </c>
      <c r="C597" s="76" t="s">
        <v>1951</v>
      </c>
      <c r="D597" s="76" t="s">
        <v>1952</v>
      </c>
      <c r="E597" s="79">
        <v>44124</v>
      </c>
      <c r="F597" s="76">
        <v>9300</v>
      </c>
      <c r="G597" s="76">
        <v>1E-3</v>
      </c>
    </row>
    <row r="598" spans="1:7" x14ac:dyDescent="0.25">
      <c r="A598" s="77" t="s">
        <v>319</v>
      </c>
      <c r="B598" s="76" t="s">
        <v>320</v>
      </c>
      <c r="C598" s="76" t="s">
        <v>1953</v>
      </c>
      <c r="D598" s="76" t="s">
        <v>1954</v>
      </c>
      <c r="E598" s="79">
        <v>44124</v>
      </c>
      <c r="F598" s="76">
        <v>9500</v>
      </c>
      <c r="G598" s="76">
        <v>1E-3</v>
      </c>
    </row>
    <row r="599" spans="1:7" x14ac:dyDescent="0.25">
      <c r="A599" s="77" t="s">
        <v>319</v>
      </c>
      <c r="B599" s="76" t="s">
        <v>320</v>
      </c>
      <c r="C599" s="76" t="s">
        <v>1955</v>
      </c>
      <c r="D599" s="76" t="s">
        <v>1956</v>
      </c>
      <c r="E599" s="79">
        <v>44124</v>
      </c>
      <c r="F599" s="76">
        <v>9700</v>
      </c>
      <c r="G599" s="76">
        <v>1E-3</v>
      </c>
    </row>
    <row r="600" spans="1:7" x14ac:dyDescent="0.25">
      <c r="A600" s="77" t="s">
        <v>319</v>
      </c>
      <c r="B600" s="76" t="s">
        <v>320</v>
      </c>
      <c r="C600" s="76" t="s">
        <v>1957</v>
      </c>
      <c r="D600" s="76" t="s">
        <v>1958</v>
      </c>
      <c r="E600" s="79">
        <v>44124</v>
      </c>
      <c r="F600" s="76">
        <v>9900</v>
      </c>
      <c r="G600" s="76">
        <v>1E-3</v>
      </c>
    </row>
    <row r="601" spans="1:7" x14ac:dyDescent="0.25">
      <c r="A601" s="77" t="s">
        <v>319</v>
      </c>
      <c r="B601" s="76" t="s">
        <v>320</v>
      </c>
      <c r="C601" s="76" t="s">
        <v>1615</v>
      </c>
      <c r="D601" s="76" t="s">
        <v>1616</v>
      </c>
      <c r="E601" s="79">
        <v>44117</v>
      </c>
      <c r="F601" s="76">
        <v>10000</v>
      </c>
      <c r="G601" s="76">
        <v>2E-3</v>
      </c>
    </row>
    <row r="602" spans="1:7" x14ac:dyDescent="0.25">
      <c r="A602" s="77" t="s">
        <v>319</v>
      </c>
      <c r="B602" s="76" t="s">
        <v>320</v>
      </c>
      <c r="C602" s="76" t="s">
        <v>1959</v>
      </c>
      <c r="D602" s="76" t="s">
        <v>1960</v>
      </c>
      <c r="E602" s="79">
        <v>44125</v>
      </c>
      <c r="F602" s="76">
        <v>9500</v>
      </c>
      <c r="G602" s="76">
        <v>1E-3</v>
      </c>
    </row>
    <row r="603" spans="1:7" x14ac:dyDescent="0.25">
      <c r="A603" s="77" t="s">
        <v>319</v>
      </c>
      <c r="B603" s="76" t="s">
        <v>320</v>
      </c>
      <c r="C603" s="76" t="s">
        <v>1961</v>
      </c>
      <c r="D603" s="76" t="s">
        <v>1962</v>
      </c>
      <c r="E603" s="79">
        <v>44125</v>
      </c>
      <c r="F603" s="76">
        <v>8400</v>
      </c>
      <c r="G603" s="76">
        <v>1E-3</v>
      </c>
    </row>
    <row r="604" spans="1:7" x14ac:dyDescent="0.25">
      <c r="A604" s="77" t="s">
        <v>319</v>
      </c>
      <c r="B604" s="76" t="s">
        <v>320</v>
      </c>
      <c r="C604" s="76" t="s">
        <v>1979</v>
      </c>
      <c r="D604" s="76" t="s">
        <v>1980</v>
      </c>
      <c r="E604" s="79">
        <v>44126</v>
      </c>
      <c r="F604" s="76">
        <v>9100</v>
      </c>
      <c r="G604" s="76">
        <v>1E-3</v>
      </c>
    </row>
    <row r="605" spans="1:7" x14ac:dyDescent="0.25">
      <c r="A605" s="77" t="s">
        <v>319</v>
      </c>
      <c r="B605" s="76" t="s">
        <v>320</v>
      </c>
      <c r="C605" s="76" t="s">
        <v>2015</v>
      </c>
      <c r="D605" s="76" t="s">
        <v>2016</v>
      </c>
      <c r="E605" s="79">
        <v>44131</v>
      </c>
      <c r="F605" s="76">
        <v>9200</v>
      </c>
      <c r="G605" s="76">
        <v>4.0000000000000001E-3</v>
      </c>
    </row>
    <row r="606" spans="1:7" x14ac:dyDescent="0.25">
      <c r="A606" s="77" t="s">
        <v>319</v>
      </c>
      <c r="B606" s="76" t="s">
        <v>320</v>
      </c>
      <c r="C606" s="76" t="s">
        <v>2017</v>
      </c>
      <c r="D606" s="76" t="s">
        <v>2018</v>
      </c>
      <c r="E606" s="79">
        <v>44131</v>
      </c>
      <c r="F606" s="76">
        <v>10200</v>
      </c>
      <c r="G606" s="76">
        <v>2E-3</v>
      </c>
    </row>
    <row r="607" spans="1:7" x14ac:dyDescent="0.25">
      <c r="A607" s="77" t="s">
        <v>319</v>
      </c>
      <c r="B607" s="76" t="s">
        <v>320</v>
      </c>
      <c r="C607" s="76" t="s">
        <v>2021</v>
      </c>
      <c r="D607" s="76" t="s">
        <v>2022</v>
      </c>
      <c r="E607" s="79">
        <v>44133</v>
      </c>
      <c r="F607" s="76">
        <v>9000</v>
      </c>
      <c r="G607" s="76">
        <v>3.0000000000000001E-3</v>
      </c>
    </row>
    <row r="608" spans="1:7" x14ac:dyDescent="0.25">
      <c r="A608" s="77" t="s">
        <v>319</v>
      </c>
      <c r="B608" s="76" t="s">
        <v>320</v>
      </c>
      <c r="C608" s="76" t="s">
        <v>2060</v>
      </c>
      <c r="D608" s="76" t="s">
        <v>2061</v>
      </c>
      <c r="E608" s="79">
        <v>44139</v>
      </c>
      <c r="F608" s="76">
        <v>10600</v>
      </c>
      <c r="G608" s="76">
        <v>4.0000000000000001E-3</v>
      </c>
    </row>
    <row r="609" spans="1:7" x14ac:dyDescent="0.25">
      <c r="A609" s="77" t="s">
        <v>319</v>
      </c>
      <c r="B609" s="76" t="s">
        <v>320</v>
      </c>
      <c r="C609" s="76" t="s">
        <v>2062</v>
      </c>
      <c r="D609" s="76" t="s">
        <v>2063</v>
      </c>
      <c r="E609" s="79">
        <v>44139</v>
      </c>
      <c r="F609" s="76">
        <v>10400</v>
      </c>
      <c r="G609" s="76">
        <v>3.0000000000000001E-3</v>
      </c>
    </row>
    <row r="610" spans="1:7" x14ac:dyDescent="0.25">
      <c r="A610" s="77" t="s">
        <v>319</v>
      </c>
      <c r="B610" s="76" t="s">
        <v>320</v>
      </c>
      <c r="C610" s="76" t="s">
        <v>2064</v>
      </c>
      <c r="D610" s="76" t="s">
        <v>2065</v>
      </c>
      <c r="E610" s="79">
        <v>44139</v>
      </c>
      <c r="F610" s="76">
        <v>9500</v>
      </c>
      <c r="G610" s="76">
        <v>5.0000000000000001E-3</v>
      </c>
    </row>
    <row r="611" spans="1:7" x14ac:dyDescent="0.25">
      <c r="A611" s="77" t="s">
        <v>319</v>
      </c>
      <c r="B611" s="76" t="s">
        <v>320</v>
      </c>
      <c r="C611" s="76" t="s">
        <v>2066</v>
      </c>
      <c r="D611" s="76" t="s">
        <v>2067</v>
      </c>
      <c r="E611" s="79">
        <v>44139</v>
      </c>
      <c r="F611" s="76">
        <v>9400</v>
      </c>
      <c r="G611" s="76">
        <v>1E-3</v>
      </c>
    </row>
    <row r="612" spans="1:7" x14ac:dyDescent="0.25">
      <c r="A612" s="77" t="s">
        <v>319</v>
      </c>
      <c r="B612" s="76" t="s">
        <v>320</v>
      </c>
      <c r="C612" s="76" t="s">
        <v>2068</v>
      </c>
      <c r="D612" s="76" t="s">
        <v>2069</v>
      </c>
      <c r="E612" s="79">
        <v>44139</v>
      </c>
      <c r="F612" s="76">
        <v>9800</v>
      </c>
      <c r="G612" s="76">
        <v>1E-3</v>
      </c>
    </row>
    <row r="613" spans="1:7" x14ac:dyDescent="0.25">
      <c r="A613" s="77" t="s">
        <v>319</v>
      </c>
      <c r="B613" s="76" t="s">
        <v>320</v>
      </c>
      <c r="C613" s="76" t="s">
        <v>2070</v>
      </c>
      <c r="D613" s="76" t="s">
        <v>2071</v>
      </c>
      <c r="E613" s="79">
        <v>44140</v>
      </c>
      <c r="F613" s="76">
        <v>10500</v>
      </c>
      <c r="G613" s="76">
        <v>4.0000000000000001E-3</v>
      </c>
    </row>
    <row r="614" spans="1:7" x14ac:dyDescent="0.25">
      <c r="A614" s="77" t="s">
        <v>319</v>
      </c>
      <c r="B614" s="76" t="s">
        <v>320</v>
      </c>
      <c r="C614" s="76" t="s">
        <v>2072</v>
      </c>
      <c r="D614" s="76" t="s">
        <v>2073</v>
      </c>
      <c r="E614" s="79">
        <v>44140</v>
      </c>
      <c r="F614" s="76">
        <v>10100</v>
      </c>
      <c r="G614" s="76">
        <v>3.0000000000000001E-3</v>
      </c>
    </row>
    <row r="615" spans="1:7" x14ac:dyDescent="0.25">
      <c r="A615" s="77" t="s">
        <v>319</v>
      </c>
      <c r="B615" s="76" t="s">
        <v>320</v>
      </c>
      <c r="C615" s="76" t="s">
        <v>2181</v>
      </c>
      <c r="D615" s="76" t="s">
        <v>2182</v>
      </c>
      <c r="E615" s="79">
        <v>44146</v>
      </c>
      <c r="F615" s="76">
        <v>7600</v>
      </c>
      <c r="G615" s="76">
        <v>3.0000000000000001E-3</v>
      </c>
    </row>
    <row r="616" spans="1:7" x14ac:dyDescent="0.25">
      <c r="A616" s="77" t="s">
        <v>319</v>
      </c>
      <c r="B616" s="76" t="s">
        <v>320</v>
      </c>
      <c r="C616" s="76" t="s">
        <v>2183</v>
      </c>
      <c r="D616" s="76" t="s">
        <v>2184</v>
      </c>
      <c r="E616" s="79">
        <v>44146</v>
      </c>
      <c r="F616" s="76">
        <v>7400</v>
      </c>
      <c r="G616" s="76">
        <v>3.0000000000000001E-3</v>
      </c>
    </row>
    <row r="617" spans="1:7" x14ac:dyDescent="0.25">
      <c r="A617" s="77" t="s">
        <v>319</v>
      </c>
      <c r="B617" s="76" t="s">
        <v>320</v>
      </c>
      <c r="C617" s="76" t="s">
        <v>2185</v>
      </c>
      <c r="D617" s="76" t="s">
        <v>2186</v>
      </c>
      <c r="E617" s="79">
        <v>44146</v>
      </c>
      <c r="F617" s="76">
        <v>7200</v>
      </c>
      <c r="G617" s="76">
        <v>3.0000000000000001E-3</v>
      </c>
    </row>
    <row r="618" spans="1:7" x14ac:dyDescent="0.25">
      <c r="A618" s="77" t="s">
        <v>319</v>
      </c>
      <c r="B618" s="76" t="s">
        <v>320</v>
      </c>
      <c r="C618" s="76" t="s">
        <v>2187</v>
      </c>
      <c r="D618" s="76" t="s">
        <v>2188</v>
      </c>
      <c r="E618" s="79">
        <v>44244</v>
      </c>
      <c r="F618" s="76">
        <v>7000</v>
      </c>
      <c r="G618" s="76">
        <v>2E-3</v>
      </c>
    </row>
    <row r="619" spans="1:7" x14ac:dyDescent="0.25">
      <c r="A619" s="77" t="s">
        <v>319</v>
      </c>
      <c r="B619" s="76" t="s">
        <v>320</v>
      </c>
      <c r="C619" s="76" t="s">
        <v>2226</v>
      </c>
      <c r="D619" s="76" t="s">
        <v>2227</v>
      </c>
      <c r="E619" s="79">
        <v>44151</v>
      </c>
      <c r="F619" s="76">
        <v>10200</v>
      </c>
      <c r="G619" s="76">
        <v>4.0000000000000001E-3</v>
      </c>
    </row>
    <row r="620" spans="1:7" x14ac:dyDescent="0.25">
      <c r="A620" s="77" t="s">
        <v>319</v>
      </c>
      <c r="B620" s="76" t="s">
        <v>320</v>
      </c>
      <c r="C620" s="76" t="s">
        <v>2228</v>
      </c>
      <c r="D620" s="76" t="s">
        <v>2229</v>
      </c>
      <c r="E620" s="79">
        <v>44179</v>
      </c>
      <c r="F620" s="76">
        <v>10500</v>
      </c>
      <c r="G620" s="76">
        <v>3.0000000000000001E-3</v>
      </c>
    </row>
    <row r="621" spans="1:7" x14ac:dyDescent="0.25">
      <c r="A621" s="77" t="s">
        <v>319</v>
      </c>
      <c r="B621" s="76" t="s">
        <v>320</v>
      </c>
      <c r="C621" s="76" t="s">
        <v>2230</v>
      </c>
      <c r="D621" s="76" t="s">
        <v>2231</v>
      </c>
      <c r="E621" s="79">
        <v>44244</v>
      </c>
      <c r="F621" s="76">
        <v>8000</v>
      </c>
      <c r="G621" s="76">
        <v>1E-3</v>
      </c>
    </row>
    <row r="622" spans="1:7" x14ac:dyDescent="0.25">
      <c r="A622" s="77" t="s">
        <v>319</v>
      </c>
      <c r="B622" s="76" t="s">
        <v>320</v>
      </c>
      <c r="C622" s="76" t="s">
        <v>2232</v>
      </c>
      <c r="D622" s="76" t="s">
        <v>2233</v>
      </c>
      <c r="E622" s="79">
        <v>44153</v>
      </c>
      <c r="F622" s="76">
        <v>9000</v>
      </c>
      <c r="G622" s="76">
        <v>4.0000000000000001E-3</v>
      </c>
    </row>
    <row r="623" spans="1:7" x14ac:dyDescent="0.25">
      <c r="A623" s="77" t="s">
        <v>319</v>
      </c>
      <c r="B623" s="76" t="s">
        <v>320</v>
      </c>
      <c r="C623" s="76" t="s">
        <v>2234</v>
      </c>
      <c r="D623" s="76" t="s">
        <v>2235</v>
      </c>
      <c r="E623" s="79">
        <v>44153</v>
      </c>
      <c r="F623" s="76">
        <v>9300</v>
      </c>
      <c r="G623" s="76">
        <v>4.0000000000000001E-3</v>
      </c>
    </row>
    <row r="624" spans="1:7" x14ac:dyDescent="0.25">
      <c r="A624" s="77" t="s">
        <v>319</v>
      </c>
      <c r="B624" s="76" t="s">
        <v>320</v>
      </c>
      <c r="C624" s="76" t="s">
        <v>2236</v>
      </c>
      <c r="D624" s="76" t="s">
        <v>2237</v>
      </c>
      <c r="E624" s="79">
        <v>44153</v>
      </c>
      <c r="F624" s="76">
        <v>9500</v>
      </c>
      <c r="G624" s="76">
        <v>3.0000000000000001E-3</v>
      </c>
    </row>
    <row r="625" spans="1:7" x14ac:dyDescent="0.25">
      <c r="A625" s="77" t="s">
        <v>319</v>
      </c>
      <c r="B625" s="76" t="s">
        <v>320</v>
      </c>
      <c r="C625" s="76" t="s">
        <v>2238</v>
      </c>
      <c r="D625" s="76" t="s">
        <v>2239</v>
      </c>
      <c r="E625" s="79">
        <v>44153</v>
      </c>
      <c r="F625" s="76">
        <v>9700</v>
      </c>
      <c r="G625" s="76">
        <v>3.0000000000000001E-3</v>
      </c>
    </row>
    <row r="626" spans="1:7" x14ac:dyDescent="0.25">
      <c r="A626" s="77" t="s">
        <v>319</v>
      </c>
      <c r="B626" s="76" t="s">
        <v>320</v>
      </c>
      <c r="C626" s="76" t="s">
        <v>2240</v>
      </c>
      <c r="D626" s="76" t="s">
        <v>2241</v>
      </c>
      <c r="E626" s="79">
        <v>44153</v>
      </c>
      <c r="F626" s="76">
        <v>9900</v>
      </c>
      <c r="G626" s="76">
        <v>3.0000000000000001E-3</v>
      </c>
    </row>
    <row r="627" spans="1:7" x14ac:dyDescent="0.25">
      <c r="A627" s="77" t="s">
        <v>319</v>
      </c>
      <c r="B627" s="76" t="s">
        <v>320</v>
      </c>
      <c r="C627" s="76" t="s">
        <v>2242</v>
      </c>
      <c r="D627" s="76" t="s">
        <v>2243</v>
      </c>
      <c r="E627" s="79">
        <v>44153</v>
      </c>
      <c r="F627" s="76">
        <v>10300</v>
      </c>
      <c r="G627" s="76">
        <v>3.0000000000000001E-3</v>
      </c>
    </row>
    <row r="628" spans="1:7" x14ac:dyDescent="0.25">
      <c r="A628" s="77" t="s">
        <v>319</v>
      </c>
      <c r="B628" s="76" t="s">
        <v>320</v>
      </c>
      <c r="C628" s="76" t="s">
        <v>2244</v>
      </c>
      <c r="D628" s="76" t="s">
        <v>2245</v>
      </c>
      <c r="E628" s="79">
        <v>44153</v>
      </c>
      <c r="F628" s="76">
        <v>10700</v>
      </c>
      <c r="G628" s="76">
        <v>2E-3</v>
      </c>
    </row>
    <row r="629" spans="1:7" x14ac:dyDescent="0.25">
      <c r="A629" s="77" t="s">
        <v>319</v>
      </c>
      <c r="B629" s="76" t="s">
        <v>320</v>
      </c>
      <c r="C629" s="76" t="s">
        <v>2246</v>
      </c>
      <c r="D629" s="76" t="s">
        <v>2247</v>
      </c>
      <c r="E629" s="79">
        <v>44153</v>
      </c>
      <c r="F629" s="76">
        <v>10200</v>
      </c>
      <c r="G629" s="76">
        <v>1E-3</v>
      </c>
    </row>
    <row r="630" spans="1:7" x14ac:dyDescent="0.25">
      <c r="A630" s="77" t="s">
        <v>319</v>
      </c>
      <c r="B630" s="76" t="s">
        <v>320</v>
      </c>
      <c r="C630" s="76" t="s">
        <v>2248</v>
      </c>
      <c r="D630" s="76" t="s">
        <v>2249</v>
      </c>
      <c r="E630" s="79">
        <v>44153</v>
      </c>
      <c r="F630" s="76">
        <v>8400</v>
      </c>
      <c r="G630" s="76">
        <v>2E-3</v>
      </c>
    </row>
    <row r="631" spans="1:7" x14ac:dyDescent="0.25">
      <c r="A631" s="77" t="s">
        <v>319</v>
      </c>
      <c r="B631" s="76" t="s">
        <v>320</v>
      </c>
      <c r="C631" s="76" t="s">
        <v>2250</v>
      </c>
      <c r="D631" s="76" t="s">
        <v>2251</v>
      </c>
      <c r="E631" s="79">
        <v>44153</v>
      </c>
      <c r="F631" s="76">
        <v>9200</v>
      </c>
      <c r="G631" s="76">
        <v>1E-3</v>
      </c>
    </row>
    <row r="632" spans="1:7" x14ac:dyDescent="0.25">
      <c r="A632" s="77" t="s">
        <v>319</v>
      </c>
      <c r="B632" s="76" t="s">
        <v>320</v>
      </c>
      <c r="C632" s="76" t="s">
        <v>2252</v>
      </c>
      <c r="D632" s="76" t="s">
        <v>2253</v>
      </c>
      <c r="E632" s="79">
        <v>44153</v>
      </c>
      <c r="F632" s="76">
        <v>10000</v>
      </c>
      <c r="G632" s="76">
        <v>1E-3</v>
      </c>
    </row>
    <row r="633" spans="1:7" x14ac:dyDescent="0.25">
      <c r="A633" s="77" t="s">
        <v>319</v>
      </c>
      <c r="B633" s="76" t="s">
        <v>320</v>
      </c>
      <c r="C633" s="76" t="s">
        <v>2254</v>
      </c>
      <c r="D633" s="76" t="s">
        <v>2255</v>
      </c>
      <c r="E633" s="79">
        <v>44153</v>
      </c>
      <c r="F633" s="76">
        <v>8000</v>
      </c>
      <c r="G633" s="76">
        <v>6.0000000000000001E-3</v>
      </c>
    </row>
    <row r="634" spans="1:7" x14ac:dyDescent="0.25">
      <c r="A634" s="77" t="s">
        <v>319</v>
      </c>
      <c r="B634" s="76" t="s">
        <v>320</v>
      </c>
      <c r="C634" s="76" t="s">
        <v>2256</v>
      </c>
      <c r="D634" s="76" t="s">
        <v>2257</v>
      </c>
      <c r="E634" s="79">
        <v>44153</v>
      </c>
      <c r="F634" s="76">
        <v>9000</v>
      </c>
      <c r="G634" s="76">
        <v>5.0000000000000001E-3</v>
      </c>
    </row>
    <row r="635" spans="1:7" x14ac:dyDescent="0.25">
      <c r="A635" s="77" t="s">
        <v>319</v>
      </c>
      <c r="B635" s="76" t="s">
        <v>320</v>
      </c>
      <c r="C635" s="76" t="s">
        <v>2258</v>
      </c>
      <c r="D635" s="76" t="s">
        <v>2259</v>
      </c>
      <c r="E635" s="79">
        <v>44153</v>
      </c>
      <c r="F635" s="76">
        <v>9400</v>
      </c>
      <c r="G635" s="76">
        <v>5.0000000000000001E-3</v>
      </c>
    </row>
    <row r="636" spans="1:7" x14ac:dyDescent="0.25">
      <c r="A636" s="77" t="s">
        <v>319</v>
      </c>
      <c r="B636" s="76" t="s">
        <v>320</v>
      </c>
      <c r="C636" s="76" t="s">
        <v>2260</v>
      </c>
      <c r="D636" s="76" t="s">
        <v>2261</v>
      </c>
      <c r="E636" s="79">
        <v>44153</v>
      </c>
      <c r="F636" s="76">
        <v>9800</v>
      </c>
      <c r="G636" s="76">
        <v>4.0000000000000001E-3</v>
      </c>
    </row>
    <row r="637" spans="1:7" x14ac:dyDescent="0.25">
      <c r="A637" s="77" t="s">
        <v>319</v>
      </c>
      <c r="B637" s="76" t="s">
        <v>320</v>
      </c>
      <c r="C637" s="76" t="s">
        <v>2262</v>
      </c>
      <c r="D637" s="76" t="s">
        <v>2263</v>
      </c>
      <c r="E637" s="79">
        <v>44153</v>
      </c>
      <c r="F637" s="76">
        <v>10600</v>
      </c>
      <c r="G637" s="76">
        <v>3.0000000000000001E-3</v>
      </c>
    </row>
    <row r="638" spans="1:7" x14ac:dyDescent="0.25">
      <c r="A638" s="77" t="s">
        <v>319</v>
      </c>
      <c r="B638" s="76" t="s">
        <v>320</v>
      </c>
      <c r="C638" s="76" t="s">
        <v>2264</v>
      </c>
      <c r="D638" s="76" t="s">
        <v>2265</v>
      </c>
      <c r="E638" s="79">
        <v>44153</v>
      </c>
      <c r="F638" s="76">
        <v>10500</v>
      </c>
      <c r="G638" s="76">
        <v>1E-3</v>
      </c>
    </row>
    <row r="639" spans="1:7" x14ac:dyDescent="0.25">
      <c r="A639" s="77" t="s">
        <v>319</v>
      </c>
      <c r="B639" s="76" t="s">
        <v>320</v>
      </c>
      <c r="C639" s="76" t="s">
        <v>2266</v>
      </c>
      <c r="D639" s="76" t="s">
        <v>2267</v>
      </c>
      <c r="E639" s="79">
        <v>44153</v>
      </c>
      <c r="F639" s="76">
        <v>7000</v>
      </c>
      <c r="G639" s="76">
        <v>1.4999999999999999E-2</v>
      </c>
    </row>
    <row r="640" spans="1:7" x14ac:dyDescent="0.25">
      <c r="A640" s="77" t="s">
        <v>319</v>
      </c>
      <c r="B640" s="76" t="s">
        <v>320</v>
      </c>
      <c r="C640" s="76" t="s">
        <v>2268</v>
      </c>
      <c r="D640" s="76" t="s">
        <v>2269</v>
      </c>
      <c r="E640" s="79">
        <v>44153</v>
      </c>
      <c r="F640" s="76">
        <v>8000</v>
      </c>
      <c r="G640" s="76">
        <v>0.01</v>
      </c>
    </row>
    <row r="641" spans="1:7" x14ac:dyDescent="0.25">
      <c r="A641" s="77" t="s">
        <v>319</v>
      </c>
      <c r="B641" s="76" t="s">
        <v>320</v>
      </c>
      <c r="C641" s="76" t="s">
        <v>2270</v>
      </c>
      <c r="D641" s="76" t="s">
        <v>2271</v>
      </c>
      <c r="E641" s="79">
        <v>44153</v>
      </c>
      <c r="F641" s="76">
        <v>8500</v>
      </c>
      <c r="G641" s="76">
        <v>5.0000000000000001E-3</v>
      </c>
    </row>
    <row r="642" spans="1:7" x14ac:dyDescent="0.25">
      <c r="A642" s="77" t="s">
        <v>319</v>
      </c>
      <c r="B642" s="76" t="s">
        <v>320</v>
      </c>
      <c r="C642" s="76" t="s">
        <v>2272</v>
      </c>
      <c r="D642" s="76" t="s">
        <v>2273</v>
      </c>
      <c r="E642" s="79">
        <v>44153</v>
      </c>
      <c r="F642" s="76">
        <v>9000</v>
      </c>
      <c r="G642" s="76">
        <v>5.0000000000000001E-3</v>
      </c>
    </row>
    <row r="643" spans="1:7" x14ac:dyDescent="0.25">
      <c r="A643" s="77" t="s">
        <v>319</v>
      </c>
      <c r="B643" s="76" t="s">
        <v>320</v>
      </c>
      <c r="C643" s="76" t="s">
        <v>2274</v>
      </c>
      <c r="D643" s="76" t="s">
        <v>2275</v>
      </c>
      <c r="E643" s="79">
        <v>44153</v>
      </c>
      <c r="F643" s="76">
        <v>9600</v>
      </c>
      <c r="G643" s="76">
        <v>5.0000000000000001E-3</v>
      </c>
    </row>
    <row r="644" spans="1:7" x14ac:dyDescent="0.25">
      <c r="A644" s="77" t="s">
        <v>319</v>
      </c>
      <c r="B644" s="76" t="s">
        <v>320</v>
      </c>
      <c r="C644" s="76" t="s">
        <v>2276</v>
      </c>
      <c r="D644" s="76" t="s">
        <v>2277</v>
      </c>
      <c r="E644" s="79">
        <v>44153</v>
      </c>
      <c r="F644" s="76">
        <v>9800</v>
      </c>
      <c r="G644" s="76">
        <v>5.0000000000000001E-3</v>
      </c>
    </row>
    <row r="645" spans="1:7" x14ac:dyDescent="0.25">
      <c r="A645" s="77" t="s">
        <v>319</v>
      </c>
      <c r="B645" s="76" t="s">
        <v>320</v>
      </c>
      <c r="C645" s="76" t="s">
        <v>2278</v>
      </c>
      <c r="D645" s="76" t="s">
        <v>2279</v>
      </c>
      <c r="E645" s="79">
        <v>44153</v>
      </c>
      <c r="F645" s="76">
        <v>10000</v>
      </c>
      <c r="G645" s="76">
        <v>5.0000000000000001E-3</v>
      </c>
    </row>
    <row r="646" spans="1:7" x14ac:dyDescent="0.25">
      <c r="A646" s="77" t="s">
        <v>319</v>
      </c>
      <c r="B646" s="76" t="s">
        <v>320</v>
      </c>
      <c r="C646" s="76" t="s">
        <v>2280</v>
      </c>
      <c r="D646" s="76" t="s">
        <v>2281</v>
      </c>
      <c r="E646" s="79">
        <v>44153</v>
      </c>
      <c r="F646" s="76">
        <v>10300</v>
      </c>
      <c r="G646" s="76">
        <v>5.0000000000000001E-3</v>
      </c>
    </row>
    <row r="647" spans="1:7" x14ac:dyDescent="0.25">
      <c r="A647" s="77" t="s">
        <v>319</v>
      </c>
      <c r="B647" s="76" t="s">
        <v>320</v>
      </c>
      <c r="C647" s="76" t="s">
        <v>2282</v>
      </c>
      <c r="D647" s="76" t="s">
        <v>2283</v>
      </c>
      <c r="E647" s="79">
        <v>44153</v>
      </c>
      <c r="F647" s="76">
        <v>10500</v>
      </c>
      <c r="G647" s="76">
        <v>4.0000000000000001E-3</v>
      </c>
    </row>
    <row r="648" spans="1:7" x14ac:dyDescent="0.25">
      <c r="A648" s="77" t="s">
        <v>319</v>
      </c>
      <c r="B648" s="76" t="s">
        <v>320</v>
      </c>
      <c r="C648" s="76" t="s">
        <v>2284</v>
      </c>
      <c r="D648" s="76" t="s">
        <v>2285</v>
      </c>
      <c r="E648" s="79">
        <v>44153</v>
      </c>
      <c r="F648" s="76">
        <v>11000</v>
      </c>
      <c r="G648" s="76">
        <v>3.0000000000000001E-3</v>
      </c>
    </row>
    <row r="649" spans="1:7" x14ac:dyDescent="0.25">
      <c r="A649" s="77" t="s">
        <v>319</v>
      </c>
      <c r="B649" s="76" t="s">
        <v>320</v>
      </c>
      <c r="C649" s="76" t="s">
        <v>2286</v>
      </c>
      <c r="D649" s="76" t="s">
        <v>2287</v>
      </c>
      <c r="E649" s="79">
        <v>44154</v>
      </c>
      <c r="F649" s="76">
        <v>10200</v>
      </c>
      <c r="G649" s="76">
        <v>1E-3</v>
      </c>
    </row>
    <row r="650" spans="1:7" x14ac:dyDescent="0.25">
      <c r="A650" s="77" t="s">
        <v>319</v>
      </c>
      <c r="B650" s="76" t="s">
        <v>320</v>
      </c>
      <c r="C650" s="76" t="s">
        <v>2074</v>
      </c>
      <c r="D650" s="76" t="s">
        <v>2075</v>
      </c>
      <c r="E650" s="79">
        <v>44140</v>
      </c>
      <c r="F650" s="76">
        <v>9400</v>
      </c>
      <c r="G650" s="76">
        <v>1E-3</v>
      </c>
    </row>
    <row r="651" spans="1:7" x14ac:dyDescent="0.25">
      <c r="A651" s="77" t="s">
        <v>319</v>
      </c>
      <c r="B651" s="76" t="s">
        <v>320</v>
      </c>
      <c r="C651" s="76" t="s">
        <v>2076</v>
      </c>
      <c r="D651" s="76" t="s">
        <v>2077</v>
      </c>
      <c r="E651" s="79">
        <v>44140</v>
      </c>
      <c r="F651" s="76">
        <v>9800</v>
      </c>
      <c r="G651" s="76">
        <v>1E-3</v>
      </c>
    </row>
    <row r="652" spans="1:7" x14ac:dyDescent="0.25">
      <c r="A652" s="77" t="s">
        <v>319</v>
      </c>
      <c r="B652" s="76" t="s">
        <v>320</v>
      </c>
      <c r="C652" s="76" t="s">
        <v>2078</v>
      </c>
      <c r="D652" s="76" t="s">
        <v>2079</v>
      </c>
      <c r="E652" s="79">
        <v>44140</v>
      </c>
      <c r="F652" s="76">
        <v>9600</v>
      </c>
      <c r="G652" s="76">
        <v>1E-3</v>
      </c>
    </row>
    <row r="653" spans="1:7" x14ac:dyDescent="0.25">
      <c r="A653" s="77" t="s">
        <v>319</v>
      </c>
      <c r="B653" s="76" t="s">
        <v>320</v>
      </c>
      <c r="C653" s="76" t="s">
        <v>2164</v>
      </c>
      <c r="D653" s="76" t="s">
        <v>2165</v>
      </c>
      <c r="E653" s="79">
        <v>44141</v>
      </c>
      <c r="F653" s="76">
        <v>9700</v>
      </c>
      <c r="G653" s="76">
        <v>3.0000000000000001E-3</v>
      </c>
    </row>
    <row r="654" spans="1:7" x14ac:dyDescent="0.25">
      <c r="A654" s="77" t="s">
        <v>319</v>
      </c>
      <c r="B654" s="76" t="s">
        <v>320</v>
      </c>
      <c r="C654" s="76" t="s">
        <v>2166</v>
      </c>
      <c r="D654" s="76" t="s">
        <v>2167</v>
      </c>
      <c r="E654" s="79">
        <v>44141</v>
      </c>
      <c r="F654" s="76">
        <v>8800</v>
      </c>
      <c r="G654" s="76">
        <v>5.0000000000000001E-3</v>
      </c>
    </row>
    <row r="655" spans="1:7" x14ac:dyDescent="0.25">
      <c r="A655" s="77" t="s">
        <v>319</v>
      </c>
      <c r="B655" s="76" t="s">
        <v>320</v>
      </c>
      <c r="C655" s="76" t="s">
        <v>2168</v>
      </c>
      <c r="D655" s="76" t="s">
        <v>2169</v>
      </c>
      <c r="E655" s="79">
        <v>44141</v>
      </c>
      <c r="F655" s="76">
        <v>8000</v>
      </c>
      <c r="G655" s="76">
        <v>7.0000000000000001E-3</v>
      </c>
    </row>
    <row r="656" spans="1:7" x14ac:dyDescent="0.25">
      <c r="A656" s="77" t="s">
        <v>319</v>
      </c>
      <c r="B656" s="76" t="s">
        <v>320</v>
      </c>
      <c r="C656" s="76" t="s">
        <v>2346</v>
      </c>
      <c r="D656" s="76" t="s">
        <v>2347</v>
      </c>
      <c r="E656" s="79">
        <v>44221</v>
      </c>
      <c r="F656" s="76">
        <v>10888</v>
      </c>
      <c r="G656" s="76">
        <v>1E-3</v>
      </c>
    </row>
    <row r="657" spans="1:7" x14ac:dyDescent="0.25">
      <c r="A657" s="77" t="s">
        <v>319</v>
      </c>
      <c r="B657" s="76" t="s">
        <v>320</v>
      </c>
      <c r="C657" s="76" t="s">
        <v>2348</v>
      </c>
      <c r="D657" s="76" t="s">
        <v>2349</v>
      </c>
      <c r="E657" s="79">
        <v>44221</v>
      </c>
      <c r="F657" s="76">
        <v>10000</v>
      </c>
      <c r="G657" s="76">
        <v>1E-3</v>
      </c>
    </row>
    <row r="658" spans="1:7" x14ac:dyDescent="0.25">
      <c r="A658" s="77" t="s">
        <v>319</v>
      </c>
      <c r="B658" s="76" t="s">
        <v>320</v>
      </c>
      <c r="C658" s="76" t="s">
        <v>2350</v>
      </c>
      <c r="D658" s="76" t="s">
        <v>2351</v>
      </c>
      <c r="E658" s="79">
        <v>44221</v>
      </c>
      <c r="F658" s="76">
        <v>11888</v>
      </c>
      <c r="G658" s="76">
        <v>1E-3</v>
      </c>
    </row>
    <row r="659" spans="1:7" x14ac:dyDescent="0.25">
      <c r="A659" s="77" t="s">
        <v>319</v>
      </c>
      <c r="B659" s="76" t="s">
        <v>320</v>
      </c>
      <c r="C659" s="76" t="s">
        <v>2352</v>
      </c>
      <c r="D659" s="76" t="s">
        <v>2353</v>
      </c>
      <c r="E659" s="79">
        <v>44159</v>
      </c>
      <c r="F659" s="76">
        <v>8500</v>
      </c>
      <c r="G659" s="76">
        <v>4.0000000000000001E-3</v>
      </c>
    </row>
    <row r="660" spans="1:7" x14ac:dyDescent="0.25">
      <c r="A660" s="77" t="s">
        <v>319</v>
      </c>
      <c r="B660" s="76" t="s">
        <v>320</v>
      </c>
      <c r="C660" s="76" t="s">
        <v>2354</v>
      </c>
      <c r="D660" s="76" t="s">
        <v>2355</v>
      </c>
      <c r="E660" s="79">
        <v>44159</v>
      </c>
      <c r="F660" s="76">
        <v>9500</v>
      </c>
      <c r="G660" s="76">
        <v>2E-3</v>
      </c>
    </row>
    <row r="661" spans="1:7" x14ac:dyDescent="0.25">
      <c r="A661" s="77" t="s">
        <v>319</v>
      </c>
      <c r="B661" s="76" t="s">
        <v>320</v>
      </c>
      <c r="C661" s="76" t="s">
        <v>2356</v>
      </c>
      <c r="D661" s="76" t="s">
        <v>2357</v>
      </c>
      <c r="E661" s="79">
        <v>44159</v>
      </c>
      <c r="F661" s="76">
        <v>10000</v>
      </c>
      <c r="G661" s="76">
        <v>2E-3</v>
      </c>
    </row>
    <row r="662" spans="1:7" x14ac:dyDescent="0.25">
      <c r="A662" s="77" t="s">
        <v>319</v>
      </c>
      <c r="B662" s="76" t="s">
        <v>320</v>
      </c>
      <c r="C662" s="76" t="s">
        <v>2358</v>
      </c>
      <c r="D662" s="76" t="s">
        <v>2359</v>
      </c>
      <c r="E662" s="79">
        <v>44252</v>
      </c>
      <c r="F662" s="76">
        <v>9000</v>
      </c>
      <c r="G662" s="76">
        <v>1E-3</v>
      </c>
    </row>
    <row r="663" spans="1:7" x14ac:dyDescent="0.25">
      <c r="A663" s="77" t="s">
        <v>319</v>
      </c>
      <c r="B663" s="76" t="s">
        <v>320</v>
      </c>
      <c r="C663" s="76" t="s">
        <v>2394</v>
      </c>
      <c r="D663" s="76" t="s">
        <v>2395</v>
      </c>
      <c r="E663" s="79">
        <v>44165</v>
      </c>
      <c r="F663" s="76">
        <v>11000</v>
      </c>
      <c r="G663" s="76">
        <v>3.0000000000000001E-3</v>
      </c>
    </row>
    <row r="664" spans="1:7" x14ac:dyDescent="0.25">
      <c r="A664" s="77" t="s">
        <v>319</v>
      </c>
      <c r="B664" s="76" t="s">
        <v>320</v>
      </c>
      <c r="C664" s="76" t="s">
        <v>2388</v>
      </c>
      <c r="D664" s="76" t="s">
        <v>2389</v>
      </c>
      <c r="E664" s="79">
        <v>44165</v>
      </c>
      <c r="F664" s="76">
        <v>9200</v>
      </c>
      <c r="G664" s="76">
        <v>4.0000000000000001E-3</v>
      </c>
    </row>
    <row r="665" spans="1:7" x14ac:dyDescent="0.25">
      <c r="A665" s="77" t="s">
        <v>319</v>
      </c>
      <c r="B665" s="76" t="s">
        <v>320</v>
      </c>
      <c r="C665" s="76" t="s">
        <v>2390</v>
      </c>
      <c r="D665" s="76" t="s">
        <v>2391</v>
      </c>
      <c r="E665" s="79">
        <v>44165</v>
      </c>
      <c r="F665" s="76">
        <v>10000</v>
      </c>
      <c r="G665" s="76">
        <v>3.0000000000000001E-3</v>
      </c>
    </row>
    <row r="666" spans="1:7" x14ac:dyDescent="0.25">
      <c r="A666" s="77" t="s">
        <v>319</v>
      </c>
      <c r="B666" s="76" t="s">
        <v>320</v>
      </c>
      <c r="C666" s="76" t="s">
        <v>2392</v>
      </c>
      <c r="D666" s="76" t="s">
        <v>2393</v>
      </c>
      <c r="E666" s="79">
        <v>44165</v>
      </c>
      <c r="F666" s="76">
        <v>10800</v>
      </c>
      <c r="G666" s="76">
        <v>2E-3</v>
      </c>
    </row>
    <row r="667" spans="1:7" x14ac:dyDescent="0.25">
      <c r="A667" s="77" t="s">
        <v>319</v>
      </c>
      <c r="B667" s="76" t="s">
        <v>320</v>
      </c>
      <c r="C667" s="76" t="s">
        <v>2019</v>
      </c>
      <c r="D667" s="76" t="s">
        <v>2020</v>
      </c>
      <c r="E667" s="79">
        <v>44133</v>
      </c>
      <c r="F667" s="76">
        <v>9900</v>
      </c>
      <c r="G667" s="76">
        <v>4.0000000000000001E-3</v>
      </c>
    </row>
    <row r="668" spans="1:7" x14ac:dyDescent="0.25">
      <c r="A668" s="77" t="s">
        <v>319</v>
      </c>
      <c r="B668" s="76" t="s">
        <v>320</v>
      </c>
      <c r="C668" s="76" t="s">
        <v>2462</v>
      </c>
      <c r="D668" s="76" t="s">
        <v>2463</v>
      </c>
      <c r="E668" s="79">
        <v>44166</v>
      </c>
      <c r="F668" s="76">
        <v>7500</v>
      </c>
      <c r="G668" s="76">
        <v>7.0000000000000001E-3</v>
      </c>
    </row>
    <row r="669" spans="1:7" x14ac:dyDescent="0.25">
      <c r="A669" s="77" t="s">
        <v>319</v>
      </c>
      <c r="B669" s="76" t="s">
        <v>320</v>
      </c>
      <c r="C669" s="76" t="s">
        <v>2464</v>
      </c>
      <c r="D669" s="76" t="s">
        <v>2465</v>
      </c>
      <c r="E669" s="79">
        <v>44166</v>
      </c>
      <c r="F669" s="76">
        <v>10300</v>
      </c>
      <c r="G669" s="76">
        <v>1E-3</v>
      </c>
    </row>
    <row r="670" spans="1:7" x14ac:dyDescent="0.25">
      <c r="A670" s="77" t="s">
        <v>319</v>
      </c>
      <c r="B670" s="76" t="s">
        <v>320</v>
      </c>
      <c r="C670" s="76" t="s">
        <v>2466</v>
      </c>
      <c r="D670" s="76" t="s">
        <v>2467</v>
      </c>
      <c r="E670" s="79">
        <v>44166</v>
      </c>
      <c r="F670" s="76">
        <v>8700</v>
      </c>
      <c r="G670" s="76">
        <v>2E-3</v>
      </c>
    </row>
    <row r="671" spans="1:7" x14ac:dyDescent="0.25">
      <c r="A671" s="77" t="s">
        <v>319</v>
      </c>
      <c r="B671" s="76" t="s">
        <v>320</v>
      </c>
      <c r="C671" s="76" t="s">
        <v>2468</v>
      </c>
      <c r="D671" s="76" t="s">
        <v>2469</v>
      </c>
      <c r="E671" s="79">
        <v>44166</v>
      </c>
      <c r="F671" s="76">
        <v>8900</v>
      </c>
      <c r="G671" s="76">
        <v>2E-3</v>
      </c>
    </row>
    <row r="672" spans="1:7" x14ac:dyDescent="0.25">
      <c r="A672" s="77" t="s">
        <v>319</v>
      </c>
      <c r="B672" s="76" t="s">
        <v>320</v>
      </c>
      <c r="C672" s="76" t="s">
        <v>2470</v>
      </c>
      <c r="D672" s="76" t="s">
        <v>2471</v>
      </c>
      <c r="E672" s="79">
        <v>44166</v>
      </c>
      <c r="F672" s="76">
        <v>10100</v>
      </c>
      <c r="G672" s="76">
        <v>1E-3</v>
      </c>
    </row>
    <row r="673" spans="1:7" x14ac:dyDescent="0.25">
      <c r="A673" s="77" t="s">
        <v>319</v>
      </c>
      <c r="B673" s="76" t="s">
        <v>320</v>
      </c>
      <c r="C673" s="76" t="s">
        <v>2472</v>
      </c>
      <c r="D673" s="76" t="s">
        <v>2473</v>
      </c>
      <c r="E673" s="79">
        <v>44166</v>
      </c>
      <c r="F673" s="76">
        <v>10500</v>
      </c>
      <c r="G673" s="76">
        <v>1E-3</v>
      </c>
    </row>
    <row r="674" spans="1:7" x14ac:dyDescent="0.25">
      <c r="A674" s="77" t="s">
        <v>319</v>
      </c>
      <c r="B674" s="76" t="s">
        <v>320</v>
      </c>
      <c r="C674" s="76" t="s">
        <v>2474</v>
      </c>
      <c r="D674" s="76" t="s">
        <v>2475</v>
      </c>
      <c r="E674" s="79">
        <v>44229</v>
      </c>
      <c r="F674" s="76">
        <v>5888</v>
      </c>
      <c r="G674" s="76">
        <v>4.0000000000000001E-3</v>
      </c>
    </row>
    <row r="675" spans="1:7" x14ac:dyDescent="0.25">
      <c r="A675" s="77" t="s">
        <v>319</v>
      </c>
      <c r="B675" s="76" t="s">
        <v>320</v>
      </c>
      <c r="C675" s="76" t="s">
        <v>2458</v>
      </c>
      <c r="D675" s="76" t="s">
        <v>2459</v>
      </c>
      <c r="E675" s="79">
        <v>44169</v>
      </c>
      <c r="F675" s="76">
        <v>11000</v>
      </c>
      <c r="G675" s="76">
        <v>2E-3</v>
      </c>
    </row>
    <row r="676" spans="1:7" x14ac:dyDescent="0.25">
      <c r="A676" s="77" t="s">
        <v>319</v>
      </c>
      <c r="B676" s="76" t="s">
        <v>320</v>
      </c>
      <c r="C676" s="76" t="s">
        <v>2460</v>
      </c>
      <c r="D676" s="76" t="s">
        <v>2461</v>
      </c>
      <c r="E676" s="79">
        <v>44169</v>
      </c>
      <c r="F676" s="76">
        <v>10600</v>
      </c>
      <c r="G676" s="76">
        <v>2E-3</v>
      </c>
    </row>
    <row r="677" spans="1:7" x14ac:dyDescent="0.25">
      <c r="A677" s="77" t="s">
        <v>319</v>
      </c>
      <c r="B677" s="76" t="s">
        <v>320</v>
      </c>
      <c r="C677" s="76" t="s">
        <v>2516</v>
      </c>
      <c r="D677" s="76" t="s">
        <v>2517</v>
      </c>
      <c r="E677" s="79">
        <v>44174</v>
      </c>
      <c r="F677" s="76">
        <v>10100</v>
      </c>
      <c r="G677" s="76">
        <v>6.0000000000000001E-3</v>
      </c>
    </row>
    <row r="678" spans="1:7" x14ac:dyDescent="0.25">
      <c r="A678" s="77" t="s">
        <v>319</v>
      </c>
      <c r="B678" s="76" t="s">
        <v>320</v>
      </c>
      <c r="C678" s="76" t="s">
        <v>2518</v>
      </c>
      <c r="D678" s="76" t="s">
        <v>2519</v>
      </c>
      <c r="E678" s="79">
        <v>44174</v>
      </c>
      <c r="F678" s="76">
        <v>10500</v>
      </c>
      <c r="G678" s="76">
        <v>5.0000000000000001E-3</v>
      </c>
    </row>
    <row r="679" spans="1:7" x14ac:dyDescent="0.25">
      <c r="A679" s="77" t="s">
        <v>319</v>
      </c>
      <c r="B679" s="76" t="s">
        <v>320</v>
      </c>
      <c r="C679" s="76" t="s">
        <v>2520</v>
      </c>
      <c r="D679" s="76" t="s">
        <v>2521</v>
      </c>
      <c r="E679" s="79">
        <v>44174</v>
      </c>
      <c r="F679" s="76">
        <v>10900</v>
      </c>
      <c r="G679" s="76">
        <v>4.0000000000000001E-3</v>
      </c>
    </row>
    <row r="680" spans="1:7" x14ac:dyDescent="0.25">
      <c r="A680" s="77" t="s">
        <v>319</v>
      </c>
      <c r="B680" s="76" t="s">
        <v>320</v>
      </c>
      <c r="C680" s="76" t="s">
        <v>2522</v>
      </c>
      <c r="D680" s="76" t="s">
        <v>2523</v>
      </c>
      <c r="E680" s="79">
        <v>44174</v>
      </c>
      <c r="F680" s="76">
        <v>11400</v>
      </c>
      <c r="G680" s="76">
        <v>3.0000000000000001E-3</v>
      </c>
    </row>
    <row r="681" spans="1:7" x14ac:dyDescent="0.25">
      <c r="A681" s="77" t="s">
        <v>319</v>
      </c>
      <c r="B681" s="76" t="s">
        <v>320</v>
      </c>
      <c r="C681" s="76" t="s">
        <v>2653</v>
      </c>
      <c r="D681" s="76" t="s">
        <v>2654</v>
      </c>
      <c r="E681" s="79">
        <v>44270</v>
      </c>
      <c r="F681" s="76">
        <v>9888</v>
      </c>
      <c r="G681" s="76">
        <v>1E-3</v>
      </c>
    </row>
    <row r="682" spans="1:7" x14ac:dyDescent="0.25">
      <c r="A682" s="77" t="s">
        <v>319</v>
      </c>
      <c r="B682" s="76" t="s">
        <v>320</v>
      </c>
      <c r="C682" s="76" t="s">
        <v>2655</v>
      </c>
      <c r="D682" s="76" t="s">
        <v>2656</v>
      </c>
      <c r="E682" s="79">
        <v>44270</v>
      </c>
      <c r="F682" s="76">
        <v>10400</v>
      </c>
      <c r="G682" s="76">
        <v>1E-3</v>
      </c>
    </row>
    <row r="683" spans="1:7" x14ac:dyDescent="0.25">
      <c r="A683" s="77" t="s">
        <v>319</v>
      </c>
      <c r="B683" s="76" t="s">
        <v>320</v>
      </c>
      <c r="C683" s="76" t="s">
        <v>2657</v>
      </c>
      <c r="D683" s="76" t="s">
        <v>2658</v>
      </c>
      <c r="E683" s="79">
        <v>44210</v>
      </c>
      <c r="F683" s="76">
        <v>11300</v>
      </c>
      <c r="G683" s="76">
        <v>2E-3</v>
      </c>
    </row>
    <row r="684" spans="1:7" x14ac:dyDescent="0.25">
      <c r="A684" s="77" t="s">
        <v>319</v>
      </c>
      <c r="B684" s="76" t="s">
        <v>320</v>
      </c>
      <c r="C684" s="76" t="s">
        <v>2659</v>
      </c>
      <c r="D684" s="76" t="s">
        <v>2660</v>
      </c>
      <c r="E684" s="79">
        <v>44210</v>
      </c>
      <c r="F684" s="76">
        <v>11700</v>
      </c>
      <c r="G684" s="76">
        <v>3.0000000000000001E-3</v>
      </c>
    </row>
    <row r="685" spans="1:7" x14ac:dyDescent="0.25">
      <c r="A685" s="77" t="s">
        <v>319</v>
      </c>
      <c r="B685" s="76" t="s">
        <v>320</v>
      </c>
      <c r="C685" s="76" t="s">
        <v>2661</v>
      </c>
      <c r="D685" s="76" t="s">
        <v>2662</v>
      </c>
      <c r="E685" s="79">
        <v>44179</v>
      </c>
      <c r="F685" s="76">
        <v>11000</v>
      </c>
      <c r="G685" s="76">
        <v>3.0000000000000001E-3</v>
      </c>
    </row>
    <row r="686" spans="1:7" x14ac:dyDescent="0.25">
      <c r="A686" s="77" t="s">
        <v>319</v>
      </c>
      <c r="B686" s="76" t="s">
        <v>320</v>
      </c>
      <c r="C686" s="76" t="s">
        <v>2663</v>
      </c>
      <c r="D686" s="76" t="s">
        <v>2664</v>
      </c>
      <c r="E686" s="79">
        <v>44179</v>
      </c>
      <c r="F686" s="76">
        <v>11500</v>
      </c>
      <c r="G686" s="76">
        <v>2E-3</v>
      </c>
    </row>
    <row r="687" spans="1:7" x14ac:dyDescent="0.25">
      <c r="A687" s="77" t="s">
        <v>319</v>
      </c>
      <c r="B687" s="76" t="s">
        <v>320</v>
      </c>
      <c r="C687" s="76" t="s">
        <v>2613</v>
      </c>
      <c r="D687" s="76" t="s">
        <v>2614</v>
      </c>
      <c r="E687" s="79">
        <v>44181</v>
      </c>
      <c r="F687" s="76">
        <v>10200</v>
      </c>
      <c r="G687" s="76">
        <v>3.0000000000000001E-3</v>
      </c>
    </row>
    <row r="688" spans="1:7" x14ac:dyDescent="0.25">
      <c r="A688" s="77" t="s">
        <v>319</v>
      </c>
      <c r="B688" s="76" t="s">
        <v>320</v>
      </c>
      <c r="C688" s="76" t="s">
        <v>2615</v>
      </c>
      <c r="D688" s="76" t="s">
        <v>2616</v>
      </c>
      <c r="E688" s="79">
        <v>44181</v>
      </c>
      <c r="F688" s="76">
        <v>10400</v>
      </c>
      <c r="G688" s="76">
        <v>3.0000000000000001E-3</v>
      </c>
    </row>
    <row r="689" spans="1:7" x14ac:dyDescent="0.25">
      <c r="A689" s="77" t="s">
        <v>319</v>
      </c>
      <c r="B689" s="76" t="s">
        <v>320</v>
      </c>
      <c r="C689" s="76" t="s">
        <v>2617</v>
      </c>
      <c r="D689" s="76" t="s">
        <v>2618</v>
      </c>
      <c r="E689" s="79">
        <v>44181</v>
      </c>
      <c r="F689" s="76">
        <v>10700</v>
      </c>
      <c r="G689" s="76">
        <v>3.0000000000000001E-3</v>
      </c>
    </row>
    <row r="690" spans="1:7" x14ac:dyDescent="0.25">
      <c r="A690" s="77" t="s">
        <v>319</v>
      </c>
      <c r="B690" s="76" t="s">
        <v>320</v>
      </c>
      <c r="C690" s="76" t="s">
        <v>2619</v>
      </c>
      <c r="D690" s="76" t="s">
        <v>2620</v>
      </c>
      <c r="E690" s="79">
        <v>44181</v>
      </c>
      <c r="F690" s="76">
        <v>10900</v>
      </c>
      <c r="G690" s="76">
        <v>3.0000000000000001E-3</v>
      </c>
    </row>
    <row r="691" spans="1:7" x14ac:dyDescent="0.25">
      <c r="A691" s="77" t="s">
        <v>319</v>
      </c>
      <c r="B691" s="76" t="s">
        <v>320</v>
      </c>
      <c r="C691" s="76" t="s">
        <v>2621</v>
      </c>
      <c r="D691" s="76" t="s">
        <v>2622</v>
      </c>
      <c r="E691" s="79">
        <v>44181</v>
      </c>
      <c r="F691" s="76">
        <v>11400</v>
      </c>
      <c r="G691" s="76">
        <v>2E-3</v>
      </c>
    </row>
    <row r="692" spans="1:7" x14ac:dyDescent="0.25">
      <c r="A692" s="77" t="s">
        <v>319</v>
      </c>
      <c r="B692" s="76" t="s">
        <v>320</v>
      </c>
      <c r="C692" s="76" t="s">
        <v>2623</v>
      </c>
      <c r="D692" s="76" t="s">
        <v>2624</v>
      </c>
      <c r="E692" s="79">
        <v>44181</v>
      </c>
      <c r="F692" s="76">
        <v>9800</v>
      </c>
      <c r="G692" s="76">
        <v>4.0000000000000001E-3</v>
      </c>
    </row>
    <row r="693" spans="1:7" x14ac:dyDescent="0.25">
      <c r="A693" s="77" t="s">
        <v>319</v>
      </c>
      <c r="B693" s="76" t="s">
        <v>320</v>
      </c>
      <c r="C693" s="76" t="s">
        <v>2625</v>
      </c>
      <c r="D693" s="76" t="s">
        <v>2626</v>
      </c>
      <c r="E693" s="79">
        <v>44181</v>
      </c>
      <c r="F693" s="76">
        <v>11100</v>
      </c>
      <c r="G693" s="76">
        <v>3.0000000000000001E-3</v>
      </c>
    </row>
    <row r="694" spans="1:7" x14ac:dyDescent="0.25">
      <c r="A694" s="77" t="s">
        <v>319</v>
      </c>
      <c r="B694" s="76" t="s">
        <v>320</v>
      </c>
      <c r="C694" s="76" t="s">
        <v>2627</v>
      </c>
      <c r="D694" s="76" t="s">
        <v>2628</v>
      </c>
      <c r="E694" s="79">
        <v>44181</v>
      </c>
      <c r="F694" s="76">
        <v>11300</v>
      </c>
      <c r="G694" s="76">
        <v>2E-3</v>
      </c>
    </row>
    <row r="695" spans="1:7" x14ac:dyDescent="0.25">
      <c r="A695" s="77" t="s">
        <v>319</v>
      </c>
      <c r="B695" s="76" t="s">
        <v>320</v>
      </c>
      <c r="C695" s="76" t="s">
        <v>2629</v>
      </c>
      <c r="D695" s="76" t="s">
        <v>2630</v>
      </c>
      <c r="E695" s="79">
        <v>44181</v>
      </c>
      <c r="F695" s="76">
        <v>9500</v>
      </c>
      <c r="G695" s="76">
        <v>5.0000000000000001E-3</v>
      </c>
    </row>
    <row r="696" spans="1:7" x14ac:dyDescent="0.25">
      <c r="A696" s="77" t="s">
        <v>319</v>
      </c>
      <c r="B696" s="76" t="s">
        <v>320</v>
      </c>
      <c r="C696" s="76" t="s">
        <v>2631</v>
      </c>
      <c r="D696" s="76" t="s">
        <v>2632</v>
      </c>
      <c r="E696" s="79">
        <v>44181</v>
      </c>
      <c r="F696" s="76">
        <v>10000</v>
      </c>
      <c r="G696" s="76">
        <v>5.0000000000000001E-3</v>
      </c>
    </row>
    <row r="697" spans="1:7" x14ac:dyDescent="0.25">
      <c r="A697" s="77" t="s">
        <v>319</v>
      </c>
      <c r="B697" s="76" t="s">
        <v>320</v>
      </c>
      <c r="C697" s="76" t="s">
        <v>2633</v>
      </c>
      <c r="D697" s="76" t="s">
        <v>2634</v>
      </c>
      <c r="E697" s="79">
        <v>44181</v>
      </c>
      <c r="F697" s="76">
        <v>7500</v>
      </c>
      <c r="G697" s="76">
        <v>0.01</v>
      </c>
    </row>
    <row r="698" spans="1:7" x14ac:dyDescent="0.25">
      <c r="A698" s="77" t="s">
        <v>319</v>
      </c>
      <c r="B698" s="76" t="s">
        <v>320</v>
      </c>
      <c r="C698" s="76" t="s">
        <v>2635</v>
      </c>
      <c r="D698" s="76" t="s">
        <v>2636</v>
      </c>
      <c r="E698" s="79">
        <v>44181</v>
      </c>
      <c r="F698" s="76">
        <v>8200</v>
      </c>
      <c r="G698" s="76">
        <v>0.01</v>
      </c>
    </row>
    <row r="699" spans="1:7" x14ac:dyDescent="0.25">
      <c r="A699" s="77" t="s">
        <v>319</v>
      </c>
      <c r="B699" s="76" t="s">
        <v>320</v>
      </c>
      <c r="C699" s="76" t="s">
        <v>2637</v>
      </c>
      <c r="D699" s="76" t="s">
        <v>2638</v>
      </c>
      <c r="E699" s="79">
        <v>44181</v>
      </c>
      <c r="F699" s="76">
        <v>9200</v>
      </c>
      <c r="G699" s="76">
        <v>5.0000000000000001E-3</v>
      </c>
    </row>
    <row r="700" spans="1:7" x14ac:dyDescent="0.25">
      <c r="A700" s="77" t="s">
        <v>319</v>
      </c>
      <c r="B700" s="76" t="s">
        <v>320</v>
      </c>
      <c r="C700" s="76" t="s">
        <v>2639</v>
      </c>
      <c r="D700" s="76" t="s">
        <v>2640</v>
      </c>
      <c r="E700" s="79">
        <v>44181</v>
      </c>
      <c r="F700" s="76">
        <v>9700</v>
      </c>
      <c r="G700" s="76">
        <v>5.0000000000000001E-3</v>
      </c>
    </row>
    <row r="701" spans="1:7" x14ac:dyDescent="0.25">
      <c r="A701" s="77" t="s">
        <v>319</v>
      </c>
      <c r="B701" s="76" t="s">
        <v>320</v>
      </c>
      <c r="C701" s="76" t="s">
        <v>2641</v>
      </c>
      <c r="D701" s="76" t="s">
        <v>2642</v>
      </c>
      <c r="E701" s="79">
        <v>44181</v>
      </c>
      <c r="F701" s="76">
        <v>10200</v>
      </c>
      <c r="G701" s="76">
        <v>5.0000000000000001E-3</v>
      </c>
    </row>
    <row r="702" spans="1:7" x14ac:dyDescent="0.25">
      <c r="A702" s="77" t="s">
        <v>319</v>
      </c>
      <c r="B702" s="76" t="s">
        <v>320</v>
      </c>
      <c r="C702" s="76" t="s">
        <v>2643</v>
      </c>
      <c r="D702" s="76" t="s">
        <v>2644</v>
      </c>
      <c r="E702" s="79">
        <v>44181</v>
      </c>
      <c r="F702" s="76">
        <v>10400</v>
      </c>
      <c r="G702" s="76">
        <v>5.0000000000000001E-3</v>
      </c>
    </row>
    <row r="703" spans="1:7" x14ac:dyDescent="0.25">
      <c r="A703" s="77" t="s">
        <v>319</v>
      </c>
      <c r="B703" s="76" t="s">
        <v>320</v>
      </c>
      <c r="C703" s="76" t="s">
        <v>2645</v>
      </c>
      <c r="D703" s="76" t="s">
        <v>2646</v>
      </c>
      <c r="E703" s="79">
        <v>44181</v>
      </c>
      <c r="F703" s="76">
        <v>10700</v>
      </c>
      <c r="G703" s="76">
        <v>5.0000000000000001E-3</v>
      </c>
    </row>
    <row r="704" spans="1:7" x14ac:dyDescent="0.25">
      <c r="A704" s="77" t="s">
        <v>319</v>
      </c>
      <c r="B704" s="76" t="s">
        <v>320</v>
      </c>
      <c r="C704" s="76" t="s">
        <v>2665</v>
      </c>
      <c r="D704" s="76" t="s">
        <v>2666</v>
      </c>
      <c r="E704" s="79">
        <v>44181</v>
      </c>
      <c r="F704" s="76">
        <v>10900</v>
      </c>
      <c r="G704" s="76">
        <v>3.0000000000000001E-3</v>
      </c>
    </row>
    <row r="705" spans="1:7" x14ac:dyDescent="0.25">
      <c r="A705" s="77" t="s">
        <v>319</v>
      </c>
      <c r="B705" s="76" t="s">
        <v>320</v>
      </c>
      <c r="C705" s="76" t="s">
        <v>2667</v>
      </c>
      <c r="D705" s="76" t="s">
        <v>2668</v>
      </c>
      <c r="E705" s="79">
        <v>44181</v>
      </c>
      <c r="F705" s="76">
        <v>11200</v>
      </c>
      <c r="G705" s="76">
        <v>3.0000000000000001E-3</v>
      </c>
    </row>
    <row r="706" spans="1:7" x14ac:dyDescent="0.25">
      <c r="A706" s="77" t="s">
        <v>319</v>
      </c>
      <c r="B706" s="76" t="s">
        <v>320</v>
      </c>
      <c r="C706" s="76" t="s">
        <v>2669</v>
      </c>
      <c r="D706" s="76" t="s">
        <v>2670</v>
      </c>
      <c r="E706" s="79">
        <v>44181</v>
      </c>
      <c r="F706" s="76">
        <v>11500</v>
      </c>
      <c r="G706" s="76">
        <v>3.0000000000000001E-3</v>
      </c>
    </row>
    <row r="707" spans="1:7" x14ac:dyDescent="0.25">
      <c r="A707" s="77" t="s">
        <v>319</v>
      </c>
      <c r="B707" s="76" t="s">
        <v>320</v>
      </c>
      <c r="C707" s="76" t="s">
        <v>2524</v>
      </c>
      <c r="D707" s="76" t="s">
        <v>2525</v>
      </c>
      <c r="E707" s="79">
        <v>44175</v>
      </c>
      <c r="F707" s="76">
        <v>10600</v>
      </c>
      <c r="G707" s="76">
        <v>1E-3</v>
      </c>
    </row>
    <row r="708" spans="1:7" x14ac:dyDescent="0.25">
      <c r="A708" s="77" t="s">
        <v>319</v>
      </c>
      <c r="B708" s="76" t="s">
        <v>320</v>
      </c>
      <c r="C708" s="76" t="s">
        <v>2526</v>
      </c>
      <c r="D708" s="76" t="s">
        <v>2527</v>
      </c>
      <c r="E708" s="79">
        <v>44175</v>
      </c>
      <c r="F708" s="76">
        <v>10700</v>
      </c>
      <c r="G708" s="76">
        <v>1E-3</v>
      </c>
    </row>
    <row r="709" spans="1:7" x14ac:dyDescent="0.25">
      <c r="A709" s="77" t="s">
        <v>319</v>
      </c>
      <c r="B709" s="76" t="s">
        <v>320</v>
      </c>
      <c r="C709" s="76" t="s">
        <v>2528</v>
      </c>
      <c r="D709" s="76" t="s">
        <v>2529</v>
      </c>
      <c r="E709" s="79">
        <v>44175</v>
      </c>
      <c r="F709" s="76">
        <v>10900</v>
      </c>
      <c r="G709" s="76">
        <v>1E-3</v>
      </c>
    </row>
    <row r="710" spans="1:7" x14ac:dyDescent="0.25">
      <c r="A710" s="77" t="s">
        <v>319</v>
      </c>
      <c r="B710" s="76" t="s">
        <v>320</v>
      </c>
      <c r="C710" s="76" t="s">
        <v>2530</v>
      </c>
      <c r="D710" s="76" t="s">
        <v>2531</v>
      </c>
      <c r="E710" s="79">
        <v>44175</v>
      </c>
      <c r="F710" s="76">
        <v>11000</v>
      </c>
      <c r="G710" s="76">
        <v>1E-3</v>
      </c>
    </row>
    <row r="711" spans="1:7" x14ac:dyDescent="0.25">
      <c r="A711" s="77" t="s">
        <v>319</v>
      </c>
      <c r="B711" s="76" t="s">
        <v>320</v>
      </c>
      <c r="C711" s="76" t="s">
        <v>2647</v>
      </c>
      <c r="D711" s="76" t="s">
        <v>2648</v>
      </c>
      <c r="E711" s="79">
        <v>44217</v>
      </c>
      <c r="F711" s="76">
        <v>11500</v>
      </c>
      <c r="G711" s="76">
        <v>1E-3</v>
      </c>
    </row>
    <row r="712" spans="1:7" x14ac:dyDescent="0.25">
      <c r="A712" s="77" t="s">
        <v>319</v>
      </c>
      <c r="B712" s="76" t="s">
        <v>320</v>
      </c>
      <c r="C712" s="76" t="s">
        <v>2649</v>
      </c>
      <c r="D712" s="76" t="s">
        <v>2650</v>
      </c>
      <c r="E712" s="79">
        <v>44217</v>
      </c>
      <c r="F712" s="76">
        <v>12168</v>
      </c>
      <c r="G712" s="76">
        <v>1E-3</v>
      </c>
    </row>
    <row r="713" spans="1:7" x14ac:dyDescent="0.25">
      <c r="A713" s="77" t="s">
        <v>319</v>
      </c>
      <c r="B713" s="76" t="s">
        <v>320</v>
      </c>
      <c r="C713" s="76" t="s">
        <v>2651</v>
      </c>
      <c r="D713" s="76" t="s">
        <v>2652</v>
      </c>
      <c r="E713" s="79">
        <v>44186</v>
      </c>
      <c r="F713" s="76">
        <v>11000</v>
      </c>
      <c r="G713" s="76">
        <v>1E-3</v>
      </c>
    </row>
    <row r="714" spans="1:7" x14ac:dyDescent="0.25">
      <c r="A714" s="77" t="s">
        <v>319</v>
      </c>
      <c r="B714" s="76" t="s">
        <v>320</v>
      </c>
      <c r="C714" s="76" t="s">
        <v>2730</v>
      </c>
      <c r="D714" s="76" t="s">
        <v>2731</v>
      </c>
      <c r="E714" s="79">
        <v>44188</v>
      </c>
      <c r="F714" s="76">
        <v>10500</v>
      </c>
      <c r="G714" s="76">
        <v>2E-3</v>
      </c>
    </row>
    <row r="715" spans="1:7" x14ac:dyDescent="0.25">
      <c r="A715" s="77" t="s">
        <v>319</v>
      </c>
      <c r="B715" s="76" t="s">
        <v>320</v>
      </c>
      <c r="C715" s="76" t="s">
        <v>2732</v>
      </c>
      <c r="D715" s="76" t="s">
        <v>2733</v>
      </c>
      <c r="E715" s="79">
        <v>44188</v>
      </c>
      <c r="F715" s="76">
        <v>10000</v>
      </c>
      <c r="G715" s="76">
        <v>2E-3</v>
      </c>
    </row>
    <row r="716" spans="1:7" x14ac:dyDescent="0.25">
      <c r="A716" s="77" t="s">
        <v>319</v>
      </c>
      <c r="B716" s="76" t="s">
        <v>320</v>
      </c>
      <c r="C716" s="76" t="s">
        <v>2749</v>
      </c>
      <c r="D716" s="76" t="s">
        <v>2750</v>
      </c>
      <c r="E716" s="79">
        <v>44193</v>
      </c>
      <c r="F716" s="76">
        <v>10700</v>
      </c>
      <c r="G716" s="76">
        <v>1E-3</v>
      </c>
    </row>
    <row r="717" spans="1:7" x14ac:dyDescent="0.25">
      <c r="A717" s="77" t="s">
        <v>319</v>
      </c>
      <c r="B717" s="76" t="s">
        <v>320</v>
      </c>
      <c r="C717" s="76" t="s">
        <v>2751</v>
      </c>
      <c r="D717" s="76" t="s">
        <v>2752</v>
      </c>
      <c r="E717" s="79">
        <v>44193</v>
      </c>
      <c r="F717" s="76">
        <v>10300</v>
      </c>
      <c r="G717" s="76">
        <v>3.0000000000000001E-3</v>
      </c>
    </row>
    <row r="718" spans="1:7" x14ac:dyDescent="0.25">
      <c r="A718" s="77" t="s">
        <v>319</v>
      </c>
      <c r="B718" s="76" t="s">
        <v>320</v>
      </c>
      <c r="C718" s="76" t="s">
        <v>2753</v>
      </c>
      <c r="D718" s="76" t="s">
        <v>2754</v>
      </c>
      <c r="E718" s="79">
        <v>44193</v>
      </c>
      <c r="F718" s="76">
        <v>11100</v>
      </c>
      <c r="G718" s="76">
        <v>2E-3</v>
      </c>
    </row>
    <row r="719" spans="1:7" x14ac:dyDescent="0.25">
      <c r="A719" s="77" t="s">
        <v>319</v>
      </c>
      <c r="B719" s="76" t="s">
        <v>320</v>
      </c>
      <c r="C719" s="76" t="s">
        <v>2755</v>
      </c>
      <c r="D719" s="76" t="s">
        <v>2756</v>
      </c>
      <c r="E719" s="79">
        <v>44194</v>
      </c>
      <c r="F719" s="76">
        <v>10000</v>
      </c>
      <c r="G719" s="76">
        <v>4.0000000000000001E-3</v>
      </c>
    </row>
    <row r="720" spans="1:7" x14ac:dyDescent="0.25">
      <c r="A720" s="77" t="s">
        <v>319</v>
      </c>
      <c r="B720" s="76" t="s">
        <v>320</v>
      </c>
      <c r="C720" s="76" t="s">
        <v>2757</v>
      </c>
      <c r="D720" s="76" t="s">
        <v>2758</v>
      </c>
      <c r="E720" s="79">
        <v>44194</v>
      </c>
      <c r="F720" s="76">
        <v>11400</v>
      </c>
      <c r="G720" s="76">
        <v>3.0000000000000001E-3</v>
      </c>
    </row>
    <row r="721" spans="1:7" x14ac:dyDescent="0.25">
      <c r="A721" s="77" t="s">
        <v>319</v>
      </c>
      <c r="B721" s="76" t="s">
        <v>320</v>
      </c>
      <c r="C721" s="76" t="s">
        <v>2759</v>
      </c>
      <c r="D721" s="76" t="s">
        <v>2760</v>
      </c>
      <c r="E721" s="79">
        <v>44228</v>
      </c>
      <c r="F721" s="76">
        <v>12000</v>
      </c>
      <c r="G721" s="76">
        <v>1E-3</v>
      </c>
    </row>
    <row r="722" spans="1:7" x14ac:dyDescent="0.25">
      <c r="A722" s="77" t="s">
        <v>319</v>
      </c>
      <c r="B722" s="76" t="s">
        <v>320</v>
      </c>
      <c r="C722" s="76" t="s">
        <v>2761</v>
      </c>
      <c r="D722" s="76" t="s">
        <v>2762</v>
      </c>
      <c r="E722" s="79">
        <v>44286</v>
      </c>
      <c r="F722" s="76">
        <v>9888</v>
      </c>
      <c r="G722" s="76">
        <v>2E-3</v>
      </c>
    </row>
    <row r="723" spans="1:7" x14ac:dyDescent="0.25">
      <c r="A723" s="77" t="s">
        <v>319</v>
      </c>
      <c r="B723" s="76" t="s">
        <v>320</v>
      </c>
      <c r="C723" s="76" t="s">
        <v>2763</v>
      </c>
      <c r="D723" s="76" t="s">
        <v>2764</v>
      </c>
      <c r="E723" s="79">
        <v>44286</v>
      </c>
      <c r="F723" s="76">
        <v>8888</v>
      </c>
      <c r="G723" s="76">
        <v>2E-3</v>
      </c>
    </row>
    <row r="724" spans="1:7" x14ac:dyDescent="0.25">
      <c r="A724" s="77" t="s">
        <v>319</v>
      </c>
      <c r="B724" s="76" t="s">
        <v>320</v>
      </c>
      <c r="C724" s="76" t="s">
        <v>2765</v>
      </c>
      <c r="D724" s="76" t="s">
        <v>2766</v>
      </c>
      <c r="E724" s="79">
        <v>44196</v>
      </c>
      <c r="F724" s="76">
        <v>8000</v>
      </c>
      <c r="G724" s="76">
        <v>7.0000000000000001E-3</v>
      </c>
    </row>
    <row r="725" spans="1:7" x14ac:dyDescent="0.25">
      <c r="A725" s="77" t="s">
        <v>319</v>
      </c>
      <c r="B725" s="76" t="s">
        <v>320</v>
      </c>
      <c r="C725" s="76" t="s">
        <v>2711</v>
      </c>
      <c r="D725" s="76" t="s">
        <v>2712</v>
      </c>
      <c r="E725" s="79">
        <v>44187</v>
      </c>
      <c r="F725" s="76">
        <v>9900</v>
      </c>
      <c r="G725" s="76">
        <v>2E-3</v>
      </c>
    </row>
    <row r="726" spans="1:7" x14ac:dyDescent="0.25">
      <c r="A726" s="77" t="s">
        <v>319</v>
      </c>
      <c r="B726" s="76" t="s">
        <v>320</v>
      </c>
      <c r="C726" s="76" t="s">
        <v>2713</v>
      </c>
      <c r="D726" s="76" t="s">
        <v>2714</v>
      </c>
      <c r="E726" s="79">
        <v>44187</v>
      </c>
      <c r="F726" s="76">
        <v>10300</v>
      </c>
      <c r="G726" s="76">
        <v>2E-3</v>
      </c>
    </row>
    <row r="727" spans="1:7" x14ac:dyDescent="0.25">
      <c r="A727" s="77" t="s">
        <v>319</v>
      </c>
      <c r="B727" s="76" t="s">
        <v>320</v>
      </c>
      <c r="C727" s="76" t="s">
        <v>2715</v>
      </c>
      <c r="D727" s="76" t="s">
        <v>2716</v>
      </c>
      <c r="E727" s="79">
        <v>44187</v>
      </c>
      <c r="F727" s="76">
        <v>10400</v>
      </c>
      <c r="G727" s="76">
        <v>2E-3</v>
      </c>
    </row>
    <row r="728" spans="1:7" x14ac:dyDescent="0.25">
      <c r="A728" s="77" t="s">
        <v>319</v>
      </c>
      <c r="B728" s="76" t="s">
        <v>320</v>
      </c>
      <c r="C728" s="76" t="s">
        <v>2717</v>
      </c>
      <c r="D728" s="76" t="s">
        <v>2718</v>
      </c>
      <c r="E728" s="79">
        <v>44187</v>
      </c>
      <c r="F728" s="76">
        <v>10800</v>
      </c>
      <c r="G728" s="76">
        <v>2E-3</v>
      </c>
    </row>
    <row r="729" spans="1:7" x14ac:dyDescent="0.25">
      <c r="A729" s="77" t="s">
        <v>319</v>
      </c>
      <c r="B729" s="76" t="s">
        <v>320</v>
      </c>
      <c r="C729" s="76" t="s">
        <v>2532</v>
      </c>
      <c r="D729" s="76" t="s">
        <v>2533</v>
      </c>
      <c r="E729" s="79">
        <v>44173</v>
      </c>
      <c r="F729" s="76">
        <v>11000</v>
      </c>
      <c r="G729" s="76">
        <v>1E-3</v>
      </c>
    </row>
    <row r="730" spans="1:7" x14ac:dyDescent="0.25">
      <c r="A730" s="77" t="s">
        <v>319</v>
      </c>
      <c r="B730" s="76" t="s">
        <v>320</v>
      </c>
      <c r="C730" s="76" t="s">
        <v>2534</v>
      </c>
      <c r="D730" s="76" t="s">
        <v>2535</v>
      </c>
      <c r="E730" s="79">
        <v>44173</v>
      </c>
      <c r="F730" s="76">
        <v>11200</v>
      </c>
      <c r="G730" s="76">
        <v>2E-3</v>
      </c>
    </row>
    <row r="731" spans="1:7" x14ac:dyDescent="0.25">
      <c r="A731" s="77" t="s">
        <v>319</v>
      </c>
      <c r="B731" s="76" t="s">
        <v>320</v>
      </c>
      <c r="C731" s="76" t="s">
        <v>2876</v>
      </c>
      <c r="D731" s="76" t="s">
        <v>2877</v>
      </c>
      <c r="E731" s="79">
        <v>44257</v>
      </c>
      <c r="F731" s="76">
        <v>8523</v>
      </c>
      <c r="G731" s="76">
        <v>2E-3</v>
      </c>
    </row>
    <row r="732" spans="1:7" x14ac:dyDescent="0.25">
      <c r="A732" s="77" t="s">
        <v>319</v>
      </c>
      <c r="B732" s="76" t="s">
        <v>320</v>
      </c>
      <c r="C732" s="76" t="s">
        <v>2878</v>
      </c>
      <c r="D732" s="76" t="s">
        <v>2879</v>
      </c>
      <c r="E732" s="79">
        <v>44202</v>
      </c>
      <c r="F732" s="76">
        <v>11600</v>
      </c>
      <c r="G732" s="76">
        <v>3.0000000000000001E-3</v>
      </c>
    </row>
    <row r="733" spans="1:7" x14ac:dyDescent="0.25">
      <c r="A733" s="77" t="s">
        <v>319</v>
      </c>
      <c r="B733" s="76" t="s">
        <v>320</v>
      </c>
      <c r="C733" s="76" t="s">
        <v>2880</v>
      </c>
      <c r="D733" s="76" t="s">
        <v>2881</v>
      </c>
      <c r="E733" s="79">
        <v>44203</v>
      </c>
      <c r="F733" s="76">
        <v>9300</v>
      </c>
      <c r="G733" s="76">
        <v>4.0000000000000001E-3</v>
      </c>
    </row>
    <row r="734" spans="1:7" x14ac:dyDescent="0.25">
      <c r="A734" s="77" t="s">
        <v>319</v>
      </c>
      <c r="B734" s="76" t="s">
        <v>320</v>
      </c>
      <c r="C734" s="76" t="s">
        <v>2882</v>
      </c>
      <c r="D734" s="76" t="s">
        <v>2883</v>
      </c>
      <c r="E734" s="79">
        <v>44203</v>
      </c>
      <c r="F734" s="76">
        <v>9600</v>
      </c>
      <c r="G734" s="76">
        <v>3.0000000000000001E-3</v>
      </c>
    </row>
    <row r="735" spans="1:7" x14ac:dyDescent="0.25">
      <c r="A735" s="77" t="s">
        <v>319</v>
      </c>
      <c r="B735" s="76" t="s">
        <v>320</v>
      </c>
      <c r="C735" s="76" t="s">
        <v>2884</v>
      </c>
      <c r="D735" s="76" t="s">
        <v>2885</v>
      </c>
      <c r="E735" s="79">
        <v>44203</v>
      </c>
      <c r="F735" s="76">
        <v>11500</v>
      </c>
      <c r="G735" s="76">
        <v>2E-3</v>
      </c>
    </row>
    <row r="736" spans="1:7" x14ac:dyDescent="0.25">
      <c r="A736" s="77" t="s">
        <v>319</v>
      </c>
      <c r="B736" s="76" t="s">
        <v>320</v>
      </c>
      <c r="C736" s="76" t="s">
        <v>2886</v>
      </c>
      <c r="D736" s="76" t="s">
        <v>2887</v>
      </c>
      <c r="E736" s="79">
        <v>44203</v>
      </c>
      <c r="F736" s="76">
        <v>11400</v>
      </c>
      <c r="G736" s="76">
        <v>2E-3</v>
      </c>
    </row>
    <row r="737" spans="1:7" x14ac:dyDescent="0.25">
      <c r="A737" s="77" t="s">
        <v>319</v>
      </c>
      <c r="B737" s="76" t="s">
        <v>320</v>
      </c>
      <c r="C737" s="76" t="s">
        <v>2888</v>
      </c>
      <c r="D737" s="76" t="s">
        <v>2889</v>
      </c>
      <c r="E737" s="79">
        <v>44203</v>
      </c>
      <c r="F737" s="76">
        <v>11200</v>
      </c>
      <c r="G737" s="76">
        <v>2E-3</v>
      </c>
    </row>
    <row r="738" spans="1:7" x14ac:dyDescent="0.25">
      <c r="A738" s="77" t="s">
        <v>319</v>
      </c>
      <c r="B738" s="76" t="s">
        <v>320</v>
      </c>
      <c r="C738" s="76" t="s">
        <v>2890</v>
      </c>
      <c r="D738" s="76" t="s">
        <v>2891</v>
      </c>
      <c r="E738" s="79">
        <v>44203</v>
      </c>
      <c r="F738" s="76">
        <v>11500</v>
      </c>
      <c r="G738" s="76">
        <v>4.0000000000000001E-3</v>
      </c>
    </row>
    <row r="739" spans="1:7" x14ac:dyDescent="0.25">
      <c r="A739" s="77" t="s">
        <v>319</v>
      </c>
      <c r="B739" s="76" t="s">
        <v>320</v>
      </c>
      <c r="C739" s="76" t="s">
        <v>2892</v>
      </c>
      <c r="D739" s="76" t="s">
        <v>2893</v>
      </c>
      <c r="E739" s="79">
        <v>44203</v>
      </c>
      <c r="F739" s="76">
        <v>11800</v>
      </c>
      <c r="G739" s="76">
        <v>4.0000000000000001E-3</v>
      </c>
    </row>
    <row r="740" spans="1:7" x14ac:dyDescent="0.25">
      <c r="A740" s="77" t="s">
        <v>319</v>
      </c>
      <c r="B740" s="76" t="s">
        <v>320</v>
      </c>
      <c r="C740" s="76" t="s">
        <v>2894</v>
      </c>
      <c r="D740" s="76" t="s">
        <v>2895</v>
      </c>
      <c r="E740" s="79">
        <v>44244</v>
      </c>
      <c r="F740" s="76">
        <v>11888</v>
      </c>
      <c r="G740" s="76">
        <v>1E-3</v>
      </c>
    </row>
    <row r="741" spans="1:7" x14ac:dyDescent="0.25">
      <c r="A741" s="77" t="s">
        <v>319</v>
      </c>
      <c r="B741" s="76" t="s">
        <v>320</v>
      </c>
      <c r="C741" s="76" t="s">
        <v>2896</v>
      </c>
      <c r="D741" s="76" t="s">
        <v>2897</v>
      </c>
      <c r="E741" s="79">
        <v>44244</v>
      </c>
      <c r="F741" s="76">
        <v>11600</v>
      </c>
      <c r="G741" s="76">
        <v>1E-3</v>
      </c>
    </row>
    <row r="742" spans="1:7" x14ac:dyDescent="0.25">
      <c r="A742" s="77" t="s">
        <v>319</v>
      </c>
      <c r="B742" s="76" t="s">
        <v>320</v>
      </c>
      <c r="C742" s="76" t="s">
        <v>2898</v>
      </c>
      <c r="D742" s="76" t="s">
        <v>2899</v>
      </c>
      <c r="E742" s="79">
        <v>44204</v>
      </c>
      <c r="F742" s="76">
        <v>12000</v>
      </c>
      <c r="G742" s="76">
        <v>3.0000000000000001E-3</v>
      </c>
    </row>
    <row r="743" spans="1:7" x14ac:dyDescent="0.25">
      <c r="A743" s="77" t="s">
        <v>319</v>
      </c>
      <c r="B743" s="76" t="s">
        <v>320</v>
      </c>
      <c r="C743" s="76" t="s">
        <v>2900</v>
      </c>
      <c r="D743" s="76" t="s">
        <v>2901</v>
      </c>
      <c r="E743" s="79">
        <v>44201</v>
      </c>
      <c r="F743" s="76">
        <v>11300</v>
      </c>
      <c r="G743" s="76">
        <v>3.0000000000000001E-3</v>
      </c>
    </row>
    <row r="744" spans="1:7" x14ac:dyDescent="0.25">
      <c r="A744" s="77" t="s">
        <v>319</v>
      </c>
      <c r="B744" s="76" t="s">
        <v>320</v>
      </c>
      <c r="C744" s="76" t="s">
        <v>2902</v>
      </c>
      <c r="D744" s="76" t="s">
        <v>2903</v>
      </c>
      <c r="E744" s="79">
        <v>44201</v>
      </c>
      <c r="F744" s="76">
        <v>11200</v>
      </c>
      <c r="G744" s="76">
        <v>2E-3</v>
      </c>
    </row>
    <row r="745" spans="1:7" x14ac:dyDescent="0.25">
      <c r="A745" s="77" t="s">
        <v>319</v>
      </c>
      <c r="B745" s="76" t="s">
        <v>320</v>
      </c>
      <c r="C745" s="76" t="s">
        <v>3064</v>
      </c>
      <c r="D745" s="76" t="s">
        <v>3065</v>
      </c>
      <c r="E745" s="79">
        <v>44264</v>
      </c>
      <c r="F745" s="76">
        <v>12500</v>
      </c>
      <c r="G745" s="76">
        <v>1E-3</v>
      </c>
    </row>
    <row r="746" spans="1:7" x14ac:dyDescent="0.25">
      <c r="A746" s="77" t="s">
        <v>319</v>
      </c>
      <c r="B746" s="76" t="s">
        <v>320</v>
      </c>
      <c r="C746" s="76" t="s">
        <v>3066</v>
      </c>
      <c r="D746" s="76" t="s">
        <v>3067</v>
      </c>
      <c r="E746" s="79">
        <v>44209</v>
      </c>
      <c r="F746" s="76">
        <v>11600</v>
      </c>
      <c r="G746" s="76">
        <v>5.0000000000000001E-3</v>
      </c>
    </row>
    <row r="747" spans="1:7" x14ac:dyDescent="0.25">
      <c r="A747" s="77" t="s">
        <v>319</v>
      </c>
      <c r="B747" s="76" t="s">
        <v>320</v>
      </c>
      <c r="C747" s="76" t="s">
        <v>3068</v>
      </c>
      <c r="D747" s="76" t="s">
        <v>3069</v>
      </c>
      <c r="E747" s="79">
        <v>44209</v>
      </c>
      <c r="F747" s="76">
        <v>12000</v>
      </c>
      <c r="G747" s="76">
        <v>5.0000000000000001E-3</v>
      </c>
    </row>
    <row r="748" spans="1:7" x14ac:dyDescent="0.25">
      <c r="A748" s="77" t="s">
        <v>319</v>
      </c>
      <c r="B748" s="76" t="s">
        <v>320</v>
      </c>
      <c r="C748" s="76" t="s">
        <v>3070</v>
      </c>
      <c r="D748" s="76" t="s">
        <v>3071</v>
      </c>
      <c r="E748" s="79">
        <v>44211</v>
      </c>
      <c r="F748" s="76">
        <v>12400</v>
      </c>
      <c r="G748" s="76">
        <v>3.0000000000000001E-3</v>
      </c>
    </row>
    <row r="749" spans="1:7" x14ac:dyDescent="0.25">
      <c r="A749" s="77" t="s">
        <v>319</v>
      </c>
      <c r="B749" s="76" t="s">
        <v>320</v>
      </c>
      <c r="C749" s="76" t="s">
        <v>3072</v>
      </c>
      <c r="D749" s="76" t="s">
        <v>3073</v>
      </c>
      <c r="E749" s="79">
        <v>44302</v>
      </c>
      <c r="F749" s="76">
        <v>12888</v>
      </c>
      <c r="G749" s="76">
        <v>1E-3</v>
      </c>
    </row>
    <row r="750" spans="1:7" x14ac:dyDescent="0.25">
      <c r="A750" s="77" t="s">
        <v>1060</v>
      </c>
      <c r="B750" s="76" t="s">
        <v>119</v>
      </c>
      <c r="C750" s="76" t="s">
        <v>3074</v>
      </c>
      <c r="D750" s="76" t="s">
        <v>3075</v>
      </c>
      <c r="E750" s="79">
        <v>44214</v>
      </c>
      <c r="F750" s="76">
        <v>96</v>
      </c>
      <c r="G750" s="76">
        <v>0.2</v>
      </c>
    </row>
    <row r="751" spans="1:7" x14ac:dyDescent="0.25">
      <c r="A751" s="77" t="s">
        <v>1060</v>
      </c>
      <c r="B751" s="76" t="s">
        <v>119</v>
      </c>
      <c r="C751" s="76" t="s">
        <v>3076</v>
      </c>
      <c r="D751" s="76" t="s">
        <v>3077</v>
      </c>
      <c r="E751" s="79">
        <v>44214</v>
      </c>
      <c r="F751" s="76">
        <v>85</v>
      </c>
      <c r="G751" s="76">
        <v>0.25</v>
      </c>
    </row>
    <row r="752" spans="1:7" x14ac:dyDescent="0.25">
      <c r="A752" s="77" t="s">
        <v>1060</v>
      </c>
      <c r="B752" s="76" t="s">
        <v>119</v>
      </c>
      <c r="C752" s="76" t="s">
        <v>3078</v>
      </c>
      <c r="D752" s="76" t="s">
        <v>3079</v>
      </c>
      <c r="E752" s="79">
        <v>44244</v>
      </c>
      <c r="F752" s="76">
        <v>90</v>
      </c>
      <c r="G752" s="76">
        <v>0.15</v>
      </c>
    </row>
    <row r="753" spans="1:7" x14ac:dyDescent="0.25">
      <c r="A753" s="77" t="s">
        <v>1060</v>
      </c>
      <c r="B753" s="76" t="s">
        <v>119</v>
      </c>
      <c r="C753" s="76" t="s">
        <v>3080</v>
      </c>
      <c r="D753" s="76" t="s">
        <v>3081</v>
      </c>
      <c r="E753" s="79">
        <v>44214</v>
      </c>
      <c r="F753" s="76">
        <v>90</v>
      </c>
      <c r="G753" s="76">
        <v>1</v>
      </c>
    </row>
    <row r="754" spans="1:7" x14ac:dyDescent="0.25">
      <c r="A754" s="77" t="s">
        <v>1060</v>
      </c>
      <c r="B754" s="76" t="s">
        <v>119</v>
      </c>
      <c r="C754" s="76" t="s">
        <v>1118</v>
      </c>
      <c r="D754" s="76" t="s">
        <v>1119</v>
      </c>
      <c r="E754" s="79">
        <v>44207</v>
      </c>
      <c r="F754" s="76">
        <v>73.95</v>
      </c>
      <c r="G754" s="76">
        <v>0.41599999999999998</v>
      </c>
    </row>
    <row r="755" spans="1:7" x14ac:dyDescent="0.25">
      <c r="A755" s="77" t="s">
        <v>1060</v>
      </c>
      <c r="B755" s="76" t="s">
        <v>119</v>
      </c>
      <c r="C755" s="76" t="s">
        <v>3082</v>
      </c>
      <c r="D755" s="76" t="s">
        <v>3083</v>
      </c>
      <c r="E755" s="79">
        <v>44210</v>
      </c>
      <c r="F755" s="76">
        <v>90</v>
      </c>
      <c r="G755" s="76">
        <v>0.5</v>
      </c>
    </row>
    <row r="756" spans="1:7" x14ac:dyDescent="0.25">
      <c r="A756" s="77" t="s">
        <v>1060</v>
      </c>
      <c r="B756" s="76" t="s">
        <v>119</v>
      </c>
      <c r="C756" s="76" t="s">
        <v>3084</v>
      </c>
      <c r="D756" s="76" t="s">
        <v>3085</v>
      </c>
      <c r="E756" s="79">
        <v>44210</v>
      </c>
      <c r="F756" s="76">
        <v>92</v>
      </c>
      <c r="G756" s="76">
        <v>0.5</v>
      </c>
    </row>
    <row r="757" spans="1:7" x14ac:dyDescent="0.25">
      <c r="A757" s="77" t="s">
        <v>1060</v>
      </c>
      <c r="B757" s="76" t="s">
        <v>119</v>
      </c>
      <c r="C757" s="76" t="s">
        <v>3086</v>
      </c>
      <c r="D757" s="76" t="s">
        <v>3087</v>
      </c>
      <c r="E757" s="79">
        <v>44210</v>
      </c>
      <c r="F757" s="76">
        <v>94</v>
      </c>
      <c r="G757" s="76">
        <v>0.4</v>
      </c>
    </row>
    <row r="758" spans="1:7" x14ac:dyDescent="0.25">
      <c r="A758" s="77" t="s">
        <v>1060</v>
      </c>
      <c r="B758" s="76" t="s">
        <v>119</v>
      </c>
      <c r="C758" s="76" t="s">
        <v>3088</v>
      </c>
      <c r="D758" s="76" t="s">
        <v>3089</v>
      </c>
      <c r="E758" s="79">
        <v>44210</v>
      </c>
      <c r="F758" s="76">
        <v>96</v>
      </c>
      <c r="G758" s="76">
        <v>0.25</v>
      </c>
    </row>
    <row r="759" spans="1:7" x14ac:dyDescent="0.25">
      <c r="A759" s="77" t="s">
        <v>1060</v>
      </c>
      <c r="B759" s="76" t="s">
        <v>119</v>
      </c>
      <c r="C759" s="76" t="s">
        <v>3090</v>
      </c>
      <c r="D759" s="76" t="s">
        <v>3091</v>
      </c>
      <c r="E759" s="79">
        <v>44207</v>
      </c>
      <c r="F759" s="76">
        <v>95</v>
      </c>
      <c r="G759" s="76">
        <v>0.2</v>
      </c>
    </row>
    <row r="760" spans="1:7" x14ac:dyDescent="0.25">
      <c r="A760" s="77" t="s">
        <v>1060</v>
      </c>
      <c r="B760" s="76" t="s">
        <v>119</v>
      </c>
      <c r="C760" s="76" t="s">
        <v>2904</v>
      </c>
      <c r="D760" s="76" t="s">
        <v>2905</v>
      </c>
      <c r="E760" s="79">
        <v>44202</v>
      </c>
      <c r="F760" s="76">
        <v>85</v>
      </c>
      <c r="G760" s="76">
        <v>0.4</v>
      </c>
    </row>
    <row r="761" spans="1:7" x14ac:dyDescent="0.25">
      <c r="A761" s="77" t="s">
        <v>1060</v>
      </c>
      <c r="B761" s="76" t="s">
        <v>119</v>
      </c>
      <c r="C761" s="76" t="s">
        <v>3092</v>
      </c>
      <c r="D761" s="76" t="s">
        <v>3093</v>
      </c>
      <c r="E761" s="79">
        <v>44207</v>
      </c>
      <c r="F761" s="76">
        <v>92.5</v>
      </c>
      <c r="G761" s="76">
        <v>0.5</v>
      </c>
    </row>
    <row r="762" spans="1:7" x14ac:dyDescent="0.25">
      <c r="A762" s="77" t="s">
        <v>1060</v>
      </c>
      <c r="B762" s="76" t="s">
        <v>119</v>
      </c>
      <c r="C762" s="76" t="s">
        <v>3094</v>
      </c>
      <c r="D762" s="76" t="s">
        <v>3095</v>
      </c>
      <c r="E762" s="79">
        <v>44207</v>
      </c>
      <c r="F762" s="76">
        <v>94</v>
      </c>
      <c r="G762" s="76">
        <v>0.2</v>
      </c>
    </row>
    <row r="763" spans="1:7" x14ac:dyDescent="0.25">
      <c r="A763" s="77" t="s">
        <v>1060</v>
      </c>
      <c r="B763" s="76" t="s">
        <v>119</v>
      </c>
      <c r="C763" s="76" t="s">
        <v>3096</v>
      </c>
      <c r="D763" s="76" t="s">
        <v>3097</v>
      </c>
      <c r="E763" s="79">
        <v>44208</v>
      </c>
      <c r="F763" s="76">
        <v>87.5</v>
      </c>
      <c r="G763" s="76">
        <v>0.8</v>
      </c>
    </row>
    <row r="764" spans="1:7" x14ac:dyDescent="0.25">
      <c r="A764" s="77" t="s">
        <v>1060</v>
      </c>
      <c r="B764" s="76" t="s">
        <v>119</v>
      </c>
      <c r="C764" s="76" t="s">
        <v>3098</v>
      </c>
      <c r="D764" s="76" t="s">
        <v>3099</v>
      </c>
      <c r="E764" s="79">
        <v>44208</v>
      </c>
      <c r="F764" s="76">
        <v>97.5</v>
      </c>
      <c r="G764" s="76">
        <v>0.4</v>
      </c>
    </row>
    <row r="765" spans="1:7" x14ac:dyDescent="0.25">
      <c r="A765" s="77" t="s">
        <v>1060</v>
      </c>
      <c r="B765" s="76" t="s">
        <v>119</v>
      </c>
      <c r="C765" s="76" t="s">
        <v>1117</v>
      </c>
      <c r="D765" s="76" t="s">
        <v>3100</v>
      </c>
      <c r="E765" s="79">
        <v>44209</v>
      </c>
      <c r="F765" s="76">
        <v>100</v>
      </c>
      <c r="G765" s="76">
        <v>0.15</v>
      </c>
    </row>
    <row r="766" spans="1:7" x14ac:dyDescent="0.25">
      <c r="A766" s="77" t="s">
        <v>1060</v>
      </c>
      <c r="B766" s="76" t="s">
        <v>119</v>
      </c>
      <c r="C766" s="76" t="s">
        <v>3101</v>
      </c>
      <c r="D766" s="76" t="s">
        <v>3102</v>
      </c>
      <c r="E766" s="79">
        <v>44209</v>
      </c>
      <c r="F766" s="76">
        <v>95</v>
      </c>
      <c r="G766" s="76">
        <v>0.2</v>
      </c>
    </row>
    <row r="767" spans="1:7" x14ac:dyDescent="0.25">
      <c r="A767" s="77" t="s">
        <v>1060</v>
      </c>
      <c r="B767" s="76" t="s">
        <v>119</v>
      </c>
      <c r="C767" s="76" t="s">
        <v>3103</v>
      </c>
      <c r="D767" s="76" t="s">
        <v>3104</v>
      </c>
      <c r="E767" s="79">
        <v>44209</v>
      </c>
      <c r="F767" s="76">
        <v>95</v>
      </c>
      <c r="G767" s="76">
        <v>0.35</v>
      </c>
    </row>
    <row r="768" spans="1:7" x14ac:dyDescent="0.25">
      <c r="A768" s="77" t="s">
        <v>1060</v>
      </c>
      <c r="B768" s="76" t="s">
        <v>119</v>
      </c>
      <c r="C768" s="76" t="s">
        <v>2906</v>
      </c>
      <c r="D768" s="76" t="s">
        <v>2907</v>
      </c>
      <c r="E768" s="79">
        <v>44204</v>
      </c>
      <c r="F768" s="76">
        <v>93</v>
      </c>
      <c r="G768" s="76">
        <v>0.2</v>
      </c>
    </row>
    <row r="769" spans="1:7" x14ac:dyDescent="0.25">
      <c r="A769" s="77" t="s">
        <v>1060</v>
      </c>
      <c r="B769" s="76" t="s">
        <v>119</v>
      </c>
      <c r="C769" s="76" t="s">
        <v>2908</v>
      </c>
      <c r="D769" s="76" t="s">
        <v>2909</v>
      </c>
      <c r="E769" s="79">
        <v>44204</v>
      </c>
      <c r="F769" s="76">
        <v>91</v>
      </c>
      <c r="G769" s="76">
        <v>0.25</v>
      </c>
    </row>
    <row r="770" spans="1:7" x14ac:dyDescent="0.25">
      <c r="A770" s="77" t="s">
        <v>1060</v>
      </c>
      <c r="B770" s="76" t="s">
        <v>119</v>
      </c>
      <c r="C770" s="76" t="s">
        <v>2910</v>
      </c>
      <c r="D770" s="76" t="s">
        <v>2911</v>
      </c>
      <c r="E770" s="79">
        <v>44204</v>
      </c>
      <c r="F770" s="76">
        <v>92</v>
      </c>
      <c r="G770" s="76">
        <v>0.2</v>
      </c>
    </row>
    <row r="771" spans="1:7" x14ac:dyDescent="0.25">
      <c r="A771" s="77" t="s">
        <v>1060</v>
      </c>
      <c r="B771" s="76" t="s">
        <v>119</v>
      </c>
      <c r="C771" s="76" t="s">
        <v>2912</v>
      </c>
      <c r="D771" s="76" t="s">
        <v>2913</v>
      </c>
      <c r="E771" s="79">
        <v>44263</v>
      </c>
      <c r="F771" s="76">
        <v>90</v>
      </c>
      <c r="G771" s="76">
        <v>0.1</v>
      </c>
    </row>
    <row r="772" spans="1:7" x14ac:dyDescent="0.25">
      <c r="A772" s="77" t="s">
        <v>1060</v>
      </c>
      <c r="B772" s="76" t="s">
        <v>119</v>
      </c>
      <c r="C772" s="76" t="s">
        <v>2914</v>
      </c>
      <c r="D772" s="76" t="s">
        <v>2915</v>
      </c>
      <c r="E772" s="79">
        <v>44204</v>
      </c>
      <c r="F772" s="76">
        <v>100</v>
      </c>
      <c r="G772" s="76">
        <v>0.3</v>
      </c>
    </row>
    <row r="773" spans="1:7" x14ac:dyDescent="0.25">
      <c r="A773" s="77" t="s">
        <v>1060</v>
      </c>
      <c r="B773" s="76" t="s">
        <v>119</v>
      </c>
      <c r="C773" s="76" t="s">
        <v>2916</v>
      </c>
      <c r="D773" s="76" t="s">
        <v>2917</v>
      </c>
      <c r="E773" s="79">
        <v>44203</v>
      </c>
      <c r="F773" s="76">
        <v>92</v>
      </c>
      <c r="G773" s="76">
        <v>0.2</v>
      </c>
    </row>
    <row r="774" spans="1:7" x14ac:dyDescent="0.25">
      <c r="A774" s="77" t="s">
        <v>1060</v>
      </c>
      <c r="B774" s="76" t="s">
        <v>119</v>
      </c>
      <c r="C774" s="76" t="s">
        <v>2918</v>
      </c>
      <c r="D774" s="76" t="s">
        <v>2919</v>
      </c>
      <c r="E774" s="79">
        <v>44202</v>
      </c>
      <c r="F774" s="76">
        <v>90</v>
      </c>
      <c r="G774" s="76">
        <v>0.18</v>
      </c>
    </row>
    <row r="775" spans="1:7" x14ac:dyDescent="0.25">
      <c r="A775" s="77" t="s">
        <v>1060</v>
      </c>
      <c r="B775" s="76" t="s">
        <v>119</v>
      </c>
      <c r="C775" s="76" t="s">
        <v>2920</v>
      </c>
      <c r="D775" s="76" t="s">
        <v>2921</v>
      </c>
      <c r="E775" s="79">
        <v>44203</v>
      </c>
      <c r="F775" s="76">
        <v>91.25</v>
      </c>
      <c r="G775" s="76">
        <v>0.2</v>
      </c>
    </row>
    <row r="776" spans="1:7" x14ac:dyDescent="0.25">
      <c r="A776" s="77" t="s">
        <v>1060</v>
      </c>
      <c r="B776" s="76" t="s">
        <v>119</v>
      </c>
      <c r="C776" s="76" t="s">
        <v>2922</v>
      </c>
      <c r="D776" s="76" t="s">
        <v>2923</v>
      </c>
      <c r="E776" s="79">
        <v>44244</v>
      </c>
      <c r="F776" s="76">
        <v>90.25</v>
      </c>
      <c r="G776" s="76">
        <v>0.2</v>
      </c>
    </row>
    <row r="777" spans="1:7" x14ac:dyDescent="0.25">
      <c r="A777" s="77" t="s">
        <v>1060</v>
      </c>
      <c r="B777" s="76" t="s">
        <v>119</v>
      </c>
      <c r="C777" s="76" t="s">
        <v>2924</v>
      </c>
      <c r="D777" s="76" t="s">
        <v>2925</v>
      </c>
      <c r="E777" s="79">
        <v>44292</v>
      </c>
      <c r="F777" s="76">
        <v>92</v>
      </c>
      <c r="G777" s="76">
        <v>0.1</v>
      </c>
    </row>
    <row r="778" spans="1:7" x14ac:dyDescent="0.25">
      <c r="A778" s="77" t="s">
        <v>1060</v>
      </c>
      <c r="B778" s="76" t="s">
        <v>119</v>
      </c>
      <c r="C778" s="76" t="s">
        <v>2536</v>
      </c>
      <c r="D778" s="76" t="s">
        <v>2537</v>
      </c>
      <c r="E778" s="79">
        <v>44174</v>
      </c>
      <c r="F778" s="76">
        <v>90</v>
      </c>
      <c r="G778" s="76">
        <v>0.3</v>
      </c>
    </row>
    <row r="779" spans="1:7" x14ac:dyDescent="0.25">
      <c r="A779" s="77" t="s">
        <v>1060</v>
      </c>
      <c r="B779" s="76" t="s">
        <v>119</v>
      </c>
      <c r="C779" s="76" t="s">
        <v>2734</v>
      </c>
      <c r="D779" s="76" t="s">
        <v>2735</v>
      </c>
      <c r="E779" s="79">
        <v>44188</v>
      </c>
      <c r="F779" s="76">
        <v>87.47</v>
      </c>
      <c r="G779" s="76">
        <v>0.16</v>
      </c>
    </row>
    <row r="780" spans="1:7" x14ac:dyDescent="0.25">
      <c r="A780" s="77" t="s">
        <v>1060</v>
      </c>
      <c r="B780" s="76" t="s">
        <v>119</v>
      </c>
      <c r="C780" s="76" t="s">
        <v>2767</v>
      </c>
      <c r="D780" s="76" t="s">
        <v>2768</v>
      </c>
      <c r="E780" s="79">
        <v>44228</v>
      </c>
      <c r="F780" s="76">
        <v>80</v>
      </c>
      <c r="G780" s="76">
        <v>1</v>
      </c>
    </row>
    <row r="781" spans="1:7" x14ac:dyDescent="0.25">
      <c r="A781" s="77" t="s">
        <v>1060</v>
      </c>
      <c r="B781" s="76" t="s">
        <v>119</v>
      </c>
      <c r="C781" s="76" t="s">
        <v>2769</v>
      </c>
      <c r="D781" s="76" t="s">
        <v>2770</v>
      </c>
      <c r="E781" s="79">
        <v>44196</v>
      </c>
      <c r="F781" s="76">
        <v>87</v>
      </c>
      <c r="G781" s="76">
        <v>0.4</v>
      </c>
    </row>
    <row r="782" spans="1:7" x14ac:dyDescent="0.25">
      <c r="A782" s="77" t="s">
        <v>1060</v>
      </c>
      <c r="B782" s="76" t="s">
        <v>119</v>
      </c>
      <c r="C782" s="76" t="s">
        <v>2771</v>
      </c>
      <c r="D782" s="76" t="s">
        <v>2772</v>
      </c>
      <c r="E782" s="79">
        <v>44196</v>
      </c>
      <c r="F782" s="76">
        <v>90</v>
      </c>
      <c r="G782" s="76">
        <v>0.25</v>
      </c>
    </row>
    <row r="783" spans="1:7" x14ac:dyDescent="0.25">
      <c r="A783" s="77" t="s">
        <v>1060</v>
      </c>
      <c r="B783" s="76" t="s">
        <v>119</v>
      </c>
      <c r="C783" s="76" t="s">
        <v>2926</v>
      </c>
      <c r="D783" s="76" t="s">
        <v>2927</v>
      </c>
      <c r="E783" s="79">
        <v>44200</v>
      </c>
      <c r="F783" s="76">
        <v>87.75</v>
      </c>
      <c r="G783" s="76">
        <v>0.2</v>
      </c>
    </row>
    <row r="784" spans="1:7" x14ac:dyDescent="0.25">
      <c r="A784" s="77" t="s">
        <v>1060</v>
      </c>
      <c r="B784" s="76" t="s">
        <v>119</v>
      </c>
      <c r="C784" s="76" t="s">
        <v>1116</v>
      </c>
      <c r="D784" s="76" t="s">
        <v>2928</v>
      </c>
      <c r="E784" s="79">
        <v>44200</v>
      </c>
      <c r="F784" s="76">
        <v>88.75</v>
      </c>
      <c r="G784" s="76">
        <v>0.2</v>
      </c>
    </row>
    <row r="785" spans="1:7" x14ac:dyDescent="0.25">
      <c r="A785" s="77" t="s">
        <v>1060</v>
      </c>
      <c r="B785" s="76" t="s">
        <v>119</v>
      </c>
      <c r="C785" s="76" t="s">
        <v>2929</v>
      </c>
      <c r="D785" s="76" t="s">
        <v>2930</v>
      </c>
      <c r="E785" s="79">
        <v>44200</v>
      </c>
      <c r="F785" s="76">
        <v>84</v>
      </c>
      <c r="G785" s="76">
        <v>0.5</v>
      </c>
    </row>
    <row r="786" spans="1:7" x14ac:dyDescent="0.25">
      <c r="A786" s="77" t="s">
        <v>1060</v>
      </c>
      <c r="B786" s="76" t="s">
        <v>119</v>
      </c>
      <c r="C786" s="76" t="s">
        <v>2773</v>
      </c>
      <c r="D786" s="76" t="s">
        <v>2774</v>
      </c>
      <c r="E786" s="79">
        <v>44194</v>
      </c>
      <c r="F786" s="76">
        <v>50</v>
      </c>
      <c r="G786" s="76">
        <v>1</v>
      </c>
    </row>
    <row r="787" spans="1:7" x14ac:dyDescent="0.25">
      <c r="A787" s="77" t="s">
        <v>1060</v>
      </c>
      <c r="B787" s="76" t="s">
        <v>119</v>
      </c>
      <c r="C787" s="76" t="s">
        <v>2775</v>
      </c>
      <c r="D787" s="76" t="s">
        <v>2776</v>
      </c>
      <c r="E787" s="79">
        <v>44194</v>
      </c>
      <c r="F787" s="76">
        <v>95</v>
      </c>
      <c r="G787" s="76">
        <v>0.15</v>
      </c>
    </row>
    <row r="788" spans="1:7" x14ac:dyDescent="0.25">
      <c r="A788" s="77" t="s">
        <v>1060</v>
      </c>
      <c r="B788" s="76" t="s">
        <v>119</v>
      </c>
      <c r="C788" s="76" t="s">
        <v>2719</v>
      </c>
      <c r="D788" s="76" t="s">
        <v>2720</v>
      </c>
      <c r="E788" s="79">
        <v>44187</v>
      </c>
      <c r="F788" s="76">
        <v>86</v>
      </c>
      <c r="G788" s="76">
        <v>0.25</v>
      </c>
    </row>
    <row r="789" spans="1:7" x14ac:dyDescent="0.25">
      <c r="A789" s="77" t="s">
        <v>1060</v>
      </c>
      <c r="B789" s="76" t="s">
        <v>119</v>
      </c>
      <c r="C789" s="76" t="s">
        <v>2538</v>
      </c>
      <c r="D789" s="76" t="s">
        <v>2539</v>
      </c>
      <c r="E789" s="79">
        <v>44176</v>
      </c>
      <c r="F789" s="76">
        <v>88.25</v>
      </c>
      <c r="G789" s="76">
        <v>0.15</v>
      </c>
    </row>
    <row r="790" spans="1:7" x14ac:dyDescent="0.25">
      <c r="A790" s="77" t="s">
        <v>1060</v>
      </c>
      <c r="B790" s="76" t="s">
        <v>119</v>
      </c>
      <c r="C790" s="76" t="s">
        <v>2671</v>
      </c>
      <c r="D790" s="76" t="s">
        <v>2672</v>
      </c>
      <c r="E790" s="79">
        <v>44182</v>
      </c>
      <c r="F790" s="76">
        <v>81</v>
      </c>
      <c r="G790" s="76">
        <v>0.2</v>
      </c>
    </row>
    <row r="791" spans="1:7" x14ac:dyDescent="0.25">
      <c r="A791" s="77" t="s">
        <v>1060</v>
      </c>
      <c r="B791" s="76" t="s">
        <v>119</v>
      </c>
      <c r="C791" s="76" t="s">
        <v>2673</v>
      </c>
      <c r="D791" s="76" t="s">
        <v>2674</v>
      </c>
      <c r="E791" s="79">
        <v>44245</v>
      </c>
      <c r="F791" s="76">
        <v>87.5</v>
      </c>
      <c r="G791" s="76">
        <v>0.3</v>
      </c>
    </row>
    <row r="792" spans="1:7" x14ac:dyDescent="0.25">
      <c r="A792" s="77" t="s">
        <v>1060</v>
      </c>
      <c r="B792" s="76" t="s">
        <v>119</v>
      </c>
      <c r="C792" s="76" t="s">
        <v>2675</v>
      </c>
      <c r="D792" s="76" t="s">
        <v>2676</v>
      </c>
      <c r="E792" s="79">
        <v>44210</v>
      </c>
      <c r="F792" s="76">
        <v>85</v>
      </c>
      <c r="G792" s="76">
        <v>0.2</v>
      </c>
    </row>
    <row r="793" spans="1:7" x14ac:dyDescent="0.25">
      <c r="A793" s="77" t="s">
        <v>1060</v>
      </c>
      <c r="B793" s="76" t="s">
        <v>119</v>
      </c>
      <c r="C793" s="76" t="s">
        <v>2677</v>
      </c>
      <c r="D793" s="76" t="s">
        <v>2678</v>
      </c>
      <c r="E793" s="79">
        <v>44211</v>
      </c>
      <c r="F793" s="76">
        <v>48.88</v>
      </c>
      <c r="G793" s="76">
        <v>1</v>
      </c>
    </row>
    <row r="794" spans="1:7" x14ac:dyDescent="0.25">
      <c r="A794" s="77" t="s">
        <v>1060</v>
      </c>
      <c r="B794" s="76" t="s">
        <v>119</v>
      </c>
      <c r="C794" s="76" t="s">
        <v>2679</v>
      </c>
      <c r="D794" s="76" t="s">
        <v>2680</v>
      </c>
      <c r="E794" s="79">
        <v>44180</v>
      </c>
      <c r="F794" s="76">
        <v>90</v>
      </c>
      <c r="G794" s="76">
        <v>0.3</v>
      </c>
    </row>
    <row r="795" spans="1:7" x14ac:dyDescent="0.25">
      <c r="A795" s="77" t="s">
        <v>1060</v>
      </c>
      <c r="B795" s="76" t="s">
        <v>119</v>
      </c>
      <c r="C795" s="76" t="s">
        <v>2681</v>
      </c>
      <c r="D795" s="76" t="s">
        <v>2682</v>
      </c>
      <c r="E795" s="79">
        <v>44180</v>
      </c>
      <c r="F795" s="76">
        <v>87.5</v>
      </c>
      <c r="G795" s="76">
        <v>0.5</v>
      </c>
    </row>
    <row r="796" spans="1:7" x14ac:dyDescent="0.25">
      <c r="A796" s="77" t="s">
        <v>1060</v>
      </c>
      <c r="B796" s="76" t="s">
        <v>119</v>
      </c>
      <c r="C796" s="76" t="s">
        <v>2683</v>
      </c>
      <c r="D796" s="76" t="s">
        <v>2684</v>
      </c>
      <c r="E796" s="79">
        <v>44244</v>
      </c>
      <c r="F796" s="76">
        <v>71</v>
      </c>
      <c r="G796" s="76">
        <v>1</v>
      </c>
    </row>
    <row r="797" spans="1:7" x14ac:dyDescent="0.25">
      <c r="A797" s="77" t="s">
        <v>1060</v>
      </c>
      <c r="B797" s="76" t="s">
        <v>119</v>
      </c>
      <c r="C797" s="76" t="s">
        <v>2540</v>
      </c>
      <c r="D797" s="76" t="s">
        <v>2541</v>
      </c>
      <c r="E797" s="79">
        <v>44265</v>
      </c>
      <c r="F797" s="76">
        <v>100</v>
      </c>
      <c r="G797" s="76">
        <v>0.1</v>
      </c>
    </row>
    <row r="798" spans="1:7" x14ac:dyDescent="0.25">
      <c r="A798" s="77" t="s">
        <v>1060</v>
      </c>
      <c r="B798" s="76" t="s">
        <v>119</v>
      </c>
      <c r="C798" s="76" t="s">
        <v>2542</v>
      </c>
      <c r="D798" s="76" t="s">
        <v>2543</v>
      </c>
      <c r="E798" s="79">
        <v>44175</v>
      </c>
      <c r="F798" s="76">
        <v>86.75</v>
      </c>
      <c r="G798" s="76">
        <v>0.15</v>
      </c>
    </row>
    <row r="799" spans="1:7" x14ac:dyDescent="0.25">
      <c r="A799" s="77" t="s">
        <v>1060</v>
      </c>
      <c r="B799" s="76" t="s">
        <v>119</v>
      </c>
      <c r="C799" s="76" t="s">
        <v>2544</v>
      </c>
      <c r="D799" s="76" t="s">
        <v>2545</v>
      </c>
      <c r="E799" s="79">
        <v>44203</v>
      </c>
      <c r="F799" s="76">
        <v>88</v>
      </c>
      <c r="G799" s="76">
        <v>0.2</v>
      </c>
    </row>
    <row r="800" spans="1:7" x14ac:dyDescent="0.25">
      <c r="A800" s="77" t="s">
        <v>1060</v>
      </c>
      <c r="B800" s="76" t="s">
        <v>119</v>
      </c>
      <c r="C800" s="76" t="s">
        <v>2546</v>
      </c>
      <c r="D800" s="76" t="s">
        <v>2547</v>
      </c>
      <c r="E800" s="79">
        <v>44172</v>
      </c>
      <c r="F800" s="76">
        <v>83</v>
      </c>
      <c r="G800" s="76">
        <v>0.3</v>
      </c>
    </row>
    <row r="801" spans="1:7" x14ac:dyDescent="0.25">
      <c r="A801" s="77" t="s">
        <v>1060</v>
      </c>
      <c r="B801" s="76" t="s">
        <v>119</v>
      </c>
      <c r="C801" s="76" t="s">
        <v>2548</v>
      </c>
      <c r="D801" s="76" t="s">
        <v>2549</v>
      </c>
      <c r="E801" s="79">
        <v>44172</v>
      </c>
      <c r="F801" s="76">
        <v>84.75</v>
      </c>
      <c r="G801" s="76">
        <v>0.15</v>
      </c>
    </row>
    <row r="802" spans="1:7" x14ac:dyDescent="0.25">
      <c r="A802" s="77" t="s">
        <v>1060</v>
      </c>
      <c r="B802" s="76" t="s">
        <v>119</v>
      </c>
      <c r="C802" s="76" t="s">
        <v>2023</v>
      </c>
      <c r="D802" s="76" t="s">
        <v>2024</v>
      </c>
      <c r="E802" s="79">
        <v>44133</v>
      </c>
      <c r="F802" s="76">
        <v>77</v>
      </c>
      <c r="G802" s="76">
        <v>0.22</v>
      </c>
    </row>
    <row r="803" spans="1:7" x14ac:dyDescent="0.25">
      <c r="A803" s="77" t="s">
        <v>1060</v>
      </c>
      <c r="B803" s="76" t="s">
        <v>119</v>
      </c>
      <c r="C803" s="76" t="s">
        <v>1218</v>
      </c>
      <c r="D803" s="76" t="s">
        <v>1219</v>
      </c>
      <c r="E803" s="79">
        <v>44116</v>
      </c>
      <c r="F803" s="76">
        <v>75</v>
      </c>
      <c r="G803" s="76">
        <v>1</v>
      </c>
    </row>
    <row r="804" spans="1:7" x14ac:dyDescent="0.25">
      <c r="A804" s="77" t="s">
        <v>1060</v>
      </c>
      <c r="B804" s="76" t="s">
        <v>119</v>
      </c>
      <c r="C804" s="76" t="s">
        <v>2476</v>
      </c>
      <c r="D804" s="76" t="s">
        <v>2477</v>
      </c>
      <c r="E804" s="79">
        <v>44166</v>
      </c>
      <c r="F804" s="76">
        <v>86.5</v>
      </c>
      <c r="G804" s="76">
        <v>0.3</v>
      </c>
    </row>
    <row r="805" spans="1:7" x14ac:dyDescent="0.25">
      <c r="A805" s="77" t="s">
        <v>1060</v>
      </c>
      <c r="B805" s="76" t="s">
        <v>119</v>
      </c>
      <c r="C805" s="76" t="s">
        <v>2396</v>
      </c>
      <c r="D805" s="76" t="s">
        <v>2397</v>
      </c>
      <c r="E805" s="79">
        <v>44165</v>
      </c>
      <c r="F805" s="76">
        <v>90.5</v>
      </c>
      <c r="G805" s="76">
        <v>0.1</v>
      </c>
    </row>
    <row r="806" spans="1:7" x14ac:dyDescent="0.25">
      <c r="A806" s="77" t="s">
        <v>1060</v>
      </c>
      <c r="B806" s="76" t="s">
        <v>119</v>
      </c>
      <c r="C806" s="76" t="s">
        <v>2360</v>
      </c>
      <c r="D806" s="76" t="s">
        <v>2361</v>
      </c>
      <c r="E806" s="79">
        <v>44160</v>
      </c>
      <c r="F806" s="76">
        <v>82.5</v>
      </c>
      <c r="G806" s="76">
        <v>0.5</v>
      </c>
    </row>
    <row r="807" spans="1:7" x14ac:dyDescent="0.25">
      <c r="A807" s="77" t="s">
        <v>1060</v>
      </c>
      <c r="B807" s="76" t="s">
        <v>119</v>
      </c>
      <c r="C807" s="76" t="s">
        <v>2362</v>
      </c>
      <c r="D807" s="76" t="s">
        <v>2363</v>
      </c>
      <c r="E807" s="79">
        <v>44190</v>
      </c>
      <c r="F807" s="76">
        <v>79.06</v>
      </c>
      <c r="G807" s="76">
        <v>0.11</v>
      </c>
    </row>
    <row r="808" spans="1:7" x14ac:dyDescent="0.25">
      <c r="A808" s="77" t="s">
        <v>1060</v>
      </c>
      <c r="B808" s="76" t="s">
        <v>119</v>
      </c>
      <c r="C808" s="76" t="s">
        <v>2398</v>
      </c>
      <c r="D808" s="76" t="s">
        <v>2399</v>
      </c>
      <c r="E808" s="79">
        <v>44224</v>
      </c>
      <c r="F808" s="76">
        <v>85</v>
      </c>
      <c r="G808" s="76">
        <v>0.1</v>
      </c>
    </row>
    <row r="809" spans="1:7" x14ac:dyDescent="0.25">
      <c r="A809" s="77" t="s">
        <v>1060</v>
      </c>
      <c r="B809" s="76" t="s">
        <v>119</v>
      </c>
      <c r="C809" s="76" t="s">
        <v>2364</v>
      </c>
      <c r="D809" s="76" t="s">
        <v>2365</v>
      </c>
      <c r="E809" s="79">
        <v>44160</v>
      </c>
      <c r="F809" s="76">
        <v>89.5</v>
      </c>
      <c r="G809" s="76">
        <v>0.1</v>
      </c>
    </row>
    <row r="810" spans="1:7" x14ac:dyDescent="0.25">
      <c r="A810" s="77" t="s">
        <v>1060</v>
      </c>
      <c r="B810" s="76" t="s">
        <v>119</v>
      </c>
      <c r="C810" s="76" t="s">
        <v>2366</v>
      </c>
      <c r="D810" s="76" t="s">
        <v>2367</v>
      </c>
      <c r="E810" s="79">
        <v>44160</v>
      </c>
      <c r="F810" s="76">
        <v>88.5</v>
      </c>
      <c r="G810" s="76">
        <v>0.1</v>
      </c>
    </row>
    <row r="811" spans="1:7" x14ac:dyDescent="0.25">
      <c r="A811" s="77" t="s">
        <v>1060</v>
      </c>
      <c r="B811" s="76" t="s">
        <v>119</v>
      </c>
      <c r="C811" s="76" t="s">
        <v>2368</v>
      </c>
      <c r="D811" s="76" t="s">
        <v>2369</v>
      </c>
      <c r="E811" s="79">
        <v>44251</v>
      </c>
      <c r="F811" s="76">
        <v>77</v>
      </c>
      <c r="G811" s="76">
        <v>0.5</v>
      </c>
    </row>
    <row r="812" spans="1:7" x14ac:dyDescent="0.25">
      <c r="A812" s="77" t="s">
        <v>1060</v>
      </c>
      <c r="B812" s="76" t="s">
        <v>119</v>
      </c>
      <c r="C812" s="76" t="s">
        <v>2189</v>
      </c>
      <c r="D812" s="76" t="s">
        <v>2190</v>
      </c>
      <c r="E812" s="79">
        <v>44146</v>
      </c>
      <c r="F812" s="76">
        <v>50</v>
      </c>
      <c r="G812" s="76">
        <v>0.35</v>
      </c>
    </row>
    <row r="813" spans="1:7" x14ac:dyDescent="0.25">
      <c r="A813" s="77" t="s">
        <v>1060</v>
      </c>
      <c r="B813" s="76" t="s">
        <v>119</v>
      </c>
      <c r="C813" s="76" t="s">
        <v>2478</v>
      </c>
      <c r="D813" s="76" t="s">
        <v>2479</v>
      </c>
      <c r="E813" s="79">
        <v>44200</v>
      </c>
      <c r="F813" s="76">
        <v>84.33</v>
      </c>
      <c r="G813" s="76">
        <v>0.12</v>
      </c>
    </row>
    <row r="814" spans="1:7" x14ac:dyDescent="0.25">
      <c r="A814" s="77" t="s">
        <v>1060</v>
      </c>
      <c r="B814" s="76" t="s">
        <v>119</v>
      </c>
      <c r="C814" s="76" t="s">
        <v>2288</v>
      </c>
      <c r="D814" s="76" t="s">
        <v>2289</v>
      </c>
      <c r="E814" s="79">
        <v>44186</v>
      </c>
      <c r="F814" s="76">
        <v>80</v>
      </c>
      <c r="G814" s="76">
        <v>0.2</v>
      </c>
    </row>
    <row r="815" spans="1:7" x14ac:dyDescent="0.25">
      <c r="A815" s="77" t="s">
        <v>1060</v>
      </c>
      <c r="B815" s="76" t="s">
        <v>119</v>
      </c>
      <c r="C815" s="76" t="s">
        <v>2290</v>
      </c>
      <c r="D815" s="76" t="s">
        <v>2291</v>
      </c>
      <c r="E815" s="79">
        <v>44155</v>
      </c>
      <c r="F815" s="76">
        <v>85.5</v>
      </c>
      <c r="G815" s="76">
        <v>0.1</v>
      </c>
    </row>
    <row r="816" spans="1:7" x14ac:dyDescent="0.25">
      <c r="A816" s="77" t="s">
        <v>1060</v>
      </c>
      <c r="B816" s="76" t="s">
        <v>119</v>
      </c>
      <c r="C816" s="76" t="s">
        <v>2292</v>
      </c>
      <c r="D816" s="76" t="s">
        <v>2293</v>
      </c>
      <c r="E816" s="79">
        <v>44155</v>
      </c>
      <c r="F816" s="76">
        <v>84.5</v>
      </c>
      <c r="G816" s="76">
        <v>0.1</v>
      </c>
    </row>
    <row r="817" spans="1:7" x14ac:dyDescent="0.25">
      <c r="A817" s="77" t="s">
        <v>1060</v>
      </c>
      <c r="B817" s="76" t="s">
        <v>119</v>
      </c>
      <c r="C817" s="76" t="s">
        <v>2370</v>
      </c>
      <c r="D817" s="76" t="s">
        <v>2371</v>
      </c>
      <c r="E817" s="79">
        <v>44158</v>
      </c>
      <c r="F817" s="76">
        <v>87.5</v>
      </c>
      <c r="G817" s="76">
        <v>0.1</v>
      </c>
    </row>
    <row r="818" spans="1:7" x14ac:dyDescent="0.25">
      <c r="A818" s="77" t="s">
        <v>1060</v>
      </c>
      <c r="B818" s="76" t="s">
        <v>119</v>
      </c>
      <c r="C818" s="76" t="s">
        <v>2372</v>
      </c>
      <c r="D818" s="76" t="s">
        <v>2373</v>
      </c>
      <c r="E818" s="79">
        <v>44158</v>
      </c>
      <c r="F818" s="76">
        <v>86.5</v>
      </c>
      <c r="G818" s="76">
        <v>0.1</v>
      </c>
    </row>
    <row r="819" spans="1:7" x14ac:dyDescent="0.25">
      <c r="A819" s="77" t="s">
        <v>1060</v>
      </c>
      <c r="B819" s="76" t="s">
        <v>119</v>
      </c>
      <c r="C819" s="76" t="s">
        <v>2374</v>
      </c>
      <c r="D819" s="76" t="s">
        <v>2375</v>
      </c>
      <c r="E819" s="79">
        <v>44186</v>
      </c>
      <c r="F819" s="76">
        <v>79.94</v>
      </c>
      <c r="G819" s="76">
        <v>0.125</v>
      </c>
    </row>
    <row r="820" spans="1:7" x14ac:dyDescent="0.25">
      <c r="A820" s="77" t="s">
        <v>1060</v>
      </c>
      <c r="B820" s="76" t="s">
        <v>119</v>
      </c>
      <c r="C820" s="76" t="s">
        <v>2294</v>
      </c>
      <c r="D820" s="76" t="s">
        <v>2295</v>
      </c>
      <c r="E820" s="79">
        <v>44183</v>
      </c>
      <c r="F820" s="76">
        <v>75.599999999999994</v>
      </c>
      <c r="G820" s="76">
        <v>0.2</v>
      </c>
    </row>
    <row r="821" spans="1:7" x14ac:dyDescent="0.25">
      <c r="A821" s="77" t="s">
        <v>1060</v>
      </c>
      <c r="B821" s="76" t="s">
        <v>119</v>
      </c>
      <c r="C821" s="76" t="s">
        <v>2296</v>
      </c>
      <c r="D821" s="76" t="s">
        <v>2297</v>
      </c>
      <c r="E821" s="79">
        <v>44151</v>
      </c>
      <c r="F821" s="76">
        <v>89</v>
      </c>
      <c r="G821" s="76">
        <v>0.1</v>
      </c>
    </row>
    <row r="822" spans="1:7" x14ac:dyDescent="0.25">
      <c r="A822" s="77" t="s">
        <v>1060</v>
      </c>
      <c r="B822" s="76" t="s">
        <v>119</v>
      </c>
      <c r="C822" s="76" t="s">
        <v>2298</v>
      </c>
      <c r="D822" s="76" t="s">
        <v>2299</v>
      </c>
      <c r="E822" s="79">
        <v>44214</v>
      </c>
      <c r="F822" s="76">
        <v>68</v>
      </c>
      <c r="G822" s="76">
        <v>0.3</v>
      </c>
    </row>
    <row r="823" spans="1:7" x14ac:dyDescent="0.25">
      <c r="A823" s="77" t="s">
        <v>1060</v>
      </c>
      <c r="B823" s="76" t="s">
        <v>119</v>
      </c>
      <c r="C823" s="76" t="s">
        <v>2300</v>
      </c>
      <c r="D823" s="76" t="s">
        <v>2301</v>
      </c>
      <c r="E823" s="79">
        <v>44182</v>
      </c>
      <c r="F823" s="76">
        <v>76</v>
      </c>
      <c r="G823" s="76">
        <v>0.25</v>
      </c>
    </row>
    <row r="824" spans="1:7" x14ac:dyDescent="0.25">
      <c r="A824" s="77" t="s">
        <v>1060</v>
      </c>
      <c r="B824" s="76" t="s">
        <v>119</v>
      </c>
      <c r="C824" s="76" t="s">
        <v>2084</v>
      </c>
      <c r="D824" s="76" t="s">
        <v>2085</v>
      </c>
      <c r="E824" s="79">
        <v>44140</v>
      </c>
      <c r="F824" s="76">
        <v>84.03</v>
      </c>
      <c r="G824" s="76">
        <v>0.09</v>
      </c>
    </row>
    <row r="825" spans="1:7" x14ac:dyDescent="0.25">
      <c r="A825" s="77" t="s">
        <v>1060</v>
      </c>
      <c r="B825" s="76" t="s">
        <v>119</v>
      </c>
      <c r="C825" s="76" t="s">
        <v>2038</v>
      </c>
      <c r="D825" s="76" t="s">
        <v>2039</v>
      </c>
      <c r="E825" s="79">
        <v>44258</v>
      </c>
      <c r="F825" s="76">
        <v>88</v>
      </c>
      <c r="G825" s="76">
        <v>0.12</v>
      </c>
    </row>
    <row r="826" spans="1:7" x14ac:dyDescent="0.25">
      <c r="A826" s="77" t="s">
        <v>1060</v>
      </c>
      <c r="B826" s="76" t="s">
        <v>119</v>
      </c>
      <c r="C826" s="76" t="s">
        <v>2040</v>
      </c>
      <c r="D826" s="76" t="s">
        <v>2041</v>
      </c>
      <c r="E826" s="79">
        <v>44168</v>
      </c>
      <c r="F826" s="76">
        <v>80</v>
      </c>
      <c r="G826" s="76">
        <v>0.3</v>
      </c>
    </row>
    <row r="827" spans="1:7" x14ac:dyDescent="0.25">
      <c r="A827" s="77" t="s">
        <v>1060</v>
      </c>
      <c r="B827" s="76" t="s">
        <v>119</v>
      </c>
      <c r="C827" s="76" t="s">
        <v>2042</v>
      </c>
      <c r="D827" s="76" t="s">
        <v>2043</v>
      </c>
      <c r="E827" s="79">
        <v>44200</v>
      </c>
      <c r="F827" s="76">
        <v>80</v>
      </c>
      <c r="G827" s="76">
        <v>0.2</v>
      </c>
    </row>
    <row r="828" spans="1:7" x14ac:dyDescent="0.25">
      <c r="A828" s="77" t="s">
        <v>1060</v>
      </c>
      <c r="B828" s="76" t="s">
        <v>119</v>
      </c>
      <c r="C828" s="76" t="s">
        <v>2080</v>
      </c>
      <c r="D828" s="76" t="s">
        <v>2081</v>
      </c>
      <c r="E828" s="79">
        <v>44200</v>
      </c>
      <c r="F828" s="76">
        <v>80</v>
      </c>
      <c r="G828" s="76">
        <v>0.25</v>
      </c>
    </row>
    <row r="829" spans="1:7" x14ac:dyDescent="0.25">
      <c r="A829" s="77" t="s">
        <v>1060</v>
      </c>
      <c r="B829" s="76" t="s">
        <v>119</v>
      </c>
      <c r="C829" s="76" t="s">
        <v>2082</v>
      </c>
      <c r="D829" s="76" t="s">
        <v>2083</v>
      </c>
      <c r="E829" s="79">
        <v>44200</v>
      </c>
      <c r="F829" s="76">
        <v>85</v>
      </c>
      <c r="G829" s="76">
        <v>0.2</v>
      </c>
    </row>
    <row r="830" spans="1:7" x14ac:dyDescent="0.25">
      <c r="A830" s="77" t="s">
        <v>1060</v>
      </c>
      <c r="B830" s="76" t="s">
        <v>119</v>
      </c>
      <c r="C830" s="76" t="s">
        <v>2025</v>
      </c>
      <c r="D830" s="76" t="s">
        <v>2026</v>
      </c>
      <c r="E830" s="79">
        <v>44193</v>
      </c>
      <c r="F830" s="76">
        <v>80</v>
      </c>
      <c r="G830" s="76">
        <v>0.2</v>
      </c>
    </row>
    <row r="831" spans="1:7" x14ac:dyDescent="0.25">
      <c r="A831" s="77" t="s">
        <v>1060</v>
      </c>
      <c r="B831" s="76" t="s">
        <v>119</v>
      </c>
      <c r="C831" s="76" t="s">
        <v>2027</v>
      </c>
      <c r="D831" s="76" t="s">
        <v>2028</v>
      </c>
      <c r="E831" s="79">
        <v>44133</v>
      </c>
      <c r="F831" s="76">
        <v>88</v>
      </c>
      <c r="G831" s="76">
        <v>0.3</v>
      </c>
    </row>
    <row r="832" spans="1:7" x14ac:dyDescent="0.25">
      <c r="A832" s="77" t="s">
        <v>1060</v>
      </c>
      <c r="B832" s="76" t="s">
        <v>119</v>
      </c>
      <c r="C832" s="76" t="s">
        <v>2000</v>
      </c>
      <c r="D832" s="76" t="s">
        <v>2001</v>
      </c>
      <c r="E832" s="79">
        <v>44127</v>
      </c>
      <c r="F832" s="76">
        <v>70</v>
      </c>
      <c r="G832" s="76">
        <v>0.3</v>
      </c>
    </row>
    <row r="833" spans="1:7" x14ac:dyDescent="0.25">
      <c r="A833" s="77" t="s">
        <v>1060</v>
      </c>
      <c r="B833" s="76" t="s">
        <v>119</v>
      </c>
      <c r="C833" s="76" t="s">
        <v>2002</v>
      </c>
      <c r="D833" s="76" t="s">
        <v>2003</v>
      </c>
      <c r="E833" s="79">
        <v>44127</v>
      </c>
      <c r="F833" s="76">
        <v>75</v>
      </c>
      <c r="G833" s="76">
        <v>0.3</v>
      </c>
    </row>
    <row r="834" spans="1:7" x14ac:dyDescent="0.25">
      <c r="A834" s="77" t="s">
        <v>1060</v>
      </c>
      <c r="B834" s="76" t="s">
        <v>119</v>
      </c>
      <c r="C834" s="76" t="s">
        <v>2004</v>
      </c>
      <c r="D834" s="76" t="s">
        <v>2005</v>
      </c>
      <c r="E834" s="79">
        <v>44188</v>
      </c>
      <c r="F834" s="76">
        <v>79</v>
      </c>
      <c r="G834" s="76">
        <v>0.25</v>
      </c>
    </row>
    <row r="835" spans="1:7" x14ac:dyDescent="0.25">
      <c r="A835" s="77" t="s">
        <v>1060</v>
      </c>
      <c r="B835" s="76" t="s">
        <v>119</v>
      </c>
      <c r="C835" s="76" t="s">
        <v>2006</v>
      </c>
      <c r="D835" s="76" t="s">
        <v>2007</v>
      </c>
      <c r="E835" s="79">
        <v>44130</v>
      </c>
      <c r="F835" s="76">
        <v>80</v>
      </c>
      <c r="G835" s="76">
        <v>0.1</v>
      </c>
    </row>
    <row r="836" spans="1:7" x14ac:dyDescent="0.25">
      <c r="A836" s="77" t="s">
        <v>1060</v>
      </c>
      <c r="B836" s="76" t="s">
        <v>119</v>
      </c>
      <c r="C836" s="76" t="s">
        <v>2029</v>
      </c>
      <c r="D836" s="76" t="s">
        <v>2030</v>
      </c>
      <c r="E836" s="79">
        <v>44193</v>
      </c>
      <c r="F836" s="76">
        <v>65</v>
      </c>
      <c r="G836" s="76">
        <v>0.4</v>
      </c>
    </row>
    <row r="837" spans="1:7" x14ac:dyDescent="0.25">
      <c r="A837" s="77" t="s">
        <v>1060</v>
      </c>
      <c r="B837" s="76" t="s">
        <v>119</v>
      </c>
      <c r="C837" s="76" t="s">
        <v>1981</v>
      </c>
      <c r="D837" s="76" t="s">
        <v>1982</v>
      </c>
      <c r="E837" s="79">
        <v>44187</v>
      </c>
      <c r="F837" s="76">
        <v>88</v>
      </c>
      <c r="G837" s="76">
        <v>0.1</v>
      </c>
    </row>
    <row r="838" spans="1:7" x14ac:dyDescent="0.25">
      <c r="A838" s="77" t="s">
        <v>1060</v>
      </c>
      <c r="B838" s="76" t="s">
        <v>119</v>
      </c>
      <c r="C838" s="76" t="s">
        <v>1983</v>
      </c>
      <c r="D838" s="76" t="s">
        <v>1984</v>
      </c>
      <c r="E838" s="79">
        <v>44187</v>
      </c>
      <c r="F838" s="76">
        <v>87</v>
      </c>
      <c r="G838" s="76">
        <v>0.1</v>
      </c>
    </row>
    <row r="839" spans="1:7" x14ac:dyDescent="0.25">
      <c r="A839" s="77" t="s">
        <v>1060</v>
      </c>
      <c r="B839" s="76" t="s">
        <v>119</v>
      </c>
      <c r="C839" s="76" t="s">
        <v>1985</v>
      </c>
      <c r="D839" s="76" t="s">
        <v>1986</v>
      </c>
      <c r="E839" s="79">
        <v>44277</v>
      </c>
      <c r="F839" s="76">
        <v>70</v>
      </c>
      <c r="G839" s="76">
        <v>0.7</v>
      </c>
    </row>
    <row r="840" spans="1:7" x14ac:dyDescent="0.25">
      <c r="A840" s="77" t="s">
        <v>1060</v>
      </c>
      <c r="B840" s="76" t="s">
        <v>119</v>
      </c>
      <c r="C840" s="76" t="s">
        <v>1987</v>
      </c>
      <c r="D840" s="76" t="s">
        <v>1988</v>
      </c>
      <c r="E840" s="79">
        <v>44308</v>
      </c>
      <c r="F840" s="76">
        <v>80</v>
      </c>
      <c r="G840" s="76">
        <v>0.5</v>
      </c>
    </row>
    <row r="841" spans="1:7" x14ac:dyDescent="0.25">
      <c r="A841" s="77" t="s">
        <v>1060</v>
      </c>
      <c r="B841" s="76" t="s">
        <v>119</v>
      </c>
      <c r="C841" s="76" t="s">
        <v>1963</v>
      </c>
      <c r="D841" s="76" t="s">
        <v>1964</v>
      </c>
      <c r="E841" s="79">
        <v>44125</v>
      </c>
      <c r="F841" s="76">
        <v>65.44</v>
      </c>
      <c r="G841" s="76">
        <v>0.185</v>
      </c>
    </row>
    <row r="842" spans="1:7" x14ac:dyDescent="0.25">
      <c r="A842" s="77" t="s">
        <v>1060</v>
      </c>
      <c r="B842" s="76" t="s">
        <v>119</v>
      </c>
      <c r="C842" s="76" t="s">
        <v>1617</v>
      </c>
      <c r="D842" s="76" t="s">
        <v>1618</v>
      </c>
      <c r="E842" s="79">
        <v>44270</v>
      </c>
      <c r="F842" s="76">
        <v>80</v>
      </c>
      <c r="G842" s="76">
        <v>0.1</v>
      </c>
    </row>
    <row r="843" spans="1:7" x14ac:dyDescent="0.25">
      <c r="A843" s="77" t="s">
        <v>1060</v>
      </c>
      <c r="B843" s="76" t="s">
        <v>119</v>
      </c>
      <c r="C843" s="76" t="s">
        <v>1965</v>
      </c>
      <c r="D843" s="76" t="s">
        <v>1966</v>
      </c>
      <c r="E843" s="79">
        <v>44125</v>
      </c>
      <c r="F843" s="76">
        <v>83.5</v>
      </c>
      <c r="G843" s="76">
        <v>0.3</v>
      </c>
    </row>
    <row r="844" spans="1:7" x14ac:dyDescent="0.25">
      <c r="A844" s="77" t="s">
        <v>1060</v>
      </c>
      <c r="B844" s="76" t="s">
        <v>119</v>
      </c>
      <c r="C844" s="76" t="s">
        <v>1967</v>
      </c>
      <c r="D844" s="76" t="s">
        <v>1968</v>
      </c>
      <c r="E844" s="79">
        <v>44125</v>
      </c>
      <c r="F844" s="76">
        <v>81.8</v>
      </c>
      <c r="G844" s="76">
        <v>0.1</v>
      </c>
    </row>
    <row r="845" spans="1:7" x14ac:dyDescent="0.25">
      <c r="A845" s="77" t="s">
        <v>1060</v>
      </c>
      <c r="B845" s="76" t="s">
        <v>119</v>
      </c>
      <c r="C845" s="76" t="s">
        <v>1861</v>
      </c>
      <c r="D845" s="76" t="s">
        <v>1862</v>
      </c>
      <c r="E845" s="79">
        <v>44215</v>
      </c>
      <c r="F845" s="76">
        <v>75</v>
      </c>
      <c r="G845" s="76">
        <v>0.35</v>
      </c>
    </row>
    <row r="846" spans="1:7" x14ac:dyDescent="0.25">
      <c r="A846" s="77" t="s">
        <v>1060</v>
      </c>
      <c r="B846" s="76" t="s">
        <v>119</v>
      </c>
      <c r="C846" s="76" t="s">
        <v>1863</v>
      </c>
      <c r="D846" s="76" t="s">
        <v>1864</v>
      </c>
      <c r="E846" s="79">
        <v>44215</v>
      </c>
      <c r="F846" s="76">
        <v>83</v>
      </c>
      <c r="G846" s="76">
        <v>0.25</v>
      </c>
    </row>
    <row r="847" spans="1:7" x14ac:dyDescent="0.25">
      <c r="A847" s="77" t="s">
        <v>1060</v>
      </c>
      <c r="B847" s="76" t="s">
        <v>119</v>
      </c>
      <c r="C847" s="76" t="s">
        <v>1865</v>
      </c>
      <c r="D847" s="76" t="s">
        <v>1866</v>
      </c>
      <c r="E847" s="79">
        <v>44123</v>
      </c>
      <c r="F847" s="76">
        <v>75.28</v>
      </c>
      <c r="G847" s="76">
        <v>0.2</v>
      </c>
    </row>
    <row r="848" spans="1:7" x14ac:dyDescent="0.25">
      <c r="A848" s="77" t="s">
        <v>1060</v>
      </c>
      <c r="B848" s="76" t="s">
        <v>119</v>
      </c>
      <c r="C848" s="76" t="s">
        <v>1867</v>
      </c>
      <c r="D848" s="76" t="s">
        <v>1868</v>
      </c>
      <c r="E848" s="79">
        <v>44215</v>
      </c>
      <c r="F848" s="76">
        <v>77.92</v>
      </c>
      <c r="G848" s="76">
        <v>0.1</v>
      </c>
    </row>
    <row r="849" spans="1:7" x14ac:dyDescent="0.25">
      <c r="A849" s="77" t="s">
        <v>1060</v>
      </c>
      <c r="B849" s="76" t="s">
        <v>119</v>
      </c>
      <c r="C849" s="76" t="s">
        <v>1869</v>
      </c>
      <c r="D849" s="76" t="s">
        <v>1870</v>
      </c>
      <c r="E849" s="79">
        <v>44186</v>
      </c>
      <c r="F849" s="76">
        <v>86</v>
      </c>
      <c r="G849" s="76">
        <v>0.1</v>
      </c>
    </row>
    <row r="850" spans="1:7" x14ac:dyDescent="0.25">
      <c r="A850" s="77" t="s">
        <v>1060</v>
      </c>
      <c r="B850" s="76" t="s">
        <v>119</v>
      </c>
      <c r="C850" s="76" t="s">
        <v>1871</v>
      </c>
      <c r="D850" s="76" t="s">
        <v>1872</v>
      </c>
      <c r="E850" s="79">
        <v>44186</v>
      </c>
      <c r="F850" s="76">
        <v>85</v>
      </c>
      <c r="G850" s="76">
        <v>0.1</v>
      </c>
    </row>
    <row r="851" spans="1:7" x14ac:dyDescent="0.25">
      <c r="A851" s="77" t="s">
        <v>1060</v>
      </c>
      <c r="B851" s="76" t="s">
        <v>119</v>
      </c>
      <c r="C851" s="76" t="s">
        <v>1873</v>
      </c>
      <c r="D851" s="76" t="s">
        <v>1874</v>
      </c>
      <c r="E851" s="79">
        <v>44186</v>
      </c>
      <c r="F851" s="76">
        <v>84</v>
      </c>
      <c r="G851" s="76">
        <v>0.1</v>
      </c>
    </row>
    <row r="852" spans="1:7" x14ac:dyDescent="0.25">
      <c r="A852" s="77" t="s">
        <v>1060</v>
      </c>
      <c r="B852" s="76" t="s">
        <v>119</v>
      </c>
      <c r="C852" s="76" t="s">
        <v>1969</v>
      </c>
      <c r="D852" s="76" t="s">
        <v>1970</v>
      </c>
      <c r="E852" s="79">
        <v>44216</v>
      </c>
      <c r="F852" s="76">
        <v>67</v>
      </c>
      <c r="G852" s="76">
        <v>0.3</v>
      </c>
    </row>
    <row r="853" spans="1:7" x14ac:dyDescent="0.25">
      <c r="A853" s="77" t="s">
        <v>1060</v>
      </c>
      <c r="B853" s="76" t="s">
        <v>119</v>
      </c>
      <c r="C853" s="76" t="s">
        <v>1619</v>
      </c>
      <c r="D853" s="76" t="s">
        <v>1620</v>
      </c>
      <c r="E853" s="79">
        <v>44119</v>
      </c>
      <c r="F853" s="76">
        <v>83.5</v>
      </c>
      <c r="G853" s="76">
        <v>0.15</v>
      </c>
    </row>
    <row r="854" spans="1:7" x14ac:dyDescent="0.25">
      <c r="A854" s="77" t="s">
        <v>1060</v>
      </c>
      <c r="B854" s="76" t="s">
        <v>119</v>
      </c>
      <c r="C854" s="76" t="s">
        <v>1875</v>
      </c>
      <c r="D854" s="76" t="s">
        <v>1876</v>
      </c>
      <c r="E854" s="79">
        <v>44123</v>
      </c>
      <c r="F854" s="76">
        <v>70</v>
      </c>
      <c r="G854" s="76">
        <v>0.2</v>
      </c>
    </row>
    <row r="855" spans="1:7" x14ac:dyDescent="0.25">
      <c r="A855" s="77" t="s">
        <v>1060</v>
      </c>
      <c r="B855" s="76" t="s">
        <v>119</v>
      </c>
      <c r="C855" s="76" t="s">
        <v>1643</v>
      </c>
      <c r="D855" s="76" t="s">
        <v>1644</v>
      </c>
      <c r="E855" s="79">
        <v>44270</v>
      </c>
      <c r="F855" s="76">
        <v>68.88</v>
      </c>
      <c r="G855" s="76">
        <v>0.1</v>
      </c>
    </row>
    <row r="856" spans="1:7" x14ac:dyDescent="0.25">
      <c r="A856" s="77" t="s">
        <v>1060</v>
      </c>
      <c r="B856" s="76" t="s">
        <v>119</v>
      </c>
      <c r="C856" s="76" t="s">
        <v>1645</v>
      </c>
      <c r="D856" s="76" t="s">
        <v>1646</v>
      </c>
      <c r="E856" s="79">
        <v>44117</v>
      </c>
      <c r="F856" s="76">
        <v>82.5</v>
      </c>
      <c r="G856" s="76">
        <v>0.25</v>
      </c>
    </row>
    <row r="857" spans="1:7" x14ac:dyDescent="0.25">
      <c r="A857" s="77" t="s">
        <v>1060</v>
      </c>
      <c r="B857" s="76" t="s">
        <v>119</v>
      </c>
      <c r="C857" s="76" t="s">
        <v>1647</v>
      </c>
      <c r="D857" s="76" t="s">
        <v>1648</v>
      </c>
      <c r="E857" s="79">
        <v>44117</v>
      </c>
      <c r="F857" s="76">
        <v>81</v>
      </c>
      <c r="G857" s="76">
        <v>0.15</v>
      </c>
    </row>
    <row r="858" spans="1:7" x14ac:dyDescent="0.25">
      <c r="A858" s="77" t="s">
        <v>1060</v>
      </c>
      <c r="B858" s="76" t="s">
        <v>119</v>
      </c>
      <c r="C858" s="76" t="s">
        <v>1649</v>
      </c>
      <c r="D858" s="76" t="s">
        <v>1650</v>
      </c>
      <c r="E858" s="79">
        <v>44117</v>
      </c>
      <c r="F858" s="76">
        <v>80.5</v>
      </c>
      <c r="G858" s="76">
        <v>0.15</v>
      </c>
    </row>
    <row r="859" spans="1:7" x14ac:dyDescent="0.25">
      <c r="A859" s="77" t="s">
        <v>1060</v>
      </c>
      <c r="B859" s="76" t="s">
        <v>119</v>
      </c>
      <c r="C859" s="76" t="s">
        <v>1621</v>
      </c>
      <c r="D859" s="76" t="s">
        <v>1622</v>
      </c>
      <c r="E859" s="79">
        <v>44300</v>
      </c>
      <c r="F859" s="76">
        <v>56</v>
      </c>
      <c r="G859" s="76">
        <v>0.25</v>
      </c>
    </row>
    <row r="860" spans="1:7" x14ac:dyDescent="0.25">
      <c r="A860" s="77" t="s">
        <v>1060</v>
      </c>
      <c r="B860" s="76" t="s">
        <v>119</v>
      </c>
      <c r="C860" s="76" t="s">
        <v>1623</v>
      </c>
      <c r="D860" s="76" t="s">
        <v>1624</v>
      </c>
      <c r="E860" s="79">
        <v>44300</v>
      </c>
      <c r="F860" s="76">
        <v>60</v>
      </c>
      <c r="G860" s="76">
        <v>0.15</v>
      </c>
    </row>
    <row r="861" spans="1:7" x14ac:dyDescent="0.25">
      <c r="A861" s="77" t="s">
        <v>1060</v>
      </c>
      <c r="B861" s="76" t="s">
        <v>119</v>
      </c>
      <c r="C861" s="76" t="s">
        <v>1625</v>
      </c>
      <c r="D861" s="76" t="s">
        <v>1626</v>
      </c>
      <c r="E861" s="79">
        <v>44151</v>
      </c>
      <c r="F861" s="76">
        <v>82.5</v>
      </c>
      <c r="G861" s="76">
        <v>0.15</v>
      </c>
    </row>
    <row r="862" spans="1:7" x14ac:dyDescent="0.25">
      <c r="A862" s="77" t="s">
        <v>1060</v>
      </c>
      <c r="B862" s="76" t="s">
        <v>119</v>
      </c>
      <c r="C862" s="76" t="s">
        <v>1627</v>
      </c>
      <c r="D862" s="76" t="s">
        <v>1628</v>
      </c>
      <c r="E862" s="79">
        <v>44151</v>
      </c>
      <c r="F862" s="76">
        <v>81.5</v>
      </c>
      <c r="G862" s="76">
        <v>0.15</v>
      </c>
    </row>
    <row r="863" spans="1:7" x14ac:dyDescent="0.25">
      <c r="A863" s="77" t="s">
        <v>1060</v>
      </c>
      <c r="B863" s="76" t="s">
        <v>119</v>
      </c>
      <c r="C863" s="76" t="s">
        <v>1629</v>
      </c>
      <c r="D863" s="76" t="s">
        <v>1630</v>
      </c>
      <c r="E863" s="79">
        <v>44210</v>
      </c>
      <c r="F863" s="76">
        <v>80</v>
      </c>
      <c r="G863" s="76">
        <v>0.35</v>
      </c>
    </row>
    <row r="864" spans="1:7" x14ac:dyDescent="0.25">
      <c r="A864" s="77" t="s">
        <v>1060</v>
      </c>
      <c r="B864" s="76" t="s">
        <v>119</v>
      </c>
      <c r="C864" s="76" t="s">
        <v>1631</v>
      </c>
      <c r="D864" s="76" t="s">
        <v>1632</v>
      </c>
      <c r="E864" s="79">
        <v>44210</v>
      </c>
      <c r="F864" s="76">
        <v>70</v>
      </c>
      <c r="G864" s="76">
        <v>0.5</v>
      </c>
    </row>
    <row r="865" spans="1:7" x14ac:dyDescent="0.25">
      <c r="A865" s="77" t="s">
        <v>1060</v>
      </c>
      <c r="B865" s="76" t="s">
        <v>119</v>
      </c>
      <c r="C865" s="76" t="s">
        <v>1633</v>
      </c>
      <c r="D865" s="76" t="s">
        <v>1634</v>
      </c>
      <c r="E865" s="79">
        <v>44179</v>
      </c>
      <c r="F865" s="76">
        <v>75</v>
      </c>
      <c r="G865" s="76">
        <v>0.4</v>
      </c>
    </row>
    <row r="866" spans="1:7" x14ac:dyDescent="0.25">
      <c r="A866" s="77" t="s">
        <v>1060</v>
      </c>
      <c r="B866" s="76" t="s">
        <v>119</v>
      </c>
      <c r="C866" s="76" t="s">
        <v>1635</v>
      </c>
      <c r="D866" s="76" t="s">
        <v>1636</v>
      </c>
      <c r="E866" s="79">
        <v>44179</v>
      </c>
      <c r="F866" s="76">
        <v>85</v>
      </c>
      <c r="G866" s="76">
        <v>0.25</v>
      </c>
    </row>
    <row r="867" spans="1:7" x14ac:dyDescent="0.25">
      <c r="A867" s="77" t="s">
        <v>1060</v>
      </c>
      <c r="B867" s="76" t="s">
        <v>119</v>
      </c>
      <c r="C867" s="76" t="s">
        <v>1637</v>
      </c>
      <c r="D867" s="76" t="s">
        <v>1638</v>
      </c>
      <c r="E867" s="79">
        <v>44151</v>
      </c>
      <c r="F867" s="76">
        <v>70</v>
      </c>
      <c r="G867" s="76">
        <v>0.25</v>
      </c>
    </row>
    <row r="868" spans="1:7" x14ac:dyDescent="0.25">
      <c r="A868" s="77" t="s">
        <v>1060</v>
      </c>
      <c r="B868" s="76" t="s">
        <v>119</v>
      </c>
      <c r="C868" s="76" t="s">
        <v>1639</v>
      </c>
      <c r="D868" s="76" t="s">
        <v>1640</v>
      </c>
      <c r="E868" s="79">
        <v>44211</v>
      </c>
      <c r="F868" s="76">
        <v>82</v>
      </c>
      <c r="G868" s="76">
        <v>0.25</v>
      </c>
    </row>
    <row r="869" spans="1:7" x14ac:dyDescent="0.25">
      <c r="A869" s="77" t="s">
        <v>1060</v>
      </c>
      <c r="B869" s="76" t="s">
        <v>119</v>
      </c>
      <c r="C869" s="76" t="s">
        <v>1641</v>
      </c>
      <c r="D869" s="76" t="s">
        <v>1642</v>
      </c>
      <c r="E869" s="79">
        <v>44301</v>
      </c>
      <c r="F869" s="76">
        <v>72</v>
      </c>
      <c r="G869" s="76">
        <v>0.25</v>
      </c>
    </row>
    <row r="870" spans="1:7" x14ac:dyDescent="0.25">
      <c r="A870" s="77" t="s">
        <v>1060</v>
      </c>
      <c r="B870" s="76" t="s">
        <v>119</v>
      </c>
      <c r="C870" s="76" t="s">
        <v>1651</v>
      </c>
      <c r="D870" s="76" t="s">
        <v>1652</v>
      </c>
      <c r="E870" s="79">
        <v>44179</v>
      </c>
      <c r="F870" s="76">
        <v>70</v>
      </c>
      <c r="G870" s="76">
        <v>0.11</v>
      </c>
    </row>
    <row r="871" spans="1:7" x14ac:dyDescent="0.25">
      <c r="A871" s="77" t="s">
        <v>1060</v>
      </c>
      <c r="B871" s="76" t="s">
        <v>119</v>
      </c>
      <c r="C871" s="76" t="s">
        <v>1653</v>
      </c>
      <c r="D871" s="76" t="s">
        <v>1654</v>
      </c>
      <c r="E871" s="79">
        <v>44208</v>
      </c>
      <c r="F871" s="76">
        <v>64</v>
      </c>
      <c r="G871" s="76">
        <v>0.25</v>
      </c>
    </row>
    <row r="872" spans="1:7" x14ac:dyDescent="0.25">
      <c r="A872" s="77" t="s">
        <v>1060</v>
      </c>
      <c r="B872" s="76" t="s">
        <v>119</v>
      </c>
      <c r="C872" s="76" t="s">
        <v>1655</v>
      </c>
      <c r="D872" s="76" t="s">
        <v>1656</v>
      </c>
      <c r="E872" s="79">
        <v>44116</v>
      </c>
      <c r="F872" s="76">
        <v>79.5</v>
      </c>
      <c r="G872" s="76">
        <v>0.2</v>
      </c>
    </row>
    <row r="873" spans="1:7" x14ac:dyDescent="0.25">
      <c r="A873" s="77" t="s">
        <v>1060</v>
      </c>
      <c r="B873" s="76" t="s">
        <v>119</v>
      </c>
      <c r="C873" s="76" t="s">
        <v>1657</v>
      </c>
      <c r="D873" s="76" t="s">
        <v>1658</v>
      </c>
      <c r="E873" s="79">
        <v>44116</v>
      </c>
      <c r="F873" s="76">
        <v>78.5</v>
      </c>
      <c r="G873" s="76">
        <v>0.2</v>
      </c>
    </row>
    <row r="874" spans="1:7" x14ac:dyDescent="0.25">
      <c r="A874" s="77" t="s">
        <v>1060</v>
      </c>
      <c r="B874" s="76" t="s">
        <v>119</v>
      </c>
      <c r="C874" s="76" t="s">
        <v>1513</v>
      </c>
      <c r="D874" s="76" t="s">
        <v>1514</v>
      </c>
      <c r="E874" s="79">
        <v>44116</v>
      </c>
      <c r="F874" s="76">
        <v>76</v>
      </c>
      <c r="G874" s="76">
        <v>0.3</v>
      </c>
    </row>
    <row r="875" spans="1:7" x14ac:dyDescent="0.25">
      <c r="A875" s="77" t="s">
        <v>1060</v>
      </c>
      <c r="B875" s="76" t="s">
        <v>119</v>
      </c>
      <c r="C875" s="76" t="s">
        <v>1515</v>
      </c>
      <c r="D875" s="76" t="s">
        <v>1516</v>
      </c>
      <c r="E875" s="79">
        <v>44116</v>
      </c>
      <c r="F875" s="76">
        <v>79</v>
      </c>
      <c r="G875" s="76">
        <v>0.2</v>
      </c>
    </row>
    <row r="876" spans="1:7" x14ac:dyDescent="0.25">
      <c r="A876" s="77" t="s">
        <v>1060</v>
      </c>
      <c r="B876" s="76" t="s">
        <v>119</v>
      </c>
      <c r="C876" s="76" t="s">
        <v>1517</v>
      </c>
      <c r="D876" s="76" t="s">
        <v>1518</v>
      </c>
      <c r="E876" s="79">
        <v>44116</v>
      </c>
      <c r="F876" s="76">
        <v>77</v>
      </c>
      <c r="G876" s="76">
        <v>0.2</v>
      </c>
    </row>
    <row r="877" spans="1:7" x14ac:dyDescent="0.25">
      <c r="A877" s="77" t="s">
        <v>1060</v>
      </c>
      <c r="B877" s="76" t="s">
        <v>119</v>
      </c>
      <c r="C877" s="76" t="s">
        <v>1659</v>
      </c>
      <c r="D877" s="76" t="s">
        <v>1660</v>
      </c>
      <c r="E877" s="79">
        <v>44116</v>
      </c>
      <c r="F877" s="76">
        <v>71.64</v>
      </c>
      <c r="G877" s="76">
        <v>0.12</v>
      </c>
    </row>
    <row r="878" spans="1:7" x14ac:dyDescent="0.25">
      <c r="A878" s="77" t="s">
        <v>1060</v>
      </c>
      <c r="B878" s="76" t="s">
        <v>119</v>
      </c>
      <c r="C878" s="76" t="s">
        <v>1661</v>
      </c>
      <c r="D878" s="76" t="s">
        <v>1662</v>
      </c>
      <c r="E878" s="79">
        <v>44298</v>
      </c>
      <c r="F878" s="76">
        <v>58</v>
      </c>
      <c r="G878" s="76">
        <v>0.1</v>
      </c>
    </row>
    <row r="879" spans="1:7" x14ac:dyDescent="0.25">
      <c r="A879" s="77" t="s">
        <v>1060</v>
      </c>
      <c r="B879" s="76" t="s">
        <v>119</v>
      </c>
      <c r="C879" s="76" t="s">
        <v>1519</v>
      </c>
      <c r="D879" s="76" t="s">
        <v>1520</v>
      </c>
      <c r="E879" s="79">
        <v>44144</v>
      </c>
      <c r="F879" s="76">
        <v>78</v>
      </c>
      <c r="G879" s="76">
        <v>0.2</v>
      </c>
    </row>
    <row r="880" spans="1:7" x14ac:dyDescent="0.25">
      <c r="A880" s="77" t="s">
        <v>1060</v>
      </c>
      <c r="B880" s="76" t="s">
        <v>119</v>
      </c>
      <c r="C880" s="76" t="s">
        <v>1521</v>
      </c>
      <c r="D880" s="76" t="s">
        <v>1522</v>
      </c>
      <c r="E880" s="79">
        <v>44207</v>
      </c>
      <c r="F880" s="76">
        <v>75</v>
      </c>
      <c r="G880" s="76">
        <v>0.1</v>
      </c>
    </row>
    <row r="881" spans="1:7" x14ac:dyDescent="0.25">
      <c r="A881" s="77" t="s">
        <v>1060</v>
      </c>
      <c r="B881" s="76" t="s">
        <v>119</v>
      </c>
      <c r="C881" s="76" t="s">
        <v>1523</v>
      </c>
      <c r="D881" s="76" t="s">
        <v>1524</v>
      </c>
      <c r="E881" s="79">
        <v>44111</v>
      </c>
      <c r="F881" s="76">
        <v>76.5</v>
      </c>
      <c r="G881" s="76">
        <v>0.2</v>
      </c>
    </row>
    <row r="882" spans="1:7" x14ac:dyDescent="0.25">
      <c r="A882" s="77" t="s">
        <v>1060</v>
      </c>
      <c r="B882" s="76" t="s">
        <v>119</v>
      </c>
      <c r="C882" s="76" t="s">
        <v>1525</v>
      </c>
      <c r="D882" s="76" t="s">
        <v>1526</v>
      </c>
      <c r="E882" s="79">
        <v>44294</v>
      </c>
      <c r="F882" s="76">
        <v>63.24</v>
      </c>
      <c r="G882" s="76">
        <v>0.3</v>
      </c>
    </row>
    <row r="883" spans="1:7" x14ac:dyDescent="0.25">
      <c r="A883" s="77" t="s">
        <v>1060</v>
      </c>
      <c r="B883" s="76" t="s">
        <v>119</v>
      </c>
      <c r="C883" s="76" t="s">
        <v>1527</v>
      </c>
      <c r="D883" s="76" t="s">
        <v>1528</v>
      </c>
      <c r="E883" s="79">
        <v>44110</v>
      </c>
      <c r="F883" s="76">
        <v>63</v>
      </c>
      <c r="G883" s="76">
        <v>0.3</v>
      </c>
    </row>
    <row r="884" spans="1:7" x14ac:dyDescent="0.25">
      <c r="A884" s="77" t="s">
        <v>1060</v>
      </c>
      <c r="B884" s="76" t="s">
        <v>119</v>
      </c>
      <c r="C884" s="76" t="s">
        <v>1529</v>
      </c>
      <c r="D884" s="76" t="s">
        <v>1530</v>
      </c>
      <c r="E884" s="79">
        <v>44172</v>
      </c>
      <c r="F884" s="76">
        <v>72.5</v>
      </c>
      <c r="G884" s="76">
        <v>0.2</v>
      </c>
    </row>
    <row r="885" spans="1:7" x14ac:dyDescent="0.25">
      <c r="A885" s="77" t="s">
        <v>1060</v>
      </c>
      <c r="B885" s="76" t="s">
        <v>119</v>
      </c>
      <c r="C885" s="76" t="s">
        <v>1531</v>
      </c>
      <c r="D885" s="76" t="s">
        <v>1532</v>
      </c>
      <c r="E885" s="79">
        <v>44293</v>
      </c>
      <c r="F885" s="76">
        <v>58</v>
      </c>
      <c r="G885" s="76">
        <v>0.15</v>
      </c>
    </row>
    <row r="886" spans="1:7" x14ac:dyDescent="0.25">
      <c r="A886" s="77" t="s">
        <v>1060</v>
      </c>
      <c r="B886" s="76" t="s">
        <v>119</v>
      </c>
      <c r="C886" s="76" t="s">
        <v>1533</v>
      </c>
      <c r="D886" s="76" t="s">
        <v>1534</v>
      </c>
      <c r="E886" s="79">
        <v>44293</v>
      </c>
      <c r="F886" s="76">
        <v>60</v>
      </c>
      <c r="G886" s="76">
        <v>0.15</v>
      </c>
    </row>
    <row r="887" spans="1:7" x14ac:dyDescent="0.25">
      <c r="A887" s="77" t="s">
        <v>1060</v>
      </c>
      <c r="B887" s="76" t="s">
        <v>119</v>
      </c>
      <c r="C887" s="76" t="s">
        <v>1535</v>
      </c>
      <c r="D887" s="76" t="s">
        <v>1536</v>
      </c>
      <c r="E887" s="79">
        <v>44109</v>
      </c>
      <c r="F887" s="76">
        <v>73.5</v>
      </c>
      <c r="G887" s="76">
        <v>0.2</v>
      </c>
    </row>
    <row r="888" spans="1:7" x14ac:dyDescent="0.25">
      <c r="A888" s="77" t="s">
        <v>1060</v>
      </c>
      <c r="B888" s="76" t="s">
        <v>119</v>
      </c>
      <c r="C888" s="76" t="s">
        <v>1537</v>
      </c>
      <c r="D888" s="76" t="s">
        <v>1538</v>
      </c>
      <c r="E888" s="79">
        <v>44109</v>
      </c>
      <c r="F888" s="76">
        <v>74.5</v>
      </c>
      <c r="G888" s="76">
        <v>0.2</v>
      </c>
    </row>
    <row r="889" spans="1:7" x14ac:dyDescent="0.25">
      <c r="A889" s="77" t="s">
        <v>1060</v>
      </c>
      <c r="B889" s="76" t="s">
        <v>119</v>
      </c>
      <c r="C889" s="76" t="s">
        <v>1539</v>
      </c>
      <c r="D889" s="76" t="s">
        <v>1540</v>
      </c>
      <c r="E889" s="79">
        <v>44109</v>
      </c>
      <c r="F889" s="76">
        <v>75.5</v>
      </c>
      <c r="G889" s="76">
        <v>0.2</v>
      </c>
    </row>
    <row r="890" spans="1:7" x14ac:dyDescent="0.25">
      <c r="A890" s="77" t="s">
        <v>1060</v>
      </c>
      <c r="B890" s="76" t="s">
        <v>119</v>
      </c>
      <c r="C890" s="76" t="s">
        <v>1435</v>
      </c>
      <c r="D890" s="76" t="s">
        <v>1436</v>
      </c>
      <c r="E890" s="79">
        <v>44228</v>
      </c>
      <c r="F890" s="76">
        <v>71</v>
      </c>
      <c r="G890" s="76">
        <v>0.1</v>
      </c>
    </row>
    <row r="891" spans="1:7" x14ac:dyDescent="0.25">
      <c r="A891" s="77" t="s">
        <v>1060</v>
      </c>
      <c r="B891" s="76" t="s">
        <v>119</v>
      </c>
      <c r="C891" s="76" t="s">
        <v>1437</v>
      </c>
      <c r="D891" s="76" t="s">
        <v>1438</v>
      </c>
      <c r="E891" s="79">
        <v>44165</v>
      </c>
      <c r="F891" s="76">
        <v>65</v>
      </c>
      <c r="G891" s="76">
        <v>0.15</v>
      </c>
    </row>
    <row r="892" spans="1:7" x14ac:dyDescent="0.25">
      <c r="A892" s="77" t="s">
        <v>1060</v>
      </c>
      <c r="B892" s="76" t="s">
        <v>119</v>
      </c>
      <c r="C892" s="76" t="s">
        <v>1541</v>
      </c>
      <c r="D892" s="76" t="s">
        <v>1542</v>
      </c>
      <c r="E892" s="79">
        <v>44109</v>
      </c>
      <c r="F892" s="76">
        <v>60</v>
      </c>
      <c r="G892" s="76">
        <v>1</v>
      </c>
    </row>
    <row r="893" spans="1:7" x14ac:dyDescent="0.25">
      <c r="A893" s="77" t="s">
        <v>1060</v>
      </c>
      <c r="B893" s="76" t="s">
        <v>119</v>
      </c>
      <c r="C893" s="76" t="s">
        <v>1439</v>
      </c>
      <c r="D893" s="76" t="s">
        <v>1440</v>
      </c>
      <c r="E893" s="79">
        <v>44134</v>
      </c>
      <c r="F893" s="76">
        <v>62.5</v>
      </c>
      <c r="G893" s="76">
        <v>0.3</v>
      </c>
    </row>
    <row r="894" spans="1:7" x14ac:dyDescent="0.25">
      <c r="A894" s="77" t="s">
        <v>1060</v>
      </c>
      <c r="B894" s="76" t="s">
        <v>119</v>
      </c>
      <c r="C894" s="76" t="s">
        <v>1108</v>
      </c>
      <c r="D894" s="76" t="s">
        <v>1109</v>
      </c>
      <c r="E894" s="79">
        <v>44102</v>
      </c>
      <c r="F894" s="76">
        <v>69.319999999999993</v>
      </c>
      <c r="G894" s="76">
        <v>0.14000000000000001</v>
      </c>
    </row>
    <row r="895" spans="1:7" x14ac:dyDescent="0.25">
      <c r="A895" s="77" t="s">
        <v>1060</v>
      </c>
      <c r="B895" s="76" t="s">
        <v>119</v>
      </c>
      <c r="C895" s="76" t="s">
        <v>1110</v>
      </c>
      <c r="D895" s="76" t="s">
        <v>1111</v>
      </c>
      <c r="E895" s="79">
        <v>44102</v>
      </c>
      <c r="F895" s="76">
        <v>73</v>
      </c>
      <c r="G895" s="76">
        <v>0.1</v>
      </c>
    </row>
    <row r="896" spans="1:7" x14ac:dyDescent="0.25">
      <c r="A896" s="77" t="s">
        <v>1060</v>
      </c>
      <c r="B896" s="76" t="s">
        <v>119</v>
      </c>
      <c r="C896" s="76" t="s">
        <v>1112</v>
      </c>
      <c r="D896" s="76" t="s">
        <v>1113</v>
      </c>
      <c r="E896" s="79">
        <v>44102</v>
      </c>
      <c r="F896" s="76">
        <v>56.23</v>
      </c>
      <c r="G896" s="76">
        <v>0.12</v>
      </c>
    </row>
    <row r="897" spans="1:7" x14ac:dyDescent="0.25">
      <c r="A897" s="77" t="s">
        <v>1060</v>
      </c>
      <c r="B897" s="76" t="s">
        <v>119</v>
      </c>
      <c r="C897" s="76" t="s">
        <v>1114</v>
      </c>
      <c r="D897" s="76" t="s">
        <v>1115</v>
      </c>
      <c r="E897" s="79">
        <v>44103</v>
      </c>
      <c r="F897" s="76">
        <v>72.5</v>
      </c>
      <c r="G897" s="76">
        <v>0.5</v>
      </c>
    </row>
    <row r="898" spans="1:7" x14ac:dyDescent="0.25">
      <c r="A898" s="77" t="s">
        <v>1060</v>
      </c>
      <c r="B898" s="76" t="s">
        <v>119</v>
      </c>
      <c r="C898" s="76" t="s">
        <v>1106</v>
      </c>
      <c r="D898" s="76" t="s">
        <v>1107</v>
      </c>
      <c r="E898" s="79">
        <v>44161</v>
      </c>
      <c r="F898" s="76">
        <v>67.5</v>
      </c>
      <c r="G898" s="76">
        <v>0.5</v>
      </c>
    </row>
    <row r="899" spans="1:7" x14ac:dyDescent="0.25">
      <c r="A899" s="77" t="s">
        <v>1060</v>
      </c>
      <c r="B899" s="76" t="s">
        <v>119</v>
      </c>
      <c r="C899" s="76" t="s">
        <v>1138</v>
      </c>
      <c r="D899" s="76" t="s">
        <v>1139</v>
      </c>
      <c r="E899" s="79">
        <v>44188</v>
      </c>
      <c r="F899" s="76">
        <v>58</v>
      </c>
      <c r="G899" s="76">
        <v>0.3</v>
      </c>
    </row>
    <row r="900" spans="1:7" x14ac:dyDescent="0.25">
      <c r="A900" s="77" t="s">
        <v>1060</v>
      </c>
      <c r="B900" s="76" t="s">
        <v>119</v>
      </c>
      <c r="C900" s="76" t="s">
        <v>1140</v>
      </c>
      <c r="D900" s="76" t="s">
        <v>1141</v>
      </c>
      <c r="E900" s="79">
        <v>44188</v>
      </c>
      <c r="F900" s="76">
        <v>60</v>
      </c>
      <c r="G900" s="76">
        <v>0.3</v>
      </c>
    </row>
    <row r="901" spans="1:7" x14ac:dyDescent="0.25">
      <c r="A901" s="77" t="s">
        <v>1060</v>
      </c>
      <c r="B901" s="76" t="s">
        <v>119</v>
      </c>
      <c r="C901" s="76" t="s">
        <v>1142</v>
      </c>
      <c r="D901" s="76" t="s">
        <v>1143</v>
      </c>
      <c r="E901" s="79">
        <v>44188</v>
      </c>
      <c r="F901" s="76">
        <v>63</v>
      </c>
      <c r="G901" s="76">
        <v>0.3</v>
      </c>
    </row>
    <row r="902" spans="1:7" x14ac:dyDescent="0.25">
      <c r="A902" s="77" t="s">
        <v>1060</v>
      </c>
      <c r="B902" s="76" t="s">
        <v>119</v>
      </c>
      <c r="C902" s="76" t="s">
        <v>1120</v>
      </c>
      <c r="D902" s="76" t="s">
        <v>1121</v>
      </c>
      <c r="E902" s="79">
        <v>44130</v>
      </c>
      <c r="F902" s="76">
        <v>55</v>
      </c>
      <c r="G902" s="76">
        <v>0.18</v>
      </c>
    </row>
    <row r="903" spans="1:7" x14ac:dyDescent="0.25">
      <c r="A903" s="77" t="s">
        <v>1060</v>
      </c>
      <c r="B903" s="76" t="s">
        <v>119</v>
      </c>
      <c r="C903" s="76" t="s">
        <v>1122</v>
      </c>
      <c r="D903" s="76" t="s">
        <v>1123</v>
      </c>
      <c r="E903" s="79">
        <v>44098</v>
      </c>
      <c r="F903" s="76">
        <v>59</v>
      </c>
      <c r="G903" s="76">
        <v>0.3</v>
      </c>
    </row>
    <row r="904" spans="1:7" x14ac:dyDescent="0.25">
      <c r="A904" s="77" t="s">
        <v>1060</v>
      </c>
      <c r="B904" s="76" t="s">
        <v>119</v>
      </c>
      <c r="C904" s="76" t="s">
        <v>1124</v>
      </c>
      <c r="D904" s="76" t="s">
        <v>1125</v>
      </c>
      <c r="E904" s="79">
        <v>44098</v>
      </c>
      <c r="F904" s="76">
        <v>61</v>
      </c>
      <c r="G904" s="76">
        <v>0.4</v>
      </c>
    </row>
    <row r="905" spans="1:7" x14ac:dyDescent="0.25">
      <c r="A905" s="77" t="s">
        <v>1060</v>
      </c>
      <c r="B905" s="76" t="s">
        <v>119</v>
      </c>
      <c r="C905" s="76" t="s">
        <v>1126</v>
      </c>
      <c r="D905" s="76" t="s">
        <v>1127</v>
      </c>
      <c r="E905" s="79">
        <v>44098</v>
      </c>
      <c r="F905" s="76">
        <v>55</v>
      </c>
      <c r="G905" s="76">
        <v>0.3</v>
      </c>
    </row>
    <row r="906" spans="1:7" x14ac:dyDescent="0.25">
      <c r="A906" s="77" t="s">
        <v>1060</v>
      </c>
      <c r="B906" s="76" t="s">
        <v>119</v>
      </c>
      <c r="C906" s="76" t="s">
        <v>1128</v>
      </c>
      <c r="D906" s="76" t="s">
        <v>1129</v>
      </c>
      <c r="E906" s="79">
        <v>44190</v>
      </c>
      <c r="F906" s="76">
        <v>57</v>
      </c>
      <c r="G906" s="76">
        <v>0.4</v>
      </c>
    </row>
    <row r="907" spans="1:7" x14ac:dyDescent="0.25">
      <c r="A907" s="77" t="s">
        <v>1060</v>
      </c>
      <c r="B907" s="76" t="s">
        <v>119</v>
      </c>
      <c r="C907" s="76" t="s">
        <v>1130</v>
      </c>
      <c r="D907" s="76" t="s">
        <v>1131</v>
      </c>
      <c r="E907" s="79">
        <v>44190</v>
      </c>
      <c r="F907" s="76">
        <v>56</v>
      </c>
      <c r="G907" s="76">
        <v>0.4</v>
      </c>
    </row>
    <row r="908" spans="1:7" x14ac:dyDescent="0.25">
      <c r="A908" s="77" t="s">
        <v>1060</v>
      </c>
      <c r="B908" s="76" t="s">
        <v>119</v>
      </c>
      <c r="C908" s="76" t="s">
        <v>1132</v>
      </c>
      <c r="D908" s="76" t="s">
        <v>1133</v>
      </c>
      <c r="E908" s="79">
        <v>44130</v>
      </c>
      <c r="F908" s="76">
        <v>55</v>
      </c>
      <c r="G908" s="76">
        <v>0.5</v>
      </c>
    </row>
    <row r="909" spans="1:7" x14ac:dyDescent="0.25">
      <c r="A909" s="77" t="s">
        <v>1060</v>
      </c>
      <c r="B909" s="76" t="s">
        <v>119</v>
      </c>
      <c r="C909" s="76" t="s">
        <v>1134</v>
      </c>
      <c r="D909" s="76" t="s">
        <v>1135</v>
      </c>
      <c r="E909" s="79">
        <v>44130</v>
      </c>
      <c r="F909" s="76">
        <v>67.5</v>
      </c>
      <c r="G909" s="76">
        <v>0.35</v>
      </c>
    </row>
    <row r="910" spans="1:7" x14ac:dyDescent="0.25">
      <c r="A910" s="77" t="s">
        <v>1060</v>
      </c>
      <c r="B910" s="76" t="s">
        <v>119</v>
      </c>
      <c r="C910" s="76" t="s">
        <v>1136</v>
      </c>
      <c r="D910" s="76" t="s">
        <v>1137</v>
      </c>
      <c r="E910" s="79">
        <v>44130</v>
      </c>
      <c r="F910" s="76">
        <v>72.5</v>
      </c>
      <c r="G910" s="76">
        <v>0.25</v>
      </c>
    </row>
    <row r="911" spans="1:7" x14ac:dyDescent="0.25">
      <c r="A911" s="77" t="s">
        <v>1060</v>
      </c>
      <c r="B911" s="76" t="s">
        <v>119</v>
      </c>
      <c r="C911" s="76" t="s">
        <v>1144</v>
      </c>
      <c r="D911" s="76" t="s">
        <v>1145</v>
      </c>
      <c r="E911" s="79">
        <v>44187</v>
      </c>
      <c r="F911" s="76">
        <v>60.58</v>
      </c>
      <c r="G911" s="76">
        <v>0.4</v>
      </c>
    </row>
    <row r="912" spans="1:7" x14ac:dyDescent="0.25">
      <c r="A912" s="77" t="s">
        <v>1060</v>
      </c>
      <c r="B912" s="76" t="s">
        <v>119</v>
      </c>
      <c r="C912" s="76" t="s">
        <v>1146</v>
      </c>
      <c r="D912" s="76" t="s">
        <v>1147</v>
      </c>
      <c r="E912" s="79">
        <v>44096</v>
      </c>
      <c r="F912" s="76">
        <v>57.02</v>
      </c>
      <c r="G912" s="76">
        <v>0.4</v>
      </c>
    </row>
    <row r="913" spans="1:7" x14ac:dyDescent="0.25">
      <c r="A913" s="77" t="s">
        <v>1060</v>
      </c>
      <c r="B913" s="76" t="s">
        <v>119</v>
      </c>
      <c r="C913" s="76" t="s">
        <v>1148</v>
      </c>
      <c r="D913" s="76" t="s">
        <v>1149</v>
      </c>
      <c r="E913" s="79">
        <v>44097</v>
      </c>
      <c r="F913" s="76">
        <v>70</v>
      </c>
      <c r="G913" s="76">
        <v>0.1</v>
      </c>
    </row>
    <row r="914" spans="1:7" x14ac:dyDescent="0.25">
      <c r="A914" s="77" t="s">
        <v>1060</v>
      </c>
      <c r="B914" s="76" t="s">
        <v>119</v>
      </c>
      <c r="C914" s="76" t="s">
        <v>1150</v>
      </c>
      <c r="D914" s="76" t="s">
        <v>1151</v>
      </c>
      <c r="E914" s="79">
        <v>44097</v>
      </c>
      <c r="F914" s="76">
        <v>66</v>
      </c>
      <c r="G914" s="76">
        <v>0.12</v>
      </c>
    </row>
    <row r="915" spans="1:7" x14ac:dyDescent="0.25">
      <c r="A915" s="77" t="s">
        <v>1060</v>
      </c>
      <c r="B915" s="76" t="s">
        <v>119</v>
      </c>
      <c r="C915" s="76" t="s">
        <v>1152</v>
      </c>
      <c r="D915" s="76" t="s">
        <v>1153</v>
      </c>
      <c r="E915" s="79">
        <v>44127</v>
      </c>
      <c r="F915" s="76">
        <v>62</v>
      </c>
      <c r="G915" s="76">
        <v>0.12</v>
      </c>
    </row>
    <row r="916" spans="1:7" x14ac:dyDescent="0.25">
      <c r="A916" s="77" t="s">
        <v>1060</v>
      </c>
      <c r="B916" s="76" t="s">
        <v>119</v>
      </c>
      <c r="C916" s="76" t="s">
        <v>1154</v>
      </c>
      <c r="D916" s="76" t="s">
        <v>1155</v>
      </c>
      <c r="E916" s="79">
        <v>44218</v>
      </c>
      <c r="F916" s="76">
        <v>66</v>
      </c>
      <c r="G916" s="76">
        <v>0.4</v>
      </c>
    </row>
    <row r="917" spans="1:7" x14ac:dyDescent="0.25">
      <c r="A917" s="77" t="s">
        <v>1060</v>
      </c>
      <c r="B917" s="76" t="s">
        <v>119</v>
      </c>
      <c r="C917" s="76" t="s">
        <v>1156</v>
      </c>
      <c r="D917" s="76" t="s">
        <v>1157</v>
      </c>
      <c r="E917" s="79">
        <v>44218</v>
      </c>
      <c r="F917" s="76">
        <v>73</v>
      </c>
      <c r="G917" s="76">
        <v>0.3</v>
      </c>
    </row>
    <row r="918" spans="1:7" x14ac:dyDescent="0.25">
      <c r="A918" s="77" t="s">
        <v>1060</v>
      </c>
      <c r="B918" s="76" t="s">
        <v>119</v>
      </c>
      <c r="C918" s="76" t="s">
        <v>1158</v>
      </c>
      <c r="D918" s="76" t="s">
        <v>1159</v>
      </c>
      <c r="E918" s="79">
        <v>44187</v>
      </c>
      <c r="F918" s="76">
        <v>71</v>
      </c>
      <c r="G918" s="76">
        <v>0.3</v>
      </c>
    </row>
    <row r="919" spans="1:7" x14ac:dyDescent="0.25">
      <c r="A919" s="77" t="s">
        <v>1060</v>
      </c>
      <c r="B919" s="76" t="s">
        <v>119</v>
      </c>
      <c r="C919" s="76" t="s">
        <v>1160</v>
      </c>
      <c r="D919" s="76" t="s">
        <v>1161</v>
      </c>
      <c r="E919" s="79">
        <v>44187</v>
      </c>
      <c r="F919" s="76">
        <v>67</v>
      </c>
      <c r="G919" s="76">
        <v>0.4</v>
      </c>
    </row>
    <row r="920" spans="1:7" x14ac:dyDescent="0.25">
      <c r="A920" s="77" t="s">
        <v>1060</v>
      </c>
      <c r="B920" s="76" t="s">
        <v>119</v>
      </c>
      <c r="C920" s="76" t="s">
        <v>1162</v>
      </c>
      <c r="D920" s="76" t="s">
        <v>1163</v>
      </c>
      <c r="E920" s="79">
        <v>44096</v>
      </c>
      <c r="F920" s="76">
        <v>65</v>
      </c>
      <c r="G920" s="76">
        <v>0.6</v>
      </c>
    </row>
    <row r="921" spans="1:7" x14ac:dyDescent="0.25">
      <c r="A921" s="77" t="s">
        <v>1060</v>
      </c>
      <c r="B921" s="76" t="s">
        <v>119</v>
      </c>
      <c r="C921" s="76" t="s">
        <v>1164</v>
      </c>
      <c r="D921" s="76" t="s">
        <v>1165</v>
      </c>
      <c r="E921" s="79">
        <v>44123</v>
      </c>
      <c r="F921" s="76">
        <v>65</v>
      </c>
      <c r="G921" s="76">
        <v>0.3</v>
      </c>
    </row>
    <row r="922" spans="1:7" x14ac:dyDescent="0.25">
      <c r="A922" s="77" t="s">
        <v>1060</v>
      </c>
      <c r="B922" s="76" t="s">
        <v>119</v>
      </c>
      <c r="C922" s="76" t="s">
        <v>1166</v>
      </c>
      <c r="D922" s="76" t="s">
        <v>1167</v>
      </c>
      <c r="E922" s="79">
        <v>44123</v>
      </c>
      <c r="F922" s="76">
        <v>69</v>
      </c>
      <c r="G922" s="76">
        <v>0.5</v>
      </c>
    </row>
    <row r="923" spans="1:7" x14ac:dyDescent="0.25">
      <c r="A923" s="77" t="s">
        <v>1060</v>
      </c>
      <c r="B923" s="76" t="s">
        <v>119</v>
      </c>
      <c r="C923" s="76" t="s">
        <v>1168</v>
      </c>
      <c r="D923" s="76" t="s">
        <v>1169</v>
      </c>
      <c r="E923" s="79">
        <v>44123</v>
      </c>
      <c r="F923" s="76">
        <v>64</v>
      </c>
      <c r="G923" s="76">
        <v>0.6</v>
      </c>
    </row>
    <row r="924" spans="1:7" x14ac:dyDescent="0.25">
      <c r="A924" s="77" t="s">
        <v>1060</v>
      </c>
      <c r="B924" s="76" t="s">
        <v>119</v>
      </c>
      <c r="C924" s="76" t="s">
        <v>1170</v>
      </c>
      <c r="D924" s="76" t="s">
        <v>1171</v>
      </c>
      <c r="E924" s="79">
        <v>44154</v>
      </c>
      <c r="F924" s="76">
        <v>62</v>
      </c>
      <c r="G924" s="76">
        <v>0.6</v>
      </c>
    </row>
    <row r="925" spans="1:7" x14ac:dyDescent="0.25">
      <c r="A925" s="77" t="s">
        <v>1060</v>
      </c>
      <c r="B925" s="76" t="s">
        <v>119</v>
      </c>
      <c r="C925" s="76" t="s">
        <v>1172</v>
      </c>
      <c r="D925" s="76" t="s">
        <v>1173</v>
      </c>
      <c r="E925" s="79">
        <v>44272</v>
      </c>
      <c r="F925" s="76">
        <v>60</v>
      </c>
      <c r="G925" s="76">
        <v>0.2</v>
      </c>
    </row>
    <row r="926" spans="1:7" x14ac:dyDescent="0.25">
      <c r="A926" s="77" t="s">
        <v>1060</v>
      </c>
      <c r="B926" s="76" t="s">
        <v>119</v>
      </c>
      <c r="C926" s="76" t="s">
        <v>1216</v>
      </c>
      <c r="D926" s="76" t="s">
        <v>1217</v>
      </c>
      <c r="E926" s="79">
        <v>44147</v>
      </c>
      <c r="F926" s="76">
        <v>75</v>
      </c>
      <c r="G926" s="76">
        <v>1</v>
      </c>
    </row>
    <row r="927" spans="1:7" x14ac:dyDescent="0.25">
      <c r="A927" s="77" t="s">
        <v>1060</v>
      </c>
      <c r="B927" s="76" t="s">
        <v>119</v>
      </c>
      <c r="C927" s="76" t="s">
        <v>1174</v>
      </c>
      <c r="D927" s="76" t="s">
        <v>1175</v>
      </c>
      <c r="E927" s="79">
        <v>44271</v>
      </c>
      <c r="F927" s="76">
        <v>73</v>
      </c>
      <c r="G927" s="76">
        <v>0.3</v>
      </c>
    </row>
    <row r="928" spans="1:7" x14ac:dyDescent="0.25">
      <c r="A928" s="77" t="s">
        <v>1060</v>
      </c>
      <c r="B928" s="76" t="s">
        <v>119</v>
      </c>
      <c r="C928" s="76" t="s">
        <v>1176</v>
      </c>
      <c r="D928" s="76" t="s">
        <v>1177</v>
      </c>
      <c r="E928" s="79">
        <v>44214</v>
      </c>
      <c r="F928" s="76">
        <v>70</v>
      </c>
      <c r="G928" s="76">
        <v>1</v>
      </c>
    </row>
    <row r="929" spans="1:7" x14ac:dyDescent="0.25">
      <c r="A929" s="77" t="s">
        <v>1060</v>
      </c>
      <c r="B929" s="76" t="s">
        <v>119</v>
      </c>
      <c r="C929" s="76" t="s">
        <v>1178</v>
      </c>
      <c r="D929" s="76" t="s">
        <v>1179</v>
      </c>
      <c r="E929" s="79">
        <v>44153</v>
      </c>
      <c r="F929" s="76">
        <v>60</v>
      </c>
      <c r="G929" s="76">
        <v>1</v>
      </c>
    </row>
    <row r="930" spans="1:7" x14ac:dyDescent="0.25">
      <c r="A930" s="77" t="s">
        <v>1060</v>
      </c>
      <c r="B930" s="76" t="s">
        <v>119</v>
      </c>
      <c r="C930" s="76" t="s">
        <v>1180</v>
      </c>
      <c r="D930" s="76" t="s">
        <v>1181</v>
      </c>
      <c r="E930" s="79">
        <v>44214</v>
      </c>
      <c r="F930" s="76">
        <v>68</v>
      </c>
      <c r="G930" s="76">
        <v>0.6</v>
      </c>
    </row>
    <row r="931" spans="1:7" x14ac:dyDescent="0.25">
      <c r="A931" s="77" t="s">
        <v>1060</v>
      </c>
      <c r="B931" s="76" t="s">
        <v>119</v>
      </c>
      <c r="C931" s="76" t="s">
        <v>1182</v>
      </c>
      <c r="D931" s="76" t="s">
        <v>1183</v>
      </c>
      <c r="E931" s="79">
        <v>44214</v>
      </c>
      <c r="F931" s="76">
        <v>65</v>
      </c>
      <c r="G931" s="76">
        <v>0.7</v>
      </c>
    </row>
    <row r="932" spans="1:7" x14ac:dyDescent="0.25">
      <c r="A932" s="77" t="s">
        <v>1060</v>
      </c>
      <c r="B932" s="76" t="s">
        <v>119</v>
      </c>
      <c r="C932" s="76" t="s">
        <v>1184</v>
      </c>
      <c r="D932" s="76" t="s">
        <v>1185</v>
      </c>
      <c r="E932" s="79">
        <v>44092</v>
      </c>
      <c r="F932" s="76">
        <v>72</v>
      </c>
      <c r="G932" s="76">
        <v>0.4</v>
      </c>
    </row>
    <row r="933" spans="1:7" x14ac:dyDescent="0.25">
      <c r="A933" s="77" t="s">
        <v>1060</v>
      </c>
      <c r="B933" s="76" t="s">
        <v>119</v>
      </c>
      <c r="C933" s="76" t="s">
        <v>1186</v>
      </c>
      <c r="D933" s="76" t="s">
        <v>1187</v>
      </c>
      <c r="E933" s="79">
        <v>44153</v>
      </c>
      <c r="F933" s="76">
        <v>74</v>
      </c>
      <c r="G933" s="76">
        <v>0.5</v>
      </c>
    </row>
    <row r="934" spans="1:7" x14ac:dyDescent="0.25">
      <c r="A934" s="77" t="s">
        <v>1060</v>
      </c>
      <c r="B934" s="76" t="s">
        <v>119</v>
      </c>
      <c r="C934" s="76" t="s">
        <v>1188</v>
      </c>
      <c r="D934" s="76" t="s">
        <v>1189</v>
      </c>
      <c r="E934" s="79">
        <v>44092</v>
      </c>
      <c r="F934" s="76">
        <v>78.5</v>
      </c>
      <c r="G934" s="76">
        <v>1</v>
      </c>
    </row>
    <row r="935" spans="1:7" x14ac:dyDescent="0.25">
      <c r="A935" s="77" t="s">
        <v>1060</v>
      </c>
      <c r="B935" s="76" t="s">
        <v>119</v>
      </c>
      <c r="C935" s="76" t="s">
        <v>1190</v>
      </c>
      <c r="D935" s="76" t="s">
        <v>1191</v>
      </c>
      <c r="E935" s="79">
        <v>44092</v>
      </c>
      <c r="F935" s="76">
        <v>75</v>
      </c>
      <c r="G935" s="76">
        <v>1</v>
      </c>
    </row>
    <row r="936" spans="1:7" x14ac:dyDescent="0.25">
      <c r="A936" s="77" t="s">
        <v>1060</v>
      </c>
      <c r="B936" s="76" t="s">
        <v>119</v>
      </c>
      <c r="C936" s="76" t="s">
        <v>1192</v>
      </c>
      <c r="D936" s="76" t="s">
        <v>1193</v>
      </c>
      <c r="E936" s="79">
        <v>44092</v>
      </c>
      <c r="F936" s="76">
        <v>70</v>
      </c>
      <c r="G936" s="76">
        <v>1</v>
      </c>
    </row>
    <row r="937" spans="1:7" x14ac:dyDescent="0.25">
      <c r="A937" s="77" t="s">
        <v>1060</v>
      </c>
      <c r="B937" s="76" t="s">
        <v>119</v>
      </c>
      <c r="C937" s="76" t="s">
        <v>1194</v>
      </c>
      <c r="D937" s="76" t="s">
        <v>1195</v>
      </c>
      <c r="E937" s="79">
        <v>44123</v>
      </c>
      <c r="F937" s="76">
        <v>65</v>
      </c>
      <c r="G937" s="76">
        <v>1</v>
      </c>
    </row>
    <row r="938" spans="1:7" x14ac:dyDescent="0.25">
      <c r="A938" s="77" t="s">
        <v>1060</v>
      </c>
      <c r="B938" s="76" t="s">
        <v>119</v>
      </c>
      <c r="C938" s="76" t="s">
        <v>1196</v>
      </c>
      <c r="D938" s="76" t="s">
        <v>1197</v>
      </c>
      <c r="E938" s="79">
        <v>44123</v>
      </c>
      <c r="F938" s="76">
        <v>72.5</v>
      </c>
      <c r="G938" s="76">
        <v>1</v>
      </c>
    </row>
    <row r="939" spans="1:7" x14ac:dyDescent="0.25">
      <c r="A939" s="77" t="s">
        <v>1060</v>
      </c>
      <c r="B939" s="76" t="s">
        <v>119</v>
      </c>
      <c r="C939" s="76" t="s">
        <v>1198</v>
      </c>
      <c r="D939" s="76" t="s">
        <v>1199</v>
      </c>
      <c r="E939" s="79">
        <v>44123</v>
      </c>
      <c r="F939" s="76">
        <v>80</v>
      </c>
      <c r="G939" s="76">
        <v>0.2</v>
      </c>
    </row>
    <row r="940" spans="1:7" x14ac:dyDescent="0.25">
      <c r="A940" s="77" t="s">
        <v>1060</v>
      </c>
      <c r="B940" s="76" t="s">
        <v>119</v>
      </c>
      <c r="C940" s="76" t="s">
        <v>1200</v>
      </c>
      <c r="D940" s="76" t="s">
        <v>1201</v>
      </c>
      <c r="E940" s="79">
        <v>44123</v>
      </c>
      <c r="F940" s="76">
        <v>74</v>
      </c>
      <c r="G940" s="76">
        <v>0.3</v>
      </c>
    </row>
    <row r="941" spans="1:7" x14ac:dyDescent="0.25">
      <c r="A941" s="77" t="s">
        <v>1060</v>
      </c>
      <c r="B941" s="76" t="s">
        <v>119</v>
      </c>
      <c r="C941" s="76" t="s">
        <v>1202</v>
      </c>
      <c r="D941" s="76" t="s">
        <v>1203</v>
      </c>
      <c r="E941" s="79">
        <v>44092</v>
      </c>
      <c r="F941" s="76">
        <v>59.06</v>
      </c>
      <c r="G941" s="76">
        <v>0.45</v>
      </c>
    </row>
    <row r="942" spans="1:7" x14ac:dyDescent="0.25">
      <c r="A942" s="77" t="s">
        <v>1060</v>
      </c>
      <c r="B942" s="76" t="s">
        <v>119</v>
      </c>
      <c r="C942" s="76" t="s">
        <v>1204</v>
      </c>
      <c r="D942" s="76" t="s">
        <v>1205</v>
      </c>
      <c r="E942" s="79">
        <v>44214</v>
      </c>
      <c r="F942" s="76">
        <v>62.75</v>
      </c>
      <c r="G942" s="76">
        <v>0.5</v>
      </c>
    </row>
    <row r="943" spans="1:7" x14ac:dyDescent="0.25">
      <c r="A943" s="77" t="s">
        <v>1060</v>
      </c>
      <c r="B943" s="76" t="s">
        <v>119</v>
      </c>
      <c r="C943" s="76" t="s">
        <v>1206</v>
      </c>
      <c r="D943" s="76" t="s">
        <v>1207</v>
      </c>
      <c r="E943" s="79">
        <v>44095</v>
      </c>
      <c r="F943" s="76">
        <v>68</v>
      </c>
      <c r="G943" s="76">
        <v>0.6</v>
      </c>
    </row>
    <row r="944" spans="1:7" x14ac:dyDescent="0.25">
      <c r="A944" s="77" t="s">
        <v>1060</v>
      </c>
      <c r="B944" s="76" t="s">
        <v>119</v>
      </c>
      <c r="C944" s="76" t="s">
        <v>1208</v>
      </c>
      <c r="D944" s="76" t="s">
        <v>1209</v>
      </c>
      <c r="E944" s="79">
        <v>44123</v>
      </c>
      <c r="F944" s="76">
        <v>65</v>
      </c>
      <c r="G944" s="76">
        <v>0.6</v>
      </c>
    </row>
    <row r="945" spans="1:7" x14ac:dyDescent="0.25">
      <c r="A945" s="77" t="s">
        <v>1060</v>
      </c>
      <c r="B945" s="76" t="s">
        <v>119</v>
      </c>
      <c r="C945" s="76" t="s">
        <v>1210</v>
      </c>
      <c r="D945" s="76" t="s">
        <v>1211</v>
      </c>
      <c r="E945" s="79">
        <v>44186</v>
      </c>
      <c r="F945" s="76">
        <v>60</v>
      </c>
      <c r="G945" s="76">
        <v>0.6</v>
      </c>
    </row>
    <row r="946" spans="1:7" x14ac:dyDescent="0.25">
      <c r="A946" s="77" t="s">
        <v>1060</v>
      </c>
      <c r="B946" s="76" t="s">
        <v>119</v>
      </c>
      <c r="C946" s="76" t="s">
        <v>1212</v>
      </c>
      <c r="D946" s="76" t="s">
        <v>1213</v>
      </c>
      <c r="E946" s="79">
        <v>44182</v>
      </c>
      <c r="F946" s="76">
        <v>70</v>
      </c>
      <c r="G946" s="76">
        <v>0.5</v>
      </c>
    </row>
    <row r="947" spans="1:7" x14ac:dyDescent="0.25">
      <c r="A947" s="77" t="s">
        <v>1060</v>
      </c>
      <c r="B947" s="76" t="s">
        <v>119</v>
      </c>
      <c r="C947" s="76" t="s">
        <v>1214</v>
      </c>
      <c r="D947" s="76" t="s">
        <v>1215</v>
      </c>
      <c r="E947" s="79">
        <v>44271</v>
      </c>
      <c r="F947" s="76">
        <v>82</v>
      </c>
      <c r="G947" s="76">
        <v>0.2</v>
      </c>
    </row>
    <row r="948" spans="1:7" x14ac:dyDescent="0.25">
      <c r="A948" s="77" t="s">
        <v>1060</v>
      </c>
      <c r="B948" s="76" t="s">
        <v>119</v>
      </c>
      <c r="C948" s="76" t="s">
        <v>1226</v>
      </c>
      <c r="D948" s="76" t="s">
        <v>1227</v>
      </c>
      <c r="E948" s="79">
        <v>44151</v>
      </c>
      <c r="F948" s="76">
        <v>70</v>
      </c>
      <c r="G948" s="76">
        <v>1</v>
      </c>
    </row>
    <row r="949" spans="1:7" x14ac:dyDescent="0.25">
      <c r="A949" s="77" t="s">
        <v>1060</v>
      </c>
      <c r="B949" s="76" t="s">
        <v>119</v>
      </c>
      <c r="C949" s="76" t="s">
        <v>280</v>
      </c>
      <c r="D949" s="76" t="s">
        <v>281</v>
      </c>
      <c r="E949" s="79">
        <v>44089</v>
      </c>
      <c r="F949" s="76">
        <v>80</v>
      </c>
      <c r="G949" s="76">
        <v>1</v>
      </c>
    </row>
    <row r="950" spans="1:7" x14ac:dyDescent="0.25">
      <c r="A950" s="77" t="s">
        <v>1060</v>
      </c>
      <c r="B950" s="76" t="s">
        <v>119</v>
      </c>
      <c r="C950" s="76" t="s">
        <v>1228</v>
      </c>
      <c r="D950" s="76" t="s">
        <v>1229</v>
      </c>
      <c r="E950" s="79">
        <v>44119</v>
      </c>
      <c r="F950" s="76">
        <v>80</v>
      </c>
      <c r="G950" s="76">
        <v>1</v>
      </c>
    </row>
    <row r="951" spans="1:7" x14ac:dyDescent="0.25">
      <c r="A951" s="77" t="s">
        <v>1060</v>
      </c>
      <c r="B951" s="76" t="s">
        <v>119</v>
      </c>
      <c r="C951" s="76" t="s">
        <v>1230</v>
      </c>
      <c r="D951" s="76" t="s">
        <v>1231</v>
      </c>
      <c r="E951" s="79">
        <v>44211</v>
      </c>
      <c r="F951" s="76">
        <v>78</v>
      </c>
      <c r="G951" s="76">
        <v>0.6</v>
      </c>
    </row>
    <row r="952" spans="1:7" x14ac:dyDescent="0.25">
      <c r="A952" s="77" t="s">
        <v>1060</v>
      </c>
      <c r="B952" s="76" t="s">
        <v>119</v>
      </c>
      <c r="C952" s="76" t="s">
        <v>1232</v>
      </c>
      <c r="D952" s="76" t="s">
        <v>1233</v>
      </c>
      <c r="E952" s="79">
        <v>44151</v>
      </c>
      <c r="F952" s="76">
        <v>69.400000000000006</v>
      </c>
      <c r="G952" s="76">
        <v>0.5</v>
      </c>
    </row>
    <row r="953" spans="1:7" x14ac:dyDescent="0.25">
      <c r="A953" s="77" t="s">
        <v>1060</v>
      </c>
      <c r="B953" s="76" t="s">
        <v>119</v>
      </c>
      <c r="C953" s="76" t="s">
        <v>1224</v>
      </c>
      <c r="D953" s="76" t="s">
        <v>1225</v>
      </c>
      <c r="E953" s="79">
        <v>44214</v>
      </c>
      <c r="F953" s="76">
        <v>67.28</v>
      </c>
      <c r="G953" s="76">
        <v>1</v>
      </c>
    </row>
    <row r="954" spans="1:7" x14ac:dyDescent="0.25">
      <c r="A954" s="77" t="s">
        <v>1060</v>
      </c>
      <c r="B954" s="76" t="s">
        <v>119</v>
      </c>
      <c r="C954" s="76" t="s">
        <v>1220</v>
      </c>
      <c r="D954" s="76" t="s">
        <v>1221</v>
      </c>
      <c r="E954" s="79">
        <v>44207</v>
      </c>
      <c r="F954" s="76">
        <v>75</v>
      </c>
      <c r="G954" s="76">
        <v>1</v>
      </c>
    </row>
    <row r="955" spans="1:7" x14ac:dyDescent="0.25">
      <c r="A955" s="77" t="s">
        <v>1060</v>
      </c>
      <c r="B955" s="76" t="s">
        <v>119</v>
      </c>
      <c r="C955" s="76" t="s">
        <v>1222</v>
      </c>
      <c r="D955" s="76" t="s">
        <v>1223</v>
      </c>
      <c r="E955" s="79">
        <v>44176</v>
      </c>
      <c r="F955" s="76">
        <v>82</v>
      </c>
      <c r="G955" s="76">
        <v>0.6</v>
      </c>
    </row>
    <row r="956" spans="1:7" x14ac:dyDescent="0.25">
      <c r="A956" s="77" t="s">
        <v>1060</v>
      </c>
      <c r="B956" s="76" t="s">
        <v>119</v>
      </c>
      <c r="C956" s="76" t="s">
        <v>1236</v>
      </c>
      <c r="D956" s="76" t="s">
        <v>1237</v>
      </c>
      <c r="E956" s="79">
        <v>44207</v>
      </c>
      <c r="F956" s="76">
        <v>80</v>
      </c>
      <c r="G956" s="76">
        <v>0.5</v>
      </c>
    </row>
    <row r="957" spans="1:7" x14ac:dyDescent="0.25">
      <c r="A957" s="77" t="s">
        <v>1060</v>
      </c>
      <c r="B957" s="76" t="s">
        <v>119</v>
      </c>
      <c r="C957" s="76" t="s">
        <v>1234</v>
      </c>
      <c r="D957" s="76" t="s">
        <v>1235</v>
      </c>
      <c r="E957" s="79">
        <v>44144</v>
      </c>
      <c r="F957" s="76">
        <v>87</v>
      </c>
      <c r="G957" s="76">
        <v>0.317</v>
      </c>
    </row>
    <row r="958" spans="1:7" x14ac:dyDescent="0.25">
      <c r="A958" s="77" t="s">
        <v>1060</v>
      </c>
      <c r="B958" s="76" t="s">
        <v>119</v>
      </c>
      <c r="C958" s="76" t="s">
        <v>1242</v>
      </c>
      <c r="D958" s="76" t="s">
        <v>1243</v>
      </c>
      <c r="E958" s="79">
        <v>44263</v>
      </c>
      <c r="F958" s="76">
        <v>65</v>
      </c>
      <c r="G958" s="76">
        <v>0.49</v>
      </c>
    </row>
    <row r="959" spans="1:7" x14ac:dyDescent="0.25">
      <c r="A959" s="77" t="s">
        <v>1060</v>
      </c>
      <c r="B959" s="76" t="s">
        <v>119</v>
      </c>
      <c r="C959" s="76" t="s">
        <v>1244</v>
      </c>
      <c r="D959" s="76" t="s">
        <v>1245</v>
      </c>
      <c r="E959" s="79">
        <v>44173</v>
      </c>
      <c r="F959" s="76">
        <v>79</v>
      </c>
      <c r="G959" s="76">
        <v>0.98099999999999998</v>
      </c>
    </row>
    <row r="960" spans="1:7" x14ac:dyDescent="0.25">
      <c r="A960" s="77" t="s">
        <v>1060</v>
      </c>
      <c r="B960" s="76" t="s">
        <v>119</v>
      </c>
      <c r="C960" s="76" t="s">
        <v>1246</v>
      </c>
      <c r="D960" s="76" t="s">
        <v>1247</v>
      </c>
      <c r="E960" s="79">
        <v>44173</v>
      </c>
      <c r="F960" s="76">
        <v>80</v>
      </c>
      <c r="G960" s="76">
        <v>0.8</v>
      </c>
    </row>
    <row r="961" spans="1:7" x14ac:dyDescent="0.25">
      <c r="A961" s="77" t="s">
        <v>1060</v>
      </c>
      <c r="B961" s="76" t="s">
        <v>119</v>
      </c>
      <c r="C961" s="76" t="s">
        <v>1238</v>
      </c>
      <c r="D961" s="76" t="s">
        <v>1239</v>
      </c>
      <c r="E961" s="79">
        <v>44140</v>
      </c>
      <c r="F961" s="76">
        <v>80.73</v>
      </c>
      <c r="G961" s="76">
        <v>0.75</v>
      </c>
    </row>
    <row r="962" spans="1:7" x14ac:dyDescent="0.25">
      <c r="A962" s="77" t="s">
        <v>1060</v>
      </c>
      <c r="B962" s="76" t="s">
        <v>119</v>
      </c>
      <c r="C962" s="76" t="s">
        <v>1240</v>
      </c>
      <c r="D962" s="76" t="s">
        <v>1241</v>
      </c>
      <c r="E962" s="79">
        <v>44140</v>
      </c>
      <c r="F962" s="76">
        <v>82.5</v>
      </c>
      <c r="G962" s="76">
        <v>0.5</v>
      </c>
    </row>
    <row r="963" spans="1:7" x14ac:dyDescent="0.25">
      <c r="A963" s="77" t="s">
        <v>1060</v>
      </c>
      <c r="B963" s="76" t="s">
        <v>119</v>
      </c>
      <c r="C963" s="76" t="s">
        <v>1296</v>
      </c>
      <c r="D963" s="76" t="s">
        <v>1297</v>
      </c>
      <c r="E963" s="79">
        <v>44123</v>
      </c>
      <c r="F963" s="76">
        <v>90.2</v>
      </c>
      <c r="G963" s="76">
        <v>1</v>
      </c>
    </row>
    <row r="964" spans="1:7" x14ac:dyDescent="0.25">
      <c r="A964" s="77" t="s">
        <v>1060</v>
      </c>
      <c r="B964" s="76" t="s">
        <v>119</v>
      </c>
      <c r="C964" s="76" t="s">
        <v>1250</v>
      </c>
      <c r="D964" s="76" t="s">
        <v>1251</v>
      </c>
      <c r="E964" s="79">
        <v>44200</v>
      </c>
      <c r="F964" s="76">
        <v>84</v>
      </c>
      <c r="G964" s="76">
        <v>0.66900000000000004</v>
      </c>
    </row>
    <row r="965" spans="1:7" x14ac:dyDescent="0.25">
      <c r="A965" s="77" t="s">
        <v>1060</v>
      </c>
      <c r="B965" s="76" t="s">
        <v>119</v>
      </c>
      <c r="C965" s="76" t="s">
        <v>1248</v>
      </c>
      <c r="D965" s="76" t="s">
        <v>1249</v>
      </c>
      <c r="E965" s="79">
        <v>44259</v>
      </c>
      <c r="F965" s="76">
        <v>72</v>
      </c>
      <c r="G965" s="76">
        <v>0.5</v>
      </c>
    </row>
    <row r="966" spans="1:7" x14ac:dyDescent="0.25">
      <c r="A966" s="77" t="s">
        <v>1060</v>
      </c>
      <c r="B966" s="76" t="s">
        <v>119</v>
      </c>
      <c r="C966" s="76" t="s">
        <v>1252</v>
      </c>
      <c r="D966" s="76" t="s">
        <v>1253</v>
      </c>
      <c r="E966" s="79">
        <v>44109</v>
      </c>
      <c r="F966" s="76">
        <v>76.03</v>
      </c>
      <c r="G966" s="76">
        <v>1</v>
      </c>
    </row>
    <row r="967" spans="1:7" x14ac:dyDescent="0.25">
      <c r="A967" s="77" t="s">
        <v>1060</v>
      </c>
      <c r="B967" s="76" t="s">
        <v>119</v>
      </c>
      <c r="C967" s="76" t="s">
        <v>1254</v>
      </c>
      <c r="D967" s="76" t="s">
        <v>1255</v>
      </c>
      <c r="E967" s="79">
        <v>44077</v>
      </c>
      <c r="F967" s="76">
        <v>80</v>
      </c>
      <c r="G967" s="76">
        <v>1</v>
      </c>
    </row>
    <row r="968" spans="1:7" x14ac:dyDescent="0.25">
      <c r="A968" s="77" t="s">
        <v>1060</v>
      </c>
      <c r="B968" s="76" t="s">
        <v>119</v>
      </c>
      <c r="C968" s="76" t="s">
        <v>1256</v>
      </c>
      <c r="D968" s="76" t="s">
        <v>1257</v>
      </c>
      <c r="E968" s="79">
        <v>44130</v>
      </c>
      <c r="F968" s="76">
        <v>85</v>
      </c>
      <c r="G968" s="76">
        <v>0.6</v>
      </c>
    </row>
    <row r="969" spans="1:7" x14ac:dyDescent="0.25">
      <c r="A969" s="77" t="s">
        <v>1060</v>
      </c>
      <c r="B969" s="76" t="s">
        <v>119</v>
      </c>
      <c r="C969" s="76" t="s">
        <v>1258</v>
      </c>
      <c r="D969" s="76" t="s">
        <v>1259</v>
      </c>
      <c r="E969" s="79">
        <v>44161</v>
      </c>
      <c r="F969" s="76">
        <v>88</v>
      </c>
      <c r="G969" s="76">
        <v>0.6</v>
      </c>
    </row>
    <row r="970" spans="1:7" x14ac:dyDescent="0.25">
      <c r="A970" s="77" t="s">
        <v>1060</v>
      </c>
      <c r="B970" s="76" t="s">
        <v>119</v>
      </c>
      <c r="C970" s="76" t="s">
        <v>1063</v>
      </c>
      <c r="D970" s="76" t="s">
        <v>1064</v>
      </c>
      <c r="E970" s="79">
        <v>44253</v>
      </c>
      <c r="F970" s="76">
        <v>80.91</v>
      </c>
      <c r="G970" s="76">
        <v>0.53800000000000003</v>
      </c>
    </row>
    <row r="971" spans="1:7" x14ac:dyDescent="0.25">
      <c r="A971" s="77" t="s">
        <v>1060</v>
      </c>
      <c r="B971" s="76" t="s">
        <v>119</v>
      </c>
      <c r="C971" s="76" t="s">
        <v>1260</v>
      </c>
      <c r="D971" s="76" t="s">
        <v>1261</v>
      </c>
      <c r="E971" s="79">
        <v>44130</v>
      </c>
      <c r="F971" s="76">
        <v>87.5</v>
      </c>
      <c r="G971" s="76">
        <v>0.28000000000000003</v>
      </c>
    </row>
    <row r="972" spans="1:7" x14ac:dyDescent="0.25">
      <c r="A972" s="77" t="s">
        <v>1060</v>
      </c>
      <c r="B972" s="76" t="s">
        <v>119</v>
      </c>
      <c r="C972" s="76" t="s">
        <v>1061</v>
      </c>
      <c r="D972" s="76" t="s">
        <v>1062</v>
      </c>
      <c r="E972" s="79">
        <v>44153</v>
      </c>
      <c r="F972" s="76">
        <v>92</v>
      </c>
      <c r="G972" s="76">
        <v>0.25</v>
      </c>
    </row>
    <row r="973" spans="1:7" x14ac:dyDescent="0.25">
      <c r="A973" s="77" t="s">
        <v>1060</v>
      </c>
      <c r="B973" s="76" t="s">
        <v>119</v>
      </c>
      <c r="C973" s="76" t="s">
        <v>1262</v>
      </c>
      <c r="D973" s="76" t="s">
        <v>1263</v>
      </c>
      <c r="E973" s="79">
        <v>44095</v>
      </c>
      <c r="F973" s="76">
        <v>81.790000000000006</v>
      </c>
      <c r="G973" s="76">
        <v>0.81</v>
      </c>
    </row>
    <row r="974" spans="1:7" x14ac:dyDescent="0.25">
      <c r="A974" s="77" t="s">
        <v>1060</v>
      </c>
      <c r="B974" s="76" t="s">
        <v>119</v>
      </c>
      <c r="C974" s="76" t="s">
        <v>1264</v>
      </c>
      <c r="D974" s="76" t="s">
        <v>1265</v>
      </c>
      <c r="E974" s="79">
        <v>44067</v>
      </c>
      <c r="F974" s="76">
        <v>80</v>
      </c>
      <c r="G974" s="76">
        <v>1</v>
      </c>
    </row>
    <row r="975" spans="1:7" x14ac:dyDescent="0.25">
      <c r="A975" s="77" t="s">
        <v>1060</v>
      </c>
      <c r="B975" s="76" t="s">
        <v>119</v>
      </c>
      <c r="C975" s="76" t="s">
        <v>1266</v>
      </c>
      <c r="D975" s="76" t="s">
        <v>1267</v>
      </c>
      <c r="E975" s="79">
        <v>44127</v>
      </c>
      <c r="F975" s="76">
        <v>85.5</v>
      </c>
      <c r="G975" s="76">
        <v>1</v>
      </c>
    </row>
    <row r="976" spans="1:7" x14ac:dyDescent="0.25">
      <c r="A976" s="77" t="s">
        <v>1060</v>
      </c>
      <c r="B976" s="76" t="s">
        <v>119</v>
      </c>
      <c r="C976" s="76" t="s">
        <v>1268</v>
      </c>
      <c r="D976" s="76" t="s">
        <v>1269</v>
      </c>
      <c r="E976" s="79">
        <v>44130</v>
      </c>
      <c r="F976" s="76">
        <v>82</v>
      </c>
      <c r="G976" s="76">
        <v>0.8</v>
      </c>
    </row>
    <row r="977" spans="1:7" x14ac:dyDescent="0.25">
      <c r="A977" s="77" t="s">
        <v>1060</v>
      </c>
      <c r="B977" s="76" t="s">
        <v>119</v>
      </c>
      <c r="C977" s="76" t="s">
        <v>1270</v>
      </c>
      <c r="D977" s="76" t="s">
        <v>1271</v>
      </c>
      <c r="E977" s="79">
        <v>44159</v>
      </c>
      <c r="F977" s="76">
        <v>85</v>
      </c>
      <c r="G977" s="76">
        <v>0.5</v>
      </c>
    </row>
    <row r="978" spans="1:7" x14ac:dyDescent="0.25">
      <c r="A978" s="77" t="s">
        <v>1060</v>
      </c>
      <c r="B978" s="76" t="s">
        <v>119</v>
      </c>
      <c r="C978" s="76" t="s">
        <v>124</v>
      </c>
      <c r="D978" s="76" t="s">
        <v>125</v>
      </c>
      <c r="E978" s="79">
        <v>44159</v>
      </c>
      <c r="F978" s="76">
        <v>96</v>
      </c>
      <c r="G978" s="76">
        <v>0.12</v>
      </c>
    </row>
    <row r="979" spans="1:7" x14ac:dyDescent="0.25">
      <c r="A979" s="77" t="s">
        <v>1060</v>
      </c>
      <c r="B979" s="76" t="s">
        <v>119</v>
      </c>
      <c r="C979" s="76" t="s">
        <v>1272</v>
      </c>
      <c r="D979" s="76" t="s">
        <v>1273</v>
      </c>
      <c r="E979" s="79">
        <v>44124</v>
      </c>
      <c r="F979" s="76">
        <v>85</v>
      </c>
      <c r="G979" s="76">
        <v>1</v>
      </c>
    </row>
    <row r="980" spans="1:7" x14ac:dyDescent="0.25">
      <c r="A980" s="77" t="s">
        <v>1060</v>
      </c>
      <c r="B980" s="76" t="s">
        <v>119</v>
      </c>
      <c r="C980" s="76" t="s">
        <v>1274</v>
      </c>
      <c r="D980" s="76" t="s">
        <v>1275</v>
      </c>
      <c r="E980" s="79">
        <v>44062</v>
      </c>
      <c r="F980" s="76">
        <v>80.59</v>
      </c>
      <c r="G980" s="76">
        <v>1</v>
      </c>
    </row>
    <row r="981" spans="1:7" x14ac:dyDescent="0.25">
      <c r="A981" s="77" t="s">
        <v>1060</v>
      </c>
      <c r="B981" s="76" t="s">
        <v>119</v>
      </c>
      <c r="C981" s="76" t="s">
        <v>1276</v>
      </c>
      <c r="D981" s="76" t="s">
        <v>1277</v>
      </c>
      <c r="E981" s="79">
        <v>44095</v>
      </c>
      <c r="F981" s="76">
        <v>88</v>
      </c>
      <c r="G981" s="76">
        <v>1</v>
      </c>
    </row>
    <row r="982" spans="1:7" x14ac:dyDescent="0.25">
      <c r="A982" s="77" t="s">
        <v>1060</v>
      </c>
      <c r="B982" s="76" t="s">
        <v>119</v>
      </c>
      <c r="C982" s="76" t="s">
        <v>1278</v>
      </c>
      <c r="D982" s="76" t="s">
        <v>1279</v>
      </c>
      <c r="E982" s="79">
        <v>44186</v>
      </c>
      <c r="F982" s="76">
        <v>82.42</v>
      </c>
      <c r="G982" s="76">
        <v>0.6</v>
      </c>
    </row>
    <row r="983" spans="1:7" x14ac:dyDescent="0.25">
      <c r="A983" s="77" t="s">
        <v>1060</v>
      </c>
      <c r="B983" s="76" t="s">
        <v>119</v>
      </c>
      <c r="C983" s="76" t="s">
        <v>1280</v>
      </c>
      <c r="D983" s="76" t="s">
        <v>1281</v>
      </c>
      <c r="E983" s="79">
        <v>44186</v>
      </c>
      <c r="F983" s="76">
        <v>83.07</v>
      </c>
      <c r="G983" s="76">
        <v>0.5</v>
      </c>
    </row>
    <row r="984" spans="1:7" x14ac:dyDescent="0.25">
      <c r="A984" s="77" t="s">
        <v>1060</v>
      </c>
      <c r="B984" s="76" t="s">
        <v>119</v>
      </c>
      <c r="C984" s="76" t="s">
        <v>1282</v>
      </c>
      <c r="D984" s="76" t="s">
        <v>1283</v>
      </c>
      <c r="E984" s="79">
        <v>44246</v>
      </c>
      <c r="F984" s="76">
        <v>90</v>
      </c>
      <c r="G984" s="76">
        <v>0.26</v>
      </c>
    </row>
    <row r="985" spans="1:7" x14ac:dyDescent="0.25">
      <c r="A985" s="77" t="s">
        <v>1060</v>
      </c>
      <c r="B985" s="76" t="s">
        <v>119</v>
      </c>
      <c r="C985" s="76" t="s">
        <v>1284</v>
      </c>
      <c r="D985" s="76" t="s">
        <v>1285</v>
      </c>
      <c r="E985" s="79">
        <v>44123</v>
      </c>
      <c r="F985" s="76">
        <v>92</v>
      </c>
      <c r="G985" s="76">
        <v>0.2</v>
      </c>
    </row>
    <row r="986" spans="1:7" x14ac:dyDescent="0.25">
      <c r="A986" s="77" t="s">
        <v>1060</v>
      </c>
      <c r="B986" s="76" t="s">
        <v>119</v>
      </c>
      <c r="C986" s="76" t="s">
        <v>117</v>
      </c>
      <c r="D986" s="76" t="s">
        <v>118</v>
      </c>
      <c r="E986" s="79">
        <v>44123</v>
      </c>
      <c r="F986" s="76">
        <v>90</v>
      </c>
      <c r="G986" s="76">
        <v>0.4</v>
      </c>
    </row>
    <row r="987" spans="1:7" x14ac:dyDescent="0.25">
      <c r="A987" s="77" t="s">
        <v>1060</v>
      </c>
      <c r="B987" s="76" t="s">
        <v>119</v>
      </c>
      <c r="C987" s="76" t="s">
        <v>1290</v>
      </c>
      <c r="D987" s="76" t="s">
        <v>1291</v>
      </c>
      <c r="E987" s="79">
        <v>44123</v>
      </c>
      <c r="F987" s="76">
        <v>77</v>
      </c>
      <c r="G987" s="76">
        <v>1</v>
      </c>
    </row>
    <row r="988" spans="1:7" x14ac:dyDescent="0.25">
      <c r="A988" s="77" t="s">
        <v>1060</v>
      </c>
      <c r="B988" s="76" t="s">
        <v>119</v>
      </c>
      <c r="C988" s="76">
        <v>67462</v>
      </c>
      <c r="D988" s="76" t="s">
        <v>3105</v>
      </c>
      <c r="E988" s="79">
        <v>44214</v>
      </c>
      <c r="F988" s="76">
        <v>108</v>
      </c>
      <c r="G988" s="76">
        <v>0.3</v>
      </c>
    </row>
    <row r="989" spans="1:7" x14ac:dyDescent="0.25">
      <c r="A989" s="77" t="s">
        <v>1060</v>
      </c>
      <c r="B989" s="76" t="s">
        <v>119</v>
      </c>
      <c r="C989" s="76">
        <v>67519</v>
      </c>
      <c r="D989" s="76" t="s">
        <v>3106</v>
      </c>
      <c r="E989" s="79">
        <v>44214</v>
      </c>
      <c r="F989" s="76">
        <v>103</v>
      </c>
      <c r="G989" s="76">
        <v>0.2</v>
      </c>
    </row>
    <row r="990" spans="1:7" x14ac:dyDescent="0.25">
      <c r="A990" s="77" t="s">
        <v>1060</v>
      </c>
      <c r="B990" s="76" t="s">
        <v>119</v>
      </c>
      <c r="C990" s="76" t="s">
        <v>1294</v>
      </c>
      <c r="D990" s="76" t="s">
        <v>1295</v>
      </c>
      <c r="E990" s="79">
        <v>44123</v>
      </c>
      <c r="F990" s="76">
        <v>81.5</v>
      </c>
      <c r="G990" s="76">
        <v>1</v>
      </c>
    </row>
    <row r="991" spans="1:7" x14ac:dyDescent="0.25">
      <c r="A991" s="77" t="s">
        <v>1060</v>
      </c>
      <c r="B991" s="76" t="s">
        <v>119</v>
      </c>
      <c r="C991" s="76" t="s">
        <v>1286</v>
      </c>
      <c r="D991" s="76" t="s">
        <v>1287</v>
      </c>
      <c r="E991" s="79">
        <v>44091</v>
      </c>
      <c r="F991" s="76">
        <v>85</v>
      </c>
      <c r="G991" s="76">
        <v>1</v>
      </c>
    </row>
    <row r="992" spans="1:7" x14ac:dyDescent="0.25">
      <c r="A992" s="77" t="s">
        <v>1060</v>
      </c>
      <c r="B992" s="76" t="s">
        <v>119</v>
      </c>
      <c r="C992" s="76" t="s">
        <v>1288</v>
      </c>
      <c r="D992" s="76" t="s">
        <v>1289</v>
      </c>
      <c r="E992" s="79">
        <v>44060</v>
      </c>
      <c r="F992" s="76">
        <v>91</v>
      </c>
      <c r="G992" s="76">
        <v>1</v>
      </c>
    </row>
    <row r="993" spans="1:7" x14ac:dyDescent="0.25">
      <c r="A993" s="77" t="s">
        <v>1060</v>
      </c>
      <c r="B993" s="76" t="s">
        <v>119</v>
      </c>
      <c r="C993" s="76">
        <v>67226</v>
      </c>
      <c r="D993" s="76" t="s">
        <v>3107</v>
      </c>
      <c r="E993" s="79">
        <v>44210</v>
      </c>
      <c r="F993" s="76">
        <v>105</v>
      </c>
      <c r="G993" s="76">
        <v>1</v>
      </c>
    </row>
    <row r="994" spans="1:7" x14ac:dyDescent="0.25">
      <c r="A994" s="77" t="s">
        <v>1060</v>
      </c>
      <c r="B994" s="76" t="s">
        <v>119</v>
      </c>
      <c r="C994" s="76" t="s">
        <v>1292</v>
      </c>
      <c r="D994" s="76" t="s">
        <v>1293</v>
      </c>
      <c r="E994" s="79">
        <v>44090</v>
      </c>
      <c r="F994" s="76">
        <v>90</v>
      </c>
      <c r="G994" s="76">
        <v>0.70099999999999996</v>
      </c>
    </row>
    <row r="995" spans="1:7" x14ac:dyDescent="0.25">
      <c r="A995" s="77" t="s">
        <v>1060</v>
      </c>
      <c r="B995" s="76" t="s">
        <v>119</v>
      </c>
      <c r="C995" s="76">
        <v>67143</v>
      </c>
      <c r="D995" s="76" t="s">
        <v>3108</v>
      </c>
      <c r="E995" s="79">
        <v>44299</v>
      </c>
      <c r="F995" s="76">
        <v>105</v>
      </c>
      <c r="G995" s="76">
        <v>0.13</v>
      </c>
    </row>
    <row r="996" spans="1:7" x14ac:dyDescent="0.25">
      <c r="A996" s="77" t="s">
        <v>1060</v>
      </c>
      <c r="B996" s="76" t="s">
        <v>119</v>
      </c>
      <c r="C996" s="76">
        <v>67093</v>
      </c>
      <c r="D996" s="76" t="s">
        <v>3109</v>
      </c>
      <c r="E996" s="79">
        <v>44209</v>
      </c>
      <c r="F996" s="76">
        <v>100</v>
      </c>
      <c r="G996" s="76">
        <v>0.5</v>
      </c>
    </row>
    <row r="997" spans="1:7" x14ac:dyDescent="0.25">
      <c r="A997" s="77" t="s">
        <v>1060</v>
      </c>
      <c r="B997" s="76" t="s">
        <v>119</v>
      </c>
      <c r="C997" s="76">
        <v>66839</v>
      </c>
      <c r="D997" s="76" t="s">
        <v>3110</v>
      </c>
      <c r="E997" s="79">
        <v>44207</v>
      </c>
      <c r="F997" s="76">
        <v>105</v>
      </c>
      <c r="G997" s="76">
        <v>0.4</v>
      </c>
    </row>
    <row r="998" spans="1:7" x14ac:dyDescent="0.25">
      <c r="A998" s="77" t="s">
        <v>1060</v>
      </c>
      <c r="B998" s="76" t="s">
        <v>119</v>
      </c>
      <c r="C998" s="76">
        <v>66712</v>
      </c>
      <c r="D998" s="76" t="s">
        <v>2931</v>
      </c>
      <c r="E998" s="79">
        <v>44204</v>
      </c>
      <c r="F998" s="76">
        <v>103</v>
      </c>
      <c r="G998" s="76">
        <v>0.35</v>
      </c>
    </row>
    <row r="999" spans="1:7" x14ac:dyDescent="0.25">
      <c r="A999" s="77" t="s">
        <v>1060</v>
      </c>
      <c r="B999" s="76" t="s">
        <v>119</v>
      </c>
      <c r="C999" s="76">
        <v>66713</v>
      </c>
      <c r="D999" s="76" t="s">
        <v>2932</v>
      </c>
      <c r="E999" s="79">
        <v>44204</v>
      </c>
      <c r="F999" s="76">
        <v>101</v>
      </c>
      <c r="G999" s="76">
        <v>0.35</v>
      </c>
    </row>
    <row r="1000" spans="1:7" x14ac:dyDescent="0.25">
      <c r="A1000" s="77" t="s">
        <v>1060</v>
      </c>
      <c r="B1000" s="76" t="s">
        <v>119</v>
      </c>
      <c r="C1000" s="76">
        <v>66714</v>
      </c>
      <c r="D1000" s="76" t="s">
        <v>2933</v>
      </c>
      <c r="E1000" s="79">
        <v>44204</v>
      </c>
      <c r="F1000" s="76">
        <v>96</v>
      </c>
      <c r="G1000" s="76">
        <v>0.2</v>
      </c>
    </row>
    <row r="1001" spans="1:7" x14ac:dyDescent="0.25">
      <c r="A1001" s="77" t="s">
        <v>1060</v>
      </c>
      <c r="B1001" s="76" t="s">
        <v>119</v>
      </c>
      <c r="C1001" s="76">
        <v>66715</v>
      </c>
      <c r="D1001" s="76" t="s">
        <v>2934</v>
      </c>
      <c r="E1001" s="79">
        <v>44204</v>
      </c>
      <c r="F1001" s="76">
        <v>94.75</v>
      </c>
      <c r="G1001" s="76">
        <v>0.2</v>
      </c>
    </row>
    <row r="1002" spans="1:7" x14ac:dyDescent="0.25">
      <c r="A1002" s="77" t="s">
        <v>1060</v>
      </c>
      <c r="B1002" s="76" t="s">
        <v>119</v>
      </c>
      <c r="C1002" s="76" t="s">
        <v>1300</v>
      </c>
      <c r="D1002" s="76" t="s">
        <v>1301</v>
      </c>
      <c r="E1002" s="79">
        <v>44179</v>
      </c>
      <c r="F1002" s="76">
        <v>80</v>
      </c>
      <c r="G1002" s="76">
        <v>1</v>
      </c>
    </row>
    <row r="1003" spans="1:7" x14ac:dyDescent="0.25">
      <c r="A1003" s="77" t="s">
        <v>1060</v>
      </c>
      <c r="B1003" s="76" t="s">
        <v>119</v>
      </c>
      <c r="C1003" s="76" t="s">
        <v>1298</v>
      </c>
      <c r="D1003" s="76" t="s">
        <v>1299</v>
      </c>
      <c r="E1003" s="79">
        <v>44055</v>
      </c>
      <c r="F1003" s="76">
        <v>81.900000000000006</v>
      </c>
      <c r="G1003" s="76">
        <v>0.5</v>
      </c>
    </row>
    <row r="1004" spans="1:7" x14ac:dyDescent="0.25">
      <c r="A1004" s="77" t="s">
        <v>1060</v>
      </c>
      <c r="B1004" s="76" t="s">
        <v>119</v>
      </c>
      <c r="C1004" s="76">
        <v>65835</v>
      </c>
      <c r="D1004" s="76" t="s">
        <v>2777</v>
      </c>
      <c r="E1004" s="79">
        <v>44196</v>
      </c>
      <c r="F1004" s="76">
        <v>91.25</v>
      </c>
      <c r="G1004" s="76">
        <v>0.2</v>
      </c>
    </row>
    <row r="1005" spans="1:7" x14ac:dyDescent="0.25">
      <c r="A1005" s="77" t="s">
        <v>1060</v>
      </c>
      <c r="B1005" s="76" t="s">
        <v>119</v>
      </c>
      <c r="C1005" s="76" t="s">
        <v>1302</v>
      </c>
      <c r="D1005" s="76" t="s">
        <v>1303</v>
      </c>
      <c r="E1005" s="79">
        <v>44116</v>
      </c>
      <c r="F1005" s="76">
        <v>84</v>
      </c>
      <c r="G1005" s="76">
        <v>1</v>
      </c>
    </row>
    <row r="1006" spans="1:7" x14ac:dyDescent="0.25">
      <c r="A1006" s="77" t="s">
        <v>1060</v>
      </c>
      <c r="B1006" s="76" t="s">
        <v>119</v>
      </c>
      <c r="C1006" s="76">
        <v>65637</v>
      </c>
      <c r="D1006" s="76" t="s">
        <v>2778</v>
      </c>
      <c r="E1006" s="79">
        <v>44193</v>
      </c>
      <c r="F1006" s="76">
        <v>91.75</v>
      </c>
      <c r="G1006" s="76">
        <v>0.2</v>
      </c>
    </row>
    <row r="1007" spans="1:7" x14ac:dyDescent="0.25">
      <c r="A1007" s="77" t="s">
        <v>1060</v>
      </c>
      <c r="B1007" s="76" t="s">
        <v>119</v>
      </c>
      <c r="C1007" s="76">
        <v>65638</v>
      </c>
      <c r="D1007" s="76" t="s">
        <v>2779</v>
      </c>
      <c r="E1007" s="79">
        <v>44193</v>
      </c>
      <c r="F1007" s="76">
        <v>90.75</v>
      </c>
      <c r="G1007" s="76">
        <v>0.2</v>
      </c>
    </row>
    <row r="1008" spans="1:7" x14ac:dyDescent="0.25">
      <c r="A1008" s="77" t="s">
        <v>1060</v>
      </c>
      <c r="B1008" s="76" t="s">
        <v>119</v>
      </c>
      <c r="C1008" s="76">
        <v>65492</v>
      </c>
      <c r="D1008" s="76" t="s">
        <v>2722</v>
      </c>
      <c r="E1008" s="79">
        <v>44277</v>
      </c>
      <c r="F1008" s="76">
        <v>92.5</v>
      </c>
      <c r="G1008" s="76">
        <v>0.12</v>
      </c>
    </row>
    <row r="1009" spans="1:7" x14ac:dyDescent="0.25">
      <c r="A1009" s="77" t="s">
        <v>1060</v>
      </c>
      <c r="B1009" s="76" t="s">
        <v>119</v>
      </c>
      <c r="C1009" s="76" t="s">
        <v>122</v>
      </c>
      <c r="D1009" s="76" t="s">
        <v>123</v>
      </c>
      <c r="E1009" s="79">
        <v>44048</v>
      </c>
      <c r="F1009" s="76">
        <v>88</v>
      </c>
      <c r="G1009" s="76">
        <v>0.6</v>
      </c>
    </row>
    <row r="1010" spans="1:7" x14ac:dyDescent="0.25">
      <c r="A1010" s="77" t="s">
        <v>1060</v>
      </c>
      <c r="B1010" s="76" t="s">
        <v>119</v>
      </c>
      <c r="C1010" s="76">
        <v>65459</v>
      </c>
      <c r="D1010" s="76" t="s">
        <v>2721</v>
      </c>
      <c r="E1010" s="79">
        <v>44187</v>
      </c>
      <c r="F1010" s="76">
        <v>90.73</v>
      </c>
      <c r="G1010" s="76">
        <v>0.16</v>
      </c>
    </row>
    <row r="1011" spans="1:7" x14ac:dyDescent="0.25">
      <c r="A1011" s="77" t="s">
        <v>1060</v>
      </c>
      <c r="B1011" s="76" t="s">
        <v>119</v>
      </c>
      <c r="C1011" s="76">
        <v>65358</v>
      </c>
      <c r="D1011" s="76" t="s">
        <v>2685</v>
      </c>
      <c r="E1011" s="79">
        <v>44186</v>
      </c>
      <c r="F1011" s="76">
        <v>93.25</v>
      </c>
      <c r="G1011" s="76">
        <v>0.2</v>
      </c>
    </row>
    <row r="1012" spans="1:7" x14ac:dyDescent="0.25">
      <c r="A1012" s="77" t="s">
        <v>1060</v>
      </c>
      <c r="B1012" s="76" t="s">
        <v>119</v>
      </c>
      <c r="C1012" s="76">
        <v>65359</v>
      </c>
      <c r="D1012" s="76" t="s">
        <v>2686</v>
      </c>
      <c r="E1012" s="79">
        <v>44186</v>
      </c>
      <c r="F1012" s="76">
        <v>91.75</v>
      </c>
      <c r="G1012" s="76">
        <v>0.15</v>
      </c>
    </row>
    <row r="1013" spans="1:7" x14ac:dyDescent="0.25">
      <c r="A1013" s="77" t="s">
        <v>1060</v>
      </c>
      <c r="B1013" s="76" t="s">
        <v>119</v>
      </c>
      <c r="C1013" s="76">
        <v>65275</v>
      </c>
      <c r="D1013" s="76" t="s">
        <v>2687</v>
      </c>
      <c r="E1013" s="79">
        <v>44245</v>
      </c>
      <c r="F1013" s="76">
        <v>90</v>
      </c>
      <c r="G1013" s="76">
        <v>0.15</v>
      </c>
    </row>
    <row r="1014" spans="1:7" x14ac:dyDescent="0.25">
      <c r="A1014" s="77" t="s">
        <v>1060</v>
      </c>
      <c r="B1014" s="76" t="s">
        <v>119</v>
      </c>
      <c r="C1014" s="76">
        <v>65276</v>
      </c>
      <c r="D1014" s="76" t="s">
        <v>2688</v>
      </c>
      <c r="E1014" s="79">
        <v>44245</v>
      </c>
      <c r="F1014" s="76">
        <v>95</v>
      </c>
      <c r="G1014" s="76">
        <v>0.3</v>
      </c>
    </row>
    <row r="1015" spans="1:7" x14ac:dyDescent="0.25">
      <c r="A1015" s="77" t="s">
        <v>1060</v>
      </c>
      <c r="B1015" s="76" t="s">
        <v>119</v>
      </c>
      <c r="C1015" s="76">
        <v>65123</v>
      </c>
      <c r="D1015" s="76" t="s">
        <v>2689</v>
      </c>
      <c r="E1015" s="79">
        <v>44181</v>
      </c>
      <c r="F1015" s="76">
        <v>101.49</v>
      </c>
      <c r="G1015" s="76">
        <v>0.39</v>
      </c>
    </row>
    <row r="1016" spans="1:7" x14ac:dyDescent="0.25">
      <c r="A1016" s="77" t="s">
        <v>1060</v>
      </c>
      <c r="B1016" s="76" t="s">
        <v>119</v>
      </c>
      <c r="C1016" s="76">
        <v>65162</v>
      </c>
      <c r="D1016" s="76" t="s">
        <v>2690</v>
      </c>
      <c r="E1016" s="79">
        <v>44182</v>
      </c>
      <c r="F1016" s="76">
        <v>95</v>
      </c>
      <c r="G1016" s="76">
        <v>0.2</v>
      </c>
    </row>
    <row r="1017" spans="1:7" x14ac:dyDescent="0.25">
      <c r="A1017" s="77" t="s">
        <v>1060</v>
      </c>
      <c r="B1017" s="76" t="s">
        <v>119</v>
      </c>
      <c r="C1017" s="76" t="s">
        <v>1304</v>
      </c>
      <c r="D1017" s="76" t="s">
        <v>1305</v>
      </c>
      <c r="E1017" s="79">
        <v>44048</v>
      </c>
      <c r="F1017" s="76">
        <v>81.7</v>
      </c>
      <c r="G1017" s="76">
        <v>0.5</v>
      </c>
    </row>
    <row r="1018" spans="1:7" x14ac:dyDescent="0.25">
      <c r="A1018" s="77" t="s">
        <v>1060</v>
      </c>
      <c r="B1018" s="76" t="s">
        <v>119</v>
      </c>
      <c r="C1018" s="76">
        <v>64961</v>
      </c>
      <c r="D1018" s="76" t="s">
        <v>2691</v>
      </c>
      <c r="E1018" s="79">
        <v>44180</v>
      </c>
      <c r="F1018" s="76">
        <v>89.75</v>
      </c>
      <c r="G1018" s="76">
        <v>0.15</v>
      </c>
    </row>
    <row r="1019" spans="1:7" x14ac:dyDescent="0.25">
      <c r="A1019" s="77" t="s">
        <v>1060</v>
      </c>
      <c r="B1019" s="76" t="s">
        <v>119</v>
      </c>
      <c r="C1019" s="76">
        <v>64962</v>
      </c>
      <c r="D1019" s="76" t="s">
        <v>2692</v>
      </c>
      <c r="E1019" s="79">
        <v>44180</v>
      </c>
      <c r="F1019" s="76">
        <v>94.25</v>
      </c>
      <c r="G1019" s="76">
        <v>0.15</v>
      </c>
    </row>
    <row r="1020" spans="1:7" x14ac:dyDescent="0.25">
      <c r="A1020" s="77" t="s">
        <v>1060</v>
      </c>
      <c r="B1020" s="76" t="s">
        <v>119</v>
      </c>
      <c r="C1020" s="76">
        <v>64607</v>
      </c>
      <c r="D1020" s="76" t="s">
        <v>2550</v>
      </c>
      <c r="E1020" s="79">
        <v>44175</v>
      </c>
      <c r="F1020" s="76">
        <v>90.25</v>
      </c>
      <c r="G1020" s="76">
        <v>0.15</v>
      </c>
    </row>
    <row r="1021" spans="1:7" x14ac:dyDescent="0.25">
      <c r="A1021" s="77" t="s">
        <v>1060</v>
      </c>
      <c r="B1021" s="76" t="s">
        <v>119</v>
      </c>
      <c r="C1021" s="76">
        <v>63987</v>
      </c>
      <c r="D1021" s="76" t="s">
        <v>2480</v>
      </c>
      <c r="E1021" s="79">
        <v>44167</v>
      </c>
      <c r="F1021" s="76">
        <v>93.61</v>
      </c>
      <c r="G1021" s="76">
        <v>0.41</v>
      </c>
    </row>
    <row r="1022" spans="1:7" x14ac:dyDescent="0.25">
      <c r="A1022" s="77" t="s">
        <v>1060</v>
      </c>
      <c r="B1022" s="76" t="s">
        <v>119</v>
      </c>
      <c r="C1022" s="76">
        <v>64652</v>
      </c>
      <c r="D1022" s="76" t="s">
        <v>2551</v>
      </c>
      <c r="E1022" s="79">
        <v>44176</v>
      </c>
      <c r="F1022" s="76">
        <v>92.25</v>
      </c>
      <c r="G1022" s="76">
        <v>0.15</v>
      </c>
    </row>
    <row r="1023" spans="1:7" x14ac:dyDescent="0.25">
      <c r="A1023" s="77" t="s">
        <v>1060</v>
      </c>
      <c r="B1023" s="76" t="s">
        <v>119</v>
      </c>
      <c r="C1023" s="76">
        <v>64205</v>
      </c>
      <c r="D1023" s="76" t="s">
        <v>2552</v>
      </c>
      <c r="E1023" s="79">
        <v>44203</v>
      </c>
      <c r="F1023" s="76">
        <v>98</v>
      </c>
      <c r="G1023" s="76">
        <v>0.5</v>
      </c>
    </row>
    <row r="1024" spans="1:7" x14ac:dyDescent="0.25">
      <c r="A1024" s="77" t="s">
        <v>1060</v>
      </c>
      <c r="B1024" s="76" t="s">
        <v>119</v>
      </c>
      <c r="C1024" s="76">
        <v>64269</v>
      </c>
      <c r="D1024" s="76" t="s">
        <v>2553</v>
      </c>
      <c r="E1024" s="79">
        <v>44172</v>
      </c>
      <c r="F1024" s="76">
        <v>86.75</v>
      </c>
      <c r="G1024" s="76">
        <v>0.15</v>
      </c>
    </row>
    <row r="1025" spans="1:7" x14ac:dyDescent="0.25">
      <c r="A1025" s="77" t="s">
        <v>1060</v>
      </c>
      <c r="B1025" s="76" t="s">
        <v>119</v>
      </c>
      <c r="C1025" s="76">
        <v>64298</v>
      </c>
      <c r="D1025" s="76" t="s">
        <v>2554</v>
      </c>
      <c r="E1025" s="79">
        <v>44204</v>
      </c>
      <c r="F1025" s="76">
        <v>99</v>
      </c>
      <c r="G1025" s="76">
        <v>0.5</v>
      </c>
    </row>
    <row r="1026" spans="1:7" x14ac:dyDescent="0.25">
      <c r="A1026" s="77" t="s">
        <v>1060</v>
      </c>
      <c r="B1026" s="76" t="s">
        <v>119</v>
      </c>
      <c r="C1026" s="76">
        <v>64320</v>
      </c>
      <c r="D1026" s="76" t="s">
        <v>2555</v>
      </c>
      <c r="E1026" s="79">
        <v>44173</v>
      </c>
      <c r="F1026" s="76">
        <v>88.25</v>
      </c>
      <c r="G1026" s="76">
        <v>0.2</v>
      </c>
    </row>
    <row r="1027" spans="1:7" x14ac:dyDescent="0.25">
      <c r="A1027" s="77" t="s">
        <v>1060</v>
      </c>
      <c r="B1027" s="76" t="s">
        <v>119</v>
      </c>
      <c r="C1027" s="76">
        <v>63770</v>
      </c>
      <c r="D1027" s="76" t="s">
        <v>2400</v>
      </c>
      <c r="E1027" s="79">
        <v>44257</v>
      </c>
      <c r="F1027" s="76">
        <v>82</v>
      </c>
      <c r="G1027" s="76">
        <v>0.1</v>
      </c>
    </row>
    <row r="1028" spans="1:7" x14ac:dyDescent="0.25">
      <c r="A1028" s="77" t="s">
        <v>1060</v>
      </c>
      <c r="B1028" s="76" t="s">
        <v>119</v>
      </c>
      <c r="C1028" s="76">
        <v>63097</v>
      </c>
      <c r="D1028" s="76" t="s">
        <v>2376</v>
      </c>
      <c r="E1028" s="79">
        <v>44217</v>
      </c>
      <c r="F1028" s="76">
        <v>87.5</v>
      </c>
      <c r="G1028" s="76">
        <v>0.35</v>
      </c>
    </row>
    <row r="1029" spans="1:7" x14ac:dyDescent="0.25">
      <c r="A1029" s="77" t="s">
        <v>1060</v>
      </c>
      <c r="B1029" s="76" t="s">
        <v>119</v>
      </c>
      <c r="C1029" s="76">
        <v>63098</v>
      </c>
      <c r="D1029" s="76" t="s">
        <v>2377</v>
      </c>
      <c r="E1029" s="79">
        <v>44217</v>
      </c>
      <c r="F1029" s="76">
        <v>92.5</v>
      </c>
      <c r="G1029" s="76">
        <v>0.4</v>
      </c>
    </row>
    <row r="1030" spans="1:7" x14ac:dyDescent="0.25">
      <c r="A1030" s="77" t="s">
        <v>1060</v>
      </c>
      <c r="B1030" s="76" t="s">
        <v>119</v>
      </c>
      <c r="C1030" s="76">
        <v>62713</v>
      </c>
      <c r="D1030" s="76" t="s">
        <v>2303</v>
      </c>
      <c r="E1030" s="79">
        <v>44244</v>
      </c>
      <c r="F1030" s="76">
        <v>100</v>
      </c>
      <c r="G1030" s="76">
        <v>0.25</v>
      </c>
    </row>
    <row r="1031" spans="1:7" x14ac:dyDescent="0.25">
      <c r="A1031" s="77" t="s">
        <v>1060</v>
      </c>
      <c r="B1031" s="76" t="s">
        <v>119</v>
      </c>
      <c r="C1031" s="76">
        <v>62714</v>
      </c>
      <c r="D1031" s="76" t="s">
        <v>2304</v>
      </c>
      <c r="E1031" s="79">
        <v>44182</v>
      </c>
      <c r="F1031" s="76">
        <v>78</v>
      </c>
      <c r="G1031" s="76">
        <v>0.15</v>
      </c>
    </row>
    <row r="1032" spans="1:7" x14ac:dyDescent="0.25">
      <c r="A1032" s="77" t="s">
        <v>1060</v>
      </c>
      <c r="B1032" s="76" t="s">
        <v>119</v>
      </c>
      <c r="C1032" s="76">
        <v>61009</v>
      </c>
      <c r="D1032" s="76" t="s">
        <v>1878</v>
      </c>
      <c r="E1032" s="79">
        <v>44244</v>
      </c>
      <c r="F1032" s="76">
        <v>85</v>
      </c>
      <c r="G1032" s="76">
        <v>0.15</v>
      </c>
    </row>
    <row r="1033" spans="1:7" x14ac:dyDescent="0.25">
      <c r="A1033" s="77" t="s">
        <v>1060</v>
      </c>
      <c r="B1033" s="76" t="s">
        <v>119</v>
      </c>
      <c r="C1033" s="76">
        <v>63156</v>
      </c>
      <c r="D1033" s="76" t="s">
        <v>2378</v>
      </c>
      <c r="E1033" s="79">
        <v>44186</v>
      </c>
      <c r="F1033" s="76">
        <v>88.36</v>
      </c>
      <c r="G1033" s="76">
        <v>0.12</v>
      </c>
    </row>
    <row r="1034" spans="1:7" x14ac:dyDescent="0.25">
      <c r="A1034" s="77" t="s">
        <v>1060</v>
      </c>
      <c r="B1034" s="76" t="s">
        <v>119</v>
      </c>
      <c r="C1034" s="76">
        <v>63043</v>
      </c>
      <c r="D1034" s="76" t="s">
        <v>2302</v>
      </c>
      <c r="E1034" s="79">
        <v>44155</v>
      </c>
      <c r="F1034" s="76">
        <v>86.52</v>
      </c>
      <c r="G1034" s="76">
        <v>0.3</v>
      </c>
    </row>
    <row r="1035" spans="1:7" x14ac:dyDescent="0.25">
      <c r="A1035" s="77" t="s">
        <v>1060</v>
      </c>
      <c r="B1035" s="76" t="s">
        <v>119</v>
      </c>
      <c r="C1035" s="76">
        <v>62611</v>
      </c>
      <c r="D1035" s="76" t="s">
        <v>2305</v>
      </c>
      <c r="E1035" s="79">
        <v>44151</v>
      </c>
      <c r="F1035" s="76">
        <v>96.5</v>
      </c>
      <c r="G1035" s="76">
        <v>0.2</v>
      </c>
    </row>
    <row r="1036" spans="1:7" x14ac:dyDescent="0.25">
      <c r="A1036" s="77" t="s">
        <v>1060</v>
      </c>
      <c r="B1036" s="76" t="s">
        <v>119</v>
      </c>
      <c r="C1036" s="76">
        <v>62612</v>
      </c>
      <c r="D1036" s="76" t="s">
        <v>2306</v>
      </c>
      <c r="E1036" s="79">
        <v>44151</v>
      </c>
      <c r="F1036" s="76">
        <v>95.5</v>
      </c>
      <c r="G1036" s="76">
        <v>0.2</v>
      </c>
    </row>
    <row r="1037" spans="1:7" x14ac:dyDescent="0.25">
      <c r="A1037" s="77" t="s">
        <v>1060</v>
      </c>
      <c r="B1037" s="76" t="s">
        <v>119</v>
      </c>
      <c r="C1037" s="76">
        <v>62659</v>
      </c>
      <c r="D1037" s="76" t="s">
        <v>2307</v>
      </c>
      <c r="E1037" s="79">
        <v>44152</v>
      </c>
      <c r="F1037" s="76">
        <v>100</v>
      </c>
      <c r="G1037" s="76">
        <v>1</v>
      </c>
    </row>
    <row r="1038" spans="1:7" x14ac:dyDescent="0.25">
      <c r="A1038" s="77" t="s">
        <v>1060</v>
      </c>
      <c r="B1038" s="76" t="s">
        <v>119</v>
      </c>
      <c r="C1038" s="76">
        <v>62515</v>
      </c>
      <c r="D1038" s="76" t="s">
        <v>2308</v>
      </c>
      <c r="E1038" s="79">
        <v>44148</v>
      </c>
      <c r="F1038" s="76">
        <v>94.5</v>
      </c>
      <c r="G1038" s="76">
        <v>0.2</v>
      </c>
    </row>
    <row r="1039" spans="1:7" x14ac:dyDescent="0.25">
      <c r="A1039" s="77" t="s">
        <v>1060</v>
      </c>
      <c r="B1039" s="76" t="s">
        <v>119</v>
      </c>
      <c r="C1039" s="76">
        <v>62516</v>
      </c>
      <c r="D1039" s="76" t="s">
        <v>2309</v>
      </c>
      <c r="E1039" s="79">
        <v>44148</v>
      </c>
      <c r="F1039" s="76">
        <v>93.5</v>
      </c>
      <c r="G1039" s="76">
        <v>0.15</v>
      </c>
    </row>
    <row r="1040" spans="1:7" x14ac:dyDescent="0.25">
      <c r="A1040" s="77" t="s">
        <v>1060</v>
      </c>
      <c r="B1040" s="76" t="s">
        <v>119</v>
      </c>
      <c r="C1040" s="76">
        <v>62064</v>
      </c>
      <c r="D1040" s="76" t="s">
        <v>2170</v>
      </c>
      <c r="E1040" s="79">
        <v>44141</v>
      </c>
      <c r="F1040" s="76">
        <v>91.5</v>
      </c>
      <c r="G1040" s="76">
        <v>0.1</v>
      </c>
    </row>
    <row r="1041" spans="1:7" x14ac:dyDescent="0.25">
      <c r="A1041" s="77" t="s">
        <v>1060</v>
      </c>
      <c r="B1041" s="76" t="s">
        <v>119</v>
      </c>
      <c r="C1041" s="76">
        <v>62065</v>
      </c>
      <c r="D1041" s="76" t="s">
        <v>2171</v>
      </c>
      <c r="E1041" s="79">
        <v>44141</v>
      </c>
      <c r="F1041" s="76">
        <v>92.5</v>
      </c>
      <c r="G1041" s="76">
        <v>0.15</v>
      </c>
    </row>
    <row r="1042" spans="1:7" x14ac:dyDescent="0.25">
      <c r="A1042" s="77" t="s">
        <v>1060</v>
      </c>
      <c r="B1042" s="76" t="s">
        <v>119</v>
      </c>
      <c r="C1042" s="76">
        <v>62010</v>
      </c>
      <c r="D1042" s="76" t="s">
        <v>2086</v>
      </c>
      <c r="E1042" s="79">
        <v>44140</v>
      </c>
      <c r="F1042" s="76">
        <v>88</v>
      </c>
      <c r="G1042" s="76">
        <v>0.12</v>
      </c>
    </row>
    <row r="1043" spans="1:7" x14ac:dyDescent="0.25">
      <c r="A1043" s="77" t="s">
        <v>1060</v>
      </c>
      <c r="B1043" s="76" t="s">
        <v>119</v>
      </c>
      <c r="C1043" s="76">
        <v>61904</v>
      </c>
      <c r="D1043" s="76" t="s">
        <v>2087</v>
      </c>
      <c r="E1043" s="79">
        <v>44140</v>
      </c>
      <c r="F1043" s="76">
        <v>95</v>
      </c>
      <c r="G1043" s="76">
        <v>0.25</v>
      </c>
    </row>
    <row r="1044" spans="1:7" x14ac:dyDescent="0.25">
      <c r="A1044" s="77" t="s">
        <v>1060</v>
      </c>
      <c r="B1044" s="76" t="s">
        <v>119</v>
      </c>
      <c r="C1044" s="76">
        <v>61862</v>
      </c>
      <c r="D1044" s="76" t="s">
        <v>2088</v>
      </c>
      <c r="E1044" s="79">
        <v>44169</v>
      </c>
      <c r="F1044" s="76">
        <v>90.5</v>
      </c>
      <c r="G1044" s="76">
        <v>0.1</v>
      </c>
    </row>
    <row r="1045" spans="1:7" x14ac:dyDescent="0.25">
      <c r="A1045" s="77" t="s">
        <v>1060</v>
      </c>
      <c r="B1045" s="76" t="s">
        <v>119</v>
      </c>
      <c r="C1045" s="76">
        <v>61863</v>
      </c>
      <c r="D1045" s="76" t="s">
        <v>2089</v>
      </c>
      <c r="E1045" s="79">
        <v>44169</v>
      </c>
      <c r="F1045" s="76">
        <v>89.5</v>
      </c>
      <c r="G1045" s="76">
        <v>0.1</v>
      </c>
    </row>
    <row r="1046" spans="1:7" x14ac:dyDescent="0.25">
      <c r="A1046" s="77" t="s">
        <v>1060</v>
      </c>
      <c r="B1046" s="76" t="s">
        <v>119</v>
      </c>
      <c r="C1046" s="76">
        <v>61827</v>
      </c>
      <c r="D1046" s="76" t="s">
        <v>2090</v>
      </c>
      <c r="E1046" s="79">
        <v>44231</v>
      </c>
      <c r="F1046" s="76">
        <v>93</v>
      </c>
      <c r="G1046" s="76">
        <v>0.25</v>
      </c>
    </row>
    <row r="1047" spans="1:7" x14ac:dyDescent="0.25">
      <c r="A1047" s="77" t="s">
        <v>1060</v>
      </c>
      <c r="B1047" s="76" t="s">
        <v>119</v>
      </c>
      <c r="C1047" s="76">
        <v>61670</v>
      </c>
      <c r="D1047" s="76" t="s">
        <v>2031</v>
      </c>
      <c r="E1047" s="79">
        <v>44133</v>
      </c>
      <c r="F1047" s="76">
        <v>86.5</v>
      </c>
      <c r="G1047" s="76">
        <v>0.15</v>
      </c>
    </row>
    <row r="1048" spans="1:7" x14ac:dyDescent="0.25">
      <c r="A1048" s="77" t="s">
        <v>1060</v>
      </c>
      <c r="B1048" s="76" t="s">
        <v>119</v>
      </c>
      <c r="C1048" s="76">
        <v>61671</v>
      </c>
      <c r="D1048" s="76" t="s">
        <v>2032</v>
      </c>
      <c r="E1048" s="79">
        <v>44133</v>
      </c>
      <c r="F1048" s="76">
        <v>85.5</v>
      </c>
      <c r="G1048" s="76">
        <v>0.1</v>
      </c>
    </row>
    <row r="1049" spans="1:7" x14ac:dyDescent="0.25">
      <c r="A1049" s="77" t="s">
        <v>1060</v>
      </c>
      <c r="B1049" s="76" t="s">
        <v>119</v>
      </c>
      <c r="C1049" s="76">
        <v>61683</v>
      </c>
      <c r="D1049" s="76" t="s">
        <v>2033</v>
      </c>
      <c r="E1049" s="79">
        <v>44165</v>
      </c>
      <c r="F1049" s="76">
        <v>120</v>
      </c>
      <c r="G1049" s="76">
        <v>1</v>
      </c>
    </row>
    <row r="1050" spans="1:7" x14ac:dyDescent="0.25">
      <c r="A1050" s="77" t="s">
        <v>1060</v>
      </c>
      <c r="B1050" s="76" t="s">
        <v>119</v>
      </c>
      <c r="C1050" s="76">
        <v>61755</v>
      </c>
      <c r="D1050" s="76" t="s">
        <v>2044</v>
      </c>
      <c r="E1050" s="79">
        <v>44138</v>
      </c>
      <c r="F1050" s="76">
        <v>88.5</v>
      </c>
      <c r="G1050" s="76">
        <v>0.1</v>
      </c>
    </row>
    <row r="1051" spans="1:7" x14ac:dyDescent="0.25">
      <c r="A1051" s="77" t="s">
        <v>1060</v>
      </c>
      <c r="B1051" s="76" t="s">
        <v>119</v>
      </c>
      <c r="C1051" s="76">
        <v>61756</v>
      </c>
      <c r="D1051" s="76" t="s">
        <v>2045</v>
      </c>
      <c r="E1051" s="79">
        <v>44138</v>
      </c>
      <c r="F1051" s="76">
        <v>87.5</v>
      </c>
      <c r="G1051" s="76">
        <v>0.1</v>
      </c>
    </row>
    <row r="1052" spans="1:7" x14ac:dyDescent="0.25">
      <c r="A1052" s="77" t="s">
        <v>1060</v>
      </c>
      <c r="B1052" s="76" t="s">
        <v>119</v>
      </c>
      <c r="C1052" s="76">
        <v>61381</v>
      </c>
      <c r="D1052" s="76" t="s">
        <v>1990</v>
      </c>
      <c r="E1052" s="79">
        <v>44158</v>
      </c>
      <c r="F1052" s="76">
        <v>110</v>
      </c>
      <c r="G1052" s="76">
        <v>1</v>
      </c>
    </row>
    <row r="1053" spans="1:7" x14ac:dyDescent="0.25">
      <c r="A1053" s="77" t="s">
        <v>1060</v>
      </c>
      <c r="B1053" s="76" t="s">
        <v>119</v>
      </c>
      <c r="C1053" s="76">
        <v>61382</v>
      </c>
      <c r="D1053" s="76" t="s">
        <v>1991</v>
      </c>
      <c r="E1053" s="79">
        <v>44187</v>
      </c>
      <c r="F1053" s="76">
        <v>90</v>
      </c>
      <c r="G1053" s="76">
        <v>0.3</v>
      </c>
    </row>
    <row r="1054" spans="1:7" x14ac:dyDescent="0.25">
      <c r="A1054" s="77" t="s">
        <v>1060</v>
      </c>
      <c r="B1054" s="76" t="s">
        <v>119</v>
      </c>
      <c r="C1054" s="76">
        <v>61396</v>
      </c>
      <c r="D1054" s="76" t="s">
        <v>2008</v>
      </c>
      <c r="E1054" s="79">
        <v>44188</v>
      </c>
      <c r="F1054" s="76">
        <v>80.75</v>
      </c>
      <c r="G1054" s="76">
        <v>0.12</v>
      </c>
    </row>
    <row r="1055" spans="1:7" x14ac:dyDescent="0.25">
      <c r="A1055" s="77" t="s">
        <v>1060</v>
      </c>
      <c r="B1055" s="76" t="s">
        <v>119</v>
      </c>
      <c r="C1055" s="76">
        <v>61440</v>
      </c>
      <c r="D1055" s="76" t="s">
        <v>2009</v>
      </c>
      <c r="E1055" s="79">
        <v>44127</v>
      </c>
      <c r="F1055" s="76">
        <v>95.29</v>
      </c>
      <c r="G1055" s="76">
        <v>0.17</v>
      </c>
    </row>
    <row r="1056" spans="1:7" x14ac:dyDescent="0.25">
      <c r="A1056" s="77" t="s">
        <v>1060</v>
      </c>
      <c r="B1056" s="76" t="s">
        <v>119</v>
      </c>
      <c r="C1056" s="76">
        <v>61459</v>
      </c>
      <c r="D1056" s="76" t="s">
        <v>2010</v>
      </c>
      <c r="E1056" s="79">
        <v>44161</v>
      </c>
      <c r="F1056" s="76">
        <v>75</v>
      </c>
      <c r="G1056" s="76">
        <v>0.3</v>
      </c>
    </row>
    <row r="1057" spans="1:7" x14ac:dyDescent="0.25">
      <c r="A1057" s="77" t="s">
        <v>1060</v>
      </c>
      <c r="B1057" s="76" t="s">
        <v>119</v>
      </c>
      <c r="C1057" s="76">
        <v>61163</v>
      </c>
      <c r="D1057" s="76" t="s">
        <v>1972</v>
      </c>
      <c r="E1057" s="79">
        <v>44124</v>
      </c>
      <c r="F1057" s="76">
        <v>82</v>
      </c>
      <c r="G1057" s="76">
        <v>0.2</v>
      </c>
    </row>
    <row r="1058" spans="1:7" x14ac:dyDescent="0.25">
      <c r="A1058" s="77" t="s">
        <v>1060</v>
      </c>
      <c r="B1058" s="76" t="s">
        <v>119</v>
      </c>
      <c r="C1058" s="76">
        <v>61359</v>
      </c>
      <c r="D1058" s="76" t="s">
        <v>1989</v>
      </c>
      <c r="E1058" s="79">
        <v>44187</v>
      </c>
      <c r="F1058" s="76">
        <v>89.85</v>
      </c>
      <c r="G1058" s="76">
        <v>0.25</v>
      </c>
    </row>
    <row r="1059" spans="1:7" x14ac:dyDescent="0.25">
      <c r="A1059" s="77" t="s">
        <v>1060</v>
      </c>
      <c r="B1059" s="76" t="s">
        <v>119</v>
      </c>
      <c r="C1059" s="76">
        <v>61222</v>
      </c>
      <c r="D1059" s="76" t="s">
        <v>1971</v>
      </c>
      <c r="E1059" s="79">
        <v>44125</v>
      </c>
      <c r="F1059" s="76">
        <v>95.8</v>
      </c>
      <c r="G1059" s="76">
        <v>0.4</v>
      </c>
    </row>
    <row r="1060" spans="1:7" x14ac:dyDescent="0.25">
      <c r="A1060" s="77" t="s">
        <v>1060</v>
      </c>
      <c r="B1060" s="76" t="s">
        <v>119</v>
      </c>
      <c r="C1060" s="76">
        <v>61060</v>
      </c>
      <c r="D1060" s="76" t="s">
        <v>1877</v>
      </c>
      <c r="E1060" s="79">
        <v>44154</v>
      </c>
      <c r="F1060" s="76">
        <v>90</v>
      </c>
      <c r="G1060" s="76">
        <v>0.25</v>
      </c>
    </row>
    <row r="1061" spans="1:7" x14ac:dyDescent="0.25">
      <c r="A1061" s="77" t="s">
        <v>1060</v>
      </c>
      <c r="B1061" s="76" t="s">
        <v>119</v>
      </c>
      <c r="C1061" s="76">
        <v>60871</v>
      </c>
      <c r="D1061" s="76" t="s">
        <v>1666</v>
      </c>
      <c r="E1061" s="79">
        <v>44211</v>
      </c>
      <c r="F1061" s="76">
        <v>88</v>
      </c>
      <c r="G1061" s="76">
        <v>0.12</v>
      </c>
    </row>
    <row r="1062" spans="1:7" x14ac:dyDescent="0.25">
      <c r="A1062" s="77" t="s">
        <v>1060</v>
      </c>
      <c r="B1062" s="76" t="s">
        <v>119</v>
      </c>
      <c r="C1062" s="76">
        <v>60893</v>
      </c>
      <c r="D1062" s="76" t="s">
        <v>1667</v>
      </c>
      <c r="E1062" s="79">
        <v>44211</v>
      </c>
      <c r="F1062" s="76">
        <v>87</v>
      </c>
      <c r="G1062" s="76">
        <v>0.35</v>
      </c>
    </row>
    <row r="1063" spans="1:7" x14ac:dyDescent="0.25">
      <c r="A1063" s="77" t="s">
        <v>1060</v>
      </c>
      <c r="B1063" s="76" t="s">
        <v>119</v>
      </c>
      <c r="C1063" s="76">
        <v>60968</v>
      </c>
      <c r="D1063" s="76" t="s">
        <v>1879</v>
      </c>
      <c r="E1063" s="79">
        <v>44181</v>
      </c>
      <c r="F1063" s="76">
        <v>80</v>
      </c>
      <c r="G1063" s="76">
        <v>0.1</v>
      </c>
    </row>
    <row r="1064" spans="1:7" x14ac:dyDescent="0.25">
      <c r="A1064" s="77" t="s">
        <v>1060</v>
      </c>
      <c r="B1064" s="76" t="s">
        <v>119</v>
      </c>
      <c r="C1064" s="76">
        <v>60969</v>
      </c>
      <c r="D1064" s="76" t="s">
        <v>1880</v>
      </c>
      <c r="E1064" s="79">
        <v>44181</v>
      </c>
      <c r="F1064" s="76">
        <v>92</v>
      </c>
      <c r="G1064" s="76">
        <v>0.15</v>
      </c>
    </row>
    <row r="1065" spans="1:7" x14ac:dyDescent="0.25">
      <c r="A1065" s="77" t="s">
        <v>1060</v>
      </c>
      <c r="B1065" s="76" t="s">
        <v>119</v>
      </c>
      <c r="C1065" s="76">
        <v>60803</v>
      </c>
      <c r="D1065" s="76" t="s">
        <v>1668</v>
      </c>
      <c r="E1065" s="79">
        <v>44118</v>
      </c>
      <c r="F1065" s="76">
        <v>80</v>
      </c>
      <c r="G1065" s="76">
        <v>0.3</v>
      </c>
    </row>
    <row r="1066" spans="1:7" x14ac:dyDescent="0.25">
      <c r="A1066" s="77" t="s">
        <v>1060</v>
      </c>
      <c r="B1066" s="76" t="s">
        <v>119</v>
      </c>
      <c r="C1066" s="76">
        <v>60205</v>
      </c>
      <c r="D1066" s="76" t="s">
        <v>1555</v>
      </c>
      <c r="E1066" s="79">
        <v>44232</v>
      </c>
      <c r="F1066" s="76">
        <v>80</v>
      </c>
      <c r="G1066" s="76">
        <v>0.15</v>
      </c>
    </row>
    <row r="1067" spans="1:7" x14ac:dyDescent="0.25">
      <c r="A1067" s="77" t="s">
        <v>1060</v>
      </c>
      <c r="B1067" s="76" t="s">
        <v>119</v>
      </c>
      <c r="C1067" s="76">
        <v>60658</v>
      </c>
      <c r="D1067" s="76" t="s">
        <v>1663</v>
      </c>
      <c r="E1067" s="79">
        <v>44208</v>
      </c>
      <c r="F1067" s="76">
        <v>81</v>
      </c>
      <c r="G1067" s="76">
        <v>0.15</v>
      </c>
    </row>
    <row r="1068" spans="1:7" x14ac:dyDescent="0.25">
      <c r="A1068" s="77" t="s">
        <v>1060</v>
      </c>
      <c r="B1068" s="76" t="s">
        <v>119</v>
      </c>
      <c r="C1068" s="76">
        <v>60724</v>
      </c>
      <c r="D1068" s="76" t="s">
        <v>1664</v>
      </c>
      <c r="E1068" s="79">
        <v>44117</v>
      </c>
      <c r="F1068" s="76">
        <v>87.18</v>
      </c>
      <c r="G1068" s="76">
        <v>0.12</v>
      </c>
    </row>
    <row r="1069" spans="1:7" x14ac:dyDescent="0.25">
      <c r="A1069" s="77" t="s">
        <v>1060</v>
      </c>
      <c r="B1069" s="76" t="s">
        <v>119</v>
      </c>
      <c r="C1069" s="76">
        <v>60739</v>
      </c>
      <c r="D1069" s="76" t="s">
        <v>1665</v>
      </c>
      <c r="E1069" s="79">
        <v>44117</v>
      </c>
      <c r="F1069" s="76">
        <v>78</v>
      </c>
      <c r="G1069" s="76">
        <v>0.12</v>
      </c>
    </row>
    <row r="1070" spans="1:7" x14ac:dyDescent="0.25">
      <c r="A1070" s="77" t="s">
        <v>1060</v>
      </c>
      <c r="B1070" s="76" t="s">
        <v>119</v>
      </c>
      <c r="C1070" s="76">
        <v>60588</v>
      </c>
      <c r="D1070" s="76" t="s">
        <v>1544</v>
      </c>
      <c r="E1070" s="79">
        <v>44116</v>
      </c>
      <c r="F1070" s="76">
        <v>90</v>
      </c>
      <c r="G1070" s="76">
        <v>0.16</v>
      </c>
    </row>
    <row r="1071" spans="1:7" x14ac:dyDescent="0.25">
      <c r="A1071" s="77" t="s">
        <v>1060</v>
      </c>
      <c r="B1071" s="76" t="s">
        <v>119</v>
      </c>
      <c r="C1071" s="76">
        <v>60589</v>
      </c>
      <c r="D1071" s="76" t="s">
        <v>1545</v>
      </c>
      <c r="E1071" s="79">
        <v>44144</v>
      </c>
      <c r="F1071" s="76">
        <v>77.5</v>
      </c>
      <c r="G1071" s="76">
        <v>0.1</v>
      </c>
    </row>
    <row r="1072" spans="1:7" x14ac:dyDescent="0.25">
      <c r="A1072" s="77" t="s">
        <v>1060</v>
      </c>
      <c r="B1072" s="76" t="s">
        <v>119</v>
      </c>
      <c r="C1072" s="76">
        <v>60595</v>
      </c>
      <c r="D1072" s="76" t="s">
        <v>1546</v>
      </c>
      <c r="E1072" s="79">
        <v>44295</v>
      </c>
      <c r="F1072" s="76">
        <v>110</v>
      </c>
      <c r="G1072" s="76">
        <v>0.5</v>
      </c>
    </row>
    <row r="1073" spans="1:7" x14ac:dyDescent="0.25">
      <c r="A1073" s="77" t="s">
        <v>1060</v>
      </c>
      <c r="B1073" s="76" t="s">
        <v>119</v>
      </c>
      <c r="C1073" s="76">
        <v>60537</v>
      </c>
      <c r="D1073" s="76" t="s">
        <v>1543</v>
      </c>
      <c r="E1073" s="79">
        <v>44144</v>
      </c>
      <c r="F1073" s="76">
        <v>83</v>
      </c>
      <c r="G1073" s="76">
        <v>0.2</v>
      </c>
    </row>
    <row r="1074" spans="1:7" x14ac:dyDescent="0.25">
      <c r="A1074" s="77" t="s">
        <v>1060</v>
      </c>
      <c r="B1074" s="76" t="s">
        <v>119</v>
      </c>
      <c r="C1074" s="76">
        <v>60518</v>
      </c>
      <c r="D1074" s="76" t="s">
        <v>1547</v>
      </c>
      <c r="E1074" s="79">
        <v>44204</v>
      </c>
      <c r="F1074" s="76">
        <v>100</v>
      </c>
      <c r="G1074" s="76">
        <v>0.2</v>
      </c>
    </row>
    <row r="1075" spans="1:7" x14ac:dyDescent="0.25">
      <c r="A1075" s="77" t="s">
        <v>1060</v>
      </c>
      <c r="B1075" s="76" t="s">
        <v>119</v>
      </c>
      <c r="C1075" s="76">
        <v>60268</v>
      </c>
      <c r="D1075" s="76" t="s">
        <v>1557</v>
      </c>
      <c r="E1075" s="79">
        <v>44172</v>
      </c>
      <c r="F1075" s="76">
        <v>82.5</v>
      </c>
      <c r="G1075" s="76">
        <v>0.2</v>
      </c>
    </row>
    <row r="1076" spans="1:7" x14ac:dyDescent="0.25">
      <c r="A1076" s="77" t="s">
        <v>1060</v>
      </c>
      <c r="B1076" s="76" t="s">
        <v>119</v>
      </c>
      <c r="C1076" s="76">
        <v>60269</v>
      </c>
      <c r="D1076" s="76" t="s">
        <v>1558</v>
      </c>
      <c r="E1076" s="79">
        <v>44172</v>
      </c>
      <c r="F1076" s="76">
        <v>82.5</v>
      </c>
      <c r="G1076" s="76">
        <v>0.2</v>
      </c>
    </row>
    <row r="1077" spans="1:7" x14ac:dyDescent="0.25">
      <c r="A1077" s="77" t="s">
        <v>1060</v>
      </c>
      <c r="B1077" s="76" t="s">
        <v>119</v>
      </c>
      <c r="C1077" s="76">
        <v>60270</v>
      </c>
      <c r="D1077" s="76" t="s">
        <v>1559</v>
      </c>
      <c r="E1077" s="79">
        <v>44172</v>
      </c>
      <c r="F1077" s="76">
        <v>81.5</v>
      </c>
      <c r="G1077" s="76">
        <v>0.2</v>
      </c>
    </row>
    <row r="1078" spans="1:7" x14ac:dyDescent="0.25">
      <c r="A1078" s="77" t="s">
        <v>1060</v>
      </c>
      <c r="B1078" s="76" t="s">
        <v>119</v>
      </c>
      <c r="C1078" s="76">
        <v>60271</v>
      </c>
      <c r="D1078" s="76" t="s">
        <v>1560</v>
      </c>
      <c r="E1078" s="79">
        <v>44172</v>
      </c>
      <c r="F1078" s="76">
        <v>80.5</v>
      </c>
      <c r="G1078" s="76">
        <v>0.2</v>
      </c>
    </row>
    <row r="1079" spans="1:7" x14ac:dyDescent="0.25">
      <c r="A1079" s="77" t="s">
        <v>1060</v>
      </c>
      <c r="B1079" s="76" t="s">
        <v>119</v>
      </c>
      <c r="C1079" s="76">
        <v>60272</v>
      </c>
      <c r="D1079" s="76" t="s">
        <v>1561</v>
      </c>
      <c r="E1079" s="79">
        <v>44172</v>
      </c>
      <c r="F1079" s="76">
        <v>79.5</v>
      </c>
      <c r="G1079" s="76">
        <v>0.2</v>
      </c>
    </row>
    <row r="1080" spans="1:7" x14ac:dyDescent="0.25">
      <c r="A1080" s="77" t="s">
        <v>1060</v>
      </c>
      <c r="B1080" s="76" t="s">
        <v>119</v>
      </c>
      <c r="C1080" s="76">
        <v>60317</v>
      </c>
      <c r="D1080" s="76" t="s">
        <v>1562</v>
      </c>
      <c r="E1080" s="79">
        <v>44244</v>
      </c>
      <c r="F1080" s="76">
        <v>85</v>
      </c>
      <c r="G1080" s="76">
        <v>0.25</v>
      </c>
    </row>
    <row r="1081" spans="1:7" x14ac:dyDescent="0.25">
      <c r="A1081" s="77" t="s">
        <v>1060</v>
      </c>
      <c r="B1081" s="76" t="s">
        <v>119</v>
      </c>
      <c r="C1081" s="76">
        <v>60330</v>
      </c>
      <c r="D1081" s="76" t="s">
        <v>1563</v>
      </c>
      <c r="E1081" s="79">
        <v>44110</v>
      </c>
      <c r="F1081" s="76">
        <v>88</v>
      </c>
      <c r="G1081" s="76">
        <v>0.15</v>
      </c>
    </row>
    <row r="1082" spans="1:7" x14ac:dyDescent="0.25">
      <c r="A1082" s="77" t="s">
        <v>1060</v>
      </c>
      <c r="B1082" s="76" t="s">
        <v>119</v>
      </c>
      <c r="C1082" s="76">
        <v>60378</v>
      </c>
      <c r="D1082" s="76" t="s">
        <v>1564</v>
      </c>
      <c r="E1082" s="79">
        <v>44293</v>
      </c>
      <c r="F1082" s="76">
        <v>100</v>
      </c>
      <c r="G1082" s="76">
        <v>0.5</v>
      </c>
    </row>
    <row r="1083" spans="1:7" x14ac:dyDescent="0.25">
      <c r="A1083" s="77" t="s">
        <v>1060</v>
      </c>
      <c r="B1083" s="76" t="s">
        <v>119</v>
      </c>
      <c r="C1083" s="76">
        <v>60438</v>
      </c>
      <c r="D1083" s="76" t="s">
        <v>1565</v>
      </c>
      <c r="E1083" s="79">
        <v>44111</v>
      </c>
      <c r="F1083" s="76">
        <v>76.5</v>
      </c>
      <c r="G1083" s="76">
        <v>0.2</v>
      </c>
    </row>
    <row r="1084" spans="1:7" x14ac:dyDescent="0.25">
      <c r="A1084" s="77" t="s">
        <v>1060</v>
      </c>
      <c r="B1084" s="76" t="s">
        <v>119</v>
      </c>
      <c r="C1084" s="76">
        <v>60439</v>
      </c>
      <c r="D1084" s="76" t="s">
        <v>1566</v>
      </c>
      <c r="E1084" s="79">
        <v>44172</v>
      </c>
      <c r="F1084" s="76">
        <v>84.5</v>
      </c>
      <c r="G1084" s="76">
        <v>0.2</v>
      </c>
    </row>
    <row r="1085" spans="1:7" x14ac:dyDescent="0.25">
      <c r="A1085" s="77" t="s">
        <v>1060</v>
      </c>
      <c r="B1085" s="76" t="s">
        <v>119</v>
      </c>
      <c r="C1085" s="76">
        <v>60440</v>
      </c>
      <c r="D1085" s="76" t="s">
        <v>1567</v>
      </c>
      <c r="E1085" s="79">
        <v>44172</v>
      </c>
      <c r="F1085" s="76">
        <v>83.5</v>
      </c>
      <c r="G1085" s="76">
        <v>0.2</v>
      </c>
    </row>
    <row r="1086" spans="1:7" x14ac:dyDescent="0.25">
      <c r="A1086" s="77" t="s">
        <v>1060</v>
      </c>
      <c r="B1086" s="76" t="s">
        <v>119</v>
      </c>
      <c r="C1086" s="76">
        <v>60488</v>
      </c>
      <c r="D1086" s="76" t="s">
        <v>1548</v>
      </c>
      <c r="E1086" s="79">
        <v>44173</v>
      </c>
      <c r="F1086" s="76">
        <v>95</v>
      </c>
      <c r="G1086" s="76">
        <v>0.4</v>
      </c>
    </row>
    <row r="1087" spans="1:7" x14ac:dyDescent="0.25">
      <c r="A1087" s="77" t="s">
        <v>1060</v>
      </c>
      <c r="B1087" s="76" t="s">
        <v>119</v>
      </c>
      <c r="C1087" s="76">
        <v>60491</v>
      </c>
      <c r="D1087" s="76" t="s">
        <v>1549</v>
      </c>
      <c r="E1087" s="79">
        <v>44294</v>
      </c>
      <c r="F1087" s="76">
        <v>90.91</v>
      </c>
      <c r="G1087" s="76">
        <v>0.2</v>
      </c>
    </row>
    <row r="1088" spans="1:7" x14ac:dyDescent="0.25">
      <c r="A1088" s="77" t="s">
        <v>1060</v>
      </c>
      <c r="B1088" s="76" t="s">
        <v>119</v>
      </c>
      <c r="C1088" s="76">
        <v>60494</v>
      </c>
      <c r="D1088" s="76" t="s">
        <v>1550</v>
      </c>
      <c r="E1088" s="79">
        <v>44204</v>
      </c>
      <c r="F1088" s="76">
        <v>104</v>
      </c>
      <c r="G1088" s="76">
        <v>0.3</v>
      </c>
    </row>
    <row r="1089" spans="1:7" x14ac:dyDescent="0.25">
      <c r="A1089" s="77" t="s">
        <v>1060</v>
      </c>
      <c r="B1089" s="76" t="s">
        <v>119</v>
      </c>
      <c r="C1089" s="76">
        <v>60495</v>
      </c>
      <c r="D1089" s="76" t="s">
        <v>1551</v>
      </c>
      <c r="E1089" s="79">
        <v>44204</v>
      </c>
      <c r="F1089" s="76">
        <v>102</v>
      </c>
      <c r="G1089" s="76">
        <v>0.3</v>
      </c>
    </row>
    <row r="1090" spans="1:7" x14ac:dyDescent="0.25">
      <c r="A1090" s="77" t="s">
        <v>1060</v>
      </c>
      <c r="B1090" s="76" t="s">
        <v>119</v>
      </c>
      <c r="C1090" s="76">
        <v>60223</v>
      </c>
      <c r="D1090" s="76" t="s">
        <v>1552</v>
      </c>
      <c r="E1090" s="79">
        <v>44109</v>
      </c>
      <c r="F1090" s="76">
        <v>78.5</v>
      </c>
      <c r="G1090" s="76">
        <v>0.2</v>
      </c>
    </row>
    <row r="1091" spans="1:7" x14ac:dyDescent="0.25">
      <c r="A1091" s="77" t="s">
        <v>1060</v>
      </c>
      <c r="B1091" s="76" t="s">
        <v>119</v>
      </c>
      <c r="C1091" s="76">
        <v>60224</v>
      </c>
      <c r="D1091" s="76" t="s">
        <v>1553</v>
      </c>
      <c r="E1091" s="79">
        <v>44109</v>
      </c>
      <c r="F1091" s="76">
        <v>77.5</v>
      </c>
      <c r="G1091" s="76">
        <v>0.2</v>
      </c>
    </row>
    <row r="1092" spans="1:7" x14ac:dyDescent="0.25">
      <c r="A1092" s="77" t="s">
        <v>1060</v>
      </c>
      <c r="B1092" s="76" t="s">
        <v>119</v>
      </c>
      <c r="C1092" s="76">
        <v>60173</v>
      </c>
      <c r="D1092" s="76" t="s">
        <v>1554</v>
      </c>
      <c r="E1092" s="79">
        <v>44232</v>
      </c>
      <c r="F1092" s="76">
        <v>87.43</v>
      </c>
      <c r="G1092" s="76">
        <v>0.2</v>
      </c>
    </row>
    <row r="1093" spans="1:7" x14ac:dyDescent="0.25">
      <c r="A1093" s="77" t="s">
        <v>1060</v>
      </c>
      <c r="B1093" s="76" t="s">
        <v>119</v>
      </c>
      <c r="C1093" s="76">
        <v>59969</v>
      </c>
      <c r="D1093" s="76" t="s">
        <v>1444</v>
      </c>
      <c r="E1093" s="79">
        <v>44165</v>
      </c>
      <c r="F1093" s="76">
        <v>95</v>
      </c>
      <c r="G1093" s="76">
        <v>0.3</v>
      </c>
    </row>
    <row r="1094" spans="1:7" x14ac:dyDescent="0.25">
      <c r="A1094" s="77" t="s">
        <v>1060</v>
      </c>
      <c r="B1094" s="76" t="s">
        <v>119</v>
      </c>
      <c r="C1094" s="76">
        <v>59970</v>
      </c>
      <c r="D1094" s="76" t="s">
        <v>1445</v>
      </c>
      <c r="E1094" s="79">
        <v>44165</v>
      </c>
      <c r="F1094" s="76">
        <v>93</v>
      </c>
      <c r="G1094" s="76">
        <v>0.3</v>
      </c>
    </row>
    <row r="1095" spans="1:7" x14ac:dyDescent="0.25">
      <c r="A1095" s="77" t="s">
        <v>1060</v>
      </c>
      <c r="B1095" s="76" t="s">
        <v>119</v>
      </c>
      <c r="C1095" s="76">
        <v>59971</v>
      </c>
      <c r="D1095" s="76" t="s">
        <v>1446</v>
      </c>
      <c r="E1095" s="79">
        <v>44165</v>
      </c>
      <c r="F1095" s="76">
        <v>91</v>
      </c>
      <c r="G1095" s="76">
        <v>0.25</v>
      </c>
    </row>
    <row r="1096" spans="1:7" x14ac:dyDescent="0.25">
      <c r="A1096" s="77" t="s">
        <v>1060</v>
      </c>
      <c r="B1096" s="76" t="s">
        <v>119</v>
      </c>
      <c r="C1096" s="76">
        <v>60001</v>
      </c>
      <c r="D1096" s="76" t="s">
        <v>1447</v>
      </c>
      <c r="E1096" s="79">
        <v>44134</v>
      </c>
      <c r="F1096" s="76">
        <v>90</v>
      </c>
      <c r="G1096" s="76">
        <v>0.3</v>
      </c>
    </row>
    <row r="1097" spans="1:7" x14ac:dyDescent="0.25">
      <c r="A1097" s="77" t="s">
        <v>1060</v>
      </c>
      <c r="B1097" s="76" t="s">
        <v>119</v>
      </c>
      <c r="C1097" s="76">
        <v>60076</v>
      </c>
      <c r="D1097" s="76" t="s">
        <v>1441</v>
      </c>
      <c r="E1097" s="79">
        <v>44137</v>
      </c>
      <c r="F1097" s="76">
        <v>87.4</v>
      </c>
      <c r="G1097" s="76">
        <v>0.12</v>
      </c>
    </row>
    <row r="1098" spans="1:7" x14ac:dyDescent="0.25">
      <c r="A1098" s="77" t="s">
        <v>1060</v>
      </c>
      <c r="B1098" s="76" t="s">
        <v>119</v>
      </c>
      <c r="C1098" s="76">
        <v>60080</v>
      </c>
      <c r="D1098" s="76" t="s">
        <v>1442</v>
      </c>
      <c r="E1098" s="79">
        <v>44228</v>
      </c>
      <c r="F1098" s="76">
        <v>97</v>
      </c>
      <c r="G1098" s="76">
        <v>0.3</v>
      </c>
    </row>
    <row r="1099" spans="1:7" x14ac:dyDescent="0.25">
      <c r="A1099" s="77" t="s">
        <v>1060</v>
      </c>
      <c r="B1099" s="76" t="s">
        <v>119</v>
      </c>
      <c r="C1099" s="76">
        <v>60081</v>
      </c>
      <c r="D1099" s="76" t="s">
        <v>1443</v>
      </c>
      <c r="E1099" s="79">
        <v>44228</v>
      </c>
      <c r="F1099" s="76">
        <v>99</v>
      </c>
      <c r="G1099" s="76">
        <v>0.3</v>
      </c>
    </row>
    <row r="1100" spans="1:7" x14ac:dyDescent="0.25">
      <c r="A1100" s="77" t="s">
        <v>1060</v>
      </c>
      <c r="B1100" s="76" t="s">
        <v>119</v>
      </c>
      <c r="C1100" s="76">
        <v>60135</v>
      </c>
      <c r="D1100" s="76" t="s">
        <v>1556</v>
      </c>
      <c r="E1100" s="79">
        <v>44172</v>
      </c>
      <c r="F1100" s="76">
        <v>110</v>
      </c>
      <c r="G1100" s="76">
        <v>1</v>
      </c>
    </row>
    <row r="1101" spans="1:7" x14ac:dyDescent="0.25">
      <c r="A1101" s="77" t="s">
        <v>1060</v>
      </c>
      <c r="B1101" s="76" t="s">
        <v>119</v>
      </c>
      <c r="C1101" s="76">
        <v>59927</v>
      </c>
      <c r="D1101" s="76" t="s">
        <v>1308</v>
      </c>
      <c r="E1101" s="79">
        <v>44133</v>
      </c>
      <c r="F1101" s="76">
        <v>90</v>
      </c>
      <c r="G1101" s="76">
        <v>0.2</v>
      </c>
    </row>
    <row r="1102" spans="1:7" x14ac:dyDescent="0.25">
      <c r="A1102" s="77" t="s">
        <v>1060</v>
      </c>
      <c r="B1102" s="76" t="s">
        <v>119</v>
      </c>
      <c r="C1102" s="76">
        <v>59933</v>
      </c>
      <c r="D1102" s="76" t="s">
        <v>1309</v>
      </c>
      <c r="E1102" s="79">
        <v>44103</v>
      </c>
      <c r="F1102" s="76">
        <v>106.82</v>
      </c>
      <c r="G1102" s="76">
        <v>0.14499999999999999</v>
      </c>
    </row>
    <row r="1103" spans="1:7" x14ac:dyDescent="0.25">
      <c r="A1103" s="77" t="s">
        <v>1060</v>
      </c>
      <c r="B1103" s="76" t="s">
        <v>119</v>
      </c>
      <c r="C1103" s="76">
        <v>59892</v>
      </c>
      <c r="D1103" s="76" t="s">
        <v>1306</v>
      </c>
      <c r="E1103" s="79">
        <v>44133</v>
      </c>
      <c r="F1103" s="76">
        <v>78.44</v>
      </c>
      <c r="G1103" s="76">
        <v>0.08</v>
      </c>
    </row>
    <row r="1104" spans="1:7" x14ac:dyDescent="0.25">
      <c r="A1104" s="77" t="s">
        <v>1060</v>
      </c>
      <c r="B1104" s="76" t="s">
        <v>119</v>
      </c>
      <c r="C1104" s="76">
        <v>59894</v>
      </c>
      <c r="D1104" s="76" t="s">
        <v>1307</v>
      </c>
      <c r="E1104" s="79">
        <v>44194</v>
      </c>
      <c r="F1104" s="76">
        <v>86</v>
      </c>
      <c r="G1104" s="76">
        <v>0.25</v>
      </c>
    </row>
    <row r="1105" spans="1:7" x14ac:dyDescent="0.25">
      <c r="A1105" s="77" t="s">
        <v>1060</v>
      </c>
      <c r="B1105" s="76" t="s">
        <v>119</v>
      </c>
      <c r="C1105" s="76">
        <v>59799</v>
      </c>
      <c r="D1105" s="76" t="s">
        <v>1310</v>
      </c>
      <c r="E1105" s="79">
        <v>44222</v>
      </c>
      <c r="F1105" s="76">
        <v>88.58</v>
      </c>
      <c r="G1105" s="76">
        <v>0.2</v>
      </c>
    </row>
    <row r="1106" spans="1:7" x14ac:dyDescent="0.25">
      <c r="A1106" s="77" t="s">
        <v>1060</v>
      </c>
      <c r="B1106" s="76" t="s">
        <v>119</v>
      </c>
      <c r="C1106" s="76">
        <v>59810</v>
      </c>
      <c r="D1106" s="76" t="s">
        <v>1311</v>
      </c>
      <c r="E1106" s="79">
        <v>44102</v>
      </c>
      <c r="F1106" s="76">
        <v>80.88</v>
      </c>
      <c r="G1106" s="76">
        <v>0.12</v>
      </c>
    </row>
    <row r="1107" spans="1:7" x14ac:dyDescent="0.25">
      <c r="A1107" s="77" t="s">
        <v>1060</v>
      </c>
      <c r="B1107" s="76" t="s">
        <v>119</v>
      </c>
      <c r="C1107" s="76">
        <v>59857</v>
      </c>
      <c r="D1107" s="76" t="s">
        <v>1312</v>
      </c>
      <c r="E1107" s="79">
        <v>44103</v>
      </c>
      <c r="F1107" s="76">
        <v>80</v>
      </c>
      <c r="G1107" s="76">
        <v>0.3</v>
      </c>
    </row>
    <row r="1108" spans="1:7" x14ac:dyDescent="0.25">
      <c r="A1108" s="77" t="s">
        <v>1060</v>
      </c>
      <c r="B1108" s="76" t="s">
        <v>119</v>
      </c>
      <c r="C1108" s="76">
        <v>59858</v>
      </c>
      <c r="D1108" s="76" t="s">
        <v>1313</v>
      </c>
      <c r="E1108" s="79">
        <v>44133</v>
      </c>
      <c r="F1108" s="76">
        <v>100</v>
      </c>
      <c r="G1108" s="76">
        <v>0.5</v>
      </c>
    </row>
    <row r="1109" spans="1:7" x14ac:dyDescent="0.25">
      <c r="A1109" s="77" t="s">
        <v>1060</v>
      </c>
      <c r="B1109" s="76" t="s">
        <v>119</v>
      </c>
      <c r="C1109" s="76">
        <v>59775</v>
      </c>
      <c r="D1109" s="76" t="s">
        <v>1314</v>
      </c>
      <c r="E1109" s="79">
        <v>44193</v>
      </c>
      <c r="F1109" s="76">
        <v>89</v>
      </c>
      <c r="G1109" s="76">
        <v>0.3</v>
      </c>
    </row>
    <row r="1110" spans="1:7" x14ac:dyDescent="0.25">
      <c r="A1110" s="77" t="s">
        <v>1060</v>
      </c>
      <c r="B1110" s="76" t="s">
        <v>119</v>
      </c>
      <c r="C1110" s="76">
        <v>59776</v>
      </c>
      <c r="D1110" s="76" t="s">
        <v>1315</v>
      </c>
      <c r="E1110" s="79">
        <v>44193</v>
      </c>
      <c r="F1110" s="76">
        <v>83</v>
      </c>
      <c r="G1110" s="76">
        <v>0.25</v>
      </c>
    </row>
    <row r="1111" spans="1:7" x14ac:dyDescent="0.25">
      <c r="A1111" s="77" t="s">
        <v>1060</v>
      </c>
      <c r="B1111" s="76" t="s">
        <v>119</v>
      </c>
      <c r="C1111" s="76">
        <v>59777</v>
      </c>
      <c r="D1111" s="76" t="s">
        <v>1316</v>
      </c>
      <c r="E1111" s="79">
        <v>44193</v>
      </c>
      <c r="F1111" s="76">
        <v>73</v>
      </c>
      <c r="G1111" s="76">
        <v>0.2</v>
      </c>
    </row>
    <row r="1112" spans="1:7" x14ac:dyDescent="0.25">
      <c r="A1112" s="77" t="s">
        <v>1060</v>
      </c>
      <c r="B1112" s="76" t="s">
        <v>119</v>
      </c>
      <c r="C1112" s="76">
        <v>59792</v>
      </c>
      <c r="D1112" s="76" t="s">
        <v>1317</v>
      </c>
      <c r="E1112" s="79">
        <v>44130</v>
      </c>
      <c r="F1112" s="76">
        <v>77.5</v>
      </c>
      <c r="G1112" s="76">
        <v>0.5</v>
      </c>
    </row>
    <row r="1113" spans="1:7" x14ac:dyDescent="0.25">
      <c r="A1113" s="77" t="s">
        <v>1060</v>
      </c>
      <c r="B1113" s="76" t="s">
        <v>119</v>
      </c>
      <c r="C1113" s="76">
        <v>59402</v>
      </c>
      <c r="D1113" s="76" t="s">
        <v>1350</v>
      </c>
      <c r="E1113" s="79">
        <v>44095</v>
      </c>
      <c r="F1113" s="76">
        <v>80</v>
      </c>
      <c r="G1113" s="76">
        <v>0.2</v>
      </c>
    </row>
    <row r="1114" spans="1:7" x14ac:dyDescent="0.25">
      <c r="A1114" s="77" t="s">
        <v>1060</v>
      </c>
      <c r="B1114" s="76" t="s">
        <v>119</v>
      </c>
      <c r="C1114" s="76">
        <v>59749</v>
      </c>
      <c r="D1114" s="76" t="s">
        <v>1319</v>
      </c>
      <c r="E1114" s="79">
        <v>44130</v>
      </c>
      <c r="F1114" s="76">
        <v>65</v>
      </c>
      <c r="G1114" s="76">
        <v>0.25</v>
      </c>
    </row>
    <row r="1115" spans="1:7" x14ac:dyDescent="0.25">
      <c r="A1115" s="77" t="s">
        <v>1060</v>
      </c>
      <c r="B1115" s="76" t="s">
        <v>119</v>
      </c>
      <c r="C1115" s="76">
        <v>59750</v>
      </c>
      <c r="D1115" s="76" t="s">
        <v>1320</v>
      </c>
      <c r="E1115" s="79">
        <v>44130</v>
      </c>
      <c r="F1115" s="76">
        <v>85</v>
      </c>
      <c r="G1115" s="76">
        <v>0.3</v>
      </c>
    </row>
    <row r="1116" spans="1:7" x14ac:dyDescent="0.25">
      <c r="A1116" s="77" t="s">
        <v>1060</v>
      </c>
      <c r="B1116" s="76" t="s">
        <v>119</v>
      </c>
      <c r="C1116" s="76">
        <v>59582</v>
      </c>
      <c r="D1116" s="76" t="s">
        <v>1321</v>
      </c>
      <c r="E1116" s="79">
        <v>44097</v>
      </c>
      <c r="F1116" s="76">
        <v>55</v>
      </c>
      <c r="G1116" s="76">
        <v>0.05</v>
      </c>
    </row>
    <row r="1117" spans="1:7" x14ac:dyDescent="0.25">
      <c r="A1117" s="77" t="s">
        <v>1060</v>
      </c>
      <c r="B1117" s="76" t="s">
        <v>119</v>
      </c>
      <c r="C1117" s="76">
        <v>59583</v>
      </c>
      <c r="D1117" s="76" t="s">
        <v>1322</v>
      </c>
      <c r="E1117" s="79">
        <v>44221</v>
      </c>
      <c r="F1117" s="76">
        <v>74</v>
      </c>
      <c r="G1117" s="76">
        <v>0.2</v>
      </c>
    </row>
    <row r="1118" spans="1:7" x14ac:dyDescent="0.25">
      <c r="A1118" s="77" t="s">
        <v>1060</v>
      </c>
      <c r="B1118" s="76" t="s">
        <v>119</v>
      </c>
      <c r="C1118" s="76">
        <v>59584</v>
      </c>
      <c r="D1118" s="76" t="s">
        <v>1323</v>
      </c>
      <c r="E1118" s="79">
        <v>44221</v>
      </c>
      <c r="F1118" s="76">
        <v>75</v>
      </c>
      <c r="G1118" s="76">
        <v>0.2</v>
      </c>
    </row>
    <row r="1119" spans="1:7" x14ac:dyDescent="0.25">
      <c r="A1119" s="77" t="s">
        <v>1060</v>
      </c>
      <c r="B1119" s="76" t="s">
        <v>119</v>
      </c>
      <c r="C1119" s="76">
        <v>59585</v>
      </c>
      <c r="D1119" s="76" t="s">
        <v>1324</v>
      </c>
      <c r="E1119" s="79">
        <v>44188</v>
      </c>
      <c r="F1119" s="76">
        <v>77</v>
      </c>
      <c r="G1119" s="76">
        <v>0.2</v>
      </c>
    </row>
    <row r="1120" spans="1:7" x14ac:dyDescent="0.25">
      <c r="A1120" s="77" t="s">
        <v>1060</v>
      </c>
      <c r="B1120" s="76" t="s">
        <v>119</v>
      </c>
      <c r="C1120" s="76">
        <v>59668</v>
      </c>
      <c r="D1120" s="76" t="s">
        <v>1329</v>
      </c>
      <c r="E1120" s="79">
        <v>44159</v>
      </c>
      <c r="F1120" s="76">
        <v>79.78</v>
      </c>
      <c r="G1120" s="76">
        <v>0.2</v>
      </c>
    </row>
    <row r="1121" spans="1:7" x14ac:dyDescent="0.25">
      <c r="A1121" s="77" t="s">
        <v>1060</v>
      </c>
      <c r="B1121" s="76" t="s">
        <v>119</v>
      </c>
      <c r="C1121" s="76">
        <v>59669</v>
      </c>
      <c r="D1121" s="76" t="s">
        <v>1330</v>
      </c>
      <c r="E1121" s="79">
        <v>44159</v>
      </c>
      <c r="F1121" s="76">
        <v>83.4</v>
      </c>
      <c r="G1121" s="76">
        <v>0.35</v>
      </c>
    </row>
    <row r="1122" spans="1:7" x14ac:dyDescent="0.25">
      <c r="A1122" s="77" t="s">
        <v>1060</v>
      </c>
      <c r="B1122" s="76" t="s">
        <v>119</v>
      </c>
      <c r="C1122" s="76">
        <v>59684</v>
      </c>
      <c r="D1122" s="76" t="s">
        <v>1318</v>
      </c>
      <c r="E1122" s="79">
        <v>44098</v>
      </c>
      <c r="F1122" s="76">
        <v>99.36</v>
      </c>
      <c r="G1122" s="76">
        <v>0.19500000000000001</v>
      </c>
    </row>
    <row r="1123" spans="1:7" x14ac:dyDescent="0.25">
      <c r="A1123" s="77" t="s">
        <v>1060</v>
      </c>
      <c r="B1123" s="76" t="s">
        <v>119</v>
      </c>
      <c r="C1123" s="76">
        <v>59615</v>
      </c>
      <c r="D1123" s="76" t="s">
        <v>1325</v>
      </c>
      <c r="E1123" s="79">
        <v>44098</v>
      </c>
      <c r="F1123" s="76">
        <v>80</v>
      </c>
      <c r="G1123" s="76">
        <v>0.5</v>
      </c>
    </row>
    <row r="1124" spans="1:7" x14ac:dyDescent="0.25">
      <c r="A1124" s="77" t="s">
        <v>1060</v>
      </c>
      <c r="B1124" s="76" t="s">
        <v>119</v>
      </c>
      <c r="C1124" s="76">
        <v>59651</v>
      </c>
      <c r="D1124" s="76" t="s">
        <v>1326</v>
      </c>
      <c r="E1124" s="79">
        <v>44098</v>
      </c>
      <c r="F1124" s="76">
        <v>71</v>
      </c>
      <c r="G1124" s="76">
        <v>0.25</v>
      </c>
    </row>
    <row r="1125" spans="1:7" x14ac:dyDescent="0.25">
      <c r="A1125" s="77" t="s">
        <v>1060</v>
      </c>
      <c r="B1125" s="76" t="s">
        <v>119</v>
      </c>
      <c r="C1125" s="76">
        <v>59652</v>
      </c>
      <c r="D1125" s="76" t="s">
        <v>1327</v>
      </c>
      <c r="E1125" s="79">
        <v>44098</v>
      </c>
      <c r="F1125" s="76">
        <v>72</v>
      </c>
      <c r="G1125" s="76">
        <v>0.25</v>
      </c>
    </row>
    <row r="1126" spans="1:7" x14ac:dyDescent="0.25">
      <c r="A1126" s="77" t="s">
        <v>1060</v>
      </c>
      <c r="B1126" s="76" t="s">
        <v>119</v>
      </c>
      <c r="C1126" s="76">
        <v>59653</v>
      </c>
      <c r="D1126" s="76" t="s">
        <v>1328</v>
      </c>
      <c r="E1126" s="79">
        <v>44098</v>
      </c>
      <c r="F1126" s="76">
        <v>70</v>
      </c>
      <c r="G1126" s="76">
        <v>0.25</v>
      </c>
    </row>
    <row r="1127" spans="1:7" x14ac:dyDescent="0.25">
      <c r="A1127" s="77" t="s">
        <v>1060</v>
      </c>
      <c r="B1127" s="76" t="s">
        <v>119</v>
      </c>
      <c r="C1127" s="76">
        <v>59462</v>
      </c>
      <c r="D1127" s="76" t="s">
        <v>1342</v>
      </c>
      <c r="E1127" s="79">
        <v>44187</v>
      </c>
      <c r="F1127" s="76">
        <v>81</v>
      </c>
      <c r="G1127" s="76">
        <v>0.3</v>
      </c>
    </row>
    <row r="1128" spans="1:7" x14ac:dyDescent="0.25">
      <c r="A1128" s="77" t="s">
        <v>1060</v>
      </c>
      <c r="B1128" s="76" t="s">
        <v>119</v>
      </c>
      <c r="C1128" s="76">
        <v>59463</v>
      </c>
      <c r="D1128" s="76" t="s">
        <v>1343</v>
      </c>
      <c r="E1128" s="79">
        <v>44187</v>
      </c>
      <c r="F1128" s="76">
        <v>79</v>
      </c>
      <c r="G1128" s="76">
        <v>0.3</v>
      </c>
    </row>
    <row r="1129" spans="1:7" x14ac:dyDescent="0.25">
      <c r="A1129" s="77" t="s">
        <v>1060</v>
      </c>
      <c r="B1129" s="76" t="s">
        <v>119</v>
      </c>
      <c r="C1129" s="76">
        <v>59464</v>
      </c>
      <c r="D1129" s="76" t="s">
        <v>1344</v>
      </c>
      <c r="E1129" s="79">
        <v>44187</v>
      </c>
      <c r="F1129" s="76">
        <v>85</v>
      </c>
      <c r="G1129" s="76">
        <v>0.5</v>
      </c>
    </row>
    <row r="1130" spans="1:7" x14ac:dyDescent="0.25">
      <c r="A1130" s="77" t="s">
        <v>1060</v>
      </c>
      <c r="B1130" s="76" t="s">
        <v>119</v>
      </c>
      <c r="C1130" s="76">
        <v>59465</v>
      </c>
      <c r="D1130" s="76" t="s">
        <v>1345</v>
      </c>
      <c r="E1130" s="79">
        <v>44187</v>
      </c>
      <c r="F1130" s="76">
        <v>100</v>
      </c>
      <c r="G1130" s="76">
        <v>1</v>
      </c>
    </row>
    <row r="1131" spans="1:7" x14ac:dyDescent="0.25">
      <c r="A1131" s="77" t="s">
        <v>1060</v>
      </c>
      <c r="B1131" s="76" t="s">
        <v>119</v>
      </c>
      <c r="C1131" s="76">
        <v>59485</v>
      </c>
      <c r="D1131" s="76" t="s">
        <v>1331</v>
      </c>
      <c r="E1131" s="79">
        <v>44096</v>
      </c>
      <c r="F1131" s="76">
        <v>78</v>
      </c>
      <c r="G1131" s="76">
        <v>0.5</v>
      </c>
    </row>
    <row r="1132" spans="1:7" x14ac:dyDescent="0.25">
      <c r="A1132" s="77" t="s">
        <v>1060</v>
      </c>
      <c r="B1132" s="76" t="s">
        <v>119</v>
      </c>
      <c r="C1132" s="76">
        <v>59495</v>
      </c>
      <c r="D1132" s="76" t="s">
        <v>1332</v>
      </c>
      <c r="E1132" s="79">
        <v>44187</v>
      </c>
      <c r="F1132" s="76">
        <v>78.400000000000006</v>
      </c>
      <c r="G1132" s="76">
        <v>0.3</v>
      </c>
    </row>
    <row r="1133" spans="1:7" x14ac:dyDescent="0.25">
      <c r="A1133" s="77" t="s">
        <v>1060</v>
      </c>
      <c r="B1133" s="76" t="s">
        <v>119</v>
      </c>
      <c r="C1133" s="76">
        <v>59502</v>
      </c>
      <c r="D1133" s="76" t="s">
        <v>1333</v>
      </c>
      <c r="E1133" s="79">
        <v>44158</v>
      </c>
      <c r="F1133" s="76">
        <v>78.400000000000006</v>
      </c>
      <c r="G1133" s="76">
        <v>0.15</v>
      </c>
    </row>
    <row r="1134" spans="1:7" x14ac:dyDescent="0.25">
      <c r="A1134" s="77" t="s">
        <v>1060</v>
      </c>
      <c r="B1134" s="76" t="s">
        <v>119</v>
      </c>
      <c r="C1134" s="76">
        <v>59504</v>
      </c>
      <c r="D1134" s="76" t="s">
        <v>1334</v>
      </c>
      <c r="E1134" s="79">
        <v>44096</v>
      </c>
      <c r="F1134" s="76">
        <v>95.51</v>
      </c>
      <c r="G1134" s="76">
        <v>0.43</v>
      </c>
    </row>
    <row r="1135" spans="1:7" x14ac:dyDescent="0.25">
      <c r="A1135" s="77" t="s">
        <v>1060</v>
      </c>
      <c r="B1135" s="76" t="s">
        <v>119</v>
      </c>
      <c r="C1135" s="76">
        <v>59545</v>
      </c>
      <c r="D1135" s="76" t="s">
        <v>1335</v>
      </c>
      <c r="E1135" s="79">
        <v>44097</v>
      </c>
      <c r="F1135" s="76">
        <v>70</v>
      </c>
      <c r="G1135" s="76">
        <v>0.35</v>
      </c>
    </row>
    <row r="1136" spans="1:7" x14ac:dyDescent="0.25">
      <c r="A1136" s="77" t="s">
        <v>1060</v>
      </c>
      <c r="B1136" s="76" t="s">
        <v>119</v>
      </c>
      <c r="C1136" s="76">
        <v>59550</v>
      </c>
      <c r="D1136" s="76" t="s">
        <v>278</v>
      </c>
      <c r="E1136" s="79">
        <v>44097</v>
      </c>
      <c r="F1136" s="76">
        <v>70</v>
      </c>
      <c r="G1136" s="76">
        <v>0.5</v>
      </c>
    </row>
    <row r="1137" spans="1:7" x14ac:dyDescent="0.25">
      <c r="A1137" s="77" t="s">
        <v>1060</v>
      </c>
      <c r="B1137" s="76" t="s">
        <v>119</v>
      </c>
      <c r="C1137" s="76">
        <v>59552</v>
      </c>
      <c r="D1137" s="76" t="s">
        <v>1336</v>
      </c>
      <c r="E1137" s="79">
        <v>44097</v>
      </c>
      <c r="F1137" s="76">
        <v>74</v>
      </c>
      <c r="G1137" s="76">
        <v>0.1</v>
      </c>
    </row>
    <row r="1138" spans="1:7" x14ac:dyDescent="0.25">
      <c r="A1138" s="77" t="s">
        <v>1060</v>
      </c>
      <c r="B1138" s="76" t="s">
        <v>119</v>
      </c>
      <c r="C1138" s="76">
        <v>59553</v>
      </c>
      <c r="D1138" s="76" t="s">
        <v>1337</v>
      </c>
      <c r="E1138" s="79">
        <v>44097</v>
      </c>
      <c r="F1138" s="76">
        <v>78</v>
      </c>
      <c r="G1138" s="76">
        <v>0.1</v>
      </c>
    </row>
    <row r="1139" spans="1:7" x14ac:dyDescent="0.25">
      <c r="A1139" s="77" t="s">
        <v>1060</v>
      </c>
      <c r="B1139" s="76" t="s">
        <v>119</v>
      </c>
      <c r="C1139" s="76">
        <v>59554</v>
      </c>
      <c r="D1139" s="76" t="s">
        <v>1338</v>
      </c>
      <c r="E1139" s="79">
        <v>44097</v>
      </c>
      <c r="F1139" s="76">
        <v>70</v>
      </c>
      <c r="G1139" s="76">
        <v>0.1</v>
      </c>
    </row>
    <row r="1140" spans="1:7" x14ac:dyDescent="0.25">
      <c r="A1140" s="77" t="s">
        <v>1060</v>
      </c>
      <c r="B1140" s="76" t="s">
        <v>119</v>
      </c>
      <c r="C1140" s="76">
        <v>59555</v>
      </c>
      <c r="D1140" s="76" t="s">
        <v>1339</v>
      </c>
      <c r="E1140" s="79">
        <v>44127</v>
      </c>
      <c r="F1140" s="76">
        <v>82</v>
      </c>
      <c r="G1140" s="76">
        <v>0.12</v>
      </c>
    </row>
    <row r="1141" spans="1:7" x14ac:dyDescent="0.25">
      <c r="A1141" s="77" t="s">
        <v>1060</v>
      </c>
      <c r="B1141" s="76" t="s">
        <v>119</v>
      </c>
      <c r="C1141" s="76">
        <v>59556</v>
      </c>
      <c r="D1141" s="76" t="s">
        <v>1340</v>
      </c>
      <c r="E1141" s="79">
        <v>44127</v>
      </c>
      <c r="F1141" s="76">
        <v>86</v>
      </c>
      <c r="G1141" s="76">
        <v>0.15</v>
      </c>
    </row>
    <row r="1142" spans="1:7" x14ac:dyDescent="0.25">
      <c r="A1142" s="77" t="s">
        <v>1060</v>
      </c>
      <c r="B1142" s="76" t="s">
        <v>119</v>
      </c>
      <c r="C1142" s="76">
        <v>59557</v>
      </c>
      <c r="D1142" s="76" t="s">
        <v>1341</v>
      </c>
      <c r="E1142" s="79">
        <v>44188</v>
      </c>
      <c r="F1142" s="76">
        <v>92</v>
      </c>
      <c r="G1142" s="76">
        <v>0.15</v>
      </c>
    </row>
    <row r="1143" spans="1:7" x14ac:dyDescent="0.25">
      <c r="A1143" s="77" t="s">
        <v>1060</v>
      </c>
      <c r="B1143" s="76" t="s">
        <v>119</v>
      </c>
      <c r="C1143" s="76">
        <v>59413</v>
      </c>
      <c r="D1143" s="76" t="s">
        <v>1346</v>
      </c>
      <c r="E1143" s="79">
        <v>44095</v>
      </c>
      <c r="F1143" s="76">
        <v>94</v>
      </c>
      <c r="G1143" s="76">
        <v>0.8</v>
      </c>
    </row>
    <row r="1144" spans="1:7" x14ac:dyDescent="0.25">
      <c r="A1144" s="77" t="s">
        <v>1060</v>
      </c>
      <c r="B1144" s="76" t="s">
        <v>119</v>
      </c>
      <c r="C1144" s="76">
        <v>59414</v>
      </c>
      <c r="D1144" s="76" t="s">
        <v>1347</v>
      </c>
      <c r="E1144" s="79">
        <v>44123</v>
      </c>
      <c r="F1144" s="76">
        <v>76</v>
      </c>
      <c r="G1144" s="76">
        <v>0.3</v>
      </c>
    </row>
    <row r="1145" spans="1:7" x14ac:dyDescent="0.25">
      <c r="A1145" s="77" t="s">
        <v>1060</v>
      </c>
      <c r="B1145" s="76" t="s">
        <v>119</v>
      </c>
      <c r="C1145" s="76">
        <v>59415</v>
      </c>
      <c r="D1145" s="76" t="s">
        <v>1348</v>
      </c>
      <c r="E1145" s="79">
        <v>44123</v>
      </c>
      <c r="F1145" s="76">
        <v>78</v>
      </c>
      <c r="G1145" s="76">
        <v>0.3</v>
      </c>
    </row>
    <row r="1146" spans="1:7" x14ac:dyDescent="0.25">
      <c r="A1146" s="77" t="s">
        <v>1060</v>
      </c>
      <c r="B1146" s="76" t="s">
        <v>119</v>
      </c>
      <c r="C1146" s="76">
        <v>59405</v>
      </c>
      <c r="D1146" s="76" t="s">
        <v>1351</v>
      </c>
      <c r="E1146" s="79">
        <v>44215</v>
      </c>
      <c r="F1146" s="76">
        <v>100</v>
      </c>
      <c r="G1146" s="76">
        <v>1</v>
      </c>
    </row>
    <row r="1147" spans="1:7" x14ac:dyDescent="0.25">
      <c r="A1147" s="77" t="s">
        <v>1060</v>
      </c>
      <c r="B1147" s="76" t="s">
        <v>119</v>
      </c>
      <c r="C1147" s="76">
        <v>59406</v>
      </c>
      <c r="D1147" s="76" t="s">
        <v>1352</v>
      </c>
      <c r="E1147" s="79">
        <v>44123</v>
      </c>
      <c r="F1147" s="76">
        <v>85</v>
      </c>
      <c r="G1147" s="76">
        <v>1</v>
      </c>
    </row>
    <row r="1148" spans="1:7" x14ac:dyDescent="0.25">
      <c r="A1148" s="77" t="s">
        <v>1060</v>
      </c>
      <c r="B1148" s="76" t="s">
        <v>119</v>
      </c>
      <c r="C1148" s="76">
        <v>59407</v>
      </c>
      <c r="D1148" s="76" t="s">
        <v>1353</v>
      </c>
      <c r="E1148" s="79">
        <v>44154</v>
      </c>
      <c r="F1148" s="76">
        <v>92.5</v>
      </c>
      <c r="G1148" s="76">
        <v>1</v>
      </c>
    </row>
    <row r="1149" spans="1:7" x14ac:dyDescent="0.25">
      <c r="A1149" s="77" t="s">
        <v>1060</v>
      </c>
      <c r="B1149" s="76" t="s">
        <v>119</v>
      </c>
      <c r="C1149" s="76">
        <v>59408</v>
      </c>
      <c r="D1149" s="76" t="s">
        <v>1354</v>
      </c>
      <c r="E1149" s="79">
        <v>44154</v>
      </c>
      <c r="F1149" s="76">
        <v>87.5</v>
      </c>
      <c r="G1149" s="76">
        <v>1</v>
      </c>
    </row>
    <row r="1150" spans="1:7" x14ac:dyDescent="0.25">
      <c r="A1150" s="77" t="s">
        <v>1060</v>
      </c>
      <c r="B1150" s="76" t="s">
        <v>119</v>
      </c>
      <c r="C1150" s="76">
        <v>59409</v>
      </c>
      <c r="D1150" s="76" t="s">
        <v>1355</v>
      </c>
      <c r="E1150" s="79">
        <v>44186</v>
      </c>
      <c r="F1150" s="76">
        <v>90</v>
      </c>
      <c r="G1150" s="76">
        <v>1</v>
      </c>
    </row>
    <row r="1151" spans="1:7" x14ac:dyDescent="0.25">
      <c r="A1151" s="77" t="s">
        <v>1060</v>
      </c>
      <c r="B1151" s="76" t="s">
        <v>119</v>
      </c>
      <c r="C1151" s="76">
        <v>59367</v>
      </c>
      <c r="D1151" s="76" t="s">
        <v>1373</v>
      </c>
      <c r="E1151" s="79">
        <v>44214</v>
      </c>
      <c r="F1151" s="76">
        <v>84.9</v>
      </c>
      <c r="G1151" s="76">
        <v>0.5</v>
      </c>
    </row>
    <row r="1152" spans="1:7" x14ac:dyDescent="0.25">
      <c r="A1152" s="77" t="s">
        <v>1060</v>
      </c>
      <c r="B1152" s="76" t="s">
        <v>119</v>
      </c>
      <c r="C1152" s="76">
        <v>59372</v>
      </c>
      <c r="D1152" s="76" t="s">
        <v>1374</v>
      </c>
      <c r="E1152" s="79">
        <v>44095</v>
      </c>
      <c r="F1152" s="76">
        <v>75</v>
      </c>
      <c r="G1152" s="76">
        <v>1</v>
      </c>
    </row>
    <row r="1153" spans="1:7" x14ac:dyDescent="0.25">
      <c r="A1153" s="77" t="s">
        <v>1060</v>
      </c>
      <c r="B1153" s="76" t="s">
        <v>119</v>
      </c>
      <c r="C1153" s="76">
        <v>59382</v>
      </c>
      <c r="D1153" s="76" t="s">
        <v>1375</v>
      </c>
      <c r="E1153" s="79">
        <v>44095</v>
      </c>
      <c r="F1153" s="76">
        <v>77</v>
      </c>
      <c r="G1153" s="76">
        <v>0.3</v>
      </c>
    </row>
    <row r="1154" spans="1:7" x14ac:dyDescent="0.25">
      <c r="A1154" s="77" t="s">
        <v>1060</v>
      </c>
      <c r="B1154" s="76" t="s">
        <v>119</v>
      </c>
      <c r="C1154" s="76">
        <v>59383</v>
      </c>
      <c r="D1154" s="76" t="s">
        <v>1376</v>
      </c>
      <c r="E1154" s="79">
        <v>44095</v>
      </c>
      <c r="F1154" s="76">
        <v>72</v>
      </c>
      <c r="G1154" s="76">
        <v>0.15</v>
      </c>
    </row>
    <row r="1155" spans="1:7" x14ac:dyDescent="0.25">
      <c r="A1155" s="77" t="s">
        <v>1060</v>
      </c>
      <c r="B1155" s="76" t="s">
        <v>119</v>
      </c>
      <c r="C1155" s="76">
        <v>59270</v>
      </c>
      <c r="D1155" s="76" t="s">
        <v>1356</v>
      </c>
      <c r="E1155" s="79">
        <v>44214</v>
      </c>
      <c r="F1155" s="76">
        <v>87</v>
      </c>
      <c r="G1155" s="76">
        <v>0.5</v>
      </c>
    </row>
    <row r="1156" spans="1:7" x14ac:dyDescent="0.25">
      <c r="A1156" s="77" t="s">
        <v>1060</v>
      </c>
      <c r="B1156" s="76" t="s">
        <v>119</v>
      </c>
      <c r="C1156" s="76">
        <v>59271</v>
      </c>
      <c r="D1156" s="76" t="s">
        <v>1357</v>
      </c>
      <c r="E1156" s="79">
        <v>44214</v>
      </c>
      <c r="F1156" s="76">
        <v>84</v>
      </c>
      <c r="G1156" s="76">
        <v>0.5</v>
      </c>
    </row>
    <row r="1157" spans="1:7" x14ac:dyDescent="0.25">
      <c r="A1157" s="77" t="s">
        <v>1060</v>
      </c>
      <c r="B1157" s="76" t="s">
        <v>119</v>
      </c>
      <c r="C1157" s="76">
        <v>59272</v>
      </c>
      <c r="D1157" s="76" t="s">
        <v>1358</v>
      </c>
      <c r="E1157" s="79">
        <v>44091</v>
      </c>
      <c r="F1157" s="76">
        <v>82</v>
      </c>
      <c r="G1157" s="76">
        <v>0.3</v>
      </c>
    </row>
    <row r="1158" spans="1:7" x14ac:dyDescent="0.25">
      <c r="A1158" s="77" t="s">
        <v>1060</v>
      </c>
      <c r="B1158" s="76" t="s">
        <v>119</v>
      </c>
      <c r="C1158" s="76">
        <v>59279</v>
      </c>
      <c r="D1158" s="76" t="s">
        <v>1359</v>
      </c>
      <c r="E1158" s="79">
        <v>44182</v>
      </c>
      <c r="F1158" s="76">
        <v>95</v>
      </c>
      <c r="G1158" s="76">
        <v>0.25</v>
      </c>
    </row>
    <row r="1159" spans="1:7" x14ac:dyDescent="0.25">
      <c r="A1159" s="77" t="s">
        <v>1060</v>
      </c>
      <c r="B1159" s="76" t="s">
        <v>119</v>
      </c>
      <c r="C1159" s="76">
        <v>59280</v>
      </c>
      <c r="D1159" s="76" t="s">
        <v>1360</v>
      </c>
      <c r="E1159" s="79">
        <v>44091</v>
      </c>
      <c r="F1159" s="76">
        <v>105.74</v>
      </c>
      <c r="G1159" s="76">
        <v>1</v>
      </c>
    </row>
    <row r="1160" spans="1:7" x14ac:dyDescent="0.25">
      <c r="A1160" s="77" t="s">
        <v>1060</v>
      </c>
      <c r="B1160" s="76" t="s">
        <v>119</v>
      </c>
      <c r="C1160" s="76">
        <v>59285</v>
      </c>
      <c r="D1160" s="76" t="s">
        <v>1361</v>
      </c>
      <c r="E1160" s="79">
        <v>44214</v>
      </c>
      <c r="F1160" s="76">
        <v>87.49</v>
      </c>
      <c r="G1160" s="76">
        <v>1</v>
      </c>
    </row>
    <row r="1161" spans="1:7" x14ac:dyDescent="0.25">
      <c r="A1161" s="77" t="s">
        <v>1060</v>
      </c>
      <c r="B1161" s="76" t="s">
        <v>119</v>
      </c>
      <c r="C1161" s="76">
        <v>59305</v>
      </c>
      <c r="D1161" s="76" t="s">
        <v>1362</v>
      </c>
      <c r="E1161" s="79">
        <v>44092</v>
      </c>
      <c r="F1161" s="76">
        <v>80</v>
      </c>
      <c r="G1161" s="76">
        <v>0.3</v>
      </c>
    </row>
    <row r="1162" spans="1:7" x14ac:dyDescent="0.25">
      <c r="A1162" s="77" t="s">
        <v>1060</v>
      </c>
      <c r="B1162" s="76" t="s">
        <v>119</v>
      </c>
      <c r="C1162" s="76">
        <v>59306</v>
      </c>
      <c r="D1162" s="76" t="s">
        <v>1363</v>
      </c>
      <c r="E1162" s="79">
        <v>44092</v>
      </c>
      <c r="F1162" s="76">
        <v>90</v>
      </c>
      <c r="G1162" s="76">
        <v>0.6</v>
      </c>
    </row>
    <row r="1163" spans="1:7" x14ac:dyDescent="0.25">
      <c r="A1163" s="77" t="s">
        <v>1060</v>
      </c>
      <c r="B1163" s="76" t="s">
        <v>119</v>
      </c>
      <c r="C1163" s="76">
        <v>59328</v>
      </c>
      <c r="D1163" s="76" t="s">
        <v>1364</v>
      </c>
      <c r="E1163" s="79">
        <v>44092</v>
      </c>
      <c r="F1163" s="76">
        <v>80</v>
      </c>
      <c r="G1163" s="76">
        <v>1</v>
      </c>
    </row>
    <row r="1164" spans="1:7" x14ac:dyDescent="0.25">
      <c r="A1164" s="77" t="s">
        <v>1060</v>
      </c>
      <c r="B1164" s="76" t="s">
        <v>119</v>
      </c>
      <c r="C1164" s="76">
        <v>59329</v>
      </c>
      <c r="D1164" s="76" t="s">
        <v>1365</v>
      </c>
      <c r="E1164" s="79">
        <v>44092</v>
      </c>
      <c r="F1164" s="76">
        <v>85</v>
      </c>
      <c r="G1164" s="76">
        <v>1</v>
      </c>
    </row>
    <row r="1165" spans="1:7" x14ac:dyDescent="0.25">
      <c r="A1165" s="77" t="s">
        <v>1060</v>
      </c>
      <c r="B1165" s="76" t="s">
        <v>119</v>
      </c>
      <c r="C1165" s="76">
        <v>59330</v>
      </c>
      <c r="D1165" s="76" t="s">
        <v>1366</v>
      </c>
      <c r="E1165" s="79">
        <v>44092</v>
      </c>
      <c r="F1165" s="76">
        <v>75</v>
      </c>
      <c r="G1165" s="76">
        <v>1</v>
      </c>
    </row>
    <row r="1166" spans="1:7" x14ac:dyDescent="0.25">
      <c r="A1166" s="77" t="s">
        <v>1060</v>
      </c>
      <c r="B1166" s="76" t="s">
        <v>119</v>
      </c>
      <c r="C1166" s="76">
        <v>59331</v>
      </c>
      <c r="D1166" s="76" t="s">
        <v>1367</v>
      </c>
      <c r="E1166" s="79">
        <v>44123</v>
      </c>
      <c r="F1166" s="76">
        <v>90</v>
      </c>
      <c r="G1166" s="76">
        <v>1</v>
      </c>
    </row>
    <row r="1167" spans="1:7" x14ac:dyDescent="0.25">
      <c r="A1167" s="77" t="s">
        <v>1060</v>
      </c>
      <c r="B1167" s="76" t="s">
        <v>119</v>
      </c>
      <c r="C1167" s="76">
        <v>59332</v>
      </c>
      <c r="D1167" s="76" t="s">
        <v>1368</v>
      </c>
      <c r="E1167" s="79">
        <v>44123</v>
      </c>
      <c r="F1167" s="76">
        <v>95</v>
      </c>
      <c r="G1167" s="76">
        <v>1</v>
      </c>
    </row>
    <row r="1168" spans="1:7" x14ac:dyDescent="0.25">
      <c r="A1168" s="77" t="s">
        <v>1060</v>
      </c>
      <c r="B1168" s="76" t="s">
        <v>119</v>
      </c>
      <c r="C1168" s="76">
        <v>59335</v>
      </c>
      <c r="D1168" s="76" t="s">
        <v>1369</v>
      </c>
      <c r="E1168" s="79">
        <v>44273</v>
      </c>
      <c r="F1168" s="76">
        <v>105</v>
      </c>
      <c r="G1168" s="76">
        <v>1</v>
      </c>
    </row>
    <row r="1169" spans="1:7" x14ac:dyDescent="0.25">
      <c r="A1169" s="77" t="s">
        <v>1060</v>
      </c>
      <c r="B1169" s="76" t="s">
        <v>119</v>
      </c>
      <c r="C1169" s="76">
        <v>59336</v>
      </c>
      <c r="D1169" s="76" t="s">
        <v>1370</v>
      </c>
      <c r="E1169" s="79">
        <v>44123</v>
      </c>
      <c r="F1169" s="76">
        <v>75</v>
      </c>
      <c r="G1169" s="76">
        <v>0.2</v>
      </c>
    </row>
    <row r="1170" spans="1:7" x14ac:dyDescent="0.25">
      <c r="A1170" s="77" t="s">
        <v>1060</v>
      </c>
      <c r="B1170" s="76" t="s">
        <v>119</v>
      </c>
      <c r="C1170" s="76">
        <v>59337</v>
      </c>
      <c r="D1170" s="76" t="s">
        <v>1371</v>
      </c>
      <c r="E1170" s="79">
        <v>44183</v>
      </c>
      <c r="F1170" s="76">
        <v>100</v>
      </c>
      <c r="G1170" s="76">
        <v>0.8</v>
      </c>
    </row>
    <row r="1171" spans="1:7" x14ac:dyDescent="0.25">
      <c r="A1171" s="77" t="s">
        <v>1060</v>
      </c>
      <c r="B1171" s="76" t="s">
        <v>119</v>
      </c>
      <c r="C1171" s="76">
        <v>59352</v>
      </c>
      <c r="D1171" s="76" t="s">
        <v>1372</v>
      </c>
      <c r="E1171" s="79">
        <v>44214</v>
      </c>
      <c r="F1171" s="76">
        <v>85</v>
      </c>
      <c r="G1171" s="76">
        <v>0.25</v>
      </c>
    </row>
    <row r="1172" spans="1:7" x14ac:dyDescent="0.25">
      <c r="A1172" s="77" t="s">
        <v>1060</v>
      </c>
      <c r="B1172" s="76" t="s">
        <v>119</v>
      </c>
      <c r="C1172" s="76">
        <v>59258</v>
      </c>
      <c r="D1172" s="76" t="s">
        <v>1349</v>
      </c>
      <c r="E1172" s="79">
        <v>44091</v>
      </c>
      <c r="F1172" s="76">
        <v>84</v>
      </c>
      <c r="G1172" s="76">
        <v>1</v>
      </c>
    </row>
    <row r="1173" spans="1:7" x14ac:dyDescent="0.25">
      <c r="A1173" s="77" t="s">
        <v>1060</v>
      </c>
      <c r="B1173" s="76" t="s">
        <v>119</v>
      </c>
      <c r="C1173" s="76">
        <v>59193</v>
      </c>
      <c r="D1173" s="76" t="s">
        <v>1380</v>
      </c>
      <c r="E1173" s="79">
        <v>44090</v>
      </c>
      <c r="F1173" s="76">
        <v>95.77</v>
      </c>
      <c r="G1173" s="76">
        <v>0.71</v>
      </c>
    </row>
    <row r="1174" spans="1:7" x14ac:dyDescent="0.25">
      <c r="A1174" s="77" t="s">
        <v>1060</v>
      </c>
      <c r="B1174" s="76" t="s">
        <v>119</v>
      </c>
      <c r="C1174" s="76">
        <v>59204</v>
      </c>
      <c r="D1174" s="76" t="s">
        <v>1381</v>
      </c>
      <c r="E1174" s="79">
        <v>44214</v>
      </c>
      <c r="F1174" s="76">
        <v>88</v>
      </c>
      <c r="G1174" s="76">
        <v>0.4</v>
      </c>
    </row>
    <row r="1175" spans="1:7" x14ac:dyDescent="0.25">
      <c r="A1175" s="77" t="s">
        <v>1060</v>
      </c>
      <c r="B1175" s="76" t="s">
        <v>119</v>
      </c>
      <c r="C1175" s="76">
        <v>59232</v>
      </c>
      <c r="D1175" s="76" t="s">
        <v>1377</v>
      </c>
      <c r="E1175" s="79">
        <v>44272</v>
      </c>
      <c r="F1175" s="76">
        <v>88</v>
      </c>
      <c r="G1175" s="76">
        <v>0.4</v>
      </c>
    </row>
    <row r="1176" spans="1:7" x14ac:dyDescent="0.25">
      <c r="A1176" s="77" t="s">
        <v>1060</v>
      </c>
      <c r="B1176" s="76" t="s">
        <v>119</v>
      </c>
      <c r="C1176" s="76">
        <v>59233</v>
      </c>
      <c r="D1176" s="76" t="s">
        <v>1378</v>
      </c>
      <c r="E1176" s="79">
        <v>44182</v>
      </c>
      <c r="F1176" s="76">
        <v>85</v>
      </c>
      <c r="G1176" s="76">
        <v>0.5</v>
      </c>
    </row>
    <row r="1177" spans="1:7" x14ac:dyDescent="0.25">
      <c r="A1177" s="77" t="s">
        <v>1060</v>
      </c>
      <c r="B1177" s="76" t="s">
        <v>119</v>
      </c>
      <c r="C1177" s="76">
        <v>59234</v>
      </c>
      <c r="D1177" s="76" t="s">
        <v>1379</v>
      </c>
      <c r="E1177" s="79">
        <v>44182</v>
      </c>
      <c r="F1177" s="76">
        <v>80</v>
      </c>
      <c r="G1177" s="76">
        <v>0.5</v>
      </c>
    </row>
    <row r="1178" spans="1:7" x14ac:dyDescent="0.25">
      <c r="A1178" s="77" t="s">
        <v>1060</v>
      </c>
      <c r="B1178" s="76" t="s">
        <v>119</v>
      </c>
      <c r="C1178" s="76">
        <v>59182</v>
      </c>
      <c r="D1178" s="76" t="s">
        <v>1382</v>
      </c>
      <c r="E1178" s="79">
        <v>44151</v>
      </c>
      <c r="F1178" s="76">
        <v>82.32</v>
      </c>
      <c r="G1178" s="76">
        <v>0.33600000000000002</v>
      </c>
    </row>
    <row r="1179" spans="1:7" x14ac:dyDescent="0.25">
      <c r="A1179" s="77" t="s">
        <v>1060</v>
      </c>
      <c r="B1179" s="76" t="s">
        <v>119</v>
      </c>
      <c r="C1179" s="76">
        <v>59108</v>
      </c>
      <c r="D1179" s="76" t="s">
        <v>1384</v>
      </c>
      <c r="E1179" s="79">
        <v>44151</v>
      </c>
      <c r="F1179" s="76">
        <v>110</v>
      </c>
      <c r="G1179" s="76">
        <v>1</v>
      </c>
    </row>
    <row r="1180" spans="1:7" x14ac:dyDescent="0.25">
      <c r="A1180" s="77" t="s">
        <v>1060</v>
      </c>
      <c r="B1180" s="76" t="s">
        <v>119</v>
      </c>
      <c r="C1180" s="76">
        <v>59130</v>
      </c>
      <c r="D1180" s="76" t="s">
        <v>1385</v>
      </c>
      <c r="E1180" s="79">
        <v>44151</v>
      </c>
      <c r="F1180" s="76">
        <v>89</v>
      </c>
      <c r="G1180" s="76">
        <v>1</v>
      </c>
    </row>
    <row r="1181" spans="1:7" x14ac:dyDescent="0.25">
      <c r="A1181" s="77" t="s">
        <v>1060</v>
      </c>
      <c r="B1181" s="76" t="s">
        <v>119</v>
      </c>
      <c r="C1181" s="76">
        <v>59156</v>
      </c>
      <c r="D1181" s="76" t="s">
        <v>1383</v>
      </c>
      <c r="E1181" s="79">
        <v>44214</v>
      </c>
      <c r="F1181" s="76">
        <v>90</v>
      </c>
      <c r="G1181" s="76">
        <v>0.3</v>
      </c>
    </row>
    <row r="1182" spans="1:7" x14ac:dyDescent="0.25">
      <c r="A1182" s="77" t="s">
        <v>1060</v>
      </c>
      <c r="B1182" s="76" t="s">
        <v>119</v>
      </c>
      <c r="C1182" s="76">
        <v>59025</v>
      </c>
      <c r="D1182" s="76" t="s">
        <v>1386</v>
      </c>
      <c r="E1182" s="79">
        <v>44147</v>
      </c>
      <c r="F1182" s="76">
        <v>86.24</v>
      </c>
      <c r="G1182" s="76">
        <v>0.33700000000000002</v>
      </c>
    </row>
    <row r="1183" spans="1:7" x14ac:dyDescent="0.25">
      <c r="A1183" s="77" t="s">
        <v>1060</v>
      </c>
      <c r="B1183" s="76" t="s">
        <v>119</v>
      </c>
      <c r="C1183" s="76">
        <v>58975</v>
      </c>
      <c r="D1183" s="76" t="s">
        <v>1387</v>
      </c>
      <c r="E1183" s="79">
        <v>44208</v>
      </c>
      <c r="F1183" s="76">
        <v>95</v>
      </c>
      <c r="G1183" s="76">
        <v>0.5</v>
      </c>
    </row>
    <row r="1184" spans="1:7" x14ac:dyDescent="0.25">
      <c r="A1184" s="77" t="s">
        <v>1060</v>
      </c>
      <c r="B1184" s="76" t="s">
        <v>119</v>
      </c>
      <c r="C1184" s="76">
        <v>58991</v>
      </c>
      <c r="D1184" s="76" t="s">
        <v>1388</v>
      </c>
      <c r="E1184" s="79">
        <v>44267</v>
      </c>
      <c r="F1184" s="76">
        <v>98</v>
      </c>
      <c r="G1184" s="76">
        <v>0.6</v>
      </c>
    </row>
    <row r="1185" spans="1:7" x14ac:dyDescent="0.25">
      <c r="A1185" s="77" t="s">
        <v>1060</v>
      </c>
      <c r="B1185" s="76" t="s">
        <v>119</v>
      </c>
      <c r="C1185" s="76">
        <v>59017</v>
      </c>
      <c r="D1185" s="76" t="s">
        <v>1389</v>
      </c>
      <c r="E1185" s="79">
        <v>44147</v>
      </c>
      <c r="F1185" s="76">
        <v>88.88</v>
      </c>
      <c r="G1185" s="76">
        <v>0.3</v>
      </c>
    </row>
    <row r="1186" spans="1:7" x14ac:dyDescent="0.25">
      <c r="A1186" s="77" t="s">
        <v>1060</v>
      </c>
      <c r="B1186" s="76" t="s">
        <v>119</v>
      </c>
      <c r="C1186" s="76">
        <v>58961</v>
      </c>
      <c r="D1186" s="76" t="s">
        <v>1390</v>
      </c>
      <c r="E1186" s="79">
        <v>44179</v>
      </c>
      <c r="F1186" s="76">
        <v>96</v>
      </c>
      <c r="G1186" s="76">
        <v>0.5</v>
      </c>
    </row>
    <row r="1187" spans="1:7" x14ac:dyDescent="0.25">
      <c r="A1187" s="77" t="s">
        <v>1060</v>
      </c>
      <c r="B1187" s="76" t="s">
        <v>119</v>
      </c>
      <c r="C1187" s="76">
        <v>58880</v>
      </c>
      <c r="D1187" s="76" t="s">
        <v>1392</v>
      </c>
      <c r="E1187" s="79">
        <v>44085</v>
      </c>
      <c r="F1187" s="76">
        <v>102.1</v>
      </c>
      <c r="G1187" s="76">
        <v>1</v>
      </c>
    </row>
    <row r="1188" spans="1:7" x14ac:dyDescent="0.25">
      <c r="A1188" s="77" t="s">
        <v>1060</v>
      </c>
      <c r="B1188" s="76" t="s">
        <v>119</v>
      </c>
      <c r="C1188" s="76">
        <v>58934</v>
      </c>
      <c r="D1188" s="76" t="s">
        <v>1393</v>
      </c>
      <c r="E1188" s="79">
        <v>44267</v>
      </c>
      <c r="F1188" s="76">
        <v>108</v>
      </c>
      <c r="G1188" s="76">
        <v>1</v>
      </c>
    </row>
    <row r="1189" spans="1:7" x14ac:dyDescent="0.25">
      <c r="A1189" s="77" t="s">
        <v>1060</v>
      </c>
      <c r="B1189" s="76" t="s">
        <v>119</v>
      </c>
      <c r="C1189" s="76">
        <v>58718</v>
      </c>
      <c r="D1189" s="76" t="s">
        <v>1394</v>
      </c>
      <c r="E1189" s="79">
        <v>44264</v>
      </c>
      <c r="F1189" s="76">
        <v>100.17</v>
      </c>
      <c r="G1189" s="76">
        <v>1</v>
      </c>
    </row>
    <row r="1190" spans="1:7" x14ac:dyDescent="0.25">
      <c r="A1190" s="77" t="s">
        <v>1060</v>
      </c>
      <c r="B1190" s="76" t="s">
        <v>119</v>
      </c>
      <c r="C1190" s="76">
        <v>58665</v>
      </c>
      <c r="D1190" s="76" t="s">
        <v>1391</v>
      </c>
      <c r="E1190" s="79">
        <v>44144</v>
      </c>
      <c r="F1190" s="76">
        <v>94</v>
      </c>
      <c r="G1190" s="76">
        <v>1</v>
      </c>
    </row>
    <row r="1191" spans="1:7" x14ac:dyDescent="0.25">
      <c r="A1191" s="77" t="s">
        <v>1060</v>
      </c>
      <c r="B1191" s="76" t="s">
        <v>119</v>
      </c>
      <c r="C1191" s="76">
        <v>58619</v>
      </c>
      <c r="D1191" s="76" t="s">
        <v>1397</v>
      </c>
      <c r="E1191" s="79">
        <v>44082</v>
      </c>
      <c r="F1191" s="76">
        <v>90</v>
      </c>
      <c r="G1191" s="76">
        <v>1</v>
      </c>
    </row>
    <row r="1192" spans="1:7" x14ac:dyDescent="0.25">
      <c r="A1192" s="77" t="s">
        <v>1060</v>
      </c>
      <c r="B1192" s="76" t="s">
        <v>119</v>
      </c>
      <c r="C1192" s="76">
        <v>58633</v>
      </c>
      <c r="D1192" s="76" t="s">
        <v>1398</v>
      </c>
      <c r="E1192" s="79">
        <v>44082</v>
      </c>
      <c r="F1192" s="76">
        <v>95</v>
      </c>
      <c r="G1192" s="76">
        <v>0.5</v>
      </c>
    </row>
    <row r="1193" spans="1:7" x14ac:dyDescent="0.25">
      <c r="A1193" s="77" t="s">
        <v>1060</v>
      </c>
      <c r="B1193" s="76" t="s">
        <v>119</v>
      </c>
      <c r="C1193" s="76">
        <v>58640</v>
      </c>
      <c r="D1193" s="76" t="s">
        <v>1399</v>
      </c>
      <c r="E1193" s="79">
        <v>44112</v>
      </c>
      <c r="F1193" s="76">
        <v>90</v>
      </c>
      <c r="G1193" s="76">
        <v>0.5</v>
      </c>
    </row>
    <row r="1194" spans="1:7" x14ac:dyDescent="0.25">
      <c r="A1194" s="77" t="s">
        <v>1060</v>
      </c>
      <c r="B1194" s="76" t="s">
        <v>119</v>
      </c>
      <c r="C1194" s="76">
        <v>58591</v>
      </c>
      <c r="D1194" s="76" t="s">
        <v>1395</v>
      </c>
      <c r="E1194" s="79">
        <v>44144</v>
      </c>
      <c r="F1194" s="76">
        <v>92.8</v>
      </c>
      <c r="G1194" s="76">
        <v>0.3</v>
      </c>
    </row>
    <row r="1195" spans="1:7" x14ac:dyDescent="0.25">
      <c r="A1195" s="77" t="s">
        <v>1060</v>
      </c>
      <c r="B1195" s="76" t="s">
        <v>119</v>
      </c>
      <c r="C1195" s="76">
        <v>58594</v>
      </c>
      <c r="D1195" s="76" t="s">
        <v>1396</v>
      </c>
      <c r="E1195" s="79">
        <v>44144</v>
      </c>
      <c r="F1195" s="76">
        <v>95.52</v>
      </c>
      <c r="G1195" s="76">
        <v>0.5</v>
      </c>
    </row>
    <row r="1196" spans="1:7" x14ac:dyDescent="0.25">
      <c r="A1196" s="77" t="s">
        <v>1060</v>
      </c>
      <c r="B1196" s="76" t="s">
        <v>119</v>
      </c>
      <c r="C1196" s="76">
        <v>58470</v>
      </c>
      <c r="D1196" s="76" t="s">
        <v>279</v>
      </c>
      <c r="E1196" s="79">
        <v>44140</v>
      </c>
      <c r="F1196" s="76">
        <v>92</v>
      </c>
      <c r="G1196" s="76">
        <v>0.25</v>
      </c>
    </row>
    <row r="1197" spans="1:7" x14ac:dyDescent="0.25">
      <c r="A1197" s="77" t="s">
        <v>1060</v>
      </c>
      <c r="B1197" s="76" t="s">
        <v>119</v>
      </c>
      <c r="C1197" s="76">
        <v>58489</v>
      </c>
      <c r="D1197" s="76" t="s">
        <v>1403</v>
      </c>
      <c r="E1197" s="79">
        <v>44140</v>
      </c>
      <c r="F1197" s="76">
        <v>98</v>
      </c>
      <c r="G1197" s="76">
        <v>1</v>
      </c>
    </row>
    <row r="1198" spans="1:7" x14ac:dyDescent="0.25">
      <c r="A1198" s="77" t="s">
        <v>1060</v>
      </c>
      <c r="B1198" s="76" t="s">
        <v>119</v>
      </c>
      <c r="C1198" s="76">
        <v>58219</v>
      </c>
      <c r="D1198" s="76" t="s">
        <v>1402</v>
      </c>
      <c r="E1198" s="79">
        <v>44109</v>
      </c>
      <c r="F1198" s="76">
        <v>92</v>
      </c>
      <c r="G1198" s="76">
        <v>1</v>
      </c>
    </row>
    <row r="1199" spans="1:7" x14ac:dyDescent="0.25">
      <c r="A1199" s="77" t="s">
        <v>1060</v>
      </c>
      <c r="B1199" s="76" t="s">
        <v>119</v>
      </c>
      <c r="C1199" s="76">
        <v>58227</v>
      </c>
      <c r="D1199" s="76" t="s">
        <v>1400</v>
      </c>
      <c r="E1199" s="79">
        <v>44167</v>
      </c>
      <c r="F1199" s="76">
        <v>92</v>
      </c>
      <c r="G1199" s="76">
        <v>0.5</v>
      </c>
    </row>
    <row r="1200" spans="1:7" x14ac:dyDescent="0.25">
      <c r="A1200" s="77" t="s">
        <v>1060</v>
      </c>
      <c r="B1200" s="76" t="s">
        <v>119</v>
      </c>
      <c r="C1200" s="76">
        <v>58109</v>
      </c>
      <c r="D1200" s="76" t="s">
        <v>1404</v>
      </c>
      <c r="E1200" s="79">
        <v>44161</v>
      </c>
      <c r="F1200" s="76">
        <v>97.09</v>
      </c>
      <c r="G1200" s="76">
        <v>0.5</v>
      </c>
    </row>
    <row r="1201" spans="1:7" x14ac:dyDescent="0.25">
      <c r="A1201" s="77" t="s">
        <v>1060</v>
      </c>
      <c r="B1201" s="76" t="s">
        <v>119</v>
      </c>
      <c r="C1201" s="76">
        <v>58120</v>
      </c>
      <c r="D1201" s="76" t="s">
        <v>1401</v>
      </c>
      <c r="E1201" s="79">
        <v>44075</v>
      </c>
      <c r="F1201" s="76">
        <v>95</v>
      </c>
      <c r="G1201" s="76">
        <v>1</v>
      </c>
    </row>
    <row r="1202" spans="1:7" x14ac:dyDescent="0.25">
      <c r="A1202" s="77" t="s">
        <v>1060</v>
      </c>
      <c r="B1202" s="76" t="s">
        <v>119</v>
      </c>
      <c r="C1202" s="76">
        <v>58029</v>
      </c>
      <c r="D1202" s="76" t="s">
        <v>1409</v>
      </c>
      <c r="E1202" s="79">
        <v>44130</v>
      </c>
      <c r="F1202" s="76">
        <v>104.03</v>
      </c>
      <c r="G1202" s="76">
        <v>0.69</v>
      </c>
    </row>
    <row r="1203" spans="1:7" x14ac:dyDescent="0.25">
      <c r="A1203" s="77" t="s">
        <v>1060</v>
      </c>
      <c r="B1203" s="76" t="s">
        <v>119</v>
      </c>
      <c r="C1203" s="76">
        <v>58037</v>
      </c>
      <c r="D1203" s="76" t="s">
        <v>1406</v>
      </c>
      <c r="E1203" s="79">
        <v>44160</v>
      </c>
      <c r="F1203" s="76">
        <v>96</v>
      </c>
      <c r="G1203" s="76">
        <v>0.6</v>
      </c>
    </row>
    <row r="1204" spans="1:7" x14ac:dyDescent="0.25">
      <c r="A1204" s="77" t="s">
        <v>1060</v>
      </c>
      <c r="B1204" s="76" t="s">
        <v>119</v>
      </c>
      <c r="C1204" s="76">
        <v>58097</v>
      </c>
      <c r="D1204" s="76" t="s">
        <v>1405</v>
      </c>
      <c r="E1204" s="79">
        <v>44102</v>
      </c>
      <c r="F1204" s="76">
        <v>96</v>
      </c>
      <c r="G1204" s="76">
        <v>0.7</v>
      </c>
    </row>
    <row r="1205" spans="1:7" x14ac:dyDescent="0.25">
      <c r="A1205" s="77" t="s">
        <v>1060</v>
      </c>
      <c r="B1205" s="76" t="s">
        <v>119</v>
      </c>
      <c r="C1205" s="76">
        <v>57735</v>
      </c>
      <c r="D1205" s="76" t="s">
        <v>1408</v>
      </c>
      <c r="E1205" s="79">
        <v>44186</v>
      </c>
      <c r="F1205" s="76">
        <v>99</v>
      </c>
      <c r="G1205" s="76">
        <v>1</v>
      </c>
    </row>
    <row r="1206" spans="1:7" x14ac:dyDescent="0.25">
      <c r="A1206" s="77" t="s">
        <v>1060</v>
      </c>
      <c r="B1206" s="76" t="s">
        <v>119</v>
      </c>
      <c r="C1206" s="76">
        <v>57294</v>
      </c>
      <c r="D1206" s="76" t="s">
        <v>1415</v>
      </c>
      <c r="E1206" s="79">
        <v>44088</v>
      </c>
      <c r="F1206" s="76">
        <v>101.01</v>
      </c>
      <c r="G1206" s="76">
        <v>0.61</v>
      </c>
    </row>
    <row r="1207" spans="1:7" x14ac:dyDescent="0.25">
      <c r="A1207" s="77" t="s">
        <v>1060</v>
      </c>
      <c r="B1207" s="76" t="s">
        <v>119</v>
      </c>
      <c r="C1207" s="76">
        <v>57685</v>
      </c>
      <c r="D1207" s="76" t="s">
        <v>1410</v>
      </c>
      <c r="E1207" s="79">
        <v>44186</v>
      </c>
      <c r="F1207" s="76">
        <v>105</v>
      </c>
      <c r="G1207" s="76">
        <v>0.8</v>
      </c>
    </row>
    <row r="1208" spans="1:7" x14ac:dyDescent="0.25">
      <c r="A1208" s="77" t="s">
        <v>1060</v>
      </c>
      <c r="B1208" s="76" t="s">
        <v>119</v>
      </c>
      <c r="C1208" s="76">
        <v>57541</v>
      </c>
      <c r="D1208" s="76" t="s">
        <v>1411</v>
      </c>
      <c r="E1208" s="79">
        <v>44123</v>
      </c>
      <c r="F1208" s="76">
        <v>94</v>
      </c>
      <c r="G1208" s="76">
        <v>0.15</v>
      </c>
    </row>
    <row r="1209" spans="1:7" x14ac:dyDescent="0.25">
      <c r="A1209" s="77" t="s">
        <v>1060</v>
      </c>
      <c r="B1209" s="76" t="s">
        <v>119</v>
      </c>
      <c r="C1209" s="76">
        <v>57315</v>
      </c>
      <c r="D1209" s="76" t="s">
        <v>1407</v>
      </c>
      <c r="E1209" s="79">
        <v>44117</v>
      </c>
      <c r="F1209" s="76">
        <v>95.5</v>
      </c>
      <c r="G1209" s="76">
        <v>0.3</v>
      </c>
    </row>
    <row r="1210" spans="1:7" x14ac:dyDescent="0.25">
      <c r="A1210" s="77" t="s">
        <v>1060</v>
      </c>
      <c r="B1210" s="76" t="s">
        <v>119</v>
      </c>
      <c r="C1210" s="76">
        <v>57384</v>
      </c>
      <c r="D1210" s="76" t="s">
        <v>1412</v>
      </c>
      <c r="E1210" s="79">
        <v>44088</v>
      </c>
      <c r="F1210" s="76">
        <v>105.51</v>
      </c>
      <c r="G1210" s="76">
        <v>1</v>
      </c>
    </row>
    <row r="1211" spans="1:7" x14ac:dyDescent="0.25">
      <c r="A1211" s="77" t="s">
        <v>1060</v>
      </c>
      <c r="B1211" s="76" t="s">
        <v>119</v>
      </c>
      <c r="C1211" s="76">
        <v>56955</v>
      </c>
      <c r="D1211" s="76" t="s">
        <v>1413</v>
      </c>
      <c r="E1211" s="79">
        <v>44053</v>
      </c>
      <c r="F1211" s="76">
        <v>102.76</v>
      </c>
      <c r="G1211" s="76">
        <v>1</v>
      </c>
    </row>
    <row r="1212" spans="1:7" x14ac:dyDescent="0.25">
      <c r="A1212" s="77" t="s">
        <v>1060</v>
      </c>
      <c r="B1212" s="76" t="s">
        <v>119</v>
      </c>
      <c r="C1212" s="76">
        <v>56997</v>
      </c>
      <c r="D1212" s="76" t="s">
        <v>1414</v>
      </c>
      <c r="E1212" s="79">
        <v>44116</v>
      </c>
      <c r="F1212" s="76">
        <v>98</v>
      </c>
      <c r="G1212" s="76">
        <v>0.4</v>
      </c>
    </row>
    <row r="1213" spans="1:7" x14ac:dyDescent="0.25">
      <c r="A1213" s="77" t="s">
        <v>1060</v>
      </c>
      <c r="B1213" s="76" t="s">
        <v>119</v>
      </c>
      <c r="C1213" s="76" t="s">
        <v>1417</v>
      </c>
      <c r="D1213" s="76" t="s">
        <v>1418</v>
      </c>
      <c r="E1213" s="79">
        <v>44088</v>
      </c>
      <c r="F1213" s="76">
        <v>24.16</v>
      </c>
      <c r="G1213" s="76">
        <v>0.49</v>
      </c>
    </row>
    <row r="1214" spans="1:7" x14ac:dyDescent="0.25">
      <c r="A1214" s="77" t="s">
        <v>1060</v>
      </c>
      <c r="B1214" s="76" t="s">
        <v>119</v>
      </c>
      <c r="C1214" s="76">
        <v>56881</v>
      </c>
      <c r="D1214" s="76" t="s">
        <v>1416</v>
      </c>
      <c r="E1214" s="79">
        <v>44116</v>
      </c>
      <c r="F1214" s="76">
        <v>100</v>
      </c>
      <c r="G1214" s="76">
        <v>0.5</v>
      </c>
    </row>
    <row r="1215" spans="1:7" x14ac:dyDescent="0.25">
      <c r="A1215" s="77" t="s">
        <v>1060</v>
      </c>
      <c r="B1215" s="76" t="s">
        <v>119</v>
      </c>
      <c r="C1215" s="76">
        <v>56721</v>
      </c>
      <c r="D1215" s="76" t="s">
        <v>1421</v>
      </c>
      <c r="E1215" s="79">
        <v>44110</v>
      </c>
      <c r="F1215" s="76">
        <v>90</v>
      </c>
      <c r="G1215" s="76">
        <v>0.5</v>
      </c>
    </row>
    <row r="1216" spans="1:7" x14ac:dyDescent="0.25">
      <c r="A1216" s="77" t="s">
        <v>1060</v>
      </c>
      <c r="B1216" s="76" t="s">
        <v>119</v>
      </c>
      <c r="C1216" s="76">
        <v>56671</v>
      </c>
      <c r="D1216" s="76" t="s">
        <v>1420</v>
      </c>
      <c r="E1216" s="79">
        <v>44109</v>
      </c>
      <c r="F1216" s="76">
        <v>99.8</v>
      </c>
      <c r="G1216" s="76">
        <v>1</v>
      </c>
    </row>
    <row r="1217" spans="1:7" x14ac:dyDescent="0.25">
      <c r="A1217" s="77" t="s">
        <v>1060</v>
      </c>
      <c r="B1217" s="76" t="s">
        <v>119</v>
      </c>
      <c r="C1217" s="76" t="s">
        <v>2091</v>
      </c>
      <c r="D1217" s="76" t="s">
        <v>2092</v>
      </c>
      <c r="E1217" s="79">
        <v>44232</v>
      </c>
      <c r="F1217" s="76">
        <v>72.38</v>
      </c>
      <c r="G1217" s="76">
        <v>0.15</v>
      </c>
    </row>
    <row r="1218" spans="1:7" x14ac:dyDescent="0.25">
      <c r="A1218" s="77" t="s">
        <v>1060</v>
      </c>
      <c r="B1218" s="76" t="s">
        <v>119</v>
      </c>
      <c r="C1218" s="76">
        <v>36084</v>
      </c>
      <c r="D1218" s="76" t="s">
        <v>1419</v>
      </c>
      <c r="E1218" s="79">
        <v>44063</v>
      </c>
      <c r="F1218" s="76">
        <v>75.099999999999994</v>
      </c>
      <c r="G1218" s="76">
        <v>0.52</v>
      </c>
    </row>
    <row r="1219" spans="1:7" x14ac:dyDescent="0.25">
      <c r="A1219" s="77" t="s">
        <v>127</v>
      </c>
      <c r="B1219" s="76" t="s">
        <v>128</v>
      </c>
      <c r="C1219" s="76" t="s">
        <v>1670</v>
      </c>
      <c r="D1219" s="76" t="s">
        <v>1671</v>
      </c>
      <c r="E1219" s="79">
        <v>44027</v>
      </c>
      <c r="F1219" s="76">
        <v>8.67</v>
      </c>
      <c r="G1219" s="76">
        <v>0.8</v>
      </c>
    </row>
    <row r="1220" spans="1:7" x14ac:dyDescent="0.25">
      <c r="A1220" s="77" t="s">
        <v>127</v>
      </c>
      <c r="B1220" s="76" t="s">
        <v>128</v>
      </c>
      <c r="C1220" s="76" t="s">
        <v>1672</v>
      </c>
      <c r="D1220" s="76" t="s">
        <v>1673</v>
      </c>
      <c r="E1220" s="79">
        <v>44027</v>
      </c>
      <c r="F1220" s="76">
        <v>8.65</v>
      </c>
      <c r="G1220" s="76">
        <v>1</v>
      </c>
    </row>
    <row r="1221" spans="1:7" x14ac:dyDescent="0.25">
      <c r="A1221" s="77" t="s">
        <v>127</v>
      </c>
      <c r="B1221" s="76" t="s">
        <v>128</v>
      </c>
      <c r="C1221" s="76" t="s">
        <v>1674</v>
      </c>
      <c r="D1221" s="76" t="s">
        <v>1675</v>
      </c>
      <c r="E1221" s="79">
        <v>44117</v>
      </c>
      <c r="F1221" s="76">
        <v>8.6</v>
      </c>
      <c r="G1221" s="76">
        <v>1</v>
      </c>
    </row>
    <row r="1222" spans="1:7" x14ac:dyDescent="0.25">
      <c r="A1222" s="77" t="s">
        <v>127</v>
      </c>
      <c r="B1222" s="76" t="s">
        <v>128</v>
      </c>
      <c r="C1222" s="76">
        <v>42792</v>
      </c>
      <c r="D1222" s="76" t="s">
        <v>1676</v>
      </c>
      <c r="E1222" s="79">
        <v>44196</v>
      </c>
      <c r="F1222" s="76">
        <v>11.16</v>
      </c>
      <c r="G1222" s="76">
        <v>1</v>
      </c>
    </row>
    <row r="1223" spans="1:7" x14ac:dyDescent="0.25">
      <c r="A1223" s="77" t="s">
        <v>127</v>
      </c>
      <c r="B1223" s="76" t="s">
        <v>128</v>
      </c>
      <c r="C1223" s="76">
        <v>45842</v>
      </c>
      <c r="D1223" s="76" t="s">
        <v>1678</v>
      </c>
      <c r="E1223" s="79">
        <v>44061</v>
      </c>
      <c r="F1223" s="76">
        <v>12</v>
      </c>
      <c r="G1223" s="76">
        <v>1</v>
      </c>
    </row>
    <row r="1224" spans="1:7" x14ac:dyDescent="0.25">
      <c r="A1224" s="77" t="s">
        <v>127</v>
      </c>
      <c r="B1224" s="76" t="s">
        <v>128</v>
      </c>
      <c r="C1224" s="76">
        <v>47342</v>
      </c>
      <c r="D1224" s="76" t="s">
        <v>1677</v>
      </c>
      <c r="E1224" s="79">
        <v>44084</v>
      </c>
      <c r="F1224" s="76">
        <v>10.8</v>
      </c>
      <c r="G1224" s="76">
        <v>1</v>
      </c>
    </row>
    <row r="1225" spans="1:7" x14ac:dyDescent="0.25">
      <c r="A1225" s="77" t="s">
        <v>127</v>
      </c>
      <c r="B1225" s="76" t="s">
        <v>128</v>
      </c>
      <c r="C1225" s="76" t="s">
        <v>2736</v>
      </c>
      <c r="D1225" s="76" t="s">
        <v>2737</v>
      </c>
      <c r="E1225" s="79">
        <v>44278</v>
      </c>
      <c r="F1225" s="76">
        <v>8.32</v>
      </c>
      <c r="G1225" s="76">
        <v>1</v>
      </c>
    </row>
    <row r="1226" spans="1:7" x14ac:dyDescent="0.25">
      <c r="A1226" s="77" t="s">
        <v>127</v>
      </c>
      <c r="B1226" s="76" t="s">
        <v>128</v>
      </c>
      <c r="C1226" s="76" t="s">
        <v>2935</v>
      </c>
      <c r="D1226" s="76" t="s">
        <v>2936</v>
      </c>
      <c r="E1226" s="79">
        <v>44244</v>
      </c>
      <c r="F1226" s="76">
        <v>7.85</v>
      </c>
      <c r="G1226" s="76">
        <v>0.8</v>
      </c>
    </row>
    <row r="1227" spans="1:7" x14ac:dyDescent="0.25">
      <c r="A1227" s="77" t="s">
        <v>127</v>
      </c>
      <c r="B1227" s="76" t="s">
        <v>128</v>
      </c>
      <c r="C1227" s="76">
        <v>38489</v>
      </c>
      <c r="D1227" s="76" t="s">
        <v>1669</v>
      </c>
      <c r="E1227" s="79">
        <v>44109</v>
      </c>
      <c r="F1227" s="76">
        <v>12.64</v>
      </c>
      <c r="G1227" s="76">
        <v>1</v>
      </c>
    </row>
    <row r="1228" spans="1:7" x14ac:dyDescent="0.25">
      <c r="A1228" s="77" t="s">
        <v>127</v>
      </c>
      <c r="B1228" s="76" t="s">
        <v>128</v>
      </c>
      <c r="C1228" s="76">
        <v>53762</v>
      </c>
      <c r="D1228" s="76" t="s">
        <v>1730</v>
      </c>
      <c r="E1228" s="79">
        <v>44032</v>
      </c>
      <c r="F1228" s="76">
        <v>10</v>
      </c>
      <c r="G1228" s="76">
        <v>1</v>
      </c>
    </row>
    <row r="1229" spans="1:7" x14ac:dyDescent="0.25">
      <c r="A1229" s="77" t="s">
        <v>127</v>
      </c>
      <c r="B1229" s="76" t="s">
        <v>128</v>
      </c>
      <c r="C1229" s="76">
        <v>53763</v>
      </c>
      <c r="D1229" s="76" t="s">
        <v>1731</v>
      </c>
      <c r="E1229" s="79">
        <v>44061</v>
      </c>
      <c r="F1229" s="76">
        <v>9.6999999999999993</v>
      </c>
      <c r="G1229" s="76">
        <v>1</v>
      </c>
    </row>
    <row r="1230" spans="1:7" x14ac:dyDescent="0.25">
      <c r="A1230" s="77" t="s">
        <v>127</v>
      </c>
      <c r="B1230" s="76" t="s">
        <v>128</v>
      </c>
      <c r="C1230" s="76">
        <v>53900</v>
      </c>
      <c r="D1230" s="76" t="s">
        <v>126</v>
      </c>
      <c r="E1230" s="79">
        <v>44096</v>
      </c>
      <c r="F1230" s="76">
        <v>10.5</v>
      </c>
      <c r="G1230" s="76">
        <v>1</v>
      </c>
    </row>
    <row r="1231" spans="1:7" x14ac:dyDescent="0.25">
      <c r="A1231" s="77" t="s">
        <v>127</v>
      </c>
      <c r="B1231" s="76" t="s">
        <v>128</v>
      </c>
      <c r="C1231" s="76">
        <v>53901</v>
      </c>
      <c r="D1231" s="76" t="s">
        <v>1727</v>
      </c>
      <c r="E1231" s="79">
        <v>44096</v>
      </c>
      <c r="F1231" s="76">
        <v>9.5</v>
      </c>
      <c r="G1231" s="76">
        <v>1</v>
      </c>
    </row>
    <row r="1232" spans="1:7" x14ac:dyDescent="0.25">
      <c r="A1232" s="77" t="s">
        <v>127</v>
      </c>
      <c r="B1232" s="76" t="s">
        <v>128</v>
      </c>
      <c r="C1232" s="76">
        <v>53912</v>
      </c>
      <c r="D1232" s="76" t="s">
        <v>975</v>
      </c>
      <c r="E1232" s="79">
        <v>44034</v>
      </c>
      <c r="F1232" s="76">
        <v>9.4</v>
      </c>
      <c r="G1232" s="76">
        <v>1</v>
      </c>
    </row>
    <row r="1233" spans="1:7" x14ac:dyDescent="0.25">
      <c r="A1233" s="77" t="s">
        <v>127</v>
      </c>
      <c r="B1233" s="76" t="s">
        <v>128</v>
      </c>
      <c r="C1233" s="76">
        <v>53951</v>
      </c>
      <c r="D1233" s="76" t="s">
        <v>1728</v>
      </c>
      <c r="E1233" s="79">
        <v>44369</v>
      </c>
      <c r="F1233" s="76">
        <v>10.5</v>
      </c>
      <c r="G1233" s="76">
        <v>1</v>
      </c>
    </row>
    <row r="1234" spans="1:7" x14ac:dyDescent="0.25">
      <c r="A1234" s="77" t="s">
        <v>127</v>
      </c>
      <c r="B1234" s="76" t="s">
        <v>128</v>
      </c>
      <c r="C1234" s="76">
        <v>54038</v>
      </c>
      <c r="D1234" s="76" t="s">
        <v>1729</v>
      </c>
      <c r="E1234" s="79">
        <v>44067</v>
      </c>
      <c r="F1234" s="76">
        <v>9.9</v>
      </c>
      <c r="G1234" s="76">
        <v>1</v>
      </c>
    </row>
    <row r="1235" spans="1:7" x14ac:dyDescent="0.25">
      <c r="A1235" s="77" t="s">
        <v>127</v>
      </c>
      <c r="B1235" s="76" t="s">
        <v>128</v>
      </c>
      <c r="C1235" s="76">
        <v>54103</v>
      </c>
      <c r="D1235" s="76" t="s">
        <v>1725</v>
      </c>
      <c r="E1235" s="79">
        <v>44098</v>
      </c>
      <c r="F1235" s="76">
        <v>9.1999999999999993</v>
      </c>
      <c r="G1235" s="76">
        <v>1</v>
      </c>
    </row>
    <row r="1236" spans="1:7" x14ac:dyDescent="0.25">
      <c r="A1236" s="77" t="s">
        <v>127</v>
      </c>
      <c r="B1236" s="76" t="s">
        <v>128</v>
      </c>
      <c r="C1236" s="76">
        <v>54104</v>
      </c>
      <c r="D1236" s="76" t="s">
        <v>1726</v>
      </c>
      <c r="E1236" s="79">
        <v>44130</v>
      </c>
      <c r="F1236" s="76">
        <v>9.8000000000000007</v>
      </c>
      <c r="G1236" s="76">
        <v>1</v>
      </c>
    </row>
    <row r="1237" spans="1:7" x14ac:dyDescent="0.25">
      <c r="A1237" s="77" t="s">
        <v>127</v>
      </c>
      <c r="B1237" s="76" t="s">
        <v>128</v>
      </c>
      <c r="C1237" s="76">
        <v>53523</v>
      </c>
      <c r="D1237" s="76" t="s">
        <v>1732</v>
      </c>
      <c r="E1237" s="79">
        <v>44120</v>
      </c>
      <c r="F1237" s="76">
        <v>9.5</v>
      </c>
      <c r="G1237" s="76">
        <v>1</v>
      </c>
    </row>
    <row r="1238" spans="1:7" x14ac:dyDescent="0.25">
      <c r="A1238" s="77" t="s">
        <v>127</v>
      </c>
      <c r="B1238" s="76" t="s">
        <v>128</v>
      </c>
      <c r="C1238" s="76">
        <v>48270</v>
      </c>
      <c r="D1238" s="76" t="s">
        <v>1696</v>
      </c>
      <c r="E1238" s="79">
        <v>44098</v>
      </c>
      <c r="F1238" s="76">
        <v>10.8</v>
      </c>
      <c r="G1238" s="76">
        <v>1</v>
      </c>
    </row>
    <row r="1239" spans="1:7" x14ac:dyDescent="0.25">
      <c r="A1239" s="77" t="s">
        <v>127</v>
      </c>
      <c r="B1239" s="76" t="s">
        <v>128</v>
      </c>
      <c r="C1239" s="76">
        <v>49871</v>
      </c>
      <c r="D1239" s="76" t="s">
        <v>1697</v>
      </c>
      <c r="E1239" s="79">
        <v>44123</v>
      </c>
      <c r="F1239" s="76">
        <v>11.2</v>
      </c>
      <c r="G1239" s="76">
        <v>1</v>
      </c>
    </row>
    <row r="1240" spans="1:7" x14ac:dyDescent="0.25">
      <c r="A1240" s="77" t="s">
        <v>127</v>
      </c>
      <c r="B1240" s="76" t="s">
        <v>128</v>
      </c>
      <c r="C1240" s="76">
        <v>49973</v>
      </c>
      <c r="D1240" s="76" t="s">
        <v>132</v>
      </c>
      <c r="E1240" s="79">
        <v>44124</v>
      </c>
      <c r="F1240" s="76">
        <v>10.85</v>
      </c>
      <c r="G1240" s="76">
        <v>1</v>
      </c>
    </row>
    <row r="1241" spans="1:7" x14ac:dyDescent="0.25">
      <c r="A1241" s="77" t="s">
        <v>127</v>
      </c>
      <c r="B1241" s="76" t="s">
        <v>128</v>
      </c>
      <c r="C1241" s="76">
        <v>50282</v>
      </c>
      <c r="D1241" s="76" t="s">
        <v>1692</v>
      </c>
      <c r="E1241" s="79">
        <v>44036</v>
      </c>
      <c r="F1241" s="76">
        <v>10.199999999999999</v>
      </c>
      <c r="G1241" s="76">
        <v>1</v>
      </c>
    </row>
    <row r="1242" spans="1:7" x14ac:dyDescent="0.25">
      <c r="A1242" s="77" t="s">
        <v>127</v>
      </c>
      <c r="B1242" s="76" t="s">
        <v>128</v>
      </c>
      <c r="C1242" s="76">
        <v>50283</v>
      </c>
      <c r="D1242" s="76" t="s">
        <v>1693</v>
      </c>
      <c r="E1242" s="79">
        <v>44130</v>
      </c>
      <c r="F1242" s="76">
        <v>11.2</v>
      </c>
      <c r="G1242" s="76">
        <v>1</v>
      </c>
    </row>
    <row r="1243" spans="1:7" x14ac:dyDescent="0.25">
      <c r="A1243" s="77" t="s">
        <v>127</v>
      </c>
      <c r="B1243" s="76" t="s">
        <v>128</v>
      </c>
      <c r="C1243" s="76" t="s">
        <v>1694</v>
      </c>
      <c r="D1243" s="76" t="s">
        <v>1695</v>
      </c>
      <c r="E1243" s="79">
        <v>44047</v>
      </c>
      <c r="F1243" s="76">
        <v>11</v>
      </c>
      <c r="G1243" s="76">
        <v>1</v>
      </c>
    </row>
    <row r="1244" spans="1:7" x14ac:dyDescent="0.25">
      <c r="A1244" s="77" t="s">
        <v>127</v>
      </c>
      <c r="B1244" s="76" t="s">
        <v>128</v>
      </c>
      <c r="C1244" s="76">
        <v>50957</v>
      </c>
      <c r="D1244" s="76" t="s">
        <v>1691</v>
      </c>
      <c r="E1244" s="79">
        <v>44320</v>
      </c>
      <c r="F1244" s="76">
        <v>11</v>
      </c>
      <c r="G1244" s="76">
        <v>1</v>
      </c>
    </row>
    <row r="1245" spans="1:7" x14ac:dyDescent="0.25">
      <c r="A1245" s="77" t="s">
        <v>127</v>
      </c>
      <c r="B1245" s="76" t="s">
        <v>128</v>
      </c>
      <c r="C1245" s="76">
        <v>51544</v>
      </c>
      <c r="D1245" s="76" t="s">
        <v>1689</v>
      </c>
      <c r="E1245" s="79">
        <v>44055</v>
      </c>
      <c r="F1245" s="76">
        <v>10.4</v>
      </c>
      <c r="G1245" s="76">
        <v>1</v>
      </c>
    </row>
    <row r="1246" spans="1:7" x14ac:dyDescent="0.25">
      <c r="A1246" s="77" t="s">
        <v>127</v>
      </c>
      <c r="B1246" s="76" t="s">
        <v>128</v>
      </c>
      <c r="C1246" s="76">
        <v>51597</v>
      </c>
      <c r="D1246" s="76" t="s">
        <v>1690</v>
      </c>
      <c r="E1246" s="79">
        <v>44088</v>
      </c>
      <c r="F1246" s="76">
        <v>9</v>
      </c>
      <c r="G1246" s="76">
        <v>1</v>
      </c>
    </row>
    <row r="1247" spans="1:7" x14ac:dyDescent="0.25">
      <c r="A1247" s="77" t="s">
        <v>127</v>
      </c>
      <c r="B1247" s="76" t="s">
        <v>128</v>
      </c>
      <c r="C1247" s="76">
        <v>51795</v>
      </c>
      <c r="D1247" s="76" t="s">
        <v>1685</v>
      </c>
      <c r="E1247" s="79">
        <v>44333</v>
      </c>
      <c r="F1247" s="76">
        <v>10.8</v>
      </c>
      <c r="G1247" s="76">
        <v>1</v>
      </c>
    </row>
    <row r="1248" spans="1:7" x14ac:dyDescent="0.25">
      <c r="A1248" s="77" t="s">
        <v>127</v>
      </c>
      <c r="B1248" s="76" t="s">
        <v>128</v>
      </c>
      <c r="C1248" s="76">
        <v>51902</v>
      </c>
      <c r="D1248" s="76" t="s">
        <v>1683</v>
      </c>
      <c r="E1248" s="79">
        <v>44032</v>
      </c>
      <c r="F1248" s="76">
        <v>10.199999999999999</v>
      </c>
      <c r="G1248" s="76">
        <v>1</v>
      </c>
    </row>
    <row r="1249" spans="1:7" x14ac:dyDescent="0.25">
      <c r="A1249" s="77" t="s">
        <v>127</v>
      </c>
      <c r="B1249" s="76" t="s">
        <v>128</v>
      </c>
      <c r="C1249" s="76">
        <v>51903</v>
      </c>
      <c r="D1249" s="76" t="s">
        <v>1684</v>
      </c>
      <c r="E1249" s="79">
        <v>44032</v>
      </c>
      <c r="F1249" s="76">
        <v>10.3</v>
      </c>
      <c r="G1249" s="76">
        <v>1</v>
      </c>
    </row>
    <row r="1250" spans="1:7" x14ac:dyDescent="0.25">
      <c r="A1250" s="77" t="s">
        <v>127</v>
      </c>
      <c r="B1250" s="76" t="s">
        <v>128</v>
      </c>
      <c r="C1250" s="76">
        <v>52116</v>
      </c>
      <c r="D1250" s="76" t="s">
        <v>1686</v>
      </c>
      <c r="E1250" s="79">
        <v>44033</v>
      </c>
      <c r="F1250" s="76">
        <v>10.4</v>
      </c>
      <c r="G1250" s="76">
        <v>1</v>
      </c>
    </row>
    <row r="1251" spans="1:7" x14ac:dyDescent="0.25">
      <c r="A1251" s="77" t="s">
        <v>127</v>
      </c>
      <c r="B1251" s="76" t="s">
        <v>128</v>
      </c>
      <c r="C1251" s="76">
        <v>52203</v>
      </c>
      <c r="D1251" s="76" t="s">
        <v>1687</v>
      </c>
      <c r="E1251" s="79">
        <v>44098</v>
      </c>
      <c r="F1251" s="76">
        <v>10.199999999999999</v>
      </c>
      <c r="G1251" s="76">
        <v>1</v>
      </c>
    </row>
    <row r="1252" spans="1:7" x14ac:dyDescent="0.25">
      <c r="A1252" s="77" t="s">
        <v>127</v>
      </c>
      <c r="B1252" s="76" t="s">
        <v>128</v>
      </c>
      <c r="C1252" s="76">
        <v>52220</v>
      </c>
      <c r="D1252" s="76" t="s">
        <v>1688</v>
      </c>
      <c r="E1252" s="79">
        <v>44067</v>
      </c>
      <c r="F1252" s="76">
        <v>10.8</v>
      </c>
      <c r="G1252" s="76">
        <v>1</v>
      </c>
    </row>
    <row r="1253" spans="1:7" x14ac:dyDescent="0.25">
      <c r="A1253" s="77" t="s">
        <v>127</v>
      </c>
      <c r="B1253" s="76" t="s">
        <v>128</v>
      </c>
      <c r="C1253" s="76">
        <v>52269</v>
      </c>
      <c r="D1253" s="76" t="s">
        <v>135</v>
      </c>
      <c r="E1253" s="79">
        <v>44160</v>
      </c>
      <c r="F1253" s="76">
        <v>10.42</v>
      </c>
      <c r="G1253" s="76">
        <v>1</v>
      </c>
    </row>
    <row r="1254" spans="1:7" x14ac:dyDescent="0.25">
      <c r="A1254" s="77" t="s">
        <v>127</v>
      </c>
      <c r="B1254" s="76" t="s">
        <v>128</v>
      </c>
      <c r="C1254" s="76">
        <v>52299</v>
      </c>
      <c r="D1254" s="76" t="s">
        <v>1682</v>
      </c>
      <c r="E1254" s="79">
        <v>44341</v>
      </c>
      <c r="F1254" s="76">
        <v>11</v>
      </c>
      <c r="G1254" s="76">
        <v>1</v>
      </c>
    </row>
    <row r="1255" spans="1:7" x14ac:dyDescent="0.25">
      <c r="A1255" s="77" t="s">
        <v>127</v>
      </c>
      <c r="B1255" s="76" t="s">
        <v>128</v>
      </c>
      <c r="C1255" s="76">
        <v>52458</v>
      </c>
      <c r="D1255" s="76" t="s">
        <v>1681</v>
      </c>
      <c r="E1255" s="79">
        <v>44039</v>
      </c>
      <c r="F1255" s="76">
        <v>10.5</v>
      </c>
      <c r="G1255" s="76">
        <v>1</v>
      </c>
    </row>
    <row r="1256" spans="1:7" x14ac:dyDescent="0.25">
      <c r="A1256" s="77" t="s">
        <v>127</v>
      </c>
      <c r="B1256" s="76" t="s">
        <v>128</v>
      </c>
      <c r="C1256" s="76">
        <v>52631</v>
      </c>
      <c r="D1256" s="76" t="s">
        <v>1680</v>
      </c>
      <c r="E1256" s="79">
        <v>44046</v>
      </c>
      <c r="F1256" s="76">
        <v>10.4</v>
      </c>
      <c r="G1256" s="76">
        <v>1</v>
      </c>
    </row>
    <row r="1257" spans="1:7" x14ac:dyDescent="0.25">
      <c r="A1257" s="77" t="s">
        <v>127</v>
      </c>
      <c r="B1257" s="76" t="s">
        <v>128</v>
      </c>
      <c r="C1257" s="76">
        <v>52681</v>
      </c>
      <c r="D1257" s="76" t="s">
        <v>1679</v>
      </c>
      <c r="E1257" s="79">
        <v>44046</v>
      </c>
      <c r="F1257" s="76">
        <v>10.4</v>
      </c>
      <c r="G1257" s="76">
        <v>1</v>
      </c>
    </row>
    <row r="1258" spans="1:7" x14ac:dyDescent="0.25">
      <c r="A1258" s="77" t="s">
        <v>127</v>
      </c>
      <c r="B1258" s="76" t="s">
        <v>128</v>
      </c>
      <c r="C1258" s="76">
        <v>52957</v>
      </c>
      <c r="D1258" s="76" t="s">
        <v>1734</v>
      </c>
      <c r="E1258" s="79">
        <v>44082</v>
      </c>
      <c r="F1258" s="76">
        <v>10.5</v>
      </c>
      <c r="G1258" s="76">
        <v>1</v>
      </c>
    </row>
    <row r="1259" spans="1:7" x14ac:dyDescent="0.25">
      <c r="A1259" s="77" t="s">
        <v>127</v>
      </c>
      <c r="B1259" s="76" t="s">
        <v>128</v>
      </c>
      <c r="C1259" s="76">
        <v>52958</v>
      </c>
      <c r="D1259" s="76" t="s">
        <v>1735</v>
      </c>
      <c r="E1259" s="79">
        <v>44082</v>
      </c>
      <c r="F1259" s="76">
        <v>11</v>
      </c>
      <c r="G1259" s="76">
        <v>1</v>
      </c>
    </row>
    <row r="1260" spans="1:7" x14ac:dyDescent="0.25">
      <c r="A1260" s="77" t="s">
        <v>127</v>
      </c>
      <c r="B1260" s="76" t="s">
        <v>128</v>
      </c>
      <c r="C1260" s="76">
        <v>53049</v>
      </c>
      <c r="D1260" s="76" t="s">
        <v>1733</v>
      </c>
      <c r="E1260" s="79">
        <v>44053</v>
      </c>
      <c r="F1260" s="76">
        <v>10</v>
      </c>
      <c r="G1260" s="76">
        <v>1</v>
      </c>
    </row>
    <row r="1261" spans="1:7" x14ac:dyDescent="0.25">
      <c r="A1261" s="77" t="s">
        <v>127</v>
      </c>
      <c r="B1261" s="76" t="s">
        <v>128</v>
      </c>
      <c r="C1261" s="76">
        <v>56698</v>
      </c>
      <c r="D1261" s="76" t="s">
        <v>1698</v>
      </c>
      <c r="E1261" s="79">
        <v>44109</v>
      </c>
      <c r="F1261" s="76">
        <v>10.130000000000001</v>
      </c>
      <c r="G1261" s="76">
        <v>1</v>
      </c>
    </row>
    <row r="1262" spans="1:7" x14ac:dyDescent="0.25">
      <c r="A1262" s="77" t="s">
        <v>127</v>
      </c>
      <c r="B1262" s="76" t="s">
        <v>128</v>
      </c>
      <c r="C1262" s="76">
        <v>56748</v>
      </c>
      <c r="D1262" s="76" t="s">
        <v>1702</v>
      </c>
      <c r="E1262" s="79">
        <v>44081</v>
      </c>
      <c r="F1262" s="76">
        <v>10.4</v>
      </c>
      <c r="G1262" s="76">
        <v>1</v>
      </c>
    </row>
    <row r="1263" spans="1:7" x14ac:dyDescent="0.25">
      <c r="A1263" s="77" t="s">
        <v>127</v>
      </c>
      <c r="B1263" s="76" t="s">
        <v>128</v>
      </c>
      <c r="C1263" s="76">
        <v>56756</v>
      </c>
      <c r="D1263" s="76" t="s">
        <v>1703</v>
      </c>
      <c r="E1263" s="79">
        <v>44049</v>
      </c>
      <c r="F1263" s="76">
        <v>10.3</v>
      </c>
      <c r="G1263" s="76">
        <v>1</v>
      </c>
    </row>
    <row r="1264" spans="1:7" x14ac:dyDescent="0.25">
      <c r="A1264" s="77" t="s">
        <v>127</v>
      </c>
      <c r="B1264" s="76" t="s">
        <v>128</v>
      </c>
      <c r="C1264" s="76">
        <v>56757</v>
      </c>
      <c r="D1264" s="76" t="s">
        <v>1704</v>
      </c>
      <c r="E1264" s="79">
        <v>44049</v>
      </c>
      <c r="F1264" s="76">
        <v>10.199999999999999</v>
      </c>
      <c r="G1264" s="76">
        <v>1</v>
      </c>
    </row>
    <row r="1265" spans="1:7" x14ac:dyDescent="0.25">
      <c r="A1265" s="77" t="s">
        <v>127</v>
      </c>
      <c r="B1265" s="76" t="s">
        <v>128</v>
      </c>
      <c r="C1265" s="76">
        <v>56522</v>
      </c>
      <c r="D1265" s="76" t="s">
        <v>1699</v>
      </c>
      <c r="E1265" s="79">
        <v>44139</v>
      </c>
      <c r="F1265" s="76">
        <v>10</v>
      </c>
      <c r="G1265" s="76">
        <v>1</v>
      </c>
    </row>
    <row r="1266" spans="1:7" x14ac:dyDescent="0.25">
      <c r="A1266" s="77" t="s">
        <v>127</v>
      </c>
      <c r="B1266" s="76" t="s">
        <v>128</v>
      </c>
      <c r="C1266" s="76">
        <v>56525</v>
      </c>
      <c r="D1266" s="76" t="s">
        <v>1700</v>
      </c>
      <c r="E1266" s="79">
        <v>44078</v>
      </c>
      <c r="F1266" s="76">
        <v>10</v>
      </c>
      <c r="G1266" s="76">
        <v>1</v>
      </c>
    </row>
    <row r="1267" spans="1:7" x14ac:dyDescent="0.25">
      <c r="A1267" s="77" t="s">
        <v>127</v>
      </c>
      <c r="B1267" s="76" t="s">
        <v>128</v>
      </c>
      <c r="C1267" s="76">
        <v>56804</v>
      </c>
      <c r="D1267" s="76" t="s">
        <v>1706</v>
      </c>
      <c r="E1267" s="79">
        <v>44110</v>
      </c>
      <c r="F1267" s="76">
        <v>10.25</v>
      </c>
      <c r="G1267" s="76">
        <v>1</v>
      </c>
    </row>
    <row r="1268" spans="1:7" x14ac:dyDescent="0.25">
      <c r="A1268" s="77" t="s">
        <v>127</v>
      </c>
      <c r="B1268" s="76" t="s">
        <v>128</v>
      </c>
      <c r="C1268" s="76">
        <v>56927</v>
      </c>
      <c r="D1268" s="76" t="s">
        <v>1707</v>
      </c>
      <c r="E1268" s="79">
        <v>44244</v>
      </c>
      <c r="F1268" s="76">
        <v>10.32</v>
      </c>
      <c r="G1268" s="76">
        <v>1</v>
      </c>
    </row>
    <row r="1269" spans="1:7" x14ac:dyDescent="0.25">
      <c r="A1269" s="77" t="s">
        <v>127</v>
      </c>
      <c r="B1269" s="76" t="s">
        <v>128</v>
      </c>
      <c r="C1269" s="76">
        <v>56932</v>
      </c>
      <c r="D1269" s="76" t="s">
        <v>1708</v>
      </c>
      <c r="E1269" s="79">
        <v>44053</v>
      </c>
      <c r="F1269" s="76">
        <v>10</v>
      </c>
      <c r="G1269" s="76">
        <v>1</v>
      </c>
    </row>
    <row r="1270" spans="1:7" x14ac:dyDescent="0.25">
      <c r="A1270" s="77" t="s">
        <v>127</v>
      </c>
      <c r="B1270" s="76" t="s">
        <v>128</v>
      </c>
      <c r="C1270" s="76" t="s">
        <v>1736</v>
      </c>
      <c r="D1270" s="76" t="s">
        <v>1737</v>
      </c>
      <c r="E1270" s="79">
        <v>44055</v>
      </c>
      <c r="F1270" s="76">
        <v>10.8</v>
      </c>
      <c r="G1270" s="76">
        <v>1</v>
      </c>
    </row>
    <row r="1271" spans="1:7" x14ac:dyDescent="0.25">
      <c r="A1271" s="77" t="s">
        <v>127</v>
      </c>
      <c r="B1271" s="76" t="s">
        <v>128</v>
      </c>
      <c r="C1271" s="76">
        <v>57210</v>
      </c>
      <c r="D1271" s="76" t="s">
        <v>1738</v>
      </c>
      <c r="E1271" s="79">
        <v>44055</v>
      </c>
      <c r="F1271" s="76">
        <v>10.5</v>
      </c>
      <c r="G1271" s="76">
        <v>1</v>
      </c>
    </row>
    <row r="1272" spans="1:7" x14ac:dyDescent="0.25">
      <c r="A1272" s="77" t="s">
        <v>127</v>
      </c>
      <c r="B1272" s="76" t="s">
        <v>128</v>
      </c>
      <c r="C1272" s="76">
        <v>56973</v>
      </c>
      <c r="D1272" s="76" t="s">
        <v>1705</v>
      </c>
      <c r="E1272" s="79">
        <v>44175</v>
      </c>
      <c r="F1272" s="76">
        <v>10.5</v>
      </c>
      <c r="G1272" s="76">
        <v>1</v>
      </c>
    </row>
    <row r="1273" spans="1:7" x14ac:dyDescent="0.25">
      <c r="A1273" s="77" t="s">
        <v>127</v>
      </c>
      <c r="B1273" s="76" t="s">
        <v>128</v>
      </c>
      <c r="C1273" s="76">
        <v>56219</v>
      </c>
      <c r="D1273" s="76" t="s">
        <v>134</v>
      </c>
      <c r="E1273" s="79">
        <v>44228</v>
      </c>
      <c r="F1273" s="76">
        <v>9.8000000000000007</v>
      </c>
      <c r="G1273" s="76">
        <v>1</v>
      </c>
    </row>
    <row r="1274" spans="1:7" x14ac:dyDescent="0.25">
      <c r="A1274" s="77" t="s">
        <v>127</v>
      </c>
      <c r="B1274" s="76" t="s">
        <v>128</v>
      </c>
      <c r="C1274" s="76">
        <v>56259</v>
      </c>
      <c r="D1274" s="76" t="s">
        <v>1701</v>
      </c>
      <c r="E1274" s="79">
        <v>44134</v>
      </c>
      <c r="F1274" s="76">
        <v>9.3000000000000007</v>
      </c>
      <c r="G1274" s="76">
        <v>1</v>
      </c>
    </row>
    <row r="1275" spans="1:7" x14ac:dyDescent="0.25">
      <c r="A1275" s="77" t="s">
        <v>127</v>
      </c>
      <c r="B1275" s="76" t="s">
        <v>128</v>
      </c>
      <c r="C1275" s="76" t="s">
        <v>2481</v>
      </c>
      <c r="D1275" s="76" t="s">
        <v>2482</v>
      </c>
      <c r="E1275" s="79">
        <v>44169</v>
      </c>
      <c r="F1275" s="76">
        <v>8.5500000000000007</v>
      </c>
      <c r="G1275" s="76">
        <v>0.8</v>
      </c>
    </row>
    <row r="1276" spans="1:7" x14ac:dyDescent="0.25">
      <c r="A1276" s="77" t="s">
        <v>127</v>
      </c>
      <c r="B1276" s="76" t="s">
        <v>128</v>
      </c>
      <c r="C1276" s="76">
        <v>56013</v>
      </c>
      <c r="D1276" s="76" t="s">
        <v>1709</v>
      </c>
      <c r="E1276" s="79">
        <v>44032</v>
      </c>
      <c r="F1276" s="76">
        <v>9.8000000000000007</v>
      </c>
      <c r="G1276" s="76">
        <v>1</v>
      </c>
    </row>
    <row r="1277" spans="1:7" x14ac:dyDescent="0.25">
      <c r="A1277" s="77" t="s">
        <v>127</v>
      </c>
      <c r="B1277" s="76" t="s">
        <v>128</v>
      </c>
      <c r="C1277" s="76">
        <v>56051</v>
      </c>
      <c r="D1277" s="76" t="s">
        <v>1710</v>
      </c>
      <c r="E1277" s="79">
        <v>44032</v>
      </c>
      <c r="F1277" s="76">
        <v>9.3000000000000007</v>
      </c>
      <c r="G1277" s="76">
        <v>1</v>
      </c>
    </row>
    <row r="1278" spans="1:7" x14ac:dyDescent="0.25">
      <c r="A1278" s="77" t="s">
        <v>127</v>
      </c>
      <c r="B1278" s="76" t="s">
        <v>128</v>
      </c>
      <c r="C1278" s="76">
        <v>56052</v>
      </c>
      <c r="D1278" s="76" t="s">
        <v>1711</v>
      </c>
      <c r="E1278" s="79">
        <v>44032</v>
      </c>
      <c r="F1278" s="76">
        <v>9.4</v>
      </c>
      <c r="G1278" s="76">
        <v>1</v>
      </c>
    </row>
    <row r="1279" spans="1:7" x14ac:dyDescent="0.25">
      <c r="A1279" s="77" t="s">
        <v>127</v>
      </c>
      <c r="B1279" s="76" t="s">
        <v>128</v>
      </c>
      <c r="C1279" s="76">
        <v>56081</v>
      </c>
      <c r="D1279" s="76" t="s">
        <v>1712</v>
      </c>
      <c r="E1279" s="79">
        <v>44095</v>
      </c>
      <c r="F1279" s="76">
        <v>9.85</v>
      </c>
      <c r="G1279" s="76">
        <v>1</v>
      </c>
    </row>
    <row r="1280" spans="1:7" x14ac:dyDescent="0.25">
      <c r="A1280" s="77" t="s">
        <v>127</v>
      </c>
      <c r="B1280" s="76" t="s">
        <v>128</v>
      </c>
      <c r="C1280" s="76">
        <v>55982</v>
      </c>
      <c r="D1280" s="76" t="s">
        <v>1719</v>
      </c>
      <c r="E1280" s="79">
        <v>44028</v>
      </c>
      <c r="F1280" s="76">
        <v>9.4</v>
      </c>
      <c r="G1280" s="76">
        <v>1</v>
      </c>
    </row>
    <row r="1281" spans="1:7" x14ac:dyDescent="0.25">
      <c r="A1281" s="77" t="s">
        <v>127</v>
      </c>
      <c r="B1281" s="76" t="s">
        <v>128</v>
      </c>
      <c r="C1281" s="76">
        <v>55809</v>
      </c>
      <c r="D1281" s="76" t="s">
        <v>1720</v>
      </c>
      <c r="E1281" s="79">
        <v>44060</v>
      </c>
      <c r="F1281" s="76">
        <v>9.6</v>
      </c>
      <c r="G1281" s="76">
        <v>1</v>
      </c>
    </row>
    <row r="1282" spans="1:7" x14ac:dyDescent="0.25">
      <c r="A1282" s="77" t="s">
        <v>127</v>
      </c>
      <c r="B1282" s="76" t="s">
        <v>128</v>
      </c>
      <c r="C1282" s="76">
        <v>55810</v>
      </c>
      <c r="D1282" s="76" t="s">
        <v>1721</v>
      </c>
      <c r="E1282" s="79">
        <v>44089</v>
      </c>
      <c r="F1282" s="76">
        <v>9.8000000000000007</v>
      </c>
      <c r="G1282" s="76">
        <v>1</v>
      </c>
    </row>
    <row r="1283" spans="1:7" x14ac:dyDescent="0.25">
      <c r="A1283" s="77" t="s">
        <v>127</v>
      </c>
      <c r="B1283" s="76" t="s">
        <v>128</v>
      </c>
      <c r="C1283" s="76">
        <v>54840</v>
      </c>
      <c r="D1283" s="76" t="s">
        <v>1714</v>
      </c>
      <c r="E1283" s="79">
        <v>44049</v>
      </c>
      <c r="F1283" s="76">
        <v>9.94</v>
      </c>
      <c r="G1283" s="76">
        <v>1</v>
      </c>
    </row>
    <row r="1284" spans="1:7" x14ac:dyDescent="0.25">
      <c r="A1284" s="77" t="s">
        <v>127</v>
      </c>
      <c r="B1284" s="76" t="s">
        <v>128</v>
      </c>
      <c r="C1284" s="76" t="s">
        <v>1715</v>
      </c>
      <c r="D1284" s="76" t="s">
        <v>1716</v>
      </c>
      <c r="E1284" s="79">
        <v>44348</v>
      </c>
      <c r="F1284" s="76">
        <v>10.199999999999999</v>
      </c>
      <c r="G1284" s="76">
        <v>1</v>
      </c>
    </row>
    <row r="1285" spans="1:7" x14ac:dyDescent="0.25">
      <c r="A1285" s="77" t="s">
        <v>127</v>
      </c>
      <c r="B1285" s="76" t="s">
        <v>128</v>
      </c>
      <c r="C1285" s="76" t="s">
        <v>1717</v>
      </c>
      <c r="D1285" s="76" t="s">
        <v>1718</v>
      </c>
      <c r="E1285" s="79">
        <v>44046</v>
      </c>
      <c r="F1285" s="76">
        <v>11</v>
      </c>
      <c r="G1285" s="76">
        <v>1</v>
      </c>
    </row>
    <row r="1286" spans="1:7" x14ac:dyDescent="0.25">
      <c r="A1286" s="77" t="s">
        <v>127</v>
      </c>
      <c r="B1286" s="76" t="s">
        <v>128</v>
      </c>
      <c r="C1286" s="76">
        <v>55241</v>
      </c>
      <c r="D1286" s="76" t="s">
        <v>1713</v>
      </c>
      <c r="E1286" s="79">
        <v>44082</v>
      </c>
      <c r="F1286" s="76">
        <v>10.5</v>
      </c>
      <c r="G1286" s="76">
        <v>1</v>
      </c>
    </row>
    <row r="1287" spans="1:7" x14ac:dyDescent="0.25">
      <c r="A1287" s="77" t="s">
        <v>127</v>
      </c>
      <c r="B1287" s="76" t="s">
        <v>128</v>
      </c>
      <c r="C1287" s="76">
        <v>54422</v>
      </c>
      <c r="D1287" s="76" t="s">
        <v>1723</v>
      </c>
      <c r="E1287" s="79">
        <v>44133</v>
      </c>
      <c r="F1287" s="76">
        <v>9</v>
      </c>
      <c r="G1287" s="76">
        <v>1</v>
      </c>
    </row>
    <row r="1288" spans="1:7" x14ac:dyDescent="0.25">
      <c r="A1288" s="77" t="s">
        <v>127</v>
      </c>
      <c r="B1288" s="76" t="s">
        <v>128</v>
      </c>
      <c r="C1288" s="76">
        <v>54471</v>
      </c>
      <c r="D1288" s="76" t="s">
        <v>1724</v>
      </c>
      <c r="E1288" s="79">
        <v>44195</v>
      </c>
      <c r="F1288" s="76">
        <v>8.8000000000000007</v>
      </c>
      <c r="G1288" s="76">
        <v>1</v>
      </c>
    </row>
    <row r="1289" spans="1:7" x14ac:dyDescent="0.25">
      <c r="A1289" s="77" t="s">
        <v>127</v>
      </c>
      <c r="B1289" s="76" t="s">
        <v>128</v>
      </c>
      <c r="C1289" s="76">
        <v>54529</v>
      </c>
      <c r="D1289" s="76" t="s">
        <v>1722</v>
      </c>
      <c r="E1289" s="79">
        <v>44042</v>
      </c>
      <c r="F1289" s="76">
        <v>9.65</v>
      </c>
      <c r="G1289" s="76">
        <v>1</v>
      </c>
    </row>
    <row r="1290" spans="1:7" x14ac:dyDescent="0.25">
      <c r="A1290" s="77" t="s">
        <v>127</v>
      </c>
      <c r="B1290" s="76" t="s">
        <v>128</v>
      </c>
      <c r="C1290" s="76">
        <v>57432</v>
      </c>
      <c r="D1290" s="76" t="s">
        <v>1739</v>
      </c>
      <c r="E1290" s="79">
        <v>44151</v>
      </c>
      <c r="F1290" s="76">
        <v>10.199999999999999</v>
      </c>
      <c r="G1290" s="76">
        <v>1</v>
      </c>
    </row>
    <row r="1291" spans="1:7" x14ac:dyDescent="0.25">
      <c r="A1291" s="77" t="s">
        <v>127</v>
      </c>
      <c r="B1291" s="76" t="s">
        <v>128</v>
      </c>
      <c r="C1291" s="76">
        <v>57681</v>
      </c>
      <c r="D1291" s="76" t="s">
        <v>130</v>
      </c>
      <c r="E1291" s="79">
        <v>44186</v>
      </c>
      <c r="F1291" s="76">
        <v>10.25</v>
      </c>
      <c r="G1291" s="76">
        <v>1</v>
      </c>
    </row>
    <row r="1292" spans="1:7" x14ac:dyDescent="0.25">
      <c r="A1292" s="77" t="s">
        <v>127</v>
      </c>
      <c r="B1292" s="76" t="s">
        <v>128</v>
      </c>
      <c r="C1292" s="76">
        <v>57473</v>
      </c>
      <c r="D1292" s="76" t="s">
        <v>1741</v>
      </c>
      <c r="E1292" s="79">
        <v>44060</v>
      </c>
      <c r="F1292" s="76">
        <v>10</v>
      </c>
      <c r="G1292" s="76">
        <v>1</v>
      </c>
    </row>
    <row r="1293" spans="1:7" x14ac:dyDescent="0.25">
      <c r="A1293" s="77" t="s">
        <v>127</v>
      </c>
      <c r="B1293" s="76" t="s">
        <v>128</v>
      </c>
      <c r="C1293" s="76">
        <v>57474</v>
      </c>
      <c r="D1293" s="76" t="s">
        <v>1742</v>
      </c>
      <c r="E1293" s="79">
        <v>44060</v>
      </c>
      <c r="F1293" s="76">
        <v>10.1</v>
      </c>
      <c r="G1293" s="76">
        <v>1</v>
      </c>
    </row>
    <row r="1294" spans="1:7" x14ac:dyDescent="0.25">
      <c r="A1294" s="77" t="s">
        <v>127</v>
      </c>
      <c r="B1294" s="76" t="s">
        <v>128</v>
      </c>
      <c r="C1294" s="76">
        <v>57416</v>
      </c>
      <c r="D1294" s="76" t="s">
        <v>1740</v>
      </c>
      <c r="E1294" s="79">
        <v>44181</v>
      </c>
      <c r="F1294" s="76">
        <v>10.6</v>
      </c>
      <c r="G1294" s="76">
        <v>1</v>
      </c>
    </row>
    <row r="1295" spans="1:7" x14ac:dyDescent="0.25">
      <c r="A1295" s="77" t="s">
        <v>127</v>
      </c>
      <c r="B1295" s="76" t="s">
        <v>128</v>
      </c>
      <c r="C1295" s="76">
        <v>58098</v>
      </c>
      <c r="D1295" s="76" t="s">
        <v>1746</v>
      </c>
      <c r="E1295" s="79">
        <v>44130</v>
      </c>
      <c r="F1295" s="76">
        <v>10.130000000000001</v>
      </c>
      <c r="G1295" s="76">
        <v>1</v>
      </c>
    </row>
    <row r="1296" spans="1:7" x14ac:dyDescent="0.25">
      <c r="A1296" s="77" t="s">
        <v>127</v>
      </c>
      <c r="B1296" s="76" t="s">
        <v>128</v>
      </c>
      <c r="C1296" s="76">
        <v>58161</v>
      </c>
      <c r="D1296" s="76" t="s">
        <v>131</v>
      </c>
      <c r="E1296" s="79">
        <v>44257</v>
      </c>
      <c r="F1296" s="76">
        <v>10.3</v>
      </c>
      <c r="G1296" s="76">
        <v>1</v>
      </c>
    </row>
    <row r="1297" spans="1:7" x14ac:dyDescent="0.25">
      <c r="A1297" s="77" t="s">
        <v>127</v>
      </c>
      <c r="B1297" s="76" t="s">
        <v>128</v>
      </c>
      <c r="C1297" s="76">
        <v>57830</v>
      </c>
      <c r="D1297" s="76" t="s">
        <v>1743</v>
      </c>
      <c r="E1297" s="79">
        <v>44249</v>
      </c>
      <c r="F1297" s="76">
        <v>10.4</v>
      </c>
      <c r="G1297" s="76">
        <v>1</v>
      </c>
    </row>
    <row r="1298" spans="1:7" x14ac:dyDescent="0.25">
      <c r="A1298" s="77" t="s">
        <v>127</v>
      </c>
      <c r="B1298" s="76" t="s">
        <v>128</v>
      </c>
      <c r="C1298" s="76">
        <v>57769</v>
      </c>
      <c r="D1298" s="76" t="s">
        <v>1744</v>
      </c>
      <c r="E1298" s="79">
        <v>44063</v>
      </c>
      <c r="F1298" s="76">
        <v>10.199999999999999</v>
      </c>
      <c r="G1298" s="76">
        <v>1</v>
      </c>
    </row>
    <row r="1299" spans="1:7" x14ac:dyDescent="0.25">
      <c r="A1299" s="77" t="s">
        <v>127</v>
      </c>
      <c r="B1299" s="76" t="s">
        <v>128</v>
      </c>
      <c r="C1299" s="76">
        <v>57794</v>
      </c>
      <c r="D1299" s="76" t="s">
        <v>1745</v>
      </c>
      <c r="E1299" s="79">
        <v>44095</v>
      </c>
      <c r="F1299" s="76">
        <v>10.220000000000001</v>
      </c>
      <c r="G1299" s="76">
        <v>1</v>
      </c>
    </row>
    <row r="1300" spans="1:7" x14ac:dyDescent="0.25">
      <c r="A1300" s="77" t="s">
        <v>127</v>
      </c>
      <c r="B1300" s="76" t="s">
        <v>128</v>
      </c>
      <c r="C1300" s="76">
        <v>58341</v>
      </c>
      <c r="D1300" s="76" t="s">
        <v>1748</v>
      </c>
      <c r="E1300" s="79">
        <v>44078</v>
      </c>
      <c r="F1300" s="76">
        <v>10.7</v>
      </c>
      <c r="G1300" s="76">
        <v>1</v>
      </c>
    </row>
    <row r="1301" spans="1:7" x14ac:dyDescent="0.25">
      <c r="A1301" s="77" t="s">
        <v>127</v>
      </c>
      <c r="B1301" s="76" t="s">
        <v>128</v>
      </c>
      <c r="C1301" s="76">
        <v>58541</v>
      </c>
      <c r="D1301" s="76" t="s">
        <v>1752</v>
      </c>
      <c r="E1301" s="79">
        <v>44201</v>
      </c>
      <c r="F1301" s="76">
        <v>11</v>
      </c>
      <c r="G1301" s="76">
        <v>1</v>
      </c>
    </row>
    <row r="1302" spans="1:7" x14ac:dyDescent="0.25">
      <c r="A1302" s="77" t="s">
        <v>127</v>
      </c>
      <c r="B1302" s="76" t="s">
        <v>128</v>
      </c>
      <c r="C1302" s="76">
        <v>58542</v>
      </c>
      <c r="D1302" s="76" t="s">
        <v>1753</v>
      </c>
      <c r="E1302" s="79">
        <v>44140</v>
      </c>
      <c r="F1302" s="76">
        <v>11.25</v>
      </c>
      <c r="G1302" s="76">
        <v>1</v>
      </c>
    </row>
    <row r="1303" spans="1:7" x14ac:dyDescent="0.25">
      <c r="A1303" s="77" t="s">
        <v>127</v>
      </c>
      <c r="B1303" s="76" t="s">
        <v>128</v>
      </c>
      <c r="C1303" s="76">
        <v>58560</v>
      </c>
      <c r="D1303" s="76" t="s">
        <v>1754</v>
      </c>
      <c r="E1303" s="79">
        <v>44112</v>
      </c>
      <c r="F1303" s="76">
        <v>10.199999999999999</v>
      </c>
      <c r="G1303" s="76">
        <v>1</v>
      </c>
    </row>
    <row r="1304" spans="1:7" x14ac:dyDescent="0.25">
      <c r="A1304" s="77" t="s">
        <v>127</v>
      </c>
      <c r="B1304" s="76" t="s">
        <v>128</v>
      </c>
      <c r="C1304" s="76">
        <v>58561</v>
      </c>
      <c r="D1304" s="76" t="s">
        <v>1755</v>
      </c>
      <c r="E1304" s="79">
        <v>44112</v>
      </c>
      <c r="F1304" s="76">
        <v>10.4</v>
      </c>
      <c r="G1304" s="76">
        <v>1</v>
      </c>
    </row>
    <row r="1305" spans="1:7" x14ac:dyDescent="0.25">
      <c r="A1305" s="77" t="s">
        <v>127</v>
      </c>
      <c r="B1305" s="76" t="s">
        <v>128</v>
      </c>
      <c r="C1305" s="76">
        <v>58598</v>
      </c>
      <c r="D1305" s="76" t="s">
        <v>1750</v>
      </c>
      <c r="E1305" s="79">
        <v>44082</v>
      </c>
      <c r="F1305" s="76">
        <v>10.199999999999999</v>
      </c>
      <c r="G1305" s="76">
        <v>1</v>
      </c>
    </row>
    <row r="1306" spans="1:7" x14ac:dyDescent="0.25">
      <c r="A1306" s="77" t="s">
        <v>127</v>
      </c>
      <c r="B1306" s="76" t="s">
        <v>128</v>
      </c>
      <c r="C1306" s="76">
        <v>58599</v>
      </c>
      <c r="D1306" s="76" t="s">
        <v>1751</v>
      </c>
      <c r="E1306" s="79">
        <v>44082</v>
      </c>
      <c r="F1306" s="76">
        <v>10.3</v>
      </c>
      <c r="G1306" s="76">
        <v>1</v>
      </c>
    </row>
    <row r="1307" spans="1:7" x14ac:dyDescent="0.25">
      <c r="A1307" s="77" t="s">
        <v>127</v>
      </c>
      <c r="B1307" s="76" t="s">
        <v>128</v>
      </c>
      <c r="C1307" s="76">
        <v>58441</v>
      </c>
      <c r="D1307" s="76" t="s">
        <v>1749</v>
      </c>
      <c r="E1307" s="79">
        <v>44259</v>
      </c>
      <c r="F1307" s="76">
        <v>10.7</v>
      </c>
      <c r="G1307" s="76">
        <v>1</v>
      </c>
    </row>
    <row r="1308" spans="1:7" x14ac:dyDescent="0.25">
      <c r="A1308" s="77" t="s">
        <v>127</v>
      </c>
      <c r="B1308" s="76" t="s">
        <v>128</v>
      </c>
      <c r="C1308" s="76">
        <v>58391</v>
      </c>
      <c r="D1308" s="76" t="s">
        <v>1747</v>
      </c>
      <c r="E1308" s="79">
        <v>44078</v>
      </c>
      <c r="F1308" s="76">
        <v>11.3</v>
      </c>
      <c r="G1308" s="76">
        <v>1</v>
      </c>
    </row>
    <row r="1309" spans="1:7" x14ac:dyDescent="0.25">
      <c r="A1309" s="77" t="s">
        <v>127</v>
      </c>
      <c r="B1309" s="76" t="s">
        <v>128</v>
      </c>
      <c r="C1309" s="76">
        <v>58740</v>
      </c>
      <c r="D1309" s="76" t="s">
        <v>282</v>
      </c>
      <c r="E1309" s="79">
        <v>44145</v>
      </c>
      <c r="F1309" s="76">
        <v>10</v>
      </c>
      <c r="G1309" s="76">
        <v>1</v>
      </c>
    </row>
    <row r="1310" spans="1:7" x14ac:dyDescent="0.25">
      <c r="A1310" s="77" t="s">
        <v>127</v>
      </c>
      <c r="B1310" s="76" t="s">
        <v>128</v>
      </c>
      <c r="C1310" s="76">
        <v>58804</v>
      </c>
      <c r="D1310" s="76" t="s">
        <v>1756</v>
      </c>
      <c r="E1310" s="79">
        <v>44145</v>
      </c>
      <c r="F1310" s="76">
        <v>10.5</v>
      </c>
      <c r="G1310" s="76">
        <v>1</v>
      </c>
    </row>
    <row r="1311" spans="1:7" x14ac:dyDescent="0.25">
      <c r="A1311" s="77" t="s">
        <v>127</v>
      </c>
      <c r="B1311" s="76" t="s">
        <v>128</v>
      </c>
      <c r="C1311" s="76">
        <v>58840</v>
      </c>
      <c r="D1311" s="76" t="s">
        <v>1757</v>
      </c>
      <c r="E1311" s="79">
        <v>44085</v>
      </c>
      <c r="F1311" s="76">
        <v>11</v>
      </c>
      <c r="G1311" s="76">
        <v>1</v>
      </c>
    </row>
    <row r="1312" spans="1:7" x14ac:dyDescent="0.25">
      <c r="A1312" s="77" t="s">
        <v>127</v>
      </c>
      <c r="B1312" s="76" t="s">
        <v>128</v>
      </c>
      <c r="C1312" s="76">
        <v>58877</v>
      </c>
      <c r="D1312" s="76" t="s">
        <v>1758</v>
      </c>
      <c r="E1312" s="79">
        <v>44146</v>
      </c>
      <c r="F1312" s="76">
        <v>10.66</v>
      </c>
      <c r="G1312" s="76">
        <v>1</v>
      </c>
    </row>
    <row r="1313" spans="1:7" x14ac:dyDescent="0.25">
      <c r="A1313" s="77" t="s">
        <v>127</v>
      </c>
      <c r="B1313" s="76" t="s">
        <v>128</v>
      </c>
      <c r="C1313" s="76">
        <v>59183</v>
      </c>
      <c r="D1313" s="76" t="s">
        <v>1759</v>
      </c>
      <c r="E1313" s="79">
        <v>44271</v>
      </c>
      <c r="F1313" s="76">
        <v>12</v>
      </c>
      <c r="G1313" s="76">
        <v>1</v>
      </c>
    </row>
    <row r="1314" spans="1:7" x14ac:dyDescent="0.25">
      <c r="A1314" s="77" t="s">
        <v>127</v>
      </c>
      <c r="B1314" s="76" t="s">
        <v>128</v>
      </c>
      <c r="C1314" s="76">
        <v>59365</v>
      </c>
      <c r="D1314" s="76" t="s">
        <v>1762</v>
      </c>
      <c r="E1314" s="79">
        <v>44092</v>
      </c>
      <c r="F1314" s="76">
        <v>12</v>
      </c>
      <c r="G1314" s="76">
        <v>1</v>
      </c>
    </row>
    <row r="1315" spans="1:7" x14ac:dyDescent="0.25">
      <c r="A1315" s="77" t="s">
        <v>127</v>
      </c>
      <c r="B1315" s="76" t="s">
        <v>128</v>
      </c>
      <c r="C1315" s="76">
        <v>59307</v>
      </c>
      <c r="D1315" s="76" t="s">
        <v>1760</v>
      </c>
      <c r="E1315" s="79">
        <v>44092</v>
      </c>
      <c r="F1315" s="76">
        <v>12.2</v>
      </c>
      <c r="G1315" s="76">
        <v>1</v>
      </c>
    </row>
    <row r="1316" spans="1:7" x14ac:dyDescent="0.25">
      <c r="A1316" s="77" t="s">
        <v>127</v>
      </c>
      <c r="B1316" s="76" t="s">
        <v>128</v>
      </c>
      <c r="C1316" s="76">
        <v>59308</v>
      </c>
      <c r="D1316" s="76" t="s">
        <v>1761</v>
      </c>
      <c r="E1316" s="79">
        <v>44092</v>
      </c>
      <c r="F1316" s="76">
        <v>12</v>
      </c>
      <c r="G1316" s="76">
        <v>1</v>
      </c>
    </row>
    <row r="1317" spans="1:7" x14ac:dyDescent="0.25">
      <c r="A1317" s="77" t="s">
        <v>127</v>
      </c>
      <c r="B1317" s="76" t="s">
        <v>128</v>
      </c>
      <c r="C1317" s="76">
        <v>59395</v>
      </c>
      <c r="D1317" s="76" t="s">
        <v>1763</v>
      </c>
      <c r="E1317" s="79">
        <v>44095</v>
      </c>
      <c r="F1317" s="76">
        <v>13</v>
      </c>
      <c r="G1317" s="76">
        <v>1</v>
      </c>
    </row>
    <row r="1318" spans="1:7" x14ac:dyDescent="0.25">
      <c r="A1318" s="77" t="s">
        <v>127</v>
      </c>
      <c r="B1318" s="76" t="s">
        <v>128</v>
      </c>
      <c r="C1318" s="76">
        <v>59396</v>
      </c>
      <c r="D1318" s="76" t="s">
        <v>1764</v>
      </c>
      <c r="E1318" s="79">
        <v>44095</v>
      </c>
      <c r="F1318" s="76">
        <v>14</v>
      </c>
      <c r="G1318" s="76">
        <v>1</v>
      </c>
    </row>
    <row r="1319" spans="1:7" x14ac:dyDescent="0.25">
      <c r="A1319" s="77" t="s">
        <v>127</v>
      </c>
      <c r="B1319" s="76" t="s">
        <v>128</v>
      </c>
      <c r="C1319" s="76">
        <v>59397</v>
      </c>
      <c r="D1319" s="76" t="s">
        <v>1765</v>
      </c>
      <c r="E1319" s="79">
        <v>44095</v>
      </c>
      <c r="F1319" s="76">
        <v>12</v>
      </c>
      <c r="G1319" s="76">
        <v>1</v>
      </c>
    </row>
    <row r="1320" spans="1:7" x14ac:dyDescent="0.25">
      <c r="A1320" s="77" t="s">
        <v>127</v>
      </c>
      <c r="B1320" s="76" t="s">
        <v>128</v>
      </c>
      <c r="C1320" s="76">
        <v>59416</v>
      </c>
      <c r="D1320" s="76" t="s">
        <v>1770</v>
      </c>
      <c r="E1320" s="79">
        <v>44095</v>
      </c>
      <c r="F1320" s="76">
        <v>13</v>
      </c>
      <c r="G1320" s="76">
        <v>1</v>
      </c>
    </row>
    <row r="1321" spans="1:7" x14ac:dyDescent="0.25">
      <c r="A1321" s="77" t="s">
        <v>127</v>
      </c>
      <c r="B1321" s="76" t="s">
        <v>128</v>
      </c>
      <c r="C1321" s="76">
        <v>59559</v>
      </c>
      <c r="D1321" s="76" t="s">
        <v>1768</v>
      </c>
      <c r="E1321" s="79">
        <v>44097</v>
      </c>
      <c r="F1321" s="76">
        <v>14</v>
      </c>
      <c r="G1321" s="76">
        <v>0.4</v>
      </c>
    </row>
    <row r="1322" spans="1:7" x14ac:dyDescent="0.25">
      <c r="A1322" s="77" t="s">
        <v>127</v>
      </c>
      <c r="B1322" s="76" t="s">
        <v>128</v>
      </c>
      <c r="C1322" s="76">
        <v>59560</v>
      </c>
      <c r="D1322" s="76" t="s">
        <v>1769</v>
      </c>
      <c r="E1322" s="79">
        <v>44097</v>
      </c>
      <c r="F1322" s="76">
        <v>15</v>
      </c>
      <c r="G1322" s="76">
        <v>0.4</v>
      </c>
    </row>
    <row r="1323" spans="1:7" x14ac:dyDescent="0.25">
      <c r="A1323" s="77" t="s">
        <v>127</v>
      </c>
      <c r="B1323" s="76" t="s">
        <v>128</v>
      </c>
      <c r="C1323" s="76">
        <v>59473</v>
      </c>
      <c r="D1323" s="76" t="s">
        <v>1767</v>
      </c>
      <c r="E1323" s="79">
        <v>44096</v>
      </c>
      <c r="F1323" s="76">
        <v>13.5</v>
      </c>
      <c r="G1323" s="76">
        <v>1</v>
      </c>
    </row>
    <row r="1324" spans="1:7" x14ac:dyDescent="0.25">
      <c r="A1324" s="77" t="s">
        <v>127</v>
      </c>
      <c r="B1324" s="76" t="s">
        <v>128</v>
      </c>
      <c r="C1324" s="76">
        <v>59654</v>
      </c>
      <c r="D1324" s="76" t="s">
        <v>1771</v>
      </c>
      <c r="E1324" s="79">
        <v>44098</v>
      </c>
      <c r="F1324" s="76">
        <v>13.8</v>
      </c>
      <c r="G1324" s="76">
        <v>1</v>
      </c>
    </row>
    <row r="1325" spans="1:7" x14ac:dyDescent="0.25">
      <c r="A1325" s="77" t="s">
        <v>127</v>
      </c>
      <c r="B1325" s="76" t="s">
        <v>128</v>
      </c>
      <c r="C1325" s="76">
        <v>59655</v>
      </c>
      <c r="D1325" s="76" t="s">
        <v>1772</v>
      </c>
      <c r="E1325" s="79">
        <v>44098</v>
      </c>
      <c r="F1325" s="76">
        <v>14.4</v>
      </c>
      <c r="G1325" s="76">
        <v>1</v>
      </c>
    </row>
    <row r="1326" spans="1:7" x14ac:dyDescent="0.25">
      <c r="A1326" s="77" t="s">
        <v>127</v>
      </c>
      <c r="B1326" s="76" t="s">
        <v>128</v>
      </c>
      <c r="C1326" s="76">
        <v>59656</v>
      </c>
      <c r="D1326" s="76" t="s">
        <v>1773</v>
      </c>
      <c r="E1326" s="79">
        <v>44098</v>
      </c>
      <c r="F1326" s="76">
        <v>14</v>
      </c>
      <c r="G1326" s="76">
        <v>1</v>
      </c>
    </row>
    <row r="1327" spans="1:7" x14ac:dyDescent="0.25">
      <c r="A1327" s="77" t="s">
        <v>127</v>
      </c>
      <c r="B1327" s="76" t="s">
        <v>128</v>
      </c>
      <c r="C1327" s="76">
        <v>59735</v>
      </c>
      <c r="D1327" s="76" t="s">
        <v>1774</v>
      </c>
      <c r="E1327" s="79">
        <v>44099</v>
      </c>
      <c r="F1327" s="76">
        <v>14</v>
      </c>
      <c r="G1327" s="76">
        <v>1</v>
      </c>
    </row>
    <row r="1328" spans="1:7" x14ac:dyDescent="0.25">
      <c r="A1328" s="77" t="s">
        <v>127</v>
      </c>
      <c r="B1328" s="76" t="s">
        <v>128</v>
      </c>
      <c r="C1328" s="76">
        <v>59736</v>
      </c>
      <c r="D1328" s="76" t="s">
        <v>1775</v>
      </c>
      <c r="E1328" s="79">
        <v>44099</v>
      </c>
      <c r="F1328" s="76">
        <v>15</v>
      </c>
      <c r="G1328" s="76">
        <v>1</v>
      </c>
    </row>
    <row r="1329" spans="1:7" x14ac:dyDescent="0.25">
      <c r="A1329" s="77" t="s">
        <v>127</v>
      </c>
      <c r="B1329" s="76" t="s">
        <v>128</v>
      </c>
      <c r="C1329" s="76">
        <v>59737</v>
      </c>
      <c r="D1329" s="76" t="s">
        <v>1776</v>
      </c>
      <c r="E1329" s="79">
        <v>44099</v>
      </c>
      <c r="F1329" s="76">
        <v>16</v>
      </c>
      <c r="G1329" s="76">
        <v>1</v>
      </c>
    </row>
    <row r="1330" spans="1:7" x14ac:dyDescent="0.25">
      <c r="A1330" s="77" t="s">
        <v>127</v>
      </c>
      <c r="B1330" s="76" t="s">
        <v>128</v>
      </c>
      <c r="C1330" s="76">
        <v>59403</v>
      </c>
      <c r="D1330" s="76" t="s">
        <v>1766</v>
      </c>
      <c r="E1330" s="79">
        <v>44274</v>
      </c>
      <c r="F1330" s="76">
        <v>13.5</v>
      </c>
      <c r="G1330" s="76">
        <v>1</v>
      </c>
    </row>
    <row r="1331" spans="1:7" x14ac:dyDescent="0.25">
      <c r="A1331" s="77" t="s">
        <v>127</v>
      </c>
      <c r="B1331" s="76" t="s">
        <v>128</v>
      </c>
      <c r="C1331" s="76">
        <v>59839</v>
      </c>
      <c r="D1331" s="76" t="s">
        <v>1779</v>
      </c>
      <c r="E1331" s="79">
        <v>44102</v>
      </c>
      <c r="F1331" s="76">
        <v>15</v>
      </c>
      <c r="G1331" s="76">
        <v>1</v>
      </c>
    </row>
    <row r="1332" spans="1:7" x14ac:dyDescent="0.25">
      <c r="A1332" s="77" t="s">
        <v>127</v>
      </c>
      <c r="B1332" s="76" t="s">
        <v>128</v>
      </c>
      <c r="C1332" s="76">
        <v>59800</v>
      </c>
      <c r="D1332" s="76" t="s">
        <v>1777</v>
      </c>
      <c r="E1332" s="79">
        <v>44102</v>
      </c>
      <c r="F1332" s="76">
        <v>12</v>
      </c>
      <c r="G1332" s="76">
        <v>1</v>
      </c>
    </row>
    <row r="1333" spans="1:7" x14ac:dyDescent="0.25">
      <c r="A1333" s="77" t="s">
        <v>127</v>
      </c>
      <c r="B1333" s="76" t="s">
        <v>128</v>
      </c>
      <c r="C1333" s="76">
        <v>59801</v>
      </c>
      <c r="D1333" s="76" t="s">
        <v>1778</v>
      </c>
      <c r="E1333" s="79">
        <v>44102</v>
      </c>
      <c r="F1333" s="76">
        <v>11</v>
      </c>
      <c r="G1333" s="76">
        <v>1</v>
      </c>
    </row>
    <row r="1334" spans="1:7" x14ac:dyDescent="0.25">
      <c r="A1334" s="77" t="s">
        <v>127</v>
      </c>
      <c r="B1334" s="76" t="s">
        <v>128</v>
      </c>
      <c r="C1334" s="76">
        <v>59895</v>
      </c>
      <c r="D1334" s="76" t="s">
        <v>1780</v>
      </c>
      <c r="E1334" s="79">
        <v>44103</v>
      </c>
      <c r="F1334" s="76">
        <v>12.8</v>
      </c>
      <c r="G1334" s="76">
        <v>1</v>
      </c>
    </row>
    <row r="1335" spans="1:7" x14ac:dyDescent="0.25">
      <c r="A1335" s="77" t="s">
        <v>127</v>
      </c>
      <c r="B1335" s="76" t="s">
        <v>128</v>
      </c>
      <c r="C1335" s="76">
        <v>59896</v>
      </c>
      <c r="D1335" s="76" t="s">
        <v>1781</v>
      </c>
      <c r="E1335" s="79">
        <v>44103</v>
      </c>
      <c r="F1335" s="76">
        <v>12.6</v>
      </c>
      <c r="G1335" s="76">
        <v>1</v>
      </c>
    </row>
    <row r="1336" spans="1:7" x14ac:dyDescent="0.25">
      <c r="A1336" s="77" t="s">
        <v>127</v>
      </c>
      <c r="B1336" s="76" t="s">
        <v>128</v>
      </c>
      <c r="C1336" s="76">
        <v>59897</v>
      </c>
      <c r="D1336" s="76" t="s">
        <v>1782</v>
      </c>
      <c r="E1336" s="79">
        <v>44103</v>
      </c>
      <c r="F1336" s="76">
        <v>12.5</v>
      </c>
      <c r="G1336" s="76">
        <v>1</v>
      </c>
    </row>
    <row r="1337" spans="1:7" x14ac:dyDescent="0.25">
      <c r="A1337" s="77" t="s">
        <v>127</v>
      </c>
      <c r="B1337" s="76" t="s">
        <v>128</v>
      </c>
      <c r="C1337" s="76">
        <v>59898</v>
      </c>
      <c r="D1337" s="76" t="s">
        <v>1783</v>
      </c>
      <c r="E1337" s="79">
        <v>44103</v>
      </c>
      <c r="F1337" s="76">
        <v>12.4</v>
      </c>
      <c r="G1337" s="76">
        <v>1</v>
      </c>
    </row>
    <row r="1338" spans="1:7" x14ac:dyDescent="0.25">
      <c r="A1338" s="77" t="s">
        <v>127</v>
      </c>
      <c r="B1338" s="76" t="s">
        <v>128</v>
      </c>
      <c r="C1338" s="76">
        <v>59961</v>
      </c>
      <c r="D1338" s="76" t="s">
        <v>1785</v>
      </c>
      <c r="E1338" s="79">
        <v>44104</v>
      </c>
      <c r="F1338" s="76">
        <v>13</v>
      </c>
      <c r="G1338" s="76">
        <v>0.6</v>
      </c>
    </row>
    <row r="1339" spans="1:7" x14ac:dyDescent="0.25">
      <c r="A1339" s="77" t="s">
        <v>127</v>
      </c>
      <c r="B1339" s="76" t="s">
        <v>128</v>
      </c>
      <c r="C1339" s="76">
        <v>59883</v>
      </c>
      <c r="D1339" s="76" t="s">
        <v>1786</v>
      </c>
      <c r="E1339" s="79">
        <v>44103</v>
      </c>
      <c r="F1339" s="76">
        <v>11.5</v>
      </c>
      <c r="G1339" s="76">
        <v>1</v>
      </c>
    </row>
    <row r="1340" spans="1:7" x14ac:dyDescent="0.25">
      <c r="A1340" s="77" t="s">
        <v>127</v>
      </c>
      <c r="B1340" s="76" t="s">
        <v>128</v>
      </c>
      <c r="C1340" s="76">
        <v>60136</v>
      </c>
      <c r="D1340" s="76" t="s">
        <v>1787</v>
      </c>
      <c r="E1340" s="79">
        <v>44109</v>
      </c>
      <c r="F1340" s="76">
        <v>12</v>
      </c>
      <c r="G1340" s="76">
        <v>1</v>
      </c>
    </row>
    <row r="1341" spans="1:7" x14ac:dyDescent="0.25">
      <c r="A1341" s="77" t="s">
        <v>127</v>
      </c>
      <c r="B1341" s="76" t="s">
        <v>128</v>
      </c>
      <c r="C1341" s="76">
        <v>60137</v>
      </c>
      <c r="D1341" s="76" t="s">
        <v>1788</v>
      </c>
      <c r="E1341" s="79">
        <v>44109</v>
      </c>
      <c r="F1341" s="76">
        <v>12.5</v>
      </c>
      <c r="G1341" s="76">
        <v>1</v>
      </c>
    </row>
    <row r="1342" spans="1:7" x14ac:dyDescent="0.25">
      <c r="A1342" s="77" t="s">
        <v>127</v>
      </c>
      <c r="B1342" s="76" t="s">
        <v>128</v>
      </c>
      <c r="C1342" s="76">
        <v>60138</v>
      </c>
      <c r="D1342" s="76" t="s">
        <v>1789</v>
      </c>
      <c r="E1342" s="79">
        <v>44109</v>
      </c>
      <c r="F1342" s="76">
        <v>13</v>
      </c>
      <c r="G1342" s="76">
        <v>1</v>
      </c>
    </row>
    <row r="1343" spans="1:7" x14ac:dyDescent="0.25">
      <c r="A1343" s="77" t="s">
        <v>127</v>
      </c>
      <c r="B1343" s="76" t="s">
        <v>128</v>
      </c>
      <c r="C1343" s="76">
        <v>60139</v>
      </c>
      <c r="D1343" s="76" t="s">
        <v>1790</v>
      </c>
      <c r="E1343" s="79">
        <v>44109</v>
      </c>
      <c r="F1343" s="76">
        <v>13.5</v>
      </c>
      <c r="G1343" s="76">
        <v>1</v>
      </c>
    </row>
    <row r="1344" spans="1:7" x14ac:dyDescent="0.25">
      <c r="A1344" s="77" t="s">
        <v>127</v>
      </c>
      <c r="B1344" s="76" t="s">
        <v>128</v>
      </c>
      <c r="C1344" s="76">
        <v>60140</v>
      </c>
      <c r="D1344" s="76" t="s">
        <v>1791</v>
      </c>
      <c r="E1344" s="79">
        <v>44109</v>
      </c>
      <c r="F1344" s="76">
        <v>14</v>
      </c>
      <c r="G1344" s="76">
        <v>1</v>
      </c>
    </row>
    <row r="1345" spans="1:7" x14ac:dyDescent="0.25">
      <c r="A1345" s="77" t="s">
        <v>127</v>
      </c>
      <c r="B1345" s="76" t="s">
        <v>128</v>
      </c>
      <c r="C1345" s="76">
        <v>60141</v>
      </c>
      <c r="D1345" s="76" t="s">
        <v>1792</v>
      </c>
      <c r="E1345" s="79">
        <v>44140</v>
      </c>
      <c r="F1345" s="76">
        <v>15</v>
      </c>
      <c r="G1345" s="76">
        <v>1</v>
      </c>
    </row>
    <row r="1346" spans="1:7" x14ac:dyDescent="0.25">
      <c r="A1346" s="77" t="s">
        <v>127</v>
      </c>
      <c r="B1346" s="76" t="s">
        <v>128</v>
      </c>
      <c r="C1346" s="76">
        <v>60002</v>
      </c>
      <c r="D1346" s="76" t="s">
        <v>1784</v>
      </c>
      <c r="E1346" s="79">
        <v>44134</v>
      </c>
      <c r="F1346" s="76">
        <v>12.5</v>
      </c>
      <c r="G1346" s="76">
        <v>1</v>
      </c>
    </row>
    <row r="1347" spans="1:7" x14ac:dyDescent="0.25">
      <c r="A1347" s="77" t="s">
        <v>127</v>
      </c>
      <c r="B1347" s="76" t="s">
        <v>128</v>
      </c>
      <c r="C1347" s="76">
        <v>60041</v>
      </c>
      <c r="D1347" s="76" t="s">
        <v>1801</v>
      </c>
      <c r="E1347" s="79">
        <v>44104</v>
      </c>
      <c r="F1347" s="76">
        <v>11.8</v>
      </c>
      <c r="G1347" s="76">
        <v>1</v>
      </c>
    </row>
    <row r="1348" spans="1:7" x14ac:dyDescent="0.25">
      <c r="A1348" s="77" t="s">
        <v>127</v>
      </c>
      <c r="B1348" s="76" t="s">
        <v>128</v>
      </c>
      <c r="C1348" s="76">
        <v>60067</v>
      </c>
      <c r="D1348" s="76" t="s">
        <v>1802</v>
      </c>
      <c r="E1348" s="79">
        <v>44104</v>
      </c>
      <c r="F1348" s="76">
        <v>12</v>
      </c>
      <c r="G1348" s="76">
        <v>1</v>
      </c>
    </row>
    <row r="1349" spans="1:7" x14ac:dyDescent="0.25">
      <c r="A1349" s="77" t="s">
        <v>127</v>
      </c>
      <c r="B1349" s="76" t="s">
        <v>128</v>
      </c>
      <c r="C1349" s="76">
        <v>60068</v>
      </c>
      <c r="D1349" s="76" t="s">
        <v>1803</v>
      </c>
      <c r="E1349" s="79">
        <v>44104</v>
      </c>
      <c r="F1349" s="76">
        <v>13</v>
      </c>
      <c r="G1349" s="76">
        <v>1</v>
      </c>
    </row>
    <row r="1350" spans="1:7" x14ac:dyDescent="0.25">
      <c r="A1350" s="77" t="s">
        <v>127</v>
      </c>
      <c r="B1350" s="76" t="s">
        <v>128</v>
      </c>
      <c r="C1350" s="76">
        <v>60069</v>
      </c>
      <c r="D1350" s="76" t="s">
        <v>1804</v>
      </c>
      <c r="E1350" s="79">
        <v>44104</v>
      </c>
      <c r="F1350" s="76">
        <v>14</v>
      </c>
      <c r="G1350" s="76">
        <v>1</v>
      </c>
    </row>
    <row r="1351" spans="1:7" x14ac:dyDescent="0.25">
      <c r="A1351" s="77" t="s">
        <v>127</v>
      </c>
      <c r="B1351" s="76" t="s">
        <v>128</v>
      </c>
      <c r="C1351" s="76">
        <v>60174</v>
      </c>
      <c r="D1351" s="76" t="s">
        <v>1793</v>
      </c>
      <c r="E1351" s="79">
        <v>44293</v>
      </c>
      <c r="F1351" s="76">
        <v>17.5</v>
      </c>
      <c r="G1351" s="76">
        <v>1</v>
      </c>
    </row>
    <row r="1352" spans="1:7" x14ac:dyDescent="0.25">
      <c r="A1352" s="77" t="s">
        <v>127</v>
      </c>
      <c r="B1352" s="76" t="s">
        <v>128</v>
      </c>
      <c r="C1352" s="76">
        <v>60175</v>
      </c>
      <c r="D1352" s="76" t="s">
        <v>1794</v>
      </c>
      <c r="E1352" s="79">
        <v>44293</v>
      </c>
      <c r="F1352" s="76">
        <v>17</v>
      </c>
      <c r="G1352" s="76">
        <v>1</v>
      </c>
    </row>
    <row r="1353" spans="1:7" x14ac:dyDescent="0.25">
      <c r="A1353" s="77" t="s">
        <v>127</v>
      </c>
      <c r="B1353" s="76" t="s">
        <v>128</v>
      </c>
      <c r="C1353" s="76">
        <v>60176</v>
      </c>
      <c r="D1353" s="76" t="s">
        <v>1795</v>
      </c>
      <c r="E1353" s="79">
        <v>44293</v>
      </c>
      <c r="F1353" s="76">
        <v>16.5</v>
      </c>
      <c r="G1353" s="76">
        <v>1</v>
      </c>
    </row>
    <row r="1354" spans="1:7" x14ac:dyDescent="0.25">
      <c r="A1354" s="77" t="s">
        <v>127</v>
      </c>
      <c r="B1354" s="76" t="s">
        <v>128</v>
      </c>
      <c r="C1354" s="76">
        <v>60177</v>
      </c>
      <c r="D1354" s="76" t="s">
        <v>1796</v>
      </c>
      <c r="E1354" s="79">
        <v>44293</v>
      </c>
      <c r="F1354" s="76">
        <v>16</v>
      </c>
      <c r="G1354" s="76">
        <v>1</v>
      </c>
    </row>
    <row r="1355" spans="1:7" x14ac:dyDescent="0.25">
      <c r="A1355" s="77" t="s">
        <v>127</v>
      </c>
      <c r="B1355" s="76" t="s">
        <v>128</v>
      </c>
      <c r="C1355" s="76">
        <v>60178</v>
      </c>
      <c r="D1355" s="76" t="s">
        <v>1797</v>
      </c>
      <c r="E1355" s="79">
        <v>44293</v>
      </c>
      <c r="F1355" s="76">
        <v>15.5</v>
      </c>
      <c r="G1355" s="76">
        <v>1</v>
      </c>
    </row>
    <row r="1356" spans="1:7" x14ac:dyDescent="0.25">
      <c r="A1356" s="77" t="s">
        <v>127</v>
      </c>
      <c r="B1356" s="76" t="s">
        <v>128</v>
      </c>
      <c r="C1356" s="76">
        <v>60179</v>
      </c>
      <c r="D1356" s="76" t="s">
        <v>1798</v>
      </c>
      <c r="E1356" s="79">
        <v>44293</v>
      </c>
      <c r="F1356" s="76">
        <v>15</v>
      </c>
      <c r="G1356" s="76">
        <v>1</v>
      </c>
    </row>
    <row r="1357" spans="1:7" x14ac:dyDescent="0.25">
      <c r="A1357" s="77" t="s">
        <v>127</v>
      </c>
      <c r="B1357" s="76" t="s">
        <v>128</v>
      </c>
      <c r="C1357" s="76">
        <v>60258</v>
      </c>
      <c r="D1357" s="76" t="s">
        <v>1805</v>
      </c>
      <c r="E1357" s="79">
        <v>44110</v>
      </c>
      <c r="F1357" s="76">
        <v>10.5</v>
      </c>
      <c r="G1357" s="76">
        <v>1</v>
      </c>
    </row>
    <row r="1358" spans="1:7" x14ac:dyDescent="0.25">
      <c r="A1358" s="77" t="s">
        <v>127</v>
      </c>
      <c r="B1358" s="76" t="s">
        <v>128</v>
      </c>
      <c r="C1358" s="76">
        <v>60379</v>
      </c>
      <c r="D1358" s="76" t="s">
        <v>1808</v>
      </c>
      <c r="E1358" s="79">
        <v>44111</v>
      </c>
      <c r="F1358" s="76">
        <v>12</v>
      </c>
      <c r="G1358" s="76">
        <v>1</v>
      </c>
    </row>
    <row r="1359" spans="1:7" x14ac:dyDescent="0.25">
      <c r="A1359" s="77" t="s">
        <v>127</v>
      </c>
      <c r="B1359" s="76" t="s">
        <v>128</v>
      </c>
      <c r="C1359" s="76">
        <v>60380</v>
      </c>
      <c r="D1359" s="76" t="s">
        <v>1809</v>
      </c>
      <c r="E1359" s="79">
        <v>44111</v>
      </c>
      <c r="F1359" s="76">
        <v>11</v>
      </c>
      <c r="G1359" s="76">
        <v>1</v>
      </c>
    </row>
    <row r="1360" spans="1:7" x14ac:dyDescent="0.25">
      <c r="A1360" s="77" t="s">
        <v>127</v>
      </c>
      <c r="B1360" s="76" t="s">
        <v>128</v>
      </c>
      <c r="C1360" s="76">
        <v>60273</v>
      </c>
      <c r="D1360" s="76" t="s">
        <v>1806</v>
      </c>
      <c r="E1360" s="79">
        <v>44110</v>
      </c>
      <c r="F1360" s="76">
        <v>11.8</v>
      </c>
      <c r="G1360" s="76">
        <v>1</v>
      </c>
    </row>
    <row r="1361" spans="1:7" x14ac:dyDescent="0.25">
      <c r="A1361" s="77" t="s">
        <v>127</v>
      </c>
      <c r="B1361" s="76" t="s">
        <v>128</v>
      </c>
      <c r="C1361" s="76">
        <v>60274</v>
      </c>
      <c r="D1361" s="76" t="s">
        <v>1807</v>
      </c>
      <c r="E1361" s="79">
        <v>44110</v>
      </c>
      <c r="F1361" s="76">
        <v>11.9</v>
      </c>
      <c r="G1361" s="76">
        <v>1</v>
      </c>
    </row>
    <row r="1362" spans="1:7" x14ac:dyDescent="0.25">
      <c r="A1362" s="77" t="s">
        <v>127</v>
      </c>
      <c r="B1362" s="76" t="s">
        <v>128</v>
      </c>
      <c r="C1362" s="76">
        <v>60023</v>
      </c>
      <c r="D1362" s="76" t="s">
        <v>1799</v>
      </c>
      <c r="E1362" s="79">
        <v>44134</v>
      </c>
      <c r="F1362" s="76">
        <v>12.06</v>
      </c>
      <c r="G1362" s="76">
        <v>1</v>
      </c>
    </row>
    <row r="1363" spans="1:7" x14ac:dyDescent="0.25">
      <c r="A1363" s="77" t="s">
        <v>127</v>
      </c>
      <c r="B1363" s="76" t="s">
        <v>128</v>
      </c>
      <c r="C1363" s="76">
        <v>60024</v>
      </c>
      <c r="D1363" s="76" t="s">
        <v>1800</v>
      </c>
      <c r="E1363" s="79">
        <v>44165</v>
      </c>
      <c r="F1363" s="76">
        <v>12.78</v>
      </c>
      <c r="G1363" s="76">
        <v>1</v>
      </c>
    </row>
    <row r="1364" spans="1:7" x14ac:dyDescent="0.25">
      <c r="A1364" s="77" t="s">
        <v>127</v>
      </c>
      <c r="B1364" s="76" t="s">
        <v>128</v>
      </c>
      <c r="C1364" s="76">
        <v>60613</v>
      </c>
      <c r="D1364" s="76" t="s">
        <v>1810</v>
      </c>
      <c r="E1364" s="79">
        <v>44116</v>
      </c>
      <c r="F1364" s="76">
        <v>11.5</v>
      </c>
      <c r="G1364" s="76">
        <v>1</v>
      </c>
    </row>
    <row r="1365" spans="1:7" x14ac:dyDescent="0.25">
      <c r="A1365" s="77" t="s">
        <v>127</v>
      </c>
      <c r="B1365" s="76" t="s">
        <v>128</v>
      </c>
      <c r="C1365" s="76">
        <v>60614</v>
      </c>
      <c r="D1365" s="76" t="s">
        <v>1811</v>
      </c>
      <c r="E1365" s="79">
        <v>44116</v>
      </c>
      <c r="F1365" s="76">
        <v>11.6</v>
      </c>
      <c r="G1365" s="76">
        <v>1</v>
      </c>
    </row>
    <row r="1366" spans="1:7" x14ac:dyDescent="0.25">
      <c r="A1366" s="77" t="s">
        <v>127</v>
      </c>
      <c r="B1366" s="76" t="s">
        <v>128</v>
      </c>
      <c r="C1366" s="76">
        <v>60615</v>
      </c>
      <c r="D1366" s="76" t="s">
        <v>1812</v>
      </c>
      <c r="E1366" s="79">
        <v>44116</v>
      </c>
      <c r="F1366" s="76">
        <v>11.7</v>
      </c>
      <c r="G1366" s="76">
        <v>1</v>
      </c>
    </row>
    <row r="1367" spans="1:7" x14ac:dyDescent="0.25">
      <c r="A1367" s="77" t="s">
        <v>127</v>
      </c>
      <c r="B1367" s="76" t="s">
        <v>128</v>
      </c>
      <c r="C1367" s="76">
        <v>60647</v>
      </c>
      <c r="D1367" s="76" t="s">
        <v>1813</v>
      </c>
      <c r="E1367" s="79">
        <v>44116</v>
      </c>
      <c r="F1367" s="76">
        <v>12.4</v>
      </c>
      <c r="G1367" s="76">
        <v>1</v>
      </c>
    </row>
    <row r="1368" spans="1:7" x14ac:dyDescent="0.25">
      <c r="A1368" s="77" t="s">
        <v>127</v>
      </c>
      <c r="B1368" s="76" t="s">
        <v>128</v>
      </c>
      <c r="C1368" s="76">
        <v>60740</v>
      </c>
      <c r="D1368" s="76" t="s">
        <v>1819</v>
      </c>
      <c r="E1368" s="79">
        <v>44179</v>
      </c>
      <c r="F1368" s="76">
        <v>12</v>
      </c>
      <c r="G1368" s="76">
        <v>0.9</v>
      </c>
    </row>
    <row r="1369" spans="1:7" x14ac:dyDescent="0.25">
      <c r="A1369" s="77" t="s">
        <v>127</v>
      </c>
      <c r="B1369" s="76" t="s">
        <v>128</v>
      </c>
      <c r="C1369" s="76">
        <v>60703</v>
      </c>
      <c r="D1369" s="76" t="s">
        <v>1820</v>
      </c>
      <c r="E1369" s="79">
        <v>44179</v>
      </c>
      <c r="F1369" s="76">
        <v>13</v>
      </c>
      <c r="G1369" s="76">
        <v>0.7</v>
      </c>
    </row>
    <row r="1370" spans="1:7" x14ac:dyDescent="0.25">
      <c r="A1370" s="77" t="s">
        <v>127</v>
      </c>
      <c r="B1370" s="76" t="s">
        <v>128</v>
      </c>
      <c r="C1370" s="76">
        <v>60804</v>
      </c>
      <c r="D1370" s="76" t="s">
        <v>1814</v>
      </c>
      <c r="E1370" s="79">
        <v>44118</v>
      </c>
      <c r="F1370" s="76">
        <v>11.2</v>
      </c>
      <c r="G1370" s="76">
        <v>0.5</v>
      </c>
    </row>
    <row r="1371" spans="1:7" x14ac:dyDescent="0.25">
      <c r="A1371" s="77" t="s">
        <v>127</v>
      </c>
      <c r="B1371" s="76" t="s">
        <v>128</v>
      </c>
      <c r="C1371" s="76">
        <v>60829</v>
      </c>
      <c r="D1371" s="76" t="s">
        <v>1815</v>
      </c>
      <c r="E1371" s="79">
        <v>44118</v>
      </c>
      <c r="F1371" s="76">
        <v>11.25</v>
      </c>
      <c r="G1371" s="76">
        <v>1</v>
      </c>
    </row>
    <row r="1372" spans="1:7" x14ac:dyDescent="0.25">
      <c r="A1372" s="77" t="s">
        <v>127</v>
      </c>
      <c r="B1372" s="76" t="s">
        <v>128</v>
      </c>
      <c r="C1372" s="76">
        <v>60830</v>
      </c>
      <c r="D1372" s="76" t="s">
        <v>1816</v>
      </c>
      <c r="E1372" s="79">
        <v>44118</v>
      </c>
      <c r="F1372" s="76">
        <v>11.75</v>
      </c>
      <c r="G1372" s="76">
        <v>1</v>
      </c>
    </row>
    <row r="1373" spans="1:7" x14ac:dyDescent="0.25">
      <c r="A1373" s="77" t="s">
        <v>127</v>
      </c>
      <c r="B1373" s="76" t="s">
        <v>128</v>
      </c>
      <c r="C1373" s="76">
        <v>60831</v>
      </c>
      <c r="D1373" s="76" t="s">
        <v>1817</v>
      </c>
      <c r="E1373" s="79">
        <v>44151</v>
      </c>
      <c r="F1373" s="76">
        <v>11.5</v>
      </c>
      <c r="G1373" s="76">
        <v>1</v>
      </c>
    </row>
    <row r="1374" spans="1:7" x14ac:dyDescent="0.25">
      <c r="A1374" s="77" t="s">
        <v>127</v>
      </c>
      <c r="B1374" s="76" t="s">
        <v>128</v>
      </c>
      <c r="C1374" s="76">
        <v>60858</v>
      </c>
      <c r="D1374" s="76" t="s">
        <v>1818</v>
      </c>
      <c r="E1374" s="79">
        <v>44118</v>
      </c>
      <c r="F1374" s="76">
        <v>12.84</v>
      </c>
      <c r="G1374" s="76">
        <v>1</v>
      </c>
    </row>
    <row r="1375" spans="1:7" x14ac:dyDescent="0.25">
      <c r="A1375" s="77" t="s">
        <v>127</v>
      </c>
      <c r="B1375" s="76" t="s">
        <v>128</v>
      </c>
      <c r="C1375" s="76">
        <v>60970</v>
      </c>
      <c r="D1375" s="76" t="s">
        <v>1881</v>
      </c>
      <c r="E1375" s="79">
        <v>44120</v>
      </c>
      <c r="F1375" s="76">
        <v>11.4</v>
      </c>
      <c r="G1375" s="76">
        <v>1</v>
      </c>
    </row>
    <row r="1376" spans="1:7" x14ac:dyDescent="0.25">
      <c r="A1376" s="77" t="s">
        <v>127</v>
      </c>
      <c r="B1376" s="76" t="s">
        <v>128</v>
      </c>
      <c r="C1376" s="76">
        <v>60971</v>
      </c>
      <c r="D1376" s="76" t="s">
        <v>1882</v>
      </c>
      <c r="E1376" s="79">
        <v>44120</v>
      </c>
      <c r="F1376" s="76">
        <v>11.3</v>
      </c>
      <c r="G1376" s="76">
        <v>1</v>
      </c>
    </row>
    <row r="1377" spans="1:7" x14ac:dyDescent="0.25">
      <c r="A1377" s="77" t="s">
        <v>127</v>
      </c>
      <c r="B1377" s="76" t="s">
        <v>128</v>
      </c>
      <c r="C1377" s="76">
        <v>60972</v>
      </c>
      <c r="D1377" s="76" t="s">
        <v>1883</v>
      </c>
      <c r="E1377" s="79">
        <v>44120</v>
      </c>
      <c r="F1377" s="76">
        <v>11.2</v>
      </c>
      <c r="G1377" s="76">
        <v>1</v>
      </c>
    </row>
    <row r="1378" spans="1:7" x14ac:dyDescent="0.25">
      <c r="A1378" s="77" t="s">
        <v>127</v>
      </c>
      <c r="B1378" s="76" t="s">
        <v>128</v>
      </c>
      <c r="C1378" s="76">
        <v>60973</v>
      </c>
      <c r="D1378" s="76" t="s">
        <v>1884</v>
      </c>
      <c r="E1378" s="79">
        <v>44120</v>
      </c>
      <c r="F1378" s="76">
        <v>11.1</v>
      </c>
      <c r="G1378" s="76">
        <v>1</v>
      </c>
    </row>
    <row r="1379" spans="1:7" x14ac:dyDescent="0.25">
      <c r="A1379" s="77" t="s">
        <v>127</v>
      </c>
      <c r="B1379" s="76" t="s">
        <v>128</v>
      </c>
      <c r="C1379" s="76">
        <v>60935</v>
      </c>
      <c r="D1379" s="76" t="s">
        <v>1827</v>
      </c>
      <c r="E1379" s="79">
        <v>44119</v>
      </c>
      <c r="F1379" s="76">
        <v>10.75</v>
      </c>
      <c r="G1379" s="76">
        <v>1</v>
      </c>
    </row>
    <row r="1380" spans="1:7" x14ac:dyDescent="0.25">
      <c r="A1380" s="77" t="s">
        <v>127</v>
      </c>
      <c r="B1380" s="76" t="s">
        <v>128</v>
      </c>
      <c r="C1380" s="76">
        <v>60936</v>
      </c>
      <c r="D1380" s="76" t="s">
        <v>1828</v>
      </c>
      <c r="E1380" s="79">
        <v>44119</v>
      </c>
      <c r="F1380" s="76">
        <v>10.5</v>
      </c>
      <c r="G1380" s="76">
        <v>1</v>
      </c>
    </row>
    <row r="1381" spans="1:7" x14ac:dyDescent="0.25">
      <c r="A1381" s="77" t="s">
        <v>127</v>
      </c>
      <c r="B1381" s="76" t="s">
        <v>128</v>
      </c>
      <c r="C1381" s="76">
        <v>60937</v>
      </c>
      <c r="D1381" s="76" t="s">
        <v>1829</v>
      </c>
      <c r="E1381" s="79">
        <v>44119</v>
      </c>
      <c r="F1381" s="76">
        <v>11</v>
      </c>
      <c r="G1381" s="76">
        <v>1</v>
      </c>
    </row>
    <row r="1382" spans="1:7" x14ac:dyDescent="0.25">
      <c r="A1382" s="77" t="s">
        <v>127</v>
      </c>
      <c r="B1382" s="76" t="s">
        <v>128</v>
      </c>
      <c r="C1382" s="76">
        <v>60950</v>
      </c>
      <c r="D1382" s="76" t="s">
        <v>1885</v>
      </c>
      <c r="E1382" s="79">
        <v>44120</v>
      </c>
      <c r="F1382" s="76">
        <v>12.2</v>
      </c>
      <c r="G1382" s="76">
        <v>1</v>
      </c>
    </row>
    <row r="1383" spans="1:7" x14ac:dyDescent="0.25">
      <c r="A1383" s="77" t="s">
        <v>127</v>
      </c>
      <c r="B1383" s="76" t="s">
        <v>128</v>
      </c>
      <c r="C1383" s="76">
        <v>61073</v>
      </c>
      <c r="D1383" s="76" t="s">
        <v>1886</v>
      </c>
      <c r="E1383" s="79">
        <v>44123</v>
      </c>
      <c r="F1383" s="76">
        <v>11.55</v>
      </c>
      <c r="G1383" s="76">
        <v>1</v>
      </c>
    </row>
    <row r="1384" spans="1:7" x14ac:dyDescent="0.25">
      <c r="A1384" s="77" t="s">
        <v>127</v>
      </c>
      <c r="B1384" s="76" t="s">
        <v>128</v>
      </c>
      <c r="C1384" s="76">
        <v>61223</v>
      </c>
      <c r="D1384" s="76" t="s">
        <v>1974</v>
      </c>
      <c r="E1384" s="79">
        <v>44217</v>
      </c>
      <c r="F1384" s="76">
        <v>10.88</v>
      </c>
      <c r="G1384" s="76">
        <v>1</v>
      </c>
    </row>
    <row r="1385" spans="1:7" x14ac:dyDescent="0.25">
      <c r="A1385" s="77" t="s">
        <v>127</v>
      </c>
      <c r="B1385" s="76" t="s">
        <v>128</v>
      </c>
      <c r="C1385" s="76">
        <v>61369</v>
      </c>
      <c r="D1385" s="76" t="s">
        <v>1998</v>
      </c>
      <c r="E1385" s="79">
        <v>44158</v>
      </c>
      <c r="F1385" s="76">
        <v>11.3</v>
      </c>
      <c r="G1385" s="76">
        <v>1</v>
      </c>
    </row>
    <row r="1386" spans="1:7" x14ac:dyDescent="0.25">
      <c r="A1386" s="77" t="s">
        <v>127</v>
      </c>
      <c r="B1386" s="76" t="s">
        <v>128</v>
      </c>
      <c r="C1386" s="76">
        <v>61173</v>
      </c>
      <c r="D1386" s="76" t="s">
        <v>1973</v>
      </c>
      <c r="E1386" s="79">
        <v>44306</v>
      </c>
      <c r="F1386" s="76">
        <v>15</v>
      </c>
      <c r="G1386" s="76">
        <v>1</v>
      </c>
    </row>
    <row r="1387" spans="1:7" x14ac:dyDescent="0.25">
      <c r="A1387" s="77" t="s">
        <v>127</v>
      </c>
      <c r="B1387" s="76" t="s">
        <v>128</v>
      </c>
      <c r="C1387" s="76">
        <v>61328</v>
      </c>
      <c r="D1387" s="76" t="s">
        <v>1992</v>
      </c>
      <c r="E1387" s="79">
        <v>44126</v>
      </c>
      <c r="F1387" s="76">
        <v>10.6</v>
      </c>
      <c r="G1387" s="76">
        <v>1</v>
      </c>
    </row>
    <row r="1388" spans="1:7" x14ac:dyDescent="0.25">
      <c r="A1388" s="77" t="s">
        <v>127</v>
      </c>
      <c r="B1388" s="76" t="s">
        <v>128</v>
      </c>
      <c r="C1388" s="76">
        <v>61329</v>
      </c>
      <c r="D1388" s="76" t="s">
        <v>1993</v>
      </c>
      <c r="E1388" s="79">
        <v>44126</v>
      </c>
      <c r="F1388" s="76">
        <v>10.7</v>
      </c>
      <c r="G1388" s="76">
        <v>1</v>
      </c>
    </row>
    <row r="1389" spans="1:7" x14ac:dyDescent="0.25">
      <c r="A1389" s="77" t="s">
        <v>127</v>
      </c>
      <c r="B1389" s="76" t="s">
        <v>128</v>
      </c>
      <c r="C1389" s="76">
        <v>61330</v>
      </c>
      <c r="D1389" s="76" t="s">
        <v>1994</v>
      </c>
      <c r="E1389" s="79">
        <v>44126</v>
      </c>
      <c r="F1389" s="76">
        <v>10.8</v>
      </c>
      <c r="G1389" s="76">
        <v>1</v>
      </c>
    </row>
    <row r="1390" spans="1:7" x14ac:dyDescent="0.25">
      <c r="A1390" s="77" t="s">
        <v>127</v>
      </c>
      <c r="B1390" s="76" t="s">
        <v>128</v>
      </c>
      <c r="C1390" s="76">
        <v>61331</v>
      </c>
      <c r="D1390" s="76" t="s">
        <v>1995</v>
      </c>
      <c r="E1390" s="79">
        <v>44126</v>
      </c>
      <c r="F1390" s="76">
        <v>10.9</v>
      </c>
      <c r="G1390" s="76">
        <v>1</v>
      </c>
    </row>
    <row r="1391" spans="1:7" x14ac:dyDescent="0.25">
      <c r="A1391" s="77" t="s">
        <v>127</v>
      </c>
      <c r="B1391" s="76" t="s">
        <v>128</v>
      </c>
      <c r="C1391" s="76">
        <v>61332</v>
      </c>
      <c r="D1391" s="76" t="s">
        <v>1996</v>
      </c>
      <c r="E1391" s="79">
        <v>44126</v>
      </c>
      <c r="F1391" s="76">
        <v>11</v>
      </c>
      <c r="G1391" s="76">
        <v>1</v>
      </c>
    </row>
    <row r="1392" spans="1:7" x14ac:dyDescent="0.25">
      <c r="A1392" s="77" t="s">
        <v>127</v>
      </c>
      <c r="B1392" s="76" t="s">
        <v>128</v>
      </c>
      <c r="C1392" s="76">
        <v>61276</v>
      </c>
      <c r="D1392" s="76" t="s">
        <v>1975</v>
      </c>
      <c r="E1392" s="79">
        <v>44125</v>
      </c>
      <c r="F1392" s="76">
        <v>11.12</v>
      </c>
      <c r="G1392" s="76">
        <v>0.8</v>
      </c>
    </row>
    <row r="1393" spans="1:7" x14ac:dyDescent="0.25">
      <c r="A1393" s="77" t="s">
        <v>127</v>
      </c>
      <c r="B1393" s="76" t="s">
        <v>128</v>
      </c>
      <c r="C1393" s="76">
        <v>61493</v>
      </c>
      <c r="D1393" s="76" t="s">
        <v>2011</v>
      </c>
      <c r="E1393" s="79">
        <v>44161</v>
      </c>
      <c r="F1393" s="76">
        <v>12.25</v>
      </c>
      <c r="G1393" s="76">
        <v>1</v>
      </c>
    </row>
    <row r="1394" spans="1:7" x14ac:dyDescent="0.25">
      <c r="A1394" s="77" t="s">
        <v>127</v>
      </c>
      <c r="B1394" s="76" t="s">
        <v>128</v>
      </c>
      <c r="C1394" s="76">
        <v>61519</v>
      </c>
      <c r="D1394" s="76" t="s">
        <v>2034</v>
      </c>
      <c r="E1394" s="79">
        <v>44257</v>
      </c>
      <c r="F1394" s="76">
        <v>15.88</v>
      </c>
      <c r="G1394" s="76">
        <v>1</v>
      </c>
    </row>
    <row r="1395" spans="1:7" x14ac:dyDescent="0.25">
      <c r="A1395" s="77" t="s">
        <v>127</v>
      </c>
      <c r="B1395" s="76" t="s">
        <v>128</v>
      </c>
      <c r="C1395" s="76">
        <v>61554</v>
      </c>
      <c r="D1395" s="76" t="s">
        <v>2035</v>
      </c>
      <c r="E1395" s="79">
        <v>44162</v>
      </c>
      <c r="F1395" s="76">
        <v>13.25</v>
      </c>
      <c r="G1395" s="76">
        <v>1</v>
      </c>
    </row>
    <row r="1396" spans="1:7" x14ac:dyDescent="0.25">
      <c r="A1396" s="77" t="s">
        <v>127</v>
      </c>
      <c r="B1396" s="76" t="s">
        <v>128</v>
      </c>
      <c r="C1396" s="76">
        <v>61652</v>
      </c>
      <c r="D1396" s="76" t="s">
        <v>2037</v>
      </c>
      <c r="E1396" s="79">
        <v>44193</v>
      </c>
      <c r="F1396" s="76">
        <v>12.75</v>
      </c>
      <c r="G1396" s="76">
        <v>1</v>
      </c>
    </row>
    <row r="1397" spans="1:7" x14ac:dyDescent="0.25">
      <c r="A1397" s="77" t="s">
        <v>127</v>
      </c>
      <c r="B1397" s="76" t="s">
        <v>128</v>
      </c>
      <c r="C1397" s="76">
        <v>61411</v>
      </c>
      <c r="D1397" s="76" t="s">
        <v>2012</v>
      </c>
      <c r="E1397" s="79">
        <v>44127</v>
      </c>
      <c r="F1397" s="76">
        <v>11.4</v>
      </c>
      <c r="G1397" s="76">
        <v>1</v>
      </c>
    </row>
    <row r="1398" spans="1:7" x14ac:dyDescent="0.25">
      <c r="A1398" s="77" t="s">
        <v>127</v>
      </c>
      <c r="B1398" s="76" t="s">
        <v>128</v>
      </c>
      <c r="C1398" s="76">
        <v>61384</v>
      </c>
      <c r="D1398" s="76" t="s">
        <v>1997</v>
      </c>
      <c r="E1398" s="79">
        <v>44126</v>
      </c>
      <c r="F1398" s="76">
        <v>10.7</v>
      </c>
      <c r="G1398" s="76">
        <v>1</v>
      </c>
    </row>
    <row r="1399" spans="1:7" x14ac:dyDescent="0.25">
      <c r="A1399" s="77" t="s">
        <v>127</v>
      </c>
      <c r="B1399" s="76" t="s">
        <v>128</v>
      </c>
      <c r="C1399" s="76">
        <v>61757</v>
      </c>
      <c r="D1399" s="76" t="s">
        <v>2046</v>
      </c>
      <c r="E1399" s="79">
        <v>44138</v>
      </c>
      <c r="F1399" s="76">
        <v>10.5</v>
      </c>
      <c r="G1399" s="76">
        <v>0.8</v>
      </c>
    </row>
    <row r="1400" spans="1:7" x14ac:dyDescent="0.25">
      <c r="A1400" s="77" t="s">
        <v>127</v>
      </c>
      <c r="B1400" s="76" t="s">
        <v>128</v>
      </c>
      <c r="C1400" s="76">
        <v>61758</v>
      </c>
      <c r="D1400" s="76" t="s">
        <v>2047</v>
      </c>
      <c r="E1400" s="79">
        <v>44138</v>
      </c>
      <c r="F1400" s="76">
        <v>10.4</v>
      </c>
      <c r="G1400" s="76">
        <v>0.8</v>
      </c>
    </row>
    <row r="1401" spans="1:7" x14ac:dyDescent="0.25">
      <c r="A1401" s="77" t="s">
        <v>127</v>
      </c>
      <c r="B1401" s="76" t="s">
        <v>128</v>
      </c>
      <c r="C1401" s="76">
        <v>61774</v>
      </c>
      <c r="D1401" s="76" t="s">
        <v>2048</v>
      </c>
      <c r="E1401" s="79">
        <v>44138</v>
      </c>
      <c r="F1401" s="76">
        <v>10.25</v>
      </c>
      <c r="G1401" s="76">
        <v>1</v>
      </c>
    </row>
    <row r="1402" spans="1:7" x14ac:dyDescent="0.25">
      <c r="A1402" s="77" t="s">
        <v>127</v>
      </c>
      <c r="B1402" s="76" t="s">
        <v>128</v>
      </c>
      <c r="C1402" s="76">
        <v>61684</v>
      </c>
      <c r="D1402" s="76" t="s">
        <v>2036</v>
      </c>
      <c r="E1402" s="79">
        <v>44133</v>
      </c>
      <c r="F1402" s="76">
        <v>10.199999999999999</v>
      </c>
      <c r="G1402" s="76">
        <v>1</v>
      </c>
    </row>
    <row r="1403" spans="1:7" x14ac:dyDescent="0.25">
      <c r="A1403" s="77" t="s">
        <v>127</v>
      </c>
      <c r="B1403" s="76" t="s">
        <v>128</v>
      </c>
      <c r="C1403" s="76">
        <v>61828</v>
      </c>
      <c r="D1403" s="76" t="s">
        <v>2093</v>
      </c>
      <c r="E1403" s="79">
        <v>44231</v>
      </c>
      <c r="F1403" s="76">
        <v>11.5</v>
      </c>
      <c r="G1403" s="76">
        <v>1</v>
      </c>
    </row>
    <row r="1404" spans="1:7" x14ac:dyDescent="0.25">
      <c r="A1404" s="77" t="s">
        <v>127</v>
      </c>
      <c r="B1404" s="76" t="s">
        <v>128</v>
      </c>
      <c r="C1404" s="76">
        <v>61829</v>
      </c>
      <c r="D1404" s="76" t="s">
        <v>2094</v>
      </c>
      <c r="E1404" s="79">
        <v>44169</v>
      </c>
      <c r="F1404" s="76">
        <v>10</v>
      </c>
      <c r="G1404" s="76">
        <v>1</v>
      </c>
    </row>
    <row r="1405" spans="1:7" x14ac:dyDescent="0.25">
      <c r="A1405" s="77" t="s">
        <v>127</v>
      </c>
      <c r="B1405" s="76" t="s">
        <v>128</v>
      </c>
      <c r="C1405" s="76">
        <v>61844</v>
      </c>
      <c r="D1405" s="76" t="s">
        <v>2095</v>
      </c>
      <c r="E1405" s="79">
        <v>44169</v>
      </c>
      <c r="F1405" s="76">
        <v>10</v>
      </c>
      <c r="G1405" s="76">
        <v>1</v>
      </c>
    </row>
    <row r="1406" spans="1:7" x14ac:dyDescent="0.25">
      <c r="A1406" s="77" t="s">
        <v>127</v>
      </c>
      <c r="B1406" s="76" t="s">
        <v>128</v>
      </c>
      <c r="C1406" s="76">
        <v>61915</v>
      </c>
      <c r="D1406" s="76" t="s">
        <v>2096</v>
      </c>
      <c r="E1406" s="79">
        <v>44232</v>
      </c>
      <c r="F1406" s="76">
        <v>9</v>
      </c>
      <c r="G1406" s="76">
        <v>1</v>
      </c>
    </row>
    <row r="1407" spans="1:7" x14ac:dyDescent="0.25">
      <c r="A1407" s="77" t="s">
        <v>127</v>
      </c>
      <c r="B1407" s="76" t="s">
        <v>128</v>
      </c>
      <c r="C1407" s="76">
        <v>62101</v>
      </c>
      <c r="D1407" s="76" t="s">
        <v>2172</v>
      </c>
      <c r="E1407" s="79">
        <v>44202</v>
      </c>
      <c r="F1407" s="76">
        <v>14</v>
      </c>
      <c r="G1407" s="76">
        <v>1</v>
      </c>
    </row>
    <row r="1408" spans="1:7" x14ac:dyDescent="0.25">
      <c r="A1408" s="77" t="s">
        <v>127</v>
      </c>
      <c r="B1408" s="76" t="s">
        <v>128</v>
      </c>
      <c r="C1408" s="76">
        <v>62102</v>
      </c>
      <c r="D1408" s="76" t="s">
        <v>2173</v>
      </c>
      <c r="E1408" s="79">
        <v>44141</v>
      </c>
      <c r="F1408" s="76">
        <v>9.5</v>
      </c>
      <c r="G1408" s="76">
        <v>1</v>
      </c>
    </row>
    <row r="1409" spans="1:7" x14ac:dyDescent="0.25">
      <c r="A1409" s="77" t="s">
        <v>127</v>
      </c>
      <c r="B1409" s="76" t="s">
        <v>128</v>
      </c>
      <c r="C1409" s="76">
        <v>62103</v>
      </c>
      <c r="D1409" s="76" t="s">
        <v>2174</v>
      </c>
      <c r="E1409" s="79">
        <v>44141</v>
      </c>
      <c r="F1409" s="76">
        <v>13</v>
      </c>
      <c r="G1409" s="76">
        <v>1</v>
      </c>
    </row>
    <row r="1410" spans="1:7" x14ac:dyDescent="0.25">
      <c r="A1410" s="77" t="s">
        <v>127</v>
      </c>
      <c r="B1410" s="76" t="s">
        <v>128</v>
      </c>
      <c r="C1410" s="76">
        <v>62130</v>
      </c>
      <c r="D1410" s="76" t="s">
        <v>2175</v>
      </c>
      <c r="E1410" s="79">
        <v>44144</v>
      </c>
      <c r="F1410" s="76">
        <v>10.4</v>
      </c>
      <c r="G1410" s="76">
        <v>1</v>
      </c>
    </row>
    <row r="1411" spans="1:7" x14ac:dyDescent="0.25">
      <c r="A1411" s="77" t="s">
        <v>127</v>
      </c>
      <c r="B1411" s="76" t="s">
        <v>128</v>
      </c>
      <c r="C1411" s="76">
        <v>62174</v>
      </c>
      <c r="D1411" s="76" t="s">
        <v>2176</v>
      </c>
      <c r="E1411" s="79">
        <v>44144</v>
      </c>
      <c r="F1411" s="76">
        <v>10.3</v>
      </c>
      <c r="G1411" s="76">
        <v>0.8</v>
      </c>
    </row>
    <row r="1412" spans="1:7" x14ac:dyDescent="0.25">
      <c r="A1412" s="77" t="s">
        <v>127</v>
      </c>
      <c r="B1412" s="76" t="s">
        <v>128</v>
      </c>
      <c r="C1412" s="76">
        <v>62300</v>
      </c>
      <c r="D1412" s="76" t="s">
        <v>2191</v>
      </c>
      <c r="E1412" s="79">
        <v>44266</v>
      </c>
      <c r="F1412" s="76">
        <v>10.5</v>
      </c>
      <c r="G1412" s="76">
        <v>1</v>
      </c>
    </row>
    <row r="1413" spans="1:7" x14ac:dyDescent="0.25">
      <c r="A1413" s="77" t="s">
        <v>127</v>
      </c>
      <c r="B1413" s="76" t="s">
        <v>128</v>
      </c>
      <c r="C1413" s="76">
        <v>62464</v>
      </c>
      <c r="D1413" s="76" t="s">
        <v>2192</v>
      </c>
      <c r="E1413" s="79">
        <v>44179</v>
      </c>
      <c r="F1413" s="76">
        <v>12.5</v>
      </c>
      <c r="G1413" s="76">
        <v>1</v>
      </c>
    </row>
    <row r="1414" spans="1:7" x14ac:dyDescent="0.25">
      <c r="A1414" s="77" t="s">
        <v>127</v>
      </c>
      <c r="B1414" s="76" t="s">
        <v>128</v>
      </c>
      <c r="C1414" s="76">
        <v>62570</v>
      </c>
      <c r="D1414" s="76" t="s">
        <v>2310</v>
      </c>
      <c r="E1414" s="79">
        <v>44151</v>
      </c>
      <c r="F1414" s="76">
        <v>11</v>
      </c>
      <c r="G1414" s="76">
        <v>1</v>
      </c>
    </row>
    <row r="1415" spans="1:7" x14ac:dyDescent="0.25">
      <c r="A1415" s="77" t="s">
        <v>127</v>
      </c>
      <c r="B1415" s="76" t="s">
        <v>128</v>
      </c>
      <c r="C1415" s="76">
        <v>62691</v>
      </c>
      <c r="D1415" s="76" t="s">
        <v>2311</v>
      </c>
      <c r="E1415" s="79">
        <v>44152</v>
      </c>
      <c r="F1415" s="76">
        <v>10.199999999999999</v>
      </c>
      <c r="G1415" s="76">
        <v>1</v>
      </c>
    </row>
    <row r="1416" spans="1:7" x14ac:dyDescent="0.25">
      <c r="A1416" s="77" t="s">
        <v>127</v>
      </c>
      <c r="B1416" s="76" t="s">
        <v>128</v>
      </c>
      <c r="C1416" s="76">
        <v>62692</v>
      </c>
      <c r="D1416" s="76" t="s">
        <v>2312</v>
      </c>
      <c r="E1416" s="79">
        <v>44152</v>
      </c>
      <c r="F1416" s="76">
        <v>10.1</v>
      </c>
      <c r="G1416" s="76">
        <v>1</v>
      </c>
    </row>
    <row r="1417" spans="1:7" x14ac:dyDescent="0.25">
      <c r="A1417" s="77" t="s">
        <v>127</v>
      </c>
      <c r="B1417" s="76" t="s">
        <v>128</v>
      </c>
      <c r="C1417" s="76">
        <v>62986</v>
      </c>
      <c r="D1417" s="76" t="s">
        <v>2315</v>
      </c>
      <c r="E1417" s="79">
        <v>44249</v>
      </c>
      <c r="F1417" s="76">
        <v>9.8800000000000008</v>
      </c>
      <c r="G1417" s="76">
        <v>1</v>
      </c>
    </row>
    <row r="1418" spans="1:7" x14ac:dyDescent="0.25">
      <c r="A1418" s="77" t="s">
        <v>127</v>
      </c>
      <c r="B1418" s="76" t="s">
        <v>128</v>
      </c>
      <c r="C1418" s="76">
        <v>62844</v>
      </c>
      <c r="D1418" s="76" t="s">
        <v>2316</v>
      </c>
      <c r="E1418" s="79">
        <v>44183</v>
      </c>
      <c r="F1418" s="76">
        <v>11</v>
      </c>
      <c r="G1418" s="76">
        <v>1</v>
      </c>
    </row>
    <row r="1419" spans="1:7" x14ac:dyDescent="0.25">
      <c r="A1419" s="77" t="s">
        <v>127</v>
      </c>
      <c r="B1419" s="76" t="s">
        <v>128</v>
      </c>
      <c r="C1419" s="76">
        <v>62772</v>
      </c>
      <c r="D1419" s="76" t="s">
        <v>2314</v>
      </c>
      <c r="E1419" s="79">
        <v>44153</v>
      </c>
      <c r="F1419" s="76">
        <v>10</v>
      </c>
      <c r="G1419" s="76">
        <v>0.8</v>
      </c>
    </row>
    <row r="1420" spans="1:7" x14ac:dyDescent="0.25">
      <c r="A1420" s="77" t="s">
        <v>127</v>
      </c>
      <c r="B1420" s="76" t="s">
        <v>128</v>
      </c>
      <c r="C1420" s="76">
        <v>62715</v>
      </c>
      <c r="D1420" s="76" t="s">
        <v>2313</v>
      </c>
      <c r="E1420" s="79">
        <v>44272</v>
      </c>
      <c r="F1420" s="76">
        <v>14</v>
      </c>
      <c r="G1420" s="76">
        <v>1</v>
      </c>
    </row>
    <row r="1421" spans="1:7" x14ac:dyDescent="0.25">
      <c r="A1421" s="77" t="s">
        <v>127</v>
      </c>
      <c r="B1421" s="76" t="s">
        <v>128</v>
      </c>
      <c r="C1421" s="76">
        <v>63109</v>
      </c>
      <c r="D1421" s="76" t="s">
        <v>2379</v>
      </c>
      <c r="E1421" s="79">
        <v>44158</v>
      </c>
      <c r="F1421" s="76">
        <v>10.64</v>
      </c>
      <c r="G1421" s="76">
        <v>1</v>
      </c>
    </row>
    <row r="1422" spans="1:7" x14ac:dyDescent="0.25">
      <c r="A1422" s="77" t="s">
        <v>127</v>
      </c>
      <c r="B1422" s="76" t="s">
        <v>128</v>
      </c>
      <c r="C1422" s="76">
        <v>63696</v>
      </c>
      <c r="D1422" s="76" t="s">
        <v>2401</v>
      </c>
      <c r="E1422" s="79">
        <v>44165</v>
      </c>
      <c r="F1422" s="76">
        <v>10</v>
      </c>
      <c r="G1422" s="76">
        <v>1</v>
      </c>
    </row>
    <row r="1423" spans="1:7" x14ac:dyDescent="0.25">
      <c r="A1423" s="77" t="s">
        <v>127</v>
      </c>
      <c r="B1423" s="76" t="s">
        <v>128</v>
      </c>
      <c r="C1423" s="76">
        <v>63718</v>
      </c>
      <c r="D1423" s="76" t="s">
        <v>2402</v>
      </c>
      <c r="E1423" s="79">
        <v>44165</v>
      </c>
      <c r="F1423" s="76">
        <v>9.6</v>
      </c>
      <c r="G1423" s="76">
        <v>1</v>
      </c>
    </row>
    <row r="1424" spans="1:7" x14ac:dyDescent="0.25">
      <c r="A1424" s="77" t="s">
        <v>127</v>
      </c>
      <c r="B1424" s="76" t="s">
        <v>128</v>
      </c>
      <c r="C1424" s="76">
        <v>63719</v>
      </c>
      <c r="D1424" s="76" t="s">
        <v>2403</v>
      </c>
      <c r="E1424" s="79">
        <v>44165</v>
      </c>
      <c r="F1424" s="76">
        <v>9.6999999999999993</v>
      </c>
      <c r="G1424" s="76">
        <v>1</v>
      </c>
    </row>
    <row r="1425" spans="1:7" x14ac:dyDescent="0.25">
      <c r="A1425" s="77" t="s">
        <v>127</v>
      </c>
      <c r="B1425" s="76" t="s">
        <v>128</v>
      </c>
      <c r="C1425" s="76">
        <v>63455</v>
      </c>
      <c r="D1425" s="76" t="s">
        <v>2380</v>
      </c>
      <c r="E1425" s="79">
        <v>44161</v>
      </c>
      <c r="F1425" s="76">
        <v>9.8000000000000007</v>
      </c>
      <c r="G1425" s="76">
        <v>1</v>
      </c>
    </row>
    <row r="1426" spans="1:7" x14ac:dyDescent="0.25">
      <c r="A1426" s="77" t="s">
        <v>127</v>
      </c>
      <c r="B1426" s="76" t="s">
        <v>128</v>
      </c>
      <c r="C1426" s="76">
        <v>63456</v>
      </c>
      <c r="D1426" s="76" t="s">
        <v>2381</v>
      </c>
      <c r="E1426" s="79">
        <v>44161</v>
      </c>
      <c r="F1426" s="76">
        <v>9.9</v>
      </c>
      <c r="G1426" s="76">
        <v>1</v>
      </c>
    </row>
    <row r="1427" spans="1:7" x14ac:dyDescent="0.25">
      <c r="A1427" s="77" t="s">
        <v>127</v>
      </c>
      <c r="B1427" s="76" t="s">
        <v>128</v>
      </c>
      <c r="C1427" s="76">
        <v>63771</v>
      </c>
      <c r="D1427" s="76" t="s">
        <v>2404</v>
      </c>
      <c r="E1427" s="79">
        <v>44228</v>
      </c>
      <c r="F1427" s="76">
        <v>10.5</v>
      </c>
      <c r="G1427" s="76">
        <v>1</v>
      </c>
    </row>
    <row r="1428" spans="1:7" x14ac:dyDescent="0.25">
      <c r="A1428" s="77" t="s">
        <v>127</v>
      </c>
      <c r="B1428" s="76" t="s">
        <v>128</v>
      </c>
      <c r="C1428" s="76">
        <v>63823</v>
      </c>
      <c r="D1428" s="76" t="s">
        <v>2483</v>
      </c>
      <c r="E1428" s="79">
        <v>44200</v>
      </c>
      <c r="F1428" s="76">
        <v>10.5</v>
      </c>
      <c r="G1428" s="76">
        <v>1</v>
      </c>
    </row>
    <row r="1429" spans="1:7" x14ac:dyDescent="0.25">
      <c r="A1429" s="77" t="s">
        <v>127</v>
      </c>
      <c r="B1429" s="76" t="s">
        <v>128</v>
      </c>
      <c r="C1429" s="76">
        <v>63906</v>
      </c>
      <c r="D1429" s="76" t="s">
        <v>2484</v>
      </c>
      <c r="E1429" s="79">
        <v>44229</v>
      </c>
      <c r="F1429" s="76">
        <v>13</v>
      </c>
      <c r="G1429" s="76">
        <v>1</v>
      </c>
    </row>
    <row r="1430" spans="1:7" x14ac:dyDescent="0.25">
      <c r="A1430" s="77" t="s">
        <v>127</v>
      </c>
      <c r="B1430" s="76" t="s">
        <v>128</v>
      </c>
      <c r="C1430" s="76" t="s">
        <v>1821</v>
      </c>
      <c r="D1430" s="76" t="s">
        <v>1822</v>
      </c>
      <c r="E1430" s="79">
        <v>44133</v>
      </c>
      <c r="F1430" s="76">
        <v>10</v>
      </c>
      <c r="G1430" s="76">
        <v>1</v>
      </c>
    </row>
    <row r="1431" spans="1:7" x14ac:dyDescent="0.25">
      <c r="A1431" s="77" t="s">
        <v>127</v>
      </c>
      <c r="B1431" s="76" t="s">
        <v>128</v>
      </c>
      <c r="C1431" s="76" t="s">
        <v>1823</v>
      </c>
      <c r="D1431" s="76" t="s">
        <v>1824</v>
      </c>
      <c r="E1431" s="79">
        <v>44133</v>
      </c>
      <c r="F1431" s="76">
        <v>10.5</v>
      </c>
      <c r="G1431" s="76">
        <v>1</v>
      </c>
    </row>
    <row r="1432" spans="1:7" x14ac:dyDescent="0.25">
      <c r="A1432" s="77" t="s">
        <v>127</v>
      </c>
      <c r="B1432" s="76" t="s">
        <v>128</v>
      </c>
      <c r="C1432" s="76">
        <v>64321</v>
      </c>
      <c r="D1432" s="76" t="s">
        <v>2556</v>
      </c>
      <c r="E1432" s="79">
        <v>44173</v>
      </c>
      <c r="F1432" s="76">
        <v>9.4</v>
      </c>
      <c r="G1432" s="76">
        <v>1</v>
      </c>
    </row>
    <row r="1433" spans="1:7" x14ac:dyDescent="0.25">
      <c r="A1433" s="77" t="s">
        <v>127</v>
      </c>
      <c r="B1433" s="76" t="s">
        <v>128</v>
      </c>
      <c r="C1433" s="76">
        <v>64322</v>
      </c>
      <c r="D1433" s="76" t="s">
        <v>2557</v>
      </c>
      <c r="E1433" s="79">
        <v>44173</v>
      </c>
      <c r="F1433" s="76">
        <v>9.5</v>
      </c>
      <c r="G1433" s="76">
        <v>1</v>
      </c>
    </row>
    <row r="1434" spans="1:7" x14ac:dyDescent="0.25">
      <c r="A1434" s="77" t="s">
        <v>127</v>
      </c>
      <c r="B1434" s="76" t="s">
        <v>128</v>
      </c>
      <c r="C1434" s="76">
        <v>64513</v>
      </c>
      <c r="D1434" s="76" t="s">
        <v>2558</v>
      </c>
      <c r="E1434" s="79">
        <v>44174</v>
      </c>
      <c r="F1434" s="76">
        <v>9.8000000000000007</v>
      </c>
      <c r="G1434" s="76">
        <v>1</v>
      </c>
    </row>
    <row r="1435" spans="1:7" x14ac:dyDescent="0.25">
      <c r="A1435" s="77" t="s">
        <v>127</v>
      </c>
      <c r="B1435" s="76" t="s">
        <v>128</v>
      </c>
      <c r="C1435" s="76">
        <v>64653</v>
      </c>
      <c r="D1435" s="76" t="s">
        <v>2559</v>
      </c>
      <c r="E1435" s="79">
        <v>44176</v>
      </c>
      <c r="F1435" s="76">
        <v>9.3000000000000007</v>
      </c>
      <c r="G1435" s="76">
        <v>1</v>
      </c>
    </row>
    <row r="1436" spans="1:7" x14ac:dyDescent="0.25">
      <c r="A1436" s="77" t="s">
        <v>127</v>
      </c>
      <c r="B1436" s="76" t="s">
        <v>128</v>
      </c>
      <c r="C1436" s="76">
        <v>64116</v>
      </c>
      <c r="D1436" s="76" t="s">
        <v>2485</v>
      </c>
      <c r="E1436" s="79">
        <v>44169</v>
      </c>
      <c r="F1436" s="76">
        <v>11</v>
      </c>
      <c r="G1436" s="76">
        <v>1</v>
      </c>
    </row>
    <row r="1437" spans="1:7" x14ac:dyDescent="0.25">
      <c r="A1437" s="77" t="s">
        <v>127</v>
      </c>
      <c r="B1437" s="76" t="s">
        <v>128</v>
      </c>
      <c r="C1437" s="76" t="s">
        <v>1825</v>
      </c>
      <c r="D1437" s="76" t="s">
        <v>1826</v>
      </c>
      <c r="E1437" s="79">
        <v>44134</v>
      </c>
      <c r="F1437" s="76">
        <v>10.5</v>
      </c>
      <c r="G1437" s="76">
        <v>1</v>
      </c>
    </row>
    <row r="1438" spans="1:7" x14ac:dyDescent="0.25">
      <c r="A1438" s="77" t="s">
        <v>127</v>
      </c>
      <c r="B1438" s="76" t="s">
        <v>128</v>
      </c>
      <c r="C1438" s="76">
        <v>64857</v>
      </c>
      <c r="D1438" s="76" t="s">
        <v>2695</v>
      </c>
      <c r="E1438" s="79">
        <v>44210</v>
      </c>
      <c r="F1438" s="76">
        <v>10</v>
      </c>
      <c r="G1438" s="76">
        <v>1</v>
      </c>
    </row>
    <row r="1439" spans="1:7" x14ac:dyDescent="0.25">
      <c r="A1439" s="77" t="s">
        <v>127</v>
      </c>
      <c r="B1439" s="76" t="s">
        <v>128</v>
      </c>
      <c r="C1439" s="76">
        <v>64885</v>
      </c>
      <c r="D1439" s="76" t="s">
        <v>2696</v>
      </c>
      <c r="E1439" s="79">
        <v>44301</v>
      </c>
      <c r="F1439" s="76">
        <v>10</v>
      </c>
      <c r="G1439" s="76">
        <v>1</v>
      </c>
    </row>
    <row r="1440" spans="1:7" x14ac:dyDescent="0.25">
      <c r="A1440" s="77" t="s">
        <v>127</v>
      </c>
      <c r="B1440" s="76" t="s">
        <v>128</v>
      </c>
      <c r="C1440" s="76">
        <v>64889</v>
      </c>
      <c r="D1440" s="76" t="s">
        <v>2697</v>
      </c>
      <c r="E1440" s="79">
        <v>44180</v>
      </c>
      <c r="F1440" s="76">
        <v>9.4</v>
      </c>
      <c r="G1440" s="76">
        <v>1</v>
      </c>
    </row>
    <row r="1441" spans="1:7" x14ac:dyDescent="0.25">
      <c r="A1441" s="77" t="s">
        <v>127</v>
      </c>
      <c r="B1441" s="76" t="s">
        <v>128</v>
      </c>
      <c r="C1441" s="76">
        <v>64963</v>
      </c>
      <c r="D1441" s="76" t="s">
        <v>2693</v>
      </c>
      <c r="E1441" s="79">
        <v>44180</v>
      </c>
      <c r="F1441" s="76">
        <v>9.1999999999999993</v>
      </c>
      <c r="G1441" s="76">
        <v>1</v>
      </c>
    </row>
    <row r="1442" spans="1:7" x14ac:dyDescent="0.25">
      <c r="A1442" s="77" t="s">
        <v>127</v>
      </c>
      <c r="B1442" s="76" t="s">
        <v>128</v>
      </c>
      <c r="C1442" s="76">
        <v>64964</v>
      </c>
      <c r="D1442" s="76" t="s">
        <v>2694</v>
      </c>
      <c r="E1442" s="79">
        <v>44180</v>
      </c>
      <c r="F1442" s="76">
        <v>9.1</v>
      </c>
      <c r="G1442" s="76">
        <v>1</v>
      </c>
    </row>
    <row r="1443" spans="1:7" x14ac:dyDescent="0.25">
      <c r="A1443" s="77" t="s">
        <v>127</v>
      </c>
      <c r="B1443" s="76" t="s">
        <v>128</v>
      </c>
      <c r="C1443" s="76">
        <v>64996</v>
      </c>
      <c r="D1443" s="76" t="s">
        <v>2701</v>
      </c>
      <c r="E1443" s="79">
        <v>44211</v>
      </c>
      <c r="F1443" s="76">
        <v>9.25</v>
      </c>
      <c r="G1443" s="76">
        <v>1</v>
      </c>
    </row>
    <row r="1444" spans="1:7" x14ac:dyDescent="0.25">
      <c r="A1444" s="77" t="s">
        <v>127</v>
      </c>
      <c r="B1444" s="76" t="s">
        <v>128</v>
      </c>
      <c r="C1444" s="76">
        <v>64997</v>
      </c>
      <c r="D1444" s="76" t="s">
        <v>2702</v>
      </c>
      <c r="E1444" s="79">
        <v>44211</v>
      </c>
      <c r="F1444" s="76">
        <v>9.75</v>
      </c>
      <c r="G1444" s="76">
        <v>1</v>
      </c>
    </row>
    <row r="1445" spans="1:7" x14ac:dyDescent="0.25">
      <c r="A1445" s="77" t="s">
        <v>127</v>
      </c>
      <c r="B1445" s="76" t="s">
        <v>128</v>
      </c>
      <c r="C1445" s="76">
        <v>64998</v>
      </c>
      <c r="D1445" s="76" t="s">
        <v>2703</v>
      </c>
      <c r="E1445" s="79">
        <v>44244</v>
      </c>
      <c r="F1445" s="76">
        <v>10.25</v>
      </c>
      <c r="G1445" s="76">
        <v>1</v>
      </c>
    </row>
    <row r="1446" spans="1:7" x14ac:dyDescent="0.25">
      <c r="A1446" s="77" t="s">
        <v>127</v>
      </c>
      <c r="B1446" s="76" t="s">
        <v>128</v>
      </c>
      <c r="C1446" s="76">
        <v>64999</v>
      </c>
      <c r="D1446" s="76" t="s">
        <v>2704</v>
      </c>
      <c r="E1446" s="79">
        <v>44180</v>
      </c>
      <c r="F1446" s="76">
        <v>9</v>
      </c>
      <c r="G1446" s="76">
        <v>1</v>
      </c>
    </row>
    <row r="1447" spans="1:7" x14ac:dyDescent="0.25">
      <c r="A1447" s="77" t="s">
        <v>127</v>
      </c>
      <c r="B1447" s="76" t="s">
        <v>128</v>
      </c>
      <c r="C1447" s="76">
        <v>65277</v>
      </c>
      <c r="D1447" s="76" t="s">
        <v>2698</v>
      </c>
      <c r="E1447" s="79">
        <v>44214</v>
      </c>
      <c r="F1447" s="76">
        <v>10.3</v>
      </c>
      <c r="G1447" s="76">
        <v>1</v>
      </c>
    </row>
    <row r="1448" spans="1:7" x14ac:dyDescent="0.25">
      <c r="A1448" s="77" t="s">
        <v>127</v>
      </c>
      <c r="B1448" s="76" t="s">
        <v>128</v>
      </c>
      <c r="C1448" s="76">
        <v>65278</v>
      </c>
      <c r="D1448" s="76" t="s">
        <v>2699</v>
      </c>
      <c r="E1448" s="79">
        <v>44245</v>
      </c>
      <c r="F1448" s="76">
        <v>10</v>
      </c>
      <c r="G1448" s="76">
        <v>1</v>
      </c>
    </row>
    <row r="1449" spans="1:7" x14ac:dyDescent="0.25">
      <c r="A1449" s="77" t="s">
        <v>127</v>
      </c>
      <c r="B1449" s="76" t="s">
        <v>128</v>
      </c>
      <c r="C1449" s="76">
        <v>65279</v>
      </c>
      <c r="D1449" s="76" t="s">
        <v>2700</v>
      </c>
      <c r="E1449" s="79">
        <v>44183</v>
      </c>
      <c r="F1449" s="76">
        <v>9.6</v>
      </c>
      <c r="G1449" s="76">
        <v>1</v>
      </c>
    </row>
    <row r="1450" spans="1:7" x14ac:dyDescent="0.25">
      <c r="A1450" s="77" t="s">
        <v>127</v>
      </c>
      <c r="B1450" s="76" t="s">
        <v>128</v>
      </c>
      <c r="C1450" s="76">
        <v>64703</v>
      </c>
      <c r="D1450" s="76" t="s">
        <v>2560</v>
      </c>
      <c r="E1450" s="79">
        <v>44207</v>
      </c>
      <c r="F1450" s="76">
        <v>9.8000000000000007</v>
      </c>
      <c r="G1450" s="76">
        <v>1</v>
      </c>
    </row>
    <row r="1451" spans="1:7" x14ac:dyDescent="0.25">
      <c r="A1451" s="77" t="s">
        <v>127</v>
      </c>
      <c r="B1451" s="76" t="s">
        <v>128</v>
      </c>
      <c r="C1451" s="76">
        <v>65422</v>
      </c>
      <c r="D1451" s="76" t="s">
        <v>2724</v>
      </c>
      <c r="E1451" s="79">
        <v>44218</v>
      </c>
      <c r="F1451" s="76">
        <v>9.5</v>
      </c>
      <c r="G1451" s="76">
        <v>1</v>
      </c>
    </row>
    <row r="1452" spans="1:7" x14ac:dyDescent="0.25">
      <c r="A1452" s="77" t="s">
        <v>127</v>
      </c>
      <c r="B1452" s="76" t="s">
        <v>128</v>
      </c>
      <c r="C1452" s="76">
        <v>65423</v>
      </c>
      <c r="D1452" s="76" t="s">
        <v>2725</v>
      </c>
      <c r="E1452" s="79">
        <v>44249</v>
      </c>
      <c r="F1452" s="76">
        <v>11</v>
      </c>
      <c r="G1452" s="76">
        <v>1</v>
      </c>
    </row>
    <row r="1453" spans="1:7" x14ac:dyDescent="0.25">
      <c r="A1453" s="77" t="s">
        <v>127</v>
      </c>
      <c r="B1453" s="76" t="s">
        <v>128</v>
      </c>
      <c r="C1453" s="76">
        <v>65493</v>
      </c>
      <c r="D1453" s="76" t="s">
        <v>2723</v>
      </c>
      <c r="E1453" s="79">
        <v>44277</v>
      </c>
      <c r="F1453" s="76">
        <v>9.5</v>
      </c>
      <c r="G1453" s="76">
        <v>1</v>
      </c>
    </row>
    <row r="1454" spans="1:7" x14ac:dyDescent="0.25">
      <c r="A1454" s="77" t="s">
        <v>127</v>
      </c>
      <c r="B1454" s="76" t="s">
        <v>128</v>
      </c>
      <c r="C1454" s="76">
        <v>65719</v>
      </c>
      <c r="D1454" s="76" t="s">
        <v>2780</v>
      </c>
      <c r="E1454" s="79">
        <v>44194</v>
      </c>
      <c r="F1454" s="76">
        <v>9.4</v>
      </c>
      <c r="G1454" s="76">
        <v>1</v>
      </c>
    </row>
    <row r="1455" spans="1:7" x14ac:dyDescent="0.25">
      <c r="A1455" s="77" t="s">
        <v>127</v>
      </c>
      <c r="B1455" s="76" t="s">
        <v>128</v>
      </c>
      <c r="C1455" s="76">
        <v>65767</v>
      </c>
      <c r="D1455" s="76" t="s">
        <v>2781</v>
      </c>
      <c r="E1455" s="79">
        <v>44257</v>
      </c>
      <c r="F1455" s="76">
        <v>9.5</v>
      </c>
      <c r="G1455" s="76">
        <v>1</v>
      </c>
    </row>
    <row r="1456" spans="1:7" x14ac:dyDescent="0.25">
      <c r="A1456" s="77" t="s">
        <v>127</v>
      </c>
      <c r="B1456" s="76" t="s">
        <v>128</v>
      </c>
      <c r="C1456" s="76">
        <v>65768</v>
      </c>
      <c r="D1456" s="76" t="s">
        <v>2782</v>
      </c>
      <c r="E1456" s="79">
        <v>44257</v>
      </c>
      <c r="F1456" s="76">
        <v>10</v>
      </c>
      <c r="G1456" s="76">
        <v>1</v>
      </c>
    </row>
    <row r="1457" spans="1:7" x14ac:dyDescent="0.25">
      <c r="A1457" s="77" t="s">
        <v>127</v>
      </c>
      <c r="B1457" s="76" t="s">
        <v>128</v>
      </c>
      <c r="C1457" s="76">
        <v>65769</v>
      </c>
      <c r="D1457" s="76" t="s">
        <v>2783</v>
      </c>
      <c r="E1457" s="79">
        <v>44257</v>
      </c>
      <c r="F1457" s="76">
        <v>11</v>
      </c>
      <c r="G1457" s="76">
        <v>1</v>
      </c>
    </row>
    <row r="1458" spans="1:7" x14ac:dyDescent="0.25">
      <c r="A1458" s="77" t="s">
        <v>127</v>
      </c>
      <c r="B1458" s="76" t="s">
        <v>128</v>
      </c>
      <c r="C1458" s="76">
        <v>65796</v>
      </c>
      <c r="D1458" s="76" t="s">
        <v>2784</v>
      </c>
      <c r="E1458" s="79">
        <v>44225</v>
      </c>
      <c r="F1458" s="76">
        <v>9.9</v>
      </c>
      <c r="G1458" s="76">
        <v>1</v>
      </c>
    </row>
    <row r="1459" spans="1:7" x14ac:dyDescent="0.25">
      <c r="A1459" s="77" t="s">
        <v>127</v>
      </c>
      <c r="B1459" s="76" t="s">
        <v>128</v>
      </c>
      <c r="C1459" s="76">
        <v>65836</v>
      </c>
      <c r="D1459" s="76" t="s">
        <v>2785</v>
      </c>
      <c r="E1459" s="79">
        <v>44196</v>
      </c>
      <c r="F1459" s="76">
        <v>10</v>
      </c>
      <c r="G1459" s="76">
        <v>1</v>
      </c>
    </row>
    <row r="1460" spans="1:7" x14ac:dyDescent="0.25">
      <c r="A1460" s="77" t="s">
        <v>127</v>
      </c>
      <c r="B1460" s="76" t="s">
        <v>128</v>
      </c>
      <c r="C1460" s="76">
        <v>65563</v>
      </c>
      <c r="D1460" s="76" t="s">
        <v>2738</v>
      </c>
      <c r="E1460" s="79">
        <v>44188</v>
      </c>
      <c r="F1460" s="76">
        <v>9</v>
      </c>
      <c r="G1460" s="76">
        <v>1</v>
      </c>
    </row>
    <row r="1461" spans="1:7" x14ac:dyDescent="0.25">
      <c r="A1461" s="77" t="s">
        <v>127</v>
      </c>
      <c r="B1461" s="76" t="s">
        <v>128</v>
      </c>
      <c r="C1461" s="76">
        <v>65958</v>
      </c>
      <c r="D1461" s="76" t="s">
        <v>2939</v>
      </c>
      <c r="E1461" s="79">
        <v>44200</v>
      </c>
      <c r="F1461" s="76">
        <v>9.85</v>
      </c>
      <c r="G1461" s="76">
        <v>1</v>
      </c>
    </row>
    <row r="1462" spans="1:7" x14ac:dyDescent="0.25">
      <c r="A1462" s="77" t="s">
        <v>127</v>
      </c>
      <c r="B1462" s="76" t="s">
        <v>128</v>
      </c>
      <c r="C1462" s="76">
        <v>65959</v>
      </c>
      <c r="D1462" s="76" t="s">
        <v>2940</v>
      </c>
      <c r="E1462" s="79">
        <v>44200</v>
      </c>
      <c r="F1462" s="76">
        <v>9.75</v>
      </c>
      <c r="G1462" s="76">
        <v>1</v>
      </c>
    </row>
    <row r="1463" spans="1:7" x14ac:dyDescent="0.25">
      <c r="A1463" s="77" t="s">
        <v>127</v>
      </c>
      <c r="B1463" s="76" t="s">
        <v>128</v>
      </c>
      <c r="C1463" s="76">
        <v>65982</v>
      </c>
      <c r="D1463" s="76" t="s">
        <v>2941</v>
      </c>
      <c r="E1463" s="79">
        <v>44228</v>
      </c>
      <c r="F1463" s="76">
        <v>10.3</v>
      </c>
      <c r="G1463" s="76">
        <v>1</v>
      </c>
    </row>
    <row r="1464" spans="1:7" x14ac:dyDescent="0.25">
      <c r="A1464" s="77" t="s">
        <v>127</v>
      </c>
      <c r="B1464" s="76" t="s">
        <v>128</v>
      </c>
      <c r="C1464" s="76">
        <v>65996</v>
      </c>
      <c r="D1464" s="76" t="s">
        <v>2942</v>
      </c>
      <c r="E1464" s="79">
        <v>44200</v>
      </c>
      <c r="F1464" s="76">
        <v>9.7100000000000009</v>
      </c>
      <c r="G1464" s="76">
        <v>1</v>
      </c>
    </row>
    <row r="1465" spans="1:7" x14ac:dyDescent="0.25">
      <c r="A1465" s="77" t="s">
        <v>127</v>
      </c>
      <c r="B1465" s="76" t="s">
        <v>128</v>
      </c>
      <c r="C1465" s="76">
        <v>66019</v>
      </c>
      <c r="D1465" s="76" t="s">
        <v>2943</v>
      </c>
      <c r="E1465" s="79">
        <v>44200</v>
      </c>
      <c r="F1465" s="76">
        <v>10.199999999999999</v>
      </c>
      <c r="G1465" s="76">
        <v>1</v>
      </c>
    </row>
    <row r="1466" spans="1:7" x14ac:dyDescent="0.25">
      <c r="A1466" s="77" t="s">
        <v>127</v>
      </c>
      <c r="B1466" s="76" t="s">
        <v>128</v>
      </c>
      <c r="C1466" s="76">
        <v>66064</v>
      </c>
      <c r="D1466" s="76" t="s">
        <v>2937</v>
      </c>
      <c r="E1466" s="79">
        <v>44257</v>
      </c>
      <c r="F1466" s="76">
        <v>9.8000000000000007</v>
      </c>
      <c r="G1466" s="76">
        <v>1</v>
      </c>
    </row>
    <row r="1467" spans="1:7" x14ac:dyDescent="0.25">
      <c r="A1467" s="77" t="s">
        <v>127</v>
      </c>
      <c r="B1467" s="76" t="s">
        <v>128</v>
      </c>
      <c r="C1467" s="76">
        <v>66119</v>
      </c>
      <c r="D1467" s="76" t="s">
        <v>2938</v>
      </c>
      <c r="E1467" s="79">
        <v>44232</v>
      </c>
      <c r="F1467" s="76">
        <v>9.6999999999999993</v>
      </c>
      <c r="G1467" s="76">
        <v>1</v>
      </c>
    </row>
    <row r="1468" spans="1:7" x14ac:dyDescent="0.25">
      <c r="A1468" s="77" t="s">
        <v>127</v>
      </c>
      <c r="B1468" s="76" t="s">
        <v>128</v>
      </c>
      <c r="C1468" s="76">
        <v>66792</v>
      </c>
      <c r="D1468" s="76" t="s">
        <v>3111</v>
      </c>
      <c r="E1468" s="79">
        <v>44207</v>
      </c>
      <c r="F1468" s="76">
        <v>8</v>
      </c>
      <c r="G1468" s="76">
        <v>1</v>
      </c>
    </row>
    <row r="1469" spans="1:7" x14ac:dyDescent="0.25">
      <c r="A1469" s="77" t="s">
        <v>127</v>
      </c>
      <c r="B1469" s="76" t="s">
        <v>128</v>
      </c>
      <c r="C1469" s="76">
        <v>66793</v>
      </c>
      <c r="D1469" s="76" t="s">
        <v>3112</v>
      </c>
      <c r="E1469" s="79">
        <v>44264</v>
      </c>
      <c r="F1469" s="76">
        <v>10</v>
      </c>
      <c r="G1469" s="76">
        <v>1</v>
      </c>
    </row>
    <row r="1470" spans="1:7" x14ac:dyDescent="0.25">
      <c r="A1470" s="77" t="s">
        <v>127</v>
      </c>
      <c r="B1470" s="76" t="s">
        <v>128</v>
      </c>
      <c r="C1470" s="76">
        <v>66684</v>
      </c>
      <c r="D1470" s="76" t="s">
        <v>2945</v>
      </c>
      <c r="E1470" s="79">
        <v>44385</v>
      </c>
      <c r="F1470" s="76">
        <v>10</v>
      </c>
      <c r="G1470" s="76">
        <v>1</v>
      </c>
    </row>
    <row r="1471" spans="1:7" x14ac:dyDescent="0.25">
      <c r="A1471" s="77" t="s">
        <v>127</v>
      </c>
      <c r="B1471" s="76" t="s">
        <v>128</v>
      </c>
      <c r="C1471" s="76">
        <v>66685</v>
      </c>
      <c r="D1471" s="76" t="s">
        <v>2946</v>
      </c>
      <c r="E1471" s="79">
        <v>44385</v>
      </c>
      <c r="F1471" s="76">
        <v>10.5</v>
      </c>
      <c r="G1471" s="76">
        <v>1</v>
      </c>
    </row>
    <row r="1472" spans="1:7" x14ac:dyDescent="0.25">
      <c r="A1472" s="77" t="s">
        <v>127</v>
      </c>
      <c r="B1472" s="76" t="s">
        <v>128</v>
      </c>
      <c r="C1472" s="76">
        <v>66692</v>
      </c>
      <c r="D1472" s="76" t="s">
        <v>2947</v>
      </c>
      <c r="E1472" s="79">
        <v>44204</v>
      </c>
      <c r="F1472" s="76">
        <v>8.8000000000000007</v>
      </c>
      <c r="G1472" s="76">
        <v>1</v>
      </c>
    </row>
    <row r="1473" spans="1:7" x14ac:dyDescent="0.25">
      <c r="A1473" s="77" t="s">
        <v>127</v>
      </c>
      <c r="B1473" s="76" t="s">
        <v>128</v>
      </c>
      <c r="C1473" s="76">
        <v>66693</v>
      </c>
      <c r="D1473" s="76" t="s">
        <v>2948</v>
      </c>
      <c r="E1473" s="79">
        <v>44244</v>
      </c>
      <c r="F1473" s="76">
        <v>9.1999999999999993</v>
      </c>
      <c r="G1473" s="76">
        <v>1</v>
      </c>
    </row>
    <row r="1474" spans="1:7" x14ac:dyDescent="0.25">
      <c r="A1474" s="77" t="s">
        <v>127</v>
      </c>
      <c r="B1474" s="76" t="s">
        <v>128</v>
      </c>
      <c r="C1474" s="76">
        <v>66886</v>
      </c>
      <c r="D1474" s="76" t="s">
        <v>3113</v>
      </c>
      <c r="E1474" s="79">
        <v>44328</v>
      </c>
      <c r="F1474" s="76">
        <v>9</v>
      </c>
      <c r="G1474" s="76">
        <v>1</v>
      </c>
    </row>
    <row r="1475" spans="1:7" x14ac:dyDescent="0.25">
      <c r="A1475" s="77" t="s">
        <v>127</v>
      </c>
      <c r="B1475" s="76" t="s">
        <v>128</v>
      </c>
      <c r="C1475" s="76">
        <v>66500</v>
      </c>
      <c r="D1475" s="76" t="s">
        <v>2944</v>
      </c>
      <c r="E1475" s="79">
        <v>44263</v>
      </c>
      <c r="F1475" s="76">
        <v>10.75</v>
      </c>
      <c r="G1475" s="76">
        <v>1</v>
      </c>
    </row>
    <row r="1476" spans="1:7" x14ac:dyDescent="0.25">
      <c r="A1476" s="77" t="s">
        <v>127</v>
      </c>
      <c r="B1476" s="76" t="s">
        <v>128</v>
      </c>
      <c r="C1476" s="76">
        <v>66963</v>
      </c>
      <c r="D1476" s="76" t="s">
        <v>3114</v>
      </c>
      <c r="E1476" s="79">
        <v>44389</v>
      </c>
      <c r="F1476" s="76">
        <v>9.5</v>
      </c>
      <c r="G1476" s="76">
        <v>1</v>
      </c>
    </row>
    <row r="1477" spans="1:7" x14ac:dyDescent="0.25">
      <c r="A1477" s="77" t="s">
        <v>127</v>
      </c>
      <c r="B1477" s="76" t="s">
        <v>128</v>
      </c>
      <c r="C1477" s="76">
        <v>66964</v>
      </c>
      <c r="D1477" s="76" t="s">
        <v>3115</v>
      </c>
      <c r="E1477" s="79">
        <v>44389</v>
      </c>
      <c r="F1477" s="76">
        <v>11</v>
      </c>
      <c r="G1477" s="76">
        <v>1</v>
      </c>
    </row>
    <row r="1478" spans="1:7" x14ac:dyDescent="0.25">
      <c r="A1478" s="77" t="s">
        <v>127</v>
      </c>
      <c r="B1478" s="76" t="s">
        <v>128</v>
      </c>
      <c r="C1478" s="76">
        <v>66940</v>
      </c>
      <c r="D1478" s="76" t="s">
        <v>3116</v>
      </c>
      <c r="E1478" s="79">
        <v>44208</v>
      </c>
      <c r="F1478" s="76">
        <v>8.9</v>
      </c>
      <c r="G1478" s="76">
        <v>1</v>
      </c>
    </row>
    <row r="1479" spans="1:7" x14ac:dyDescent="0.25">
      <c r="A1479" s="77" t="s">
        <v>127</v>
      </c>
      <c r="B1479" s="76" t="s">
        <v>128</v>
      </c>
      <c r="C1479" s="76">
        <v>67158</v>
      </c>
      <c r="D1479" s="76" t="s">
        <v>3117</v>
      </c>
      <c r="E1479" s="79">
        <v>44244</v>
      </c>
      <c r="F1479" s="76">
        <v>8.8000000000000007</v>
      </c>
      <c r="G1479" s="76">
        <v>1</v>
      </c>
    </row>
    <row r="1480" spans="1:7" x14ac:dyDescent="0.25">
      <c r="A1480" s="77" t="s">
        <v>127</v>
      </c>
      <c r="B1480" s="76" t="s">
        <v>128</v>
      </c>
      <c r="C1480" s="76">
        <v>66970</v>
      </c>
      <c r="D1480" s="76" t="s">
        <v>3118</v>
      </c>
      <c r="E1480" s="79">
        <v>44208</v>
      </c>
      <c r="F1480" s="76">
        <v>8.6</v>
      </c>
      <c r="G1480" s="76">
        <v>1</v>
      </c>
    </row>
    <row r="1481" spans="1:7" x14ac:dyDescent="0.25">
      <c r="A1481" s="77" t="s">
        <v>127</v>
      </c>
      <c r="B1481" s="76" t="s">
        <v>128</v>
      </c>
      <c r="C1481" s="76">
        <v>67227</v>
      </c>
      <c r="D1481" s="76" t="s">
        <v>3119</v>
      </c>
      <c r="E1481" s="79">
        <v>44210</v>
      </c>
      <c r="F1481" s="76">
        <v>8.98</v>
      </c>
      <c r="G1481" s="76">
        <v>0.997</v>
      </c>
    </row>
    <row r="1482" spans="1:7" x14ac:dyDescent="0.25">
      <c r="A1482" s="77" t="s">
        <v>127</v>
      </c>
      <c r="B1482" s="76" t="s">
        <v>128</v>
      </c>
      <c r="C1482" s="76">
        <v>67281</v>
      </c>
      <c r="D1482" s="76" t="s">
        <v>3120</v>
      </c>
      <c r="E1482" s="79">
        <v>44211</v>
      </c>
      <c r="F1482" s="76">
        <v>8.6</v>
      </c>
      <c r="G1482" s="76">
        <v>1</v>
      </c>
    </row>
    <row r="1483" spans="1:7" x14ac:dyDescent="0.25">
      <c r="A1483" s="77" t="s">
        <v>127</v>
      </c>
      <c r="B1483" s="76" t="s">
        <v>128</v>
      </c>
      <c r="C1483" s="76">
        <v>67521</v>
      </c>
      <c r="D1483" s="76" t="s">
        <v>3121</v>
      </c>
      <c r="E1483" s="79">
        <v>44244</v>
      </c>
      <c r="F1483" s="76">
        <v>9.5</v>
      </c>
      <c r="G1483" s="76">
        <v>1</v>
      </c>
    </row>
    <row r="1484" spans="1:7" x14ac:dyDescent="0.25">
      <c r="A1484" s="77" t="s">
        <v>127</v>
      </c>
      <c r="B1484" s="76" t="s">
        <v>128</v>
      </c>
      <c r="C1484" s="76">
        <v>67463</v>
      </c>
      <c r="D1484" s="76" t="s">
        <v>3122</v>
      </c>
      <c r="E1484" s="79">
        <v>44214</v>
      </c>
      <c r="F1484" s="76">
        <v>8.8000000000000007</v>
      </c>
      <c r="G1484" s="76">
        <v>1</v>
      </c>
    </row>
    <row r="1485" spans="1:7" x14ac:dyDescent="0.25">
      <c r="A1485" s="77" t="s">
        <v>127</v>
      </c>
      <c r="B1485" s="76" t="s">
        <v>128</v>
      </c>
      <c r="C1485" s="76">
        <v>67455</v>
      </c>
      <c r="D1485" s="76" t="s">
        <v>3123</v>
      </c>
      <c r="E1485" s="79">
        <v>44271</v>
      </c>
      <c r="F1485" s="76">
        <v>9.4</v>
      </c>
      <c r="G1485" s="76">
        <v>1</v>
      </c>
    </row>
    <row r="1486" spans="1:7" x14ac:dyDescent="0.25">
      <c r="A1486" s="77" t="s">
        <v>127</v>
      </c>
      <c r="B1486" s="76" t="s">
        <v>128</v>
      </c>
      <c r="C1486" s="76" t="s">
        <v>1830</v>
      </c>
      <c r="D1486" s="76" t="s">
        <v>1831</v>
      </c>
      <c r="E1486" s="79">
        <v>44078</v>
      </c>
      <c r="F1486" s="76">
        <v>11</v>
      </c>
      <c r="G1486" s="76">
        <v>1</v>
      </c>
    </row>
    <row r="1487" spans="1:7" x14ac:dyDescent="0.25">
      <c r="A1487" s="77" t="s">
        <v>127</v>
      </c>
      <c r="B1487" s="76" t="s">
        <v>128</v>
      </c>
      <c r="C1487" s="76" t="s">
        <v>1832</v>
      </c>
      <c r="D1487" s="76" t="s">
        <v>1833</v>
      </c>
      <c r="E1487" s="79">
        <v>44173</v>
      </c>
      <c r="F1487" s="76">
        <v>10.5</v>
      </c>
      <c r="G1487" s="76">
        <v>1</v>
      </c>
    </row>
    <row r="1488" spans="1:7" x14ac:dyDescent="0.25">
      <c r="A1488" s="77" t="s">
        <v>127</v>
      </c>
      <c r="B1488" s="76" t="s">
        <v>128</v>
      </c>
      <c r="C1488" s="76" t="s">
        <v>1834</v>
      </c>
      <c r="D1488" s="76" t="s">
        <v>1835</v>
      </c>
      <c r="E1488" s="79">
        <v>44173</v>
      </c>
      <c r="F1488" s="76">
        <v>10.4</v>
      </c>
      <c r="G1488" s="76">
        <v>1</v>
      </c>
    </row>
    <row r="1489" spans="1:7" x14ac:dyDescent="0.25">
      <c r="A1489" s="77" t="s">
        <v>127</v>
      </c>
      <c r="B1489" s="76" t="s">
        <v>128</v>
      </c>
      <c r="C1489" s="76" t="s">
        <v>1836</v>
      </c>
      <c r="D1489" s="76" t="s">
        <v>1837</v>
      </c>
      <c r="E1489" s="79">
        <v>44208</v>
      </c>
      <c r="F1489" s="76">
        <v>11.23</v>
      </c>
      <c r="G1489" s="76">
        <v>1</v>
      </c>
    </row>
    <row r="1490" spans="1:7" x14ac:dyDescent="0.25">
      <c r="A1490" s="77" t="s">
        <v>127</v>
      </c>
      <c r="B1490" s="76" t="s">
        <v>128</v>
      </c>
      <c r="C1490" s="76" t="s">
        <v>283</v>
      </c>
      <c r="D1490" s="76" t="s">
        <v>284</v>
      </c>
      <c r="E1490" s="79">
        <v>44179</v>
      </c>
      <c r="F1490" s="76">
        <v>11</v>
      </c>
      <c r="G1490" s="76">
        <v>1</v>
      </c>
    </row>
    <row r="1491" spans="1:7" x14ac:dyDescent="0.25">
      <c r="A1491" s="77" t="s">
        <v>127</v>
      </c>
      <c r="B1491" s="76" t="s">
        <v>128</v>
      </c>
      <c r="C1491" s="76" t="s">
        <v>1838</v>
      </c>
      <c r="D1491" s="76" t="s">
        <v>1839</v>
      </c>
      <c r="E1491" s="79">
        <v>44097</v>
      </c>
      <c r="F1491" s="76">
        <v>20</v>
      </c>
      <c r="G1491" s="76">
        <v>1</v>
      </c>
    </row>
    <row r="1492" spans="1:7" x14ac:dyDescent="0.25">
      <c r="A1492" s="77" t="s">
        <v>127</v>
      </c>
      <c r="B1492" s="76" t="s">
        <v>128</v>
      </c>
      <c r="C1492" s="76" t="s">
        <v>2405</v>
      </c>
      <c r="D1492" s="76" t="s">
        <v>2406</v>
      </c>
      <c r="E1492" s="79">
        <v>44165</v>
      </c>
      <c r="F1492" s="76">
        <v>9.5</v>
      </c>
      <c r="G1492" s="76">
        <v>1</v>
      </c>
    </row>
    <row r="1493" spans="1:7" x14ac:dyDescent="0.25">
      <c r="A1493" s="77" t="s">
        <v>127</v>
      </c>
      <c r="B1493" s="76" t="s">
        <v>128</v>
      </c>
      <c r="C1493" s="76" t="s">
        <v>2486</v>
      </c>
      <c r="D1493" s="76" t="s">
        <v>2487</v>
      </c>
      <c r="E1493" s="79">
        <v>44200</v>
      </c>
      <c r="F1493" s="76">
        <v>10</v>
      </c>
      <c r="G1493" s="76">
        <v>1</v>
      </c>
    </row>
    <row r="1494" spans="1:7" x14ac:dyDescent="0.25">
      <c r="A1494" s="77" t="s">
        <v>127</v>
      </c>
      <c r="B1494" s="76" t="s">
        <v>128</v>
      </c>
      <c r="C1494" s="76" t="s">
        <v>2561</v>
      </c>
      <c r="D1494" s="76" t="s">
        <v>2562</v>
      </c>
      <c r="E1494" s="79">
        <v>44176</v>
      </c>
      <c r="F1494" s="76">
        <v>9</v>
      </c>
      <c r="G1494" s="76">
        <v>1</v>
      </c>
    </row>
    <row r="1495" spans="1:7" x14ac:dyDescent="0.25">
      <c r="A1495" s="77" t="s">
        <v>127</v>
      </c>
      <c r="B1495" s="76" t="s">
        <v>128</v>
      </c>
      <c r="C1495" s="76" t="s">
        <v>3124</v>
      </c>
      <c r="D1495" s="76" t="s">
        <v>3125</v>
      </c>
      <c r="E1495" s="79">
        <v>44244</v>
      </c>
      <c r="F1495" s="76">
        <v>9.5</v>
      </c>
      <c r="G1495" s="76">
        <v>0.5</v>
      </c>
    </row>
  </sheetData>
  <phoneticPr fontId="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12"/>
  <sheetViews>
    <sheetView workbookViewId="0">
      <selection activeCell="L21" sqref="L21"/>
    </sheetView>
  </sheetViews>
  <sheetFormatPr defaultRowHeight="16.5" x14ac:dyDescent="0.25"/>
  <cols>
    <col min="1" max="6" width="9" style="76"/>
    <col min="7" max="7" width="14.75" style="76" customWidth="1"/>
    <col min="8" max="8" width="12.375" style="76" customWidth="1"/>
    <col min="9" max="16384" width="9" style="76"/>
  </cols>
  <sheetData>
    <row r="1" spans="1:9" x14ac:dyDescent="0.25">
      <c r="A1" s="78" t="s">
        <v>2571</v>
      </c>
      <c r="B1" s="78" t="s">
        <v>1577</v>
      </c>
      <c r="C1" s="78" t="s">
        <v>1578</v>
      </c>
      <c r="E1" s="76" t="s">
        <v>1582</v>
      </c>
      <c r="F1" s="77" t="s">
        <v>1903</v>
      </c>
      <c r="G1" s="77" t="s">
        <v>1904</v>
      </c>
      <c r="H1" s="77" t="s">
        <v>2572</v>
      </c>
    </row>
    <row r="2" spans="1:9" x14ac:dyDescent="0.25">
      <c r="A2" s="78" t="s">
        <v>2573</v>
      </c>
      <c r="B2" s="78" t="s">
        <v>2574</v>
      </c>
      <c r="C2" s="78" t="s">
        <v>1581</v>
      </c>
      <c r="E2" s="76" t="s">
        <v>1583</v>
      </c>
      <c r="F2" s="76" t="s">
        <v>3126</v>
      </c>
      <c r="G2" s="76" t="s">
        <v>3127</v>
      </c>
      <c r="H2" s="76" t="s">
        <v>3128</v>
      </c>
    </row>
    <row r="3" spans="1:9" x14ac:dyDescent="0.25">
      <c r="A3" s="78" t="s">
        <v>2575</v>
      </c>
      <c r="B3" s="78"/>
      <c r="C3" s="78" t="s">
        <v>3129</v>
      </c>
      <c r="E3" s="76" t="s">
        <v>3130</v>
      </c>
      <c r="F3" s="76">
        <v>12220</v>
      </c>
      <c r="G3" s="76">
        <v>12084</v>
      </c>
      <c r="H3" s="76">
        <v>12084</v>
      </c>
      <c r="I3" s="76">
        <f>F3-G3</f>
        <v>136</v>
      </c>
    </row>
    <row r="4" spans="1:9" x14ac:dyDescent="0.25">
      <c r="A4" s="78" t="s">
        <v>2576</v>
      </c>
      <c r="B4" s="78"/>
      <c r="C4" s="78" t="s">
        <v>3131</v>
      </c>
      <c r="E4" s="76" t="s">
        <v>3131</v>
      </c>
      <c r="F4" s="76">
        <v>12188</v>
      </c>
      <c r="G4" s="76">
        <v>12030</v>
      </c>
      <c r="H4" s="76">
        <v>12030</v>
      </c>
      <c r="I4" s="76">
        <f t="shared" ref="I4:I12" si="0">F4-G4</f>
        <v>158</v>
      </c>
    </row>
    <row r="5" spans="1:9" x14ac:dyDescent="0.25">
      <c r="A5" s="78" t="s">
        <v>2576</v>
      </c>
      <c r="B5" s="78"/>
      <c r="C5" s="78" t="s">
        <v>3132</v>
      </c>
      <c r="E5" s="76" t="s">
        <v>3133</v>
      </c>
      <c r="F5" s="76">
        <v>12204</v>
      </c>
      <c r="G5" s="76">
        <v>12029</v>
      </c>
      <c r="H5" s="76">
        <v>12029</v>
      </c>
      <c r="I5" s="76">
        <f t="shared" si="0"/>
        <v>175</v>
      </c>
    </row>
    <row r="6" spans="1:9" x14ac:dyDescent="0.25">
      <c r="A6" s="78" t="s">
        <v>2577</v>
      </c>
      <c r="B6" s="78"/>
      <c r="C6" s="78" t="s">
        <v>3134</v>
      </c>
      <c r="E6" s="76" t="s">
        <v>3135</v>
      </c>
      <c r="F6" s="76">
        <v>11995</v>
      </c>
      <c r="G6" s="76">
        <v>11826</v>
      </c>
      <c r="H6" s="76">
        <v>11826</v>
      </c>
      <c r="I6" s="76">
        <f t="shared" si="0"/>
        <v>169</v>
      </c>
    </row>
    <row r="7" spans="1:9" x14ac:dyDescent="0.25">
      <c r="A7" s="78" t="s">
        <v>2576</v>
      </c>
      <c r="B7" s="78"/>
      <c r="C7" s="78" t="s">
        <v>3136</v>
      </c>
      <c r="E7" s="76" t="s">
        <v>3137</v>
      </c>
      <c r="F7" s="76">
        <v>12149</v>
      </c>
      <c r="G7" s="76">
        <v>11980</v>
      </c>
      <c r="H7" s="76">
        <v>11980</v>
      </c>
      <c r="I7" s="76">
        <f t="shared" si="0"/>
        <v>169</v>
      </c>
    </row>
    <row r="8" spans="1:9" x14ac:dyDescent="0.25">
      <c r="A8" s="78" t="s">
        <v>2578</v>
      </c>
      <c r="B8" s="78"/>
      <c r="C8" s="78" t="s">
        <v>3138</v>
      </c>
      <c r="E8" s="76" t="s">
        <v>3139</v>
      </c>
      <c r="F8" s="76">
        <v>12126</v>
      </c>
      <c r="G8" s="76">
        <v>11965</v>
      </c>
      <c r="H8" s="76">
        <v>11965</v>
      </c>
      <c r="I8" s="76">
        <f t="shared" si="0"/>
        <v>161</v>
      </c>
    </row>
    <row r="9" spans="1:9" x14ac:dyDescent="0.25">
      <c r="A9" s="78" t="s">
        <v>2578</v>
      </c>
      <c r="B9" s="78"/>
      <c r="C9" s="78" t="s">
        <v>3140</v>
      </c>
      <c r="E9" s="76" t="s">
        <v>3140</v>
      </c>
      <c r="F9" s="76">
        <v>12028</v>
      </c>
      <c r="G9" s="76">
        <v>11868</v>
      </c>
      <c r="H9" s="76">
        <v>11868</v>
      </c>
      <c r="I9" s="76">
        <f t="shared" si="0"/>
        <v>160</v>
      </c>
    </row>
    <row r="10" spans="1:9" x14ac:dyDescent="0.25">
      <c r="A10" s="78" t="s">
        <v>2578</v>
      </c>
      <c r="B10" s="78"/>
      <c r="C10" s="78" t="s">
        <v>3141</v>
      </c>
      <c r="E10" s="76" t="s">
        <v>3141</v>
      </c>
      <c r="F10" s="76">
        <v>12067</v>
      </c>
      <c r="G10" s="76">
        <v>11906</v>
      </c>
      <c r="H10" s="76">
        <v>11906</v>
      </c>
      <c r="I10" s="76">
        <f t="shared" si="0"/>
        <v>161</v>
      </c>
    </row>
    <row r="11" spans="1:9" x14ac:dyDescent="0.25">
      <c r="A11" s="78" t="s">
        <v>2578</v>
      </c>
      <c r="B11" s="78"/>
      <c r="C11" s="78" t="s">
        <v>3142</v>
      </c>
      <c r="E11" s="76" t="s">
        <v>3142</v>
      </c>
      <c r="F11" s="76">
        <v>11834</v>
      </c>
      <c r="G11" s="76">
        <v>11657</v>
      </c>
      <c r="H11" s="76">
        <v>11657</v>
      </c>
      <c r="I11" s="76">
        <f t="shared" si="0"/>
        <v>177</v>
      </c>
    </row>
    <row r="12" spans="1:9" x14ac:dyDescent="0.25">
      <c r="A12" s="78" t="s">
        <v>2578</v>
      </c>
      <c r="B12" s="78"/>
      <c r="C12" s="78" t="s">
        <v>3143</v>
      </c>
      <c r="E12" s="76" t="s">
        <v>3144</v>
      </c>
      <c r="F12" s="76">
        <v>11695</v>
      </c>
      <c r="G12" s="76">
        <v>11519</v>
      </c>
      <c r="H12" s="76">
        <v>11519</v>
      </c>
      <c r="I12" s="76">
        <f t="shared" si="0"/>
        <v>176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789175-1D63-4E11-8108-871F816BE35E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22</vt:i4>
      </vt:variant>
      <vt:variant>
        <vt:lpstr>圖表</vt:lpstr>
      </vt:variant>
      <vt:variant>
        <vt:i4>1</vt:i4>
      </vt:variant>
      <vt:variant>
        <vt:lpstr>已命名的範圍</vt:lpstr>
      </vt:variant>
      <vt:variant>
        <vt:i4>8</vt:i4>
      </vt:variant>
    </vt:vector>
  </HeadingPairs>
  <TitlesOfParts>
    <vt:vector size="31" baseType="lpstr">
      <vt:lpstr>工作日</vt:lpstr>
      <vt:lpstr>權證非鏢的避險部位</vt:lpstr>
      <vt:lpstr>現股部位</vt:lpstr>
      <vt:lpstr>V3</vt:lpstr>
      <vt:lpstr>指數型權證</vt:lpstr>
      <vt:lpstr>Vol</vt:lpstr>
      <vt:lpstr>策略模擬 (2)</vt:lpstr>
      <vt:lpstr>策略模擬</vt:lpstr>
      <vt:lpstr>台指VIX</vt:lpstr>
      <vt:lpstr>0050</vt:lpstr>
      <vt:lpstr>His_Vol</vt:lpstr>
      <vt:lpstr>自動儲存週選</vt:lpstr>
      <vt:lpstr>自動儲存</vt:lpstr>
      <vt:lpstr>自動儲存次近月</vt:lpstr>
      <vt:lpstr>選擇權週選</vt:lpstr>
      <vt:lpstr>選擇權次週選</vt:lpstr>
      <vt:lpstr>選擇權近月</vt:lpstr>
      <vt:lpstr>選擇權次近月</vt:lpstr>
      <vt:lpstr>選擇權次2月</vt:lpstr>
      <vt:lpstr>選擇權12月</vt:lpstr>
      <vt:lpstr>同業指數</vt:lpstr>
      <vt:lpstr>期貨結算價</vt:lpstr>
      <vt:lpstr>Chart3</vt:lpstr>
      <vt:lpstr>'0050'!Print_Area</vt:lpstr>
      <vt:lpstr>Vol!Print_Area</vt:lpstr>
      <vt:lpstr>指數型權證!Print_Area</vt:lpstr>
      <vt:lpstr>策略模擬!Print_Area</vt:lpstr>
      <vt:lpstr>現股部位!Stockposdy</vt:lpstr>
      <vt:lpstr>工作日!tradingday</vt:lpstr>
      <vt:lpstr>'V3'!warmktmakercfg_query</vt:lpstr>
      <vt:lpstr>權證非鏢的避險部位!warrealmkt</vt:lpstr>
    </vt:vector>
  </TitlesOfParts>
  <Company>j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廖昱霖</cp:lastModifiedBy>
  <cp:lastPrinted>2020-07-14T10:18:21Z</cp:lastPrinted>
  <dcterms:created xsi:type="dcterms:W3CDTF">2010-10-12T03:25:35Z</dcterms:created>
  <dcterms:modified xsi:type="dcterms:W3CDTF">2020-07-15T11:02:22Z</dcterms:modified>
</cp:coreProperties>
</file>