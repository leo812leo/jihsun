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15" yWindow="1275" windowWidth="23715" windowHeight="10965" activeTab="2"/>
  </bookViews>
  <sheets>
    <sheet name="全球指數" sheetId="1" r:id="rId1"/>
    <sheet name="指數排序" sheetId="3" r:id="rId2"/>
    <sheet name="主要產業" sheetId="2" r:id="rId3"/>
    <sheet name="ADR" sheetId="4" r:id="rId4"/>
    <sheet name="工作表1" sheetId="5" r:id="rId5"/>
  </sheets>
  <definedNames>
    <definedName name="_xlnm._FilterDatabase" localSheetId="4" hidden="1">工作表1!$A$1:$S$97</definedName>
    <definedName name="_xlnm._FilterDatabase" localSheetId="2" hidden="1">主要產業!$A$1:$T$17</definedName>
    <definedName name="_xlnm._FilterDatabase" localSheetId="0" hidden="1">全球指數!$A$1:$S$320</definedName>
  </definedNames>
  <calcPr calcId="145621"/>
</workbook>
</file>

<file path=xl/calcChain.xml><?xml version="1.0" encoding="utf-8"?>
<calcChain xmlns="http://schemas.openxmlformats.org/spreadsheetml/2006/main">
  <c r="AP86" i="2" l="1"/>
  <c r="AW86" i="2"/>
  <c r="G32" i="4"/>
  <c r="H32" i="4" s="1"/>
  <c r="G31" i="4"/>
  <c r="H31" i="4" s="1"/>
  <c r="G30" i="4"/>
  <c r="H30" i="4" s="1"/>
  <c r="G29" i="4"/>
  <c r="H29" i="4" s="1"/>
  <c r="G28" i="4"/>
  <c r="H28" i="4" s="1"/>
  <c r="G27" i="4"/>
  <c r="H27" i="4" s="1"/>
  <c r="G26" i="4"/>
  <c r="H26" i="4" s="1"/>
  <c r="G25" i="4"/>
  <c r="H25" i="4" s="1"/>
  <c r="G24" i="4"/>
  <c r="H24" i="4" s="1"/>
  <c r="G23" i="4"/>
  <c r="H23" i="4" s="1"/>
  <c r="G22" i="4"/>
  <c r="H22" i="4" s="1"/>
  <c r="G21" i="4"/>
  <c r="H21" i="4" s="1"/>
  <c r="G20" i="4"/>
  <c r="H20" i="4" s="1"/>
  <c r="G19" i="4"/>
  <c r="H19" i="4" s="1"/>
  <c r="G18" i="4"/>
  <c r="H18" i="4" s="1"/>
  <c r="G17" i="4"/>
  <c r="H17" i="4" s="1"/>
  <c r="G16" i="4"/>
  <c r="H16" i="4" s="1"/>
  <c r="G15" i="4"/>
  <c r="H15" i="4" s="1"/>
  <c r="G14" i="4"/>
  <c r="H14" i="4" s="1"/>
  <c r="G13" i="4"/>
  <c r="H13" i="4" s="1"/>
  <c r="G12" i="4"/>
  <c r="H12" i="4" s="1"/>
  <c r="G11" i="4"/>
  <c r="H11" i="4" s="1"/>
  <c r="G10" i="4"/>
  <c r="H10" i="4" s="1"/>
  <c r="G9" i="4"/>
  <c r="H9" i="4" s="1"/>
  <c r="G8" i="4"/>
  <c r="H8" i="4" s="1"/>
  <c r="G7" i="4"/>
  <c r="H7" i="4" s="1"/>
  <c r="G6" i="4"/>
  <c r="H6" i="4" s="1"/>
  <c r="G5" i="4"/>
  <c r="H5" i="4" s="1"/>
  <c r="G4" i="4"/>
  <c r="H4" i="4" s="1"/>
  <c r="G3" i="4"/>
  <c r="H3" i="4" s="1"/>
  <c r="E3" i="4"/>
  <c r="C3" i="4"/>
  <c r="A3" i="4"/>
  <c r="AS97" i="2"/>
  <c r="AR97" i="2"/>
  <c r="AQ97" i="2"/>
  <c r="AP97" i="2"/>
  <c r="H1" i="4" l="1"/>
  <c r="AL97" i="2"/>
  <c r="AK97" i="2"/>
  <c r="AJ97" i="2"/>
  <c r="AI97" i="2"/>
  <c r="AH97" i="2"/>
  <c r="AG97" i="2"/>
  <c r="AF97" i="2"/>
  <c r="AE97" i="2"/>
  <c r="AD97" i="2"/>
  <c r="AM97" i="2" l="1"/>
  <c r="AB97" i="2"/>
  <c r="Z97" i="2"/>
  <c r="Y97" i="2"/>
  <c r="X97" i="2"/>
  <c r="W97" i="2"/>
  <c r="T97" i="2"/>
  <c r="AC97" i="2" l="1"/>
  <c r="AA97" i="2"/>
  <c r="R97" i="2"/>
  <c r="Q97" i="2"/>
  <c r="P97" i="2"/>
  <c r="O97" i="2"/>
  <c r="N97" i="2"/>
  <c r="M97" i="2"/>
  <c r="L97" i="2"/>
  <c r="K97" i="2"/>
  <c r="J97" i="2"/>
  <c r="S97" i="2" l="1"/>
  <c r="H97" i="2"/>
  <c r="F97" i="2"/>
  <c r="E97" i="2"/>
  <c r="D97" i="2"/>
  <c r="C97" i="2"/>
  <c r="AS96" i="2"/>
  <c r="AR96" i="2"/>
  <c r="AQ96" i="2"/>
  <c r="AP96" i="2"/>
  <c r="I97" i="2" l="1"/>
  <c r="G97" i="2"/>
  <c r="AL96" i="2"/>
  <c r="AK96" i="2"/>
  <c r="AJ96" i="2"/>
  <c r="AI96" i="2"/>
  <c r="AH96" i="2"/>
  <c r="AG96" i="2"/>
  <c r="AF96" i="2"/>
  <c r="AE96" i="2"/>
  <c r="AD96" i="2"/>
  <c r="AM96" i="2" l="1"/>
  <c r="AB96" i="2"/>
  <c r="Z96" i="2"/>
  <c r="Y96" i="2"/>
  <c r="X96" i="2"/>
  <c r="W96" i="2"/>
  <c r="T96" i="2"/>
  <c r="AC96" i="2" l="1"/>
  <c r="AA96" i="2"/>
  <c r="R96" i="2"/>
  <c r="Q96" i="2"/>
  <c r="P96" i="2"/>
  <c r="O96" i="2"/>
  <c r="N96" i="2"/>
  <c r="M96" i="2"/>
  <c r="L96" i="2"/>
  <c r="K96" i="2"/>
  <c r="J96" i="2"/>
  <c r="S96" i="2" l="1"/>
  <c r="H96" i="2"/>
  <c r="F96" i="2"/>
  <c r="E96" i="2"/>
  <c r="D96" i="2"/>
  <c r="C96" i="2"/>
  <c r="I96" i="2" l="1"/>
  <c r="G96" i="2"/>
  <c r="AT95" i="2"/>
  <c r="AS95" i="2"/>
  <c r="AR95" i="2"/>
  <c r="AP95" i="2"/>
  <c r="AU95" i="2" l="1"/>
  <c r="AQ95" i="2"/>
  <c r="AL95" i="2"/>
  <c r="AK95" i="2"/>
  <c r="AJ95" i="2"/>
  <c r="AI95" i="2"/>
  <c r="AH95" i="2"/>
  <c r="AG95" i="2"/>
  <c r="AF95" i="2"/>
  <c r="AE95" i="2"/>
  <c r="AD95" i="2"/>
  <c r="AM95" i="2" l="1"/>
  <c r="AB95" i="2"/>
  <c r="Z95" i="2"/>
  <c r="Y95" i="2"/>
  <c r="X95" i="2"/>
  <c r="W95" i="2"/>
  <c r="T95" i="2"/>
  <c r="AC95" i="2" l="1"/>
  <c r="AA95" i="2"/>
  <c r="R95" i="2"/>
  <c r="Q95" i="2"/>
  <c r="P95" i="2"/>
  <c r="O95" i="2"/>
  <c r="N95" i="2"/>
  <c r="M95" i="2"/>
  <c r="L95" i="2"/>
  <c r="K95" i="2"/>
  <c r="J95" i="2"/>
  <c r="S95" i="2" l="1"/>
  <c r="H95" i="2"/>
  <c r="F95" i="2"/>
  <c r="E95" i="2"/>
  <c r="D95" i="2"/>
  <c r="C95" i="2"/>
  <c r="I95" i="2" l="1"/>
  <c r="G95" i="2"/>
  <c r="AT94" i="2"/>
  <c r="AS94" i="2"/>
  <c r="AR94" i="2"/>
  <c r="AP94" i="2"/>
  <c r="AU94" i="2" l="1"/>
  <c r="AQ94" i="2"/>
  <c r="AL94" i="2"/>
  <c r="AK94" i="2"/>
  <c r="AJ94" i="2"/>
  <c r="AI94" i="2"/>
  <c r="AH94" i="2"/>
  <c r="AG94" i="2"/>
  <c r="AF94" i="2"/>
  <c r="AE94" i="2"/>
  <c r="AD94" i="2"/>
  <c r="AM94" i="2" l="1"/>
  <c r="AB94" i="2"/>
  <c r="Z94" i="2"/>
  <c r="Y94" i="2"/>
  <c r="X94" i="2"/>
  <c r="W94" i="2"/>
  <c r="T94" i="2"/>
  <c r="AC94" i="2" l="1"/>
  <c r="AA94" i="2"/>
  <c r="R94" i="2"/>
  <c r="Q94" i="2"/>
  <c r="P94" i="2"/>
  <c r="O94" i="2"/>
  <c r="N94" i="2"/>
  <c r="M94" i="2"/>
  <c r="L94" i="2"/>
  <c r="K94" i="2"/>
  <c r="J94" i="2"/>
  <c r="S94" i="2" l="1"/>
  <c r="H94" i="2"/>
  <c r="F94" i="2"/>
  <c r="E94" i="2"/>
  <c r="D94" i="2"/>
  <c r="C94" i="2"/>
  <c r="I94" i="2" l="1"/>
  <c r="G94" i="2"/>
  <c r="AT93" i="2"/>
  <c r="AS93" i="2"/>
  <c r="AR93" i="2"/>
  <c r="AQ93" i="2"/>
  <c r="AP93" i="2"/>
  <c r="AU93" i="2" l="1"/>
  <c r="AL93" i="2"/>
  <c r="AK93" i="2"/>
  <c r="AJ93" i="2"/>
  <c r="AI93" i="2"/>
  <c r="AH93" i="2"/>
  <c r="AG93" i="2"/>
  <c r="AF93" i="2"/>
  <c r="AE93" i="2"/>
  <c r="AD93" i="2"/>
  <c r="AM93" i="2" l="1"/>
  <c r="AB93" i="2"/>
  <c r="Z93" i="2"/>
  <c r="Y93" i="2"/>
  <c r="X93" i="2"/>
  <c r="W93" i="2"/>
  <c r="T93" i="2"/>
  <c r="AC93" i="2" l="1"/>
  <c r="AA93" i="2"/>
  <c r="R93" i="2"/>
  <c r="Q93" i="2"/>
  <c r="P93" i="2"/>
  <c r="O93" i="2"/>
  <c r="N93" i="2"/>
  <c r="M93" i="2"/>
  <c r="L93" i="2"/>
  <c r="K93" i="2"/>
  <c r="J93" i="2"/>
  <c r="S93" i="2" l="1"/>
  <c r="H93" i="2"/>
  <c r="F93" i="2"/>
  <c r="E93" i="2"/>
  <c r="D93" i="2"/>
  <c r="C93" i="2"/>
  <c r="I93" i="2" l="1"/>
  <c r="G93" i="2"/>
  <c r="AT92" i="2"/>
  <c r="AS92" i="2"/>
  <c r="AR92" i="2"/>
  <c r="AQ92" i="2"/>
  <c r="AP92" i="2"/>
  <c r="AU92" i="2" l="1"/>
  <c r="AL92" i="2"/>
  <c r="AK92" i="2"/>
  <c r="AJ92" i="2"/>
  <c r="AI92" i="2"/>
  <c r="AH92" i="2"/>
  <c r="AG92" i="2"/>
  <c r="AF92" i="2"/>
  <c r="AE92" i="2"/>
  <c r="AD92" i="2"/>
  <c r="AM92" i="2" l="1"/>
  <c r="AB92" i="2"/>
  <c r="Z92" i="2"/>
  <c r="Y92" i="2"/>
  <c r="X92" i="2"/>
  <c r="W92" i="2"/>
  <c r="T92" i="2"/>
  <c r="AC92" i="2" l="1"/>
  <c r="AA92" i="2"/>
  <c r="R92" i="2"/>
  <c r="Q92" i="2"/>
  <c r="P92" i="2"/>
  <c r="O92" i="2"/>
  <c r="N92" i="2"/>
  <c r="M92" i="2"/>
  <c r="L92" i="2"/>
  <c r="K92" i="2"/>
  <c r="J92" i="2"/>
  <c r="S92" i="2" l="1"/>
  <c r="H92" i="2"/>
  <c r="F92" i="2"/>
  <c r="E92" i="2"/>
  <c r="D92" i="2"/>
  <c r="C92" i="2"/>
  <c r="I92" i="2" l="1"/>
  <c r="G92" i="2"/>
  <c r="AT91" i="2"/>
  <c r="AS91" i="2"/>
  <c r="AR91" i="2"/>
  <c r="AQ91" i="2"/>
  <c r="AP91" i="2"/>
  <c r="AU91" i="2" l="1"/>
  <c r="AL91" i="2"/>
  <c r="AK91" i="2"/>
  <c r="AJ91" i="2"/>
  <c r="AI91" i="2"/>
  <c r="AH91" i="2"/>
  <c r="AG91" i="2"/>
  <c r="AF91" i="2"/>
  <c r="AE91" i="2"/>
  <c r="AD91" i="2"/>
  <c r="AM91" i="2" l="1"/>
  <c r="AB91" i="2"/>
  <c r="Z91" i="2"/>
  <c r="Y91" i="2"/>
  <c r="X91" i="2"/>
  <c r="W91" i="2"/>
  <c r="T91" i="2"/>
  <c r="AC91" i="2" l="1"/>
  <c r="AA91" i="2"/>
  <c r="R91" i="2"/>
  <c r="Q91" i="2"/>
  <c r="P91" i="2"/>
  <c r="O91" i="2"/>
  <c r="N91" i="2"/>
  <c r="M91" i="2"/>
  <c r="L91" i="2"/>
  <c r="K91" i="2"/>
  <c r="J91" i="2"/>
  <c r="S91" i="2" l="1"/>
  <c r="H91" i="2"/>
  <c r="F91" i="2"/>
  <c r="E91" i="2"/>
  <c r="D91" i="2"/>
  <c r="C91" i="2"/>
  <c r="I91" i="2" l="1"/>
  <c r="G91" i="2"/>
  <c r="AL90" i="2"/>
  <c r="AK90" i="2"/>
  <c r="AJ90" i="2"/>
  <c r="AI90" i="2"/>
  <c r="AH90" i="2"/>
  <c r="AG90" i="2"/>
  <c r="AF90" i="2"/>
  <c r="AE90" i="2"/>
  <c r="AD90" i="2"/>
  <c r="AM90" i="2" l="1"/>
  <c r="AB90" i="2"/>
  <c r="Z90" i="2"/>
  <c r="Y90" i="2"/>
  <c r="X90" i="2"/>
  <c r="W90" i="2"/>
  <c r="T90" i="2"/>
  <c r="AC90" i="2" l="1"/>
  <c r="AA90" i="2"/>
  <c r="R90" i="2"/>
  <c r="Q90" i="2"/>
  <c r="P90" i="2"/>
  <c r="O90" i="2"/>
  <c r="N90" i="2"/>
  <c r="M90" i="2"/>
  <c r="L90" i="2"/>
  <c r="K90" i="2"/>
  <c r="J90" i="2"/>
  <c r="S90" i="2" l="1"/>
  <c r="H90" i="2"/>
  <c r="F90" i="2"/>
  <c r="E90" i="2"/>
  <c r="D90" i="2"/>
  <c r="C90" i="2"/>
  <c r="AV89" i="2"/>
  <c r="I90" i="2" l="1"/>
  <c r="G90" i="2"/>
  <c r="AT89" i="2"/>
  <c r="AR89" i="2"/>
  <c r="AQ89" i="2"/>
  <c r="AP89" i="2"/>
  <c r="AU89" i="2" l="1"/>
  <c r="AS89" i="2"/>
  <c r="AL89" i="2"/>
  <c r="AK89" i="2"/>
  <c r="AJ89" i="2"/>
  <c r="AI89" i="2"/>
  <c r="AH89" i="2"/>
  <c r="AG89" i="2"/>
  <c r="AF89" i="2"/>
  <c r="AE89" i="2"/>
  <c r="AD89" i="2"/>
  <c r="AM89" i="2" l="1"/>
  <c r="AB89" i="2"/>
  <c r="Z89" i="2"/>
  <c r="Y89" i="2"/>
  <c r="X89" i="2"/>
  <c r="W89" i="2"/>
  <c r="T89" i="2"/>
  <c r="AC89" i="2" l="1"/>
  <c r="AA89" i="2"/>
  <c r="R89" i="2"/>
  <c r="Q89" i="2"/>
  <c r="P89" i="2"/>
  <c r="O89" i="2"/>
  <c r="N89" i="2"/>
  <c r="M89" i="2"/>
  <c r="L89" i="2"/>
  <c r="K89" i="2"/>
  <c r="J89" i="2"/>
  <c r="S89" i="2" l="1"/>
  <c r="H89" i="2"/>
  <c r="F89" i="2"/>
  <c r="E89" i="2"/>
  <c r="D89" i="2"/>
  <c r="C89" i="2"/>
  <c r="AX88" i="2"/>
  <c r="AV88" i="2"/>
  <c r="I89" i="2" l="1"/>
  <c r="G89" i="2"/>
  <c r="AT88" i="2"/>
  <c r="AR88" i="2"/>
  <c r="AQ88" i="2"/>
  <c r="AP88" i="2"/>
  <c r="AU88" i="2" l="1"/>
  <c r="AS88" i="2"/>
  <c r="AL88" i="2"/>
  <c r="AK88" i="2"/>
  <c r="AJ88" i="2"/>
  <c r="AI88" i="2"/>
  <c r="AH88" i="2"/>
  <c r="AG88" i="2"/>
  <c r="AF88" i="2"/>
  <c r="AE88" i="2"/>
  <c r="AD88" i="2"/>
  <c r="AM88" i="2" l="1"/>
  <c r="AB88" i="2"/>
  <c r="Z88" i="2"/>
  <c r="Y88" i="2"/>
  <c r="X88" i="2"/>
  <c r="W88" i="2"/>
  <c r="T88" i="2"/>
  <c r="AC88" i="2" l="1"/>
  <c r="AA88" i="2"/>
  <c r="R88" i="2"/>
  <c r="Q88" i="2"/>
  <c r="P88" i="2"/>
  <c r="O88" i="2"/>
  <c r="N88" i="2"/>
  <c r="M88" i="2"/>
  <c r="L88" i="2"/>
  <c r="K88" i="2"/>
  <c r="J88" i="2"/>
  <c r="S88" i="2" l="1"/>
  <c r="H88" i="2"/>
  <c r="F88" i="2"/>
  <c r="E88" i="2"/>
  <c r="D88" i="2"/>
  <c r="C88" i="2"/>
  <c r="AX87" i="2"/>
  <c r="AV87" i="2"/>
  <c r="I88" i="2" l="1"/>
  <c r="G88" i="2"/>
  <c r="AT87" i="2"/>
  <c r="AR87" i="2"/>
  <c r="AQ87" i="2"/>
  <c r="AP87" i="2"/>
  <c r="AU87" i="2" l="1"/>
  <c r="AS87" i="2"/>
  <c r="AL87" i="2"/>
  <c r="AK87" i="2"/>
  <c r="AJ87" i="2"/>
  <c r="AI87" i="2"/>
  <c r="AH87" i="2"/>
  <c r="AG87" i="2"/>
  <c r="AF87" i="2"/>
  <c r="AE87" i="2"/>
  <c r="AD87" i="2"/>
  <c r="AM87" i="2" l="1"/>
  <c r="AB87" i="2"/>
  <c r="Z87" i="2"/>
  <c r="Y87" i="2"/>
  <c r="X87" i="2"/>
  <c r="W87" i="2"/>
  <c r="T87" i="2"/>
  <c r="AC87" i="2" l="1"/>
  <c r="AA87" i="2"/>
  <c r="R87" i="2"/>
  <c r="Q87" i="2"/>
  <c r="P87" i="2"/>
  <c r="O87" i="2"/>
  <c r="N87" i="2"/>
  <c r="M87" i="2"/>
  <c r="L87" i="2"/>
  <c r="K87" i="2"/>
  <c r="J87" i="2"/>
  <c r="S87" i="2" l="1"/>
  <c r="H87" i="2"/>
  <c r="F87" i="2"/>
  <c r="E87" i="2"/>
  <c r="D87" i="2"/>
  <c r="C87" i="2"/>
  <c r="I87" i="2" l="1"/>
  <c r="G87" i="2"/>
  <c r="AZ86" i="2"/>
  <c r="AY86" i="2"/>
  <c r="AV86" i="2"/>
  <c r="AT86" i="2"/>
  <c r="AR86" i="2"/>
  <c r="AQ86" i="2"/>
  <c r="AU86" i="2" l="1"/>
  <c r="AS86" i="2"/>
  <c r="AL86" i="2"/>
  <c r="AK86" i="2"/>
  <c r="AJ86" i="2"/>
  <c r="AI86" i="2"/>
  <c r="AH86" i="2"/>
  <c r="AG86" i="2"/>
  <c r="AF86" i="2"/>
  <c r="AE86" i="2"/>
  <c r="AD86" i="2"/>
  <c r="AM86" i="2" l="1"/>
  <c r="AB86" i="2"/>
  <c r="Z86" i="2"/>
  <c r="Y86" i="2"/>
  <c r="X86" i="2"/>
  <c r="W86" i="2"/>
  <c r="T86" i="2"/>
  <c r="AC86" i="2" l="1"/>
  <c r="AA86" i="2"/>
  <c r="R86" i="2"/>
  <c r="Q86" i="2"/>
  <c r="P86" i="2"/>
  <c r="O86" i="2"/>
  <c r="N86" i="2"/>
  <c r="M86" i="2"/>
  <c r="L86" i="2"/>
  <c r="K86" i="2"/>
  <c r="J86" i="2"/>
  <c r="S86" i="2" l="1"/>
  <c r="H86" i="2"/>
  <c r="F86" i="2"/>
  <c r="E86" i="2"/>
  <c r="D86" i="2"/>
  <c r="C86" i="2"/>
  <c r="I86" i="2" l="1"/>
  <c r="G86" i="2"/>
  <c r="AL85" i="2"/>
  <c r="AK85" i="2"/>
  <c r="AJ85" i="2"/>
  <c r="AI85" i="2"/>
  <c r="AH85" i="2"/>
  <c r="AG85" i="2"/>
  <c r="AF85" i="2"/>
  <c r="AE85" i="2"/>
  <c r="AD85" i="2"/>
  <c r="AM85" i="2" l="1"/>
  <c r="AB85" i="2"/>
  <c r="Z85" i="2"/>
  <c r="Y85" i="2"/>
  <c r="X85" i="2"/>
  <c r="W85" i="2"/>
  <c r="T85" i="2"/>
  <c r="AC85" i="2" l="1"/>
  <c r="AA85" i="2"/>
  <c r="R85" i="2"/>
  <c r="Q85" i="2"/>
  <c r="P85" i="2"/>
  <c r="O85" i="2"/>
  <c r="N85" i="2"/>
  <c r="M85" i="2"/>
  <c r="L85" i="2"/>
  <c r="K85" i="2"/>
  <c r="J85" i="2"/>
  <c r="S85" i="2" l="1"/>
  <c r="H85" i="2"/>
  <c r="F85" i="2"/>
  <c r="E85" i="2"/>
  <c r="D85" i="2"/>
  <c r="C85" i="2"/>
  <c r="BA84" i="2"/>
  <c r="AZ84" i="2"/>
  <c r="AY84" i="2"/>
  <c r="AX84" i="2"/>
  <c r="AW84" i="2"/>
  <c r="AV84" i="2"/>
  <c r="I85" i="2" l="1"/>
  <c r="G85" i="2"/>
  <c r="AT84" i="2"/>
  <c r="AR84" i="2"/>
  <c r="AQ84" i="2"/>
  <c r="AP84" i="2"/>
  <c r="AU84" i="2" l="1"/>
  <c r="AS84" i="2"/>
  <c r="AL84" i="2"/>
  <c r="AK84" i="2"/>
  <c r="AJ84" i="2"/>
  <c r="AI84" i="2"/>
  <c r="AH84" i="2"/>
  <c r="AG84" i="2"/>
  <c r="AF84" i="2"/>
  <c r="AE84" i="2"/>
  <c r="AD84" i="2"/>
  <c r="AM84" i="2" l="1"/>
  <c r="AB84" i="2"/>
  <c r="Z84" i="2"/>
  <c r="Y84" i="2"/>
  <c r="X84" i="2"/>
  <c r="W84" i="2"/>
  <c r="T84" i="2"/>
  <c r="AC84" i="2" l="1"/>
  <c r="AA84" i="2"/>
  <c r="R84" i="2"/>
  <c r="Q84" i="2"/>
  <c r="P84" i="2"/>
  <c r="O84" i="2"/>
  <c r="N84" i="2"/>
  <c r="M84" i="2"/>
  <c r="L84" i="2"/>
  <c r="K84" i="2"/>
  <c r="J84" i="2"/>
  <c r="S84" i="2" l="1"/>
  <c r="H84" i="2"/>
  <c r="F84" i="2"/>
  <c r="E84" i="2"/>
  <c r="D84" i="2"/>
  <c r="C84" i="2"/>
  <c r="BA83" i="2"/>
  <c r="AZ83" i="2"/>
  <c r="AY83" i="2"/>
  <c r="AX83" i="2"/>
  <c r="AW83" i="2"/>
  <c r="AV83" i="2"/>
  <c r="I84" i="2" l="1"/>
  <c r="G84" i="2"/>
  <c r="AT83" i="2"/>
  <c r="AR83" i="2"/>
  <c r="AQ83" i="2"/>
  <c r="AP83" i="2"/>
  <c r="AU83" i="2" l="1"/>
  <c r="AS83" i="2"/>
  <c r="AL83" i="2"/>
  <c r="AK83" i="2"/>
  <c r="AJ83" i="2"/>
  <c r="AI83" i="2"/>
  <c r="AH83" i="2"/>
  <c r="AG83" i="2"/>
  <c r="AF83" i="2"/>
  <c r="AE83" i="2"/>
  <c r="AD83" i="2"/>
  <c r="AM83" i="2" l="1"/>
  <c r="AB83" i="2"/>
  <c r="Z83" i="2"/>
  <c r="Y83" i="2"/>
  <c r="X83" i="2"/>
  <c r="W83" i="2"/>
  <c r="T83" i="2"/>
  <c r="AC83" i="2" l="1"/>
  <c r="AA83" i="2"/>
  <c r="R83" i="2"/>
  <c r="Q83" i="2"/>
  <c r="P83" i="2"/>
  <c r="O83" i="2"/>
  <c r="N83" i="2"/>
  <c r="M83" i="2"/>
  <c r="L83" i="2"/>
  <c r="K83" i="2"/>
  <c r="J83" i="2"/>
  <c r="S83" i="2" l="1"/>
  <c r="H83" i="2"/>
  <c r="F83" i="2"/>
  <c r="E83" i="2"/>
  <c r="D83" i="2"/>
  <c r="C83" i="2"/>
  <c r="BA82" i="2"/>
  <c r="AZ82" i="2"/>
  <c r="AY82" i="2"/>
  <c r="AX82" i="2"/>
  <c r="AW82" i="2"/>
  <c r="AV82" i="2"/>
  <c r="I83" i="2" l="1"/>
  <c r="G83" i="2"/>
  <c r="AT82" i="2"/>
  <c r="AR82" i="2"/>
  <c r="AQ82" i="2"/>
  <c r="AP82" i="2"/>
  <c r="AU82" i="2" l="1"/>
  <c r="AS82" i="2"/>
  <c r="AL82" i="2"/>
  <c r="AK82" i="2"/>
  <c r="AJ82" i="2"/>
  <c r="AI82" i="2"/>
  <c r="AH82" i="2"/>
  <c r="AG82" i="2"/>
  <c r="AF82" i="2"/>
  <c r="AE82" i="2"/>
  <c r="AD82" i="2"/>
  <c r="AM82" i="2" l="1"/>
  <c r="AB82" i="2"/>
  <c r="Z82" i="2"/>
  <c r="Y82" i="2"/>
  <c r="X82" i="2"/>
  <c r="W82" i="2"/>
  <c r="T82" i="2"/>
  <c r="AC82" i="2" l="1"/>
  <c r="AA82" i="2"/>
  <c r="R82" i="2"/>
  <c r="Q82" i="2"/>
  <c r="P82" i="2"/>
  <c r="O82" i="2"/>
  <c r="N82" i="2"/>
  <c r="M82" i="2"/>
  <c r="L82" i="2"/>
  <c r="K82" i="2"/>
  <c r="J82" i="2"/>
  <c r="S82" i="2" l="1"/>
  <c r="H82" i="2"/>
  <c r="F82" i="2"/>
  <c r="E82" i="2"/>
  <c r="D82" i="2"/>
  <c r="C82" i="2"/>
  <c r="BA81" i="2"/>
  <c r="AZ81" i="2"/>
  <c r="AY81" i="2"/>
  <c r="AX81" i="2"/>
  <c r="AW81" i="2"/>
  <c r="AV81" i="2"/>
  <c r="I82" i="2" l="1"/>
  <c r="G82" i="2"/>
  <c r="AT81" i="2"/>
  <c r="AR81" i="2"/>
  <c r="AQ81" i="2"/>
  <c r="AP81" i="2"/>
  <c r="AU81" i="2" l="1"/>
  <c r="AS81" i="2"/>
  <c r="AL81" i="2"/>
  <c r="AK81" i="2"/>
  <c r="AJ81" i="2"/>
  <c r="AI81" i="2"/>
  <c r="AH81" i="2"/>
  <c r="AG81" i="2"/>
  <c r="AF81" i="2"/>
  <c r="AE81" i="2"/>
  <c r="AD81" i="2"/>
  <c r="AM81" i="2" l="1"/>
  <c r="AB81" i="2"/>
  <c r="Z81" i="2"/>
  <c r="Y81" i="2"/>
  <c r="X81" i="2"/>
  <c r="W81" i="2"/>
  <c r="T81" i="2"/>
  <c r="AC81" i="2" l="1"/>
  <c r="AA81" i="2"/>
  <c r="R81" i="2"/>
  <c r="Q81" i="2"/>
  <c r="P81" i="2"/>
  <c r="O81" i="2"/>
  <c r="N81" i="2"/>
  <c r="M81" i="2"/>
  <c r="L81" i="2"/>
  <c r="K81" i="2"/>
  <c r="J81" i="2"/>
  <c r="S81" i="2" l="1"/>
  <c r="H81" i="2"/>
  <c r="F81" i="2"/>
  <c r="E81" i="2"/>
  <c r="D81" i="2"/>
  <c r="C81" i="2"/>
  <c r="BA80" i="2"/>
  <c r="AZ80" i="2"/>
  <c r="AY80" i="2"/>
  <c r="AX80" i="2"/>
  <c r="AW80" i="2"/>
  <c r="AV80" i="2"/>
  <c r="I81" i="2" l="1"/>
  <c r="G81" i="2"/>
  <c r="AT80" i="2"/>
  <c r="AR80" i="2"/>
  <c r="AQ80" i="2"/>
  <c r="AP80" i="2"/>
  <c r="AU80" i="2" l="1"/>
  <c r="AS80" i="2"/>
  <c r="AL80" i="2"/>
  <c r="AK80" i="2"/>
  <c r="AJ80" i="2"/>
  <c r="AI80" i="2"/>
  <c r="AH80" i="2"/>
  <c r="AG80" i="2"/>
  <c r="AF80" i="2"/>
  <c r="AE80" i="2"/>
  <c r="AD80" i="2"/>
  <c r="AM80" i="2" l="1"/>
  <c r="AB80" i="2"/>
  <c r="Z80" i="2"/>
  <c r="Y80" i="2"/>
  <c r="X80" i="2"/>
  <c r="W80" i="2"/>
  <c r="T80" i="2"/>
  <c r="AC80" i="2" l="1"/>
  <c r="AA80" i="2"/>
  <c r="R80" i="2"/>
  <c r="Q80" i="2"/>
  <c r="P80" i="2"/>
  <c r="O80" i="2"/>
  <c r="N80" i="2"/>
  <c r="M80" i="2"/>
  <c r="L80" i="2"/>
  <c r="K80" i="2"/>
  <c r="J80" i="2"/>
  <c r="S80" i="2" l="1"/>
  <c r="H80" i="2"/>
  <c r="F80" i="2"/>
  <c r="E80" i="2"/>
  <c r="D80" i="2"/>
  <c r="C80" i="2"/>
  <c r="BA79" i="2"/>
  <c r="AZ79" i="2"/>
  <c r="AY79" i="2"/>
  <c r="AX79" i="2"/>
  <c r="AW79" i="2"/>
  <c r="AV79" i="2"/>
  <c r="I80" i="2" l="1"/>
  <c r="G80" i="2"/>
  <c r="AT79" i="2"/>
  <c r="AR79" i="2"/>
  <c r="AQ79" i="2"/>
  <c r="AP79" i="2"/>
  <c r="AU79" i="2" l="1"/>
  <c r="AS79" i="2"/>
  <c r="AL79" i="2"/>
  <c r="AK79" i="2"/>
  <c r="AJ79" i="2"/>
  <c r="AI79" i="2"/>
  <c r="AH79" i="2"/>
  <c r="AG79" i="2"/>
  <c r="AF79" i="2"/>
  <c r="AE79" i="2"/>
  <c r="AD79" i="2"/>
  <c r="AM79" i="2" l="1"/>
  <c r="AB79" i="2"/>
  <c r="Z79" i="2"/>
  <c r="Y79" i="2"/>
  <c r="X79" i="2"/>
  <c r="W79" i="2"/>
  <c r="T79" i="2"/>
  <c r="AC79" i="2" l="1"/>
  <c r="AA79" i="2"/>
  <c r="R79" i="2"/>
  <c r="Q79" i="2"/>
  <c r="P79" i="2"/>
  <c r="O79" i="2"/>
  <c r="N79" i="2"/>
  <c r="M79" i="2"/>
  <c r="L79" i="2"/>
  <c r="K79" i="2"/>
  <c r="J79" i="2"/>
  <c r="S79" i="2" l="1"/>
  <c r="H79" i="2"/>
  <c r="F79" i="2"/>
  <c r="E79" i="2"/>
  <c r="D79" i="2"/>
  <c r="C79" i="2"/>
  <c r="BA78" i="2"/>
  <c r="AZ78" i="2"/>
  <c r="AY78" i="2"/>
  <c r="AX78" i="2"/>
  <c r="AW78" i="2"/>
  <c r="AV78" i="2"/>
  <c r="I79" i="2" l="1"/>
  <c r="G79" i="2"/>
  <c r="AT78" i="2"/>
  <c r="AR78" i="2"/>
  <c r="AQ78" i="2"/>
  <c r="AP78" i="2"/>
  <c r="AU78" i="2" l="1"/>
  <c r="AS78" i="2"/>
  <c r="AL78" i="2"/>
  <c r="AK78" i="2"/>
  <c r="AJ78" i="2"/>
  <c r="AI78" i="2"/>
  <c r="AH78" i="2"/>
  <c r="AG78" i="2"/>
  <c r="AF78" i="2"/>
  <c r="AE78" i="2"/>
  <c r="AD78" i="2"/>
  <c r="AM78" i="2" l="1"/>
  <c r="AB78" i="2"/>
  <c r="Z78" i="2"/>
  <c r="Y78" i="2"/>
  <c r="X78" i="2"/>
  <c r="W78" i="2"/>
  <c r="T78" i="2"/>
  <c r="AC78" i="2" l="1"/>
  <c r="AA78" i="2"/>
  <c r="R78" i="2"/>
  <c r="Q78" i="2"/>
  <c r="P78" i="2"/>
  <c r="O78" i="2"/>
  <c r="N78" i="2"/>
  <c r="M78" i="2"/>
  <c r="L78" i="2"/>
  <c r="K78" i="2"/>
  <c r="J78" i="2"/>
  <c r="S78" i="2" l="1"/>
  <c r="H78" i="2"/>
  <c r="F78" i="2"/>
  <c r="E78" i="2"/>
  <c r="D78" i="2"/>
  <c r="C78" i="2"/>
  <c r="BA77" i="2"/>
  <c r="AZ77" i="2"/>
  <c r="AY77" i="2"/>
  <c r="AX77" i="2"/>
  <c r="AW77" i="2"/>
  <c r="AV77" i="2"/>
  <c r="I78" i="2" l="1"/>
  <c r="G78" i="2"/>
  <c r="AT77" i="2"/>
  <c r="AR77" i="2"/>
  <c r="AQ77" i="2"/>
  <c r="AP77" i="2"/>
  <c r="AU77" i="2" l="1"/>
  <c r="AS77" i="2"/>
  <c r="AL77" i="2"/>
  <c r="AK77" i="2"/>
  <c r="AJ77" i="2"/>
  <c r="AI77" i="2"/>
  <c r="AH77" i="2"/>
  <c r="AG77" i="2"/>
  <c r="AF77" i="2"/>
  <c r="AE77" i="2"/>
  <c r="AD77" i="2"/>
  <c r="AM77" i="2" l="1"/>
  <c r="AB77" i="2"/>
  <c r="Z77" i="2"/>
  <c r="Y77" i="2"/>
  <c r="X77" i="2"/>
  <c r="W77" i="2"/>
  <c r="T77" i="2"/>
  <c r="AC77" i="2" l="1"/>
  <c r="AA77" i="2"/>
  <c r="R77" i="2"/>
  <c r="Q77" i="2"/>
  <c r="P77" i="2"/>
  <c r="O77" i="2"/>
  <c r="N77" i="2"/>
  <c r="M77" i="2"/>
  <c r="L77" i="2"/>
  <c r="K77" i="2"/>
  <c r="J77" i="2"/>
  <c r="S77" i="2" l="1"/>
  <c r="H77" i="2"/>
  <c r="F77" i="2"/>
  <c r="E77" i="2"/>
  <c r="D77" i="2"/>
  <c r="C77" i="2"/>
  <c r="BA76" i="2"/>
  <c r="AZ76" i="2"/>
  <c r="AY76" i="2"/>
  <c r="AX76" i="2"/>
  <c r="AW76" i="2"/>
  <c r="AV76" i="2"/>
  <c r="I77" i="2" l="1"/>
  <c r="G77" i="2"/>
  <c r="AT76" i="2"/>
  <c r="AR76" i="2"/>
  <c r="AQ76" i="2"/>
  <c r="AP76" i="2"/>
  <c r="AU76" i="2" l="1"/>
  <c r="AS76" i="2"/>
  <c r="AL76" i="2"/>
  <c r="AK76" i="2"/>
  <c r="AJ76" i="2"/>
  <c r="AI76" i="2"/>
  <c r="AH76" i="2"/>
  <c r="AG76" i="2"/>
  <c r="AF76" i="2"/>
  <c r="AE76" i="2"/>
  <c r="AD76" i="2"/>
  <c r="AM76" i="2" l="1"/>
  <c r="AB76" i="2"/>
  <c r="Z76" i="2"/>
  <c r="Y76" i="2"/>
  <c r="X76" i="2"/>
  <c r="W76" i="2"/>
  <c r="T76" i="2"/>
  <c r="AC76" i="2" l="1"/>
  <c r="AA76" i="2"/>
  <c r="R76" i="2"/>
  <c r="Q76" i="2"/>
  <c r="P76" i="2"/>
  <c r="O76" i="2"/>
  <c r="N76" i="2"/>
  <c r="M76" i="2"/>
  <c r="L76" i="2"/>
  <c r="K76" i="2"/>
  <c r="J76" i="2"/>
  <c r="S76" i="2" l="1"/>
  <c r="H76" i="2"/>
  <c r="F76" i="2"/>
  <c r="E76" i="2"/>
  <c r="D76" i="2"/>
  <c r="C76" i="2"/>
  <c r="BA75" i="2"/>
  <c r="AZ75" i="2"/>
  <c r="AY75" i="2"/>
  <c r="AX75" i="2"/>
  <c r="AW75" i="2"/>
  <c r="AV75" i="2"/>
  <c r="I76" i="2" l="1"/>
  <c r="G76" i="2"/>
  <c r="AT75" i="2"/>
  <c r="AR75" i="2"/>
  <c r="AQ75" i="2"/>
  <c r="AP75" i="2"/>
  <c r="AU75" i="2" l="1"/>
  <c r="AS75" i="2"/>
  <c r="AL75" i="2"/>
  <c r="AK75" i="2"/>
  <c r="AJ75" i="2"/>
  <c r="AI75" i="2"/>
  <c r="AH75" i="2"/>
  <c r="AG75" i="2"/>
  <c r="AF75" i="2"/>
  <c r="AE75" i="2"/>
  <c r="AD75" i="2"/>
  <c r="AM75" i="2" l="1"/>
  <c r="AB75" i="2"/>
  <c r="Z75" i="2"/>
  <c r="Y75" i="2"/>
  <c r="X75" i="2"/>
  <c r="W75" i="2"/>
  <c r="T75" i="2"/>
  <c r="AC75" i="2" l="1"/>
  <c r="AA75" i="2"/>
  <c r="R75" i="2"/>
  <c r="Q75" i="2"/>
  <c r="P75" i="2"/>
  <c r="O75" i="2"/>
  <c r="N75" i="2"/>
  <c r="M75" i="2"/>
  <c r="L75" i="2"/>
  <c r="K75" i="2"/>
  <c r="J75" i="2"/>
  <c r="S75" i="2" l="1"/>
  <c r="H75" i="2"/>
  <c r="F75" i="2"/>
  <c r="E75" i="2"/>
  <c r="D75" i="2"/>
  <c r="C75" i="2"/>
  <c r="BA74" i="2"/>
  <c r="AZ74" i="2"/>
  <c r="AY74" i="2"/>
  <c r="AX74" i="2"/>
  <c r="AW74" i="2"/>
  <c r="AV74" i="2"/>
  <c r="I75" i="2" l="1"/>
  <c r="G75" i="2"/>
  <c r="AT74" i="2"/>
  <c r="AR74" i="2"/>
  <c r="AQ74" i="2"/>
  <c r="AP74" i="2"/>
  <c r="AU74" i="2" l="1"/>
  <c r="AS74" i="2"/>
  <c r="AL74" i="2"/>
  <c r="AK74" i="2"/>
  <c r="AJ74" i="2"/>
  <c r="AI74" i="2"/>
  <c r="AH74" i="2"/>
  <c r="AG74" i="2"/>
  <c r="AF74" i="2"/>
  <c r="AE74" i="2"/>
  <c r="AD74" i="2"/>
  <c r="AM74" i="2" l="1"/>
  <c r="AB74" i="2"/>
  <c r="Z74" i="2"/>
  <c r="Y74" i="2"/>
  <c r="X74" i="2"/>
  <c r="W74" i="2"/>
  <c r="T74" i="2"/>
  <c r="AC74" i="2" l="1"/>
  <c r="AA74" i="2"/>
  <c r="R74" i="2"/>
  <c r="Q74" i="2"/>
  <c r="P74" i="2"/>
  <c r="O74" i="2"/>
  <c r="N74" i="2"/>
  <c r="M74" i="2"/>
  <c r="L74" i="2"/>
  <c r="K74" i="2"/>
  <c r="J74" i="2"/>
  <c r="S74" i="2" l="1"/>
  <c r="H74" i="2"/>
  <c r="F74" i="2"/>
  <c r="E74" i="2"/>
  <c r="D74" i="2"/>
  <c r="C74" i="2"/>
  <c r="BA73" i="2"/>
  <c r="AZ73" i="2"/>
  <c r="AY73" i="2"/>
  <c r="AX73" i="2"/>
  <c r="AW73" i="2"/>
  <c r="AV73" i="2"/>
  <c r="I74" i="2" l="1"/>
  <c r="G74" i="2"/>
  <c r="AT73" i="2"/>
  <c r="AR73" i="2"/>
  <c r="AQ73" i="2"/>
  <c r="AP73" i="2"/>
  <c r="AU73" i="2" l="1"/>
  <c r="AS73" i="2"/>
  <c r="AL73" i="2"/>
  <c r="AK73" i="2"/>
  <c r="AJ73" i="2"/>
  <c r="AI73" i="2"/>
  <c r="AH73" i="2"/>
  <c r="AG73" i="2"/>
  <c r="AF73" i="2"/>
  <c r="AE73" i="2"/>
  <c r="AD73" i="2"/>
  <c r="AM73" i="2" l="1"/>
  <c r="AB73" i="2"/>
  <c r="Z73" i="2"/>
  <c r="Y73" i="2"/>
  <c r="X73" i="2"/>
  <c r="W73" i="2"/>
  <c r="T73" i="2"/>
  <c r="AC73" i="2" l="1"/>
  <c r="AA73" i="2"/>
  <c r="R73" i="2"/>
  <c r="Q73" i="2"/>
  <c r="P73" i="2"/>
  <c r="O73" i="2"/>
  <c r="N73" i="2"/>
  <c r="M73" i="2"/>
  <c r="L73" i="2"/>
  <c r="K73" i="2"/>
  <c r="J73" i="2"/>
  <c r="S73" i="2" l="1"/>
  <c r="H73" i="2"/>
  <c r="F73" i="2"/>
  <c r="E73" i="2"/>
  <c r="D73" i="2"/>
  <c r="C73" i="2"/>
  <c r="BA72" i="2"/>
  <c r="AZ72" i="2"/>
  <c r="AY72" i="2"/>
  <c r="AX72" i="2"/>
  <c r="AW72" i="2"/>
  <c r="AV72" i="2"/>
  <c r="I73" i="2" l="1"/>
  <c r="G73" i="2"/>
  <c r="AT72" i="2"/>
  <c r="AR72" i="2"/>
  <c r="AQ72" i="2"/>
  <c r="AP72" i="2"/>
  <c r="AU72" i="2" l="1"/>
  <c r="AS72" i="2"/>
  <c r="AL72" i="2"/>
  <c r="AK72" i="2"/>
  <c r="AJ72" i="2"/>
  <c r="AI72" i="2"/>
  <c r="AH72" i="2"/>
  <c r="AG72" i="2"/>
  <c r="AF72" i="2"/>
  <c r="AE72" i="2"/>
  <c r="AD72" i="2"/>
  <c r="AM72" i="2" l="1"/>
  <c r="AB72" i="2"/>
  <c r="Z72" i="2"/>
  <c r="Y72" i="2"/>
  <c r="X72" i="2"/>
  <c r="W72" i="2"/>
  <c r="T72" i="2"/>
  <c r="AC72" i="2" l="1"/>
  <c r="AA72" i="2"/>
  <c r="R72" i="2"/>
  <c r="Q72" i="2"/>
  <c r="P72" i="2"/>
  <c r="O72" i="2"/>
  <c r="N72" i="2"/>
  <c r="M72" i="2"/>
  <c r="L72" i="2"/>
  <c r="K72" i="2"/>
  <c r="J72" i="2"/>
  <c r="S72" i="2" l="1"/>
  <c r="H72" i="2"/>
  <c r="F72" i="2"/>
  <c r="E72" i="2"/>
  <c r="D72" i="2"/>
  <c r="C72" i="2"/>
  <c r="BA71" i="2"/>
  <c r="AZ71" i="2"/>
  <c r="AY71" i="2"/>
  <c r="AX71" i="2"/>
  <c r="AW71" i="2"/>
  <c r="AV71" i="2"/>
  <c r="I72" i="2" l="1"/>
  <c r="G72" i="2"/>
  <c r="AT71" i="2"/>
  <c r="AR71" i="2"/>
  <c r="AQ71" i="2"/>
  <c r="AP71" i="2"/>
  <c r="AU71" i="2" l="1"/>
  <c r="AS71" i="2"/>
  <c r="AL71" i="2"/>
  <c r="AK71" i="2"/>
  <c r="AJ71" i="2"/>
  <c r="AI71" i="2"/>
  <c r="AH71" i="2"/>
  <c r="AG71" i="2"/>
  <c r="AF71" i="2"/>
  <c r="AE71" i="2"/>
  <c r="AD71" i="2"/>
  <c r="AM71" i="2" l="1"/>
  <c r="AB71" i="2"/>
  <c r="Z71" i="2"/>
  <c r="Y71" i="2"/>
  <c r="X71" i="2"/>
  <c r="W71" i="2"/>
  <c r="T71" i="2"/>
  <c r="AC71" i="2" l="1"/>
  <c r="AA71" i="2"/>
  <c r="R71" i="2"/>
  <c r="Q71" i="2"/>
  <c r="P71" i="2"/>
  <c r="O71" i="2"/>
  <c r="N71" i="2"/>
  <c r="M71" i="2"/>
  <c r="L71" i="2"/>
  <c r="K71" i="2"/>
  <c r="J71" i="2"/>
  <c r="S71" i="2" l="1"/>
  <c r="H71" i="2"/>
  <c r="F71" i="2"/>
  <c r="E71" i="2"/>
  <c r="D71" i="2"/>
  <c r="C71" i="2"/>
  <c r="BA70" i="2"/>
  <c r="AZ70" i="2"/>
  <c r="AY70" i="2"/>
  <c r="AX70" i="2"/>
  <c r="AW70" i="2"/>
  <c r="AV70" i="2"/>
  <c r="I71" i="2" l="1"/>
  <c r="G71" i="2"/>
  <c r="AT70" i="2"/>
  <c r="AR70" i="2"/>
  <c r="AQ70" i="2"/>
  <c r="AP70" i="2"/>
  <c r="AU70" i="2" l="1"/>
  <c r="AS70" i="2"/>
  <c r="AL70" i="2"/>
  <c r="AK70" i="2"/>
  <c r="AJ70" i="2"/>
  <c r="AI70" i="2"/>
  <c r="AH70" i="2"/>
  <c r="AG70" i="2"/>
  <c r="AF70" i="2"/>
  <c r="AE70" i="2"/>
  <c r="AD70" i="2"/>
  <c r="AM70" i="2" l="1"/>
  <c r="AB70" i="2"/>
  <c r="Z70" i="2"/>
  <c r="Y70" i="2"/>
  <c r="X70" i="2"/>
  <c r="W70" i="2"/>
  <c r="T70" i="2"/>
  <c r="AC70" i="2" l="1"/>
  <c r="AA70" i="2"/>
  <c r="R70" i="2"/>
  <c r="Q70" i="2"/>
  <c r="P70" i="2"/>
  <c r="O70" i="2"/>
  <c r="N70" i="2"/>
  <c r="M70" i="2"/>
  <c r="L70" i="2"/>
  <c r="K70" i="2"/>
  <c r="J70" i="2"/>
  <c r="S70" i="2" l="1"/>
  <c r="H70" i="2"/>
  <c r="F70" i="2"/>
  <c r="E70" i="2"/>
  <c r="D70" i="2"/>
  <c r="C70" i="2"/>
  <c r="BA69" i="2"/>
  <c r="AZ69" i="2"/>
  <c r="AY69" i="2"/>
  <c r="AX69" i="2"/>
  <c r="AW69" i="2"/>
  <c r="AV69" i="2"/>
  <c r="I70" i="2" l="1"/>
  <c r="G70" i="2"/>
  <c r="AT69" i="2"/>
  <c r="AR69" i="2"/>
  <c r="AQ69" i="2"/>
  <c r="AP69" i="2"/>
  <c r="AX86" i="2" l="1"/>
  <c r="BA86" i="2" s="1"/>
  <c r="AU69" i="2"/>
  <c r="AS69" i="2"/>
  <c r="AL69" i="2"/>
  <c r="AK69" i="2"/>
  <c r="AJ69" i="2"/>
  <c r="AI69" i="2"/>
  <c r="AH69" i="2"/>
  <c r="AG69" i="2"/>
  <c r="AF69" i="2"/>
  <c r="AE69" i="2"/>
  <c r="AD69" i="2"/>
  <c r="AM69" i="2" l="1"/>
  <c r="AB69" i="2"/>
  <c r="Z69" i="2"/>
  <c r="Y69" i="2"/>
  <c r="X69" i="2"/>
  <c r="W69" i="2"/>
  <c r="T69" i="2"/>
  <c r="AC69" i="2" l="1"/>
  <c r="AA69" i="2"/>
  <c r="R69" i="2"/>
  <c r="Q69" i="2"/>
  <c r="P69" i="2"/>
  <c r="O69" i="2"/>
  <c r="N69" i="2"/>
  <c r="M69" i="2"/>
  <c r="L69" i="2"/>
  <c r="K69" i="2"/>
  <c r="J69" i="2"/>
  <c r="S69" i="2" l="1"/>
  <c r="H69" i="2"/>
  <c r="F69" i="2"/>
  <c r="E69" i="2"/>
  <c r="D69" i="2"/>
  <c r="C69" i="2"/>
  <c r="BA68" i="2"/>
  <c r="AZ68" i="2"/>
  <c r="AY68" i="2"/>
  <c r="AX68" i="2"/>
  <c r="AW68" i="2"/>
  <c r="AV68" i="2"/>
  <c r="I69" i="2" l="1"/>
  <c r="G69" i="2"/>
  <c r="AT68" i="2"/>
  <c r="AR68" i="2"/>
  <c r="AQ68" i="2"/>
  <c r="AP68" i="2"/>
  <c r="AU68" i="2" l="1"/>
  <c r="AS68" i="2"/>
  <c r="AL68" i="2"/>
  <c r="AK68" i="2"/>
  <c r="AJ68" i="2"/>
  <c r="AI68" i="2"/>
  <c r="AH68" i="2"/>
  <c r="AG68" i="2"/>
  <c r="AF68" i="2"/>
  <c r="AE68" i="2"/>
  <c r="AD68" i="2"/>
  <c r="AM68" i="2" l="1"/>
  <c r="AB68" i="2"/>
  <c r="Z68" i="2"/>
  <c r="Y68" i="2"/>
  <c r="X68" i="2"/>
  <c r="W68" i="2"/>
  <c r="T68" i="2"/>
  <c r="AC68" i="2" l="1"/>
  <c r="AA68" i="2"/>
  <c r="R68" i="2"/>
  <c r="Q68" i="2"/>
  <c r="P68" i="2"/>
  <c r="O68" i="2"/>
  <c r="N68" i="2"/>
  <c r="M68" i="2"/>
  <c r="L68" i="2"/>
  <c r="K68" i="2"/>
  <c r="J68" i="2"/>
  <c r="S68" i="2" l="1"/>
  <c r="H68" i="2"/>
  <c r="F68" i="2"/>
  <c r="E68" i="2"/>
  <c r="D68" i="2"/>
  <c r="C68" i="2"/>
  <c r="BA67" i="2"/>
  <c r="AZ67" i="2"/>
  <c r="AY67" i="2"/>
  <c r="AX67" i="2"/>
  <c r="AW67" i="2"/>
  <c r="AV67" i="2"/>
  <c r="I68" i="2" l="1"/>
  <c r="G68" i="2"/>
  <c r="AT67" i="2"/>
  <c r="AR67" i="2"/>
  <c r="AQ67" i="2"/>
  <c r="AP67" i="2"/>
  <c r="AU67" i="2" l="1"/>
  <c r="AS67" i="2"/>
  <c r="AL67" i="2"/>
  <c r="AK67" i="2"/>
  <c r="AJ67" i="2"/>
  <c r="AI67" i="2"/>
  <c r="AH67" i="2"/>
  <c r="AG67" i="2"/>
  <c r="AF67" i="2"/>
  <c r="AE67" i="2"/>
  <c r="AD67" i="2"/>
  <c r="AM67" i="2" l="1"/>
  <c r="AB67" i="2"/>
  <c r="Z67" i="2"/>
  <c r="Y67" i="2"/>
  <c r="X67" i="2"/>
  <c r="W67" i="2"/>
  <c r="T67" i="2"/>
  <c r="AC67" i="2" l="1"/>
  <c r="AA67" i="2"/>
  <c r="R67" i="2"/>
  <c r="Q67" i="2"/>
  <c r="P67" i="2"/>
  <c r="O67" i="2"/>
  <c r="N67" i="2"/>
  <c r="M67" i="2"/>
  <c r="L67" i="2"/>
  <c r="K67" i="2"/>
  <c r="J67" i="2"/>
  <c r="S67" i="2" l="1"/>
  <c r="H67" i="2"/>
  <c r="F67" i="2"/>
  <c r="E67" i="2"/>
  <c r="D67" i="2"/>
  <c r="C67" i="2"/>
  <c r="BA66" i="2"/>
  <c r="AZ66" i="2"/>
  <c r="AY66" i="2"/>
  <c r="AX66" i="2"/>
  <c r="AW66" i="2"/>
  <c r="AV66" i="2"/>
  <c r="I67" i="2" l="1"/>
  <c r="G67" i="2"/>
  <c r="AT66" i="2"/>
  <c r="AR66" i="2"/>
  <c r="AQ66" i="2"/>
  <c r="AP66" i="2"/>
  <c r="AU66" i="2" l="1"/>
  <c r="AS66" i="2"/>
  <c r="AL66" i="2"/>
  <c r="AK66" i="2"/>
  <c r="AJ66" i="2"/>
  <c r="AI66" i="2"/>
  <c r="AH66" i="2"/>
  <c r="AG66" i="2"/>
  <c r="AF66" i="2"/>
  <c r="AE66" i="2"/>
  <c r="AD66" i="2"/>
  <c r="AM66" i="2" l="1"/>
  <c r="AB66" i="2"/>
  <c r="Z66" i="2"/>
  <c r="Y66" i="2"/>
  <c r="X66" i="2"/>
  <c r="W66" i="2"/>
  <c r="T66" i="2"/>
  <c r="AC66" i="2" l="1"/>
  <c r="AA66" i="2"/>
  <c r="R66" i="2"/>
  <c r="Q66" i="2"/>
  <c r="P66" i="2"/>
  <c r="O66" i="2"/>
  <c r="N66" i="2"/>
  <c r="M66" i="2"/>
  <c r="L66" i="2"/>
  <c r="K66" i="2"/>
  <c r="J66" i="2"/>
  <c r="S66" i="2" l="1"/>
  <c r="H66" i="2"/>
  <c r="F66" i="2"/>
  <c r="E66" i="2"/>
  <c r="D66" i="2"/>
  <c r="C66" i="2"/>
  <c r="BA65" i="2"/>
  <c r="AZ65" i="2"/>
  <c r="AY65" i="2"/>
  <c r="AX65" i="2"/>
  <c r="AW65" i="2"/>
  <c r="AV65" i="2"/>
  <c r="I66" i="2" l="1"/>
  <c r="G66" i="2"/>
  <c r="AT65" i="2"/>
  <c r="AR65" i="2"/>
  <c r="AQ65" i="2"/>
  <c r="AP65" i="2"/>
  <c r="AU65" i="2" l="1"/>
  <c r="AS65" i="2"/>
  <c r="AL65" i="2"/>
  <c r="AK65" i="2"/>
  <c r="AJ65" i="2"/>
  <c r="AI65" i="2"/>
  <c r="AH65" i="2"/>
  <c r="AG65" i="2"/>
  <c r="AF65" i="2"/>
  <c r="AE65" i="2"/>
  <c r="AD65" i="2"/>
  <c r="AM65" i="2" l="1"/>
  <c r="AB65" i="2"/>
  <c r="Z65" i="2"/>
  <c r="Y65" i="2"/>
  <c r="X65" i="2"/>
  <c r="W65" i="2"/>
  <c r="T65" i="2"/>
  <c r="AC65" i="2" l="1"/>
  <c r="AA65" i="2"/>
  <c r="R65" i="2"/>
  <c r="Q65" i="2"/>
  <c r="P65" i="2"/>
  <c r="O65" i="2"/>
  <c r="N65" i="2"/>
  <c r="M65" i="2"/>
  <c r="L65" i="2"/>
  <c r="K65" i="2"/>
  <c r="J65" i="2"/>
  <c r="S65" i="2" l="1"/>
  <c r="H65" i="2"/>
  <c r="F65" i="2"/>
  <c r="E65" i="2"/>
  <c r="D65" i="2"/>
  <c r="C65" i="2"/>
  <c r="BA64" i="2"/>
  <c r="AZ64" i="2"/>
  <c r="AY64" i="2"/>
  <c r="AX64" i="2"/>
  <c r="AW64" i="2"/>
  <c r="AV64" i="2"/>
  <c r="I65" i="2" l="1"/>
  <c r="G65" i="2"/>
  <c r="AT64" i="2"/>
  <c r="AR64" i="2"/>
  <c r="AP64" i="2"/>
  <c r="AU64" i="2" l="1"/>
  <c r="AS64" i="2"/>
  <c r="AL64" i="2"/>
  <c r="AK64" i="2"/>
  <c r="AJ64" i="2"/>
  <c r="AI64" i="2"/>
  <c r="AH64" i="2"/>
  <c r="AG64" i="2"/>
  <c r="AF64" i="2"/>
  <c r="AE64" i="2"/>
  <c r="AD64" i="2"/>
  <c r="AM64" i="2" l="1"/>
  <c r="AB64" i="2"/>
  <c r="Z64" i="2"/>
  <c r="Y64" i="2"/>
  <c r="X64" i="2"/>
  <c r="W64" i="2"/>
  <c r="T64" i="2"/>
  <c r="AC64" i="2" l="1"/>
  <c r="AA64" i="2"/>
  <c r="R64" i="2"/>
  <c r="Q64" i="2"/>
  <c r="P64" i="2"/>
  <c r="O64" i="2"/>
  <c r="N64" i="2"/>
  <c r="M64" i="2"/>
  <c r="L64" i="2"/>
  <c r="K64" i="2"/>
  <c r="J64" i="2"/>
  <c r="S64" i="2" l="1"/>
  <c r="H64" i="2"/>
  <c r="F64" i="2"/>
  <c r="E64" i="2"/>
  <c r="D64" i="2"/>
  <c r="C64" i="2"/>
  <c r="BA63" i="2"/>
  <c r="AZ63" i="2"/>
  <c r="AY63" i="2"/>
  <c r="AX63" i="2"/>
  <c r="AW63" i="2"/>
  <c r="AV63" i="2"/>
  <c r="I64" i="2" l="1"/>
  <c r="G64" i="2"/>
  <c r="AT63" i="2"/>
  <c r="AR63" i="2"/>
  <c r="AQ63" i="2"/>
  <c r="AP63" i="2"/>
  <c r="AU63" i="2" l="1"/>
  <c r="AS63" i="2"/>
  <c r="AL63" i="2"/>
  <c r="AK63" i="2"/>
  <c r="AJ63" i="2"/>
  <c r="AI63" i="2"/>
  <c r="AH63" i="2"/>
  <c r="AG63" i="2"/>
  <c r="AF63" i="2"/>
  <c r="AE63" i="2"/>
  <c r="AD63" i="2"/>
  <c r="AM63" i="2" l="1"/>
  <c r="AB63" i="2"/>
  <c r="Z63" i="2"/>
  <c r="Y63" i="2"/>
  <c r="X63" i="2"/>
  <c r="W63" i="2"/>
  <c r="T63" i="2"/>
  <c r="AC63" i="2" l="1"/>
  <c r="AA63" i="2"/>
  <c r="R63" i="2"/>
  <c r="Q63" i="2"/>
  <c r="P63" i="2"/>
  <c r="O63" i="2"/>
  <c r="N63" i="2"/>
  <c r="M63" i="2"/>
  <c r="L63" i="2"/>
  <c r="K63" i="2"/>
  <c r="J63" i="2"/>
  <c r="S63" i="2" l="1"/>
  <c r="H63" i="2"/>
  <c r="F63" i="2"/>
  <c r="E63" i="2"/>
  <c r="D63" i="2"/>
  <c r="C63" i="2"/>
  <c r="BA62" i="2"/>
  <c r="AZ62" i="2"/>
  <c r="AY62" i="2"/>
  <c r="AX62" i="2"/>
  <c r="AW62" i="2"/>
  <c r="AV62" i="2"/>
  <c r="I63" i="2" l="1"/>
  <c r="G63" i="2"/>
  <c r="AT62" i="2"/>
  <c r="AR62" i="2"/>
  <c r="AQ62" i="2"/>
  <c r="AP62" i="2"/>
  <c r="AU62" i="2" l="1"/>
  <c r="AS62" i="2"/>
  <c r="AL62" i="2"/>
  <c r="AK62" i="2"/>
  <c r="AJ62" i="2"/>
  <c r="AI62" i="2"/>
  <c r="AH62" i="2"/>
  <c r="AG62" i="2"/>
  <c r="AF62" i="2"/>
  <c r="AE62" i="2"/>
  <c r="AD62" i="2"/>
  <c r="AM62" i="2" l="1"/>
  <c r="AB62" i="2"/>
  <c r="Z62" i="2"/>
  <c r="Y62" i="2"/>
  <c r="X62" i="2"/>
  <c r="W62" i="2"/>
  <c r="T62" i="2"/>
  <c r="AC62" i="2" l="1"/>
  <c r="AA62" i="2"/>
  <c r="R62" i="2"/>
  <c r="Q62" i="2"/>
  <c r="P62" i="2"/>
  <c r="O62" i="2"/>
  <c r="N62" i="2"/>
  <c r="M62" i="2"/>
  <c r="L62" i="2"/>
  <c r="K62" i="2"/>
  <c r="J62" i="2"/>
  <c r="S62" i="2" l="1"/>
  <c r="H62" i="2"/>
  <c r="F62" i="2"/>
  <c r="E62" i="2"/>
  <c r="D62" i="2"/>
  <c r="C62" i="2"/>
  <c r="BA61" i="2"/>
  <c r="AZ61" i="2"/>
  <c r="AY61" i="2"/>
  <c r="AX61" i="2"/>
  <c r="AW61" i="2"/>
  <c r="AV61" i="2"/>
  <c r="I62" i="2" l="1"/>
  <c r="G62" i="2"/>
  <c r="AT61" i="2"/>
  <c r="AR61" i="2"/>
  <c r="AQ61" i="2"/>
  <c r="AP61" i="2"/>
  <c r="AU61" i="2" l="1"/>
  <c r="AS61" i="2"/>
  <c r="AL61" i="2"/>
  <c r="AK61" i="2"/>
  <c r="AJ61" i="2"/>
  <c r="AI61" i="2"/>
  <c r="AH61" i="2"/>
  <c r="AG61" i="2"/>
  <c r="AF61" i="2"/>
  <c r="AE61" i="2"/>
  <c r="AD61" i="2"/>
  <c r="AM61" i="2" l="1"/>
  <c r="AB61" i="2"/>
  <c r="Z61" i="2"/>
  <c r="Y61" i="2"/>
  <c r="X61" i="2"/>
  <c r="W61" i="2"/>
  <c r="T61" i="2"/>
  <c r="AC61" i="2" l="1"/>
  <c r="AA61" i="2"/>
  <c r="R61" i="2"/>
  <c r="Q61" i="2"/>
  <c r="P61" i="2"/>
  <c r="O61" i="2"/>
  <c r="N61" i="2"/>
  <c r="M61" i="2"/>
  <c r="L61" i="2"/>
  <c r="K61" i="2"/>
  <c r="J61" i="2"/>
  <c r="S61" i="2" l="1"/>
  <c r="H61" i="2"/>
  <c r="F61" i="2"/>
  <c r="E61" i="2"/>
  <c r="D61" i="2"/>
  <c r="C61" i="2"/>
  <c r="BA60" i="2"/>
  <c r="AZ60" i="2"/>
  <c r="AY60" i="2"/>
  <c r="AX60" i="2"/>
  <c r="AW60" i="2"/>
  <c r="AV60" i="2"/>
  <c r="I61" i="2" l="1"/>
  <c r="G61" i="2"/>
  <c r="AT60" i="2"/>
  <c r="AR60" i="2"/>
  <c r="AQ60" i="2"/>
  <c r="AP60" i="2"/>
  <c r="AU60" i="2" l="1"/>
  <c r="AS60" i="2"/>
  <c r="AL60" i="2"/>
  <c r="AK60" i="2"/>
  <c r="AJ60" i="2"/>
  <c r="AI60" i="2"/>
  <c r="AH60" i="2"/>
  <c r="AG60" i="2"/>
  <c r="AF60" i="2"/>
  <c r="AE60" i="2"/>
  <c r="AD60" i="2"/>
  <c r="AM60" i="2" l="1"/>
  <c r="AB60" i="2"/>
  <c r="Z60" i="2"/>
  <c r="Y60" i="2"/>
  <c r="X60" i="2"/>
  <c r="W60" i="2"/>
  <c r="T60" i="2"/>
  <c r="AC60" i="2" l="1"/>
  <c r="AA60" i="2"/>
  <c r="R60" i="2"/>
  <c r="Q60" i="2"/>
  <c r="P60" i="2"/>
  <c r="O60" i="2"/>
  <c r="N60" i="2"/>
  <c r="M60" i="2"/>
  <c r="L60" i="2"/>
  <c r="K60" i="2"/>
  <c r="J60" i="2"/>
  <c r="S60" i="2" l="1"/>
  <c r="H60" i="2"/>
  <c r="F60" i="2"/>
  <c r="E60" i="2"/>
  <c r="D60" i="2"/>
  <c r="C60" i="2"/>
  <c r="BA59" i="2"/>
  <c r="AZ59" i="2"/>
  <c r="AY59" i="2"/>
  <c r="AX59" i="2"/>
  <c r="AW59" i="2"/>
  <c r="AV59" i="2"/>
  <c r="I60" i="2" l="1"/>
  <c r="G60" i="2"/>
  <c r="AT59" i="2"/>
  <c r="AR59" i="2"/>
  <c r="AQ59" i="2"/>
  <c r="AP59" i="2"/>
  <c r="AU59" i="2" l="1"/>
  <c r="AS59" i="2"/>
  <c r="AL59" i="2"/>
  <c r="AK59" i="2"/>
  <c r="AJ59" i="2"/>
  <c r="AI59" i="2"/>
  <c r="AH59" i="2"/>
  <c r="AG59" i="2"/>
  <c r="AF59" i="2"/>
  <c r="AE59" i="2"/>
  <c r="AD59" i="2"/>
  <c r="AM59" i="2" l="1"/>
  <c r="AB59" i="2"/>
  <c r="Z59" i="2"/>
  <c r="Y59" i="2"/>
  <c r="X59" i="2"/>
  <c r="W59" i="2"/>
  <c r="T59" i="2"/>
  <c r="AC59" i="2" l="1"/>
  <c r="AA59" i="2"/>
  <c r="R59" i="2"/>
  <c r="Q59" i="2"/>
  <c r="P59" i="2"/>
  <c r="O59" i="2"/>
  <c r="N59" i="2"/>
  <c r="M59" i="2"/>
  <c r="L59" i="2"/>
  <c r="K59" i="2"/>
  <c r="J59" i="2"/>
  <c r="S59" i="2" l="1"/>
  <c r="H59" i="2"/>
  <c r="F59" i="2"/>
  <c r="E59" i="2"/>
  <c r="D59" i="2"/>
  <c r="C59" i="2"/>
  <c r="BA58" i="2"/>
  <c r="AZ58" i="2"/>
  <c r="AY58" i="2"/>
  <c r="AX58" i="2"/>
  <c r="AW58" i="2"/>
  <c r="AV58" i="2"/>
  <c r="I59" i="2" l="1"/>
  <c r="G59" i="2"/>
  <c r="AT58" i="2"/>
  <c r="AR58" i="2"/>
  <c r="AQ58" i="2"/>
  <c r="AP58" i="2"/>
  <c r="AU58" i="2" l="1"/>
  <c r="AS58" i="2"/>
  <c r="AL58" i="2"/>
  <c r="AK58" i="2"/>
  <c r="AJ58" i="2"/>
  <c r="AI58" i="2"/>
  <c r="AH58" i="2"/>
  <c r="AG58" i="2"/>
  <c r="AF58" i="2"/>
  <c r="AE58" i="2"/>
  <c r="AD58" i="2"/>
  <c r="AM58" i="2" l="1"/>
  <c r="AB58" i="2"/>
  <c r="Z58" i="2"/>
  <c r="Y58" i="2"/>
  <c r="X58" i="2"/>
  <c r="W58" i="2"/>
  <c r="T58" i="2"/>
  <c r="AC58" i="2" l="1"/>
  <c r="AA58" i="2"/>
  <c r="R58" i="2"/>
  <c r="Q58" i="2"/>
  <c r="P58" i="2"/>
  <c r="O58" i="2"/>
  <c r="N58" i="2"/>
  <c r="M58" i="2"/>
  <c r="L58" i="2"/>
  <c r="K58" i="2"/>
  <c r="J58" i="2"/>
  <c r="S58" i="2" l="1"/>
  <c r="H58" i="2"/>
  <c r="F58" i="2"/>
  <c r="E58" i="2"/>
  <c r="D58" i="2"/>
  <c r="C58" i="2"/>
  <c r="BA57" i="2"/>
  <c r="AZ57" i="2"/>
  <c r="AY57" i="2"/>
  <c r="AX57" i="2"/>
  <c r="AW57" i="2"/>
  <c r="AV57" i="2"/>
  <c r="I58" i="2" l="1"/>
  <c r="G58" i="2"/>
  <c r="AT57" i="2"/>
  <c r="AR57" i="2"/>
  <c r="AQ57" i="2"/>
  <c r="AP57" i="2"/>
  <c r="AU57" i="2" l="1"/>
  <c r="AS57" i="2"/>
  <c r="AL57" i="2"/>
  <c r="AK57" i="2"/>
  <c r="AJ57" i="2"/>
  <c r="AI57" i="2"/>
  <c r="AH57" i="2"/>
  <c r="AG57" i="2"/>
  <c r="AF57" i="2"/>
  <c r="AE57" i="2"/>
  <c r="AD57" i="2"/>
  <c r="AM57" i="2" l="1"/>
  <c r="AB57" i="2"/>
  <c r="Z57" i="2"/>
  <c r="Y57" i="2"/>
  <c r="X57" i="2"/>
  <c r="W57" i="2"/>
  <c r="T57" i="2"/>
  <c r="AC57" i="2" l="1"/>
  <c r="AA57" i="2"/>
  <c r="R57" i="2"/>
  <c r="Q57" i="2"/>
  <c r="P57" i="2"/>
  <c r="O57" i="2"/>
  <c r="N57" i="2"/>
  <c r="M57" i="2"/>
  <c r="L57" i="2"/>
  <c r="K57" i="2"/>
  <c r="J57" i="2"/>
  <c r="S57" i="2" l="1"/>
  <c r="H57" i="2"/>
  <c r="F57" i="2"/>
  <c r="E57" i="2"/>
  <c r="D57" i="2"/>
  <c r="C57" i="2"/>
  <c r="BA56" i="2"/>
  <c r="AZ56" i="2"/>
  <c r="AY56" i="2"/>
  <c r="AX56" i="2"/>
  <c r="AW56" i="2"/>
  <c r="AV56" i="2"/>
  <c r="I57" i="2" l="1"/>
  <c r="G57" i="2"/>
  <c r="AT56" i="2"/>
  <c r="AR56" i="2"/>
  <c r="AQ56" i="2"/>
  <c r="AP56" i="2"/>
  <c r="AU56" i="2" l="1"/>
  <c r="AS56" i="2"/>
  <c r="AL56" i="2"/>
  <c r="AK56" i="2"/>
  <c r="AJ56" i="2"/>
  <c r="AI56" i="2"/>
  <c r="AH56" i="2"/>
  <c r="AG56" i="2"/>
  <c r="AF56" i="2"/>
  <c r="AE56" i="2"/>
  <c r="AD56" i="2"/>
  <c r="AM56" i="2" l="1"/>
  <c r="AB56" i="2"/>
  <c r="Z56" i="2"/>
  <c r="Y56" i="2"/>
  <c r="X56" i="2"/>
  <c r="W56" i="2"/>
  <c r="T56" i="2"/>
  <c r="AC56" i="2" l="1"/>
  <c r="AA56" i="2"/>
  <c r="R56" i="2"/>
  <c r="Q56" i="2"/>
  <c r="P56" i="2"/>
  <c r="O56" i="2"/>
  <c r="N56" i="2"/>
  <c r="M56" i="2"/>
  <c r="L56" i="2"/>
  <c r="K56" i="2"/>
  <c r="J56" i="2"/>
  <c r="S56" i="2" l="1"/>
  <c r="H56" i="2"/>
  <c r="F56" i="2"/>
  <c r="E56" i="2"/>
  <c r="D56" i="2"/>
  <c r="C56" i="2"/>
  <c r="BA55" i="2"/>
  <c r="AZ55" i="2"/>
  <c r="AY55" i="2"/>
  <c r="AX55" i="2"/>
  <c r="AW55" i="2"/>
  <c r="AV55" i="2"/>
  <c r="I56" i="2" l="1"/>
  <c r="G56" i="2"/>
  <c r="AT55" i="2"/>
  <c r="AR55" i="2"/>
  <c r="AQ55" i="2"/>
  <c r="AP55" i="2"/>
  <c r="AU55" i="2" l="1"/>
  <c r="AS55" i="2"/>
  <c r="AL55" i="2"/>
  <c r="AK55" i="2"/>
  <c r="AJ55" i="2"/>
  <c r="AI55" i="2"/>
  <c r="AH55" i="2"/>
  <c r="AG55" i="2"/>
  <c r="AF55" i="2"/>
  <c r="AE55" i="2"/>
  <c r="AD55" i="2"/>
  <c r="AM55" i="2" l="1"/>
  <c r="AB55" i="2"/>
  <c r="Z55" i="2"/>
  <c r="Y55" i="2"/>
  <c r="X55" i="2"/>
  <c r="W55" i="2"/>
  <c r="T55" i="2"/>
  <c r="AC55" i="2" l="1"/>
  <c r="AA55" i="2"/>
  <c r="R55" i="2"/>
  <c r="Q55" i="2"/>
  <c r="P55" i="2"/>
  <c r="O55" i="2"/>
  <c r="N55" i="2"/>
  <c r="M55" i="2"/>
  <c r="L55" i="2"/>
  <c r="K55" i="2"/>
  <c r="J55" i="2"/>
  <c r="S55" i="2" l="1"/>
  <c r="H55" i="2"/>
  <c r="F55" i="2"/>
  <c r="E55" i="2"/>
  <c r="D55" i="2"/>
  <c r="C55" i="2"/>
  <c r="BA54" i="2"/>
  <c r="AZ54" i="2"/>
  <c r="AY54" i="2"/>
  <c r="AX54" i="2"/>
  <c r="AW54" i="2"/>
  <c r="AV54" i="2"/>
  <c r="I55" i="2" l="1"/>
  <c r="G55" i="2"/>
  <c r="AT54" i="2"/>
  <c r="AR54" i="2"/>
  <c r="AQ54" i="2"/>
  <c r="AP54" i="2"/>
  <c r="AU54" i="2" l="1"/>
  <c r="AS54" i="2"/>
  <c r="AL54" i="2"/>
  <c r="AK54" i="2"/>
  <c r="AJ54" i="2"/>
  <c r="AI54" i="2"/>
  <c r="AH54" i="2"/>
  <c r="AG54" i="2"/>
  <c r="AF54" i="2"/>
  <c r="AE54" i="2"/>
  <c r="AD54" i="2"/>
  <c r="AM54" i="2" l="1"/>
  <c r="AB54" i="2"/>
  <c r="Z54" i="2"/>
  <c r="Y54" i="2"/>
  <c r="X54" i="2"/>
  <c r="W54" i="2"/>
  <c r="T54" i="2"/>
  <c r="AC54" i="2" l="1"/>
  <c r="AA54" i="2"/>
  <c r="R54" i="2"/>
  <c r="Q54" i="2"/>
  <c r="P54" i="2"/>
  <c r="O54" i="2"/>
  <c r="N54" i="2"/>
  <c r="M54" i="2"/>
  <c r="L54" i="2"/>
  <c r="K54" i="2"/>
  <c r="J54" i="2"/>
  <c r="S54" i="2" l="1"/>
  <c r="H54" i="2"/>
  <c r="F54" i="2"/>
  <c r="E54" i="2"/>
  <c r="D54" i="2"/>
  <c r="C54" i="2"/>
  <c r="BA53" i="2"/>
  <c r="AZ53" i="2"/>
  <c r="AY53" i="2"/>
  <c r="AX53" i="2"/>
  <c r="AW53" i="2"/>
  <c r="AV53" i="2"/>
  <c r="I54" i="2" l="1"/>
  <c r="G54" i="2"/>
  <c r="AT53" i="2"/>
  <c r="AR53" i="2"/>
  <c r="AQ53" i="2"/>
  <c r="AP53" i="2"/>
  <c r="AU53" i="2" l="1"/>
  <c r="AS53" i="2"/>
  <c r="AL53" i="2"/>
  <c r="AK53" i="2"/>
  <c r="AJ53" i="2"/>
  <c r="AI53" i="2"/>
  <c r="AH53" i="2"/>
  <c r="AG53" i="2"/>
  <c r="AF53" i="2"/>
  <c r="AE53" i="2"/>
  <c r="AD53" i="2"/>
  <c r="AM53" i="2" l="1"/>
  <c r="AB53" i="2"/>
  <c r="Z53" i="2"/>
  <c r="Y53" i="2"/>
  <c r="X53" i="2"/>
  <c r="W53" i="2"/>
  <c r="T53" i="2"/>
  <c r="AC53" i="2" l="1"/>
  <c r="AA53" i="2"/>
  <c r="R53" i="2"/>
  <c r="Q53" i="2"/>
  <c r="P53" i="2"/>
  <c r="O53" i="2"/>
  <c r="N53" i="2"/>
  <c r="M53" i="2"/>
  <c r="L53" i="2"/>
  <c r="K53" i="2"/>
  <c r="J53" i="2"/>
  <c r="S53" i="2" l="1"/>
  <c r="H53" i="2"/>
  <c r="F53" i="2"/>
  <c r="E53" i="2"/>
  <c r="D53" i="2"/>
  <c r="C53" i="2"/>
  <c r="BA52" i="2"/>
  <c r="AZ52" i="2"/>
  <c r="AY52" i="2"/>
  <c r="AX52" i="2"/>
  <c r="AW52" i="2"/>
  <c r="AV52" i="2"/>
  <c r="I53" i="2" l="1"/>
  <c r="G53" i="2"/>
  <c r="AT52" i="2"/>
  <c r="AR52" i="2"/>
  <c r="AQ52" i="2"/>
  <c r="AP52" i="2"/>
  <c r="AU52" i="2" l="1"/>
  <c r="AS52" i="2"/>
  <c r="AL52" i="2"/>
  <c r="AK52" i="2"/>
  <c r="AJ52" i="2"/>
  <c r="AI52" i="2"/>
  <c r="AH52" i="2"/>
  <c r="AG52" i="2"/>
  <c r="AF52" i="2"/>
  <c r="AE52" i="2"/>
  <c r="AD52" i="2"/>
  <c r="AM52" i="2" l="1"/>
  <c r="AB52" i="2"/>
  <c r="Z52" i="2"/>
  <c r="Y52" i="2"/>
  <c r="X52" i="2"/>
  <c r="W52" i="2"/>
  <c r="T52" i="2"/>
  <c r="AC52" i="2" l="1"/>
  <c r="AA52" i="2"/>
  <c r="R52" i="2"/>
  <c r="Q52" i="2"/>
  <c r="P52" i="2"/>
  <c r="O52" i="2"/>
  <c r="N52" i="2"/>
  <c r="M52" i="2"/>
  <c r="L52" i="2"/>
  <c r="K52" i="2"/>
  <c r="J52" i="2"/>
  <c r="S52" i="2" l="1"/>
  <c r="H52" i="2"/>
  <c r="F52" i="2"/>
  <c r="E52" i="2"/>
  <c r="D52" i="2"/>
  <c r="C52" i="2"/>
  <c r="BA51" i="2"/>
  <c r="AZ51" i="2"/>
  <c r="AY51" i="2"/>
  <c r="AX51" i="2"/>
  <c r="AW51" i="2"/>
  <c r="AV51" i="2"/>
  <c r="I52" i="2" l="1"/>
  <c r="G52" i="2"/>
  <c r="AT51" i="2"/>
  <c r="AR51" i="2"/>
  <c r="AQ51" i="2"/>
  <c r="AP51" i="2"/>
  <c r="AU51" i="2" l="1"/>
  <c r="AS51" i="2"/>
  <c r="AL51" i="2"/>
  <c r="AK51" i="2"/>
  <c r="AJ51" i="2"/>
  <c r="AI51" i="2"/>
  <c r="AH51" i="2"/>
  <c r="AG51" i="2"/>
  <c r="AF51" i="2"/>
  <c r="AE51" i="2"/>
  <c r="AD51" i="2"/>
  <c r="AM51" i="2" l="1"/>
  <c r="AB51" i="2"/>
  <c r="Z51" i="2"/>
  <c r="Y51" i="2"/>
  <c r="X51" i="2"/>
  <c r="W51" i="2"/>
  <c r="T51" i="2"/>
  <c r="AC51" i="2" l="1"/>
  <c r="AA51" i="2"/>
  <c r="R51" i="2"/>
  <c r="Q51" i="2"/>
  <c r="P51" i="2"/>
  <c r="O51" i="2"/>
  <c r="N51" i="2"/>
  <c r="M51" i="2"/>
  <c r="L51" i="2"/>
  <c r="K51" i="2"/>
  <c r="J51" i="2"/>
  <c r="S51" i="2" l="1"/>
  <c r="H51" i="2"/>
  <c r="F51" i="2"/>
  <c r="E51" i="2"/>
  <c r="D51" i="2"/>
  <c r="C51" i="2"/>
  <c r="BA50" i="2"/>
  <c r="AZ50" i="2"/>
  <c r="AY50" i="2"/>
  <c r="AX50" i="2"/>
  <c r="AW50" i="2"/>
  <c r="AV50" i="2"/>
  <c r="I51" i="2" l="1"/>
  <c r="G51" i="2"/>
  <c r="AT50" i="2"/>
  <c r="AR50" i="2"/>
  <c r="AQ50" i="2"/>
  <c r="AP50" i="2"/>
  <c r="AU50" i="2" l="1"/>
  <c r="AS50" i="2"/>
  <c r="AL50" i="2"/>
  <c r="AK50" i="2"/>
  <c r="AJ50" i="2"/>
  <c r="AI50" i="2"/>
  <c r="AH50" i="2"/>
  <c r="AG50" i="2"/>
  <c r="AF50" i="2"/>
  <c r="AE50" i="2"/>
  <c r="AD50" i="2"/>
  <c r="AM50" i="2" l="1"/>
  <c r="AB50" i="2"/>
  <c r="Z50" i="2"/>
  <c r="Y50" i="2"/>
  <c r="X50" i="2"/>
  <c r="W50" i="2"/>
  <c r="T50" i="2"/>
  <c r="AC50" i="2" l="1"/>
  <c r="AA50" i="2"/>
  <c r="R50" i="2"/>
  <c r="Q50" i="2"/>
  <c r="P50" i="2"/>
  <c r="O50" i="2"/>
  <c r="N50" i="2"/>
  <c r="M50" i="2"/>
  <c r="L50" i="2"/>
  <c r="K50" i="2"/>
  <c r="J50" i="2"/>
  <c r="S50" i="2" l="1"/>
  <c r="H50" i="2"/>
  <c r="F50" i="2"/>
  <c r="E50" i="2"/>
  <c r="D50" i="2"/>
  <c r="C50" i="2"/>
  <c r="BA49" i="2"/>
  <c r="AZ49" i="2"/>
  <c r="AY49" i="2"/>
  <c r="AX49" i="2"/>
  <c r="AW49" i="2"/>
  <c r="AV49" i="2"/>
  <c r="I50" i="2" l="1"/>
  <c r="G50" i="2"/>
  <c r="AT49" i="2"/>
  <c r="AR49" i="2"/>
  <c r="AQ49" i="2"/>
  <c r="AP49" i="2"/>
  <c r="AU49" i="2" l="1"/>
  <c r="AS49" i="2"/>
  <c r="AL49" i="2"/>
  <c r="AK49" i="2"/>
  <c r="AJ49" i="2"/>
  <c r="AI49" i="2"/>
  <c r="AH49" i="2"/>
  <c r="AG49" i="2"/>
  <c r="AF49" i="2"/>
  <c r="AE49" i="2"/>
  <c r="AD49" i="2"/>
  <c r="AM49" i="2" l="1"/>
  <c r="AB49" i="2"/>
  <c r="Z49" i="2"/>
  <c r="Y49" i="2"/>
  <c r="X49" i="2"/>
  <c r="W49" i="2"/>
  <c r="T49" i="2"/>
  <c r="AC49" i="2" l="1"/>
  <c r="AA49" i="2"/>
  <c r="R49" i="2"/>
  <c r="Q49" i="2"/>
  <c r="P49" i="2"/>
  <c r="O49" i="2"/>
  <c r="N49" i="2"/>
  <c r="M49" i="2"/>
  <c r="L49" i="2"/>
  <c r="K49" i="2"/>
  <c r="J49" i="2"/>
  <c r="S49" i="2" l="1"/>
  <c r="H49" i="2"/>
  <c r="F49" i="2"/>
  <c r="E49" i="2"/>
  <c r="D49" i="2"/>
  <c r="C49" i="2"/>
  <c r="BA48" i="2"/>
  <c r="AZ48" i="2"/>
  <c r="AY48" i="2"/>
  <c r="AX48" i="2"/>
  <c r="AW48" i="2"/>
  <c r="AV48" i="2"/>
  <c r="I49" i="2" l="1"/>
  <c r="G49" i="2"/>
  <c r="AT48" i="2"/>
  <c r="AR48" i="2"/>
  <c r="AQ48" i="2"/>
  <c r="AP48" i="2"/>
  <c r="AU48" i="2" l="1"/>
  <c r="AS48" i="2"/>
  <c r="AL48" i="2"/>
  <c r="AK48" i="2"/>
  <c r="AJ48" i="2"/>
  <c r="AI48" i="2"/>
  <c r="AH48" i="2"/>
  <c r="AG48" i="2"/>
  <c r="AF48" i="2"/>
  <c r="AE48" i="2"/>
  <c r="AD48" i="2"/>
  <c r="AM48" i="2" l="1"/>
  <c r="AB48" i="2"/>
  <c r="Z48" i="2"/>
  <c r="Y48" i="2"/>
  <c r="X48" i="2"/>
  <c r="W48" i="2"/>
  <c r="T48" i="2"/>
  <c r="AC48" i="2" l="1"/>
  <c r="AA48" i="2"/>
  <c r="R48" i="2"/>
  <c r="Q48" i="2"/>
  <c r="P48" i="2"/>
  <c r="O48" i="2"/>
  <c r="N48" i="2"/>
  <c r="M48" i="2"/>
  <c r="L48" i="2"/>
  <c r="K48" i="2"/>
  <c r="J48" i="2"/>
  <c r="S48" i="2" l="1"/>
  <c r="H48" i="2"/>
  <c r="F48" i="2"/>
  <c r="E48" i="2"/>
  <c r="D48" i="2"/>
  <c r="C48" i="2"/>
  <c r="BA47" i="2"/>
  <c r="AZ47" i="2"/>
  <c r="AY47" i="2"/>
  <c r="AX47" i="2"/>
  <c r="AW47" i="2"/>
  <c r="AV47" i="2"/>
  <c r="I48" i="2" l="1"/>
  <c r="G48" i="2"/>
  <c r="AT47" i="2"/>
  <c r="AR47" i="2"/>
  <c r="AQ47" i="2"/>
  <c r="AP47" i="2"/>
  <c r="AU47" i="2" l="1"/>
  <c r="AS47" i="2"/>
  <c r="AL47" i="2"/>
  <c r="AK47" i="2"/>
  <c r="AJ47" i="2"/>
  <c r="AI47" i="2"/>
  <c r="AH47" i="2"/>
  <c r="AG47" i="2"/>
  <c r="AF47" i="2"/>
  <c r="AE47" i="2"/>
  <c r="AD47" i="2"/>
  <c r="AM47" i="2" l="1"/>
  <c r="AB47" i="2"/>
  <c r="Z47" i="2"/>
  <c r="Y47" i="2"/>
  <c r="X47" i="2"/>
  <c r="W47" i="2"/>
  <c r="T47" i="2"/>
  <c r="AC47" i="2" l="1"/>
  <c r="AA47" i="2"/>
  <c r="R47" i="2"/>
  <c r="Q47" i="2"/>
  <c r="P47" i="2"/>
  <c r="O47" i="2"/>
  <c r="N47" i="2"/>
  <c r="M47" i="2"/>
  <c r="L47" i="2"/>
  <c r="K47" i="2"/>
  <c r="J47" i="2"/>
  <c r="S47" i="2" l="1"/>
  <c r="H47" i="2"/>
  <c r="F47" i="2"/>
  <c r="E47" i="2"/>
  <c r="D47" i="2"/>
  <c r="C47" i="2"/>
  <c r="BA46" i="2"/>
  <c r="AZ46" i="2"/>
  <c r="AY46" i="2"/>
  <c r="AX46" i="2"/>
  <c r="AW46" i="2"/>
  <c r="AV46" i="2"/>
  <c r="I47" i="2" l="1"/>
  <c r="G47" i="2"/>
  <c r="AT46" i="2"/>
  <c r="AR46" i="2"/>
  <c r="AQ46" i="2"/>
  <c r="AP46" i="2"/>
  <c r="AU46" i="2" l="1"/>
  <c r="AS46" i="2"/>
  <c r="AL46" i="2"/>
  <c r="AK46" i="2"/>
  <c r="AJ46" i="2"/>
  <c r="AI46" i="2"/>
  <c r="AH46" i="2"/>
  <c r="AG46" i="2"/>
  <c r="AF46" i="2"/>
  <c r="AE46" i="2"/>
  <c r="AD46" i="2"/>
  <c r="AM46" i="2" l="1"/>
  <c r="AB46" i="2"/>
  <c r="Z46" i="2"/>
  <c r="Y46" i="2"/>
  <c r="X46" i="2"/>
  <c r="W46" i="2"/>
  <c r="T46" i="2"/>
  <c r="AC46" i="2" l="1"/>
  <c r="AA46" i="2"/>
  <c r="R46" i="2"/>
  <c r="Q46" i="2"/>
  <c r="P46" i="2"/>
  <c r="O46" i="2"/>
  <c r="N46" i="2"/>
  <c r="M46" i="2"/>
  <c r="L46" i="2"/>
  <c r="K46" i="2"/>
  <c r="J46" i="2"/>
  <c r="S46" i="2" l="1"/>
  <c r="H46" i="2"/>
  <c r="F46" i="2"/>
  <c r="E46" i="2"/>
  <c r="D46" i="2"/>
  <c r="C46" i="2"/>
  <c r="BA45" i="2"/>
  <c r="AZ45" i="2"/>
  <c r="AY45" i="2"/>
  <c r="AX45" i="2"/>
  <c r="AW45" i="2"/>
  <c r="AV45" i="2"/>
  <c r="I46" i="2" l="1"/>
  <c r="G46" i="2"/>
  <c r="AT45" i="2"/>
  <c r="AR45" i="2"/>
  <c r="AQ45" i="2"/>
  <c r="AP45" i="2"/>
  <c r="AU45" i="2" l="1"/>
  <c r="AS45" i="2"/>
  <c r="AL45" i="2"/>
  <c r="AK45" i="2"/>
  <c r="AJ45" i="2"/>
  <c r="AI45" i="2"/>
  <c r="AH45" i="2"/>
  <c r="AG45" i="2"/>
  <c r="AF45" i="2"/>
  <c r="AE45" i="2"/>
  <c r="AD45" i="2"/>
  <c r="AM45" i="2" l="1"/>
  <c r="AB45" i="2"/>
  <c r="Z45" i="2"/>
  <c r="Y45" i="2"/>
  <c r="X45" i="2"/>
  <c r="W45" i="2"/>
  <c r="T45" i="2"/>
  <c r="AC45" i="2" l="1"/>
  <c r="AA45" i="2"/>
  <c r="R45" i="2"/>
  <c r="Q45" i="2"/>
  <c r="P45" i="2"/>
  <c r="O45" i="2"/>
  <c r="N45" i="2"/>
  <c r="M45" i="2"/>
  <c r="L45" i="2"/>
  <c r="K45" i="2"/>
  <c r="J45" i="2"/>
  <c r="S45" i="2" l="1"/>
  <c r="H45" i="2"/>
  <c r="F45" i="2"/>
  <c r="E45" i="2"/>
  <c r="D45" i="2"/>
  <c r="C45" i="2"/>
  <c r="BA44" i="2"/>
  <c r="AZ44" i="2"/>
  <c r="AY44" i="2"/>
  <c r="AX44" i="2"/>
  <c r="AW44" i="2"/>
  <c r="AV44" i="2"/>
  <c r="I45" i="2" l="1"/>
  <c r="G45" i="2"/>
  <c r="AT44" i="2"/>
  <c r="AR44" i="2"/>
  <c r="AQ44" i="2"/>
  <c r="AP44" i="2"/>
  <c r="AU44" i="2" l="1"/>
  <c r="AS44" i="2"/>
  <c r="AL44" i="2"/>
  <c r="AK44" i="2"/>
  <c r="AJ44" i="2"/>
  <c r="AI44" i="2"/>
  <c r="AH44" i="2"/>
  <c r="AG44" i="2"/>
  <c r="AF44" i="2"/>
  <c r="AE44" i="2"/>
  <c r="AD44" i="2"/>
  <c r="AM44" i="2" l="1"/>
  <c r="AB44" i="2"/>
  <c r="Z44" i="2"/>
  <c r="Y44" i="2"/>
  <c r="X44" i="2"/>
  <c r="W44" i="2"/>
  <c r="T44" i="2"/>
  <c r="AC44" i="2" l="1"/>
  <c r="AA44" i="2"/>
  <c r="R44" i="2"/>
  <c r="Q44" i="2"/>
  <c r="P44" i="2"/>
  <c r="O44" i="2"/>
  <c r="N44" i="2"/>
  <c r="M44" i="2"/>
  <c r="L44" i="2"/>
  <c r="K44" i="2"/>
  <c r="J44" i="2"/>
  <c r="S44" i="2" l="1"/>
  <c r="H44" i="2"/>
  <c r="F44" i="2"/>
  <c r="E44" i="2"/>
  <c r="D44" i="2"/>
  <c r="C44" i="2"/>
  <c r="BA43" i="2"/>
  <c r="AZ43" i="2"/>
  <c r="AY43" i="2"/>
  <c r="AX43" i="2"/>
  <c r="AW43" i="2"/>
  <c r="AV43" i="2"/>
  <c r="I44" i="2" l="1"/>
  <c r="G44" i="2"/>
  <c r="AT43" i="2"/>
  <c r="AR43" i="2"/>
  <c r="AQ43" i="2"/>
  <c r="AP43" i="2"/>
  <c r="AU43" i="2" l="1"/>
  <c r="AS43" i="2"/>
  <c r="AL43" i="2"/>
  <c r="AK43" i="2"/>
  <c r="AJ43" i="2"/>
  <c r="AI43" i="2"/>
  <c r="AH43" i="2"/>
  <c r="AG43" i="2"/>
  <c r="AF43" i="2"/>
  <c r="AE43" i="2"/>
  <c r="AD43" i="2"/>
  <c r="AM43" i="2" l="1"/>
  <c r="AB43" i="2"/>
  <c r="Z43" i="2"/>
  <c r="Y43" i="2"/>
  <c r="X43" i="2"/>
  <c r="W43" i="2"/>
  <c r="T43" i="2"/>
  <c r="AC43" i="2" l="1"/>
  <c r="AA43" i="2"/>
  <c r="R43" i="2"/>
  <c r="Q43" i="2"/>
  <c r="P43" i="2"/>
  <c r="O43" i="2"/>
  <c r="N43" i="2"/>
  <c r="M43" i="2"/>
  <c r="L43" i="2"/>
  <c r="K43" i="2"/>
  <c r="J43" i="2"/>
  <c r="S43" i="2" l="1"/>
  <c r="H43" i="2"/>
  <c r="F43" i="2"/>
  <c r="E43" i="2"/>
  <c r="D43" i="2"/>
  <c r="C43" i="2"/>
  <c r="BA42" i="2"/>
  <c r="AZ42" i="2"/>
  <c r="AY42" i="2"/>
  <c r="AX42" i="2"/>
  <c r="AW42" i="2"/>
  <c r="AV42" i="2"/>
  <c r="I43" i="2" l="1"/>
  <c r="G43" i="2"/>
  <c r="AT42" i="2"/>
  <c r="AR42" i="2"/>
  <c r="AQ42" i="2"/>
  <c r="AP42" i="2"/>
  <c r="AU42" i="2" l="1"/>
  <c r="AS42" i="2"/>
  <c r="AL42" i="2"/>
  <c r="AK42" i="2"/>
  <c r="AJ42" i="2"/>
  <c r="AI42" i="2"/>
  <c r="AH42" i="2"/>
  <c r="AG42" i="2"/>
  <c r="AF42" i="2"/>
  <c r="AE42" i="2"/>
  <c r="AD42" i="2"/>
  <c r="AM42" i="2" l="1"/>
  <c r="AB42" i="2"/>
  <c r="Z42" i="2"/>
  <c r="Y42" i="2"/>
  <c r="X42" i="2"/>
  <c r="W42" i="2"/>
  <c r="T42" i="2"/>
  <c r="AC42" i="2" l="1"/>
  <c r="AA42" i="2"/>
  <c r="R42" i="2"/>
  <c r="Q42" i="2"/>
  <c r="P42" i="2"/>
  <c r="O42" i="2"/>
  <c r="N42" i="2"/>
  <c r="M42" i="2"/>
  <c r="L42" i="2"/>
  <c r="K42" i="2"/>
  <c r="J42" i="2"/>
  <c r="S42" i="2" l="1"/>
  <c r="H42" i="2"/>
  <c r="F42" i="2"/>
  <c r="E42" i="2"/>
  <c r="D42" i="2"/>
  <c r="C42" i="2"/>
  <c r="BA41" i="2"/>
  <c r="AZ41" i="2"/>
  <c r="AY41" i="2"/>
  <c r="AX41" i="2"/>
  <c r="AW41" i="2"/>
  <c r="AV41" i="2"/>
  <c r="I42" i="2" l="1"/>
  <c r="G42" i="2"/>
  <c r="AT41" i="2"/>
  <c r="AR41" i="2"/>
  <c r="AQ41" i="2"/>
  <c r="AP41" i="2"/>
  <c r="AU41" i="2" l="1"/>
  <c r="AS41" i="2"/>
  <c r="AL41" i="2"/>
  <c r="AK41" i="2"/>
  <c r="AJ41" i="2"/>
  <c r="AI41" i="2"/>
  <c r="AH41" i="2"/>
  <c r="AG41" i="2"/>
  <c r="AF41" i="2"/>
  <c r="AE41" i="2"/>
  <c r="AD41" i="2"/>
  <c r="AM41" i="2" l="1"/>
  <c r="AB41" i="2"/>
  <c r="Z41" i="2"/>
  <c r="Y41" i="2"/>
  <c r="X41" i="2"/>
  <c r="W41" i="2"/>
  <c r="T41" i="2"/>
  <c r="AC41" i="2" l="1"/>
  <c r="AA41" i="2"/>
  <c r="R41" i="2"/>
  <c r="Q41" i="2"/>
  <c r="P41" i="2"/>
  <c r="O41" i="2"/>
  <c r="N41" i="2"/>
  <c r="M41" i="2"/>
  <c r="L41" i="2"/>
  <c r="K41" i="2"/>
  <c r="J41" i="2"/>
  <c r="S41" i="2" l="1"/>
  <c r="H41" i="2"/>
  <c r="F41" i="2"/>
  <c r="E41" i="2"/>
  <c r="D41" i="2"/>
  <c r="C41" i="2"/>
  <c r="BA40" i="2"/>
  <c r="AZ40" i="2"/>
  <c r="AY40" i="2"/>
  <c r="AX40" i="2"/>
  <c r="AW40" i="2"/>
  <c r="AV40" i="2"/>
  <c r="I41" i="2" l="1"/>
  <c r="G41" i="2"/>
  <c r="AT40" i="2"/>
  <c r="AR40" i="2"/>
  <c r="AQ40" i="2"/>
  <c r="AP40" i="2"/>
  <c r="AU40" i="2" l="1"/>
  <c r="AS40" i="2"/>
  <c r="AL40" i="2"/>
  <c r="AK40" i="2"/>
  <c r="AJ40" i="2"/>
  <c r="AI40" i="2"/>
  <c r="AH40" i="2"/>
  <c r="AG40" i="2"/>
  <c r="AF40" i="2"/>
  <c r="AE40" i="2"/>
  <c r="AD40" i="2"/>
  <c r="AM40" i="2" l="1"/>
  <c r="AB40" i="2"/>
  <c r="Z40" i="2"/>
  <c r="Y40" i="2"/>
  <c r="X40" i="2"/>
  <c r="W40" i="2"/>
  <c r="T40" i="2"/>
  <c r="AC40" i="2" l="1"/>
  <c r="AA40" i="2"/>
  <c r="R40" i="2"/>
  <c r="Q40" i="2"/>
  <c r="P40" i="2"/>
  <c r="O40" i="2"/>
  <c r="N40" i="2"/>
  <c r="M40" i="2"/>
  <c r="L40" i="2"/>
  <c r="K40" i="2"/>
  <c r="J40" i="2"/>
  <c r="S40" i="2" l="1"/>
  <c r="H40" i="2"/>
  <c r="F40" i="2"/>
  <c r="E40" i="2"/>
  <c r="D40" i="2"/>
  <c r="C40" i="2"/>
  <c r="BA39" i="2"/>
  <c r="AZ39" i="2"/>
  <c r="AY39" i="2"/>
  <c r="AX39" i="2"/>
  <c r="AW39" i="2"/>
  <c r="AV39" i="2"/>
  <c r="I40" i="2" l="1"/>
  <c r="G40" i="2"/>
  <c r="AT39" i="2"/>
  <c r="AR39" i="2"/>
  <c r="AQ39" i="2"/>
  <c r="AP39" i="2"/>
  <c r="AU39" i="2" l="1"/>
  <c r="AS39" i="2"/>
  <c r="AL39" i="2"/>
  <c r="AK39" i="2"/>
  <c r="AJ39" i="2"/>
  <c r="AI39" i="2"/>
  <c r="AH39" i="2"/>
  <c r="AG39" i="2"/>
  <c r="AF39" i="2"/>
  <c r="AE39" i="2"/>
  <c r="AD39" i="2"/>
  <c r="AM39" i="2" l="1"/>
  <c r="AB39" i="2"/>
  <c r="Z39" i="2"/>
  <c r="Y39" i="2"/>
  <c r="X39" i="2"/>
  <c r="W39" i="2"/>
  <c r="T39" i="2"/>
  <c r="AC39" i="2" l="1"/>
  <c r="AA39" i="2"/>
  <c r="R39" i="2"/>
  <c r="Q39" i="2"/>
  <c r="P39" i="2"/>
  <c r="O39" i="2"/>
  <c r="N39" i="2"/>
  <c r="M39" i="2"/>
  <c r="L39" i="2"/>
  <c r="K39" i="2"/>
  <c r="J39" i="2"/>
  <c r="S39" i="2" l="1"/>
  <c r="H39" i="2"/>
  <c r="F39" i="2"/>
  <c r="E39" i="2"/>
  <c r="D39" i="2"/>
  <c r="C39" i="2"/>
  <c r="BA38" i="2"/>
  <c r="AZ38" i="2"/>
  <c r="AY38" i="2"/>
  <c r="AX38" i="2"/>
  <c r="AW38" i="2"/>
  <c r="AV38" i="2"/>
  <c r="I39" i="2" l="1"/>
  <c r="G39" i="2"/>
  <c r="AT38" i="2"/>
  <c r="AR38" i="2"/>
  <c r="AQ38" i="2"/>
  <c r="AP38" i="2"/>
  <c r="AU38" i="2" l="1"/>
  <c r="AS38" i="2"/>
  <c r="AL38" i="2"/>
  <c r="AK38" i="2"/>
  <c r="AJ38" i="2"/>
  <c r="AI38" i="2"/>
  <c r="AH38" i="2"/>
  <c r="AG38" i="2"/>
  <c r="AF38" i="2"/>
  <c r="AE38" i="2"/>
  <c r="AD38" i="2"/>
  <c r="AM38" i="2" l="1"/>
  <c r="AB38" i="2"/>
  <c r="Z38" i="2"/>
  <c r="Y38" i="2"/>
  <c r="X38" i="2"/>
  <c r="W38" i="2"/>
  <c r="T38" i="2"/>
  <c r="AC38" i="2" l="1"/>
  <c r="AA38" i="2"/>
  <c r="R38" i="2"/>
  <c r="Q38" i="2"/>
  <c r="P38" i="2"/>
  <c r="O38" i="2"/>
  <c r="N38" i="2"/>
  <c r="M38" i="2"/>
  <c r="L38" i="2"/>
  <c r="K38" i="2"/>
  <c r="J38" i="2"/>
  <c r="S38" i="2" l="1"/>
  <c r="H38" i="2"/>
  <c r="F38" i="2"/>
  <c r="E38" i="2"/>
  <c r="D38" i="2"/>
  <c r="C38" i="2"/>
  <c r="BA37" i="2"/>
  <c r="AZ37" i="2"/>
  <c r="AY37" i="2"/>
  <c r="AX37" i="2"/>
  <c r="AW37" i="2"/>
  <c r="AV37" i="2"/>
  <c r="I38" i="2" l="1"/>
  <c r="G38" i="2"/>
  <c r="AT37" i="2"/>
  <c r="AR37" i="2"/>
  <c r="AQ37" i="2"/>
  <c r="AP37" i="2"/>
  <c r="AU37" i="2" l="1"/>
  <c r="AS37" i="2"/>
  <c r="AL37" i="2"/>
  <c r="AK37" i="2"/>
  <c r="AJ37" i="2"/>
  <c r="AI37" i="2"/>
  <c r="AH37" i="2"/>
  <c r="AG37" i="2"/>
  <c r="AF37" i="2"/>
  <c r="AE37" i="2"/>
  <c r="AD37" i="2"/>
  <c r="AM37" i="2" l="1"/>
  <c r="AB37" i="2"/>
  <c r="Z37" i="2"/>
  <c r="Y37" i="2"/>
  <c r="X37" i="2"/>
  <c r="W37" i="2"/>
  <c r="T37" i="2"/>
  <c r="AC37" i="2" l="1"/>
  <c r="AA37" i="2"/>
  <c r="R37" i="2"/>
  <c r="Q37" i="2"/>
  <c r="P37" i="2"/>
  <c r="O37" i="2"/>
  <c r="N37" i="2"/>
  <c r="M37" i="2"/>
  <c r="L37" i="2"/>
  <c r="K37" i="2"/>
  <c r="J37" i="2"/>
  <c r="S37" i="2" l="1"/>
  <c r="H37" i="2"/>
  <c r="F37" i="2"/>
  <c r="E37" i="2"/>
  <c r="D37" i="2"/>
  <c r="C37" i="2"/>
  <c r="BA36" i="2"/>
  <c r="AZ36" i="2"/>
  <c r="AY36" i="2"/>
  <c r="AX36" i="2"/>
  <c r="AW36" i="2"/>
  <c r="AV36" i="2"/>
  <c r="I37" i="2" l="1"/>
  <c r="G37" i="2"/>
  <c r="AT36" i="2"/>
  <c r="AR36" i="2"/>
  <c r="AQ36" i="2"/>
  <c r="AP36" i="2"/>
  <c r="AU36" i="2" l="1"/>
  <c r="AS36" i="2"/>
  <c r="AL36" i="2"/>
  <c r="AK36" i="2"/>
  <c r="AJ36" i="2"/>
  <c r="AI36" i="2"/>
  <c r="AH36" i="2"/>
  <c r="AG36" i="2"/>
  <c r="AF36" i="2"/>
  <c r="AE36" i="2"/>
  <c r="AD36" i="2"/>
  <c r="AM36" i="2" l="1"/>
  <c r="AB36" i="2"/>
  <c r="Z36" i="2"/>
  <c r="Y36" i="2"/>
  <c r="X36" i="2"/>
  <c r="W36" i="2"/>
  <c r="T36" i="2"/>
  <c r="AC36" i="2" l="1"/>
  <c r="AA36" i="2"/>
  <c r="R36" i="2"/>
  <c r="Q36" i="2"/>
  <c r="P36" i="2"/>
  <c r="O36" i="2"/>
  <c r="N36" i="2"/>
  <c r="M36" i="2"/>
  <c r="L36" i="2"/>
  <c r="K36" i="2"/>
  <c r="J36" i="2"/>
  <c r="S36" i="2" l="1"/>
  <c r="H36" i="2"/>
  <c r="F36" i="2"/>
  <c r="E36" i="2"/>
  <c r="D36" i="2"/>
  <c r="C36" i="2"/>
  <c r="BA35" i="2"/>
  <c r="AZ35" i="2"/>
  <c r="AY35" i="2"/>
  <c r="AX35" i="2"/>
  <c r="AW35" i="2"/>
  <c r="AV35" i="2"/>
  <c r="I36" i="2" l="1"/>
  <c r="G36" i="2"/>
  <c r="AT35" i="2"/>
  <c r="AR35" i="2"/>
  <c r="AQ35" i="2"/>
  <c r="AP35" i="2"/>
  <c r="AU35" i="2" l="1"/>
  <c r="AS35" i="2"/>
  <c r="AL35" i="2"/>
  <c r="AK35" i="2"/>
  <c r="AJ35" i="2"/>
  <c r="AI35" i="2"/>
  <c r="AH35" i="2"/>
  <c r="AG35" i="2"/>
  <c r="AF35" i="2"/>
  <c r="AE35" i="2"/>
  <c r="AD35" i="2"/>
  <c r="AM35" i="2" l="1"/>
  <c r="AB35" i="2"/>
  <c r="Z35" i="2"/>
  <c r="Y35" i="2"/>
  <c r="X35" i="2"/>
  <c r="W35" i="2"/>
  <c r="T35" i="2"/>
  <c r="AC35" i="2" l="1"/>
  <c r="AA35" i="2"/>
  <c r="R35" i="2"/>
  <c r="Q35" i="2"/>
  <c r="P35" i="2"/>
  <c r="O35" i="2"/>
  <c r="N35" i="2"/>
  <c r="M35" i="2"/>
  <c r="L35" i="2"/>
  <c r="K35" i="2"/>
  <c r="J35" i="2"/>
  <c r="S35" i="2" l="1"/>
  <c r="H35" i="2"/>
  <c r="F35" i="2"/>
  <c r="E35" i="2"/>
  <c r="D35" i="2"/>
  <c r="C35" i="2"/>
  <c r="BA34" i="2"/>
  <c r="AZ34" i="2"/>
  <c r="AY34" i="2"/>
  <c r="AX34" i="2"/>
  <c r="AW34" i="2"/>
  <c r="AV34" i="2"/>
  <c r="I35" i="2" l="1"/>
  <c r="G35" i="2"/>
  <c r="AT34" i="2"/>
  <c r="AR34" i="2"/>
  <c r="AQ34" i="2"/>
  <c r="AP34" i="2"/>
  <c r="AU34" i="2" l="1"/>
  <c r="AS34" i="2"/>
  <c r="AL34" i="2"/>
  <c r="AK34" i="2"/>
  <c r="AJ34" i="2"/>
  <c r="AI34" i="2"/>
  <c r="AH34" i="2"/>
  <c r="AG34" i="2"/>
  <c r="AF34" i="2"/>
  <c r="AE34" i="2"/>
  <c r="AD34" i="2"/>
  <c r="AM34" i="2" l="1"/>
  <c r="AB34" i="2"/>
  <c r="Z34" i="2"/>
  <c r="Y34" i="2"/>
  <c r="X34" i="2"/>
  <c r="W34" i="2"/>
  <c r="T34" i="2"/>
  <c r="AC34" i="2" l="1"/>
  <c r="AA34" i="2"/>
  <c r="R34" i="2"/>
  <c r="Q34" i="2"/>
  <c r="P34" i="2"/>
  <c r="O34" i="2"/>
  <c r="N34" i="2"/>
  <c r="M34" i="2"/>
  <c r="L34" i="2"/>
  <c r="K34" i="2"/>
  <c r="J34" i="2"/>
  <c r="S34" i="2" l="1"/>
  <c r="H34" i="2"/>
  <c r="F34" i="2"/>
  <c r="E34" i="2"/>
  <c r="D34" i="2"/>
  <c r="C34" i="2"/>
  <c r="BA33" i="2"/>
  <c r="AZ33" i="2"/>
  <c r="AY33" i="2"/>
  <c r="AX33" i="2"/>
  <c r="AW33" i="2"/>
  <c r="AV33" i="2"/>
  <c r="I34" i="2" l="1"/>
  <c r="G34" i="2"/>
  <c r="AT33" i="2"/>
  <c r="AR33" i="2"/>
  <c r="AQ33" i="2"/>
  <c r="AP33" i="2"/>
  <c r="AU33" i="2" l="1"/>
  <c r="AS33" i="2"/>
  <c r="AL33" i="2"/>
  <c r="AK33" i="2"/>
  <c r="AJ33" i="2"/>
  <c r="AI33" i="2"/>
  <c r="AH33" i="2"/>
  <c r="AG33" i="2"/>
  <c r="AF33" i="2"/>
  <c r="AE33" i="2"/>
  <c r="AD33" i="2"/>
  <c r="AM33" i="2" l="1"/>
  <c r="AB33" i="2"/>
  <c r="Z33" i="2"/>
  <c r="Y33" i="2"/>
  <c r="X33" i="2"/>
  <c r="W33" i="2"/>
  <c r="T33" i="2"/>
  <c r="AC33" i="2" l="1"/>
  <c r="AA33" i="2"/>
  <c r="R33" i="2"/>
  <c r="Q33" i="2"/>
  <c r="P33" i="2"/>
  <c r="O33" i="2"/>
  <c r="N33" i="2"/>
  <c r="M33" i="2"/>
  <c r="L33" i="2"/>
  <c r="K33" i="2"/>
  <c r="J33" i="2"/>
  <c r="S33" i="2" l="1"/>
  <c r="H33" i="2"/>
  <c r="F33" i="2"/>
  <c r="E33" i="2"/>
  <c r="D33" i="2"/>
  <c r="C33" i="2"/>
  <c r="BA32" i="2"/>
  <c r="AZ32" i="2"/>
  <c r="AY32" i="2"/>
  <c r="AX32" i="2"/>
  <c r="AW32" i="2"/>
  <c r="AV32" i="2"/>
  <c r="I33" i="2" l="1"/>
  <c r="G33" i="2"/>
  <c r="AT32" i="2"/>
  <c r="AR32" i="2"/>
  <c r="AQ32" i="2"/>
  <c r="AP32" i="2"/>
  <c r="AU32" i="2" l="1"/>
  <c r="AS32" i="2"/>
  <c r="AL32" i="2"/>
  <c r="AK32" i="2"/>
  <c r="AJ32" i="2"/>
  <c r="AI32" i="2"/>
  <c r="AH32" i="2"/>
  <c r="AG32" i="2"/>
  <c r="AF32" i="2"/>
  <c r="AE32" i="2"/>
  <c r="AD32" i="2"/>
  <c r="AM32" i="2" l="1"/>
  <c r="AB32" i="2"/>
  <c r="Z32" i="2"/>
  <c r="Y32" i="2"/>
  <c r="X32" i="2"/>
  <c r="W32" i="2"/>
  <c r="T32" i="2"/>
  <c r="AC32" i="2" l="1"/>
  <c r="AA32" i="2"/>
  <c r="R32" i="2"/>
  <c r="Q32" i="2"/>
  <c r="P32" i="2"/>
  <c r="O32" i="2"/>
  <c r="N32" i="2"/>
  <c r="M32" i="2"/>
  <c r="L32" i="2"/>
  <c r="K32" i="2"/>
  <c r="J32" i="2"/>
  <c r="S32" i="2" l="1"/>
  <c r="H32" i="2"/>
  <c r="F32" i="2"/>
  <c r="E32" i="2"/>
  <c r="D32" i="2"/>
  <c r="C32" i="2"/>
  <c r="BA31" i="2"/>
  <c r="AZ31" i="2"/>
  <c r="AY31" i="2"/>
  <c r="AX31" i="2"/>
  <c r="AW31" i="2"/>
  <c r="AV31" i="2"/>
  <c r="I32" i="2" l="1"/>
  <c r="G32" i="2"/>
  <c r="AT31" i="2"/>
  <c r="AR31" i="2"/>
  <c r="AQ31" i="2"/>
  <c r="AP31" i="2"/>
  <c r="AU31" i="2" l="1"/>
  <c r="AS31" i="2"/>
  <c r="AL31" i="2"/>
  <c r="AK31" i="2"/>
  <c r="AJ31" i="2"/>
  <c r="AI31" i="2"/>
  <c r="AH31" i="2"/>
  <c r="AG31" i="2"/>
  <c r="AF31" i="2"/>
  <c r="AE31" i="2"/>
  <c r="AD31" i="2"/>
  <c r="AM31" i="2" l="1"/>
  <c r="AB31" i="2"/>
  <c r="Z31" i="2"/>
  <c r="Y31" i="2"/>
  <c r="X31" i="2"/>
  <c r="W31" i="2"/>
  <c r="T31" i="2"/>
  <c r="AC31" i="2" l="1"/>
  <c r="AA31" i="2"/>
  <c r="R31" i="2"/>
  <c r="Q31" i="2"/>
  <c r="P31" i="2"/>
  <c r="O31" i="2"/>
  <c r="N31" i="2"/>
  <c r="M31" i="2"/>
  <c r="L31" i="2"/>
  <c r="K31" i="2"/>
  <c r="J31" i="2"/>
  <c r="S31" i="2" l="1"/>
  <c r="H31" i="2"/>
  <c r="F31" i="2"/>
  <c r="E31" i="2"/>
  <c r="D31" i="2"/>
  <c r="C31" i="2"/>
  <c r="BA30" i="2"/>
  <c r="AZ30" i="2"/>
  <c r="AY30" i="2"/>
  <c r="AX30" i="2"/>
  <c r="AW30" i="2"/>
  <c r="AV30" i="2"/>
  <c r="I31" i="2" l="1"/>
  <c r="G31" i="2"/>
  <c r="AT30" i="2"/>
  <c r="AR30" i="2"/>
  <c r="AQ30" i="2"/>
  <c r="AP30" i="2"/>
  <c r="AU30" i="2" l="1"/>
  <c r="AS30" i="2"/>
  <c r="AL30" i="2"/>
  <c r="AK30" i="2"/>
  <c r="AJ30" i="2"/>
  <c r="AI30" i="2"/>
  <c r="AH30" i="2"/>
  <c r="AG30" i="2"/>
  <c r="AF30" i="2"/>
  <c r="AE30" i="2"/>
  <c r="AD30" i="2"/>
  <c r="AM30" i="2" l="1"/>
  <c r="AB30" i="2"/>
  <c r="Z30" i="2"/>
  <c r="Y30" i="2"/>
  <c r="X30" i="2"/>
  <c r="W30" i="2"/>
  <c r="T30" i="2"/>
  <c r="AC30" i="2" l="1"/>
  <c r="AA30" i="2"/>
  <c r="R30" i="2"/>
  <c r="Q30" i="2"/>
  <c r="P30" i="2"/>
  <c r="O30" i="2"/>
  <c r="N30" i="2"/>
  <c r="M30" i="2"/>
  <c r="L30" i="2"/>
  <c r="K30" i="2"/>
  <c r="J30" i="2"/>
  <c r="S30" i="2" l="1"/>
  <c r="H30" i="2"/>
  <c r="F30" i="2"/>
  <c r="E30" i="2"/>
  <c r="D30" i="2"/>
  <c r="C30" i="2"/>
  <c r="BA29" i="2"/>
  <c r="AZ29" i="2"/>
  <c r="AY29" i="2"/>
  <c r="AX29" i="2"/>
  <c r="AW29" i="2"/>
  <c r="AV29" i="2"/>
  <c r="I30" i="2" l="1"/>
  <c r="G30" i="2"/>
  <c r="AT29" i="2"/>
  <c r="AR29" i="2"/>
  <c r="AQ29" i="2"/>
  <c r="AP29" i="2"/>
  <c r="AU29" i="2" l="1"/>
  <c r="AS29" i="2"/>
  <c r="AL29" i="2"/>
  <c r="AK29" i="2"/>
  <c r="AJ29" i="2"/>
  <c r="AI29" i="2"/>
  <c r="AH29" i="2"/>
  <c r="AG29" i="2"/>
  <c r="AF29" i="2"/>
  <c r="AE29" i="2"/>
  <c r="AD29" i="2"/>
  <c r="AM29" i="2" l="1"/>
  <c r="AB29" i="2"/>
  <c r="Z29" i="2"/>
  <c r="Y29" i="2"/>
  <c r="X29" i="2"/>
  <c r="W29" i="2"/>
  <c r="T29" i="2"/>
  <c r="AC29" i="2" l="1"/>
  <c r="AA29" i="2"/>
  <c r="R29" i="2"/>
  <c r="Q29" i="2"/>
  <c r="P29" i="2"/>
  <c r="O29" i="2"/>
  <c r="N29" i="2"/>
  <c r="M29" i="2"/>
  <c r="L29" i="2"/>
  <c r="K29" i="2"/>
  <c r="J29" i="2"/>
  <c r="S29" i="2" l="1"/>
  <c r="H29" i="2"/>
  <c r="F29" i="2"/>
  <c r="E29" i="2"/>
  <c r="D29" i="2"/>
  <c r="C29" i="2"/>
  <c r="BA28" i="2"/>
  <c r="AZ28" i="2"/>
  <c r="AY28" i="2"/>
  <c r="AX28" i="2"/>
  <c r="AW28" i="2"/>
  <c r="AV28" i="2"/>
  <c r="I29" i="2" l="1"/>
  <c r="G29" i="2"/>
  <c r="AT28" i="2"/>
  <c r="AR28" i="2"/>
  <c r="AQ28" i="2"/>
  <c r="AP28" i="2"/>
  <c r="AU28" i="2" l="1"/>
  <c r="AS28" i="2"/>
  <c r="AL28" i="2"/>
  <c r="AK28" i="2"/>
  <c r="AJ28" i="2"/>
  <c r="AI28" i="2"/>
  <c r="AH28" i="2"/>
  <c r="AG28" i="2"/>
  <c r="AF28" i="2"/>
  <c r="AE28" i="2"/>
  <c r="AD28" i="2"/>
  <c r="AM28" i="2" l="1"/>
  <c r="AB28" i="2"/>
  <c r="Z28" i="2"/>
  <c r="Y28" i="2"/>
  <c r="X28" i="2"/>
  <c r="W28" i="2"/>
  <c r="T28" i="2"/>
  <c r="AC28" i="2" l="1"/>
  <c r="AA28" i="2"/>
  <c r="R28" i="2"/>
  <c r="Q28" i="2"/>
  <c r="P28" i="2"/>
  <c r="O28" i="2"/>
  <c r="N28" i="2"/>
  <c r="M28" i="2"/>
  <c r="L28" i="2"/>
  <c r="K28" i="2"/>
  <c r="J28" i="2"/>
  <c r="S28" i="2" l="1"/>
  <c r="H28" i="2"/>
  <c r="F28" i="2"/>
  <c r="E28" i="2"/>
  <c r="D28" i="2"/>
  <c r="C28" i="2"/>
  <c r="BA27" i="2"/>
  <c r="AZ27" i="2"/>
  <c r="AY27" i="2"/>
  <c r="AX27" i="2"/>
  <c r="AW27" i="2"/>
  <c r="AV27" i="2"/>
  <c r="I28" i="2" l="1"/>
  <c r="G28" i="2"/>
  <c r="AT27" i="2"/>
  <c r="AR27" i="2"/>
  <c r="AQ27" i="2"/>
  <c r="AP27" i="2"/>
  <c r="AU27" i="2" l="1"/>
  <c r="AS27" i="2"/>
  <c r="AL27" i="2"/>
  <c r="AK27" i="2"/>
  <c r="AJ27" i="2"/>
  <c r="AI27" i="2"/>
  <c r="AH27" i="2"/>
  <c r="AG27" i="2"/>
  <c r="AF27" i="2"/>
  <c r="AE27" i="2"/>
  <c r="AD27" i="2"/>
  <c r="AM27" i="2" l="1"/>
  <c r="AB27" i="2"/>
  <c r="Z27" i="2"/>
  <c r="Y27" i="2"/>
  <c r="X27" i="2"/>
  <c r="W27" i="2"/>
  <c r="T27" i="2"/>
  <c r="AC27" i="2" l="1"/>
  <c r="AA27" i="2"/>
  <c r="R27" i="2"/>
  <c r="Q27" i="2"/>
  <c r="P27" i="2"/>
  <c r="O27" i="2"/>
  <c r="N27" i="2"/>
  <c r="M27" i="2"/>
  <c r="L27" i="2"/>
  <c r="K27" i="2"/>
  <c r="J27" i="2"/>
  <c r="S27" i="2" l="1"/>
  <c r="H27" i="2"/>
  <c r="F27" i="2"/>
  <c r="E27" i="2"/>
  <c r="D27" i="2"/>
  <c r="C27" i="2"/>
  <c r="BA26" i="2"/>
  <c r="AZ26" i="2"/>
  <c r="AY26" i="2"/>
  <c r="AX26" i="2"/>
  <c r="AW26" i="2"/>
  <c r="AV26" i="2"/>
  <c r="I27" i="2" l="1"/>
  <c r="G27" i="2"/>
  <c r="AT26" i="2"/>
  <c r="AR26" i="2"/>
  <c r="AQ26" i="2"/>
  <c r="AP26" i="2"/>
  <c r="AU26" i="2" l="1"/>
  <c r="AS26" i="2"/>
  <c r="AL26" i="2"/>
  <c r="AK26" i="2"/>
  <c r="AJ26" i="2"/>
  <c r="AI26" i="2"/>
  <c r="AH26" i="2"/>
  <c r="AG26" i="2"/>
  <c r="AF26" i="2"/>
  <c r="AE26" i="2"/>
  <c r="AD26" i="2"/>
  <c r="AM26" i="2" l="1"/>
  <c r="AB26" i="2"/>
  <c r="Z26" i="2"/>
  <c r="Y26" i="2"/>
  <c r="X26" i="2"/>
  <c r="W26" i="2"/>
  <c r="T26" i="2"/>
  <c r="AC26" i="2" l="1"/>
  <c r="AA26" i="2"/>
  <c r="R26" i="2"/>
  <c r="Q26" i="2"/>
  <c r="P26" i="2"/>
  <c r="O26" i="2"/>
  <c r="N26" i="2"/>
  <c r="M26" i="2"/>
  <c r="L26" i="2"/>
  <c r="K26" i="2"/>
  <c r="J26" i="2"/>
  <c r="S26" i="2" l="1"/>
  <c r="H26" i="2"/>
  <c r="F26" i="2"/>
  <c r="E26" i="2"/>
  <c r="D26" i="2"/>
  <c r="C26" i="2"/>
  <c r="BA25" i="2"/>
  <c r="AZ25" i="2"/>
  <c r="AY25" i="2"/>
  <c r="AX25" i="2"/>
  <c r="AW25" i="2"/>
  <c r="AV25" i="2"/>
  <c r="I26" i="2" l="1"/>
  <c r="G26" i="2"/>
  <c r="AT25" i="2"/>
  <c r="AR25" i="2"/>
  <c r="AQ25" i="2"/>
  <c r="AP25" i="2"/>
  <c r="AU25" i="2" l="1"/>
  <c r="AS25" i="2"/>
  <c r="AL25" i="2"/>
  <c r="AK25" i="2"/>
  <c r="AJ25" i="2"/>
  <c r="AI25" i="2"/>
  <c r="AH25" i="2"/>
  <c r="AG25" i="2"/>
  <c r="AF25" i="2"/>
  <c r="AE25" i="2"/>
  <c r="AD25" i="2"/>
  <c r="AM25" i="2" l="1"/>
  <c r="AB25" i="2"/>
  <c r="Z25" i="2"/>
  <c r="Y25" i="2"/>
  <c r="X25" i="2"/>
  <c r="W25" i="2"/>
  <c r="T25" i="2"/>
  <c r="AC25" i="2" l="1"/>
  <c r="AA25" i="2"/>
  <c r="R25" i="2"/>
  <c r="Q25" i="2"/>
  <c r="P25" i="2"/>
  <c r="O25" i="2"/>
  <c r="N25" i="2"/>
  <c r="M25" i="2"/>
  <c r="L25" i="2"/>
  <c r="K25" i="2"/>
  <c r="J25" i="2"/>
  <c r="S25" i="2" l="1"/>
  <c r="H25" i="2"/>
  <c r="F25" i="2"/>
  <c r="E25" i="2"/>
  <c r="D25" i="2"/>
  <c r="C25" i="2"/>
  <c r="BA24" i="2"/>
  <c r="AZ24" i="2"/>
  <c r="AY24" i="2"/>
  <c r="AX24" i="2"/>
  <c r="AW24" i="2"/>
  <c r="AV24" i="2"/>
  <c r="I25" i="2" l="1"/>
  <c r="G25" i="2"/>
  <c r="AT24" i="2"/>
  <c r="AR24" i="2"/>
  <c r="AQ24" i="2"/>
  <c r="AP24" i="2"/>
  <c r="AU24" i="2" l="1"/>
  <c r="AS24" i="2"/>
  <c r="AL24" i="2"/>
  <c r="AK24" i="2"/>
  <c r="AJ24" i="2"/>
  <c r="AI24" i="2"/>
  <c r="AH24" i="2"/>
  <c r="AG24" i="2"/>
  <c r="AF24" i="2"/>
  <c r="AE24" i="2"/>
  <c r="AD24" i="2"/>
  <c r="AM24" i="2" l="1"/>
  <c r="AB24" i="2"/>
  <c r="Z24" i="2"/>
  <c r="Y24" i="2"/>
  <c r="X24" i="2"/>
  <c r="W24" i="2"/>
  <c r="T24" i="2"/>
  <c r="AC24" i="2" l="1"/>
  <c r="AA24" i="2"/>
  <c r="R24" i="2"/>
  <c r="Q24" i="2"/>
  <c r="P24" i="2"/>
  <c r="O24" i="2"/>
  <c r="N24" i="2"/>
  <c r="M24" i="2"/>
  <c r="L24" i="2"/>
  <c r="K24" i="2"/>
  <c r="J24" i="2"/>
  <c r="S24" i="2" l="1"/>
  <c r="H24" i="2"/>
  <c r="F24" i="2"/>
  <c r="E24" i="2"/>
  <c r="D24" i="2"/>
  <c r="C24" i="2"/>
  <c r="BA23" i="2"/>
  <c r="AZ23" i="2"/>
  <c r="AY23" i="2"/>
  <c r="AX23" i="2"/>
  <c r="AW23" i="2"/>
  <c r="AV23" i="2"/>
  <c r="I24" i="2" l="1"/>
  <c r="G24" i="2"/>
  <c r="AT23" i="2"/>
  <c r="AR23" i="2"/>
  <c r="AQ23" i="2"/>
  <c r="AP23" i="2"/>
  <c r="AU23" i="2" l="1"/>
  <c r="AS23" i="2"/>
  <c r="AL23" i="2"/>
  <c r="AK23" i="2"/>
  <c r="AJ23" i="2"/>
  <c r="AI23" i="2"/>
  <c r="AH23" i="2"/>
  <c r="AG23" i="2"/>
  <c r="AF23" i="2"/>
  <c r="AE23" i="2"/>
  <c r="AD23" i="2"/>
  <c r="AM23" i="2" l="1"/>
  <c r="AB23" i="2"/>
  <c r="Z23" i="2"/>
  <c r="Y23" i="2"/>
  <c r="X23" i="2"/>
  <c r="W23" i="2"/>
  <c r="T23" i="2"/>
  <c r="AC23" i="2" l="1"/>
  <c r="AA23" i="2"/>
  <c r="R23" i="2"/>
  <c r="Q23" i="2"/>
  <c r="P23" i="2"/>
  <c r="O23" i="2"/>
  <c r="N23" i="2"/>
  <c r="M23" i="2"/>
  <c r="L23" i="2"/>
  <c r="K23" i="2"/>
  <c r="J23" i="2"/>
  <c r="S23" i="2" l="1"/>
  <c r="H23" i="2"/>
  <c r="F23" i="2"/>
  <c r="E23" i="2"/>
  <c r="D23" i="2"/>
  <c r="C23" i="2"/>
  <c r="BA22" i="2"/>
  <c r="AZ22" i="2"/>
  <c r="AY22" i="2"/>
  <c r="AX22" i="2"/>
  <c r="AW22" i="2"/>
  <c r="AV22" i="2"/>
  <c r="I23" i="2" l="1"/>
  <c r="G23" i="2"/>
  <c r="AT22" i="2"/>
  <c r="AR22" i="2"/>
  <c r="AQ22" i="2"/>
  <c r="AP22" i="2"/>
  <c r="AU22" i="2" l="1"/>
  <c r="AS22" i="2"/>
  <c r="AL22" i="2"/>
  <c r="AK22" i="2"/>
  <c r="AJ22" i="2"/>
  <c r="AI22" i="2"/>
  <c r="AH22" i="2"/>
  <c r="AG22" i="2"/>
  <c r="AF22" i="2"/>
  <c r="AE22" i="2"/>
  <c r="AD22" i="2"/>
  <c r="AM22" i="2" l="1"/>
  <c r="AB22" i="2"/>
  <c r="Z22" i="2"/>
  <c r="Y22" i="2"/>
  <c r="X22" i="2"/>
  <c r="W22" i="2"/>
  <c r="T22" i="2"/>
  <c r="AC22" i="2" l="1"/>
  <c r="AA22" i="2"/>
  <c r="R22" i="2"/>
  <c r="Q22" i="2"/>
  <c r="P22" i="2"/>
  <c r="O22" i="2"/>
  <c r="N22" i="2"/>
  <c r="M22" i="2"/>
  <c r="L22" i="2"/>
  <c r="K22" i="2"/>
  <c r="J22" i="2"/>
  <c r="S22" i="2" l="1"/>
  <c r="H22" i="2"/>
  <c r="F22" i="2"/>
  <c r="E22" i="2"/>
  <c r="D22" i="2"/>
  <c r="C22" i="2"/>
  <c r="BA21" i="2"/>
  <c r="AZ21" i="2"/>
  <c r="AY21" i="2"/>
  <c r="AX21" i="2"/>
  <c r="AW21" i="2"/>
  <c r="AV21" i="2"/>
  <c r="I22" i="2" l="1"/>
  <c r="G22" i="2"/>
  <c r="AT21" i="2"/>
  <c r="AR21" i="2"/>
  <c r="AQ21" i="2"/>
  <c r="AP21" i="2"/>
  <c r="AU21" i="2" l="1"/>
  <c r="AS21" i="2"/>
  <c r="AL21" i="2"/>
  <c r="AK21" i="2"/>
  <c r="AJ21" i="2"/>
  <c r="AI21" i="2"/>
  <c r="AH21" i="2"/>
  <c r="AG21" i="2"/>
  <c r="AF21" i="2"/>
  <c r="AE21" i="2"/>
  <c r="AD21" i="2"/>
  <c r="AM21" i="2" l="1"/>
  <c r="AB21" i="2"/>
  <c r="Z21" i="2"/>
  <c r="Y21" i="2"/>
  <c r="X21" i="2"/>
  <c r="W21" i="2"/>
  <c r="T21" i="2"/>
  <c r="AC21" i="2" l="1"/>
  <c r="AA21" i="2"/>
  <c r="R21" i="2"/>
  <c r="Q21" i="2"/>
  <c r="P21" i="2"/>
  <c r="O21" i="2"/>
  <c r="N21" i="2"/>
  <c r="M21" i="2"/>
  <c r="L21" i="2"/>
  <c r="K21" i="2"/>
  <c r="J21" i="2"/>
  <c r="S21" i="2" l="1"/>
  <c r="H21" i="2"/>
  <c r="F21" i="2"/>
  <c r="E21" i="2"/>
  <c r="D21" i="2"/>
  <c r="C21" i="2"/>
  <c r="BA20" i="2"/>
  <c r="AZ20" i="2"/>
  <c r="AY20" i="2"/>
  <c r="AX20" i="2"/>
  <c r="AW20" i="2"/>
  <c r="AV20" i="2"/>
  <c r="I21" i="2" l="1"/>
  <c r="G21" i="2"/>
  <c r="AT20" i="2"/>
  <c r="AR20" i="2"/>
  <c r="AQ20" i="2"/>
  <c r="AP20" i="2"/>
  <c r="AU20" i="2" l="1"/>
  <c r="AS20" i="2"/>
  <c r="AL20" i="2"/>
  <c r="AK20" i="2"/>
  <c r="AJ20" i="2"/>
  <c r="AI20" i="2"/>
  <c r="AH20" i="2"/>
  <c r="AG20" i="2"/>
  <c r="AF20" i="2"/>
  <c r="AE20" i="2"/>
  <c r="AD20" i="2"/>
  <c r="AM20" i="2" l="1"/>
  <c r="AB20" i="2"/>
  <c r="Z20" i="2"/>
  <c r="Y20" i="2"/>
  <c r="X20" i="2"/>
  <c r="W20" i="2"/>
  <c r="T20" i="2"/>
  <c r="AC20" i="2" l="1"/>
  <c r="AA20" i="2"/>
  <c r="R20" i="2"/>
  <c r="Q20" i="2"/>
  <c r="P20" i="2"/>
  <c r="O20" i="2"/>
  <c r="N20" i="2"/>
  <c r="M20" i="2"/>
  <c r="L20" i="2"/>
  <c r="K20" i="2"/>
  <c r="J20" i="2"/>
  <c r="S20" i="2" l="1"/>
  <c r="H20" i="2"/>
  <c r="F20" i="2"/>
  <c r="E20" i="2"/>
  <c r="D20" i="2"/>
  <c r="C20" i="2"/>
  <c r="BA19" i="2"/>
  <c r="AZ19" i="2"/>
  <c r="AY19" i="2"/>
  <c r="AX19" i="2"/>
  <c r="AW19" i="2"/>
  <c r="AV19" i="2"/>
  <c r="I20" i="2" l="1"/>
  <c r="G20" i="2"/>
  <c r="AT19" i="2"/>
  <c r="AR19" i="2"/>
  <c r="AQ19" i="2"/>
  <c r="AP19" i="2"/>
  <c r="AU19" i="2" l="1"/>
  <c r="AS19" i="2"/>
  <c r="AL19" i="2"/>
  <c r="AK19" i="2"/>
  <c r="AJ19" i="2"/>
  <c r="AI19" i="2"/>
  <c r="AH19" i="2"/>
  <c r="AG19" i="2"/>
  <c r="AF19" i="2"/>
  <c r="AE19" i="2"/>
  <c r="AD19" i="2"/>
  <c r="AM19" i="2" l="1"/>
  <c r="AB19" i="2"/>
  <c r="Z19" i="2"/>
  <c r="Y19" i="2"/>
  <c r="X19" i="2"/>
  <c r="W19" i="2"/>
  <c r="T19" i="2"/>
  <c r="AC19" i="2" l="1"/>
  <c r="AA19" i="2"/>
  <c r="R19" i="2"/>
  <c r="Q19" i="2"/>
  <c r="P19" i="2"/>
  <c r="O19" i="2"/>
  <c r="N19" i="2"/>
  <c r="M19" i="2"/>
  <c r="L19" i="2"/>
  <c r="K19" i="2"/>
  <c r="J19" i="2"/>
  <c r="S19" i="2" l="1"/>
  <c r="H19" i="2"/>
  <c r="F19" i="2"/>
  <c r="E19" i="2"/>
  <c r="D19" i="2"/>
  <c r="C19" i="2"/>
  <c r="BA18" i="2"/>
  <c r="AZ18" i="2"/>
  <c r="AY18" i="2"/>
  <c r="AX18" i="2"/>
  <c r="AW18" i="2"/>
  <c r="AV18" i="2"/>
  <c r="I19" i="2" l="1"/>
  <c r="G19" i="2"/>
  <c r="AT18" i="2"/>
  <c r="AR18" i="2"/>
  <c r="AQ18" i="2"/>
  <c r="AP18" i="2"/>
  <c r="AU18" i="2" l="1"/>
  <c r="AS18" i="2"/>
  <c r="AL18" i="2"/>
  <c r="AK18" i="2"/>
  <c r="AJ18" i="2"/>
  <c r="AI18" i="2"/>
  <c r="AH18" i="2"/>
  <c r="AG18" i="2"/>
  <c r="AF18" i="2"/>
  <c r="AE18" i="2"/>
  <c r="AD18" i="2"/>
  <c r="AM18" i="2" l="1"/>
  <c r="AB18" i="2"/>
  <c r="Z18" i="2"/>
  <c r="Y18" i="2"/>
  <c r="X18" i="2"/>
  <c r="W18" i="2"/>
  <c r="T18" i="2"/>
  <c r="AC18" i="2" l="1"/>
  <c r="AA18" i="2"/>
  <c r="R18" i="2"/>
  <c r="Q18" i="2"/>
  <c r="P18" i="2"/>
  <c r="O18" i="2"/>
  <c r="N18" i="2"/>
  <c r="M18" i="2"/>
  <c r="L18" i="2"/>
  <c r="K18" i="2"/>
  <c r="J18" i="2"/>
  <c r="S18" i="2" l="1"/>
  <c r="H18" i="2"/>
  <c r="F18" i="2"/>
  <c r="E18" i="2"/>
  <c r="D18" i="2"/>
  <c r="C18" i="2"/>
  <c r="BA17" i="2"/>
  <c r="AZ17" i="2"/>
  <c r="AY17" i="2"/>
  <c r="AX17" i="2"/>
  <c r="AW17" i="2"/>
  <c r="AV17" i="2"/>
  <c r="I18" i="2" l="1"/>
  <c r="G18" i="2"/>
  <c r="AT17" i="2"/>
  <c r="AR17" i="2"/>
  <c r="AQ17" i="2"/>
  <c r="AP17" i="2"/>
  <c r="AU17" i="2" l="1"/>
  <c r="AS17" i="2"/>
  <c r="AL17" i="2"/>
  <c r="AK17" i="2"/>
  <c r="AJ17" i="2"/>
  <c r="AI17" i="2"/>
  <c r="AH17" i="2"/>
  <c r="AG17" i="2"/>
  <c r="AF17" i="2"/>
  <c r="AE17" i="2"/>
  <c r="AD17" i="2"/>
  <c r="AM17" i="2" l="1"/>
  <c r="AB17" i="2"/>
  <c r="Z17" i="2"/>
  <c r="Y17" i="2"/>
  <c r="X17" i="2"/>
  <c r="W17" i="2"/>
  <c r="T17" i="2"/>
  <c r="AC17" i="2" l="1"/>
  <c r="AA17" i="2"/>
  <c r="R17" i="2"/>
  <c r="Q17" i="2"/>
  <c r="P17" i="2"/>
  <c r="O17" i="2"/>
  <c r="N17" i="2"/>
  <c r="M17" i="2"/>
  <c r="L17" i="2"/>
  <c r="K17" i="2"/>
  <c r="J17" i="2"/>
  <c r="S17" i="2" l="1"/>
  <c r="H17" i="2"/>
  <c r="F17" i="2"/>
  <c r="E17" i="2"/>
  <c r="D17" i="2"/>
  <c r="C17" i="2"/>
  <c r="BA16" i="2"/>
  <c r="AZ16" i="2"/>
  <c r="AY16" i="2"/>
  <c r="AX16" i="2"/>
  <c r="AW16" i="2"/>
  <c r="AV16" i="2"/>
  <c r="I17" i="2" l="1"/>
  <c r="G17" i="2"/>
  <c r="AT16" i="2"/>
  <c r="AR16" i="2"/>
  <c r="AQ16" i="2"/>
  <c r="AP16" i="2"/>
  <c r="AU16" i="2" l="1"/>
  <c r="AS16" i="2"/>
  <c r="AL16" i="2"/>
  <c r="AK16" i="2"/>
  <c r="AJ16" i="2"/>
  <c r="AI16" i="2"/>
  <c r="AH16" i="2"/>
  <c r="AG16" i="2"/>
  <c r="AF16" i="2"/>
  <c r="AE16" i="2"/>
  <c r="AD16" i="2"/>
  <c r="AM16" i="2" l="1"/>
  <c r="AB16" i="2"/>
  <c r="Z16" i="2"/>
  <c r="Y16" i="2"/>
  <c r="X16" i="2"/>
  <c r="W16" i="2"/>
  <c r="T16" i="2"/>
  <c r="AC16" i="2" l="1"/>
  <c r="AA16" i="2"/>
  <c r="R16" i="2"/>
  <c r="Q16" i="2"/>
  <c r="P16" i="2"/>
  <c r="O16" i="2"/>
  <c r="N16" i="2"/>
  <c r="M16" i="2"/>
  <c r="L16" i="2"/>
  <c r="K16" i="2"/>
  <c r="J16" i="2"/>
  <c r="S16" i="2" l="1"/>
  <c r="H16" i="2"/>
  <c r="F16" i="2"/>
  <c r="E16" i="2"/>
  <c r="D16" i="2"/>
  <c r="C16" i="2"/>
  <c r="BA15" i="2"/>
  <c r="AZ15" i="2"/>
  <c r="AY15" i="2"/>
  <c r="AX15" i="2"/>
  <c r="AW15" i="2"/>
  <c r="AV15" i="2"/>
  <c r="I16" i="2" l="1"/>
  <c r="G16" i="2"/>
  <c r="AT15" i="2"/>
  <c r="AR15" i="2"/>
  <c r="AQ15" i="2"/>
  <c r="AP15" i="2"/>
  <c r="AU15" i="2" l="1"/>
  <c r="AS15" i="2"/>
  <c r="AL15" i="2"/>
  <c r="AK15" i="2"/>
  <c r="AJ15" i="2"/>
  <c r="AI15" i="2"/>
  <c r="AH15" i="2"/>
  <c r="AG15" i="2"/>
  <c r="AF15" i="2"/>
  <c r="AE15" i="2"/>
  <c r="AD15" i="2"/>
  <c r="AM15" i="2" l="1"/>
  <c r="AB15" i="2"/>
  <c r="Z15" i="2"/>
  <c r="Y15" i="2"/>
  <c r="X15" i="2"/>
  <c r="W15" i="2"/>
  <c r="T15" i="2"/>
  <c r="AC15" i="2" l="1"/>
  <c r="AA15" i="2"/>
  <c r="R15" i="2"/>
  <c r="Q15" i="2"/>
  <c r="P15" i="2"/>
  <c r="O15" i="2"/>
  <c r="N15" i="2"/>
  <c r="M15" i="2"/>
  <c r="L15" i="2"/>
  <c r="K15" i="2"/>
  <c r="J15" i="2"/>
  <c r="S15" i="2" l="1"/>
  <c r="H15" i="2"/>
  <c r="F15" i="2"/>
  <c r="E15" i="2"/>
  <c r="D15" i="2"/>
  <c r="C15" i="2"/>
  <c r="BA14" i="2"/>
  <c r="AZ14" i="2"/>
  <c r="AY14" i="2"/>
  <c r="AX14" i="2"/>
  <c r="AW14" i="2"/>
  <c r="AV14" i="2"/>
  <c r="I15" i="2" l="1"/>
  <c r="G15" i="2"/>
  <c r="AT14" i="2"/>
  <c r="AR14" i="2"/>
  <c r="AQ14" i="2"/>
  <c r="AP14" i="2"/>
  <c r="AU14" i="2" l="1"/>
  <c r="AS14" i="2"/>
  <c r="AL14" i="2"/>
  <c r="AK14" i="2"/>
  <c r="AJ14" i="2"/>
  <c r="AI14" i="2"/>
  <c r="AH14" i="2"/>
  <c r="AG14" i="2"/>
  <c r="AF14" i="2"/>
  <c r="AE14" i="2"/>
  <c r="AD14" i="2"/>
  <c r="AM14" i="2" l="1"/>
  <c r="AB14" i="2"/>
  <c r="Z14" i="2"/>
  <c r="Y14" i="2"/>
  <c r="X14" i="2"/>
  <c r="W14" i="2"/>
  <c r="T14" i="2"/>
  <c r="AC14" i="2" l="1"/>
  <c r="AA14" i="2"/>
  <c r="R14" i="2"/>
  <c r="Q14" i="2"/>
  <c r="P14" i="2"/>
  <c r="O14" i="2"/>
  <c r="N14" i="2"/>
  <c r="M14" i="2"/>
  <c r="L14" i="2"/>
  <c r="K14" i="2"/>
  <c r="J14" i="2"/>
  <c r="S14" i="2" l="1"/>
  <c r="H14" i="2"/>
  <c r="F14" i="2"/>
  <c r="E14" i="2"/>
  <c r="D14" i="2"/>
  <c r="C14" i="2"/>
  <c r="BA13" i="2"/>
  <c r="AZ13" i="2"/>
  <c r="AY13" i="2"/>
  <c r="AX13" i="2"/>
  <c r="AW13" i="2"/>
  <c r="AV13" i="2"/>
  <c r="I14" i="2" l="1"/>
  <c r="G14" i="2"/>
  <c r="AT13" i="2"/>
  <c r="AR13" i="2"/>
  <c r="AQ13" i="2"/>
  <c r="AP13" i="2"/>
  <c r="AU13" i="2" l="1"/>
  <c r="AS13" i="2"/>
  <c r="AL13" i="2"/>
  <c r="AK13" i="2"/>
  <c r="AJ13" i="2"/>
  <c r="AI13" i="2"/>
  <c r="AH13" i="2"/>
  <c r="AG13" i="2"/>
  <c r="AF13" i="2"/>
  <c r="AE13" i="2"/>
  <c r="AD13" i="2"/>
  <c r="AM13" i="2" l="1"/>
  <c r="AB13" i="2"/>
  <c r="Z13" i="2"/>
  <c r="Y13" i="2"/>
  <c r="X13" i="2"/>
  <c r="W13" i="2"/>
  <c r="T13" i="2"/>
  <c r="AC13" i="2" l="1"/>
  <c r="AA13" i="2"/>
  <c r="R13" i="2"/>
  <c r="Q13" i="2"/>
  <c r="P13" i="2"/>
  <c r="O13" i="2"/>
  <c r="N13" i="2"/>
  <c r="M13" i="2"/>
  <c r="L13" i="2"/>
  <c r="K13" i="2"/>
  <c r="J13" i="2"/>
  <c r="S13" i="2" l="1"/>
  <c r="H13" i="2"/>
  <c r="F13" i="2"/>
  <c r="E13" i="2"/>
  <c r="D13" i="2"/>
  <c r="C13" i="2"/>
  <c r="BA12" i="2"/>
  <c r="AZ12" i="2"/>
  <c r="AY12" i="2"/>
  <c r="AX12" i="2"/>
  <c r="AW12" i="2"/>
  <c r="AV12" i="2"/>
  <c r="I13" i="2" l="1"/>
  <c r="G13" i="2"/>
  <c r="AT12" i="2"/>
  <c r="AR12" i="2"/>
  <c r="AQ12" i="2"/>
  <c r="AP12" i="2"/>
  <c r="AU12" i="2" l="1"/>
  <c r="AS12" i="2"/>
  <c r="AL12" i="2"/>
  <c r="AK12" i="2"/>
  <c r="AJ12" i="2"/>
  <c r="AI12" i="2"/>
  <c r="AH12" i="2"/>
  <c r="AG12" i="2"/>
  <c r="AF12" i="2"/>
  <c r="AE12" i="2"/>
  <c r="AD12" i="2"/>
  <c r="AM12" i="2" l="1"/>
  <c r="AB12" i="2"/>
  <c r="Z12" i="2"/>
  <c r="Y12" i="2"/>
  <c r="X12" i="2"/>
  <c r="W12" i="2"/>
  <c r="T12" i="2"/>
  <c r="AC12" i="2" l="1"/>
  <c r="AA12" i="2"/>
  <c r="R12" i="2"/>
  <c r="Q12" i="2"/>
  <c r="P12" i="2"/>
  <c r="O12" i="2"/>
  <c r="N12" i="2"/>
  <c r="M12" i="2"/>
  <c r="L12" i="2"/>
  <c r="K12" i="2"/>
  <c r="J12" i="2"/>
  <c r="S12" i="2" l="1"/>
  <c r="H12" i="2"/>
  <c r="F12" i="2"/>
  <c r="E12" i="2"/>
  <c r="D12" i="2"/>
  <c r="C12" i="2"/>
  <c r="BA11" i="2"/>
  <c r="AZ11" i="2"/>
  <c r="AY11" i="2"/>
  <c r="AX11" i="2"/>
  <c r="AW11" i="2"/>
  <c r="AV11" i="2"/>
  <c r="I12" i="2" l="1"/>
  <c r="G12" i="2"/>
  <c r="AT11" i="2"/>
  <c r="AR11" i="2"/>
  <c r="AQ11" i="2"/>
  <c r="AP11" i="2"/>
  <c r="AU11" i="2" l="1"/>
  <c r="AS11" i="2"/>
  <c r="AL11" i="2"/>
  <c r="AK11" i="2"/>
  <c r="AJ11" i="2"/>
  <c r="AI11" i="2"/>
  <c r="AH11" i="2"/>
  <c r="AG11" i="2"/>
  <c r="AF11" i="2"/>
  <c r="AE11" i="2"/>
  <c r="AD11" i="2"/>
  <c r="AM11" i="2" l="1"/>
  <c r="AB11" i="2"/>
  <c r="Z11" i="2"/>
  <c r="Y11" i="2"/>
  <c r="X11" i="2"/>
  <c r="W11" i="2"/>
  <c r="T11" i="2"/>
  <c r="AC11" i="2" l="1"/>
  <c r="AA11" i="2"/>
  <c r="R11" i="2"/>
  <c r="Q11" i="2"/>
  <c r="P11" i="2"/>
  <c r="O11" i="2"/>
  <c r="N11" i="2"/>
  <c r="M11" i="2"/>
  <c r="L11" i="2"/>
  <c r="K11" i="2"/>
  <c r="J11" i="2"/>
  <c r="S11" i="2" l="1"/>
  <c r="H11" i="2"/>
  <c r="F11" i="2"/>
  <c r="E11" i="2"/>
  <c r="D11" i="2"/>
  <c r="C11" i="2"/>
  <c r="BA10" i="2"/>
  <c r="AZ10" i="2"/>
  <c r="AY10" i="2"/>
  <c r="AX10" i="2"/>
  <c r="AW10" i="2"/>
  <c r="AV10" i="2"/>
  <c r="I11" i="2" l="1"/>
  <c r="G11" i="2"/>
  <c r="AT10" i="2"/>
  <c r="AR10" i="2"/>
  <c r="AQ10" i="2"/>
  <c r="AP10" i="2"/>
  <c r="AU10" i="2" l="1"/>
  <c r="AS10" i="2"/>
  <c r="AL10" i="2"/>
  <c r="AK10" i="2"/>
  <c r="AJ10" i="2"/>
  <c r="AI10" i="2"/>
  <c r="AH10" i="2"/>
  <c r="AG10" i="2"/>
  <c r="AF10" i="2"/>
  <c r="AE10" i="2"/>
  <c r="AD10" i="2"/>
  <c r="AM10" i="2" l="1"/>
  <c r="AB10" i="2"/>
  <c r="Z10" i="2"/>
  <c r="Y10" i="2"/>
  <c r="X10" i="2"/>
  <c r="W10" i="2"/>
  <c r="T10" i="2"/>
  <c r="AC10" i="2" l="1"/>
  <c r="AA10" i="2"/>
  <c r="R10" i="2"/>
  <c r="Q10" i="2"/>
  <c r="P10" i="2"/>
  <c r="O10" i="2"/>
  <c r="N10" i="2"/>
  <c r="M10" i="2"/>
  <c r="L10" i="2"/>
  <c r="K10" i="2"/>
  <c r="J10" i="2"/>
  <c r="S10" i="2" l="1"/>
  <c r="H10" i="2"/>
  <c r="F10" i="2"/>
  <c r="E10" i="2"/>
  <c r="D10" i="2"/>
  <c r="C10" i="2"/>
  <c r="BA9" i="2"/>
  <c r="AZ9" i="2"/>
  <c r="AY9" i="2"/>
  <c r="AX9" i="2"/>
  <c r="AW9" i="2"/>
  <c r="AV9" i="2"/>
  <c r="I10" i="2" l="1"/>
  <c r="G10" i="2"/>
  <c r="AT9" i="2"/>
  <c r="AR9" i="2"/>
  <c r="AQ9" i="2"/>
  <c r="AP9" i="2"/>
  <c r="AU9" i="2" l="1"/>
  <c r="AS9" i="2"/>
  <c r="AL9" i="2"/>
  <c r="AK9" i="2"/>
  <c r="AJ9" i="2"/>
  <c r="AI9" i="2"/>
  <c r="AH9" i="2"/>
  <c r="AG9" i="2"/>
  <c r="AF9" i="2"/>
  <c r="AE9" i="2"/>
  <c r="AD9" i="2"/>
  <c r="AM9" i="2" l="1"/>
  <c r="AB9" i="2"/>
  <c r="Z9" i="2"/>
  <c r="Y9" i="2"/>
  <c r="X9" i="2"/>
  <c r="W9" i="2"/>
  <c r="T9" i="2"/>
  <c r="AC9" i="2" l="1"/>
  <c r="AA9" i="2"/>
  <c r="R9" i="2"/>
  <c r="Q9" i="2"/>
  <c r="P9" i="2"/>
  <c r="O9" i="2"/>
  <c r="N9" i="2"/>
  <c r="M9" i="2"/>
  <c r="L9" i="2"/>
  <c r="K9" i="2"/>
  <c r="J9" i="2"/>
  <c r="S9" i="2" l="1"/>
  <c r="H9" i="2"/>
  <c r="F9" i="2"/>
  <c r="E9" i="2"/>
  <c r="D9" i="2"/>
  <c r="C9" i="2"/>
  <c r="BA8" i="2"/>
  <c r="AZ8" i="2"/>
  <c r="AY8" i="2"/>
  <c r="AX8" i="2"/>
  <c r="AW8" i="2"/>
  <c r="AV8" i="2"/>
  <c r="I9" i="2" l="1"/>
  <c r="G9" i="2"/>
  <c r="AT8" i="2"/>
  <c r="AR8" i="2"/>
  <c r="AQ8" i="2"/>
  <c r="AP8" i="2"/>
  <c r="AU8" i="2" l="1"/>
  <c r="AS8" i="2"/>
  <c r="AL8" i="2"/>
  <c r="AK8" i="2"/>
  <c r="AJ8" i="2"/>
  <c r="AI8" i="2"/>
  <c r="AH8" i="2"/>
  <c r="AG8" i="2"/>
  <c r="AF8" i="2"/>
  <c r="AE8" i="2"/>
  <c r="AD8" i="2"/>
  <c r="AM8" i="2" l="1"/>
  <c r="AB8" i="2"/>
  <c r="Z8" i="2"/>
  <c r="Y8" i="2"/>
  <c r="X8" i="2"/>
  <c r="W8" i="2"/>
  <c r="T8" i="2"/>
  <c r="AC8" i="2" l="1"/>
  <c r="AA8" i="2"/>
  <c r="R8" i="2"/>
  <c r="Q8" i="2"/>
  <c r="P8" i="2"/>
  <c r="O8" i="2"/>
  <c r="N8" i="2"/>
  <c r="M8" i="2"/>
  <c r="L8" i="2"/>
  <c r="K8" i="2"/>
  <c r="J8" i="2"/>
  <c r="S8" i="2" l="1"/>
  <c r="H8" i="2"/>
  <c r="F8" i="2"/>
  <c r="E8" i="2"/>
  <c r="D8" i="2"/>
  <c r="C8" i="2"/>
  <c r="BA7" i="2"/>
  <c r="AZ7" i="2"/>
  <c r="AY7" i="2"/>
  <c r="AX7" i="2"/>
  <c r="AW7" i="2"/>
  <c r="AV7" i="2"/>
  <c r="I8" i="2" l="1"/>
  <c r="G8" i="2"/>
  <c r="AT7" i="2"/>
  <c r="AR7" i="2"/>
  <c r="AQ7" i="2"/>
  <c r="AP7" i="2"/>
  <c r="AU7" i="2" l="1"/>
  <c r="AS7" i="2"/>
  <c r="AL7" i="2"/>
  <c r="AK7" i="2"/>
  <c r="AJ7" i="2"/>
  <c r="AI7" i="2"/>
  <c r="AH7" i="2"/>
  <c r="AG7" i="2"/>
  <c r="AF7" i="2"/>
  <c r="AE7" i="2"/>
  <c r="AD7" i="2"/>
  <c r="AM7" i="2" l="1"/>
  <c r="AB7" i="2"/>
  <c r="Z7" i="2"/>
  <c r="Y7" i="2"/>
  <c r="X7" i="2"/>
  <c r="W7" i="2"/>
  <c r="T7" i="2"/>
  <c r="AC7" i="2" l="1"/>
  <c r="AA7" i="2"/>
  <c r="R7" i="2"/>
  <c r="Q7" i="2"/>
  <c r="P7" i="2"/>
  <c r="O7" i="2"/>
  <c r="N7" i="2"/>
  <c r="M7" i="2"/>
  <c r="L7" i="2"/>
  <c r="K7" i="2"/>
  <c r="J7" i="2"/>
  <c r="S7" i="2" l="1"/>
  <c r="H7" i="2"/>
  <c r="F7" i="2"/>
  <c r="E7" i="2"/>
  <c r="D7" i="2"/>
  <c r="C7" i="2"/>
  <c r="BA6" i="2"/>
  <c r="AZ6" i="2"/>
  <c r="AY6" i="2"/>
  <c r="AX6" i="2"/>
  <c r="AW6" i="2"/>
  <c r="AV6" i="2"/>
  <c r="I7" i="2" l="1"/>
  <c r="G7" i="2"/>
  <c r="AT6" i="2"/>
  <c r="AR6" i="2"/>
  <c r="AQ6" i="2"/>
  <c r="AP6" i="2"/>
  <c r="AU6" i="2" l="1"/>
  <c r="AS6" i="2"/>
  <c r="AL6" i="2"/>
  <c r="AK6" i="2"/>
  <c r="AJ6" i="2"/>
  <c r="AI6" i="2"/>
  <c r="AH6" i="2"/>
  <c r="AG6" i="2"/>
  <c r="AF6" i="2"/>
  <c r="AE6" i="2"/>
  <c r="AD6" i="2"/>
  <c r="AM6" i="2" l="1"/>
  <c r="AB6" i="2"/>
  <c r="Z6" i="2"/>
  <c r="Y6" i="2"/>
  <c r="X6" i="2"/>
  <c r="W6" i="2"/>
  <c r="T6" i="2"/>
  <c r="AC6" i="2" l="1"/>
  <c r="AA6" i="2"/>
  <c r="R6" i="2"/>
  <c r="Q6" i="2"/>
  <c r="P6" i="2"/>
  <c r="O6" i="2"/>
  <c r="N6" i="2"/>
  <c r="M6" i="2"/>
  <c r="L6" i="2"/>
  <c r="K6" i="2"/>
  <c r="J6" i="2"/>
  <c r="S6" i="2" l="1"/>
  <c r="H6" i="2"/>
  <c r="F6" i="2"/>
  <c r="E6" i="2"/>
  <c r="D6" i="2"/>
  <c r="C6" i="2"/>
  <c r="BA5" i="2"/>
  <c r="AZ5" i="2"/>
  <c r="AY5" i="2"/>
  <c r="AX5" i="2"/>
  <c r="AW5" i="2"/>
  <c r="AV5" i="2"/>
  <c r="I6" i="2" l="1"/>
  <c r="G6" i="2"/>
  <c r="AT5" i="2"/>
  <c r="AR5" i="2"/>
  <c r="AQ5" i="2"/>
  <c r="AP5" i="2"/>
  <c r="AU5" i="2" l="1"/>
  <c r="AS5" i="2"/>
  <c r="AL5" i="2"/>
  <c r="AK5" i="2"/>
  <c r="AJ5" i="2"/>
  <c r="AI5" i="2"/>
  <c r="AH5" i="2"/>
  <c r="AG5" i="2"/>
  <c r="AF5" i="2"/>
  <c r="AE5" i="2"/>
  <c r="AD5" i="2"/>
  <c r="AM5" i="2" l="1"/>
  <c r="AB5" i="2"/>
  <c r="Z5" i="2"/>
  <c r="Y5" i="2"/>
  <c r="X5" i="2"/>
  <c r="W5" i="2"/>
  <c r="T5" i="2"/>
  <c r="AC5" i="2" l="1"/>
  <c r="AA5" i="2"/>
  <c r="R5" i="2"/>
  <c r="Q5" i="2"/>
  <c r="P5" i="2"/>
  <c r="O5" i="2"/>
  <c r="N5" i="2"/>
  <c r="M5" i="2"/>
  <c r="L5" i="2"/>
  <c r="K5" i="2"/>
  <c r="J5" i="2"/>
  <c r="S5" i="2" l="1"/>
  <c r="H5" i="2"/>
  <c r="F5" i="2"/>
  <c r="E5" i="2"/>
  <c r="D5" i="2"/>
  <c r="C5" i="2"/>
  <c r="BA4" i="2"/>
  <c r="AZ4" i="2"/>
  <c r="AY4" i="2"/>
  <c r="AX4" i="2"/>
  <c r="AW4" i="2"/>
  <c r="AV4" i="2"/>
  <c r="I5" i="2" l="1"/>
  <c r="G5" i="2"/>
  <c r="AT4" i="2"/>
  <c r="AR4" i="2"/>
  <c r="AQ4" i="2"/>
  <c r="AP4" i="2"/>
  <c r="AU4" i="2" l="1"/>
  <c r="AS4" i="2"/>
  <c r="AL4" i="2"/>
  <c r="AK4" i="2"/>
  <c r="AJ4" i="2"/>
  <c r="AI4" i="2"/>
  <c r="AH4" i="2"/>
  <c r="AG4" i="2"/>
  <c r="AF4" i="2"/>
  <c r="AE4" i="2"/>
  <c r="AD4" i="2"/>
  <c r="AM4" i="2" l="1"/>
  <c r="AB4" i="2"/>
  <c r="Z4" i="2"/>
  <c r="Y4" i="2"/>
  <c r="X4" i="2"/>
  <c r="W4" i="2"/>
  <c r="T4" i="2"/>
  <c r="AC4" i="2" l="1"/>
  <c r="AA4" i="2"/>
  <c r="R4" i="2"/>
  <c r="Q4" i="2"/>
  <c r="P4" i="2"/>
  <c r="O4" i="2"/>
  <c r="N4" i="2"/>
  <c r="M4" i="2"/>
  <c r="L4" i="2"/>
  <c r="K4" i="2"/>
  <c r="J4" i="2"/>
  <c r="S4" i="2" l="1"/>
  <c r="H4" i="2"/>
  <c r="F4" i="2"/>
  <c r="E4" i="2"/>
  <c r="D4" i="2"/>
  <c r="C4" i="2"/>
  <c r="BA3" i="2"/>
  <c r="AZ3" i="2"/>
  <c r="AY3" i="2"/>
  <c r="AX3" i="2"/>
  <c r="AW3" i="2"/>
  <c r="AV3" i="2"/>
  <c r="I4" i="2" l="1"/>
  <c r="G4" i="2"/>
  <c r="AT3" i="2"/>
  <c r="AR3" i="2"/>
  <c r="AQ3" i="2"/>
  <c r="AP3" i="2"/>
  <c r="AU3" i="2" l="1"/>
  <c r="AS3" i="2"/>
  <c r="AL3" i="2"/>
  <c r="AK3" i="2"/>
  <c r="AJ3" i="2"/>
  <c r="AI3" i="2"/>
  <c r="AH3" i="2"/>
  <c r="AG3" i="2"/>
  <c r="AF3" i="2"/>
  <c r="AE3" i="2"/>
  <c r="AD3" i="2"/>
  <c r="AM3" i="2" l="1"/>
  <c r="AB3" i="2"/>
  <c r="Z3" i="2"/>
  <c r="Y3" i="2"/>
  <c r="X3" i="2"/>
  <c r="W3" i="2"/>
  <c r="T3" i="2"/>
  <c r="AC3" i="2" l="1"/>
  <c r="AA3" i="2"/>
  <c r="R3" i="2"/>
  <c r="Q3" i="2"/>
  <c r="P3" i="2"/>
  <c r="O3" i="2"/>
  <c r="N3" i="2"/>
  <c r="M3" i="2"/>
  <c r="L3" i="2"/>
  <c r="K3" i="2"/>
  <c r="J3" i="2"/>
  <c r="S3" i="2" l="1"/>
  <c r="H3" i="2"/>
  <c r="F3" i="2"/>
  <c r="E3" i="2"/>
  <c r="D3" i="2"/>
  <c r="C3" i="2"/>
  <c r="BA2" i="2"/>
  <c r="AZ2" i="2"/>
  <c r="AY2" i="2"/>
  <c r="AX2" i="2"/>
  <c r="AW2" i="2"/>
  <c r="AV2" i="2"/>
  <c r="I3" i="2" l="1"/>
  <c r="G3" i="2"/>
  <c r="AT2" i="2"/>
  <c r="AR2" i="2"/>
  <c r="AQ2" i="2"/>
  <c r="AP2" i="2"/>
  <c r="AU2" i="2" l="1"/>
  <c r="AS2" i="2"/>
  <c r="AL2" i="2"/>
  <c r="AK2" i="2"/>
  <c r="AJ2" i="2"/>
  <c r="AI2" i="2"/>
  <c r="AH2" i="2"/>
  <c r="AG2" i="2"/>
  <c r="AF2" i="2"/>
  <c r="AE2" i="2"/>
  <c r="AD2" i="2"/>
  <c r="AM2" i="2" l="1"/>
  <c r="AB2" i="2"/>
  <c r="Z2" i="2"/>
  <c r="Y2" i="2"/>
  <c r="X2" i="2"/>
  <c r="W2" i="2"/>
  <c r="T2" i="2"/>
  <c r="AC2" i="2" l="1"/>
  <c r="AA2" i="2"/>
  <c r="R2" i="2"/>
  <c r="Q2" i="2"/>
  <c r="P2" i="2"/>
  <c r="O2" i="2"/>
  <c r="N2" i="2"/>
  <c r="M2" i="2"/>
  <c r="L2" i="2"/>
  <c r="K2" i="2"/>
  <c r="J2" i="2"/>
  <c r="S2" i="2" l="1"/>
  <c r="H2" i="2"/>
  <c r="F2" i="2"/>
  <c r="E2" i="2"/>
  <c r="D2" i="2"/>
  <c r="C2" i="2"/>
  <c r="I2" i="2" l="1"/>
  <c r="G2" i="2"/>
  <c r="R314" i="1"/>
  <c r="Q314" i="1"/>
  <c r="P314" i="1"/>
  <c r="O314" i="1"/>
  <c r="N314" i="1"/>
  <c r="M314" i="1"/>
  <c r="L314" i="1"/>
  <c r="K314" i="1"/>
  <c r="J314" i="1"/>
  <c r="S314" i="1" l="1"/>
  <c r="H314" i="1"/>
  <c r="F314" i="1"/>
  <c r="E314" i="1"/>
  <c r="D314" i="1"/>
  <c r="C314" i="1"/>
  <c r="B314" i="1"/>
  <c r="I314" i="1" l="1"/>
  <c r="G314" i="1"/>
  <c r="R320" i="1"/>
  <c r="Q320" i="1"/>
  <c r="P320" i="1"/>
  <c r="O320" i="1"/>
  <c r="N320" i="1"/>
  <c r="M320" i="1"/>
  <c r="L320" i="1"/>
  <c r="K320" i="1"/>
  <c r="J320" i="1"/>
  <c r="S320" i="1" l="1"/>
  <c r="H320" i="1"/>
  <c r="F320" i="1"/>
  <c r="E320" i="1"/>
  <c r="D320" i="1"/>
  <c r="C320" i="1"/>
  <c r="B320" i="1"/>
  <c r="I320" i="1" l="1"/>
  <c r="G320" i="1"/>
  <c r="R311" i="1"/>
  <c r="Q311" i="1"/>
  <c r="P311" i="1"/>
  <c r="O311" i="1"/>
  <c r="N311" i="1"/>
  <c r="M311" i="1"/>
  <c r="L311" i="1"/>
  <c r="K311" i="1"/>
  <c r="J311" i="1"/>
  <c r="S311" i="1" l="1"/>
  <c r="H311" i="1"/>
  <c r="F311" i="1"/>
  <c r="E311" i="1"/>
  <c r="D311" i="1"/>
  <c r="C311" i="1"/>
  <c r="B311" i="1"/>
  <c r="I311" i="1" l="1"/>
  <c r="G311" i="1"/>
  <c r="R317" i="1"/>
  <c r="Q317" i="1"/>
  <c r="P317" i="1"/>
  <c r="O317" i="1"/>
  <c r="N317" i="1"/>
  <c r="M317" i="1"/>
  <c r="L317" i="1"/>
  <c r="K317" i="1"/>
  <c r="J317" i="1"/>
  <c r="S317" i="1" l="1"/>
  <c r="H317" i="1"/>
  <c r="F317" i="1"/>
  <c r="E317" i="1"/>
  <c r="D317" i="1"/>
  <c r="C317" i="1"/>
  <c r="B317" i="1"/>
  <c r="I317" i="1" l="1"/>
  <c r="G317" i="1"/>
  <c r="R319" i="1"/>
  <c r="Q319" i="1"/>
  <c r="P319" i="1"/>
  <c r="O319" i="1"/>
  <c r="N319" i="1"/>
  <c r="M319" i="1"/>
  <c r="L319" i="1"/>
  <c r="K319" i="1"/>
  <c r="J319" i="1"/>
  <c r="S319" i="1" l="1"/>
  <c r="H319" i="1"/>
  <c r="F319" i="1"/>
  <c r="E319" i="1"/>
  <c r="D319" i="1"/>
  <c r="C319" i="1"/>
  <c r="B319" i="1"/>
  <c r="I319" i="1" l="1"/>
  <c r="G319" i="1"/>
  <c r="R318" i="1"/>
  <c r="Q318" i="1"/>
  <c r="P318" i="1"/>
  <c r="O318" i="1"/>
  <c r="N318" i="1"/>
  <c r="M318" i="1"/>
  <c r="L318" i="1"/>
  <c r="K318" i="1"/>
  <c r="J318" i="1"/>
  <c r="S318" i="1" l="1"/>
  <c r="H318" i="1"/>
  <c r="F318" i="1"/>
  <c r="E318" i="1"/>
  <c r="D318" i="1"/>
  <c r="C318" i="1"/>
  <c r="B318" i="1"/>
  <c r="I318" i="1" l="1"/>
  <c r="G318" i="1"/>
  <c r="R316" i="1"/>
  <c r="Q316" i="1"/>
  <c r="P316" i="1"/>
  <c r="O316" i="1"/>
  <c r="N316" i="1"/>
  <c r="M316" i="1"/>
  <c r="L316" i="1"/>
  <c r="K316" i="1"/>
  <c r="J316" i="1"/>
  <c r="S316" i="1" l="1"/>
  <c r="H316" i="1"/>
  <c r="F316" i="1"/>
  <c r="E316" i="1"/>
  <c r="D316" i="1"/>
  <c r="C316" i="1"/>
  <c r="B316" i="1"/>
  <c r="I316" i="1" l="1"/>
  <c r="G316" i="1"/>
  <c r="R315" i="1"/>
  <c r="Q315" i="1"/>
  <c r="P315" i="1"/>
  <c r="O315" i="1"/>
  <c r="N315" i="1"/>
  <c r="M315" i="1"/>
  <c r="L315" i="1"/>
  <c r="K315" i="1"/>
  <c r="J315" i="1"/>
  <c r="S315" i="1" l="1"/>
  <c r="H315" i="1"/>
  <c r="F315" i="1"/>
  <c r="E315" i="1"/>
  <c r="D315" i="1"/>
  <c r="C315" i="1"/>
  <c r="B315" i="1"/>
  <c r="I315" i="1" l="1"/>
  <c r="G315" i="1"/>
  <c r="R313" i="1"/>
  <c r="Q313" i="1"/>
  <c r="P313" i="1"/>
  <c r="O313" i="1"/>
  <c r="N313" i="1"/>
  <c r="M313" i="1"/>
  <c r="L313" i="1"/>
  <c r="K313" i="1"/>
  <c r="J313" i="1"/>
  <c r="S313" i="1" l="1"/>
  <c r="H313" i="1"/>
  <c r="F313" i="1"/>
  <c r="E313" i="1"/>
  <c r="D313" i="1"/>
  <c r="C313" i="1"/>
  <c r="B313" i="1"/>
  <c r="I313" i="1" l="1"/>
  <c r="G313" i="1"/>
  <c r="R251" i="1"/>
  <c r="Q251" i="1"/>
  <c r="P251" i="1"/>
  <c r="O251" i="1"/>
  <c r="N251" i="1"/>
  <c r="M251" i="1"/>
  <c r="L251" i="1"/>
  <c r="K251" i="1"/>
  <c r="J251" i="1"/>
  <c r="S251" i="1" l="1"/>
  <c r="H251" i="1"/>
  <c r="F251" i="1"/>
  <c r="E251" i="1"/>
  <c r="D251" i="1"/>
  <c r="C251" i="1"/>
  <c r="B251" i="1"/>
  <c r="I251" i="1" l="1"/>
  <c r="G251" i="1"/>
  <c r="R308" i="1"/>
  <c r="Q308" i="1"/>
  <c r="P308" i="1"/>
  <c r="O308" i="1"/>
  <c r="N308" i="1"/>
  <c r="M308" i="1"/>
  <c r="L308" i="1"/>
  <c r="K308" i="1"/>
  <c r="J308" i="1"/>
  <c r="S308" i="1" l="1"/>
  <c r="H308" i="1"/>
  <c r="F308" i="1"/>
  <c r="E308" i="1"/>
  <c r="D308" i="1"/>
  <c r="C308" i="1"/>
  <c r="B308" i="1"/>
  <c r="I308" i="1" l="1"/>
  <c r="G308" i="1"/>
  <c r="R310" i="1"/>
  <c r="Q310" i="1"/>
  <c r="P310" i="1"/>
  <c r="O310" i="1"/>
  <c r="N310" i="1"/>
  <c r="M310" i="1"/>
  <c r="L310" i="1"/>
  <c r="K310" i="1"/>
  <c r="J310" i="1"/>
  <c r="S310" i="1" l="1"/>
  <c r="H310" i="1"/>
  <c r="F310" i="1"/>
  <c r="E310" i="1"/>
  <c r="D310" i="1"/>
  <c r="C310" i="1"/>
  <c r="B310" i="1"/>
  <c r="I310" i="1" l="1"/>
  <c r="G310" i="1"/>
  <c r="R305" i="1"/>
  <c r="Q305" i="1"/>
  <c r="P305" i="1"/>
  <c r="O305" i="1"/>
  <c r="N305" i="1"/>
  <c r="M305" i="1"/>
  <c r="L305" i="1"/>
  <c r="K305" i="1"/>
  <c r="J305" i="1"/>
  <c r="S305" i="1" l="1"/>
  <c r="H305" i="1"/>
  <c r="F305" i="1"/>
  <c r="E305" i="1"/>
  <c r="D305" i="1"/>
  <c r="C305" i="1"/>
  <c r="B305" i="1"/>
  <c r="I305" i="1" l="1"/>
  <c r="G305" i="1"/>
  <c r="R309" i="1"/>
  <c r="Q309" i="1"/>
  <c r="P309" i="1"/>
  <c r="O309" i="1"/>
  <c r="N309" i="1"/>
  <c r="M309" i="1"/>
  <c r="L309" i="1"/>
  <c r="K309" i="1"/>
  <c r="J309" i="1"/>
  <c r="S309" i="1" l="1"/>
  <c r="H309" i="1"/>
  <c r="F309" i="1"/>
  <c r="E309" i="1"/>
  <c r="D309" i="1"/>
  <c r="C309" i="1"/>
  <c r="B309" i="1"/>
  <c r="I309" i="1" l="1"/>
  <c r="G309" i="1"/>
  <c r="R304" i="1"/>
  <c r="Q304" i="1"/>
  <c r="P304" i="1"/>
  <c r="O304" i="1"/>
  <c r="N304" i="1"/>
  <c r="M304" i="1"/>
  <c r="L304" i="1"/>
  <c r="K304" i="1"/>
  <c r="J304" i="1"/>
  <c r="S304" i="1" l="1"/>
  <c r="H304" i="1"/>
  <c r="F304" i="1"/>
  <c r="E304" i="1"/>
  <c r="D304" i="1"/>
  <c r="C304" i="1"/>
  <c r="B304" i="1"/>
  <c r="I304" i="1" l="1"/>
  <c r="G304" i="1"/>
  <c r="R300" i="1"/>
  <c r="Q300" i="1"/>
  <c r="P300" i="1"/>
  <c r="O300" i="1"/>
  <c r="N300" i="1"/>
  <c r="M300" i="1"/>
  <c r="L300" i="1"/>
  <c r="K300" i="1"/>
  <c r="J300" i="1"/>
  <c r="S300" i="1" l="1"/>
  <c r="H300" i="1"/>
  <c r="F300" i="1"/>
  <c r="E300" i="1"/>
  <c r="D300" i="1"/>
  <c r="C300" i="1"/>
  <c r="B300" i="1"/>
  <c r="I300" i="1" l="1"/>
  <c r="G300" i="1"/>
  <c r="R303" i="1"/>
  <c r="Q303" i="1"/>
  <c r="P303" i="1"/>
  <c r="O303" i="1"/>
  <c r="N303" i="1"/>
  <c r="M303" i="1"/>
  <c r="L303" i="1"/>
  <c r="K303" i="1"/>
  <c r="J303" i="1"/>
  <c r="S303" i="1" l="1"/>
  <c r="H303" i="1"/>
  <c r="F303" i="1"/>
  <c r="E303" i="1"/>
  <c r="D303" i="1"/>
  <c r="C303" i="1"/>
  <c r="B303" i="1"/>
  <c r="I303" i="1" l="1"/>
  <c r="G303" i="1"/>
  <c r="R302" i="1"/>
  <c r="Q302" i="1"/>
  <c r="P302" i="1"/>
  <c r="O302" i="1"/>
  <c r="N302" i="1"/>
  <c r="M302" i="1"/>
  <c r="L302" i="1"/>
  <c r="K302" i="1"/>
  <c r="J302" i="1"/>
  <c r="S302" i="1" l="1"/>
  <c r="H302" i="1"/>
  <c r="F302" i="1"/>
  <c r="E302" i="1"/>
  <c r="D302" i="1"/>
  <c r="C302" i="1"/>
  <c r="B302" i="1"/>
  <c r="I302" i="1" l="1"/>
  <c r="G302" i="1"/>
  <c r="R301" i="1"/>
  <c r="Q301" i="1"/>
  <c r="P301" i="1"/>
  <c r="O301" i="1"/>
  <c r="N301" i="1"/>
  <c r="M301" i="1"/>
  <c r="L301" i="1"/>
  <c r="K301" i="1"/>
  <c r="J301" i="1"/>
  <c r="S301" i="1" l="1"/>
  <c r="H301" i="1"/>
  <c r="F301" i="1"/>
  <c r="E301" i="1"/>
  <c r="D301" i="1"/>
  <c r="C301" i="1"/>
  <c r="B301" i="1"/>
  <c r="I301" i="1" l="1"/>
  <c r="G301" i="1"/>
  <c r="R297" i="1"/>
  <c r="Q297" i="1"/>
  <c r="P297" i="1"/>
  <c r="O297" i="1"/>
  <c r="N297" i="1"/>
  <c r="M297" i="1"/>
  <c r="L297" i="1"/>
  <c r="K297" i="1"/>
  <c r="J297" i="1"/>
  <c r="S297" i="1" l="1"/>
  <c r="H297" i="1"/>
  <c r="F297" i="1"/>
  <c r="E297" i="1"/>
  <c r="D297" i="1"/>
  <c r="C297" i="1"/>
  <c r="B297" i="1"/>
  <c r="I297" i="1" l="1"/>
  <c r="G297" i="1"/>
  <c r="R307" i="1"/>
  <c r="Q307" i="1"/>
  <c r="P307" i="1"/>
  <c r="O307" i="1"/>
  <c r="N307" i="1"/>
  <c r="M307" i="1"/>
  <c r="L307" i="1"/>
  <c r="K307" i="1"/>
  <c r="J307" i="1"/>
  <c r="S307" i="1" l="1"/>
  <c r="H307" i="1"/>
  <c r="F307" i="1"/>
  <c r="E307" i="1"/>
  <c r="D307" i="1"/>
  <c r="C307" i="1"/>
  <c r="B307" i="1"/>
  <c r="I307" i="1" l="1"/>
  <c r="G307" i="1"/>
  <c r="R276" i="1"/>
  <c r="Q276" i="1"/>
  <c r="P276" i="1"/>
  <c r="O276" i="1"/>
  <c r="N276" i="1"/>
  <c r="M276" i="1"/>
  <c r="L276" i="1"/>
  <c r="K276" i="1"/>
  <c r="J276" i="1"/>
  <c r="S276" i="1" l="1"/>
  <c r="H276" i="1"/>
  <c r="F276" i="1"/>
  <c r="E276" i="1"/>
  <c r="D276" i="1"/>
  <c r="C276" i="1"/>
  <c r="B276" i="1"/>
  <c r="I276" i="1" l="1"/>
  <c r="G276" i="1"/>
  <c r="R306" i="1"/>
  <c r="Q306" i="1"/>
  <c r="P306" i="1"/>
  <c r="O306" i="1"/>
  <c r="N306" i="1"/>
  <c r="M306" i="1"/>
  <c r="L306" i="1"/>
  <c r="K306" i="1"/>
  <c r="J306" i="1"/>
  <c r="S306" i="1" l="1"/>
  <c r="H306" i="1"/>
  <c r="F306" i="1"/>
  <c r="E306" i="1"/>
  <c r="D306" i="1"/>
  <c r="C306" i="1"/>
  <c r="B306" i="1"/>
  <c r="I306" i="1" l="1"/>
  <c r="G306" i="1"/>
  <c r="R295" i="1"/>
  <c r="Q295" i="1"/>
  <c r="P295" i="1"/>
  <c r="O295" i="1"/>
  <c r="N295" i="1"/>
  <c r="M295" i="1"/>
  <c r="L295" i="1"/>
  <c r="K295" i="1"/>
  <c r="J295" i="1"/>
  <c r="S295" i="1" l="1"/>
  <c r="H295" i="1"/>
  <c r="F295" i="1"/>
  <c r="E295" i="1"/>
  <c r="D295" i="1"/>
  <c r="C295" i="1"/>
  <c r="B295" i="1"/>
  <c r="I295" i="1" l="1"/>
  <c r="G295" i="1"/>
  <c r="R292" i="1"/>
  <c r="Q292" i="1"/>
  <c r="P292" i="1"/>
  <c r="O292" i="1"/>
  <c r="N292" i="1"/>
  <c r="M292" i="1"/>
  <c r="L292" i="1"/>
  <c r="K292" i="1"/>
  <c r="J292" i="1"/>
  <c r="S292" i="1" l="1"/>
  <c r="H292" i="1"/>
  <c r="F292" i="1"/>
  <c r="E292" i="1"/>
  <c r="D292" i="1"/>
  <c r="C292" i="1"/>
  <c r="B292" i="1"/>
  <c r="I292" i="1" l="1"/>
  <c r="G292" i="1"/>
  <c r="R291" i="1"/>
  <c r="Q291" i="1"/>
  <c r="P291" i="1"/>
  <c r="O291" i="1"/>
  <c r="N291" i="1"/>
  <c r="M291" i="1"/>
  <c r="L291" i="1"/>
  <c r="K291" i="1"/>
  <c r="J291" i="1"/>
  <c r="S291" i="1" l="1"/>
  <c r="H291" i="1"/>
  <c r="F291" i="1"/>
  <c r="E291" i="1"/>
  <c r="D291" i="1"/>
  <c r="C291" i="1"/>
  <c r="B291" i="1"/>
  <c r="I291" i="1" l="1"/>
  <c r="G291" i="1"/>
  <c r="R284" i="1"/>
  <c r="Q284" i="1"/>
  <c r="P284" i="1"/>
  <c r="O284" i="1"/>
  <c r="N284" i="1"/>
  <c r="M284" i="1"/>
  <c r="L284" i="1"/>
  <c r="K284" i="1"/>
  <c r="J284" i="1"/>
  <c r="S284" i="1" l="1"/>
  <c r="H284" i="1"/>
  <c r="F284" i="1"/>
  <c r="E284" i="1"/>
  <c r="D284" i="1"/>
  <c r="C284" i="1"/>
  <c r="B284" i="1"/>
  <c r="I284" i="1" l="1"/>
  <c r="G284" i="1"/>
  <c r="R249" i="1"/>
  <c r="Q249" i="1"/>
  <c r="P249" i="1"/>
  <c r="O249" i="1"/>
  <c r="N249" i="1"/>
  <c r="M249" i="1"/>
  <c r="L249" i="1"/>
  <c r="K249" i="1"/>
  <c r="J249" i="1"/>
  <c r="S249" i="1" l="1"/>
  <c r="H249" i="1"/>
  <c r="F249" i="1"/>
  <c r="E249" i="1"/>
  <c r="D249" i="1"/>
  <c r="C249" i="1"/>
  <c r="B249" i="1"/>
  <c r="I249" i="1" l="1"/>
  <c r="G249" i="1"/>
  <c r="R252" i="1"/>
  <c r="Q252" i="1"/>
  <c r="P252" i="1"/>
  <c r="O252" i="1"/>
  <c r="N252" i="1"/>
  <c r="M252" i="1"/>
  <c r="L252" i="1"/>
  <c r="K252" i="1"/>
  <c r="J252" i="1"/>
  <c r="S252" i="1" l="1"/>
  <c r="H252" i="1"/>
  <c r="F252" i="1"/>
  <c r="E252" i="1"/>
  <c r="D252" i="1"/>
  <c r="C252" i="1"/>
  <c r="B252" i="1"/>
  <c r="I252" i="1" l="1"/>
  <c r="G252" i="1"/>
  <c r="R281" i="1"/>
  <c r="Q281" i="1"/>
  <c r="P281" i="1"/>
  <c r="O281" i="1"/>
  <c r="N281" i="1"/>
  <c r="M281" i="1"/>
  <c r="L281" i="1"/>
  <c r="K281" i="1"/>
  <c r="J281" i="1"/>
  <c r="S281" i="1" l="1"/>
  <c r="H281" i="1"/>
  <c r="F281" i="1"/>
  <c r="E281" i="1"/>
  <c r="D281" i="1"/>
  <c r="C281" i="1"/>
  <c r="B281" i="1"/>
  <c r="I281" i="1" l="1"/>
  <c r="G281" i="1"/>
  <c r="R285" i="1"/>
  <c r="Q285" i="1"/>
  <c r="P285" i="1"/>
  <c r="O285" i="1"/>
  <c r="N285" i="1"/>
  <c r="M285" i="1"/>
  <c r="L285" i="1"/>
  <c r="K285" i="1"/>
  <c r="J285" i="1"/>
  <c r="S285" i="1" l="1"/>
  <c r="H285" i="1"/>
  <c r="F285" i="1"/>
  <c r="E285" i="1"/>
  <c r="D285" i="1"/>
  <c r="C285" i="1"/>
  <c r="B285" i="1"/>
  <c r="I285" i="1" l="1"/>
  <c r="G285" i="1"/>
  <c r="R208" i="1"/>
  <c r="Q208" i="1"/>
  <c r="P208" i="1"/>
  <c r="O208" i="1"/>
  <c r="N208" i="1"/>
  <c r="M208" i="1"/>
  <c r="L208" i="1"/>
  <c r="K208" i="1"/>
  <c r="J208" i="1"/>
  <c r="S208" i="1" l="1"/>
  <c r="H208" i="1"/>
  <c r="F208" i="1"/>
  <c r="E208" i="1"/>
  <c r="D208" i="1"/>
  <c r="C208" i="1"/>
  <c r="B208" i="1"/>
  <c r="I208" i="1" l="1"/>
  <c r="G208" i="1"/>
  <c r="R273" i="1"/>
  <c r="Q273" i="1"/>
  <c r="P273" i="1"/>
  <c r="O273" i="1"/>
  <c r="N273" i="1"/>
  <c r="M273" i="1"/>
  <c r="L273" i="1"/>
  <c r="K273" i="1"/>
  <c r="J273" i="1"/>
  <c r="S273" i="1" l="1"/>
  <c r="H273" i="1"/>
  <c r="F273" i="1"/>
  <c r="E273" i="1"/>
  <c r="D273" i="1"/>
  <c r="C273" i="1"/>
  <c r="B273" i="1"/>
  <c r="I273" i="1" l="1"/>
  <c r="G273" i="1"/>
  <c r="R274" i="1"/>
  <c r="Q274" i="1"/>
  <c r="P274" i="1"/>
  <c r="O274" i="1"/>
  <c r="N274" i="1"/>
  <c r="M274" i="1"/>
  <c r="L274" i="1"/>
  <c r="K274" i="1"/>
  <c r="J274" i="1"/>
  <c r="S274" i="1" l="1"/>
  <c r="H274" i="1"/>
  <c r="F274" i="1"/>
  <c r="E274" i="1"/>
  <c r="D274" i="1"/>
  <c r="C274" i="1"/>
  <c r="B274" i="1"/>
  <c r="I274" i="1" l="1"/>
  <c r="G274" i="1"/>
  <c r="R250" i="1"/>
  <c r="Q250" i="1"/>
  <c r="P250" i="1"/>
  <c r="O250" i="1"/>
  <c r="N250" i="1"/>
  <c r="M250" i="1"/>
  <c r="L250" i="1"/>
  <c r="K250" i="1"/>
  <c r="J250" i="1"/>
  <c r="S250" i="1" l="1"/>
  <c r="H250" i="1"/>
  <c r="F250" i="1"/>
  <c r="E250" i="1"/>
  <c r="D250" i="1"/>
  <c r="C250" i="1"/>
  <c r="B250" i="1"/>
  <c r="I250" i="1" l="1"/>
  <c r="G250" i="1"/>
  <c r="R293" i="1"/>
  <c r="Q293" i="1"/>
  <c r="P293" i="1"/>
  <c r="O293" i="1"/>
  <c r="N293" i="1"/>
  <c r="M293" i="1"/>
  <c r="L293" i="1"/>
  <c r="K293" i="1"/>
  <c r="J293" i="1"/>
  <c r="S293" i="1" l="1"/>
  <c r="H293" i="1"/>
  <c r="F293" i="1"/>
  <c r="E293" i="1"/>
  <c r="D293" i="1"/>
  <c r="C293" i="1"/>
  <c r="B293" i="1"/>
  <c r="I293" i="1" l="1"/>
  <c r="G293" i="1"/>
  <c r="R294" i="1"/>
  <c r="Q294" i="1"/>
  <c r="P294" i="1"/>
  <c r="O294" i="1"/>
  <c r="N294" i="1"/>
  <c r="M294" i="1"/>
  <c r="L294" i="1"/>
  <c r="K294" i="1"/>
  <c r="J294" i="1"/>
  <c r="S294" i="1" l="1"/>
  <c r="H294" i="1"/>
  <c r="F294" i="1"/>
  <c r="E294" i="1"/>
  <c r="D294" i="1"/>
  <c r="C294" i="1"/>
  <c r="B294" i="1"/>
  <c r="I294" i="1" l="1"/>
  <c r="G294" i="1"/>
  <c r="R256" i="1"/>
  <c r="Q256" i="1"/>
  <c r="P256" i="1"/>
  <c r="O256" i="1"/>
  <c r="N256" i="1"/>
  <c r="M256" i="1"/>
  <c r="L256" i="1"/>
  <c r="K256" i="1"/>
  <c r="J256" i="1"/>
  <c r="S256" i="1" l="1"/>
  <c r="H256" i="1"/>
  <c r="F256" i="1"/>
  <c r="E256" i="1"/>
  <c r="D256" i="1"/>
  <c r="C256" i="1"/>
  <c r="B256" i="1"/>
  <c r="I256" i="1" l="1"/>
  <c r="G256" i="1"/>
  <c r="R299" i="1"/>
  <c r="Q299" i="1"/>
  <c r="P299" i="1"/>
  <c r="O299" i="1"/>
  <c r="N299" i="1"/>
  <c r="M299" i="1"/>
  <c r="L299" i="1"/>
  <c r="K299" i="1"/>
  <c r="J299" i="1"/>
  <c r="S299" i="1" l="1"/>
  <c r="H299" i="1"/>
  <c r="F299" i="1"/>
  <c r="E299" i="1"/>
  <c r="D299" i="1"/>
  <c r="C299" i="1"/>
  <c r="B299" i="1"/>
  <c r="I299" i="1" l="1"/>
  <c r="G299" i="1"/>
  <c r="R298" i="1"/>
  <c r="Q298" i="1"/>
  <c r="P298" i="1"/>
  <c r="O298" i="1"/>
  <c r="N298" i="1"/>
  <c r="M298" i="1"/>
  <c r="L298" i="1"/>
  <c r="K298" i="1"/>
  <c r="J298" i="1"/>
  <c r="S298" i="1" l="1"/>
  <c r="H298" i="1"/>
  <c r="F298" i="1"/>
  <c r="E298" i="1"/>
  <c r="D298" i="1"/>
  <c r="C298" i="1"/>
  <c r="B298" i="1"/>
  <c r="I298" i="1" l="1"/>
  <c r="G298" i="1"/>
  <c r="R238" i="1"/>
  <c r="Q238" i="1"/>
  <c r="P238" i="1"/>
  <c r="O238" i="1"/>
  <c r="N238" i="1"/>
  <c r="M238" i="1"/>
  <c r="L238" i="1"/>
  <c r="K238" i="1"/>
  <c r="J238" i="1"/>
  <c r="S238" i="1" l="1"/>
  <c r="H238" i="1"/>
  <c r="F238" i="1"/>
  <c r="E238" i="1"/>
  <c r="D238" i="1"/>
  <c r="C238" i="1"/>
  <c r="B238" i="1"/>
  <c r="I238" i="1" l="1"/>
  <c r="G238" i="1"/>
  <c r="R269" i="1"/>
  <c r="Q269" i="1"/>
  <c r="P269" i="1"/>
  <c r="O269" i="1"/>
  <c r="N269" i="1"/>
  <c r="M269" i="1"/>
  <c r="L269" i="1"/>
  <c r="K269" i="1"/>
  <c r="J269" i="1"/>
  <c r="S269" i="1" l="1"/>
  <c r="H269" i="1"/>
  <c r="F269" i="1"/>
  <c r="E269" i="1"/>
  <c r="D269" i="1"/>
  <c r="C269" i="1"/>
  <c r="B269" i="1"/>
  <c r="I269" i="1" l="1"/>
  <c r="G269" i="1"/>
  <c r="R195" i="1"/>
  <c r="Q195" i="1"/>
  <c r="P195" i="1"/>
  <c r="O195" i="1"/>
  <c r="N195" i="1"/>
  <c r="M195" i="1"/>
  <c r="L195" i="1"/>
  <c r="K195" i="1"/>
  <c r="J195" i="1"/>
  <c r="S195" i="1" l="1"/>
  <c r="H195" i="1"/>
  <c r="F195" i="1"/>
  <c r="E195" i="1"/>
  <c r="D195" i="1"/>
  <c r="C195" i="1"/>
  <c r="B195" i="1"/>
  <c r="I195" i="1" l="1"/>
  <c r="G195" i="1"/>
  <c r="R275" i="1"/>
  <c r="Q275" i="1"/>
  <c r="P275" i="1"/>
  <c r="O275" i="1"/>
  <c r="N275" i="1"/>
  <c r="M275" i="1"/>
  <c r="L275" i="1"/>
  <c r="K275" i="1"/>
  <c r="J275" i="1"/>
  <c r="S275" i="1" l="1"/>
  <c r="H275" i="1"/>
  <c r="F275" i="1"/>
  <c r="E275" i="1"/>
  <c r="D275" i="1"/>
  <c r="C275" i="1"/>
  <c r="B275" i="1"/>
  <c r="I275" i="1" l="1"/>
  <c r="G275" i="1"/>
  <c r="R240" i="1"/>
  <c r="Q240" i="1"/>
  <c r="P240" i="1"/>
  <c r="O240" i="1"/>
  <c r="N240" i="1"/>
  <c r="M240" i="1"/>
  <c r="L240" i="1"/>
  <c r="K240" i="1"/>
  <c r="J240" i="1"/>
  <c r="S240" i="1" l="1"/>
  <c r="H240" i="1"/>
  <c r="F240" i="1"/>
  <c r="E240" i="1"/>
  <c r="D240" i="1"/>
  <c r="C240" i="1"/>
  <c r="B240" i="1"/>
  <c r="I240" i="1" l="1"/>
  <c r="G240" i="1"/>
  <c r="R197" i="1"/>
  <c r="Q197" i="1"/>
  <c r="P197" i="1"/>
  <c r="O197" i="1"/>
  <c r="N197" i="1"/>
  <c r="M197" i="1"/>
  <c r="L197" i="1"/>
  <c r="K197" i="1"/>
  <c r="J197" i="1"/>
  <c r="S197" i="1" l="1"/>
  <c r="H197" i="1"/>
  <c r="F197" i="1"/>
  <c r="E197" i="1"/>
  <c r="D197" i="1"/>
  <c r="C197" i="1"/>
  <c r="B197" i="1"/>
  <c r="I197" i="1" l="1"/>
  <c r="G197" i="1"/>
  <c r="R296" i="1"/>
  <c r="Q296" i="1"/>
  <c r="P296" i="1"/>
  <c r="O296" i="1"/>
  <c r="N296" i="1"/>
  <c r="M296" i="1"/>
  <c r="L296" i="1"/>
  <c r="K296" i="1"/>
  <c r="J296" i="1"/>
  <c r="S296" i="1" l="1"/>
  <c r="H296" i="1"/>
  <c r="F296" i="1"/>
  <c r="E296" i="1"/>
  <c r="D296" i="1"/>
  <c r="C296" i="1"/>
  <c r="B296" i="1"/>
  <c r="I296" i="1" l="1"/>
  <c r="G296" i="1"/>
  <c r="R229" i="1"/>
  <c r="Q229" i="1"/>
  <c r="P229" i="1"/>
  <c r="O229" i="1"/>
  <c r="N229" i="1"/>
  <c r="M229" i="1"/>
  <c r="L229" i="1"/>
  <c r="K229" i="1"/>
  <c r="J229" i="1"/>
  <c r="S229" i="1" l="1"/>
  <c r="H229" i="1"/>
  <c r="F229" i="1"/>
  <c r="E229" i="1"/>
  <c r="D229" i="1"/>
  <c r="C229" i="1"/>
  <c r="B229" i="1"/>
  <c r="I229" i="1" l="1"/>
  <c r="G229" i="1"/>
  <c r="R187" i="1"/>
  <c r="Q187" i="1"/>
  <c r="P187" i="1"/>
  <c r="O187" i="1"/>
  <c r="N187" i="1"/>
  <c r="M187" i="1"/>
  <c r="L187" i="1"/>
  <c r="K187" i="1"/>
  <c r="J187" i="1"/>
  <c r="S187" i="1" l="1"/>
  <c r="H187" i="1"/>
  <c r="F187" i="1"/>
  <c r="E187" i="1"/>
  <c r="D187" i="1"/>
  <c r="C187" i="1"/>
  <c r="B187" i="1"/>
  <c r="I187" i="1" l="1"/>
  <c r="G187" i="1"/>
  <c r="R280" i="1"/>
  <c r="Q280" i="1"/>
  <c r="P280" i="1"/>
  <c r="O280" i="1"/>
  <c r="N280" i="1"/>
  <c r="M280" i="1"/>
  <c r="L280" i="1"/>
  <c r="K280" i="1"/>
  <c r="J280" i="1"/>
  <c r="S280" i="1" l="1"/>
  <c r="H280" i="1"/>
  <c r="F280" i="1"/>
  <c r="E280" i="1"/>
  <c r="D280" i="1"/>
  <c r="C280" i="1"/>
  <c r="B280" i="1"/>
  <c r="I280" i="1" l="1"/>
  <c r="G280" i="1"/>
  <c r="R288" i="1"/>
  <c r="Q288" i="1"/>
  <c r="P288" i="1"/>
  <c r="O288" i="1"/>
  <c r="N288" i="1"/>
  <c r="M288" i="1"/>
  <c r="L288" i="1"/>
  <c r="K288" i="1"/>
  <c r="J288" i="1"/>
  <c r="S288" i="1" l="1"/>
  <c r="H288" i="1"/>
  <c r="F288" i="1"/>
  <c r="E288" i="1"/>
  <c r="D288" i="1"/>
  <c r="C288" i="1"/>
  <c r="B288" i="1"/>
  <c r="I288" i="1" l="1"/>
  <c r="G288" i="1"/>
  <c r="R259" i="1"/>
  <c r="Q259" i="1"/>
  <c r="P259" i="1"/>
  <c r="O259" i="1"/>
  <c r="N259" i="1"/>
  <c r="M259" i="1"/>
  <c r="L259" i="1"/>
  <c r="K259" i="1"/>
  <c r="J259" i="1"/>
  <c r="S259" i="1" l="1"/>
  <c r="H259" i="1"/>
  <c r="F259" i="1"/>
  <c r="E259" i="1"/>
  <c r="D259" i="1"/>
  <c r="C259" i="1"/>
  <c r="B259" i="1"/>
  <c r="I259" i="1" l="1"/>
  <c r="G259" i="1"/>
  <c r="R182" i="1"/>
  <c r="Q182" i="1"/>
  <c r="P182" i="1"/>
  <c r="O182" i="1"/>
  <c r="N182" i="1"/>
  <c r="M182" i="1"/>
  <c r="L182" i="1"/>
  <c r="K182" i="1"/>
  <c r="J182" i="1"/>
  <c r="S182" i="1" l="1"/>
  <c r="H182" i="1"/>
  <c r="F182" i="1"/>
  <c r="E182" i="1"/>
  <c r="D182" i="1"/>
  <c r="C182" i="1"/>
  <c r="B182" i="1"/>
  <c r="I182" i="1" l="1"/>
  <c r="G182" i="1"/>
  <c r="R185" i="1"/>
  <c r="Q185" i="1"/>
  <c r="P185" i="1"/>
  <c r="O185" i="1"/>
  <c r="N185" i="1"/>
  <c r="M185" i="1"/>
  <c r="L185" i="1"/>
  <c r="K185" i="1"/>
  <c r="J185" i="1"/>
  <c r="S185" i="1" l="1"/>
  <c r="H185" i="1"/>
  <c r="F185" i="1"/>
  <c r="E185" i="1"/>
  <c r="D185" i="1"/>
  <c r="C185" i="1"/>
  <c r="B185" i="1"/>
  <c r="I185" i="1" l="1"/>
  <c r="G185" i="1"/>
  <c r="R253" i="1"/>
  <c r="Q253" i="1"/>
  <c r="P253" i="1"/>
  <c r="O253" i="1"/>
  <c r="N253" i="1"/>
  <c r="M253" i="1"/>
  <c r="L253" i="1"/>
  <c r="K253" i="1"/>
  <c r="J253" i="1"/>
  <c r="S253" i="1" l="1"/>
  <c r="H253" i="1"/>
  <c r="F253" i="1"/>
  <c r="E253" i="1"/>
  <c r="D253" i="1"/>
  <c r="C253" i="1"/>
  <c r="B253" i="1"/>
  <c r="I253" i="1" l="1"/>
  <c r="G253" i="1"/>
  <c r="R210" i="1"/>
  <c r="Q210" i="1"/>
  <c r="P210" i="1"/>
  <c r="O210" i="1"/>
  <c r="N210" i="1"/>
  <c r="M210" i="1"/>
  <c r="L210" i="1"/>
  <c r="K210" i="1"/>
  <c r="J210" i="1"/>
  <c r="S210" i="1" l="1"/>
  <c r="H210" i="1"/>
  <c r="F210" i="1"/>
  <c r="E210" i="1"/>
  <c r="D210" i="1"/>
  <c r="C210" i="1"/>
  <c r="B210" i="1"/>
  <c r="I210" i="1" l="1"/>
  <c r="G210" i="1"/>
  <c r="R286" i="1"/>
  <c r="Q286" i="1"/>
  <c r="P286" i="1"/>
  <c r="O286" i="1"/>
  <c r="N286" i="1"/>
  <c r="M286" i="1"/>
  <c r="L286" i="1"/>
  <c r="K286" i="1"/>
  <c r="J286" i="1"/>
  <c r="S286" i="1" l="1"/>
  <c r="H286" i="1"/>
  <c r="F286" i="1"/>
  <c r="E286" i="1"/>
  <c r="D286" i="1"/>
  <c r="C286" i="1"/>
  <c r="B286" i="1"/>
  <c r="I286" i="1" l="1"/>
  <c r="G286" i="1"/>
  <c r="R183" i="1"/>
  <c r="Q183" i="1"/>
  <c r="P183" i="1"/>
  <c r="O183" i="1"/>
  <c r="N183" i="1"/>
  <c r="M183" i="1"/>
  <c r="L183" i="1"/>
  <c r="K183" i="1"/>
  <c r="J183" i="1"/>
  <c r="S183" i="1" l="1"/>
  <c r="H183" i="1"/>
  <c r="F183" i="1"/>
  <c r="E183" i="1"/>
  <c r="D183" i="1"/>
  <c r="C183" i="1"/>
  <c r="B183" i="1"/>
  <c r="I183" i="1" l="1"/>
  <c r="G183" i="1"/>
  <c r="R255" i="1"/>
  <c r="Q255" i="1"/>
  <c r="P255" i="1"/>
  <c r="O255" i="1"/>
  <c r="N255" i="1"/>
  <c r="M255" i="1"/>
  <c r="L255" i="1"/>
  <c r="K255" i="1"/>
  <c r="J255" i="1"/>
  <c r="S255" i="1" l="1"/>
  <c r="H255" i="1"/>
  <c r="F255" i="1"/>
  <c r="E255" i="1"/>
  <c r="D255" i="1"/>
  <c r="C255" i="1"/>
  <c r="B255" i="1"/>
  <c r="I255" i="1" l="1"/>
  <c r="G255" i="1"/>
  <c r="R289" i="1"/>
  <c r="Q289" i="1"/>
  <c r="P289" i="1"/>
  <c r="O289" i="1"/>
  <c r="N289" i="1"/>
  <c r="M289" i="1"/>
  <c r="L289" i="1"/>
  <c r="K289" i="1"/>
  <c r="J289" i="1"/>
  <c r="S289" i="1" l="1"/>
  <c r="H289" i="1"/>
  <c r="F289" i="1"/>
  <c r="E289" i="1"/>
  <c r="D289" i="1"/>
  <c r="C289" i="1"/>
  <c r="B289" i="1"/>
  <c r="I289" i="1" l="1"/>
  <c r="G289" i="1"/>
  <c r="R203" i="1"/>
  <c r="Q203" i="1"/>
  <c r="P203" i="1"/>
  <c r="O203" i="1"/>
  <c r="N203" i="1"/>
  <c r="M203" i="1"/>
  <c r="L203" i="1"/>
  <c r="K203" i="1"/>
  <c r="J203" i="1"/>
  <c r="S203" i="1" l="1"/>
  <c r="H203" i="1"/>
  <c r="F203" i="1"/>
  <c r="E203" i="1"/>
  <c r="D203" i="1"/>
  <c r="C203" i="1"/>
  <c r="B203" i="1"/>
  <c r="I203" i="1" l="1"/>
  <c r="G203" i="1"/>
  <c r="R263" i="1"/>
  <c r="Q263" i="1"/>
  <c r="P263" i="1"/>
  <c r="O263" i="1"/>
  <c r="N263" i="1"/>
  <c r="M263" i="1"/>
  <c r="L263" i="1"/>
  <c r="K263" i="1"/>
  <c r="J263" i="1"/>
  <c r="S263" i="1" l="1"/>
  <c r="H263" i="1"/>
  <c r="F263" i="1"/>
  <c r="E263" i="1"/>
  <c r="D263" i="1"/>
  <c r="C263" i="1"/>
  <c r="B263" i="1"/>
  <c r="I263" i="1" l="1"/>
  <c r="G263" i="1"/>
  <c r="R260" i="1"/>
  <c r="Q260" i="1"/>
  <c r="P260" i="1"/>
  <c r="O260" i="1"/>
  <c r="N260" i="1"/>
  <c r="M260" i="1"/>
  <c r="L260" i="1"/>
  <c r="K260" i="1"/>
  <c r="J260" i="1"/>
  <c r="S260" i="1" l="1"/>
  <c r="H260" i="1"/>
  <c r="F260" i="1"/>
  <c r="E260" i="1"/>
  <c r="D260" i="1"/>
  <c r="C260" i="1"/>
  <c r="B260" i="1"/>
  <c r="I260" i="1" l="1"/>
  <c r="G260" i="1"/>
  <c r="R278" i="1"/>
  <c r="Q278" i="1"/>
  <c r="P278" i="1"/>
  <c r="O278" i="1"/>
  <c r="N278" i="1"/>
  <c r="M278" i="1"/>
  <c r="L278" i="1"/>
  <c r="K278" i="1"/>
  <c r="J278" i="1"/>
  <c r="S278" i="1" l="1"/>
  <c r="H278" i="1"/>
  <c r="F278" i="1"/>
  <c r="E278" i="1"/>
  <c r="D278" i="1"/>
  <c r="C278" i="1"/>
  <c r="B278" i="1"/>
  <c r="I278" i="1" l="1"/>
  <c r="G278" i="1"/>
  <c r="R282" i="1"/>
  <c r="Q282" i="1"/>
  <c r="P282" i="1"/>
  <c r="O282" i="1"/>
  <c r="N282" i="1"/>
  <c r="M282" i="1"/>
  <c r="L282" i="1"/>
  <c r="K282" i="1"/>
  <c r="J282" i="1"/>
  <c r="S282" i="1" l="1"/>
  <c r="H282" i="1"/>
  <c r="F282" i="1"/>
  <c r="E282" i="1"/>
  <c r="D282" i="1"/>
  <c r="C282" i="1"/>
  <c r="B282" i="1"/>
  <c r="I282" i="1" l="1"/>
  <c r="G282" i="1"/>
  <c r="R312" i="1"/>
  <c r="Q312" i="1"/>
  <c r="P312" i="1"/>
  <c r="O312" i="1"/>
  <c r="N312" i="1"/>
  <c r="M312" i="1"/>
  <c r="L312" i="1"/>
  <c r="K312" i="1"/>
  <c r="J312" i="1"/>
  <c r="S312" i="1" l="1"/>
  <c r="H312" i="1"/>
  <c r="F312" i="1"/>
  <c r="E312" i="1"/>
  <c r="D312" i="1"/>
  <c r="C312" i="1"/>
  <c r="B312" i="1"/>
  <c r="I312" i="1" l="1"/>
  <c r="G312" i="1"/>
  <c r="R116" i="1"/>
  <c r="Q116" i="1"/>
  <c r="P116" i="1"/>
  <c r="O116" i="1"/>
  <c r="N116" i="1"/>
  <c r="M116" i="1"/>
  <c r="L116" i="1"/>
  <c r="K116" i="1"/>
  <c r="J116" i="1"/>
  <c r="S116" i="1" l="1"/>
  <c r="H116" i="1"/>
  <c r="F116" i="1"/>
  <c r="E116" i="1"/>
  <c r="D116" i="1"/>
  <c r="C116" i="1"/>
  <c r="B116" i="1"/>
  <c r="I116" i="1" l="1"/>
  <c r="G116" i="1"/>
  <c r="R283" i="1"/>
  <c r="Q283" i="1"/>
  <c r="P283" i="1"/>
  <c r="O283" i="1"/>
  <c r="N283" i="1"/>
  <c r="M283" i="1"/>
  <c r="L283" i="1"/>
  <c r="K283" i="1"/>
  <c r="J283" i="1"/>
  <c r="S283" i="1" l="1"/>
  <c r="H283" i="1"/>
  <c r="F283" i="1"/>
  <c r="E283" i="1"/>
  <c r="D283" i="1"/>
  <c r="C283" i="1"/>
  <c r="B283" i="1"/>
  <c r="I283" i="1" l="1"/>
  <c r="G283" i="1"/>
  <c r="R257" i="1"/>
  <c r="Q257" i="1"/>
  <c r="P257" i="1"/>
  <c r="O257" i="1"/>
  <c r="N257" i="1"/>
  <c r="M257" i="1"/>
  <c r="L257" i="1"/>
  <c r="K257" i="1"/>
  <c r="J257" i="1"/>
  <c r="S257" i="1" l="1"/>
  <c r="H257" i="1"/>
  <c r="F257" i="1"/>
  <c r="E257" i="1"/>
  <c r="D257" i="1"/>
  <c r="C257" i="1"/>
  <c r="B257" i="1"/>
  <c r="I257" i="1" l="1"/>
  <c r="G257" i="1"/>
  <c r="R272" i="1"/>
  <c r="Q272" i="1"/>
  <c r="P272" i="1"/>
  <c r="O272" i="1"/>
  <c r="N272" i="1"/>
  <c r="M272" i="1"/>
  <c r="L272" i="1"/>
  <c r="K272" i="1"/>
  <c r="J272" i="1"/>
  <c r="S272" i="1" l="1"/>
  <c r="H272" i="1"/>
  <c r="F272" i="1"/>
  <c r="E272" i="1"/>
  <c r="D272" i="1"/>
  <c r="C272" i="1"/>
  <c r="B272" i="1"/>
  <c r="I272" i="1" l="1"/>
  <c r="G272" i="1"/>
  <c r="R155" i="1"/>
  <c r="Q155" i="1"/>
  <c r="P155" i="1"/>
  <c r="O155" i="1"/>
  <c r="N155" i="1"/>
  <c r="M155" i="1"/>
  <c r="L155" i="1"/>
  <c r="K155" i="1"/>
  <c r="J155" i="1"/>
  <c r="S155" i="1" l="1"/>
  <c r="H155" i="1"/>
  <c r="F155" i="1"/>
  <c r="E155" i="1"/>
  <c r="D155" i="1"/>
  <c r="C155" i="1"/>
  <c r="B155" i="1"/>
  <c r="I155" i="1" l="1"/>
  <c r="G155" i="1"/>
  <c r="R107" i="1"/>
  <c r="Q107" i="1"/>
  <c r="P107" i="1"/>
  <c r="O107" i="1"/>
  <c r="N107" i="1"/>
  <c r="M107" i="1"/>
  <c r="L107" i="1"/>
  <c r="K107" i="1"/>
  <c r="J107" i="1"/>
  <c r="S107" i="1" l="1"/>
  <c r="H107" i="1"/>
  <c r="F107" i="1"/>
  <c r="E107" i="1"/>
  <c r="D107" i="1"/>
  <c r="C107" i="1"/>
  <c r="B107" i="1"/>
  <c r="I107" i="1" l="1"/>
  <c r="G107" i="1"/>
  <c r="R215" i="1"/>
  <c r="Q215" i="1"/>
  <c r="P215" i="1"/>
  <c r="O215" i="1"/>
  <c r="N215" i="1"/>
  <c r="M215" i="1"/>
  <c r="L215" i="1"/>
  <c r="K215" i="1"/>
  <c r="J215" i="1"/>
  <c r="S215" i="1" l="1"/>
  <c r="H215" i="1"/>
  <c r="F215" i="1"/>
  <c r="E215" i="1"/>
  <c r="D215" i="1"/>
  <c r="C215" i="1"/>
  <c r="B215" i="1"/>
  <c r="I215" i="1" l="1"/>
  <c r="G215" i="1"/>
  <c r="R268" i="1"/>
  <c r="Q268" i="1"/>
  <c r="P268" i="1"/>
  <c r="O268" i="1"/>
  <c r="N268" i="1"/>
  <c r="M268" i="1"/>
  <c r="L268" i="1"/>
  <c r="K268" i="1"/>
  <c r="J268" i="1"/>
  <c r="S268" i="1" l="1"/>
  <c r="H268" i="1"/>
  <c r="F268" i="1"/>
  <c r="E268" i="1"/>
  <c r="D268" i="1"/>
  <c r="C268" i="1"/>
  <c r="B268" i="1"/>
  <c r="I268" i="1" l="1"/>
  <c r="G268" i="1"/>
  <c r="R264" i="1"/>
  <c r="Q264" i="1"/>
  <c r="P264" i="1"/>
  <c r="O264" i="1"/>
  <c r="N264" i="1"/>
  <c r="M264" i="1"/>
  <c r="L264" i="1"/>
  <c r="K264" i="1"/>
  <c r="J264" i="1"/>
  <c r="S264" i="1" l="1"/>
  <c r="H264" i="1"/>
  <c r="F264" i="1"/>
  <c r="E264" i="1"/>
  <c r="D264" i="1"/>
  <c r="C264" i="1"/>
  <c r="B264" i="1"/>
  <c r="I264" i="1" l="1"/>
  <c r="G264" i="1"/>
  <c r="R267" i="1"/>
  <c r="Q267" i="1"/>
  <c r="P267" i="1"/>
  <c r="O267" i="1"/>
  <c r="N267" i="1"/>
  <c r="M267" i="1"/>
  <c r="L267" i="1"/>
  <c r="K267" i="1"/>
  <c r="J267" i="1"/>
  <c r="S267" i="1" l="1"/>
  <c r="H267" i="1"/>
  <c r="F267" i="1"/>
  <c r="E267" i="1"/>
  <c r="D267" i="1"/>
  <c r="C267" i="1"/>
  <c r="B267" i="1"/>
  <c r="I267" i="1" l="1"/>
  <c r="G267" i="1"/>
  <c r="R147" i="1"/>
  <c r="Q147" i="1"/>
  <c r="P147" i="1"/>
  <c r="O147" i="1"/>
  <c r="N147" i="1"/>
  <c r="M147" i="1"/>
  <c r="L147" i="1"/>
  <c r="K147" i="1"/>
  <c r="J147" i="1"/>
  <c r="S147" i="1" l="1"/>
  <c r="H147" i="1"/>
  <c r="F147" i="1"/>
  <c r="E147" i="1"/>
  <c r="D147" i="1"/>
  <c r="C147" i="1"/>
  <c r="B147" i="1"/>
  <c r="I147" i="1" l="1"/>
  <c r="G147" i="1"/>
  <c r="R167" i="1"/>
  <c r="Q167" i="1"/>
  <c r="P167" i="1"/>
  <c r="O167" i="1"/>
  <c r="N167" i="1"/>
  <c r="M167" i="1"/>
  <c r="L167" i="1"/>
  <c r="K167" i="1"/>
  <c r="J167" i="1"/>
  <c r="S167" i="1" l="1"/>
  <c r="H167" i="1"/>
  <c r="F167" i="1"/>
  <c r="E167" i="1"/>
  <c r="D167" i="1"/>
  <c r="C167" i="1"/>
  <c r="B167" i="1"/>
  <c r="I167" i="1" l="1"/>
  <c r="G167" i="1"/>
  <c r="R33" i="1"/>
  <c r="Q33" i="1"/>
  <c r="P33" i="1"/>
  <c r="O33" i="1"/>
  <c r="N33" i="1"/>
  <c r="M33" i="1"/>
  <c r="L33" i="1"/>
  <c r="K33" i="1"/>
  <c r="J33" i="1"/>
  <c r="S33" i="1" l="1"/>
  <c r="H33" i="1"/>
  <c r="F33" i="1"/>
  <c r="E33" i="1"/>
  <c r="D33" i="1"/>
  <c r="C33" i="1"/>
  <c r="B33" i="1"/>
  <c r="I33" i="1" l="1"/>
  <c r="G33" i="1"/>
  <c r="R246" i="1"/>
  <c r="Q246" i="1"/>
  <c r="P246" i="1"/>
  <c r="O246" i="1"/>
  <c r="N246" i="1"/>
  <c r="M246" i="1"/>
  <c r="L246" i="1"/>
  <c r="K246" i="1"/>
  <c r="J246" i="1"/>
  <c r="S246" i="1" l="1"/>
  <c r="H246" i="1"/>
  <c r="F246" i="1"/>
  <c r="E246" i="1"/>
  <c r="D246" i="1"/>
  <c r="C246" i="1"/>
  <c r="B246" i="1"/>
  <c r="I246" i="1" l="1"/>
  <c r="G246" i="1"/>
  <c r="R245" i="1"/>
  <c r="Q245" i="1"/>
  <c r="P245" i="1"/>
  <c r="O245" i="1"/>
  <c r="N245" i="1"/>
  <c r="M245" i="1"/>
  <c r="L245" i="1"/>
  <c r="K245" i="1"/>
  <c r="J245" i="1"/>
  <c r="S245" i="1" l="1"/>
  <c r="H245" i="1"/>
  <c r="F245" i="1"/>
  <c r="E245" i="1"/>
  <c r="D245" i="1"/>
  <c r="C245" i="1"/>
  <c r="B245" i="1"/>
  <c r="I245" i="1" l="1"/>
  <c r="G245" i="1"/>
  <c r="R224" i="1"/>
  <c r="Q224" i="1"/>
  <c r="P224" i="1"/>
  <c r="O224" i="1"/>
  <c r="N224" i="1"/>
  <c r="M224" i="1"/>
  <c r="L224" i="1"/>
  <c r="K224" i="1"/>
  <c r="J224" i="1"/>
  <c r="S224" i="1" l="1"/>
  <c r="H224" i="1"/>
  <c r="F224" i="1"/>
  <c r="E224" i="1"/>
  <c r="D224" i="1"/>
  <c r="C224" i="1"/>
  <c r="B224" i="1"/>
  <c r="I224" i="1" l="1"/>
  <c r="G224" i="1"/>
  <c r="R254" i="1"/>
  <c r="Q254" i="1"/>
  <c r="P254" i="1"/>
  <c r="O254" i="1"/>
  <c r="N254" i="1"/>
  <c r="M254" i="1"/>
  <c r="L254" i="1"/>
  <c r="K254" i="1"/>
  <c r="J254" i="1"/>
  <c r="S254" i="1" l="1"/>
  <c r="H254" i="1"/>
  <c r="F254" i="1"/>
  <c r="E254" i="1"/>
  <c r="D254" i="1"/>
  <c r="C254" i="1"/>
  <c r="B254" i="1"/>
  <c r="I254" i="1" l="1"/>
  <c r="G254" i="1"/>
  <c r="R287" i="1"/>
  <c r="Q287" i="1"/>
  <c r="P287" i="1"/>
  <c r="O287" i="1"/>
  <c r="N287" i="1"/>
  <c r="M287" i="1"/>
  <c r="L287" i="1"/>
  <c r="K287" i="1"/>
  <c r="J287" i="1"/>
  <c r="S287" i="1" l="1"/>
  <c r="H287" i="1"/>
  <c r="F287" i="1"/>
  <c r="E287" i="1"/>
  <c r="D287" i="1"/>
  <c r="C287" i="1"/>
  <c r="B287" i="1"/>
  <c r="I287" i="1" l="1"/>
  <c r="G287" i="1"/>
  <c r="R265" i="1"/>
  <c r="Q265" i="1"/>
  <c r="P265" i="1"/>
  <c r="O265" i="1"/>
  <c r="N265" i="1"/>
  <c r="M265" i="1"/>
  <c r="L265" i="1"/>
  <c r="K265" i="1"/>
  <c r="J265" i="1"/>
  <c r="S265" i="1" l="1"/>
  <c r="H265" i="1"/>
  <c r="F265" i="1"/>
  <c r="E265" i="1"/>
  <c r="D265" i="1"/>
  <c r="C265" i="1"/>
  <c r="B265" i="1"/>
  <c r="I265" i="1" l="1"/>
  <c r="G265" i="1"/>
  <c r="R89" i="1"/>
  <c r="Q89" i="1"/>
  <c r="P89" i="1"/>
  <c r="O89" i="1"/>
  <c r="N89" i="1"/>
  <c r="M89" i="1"/>
  <c r="L89" i="1"/>
  <c r="K89" i="1"/>
  <c r="J89" i="1"/>
  <c r="S89" i="1" l="1"/>
  <c r="H89" i="1"/>
  <c r="F89" i="1"/>
  <c r="E89" i="1"/>
  <c r="D89" i="1"/>
  <c r="C89" i="1"/>
  <c r="B89" i="1"/>
  <c r="I89" i="1" l="1"/>
  <c r="G89" i="1"/>
  <c r="R290" i="1"/>
  <c r="Q290" i="1"/>
  <c r="P290" i="1"/>
  <c r="O290" i="1"/>
  <c r="N290" i="1"/>
  <c r="M290" i="1"/>
  <c r="L290" i="1"/>
  <c r="K290" i="1"/>
  <c r="J290" i="1"/>
  <c r="S290" i="1" l="1"/>
  <c r="H290" i="1"/>
  <c r="F290" i="1"/>
  <c r="E290" i="1"/>
  <c r="D290" i="1"/>
  <c r="C290" i="1"/>
  <c r="B290" i="1"/>
  <c r="I290" i="1" l="1"/>
  <c r="G290" i="1"/>
  <c r="R262" i="1"/>
  <c r="Q262" i="1"/>
  <c r="P262" i="1"/>
  <c r="O262" i="1"/>
  <c r="N262" i="1"/>
  <c r="M262" i="1"/>
  <c r="L262" i="1"/>
  <c r="K262" i="1"/>
  <c r="J262" i="1"/>
  <c r="S262" i="1" l="1"/>
  <c r="H262" i="1"/>
  <c r="F262" i="1"/>
  <c r="E262" i="1"/>
  <c r="D262" i="1"/>
  <c r="C262" i="1"/>
  <c r="B262" i="1"/>
  <c r="I262" i="1" l="1"/>
  <c r="G262" i="1"/>
  <c r="R271" i="1"/>
  <c r="Q271" i="1"/>
  <c r="P271" i="1"/>
  <c r="O271" i="1"/>
  <c r="N271" i="1"/>
  <c r="M271" i="1"/>
  <c r="L271" i="1"/>
  <c r="K271" i="1"/>
  <c r="J271" i="1"/>
  <c r="S271" i="1" l="1"/>
  <c r="H271" i="1"/>
  <c r="F271" i="1"/>
  <c r="E271" i="1"/>
  <c r="D271" i="1"/>
  <c r="C271" i="1"/>
  <c r="B271" i="1"/>
  <c r="I271" i="1" l="1"/>
  <c r="G271" i="1"/>
  <c r="R243" i="1"/>
  <c r="Q243" i="1"/>
  <c r="P243" i="1"/>
  <c r="O243" i="1"/>
  <c r="N243" i="1"/>
  <c r="M243" i="1"/>
  <c r="L243" i="1"/>
  <c r="K243" i="1"/>
  <c r="J243" i="1"/>
  <c r="S243" i="1" l="1"/>
  <c r="H243" i="1"/>
  <c r="F243" i="1"/>
  <c r="E243" i="1"/>
  <c r="D243" i="1"/>
  <c r="C243" i="1"/>
  <c r="B243" i="1"/>
  <c r="I243" i="1" l="1"/>
  <c r="G243" i="1"/>
  <c r="R241" i="1"/>
  <c r="Q241" i="1"/>
  <c r="P241" i="1"/>
  <c r="O241" i="1"/>
  <c r="N241" i="1"/>
  <c r="M241" i="1"/>
  <c r="L241" i="1"/>
  <c r="K241" i="1"/>
  <c r="J241" i="1"/>
  <c r="S241" i="1" l="1"/>
  <c r="H241" i="1"/>
  <c r="F241" i="1"/>
  <c r="E241" i="1"/>
  <c r="D241" i="1"/>
  <c r="C241" i="1"/>
  <c r="B241" i="1"/>
  <c r="I241" i="1" l="1"/>
  <c r="G241" i="1"/>
  <c r="R270" i="1"/>
  <c r="Q270" i="1"/>
  <c r="P270" i="1"/>
  <c r="O270" i="1"/>
  <c r="N270" i="1"/>
  <c r="M270" i="1"/>
  <c r="L270" i="1"/>
  <c r="K270" i="1"/>
  <c r="J270" i="1"/>
  <c r="S270" i="1" l="1"/>
  <c r="H270" i="1"/>
  <c r="F270" i="1"/>
  <c r="E270" i="1"/>
  <c r="D270" i="1"/>
  <c r="C270" i="1"/>
  <c r="B270" i="1"/>
  <c r="I270" i="1" l="1"/>
  <c r="G270" i="1"/>
  <c r="R200" i="1"/>
  <c r="Q200" i="1"/>
  <c r="P200" i="1"/>
  <c r="O200" i="1"/>
  <c r="N200" i="1"/>
  <c r="M200" i="1"/>
  <c r="L200" i="1"/>
  <c r="K200" i="1"/>
  <c r="J200" i="1"/>
  <c r="S200" i="1" l="1"/>
  <c r="H200" i="1"/>
  <c r="F200" i="1"/>
  <c r="E200" i="1"/>
  <c r="D200" i="1"/>
  <c r="C200" i="1"/>
  <c r="B200" i="1"/>
  <c r="I200" i="1" l="1"/>
  <c r="G200" i="1"/>
  <c r="R234" i="1"/>
  <c r="Q234" i="1"/>
  <c r="P234" i="1"/>
  <c r="O234" i="1"/>
  <c r="N234" i="1"/>
  <c r="M234" i="1"/>
  <c r="L234" i="1"/>
  <c r="K234" i="1"/>
  <c r="J234" i="1"/>
  <c r="S234" i="1" l="1"/>
  <c r="H234" i="1"/>
  <c r="F234" i="1"/>
  <c r="E234" i="1"/>
  <c r="D234" i="1"/>
  <c r="C234" i="1"/>
  <c r="B234" i="1"/>
  <c r="I234" i="1" l="1"/>
  <c r="G234" i="1"/>
  <c r="R237" i="1"/>
  <c r="Q237" i="1"/>
  <c r="P237" i="1"/>
  <c r="O237" i="1"/>
  <c r="N237" i="1"/>
  <c r="M237" i="1"/>
  <c r="L237" i="1"/>
  <c r="K237" i="1"/>
  <c r="J237" i="1"/>
  <c r="S237" i="1" l="1"/>
  <c r="H237" i="1"/>
  <c r="F237" i="1"/>
  <c r="E237" i="1"/>
  <c r="D237" i="1"/>
  <c r="C237" i="1"/>
  <c r="B237" i="1"/>
  <c r="I237" i="1" l="1"/>
  <c r="G237" i="1"/>
  <c r="R236" i="1"/>
  <c r="Q236" i="1"/>
  <c r="P236" i="1"/>
  <c r="O236" i="1"/>
  <c r="N236" i="1"/>
  <c r="M236" i="1"/>
  <c r="L236" i="1"/>
  <c r="K236" i="1"/>
  <c r="J236" i="1"/>
  <c r="S236" i="1" l="1"/>
  <c r="H236" i="1"/>
  <c r="F236" i="1"/>
  <c r="E236" i="1"/>
  <c r="D236" i="1"/>
  <c r="C236" i="1"/>
  <c r="B236" i="1"/>
  <c r="I236" i="1" l="1"/>
  <c r="G236" i="1"/>
  <c r="R247" i="1"/>
  <c r="Q247" i="1"/>
  <c r="P247" i="1"/>
  <c r="O247" i="1"/>
  <c r="N247" i="1"/>
  <c r="M247" i="1"/>
  <c r="L247" i="1"/>
  <c r="K247" i="1"/>
  <c r="J247" i="1"/>
  <c r="S247" i="1" l="1"/>
  <c r="H247" i="1"/>
  <c r="F247" i="1"/>
  <c r="E247" i="1"/>
  <c r="D247" i="1"/>
  <c r="C247" i="1"/>
  <c r="B247" i="1"/>
  <c r="I247" i="1" l="1"/>
  <c r="G247" i="1"/>
  <c r="R279" i="1"/>
  <c r="Q279" i="1"/>
  <c r="P279" i="1"/>
  <c r="O279" i="1"/>
  <c r="N279" i="1"/>
  <c r="M279" i="1"/>
  <c r="L279" i="1"/>
  <c r="K279" i="1"/>
  <c r="J279" i="1"/>
  <c r="S279" i="1" l="1"/>
  <c r="H279" i="1"/>
  <c r="F279" i="1"/>
  <c r="E279" i="1"/>
  <c r="D279" i="1"/>
  <c r="C279" i="1"/>
  <c r="B279" i="1"/>
  <c r="I279" i="1" l="1"/>
  <c r="G279" i="1"/>
  <c r="R193" i="1"/>
  <c r="Q193" i="1"/>
  <c r="P193" i="1"/>
  <c r="O193" i="1"/>
  <c r="N193" i="1"/>
  <c r="M193" i="1"/>
  <c r="L193" i="1"/>
  <c r="K193" i="1"/>
  <c r="J193" i="1"/>
  <c r="S193" i="1" l="1"/>
  <c r="H193" i="1"/>
  <c r="F193" i="1"/>
  <c r="E193" i="1"/>
  <c r="D193" i="1"/>
  <c r="C193" i="1"/>
  <c r="B193" i="1"/>
  <c r="I193" i="1" l="1"/>
  <c r="G193" i="1"/>
  <c r="R211" i="1"/>
  <c r="Q211" i="1"/>
  <c r="P211" i="1"/>
  <c r="O211" i="1"/>
  <c r="N211" i="1"/>
  <c r="M211" i="1"/>
  <c r="L211" i="1"/>
  <c r="K211" i="1"/>
  <c r="J211" i="1"/>
  <c r="S211" i="1" l="1"/>
  <c r="H211" i="1"/>
  <c r="F211" i="1"/>
  <c r="E211" i="1"/>
  <c r="D211" i="1"/>
  <c r="C211" i="1"/>
  <c r="B211" i="1"/>
  <c r="I211" i="1" l="1"/>
  <c r="G211" i="1"/>
  <c r="R194" i="1"/>
  <c r="Q194" i="1"/>
  <c r="P194" i="1"/>
  <c r="O194" i="1"/>
  <c r="N194" i="1"/>
  <c r="M194" i="1"/>
  <c r="L194" i="1"/>
  <c r="K194" i="1"/>
  <c r="J194" i="1"/>
  <c r="S194" i="1" l="1"/>
  <c r="H194" i="1"/>
  <c r="F194" i="1"/>
  <c r="E194" i="1"/>
  <c r="D194" i="1"/>
  <c r="C194" i="1"/>
  <c r="B194" i="1"/>
  <c r="I194" i="1" l="1"/>
  <c r="G194" i="1"/>
  <c r="R231" i="1"/>
  <c r="Q231" i="1"/>
  <c r="P231" i="1"/>
  <c r="O231" i="1"/>
  <c r="N231" i="1"/>
  <c r="M231" i="1"/>
  <c r="L231" i="1"/>
  <c r="K231" i="1"/>
  <c r="J231" i="1"/>
  <c r="S231" i="1" l="1"/>
  <c r="H231" i="1"/>
  <c r="F231" i="1"/>
  <c r="E231" i="1"/>
  <c r="D231" i="1"/>
  <c r="C231" i="1"/>
  <c r="B231" i="1"/>
  <c r="I231" i="1" l="1"/>
  <c r="G231" i="1"/>
  <c r="R228" i="1"/>
  <c r="Q228" i="1"/>
  <c r="P228" i="1"/>
  <c r="O228" i="1"/>
  <c r="N228" i="1"/>
  <c r="M228" i="1"/>
  <c r="L228" i="1"/>
  <c r="K228" i="1"/>
  <c r="J228" i="1"/>
  <c r="S228" i="1" l="1"/>
  <c r="H228" i="1"/>
  <c r="F228" i="1"/>
  <c r="E228" i="1"/>
  <c r="D228" i="1"/>
  <c r="C228" i="1"/>
  <c r="B228" i="1"/>
  <c r="I228" i="1" l="1"/>
  <c r="G228" i="1"/>
  <c r="R165" i="1"/>
  <c r="Q165" i="1"/>
  <c r="P165" i="1"/>
  <c r="O165" i="1"/>
  <c r="N165" i="1"/>
  <c r="M165" i="1"/>
  <c r="L165" i="1"/>
  <c r="K165" i="1"/>
  <c r="J165" i="1"/>
  <c r="S165" i="1" l="1"/>
  <c r="H165" i="1"/>
  <c r="F165" i="1"/>
  <c r="E165" i="1"/>
  <c r="D165" i="1"/>
  <c r="C165" i="1"/>
  <c r="B165" i="1"/>
  <c r="I165" i="1" l="1"/>
  <c r="G165" i="1"/>
  <c r="R207" i="1"/>
  <c r="Q207" i="1"/>
  <c r="P207" i="1"/>
  <c r="O207" i="1"/>
  <c r="N207" i="1"/>
  <c r="M207" i="1"/>
  <c r="L207" i="1"/>
  <c r="K207" i="1"/>
  <c r="J207" i="1"/>
  <c r="S207" i="1" l="1"/>
  <c r="H207" i="1"/>
  <c r="F207" i="1"/>
  <c r="E207" i="1"/>
  <c r="D207" i="1"/>
  <c r="C207" i="1"/>
  <c r="B207" i="1"/>
  <c r="I207" i="1" l="1"/>
  <c r="G207" i="1"/>
  <c r="R176" i="1"/>
  <c r="Q176" i="1"/>
  <c r="P176" i="1"/>
  <c r="O176" i="1"/>
  <c r="N176" i="1"/>
  <c r="M176" i="1"/>
  <c r="L176" i="1"/>
  <c r="K176" i="1"/>
  <c r="J176" i="1"/>
  <c r="S176" i="1" l="1"/>
  <c r="H176" i="1"/>
  <c r="F176" i="1"/>
  <c r="E176" i="1"/>
  <c r="D176" i="1"/>
  <c r="C176" i="1"/>
  <c r="B176" i="1"/>
  <c r="I176" i="1" l="1"/>
  <c r="G176" i="1"/>
  <c r="R214" i="1"/>
  <c r="Q214" i="1"/>
  <c r="P214" i="1"/>
  <c r="O214" i="1"/>
  <c r="N214" i="1"/>
  <c r="M214" i="1"/>
  <c r="L214" i="1"/>
  <c r="K214" i="1"/>
  <c r="J214" i="1"/>
  <c r="S214" i="1" l="1"/>
  <c r="H214" i="1"/>
  <c r="F214" i="1"/>
  <c r="E214" i="1"/>
  <c r="D214" i="1"/>
  <c r="C214" i="1"/>
  <c r="B214" i="1"/>
  <c r="I214" i="1" l="1"/>
  <c r="G214" i="1"/>
  <c r="R152" i="1"/>
  <c r="Q152" i="1"/>
  <c r="P152" i="1"/>
  <c r="O152" i="1"/>
  <c r="N152" i="1"/>
  <c r="M152" i="1"/>
  <c r="L152" i="1"/>
  <c r="K152" i="1"/>
  <c r="J152" i="1"/>
  <c r="S152" i="1" l="1"/>
  <c r="H152" i="1"/>
  <c r="F152" i="1"/>
  <c r="E152" i="1"/>
  <c r="D152" i="1"/>
  <c r="C152" i="1"/>
  <c r="B152" i="1"/>
  <c r="I152" i="1" l="1"/>
  <c r="G152" i="1"/>
  <c r="R175" i="1"/>
  <c r="Q175" i="1"/>
  <c r="P175" i="1"/>
  <c r="O175" i="1"/>
  <c r="N175" i="1"/>
  <c r="M175" i="1"/>
  <c r="L175" i="1"/>
  <c r="K175" i="1"/>
  <c r="J175" i="1"/>
  <c r="S175" i="1" l="1"/>
  <c r="H175" i="1"/>
  <c r="F175" i="1"/>
  <c r="E175" i="1"/>
  <c r="D175" i="1"/>
  <c r="C175" i="1"/>
  <c r="B175" i="1"/>
  <c r="I175" i="1" l="1"/>
  <c r="G175" i="1"/>
  <c r="R106" i="1"/>
  <c r="Q106" i="1"/>
  <c r="P106" i="1"/>
  <c r="O106" i="1"/>
  <c r="N106" i="1"/>
  <c r="M106" i="1"/>
  <c r="L106" i="1"/>
  <c r="K106" i="1"/>
  <c r="J106" i="1"/>
  <c r="S106" i="1" l="1"/>
  <c r="H106" i="1"/>
  <c r="F106" i="1"/>
  <c r="E106" i="1"/>
  <c r="D106" i="1"/>
  <c r="C106" i="1"/>
  <c r="B106" i="1"/>
  <c r="I106" i="1" l="1"/>
  <c r="G106" i="1"/>
  <c r="R239" i="1"/>
  <c r="Q239" i="1"/>
  <c r="P239" i="1"/>
  <c r="O239" i="1"/>
  <c r="N239" i="1"/>
  <c r="M239" i="1"/>
  <c r="L239" i="1"/>
  <c r="K239" i="1"/>
  <c r="J239" i="1"/>
  <c r="S239" i="1" l="1"/>
  <c r="H239" i="1"/>
  <c r="F239" i="1"/>
  <c r="E239" i="1"/>
  <c r="D239" i="1"/>
  <c r="C239" i="1"/>
  <c r="B239" i="1"/>
  <c r="I239" i="1" l="1"/>
  <c r="G239" i="1"/>
  <c r="R217" i="1"/>
  <c r="Q217" i="1"/>
  <c r="P217" i="1"/>
  <c r="O217" i="1"/>
  <c r="N217" i="1"/>
  <c r="M217" i="1"/>
  <c r="L217" i="1"/>
  <c r="K217" i="1"/>
  <c r="J217" i="1"/>
  <c r="S217" i="1" l="1"/>
  <c r="H217" i="1"/>
  <c r="F217" i="1"/>
  <c r="E217" i="1"/>
  <c r="D217" i="1"/>
  <c r="C217" i="1"/>
  <c r="B217" i="1"/>
  <c r="I217" i="1" l="1"/>
  <c r="G217" i="1"/>
  <c r="R216" i="1"/>
  <c r="Q216" i="1"/>
  <c r="P216" i="1"/>
  <c r="O216" i="1"/>
  <c r="N216" i="1"/>
  <c r="M216" i="1"/>
  <c r="L216" i="1"/>
  <c r="K216" i="1"/>
  <c r="J216" i="1"/>
  <c r="S216" i="1" l="1"/>
  <c r="H216" i="1"/>
  <c r="F216" i="1"/>
  <c r="E216" i="1"/>
  <c r="D216" i="1"/>
  <c r="C216" i="1"/>
  <c r="B216" i="1"/>
  <c r="I216" i="1" l="1"/>
  <c r="G216" i="1"/>
  <c r="R266" i="1"/>
  <c r="Q266" i="1"/>
  <c r="P266" i="1"/>
  <c r="O266" i="1"/>
  <c r="N266" i="1"/>
  <c r="M266" i="1"/>
  <c r="L266" i="1"/>
  <c r="K266" i="1"/>
  <c r="J266" i="1"/>
  <c r="S266" i="1" l="1"/>
  <c r="H266" i="1"/>
  <c r="F266" i="1"/>
  <c r="E266" i="1"/>
  <c r="D266" i="1"/>
  <c r="C266" i="1"/>
  <c r="B266" i="1"/>
  <c r="I266" i="1" l="1"/>
  <c r="G266" i="1"/>
  <c r="R213" i="1"/>
  <c r="Q213" i="1"/>
  <c r="P213" i="1"/>
  <c r="O213" i="1"/>
  <c r="N213" i="1"/>
  <c r="M213" i="1"/>
  <c r="L213" i="1"/>
  <c r="K213" i="1"/>
  <c r="J213" i="1"/>
  <c r="S213" i="1" l="1"/>
  <c r="H213" i="1"/>
  <c r="F213" i="1"/>
  <c r="E213" i="1"/>
  <c r="D213" i="1"/>
  <c r="C213" i="1"/>
  <c r="B213" i="1"/>
  <c r="I213" i="1" l="1"/>
  <c r="G213" i="1"/>
  <c r="R17" i="1"/>
  <c r="Q17" i="1"/>
  <c r="P17" i="1"/>
  <c r="O17" i="1"/>
  <c r="N17" i="1"/>
  <c r="M17" i="1"/>
  <c r="L17" i="1"/>
  <c r="K17" i="1"/>
  <c r="J17" i="1"/>
  <c r="S17" i="1" l="1"/>
  <c r="H17" i="1"/>
  <c r="F17" i="1"/>
  <c r="E17" i="1"/>
  <c r="D17" i="1"/>
  <c r="C17" i="1"/>
  <c r="B17" i="1"/>
  <c r="I17" i="1" l="1"/>
  <c r="G17" i="1"/>
  <c r="R124" i="1"/>
  <c r="Q124" i="1"/>
  <c r="P124" i="1"/>
  <c r="O124" i="1"/>
  <c r="N124" i="1"/>
  <c r="M124" i="1"/>
  <c r="L124" i="1"/>
  <c r="K124" i="1"/>
  <c r="J124" i="1"/>
  <c r="S124" i="1" l="1"/>
  <c r="H124" i="1"/>
  <c r="F124" i="1"/>
  <c r="E124" i="1"/>
  <c r="D124" i="1"/>
  <c r="C124" i="1"/>
  <c r="B124" i="1"/>
  <c r="I124" i="1" l="1"/>
  <c r="G124" i="1"/>
  <c r="R130" i="1"/>
  <c r="Q130" i="1"/>
  <c r="P130" i="1"/>
  <c r="O130" i="1"/>
  <c r="N130" i="1"/>
  <c r="M130" i="1"/>
  <c r="L130" i="1"/>
  <c r="K130" i="1"/>
  <c r="J130" i="1"/>
  <c r="S130" i="1" l="1"/>
  <c r="H130" i="1"/>
  <c r="F130" i="1"/>
  <c r="E130" i="1"/>
  <c r="D130" i="1"/>
  <c r="C130" i="1"/>
  <c r="B130" i="1"/>
  <c r="I130" i="1" l="1"/>
  <c r="G130" i="1"/>
  <c r="R8" i="1"/>
  <c r="Q8" i="1"/>
  <c r="P8" i="1"/>
  <c r="O8" i="1"/>
  <c r="N8" i="1"/>
  <c r="M8" i="1"/>
  <c r="L8" i="1"/>
  <c r="K8" i="1"/>
  <c r="J8" i="1"/>
  <c r="S8" i="1" l="1"/>
  <c r="H8" i="1"/>
  <c r="F8" i="1"/>
  <c r="E8" i="1"/>
  <c r="D8" i="1"/>
  <c r="C8" i="1"/>
  <c r="B8" i="1"/>
  <c r="I8" i="1" l="1"/>
  <c r="G8" i="1"/>
  <c r="R218" i="1"/>
  <c r="Q218" i="1"/>
  <c r="P218" i="1"/>
  <c r="O218" i="1"/>
  <c r="N218" i="1"/>
  <c r="M218" i="1"/>
  <c r="L218" i="1"/>
  <c r="K218" i="1"/>
  <c r="J218" i="1"/>
  <c r="S218" i="1" l="1"/>
  <c r="H218" i="1"/>
  <c r="F218" i="1"/>
  <c r="E218" i="1"/>
  <c r="D218" i="1"/>
  <c r="C218" i="1"/>
  <c r="B218" i="1"/>
  <c r="I218" i="1" l="1"/>
  <c r="G218" i="1"/>
  <c r="R201" i="1"/>
  <c r="Q201" i="1"/>
  <c r="P201" i="1"/>
  <c r="O201" i="1"/>
  <c r="N201" i="1"/>
  <c r="M201" i="1"/>
  <c r="L201" i="1"/>
  <c r="K201" i="1"/>
  <c r="J201" i="1"/>
  <c r="S201" i="1" l="1"/>
  <c r="H201" i="1"/>
  <c r="F201" i="1"/>
  <c r="E201" i="1"/>
  <c r="D201" i="1"/>
  <c r="C201" i="1"/>
  <c r="B201" i="1"/>
  <c r="I201" i="1" l="1"/>
  <c r="G201" i="1"/>
  <c r="R184" i="1"/>
  <c r="Q184" i="1"/>
  <c r="P184" i="1"/>
  <c r="O184" i="1"/>
  <c r="N184" i="1"/>
  <c r="M184" i="1"/>
  <c r="L184" i="1"/>
  <c r="K184" i="1"/>
  <c r="J184" i="1"/>
  <c r="S184" i="1" l="1"/>
  <c r="H184" i="1"/>
  <c r="F184" i="1"/>
  <c r="E184" i="1"/>
  <c r="D184" i="1"/>
  <c r="C184" i="1"/>
  <c r="B184" i="1"/>
  <c r="I184" i="1" l="1"/>
  <c r="G184" i="1"/>
  <c r="R196" i="1"/>
  <c r="Q196" i="1"/>
  <c r="P196" i="1"/>
  <c r="O196" i="1"/>
  <c r="N196" i="1"/>
  <c r="M196" i="1"/>
  <c r="L196" i="1"/>
  <c r="K196" i="1"/>
  <c r="J196" i="1"/>
  <c r="S196" i="1" l="1"/>
  <c r="H196" i="1"/>
  <c r="F196" i="1"/>
  <c r="E196" i="1"/>
  <c r="D196" i="1"/>
  <c r="C196" i="1"/>
  <c r="B196" i="1"/>
  <c r="I196" i="1" l="1"/>
  <c r="G196" i="1"/>
  <c r="R258" i="1"/>
  <c r="Q258" i="1"/>
  <c r="P258" i="1"/>
  <c r="O258" i="1"/>
  <c r="N258" i="1"/>
  <c r="M258" i="1"/>
  <c r="L258" i="1"/>
  <c r="K258" i="1"/>
  <c r="J258" i="1"/>
  <c r="S258" i="1" l="1"/>
  <c r="H258" i="1"/>
  <c r="F258" i="1"/>
  <c r="E258" i="1"/>
  <c r="D258" i="1"/>
  <c r="C258" i="1"/>
  <c r="B258" i="1"/>
  <c r="I258" i="1" l="1"/>
  <c r="G258" i="1"/>
  <c r="R202" i="1"/>
  <c r="Q202" i="1"/>
  <c r="P202" i="1"/>
  <c r="O202" i="1"/>
  <c r="N202" i="1"/>
  <c r="M202" i="1"/>
  <c r="L202" i="1"/>
  <c r="K202" i="1"/>
  <c r="J202" i="1"/>
  <c r="S202" i="1" l="1"/>
  <c r="H202" i="1"/>
  <c r="F202" i="1"/>
  <c r="E202" i="1"/>
  <c r="D202" i="1"/>
  <c r="C202" i="1"/>
  <c r="B202" i="1"/>
  <c r="I202" i="1" l="1"/>
  <c r="G202" i="1"/>
  <c r="R212" i="1"/>
  <c r="Q212" i="1"/>
  <c r="P212" i="1"/>
  <c r="O212" i="1"/>
  <c r="N212" i="1"/>
  <c r="M212" i="1"/>
  <c r="L212" i="1"/>
  <c r="K212" i="1"/>
  <c r="J212" i="1"/>
  <c r="S212" i="1" l="1"/>
  <c r="H212" i="1"/>
  <c r="F212" i="1"/>
  <c r="E212" i="1"/>
  <c r="D212" i="1"/>
  <c r="C212" i="1"/>
  <c r="B212" i="1"/>
  <c r="I212" i="1" l="1"/>
  <c r="G212" i="1"/>
  <c r="R225" i="1"/>
  <c r="Q225" i="1"/>
  <c r="P225" i="1"/>
  <c r="O225" i="1"/>
  <c r="N225" i="1"/>
  <c r="M225" i="1"/>
  <c r="L225" i="1"/>
  <c r="K225" i="1"/>
  <c r="J225" i="1"/>
  <c r="S225" i="1" l="1"/>
  <c r="H225" i="1"/>
  <c r="F225" i="1"/>
  <c r="E225" i="1"/>
  <c r="D225" i="1"/>
  <c r="C225" i="1"/>
  <c r="B225" i="1"/>
  <c r="I225" i="1" l="1"/>
  <c r="G225" i="1"/>
  <c r="R209" i="1"/>
  <c r="Q209" i="1"/>
  <c r="P209" i="1"/>
  <c r="O209" i="1"/>
  <c r="N209" i="1"/>
  <c r="M209" i="1"/>
  <c r="L209" i="1"/>
  <c r="K209" i="1"/>
  <c r="J209" i="1"/>
  <c r="S209" i="1" l="1"/>
  <c r="H209" i="1"/>
  <c r="F209" i="1"/>
  <c r="E209" i="1"/>
  <c r="D209" i="1"/>
  <c r="C209" i="1"/>
  <c r="B209" i="1"/>
  <c r="I209" i="1" l="1"/>
  <c r="G209" i="1"/>
  <c r="R242" i="1"/>
  <c r="Q242" i="1"/>
  <c r="P242" i="1"/>
  <c r="O242" i="1"/>
  <c r="N242" i="1"/>
  <c r="M242" i="1"/>
  <c r="L242" i="1"/>
  <c r="K242" i="1"/>
  <c r="J242" i="1"/>
  <c r="S242" i="1" l="1"/>
  <c r="H242" i="1"/>
  <c r="F242" i="1"/>
  <c r="E242" i="1"/>
  <c r="D242" i="1"/>
  <c r="C242" i="1"/>
  <c r="B242" i="1"/>
  <c r="I242" i="1" l="1"/>
  <c r="G242" i="1"/>
  <c r="R261" i="1"/>
  <c r="Q261" i="1"/>
  <c r="P261" i="1"/>
  <c r="O261" i="1"/>
  <c r="N261" i="1"/>
  <c r="M261" i="1"/>
  <c r="L261" i="1"/>
  <c r="K261" i="1"/>
  <c r="J261" i="1"/>
  <c r="S261" i="1" l="1"/>
  <c r="H261" i="1"/>
  <c r="F261" i="1"/>
  <c r="E261" i="1"/>
  <c r="D261" i="1"/>
  <c r="C261" i="1"/>
  <c r="B261" i="1"/>
  <c r="I261" i="1" l="1"/>
  <c r="G261" i="1"/>
  <c r="R222" i="1"/>
  <c r="Q222" i="1"/>
  <c r="P222" i="1"/>
  <c r="O222" i="1"/>
  <c r="N222" i="1"/>
  <c r="M222" i="1"/>
  <c r="L222" i="1"/>
  <c r="K222" i="1"/>
  <c r="J222" i="1"/>
  <c r="S222" i="1" l="1"/>
  <c r="H222" i="1"/>
  <c r="F222" i="1"/>
  <c r="E222" i="1"/>
  <c r="D222" i="1"/>
  <c r="C222" i="1"/>
  <c r="B222" i="1"/>
  <c r="I222" i="1" l="1"/>
  <c r="G222" i="1"/>
  <c r="R227" i="1"/>
  <c r="Q227" i="1"/>
  <c r="P227" i="1"/>
  <c r="O227" i="1"/>
  <c r="N227" i="1"/>
  <c r="M227" i="1"/>
  <c r="L227" i="1"/>
  <c r="K227" i="1"/>
  <c r="J227" i="1"/>
  <c r="S227" i="1" l="1"/>
  <c r="H227" i="1"/>
  <c r="F227" i="1"/>
  <c r="E227" i="1"/>
  <c r="D227" i="1"/>
  <c r="C227" i="1"/>
  <c r="B227" i="1"/>
  <c r="I227" i="1" l="1"/>
  <c r="G227" i="1"/>
  <c r="R277" i="1"/>
  <c r="Q277" i="1"/>
  <c r="P277" i="1"/>
  <c r="O277" i="1"/>
  <c r="N277" i="1"/>
  <c r="M277" i="1"/>
  <c r="L277" i="1"/>
  <c r="K277" i="1"/>
  <c r="J277" i="1"/>
  <c r="S277" i="1" l="1"/>
  <c r="H277" i="1"/>
  <c r="F277" i="1"/>
  <c r="E277" i="1"/>
  <c r="D277" i="1"/>
  <c r="C277" i="1"/>
  <c r="B277" i="1"/>
  <c r="I277" i="1" l="1"/>
  <c r="G277" i="1"/>
  <c r="R179" i="1"/>
  <c r="Q179" i="1"/>
  <c r="P179" i="1"/>
  <c r="O179" i="1"/>
  <c r="N179" i="1"/>
  <c r="M179" i="1"/>
  <c r="L179" i="1"/>
  <c r="K179" i="1"/>
  <c r="J179" i="1"/>
  <c r="S179" i="1" l="1"/>
  <c r="H179" i="1"/>
  <c r="F179" i="1"/>
  <c r="E179" i="1"/>
  <c r="D179" i="1"/>
  <c r="C179" i="1"/>
  <c r="B179" i="1"/>
  <c r="I179" i="1" l="1"/>
  <c r="G179" i="1"/>
  <c r="R20" i="1"/>
  <c r="Q20" i="1"/>
  <c r="P20" i="1"/>
  <c r="O20" i="1"/>
  <c r="N20" i="1"/>
  <c r="M20" i="1"/>
  <c r="L20" i="1"/>
  <c r="K20" i="1"/>
  <c r="J20" i="1"/>
  <c r="S20" i="1" l="1"/>
  <c r="H20" i="1"/>
  <c r="F20" i="1"/>
  <c r="E20" i="1"/>
  <c r="D20" i="1"/>
  <c r="C20" i="1"/>
  <c r="B20" i="1"/>
  <c r="I20" i="1" l="1"/>
  <c r="G20" i="1"/>
  <c r="R226" i="1"/>
  <c r="Q226" i="1"/>
  <c r="P226" i="1"/>
  <c r="O226" i="1"/>
  <c r="N226" i="1"/>
  <c r="M226" i="1"/>
  <c r="L226" i="1"/>
  <c r="K226" i="1"/>
  <c r="J226" i="1"/>
  <c r="S226" i="1" l="1"/>
  <c r="H226" i="1"/>
  <c r="F226" i="1"/>
  <c r="E226" i="1"/>
  <c r="D226" i="1"/>
  <c r="C226" i="1"/>
  <c r="B226" i="1"/>
  <c r="I226" i="1" l="1"/>
  <c r="G226" i="1"/>
  <c r="R178" i="1"/>
  <c r="Q178" i="1"/>
  <c r="P178" i="1"/>
  <c r="O178" i="1"/>
  <c r="N178" i="1"/>
  <c r="M178" i="1"/>
  <c r="L178" i="1"/>
  <c r="K178" i="1"/>
  <c r="J178" i="1"/>
  <c r="S178" i="1" l="1"/>
  <c r="H178" i="1"/>
  <c r="F178" i="1"/>
  <c r="E178" i="1"/>
  <c r="D178" i="1"/>
  <c r="C178" i="1"/>
  <c r="B178" i="1"/>
  <c r="I178" i="1" l="1"/>
  <c r="G178" i="1"/>
  <c r="R189" i="1"/>
  <c r="Q189" i="1"/>
  <c r="P189" i="1"/>
  <c r="O189" i="1"/>
  <c r="N189" i="1"/>
  <c r="M189" i="1"/>
  <c r="L189" i="1"/>
  <c r="K189" i="1"/>
  <c r="J189" i="1"/>
  <c r="S189" i="1" l="1"/>
  <c r="H189" i="1"/>
  <c r="F189" i="1"/>
  <c r="E189" i="1"/>
  <c r="D189" i="1"/>
  <c r="C189" i="1"/>
  <c r="B189" i="1"/>
  <c r="I189" i="1" l="1"/>
  <c r="G189" i="1"/>
  <c r="R198" i="1"/>
  <c r="Q198" i="1"/>
  <c r="P198" i="1"/>
  <c r="O198" i="1"/>
  <c r="N198" i="1"/>
  <c r="M198" i="1"/>
  <c r="L198" i="1"/>
  <c r="K198" i="1"/>
  <c r="J198" i="1"/>
  <c r="S198" i="1" l="1"/>
  <c r="H198" i="1"/>
  <c r="F198" i="1"/>
  <c r="E198" i="1"/>
  <c r="D198" i="1"/>
  <c r="C198" i="1"/>
  <c r="B198" i="1"/>
  <c r="I198" i="1" l="1"/>
  <c r="G198" i="1"/>
  <c r="R148" i="1"/>
  <c r="Q148" i="1"/>
  <c r="P148" i="1"/>
  <c r="O148" i="1"/>
  <c r="N148" i="1"/>
  <c r="M148" i="1"/>
  <c r="L148" i="1"/>
  <c r="K148" i="1"/>
  <c r="J148" i="1"/>
  <c r="S148" i="1" l="1"/>
  <c r="H148" i="1"/>
  <c r="F148" i="1"/>
  <c r="E148" i="1"/>
  <c r="D148" i="1"/>
  <c r="C148" i="1"/>
  <c r="B148" i="1"/>
  <c r="I148" i="1" l="1"/>
  <c r="G148" i="1"/>
  <c r="R170" i="1"/>
  <c r="Q170" i="1"/>
  <c r="P170" i="1"/>
  <c r="O170" i="1"/>
  <c r="N170" i="1"/>
  <c r="M170" i="1"/>
  <c r="L170" i="1"/>
  <c r="K170" i="1"/>
  <c r="J170" i="1"/>
  <c r="S170" i="1" l="1"/>
  <c r="H170" i="1"/>
  <c r="F170" i="1"/>
  <c r="E170" i="1"/>
  <c r="D170" i="1"/>
  <c r="C170" i="1"/>
  <c r="B170" i="1"/>
  <c r="I170" i="1" l="1"/>
  <c r="G170" i="1"/>
  <c r="R230" i="1"/>
  <c r="Q230" i="1"/>
  <c r="P230" i="1"/>
  <c r="O230" i="1"/>
  <c r="N230" i="1"/>
  <c r="M230" i="1"/>
  <c r="L230" i="1"/>
  <c r="K230" i="1"/>
  <c r="J230" i="1"/>
  <c r="S230" i="1" l="1"/>
  <c r="H230" i="1"/>
  <c r="F230" i="1"/>
  <c r="E230" i="1"/>
  <c r="D230" i="1"/>
  <c r="C230" i="1"/>
  <c r="B230" i="1"/>
  <c r="I230" i="1" l="1"/>
  <c r="G230" i="1"/>
  <c r="R172" i="1"/>
  <c r="Q172" i="1"/>
  <c r="P172" i="1"/>
  <c r="O172" i="1"/>
  <c r="N172" i="1"/>
  <c r="M172" i="1"/>
  <c r="L172" i="1"/>
  <c r="K172" i="1"/>
  <c r="J172" i="1"/>
  <c r="S172" i="1" l="1"/>
  <c r="H172" i="1"/>
  <c r="F172" i="1"/>
  <c r="E172" i="1"/>
  <c r="D172" i="1"/>
  <c r="C172" i="1"/>
  <c r="B172" i="1"/>
  <c r="I172" i="1" l="1"/>
  <c r="G172" i="1"/>
  <c r="R173" i="1"/>
  <c r="Q173" i="1"/>
  <c r="P173" i="1"/>
  <c r="O173" i="1"/>
  <c r="N173" i="1"/>
  <c r="M173" i="1"/>
  <c r="L173" i="1"/>
  <c r="K173" i="1"/>
  <c r="J173" i="1"/>
  <c r="S173" i="1" l="1"/>
  <c r="H173" i="1"/>
  <c r="F173" i="1"/>
  <c r="E173" i="1"/>
  <c r="D173" i="1"/>
  <c r="C173" i="1"/>
  <c r="B173" i="1"/>
  <c r="I173" i="1" l="1"/>
  <c r="G173" i="1"/>
  <c r="R92" i="1"/>
  <c r="Q92" i="1"/>
  <c r="P92" i="1"/>
  <c r="O92" i="1"/>
  <c r="N92" i="1"/>
  <c r="M92" i="1"/>
  <c r="L92" i="1"/>
  <c r="K92" i="1"/>
  <c r="J92" i="1"/>
  <c r="S92" i="1" l="1"/>
  <c r="H92" i="1"/>
  <c r="F92" i="1"/>
  <c r="E92" i="1"/>
  <c r="D92" i="1"/>
  <c r="C92" i="1"/>
  <c r="B92" i="1"/>
  <c r="I92" i="1" l="1"/>
  <c r="G92" i="1"/>
  <c r="R128" i="1"/>
  <c r="Q128" i="1"/>
  <c r="P128" i="1"/>
  <c r="O128" i="1"/>
  <c r="N128" i="1"/>
  <c r="M128" i="1"/>
  <c r="L128" i="1"/>
  <c r="K128" i="1"/>
  <c r="J128" i="1"/>
  <c r="S128" i="1" l="1"/>
  <c r="H128" i="1"/>
  <c r="F128" i="1"/>
  <c r="E128" i="1"/>
  <c r="D128" i="1"/>
  <c r="C128" i="1"/>
  <c r="B128" i="1"/>
  <c r="I128" i="1" l="1"/>
  <c r="G128" i="1"/>
  <c r="R191" i="1"/>
  <c r="Q191" i="1"/>
  <c r="P191" i="1"/>
  <c r="O191" i="1"/>
  <c r="N191" i="1"/>
  <c r="M191" i="1"/>
  <c r="L191" i="1"/>
  <c r="K191" i="1"/>
  <c r="J191" i="1"/>
  <c r="S191" i="1" l="1"/>
  <c r="H191" i="1"/>
  <c r="F191" i="1"/>
  <c r="E191" i="1"/>
  <c r="D191" i="1"/>
  <c r="C191" i="1"/>
  <c r="B191" i="1"/>
  <c r="I191" i="1" l="1"/>
  <c r="G191" i="1"/>
  <c r="R137" i="1"/>
  <c r="Q137" i="1"/>
  <c r="P137" i="1"/>
  <c r="O137" i="1"/>
  <c r="N137" i="1"/>
  <c r="M137" i="1"/>
  <c r="L137" i="1"/>
  <c r="K137" i="1"/>
  <c r="J137" i="1"/>
  <c r="S137" i="1" l="1"/>
  <c r="H137" i="1"/>
  <c r="F137" i="1"/>
  <c r="E137" i="1"/>
  <c r="D137" i="1"/>
  <c r="C137" i="1"/>
  <c r="B137" i="1"/>
  <c r="I137" i="1" l="1"/>
  <c r="G137" i="1"/>
  <c r="R125" i="1"/>
  <c r="Q125" i="1"/>
  <c r="P125" i="1"/>
  <c r="O125" i="1"/>
  <c r="N125" i="1"/>
  <c r="M125" i="1"/>
  <c r="L125" i="1"/>
  <c r="K125" i="1"/>
  <c r="J125" i="1"/>
  <c r="S125" i="1" l="1"/>
  <c r="H125" i="1"/>
  <c r="F125" i="1"/>
  <c r="E125" i="1"/>
  <c r="D125" i="1"/>
  <c r="C125" i="1"/>
  <c r="B125" i="1"/>
  <c r="I125" i="1" l="1"/>
  <c r="G125" i="1"/>
  <c r="R161" i="1"/>
  <c r="Q161" i="1"/>
  <c r="P161" i="1"/>
  <c r="O161" i="1"/>
  <c r="N161" i="1"/>
  <c r="M161" i="1"/>
  <c r="L161" i="1"/>
  <c r="K161" i="1"/>
  <c r="J161" i="1"/>
  <c r="S161" i="1" l="1"/>
  <c r="H161" i="1"/>
  <c r="F161" i="1"/>
  <c r="E161" i="1"/>
  <c r="D161" i="1"/>
  <c r="C161" i="1"/>
  <c r="B161" i="1"/>
  <c r="I161" i="1" l="1"/>
  <c r="G161" i="1"/>
  <c r="R190" i="1"/>
  <c r="Q190" i="1"/>
  <c r="P190" i="1"/>
  <c r="O190" i="1"/>
  <c r="N190" i="1"/>
  <c r="M190" i="1"/>
  <c r="L190" i="1"/>
  <c r="K190" i="1"/>
  <c r="J190" i="1"/>
  <c r="S190" i="1" l="1"/>
  <c r="H190" i="1"/>
  <c r="F190" i="1"/>
  <c r="E190" i="1"/>
  <c r="D190" i="1"/>
  <c r="C190" i="1"/>
  <c r="B190" i="1"/>
  <c r="I190" i="1" l="1"/>
  <c r="G190" i="1"/>
  <c r="R135" i="1"/>
  <c r="Q135" i="1"/>
  <c r="P135" i="1"/>
  <c r="O135" i="1"/>
  <c r="N135" i="1"/>
  <c r="M135" i="1"/>
  <c r="L135" i="1"/>
  <c r="K135" i="1"/>
  <c r="J135" i="1"/>
  <c r="S135" i="1" l="1"/>
  <c r="H135" i="1"/>
  <c r="F135" i="1"/>
  <c r="E135" i="1"/>
  <c r="D135" i="1"/>
  <c r="C135" i="1"/>
  <c r="B135" i="1"/>
  <c r="I135" i="1" l="1"/>
  <c r="G135" i="1"/>
  <c r="R83" i="1"/>
  <c r="Q83" i="1"/>
  <c r="P83" i="1"/>
  <c r="O83" i="1"/>
  <c r="N83" i="1"/>
  <c r="M83" i="1"/>
  <c r="L83" i="1"/>
  <c r="K83" i="1"/>
  <c r="J83" i="1"/>
  <c r="S83" i="1" l="1"/>
  <c r="H83" i="1"/>
  <c r="F83" i="1"/>
  <c r="E83" i="1"/>
  <c r="D83" i="1"/>
  <c r="C83" i="1"/>
  <c r="B83" i="1"/>
  <c r="I83" i="1" l="1"/>
  <c r="G83" i="1"/>
  <c r="R119" i="1"/>
  <c r="Q119" i="1"/>
  <c r="P119" i="1"/>
  <c r="O119" i="1"/>
  <c r="N119" i="1"/>
  <c r="M119" i="1"/>
  <c r="L119" i="1"/>
  <c r="K119" i="1"/>
  <c r="J119" i="1"/>
  <c r="S119" i="1" l="1"/>
  <c r="H119" i="1"/>
  <c r="F119" i="1"/>
  <c r="E119" i="1"/>
  <c r="D119" i="1"/>
  <c r="C119" i="1"/>
  <c r="B119" i="1"/>
  <c r="I119" i="1" l="1"/>
  <c r="G119" i="1"/>
  <c r="R181" i="1"/>
  <c r="Q181" i="1"/>
  <c r="P181" i="1"/>
  <c r="O181" i="1"/>
  <c r="N181" i="1"/>
  <c r="M181" i="1"/>
  <c r="L181" i="1"/>
  <c r="K181" i="1"/>
  <c r="J181" i="1"/>
  <c r="S181" i="1" l="1"/>
  <c r="H181" i="1"/>
  <c r="F181" i="1"/>
  <c r="E181" i="1"/>
  <c r="D181" i="1"/>
  <c r="C181" i="1"/>
  <c r="B181" i="1"/>
  <c r="I181" i="1" l="1"/>
  <c r="G181" i="1"/>
  <c r="R169" i="1"/>
  <c r="Q169" i="1"/>
  <c r="P169" i="1"/>
  <c r="O169" i="1"/>
  <c r="N169" i="1"/>
  <c r="M169" i="1"/>
  <c r="L169" i="1"/>
  <c r="K169" i="1"/>
  <c r="J169" i="1"/>
  <c r="S169" i="1" l="1"/>
  <c r="H169" i="1"/>
  <c r="F169" i="1"/>
  <c r="E169" i="1"/>
  <c r="D169" i="1"/>
  <c r="C169" i="1"/>
  <c r="B169" i="1"/>
  <c r="I169" i="1" l="1"/>
  <c r="G169" i="1"/>
  <c r="R232" i="1"/>
  <c r="Q232" i="1"/>
  <c r="P232" i="1"/>
  <c r="O232" i="1"/>
  <c r="N232" i="1"/>
  <c r="M232" i="1"/>
  <c r="L232" i="1"/>
  <c r="K232" i="1"/>
  <c r="J232" i="1"/>
  <c r="S232" i="1" l="1"/>
  <c r="H232" i="1"/>
  <c r="F232" i="1"/>
  <c r="E232" i="1"/>
  <c r="D232" i="1"/>
  <c r="C232" i="1"/>
  <c r="B232" i="1"/>
  <c r="I232" i="1" l="1"/>
  <c r="G232" i="1"/>
  <c r="R117" i="1"/>
  <c r="Q117" i="1"/>
  <c r="P117" i="1"/>
  <c r="O117" i="1"/>
  <c r="N117" i="1"/>
  <c r="M117" i="1"/>
  <c r="L117" i="1"/>
  <c r="K117" i="1"/>
  <c r="J117" i="1"/>
  <c r="S117" i="1" l="1"/>
  <c r="H117" i="1"/>
  <c r="F117" i="1"/>
  <c r="E117" i="1"/>
  <c r="D117" i="1"/>
  <c r="C117" i="1"/>
  <c r="B117" i="1"/>
  <c r="I117" i="1" l="1"/>
  <c r="G117" i="1"/>
  <c r="R164" i="1"/>
  <c r="Q164" i="1"/>
  <c r="P164" i="1"/>
  <c r="O164" i="1"/>
  <c r="N164" i="1"/>
  <c r="M164" i="1"/>
  <c r="L164" i="1"/>
  <c r="K164" i="1"/>
  <c r="J164" i="1"/>
  <c r="S164" i="1" l="1"/>
  <c r="H164" i="1"/>
  <c r="F164" i="1"/>
  <c r="E164" i="1"/>
  <c r="D164" i="1"/>
  <c r="C164" i="1"/>
  <c r="B164" i="1"/>
  <c r="I164" i="1" l="1"/>
  <c r="G164" i="1"/>
  <c r="R248" i="1"/>
  <c r="Q248" i="1"/>
  <c r="P248" i="1"/>
  <c r="O248" i="1"/>
  <c r="N248" i="1"/>
  <c r="M248" i="1"/>
  <c r="L248" i="1"/>
  <c r="K248" i="1"/>
  <c r="J248" i="1"/>
  <c r="S248" i="1" l="1"/>
  <c r="H248" i="1"/>
  <c r="F248" i="1"/>
  <c r="E248" i="1"/>
  <c r="D248" i="1"/>
  <c r="C248" i="1"/>
  <c r="B248" i="1"/>
  <c r="I248" i="1" l="1"/>
  <c r="G248" i="1"/>
  <c r="R154" i="1"/>
  <c r="Q154" i="1"/>
  <c r="P154" i="1"/>
  <c r="O154" i="1"/>
  <c r="N154" i="1"/>
  <c r="M154" i="1"/>
  <c r="L154" i="1"/>
  <c r="K154" i="1"/>
  <c r="J154" i="1"/>
  <c r="S154" i="1" l="1"/>
  <c r="H154" i="1"/>
  <c r="F154" i="1"/>
  <c r="E154" i="1"/>
  <c r="D154" i="1"/>
  <c r="C154" i="1"/>
  <c r="B154" i="1"/>
  <c r="I154" i="1" l="1"/>
  <c r="G154" i="1"/>
  <c r="R153" i="1"/>
  <c r="Q153" i="1"/>
  <c r="P153" i="1"/>
  <c r="O153" i="1"/>
  <c r="N153" i="1"/>
  <c r="M153" i="1"/>
  <c r="L153" i="1"/>
  <c r="K153" i="1"/>
  <c r="J153" i="1"/>
  <c r="S153" i="1" l="1"/>
  <c r="H153" i="1"/>
  <c r="F153" i="1"/>
  <c r="E153" i="1"/>
  <c r="D153" i="1"/>
  <c r="C153" i="1"/>
  <c r="B153" i="1"/>
  <c r="I153" i="1" l="1"/>
  <c r="G153" i="1"/>
  <c r="R134" i="1"/>
  <c r="Q134" i="1"/>
  <c r="P134" i="1"/>
  <c r="O134" i="1"/>
  <c r="N134" i="1"/>
  <c r="M134" i="1"/>
  <c r="L134" i="1"/>
  <c r="K134" i="1"/>
  <c r="J134" i="1"/>
  <c r="S134" i="1" l="1"/>
  <c r="H134" i="1"/>
  <c r="F134" i="1"/>
  <c r="E134" i="1"/>
  <c r="D134" i="1"/>
  <c r="C134" i="1"/>
  <c r="B134" i="1"/>
  <c r="I134" i="1" l="1"/>
  <c r="G134" i="1"/>
  <c r="R235" i="1"/>
  <c r="Q235" i="1"/>
  <c r="P235" i="1"/>
  <c r="O235" i="1"/>
  <c r="N235" i="1"/>
  <c r="M235" i="1"/>
  <c r="L235" i="1"/>
  <c r="K235" i="1"/>
  <c r="J235" i="1"/>
  <c r="S235" i="1" l="1"/>
  <c r="H235" i="1"/>
  <c r="F235" i="1"/>
  <c r="E235" i="1"/>
  <c r="D235" i="1"/>
  <c r="C235" i="1"/>
  <c r="B235" i="1"/>
  <c r="I235" i="1" l="1"/>
  <c r="G235" i="1"/>
  <c r="R129" i="1"/>
  <c r="Q129" i="1"/>
  <c r="P129" i="1"/>
  <c r="O129" i="1"/>
  <c r="N129" i="1"/>
  <c r="M129" i="1"/>
  <c r="L129" i="1"/>
  <c r="K129" i="1"/>
  <c r="J129" i="1"/>
  <c r="S129" i="1" l="1"/>
  <c r="H129" i="1"/>
  <c r="F129" i="1"/>
  <c r="E129" i="1"/>
  <c r="D129" i="1"/>
  <c r="C129" i="1"/>
  <c r="B129" i="1"/>
  <c r="I129" i="1" l="1"/>
  <c r="G129" i="1"/>
  <c r="R162" i="1"/>
  <c r="Q162" i="1"/>
  <c r="P162" i="1"/>
  <c r="O162" i="1"/>
  <c r="N162" i="1"/>
  <c r="M162" i="1"/>
  <c r="L162" i="1"/>
  <c r="K162" i="1"/>
  <c r="J162" i="1"/>
  <c r="S162" i="1" l="1"/>
  <c r="H162" i="1"/>
  <c r="F162" i="1"/>
  <c r="E162" i="1"/>
  <c r="D162" i="1"/>
  <c r="C162" i="1"/>
  <c r="B162" i="1"/>
  <c r="I162" i="1" l="1"/>
  <c r="G162" i="1"/>
  <c r="R59" i="1"/>
  <c r="Q59" i="1"/>
  <c r="P59" i="1"/>
  <c r="O59" i="1"/>
  <c r="N59" i="1"/>
  <c r="M59" i="1"/>
  <c r="L59" i="1"/>
  <c r="K59" i="1"/>
  <c r="J59" i="1"/>
  <c r="S59" i="1" l="1"/>
  <c r="H59" i="1"/>
  <c r="F59" i="1"/>
  <c r="E59" i="1"/>
  <c r="D59" i="1"/>
  <c r="C59" i="1"/>
  <c r="B59" i="1"/>
  <c r="I59" i="1" l="1"/>
  <c r="G59" i="1"/>
  <c r="R166" i="1"/>
  <c r="Q166" i="1"/>
  <c r="P166" i="1"/>
  <c r="O166" i="1"/>
  <c r="N166" i="1"/>
  <c r="M166" i="1"/>
  <c r="L166" i="1"/>
  <c r="K166" i="1"/>
  <c r="J166" i="1"/>
  <c r="S166" i="1" l="1"/>
  <c r="H166" i="1"/>
  <c r="F166" i="1"/>
  <c r="E166" i="1"/>
  <c r="D166" i="1"/>
  <c r="C166" i="1"/>
  <c r="B166" i="1"/>
  <c r="I166" i="1" l="1"/>
  <c r="G166" i="1"/>
  <c r="R156" i="1"/>
  <c r="Q156" i="1"/>
  <c r="P156" i="1"/>
  <c r="O156" i="1"/>
  <c r="N156" i="1"/>
  <c r="M156" i="1"/>
  <c r="L156" i="1"/>
  <c r="K156" i="1"/>
  <c r="J156" i="1"/>
  <c r="S156" i="1" l="1"/>
  <c r="H156" i="1"/>
  <c r="F156" i="1"/>
  <c r="E156" i="1"/>
  <c r="D156" i="1"/>
  <c r="C156" i="1"/>
  <c r="B156" i="1"/>
  <c r="I156" i="1" l="1"/>
  <c r="G156" i="1"/>
  <c r="R150" i="1"/>
  <c r="Q150" i="1"/>
  <c r="P150" i="1"/>
  <c r="O150" i="1"/>
  <c r="N150" i="1"/>
  <c r="M150" i="1"/>
  <c r="L150" i="1"/>
  <c r="K150" i="1"/>
  <c r="J150" i="1"/>
  <c r="S150" i="1" l="1"/>
  <c r="H150" i="1"/>
  <c r="F150" i="1"/>
  <c r="E150" i="1"/>
  <c r="D150" i="1"/>
  <c r="C150" i="1"/>
  <c r="B150" i="1"/>
  <c r="I150" i="1" l="1"/>
  <c r="G150" i="1"/>
  <c r="R122" i="1"/>
  <c r="Q122" i="1"/>
  <c r="P122" i="1"/>
  <c r="O122" i="1"/>
  <c r="N122" i="1"/>
  <c r="M122" i="1"/>
  <c r="L122" i="1"/>
  <c r="K122" i="1"/>
  <c r="J122" i="1"/>
  <c r="S122" i="1" l="1"/>
  <c r="H122" i="1"/>
  <c r="F122" i="1"/>
  <c r="E122" i="1"/>
  <c r="D122" i="1"/>
  <c r="C122" i="1"/>
  <c r="B122" i="1"/>
  <c r="I122" i="1" l="1"/>
  <c r="G122" i="1"/>
  <c r="R174" i="1"/>
  <c r="Q174" i="1"/>
  <c r="P174" i="1"/>
  <c r="O174" i="1"/>
  <c r="N174" i="1"/>
  <c r="M174" i="1"/>
  <c r="L174" i="1"/>
  <c r="K174" i="1"/>
  <c r="J174" i="1"/>
  <c r="S174" i="1" l="1"/>
  <c r="H174" i="1"/>
  <c r="F174" i="1"/>
  <c r="E174" i="1"/>
  <c r="D174" i="1"/>
  <c r="C174" i="1"/>
  <c r="B174" i="1"/>
  <c r="I174" i="1" l="1"/>
  <c r="G174" i="1"/>
  <c r="R121" i="1"/>
  <c r="Q121" i="1"/>
  <c r="P121" i="1"/>
  <c r="O121" i="1"/>
  <c r="N121" i="1"/>
  <c r="M121" i="1"/>
  <c r="L121" i="1"/>
  <c r="K121" i="1"/>
  <c r="J121" i="1"/>
  <c r="S121" i="1" l="1"/>
  <c r="H121" i="1"/>
  <c r="F121" i="1"/>
  <c r="E121" i="1"/>
  <c r="D121" i="1"/>
  <c r="C121" i="1"/>
  <c r="B121" i="1"/>
  <c r="I121" i="1" l="1"/>
  <c r="G121" i="1"/>
  <c r="R104" i="1"/>
  <c r="Q104" i="1"/>
  <c r="P104" i="1"/>
  <c r="O104" i="1"/>
  <c r="N104" i="1"/>
  <c r="M104" i="1"/>
  <c r="L104" i="1"/>
  <c r="K104" i="1"/>
  <c r="J104" i="1"/>
  <c r="S104" i="1" l="1"/>
  <c r="H104" i="1"/>
  <c r="F104" i="1"/>
  <c r="E104" i="1"/>
  <c r="D104" i="1"/>
  <c r="C104" i="1"/>
  <c r="B104" i="1"/>
  <c r="I104" i="1" l="1"/>
  <c r="G104" i="1"/>
  <c r="R113" i="1"/>
  <c r="Q113" i="1"/>
  <c r="P113" i="1"/>
  <c r="O113" i="1"/>
  <c r="N113" i="1"/>
  <c r="M113" i="1"/>
  <c r="L113" i="1"/>
  <c r="K113" i="1"/>
  <c r="J113" i="1"/>
  <c r="S113" i="1" l="1"/>
  <c r="H113" i="1"/>
  <c r="F113" i="1"/>
  <c r="E113" i="1"/>
  <c r="D113" i="1"/>
  <c r="C113" i="1"/>
  <c r="B113" i="1"/>
  <c r="I113" i="1" l="1"/>
  <c r="G113" i="1"/>
  <c r="R177" i="1"/>
  <c r="Q177" i="1"/>
  <c r="P177" i="1"/>
  <c r="O177" i="1"/>
  <c r="N177" i="1"/>
  <c r="M177" i="1"/>
  <c r="L177" i="1"/>
  <c r="K177" i="1"/>
  <c r="J177" i="1"/>
  <c r="S177" i="1" l="1"/>
  <c r="H177" i="1"/>
  <c r="F177" i="1"/>
  <c r="E177" i="1"/>
  <c r="D177" i="1"/>
  <c r="C177" i="1"/>
  <c r="B177" i="1"/>
  <c r="I177" i="1" l="1"/>
  <c r="G177" i="1"/>
  <c r="R188" i="1"/>
  <c r="Q188" i="1"/>
  <c r="P188" i="1"/>
  <c r="O188" i="1"/>
  <c r="N188" i="1"/>
  <c r="M188" i="1"/>
  <c r="L188" i="1"/>
  <c r="K188" i="1"/>
  <c r="J188" i="1"/>
  <c r="S188" i="1" l="1"/>
  <c r="H188" i="1"/>
  <c r="F188" i="1"/>
  <c r="E188" i="1"/>
  <c r="D188" i="1"/>
  <c r="C188" i="1"/>
  <c r="B188" i="1"/>
  <c r="I188" i="1" l="1"/>
  <c r="G188" i="1"/>
  <c r="R180" i="1"/>
  <c r="Q180" i="1"/>
  <c r="P180" i="1"/>
  <c r="O180" i="1"/>
  <c r="N180" i="1"/>
  <c r="M180" i="1"/>
  <c r="L180" i="1"/>
  <c r="K180" i="1"/>
  <c r="J180" i="1"/>
  <c r="S180" i="1" l="1"/>
  <c r="H180" i="1"/>
  <c r="F180" i="1"/>
  <c r="E180" i="1"/>
  <c r="D180" i="1"/>
  <c r="C180" i="1"/>
  <c r="B180" i="1"/>
  <c r="I180" i="1" l="1"/>
  <c r="G180" i="1"/>
  <c r="R186" i="1"/>
  <c r="Q186" i="1"/>
  <c r="P186" i="1"/>
  <c r="O186" i="1"/>
  <c r="N186" i="1"/>
  <c r="M186" i="1"/>
  <c r="L186" i="1"/>
  <c r="K186" i="1"/>
  <c r="J186" i="1"/>
  <c r="S186" i="1" l="1"/>
  <c r="H186" i="1"/>
  <c r="F186" i="1"/>
  <c r="E186" i="1"/>
  <c r="D186" i="1"/>
  <c r="C186" i="1"/>
  <c r="B186" i="1"/>
  <c r="I186" i="1" l="1"/>
  <c r="G186" i="1"/>
  <c r="R199" i="1"/>
  <c r="Q199" i="1"/>
  <c r="P199" i="1"/>
  <c r="O199" i="1"/>
  <c r="N199" i="1"/>
  <c r="M199" i="1"/>
  <c r="L199" i="1"/>
  <c r="K199" i="1"/>
  <c r="J199" i="1"/>
  <c r="S199" i="1" l="1"/>
  <c r="H199" i="1"/>
  <c r="F199" i="1"/>
  <c r="E199" i="1"/>
  <c r="D199" i="1"/>
  <c r="C199" i="1"/>
  <c r="B199" i="1"/>
  <c r="I199" i="1" l="1"/>
  <c r="G199" i="1"/>
  <c r="R244" i="1"/>
  <c r="Q244" i="1"/>
  <c r="P244" i="1"/>
  <c r="O244" i="1"/>
  <c r="N244" i="1"/>
  <c r="M244" i="1"/>
  <c r="L244" i="1"/>
  <c r="K244" i="1"/>
  <c r="J244" i="1"/>
  <c r="S244" i="1" l="1"/>
  <c r="H244" i="1"/>
  <c r="F244" i="1"/>
  <c r="E244" i="1"/>
  <c r="D244" i="1"/>
  <c r="C244" i="1"/>
  <c r="B244" i="1"/>
  <c r="I244" i="1" l="1"/>
  <c r="G244" i="1"/>
  <c r="R146" i="1"/>
  <c r="Q146" i="1"/>
  <c r="P146" i="1"/>
  <c r="O146" i="1"/>
  <c r="N146" i="1"/>
  <c r="M146" i="1"/>
  <c r="L146" i="1"/>
  <c r="K146" i="1"/>
  <c r="J146" i="1"/>
  <c r="S146" i="1" l="1"/>
  <c r="H146" i="1"/>
  <c r="F146" i="1"/>
  <c r="E146" i="1"/>
  <c r="D146" i="1"/>
  <c r="C146" i="1"/>
  <c r="B146" i="1"/>
  <c r="I146" i="1" l="1"/>
  <c r="G146" i="1"/>
  <c r="R221" i="1"/>
  <c r="Q221" i="1"/>
  <c r="P221" i="1"/>
  <c r="O221" i="1"/>
  <c r="N221" i="1"/>
  <c r="M221" i="1"/>
  <c r="L221" i="1"/>
  <c r="K221" i="1"/>
  <c r="J221" i="1"/>
  <c r="S221" i="1" l="1"/>
  <c r="H221" i="1"/>
  <c r="F221" i="1"/>
  <c r="E221" i="1"/>
  <c r="D221" i="1"/>
  <c r="C221" i="1"/>
  <c r="B221" i="1"/>
  <c r="I221" i="1" l="1"/>
  <c r="G221" i="1"/>
  <c r="R15" i="1"/>
  <c r="Q15" i="1"/>
  <c r="P15" i="1"/>
  <c r="O15" i="1"/>
  <c r="N15" i="1"/>
  <c r="M15" i="1"/>
  <c r="L15" i="1"/>
  <c r="K15" i="1"/>
  <c r="J15" i="1"/>
  <c r="S15" i="1" l="1"/>
  <c r="H15" i="1"/>
  <c r="F15" i="1"/>
  <c r="E15" i="1"/>
  <c r="D15" i="1"/>
  <c r="C15" i="1"/>
  <c r="B15" i="1"/>
  <c r="I15" i="1" l="1"/>
  <c r="G15" i="1"/>
  <c r="R132" i="1"/>
  <c r="Q132" i="1"/>
  <c r="P132" i="1"/>
  <c r="O132" i="1"/>
  <c r="N132" i="1"/>
  <c r="M132" i="1"/>
  <c r="L132" i="1"/>
  <c r="K132" i="1"/>
  <c r="J132" i="1"/>
  <c r="S132" i="1" l="1"/>
  <c r="H132" i="1"/>
  <c r="F132" i="1"/>
  <c r="E132" i="1"/>
  <c r="D132" i="1"/>
  <c r="C132" i="1"/>
  <c r="B132" i="1"/>
  <c r="I132" i="1" l="1"/>
  <c r="G132" i="1"/>
  <c r="R206" i="1"/>
  <c r="Q206" i="1"/>
  <c r="P206" i="1"/>
  <c r="O206" i="1"/>
  <c r="N206" i="1"/>
  <c r="M206" i="1"/>
  <c r="L206" i="1"/>
  <c r="K206" i="1"/>
  <c r="J206" i="1"/>
  <c r="S206" i="1" l="1"/>
  <c r="H206" i="1"/>
  <c r="F206" i="1"/>
  <c r="E206" i="1"/>
  <c r="D206" i="1"/>
  <c r="C206" i="1"/>
  <c r="B206" i="1"/>
  <c r="I206" i="1" l="1"/>
  <c r="G206" i="1"/>
  <c r="R16" i="1"/>
  <c r="Q16" i="1"/>
  <c r="P16" i="1"/>
  <c r="O16" i="1"/>
  <c r="N16" i="1"/>
  <c r="M16" i="1"/>
  <c r="L16" i="1"/>
  <c r="K16" i="1"/>
  <c r="J16" i="1"/>
  <c r="S16" i="1" l="1"/>
  <c r="H16" i="1"/>
  <c r="F16" i="1"/>
  <c r="E16" i="1"/>
  <c r="D16" i="1"/>
  <c r="C16" i="1"/>
  <c r="B16" i="1"/>
  <c r="I16" i="1" l="1"/>
  <c r="G16" i="1"/>
  <c r="R149" i="1"/>
  <c r="Q149" i="1"/>
  <c r="P149" i="1"/>
  <c r="O149" i="1"/>
  <c r="N149" i="1"/>
  <c r="M149" i="1"/>
  <c r="L149" i="1"/>
  <c r="K149" i="1"/>
  <c r="J149" i="1"/>
  <c r="S149" i="1" l="1"/>
  <c r="H149" i="1"/>
  <c r="F149" i="1"/>
  <c r="E149" i="1"/>
  <c r="D149" i="1"/>
  <c r="C149" i="1"/>
  <c r="B149" i="1"/>
  <c r="I149" i="1" l="1"/>
  <c r="G149" i="1"/>
  <c r="R98" i="1"/>
  <c r="Q98" i="1"/>
  <c r="P98" i="1"/>
  <c r="O98" i="1"/>
  <c r="N98" i="1"/>
  <c r="M98" i="1"/>
  <c r="L98" i="1"/>
  <c r="K98" i="1"/>
  <c r="J98" i="1"/>
  <c r="S98" i="1" l="1"/>
  <c r="H98" i="1"/>
  <c r="F98" i="1"/>
  <c r="E98" i="1"/>
  <c r="D98" i="1"/>
  <c r="C98" i="1"/>
  <c r="B98" i="1"/>
  <c r="I98" i="1" l="1"/>
  <c r="G98" i="1"/>
  <c r="R158" i="1"/>
  <c r="Q158" i="1"/>
  <c r="P158" i="1"/>
  <c r="O158" i="1"/>
  <c r="N158" i="1"/>
  <c r="M158" i="1"/>
  <c r="L158" i="1"/>
  <c r="K158" i="1"/>
  <c r="J158" i="1"/>
  <c r="S158" i="1" l="1"/>
  <c r="H158" i="1"/>
  <c r="F158" i="1"/>
  <c r="E158" i="1"/>
  <c r="D158" i="1"/>
  <c r="C158" i="1"/>
  <c r="B158" i="1"/>
  <c r="I158" i="1" l="1"/>
  <c r="G158" i="1"/>
  <c r="R112" i="1"/>
  <c r="Q112" i="1"/>
  <c r="P112" i="1"/>
  <c r="O112" i="1"/>
  <c r="N112" i="1"/>
  <c r="M112" i="1"/>
  <c r="L112" i="1"/>
  <c r="K112" i="1"/>
  <c r="J112" i="1"/>
  <c r="S112" i="1" l="1"/>
  <c r="H112" i="1"/>
  <c r="F112" i="1"/>
  <c r="E112" i="1"/>
  <c r="D112" i="1"/>
  <c r="C112" i="1"/>
  <c r="B112" i="1"/>
  <c r="I112" i="1" l="1"/>
  <c r="G112" i="1"/>
  <c r="R138" i="1"/>
  <c r="Q138" i="1"/>
  <c r="P138" i="1"/>
  <c r="O138" i="1"/>
  <c r="N138" i="1"/>
  <c r="M138" i="1"/>
  <c r="L138" i="1"/>
  <c r="K138" i="1"/>
  <c r="J138" i="1"/>
  <c r="S138" i="1" l="1"/>
  <c r="H138" i="1"/>
  <c r="F138" i="1"/>
  <c r="E138" i="1"/>
  <c r="D138" i="1"/>
  <c r="C138" i="1"/>
  <c r="B138" i="1"/>
  <c r="I138" i="1" l="1"/>
  <c r="G138" i="1"/>
  <c r="R110" i="1"/>
  <c r="Q110" i="1"/>
  <c r="P110" i="1"/>
  <c r="O110" i="1"/>
  <c r="N110" i="1"/>
  <c r="M110" i="1"/>
  <c r="L110" i="1"/>
  <c r="K110" i="1"/>
  <c r="J110" i="1"/>
  <c r="S110" i="1" l="1"/>
  <c r="H110" i="1"/>
  <c r="F110" i="1"/>
  <c r="E110" i="1"/>
  <c r="D110" i="1"/>
  <c r="C110" i="1"/>
  <c r="B110" i="1"/>
  <c r="I110" i="1" l="1"/>
  <c r="G110" i="1"/>
  <c r="R144" i="1"/>
  <c r="Q144" i="1"/>
  <c r="P144" i="1"/>
  <c r="O144" i="1"/>
  <c r="N144" i="1"/>
  <c r="M144" i="1"/>
  <c r="L144" i="1"/>
  <c r="K144" i="1"/>
  <c r="J144" i="1"/>
  <c r="S144" i="1" l="1"/>
  <c r="H144" i="1"/>
  <c r="F144" i="1"/>
  <c r="E144" i="1"/>
  <c r="D144" i="1"/>
  <c r="C144" i="1"/>
  <c r="B144" i="1"/>
  <c r="I144" i="1" l="1"/>
  <c r="G144" i="1"/>
  <c r="R143" i="1"/>
  <c r="Q143" i="1"/>
  <c r="P143" i="1"/>
  <c r="O143" i="1"/>
  <c r="N143" i="1"/>
  <c r="M143" i="1"/>
  <c r="L143" i="1"/>
  <c r="K143" i="1"/>
  <c r="J143" i="1"/>
  <c r="S143" i="1" l="1"/>
  <c r="H143" i="1"/>
  <c r="F143" i="1"/>
  <c r="E143" i="1"/>
  <c r="D143" i="1"/>
  <c r="C143" i="1"/>
  <c r="B143" i="1"/>
  <c r="I143" i="1" l="1"/>
  <c r="G143" i="1"/>
  <c r="R131" i="1"/>
  <c r="Q131" i="1"/>
  <c r="P131" i="1"/>
  <c r="O131" i="1"/>
  <c r="N131" i="1"/>
  <c r="M131" i="1"/>
  <c r="L131" i="1"/>
  <c r="K131" i="1"/>
  <c r="J131" i="1"/>
  <c r="S131" i="1" l="1"/>
  <c r="H131" i="1"/>
  <c r="F131" i="1"/>
  <c r="E131" i="1"/>
  <c r="D131" i="1"/>
  <c r="C131" i="1"/>
  <c r="B131" i="1"/>
  <c r="I131" i="1" l="1"/>
  <c r="G131" i="1"/>
  <c r="R44" i="1"/>
  <c r="Q44" i="1"/>
  <c r="P44" i="1"/>
  <c r="O44" i="1"/>
  <c r="N44" i="1"/>
  <c r="M44" i="1"/>
  <c r="L44" i="1"/>
  <c r="K44" i="1"/>
  <c r="J44" i="1"/>
  <c r="S44" i="1" l="1"/>
  <c r="H44" i="1"/>
  <c r="F44" i="1"/>
  <c r="E44" i="1"/>
  <c r="D44" i="1"/>
  <c r="C44" i="1"/>
  <c r="B44" i="1"/>
  <c r="I44" i="1" l="1"/>
  <c r="G44" i="1"/>
  <c r="R205" i="1"/>
  <c r="Q205" i="1"/>
  <c r="P205" i="1"/>
  <c r="O205" i="1"/>
  <c r="N205" i="1"/>
  <c r="M205" i="1"/>
  <c r="L205" i="1"/>
  <c r="K205" i="1"/>
  <c r="J205" i="1"/>
  <c r="S205" i="1" l="1"/>
  <c r="H205" i="1"/>
  <c r="F205" i="1"/>
  <c r="E205" i="1"/>
  <c r="D205" i="1"/>
  <c r="C205" i="1"/>
  <c r="B205" i="1"/>
  <c r="I205" i="1" l="1"/>
  <c r="G205" i="1"/>
  <c r="R133" i="1"/>
  <c r="Q133" i="1"/>
  <c r="P133" i="1"/>
  <c r="O133" i="1"/>
  <c r="N133" i="1"/>
  <c r="M133" i="1"/>
  <c r="L133" i="1"/>
  <c r="K133" i="1"/>
  <c r="J133" i="1"/>
  <c r="S133" i="1" l="1"/>
  <c r="H133" i="1"/>
  <c r="F133" i="1"/>
  <c r="E133" i="1"/>
  <c r="D133" i="1"/>
  <c r="C133" i="1"/>
  <c r="B133" i="1"/>
  <c r="I133" i="1" l="1"/>
  <c r="G133" i="1"/>
  <c r="R32" i="1"/>
  <c r="Q32" i="1"/>
  <c r="P32" i="1"/>
  <c r="O32" i="1"/>
  <c r="N32" i="1"/>
  <c r="M32" i="1"/>
  <c r="L32" i="1"/>
  <c r="K32" i="1"/>
  <c r="J32" i="1"/>
  <c r="S32" i="1" l="1"/>
  <c r="H32" i="1"/>
  <c r="F32" i="1"/>
  <c r="E32" i="1"/>
  <c r="D32" i="1"/>
  <c r="C32" i="1"/>
  <c r="B32" i="1"/>
  <c r="I32" i="1" l="1"/>
  <c r="G32" i="1"/>
  <c r="R31" i="1"/>
  <c r="Q31" i="1"/>
  <c r="P31" i="1"/>
  <c r="O31" i="1"/>
  <c r="N31" i="1"/>
  <c r="M31" i="1"/>
  <c r="L31" i="1"/>
  <c r="K31" i="1"/>
  <c r="J31" i="1"/>
  <c r="S31" i="1" l="1"/>
  <c r="H31" i="1"/>
  <c r="F31" i="1"/>
  <c r="E31" i="1"/>
  <c r="D31" i="1"/>
  <c r="C31" i="1"/>
  <c r="B31" i="1"/>
  <c r="I31" i="1" l="1"/>
  <c r="G31" i="1"/>
  <c r="R30" i="1"/>
  <c r="Q30" i="1"/>
  <c r="P30" i="1"/>
  <c r="O30" i="1"/>
  <c r="N30" i="1"/>
  <c r="M30" i="1"/>
  <c r="L30" i="1"/>
  <c r="K30" i="1"/>
  <c r="J30" i="1"/>
  <c r="S30" i="1" l="1"/>
  <c r="H30" i="1"/>
  <c r="F30" i="1"/>
  <c r="E30" i="1"/>
  <c r="D30" i="1"/>
  <c r="C30" i="1"/>
  <c r="B30" i="1"/>
  <c r="I30" i="1" l="1"/>
  <c r="G30" i="1"/>
  <c r="R11" i="1"/>
  <c r="Q11" i="1"/>
  <c r="P11" i="1"/>
  <c r="O11" i="1"/>
  <c r="N11" i="1"/>
  <c r="M11" i="1"/>
  <c r="L11" i="1"/>
  <c r="K11" i="1"/>
  <c r="J11" i="1"/>
  <c r="S11" i="1" l="1"/>
  <c r="H11" i="1"/>
  <c r="F11" i="1"/>
  <c r="E11" i="1"/>
  <c r="D11" i="1"/>
  <c r="C11" i="1"/>
  <c r="B11" i="1"/>
  <c r="I11" i="1" l="1"/>
  <c r="G11" i="1"/>
  <c r="R10" i="1"/>
  <c r="Q10" i="1"/>
  <c r="P10" i="1"/>
  <c r="O10" i="1"/>
  <c r="N10" i="1"/>
  <c r="M10" i="1"/>
  <c r="L10" i="1"/>
  <c r="K10" i="1"/>
  <c r="J10" i="1"/>
  <c r="S10" i="1" l="1"/>
  <c r="H10" i="1"/>
  <c r="F10" i="1"/>
  <c r="E10" i="1"/>
  <c r="D10" i="1"/>
  <c r="C10" i="1"/>
  <c r="B10" i="1"/>
  <c r="I10" i="1" l="1"/>
  <c r="G10" i="1"/>
  <c r="R192" i="1"/>
  <c r="Q192" i="1"/>
  <c r="P192" i="1"/>
  <c r="O192" i="1"/>
  <c r="N192" i="1"/>
  <c r="M192" i="1"/>
  <c r="L192" i="1"/>
  <c r="K192" i="1"/>
  <c r="J192" i="1"/>
  <c r="S192" i="1" l="1"/>
  <c r="H192" i="1"/>
  <c r="F192" i="1"/>
  <c r="E192" i="1"/>
  <c r="D192" i="1"/>
  <c r="C192" i="1"/>
  <c r="B192" i="1"/>
  <c r="I192" i="1" l="1"/>
  <c r="G192" i="1"/>
  <c r="R13" i="1"/>
  <c r="Q13" i="1"/>
  <c r="P13" i="1"/>
  <c r="O13" i="1"/>
  <c r="N13" i="1"/>
  <c r="M13" i="1"/>
  <c r="L13" i="1"/>
  <c r="K13" i="1"/>
  <c r="J13" i="1"/>
  <c r="S13" i="1" l="1"/>
  <c r="H13" i="1"/>
  <c r="F13" i="1"/>
  <c r="E13" i="1"/>
  <c r="D13" i="1"/>
  <c r="C13" i="1"/>
  <c r="B13" i="1"/>
  <c r="I13" i="1" l="1"/>
  <c r="G13" i="1"/>
  <c r="R87" i="1"/>
  <c r="Q87" i="1"/>
  <c r="P87" i="1"/>
  <c r="O87" i="1"/>
  <c r="N87" i="1"/>
  <c r="M87" i="1"/>
  <c r="L87" i="1"/>
  <c r="K87" i="1"/>
  <c r="J87" i="1"/>
  <c r="S87" i="1" l="1"/>
  <c r="H87" i="1"/>
  <c r="F87" i="1"/>
  <c r="E87" i="1"/>
  <c r="D87" i="1"/>
  <c r="C87" i="1"/>
  <c r="B87" i="1"/>
  <c r="I87" i="1" l="1"/>
  <c r="G87" i="1"/>
  <c r="R74" i="1"/>
  <c r="Q74" i="1"/>
  <c r="P74" i="1"/>
  <c r="O74" i="1"/>
  <c r="N74" i="1"/>
  <c r="M74" i="1"/>
  <c r="L74" i="1"/>
  <c r="K74" i="1"/>
  <c r="J74" i="1"/>
  <c r="S74" i="1" l="1"/>
  <c r="H74" i="1"/>
  <c r="F74" i="1"/>
  <c r="E74" i="1"/>
  <c r="D74" i="1"/>
  <c r="C74" i="1"/>
  <c r="B74" i="1"/>
  <c r="I74" i="1" l="1"/>
  <c r="G74" i="1"/>
  <c r="R75" i="1"/>
  <c r="Q75" i="1"/>
  <c r="P75" i="1"/>
  <c r="O75" i="1"/>
  <c r="N75" i="1"/>
  <c r="M75" i="1"/>
  <c r="L75" i="1"/>
  <c r="K75" i="1"/>
  <c r="J75" i="1"/>
  <c r="S75" i="1" l="1"/>
  <c r="H75" i="1"/>
  <c r="F75" i="1"/>
  <c r="E75" i="1"/>
  <c r="D75" i="1"/>
  <c r="C75" i="1"/>
  <c r="B75" i="1"/>
  <c r="I75" i="1" l="1"/>
  <c r="G75" i="1"/>
  <c r="R76" i="1"/>
  <c r="Q76" i="1"/>
  <c r="P76" i="1"/>
  <c r="O76" i="1"/>
  <c r="N76" i="1"/>
  <c r="M76" i="1"/>
  <c r="L76" i="1"/>
  <c r="K76" i="1"/>
  <c r="J76" i="1"/>
  <c r="S76" i="1" l="1"/>
  <c r="H76" i="1"/>
  <c r="F76" i="1"/>
  <c r="E76" i="1"/>
  <c r="D76" i="1"/>
  <c r="C76" i="1"/>
  <c r="B76" i="1"/>
  <c r="I76" i="1" l="1"/>
  <c r="G76" i="1"/>
  <c r="R78" i="1"/>
  <c r="Q78" i="1"/>
  <c r="P78" i="1"/>
  <c r="O78" i="1"/>
  <c r="N78" i="1"/>
  <c r="M78" i="1"/>
  <c r="L78" i="1"/>
  <c r="K78" i="1"/>
  <c r="J78" i="1"/>
  <c r="S78" i="1" l="1"/>
  <c r="H78" i="1"/>
  <c r="F78" i="1"/>
  <c r="E78" i="1"/>
  <c r="D78" i="1"/>
  <c r="C78" i="1"/>
  <c r="B78" i="1"/>
  <c r="I78" i="1" l="1"/>
  <c r="G78" i="1"/>
  <c r="R163" i="1"/>
  <c r="Q163" i="1"/>
  <c r="P163" i="1"/>
  <c r="O163" i="1"/>
  <c r="N163" i="1"/>
  <c r="M163" i="1"/>
  <c r="L163" i="1"/>
  <c r="K163" i="1"/>
  <c r="J163" i="1"/>
  <c r="S163" i="1" l="1"/>
  <c r="H163" i="1"/>
  <c r="F163" i="1"/>
  <c r="E163" i="1"/>
  <c r="D163" i="1"/>
  <c r="C163" i="1"/>
  <c r="B163" i="1"/>
  <c r="I163" i="1" l="1"/>
  <c r="G163" i="1"/>
  <c r="R62" i="1"/>
  <c r="Q62" i="1"/>
  <c r="P62" i="1"/>
  <c r="O62" i="1"/>
  <c r="N62" i="1"/>
  <c r="M62" i="1"/>
  <c r="L62" i="1"/>
  <c r="K62" i="1"/>
  <c r="J62" i="1"/>
  <c r="S62" i="1" l="1"/>
  <c r="H62" i="1"/>
  <c r="F62" i="1"/>
  <c r="E62" i="1"/>
  <c r="D62" i="1"/>
  <c r="C62" i="1"/>
  <c r="B62" i="1"/>
  <c r="I62" i="1" l="1"/>
  <c r="G62" i="1"/>
  <c r="R63" i="1"/>
  <c r="Q63" i="1"/>
  <c r="P63" i="1"/>
  <c r="O63" i="1"/>
  <c r="N63" i="1"/>
  <c r="M63" i="1"/>
  <c r="L63" i="1"/>
  <c r="K63" i="1"/>
  <c r="J63" i="1"/>
  <c r="S63" i="1" l="1"/>
  <c r="H63" i="1"/>
  <c r="F63" i="1"/>
  <c r="E63" i="1"/>
  <c r="D63" i="1"/>
  <c r="C63" i="1"/>
  <c r="B63" i="1"/>
  <c r="I63" i="1" l="1"/>
  <c r="G63" i="1"/>
  <c r="R105" i="1"/>
  <c r="Q105" i="1"/>
  <c r="P105" i="1"/>
  <c r="O105" i="1"/>
  <c r="N105" i="1"/>
  <c r="M105" i="1"/>
  <c r="L105" i="1"/>
  <c r="K105" i="1"/>
  <c r="J105" i="1"/>
  <c r="S105" i="1" l="1"/>
  <c r="H105" i="1"/>
  <c r="F105" i="1"/>
  <c r="E105" i="1"/>
  <c r="D105" i="1"/>
  <c r="C105" i="1"/>
  <c r="B105" i="1"/>
  <c r="I105" i="1" l="1"/>
  <c r="G105" i="1"/>
  <c r="R142" i="1"/>
  <c r="Q142" i="1"/>
  <c r="P142" i="1"/>
  <c r="O142" i="1"/>
  <c r="N142" i="1"/>
  <c r="M142" i="1"/>
  <c r="L142" i="1"/>
  <c r="K142" i="1"/>
  <c r="J142" i="1"/>
  <c r="S142" i="1" l="1"/>
  <c r="H142" i="1"/>
  <c r="F142" i="1"/>
  <c r="E142" i="1"/>
  <c r="D142" i="1"/>
  <c r="C142" i="1"/>
  <c r="B142" i="1"/>
  <c r="I142" i="1" l="1"/>
  <c r="G142" i="1"/>
  <c r="R9" i="1"/>
  <c r="Q9" i="1"/>
  <c r="P9" i="1"/>
  <c r="O9" i="1"/>
  <c r="N9" i="1"/>
  <c r="M9" i="1"/>
  <c r="L9" i="1"/>
  <c r="K9" i="1"/>
  <c r="J9" i="1"/>
  <c r="S9" i="1" l="1"/>
  <c r="H9" i="1"/>
  <c r="F9" i="1"/>
  <c r="E9" i="1"/>
  <c r="D9" i="1"/>
  <c r="C9" i="1"/>
  <c r="B9" i="1"/>
  <c r="I9" i="1" l="1"/>
  <c r="G9" i="1"/>
  <c r="R91" i="1"/>
  <c r="Q91" i="1"/>
  <c r="P91" i="1"/>
  <c r="O91" i="1"/>
  <c r="N91" i="1"/>
  <c r="M91" i="1"/>
  <c r="L91" i="1"/>
  <c r="K91" i="1"/>
  <c r="J91" i="1"/>
  <c r="S91" i="1" l="1"/>
  <c r="H91" i="1"/>
  <c r="F91" i="1"/>
  <c r="E91" i="1"/>
  <c r="D91" i="1"/>
  <c r="C91" i="1"/>
  <c r="B91" i="1"/>
  <c r="I91" i="1" l="1"/>
  <c r="G91" i="1"/>
  <c r="R61" i="1"/>
  <c r="Q61" i="1"/>
  <c r="P61" i="1"/>
  <c r="O61" i="1"/>
  <c r="N61" i="1"/>
  <c r="M61" i="1"/>
  <c r="L61" i="1"/>
  <c r="K61" i="1"/>
  <c r="J61" i="1"/>
  <c r="S61" i="1" l="1"/>
  <c r="H61" i="1"/>
  <c r="F61" i="1"/>
  <c r="E61" i="1"/>
  <c r="D61" i="1"/>
  <c r="C61" i="1"/>
  <c r="B61" i="1"/>
  <c r="I61" i="1" l="1"/>
  <c r="G61" i="1"/>
  <c r="R93" i="1"/>
  <c r="Q93" i="1"/>
  <c r="P93" i="1"/>
  <c r="O93" i="1"/>
  <c r="N93" i="1"/>
  <c r="M93" i="1"/>
  <c r="L93" i="1"/>
  <c r="K93" i="1"/>
  <c r="J93" i="1"/>
  <c r="S93" i="1" l="1"/>
  <c r="H93" i="1"/>
  <c r="F93" i="1"/>
  <c r="E93" i="1"/>
  <c r="D93" i="1"/>
  <c r="C93" i="1"/>
  <c r="B93" i="1"/>
  <c r="I93" i="1" l="1"/>
  <c r="G93" i="1"/>
  <c r="R88" i="1"/>
  <c r="Q88" i="1"/>
  <c r="P88" i="1"/>
  <c r="O88" i="1"/>
  <c r="N88" i="1"/>
  <c r="M88" i="1"/>
  <c r="L88" i="1"/>
  <c r="K88" i="1"/>
  <c r="J88" i="1"/>
  <c r="S88" i="1" l="1"/>
  <c r="H88" i="1"/>
  <c r="F88" i="1"/>
  <c r="E88" i="1"/>
  <c r="D88" i="1"/>
  <c r="C88" i="1"/>
  <c r="B88" i="1"/>
  <c r="I88" i="1" l="1"/>
  <c r="G88" i="1"/>
  <c r="R141" i="1"/>
  <c r="Q141" i="1"/>
  <c r="P141" i="1"/>
  <c r="O141" i="1"/>
  <c r="N141" i="1"/>
  <c r="M141" i="1"/>
  <c r="L141" i="1"/>
  <c r="K141" i="1"/>
  <c r="J141" i="1"/>
  <c r="S141" i="1" l="1"/>
  <c r="H141" i="1"/>
  <c r="F141" i="1"/>
  <c r="E141" i="1"/>
  <c r="D141" i="1"/>
  <c r="C141" i="1"/>
  <c r="B141" i="1"/>
  <c r="I141" i="1" l="1"/>
  <c r="G141" i="1"/>
  <c r="R99" i="1"/>
  <c r="Q99" i="1"/>
  <c r="P99" i="1"/>
  <c r="O99" i="1"/>
  <c r="N99" i="1"/>
  <c r="M99" i="1"/>
  <c r="L99" i="1"/>
  <c r="K99" i="1"/>
  <c r="J99" i="1"/>
  <c r="S99" i="1" l="1"/>
  <c r="H99" i="1"/>
  <c r="F99" i="1"/>
  <c r="E99" i="1"/>
  <c r="D99" i="1"/>
  <c r="C99" i="1"/>
  <c r="B99" i="1"/>
  <c r="I99" i="1" l="1"/>
  <c r="G99" i="1"/>
  <c r="R151" i="1"/>
  <c r="Q151" i="1"/>
  <c r="P151" i="1"/>
  <c r="O151" i="1"/>
  <c r="N151" i="1"/>
  <c r="M151" i="1"/>
  <c r="L151" i="1"/>
  <c r="K151" i="1"/>
  <c r="J151" i="1"/>
  <c r="S151" i="1" l="1"/>
  <c r="H151" i="1"/>
  <c r="F151" i="1"/>
  <c r="E151" i="1"/>
  <c r="D151" i="1"/>
  <c r="C151" i="1"/>
  <c r="B151" i="1"/>
  <c r="I151" i="1" l="1"/>
  <c r="G151" i="1"/>
  <c r="R79" i="1"/>
  <c r="Q79" i="1"/>
  <c r="P79" i="1"/>
  <c r="O79" i="1"/>
  <c r="N79" i="1"/>
  <c r="M79" i="1"/>
  <c r="L79" i="1"/>
  <c r="K79" i="1"/>
  <c r="J79" i="1"/>
  <c r="S79" i="1" l="1"/>
  <c r="H79" i="1"/>
  <c r="F79" i="1"/>
  <c r="E79" i="1"/>
  <c r="D79" i="1"/>
  <c r="C79" i="1"/>
  <c r="B79" i="1"/>
  <c r="I79" i="1" l="1"/>
  <c r="G79" i="1"/>
  <c r="R65" i="1"/>
  <c r="Q65" i="1"/>
  <c r="P65" i="1"/>
  <c r="O65" i="1"/>
  <c r="N65" i="1"/>
  <c r="M65" i="1"/>
  <c r="L65" i="1"/>
  <c r="K65" i="1"/>
  <c r="J65" i="1"/>
  <c r="S65" i="1" l="1"/>
  <c r="H65" i="1"/>
  <c r="F65" i="1"/>
  <c r="E65" i="1"/>
  <c r="D65" i="1"/>
  <c r="C65" i="1"/>
  <c r="B65" i="1"/>
  <c r="I65" i="1" l="1"/>
  <c r="G65" i="1"/>
  <c r="R123" i="1"/>
  <c r="Q123" i="1"/>
  <c r="P123" i="1"/>
  <c r="O123" i="1"/>
  <c r="N123" i="1"/>
  <c r="M123" i="1"/>
  <c r="L123" i="1"/>
  <c r="K123" i="1"/>
  <c r="J123" i="1"/>
  <c r="S123" i="1" l="1"/>
  <c r="H123" i="1"/>
  <c r="F123" i="1"/>
  <c r="E123" i="1"/>
  <c r="D123" i="1"/>
  <c r="C123" i="1"/>
  <c r="B123" i="1"/>
  <c r="I123" i="1" l="1"/>
  <c r="G123" i="1"/>
  <c r="R120" i="1"/>
  <c r="Q120" i="1"/>
  <c r="P120" i="1"/>
  <c r="O120" i="1"/>
  <c r="N120" i="1"/>
  <c r="M120" i="1"/>
  <c r="L120" i="1"/>
  <c r="K120" i="1"/>
  <c r="J120" i="1"/>
  <c r="S120" i="1" l="1"/>
  <c r="H120" i="1"/>
  <c r="F120" i="1"/>
  <c r="E120" i="1"/>
  <c r="D120" i="1"/>
  <c r="C120" i="1"/>
  <c r="B120" i="1"/>
  <c r="I120" i="1" l="1"/>
  <c r="G120" i="1"/>
  <c r="R42" i="1"/>
  <c r="Q42" i="1"/>
  <c r="P42" i="1"/>
  <c r="O42" i="1"/>
  <c r="N42" i="1"/>
  <c r="M42" i="1"/>
  <c r="L42" i="1"/>
  <c r="K42" i="1"/>
  <c r="J42" i="1"/>
  <c r="S42" i="1" l="1"/>
  <c r="H42" i="1"/>
  <c r="F42" i="1"/>
  <c r="E42" i="1"/>
  <c r="D42" i="1"/>
  <c r="C42" i="1"/>
  <c r="B42" i="1"/>
  <c r="I42" i="1" l="1"/>
  <c r="G42" i="1"/>
  <c r="R86" i="1"/>
  <c r="Q86" i="1"/>
  <c r="P86" i="1"/>
  <c r="O86" i="1"/>
  <c r="N86" i="1"/>
  <c r="M86" i="1"/>
  <c r="L86" i="1"/>
  <c r="K86" i="1"/>
  <c r="J86" i="1"/>
  <c r="S86" i="1" l="1"/>
  <c r="H86" i="1"/>
  <c r="F86" i="1"/>
  <c r="E86" i="1"/>
  <c r="D86" i="1"/>
  <c r="C86" i="1"/>
  <c r="B86" i="1"/>
  <c r="I86" i="1" l="1"/>
  <c r="G86" i="1"/>
  <c r="R168" i="1"/>
  <c r="Q168" i="1"/>
  <c r="P168" i="1"/>
  <c r="O168" i="1"/>
  <c r="N168" i="1"/>
  <c r="M168" i="1"/>
  <c r="L168" i="1"/>
  <c r="K168" i="1"/>
  <c r="J168" i="1"/>
  <c r="S168" i="1" l="1"/>
  <c r="H168" i="1"/>
  <c r="F168" i="1"/>
  <c r="E168" i="1"/>
  <c r="D168" i="1"/>
  <c r="C168" i="1"/>
  <c r="B168" i="1"/>
  <c r="I168" i="1" l="1"/>
  <c r="G168" i="1"/>
  <c r="R40" i="1"/>
  <c r="Q40" i="1"/>
  <c r="P40" i="1"/>
  <c r="O40" i="1"/>
  <c r="N40" i="1"/>
  <c r="M40" i="1"/>
  <c r="L40" i="1"/>
  <c r="K40" i="1"/>
  <c r="J40" i="1"/>
  <c r="S40" i="1" l="1"/>
  <c r="H40" i="1"/>
  <c r="F40" i="1"/>
  <c r="E40" i="1"/>
  <c r="D40" i="1"/>
  <c r="C40" i="1"/>
  <c r="B40" i="1"/>
  <c r="I40" i="1" l="1"/>
  <c r="G40" i="1"/>
  <c r="R109" i="1"/>
  <c r="Q109" i="1"/>
  <c r="P109" i="1"/>
  <c r="O109" i="1"/>
  <c r="N109" i="1"/>
  <c r="M109" i="1"/>
  <c r="L109" i="1"/>
  <c r="K109" i="1"/>
  <c r="J109" i="1"/>
  <c r="S109" i="1" l="1"/>
  <c r="H109" i="1"/>
  <c r="F109" i="1"/>
  <c r="E109" i="1"/>
  <c r="D109" i="1"/>
  <c r="C109" i="1"/>
  <c r="B109" i="1"/>
  <c r="I109" i="1" l="1"/>
  <c r="G109" i="1"/>
  <c r="R140" i="1"/>
  <c r="Q140" i="1"/>
  <c r="P140" i="1"/>
  <c r="O140" i="1"/>
  <c r="N140" i="1"/>
  <c r="M140" i="1"/>
  <c r="L140" i="1"/>
  <c r="K140" i="1"/>
  <c r="J140" i="1"/>
  <c r="S140" i="1" l="1"/>
  <c r="H140" i="1"/>
  <c r="F140" i="1"/>
  <c r="E140" i="1"/>
  <c r="D140" i="1"/>
  <c r="C140" i="1"/>
  <c r="B140" i="1"/>
  <c r="I140" i="1" l="1"/>
  <c r="G140" i="1"/>
  <c r="R118" i="1"/>
  <c r="Q118" i="1"/>
  <c r="P118" i="1"/>
  <c r="O118" i="1"/>
  <c r="N118" i="1"/>
  <c r="M118" i="1"/>
  <c r="L118" i="1"/>
  <c r="K118" i="1"/>
  <c r="J118" i="1"/>
  <c r="S118" i="1" l="1"/>
  <c r="H118" i="1"/>
  <c r="F118" i="1"/>
  <c r="E118" i="1"/>
  <c r="D118" i="1"/>
  <c r="C118" i="1"/>
  <c r="B118" i="1"/>
  <c r="I118" i="1" l="1"/>
  <c r="G118" i="1"/>
  <c r="R80" i="1"/>
  <c r="Q80" i="1"/>
  <c r="P80" i="1"/>
  <c r="O80" i="1"/>
  <c r="N80" i="1"/>
  <c r="M80" i="1"/>
  <c r="L80" i="1"/>
  <c r="K80" i="1"/>
  <c r="J80" i="1"/>
  <c r="S80" i="1" l="1"/>
  <c r="H80" i="1"/>
  <c r="F80" i="1"/>
  <c r="E80" i="1"/>
  <c r="D80" i="1"/>
  <c r="C80" i="1"/>
  <c r="B80" i="1"/>
  <c r="I80" i="1" l="1"/>
  <c r="G80" i="1"/>
  <c r="R34" i="1"/>
  <c r="Q34" i="1"/>
  <c r="P34" i="1"/>
  <c r="O34" i="1"/>
  <c r="N34" i="1"/>
  <c r="M34" i="1"/>
  <c r="L34" i="1"/>
  <c r="K34" i="1"/>
  <c r="J34" i="1"/>
  <c r="S34" i="1" l="1"/>
  <c r="H34" i="1"/>
  <c r="F34" i="1"/>
  <c r="E34" i="1"/>
  <c r="D34" i="1"/>
  <c r="C34" i="1"/>
  <c r="B34" i="1"/>
  <c r="I34" i="1" l="1"/>
  <c r="G34" i="1"/>
  <c r="R100" i="1"/>
  <c r="Q100" i="1"/>
  <c r="P100" i="1"/>
  <c r="O100" i="1"/>
  <c r="N100" i="1"/>
  <c r="M100" i="1"/>
  <c r="L100" i="1"/>
  <c r="K100" i="1"/>
  <c r="J100" i="1"/>
  <c r="S100" i="1" l="1"/>
  <c r="H100" i="1"/>
  <c r="F100" i="1"/>
  <c r="E100" i="1"/>
  <c r="D100" i="1"/>
  <c r="C100" i="1"/>
  <c r="B100" i="1"/>
  <c r="I100" i="1" l="1"/>
  <c r="G100" i="1"/>
  <c r="R26" i="1"/>
  <c r="Q26" i="1"/>
  <c r="P26" i="1"/>
  <c r="O26" i="1"/>
  <c r="N26" i="1"/>
  <c r="M26" i="1"/>
  <c r="L26" i="1"/>
  <c r="K26" i="1"/>
  <c r="J26" i="1"/>
  <c r="S26" i="1" l="1"/>
  <c r="H26" i="1"/>
  <c r="F26" i="1"/>
  <c r="E26" i="1"/>
  <c r="D26" i="1"/>
  <c r="C26" i="1"/>
  <c r="B26" i="1"/>
  <c r="I26" i="1" l="1"/>
  <c r="G26" i="1"/>
  <c r="R219" i="1"/>
  <c r="Q219" i="1"/>
  <c r="P219" i="1"/>
  <c r="O219" i="1"/>
  <c r="N219" i="1"/>
  <c r="M219" i="1"/>
  <c r="L219" i="1"/>
  <c r="K219" i="1"/>
  <c r="J219" i="1"/>
  <c r="S219" i="1" l="1"/>
  <c r="H219" i="1"/>
  <c r="F219" i="1"/>
  <c r="E219" i="1"/>
  <c r="D219" i="1"/>
  <c r="C219" i="1"/>
  <c r="B219" i="1"/>
  <c r="I219" i="1" l="1"/>
  <c r="G219" i="1"/>
  <c r="R69" i="1"/>
  <c r="Q69" i="1"/>
  <c r="P69" i="1"/>
  <c r="O69" i="1"/>
  <c r="N69" i="1"/>
  <c r="M69" i="1"/>
  <c r="L69" i="1"/>
  <c r="K69" i="1"/>
  <c r="J69" i="1"/>
  <c r="S69" i="1" l="1"/>
  <c r="H69" i="1"/>
  <c r="F69" i="1"/>
  <c r="E69" i="1"/>
  <c r="D69" i="1"/>
  <c r="C69" i="1"/>
  <c r="B69" i="1"/>
  <c r="I69" i="1" l="1"/>
  <c r="G69" i="1"/>
  <c r="R54" i="1"/>
  <c r="Q54" i="1"/>
  <c r="P54" i="1"/>
  <c r="O54" i="1"/>
  <c r="N54" i="1"/>
  <c r="M54" i="1"/>
  <c r="L54" i="1"/>
  <c r="K54" i="1"/>
  <c r="J54" i="1"/>
  <c r="S54" i="1" l="1"/>
  <c r="H54" i="1"/>
  <c r="F54" i="1"/>
  <c r="E54" i="1"/>
  <c r="D54" i="1"/>
  <c r="C54" i="1"/>
  <c r="B54" i="1"/>
  <c r="I54" i="1" l="1"/>
  <c r="G54" i="1"/>
  <c r="R82" i="1"/>
  <c r="Q82" i="1"/>
  <c r="P82" i="1"/>
  <c r="O82" i="1"/>
  <c r="N82" i="1"/>
  <c r="M82" i="1"/>
  <c r="L82" i="1"/>
  <c r="K82" i="1"/>
  <c r="J82" i="1"/>
  <c r="S82" i="1" l="1"/>
  <c r="H82" i="1"/>
  <c r="F82" i="1"/>
  <c r="E82" i="1"/>
  <c r="D82" i="1"/>
  <c r="C82" i="1"/>
  <c r="B82" i="1"/>
  <c r="I82" i="1" l="1"/>
  <c r="G82" i="1"/>
  <c r="R85" i="1"/>
  <c r="Q85" i="1"/>
  <c r="P85" i="1"/>
  <c r="O85" i="1"/>
  <c r="N85" i="1"/>
  <c r="M85" i="1"/>
  <c r="L85" i="1"/>
  <c r="K85" i="1"/>
  <c r="J85" i="1"/>
  <c r="S85" i="1" l="1"/>
  <c r="H85" i="1"/>
  <c r="F85" i="1"/>
  <c r="E85" i="1"/>
  <c r="D85" i="1"/>
  <c r="C85" i="1"/>
  <c r="B85" i="1"/>
  <c r="I85" i="1" l="1"/>
  <c r="G85" i="1"/>
  <c r="R38" i="1"/>
  <c r="Q38" i="1"/>
  <c r="P38" i="1"/>
  <c r="O38" i="1"/>
  <c r="N38" i="1"/>
  <c r="M38" i="1"/>
  <c r="L38" i="1"/>
  <c r="K38" i="1"/>
  <c r="J38" i="1"/>
  <c r="S38" i="1" l="1"/>
  <c r="H38" i="1"/>
  <c r="F38" i="1"/>
  <c r="E38" i="1"/>
  <c r="D38" i="1"/>
  <c r="C38" i="1"/>
  <c r="B38" i="1"/>
  <c r="I38" i="1" l="1"/>
  <c r="G38" i="1"/>
  <c r="R101" i="1"/>
  <c r="Q101" i="1"/>
  <c r="P101" i="1"/>
  <c r="O101" i="1"/>
  <c r="N101" i="1"/>
  <c r="M101" i="1"/>
  <c r="L101" i="1"/>
  <c r="K101" i="1"/>
  <c r="J101" i="1"/>
  <c r="S101" i="1" l="1"/>
  <c r="H101" i="1"/>
  <c r="F101" i="1"/>
  <c r="E101" i="1"/>
  <c r="D101" i="1"/>
  <c r="C101" i="1"/>
  <c r="B101" i="1"/>
  <c r="I101" i="1" l="1"/>
  <c r="G101" i="1"/>
  <c r="R67" i="1"/>
  <c r="Q67" i="1"/>
  <c r="P67" i="1"/>
  <c r="O67" i="1"/>
  <c r="N67" i="1"/>
  <c r="M67" i="1"/>
  <c r="L67" i="1"/>
  <c r="K67" i="1"/>
  <c r="J67" i="1"/>
  <c r="S67" i="1" l="1"/>
  <c r="H67" i="1"/>
  <c r="F67" i="1"/>
  <c r="E67" i="1"/>
  <c r="D67" i="1"/>
  <c r="C67" i="1"/>
  <c r="B67" i="1"/>
  <c r="I67" i="1" l="1"/>
  <c r="G67" i="1"/>
  <c r="R90" i="1"/>
  <c r="Q90" i="1"/>
  <c r="P90" i="1"/>
  <c r="O90" i="1"/>
  <c r="N90" i="1"/>
  <c r="M90" i="1"/>
  <c r="L90" i="1"/>
  <c r="K90" i="1"/>
  <c r="J90" i="1"/>
  <c r="S90" i="1" l="1"/>
  <c r="H90" i="1"/>
  <c r="F90" i="1"/>
  <c r="E90" i="1"/>
  <c r="D90" i="1"/>
  <c r="C90" i="1"/>
  <c r="B90" i="1"/>
  <c r="I90" i="1" l="1"/>
  <c r="G90" i="1"/>
  <c r="R220" i="1"/>
  <c r="Q220" i="1"/>
  <c r="P220" i="1"/>
  <c r="O220" i="1"/>
  <c r="N220" i="1"/>
  <c r="M220" i="1"/>
  <c r="L220" i="1"/>
  <c r="K220" i="1"/>
  <c r="J220" i="1"/>
  <c r="S220" i="1" l="1"/>
  <c r="H220" i="1"/>
  <c r="F220" i="1"/>
  <c r="E220" i="1"/>
  <c r="D220" i="1"/>
  <c r="C220" i="1"/>
  <c r="B220" i="1"/>
  <c r="I220" i="1" l="1"/>
  <c r="G220" i="1"/>
  <c r="R66" i="1"/>
  <c r="Q66" i="1"/>
  <c r="P66" i="1"/>
  <c r="O66" i="1"/>
  <c r="N66" i="1"/>
  <c r="M66" i="1"/>
  <c r="L66" i="1"/>
  <c r="K66" i="1"/>
  <c r="J66" i="1"/>
  <c r="S66" i="1" l="1"/>
  <c r="H66" i="1"/>
  <c r="F66" i="1"/>
  <c r="E66" i="1"/>
  <c r="D66" i="1"/>
  <c r="C66" i="1"/>
  <c r="B66" i="1"/>
  <c r="I66" i="1" l="1"/>
  <c r="G66" i="1"/>
  <c r="R111" i="1"/>
  <c r="Q111" i="1"/>
  <c r="P111" i="1"/>
  <c r="O111" i="1"/>
  <c r="N111" i="1"/>
  <c r="M111" i="1"/>
  <c r="L111" i="1"/>
  <c r="K111" i="1"/>
  <c r="J111" i="1"/>
  <c r="S111" i="1" l="1"/>
  <c r="H111" i="1"/>
  <c r="F111" i="1"/>
  <c r="E111" i="1"/>
  <c r="D111" i="1"/>
  <c r="C111" i="1"/>
  <c r="B111" i="1"/>
  <c r="I111" i="1" l="1"/>
  <c r="G111" i="1"/>
  <c r="R39" i="1"/>
  <c r="Q39" i="1"/>
  <c r="P39" i="1"/>
  <c r="O39" i="1"/>
  <c r="N39" i="1"/>
  <c r="M39" i="1"/>
  <c r="L39" i="1"/>
  <c r="K39" i="1"/>
  <c r="J39" i="1"/>
  <c r="S39" i="1" l="1"/>
  <c r="H39" i="1"/>
  <c r="F39" i="1"/>
  <c r="E39" i="1"/>
  <c r="D39" i="1"/>
  <c r="C39" i="1"/>
  <c r="B39" i="1"/>
  <c r="I39" i="1" l="1"/>
  <c r="G39" i="1"/>
  <c r="R139" i="1"/>
  <c r="Q139" i="1"/>
  <c r="P139" i="1"/>
  <c r="O139" i="1"/>
  <c r="N139" i="1"/>
  <c r="M139" i="1"/>
  <c r="L139" i="1"/>
  <c r="K139" i="1"/>
  <c r="J139" i="1"/>
  <c r="S139" i="1" l="1"/>
  <c r="H139" i="1"/>
  <c r="F139" i="1"/>
  <c r="E139" i="1"/>
  <c r="D139" i="1"/>
  <c r="C139" i="1"/>
  <c r="B139" i="1"/>
  <c r="I139" i="1" l="1"/>
  <c r="G139" i="1"/>
  <c r="R95" i="1"/>
  <c r="Q95" i="1"/>
  <c r="P95" i="1"/>
  <c r="O95" i="1"/>
  <c r="N95" i="1"/>
  <c r="M95" i="1"/>
  <c r="L95" i="1"/>
  <c r="K95" i="1"/>
  <c r="J95" i="1"/>
  <c r="S95" i="1" l="1"/>
  <c r="H95" i="1"/>
  <c r="F95" i="1"/>
  <c r="E95" i="1"/>
  <c r="D95" i="1"/>
  <c r="C95" i="1"/>
  <c r="B95" i="1"/>
  <c r="I95" i="1" l="1"/>
  <c r="G95" i="1"/>
  <c r="R233" i="1"/>
  <c r="Q233" i="1"/>
  <c r="P233" i="1"/>
  <c r="O233" i="1"/>
  <c r="N233" i="1"/>
  <c r="M233" i="1"/>
  <c r="L233" i="1"/>
  <c r="K233" i="1"/>
  <c r="J233" i="1"/>
  <c r="S233" i="1" l="1"/>
  <c r="H233" i="1"/>
  <c r="F233" i="1"/>
  <c r="E233" i="1"/>
  <c r="D233" i="1"/>
  <c r="C233" i="1"/>
  <c r="B233" i="1"/>
  <c r="I233" i="1" l="1"/>
  <c r="G233" i="1"/>
  <c r="R157" i="1"/>
  <c r="Q157" i="1"/>
  <c r="P157" i="1"/>
  <c r="O157" i="1"/>
  <c r="N157" i="1"/>
  <c r="M157" i="1"/>
  <c r="L157" i="1"/>
  <c r="K157" i="1"/>
  <c r="J157" i="1"/>
  <c r="S157" i="1" l="1"/>
  <c r="H157" i="1"/>
  <c r="F157" i="1"/>
  <c r="E157" i="1"/>
  <c r="D157" i="1"/>
  <c r="C157" i="1"/>
  <c r="B157" i="1"/>
  <c r="I157" i="1" l="1"/>
  <c r="G157" i="1"/>
  <c r="R126" i="1"/>
  <c r="Q126" i="1"/>
  <c r="P126" i="1"/>
  <c r="O126" i="1"/>
  <c r="N126" i="1"/>
  <c r="M126" i="1"/>
  <c r="L126" i="1"/>
  <c r="K126" i="1"/>
  <c r="J126" i="1"/>
  <c r="S126" i="1" l="1"/>
  <c r="H126" i="1"/>
  <c r="F126" i="1"/>
  <c r="E126" i="1"/>
  <c r="D126" i="1"/>
  <c r="C126" i="1"/>
  <c r="B126" i="1"/>
  <c r="I126" i="1" l="1"/>
  <c r="G126" i="1"/>
  <c r="R127" i="1"/>
  <c r="Q127" i="1"/>
  <c r="P127" i="1"/>
  <c r="O127" i="1"/>
  <c r="N127" i="1"/>
  <c r="M127" i="1"/>
  <c r="L127" i="1"/>
  <c r="K127" i="1"/>
  <c r="J127" i="1"/>
  <c r="S127" i="1" l="1"/>
  <c r="H127" i="1"/>
  <c r="F127" i="1"/>
  <c r="E127" i="1"/>
  <c r="D127" i="1"/>
  <c r="C127" i="1"/>
  <c r="B127" i="1"/>
  <c r="I127" i="1" l="1"/>
  <c r="G127" i="1"/>
  <c r="R68" i="1"/>
  <c r="Q68" i="1"/>
  <c r="P68" i="1"/>
  <c r="O68" i="1"/>
  <c r="N68" i="1"/>
  <c r="M68" i="1"/>
  <c r="L68" i="1"/>
  <c r="K68" i="1"/>
  <c r="J68" i="1"/>
  <c r="S68" i="1" l="1"/>
  <c r="H68" i="1"/>
  <c r="F68" i="1"/>
  <c r="E68" i="1"/>
  <c r="D68" i="1"/>
  <c r="C68" i="1"/>
  <c r="B68" i="1"/>
  <c r="I68" i="1" l="1"/>
  <c r="G68" i="1"/>
  <c r="R37" i="1"/>
  <c r="Q37" i="1"/>
  <c r="P37" i="1"/>
  <c r="O37" i="1"/>
  <c r="N37" i="1"/>
  <c r="M37" i="1"/>
  <c r="L37" i="1"/>
  <c r="K37" i="1"/>
  <c r="J37" i="1"/>
  <c r="S37" i="1" l="1"/>
  <c r="H37" i="1"/>
  <c r="F37" i="1"/>
  <c r="E37" i="1"/>
  <c r="D37" i="1"/>
  <c r="C37" i="1"/>
  <c r="B37" i="1"/>
  <c r="I37" i="1" l="1"/>
  <c r="G37" i="1"/>
  <c r="R84" i="1"/>
  <c r="Q84" i="1"/>
  <c r="P84" i="1"/>
  <c r="O84" i="1"/>
  <c r="N84" i="1"/>
  <c r="M84" i="1"/>
  <c r="L84" i="1"/>
  <c r="K84" i="1"/>
  <c r="J84" i="1"/>
  <c r="S84" i="1" l="1"/>
  <c r="H84" i="1"/>
  <c r="F84" i="1"/>
  <c r="E84" i="1"/>
  <c r="D84" i="1"/>
  <c r="C84" i="1"/>
  <c r="B84" i="1"/>
  <c r="I84" i="1" l="1"/>
  <c r="G84" i="1"/>
  <c r="R136" i="1"/>
  <c r="Q136" i="1"/>
  <c r="P136" i="1"/>
  <c r="O136" i="1"/>
  <c r="N136" i="1"/>
  <c r="M136" i="1"/>
  <c r="L136" i="1"/>
  <c r="K136" i="1"/>
  <c r="J136" i="1"/>
  <c r="S136" i="1" l="1"/>
  <c r="H136" i="1"/>
  <c r="F136" i="1"/>
  <c r="E136" i="1"/>
  <c r="D136" i="1"/>
  <c r="C136" i="1"/>
  <c r="B136" i="1"/>
  <c r="I136" i="1" l="1"/>
  <c r="G136" i="1"/>
  <c r="R114" i="1"/>
  <c r="Q114" i="1"/>
  <c r="P114" i="1"/>
  <c r="O114" i="1"/>
  <c r="N114" i="1"/>
  <c r="M114" i="1"/>
  <c r="L114" i="1"/>
  <c r="K114" i="1"/>
  <c r="J114" i="1"/>
  <c r="S114" i="1" l="1"/>
  <c r="H114" i="1"/>
  <c r="F114" i="1"/>
  <c r="E114" i="1"/>
  <c r="D114" i="1"/>
  <c r="C114" i="1"/>
  <c r="B114" i="1"/>
  <c r="I114" i="1" l="1"/>
  <c r="G114" i="1"/>
  <c r="R45" i="1"/>
  <c r="Q45" i="1"/>
  <c r="P45" i="1"/>
  <c r="O45" i="1"/>
  <c r="N45" i="1"/>
  <c r="M45" i="1"/>
  <c r="L45" i="1"/>
  <c r="K45" i="1"/>
  <c r="J45" i="1"/>
  <c r="S45" i="1" l="1"/>
  <c r="H45" i="1"/>
  <c r="F45" i="1"/>
  <c r="E45" i="1"/>
  <c r="D45" i="1"/>
  <c r="C45" i="1"/>
  <c r="B45" i="1"/>
  <c r="I45" i="1" l="1"/>
  <c r="G45" i="1"/>
  <c r="R25" i="1"/>
  <c r="Q25" i="1"/>
  <c r="P25" i="1"/>
  <c r="O25" i="1"/>
  <c r="N25" i="1"/>
  <c r="M25" i="1"/>
  <c r="L25" i="1"/>
  <c r="K25" i="1"/>
  <c r="J25" i="1"/>
  <c r="S25" i="1" l="1"/>
  <c r="H25" i="1"/>
  <c r="F25" i="1"/>
  <c r="E25" i="1"/>
  <c r="D25" i="1"/>
  <c r="C25" i="1"/>
  <c r="B25" i="1"/>
  <c r="I25" i="1" l="1"/>
  <c r="G25" i="1"/>
  <c r="R108" i="1"/>
  <c r="Q108" i="1"/>
  <c r="P108" i="1"/>
  <c r="O108" i="1"/>
  <c r="N108" i="1"/>
  <c r="M108" i="1"/>
  <c r="L108" i="1"/>
  <c r="K108" i="1"/>
  <c r="J108" i="1"/>
  <c r="S108" i="1" l="1"/>
  <c r="H108" i="1"/>
  <c r="F108" i="1"/>
  <c r="E108" i="1"/>
  <c r="D108" i="1"/>
  <c r="C108" i="1"/>
  <c r="B108" i="1"/>
  <c r="I108" i="1" l="1"/>
  <c r="G108" i="1"/>
  <c r="R160" i="1"/>
  <c r="Q160" i="1"/>
  <c r="P160" i="1"/>
  <c r="O160" i="1"/>
  <c r="N160" i="1"/>
  <c r="M160" i="1"/>
  <c r="L160" i="1"/>
  <c r="K160" i="1"/>
  <c r="J160" i="1"/>
  <c r="S160" i="1" l="1"/>
  <c r="H160" i="1"/>
  <c r="F160" i="1"/>
  <c r="E160" i="1"/>
  <c r="D160" i="1"/>
  <c r="C160" i="1"/>
  <c r="B160" i="1"/>
  <c r="I160" i="1" l="1"/>
  <c r="G160" i="1"/>
  <c r="R97" i="1"/>
  <c r="Q97" i="1"/>
  <c r="P97" i="1"/>
  <c r="O97" i="1"/>
  <c r="N97" i="1"/>
  <c r="M97" i="1"/>
  <c r="L97" i="1"/>
  <c r="K97" i="1"/>
  <c r="J97" i="1"/>
  <c r="S97" i="1" l="1"/>
  <c r="H97" i="1"/>
  <c r="F97" i="1"/>
  <c r="E97" i="1"/>
  <c r="D97" i="1"/>
  <c r="C97" i="1"/>
  <c r="B97" i="1"/>
  <c r="I97" i="1" l="1"/>
  <c r="G97" i="1"/>
  <c r="R27" i="1"/>
  <c r="Q27" i="1"/>
  <c r="P27" i="1"/>
  <c r="O27" i="1"/>
  <c r="N27" i="1"/>
  <c r="M27" i="1"/>
  <c r="L27" i="1"/>
  <c r="K27" i="1"/>
  <c r="J27" i="1"/>
  <c r="S27" i="1" l="1"/>
  <c r="H27" i="1"/>
  <c r="F27" i="1"/>
  <c r="E27" i="1"/>
  <c r="D27" i="1"/>
  <c r="C27" i="1"/>
  <c r="B27" i="1"/>
  <c r="I27" i="1" l="1"/>
  <c r="G27" i="1"/>
  <c r="R102" i="1"/>
  <c r="Q102" i="1"/>
  <c r="P102" i="1"/>
  <c r="O102" i="1"/>
  <c r="N102" i="1"/>
  <c r="M102" i="1"/>
  <c r="L102" i="1"/>
  <c r="K102" i="1"/>
  <c r="J102" i="1"/>
  <c r="S102" i="1" l="1"/>
  <c r="H102" i="1"/>
  <c r="F102" i="1"/>
  <c r="E102" i="1"/>
  <c r="D102" i="1"/>
  <c r="C102" i="1"/>
  <c r="B102" i="1"/>
  <c r="I102" i="1" l="1"/>
  <c r="G102" i="1"/>
  <c r="R145" i="1"/>
  <c r="Q145" i="1"/>
  <c r="P145" i="1"/>
  <c r="O145" i="1"/>
  <c r="N145" i="1"/>
  <c r="M145" i="1"/>
  <c r="L145" i="1"/>
  <c r="K145" i="1"/>
  <c r="J145" i="1"/>
  <c r="S145" i="1" l="1"/>
  <c r="H145" i="1"/>
  <c r="F145" i="1"/>
  <c r="E145" i="1"/>
  <c r="D145" i="1"/>
  <c r="C145" i="1"/>
  <c r="B145" i="1"/>
  <c r="I145" i="1" l="1"/>
  <c r="G145" i="1"/>
  <c r="R159" i="1"/>
  <c r="Q159" i="1"/>
  <c r="P159" i="1"/>
  <c r="O159" i="1"/>
  <c r="N159" i="1"/>
  <c r="M159" i="1"/>
  <c r="L159" i="1"/>
  <c r="K159" i="1"/>
  <c r="J159" i="1"/>
  <c r="S159" i="1" l="1"/>
  <c r="H159" i="1"/>
  <c r="F159" i="1"/>
  <c r="E159" i="1"/>
  <c r="D159" i="1"/>
  <c r="C159" i="1"/>
  <c r="B159" i="1"/>
  <c r="I159" i="1" l="1"/>
  <c r="G159" i="1"/>
  <c r="R223" i="1"/>
  <c r="Q223" i="1"/>
  <c r="P223" i="1"/>
  <c r="O223" i="1"/>
  <c r="N223" i="1"/>
  <c r="M223" i="1"/>
  <c r="L223" i="1"/>
  <c r="K223" i="1"/>
  <c r="J223" i="1"/>
  <c r="S223" i="1" l="1"/>
  <c r="H223" i="1"/>
  <c r="F223" i="1"/>
  <c r="E223" i="1"/>
  <c r="D223" i="1"/>
  <c r="C223" i="1"/>
  <c r="B223" i="1"/>
  <c r="I223" i="1" l="1"/>
  <c r="G223" i="1"/>
  <c r="R115" i="1"/>
  <c r="Q115" i="1"/>
  <c r="P115" i="1"/>
  <c r="O115" i="1"/>
  <c r="N115" i="1"/>
  <c r="M115" i="1"/>
  <c r="L115" i="1"/>
  <c r="K115" i="1"/>
  <c r="J115" i="1"/>
  <c r="S115" i="1" l="1"/>
  <c r="H115" i="1"/>
  <c r="F115" i="1"/>
  <c r="E115" i="1"/>
  <c r="D115" i="1"/>
  <c r="C115" i="1"/>
  <c r="B115" i="1"/>
  <c r="I115" i="1" l="1"/>
  <c r="G115" i="1"/>
  <c r="R51" i="1"/>
  <c r="Q51" i="1"/>
  <c r="P51" i="1"/>
  <c r="O51" i="1"/>
  <c r="N51" i="1"/>
  <c r="M51" i="1"/>
  <c r="L51" i="1"/>
  <c r="K51" i="1"/>
  <c r="J51" i="1"/>
  <c r="S51" i="1" l="1"/>
  <c r="H51" i="1"/>
  <c r="F51" i="1"/>
  <c r="E51" i="1"/>
  <c r="D51" i="1"/>
  <c r="C51" i="1"/>
  <c r="B51" i="1"/>
  <c r="I51" i="1" l="1"/>
  <c r="G51" i="1"/>
  <c r="R171" i="1"/>
  <c r="Q171" i="1"/>
  <c r="P171" i="1"/>
  <c r="O171" i="1"/>
  <c r="N171" i="1"/>
  <c r="M171" i="1"/>
  <c r="L171" i="1"/>
  <c r="K171" i="1"/>
  <c r="J171" i="1"/>
  <c r="S171" i="1" l="1"/>
  <c r="H171" i="1"/>
  <c r="F171" i="1"/>
  <c r="E171" i="1"/>
  <c r="D171" i="1"/>
  <c r="C171" i="1"/>
  <c r="B171" i="1"/>
  <c r="I171" i="1" l="1"/>
  <c r="G171" i="1"/>
  <c r="R103" i="1"/>
  <c r="Q103" i="1"/>
  <c r="P103" i="1"/>
  <c r="O103" i="1"/>
  <c r="N103" i="1"/>
  <c r="M103" i="1"/>
  <c r="L103" i="1"/>
  <c r="K103" i="1"/>
  <c r="J103" i="1"/>
  <c r="S103" i="1" l="1"/>
  <c r="H103" i="1"/>
  <c r="F103" i="1"/>
  <c r="E103" i="1"/>
  <c r="D103" i="1"/>
  <c r="C103" i="1"/>
  <c r="B103" i="1"/>
  <c r="I103" i="1" l="1"/>
  <c r="G103" i="1"/>
  <c r="R12" i="1"/>
  <c r="Q12" i="1"/>
  <c r="P12" i="1"/>
  <c r="O12" i="1"/>
  <c r="N12" i="1"/>
  <c r="M12" i="1"/>
  <c r="L12" i="1"/>
  <c r="K12" i="1"/>
  <c r="J12" i="1"/>
  <c r="S12" i="1" l="1"/>
  <c r="H12" i="1"/>
  <c r="F12" i="1"/>
  <c r="E12" i="1"/>
  <c r="D12" i="1"/>
  <c r="C12" i="1"/>
  <c r="B12" i="1"/>
  <c r="I12" i="1" l="1"/>
  <c r="G12" i="1"/>
  <c r="R50" i="1"/>
  <c r="Q50" i="1"/>
  <c r="P50" i="1"/>
  <c r="O50" i="1"/>
  <c r="N50" i="1"/>
  <c r="M50" i="1"/>
  <c r="L50" i="1"/>
  <c r="K50" i="1"/>
  <c r="J50" i="1"/>
  <c r="S50" i="1" l="1"/>
  <c r="H50" i="1"/>
  <c r="F50" i="1"/>
  <c r="E50" i="1"/>
  <c r="D50" i="1"/>
  <c r="C50" i="1"/>
  <c r="B50" i="1"/>
  <c r="I50" i="1" l="1"/>
  <c r="G50" i="1"/>
  <c r="R49" i="1"/>
  <c r="Q49" i="1"/>
  <c r="P49" i="1"/>
  <c r="O49" i="1"/>
  <c r="N49" i="1"/>
  <c r="M49" i="1"/>
  <c r="L49" i="1"/>
  <c r="K49" i="1"/>
  <c r="J49" i="1"/>
  <c r="S49" i="1" l="1"/>
  <c r="H49" i="1"/>
  <c r="F49" i="1"/>
  <c r="E49" i="1"/>
  <c r="D49" i="1"/>
  <c r="C49" i="1"/>
  <c r="B49" i="1"/>
  <c r="I49" i="1" l="1"/>
  <c r="G49" i="1"/>
  <c r="R53" i="1"/>
  <c r="Q53" i="1"/>
  <c r="P53" i="1"/>
  <c r="O53" i="1"/>
  <c r="N53" i="1"/>
  <c r="M53" i="1"/>
  <c r="L53" i="1"/>
  <c r="K53" i="1"/>
  <c r="J53" i="1"/>
  <c r="S53" i="1" l="1"/>
  <c r="H53" i="1"/>
  <c r="F53" i="1"/>
  <c r="E53" i="1"/>
  <c r="D53" i="1"/>
  <c r="C53" i="1"/>
  <c r="B53" i="1"/>
  <c r="I53" i="1" l="1"/>
  <c r="G53" i="1"/>
  <c r="R52" i="1"/>
  <c r="Q52" i="1"/>
  <c r="P52" i="1"/>
  <c r="O52" i="1"/>
  <c r="N52" i="1"/>
  <c r="M52" i="1"/>
  <c r="L52" i="1"/>
  <c r="K52" i="1"/>
  <c r="J52" i="1"/>
  <c r="S52" i="1" l="1"/>
  <c r="H52" i="1"/>
  <c r="F52" i="1"/>
  <c r="E52" i="1"/>
  <c r="D52" i="1"/>
  <c r="C52" i="1"/>
  <c r="B52" i="1"/>
  <c r="I52" i="1" l="1"/>
  <c r="G52" i="1"/>
  <c r="R58" i="1"/>
  <c r="Q58" i="1"/>
  <c r="P58" i="1"/>
  <c r="O58" i="1"/>
  <c r="N58" i="1"/>
  <c r="M58" i="1"/>
  <c r="L58" i="1"/>
  <c r="K58" i="1"/>
  <c r="J58" i="1"/>
  <c r="S58" i="1" l="1"/>
  <c r="H58" i="1"/>
  <c r="F58" i="1"/>
  <c r="E58" i="1"/>
  <c r="D58" i="1"/>
  <c r="C58" i="1"/>
  <c r="B58" i="1"/>
  <c r="I58" i="1" l="1"/>
  <c r="G58" i="1"/>
  <c r="R47" i="1"/>
  <c r="Q47" i="1"/>
  <c r="P47" i="1"/>
  <c r="O47" i="1"/>
  <c r="N47" i="1"/>
  <c r="M47" i="1"/>
  <c r="L47" i="1"/>
  <c r="K47" i="1"/>
  <c r="J47" i="1"/>
  <c r="S47" i="1" l="1"/>
  <c r="H47" i="1"/>
  <c r="F47" i="1"/>
  <c r="E47" i="1"/>
  <c r="D47" i="1"/>
  <c r="C47" i="1"/>
  <c r="B47" i="1"/>
  <c r="I47" i="1" l="1"/>
  <c r="G47" i="1"/>
  <c r="R46" i="1"/>
  <c r="Q46" i="1"/>
  <c r="P46" i="1"/>
  <c r="O46" i="1"/>
  <c r="N46" i="1"/>
  <c r="M46" i="1"/>
  <c r="L46" i="1"/>
  <c r="K46" i="1"/>
  <c r="J46" i="1"/>
  <c r="S46" i="1" l="1"/>
  <c r="H46" i="1"/>
  <c r="F46" i="1"/>
  <c r="E46" i="1"/>
  <c r="D46" i="1"/>
  <c r="C46" i="1"/>
  <c r="B46" i="1"/>
  <c r="I46" i="1" l="1"/>
  <c r="G46" i="1"/>
  <c r="R41" i="1"/>
  <c r="Q41" i="1"/>
  <c r="P41" i="1"/>
  <c r="O41" i="1"/>
  <c r="N41" i="1"/>
  <c r="M41" i="1"/>
  <c r="L41" i="1"/>
  <c r="K41" i="1"/>
  <c r="J41" i="1"/>
  <c r="S41" i="1" l="1"/>
  <c r="H41" i="1"/>
  <c r="F41" i="1"/>
  <c r="E41" i="1"/>
  <c r="D41" i="1"/>
  <c r="C41" i="1"/>
  <c r="B41" i="1"/>
  <c r="I41" i="1" l="1"/>
  <c r="G41" i="1"/>
  <c r="R56" i="1"/>
  <c r="Q56" i="1"/>
  <c r="P56" i="1"/>
  <c r="O56" i="1"/>
  <c r="N56" i="1"/>
  <c r="M56" i="1"/>
  <c r="L56" i="1"/>
  <c r="K56" i="1"/>
  <c r="J56" i="1"/>
  <c r="S56" i="1" l="1"/>
  <c r="H56" i="1"/>
  <c r="F56" i="1"/>
  <c r="E56" i="1"/>
  <c r="D56" i="1"/>
  <c r="C56" i="1"/>
  <c r="B56" i="1"/>
  <c r="I56" i="1" l="1"/>
  <c r="G56" i="1"/>
  <c r="R36" i="1"/>
  <c r="Q36" i="1"/>
  <c r="P36" i="1"/>
  <c r="O36" i="1"/>
  <c r="N36" i="1"/>
  <c r="M36" i="1"/>
  <c r="L36" i="1"/>
  <c r="K36" i="1"/>
  <c r="J36" i="1"/>
  <c r="S36" i="1" l="1"/>
  <c r="H36" i="1"/>
  <c r="F36" i="1"/>
  <c r="E36" i="1"/>
  <c r="D36" i="1"/>
  <c r="C36" i="1"/>
  <c r="B36" i="1"/>
  <c r="I36" i="1" l="1"/>
  <c r="G36" i="1"/>
  <c r="R23" i="1"/>
  <c r="Q23" i="1"/>
  <c r="P23" i="1"/>
  <c r="O23" i="1"/>
  <c r="N23" i="1"/>
  <c r="M23" i="1"/>
  <c r="L23" i="1"/>
  <c r="K23" i="1"/>
  <c r="J23" i="1"/>
  <c r="S23" i="1" l="1"/>
  <c r="H23" i="1"/>
  <c r="F23" i="1"/>
  <c r="E23" i="1"/>
  <c r="D23" i="1"/>
  <c r="C23" i="1"/>
  <c r="B23" i="1"/>
  <c r="I23" i="1" l="1"/>
  <c r="G23" i="1"/>
  <c r="R35" i="1"/>
  <c r="Q35" i="1"/>
  <c r="P35" i="1"/>
  <c r="O35" i="1"/>
  <c r="N35" i="1"/>
  <c r="M35" i="1"/>
  <c r="L35" i="1"/>
  <c r="K35" i="1"/>
  <c r="J35" i="1"/>
  <c r="S35" i="1" l="1"/>
  <c r="H35" i="1"/>
  <c r="F35" i="1"/>
  <c r="E35" i="1"/>
  <c r="D35" i="1"/>
  <c r="C35" i="1"/>
  <c r="B35" i="1"/>
  <c r="I35" i="1" l="1"/>
  <c r="G35" i="1"/>
  <c r="R43" i="1"/>
  <c r="Q43" i="1"/>
  <c r="P43" i="1"/>
  <c r="O43" i="1"/>
  <c r="N43" i="1"/>
  <c r="M43" i="1"/>
  <c r="L43" i="1"/>
  <c r="K43" i="1"/>
  <c r="J43" i="1"/>
  <c r="S43" i="1" l="1"/>
  <c r="H43" i="1"/>
  <c r="F43" i="1"/>
  <c r="E43" i="1"/>
  <c r="D43" i="1"/>
  <c r="C43" i="1"/>
  <c r="B43" i="1"/>
  <c r="I43" i="1" l="1"/>
  <c r="G43" i="1"/>
  <c r="R57" i="1"/>
  <c r="Q57" i="1"/>
  <c r="P57" i="1"/>
  <c r="O57" i="1"/>
  <c r="N57" i="1"/>
  <c r="M57" i="1"/>
  <c r="L57" i="1"/>
  <c r="K57" i="1"/>
  <c r="J57" i="1"/>
  <c r="S57" i="1" l="1"/>
  <c r="H57" i="1"/>
  <c r="F57" i="1"/>
  <c r="E57" i="1"/>
  <c r="D57" i="1"/>
  <c r="C57" i="1"/>
  <c r="B57" i="1"/>
  <c r="I57" i="1" l="1"/>
  <c r="G57" i="1"/>
  <c r="R19" i="1"/>
  <c r="Q19" i="1"/>
  <c r="P19" i="1"/>
  <c r="O19" i="1"/>
  <c r="N19" i="1"/>
  <c r="M19" i="1"/>
  <c r="L19" i="1"/>
  <c r="K19" i="1"/>
  <c r="J19" i="1"/>
  <c r="S19" i="1" l="1"/>
  <c r="H19" i="1"/>
  <c r="F19" i="1"/>
  <c r="E19" i="1"/>
  <c r="D19" i="1"/>
  <c r="C19" i="1"/>
  <c r="B19" i="1"/>
  <c r="I19" i="1" l="1"/>
  <c r="G19" i="1"/>
  <c r="R29" i="1"/>
  <c r="Q29" i="1"/>
  <c r="P29" i="1"/>
  <c r="O29" i="1"/>
  <c r="N29" i="1"/>
  <c r="M29" i="1"/>
  <c r="L29" i="1"/>
  <c r="K29" i="1"/>
  <c r="J29" i="1"/>
  <c r="S29" i="1" l="1"/>
  <c r="H29" i="1"/>
  <c r="F29" i="1"/>
  <c r="E29" i="1"/>
  <c r="D29" i="1"/>
  <c r="C29" i="1"/>
  <c r="B29" i="1"/>
  <c r="I29" i="1" l="1"/>
  <c r="G29" i="1"/>
  <c r="R96" i="1"/>
  <c r="Q96" i="1"/>
  <c r="P96" i="1"/>
  <c r="O96" i="1"/>
  <c r="N96" i="1"/>
  <c r="M96" i="1"/>
  <c r="L96" i="1"/>
  <c r="K96" i="1"/>
  <c r="J96" i="1"/>
  <c r="S96" i="1" l="1"/>
  <c r="H96" i="1"/>
  <c r="F96" i="1"/>
  <c r="E96" i="1"/>
  <c r="D96" i="1"/>
  <c r="C96" i="1"/>
  <c r="B96" i="1"/>
  <c r="I96" i="1" l="1"/>
  <c r="G96" i="1"/>
  <c r="R18" i="1"/>
  <c r="Q18" i="1"/>
  <c r="P18" i="1"/>
  <c r="O18" i="1"/>
  <c r="N18" i="1"/>
  <c r="M18" i="1"/>
  <c r="L18" i="1"/>
  <c r="K18" i="1"/>
  <c r="J18" i="1"/>
  <c r="S18" i="1" l="1"/>
  <c r="H18" i="1"/>
  <c r="F18" i="1"/>
  <c r="E18" i="1"/>
  <c r="D18" i="1"/>
  <c r="C18" i="1"/>
  <c r="B18" i="1"/>
  <c r="I18" i="1" l="1"/>
  <c r="G18" i="1"/>
  <c r="R81" i="1"/>
  <c r="Q81" i="1"/>
  <c r="P81" i="1"/>
  <c r="O81" i="1"/>
  <c r="N81" i="1"/>
  <c r="M81" i="1"/>
  <c r="L81" i="1"/>
  <c r="K81" i="1"/>
  <c r="J81" i="1"/>
  <c r="S81" i="1" l="1"/>
  <c r="H81" i="1"/>
  <c r="F81" i="1"/>
  <c r="E81" i="1"/>
  <c r="D81" i="1"/>
  <c r="C81" i="1"/>
  <c r="B81" i="1"/>
  <c r="I81" i="1" l="1"/>
  <c r="G81" i="1"/>
  <c r="R72" i="1"/>
  <c r="Q72" i="1"/>
  <c r="P72" i="1"/>
  <c r="O72" i="1"/>
  <c r="N72" i="1"/>
  <c r="M72" i="1"/>
  <c r="L72" i="1"/>
  <c r="K72" i="1"/>
  <c r="J72" i="1"/>
  <c r="S72" i="1" l="1"/>
  <c r="H72" i="1"/>
  <c r="F72" i="1"/>
  <c r="E72" i="1"/>
  <c r="D72" i="1"/>
  <c r="C72" i="1"/>
  <c r="B72" i="1"/>
  <c r="I72" i="1" l="1"/>
  <c r="G72" i="1"/>
  <c r="R94" i="1"/>
  <c r="Q94" i="1"/>
  <c r="P94" i="1"/>
  <c r="O94" i="1"/>
  <c r="N94" i="1"/>
  <c r="M94" i="1"/>
  <c r="L94" i="1"/>
  <c r="K94" i="1"/>
  <c r="J94" i="1"/>
  <c r="S94" i="1" l="1"/>
  <c r="H94" i="1"/>
  <c r="F94" i="1"/>
  <c r="E94" i="1"/>
  <c r="D94" i="1"/>
  <c r="C94" i="1"/>
  <c r="B94" i="1"/>
  <c r="I94" i="1" l="1"/>
  <c r="G94" i="1"/>
  <c r="R21" i="1"/>
  <c r="Q21" i="1"/>
  <c r="P21" i="1"/>
  <c r="O21" i="1"/>
  <c r="N21" i="1"/>
  <c r="M21" i="1"/>
  <c r="L21" i="1"/>
  <c r="K21" i="1"/>
  <c r="J21" i="1"/>
  <c r="S21" i="1" l="1"/>
  <c r="H21" i="1"/>
  <c r="F21" i="1"/>
  <c r="E21" i="1"/>
  <c r="D21" i="1"/>
  <c r="C21" i="1"/>
  <c r="B21" i="1"/>
  <c r="I21" i="1" l="1"/>
  <c r="G21" i="1"/>
  <c r="R77" i="1"/>
  <c r="Q77" i="1"/>
  <c r="P77" i="1"/>
  <c r="O77" i="1"/>
  <c r="N77" i="1"/>
  <c r="M77" i="1"/>
  <c r="L77" i="1"/>
  <c r="K77" i="1"/>
  <c r="J77" i="1"/>
  <c r="S77" i="1" l="1"/>
  <c r="H77" i="1"/>
  <c r="F77" i="1"/>
  <c r="E77" i="1"/>
  <c r="D77" i="1"/>
  <c r="C77" i="1"/>
  <c r="B77" i="1"/>
  <c r="I77" i="1" l="1"/>
  <c r="G77" i="1"/>
  <c r="R73" i="1"/>
  <c r="Q73" i="1"/>
  <c r="P73" i="1"/>
  <c r="O73" i="1"/>
  <c r="N73" i="1"/>
  <c r="M73" i="1"/>
  <c r="L73" i="1"/>
  <c r="K73" i="1"/>
  <c r="J73" i="1"/>
  <c r="S73" i="1" l="1"/>
  <c r="H73" i="1"/>
  <c r="F73" i="1"/>
  <c r="E73" i="1"/>
  <c r="D73" i="1"/>
  <c r="C73" i="1"/>
  <c r="B73" i="1"/>
  <c r="I73" i="1" l="1"/>
  <c r="G73" i="1"/>
  <c r="R60" i="1"/>
  <c r="Q60" i="1"/>
  <c r="P60" i="1"/>
  <c r="O60" i="1"/>
  <c r="N60" i="1"/>
  <c r="M60" i="1"/>
  <c r="L60" i="1"/>
  <c r="K60" i="1"/>
  <c r="J60" i="1"/>
  <c r="S60" i="1" l="1"/>
  <c r="H60" i="1"/>
  <c r="F60" i="1"/>
  <c r="E60" i="1"/>
  <c r="D60" i="1"/>
  <c r="C60" i="1"/>
  <c r="B60" i="1"/>
  <c r="I60" i="1" l="1"/>
  <c r="G60" i="1"/>
  <c r="R204" i="1"/>
  <c r="Q204" i="1"/>
  <c r="P204" i="1"/>
  <c r="O204" i="1"/>
  <c r="N204" i="1"/>
  <c r="M204" i="1"/>
  <c r="L204" i="1"/>
  <c r="K204" i="1"/>
  <c r="J204" i="1"/>
  <c r="S204" i="1" l="1"/>
  <c r="H204" i="1"/>
  <c r="F204" i="1"/>
  <c r="E204" i="1"/>
  <c r="D204" i="1"/>
  <c r="C204" i="1"/>
  <c r="B204" i="1"/>
  <c r="I204" i="1" l="1"/>
  <c r="G204" i="1"/>
  <c r="R48" i="1"/>
  <c r="Q48" i="1"/>
  <c r="P48" i="1"/>
  <c r="O48" i="1"/>
  <c r="N48" i="1"/>
  <c r="M48" i="1"/>
  <c r="L48" i="1"/>
  <c r="K48" i="1"/>
  <c r="J48" i="1"/>
  <c r="S48" i="1" l="1"/>
  <c r="H48" i="1"/>
  <c r="F48" i="1"/>
  <c r="E48" i="1"/>
  <c r="D48" i="1"/>
  <c r="C48" i="1"/>
  <c r="B48" i="1"/>
  <c r="I48" i="1" l="1"/>
  <c r="G48" i="1"/>
  <c r="R55" i="1"/>
  <c r="Q55" i="1"/>
  <c r="P55" i="1"/>
  <c r="O55" i="1"/>
  <c r="N55" i="1"/>
  <c r="M55" i="1"/>
  <c r="L55" i="1"/>
  <c r="K55" i="1"/>
  <c r="J55" i="1"/>
  <c r="S55" i="1" l="1"/>
  <c r="H55" i="1"/>
  <c r="F55" i="1"/>
  <c r="E55" i="1"/>
  <c r="D55" i="1"/>
  <c r="C55" i="1"/>
  <c r="B55" i="1"/>
  <c r="I55" i="1" l="1"/>
  <c r="G55" i="1"/>
  <c r="R24" i="1"/>
  <c r="Q24" i="1"/>
  <c r="P24" i="1"/>
  <c r="O24" i="1"/>
  <c r="N24" i="1"/>
  <c r="M24" i="1"/>
  <c r="L24" i="1"/>
  <c r="K24" i="1"/>
  <c r="J24" i="1"/>
  <c r="S24" i="1" l="1"/>
  <c r="H24" i="1"/>
  <c r="F24" i="1"/>
  <c r="E24" i="1"/>
  <c r="D24" i="1"/>
  <c r="C24" i="1"/>
  <c r="B24" i="1"/>
  <c r="I24" i="1" l="1"/>
  <c r="G24" i="1"/>
  <c r="R22" i="1"/>
  <c r="Q22" i="1"/>
  <c r="P22" i="1"/>
  <c r="O22" i="1"/>
  <c r="N22" i="1"/>
  <c r="M22" i="1"/>
  <c r="L22" i="1"/>
  <c r="K22" i="1"/>
  <c r="J22" i="1"/>
  <c r="S22" i="1" l="1"/>
  <c r="H22" i="1"/>
  <c r="F22" i="1"/>
  <c r="E22" i="1"/>
  <c r="D22" i="1"/>
  <c r="C22" i="1"/>
  <c r="B22" i="1"/>
  <c r="I22" i="1" l="1"/>
  <c r="G22" i="1"/>
  <c r="R28" i="1"/>
  <c r="Q28" i="1"/>
  <c r="P28" i="1"/>
  <c r="O28" i="1"/>
  <c r="N28" i="1"/>
  <c r="M28" i="1"/>
  <c r="L28" i="1"/>
  <c r="K28" i="1"/>
  <c r="J28" i="1"/>
  <c r="S28" i="1" l="1"/>
  <c r="H28" i="1"/>
  <c r="F28" i="1"/>
  <c r="E28" i="1"/>
  <c r="D28" i="1"/>
  <c r="C28" i="1"/>
  <c r="B28" i="1"/>
  <c r="I28" i="1" l="1"/>
  <c r="G28" i="1"/>
  <c r="R71" i="1"/>
  <c r="Q71" i="1"/>
  <c r="P71" i="1"/>
  <c r="O71" i="1"/>
  <c r="N71" i="1"/>
  <c r="M71" i="1"/>
  <c r="L71" i="1"/>
  <c r="K71" i="1"/>
  <c r="J71" i="1"/>
  <c r="S71" i="1" l="1"/>
  <c r="H71" i="1"/>
  <c r="F71" i="1"/>
  <c r="E71" i="1"/>
  <c r="D71" i="1"/>
  <c r="C71" i="1"/>
  <c r="B71" i="1"/>
  <c r="I71" i="1" l="1"/>
  <c r="G71" i="1"/>
  <c r="R64" i="1"/>
  <c r="Q64" i="1"/>
  <c r="P64" i="1"/>
  <c r="O64" i="1"/>
  <c r="N64" i="1"/>
  <c r="M64" i="1"/>
  <c r="L64" i="1"/>
  <c r="K64" i="1"/>
  <c r="J64" i="1"/>
  <c r="S64" i="1" l="1"/>
  <c r="H64" i="1"/>
  <c r="F64" i="1"/>
  <c r="E64" i="1"/>
  <c r="D64" i="1"/>
  <c r="C64" i="1"/>
  <c r="B64" i="1"/>
  <c r="I64" i="1" l="1"/>
  <c r="G64" i="1"/>
  <c r="R14" i="1"/>
  <c r="Q14" i="1"/>
  <c r="P14" i="1"/>
  <c r="O14" i="1"/>
  <c r="N14" i="1"/>
  <c r="M14" i="1"/>
  <c r="L14" i="1"/>
  <c r="K14" i="1"/>
  <c r="J14" i="1"/>
  <c r="S14" i="1" l="1"/>
  <c r="H14" i="1"/>
  <c r="F14" i="1"/>
  <c r="E14" i="1"/>
  <c r="D14" i="1"/>
  <c r="C14" i="1"/>
  <c r="B14" i="1"/>
  <c r="I14" i="1" l="1"/>
  <c r="G14" i="1"/>
  <c r="R70" i="1"/>
  <c r="Q70" i="1"/>
  <c r="P70" i="1"/>
  <c r="O70" i="1"/>
  <c r="N70" i="1"/>
  <c r="M70" i="1"/>
  <c r="L70" i="1"/>
  <c r="K70" i="1"/>
  <c r="J70" i="1"/>
  <c r="S70" i="1" l="1"/>
  <c r="H70" i="1"/>
  <c r="F70" i="1"/>
  <c r="E70" i="1"/>
  <c r="D70" i="1"/>
  <c r="C70" i="1"/>
  <c r="B70" i="1"/>
  <c r="I70" i="1" l="1"/>
  <c r="G70" i="1"/>
  <c r="R5" i="1"/>
  <c r="Q5" i="1"/>
  <c r="P5" i="1"/>
  <c r="O5" i="1"/>
  <c r="N5" i="1"/>
  <c r="M5" i="1"/>
  <c r="L5" i="1"/>
  <c r="K5" i="1"/>
  <c r="J5" i="1"/>
  <c r="S5" i="1" l="1"/>
  <c r="H5" i="1"/>
  <c r="F5" i="1"/>
  <c r="E5" i="1"/>
  <c r="D5" i="1"/>
  <c r="C5" i="1"/>
  <c r="B5" i="1"/>
  <c r="I5" i="1" l="1"/>
  <c r="G5" i="1"/>
  <c r="R4" i="1"/>
  <c r="Q4" i="1"/>
  <c r="P4" i="1"/>
  <c r="O4" i="1"/>
  <c r="N4" i="1"/>
  <c r="M4" i="1"/>
  <c r="L4" i="1"/>
  <c r="K4" i="1"/>
  <c r="J4" i="1"/>
  <c r="S4" i="1" l="1"/>
  <c r="H4" i="1"/>
  <c r="F4" i="1"/>
  <c r="E4" i="1"/>
  <c r="D4" i="1"/>
  <c r="C4" i="1"/>
  <c r="B4" i="1"/>
  <c r="I4" i="1" l="1"/>
  <c r="G4" i="1"/>
  <c r="R3" i="1"/>
  <c r="Q3" i="1"/>
  <c r="P3" i="1"/>
  <c r="O3" i="1"/>
  <c r="N3" i="1"/>
  <c r="M3" i="1"/>
  <c r="L3" i="1"/>
  <c r="K3" i="1"/>
  <c r="J3" i="1"/>
  <c r="S3" i="1" l="1"/>
  <c r="H3" i="1"/>
  <c r="F3" i="1"/>
  <c r="E3" i="1"/>
  <c r="D3" i="1"/>
  <c r="C3" i="1"/>
  <c r="B3" i="1"/>
  <c r="I3" i="1" l="1"/>
  <c r="G3" i="1"/>
  <c r="R2" i="1"/>
  <c r="Q2" i="1"/>
  <c r="P2" i="1"/>
  <c r="O2" i="1"/>
  <c r="N2" i="1"/>
  <c r="M2" i="1"/>
  <c r="L2" i="1"/>
  <c r="K2" i="1"/>
  <c r="J2" i="1"/>
  <c r="S2" i="1" l="1"/>
  <c r="H2" i="1"/>
  <c r="F2" i="1"/>
  <c r="E2" i="1"/>
  <c r="D2" i="1"/>
  <c r="C2" i="1"/>
  <c r="B2" i="1"/>
  <c r="I2" i="1" l="1"/>
  <c r="G2" i="1"/>
  <c r="R6" i="1"/>
  <c r="Q6" i="1"/>
  <c r="P6" i="1"/>
  <c r="O6" i="1"/>
  <c r="N6" i="1"/>
  <c r="M6" i="1"/>
  <c r="L6" i="1"/>
  <c r="K6" i="1"/>
  <c r="J6" i="1"/>
  <c r="S6" i="1" l="1"/>
  <c r="H6" i="1"/>
  <c r="F6" i="1"/>
  <c r="E6" i="1"/>
  <c r="D6" i="1"/>
  <c r="C6" i="1"/>
  <c r="B6" i="1"/>
  <c r="I6" i="1" l="1"/>
  <c r="G6" i="1"/>
  <c r="R7" i="1"/>
  <c r="Q7" i="1"/>
  <c r="P7" i="1"/>
  <c r="O7" i="1"/>
  <c r="N7" i="1"/>
  <c r="M7" i="1"/>
  <c r="L7" i="1"/>
  <c r="K7" i="1"/>
  <c r="J7" i="1"/>
  <c r="S7" i="1" l="1"/>
  <c r="H7" i="1"/>
  <c r="F7" i="1"/>
  <c r="E7" i="1"/>
  <c r="D7" i="1"/>
  <c r="C7" i="1"/>
  <c r="B7" i="1"/>
  <c r="I7" i="1" l="1"/>
  <c r="G7" i="1"/>
</calcChain>
</file>

<file path=xl/sharedStrings.xml><?xml version="1.0" encoding="utf-8"?>
<sst xmlns="http://schemas.openxmlformats.org/spreadsheetml/2006/main" count="2031" uniqueCount="1193">
  <si>
    <t>INDU Index</t>
  </si>
  <si>
    <t>TRAN Index</t>
  </si>
  <si>
    <t>UTIL Index</t>
  </si>
  <si>
    <t>COMP Index</t>
  </si>
  <si>
    <t>DWCF Index</t>
  </si>
  <si>
    <t>OEX Index</t>
  </si>
  <si>
    <t>SPX Index</t>
  </si>
  <si>
    <t>MID Index</t>
  </si>
  <si>
    <t>SML Index</t>
  </si>
  <si>
    <t>SPR Index</t>
  </si>
  <si>
    <t>NYA Index</t>
  </si>
  <si>
    <t>NYID Index</t>
  </si>
  <si>
    <t>NYIID Index</t>
  </si>
  <si>
    <t>NYYID Index</t>
  </si>
  <si>
    <t>NYLID Index</t>
  </si>
  <si>
    <t>VALUA Index</t>
  </si>
  <si>
    <t>CCMP Index</t>
  </si>
  <si>
    <t>CFIN Index</t>
  </si>
  <si>
    <t>NYP Index</t>
  </si>
  <si>
    <t>NYK Index</t>
  </si>
  <si>
    <t>CIND Index</t>
  </si>
  <si>
    <t>CTRN Index</t>
  </si>
  <si>
    <t>CUTL Index</t>
  </si>
  <si>
    <t>CINS Index</t>
  </si>
  <si>
    <t>CBNK Index</t>
  </si>
  <si>
    <t>NDX Index</t>
  </si>
  <si>
    <t>NDF Index</t>
  </si>
  <si>
    <t>IXK Index</t>
  </si>
  <si>
    <t>NBI Index</t>
  </si>
  <si>
    <t>QMI Index</t>
  </si>
  <si>
    <t>QIV Index</t>
  </si>
  <si>
    <t>XMI Index</t>
  </si>
  <si>
    <t>XAX Index</t>
  </si>
  <si>
    <t>XII Index</t>
  </si>
  <si>
    <t>XCI Index</t>
  </si>
  <si>
    <t>XOI Index</t>
  </si>
  <si>
    <t>BBREIT Index</t>
  </si>
  <si>
    <t>OSX Index</t>
  </si>
  <si>
    <t>RIY Index</t>
  </si>
  <si>
    <t>RTY Index</t>
  </si>
  <si>
    <t>RAY Index</t>
  </si>
  <si>
    <t>XAU Index</t>
  </si>
  <si>
    <t>SOX Index</t>
  </si>
  <si>
    <t>BKX Index</t>
  </si>
  <si>
    <t>UTY Index</t>
  </si>
  <si>
    <t>SPTSX Index</t>
  </si>
  <si>
    <t>TXEQ Index</t>
  </si>
  <si>
    <t>SPTSX60 Index</t>
  </si>
  <si>
    <t>SPTSXVEN Index</t>
  </si>
  <si>
    <t>MEXBOL Index</t>
  </si>
  <si>
    <t>INMEX Index</t>
  </si>
  <si>
    <t>IMC30 Index</t>
  </si>
  <si>
    <t>IRT Index</t>
  </si>
  <si>
    <t>FTBIVA Index</t>
  </si>
  <si>
    <t>BVPSBVPS Index</t>
  </si>
  <si>
    <t>MERVAL Index</t>
  </si>
  <si>
    <t>MAR Index</t>
  </si>
  <si>
    <t>IBG Index</t>
  </si>
  <si>
    <t>IBOV Index</t>
  </si>
  <si>
    <t>IBX Index</t>
  </si>
  <si>
    <t>IBOVIEE Index</t>
  </si>
  <si>
    <t>IGCX Index</t>
  </si>
  <si>
    <t>IVBX2 Index</t>
  </si>
  <si>
    <t>IBX50 Index</t>
  </si>
  <si>
    <t>IPSA Index</t>
  </si>
  <si>
    <t>IGPA Index</t>
  </si>
  <si>
    <t>INTER10 Index</t>
  </si>
  <si>
    <t>CHILE65 Index</t>
  </si>
  <si>
    <t>CHLRGCAP Index</t>
  </si>
  <si>
    <t>CHSMLCAP Index</t>
  </si>
  <si>
    <t>IBVC Index</t>
  </si>
  <si>
    <t>SPBLPGPT Index</t>
  </si>
  <si>
    <t>SPBL25PT Index</t>
  </si>
  <si>
    <t>COLCAP Index</t>
  </si>
  <si>
    <t>COLSC Index</t>
  </si>
  <si>
    <t>COLIR Index</t>
  </si>
  <si>
    <t>COLEQTY Index</t>
  </si>
  <si>
    <t>BSX Index</t>
  </si>
  <si>
    <t>JMSMX Index</t>
  </si>
  <si>
    <t>BE500 Index</t>
  </si>
  <si>
    <t>SX5E Index</t>
  </si>
  <si>
    <t>SX5P Index</t>
  </si>
  <si>
    <t>SXXE Index</t>
  </si>
  <si>
    <t>SXXP Index</t>
  </si>
  <si>
    <t>EUE15P Index</t>
  </si>
  <si>
    <t>EUETMP Index</t>
  </si>
  <si>
    <t>E100 Index</t>
  </si>
  <si>
    <t>E300 Index</t>
  </si>
  <si>
    <t>MSER Index</t>
  </si>
  <si>
    <t>MSPE Index</t>
  </si>
  <si>
    <t>SPEURO Index</t>
  </si>
  <si>
    <t>SPEU Index</t>
  </si>
  <si>
    <t>BWORLDEU Index</t>
  </si>
  <si>
    <t>N100 Index</t>
  </si>
  <si>
    <t>N150 Index</t>
  </si>
  <si>
    <t>FTEF80 Index</t>
  </si>
  <si>
    <t>FTEFC1 Index</t>
  </si>
  <si>
    <t>NTX Index</t>
  </si>
  <si>
    <t>UKX Index</t>
  </si>
  <si>
    <t>MCX Index</t>
  </si>
  <si>
    <t>NMX Index</t>
  </si>
  <si>
    <t>SMX Index</t>
  </si>
  <si>
    <t>ASX Index</t>
  </si>
  <si>
    <t>T1X Index</t>
  </si>
  <si>
    <t>AXX Index</t>
  </si>
  <si>
    <t>DAX Index</t>
  </si>
  <si>
    <t>CDAX Index</t>
  </si>
  <si>
    <t>HDAX Index</t>
  </si>
  <si>
    <t>MDAX Index</t>
  </si>
  <si>
    <t>TDXP Index</t>
  </si>
  <si>
    <t>PXAP Index</t>
  </si>
  <si>
    <t>NMDP Index</t>
  </si>
  <si>
    <t>CLXP Index</t>
  </si>
  <si>
    <t>CAC Index</t>
  </si>
  <si>
    <t>SBF250 Index</t>
  </si>
  <si>
    <t>CN20 Index</t>
  </si>
  <si>
    <t>CM100 Index</t>
  </si>
  <si>
    <t>MS190 Index</t>
  </si>
  <si>
    <t>CS90 Index</t>
  </si>
  <si>
    <t>PAX Index</t>
  </si>
  <si>
    <t>SBF120 Index</t>
  </si>
  <si>
    <t>IBEX Index</t>
  </si>
  <si>
    <t>MADX Index</t>
  </si>
  <si>
    <t>ES30 Index</t>
  </si>
  <si>
    <t>SMI Index</t>
  </si>
  <si>
    <t>SPI Index</t>
  </si>
  <si>
    <t>CH30 Index</t>
  </si>
  <si>
    <t>SPIEXX Index</t>
  </si>
  <si>
    <t>SMIM Index</t>
  </si>
  <si>
    <t>SLI Index</t>
  </si>
  <si>
    <t>FTSEMIB Index</t>
  </si>
  <si>
    <t>ITLMS Index</t>
  </si>
  <si>
    <t>ITMC Index</t>
  </si>
  <si>
    <t>ITSTAR Index</t>
  </si>
  <si>
    <t>IT30 Index</t>
  </si>
  <si>
    <t>BVLX Index</t>
  </si>
  <si>
    <t>PSI20 Index</t>
  </si>
  <si>
    <t>ISEQ Index</t>
  </si>
  <si>
    <t>ICEXI Index</t>
  </si>
  <si>
    <t>AEX Index</t>
  </si>
  <si>
    <t>AMX Index</t>
  </si>
  <si>
    <t>BEL20 Index</t>
  </si>
  <si>
    <t>BELSTK Index</t>
  </si>
  <si>
    <t>LUXXX Index</t>
  </si>
  <si>
    <t>LUXXR Index</t>
  </si>
  <si>
    <t>KFX Index</t>
  </si>
  <si>
    <t>KAX Index</t>
  </si>
  <si>
    <t>OMXC25 Index</t>
  </si>
  <si>
    <t>HEX Index</t>
  </si>
  <si>
    <t>HEX25 Index</t>
  </si>
  <si>
    <t>HEXP Index</t>
  </si>
  <si>
    <t>OBX Index</t>
  </si>
  <si>
    <t>OBXP Index</t>
  </si>
  <si>
    <t>OSEAX Index</t>
  </si>
  <si>
    <t>OSEBX Index</t>
  </si>
  <si>
    <t>OSEFX Index</t>
  </si>
  <si>
    <t>OSESX Index</t>
  </si>
  <si>
    <t>OMXO20GI Index</t>
  </si>
  <si>
    <t>OMXO20 Index</t>
  </si>
  <si>
    <t>OMX Index</t>
  </si>
  <si>
    <t>SBX Index</t>
  </si>
  <si>
    <t>SAX Index</t>
  </si>
  <si>
    <t>SE30 Index</t>
  </si>
  <si>
    <t>ATX Index</t>
  </si>
  <si>
    <t>WBI Index</t>
  </si>
  <si>
    <t>ATXPRIME Index</t>
  </si>
  <si>
    <t>ASE Index</t>
  </si>
  <si>
    <t>FTASE Index</t>
  </si>
  <si>
    <t>FTSEM Index</t>
  </si>
  <si>
    <t>WIG Index</t>
  </si>
  <si>
    <t>WIG20 Index</t>
  </si>
  <si>
    <t>SWIG80 Index</t>
  </si>
  <si>
    <t>MIDWIG Index</t>
  </si>
  <si>
    <t>PX Index</t>
  </si>
  <si>
    <t>IMOEX Index</t>
  </si>
  <si>
    <t>MOEX10 Index</t>
  </si>
  <si>
    <t>RTSI$ Index</t>
  </si>
  <si>
    <t>MOEXBC Index</t>
  </si>
  <si>
    <t>CRTX Index</t>
  </si>
  <si>
    <t>BUX Index</t>
  </si>
  <si>
    <t>CHTX Index</t>
  </si>
  <si>
    <t>BET Index</t>
  </si>
  <si>
    <t>PFTS Index</t>
  </si>
  <si>
    <t>KZKAK Index</t>
  </si>
  <si>
    <t>SKSM Index</t>
  </si>
  <si>
    <t>CRO Index</t>
  </si>
  <si>
    <t>SBITOP Index</t>
  </si>
  <si>
    <t>BIRS Index</t>
  </si>
  <si>
    <t>SASX10 Index</t>
  </si>
  <si>
    <t>BELEXLIN Index</t>
  </si>
  <si>
    <t>BELEX15 Index</t>
  </si>
  <si>
    <t>TALSE Index</t>
  </si>
  <si>
    <t>MBI Index</t>
  </si>
  <si>
    <t>RIGSE Index</t>
  </si>
  <si>
    <t>VILSE Index</t>
  </si>
  <si>
    <t>SOFIX Index</t>
  </si>
  <si>
    <t>XU100 Index</t>
  </si>
  <si>
    <t>XU030 Index</t>
  </si>
  <si>
    <t>TR20I Index</t>
  </si>
  <si>
    <t>CYSMMAPA Index</t>
  </si>
  <si>
    <t>MALTEX Index</t>
  </si>
  <si>
    <t>TOP40 Index</t>
  </si>
  <si>
    <t>JALSH Index</t>
  </si>
  <si>
    <t>INDI25 Index</t>
  </si>
  <si>
    <t>HERMES Index</t>
  </si>
  <si>
    <t>EGX30 Index</t>
  </si>
  <si>
    <t>MOSENEW Index</t>
  </si>
  <si>
    <t>MOSEMDX Index</t>
  </si>
  <si>
    <t>TUSISE Index</t>
  </si>
  <si>
    <t>FTN098 Index</t>
  </si>
  <si>
    <t>BGSMDC Index</t>
  </si>
  <si>
    <t>NGSEINDX Index</t>
  </si>
  <si>
    <t>DARSDSEI Index</t>
  </si>
  <si>
    <t>KNSMIDX Index</t>
  </si>
  <si>
    <t>NSEASI Index</t>
  </si>
  <si>
    <t>GGSECI Index</t>
  </si>
  <si>
    <t>KWSEPM Index</t>
  </si>
  <si>
    <t>KWSEMM Index</t>
  </si>
  <si>
    <t>TA-35 Index</t>
  </si>
  <si>
    <t>TA-125 Index</t>
  </si>
  <si>
    <t>PASISI Index</t>
  </si>
  <si>
    <t>BLOM Index</t>
  </si>
  <si>
    <t>BHSEASI Index</t>
  </si>
  <si>
    <t>SASEIDX Index</t>
  </si>
  <si>
    <t>JOSMGNFF Index</t>
  </si>
  <si>
    <t>MSM30 Index</t>
  </si>
  <si>
    <t>DSM Index</t>
  </si>
  <si>
    <t>QEAS Index</t>
  </si>
  <si>
    <t>QETR Index</t>
  </si>
  <si>
    <t>DFMGI Index</t>
  </si>
  <si>
    <t>ADSMI Index</t>
  </si>
  <si>
    <t>DUAE Index</t>
  </si>
  <si>
    <t>TPX Index</t>
  </si>
  <si>
    <t>NKY Index</t>
  </si>
  <si>
    <t>JPNK400 Index</t>
  </si>
  <si>
    <t>HSI Index</t>
  </si>
  <si>
    <t>SHSZ300 Index</t>
  </si>
  <si>
    <t>SHCOMP Index</t>
  </si>
  <si>
    <t>SZCOMP Index</t>
  </si>
  <si>
    <t>HSCEI Index</t>
  </si>
  <si>
    <t>TWSE Index</t>
  </si>
  <si>
    <t>KOSPI Index</t>
  </si>
  <si>
    <t>KOSDAQ Index</t>
  </si>
  <si>
    <t>AS51 Index</t>
  </si>
  <si>
    <t>NIFTY Index</t>
  </si>
  <si>
    <t>SENSEX Index</t>
  </si>
  <si>
    <t>SX40 Index</t>
  </si>
  <si>
    <t>STI Index</t>
  </si>
  <si>
    <t>FBMKLCI Index</t>
  </si>
  <si>
    <t>SET Index</t>
  </si>
  <si>
    <t>JCI Index</t>
  </si>
  <si>
    <t>NZSE50FG Index</t>
  </si>
  <si>
    <t>PCOMP Index</t>
  </si>
  <si>
    <t>KSE100 Index</t>
  </si>
  <si>
    <t>VNINDEX Index</t>
  </si>
  <si>
    <t>CSEALL Index</t>
  </si>
  <si>
    <t>LSXC Index</t>
  </si>
  <si>
    <t>MSETOP Index</t>
  </si>
  <si>
    <t>SAXCME Index</t>
  </si>
  <si>
    <t>MXAPEXA Index</t>
  </si>
  <si>
    <t>TPXC30 Index</t>
  </si>
  <si>
    <t>TPXL70 Index</t>
  </si>
  <si>
    <t>TPX500 Index</t>
  </si>
  <si>
    <t>TPXSM Index</t>
  </si>
  <si>
    <t>TPXM400 Index</t>
  </si>
  <si>
    <t>TPX100 Index</t>
  </si>
  <si>
    <t>TSE2 Index</t>
  </si>
  <si>
    <t>NEY Index</t>
  </si>
  <si>
    <t>NKY500 Index</t>
  </si>
  <si>
    <t>JSDA Index</t>
  </si>
  <si>
    <t>NKYJQ Index</t>
  </si>
  <si>
    <t>TSEREIT Index</t>
  </si>
  <si>
    <t>TSEMOTHR Index</t>
  </si>
  <si>
    <t>HSCI Index</t>
  </si>
  <si>
    <t>HKSPLC25 Index</t>
  </si>
  <si>
    <t>HKSPGEM Index</t>
  </si>
  <si>
    <t>HSCCI Index</t>
  </si>
  <si>
    <t>HSFML25 Index</t>
  </si>
  <si>
    <t>H-FIN Index</t>
  </si>
  <si>
    <t>HSML100 Index</t>
  </si>
  <si>
    <t>HSHK35 Index</t>
  </si>
  <si>
    <t>SHASHR Index</t>
  </si>
  <si>
    <t>SHBSHR Index</t>
  </si>
  <si>
    <t>SZASHR Index</t>
  </si>
  <si>
    <t>SZBSHR Index</t>
  </si>
  <si>
    <t>SSE180 Index</t>
  </si>
  <si>
    <t>SSE50 Index</t>
  </si>
  <si>
    <t>SHNCOMP Index</t>
  </si>
  <si>
    <t>SICOM Index</t>
  </si>
  <si>
    <t>SZ399006 Index</t>
  </si>
  <si>
    <t>SHCSI100 Index</t>
  </si>
  <si>
    <t>SZSMEC Index</t>
  </si>
  <si>
    <t>SZ399550 Index</t>
  </si>
  <si>
    <t>SZ399330 Index</t>
  </si>
  <si>
    <t>SZ399005 Index</t>
  </si>
  <si>
    <t>SH000905 Index</t>
  </si>
  <si>
    <t>XIN0I Index</t>
  </si>
  <si>
    <t>TWOTCI Index</t>
  </si>
  <si>
    <t>TW50 Index</t>
  </si>
  <si>
    <t>KRX100 Index</t>
  </si>
  <si>
    <t>KOSPI2 Index</t>
  </si>
  <si>
    <t>KOSPI100 Index</t>
  </si>
  <si>
    <t>KOSPI50 Index</t>
  </si>
  <si>
    <t>AS52 Index</t>
  </si>
  <si>
    <t>AS30 Index</t>
  </si>
  <si>
    <t>NZSE10 Index</t>
  </si>
  <si>
    <t>NZSE Index</t>
  </si>
  <si>
    <t>KSE30 Index</t>
  </si>
  <si>
    <t>KSE Index</t>
  </si>
  <si>
    <t>SET50 Index</t>
  </si>
  <si>
    <t>LQ45 Index</t>
  </si>
  <si>
    <t>BSE500 Index</t>
  </si>
  <si>
    <t>BSE200 Index</t>
  </si>
  <si>
    <t>BSE100 Index</t>
  </si>
  <si>
    <t>FSTAS Index</t>
  </si>
  <si>
    <t>FBMEMAS Index</t>
  </si>
  <si>
    <t>VHINDEX Index</t>
  </si>
  <si>
    <t>DSEX Index</t>
  </si>
  <si>
    <t>DS30 Index</t>
  </si>
  <si>
    <t>收盤</t>
  </si>
  <si>
    <t>%</t>
    <phoneticPr fontId="2" type="noConversion"/>
  </si>
  <si>
    <t>52週高點</t>
  </si>
  <si>
    <t>%</t>
  </si>
  <si>
    <t>52週低點</t>
  </si>
  <si>
    <t>5天</t>
    <phoneticPr fontId="2" type="noConversion"/>
  </si>
  <si>
    <t>1月</t>
    <phoneticPr fontId="2" type="noConversion"/>
  </si>
  <si>
    <t>3月</t>
    <phoneticPr fontId="2" type="noConversion"/>
  </si>
  <si>
    <t>6月</t>
    <phoneticPr fontId="2" type="noConversion"/>
  </si>
  <si>
    <t>1年</t>
    <phoneticPr fontId="2" type="noConversion"/>
  </si>
  <si>
    <t>PE High</t>
    <phoneticPr fontId="2" type="noConversion"/>
  </si>
  <si>
    <t>PE Low</t>
    <phoneticPr fontId="2" type="noConversion"/>
  </si>
  <si>
    <t>PE</t>
    <phoneticPr fontId="2" type="noConversion"/>
  </si>
  <si>
    <t>PE%</t>
  </si>
  <si>
    <t>代號</t>
    <phoneticPr fontId="1" type="noConversion"/>
  </si>
  <si>
    <t>名稱</t>
    <phoneticPr fontId="1" type="noConversion"/>
  </si>
  <si>
    <t>國家</t>
    <phoneticPr fontId="1" type="noConversion"/>
  </si>
  <si>
    <t>YTD</t>
    <phoneticPr fontId="1" type="noConversion"/>
  </si>
  <si>
    <t>代號</t>
  </si>
  <si>
    <t>名稱</t>
  </si>
  <si>
    <t>國家</t>
  </si>
  <si>
    <t>5天</t>
  </si>
  <si>
    <t>1月</t>
  </si>
  <si>
    <t>3月</t>
  </si>
  <si>
    <t>6月</t>
  </si>
  <si>
    <t>YTD</t>
  </si>
  <si>
    <t>1年</t>
  </si>
  <si>
    <t>PE High</t>
  </si>
  <si>
    <t>PE Low</t>
  </si>
  <si>
    <t>PE</t>
  </si>
  <si>
    <t/>
  </si>
  <si>
    <t>Nairobi Securities Exchange</t>
  </si>
  <si>
    <t>KN</t>
  </si>
  <si>
    <t>烏克蘭 PFTS指數</t>
  </si>
  <si>
    <t>UK</t>
  </si>
  <si>
    <t>HK</t>
  </si>
  <si>
    <t>#N/A N/A</t>
  </si>
  <si>
    <t>黎巴嫩BLOM股價指數</t>
  </si>
  <si>
    <t>LE</t>
  </si>
  <si>
    <t>Bangladesh Dhaka Stock Excha</t>
  </si>
  <si>
    <t>BW</t>
  </si>
  <si>
    <t>智利小型股指數</t>
  </si>
  <si>
    <t>CL</t>
  </si>
  <si>
    <t>越南河內證交所股票指數</t>
  </si>
  <si>
    <t>VN</t>
  </si>
  <si>
    <t>KU</t>
  </si>
  <si>
    <t>安曼證券交易所一般指數</t>
  </si>
  <si>
    <t>JO</t>
  </si>
  <si>
    <t>HU</t>
  </si>
  <si>
    <t>奈洛比證交所全部股票指數</t>
  </si>
  <si>
    <t>EC</t>
  </si>
  <si>
    <t>百慕達證交所指數</t>
  </si>
  <si>
    <t>BD</t>
  </si>
  <si>
    <t>PD</t>
  </si>
  <si>
    <t>Warsaw Stock Exchange mWIG40</t>
  </si>
  <si>
    <t>SK</t>
  </si>
  <si>
    <t>JN</t>
  </si>
  <si>
    <t>恆生中國企業指數</t>
  </si>
  <si>
    <t>恆生香港中資企業指數</t>
  </si>
  <si>
    <t>FTSE China 50 Index HKD</t>
  </si>
  <si>
    <t>泰國曼谷SET50指數</t>
  </si>
  <si>
    <t>TH</t>
  </si>
  <si>
    <t>SP</t>
  </si>
  <si>
    <t>恆生中國(香港上市)25指數</t>
  </si>
  <si>
    <t>泰國曼谷SET指數</t>
  </si>
  <si>
    <t>CH</t>
  </si>
  <si>
    <t>馬其頓 MBI 10指數</t>
  </si>
  <si>
    <t>MC</t>
  </si>
  <si>
    <t>Colombia ICSC index</t>
  </si>
  <si>
    <t>CO</t>
  </si>
  <si>
    <t>布加勒斯特證交所交易綜合指數</t>
  </si>
  <si>
    <t>RO</t>
  </si>
  <si>
    <t>US</t>
  </si>
  <si>
    <t>PO</t>
  </si>
  <si>
    <t>SASE自由市場10指數</t>
  </si>
  <si>
    <t>BY</t>
  </si>
  <si>
    <t>馬爾他交易所指數</t>
  </si>
  <si>
    <t>MB</t>
  </si>
  <si>
    <t>BZ</t>
  </si>
  <si>
    <t>費城公用事業類指數</t>
  </si>
  <si>
    <t>道瓊STOXX50指數</t>
  </si>
  <si>
    <t>TWSESCI Index</t>
  </si>
  <si>
    <t>TWSEBKI Index</t>
  </si>
  <si>
    <t>TWSECII Index</t>
  </si>
  <si>
    <t>TWSECPE Index</t>
  </si>
  <si>
    <t>TWSEOEI Index</t>
  </si>
  <si>
    <t>TWSEOPE Index</t>
  </si>
  <si>
    <t>TWSEOEG Index</t>
  </si>
  <si>
    <t>TWSEECI Index</t>
  </si>
  <si>
    <t>TWSESTEE Index</t>
  </si>
  <si>
    <t>TWSETRAN Index</t>
  </si>
  <si>
    <t>TWSEOTHR Index</t>
  </si>
  <si>
    <t>TWSECON Index</t>
  </si>
  <si>
    <t>TWSETEXT Index</t>
  </si>
  <si>
    <t>TWSECHI Index</t>
  </si>
  <si>
    <t>TWSECEM Index</t>
  </si>
  <si>
    <t>TWSEFOOD Index</t>
  </si>
  <si>
    <t>TWSERUB Index</t>
  </si>
  <si>
    <t>TWSEDEPT Index</t>
  </si>
  <si>
    <t>TWSEEPD Index</t>
  </si>
  <si>
    <t>TWSEAUTO Index</t>
  </si>
  <si>
    <t>TWSEMACH Index</t>
  </si>
  <si>
    <t>TWSEEAW Index</t>
  </si>
  <si>
    <t>TWSETOUR Index</t>
  </si>
  <si>
    <t>TWSEPP Index</t>
  </si>
  <si>
    <t>TWSEBMC Index</t>
  </si>
  <si>
    <t>TWSEGLP Index</t>
  </si>
  <si>
    <t>TWSEISI Index</t>
  </si>
  <si>
    <t>TWSEELEC Index</t>
  </si>
  <si>
    <t>TWSEPLAS Index</t>
  </si>
  <si>
    <t>KOSPELEC Index</t>
  </si>
  <si>
    <t>KOSPFIN Index</t>
  </si>
  <si>
    <t>KOSPCHEM Index</t>
  </si>
  <si>
    <t>KOSPTREQ Index</t>
  </si>
  <si>
    <t>KOSPBMET Index</t>
  </si>
  <si>
    <t>TPELMH Index</t>
  </si>
  <si>
    <t>TPNBNK Index</t>
  </si>
  <si>
    <t>TPTRAN Index</t>
  </si>
  <si>
    <t>TPCOMM Index</t>
  </si>
  <si>
    <t>TPELEC Index</t>
  </si>
  <si>
    <t>TPNCHM Index</t>
  </si>
  <si>
    <t>S5INFT Index</t>
  </si>
  <si>
    <t>S5SFTW Index</t>
  </si>
  <si>
    <t>S5tech Index</t>
  </si>
  <si>
    <t>s5sseqx Index</t>
  </si>
  <si>
    <t>s5hlth index</t>
  </si>
  <si>
    <t>s5phrm index</t>
  </si>
  <si>
    <t>s5finl index</t>
  </si>
  <si>
    <t>s5cond index</t>
  </si>
  <si>
    <t>s5cons index</t>
  </si>
  <si>
    <t>s5FDSR index</t>
  </si>
  <si>
    <t>s5indu Index</t>
  </si>
  <si>
    <t>s5enrs Index</t>
  </si>
  <si>
    <t>s5util Index</t>
  </si>
  <si>
    <t>s5rlst Index</t>
  </si>
  <si>
    <t>s5matr Index</t>
  </si>
  <si>
    <t>s5tels Index</t>
  </si>
  <si>
    <t>SXNP INDEX</t>
  </si>
  <si>
    <t>SX86P INDEX</t>
  </si>
  <si>
    <t>SX6P INDEX</t>
  </si>
  <si>
    <t>SX4P INDEX</t>
  </si>
  <si>
    <t>SXEP INDEX</t>
  </si>
  <si>
    <t>SXAP INDEX</t>
  </si>
  <si>
    <t>SXFP INDEX</t>
  </si>
  <si>
    <t>SXIP INDEX</t>
  </si>
  <si>
    <t>SX8P INDEX</t>
  </si>
  <si>
    <t>SX3P INDEX</t>
  </si>
  <si>
    <t>SXQP INDEX</t>
  </si>
  <si>
    <t>SXTP INDEX</t>
  </si>
  <si>
    <t>SXPP INDEX</t>
  </si>
  <si>
    <t>SXMP INDEX</t>
  </si>
  <si>
    <t>SXRP INDEX</t>
  </si>
  <si>
    <t>SXKP INDEX</t>
  </si>
  <si>
    <t>SX7P INDEX</t>
  </si>
  <si>
    <t>SXOP INDEX</t>
  </si>
  <si>
    <t>SXDP INDEX</t>
  </si>
  <si>
    <t>SH000908 Index</t>
    <phoneticPr fontId="1" type="noConversion"/>
  </si>
  <si>
    <t>SH000909 Index</t>
    <phoneticPr fontId="1" type="noConversion"/>
  </si>
  <si>
    <t>SH000910 Index</t>
  </si>
  <si>
    <t>SH000911 Index</t>
  </si>
  <si>
    <t>SH000912 Index</t>
  </si>
  <si>
    <t>SH000913 Index</t>
  </si>
  <si>
    <t>SH000914 Index</t>
  </si>
  <si>
    <t>SH000915 Index</t>
  </si>
  <si>
    <t>SH000916 Index</t>
  </si>
  <si>
    <t>SH000917 Index</t>
  </si>
  <si>
    <t>HSCICG Index</t>
  </si>
  <si>
    <t>HSCICO Index</t>
  </si>
  <si>
    <t>HSCIEN Index</t>
  </si>
  <si>
    <t>HSCIFN Index</t>
  </si>
  <si>
    <t>HSCIIN Index</t>
  </si>
  <si>
    <t>HSCIIT Index</t>
  </si>
  <si>
    <t>HSCIMT Index</t>
  </si>
  <si>
    <t>HSCIPC Index</t>
  </si>
  <si>
    <t>HSCISV Index</t>
  </si>
  <si>
    <t>HSCITC Index</t>
  </si>
  <si>
    <t>HSCIUT Index</t>
  </si>
  <si>
    <t>MSFT US Equity</t>
  </si>
  <si>
    <t>AAPL US Equity</t>
  </si>
  <si>
    <t>AMZN US Equity</t>
  </si>
  <si>
    <t>JPM US Equity</t>
  </si>
  <si>
    <t>NESN SW Equity</t>
  </si>
  <si>
    <t>JNJ US Equity</t>
  </si>
  <si>
    <t>GOOGL US Equity</t>
  </si>
  <si>
    <t>PG US Equity</t>
  </si>
  <si>
    <t>XOM US Equity</t>
  </si>
  <si>
    <t>NOVN SW Equity</t>
  </si>
  <si>
    <t>INTC US Equity</t>
  </si>
  <si>
    <t>CVX US Equity</t>
  </si>
  <si>
    <t>MRK US Equity</t>
  </si>
  <si>
    <t>KO US Equity</t>
  </si>
  <si>
    <t>SMSN LI Equity</t>
  </si>
  <si>
    <t>PFE US Equity</t>
  </si>
  <si>
    <t>ROG SW Equity</t>
  </si>
  <si>
    <t>PEP US Equity</t>
  </si>
  <si>
    <t>7203 JP Equity</t>
  </si>
  <si>
    <t>MCD US Equity</t>
  </si>
  <si>
    <t>WMT US Equity</t>
  </si>
  <si>
    <t>ABT US Equity</t>
  </si>
  <si>
    <t>C US Equity</t>
  </si>
  <si>
    <t>HSBA LN Equity</t>
  </si>
  <si>
    <t>IBM US Equity</t>
  </si>
  <si>
    <t>HON US Equity</t>
  </si>
  <si>
    <t>TXN US Equity</t>
  </si>
  <si>
    <t>FP FP Equity</t>
  </si>
  <si>
    <t>BP/ LN Equity</t>
  </si>
  <si>
    <t>RDSA LN Equity</t>
  </si>
  <si>
    <t>NKE US Equity</t>
  </si>
  <si>
    <t>AZN LN Equity</t>
  </si>
  <si>
    <t>MC FP Equity</t>
  </si>
  <si>
    <t>PM US Equity</t>
  </si>
  <si>
    <t>UTX US Equity</t>
  </si>
  <si>
    <t>AMT US Equity</t>
  </si>
  <si>
    <t>GSK LN Equity</t>
  </si>
  <si>
    <t>DGE LN Equity</t>
  </si>
  <si>
    <t>SAN FP Equity</t>
  </si>
  <si>
    <t>UNA NA Equity</t>
  </si>
  <si>
    <t>MMM US Equity</t>
  </si>
  <si>
    <t>ALV GR Equity</t>
  </si>
  <si>
    <t>SIE GR Equity</t>
  </si>
  <si>
    <t>BMY US Equity</t>
  </si>
  <si>
    <t>GE US Equity</t>
  </si>
  <si>
    <t>6758 JP Equity</t>
  </si>
  <si>
    <t>BHP AU Equity</t>
  </si>
  <si>
    <t>GS US Equity</t>
  </si>
  <si>
    <t>CAT US Equity</t>
  </si>
  <si>
    <t>OR FP Equity</t>
  </si>
  <si>
    <t>BAYN GR Equity</t>
  </si>
  <si>
    <t>SAN SM Equity</t>
  </si>
  <si>
    <t>BAS GR Equity</t>
  </si>
  <si>
    <t>8306 JP Equity</t>
  </si>
  <si>
    <t>MS US Equity</t>
  </si>
  <si>
    <t>RIO LN Equity</t>
  </si>
  <si>
    <t>DTE GR Equity</t>
  </si>
  <si>
    <t>AON US Equity</t>
  </si>
  <si>
    <t>DAI GR Equity</t>
  </si>
  <si>
    <t>7267 JP Equity</t>
  </si>
  <si>
    <t>SU FP Equity</t>
  </si>
  <si>
    <t>PHIA NA Equity</t>
  </si>
  <si>
    <t>PRU LN Equity</t>
  </si>
  <si>
    <t>UBSG SW Equity</t>
  </si>
  <si>
    <t>CS FP Equity</t>
  </si>
  <si>
    <t>EMR US Equity</t>
  </si>
  <si>
    <t>INGA NA Equity</t>
  </si>
  <si>
    <t>F US Equity</t>
  </si>
  <si>
    <t>MUV2 GR Equity</t>
  </si>
  <si>
    <t>BBVA SM Equity</t>
  </si>
  <si>
    <t>TEF SM Equity</t>
  </si>
  <si>
    <t>ORA FP Equity</t>
  </si>
  <si>
    <t>CSGN SW Equity</t>
  </si>
  <si>
    <t>AAL LN Equity</t>
  </si>
  <si>
    <t>7751 JP Equity</t>
  </si>
  <si>
    <t>SREN SW Equity</t>
  </si>
  <si>
    <t>3382 JP Equity</t>
  </si>
  <si>
    <t>BARC LN Equity</t>
  </si>
  <si>
    <t>5108 JP Equity</t>
  </si>
  <si>
    <t>STAN LN Equity</t>
  </si>
  <si>
    <t>GLE FP Equity</t>
  </si>
  <si>
    <t>6752 JP Equity</t>
  </si>
  <si>
    <t>DBK GR Equity</t>
  </si>
  <si>
    <t>7201 JP Equity</t>
  </si>
  <si>
    <t>RO SW Equity</t>
  </si>
  <si>
    <t>2330 TT Equity</t>
  </si>
  <si>
    <t>2330 TT Equity</t>
    <phoneticPr fontId="1" type="noConversion"/>
  </si>
  <si>
    <t>LF98TRUU Index</t>
  </si>
  <si>
    <t>EMUSTRUU Index</t>
  </si>
  <si>
    <t>EMLCTRUU Index</t>
  </si>
  <si>
    <t>LD06TRUU Index</t>
  </si>
  <si>
    <t>CL1 Comdty</t>
  </si>
  <si>
    <t>CO1 Comdty</t>
  </si>
  <si>
    <t>BDIY Index</t>
  </si>
  <si>
    <t>SHSPCCFI Index</t>
  </si>
  <si>
    <t>CRY Index</t>
  </si>
  <si>
    <t>GC1 Comdty</t>
  </si>
  <si>
    <t>PL1 comdty</t>
  </si>
  <si>
    <t>SI1 comdty</t>
  </si>
  <si>
    <t>lmahds03 comdty</t>
  </si>
  <si>
    <t>lmcads03 comdty</t>
  </si>
  <si>
    <t>lmpbds03 comdty</t>
  </si>
  <si>
    <t>lmnids03 comdty</t>
  </si>
  <si>
    <t>SB1 Comdty</t>
  </si>
  <si>
    <t>kc1 Comdty</t>
  </si>
  <si>
    <t>ct1 Comdty</t>
  </si>
  <si>
    <t>C 1 Comdty</t>
  </si>
  <si>
    <t>S 1 Comdty</t>
  </si>
  <si>
    <t>W 1 Comdty</t>
  </si>
  <si>
    <t>usggt10y Index</t>
  </si>
  <si>
    <t>US0001W Index</t>
  </si>
  <si>
    <t>NMCMFUS Index</t>
  </si>
  <si>
    <t>VIX Index</t>
  </si>
  <si>
    <t>VXN Index</t>
  </si>
  <si>
    <t>V2X Index</t>
  </si>
  <si>
    <t>DXY Index</t>
  </si>
  <si>
    <t>USDTWD TPFT Curncy</t>
  </si>
  <si>
    <t>JPY Curncy</t>
  </si>
  <si>
    <t>KRW Curncy</t>
  </si>
  <si>
    <t>EUR Curncy</t>
  </si>
  <si>
    <t>gbp Curncy</t>
  </si>
  <si>
    <t>aud Curncy</t>
  </si>
  <si>
    <t>nzd Curncy</t>
  </si>
  <si>
    <t>HKD Curncy</t>
  </si>
  <si>
    <t>CNY Curncy</t>
  </si>
  <si>
    <t>BRL Curncy</t>
  </si>
  <si>
    <t>TRY Curncy</t>
  </si>
  <si>
    <t>INR Curncy</t>
  </si>
  <si>
    <t>RUB Curncy</t>
  </si>
  <si>
    <t>XBTUSD BGN Curncy</t>
  </si>
  <si>
    <t>usgg2yr Index</t>
    <phoneticPr fontId="1" type="noConversion"/>
  </si>
  <si>
    <t>usgg10yr Index</t>
    <phoneticPr fontId="1" type="noConversion"/>
  </si>
  <si>
    <t>usgg30yr Index</t>
    <phoneticPr fontId="1" type="noConversion"/>
  </si>
  <si>
    <t>西德州原油近月</t>
  </si>
  <si>
    <t>布倫特原油</t>
  </si>
  <si>
    <t>BDI Index</t>
  </si>
  <si>
    <t>中國出口集裝箱綜合指數</t>
  </si>
  <si>
    <t>CRB Index</t>
  </si>
  <si>
    <t>NYMEX 金價</t>
  </si>
  <si>
    <t>LME 白金</t>
  </si>
  <si>
    <t>LME 白銀</t>
  </si>
  <si>
    <t>LME 鋁</t>
  </si>
  <si>
    <t>LME 銅</t>
  </si>
  <si>
    <t>LME 鉛</t>
  </si>
  <si>
    <t>LME 鎳</t>
  </si>
  <si>
    <t>NYBOT糖期貨</t>
  </si>
  <si>
    <t>NYBOT咖啡期貨</t>
  </si>
  <si>
    <t>NYBOT棉花期貨</t>
  </si>
  <si>
    <t>CBOT玉米期貨</t>
  </si>
  <si>
    <t>CBOT黃豆期貨</t>
  </si>
  <si>
    <t>CBOT小麥期貨</t>
  </si>
  <si>
    <t>美國 2年期Notes</t>
  </si>
  <si>
    <t>美國 10年期Notes</t>
  </si>
  <si>
    <t>美國 30年期Bond</t>
  </si>
  <si>
    <t>US TIPS 10yr</t>
  </si>
  <si>
    <t>LIBOR</t>
  </si>
  <si>
    <t>Freddie Mac 30年房貸利率</t>
  </si>
  <si>
    <t>VIX</t>
    <phoneticPr fontId="1" type="noConversion"/>
  </si>
  <si>
    <t>VXN</t>
    <phoneticPr fontId="1" type="noConversion"/>
  </si>
  <si>
    <t>V2X</t>
    <phoneticPr fontId="1" type="noConversion"/>
  </si>
  <si>
    <t>ZAR Curncy</t>
    <phoneticPr fontId="1" type="noConversion"/>
  </si>
  <si>
    <t>ARS Curncy</t>
    <phoneticPr fontId="1" type="noConversion"/>
  </si>
  <si>
    <t>GECU2YR INDEX</t>
    <phoneticPr fontId="1" type="noConversion"/>
  </si>
  <si>
    <t>GECU10YR INDEX</t>
    <phoneticPr fontId="1" type="noConversion"/>
  </si>
  <si>
    <t>GECU30YR INDEX</t>
    <phoneticPr fontId="1" type="noConversion"/>
  </si>
  <si>
    <t>歐元區 2年期Notes</t>
  </si>
  <si>
    <t>歐元區 10年期Notes</t>
  </si>
  <si>
    <t>歐元區 30年期Bond</t>
  </si>
  <si>
    <t>TSM Equity</t>
  </si>
  <si>
    <t>Date</t>
  </si>
  <si>
    <t>Px Last</t>
  </si>
  <si>
    <t>TWD Curncy</t>
    <phoneticPr fontId="4" type="noConversion"/>
  </si>
  <si>
    <t>DO</t>
    <phoneticPr fontId="1" type="noConversion"/>
  </si>
  <si>
    <t>CB</t>
    <phoneticPr fontId="1" type="noConversion"/>
  </si>
  <si>
    <t>BY</t>
    <phoneticPr fontId="1" type="noConversion"/>
  </si>
  <si>
    <t>ADR</t>
    <phoneticPr fontId="4" type="noConversion"/>
  </si>
  <si>
    <t>52週高點</t>
    <phoneticPr fontId="4" type="noConversion"/>
  </si>
  <si>
    <t>%</t>
    <phoneticPr fontId="4" type="noConversion"/>
  </si>
  <si>
    <t>52週低點</t>
    <phoneticPr fontId="4" type="noConversion"/>
  </si>
  <si>
    <t>LocalClose</t>
    <phoneticPr fontId="4" type="noConversion"/>
  </si>
  <si>
    <t>ADR eq</t>
    <phoneticPr fontId="4" type="noConversion"/>
  </si>
  <si>
    <t>% prem</t>
    <phoneticPr fontId="4" type="noConversion"/>
  </si>
  <si>
    <t>月均</t>
    <phoneticPr fontId="4" type="noConversion"/>
  </si>
  <si>
    <t>漲跌幅</t>
    <phoneticPr fontId="4" type="noConversion"/>
  </si>
  <si>
    <r>
      <rPr>
        <sz val="12"/>
        <rFont val="新細明體"/>
        <family val="1"/>
        <charset val="136"/>
      </rPr>
      <t>收盤</t>
    </r>
    <phoneticPr fontId="4" type="noConversion"/>
  </si>
  <si>
    <r>
      <t>ADR</t>
    </r>
    <r>
      <rPr>
        <sz val="12"/>
        <rFont val="新細明體"/>
        <family val="1"/>
        <charset val="136"/>
      </rPr>
      <t>量</t>
    </r>
    <r>
      <rPr>
        <sz val="12"/>
        <rFont val="Times New Roman"/>
        <family val="1"/>
      </rPr>
      <t>/L</t>
    </r>
    <phoneticPr fontId="4" type="noConversion"/>
  </si>
  <si>
    <r>
      <rPr>
        <sz val="12"/>
        <rFont val="新細明體"/>
        <family val="1"/>
        <charset val="136"/>
      </rPr>
      <t>台積電</t>
    </r>
    <phoneticPr fontId="4" type="noConversion"/>
  </si>
  <si>
    <t>iShares MSCI Taiwan ETF</t>
    <phoneticPr fontId="4" type="noConversion"/>
  </si>
  <si>
    <t>iShares MSCI Korea ETF</t>
    <phoneticPr fontId="4" type="noConversion"/>
  </si>
  <si>
    <t>iShares MSCI Emerging ETF</t>
    <phoneticPr fontId="4" type="noConversion"/>
  </si>
  <si>
    <t>OI</t>
    <phoneticPr fontId="4" type="noConversion"/>
  </si>
  <si>
    <t>E-min DOW</t>
    <phoneticPr fontId="4" type="noConversion"/>
  </si>
  <si>
    <t>E-min S&amp;P500</t>
    <phoneticPr fontId="4" type="noConversion"/>
  </si>
  <si>
    <t>E-min Nasdaq100</t>
    <phoneticPr fontId="4" type="noConversion"/>
  </si>
  <si>
    <t>現貨</t>
    <phoneticPr fontId="4" type="noConversion"/>
  </si>
  <si>
    <t>價差%</t>
    <phoneticPr fontId="4" type="noConversion"/>
  </si>
  <si>
    <t>收盤</t>
    <phoneticPr fontId="4" type="noConversion"/>
  </si>
  <si>
    <t>漲跌幅</t>
    <phoneticPr fontId="4" type="noConversion"/>
  </si>
  <si>
    <t>E-A50指數</t>
    <phoneticPr fontId="4" type="noConversion"/>
  </si>
  <si>
    <t>E-摩台指期貨</t>
    <phoneticPr fontId="4" type="noConversion"/>
  </si>
  <si>
    <t>A50期貨</t>
    <phoneticPr fontId="4" type="noConversion"/>
  </si>
  <si>
    <t>摩台指期貨</t>
    <phoneticPr fontId="4" type="noConversion"/>
  </si>
  <si>
    <r>
      <t>期貨</t>
    </r>
    <r>
      <rPr>
        <sz val="12"/>
        <rFont val="Times New Roman"/>
        <family val="1"/>
      </rPr>
      <t/>
    </r>
    <phoneticPr fontId="4" type="noConversion"/>
  </si>
  <si>
    <t>差異</t>
    <phoneticPr fontId="4" type="noConversion"/>
  </si>
  <si>
    <t>601318 CG Equity</t>
  </si>
  <si>
    <t>600519 CG Equity</t>
  </si>
  <si>
    <t>600036 CG Equity</t>
  </si>
  <si>
    <t>000651 CS Equity</t>
  </si>
  <si>
    <t>601166 CG Equity</t>
  </si>
  <si>
    <t>000858 CS Equity</t>
  </si>
  <si>
    <t>600030 CG Equity</t>
  </si>
  <si>
    <t>000002 CS Equity</t>
  </si>
  <si>
    <t>600000 CG Equity</t>
  </si>
  <si>
    <t>600016 CG Equity</t>
  </si>
  <si>
    <t>TOPIX資訊及通訊指數</t>
  </si>
  <si>
    <t>TOPIX電力及天然氣指數</t>
  </si>
  <si>
    <t>TOPIX電器指數</t>
  </si>
  <si>
    <t>TOPIX銀行指數</t>
  </si>
  <si>
    <t>TOPIX化學品指數</t>
  </si>
  <si>
    <t>TOPIX運輸設備指數</t>
  </si>
  <si>
    <t>韓國KOSPI鐵礦與金屬指數</t>
  </si>
  <si>
    <t>韓國KOSPI化學品指數</t>
  </si>
  <si>
    <t>韓國KOSPI電機與電子設備指數</t>
  </si>
  <si>
    <t>韓國KOSPI金融指數</t>
  </si>
  <si>
    <t>韓國KOSPI運輸設備指數</t>
  </si>
  <si>
    <t>滬深300能源指數</t>
  </si>
  <si>
    <t>滬深300原材料指數</t>
  </si>
  <si>
    <t>滬深300工業指數</t>
  </si>
  <si>
    <t>滬深300可選消費指數</t>
  </si>
  <si>
    <t>滬深300主要消費指數</t>
  </si>
  <si>
    <t>滬深300醫藥衛生指數</t>
  </si>
  <si>
    <t>滬深300金融地產指數</t>
  </si>
  <si>
    <t>滬深300信息技術指數</t>
  </si>
  <si>
    <t>滬深300電信業務指數</t>
  </si>
  <si>
    <t>滬深300公用事業指數</t>
  </si>
  <si>
    <t>恒生綜合消費品製造業指數</t>
  </si>
  <si>
    <t>恒生綜合聯合企業指數</t>
  </si>
  <si>
    <t>恒生能源業指數</t>
  </si>
  <si>
    <t>恒生綜合金融業指數</t>
  </si>
  <si>
    <t>恒生綜合工業指數</t>
  </si>
  <si>
    <t>恒生綜合資訊科技業指數</t>
  </si>
  <si>
    <t>恒生原材料業指數</t>
  </si>
  <si>
    <t>恒生綜合地產建築業指數</t>
  </si>
  <si>
    <t>恒生綜合服務業指數</t>
  </si>
  <si>
    <t>恒生電信業指數</t>
  </si>
  <si>
    <t>恒生綜合公用事業指數</t>
  </si>
  <si>
    <t>台灣證交所汽車類指數</t>
  </si>
  <si>
    <t>台灣證交所金融保險類指數</t>
  </si>
  <si>
    <t>台灣證交所生技醫療類指數</t>
  </si>
  <si>
    <t>台灣證交所水泥類指數</t>
  </si>
  <si>
    <t>台灣證交所化學工業類指數</t>
  </si>
  <si>
    <t>台灣證交所通信網路業類指數</t>
  </si>
  <si>
    <t>台灣證交所營造建築類指數</t>
  </si>
  <si>
    <t>台灣證交所電腦及週邊設備業類</t>
  </si>
  <si>
    <t>台灣證交所百貨貿易類指數</t>
  </si>
  <si>
    <t>台灣證交所電器電纜類指數</t>
  </si>
  <si>
    <t>台灣證交所電子零組件業類指數</t>
  </si>
  <si>
    <t>台灣證交所電子類指數</t>
  </si>
  <si>
    <t>台灣證交所電子通路業類指數</t>
  </si>
  <si>
    <t>台灣證交所食品類指數</t>
  </si>
  <si>
    <t>台灣證交所玻璃陶瓷類指數</t>
  </si>
  <si>
    <t>台灣證交所資訊服務業類指數</t>
  </si>
  <si>
    <t>台灣證交所電機機械類指數</t>
  </si>
  <si>
    <t>台灣證交所油電燃氣類指數</t>
  </si>
  <si>
    <t>台灣證交所其他電子業類指數</t>
  </si>
  <si>
    <t>台灣證交所光電業類指數</t>
  </si>
  <si>
    <t>台灣證交所其他類指數</t>
  </si>
  <si>
    <t>台灣證交所塑膠類指數</t>
  </si>
  <si>
    <t>台灣證交所造紙類指數</t>
  </si>
  <si>
    <t>台灣證交所橡膠工業類指數</t>
  </si>
  <si>
    <t>台灣證交所半導體業類指數</t>
  </si>
  <si>
    <t>台灣證交所鋼鐵類指數</t>
  </si>
  <si>
    <t>台灣證交所紡織纖維類指數</t>
  </si>
  <si>
    <t>台灣證交所觀光類指數</t>
  </si>
  <si>
    <t>台灣證交所運輸類指數</t>
  </si>
  <si>
    <t>微軟</t>
  </si>
  <si>
    <t>蘋果公司</t>
  </si>
  <si>
    <t>亞馬遜公司</t>
  </si>
  <si>
    <t>摩根大通銀行</t>
  </si>
  <si>
    <t>嬌生公司</t>
  </si>
  <si>
    <t>Alphabet公司</t>
  </si>
  <si>
    <t>寶僑公司</t>
  </si>
  <si>
    <t>艾克索美孚</t>
  </si>
  <si>
    <t>英特爾</t>
  </si>
  <si>
    <t>雪佛龍</t>
  </si>
  <si>
    <t>默克藥廠</t>
  </si>
  <si>
    <t>可口可樂</t>
  </si>
  <si>
    <t>輝瑞大藥廠股份有限公司</t>
  </si>
  <si>
    <t>百事可樂</t>
  </si>
  <si>
    <t>麥當勞公司</t>
  </si>
  <si>
    <t>沃爾瑪公司</t>
  </si>
  <si>
    <t>亞培</t>
  </si>
  <si>
    <t>花旗集團</t>
  </si>
  <si>
    <t>國際商業機器公司</t>
  </si>
  <si>
    <t>漢威聯合</t>
  </si>
  <si>
    <t>德州儀器</t>
  </si>
  <si>
    <t>耐吉</t>
  </si>
  <si>
    <t>菲利浦莫里斯國際公司</t>
  </si>
  <si>
    <t>聯合科技公司</t>
  </si>
  <si>
    <t>美國電塔</t>
  </si>
  <si>
    <t>3M</t>
  </si>
  <si>
    <t>必治妥施貴寶公司</t>
  </si>
  <si>
    <t>奇異公司</t>
  </si>
  <si>
    <t>高盛集團</t>
  </si>
  <si>
    <t>卡特彼勒公司</t>
  </si>
  <si>
    <t>摩根士丹利</t>
  </si>
  <si>
    <t>艾默生電氣</t>
  </si>
  <si>
    <t>福特汽車公司</t>
  </si>
  <si>
    <t>必和必拓集團有限公司</t>
  </si>
  <si>
    <t>道達爾公司</t>
  </si>
  <si>
    <t>路易威登</t>
  </si>
  <si>
    <t>賽諾菲</t>
  </si>
  <si>
    <t>萊雅有限責任公司</t>
  </si>
  <si>
    <t>施奈德電機公司</t>
  </si>
  <si>
    <t>安盛</t>
  </si>
  <si>
    <t>橙色有限責任公司</t>
  </si>
  <si>
    <t>法國興業銀行</t>
  </si>
  <si>
    <t>匯豐控股</t>
  </si>
  <si>
    <t>BP公司</t>
  </si>
  <si>
    <t>阿斯特捷利康公開有限公司</t>
  </si>
  <si>
    <t>葛蘭素史克公開有限公司</t>
  </si>
  <si>
    <t>帝亞吉歐公開有限公司</t>
  </si>
  <si>
    <t>聯合利華</t>
  </si>
  <si>
    <t>力拓礦業</t>
  </si>
  <si>
    <t>怡安保險經紀人公開有限公司</t>
  </si>
  <si>
    <t>保誠</t>
  </si>
  <si>
    <t>英美公開有限公司</t>
  </si>
  <si>
    <t>巴克萊集團</t>
  </si>
  <si>
    <t>渣打集團</t>
  </si>
  <si>
    <t>安聯集團</t>
  </si>
  <si>
    <t>西門子</t>
  </si>
  <si>
    <t>拜耳</t>
  </si>
  <si>
    <t>巴斯夫公司</t>
  </si>
  <si>
    <t>德意志電信</t>
  </si>
  <si>
    <t>戴姆勒集團</t>
  </si>
  <si>
    <t>慕尼黑再保險公司</t>
  </si>
  <si>
    <t>德意志銀行</t>
  </si>
  <si>
    <t>西班牙國際銀行</t>
  </si>
  <si>
    <t>畢爾巴鄂比斯開銀行</t>
  </si>
  <si>
    <t>西班牙電信公司</t>
  </si>
  <si>
    <t>雀巢</t>
  </si>
  <si>
    <t>諾華公司</t>
  </si>
  <si>
    <t>羅氏大藥廠</t>
  </si>
  <si>
    <t>瑞銀集團公司</t>
  </si>
  <si>
    <t>瑞信集團</t>
  </si>
  <si>
    <t>瑞士再保險公司</t>
  </si>
  <si>
    <t>荷蘭皇家殼牌石油</t>
  </si>
  <si>
    <t>皇家飛利浦公司</t>
  </si>
  <si>
    <t>荷蘭國際集團</t>
  </si>
  <si>
    <t>豐田汽車公司</t>
  </si>
  <si>
    <t>索尼</t>
  </si>
  <si>
    <t>三菱UFJ金融集團公司</t>
  </si>
  <si>
    <t>本田汽車</t>
  </si>
  <si>
    <t>佳能</t>
  </si>
  <si>
    <t>7&amp;I控股公司</t>
  </si>
  <si>
    <t>普利司通</t>
  </si>
  <si>
    <t>松下電器公司</t>
  </si>
  <si>
    <t>日產汽車</t>
  </si>
  <si>
    <t>三星電子</t>
  </si>
  <si>
    <t>台積電</t>
  </si>
  <si>
    <t>中國平安</t>
  </si>
  <si>
    <t>貴州茅臺</t>
  </si>
  <si>
    <t>招商銀行</t>
  </si>
  <si>
    <t>格力電器</t>
  </si>
  <si>
    <t>興業銀行</t>
  </si>
  <si>
    <t>五 糧 液</t>
  </si>
  <si>
    <t>中信証券</t>
  </si>
  <si>
    <t>萬科企業</t>
  </si>
  <si>
    <t>浦發銀行</t>
  </si>
  <si>
    <t>民生銀行</t>
  </si>
  <si>
    <t>美元指數即期匯率</t>
  </si>
  <si>
    <t>新台幣即期</t>
  </si>
  <si>
    <t>日圓即期</t>
  </si>
  <si>
    <t>南韓圜即期</t>
  </si>
  <si>
    <t>歐元即期</t>
  </si>
  <si>
    <t>英鎊即期</t>
  </si>
  <si>
    <t>澳幣即期</t>
  </si>
  <si>
    <t>紐西蘭幣即期</t>
  </si>
  <si>
    <t>港幣即期</t>
  </si>
  <si>
    <t>中國人民幣即期</t>
  </si>
  <si>
    <t>巴西黑奧即期</t>
  </si>
  <si>
    <t>土耳其里拉即期</t>
  </si>
  <si>
    <t>南非蘭特即期</t>
  </si>
  <si>
    <t>阿根廷披索即期</t>
  </si>
  <si>
    <t>印度盧比即期</t>
  </si>
  <si>
    <t>俄羅斯盧布即期</t>
  </si>
  <si>
    <t>XBT-USD Cross Rate</t>
  </si>
  <si>
    <t>Barclays US Corpor</t>
    <phoneticPr fontId="4" type="noConversion"/>
  </si>
  <si>
    <t>Barclays EM USD Ag</t>
    <phoneticPr fontId="4" type="noConversion"/>
  </si>
  <si>
    <t>Barclays EM Local</t>
    <phoneticPr fontId="4" type="noConversion"/>
  </si>
  <si>
    <t>Barclays Intermedi</t>
    <phoneticPr fontId="4" type="noConversion"/>
  </si>
  <si>
    <t>SP500非核心消費類指數</t>
  </si>
  <si>
    <t>SP500核心消費類指數</t>
  </si>
  <si>
    <t>SP500能源類指數</t>
  </si>
  <si>
    <t>SP500金融類指數</t>
  </si>
  <si>
    <t>SP500保健類指數</t>
  </si>
  <si>
    <t>SP500工業類指數</t>
  </si>
  <si>
    <t>SP500資訊科技類指數</t>
  </si>
  <si>
    <t>SP500原材料類指數</t>
  </si>
  <si>
    <t>SP500通訊服務類指數</t>
  </si>
  <si>
    <t>SP500公用事業類指數</t>
  </si>
  <si>
    <t>SP500醫藥生技與生命科學指</t>
  </si>
  <si>
    <t>SP500軟體與服務指數</t>
  </si>
  <si>
    <t>SP500半導體與半導體設備指</t>
  </si>
  <si>
    <t>SP500科技硬體與設備指數</t>
  </si>
  <si>
    <t>STXE 600不動產指數</t>
    <phoneticPr fontId="4" type="noConversion"/>
  </si>
  <si>
    <t>STXE 600食品飲料</t>
  </si>
  <si>
    <t>STXE 600化學品</t>
  </si>
  <si>
    <t>STXE 600公用事業</t>
  </si>
  <si>
    <t>STXE 600銀行</t>
  </si>
  <si>
    <t>STXE 600科技</t>
  </si>
  <si>
    <t>STXE 600汽車及零件</t>
  </si>
  <si>
    <t>STXE 600醫療保健</t>
  </si>
  <si>
    <t>STXE 600石油及天然氣</t>
  </si>
  <si>
    <t>STXE 600金融服務</t>
  </si>
  <si>
    <t>STXE 600保險</t>
  </si>
  <si>
    <t>STXE 600電信</t>
  </si>
  <si>
    <t>STXE 600媒體</t>
  </si>
  <si>
    <t>STXE 600工業產品服務</t>
  </si>
  <si>
    <t>STXE 600營建及材料</t>
  </si>
  <si>
    <t>STXE 600基本資源</t>
  </si>
  <si>
    <t>STXE 600個人及家用品</t>
  </si>
  <si>
    <t>STXE 600零售</t>
  </si>
  <si>
    <t>STXE 600旅遊及休閒</t>
  </si>
  <si>
    <t>SP500食品與必需品零售</t>
    <phoneticPr fontId="4" type="noConversion"/>
  </si>
  <si>
    <t>SP500 Real Estate</t>
    <phoneticPr fontId="4" type="noConversion"/>
  </si>
  <si>
    <t>香港恆生指數</t>
  </si>
  <si>
    <t>道瓊工業指數</t>
  </si>
  <si>
    <t>道瓊運輸指數</t>
  </si>
  <si>
    <t>S&amp;P500指數</t>
  </si>
  <si>
    <t>NASDAQ指數</t>
  </si>
  <si>
    <t>費城半導體指數</t>
  </si>
  <si>
    <t>Russell 2000 指數</t>
  </si>
  <si>
    <t>Russell 1000 指數</t>
  </si>
  <si>
    <t>德國DAX指數</t>
  </si>
  <si>
    <t>英國FTSE指數</t>
  </si>
  <si>
    <t>法國CAC指數</t>
  </si>
  <si>
    <t>葡萄牙</t>
  </si>
  <si>
    <t>西班牙IBEX指數</t>
  </si>
  <si>
    <t>義大利</t>
  </si>
  <si>
    <t>希臘</t>
  </si>
  <si>
    <t>澳洲ASX200指數</t>
  </si>
  <si>
    <t>日經225指數</t>
  </si>
  <si>
    <t>南韓Kospi指數</t>
  </si>
  <si>
    <t>恆生國企指數</t>
  </si>
  <si>
    <t>恆生香港中資指數</t>
  </si>
  <si>
    <t>A50指數</t>
  </si>
  <si>
    <t>上海綜合指數</t>
  </si>
  <si>
    <t>滬深300指數</t>
  </si>
  <si>
    <t>深圳綜合指數</t>
  </si>
  <si>
    <t>印度孟買指數</t>
  </si>
  <si>
    <t>泰國SET指數</t>
  </si>
  <si>
    <t>越南證交所指數</t>
  </si>
  <si>
    <t>新加坡海峽指數</t>
  </si>
  <si>
    <t>印尼證交所指數</t>
  </si>
  <si>
    <t>菲律賓證交所指數</t>
  </si>
  <si>
    <t>巴西聖保羅指數</t>
  </si>
  <si>
    <t>土耳其</t>
  </si>
  <si>
    <t>INDU INDEX</t>
  </si>
  <si>
    <t>Tran INDEX</t>
  </si>
  <si>
    <t>SPX INDEX</t>
  </si>
  <si>
    <t>CCMP INDEX</t>
  </si>
  <si>
    <t>SOX INDEX</t>
  </si>
  <si>
    <t>RTY INDEX</t>
  </si>
  <si>
    <t>RiY INDEX</t>
  </si>
  <si>
    <t>DAX INDEX</t>
  </si>
  <si>
    <t>UKX INDEX</t>
  </si>
  <si>
    <t>CAC INDEX</t>
  </si>
  <si>
    <t>BVLX INDEX</t>
  </si>
  <si>
    <t>IBEX INDEX</t>
  </si>
  <si>
    <t>ITLMS INDEX</t>
  </si>
  <si>
    <t>ASE INDEX</t>
  </si>
  <si>
    <t>AS51 INDEX</t>
  </si>
  <si>
    <t>NKY INDEX</t>
  </si>
  <si>
    <t>kospi INDEX</t>
  </si>
  <si>
    <t>HSI INDEX</t>
  </si>
  <si>
    <t>HSCEI INDEX</t>
  </si>
  <si>
    <t>HSCCI INDEX</t>
  </si>
  <si>
    <t>XIN9I INDEX</t>
  </si>
  <si>
    <t>SHCOMP INDEX</t>
  </si>
  <si>
    <t>SHSZ300 INDEX</t>
  </si>
  <si>
    <t>SZCOMP INDEX</t>
  </si>
  <si>
    <t>SENSEX INDEX</t>
  </si>
  <si>
    <t>SET INDEX</t>
  </si>
  <si>
    <t xml:space="preserve">VNINDEX INDEX </t>
  </si>
  <si>
    <t>STI INDEX</t>
  </si>
  <si>
    <t>JCI INDEX</t>
  </si>
  <si>
    <t>PCOMP INDEX</t>
  </si>
  <si>
    <t>IBOV INDEX</t>
  </si>
  <si>
    <t>XU100 INDEX</t>
  </si>
  <si>
    <t>SW</t>
  </si>
  <si>
    <t>恆生中國(香港上市)100指數</t>
  </si>
  <si>
    <t>標普/香港交易所大型股指數</t>
  </si>
  <si>
    <t>恆生中國H股金融行業指數</t>
  </si>
  <si>
    <t>道瓊公用事業類指數</t>
  </si>
  <si>
    <t>最後</t>
    <phoneticPr fontId="4" type="noConversion"/>
  </si>
  <si>
    <t>恆生香港35指數</t>
  </si>
  <si>
    <t>DE</t>
  </si>
  <si>
    <t>巴西BOV/VAL二級指數</t>
  </si>
  <si>
    <t>FI</t>
  </si>
  <si>
    <t>恆生綜合指數</t>
  </si>
  <si>
    <t>UA</t>
  </si>
  <si>
    <t>富時JSE納米比亞綜合指數</t>
  </si>
  <si>
    <t>NA</t>
  </si>
  <si>
    <t>OMX哥本哈根指數</t>
  </si>
  <si>
    <t>埃及 HERMES 指數</t>
  </si>
  <si>
    <t>EG</t>
  </si>
  <si>
    <t>葡萄牙 PSI20指數</t>
  </si>
  <si>
    <t>OMX哥本哈根20指數</t>
  </si>
  <si>
    <t>TA</t>
  </si>
  <si>
    <t>克羅埃西亞ZAGREB CROBEX</t>
  </si>
  <si>
    <t>HR</t>
  </si>
  <si>
    <t>AU</t>
  </si>
  <si>
    <t>OMX赫爾辛基25指數</t>
  </si>
  <si>
    <t>印尼雅加達綜合股價指數</t>
  </si>
  <si>
    <t>ID</t>
  </si>
  <si>
    <t>Metropolitan Stock Exchange</t>
  </si>
  <si>
    <t>IN</t>
  </si>
  <si>
    <t>標準普爾BSE-100指數</t>
  </si>
  <si>
    <t>標普孟買SENSEX指數</t>
  </si>
  <si>
    <t>印度CNX輕巧指數</t>
  </si>
  <si>
    <t>標準普爾BSE 200指數</t>
  </si>
  <si>
    <t>標準普爾BSE-500指數</t>
  </si>
  <si>
    <t>費城金銀指數</t>
  </si>
  <si>
    <t>東證MOTHERS指數</t>
  </si>
  <si>
    <t>Boursa Kuwait Premier Market</t>
  </si>
  <si>
    <t>沙烏地阿拉伯證交所TASI綜合指</t>
  </si>
  <si>
    <t>SR</t>
  </si>
  <si>
    <t>TOPIX小型股指數</t>
  </si>
  <si>
    <t>JASDAQ指數</t>
  </si>
  <si>
    <t>日經500指數</t>
  </si>
  <si>
    <t>TOPIX中型400指數</t>
  </si>
  <si>
    <t>日經JASDAQ指數</t>
  </si>
  <si>
    <t>TOPIX大型70指數</t>
  </si>
  <si>
    <t>JPX Nikkei Index 400</t>
  </si>
  <si>
    <t>TOPIX指數</t>
  </si>
  <si>
    <t>GR</t>
  </si>
  <si>
    <t>紐西蘭NZSX10指數</t>
  </si>
  <si>
    <t>NZ</t>
  </si>
  <si>
    <t>日經300指數</t>
  </si>
  <si>
    <t>TOPIX500指數</t>
  </si>
  <si>
    <t>紐西蘭NZX流通50總報酬指數</t>
  </si>
  <si>
    <t>Egyptian Exchange EGX 30 Pri</t>
  </si>
  <si>
    <t>阿根廷 IBG 綜合指數</t>
  </si>
  <si>
    <t>AR</t>
  </si>
  <si>
    <t>阿根廷 MERVAL 指數</t>
  </si>
  <si>
    <t>阿根廷 M.AR 指數</t>
  </si>
  <si>
    <t>費城石油服務類指數</t>
  </si>
  <si>
    <t>委內瑞拉 IBC 指數</t>
  </si>
  <si>
    <t>VZ</t>
  </si>
  <si>
    <t>FTSE/JSE 南非工業 25 指數</t>
  </si>
  <si>
    <t>SA</t>
  </si>
  <si>
    <t>FTSE/JSE 南非 40 指數</t>
  </si>
  <si>
    <t>FTSE/JSE南非綜合指數</t>
  </si>
  <si>
    <t>那斯達克工業指數</t>
  </si>
  <si>
    <t>那斯達克運輸類指數</t>
  </si>
  <si>
    <t>那斯達克生物科技類指數</t>
  </si>
  <si>
    <t>印尼雅加達L-Q45指數</t>
  </si>
  <si>
    <t>莫斯科交易所藍籌股指數</t>
  </si>
  <si>
    <t>RU</t>
  </si>
  <si>
    <t>富時那斯達克杜拜UAE 20指數</t>
  </si>
  <si>
    <t>MOEX Russia Index</t>
  </si>
  <si>
    <t>莫斯科 MICEX 10 指數</t>
  </si>
  <si>
    <t>俄羅斯RTS指數</t>
  </si>
  <si>
    <t>法蘭克福傳統股表現指數</t>
  </si>
  <si>
    <t>GE</t>
  </si>
  <si>
    <t>寮國證券交易所綜合指數</t>
  </si>
  <si>
    <t>LO</t>
  </si>
  <si>
    <t>MSCI亞洲APEX50指數</t>
  </si>
  <si>
    <t>MULT</t>
  </si>
  <si>
    <t>道瓊瑞典 Titans 30 指數</t>
  </si>
  <si>
    <t>俄羅斯 RTX 藍籌股指數</t>
  </si>
  <si>
    <t>賽普勒斯證交所一般指數</t>
  </si>
  <si>
    <t>CC</t>
  </si>
  <si>
    <t>泛歐證券交易所 150 指數</t>
  </si>
  <si>
    <t>德國法蘭克福TECDAX表現指數</t>
  </si>
  <si>
    <t>德國法蘭克福DAX中型股指數</t>
  </si>
  <si>
    <t>東證REIT指數</t>
  </si>
  <si>
    <t>巴林綜合指數</t>
  </si>
  <si>
    <t>BJ</t>
  </si>
  <si>
    <t>Boursa Kuwait Main Market Pr</t>
  </si>
  <si>
    <t>斯洛伐克股票指數</t>
  </si>
  <si>
    <t>SO</t>
  </si>
  <si>
    <t>伊斯坦堡全國30指數</t>
  </si>
  <si>
    <t>TU</t>
  </si>
  <si>
    <t>伊斯坦堡交易所100指數</t>
  </si>
  <si>
    <t>道瓊土耳其 Titans 20 指數</t>
  </si>
  <si>
    <t>彭博不動產投資信託指數</t>
  </si>
  <si>
    <t>Tanzania All Share Index Rea</t>
  </si>
  <si>
    <t>TZ</t>
  </si>
  <si>
    <t>拉脫維亞OMX里加指數</t>
  </si>
  <si>
    <t>LL</t>
  </si>
  <si>
    <t>波札那嘉伯隆里指數</t>
  </si>
  <si>
    <t>BO</t>
  </si>
  <si>
    <t>阿曼 MSM 30指數</t>
  </si>
  <si>
    <t>OM</t>
  </si>
  <si>
    <t>Colombia IEQC Index</t>
  </si>
  <si>
    <t>Colombia COLIR Index</t>
  </si>
  <si>
    <t>喀拉蚩100指數</t>
  </si>
  <si>
    <t>PK</t>
  </si>
  <si>
    <t>韓國KOSDAQ指數</t>
  </si>
  <si>
    <t>法蘭克福科技股表現指數</t>
  </si>
  <si>
    <t>道瓊STOXX歐盟15大型股指數</t>
  </si>
  <si>
    <t>富時/雅典中型股40指數</t>
  </si>
  <si>
    <t>奧斯陸綜合股票指數</t>
  </si>
  <si>
    <t>NO</t>
  </si>
  <si>
    <t>奧斯陸小型股指數</t>
  </si>
  <si>
    <t>OMX斯德哥爾摩全股指數</t>
  </si>
  <si>
    <t>阿姆斯特丹中型股指數</t>
  </si>
  <si>
    <t>NE</t>
  </si>
  <si>
    <t>挪威奧斯陸OBX指數</t>
  </si>
  <si>
    <t>挪威奧斯陸OBX價格指數</t>
  </si>
  <si>
    <t>OMX斯德哥爾摩基準指數</t>
  </si>
  <si>
    <t>挪威奧斯陸基準指數</t>
  </si>
  <si>
    <t>奧斯陸共同基金指數</t>
  </si>
  <si>
    <t>OMX Oslo 20 Index</t>
  </si>
  <si>
    <t>OMX Oslo 20 GI Index</t>
  </si>
  <si>
    <t>OMX斯德哥爾摩30指數</t>
  </si>
  <si>
    <t>華沙WIG指數</t>
  </si>
  <si>
    <t>華沙WIG20指數</t>
  </si>
  <si>
    <t>匈牙利交易指數</t>
  </si>
  <si>
    <t>道瓊STOXX歐盟全市場指數</t>
  </si>
  <si>
    <t>道瓊義大利 Titans 30 指數</t>
  </si>
  <si>
    <t>IT</t>
  </si>
  <si>
    <t>布拉格證券交易所指數</t>
  </si>
  <si>
    <t>CZ</t>
  </si>
  <si>
    <t>巴西電力類指數</t>
  </si>
  <si>
    <t>道瓊瑞士Titans30指數</t>
  </si>
  <si>
    <t>SZ</t>
  </si>
  <si>
    <t>富時科技指數</t>
  </si>
  <si>
    <t>GB</t>
  </si>
  <si>
    <t>紐約證交所Amex綜合指數</t>
  </si>
  <si>
    <t>迦納證券交易所綜合指數</t>
  </si>
  <si>
    <t>GH</t>
  </si>
  <si>
    <t>維也納新歐洲藍籌股指數</t>
  </si>
  <si>
    <t>Bloomberg EMEA -World Index</t>
  </si>
  <si>
    <t>法國CAC 90小型股指數</t>
  </si>
  <si>
    <t>FR</t>
  </si>
  <si>
    <t>德國法蘭克福CDAX綜合指數</t>
  </si>
  <si>
    <t>葡萄牙PSI全股指數總報酬</t>
  </si>
  <si>
    <t>#N/A Field Not Applicable</t>
  </si>
  <si>
    <t>巴西 IBrX-50 指數</t>
  </si>
  <si>
    <t>巴西聖保羅證交所指數</t>
  </si>
  <si>
    <t>巴西 IBrX 指數</t>
  </si>
  <si>
    <t>標普/BVL秘魯一般總報酬PEN指</t>
  </si>
  <si>
    <t>TOPIX100指數</t>
  </si>
  <si>
    <t>巴西公司治理指數</t>
  </si>
  <si>
    <t>TOPIX核心30指數</t>
  </si>
  <si>
    <t>哥倫比亞COLCAP指數</t>
  </si>
  <si>
    <t>OMX Copenhagen 25 Index</t>
  </si>
  <si>
    <t>TOPIX二部指數</t>
  </si>
  <si>
    <t>台拉維夫125指數</t>
  </si>
  <si>
    <t>IS</t>
  </si>
  <si>
    <t>那斯達克保險類指數</t>
  </si>
  <si>
    <t>BELEXline指數</t>
  </si>
  <si>
    <t>RR</t>
  </si>
  <si>
    <t>愛沙尼亞OMX陶林指數</t>
  </si>
  <si>
    <t>EE</t>
  </si>
  <si>
    <t>墨西哥IMC30指數</t>
  </si>
  <si>
    <t>MX</t>
  </si>
  <si>
    <t>FTSE BIVA Price Return Index</t>
  </si>
  <si>
    <t>貝爾格勒證券交易所BELEX15指</t>
  </si>
  <si>
    <t>巴拿馬證券交易所一般指數</t>
  </si>
  <si>
    <t>PN</t>
  </si>
  <si>
    <t>FTSE馬來西亞證交所EMAS指數</t>
  </si>
  <si>
    <t>MA</t>
  </si>
  <si>
    <t>深圳創業板價格指數</t>
  </si>
  <si>
    <t>China Shenzhen Small Medium</t>
  </si>
  <si>
    <t>深圳證券交易所A股指數</t>
  </si>
  <si>
    <t>深圳證交所綜合指數</t>
  </si>
  <si>
    <t>CSI Smallcap 500 Index - Sha</t>
  </si>
  <si>
    <t>深圳證券交易所成份指數</t>
  </si>
  <si>
    <t>Shenzhen Stock Exchange Smal</t>
  </si>
  <si>
    <t>喀拉蚩30指數</t>
  </si>
  <si>
    <t>Shenzhen 100 Index</t>
  </si>
  <si>
    <t>蒙古20指數</t>
  </si>
  <si>
    <t>MJ</t>
  </si>
  <si>
    <t>上海證券交易所A股指數</t>
  </si>
  <si>
    <t>新上海證交所綜合指數</t>
  </si>
  <si>
    <t>上海證券交易所綜合指數</t>
  </si>
  <si>
    <t>奧地利維也納ATX指數</t>
  </si>
  <si>
    <t>AS</t>
  </si>
  <si>
    <t>紐約證交所Arca石油類指數</t>
  </si>
  <si>
    <t>維也納 ATX 主要指數</t>
  </si>
  <si>
    <t>上海深圳滬深300指數</t>
  </si>
  <si>
    <t>CCTV 50 INDEX</t>
  </si>
  <si>
    <t>那斯達克綜合指數</t>
  </si>
  <si>
    <t>羅素2000指數</t>
  </si>
  <si>
    <t>維也納綜合指數</t>
  </si>
  <si>
    <t>那斯達克收盤後市場指數</t>
  </si>
  <si>
    <t>上海證交所180指數</t>
  </si>
  <si>
    <t>那斯達克100指數</t>
  </si>
  <si>
    <t>富時另類投資指數</t>
  </si>
  <si>
    <t>標準普爾/多倫多創投指數</t>
  </si>
  <si>
    <t>CA</t>
  </si>
  <si>
    <t>法國CAC 190中小型股指數</t>
  </si>
  <si>
    <t>法蘭克福標準股表現指數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</si>
</sst>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_-;\-* #,##0.00_-;_-* &quot;-&quot;??_-;_-@_-"/>
    <numFmt numFmtId="176" formatCode="0.00_);[Red]\(0.00\)"/>
    <numFmt numFmtId="177" formatCode="#,##0.0&quot;%&quot;;[Red]\-#,##0.0&quot;%&quot;"/>
    <numFmt numFmtId="178" formatCode="#,##0&quot;%&quot;;[Red]\-#,##0&quot;%&quot;"/>
    <numFmt numFmtId="179" formatCode="#,##0_);[Red]\(#,##0\)"/>
    <numFmt numFmtId="180" formatCode="_-* #,##0_-;\-* #,##0_-;_-* &quot;-&quot;??_-;_-@_-"/>
    <numFmt numFmtId="181" formatCode="#,##0.00_);[Red]\(#,##0.00\)"/>
    <numFmt numFmtId="182" formatCode="0.00000%"/>
    <numFmt numFmtId="183" formatCode="mm/dd"/>
    <numFmt numFmtId="184" formatCode="0_);[Red]\(0\)"/>
    <numFmt numFmtId="185" formatCode="0.0%"/>
  </numFmts>
  <fonts count="9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12"/>
      <name val="Times New Roman"/>
      <family val="1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3" fontId="3" fillId="0" borderId="0" applyFon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0" fillId="0" borderId="0" xfId="0" applyBorder="1" applyAlignment="1"/>
    <xf numFmtId="176" fontId="0" fillId="0" borderId="0" xfId="0" applyNumberFormat="1" applyBorder="1" applyAlignment="1"/>
    <xf numFmtId="10" fontId="0" fillId="0" borderId="0" xfId="0" applyNumberFormat="1" applyBorder="1" applyAlignment="1"/>
    <xf numFmtId="0" fontId="0" fillId="0" borderId="0" xfId="0" applyFill="1" applyBorder="1" applyAlignment="1"/>
    <xf numFmtId="0" fontId="0" fillId="0" borderId="1" xfId="0" applyBorder="1">
      <alignment vertical="center"/>
    </xf>
    <xf numFmtId="176" fontId="0" fillId="0" borderId="1" xfId="0" applyNumberFormat="1" applyBorder="1" applyAlignment="1"/>
    <xf numFmtId="0" fontId="0" fillId="0" borderId="0" xfId="0" applyAlignment="1"/>
    <xf numFmtId="14" fontId="0" fillId="0" borderId="0" xfId="0" applyNumberFormat="1" applyAlignment="1"/>
    <xf numFmtId="0" fontId="0" fillId="0" borderId="1" xfId="0" applyFont="1" applyBorder="1">
      <alignment vertical="center"/>
    </xf>
    <xf numFmtId="176" fontId="0" fillId="0" borderId="1" xfId="0" applyNumberFormat="1" applyFont="1" applyBorder="1" applyAlignment="1"/>
    <xf numFmtId="0" fontId="0" fillId="0" borderId="2" xfId="0" applyFont="1" applyFill="1" applyBorder="1">
      <alignment vertical="center"/>
    </xf>
    <xf numFmtId="0" fontId="0" fillId="0" borderId="0" xfId="0" applyFont="1">
      <alignment vertical="center"/>
    </xf>
    <xf numFmtId="10" fontId="0" fillId="0" borderId="1" xfId="0" applyNumberFormat="1" applyFont="1" applyBorder="1" applyAlignment="1"/>
    <xf numFmtId="182" fontId="0" fillId="0" borderId="1" xfId="0" applyNumberFormat="1" applyFont="1" applyBorder="1" applyAlignment="1">
      <alignment horizontal="right"/>
    </xf>
    <xf numFmtId="176" fontId="7" fillId="0" borderId="1" xfId="0" applyNumberFormat="1" applyFont="1" applyFill="1" applyBorder="1" applyAlignment="1"/>
    <xf numFmtId="181" fontId="8" fillId="0" borderId="1" xfId="0" applyNumberFormat="1" applyFont="1" applyFill="1" applyBorder="1" applyAlignment="1">
      <alignment horizontal="left"/>
    </xf>
    <xf numFmtId="0" fontId="7" fillId="0" borderId="1" xfId="0" applyFont="1" applyFill="1" applyBorder="1">
      <alignment vertical="center"/>
    </xf>
    <xf numFmtId="179" fontId="8" fillId="0" borderId="1" xfId="0" applyNumberFormat="1" applyFont="1" applyFill="1" applyBorder="1" applyAlignment="1">
      <alignment horizontal="right"/>
    </xf>
    <xf numFmtId="177" fontId="8" fillId="0" borderId="1" xfId="0" applyNumberFormat="1" applyFont="1" applyFill="1" applyBorder="1" applyAlignment="1">
      <alignment horizontal="right"/>
    </xf>
    <xf numFmtId="180" fontId="8" fillId="0" borderId="1" xfId="1" applyNumberFormat="1" applyFont="1" applyFill="1" applyBorder="1" applyAlignment="1">
      <alignment horizontal="right"/>
    </xf>
    <xf numFmtId="178" fontId="8" fillId="0" borderId="1" xfId="1" applyNumberFormat="1" applyFont="1" applyFill="1" applyBorder="1" applyAlignment="1">
      <alignment horizontal="right"/>
    </xf>
    <xf numFmtId="0" fontId="8" fillId="0" borderId="1" xfId="0" applyFont="1" applyFill="1" applyBorder="1" applyAlignment="1">
      <alignment horizontal="left"/>
    </xf>
    <xf numFmtId="180" fontId="8" fillId="0" borderId="1" xfId="0" applyNumberFormat="1" applyFont="1" applyFill="1" applyBorder="1" applyAlignment="1">
      <alignment horizontal="right"/>
    </xf>
    <xf numFmtId="183" fontId="8" fillId="0" borderId="1" xfId="0" applyNumberFormat="1" applyFont="1" applyFill="1" applyBorder="1" applyAlignment="1">
      <alignment horizontal="right"/>
    </xf>
    <xf numFmtId="176" fontId="8" fillId="0" borderId="1" xfId="0" applyNumberFormat="1" applyFont="1" applyFill="1" applyBorder="1" applyAlignment="1">
      <alignment horizontal="left"/>
    </xf>
    <xf numFmtId="0" fontId="7" fillId="0" borderId="0" xfId="0" applyFont="1">
      <alignment vertical="center"/>
    </xf>
    <xf numFmtId="0" fontId="7" fillId="0" borderId="1" xfId="0" applyFont="1" applyBorder="1">
      <alignment vertical="center"/>
    </xf>
    <xf numFmtId="0" fontId="7" fillId="0" borderId="1" xfId="0" applyFont="1" applyBorder="1" applyAlignment="1"/>
    <xf numFmtId="176" fontId="7" fillId="0" borderId="1" xfId="0" applyNumberFormat="1" applyFont="1" applyBorder="1" applyAlignment="1"/>
    <xf numFmtId="0" fontId="7" fillId="0" borderId="1" xfId="0" applyFont="1" applyFill="1" applyBorder="1" applyAlignment="1"/>
    <xf numFmtId="176" fontId="7" fillId="0" borderId="0" xfId="0" applyNumberFormat="1" applyFont="1">
      <alignment vertical="center"/>
    </xf>
    <xf numFmtId="0" fontId="0" fillId="0" borderId="4" xfId="0" applyFont="1" applyBorder="1">
      <alignment vertical="center"/>
    </xf>
    <xf numFmtId="176" fontId="0" fillId="0" borderId="4" xfId="0" applyNumberFormat="1" applyFont="1" applyBorder="1" applyAlignment="1"/>
    <xf numFmtId="0" fontId="0" fillId="0" borderId="3" xfId="0" applyFont="1" applyBorder="1">
      <alignment vertical="center"/>
    </xf>
    <xf numFmtId="176" fontId="0" fillId="0" borderId="3" xfId="0" applyNumberFormat="1" applyFont="1" applyBorder="1" applyAlignment="1"/>
    <xf numFmtId="0" fontId="5" fillId="0" borderId="4" xfId="0" applyFont="1" applyBorder="1">
      <alignment vertical="center"/>
    </xf>
    <xf numFmtId="0" fontId="0" fillId="0" borderId="4" xfId="0" applyBorder="1">
      <alignment vertical="center"/>
    </xf>
    <xf numFmtId="176" fontId="0" fillId="0" borderId="4" xfId="0" applyNumberFormat="1" applyBorder="1" applyAlignment="1"/>
    <xf numFmtId="0" fontId="0" fillId="0" borderId="3" xfId="0" applyBorder="1">
      <alignment vertical="center"/>
    </xf>
    <xf numFmtId="176" fontId="0" fillId="0" borderId="3" xfId="0" applyNumberFormat="1" applyBorder="1" applyAlignment="1"/>
    <xf numFmtId="184" fontId="0" fillId="0" borderId="1" xfId="0" applyNumberFormat="1" applyFont="1" applyBorder="1" applyAlignment="1"/>
    <xf numFmtId="185" fontId="0" fillId="0" borderId="1" xfId="0" applyNumberFormat="1" applyBorder="1">
      <alignment vertical="center"/>
    </xf>
    <xf numFmtId="185" fontId="0" fillId="0" borderId="1" xfId="0" applyNumberFormat="1" applyBorder="1" applyAlignment="1"/>
    <xf numFmtId="185" fontId="0" fillId="0" borderId="0" xfId="0" applyNumberFormat="1">
      <alignment vertical="center"/>
    </xf>
    <xf numFmtId="185" fontId="7" fillId="0" borderId="1" xfId="0" applyNumberFormat="1" applyFont="1" applyBorder="1" applyAlignment="1"/>
    <xf numFmtId="185" fontId="7" fillId="0" borderId="0" xfId="0" applyNumberFormat="1" applyFont="1">
      <alignment vertical="center"/>
    </xf>
    <xf numFmtId="185" fontId="0" fillId="0" borderId="4" xfId="0" applyNumberFormat="1" applyBorder="1" applyAlignment="1"/>
    <xf numFmtId="185" fontId="0" fillId="0" borderId="3" xfId="0" applyNumberFormat="1" applyBorder="1" applyAlignment="1"/>
    <xf numFmtId="0" fontId="0" fillId="0" borderId="0" xfId="0" applyBorder="1">
      <alignment vertical="center"/>
    </xf>
    <xf numFmtId="185" fontId="0" fillId="0" borderId="0" xfId="0" applyNumberFormat="1" applyBorder="1">
      <alignment vertical="center"/>
    </xf>
    <xf numFmtId="185" fontId="0" fillId="0" borderId="0" xfId="0" applyNumberFormat="1" applyBorder="1" applyAlignment="1"/>
  </cellXfs>
  <cellStyles count="2">
    <cellStyle name="一般" xfId="0" builtinId="0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19.51644492753088</v>
        <stp/>
        <stp>##V3_BDPV12</stp>
        <stp>CH30 Index</stp>
        <stp>PE_RATIO</stp>
        <stp>[Index.xlsm]全球指數!R157C18</stp>
        <tr r="R157" s="1"/>
      </tp>
      <tp>
        <v>-0.74374039999999997</v>
        <stp/>
        <stp>##V3_BDPV12</stp>
        <stp>SH000905 Index</stp>
        <stp>PR064</stp>
        <stp>[Index.xlsm]全球指數!R13C14</stp>
        <tr r="N13" s="1"/>
      </tp>
      <tp>
        <v>-7.2240339999999996</v>
        <stp/>
        <stp>##V3_BDPV12</stp>
        <stp>EUE15P Index</stp>
        <stp>PR064</stp>
        <stp>[Index.xlsm]全球指數!R57C14</stp>
        <tr r="N57" s="1"/>
      </tp>
      <tp t="s">
        <v>EC</v>
        <stp/>
        <stp>##V3_BDPV12</stp>
        <stp>FTEFC1 Index</stp>
        <stp>DS003</stp>
        <stp>[Index.xlsm]全球指數!R214C3</stp>
        <tr r="C214" s="1"/>
      </tp>
      <tp t="s">
        <v>Boursa Kuwait Main Market Pr</v>
        <stp/>
        <stp>##V3_BDPV12</stp>
        <stp>KWSEMM Index</stp>
        <stp>DS697</stp>
        <stp>[Index.xlsm]全球指數!R291C2</stp>
        <tr r="B291" s="1"/>
      </tp>
      <tp>
        <v>-6.9298929999999999</v>
        <stp/>
        <stp>##V3_BDPV12</stp>
        <stp>KSE100 Index</stp>
        <stp>PR064</stp>
        <stp>[Index.xlsm]全球指數!R33C14</stp>
        <tr r="N33" s="1"/>
      </tp>
      <tp t="s">
        <v>迦納證券交易所綜合指數</v>
        <stp/>
        <stp>##V3_BDPV12</stp>
        <stp>GGSECI Index</stp>
        <stp>DS697</stp>
        <stp>[Index.xlsm]全球指數!R111C2</stp>
        <tr r="B111" s="1"/>
      </tp>
      <tp t="s">
        <v>LX</v>
        <stp/>
        <stp>##V3_BDPV12</stp>
        <stp>LUXXR Index</stp>
        <stp>DS003</stp>
        <stp>[Index.xlsm]全球指數!R126C3</stp>
        <tr r="C126" s="1"/>
      </tp>
      <tp t="s">
        <v>標普/BMV IPC</v>
        <stp/>
        <stp>##V3_BDPV12</stp>
        <stp>MEXBOL Index</stp>
        <stp>DS697</stp>
        <stp>[Index.xlsm]全球指數!R236C2</stp>
        <tr r="B236" s="1"/>
      </tp>
      <tp>
        <v>0.12501148661242598</v>
        <stp/>
        <stp>##V3_BDPV12</stp>
        <stp>IBX Index</stp>
        <stp>INTERVAL_Low</stp>
        <stp>[Index.xlsm]全球指數!R279C17</stp>
        <stp>MARKET_DATA_OVERRIDE=PE_RATIO</stp>
        <stp>CALC_INTERVAL=5y</stp>
        <stp>BEST_FPERIOD_OVERRIDE=BF</stp>
        <tr r="Q279" s="1"/>
      </tp>
      <tp t="s">
        <v>Boursa Kuwait Premier Market</v>
        <stp/>
        <stp>##V3_BDPV12</stp>
        <stp>KWSEPM Index</stp>
        <stp>DS697</stp>
        <stp>[Index.xlsm]全球指數!R311C2</stp>
        <tr r="B311" s="1"/>
      </tp>
      <tp>
        <v>17.996580309792257</v>
        <stp/>
        <stp>##V3_BDPV12</stp>
        <stp>IXK Index</stp>
        <stp>INTERVAL_Low</stp>
        <stp>[Index.xlsm]全球指數!R113C17</stp>
        <stp>MARKET_DATA_OVERRIDE=PE_RATIO</stp>
        <stp>CALC_INTERVAL=5y</stp>
        <stp>BEST_FPERIOD_OVERRIDE=BF</stp>
        <tr r="Q113" s="1"/>
      </tp>
      <tp>
        <v>-1.260359</v>
        <stp/>
        <stp>##V3_BDPV12</stp>
        <stp>SSE180 Index</stp>
        <stp>PR064</stp>
        <stp>[Index.xlsm]全球指數!R74C14</stp>
        <tr r="N74" s="1"/>
      </tp>
      <tp>
        <v>4339.3900000000003</v>
        <stp/>
        <stp>##V3_BDPV12</stp>
        <stp>SBF250 Index</stp>
        <stp>PX_LAST</stp>
        <stp>[Index.xlsm]全球指數!R164C4</stp>
        <tr r="D164" s="1"/>
      </tp>
      <tp>
        <v>14.956862154418245</v>
        <stp/>
        <stp>##V3_BDPV12</stp>
        <stp>IRT Index</stp>
        <stp>INTERVAL_Low</stp>
        <stp>[Index.xlsm]全球指數!R237C17</stp>
        <stp>MARKET_DATA_OVERRIDE=PE_RATIO</stp>
        <stp>CALC_INTERVAL=5y</stp>
        <stp>BEST_FPERIOD_OVERRIDE=BF</stp>
        <tr r="Q237" s="1"/>
      </tp>
      <tp>
        <v>-4.8138990000000002</v>
        <stp/>
        <stp>##V3_BDPV12</stp>
        <stp>JALSH Index</stp>
        <stp>CHG_PCT_3M</stp>
        <stp>[Index.xlsm]全球指數!R71C12</stp>
        <tr r="L71" s="1"/>
      </tp>
      <tp>
        <v>2.5523880000000001</v>
        <stp/>
        <stp>##V3_BDPV12</stp>
        <stp>JALSH Index</stp>
        <stp>CHG_PCT_1M</stp>
        <stp>[Index.xlsm]全球指數!R71C11</stp>
        <tr r="K71" s="1"/>
      </tp>
      <tp>
        <v>-1.5635490000000001</v>
        <stp/>
        <stp>##V3_BDPV12</stp>
        <stp>JALSH Index</stp>
        <stp>CHG_PCT_6M</stp>
        <stp>[Index.xlsm]全球指數!R71C13</stp>
        <tr r="M71" s="1"/>
      </tp>
      <tp t="s">
        <v>TOPIX大型70指數</v>
        <stp/>
        <stp>##V3_BDPV12</stp>
        <stp>TPXL70 Index</stp>
        <stp>DS697</stp>
        <stp>[Index.xlsm]全球指數!R278C2</stp>
        <tr r="B278" s="1"/>
      </tp>
      <tp>
        <v>104323.8984375</v>
        <stp/>
        <stp>##V3_BDPV12</stp>
        <stp>XU030 Index</stp>
        <stp>LOW_52WEEK</stp>
        <stp>[Index.xlsm]全球指數!R299C8</stp>
        <tr r="H299" s="1"/>
      </tp>
      <tp>
        <v>-1.688053</v>
        <stp/>
        <stp>##V3_BDPV12</stp>
        <stp>JALSH Index</stp>
        <stp>CHG_PCT_5D</stp>
        <stp>[Index.xlsm]全球指數!R71C10</stp>
        <tr r="J71" s="1"/>
      </tp>
      <tp t="s">
        <v>巴西 IBrX-50 指數</v>
        <stp/>
        <stp>##V3_BDPV12</stp>
        <stp>IBX50 Index</stp>
        <stp>DS697</stp>
        <stp>[Index.xlsm]全球指數!R290C2</stp>
        <tr r="B290" s="1"/>
      </tp>
      <tp>
        <v>-0.96477349999999995</v>
        <stp/>
        <stp>##V3_BDPV12</stp>
        <stp>OSESX Index</stp>
        <stp>CHG_PCT_6M</stp>
        <stp>[Index.xlsm]全球指數!R36C13</stp>
        <tr r="M36" s="1"/>
      </tp>
      <tp>
        <v>-2.2799299999999998</v>
        <stp/>
        <stp>##V3_BDPV12</stp>
        <stp>OSESX Index</stp>
        <stp>CHG_PCT_5D</stp>
        <stp>[Index.xlsm]全球指數!R36C10</stp>
        <tr r="J36" s="1"/>
      </tp>
      <tp>
        <v>-1.7153940000000001</v>
        <stp/>
        <stp>##V3_BDPV12</stp>
        <stp>OSESX Index</stp>
        <stp>CHG_PCT_3M</stp>
        <stp>[Index.xlsm]全球指數!R36C12</stp>
        <tr r="L36" s="1"/>
      </tp>
      <tp>
        <v>5.8979730000000004</v>
        <stp/>
        <stp>##V3_BDPV12</stp>
        <stp>SZSMEC Index</stp>
        <stp>CHG_PCT_1YR</stp>
        <stp>[Index.xlsm]全球指數!R9C15</stp>
        <tr r="O9" s="1"/>
      </tp>
      <tp>
        <v>4.0228210000000004</v>
        <stp/>
        <stp>##V3_BDPV12</stp>
        <stp>OSESX Index</stp>
        <stp>CHG_PCT_1M</stp>
        <stp>[Index.xlsm]全球指數!R36C11</stp>
        <tr r="K36" s="1"/>
      </tp>
      <tp>
        <v>1615.48</v>
        <stp/>
        <stp>##V3_BDPV12</stp>
        <stp>TA-35 Index</stp>
        <stp>PX_LAST</stp>
        <stp>[Index.xlsm]全球指數!R205C4</stp>
        <tr r="D205" s="1"/>
      </tp>
      <tp>
        <v>22822.23</v>
        <stp/>
        <stp>##V3_BDPV12</stp>
        <stp>SX40 Index</stp>
        <stp>PX_LAST</stp>
        <stp>[Index.xlsm]全球指數!R320C4</stp>
        <tr r="D320" s="1"/>
      </tp>
      <tp t="s">
        <v>東證MOTHERS指數</v>
        <stp/>
        <stp>##V3_BDPV12</stp>
        <stp>TSEMOTHR Index</stp>
        <stp>DS697</stp>
        <stp>[Index.xlsm]全球指數!R313C2</stp>
        <tr r="B313" s="1"/>
      </tp>
      <tp t="s">
        <v>JO</v>
        <stp/>
        <stp>##V3_BDPV12</stp>
        <stp>JOSMGNFF Index</stp>
        <stp>DS003</stp>
        <stp>[Index.xlsm]全球指數!R263C3</stp>
        <tr r="C263" s="1"/>
      </tp>
      <tp>
        <v>183.78</v>
        <stp/>
        <stp>##V3_BDPV12</stp>
        <stp>s5rlst Index</stp>
        <stp>LOW_52WEEK</stp>
        <stp>[Index.xlsm]主要產業!R15C8</stp>
        <tr r="H15" s="2"/>
      </tp>
      <tp>
        <v>24.251415162568861</v>
        <stp/>
        <stp>##V3_BDPV12</stp>
        <stp>GOOGL US Equity</stp>
        <stp>INTERVAL_Low</stp>
        <stp>[Index.xlsm]主要產業!R7C37</stp>
        <stp>MARKET_DATA_OVERRIDE=PE_RATIO</stp>
        <stp>CALC_INTERVAL=5y</stp>
        <stp>BEST_FPERIOD_OVERRIDE=BF</stp>
        <tr r="AK7" s="2"/>
      </tp>
      <tp t="s">
        <v>TA</v>
        <stp/>
        <stp>##V3_BDPV12</stp>
        <stp>TWSEOTHR Index</stp>
        <stp>DS003</stp>
        <stp>[Index.xlsm]主要產業!R77C3</stp>
        <tr r="C77" s="2"/>
      </tp>
      <tp>
        <v>1739.84</v>
        <stp/>
        <stp>##V3_BDPV12</stp>
        <stp>AMZN US Equity</stp>
        <stp>PX_LAST</stp>
        <stp>[Index.xlsm]主要產業!R4C24</stp>
        <tr r="X4" s="2"/>
      </tp>
      <tp>
        <v>0.1049451</v>
        <stp/>
        <stp>##V3_BDPV12</stp>
        <stp>JPNK400 Index</stp>
        <stp>CHG_PCT_1D</stp>
        <stp>[Index.xlsm]全球指數!R286C5</stp>
        <tr r="E286" s="1"/>
      </tp>
      <tp>
        <v>5605.79</v>
        <stp/>
        <stp>##V3_BDPV12</stp>
        <stp>INTER10 Index</stp>
        <stp>LOW_52WEEK</stp>
        <stp>[Index.xlsm]全球指數!R203C8</stp>
        <tr r="H203" s="1"/>
      </tp>
      <tp t="s">
        <v>HK</v>
        <stp/>
        <stp>##V3_BDPV12</stp>
        <stp>HSML100 Index</stp>
        <stp>DS003</stp>
        <stp>[Index.xlsm]全球指數!R48C3</stp>
        <tr r="C48" s="1"/>
      </tp>
      <tp t="s">
        <v>恆生中國(香港上市)100指數</v>
        <stp/>
        <stp>##V3_BDPV12</stp>
        <stp>HSML100 Index</stp>
        <stp>DS697</stp>
        <stp>[Index.xlsm]全球指數!R48C2</stp>
        <tr r="B48" s="1"/>
      </tp>
      <tp t="s">
        <v>JN</v>
        <stp/>
        <stp>##V3_BDPV12</stp>
        <stp>TPXSM Index</stp>
        <stp>DS003</stp>
        <stp>[Index.xlsm]全球指數!R307C3</stp>
        <tr r="C307" s="1"/>
      </tp>
      <tp t="s">
        <v>斯里蘭卡可倫坡證交所指數</v>
        <stp/>
        <stp>##V3_BDPV12</stp>
        <stp>CSEALL Index</stp>
        <stp>DS697</stp>
        <stp>[Index.xlsm]全球指數!R174C2</stp>
        <tr r="B174" s="1"/>
      </tp>
      <tp t="s">
        <v>瑞士SPI中小型股指數</v>
        <stp/>
        <stp>##V3_BDPV12</stp>
        <stp>SPIEXX Index</stp>
        <stp>DS697</stp>
        <stp>[Index.xlsm]全球指數!R180C2</stp>
        <tr r="B180" s="1"/>
      </tp>
      <tp t="s">
        <v>LX</v>
        <stp/>
        <stp>##V3_BDPV12</stp>
        <stp>LUXXX Index</stp>
        <stp>DS003</stp>
        <stp>[Index.xlsm]全球指數!R127C3</stp>
        <tr r="C127" s="1"/>
      </tp>
      <tp>
        <v>-8.5029339999999998</v>
        <stp/>
        <stp>##V3_BDPV12</stp>
        <stp>FTN098 Index</stp>
        <stp>PR064</stp>
        <stp>[Index.xlsm]全球指數!R28C14</stp>
        <tr r="N28" s="1"/>
      </tp>
      <tp t="s">
        <v>紐約證交所TMT指數</v>
        <stp/>
        <stp>##V3_BDPV12</stp>
        <stp>NYYID Index</stp>
        <stp>DS697</stp>
        <stp>[Index.xlsm]全球指數!R190C2</stp>
        <tr r="B190" s="1"/>
      </tp>
      <tp>
        <v>10.470142014793455</v>
        <stp/>
        <stp>##V3_BDPV12</stp>
        <stp>SHCOMP Index</stp>
        <stp>INTERVAL_Low</stp>
        <stp>[Index.xlsm]全球指數!R32C17</stp>
        <stp>MARKET_DATA_OVERRIDE=PE_RATIO</stp>
        <stp>CALC_INTERVAL=5y</stp>
        <stp>BEST_FPERIOD_OVERRIDE=BF</stp>
        <tr r="Q32" s="1"/>
      </tp>
      <tp>
        <v>20.300427061563415</v>
        <stp/>
        <stp>##V3_BDPV12</stp>
        <stp>SZCOMP Index</stp>
        <stp>INTERVAL_Low</stp>
        <stp>[Index.xlsm]全球指數!R11C17</stp>
        <stp>MARKET_DATA_OVERRIDE=PE_RATIO</stp>
        <stp>CALC_INTERVAL=5y</stp>
        <stp>BEST_FPERIOD_OVERRIDE=BF</stp>
        <tr r="Q11" s="1"/>
      </tp>
      <tp t="s">
        <v>KN</v>
        <stp/>
        <stp>##V3_BDPV12</stp>
        <stp>NSEASI Index</stp>
        <stp>DS003</stp>
        <stp>[Index.xlsm]全球指數!R252C3</stp>
        <tr r="C252" s="1"/>
      </tp>
      <tp>
        <v>74743.5625</v>
        <stp/>
        <stp>##V3_BDPV12</stp>
        <stp>INDI25 Index</stp>
        <stp>HIGH_52WEEK</stp>
        <stp>[Index.xlsm]全球指數!R70C6</stp>
        <tr r="F70" s="1"/>
      </tp>
      <tp>
        <v>1252.6400000000001</v>
        <stp/>
        <stp>##V3_BDPV12</stp>
        <stp>TA-125 Index</stp>
        <stp>LOW_52WEEK</stp>
        <stp>[Index.xlsm]全球指數!R258C8</stp>
        <tr r="H258" s="1"/>
      </tp>
      <tp t="s">
        <v>TOPIX核心30指數</v>
        <stp/>
        <stp>##V3_BDPV12</stp>
        <stp>TPXC30 Index</stp>
        <stp>DS697</stp>
        <stp>[Index.xlsm]全球指數!R266C2</stp>
        <tr r="B266" s="1"/>
      </tp>
      <tp>
        <v>1.1370400000000001</v>
        <stp/>
        <stp>##V3_BDPV12</stp>
        <stp>BSE200 Index</stp>
        <stp>CHG_PCT_1D</stp>
        <stp>[Index.xlsm]全球指數!R316C5</stp>
        <tr r="E316" s="1"/>
      </tp>
      <tp>
        <v>0.64250079999999998</v>
        <stp/>
        <stp>##V3_BDPV12</stp>
        <stp>ES30 Index</stp>
        <stp>CHG_PCT_1D</stp>
        <stp>[Index.xlsm]全球指數!R189C5</stp>
        <tr r="E189" s="1"/>
      </tp>
      <tp>
        <v>16.983375477966419</v>
        <stp/>
        <stp>##V3_BDPV12</stp>
        <stp>NZSE Index</stp>
        <stp>INTERVAL_Low</stp>
        <stp>[Index.xlsm]全球指數!R238C17</stp>
        <stp>MARKET_DATA_OVERRIDE=PE_RATIO</stp>
        <stp>CALC_INTERVAL=5y</stp>
        <stp>BEST_FPERIOD_OVERRIDE=BF</stp>
        <tr r="Q238" s="1"/>
      </tp>
      <tp>
        <v>6.8289544648481915</v>
        <stp/>
        <stp>##V3_BDPV12</stp>
        <stp>BIRS Index</stp>
        <stp>PE_RATIO</stp>
        <stp>[Index.xlsm]全球指數!R152C18</stp>
        <tr r="R152" s="1"/>
      </tp>
      <tp t="s">
        <v>PN</v>
        <stp/>
        <stp>##V3_BDPV12</stp>
        <stp>BVPSBVPS Index</stp>
        <stp>DS003</stp>
        <stp>[Index.xlsm]全球指數!R243C3</stp>
        <tr r="C243" s="1"/>
      </tp>
      <tp>
        <v>1768.9469999999999</v>
        <stp/>
        <stp>##V3_BDPV12</stp>
        <stp>DS30 Index</stp>
        <stp>PX_LAST</stp>
        <stp>[Index.xlsm]全球指數!R301C4</stp>
        <tr r="D301" s="1"/>
      </tp>
      <tp>
        <v>19.537029209492403</v>
        <stp/>
        <stp>##V3_BDPV12</stp>
        <stp>CINS Index</stp>
        <stp>PE_RATIO</stp>
        <stp>[Index.xlsm]全球指數!R254C18</stp>
        <tr r="R254" s="1"/>
      </tp>
      <tp>
        <v>979.12300000000005</v>
        <stp/>
        <stp>##V3_BDPV12</stp>
        <stp>LQ45 Index</stp>
        <stp>PX_LAST</stp>
        <stp>[Index.xlsm]全球指數!R204C4</stp>
        <tr r="D204" s="1"/>
      </tp>
      <tp>
        <v>473.43</v>
        <stp/>
        <stp>##V3_BDPV12</stp>
        <stp>SXAP INDEX</stp>
        <stp>PX_LAST</stp>
        <stp>[Index.xlsm]主要產業!R31C4</stp>
        <tr r="D31" s="2"/>
      </tp>
      <tp>
        <v>13.22118</v>
        <stp/>
        <stp>##V3_BDPV12</stp>
        <stp>s5cons index</stp>
        <stp>CHG_PCT_1YR</stp>
        <stp>[Index.xlsm]主要產業!R9C15</stp>
        <tr r="O9" s="2"/>
      </tp>
      <tp>
        <v>0.39829969999999998</v>
        <stp/>
        <stp>##V3_BDPV12</stp>
        <stp>s5finl index</stp>
        <stp>CHG_PCT_1YR</stp>
        <stp>[Index.xlsm]主要產業!R4C15</stp>
        <tr r="O4" s="2"/>
      </tp>
      <tp>
        <v>0.36709069999999999</v>
        <stp/>
        <stp>##V3_BDPV12</stp>
        <stp>s5cond index</stp>
        <stp>CHG_PCT_1YR</stp>
        <stp>[Index.xlsm]主要產業!R7C15</stp>
        <tr r="O7" s="2"/>
      </tp>
      <tp>
        <v>2010.67</v>
        <stp/>
        <stp>##V3_BDPV12</stp>
        <stp>KOSPI50 Index</stp>
        <stp>HIGH_52WEEK</stp>
        <stp>[Index.xlsm]全球指數!R208C6</stp>
        <tr r="F208" s="1"/>
      </tp>
      <tp>
        <v>43735</v>
        <stp/>
        <stp>##V3_BDHV12</stp>
        <stp>2330 TT Equity</stp>
        <stp>PX_LAST</stp>
        <stp>ED-60AD</stp>
        <stp/>
        <stp>[Index.xlsm]ADR!R3C3</stp>
        <stp>Points=30</stp>
        <stp>Sort=D</stp>
        <stp>Per=d</stp>
        <stp>Days=A</stp>
        <stp>Fill=E</stp>
        <stp>QtTyp=P</stp>
        <stp>Dts=S</stp>
        <stp>cols=2;rows=30</stp>
        <tr r="C3" s="4"/>
      </tp>
      <tp>
        <v>3526.11</v>
        <stp/>
        <stp>##V3_BDPV12</stp>
        <stp>HSHK35 Index</stp>
        <stp>HIGH_52WEEK</stp>
        <stp>[Index.xlsm]全球指數!R73C6</stp>
        <tr r="F73" s="1"/>
      </tp>
      <tp>
        <v>20.972502189693369</v>
        <stp/>
        <stp>##V3_BDPV12</stp>
        <stp>XII Index</stp>
        <stp>PE_RATIO</stp>
        <stp>[Index.xlsm]全球指數!R119C18</stp>
        <tr r="R119" s="1"/>
      </tp>
      <tp>
        <v>42243.828125</v>
        <stp/>
        <stp>##V3_BDPV12</stp>
        <stp>KSE100 Index</stp>
        <stp>HIGH_52WEEK</stp>
        <stp>[Index.xlsm]全球指數!R33C6</stp>
        <tr r="F33" s="1"/>
      </tp>
      <tp>
        <v>20.524048262184543</v>
        <stp/>
        <stp>##V3_BDPV12</stp>
        <stp>XMI Index</stp>
        <stp>PE_RATIO</stp>
        <stp>[Index.xlsm]全球指數!R211C18</stp>
        <tr r="R211" s="1"/>
      </tp>
      <tp>
        <v>119.58245240727452</v>
        <stp/>
        <stp>##V3_BDPV12</stp>
        <stp>XAU Index</stp>
        <stp>PE_RATIO</stp>
        <stp>[Index.xlsm]全球指數!R251C18</stp>
        <tr r="R251" s="1"/>
      </tp>
      <tp>
        <v>16.37110843941953</v>
        <stp/>
        <stp>##V3_BDPV12</stp>
        <stp>KFX Index</stp>
        <stp>INTERVAL_Low</stp>
        <stp>[Index.xlsm]全球指數!R285C17</stp>
        <stp>MARKET_DATA_OVERRIDE=PE_RATIO</stp>
        <stp>CALC_INTERVAL=5y</stp>
        <stp>BEST_FPERIOD_OVERRIDE=BF</stp>
        <tr r="Q285" s="1"/>
      </tp>
      <tp>
        <v>21.386407028812712</v>
        <stp/>
        <stp>##V3_BDPV12</stp>
        <stp>XCI Index</stp>
        <stp>PE_RATIO</stp>
        <stp>[Index.xlsm]全球指數!R124C18</stp>
        <tr r="R124" s="1"/>
      </tp>
      <tp>
        <v>19.030340020518416</v>
        <stp/>
        <stp>##V3_BDPV12</stp>
        <stp>KAX Index</stp>
        <stp>INTERVAL_Low</stp>
        <stp>[Index.xlsm]全球指數!R275C17</stp>
        <stp>MARKET_DATA_OVERRIDE=PE_RATIO</stp>
        <stp>CALC_INTERVAL=5y</stp>
        <stp>BEST_FPERIOD_OVERRIDE=BF</stp>
        <tr r="Q275" s="1"/>
      </tp>
      <tp t="s">
        <v>哥倫比亞COLCAP指數</v>
        <stp/>
        <stp>##V3_BDPV12</stp>
        <stp>COLCAP Index</stp>
        <stp>DS697</stp>
        <stp>[Index.xlsm]全球指數!R265C2</stp>
        <tr r="B265" s="1"/>
      </tp>
      <tp t="s">
        <v>越南河內證交所股票指數</v>
        <stp/>
        <stp>##V3_BDPV12</stp>
        <stp>VHINDEX Index</stp>
        <stp>DS697</stp>
        <stp>[Index.xlsm]全球指數!R276C2</stp>
        <tr r="B276" s="1"/>
      </tp>
      <tp t="s">
        <v>SR</v>
        <stp/>
        <stp>##V3_BDPV12</stp>
        <stp>SASEIDX Index</stp>
        <stp>DS003</stp>
        <stp>[Index.xlsm]全球指數!R308C3</stp>
        <tr r="C308" s="1"/>
      </tp>
      <tp>
        <v>14.786831006694831</v>
        <stp/>
        <stp>##V3_BDPV12</stp>
        <stp>KOSPI100 Index</stp>
        <stp>INTERVAL_HIGH</stp>
        <stp>[Index.xlsm]全球指數!R195C16</stp>
        <stp>MARKET_DATA_OVERRIDE=PE_RATIO</stp>
        <stp>CALC_INTERVAL=5y</stp>
        <stp>BEST_FPERIOD_OVERRIDE=BF</stp>
        <tr r="P195" s="1"/>
      </tp>
      <tp t="s">
        <v>華沙證交所sWIG80指數</v>
        <stp/>
        <stp>##V3_BDPV12</stp>
        <stp>SWIG80 Index</stp>
        <stp>DS697</stp>
        <stp>[Index.xlsm]全球指數!R191C2</stp>
        <tr r="B191" s="1"/>
      </tp>
      <tp>
        <v>1.09256</v>
        <stp/>
        <stp>##V3_BDPV12</stp>
        <stp>BSE500 Index</stp>
        <stp>CHG_PCT_1D</stp>
        <stp>[Index.xlsm]全球指數!R315C5</stp>
        <tr r="E315" s="1"/>
      </tp>
      <tp>
        <v>83535.3203125</v>
        <stp/>
        <stp>##V3_BDPV12</stp>
        <stp>XU100 Index</stp>
        <stp>LOW_52WEEK</stp>
        <stp>[Index.xlsm]全球指數!R298C8</stp>
        <tr r="H298" s="1"/>
      </tp>
      <tp>
        <v>-2.709549</v>
        <stp/>
        <stp>##V3_BDPV12</stp>
        <stp>MIDWIG Index</stp>
        <stp>CHG_PCT_5D</stp>
        <stp>[Index.xlsm]全球指數!R21C10</stp>
        <tr r="J21" s="1"/>
      </tp>
      <tp>
        <v>-11.26877</v>
        <stp/>
        <stp>##V3_BDPV12</stp>
        <stp>MIDWIG Index</stp>
        <stp>CHG_PCT_6M</stp>
        <stp>[Index.xlsm]全球指數!R21C13</stp>
        <tr r="M21" s="1"/>
      </tp>
      <tp>
        <v>-0.70780639999999995</v>
        <stp/>
        <stp>##V3_BDPV12</stp>
        <stp>MIDWIG Index</stp>
        <stp>CHG_PCT_1M</stp>
        <stp>[Index.xlsm]全球指數!R21C11</stp>
        <tr r="K21" s="1"/>
      </tp>
      <tp>
        <v>-9.2169790000000003</v>
        <stp/>
        <stp>##V3_BDPV12</stp>
        <stp>MIDWIG Index</stp>
        <stp>CHG_PCT_3M</stp>
        <stp>[Index.xlsm]全球指數!R21C12</stp>
        <tr r="L21" s="1"/>
      </tp>
      <tp>
        <v>12.014525936911884</v>
        <stp/>
        <stp>##V3_BDPV12</stp>
        <stp>HERMES Index</stp>
        <stp>PE_RATIO</stp>
        <stp>[Index.xlsm]全球指數!R6C18</stp>
        <tr r="R6" s="1"/>
      </tp>
      <tp>
        <v>11843.44</v>
        <stp/>
        <stp>##V3_BDPV12</stp>
        <stp>CN20 Index</stp>
        <stp>PX_LAST</stp>
        <stp>[Index.xlsm]全球指數!R172C4</stp>
        <tr r="D172" s="1"/>
      </tp>
      <tp t="s">
        <v>#N/A N/A</v>
        <stp/>
        <stp>##V3_BDPV12</stp>
        <stp>NYID Index</stp>
        <stp>INTERVAL_Low</stp>
        <stp>[Index.xlsm]全球指數!R148C17</stp>
        <stp>MARKET_DATA_OVERRIDE=PE_RATIO</stp>
        <stp>CALC_INTERVAL=5y</stp>
        <stp>BEST_FPERIOD_OVERRIDE=BF</stp>
        <tr r="Q148" s="1"/>
      </tp>
      <tp t="s">
        <v>NG</v>
        <stp/>
        <stp>##V3_BDPV12</stp>
        <stp>NGSEINDX Index</stp>
        <stp>DS003</stp>
        <stp>[Index.xlsm]全球指數!R219C3</stp>
        <tr r="C219" s="1"/>
      </tp>
      <tp t="s">
        <v>TA</v>
        <stp/>
        <stp>##V3_BDPV12</stp>
        <stp>TWSEMACH Index</stp>
        <stp>DS003</stp>
        <stp>[Index.xlsm]主要產業!R87C3</stp>
        <tr r="C87" s="2"/>
      </tp>
      <tp t="s">
        <v>TA</v>
        <stp/>
        <stp>##V3_BDPV12</stp>
        <stp>TWSEOPE Index</stp>
        <stp>DS003</stp>
        <stp>[Index.xlsm]主要產業!R78C3</stp>
        <tr r="C78" s="2"/>
      </tp>
      <tp t="s">
        <v>TA</v>
        <stp/>
        <stp>##V3_BDPV12</stp>
        <stp>TWSECEM Index</stp>
        <stp>DS003</stp>
        <stp>[Index.xlsm]主要產業!R88C3</stp>
        <tr r="C88" s="2"/>
      </tp>
      <tp>
        <v>1242.29</v>
        <stp/>
        <stp>##V3_BDPV12</stp>
        <stp>GOOGL US Equity</stp>
        <stp>PX_LAST</stp>
        <stp>[Index.xlsm]主要產業!R7C24</stp>
        <tr r="X7" s="2"/>
      </tp>
      <tp>
        <v>5322.4</v>
        <stp/>
        <stp>##V3_BDPV12</stp>
        <stp>T1X Index</stp>
        <stp>PX_LAST</stp>
        <stp>[Index.xlsm]全球指數!R95C4</stp>
        <tr r="D95" s="1"/>
      </tp>
      <tp t="s">
        <v>#N/A N/A</v>
        <stp/>
        <stp>##V3_BDPV12</stp>
        <stp>SX40 Index</stp>
        <stp>INTERVAL_Low</stp>
        <stp>[Index.xlsm]全球指數!R320C17</stp>
        <stp>MARKET_DATA_OVERRIDE=PE_RATIO</stp>
        <stp>CALC_INTERVAL=5y</stp>
        <stp>BEST_FPERIOD_OVERRIDE=BF</stp>
        <tr r="Q320" s="1"/>
      </tp>
      <tp>
        <v>15.038453349119472</v>
        <stp/>
        <stp>##V3_BDPV12</stp>
        <stp>SX5P Index</stp>
        <stp>INTERVAL_Low</stp>
        <stp>[Index.xlsm]全球指數!R255C17</stp>
        <stp>MARKET_DATA_OVERRIDE=PE_RATIO</stp>
        <stp>CALC_INTERVAL=5y</stp>
        <stp>BEST_FPERIOD_OVERRIDE=BF</stp>
        <tr r="Q255" s="1"/>
      </tp>
      <tp>
        <v>13.6547509808832</v>
        <stp/>
        <stp>##V3_BDPV12</stp>
        <stp>SX5E Index</stp>
        <stp>INTERVAL_Low</stp>
        <stp>[Index.xlsm]全球指數!R184C17</stp>
        <stp>MARKET_DATA_OVERRIDE=PE_RATIO</stp>
        <stp>CALC_INTERVAL=5y</stp>
        <stp>BEST_FPERIOD_OVERRIDE=BF</stp>
        <tr r="Q184" s="1"/>
      </tp>
      <tp>
        <v>0.20449100000000001</v>
        <stp/>
        <stp>##V3_BDPV12</stp>
        <stp>TPXM400 Index</stp>
        <stp>CHG_PCT_1D</stp>
        <stp>[Index.xlsm]全球指數!R294C5</stp>
        <tr r="E294" s="1"/>
      </tp>
      <tp>
        <v>631.99</v>
        <stp/>
        <stp>##V3_BDPV12</stp>
        <stp>s5cons index</stp>
        <stp>HIGH_52WEEK</stp>
        <stp>[Index.xlsm]主要產業!R9C6</stp>
        <tr r="F9" s="2"/>
      </tp>
      <tp>
        <v>10.735728182311069</v>
        <stp/>
        <stp>##V3_BDPV12</stp>
        <stp>SHASHR Index</stp>
        <stp>INTERVAL_Low</stp>
        <stp>[Index.xlsm]全球指數!R30C17</stp>
        <stp>MARKET_DATA_OVERRIDE=PE_RATIO</stp>
        <stp>CALC_INTERVAL=5y</stp>
        <stp>BEST_FPERIOD_OVERRIDE=BF</stp>
        <tr r="Q30" s="1"/>
      </tp>
      <tp>
        <v>20.045125117181318</v>
        <stp/>
        <stp>##V3_BDPV12</stp>
        <stp>SZASHR Index</stp>
        <stp>INTERVAL_Low</stp>
        <stp>[Index.xlsm]全球指數!R10C17</stp>
        <stp>MARKET_DATA_OVERRIDE=PE_RATIO</stp>
        <stp>CALC_INTERVAL=5y</stp>
        <stp>BEST_FPERIOD_OVERRIDE=BF</stp>
        <tr r="Q10" s="1"/>
      </tp>
      <tp>
        <v>18.422369589693112</v>
        <stp/>
        <stp>##V3_BDPV12</stp>
        <stp>JCI Index</stp>
        <stp>INTERVAL_Low</stp>
        <stp>[Index.xlsm]全球指數!R223C17</stp>
        <stp>MARKET_DATA_OVERRIDE=PE_RATIO</stp>
        <stp>CALC_INTERVAL=5y</stp>
        <stp>BEST_FPERIOD_OVERRIDE=BF</stp>
        <tr r="Q223" s="1"/>
      </tp>
      <tp t="s">
        <v>日經JASDAQ指數</v>
        <stp/>
        <stp>##V3_BDPV12</stp>
        <stp>NKYJQ Index</stp>
        <stp>DS697</stp>
        <stp>[Index.xlsm]全球指數!R292C2</stp>
        <tr r="B292" s="1"/>
      </tp>
      <tp t="s">
        <v>越南證交所指數</v>
        <stp/>
        <stp>##V3_BDPV12</stp>
        <stp>VNINDEX Index</stp>
        <stp>DS697</stp>
        <stp>[Index.xlsm]全球指數!R177C2</stp>
        <tr r="B177" s="1"/>
      </tp>
      <tp>
        <v>0.16485849999999999</v>
        <stp/>
        <stp>##V3_BDPV12</stp>
        <stp>SHSZ300 Index</stp>
        <stp>PR064</stp>
        <stp>[Index.xlsm]全球指數!R44C14</stp>
        <tr r="N44" s="1"/>
      </tp>
      <tp>
        <v>-0.1161377</v>
        <stp/>
        <stp>##V3_BDPV12</stp>
        <stp>NZSE10 Index</stp>
        <stp>CHG_PCT_1D</stp>
        <stp>[Index.xlsm]全球指數!R249C5</stp>
        <tr r="E249" s="1"/>
      </tp>
      <tp t="s">
        <v>FTSEurofirst 80 指數</v>
        <stp/>
        <stp>##V3_BDPV12</stp>
        <stp>FTEF80 Index</stp>
        <stp>DS697</stp>
        <stp>[Index.xlsm]全球指數!R161C2</stp>
        <tr r="B161" s="1"/>
      </tp>
      <tp t="s">
        <v>DE</v>
        <stp/>
        <stp>##V3_BDPV12</stp>
        <stp>OMXC25 Index</stp>
        <stp>DS003</stp>
        <stp>[Index.xlsm]全球指數!R262C3</stp>
        <tr r="C262" s="1"/>
      </tp>
      <tp>
        <v>0.71183589999999997</v>
        <stp/>
        <stp>##V3_BDPV12</stp>
        <stp>N100 Index</stp>
        <stp>CHG_PCT_1D</stp>
        <stp>[Index.xlsm]全球指數!R198C5</stp>
        <tr r="E198" s="1"/>
      </tp>
      <tp t="s">
        <v>#N/A N/A</v>
        <stp/>
        <stp>##V3_BDPV12</stp>
        <stp>SKSM Index</stp>
        <stp>PE_RATIO</stp>
        <stp>[Index.xlsm]全球指數!R281C18</stp>
        <tr r="R281" s="1"/>
      </tp>
      <tp>
        <v>8978.1200000000008</v>
        <stp/>
        <stp>##V3_BDPV12</stp>
        <stp>HSML100 Index</stp>
        <stp>HIGH_52WEEK</stp>
        <stp>[Index.xlsm]全球指數!R48C6</stp>
        <tr r="F48" s="1"/>
      </tp>
      <tp>
        <v>6512.42</v>
        <stp/>
        <stp>##V3_BDPV12</stp>
        <stp>TSE2 Index</stp>
        <stp>PX_LAST</stp>
        <stp>[Index.xlsm]全球指數!R261C4</stp>
        <tr r="D261" s="1"/>
      </tp>
      <tp>
        <v>13.653154309448897</v>
        <stp/>
        <stp>##V3_BDPV12</stp>
        <stp>SXXE Index</stp>
        <stp>INTERVAL_Low</stp>
        <stp>[Index.xlsm]全球指數!R156C17</stp>
        <stp>MARKET_DATA_OVERRIDE=PE_RATIO</stp>
        <stp>CALC_INTERVAL=5y</stp>
        <stp>BEST_FPERIOD_OVERRIDE=BF</stp>
        <tr r="Q156" s="1"/>
      </tp>
      <tp>
        <v>14.991025989220997</v>
        <stp/>
        <stp>##V3_BDPV12</stp>
        <stp>SXXP Index</stp>
        <stp>INTERVAL_Low</stp>
        <stp>[Index.xlsm]全球指數!R196C17</stp>
        <stp>MARKET_DATA_OVERRIDE=PE_RATIO</stp>
        <stp>CALC_INTERVAL=5y</stp>
        <stp>BEST_FPERIOD_OVERRIDE=BF</stp>
        <tr r="Q196" s="1"/>
      </tp>
      <tp t="s">
        <v>RR</v>
        <stp/>
        <stp>##V3_BDPV12</stp>
        <stp>BELEXLIN Index</stp>
        <stp>DS003</stp>
        <stp>[Index.xlsm]全球指數!R248C3</stp>
        <tr r="C248" s="1"/>
      </tp>
      <tp>
        <v>6785.5680000000002</v>
        <stp/>
        <stp>##V3_BDPV12</stp>
        <stp>AS30 Index</stp>
        <stp>PX_LAST</stp>
        <stp>[Index.xlsm]全球指數!R183C4</stp>
        <tr r="D183" s="1"/>
      </tp>
      <tp>
        <v>6677.5810000000001</v>
        <stp/>
        <stp>##V3_BDPV12</stp>
        <stp>AS51 Index</stp>
        <stp>PX_LAST</stp>
        <stp>[Index.xlsm]全球指數!R182C4</stp>
        <tr r="D182" s="1"/>
      </tp>
      <tp t="s">
        <v>韓國KOSDAQ指數</v>
        <stp/>
        <stp>##V3_BDPV12</stp>
        <stp>KOSDAQ Index</stp>
        <stp>DS697</stp>
        <stp>[Index.xlsm]全球指數!R18C2</stp>
        <tr r="B18" s="1"/>
      </tp>
      <tp t="s">
        <v>SK</v>
        <stp/>
        <stp>##V3_BDPV12</stp>
        <stp>KOSDAQ Index</stp>
        <stp>DS003</stp>
        <stp>[Index.xlsm]全球指數!R18C3</stp>
        <tr r="C18" s="1"/>
      </tp>
      <tp>
        <v>1534.98</v>
        <stp/>
        <stp>##V3_BDPV12</stp>
        <stp>E300 Index</stp>
        <stp>PX_LAST</stp>
        <stp>[Index.xlsm]全球指數!R213C4</stp>
        <tr r="D213" s="1"/>
      </tp>
      <tp>
        <v>14.65052954694926</v>
        <stp/>
        <stp>##V3_BDPV12</stp>
        <stp>TXEQ Index</stp>
        <stp>INTERVAL_Low</stp>
        <stp>[Index.xlsm]全球指數!R193C17</stp>
        <stp>MARKET_DATA_OVERRIDE=PE_RATIO</stp>
        <stp>CALC_INTERVAL=5y</stp>
        <stp>BEST_FPERIOD_OVERRIDE=BF</stp>
        <tr r="Q193" s="1"/>
      </tp>
      <tp>
        <v>253.56</v>
        <stp/>
        <stp>##V3_BDPV12</stp>
        <stp>SXKP INDEX</stp>
        <stp>PX_LAST</stp>
        <stp>[Index.xlsm]主要產業!R29C4</stp>
        <tr r="D29" s="2"/>
      </tp>
      <tp>
        <v>4.3704869999999998</v>
        <stp/>
        <stp>##V3_BDPV12</stp>
        <stp>s5tels Index</stp>
        <stp>CHG_PCT_1YR</stp>
        <stp>[Index.xlsm]主要產業!R6C15</stp>
        <tr r="O6" s="2"/>
      </tp>
      <tp t="s">
        <v>TA</v>
        <stp/>
        <stp>##V3_BDPV12</stp>
        <stp>TWSERUB Index</stp>
        <stp>DS003</stp>
        <stp>[Index.xlsm]主要產業!R89C3</stp>
        <tr r="C89" s="2"/>
      </tp>
      <tp t="s">
        <v>TA</v>
        <stp/>
        <stp>##V3_BDPV12</stp>
        <stp>TWSEOEG Index</stp>
        <stp>DS003</stp>
        <stp>[Index.xlsm]主要產業!R79C3</stp>
        <tr r="C79" s="2"/>
      </tp>
      <tp t="s">
        <v>#N/A N/A</v>
        <stp/>
        <stp>##V3_BDPV12</stp>
        <stp>SZSMEC Index</stp>
        <stp>INTERVAL_HIGH</stp>
        <stp>[Index.xlsm]全球指數!R9C16</stp>
        <stp>MARKET_DATA_OVERRIDE=PE_RATIO</stp>
        <stp>CALC_INTERVAL=5y</stp>
        <stp>BEST_FPERIOD_OVERRIDE=BF</stp>
        <tr r="P9" s="1"/>
      </tp>
      <tp t="s">
        <v>CH</v>
        <stp/>
        <stp>##V3_BDPV12</stp>
        <stp>SHCSI100 Index</stp>
        <stp>DS003</stp>
        <stp>[Index.xlsm]全球指數!R98C3</stp>
        <tr r="C98" s="1"/>
      </tp>
      <tp t="s">
        <v>CSI 100 Index - Shanghai</v>
        <stp/>
        <stp>##V3_BDPV12</stp>
        <stp>SHCSI100 Index</stp>
        <stp>DS697</stp>
        <stp>[Index.xlsm]全球指數!R98C2</stp>
        <tr r="B98" s="1"/>
      </tp>
      <tp t="s">
        <v>CO</v>
        <stp/>
        <stp>##V3_BDPV12</stp>
        <stp>COLCAP Index</stp>
        <stp>DS003</stp>
        <stp>[Index.xlsm]全球指數!R265C3</stp>
        <tr r="C265" s="1"/>
      </tp>
      <tp>
        <v>15.944706354438514</v>
        <stp/>
        <stp>##V3_BDPV12</stp>
        <stp>MID Index</stp>
        <stp>INTERVAL_Low</stp>
        <stp>[Index.xlsm]全球指數!R175C17</stp>
        <stp>MARKET_DATA_OVERRIDE=PE_RATIO</stp>
        <stp>CALC_INTERVAL=5y</stp>
        <stp>BEST_FPERIOD_OVERRIDE=BF</stp>
        <tr r="Q175" s="1"/>
      </tp>
      <tp>
        <v>14.757471161957751</v>
        <stp/>
        <stp>##V3_BDPV12</stp>
        <stp>MCX Index</stp>
        <stp>INTERVAL_Low</stp>
        <stp>[Index.xlsm]全球指數!R100C17</stp>
        <stp>MARKET_DATA_OVERRIDE=PE_RATIO</stp>
        <stp>CALC_INTERVAL=5y</stp>
        <stp>BEST_FPERIOD_OVERRIDE=BF</stp>
        <tr r="Q100" s="1"/>
      </tp>
      <tp>
        <v>827.16</v>
        <stp/>
        <stp>##V3_BDPV12</stp>
        <stp>SASX10 Index</stp>
        <stp>PX_LAST</stp>
        <stp>[Index.xlsm]全球指數!R293C4</stp>
        <tr r="D293" s="1"/>
      </tp>
      <tp>
        <v>3.4388273673845271</v>
        <stp/>
        <stp>##V3_BDPV12</stp>
        <stp>MBI Index</stp>
        <stp>INTERVAL_Low</stp>
        <stp>[Index.xlsm]全球指數!R314C17</stp>
        <stp>MARKET_DATA_OVERRIDE=PE_RATIO</stp>
        <stp>CALC_INTERVAL=5y</stp>
        <stp>BEST_FPERIOD_OVERRIDE=BF</stp>
        <tr r="Q314" s="1"/>
      </tp>
      <tp>
        <v>2774.11</v>
        <stp/>
        <stp>##V3_BDPV12</stp>
        <stp>N150 Index</stp>
        <stp>HIGH_52WEEK</stp>
        <stp>[Index.xlsm]全球指數!R45C6</stp>
        <tr r="F45" s="1"/>
      </tp>
      <tp t="s">
        <v>沙烏地阿拉伯證交所TASI綜合指</v>
        <stp/>
        <stp>##V3_BDPV12</stp>
        <stp>SASEIDX Index</stp>
        <stp>DS697</stp>
        <stp>[Index.xlsm]全球指數!R308C2</stp>
        <tr r="B308" s="1"/>
      </tp>
      <tp t="s">
        <v>VN</v>
        <stp/>
        <stp>##V3_BDPV12</stp>
        <stp>VHINDEX Index</stp>
        <stp>DS003</stp>
        <stp>[Index.xlsm]全球指數!R276C3</stp>
        <tr r="C276" s="1"/>
      </tp>
      <tp>
        <v>-1.729813</v>
        <stp/>
        <stp>##V3_BDPV12</stp>
        <stp>BVLX Index</stp>
        <stp>CHG_PCT_5D</stp>
        <stp>[Index.xlsm]全球指數!R69C10</stp>
        <tr r="J69" s="1"/>
      </tp>
      <tp>
        <v>3.79996</v>
        <stp/>
        <stp>##V3_BDPV12</stp>
        <stp>BVLX Index</stp>
        <stp>CHG_PCT_6M</stp>
        <stp>[Index.xlsm]全球指數!R69C13</stp>
        <tr r="M69" s="1"/>
      </tp>
      <tp>
        <v>4.3242799999999999</v>
        <stp/>
        <stp>##V3_BDPV12</stp>
        <stp>BVLX Index</stp>
        <stp>CHG_PCT_1M</stp>
        <stp>[Index.xlsm]全球指數!R69C11</stp>
        <tr r="K69" s="1"/>
      </tp>
      <tp>
        <v>1.2422359999999999</v>
        <stp/>
        <stp>##V3_BDPV12</stp>
        <stp>BVLX Index</stp>
        <stp>CHG_PCT_3M</stp>
        <stp>[Index.xlsm]全球指數!R69C12</stp>
        <tr r="L69" s="1"/>
      </tp>
      <tp t="s">
        <v>PD</v>
        <stp/>
        <stp>##V3_BDPV12</stp>
        <stp>SWIG80 Index</stp>
        <stp>DS003</stp>
        <stp>[Index.xlsm]全球指數!R191C3</stp>
        <tr r="C191" s="1"/>
      </tp>
      <tp>
        <v>1457.24</v>
        <stp/>
        <stp>##V3_BDPV12</stp>
        <stp>TPXL70 Index</stp>
        <stp>LOW_52WEEK</stp>
        <stp>[Index.xlsm]全球指數!R278C8</stp>
        <tr r="H278" s="1"/>
      </tp>
      <tp>
        <v>-3.802988</v>
        <stp/>
        <stp>##V3_BDPV12</stp>
        <stp>MSETOP Index</stp>
        <stp>CHG_PCT_1M</stp>
        <stp>[Index.xlsm]全球指數!R26C11</stp>
        <tr r="K26" s="1"/>
      </tp>
      <tp>
        <v>-8.4896820000000002</v>
        <stp/>
        <stp>##V3_BDPV12</stp>
        <stp>MSETOP Index</stp>
        <stp>CHG_PCT_3M</stp>
        <stp>[Index.xlsm]全球指數!R26C12</stp>
        <tr r="L26" s="1"/>
      </tp>
      <tp>
        <v>-2.5220069999999999</v>
        <stp/>
        <stp>##V3_BDPV12</stp>
        <stp>MSETOP Index</stp>
        <stp>CHG_PCT_5D</stp>
        <stp>[Index.xlsm]全球指數!R26C10</stp>
        <tr r="J26" s="1"/>
      </tp>
      <tp>
        <v>-10.39842</v>
        <stp/>
        <stp>##V3_BDPV12</stp>
        <stp>MSETOP Index</stp>
        <stp>CHG_PCT_6M</stp>
        <stp>[Index.xlsm]全球指數!R26C13</stp>
        <tr r="M26" s="1"/>
      </tp>
      <tp>
        <v>1088.5</v>
        <stp/>
        <stp>##V3_BDPV12</stp>
        <stp>SET50 Index</stp>
        <stp>PX_LAST</stp>
        <stp>[Index.xlsm]全球指數!R233C4</stp>
        <tr r="D233" s="1"/>
      </tp>
      <tp>
        <v>101940.3</v>
        <stp/>
        <stp>##V3_BDPV12</stp>
        <stp>XU100 Index</stp>
        <stp>PX_LAST</stp>
        <stp>[Index.xlsm]全球指數!R298C4</stp>
        <tr r="D298" s="1"/>
      </tp>
      <tp>
        <v>2990.68</v>
        <stp/>
        <stp>##V3_BDPV12</stp>
        <stp>E100 Index</stp>
        <stp>PX_LAST</stp>
        <stp>[Index.xlsm]全球指數!R234C4</stp>
        <tr r="D234" s="1"/>
      </tp>
      <tp t="s">
        <v>奈及利亞證交所全部股票指數</v>
        <stp/>
        <stp>##V3_BDPV12</stp>
        <stp>NGSEINDX Index</stp>
        <stp>DS697</stp>
        <stp>[Index.xlsm]全球指數!R219C2</stp>
        <tr r="B219" s="1"/>
      </tp>
      <tp>
        <v>4.2258650692432154</v>
        <stp/>
        <stp>##V3_BDPV12</stp>
        <stp>BLOM Index</stp>
        <stp>PE_RATIO</stp>
        <stp>[Index.xlsm]全球指數!R259C18</stp>
        <tr r="R259" s="1"/>
      </tp>
      <tp>
        <v>2258.7399999999998</v>
        <stp/>
        <stp>##V3_BDPV12</stp>
        <stp>IT30 Index</stp>
        <stp>PX_LAST</stp>
        <stp>[Index.xlsm]全球指數!R114C4</stp>
        <tr r="D114" s="1"/>
      </tp>
      <tp>
        <v>0.29180250000000002</v>
        <stp/>
        <stp>##V3_BDPV12</stp>
        <stp>N150 Index</stp>
        <stp>CHG_PCT_1D</stp>
        <stp>[Index.xlsm]全球指數!R45C5</stp>
        <tr r="E45" s="1"/>
      </tp>
      <tp>
        <v>49.303379999999997</v>
        <stp/>
        <stp>##V3_BDPV12</stp>
        <stp>PG US Equity</stp>
        <stp>CHG_PCT_1YR</stp>
        <stp>[Index.xlsm]主要產業!R8C35</stp>
        <tr r="AI8" s="2"/>
      </tp>
      <tp>
        <v>538.57000000000005</v>
        <stp/>
        <stp>##V3_BDPV12</stp>
        <stp>SXFP INDEX</stp>
        <stp>PX_LAST</stp>
        <stp>[Index.xlsm]主要產業!R33C4</stp>
        <tr r="D33" s="2"/>
      </tp>
      <tp t="s">
        <v>TA</v>
        <stp/>
        <stp>##V3_BDPV12</stp>
        <stp>TWSEELEC Index</stp>
        <stp>DS003</stp>
        <stp>[Index.xlsm]主要產業!R69C3</stp>
        <tr r="C69" s="2"/>
      </tp>
      <tp t="s">
        <v>TA</v>
        <stp/>
        <stp>##V3_BDPV12</stp>
        <stp>TWSEPP Index</stp>
        <stp>DS003</stp>
        <stp>[Index.xlsm]主要產業!R95C3</stp>
        <tr r="C95" s="2"/>
      </tp>
      <tp>
        <v>35.692548087362262</v>
        <stp/>
        <stp>##V3_BDPV12</stp>
        <stp>HERMES Index</stp>
        <stp>INTERVAL_HIGH</stp>
        <stp>[Index.xlsm]全球指數!R6C16</stp>
        <stp>MARKET_DATA_OVERRIDE=PE_RATIO</stp>
        <stp>CALC_INTERVAL=5y</stp>
        <stp>BEST_FPERIOD_OVERRIDE=BF</stp>
        <tr r="P6" s="1"/>
      </tp>
      <tp>
        <v>5.1515320000000003E-2</v>
        <stp/>
        <stp>##V3_BDPV12</stp>
        <stp>SPTSX60 Index</stp>
        <stp>CHG_PCT_1D</stp>
        <stp>[Index.xlsm]全球指數!R194C5</stp>
        <tr r="E194" s="1"/>
      </tp>
      <tp>
        <v>263.26679566112466</v>
        <stp/>
        <stp>##V3_BDPV12</stp>
        <stp>MERVAL Index</stp>
        <stp>INTERVAL_HIGH</stp>
        <stp>[Index.xlsm]全球指數!R4C16</stp>
        <stp>MARKET_DATA_OVERRIDE=PE_RATIO</stp>
        <stp>CALC_INTERVAL=5y</stp>
        <stp>BEST_FPERIOD_OVERRIDE=BF</stp>
        <tr r="P4" s="1"/>
      </tp>
      <tp>
        <v>2080.19</v>
        <stp/>
        <stp>##V3_BDPV12</stp>
        <stp>TPXM400 Index</stp>
        <stp>HIGH_52WEEK</stp>
        <stp>[Index.xlsm]全球指數!R294C6</stp>
        <tr r="F294" s="1"/>
      </tp>
      <tp>
        <v>12539.38</v>
        <stp/>
        <stp>##V3_BDPV12</stp>
        <stp>CS90 Index</stp>
        <stp>HIGH_52WEEK</stp>
        <stp>[Index.xlsm]全球指數!R38C6</stp>
        <tr r="F38" s="1"/>
      </tp>
      <tp t="s">
        <v>JN</v>
        <stp/>
        <stp>##V3_BDPV12</stp>
        <stp>NKYJQ Index</stp>
        <stp>DS003</stp>
        <stp>[Index.xlsm]全球指數!R292C3</stp>
        <tr r="C292" s="1"/>
      </tp>
      <tp t="s">
        <v>VN</v>
        <stp/>
        <stp>##V3_BDPV12</stp>
        <stp>VNINDEX Index</stp>
        <stp>DS003</stp>
        <stp>[Index.xlsm]全球指數!R177C3</stp>
        <tr r="C177" s="1"/>
      </tp>
      <tp>
        <v>10.395819609863606</v>
        <stp/>
        <stp>##V3_BDPV12</stp>
        <stp>SHSZ300 Index</stp>
        <stp>INTERVAL_Low</stp>
        <stp>[Index.xlsm]全球指數!R44C17</stp>
        <stp>MARKET_DATA_OVERRIDE=PE_RATIO</stp>
        <stp>CALC_INTERVAL=5y</stp>
        <stp>BEST_FPERIOD_OVERRIDE=BF</stp>
        <tr r="Q44" s="1"/>
      </tp>
      <tp>
        <v>-1.860206</v>
        <stp/>
        <stp>##V3_BDPV12</stp>
        <stp>CCMP Index</stp>
        <stp>CHG_PCT_5D</stp>
        <stp>[Index.xlsm]全球指數!R61C10</stp>
        <tr r="J61" s="1"/>
      </tp>
      <tp>
        <v>5.0669250000000003</v>
        <stp/>
        <stp>##V3_BDPV12</stp>
        <stp>CCMP Index</stp>
        <stp>CHG_PCT_6M</stp>
        <stp>[Index.xlsm]全球指數!R61C13</stp>
        <tr r="M61" s="1"/>
      </tp>
      <tp>
        <v>2.6027439999999999</v>
        <stp/>
        <stp>##V3_BDPV12</stp>
        <stp>CCMP Index</stp>
        <stp>CHG_PCT_1M</stp>
        <stp>[Index.xlsm]全球指數!R61C11</stp>
        <tr r="K61" s="1"/>
      </tp>
      <tp>
        <v>0.78947330000000004</v>
        <stp/>
        <stp>##V3_BDPV12</stp>
        <stp>CCMP Index</stp>
        <stp>CHG_PCT_3M</stp>
        <stp>[Index.xlsm]全球指數!R61C12</stp>
        <tr r="L61" s="1"/>
      </tp>
      <tp>
        <v>10414.85</v>
        <stp/>
        <stp>##V3_BDPV12</stp>
        <stp>SWIG80 Index</stp>
        <stp>LOW_52WEEK</stp>
        <stp>[Index.xlsm]全球指數!R191C8</stp>
        <tr r="H191" s="1"/>
      </tp>
      <tp t="s">
        <v>OMX Copenhagen 25 Index</v>
        <stp/>
        <stp>##V3_BDPV12</stp>
        <stp>OMXC25 Index</stp>
        <stp>DS697</stp>
        <stp>[Index.xlsm]全球指數!R262C2</stp>
        <tr r="B262" s="1"/>
      </tp>
      <tp t="s">
        <v>EC</v>
        <stp/>
        <stp>##V3_BDPV12</stp>
        <stp>FTEF80 Index</stp>
        <stp>DS003</stp>
        <stp>[Index.xlsm]全球指數!R161C3</stp>
        <tr r="C161" s="1"/>
      </tp>
      <tp t="s">
        <v>BELEXline指數</v>
        <stp/>
        <stp>##V3_BDPV12</stp>
        <stp>BELEXLIN Index</stp>
        <stp>DS697</stp>
        <stp>[Index.xlsm]全球指數!R248C2</stp>
        <tr r="B248" s="1"/>
      </tp>
      <tp>
        <v>8192.64</v>
        <stp/>
        <stp>##V3_BDPV12</stp>
        <stp>TW50 Index</stp>
        <stp>PX_LAST</stp>
        <stp>[Index.xlsm]全球指數!R235C4</stp>
        <tr r="D235" s="1"/>
      </tp>
      <tp>
        <v>2927.877</v>
        <stp/>
        <stp>##V3_BDPV12</stp>
        <stp>SSE50 Index</stp>
        <stp>PX_LAST</stp>
        <stp>[Index.xlsm]全球指數!R132C4</stp>
        <tr r="D132" s="1"/>
      </tp>
      <tp>
        <v>126298.8</v>
        <stp/>
        <stp>##V3_BDPV12</stp>
        <stp>XU030 Index</stp>
        <stp>PX_LAST</stp>
        <stp>[Index.xlsm]全球指數!R299C4</stp>
        <tr r="D299" s="1"/>
      </tp>
      <tp>
        <v>19.791462947269974</v>
        <stp/>
        <stp>##V3_BDPV12</stp>
        <stp>SMIM Index</stp>
        <stp>PE_RATIO</stp>
        <stp>[Index.xlsm]全球指數!R199C18</stp>
        <tr r="R199" s="1"/>
      </tp>
      <tp>
        <v>395.25</v>
        <stp/>
        <stp>##V3_BDPV12</stp>
        <stp>s5enrs Index</stp>
        <stp>LOW_52WEEK</stp>
        <stp>[Index.xlsm]主要產業!R12C8</stp>
        <tr r="H12" s="2"/>
      </tp>
      <tp t="s">
        <v>SK</v>
        <stp/>
        <stp>##V3_BDPV12</stp>
        <stp>KOSPTREQ Index</stp>
        <stp>DS003</stp>
        <stp>[Index.xlsm]主要產業!R46C3</stp>
        <tr r="C46" s="2"/>
      </tp>
      <tp>
        <v>18.087404827756533</v>
        <stp/>
        <stp>##V3_BDPV12</stp>
        <stp>CN20 Index</stp>
        <stp>PE_RATIO</stp>
        <stp>[Index.xlsm]全球指數!R172C18</stp>
        <tr r="R172" s="1"/>
      </tp>
      <tp>
        <v>2203.3000000000002</v>
        <stp/>
        <stp>##V3_BDPV12</stp>
        <stp>S5SFTW Index</stp>
        <stp>HIGH_52WEEK</stp>
        <stp>[Index.xlsm]主要產業!R5C6</stp>
        <tr r="F5" s="2"/>
      </tp>
      <tp>
        <v>2733.62</v>
        <stp/>
        <stp>##V3_BDPV12</stp>
        <stp>CHILE65 Index</stp>
        <stp>LOW_52WEEK</stp>
        <stp>[Index.xlsm]全球指數!R165C8</stp>
        <tr r="H165" s="1"/>
      </tp>
      <tp t="s">
        <v>KU</v>
        <stp/>
        <stp>##V3_BDPV12</stp>
        <stp>KWSEMM Index</stp>
        <stp>DS003</stp>
        <stp>[Index.xlsm]全球指數!R291C3</stp>
        <tr r="C291" s="1"/>
      </tp>
      <tp>
        <v>12.342325176466705</v>
        <stp/>
        <stp>##V3_BDPV12</stp>
        <stp>MIDWIG Index</stp>
        <stp>INTERVAL_Low</stp>
        <stp>[Index.xlsm]全球指數!R21C17</stp>
        <stp>MARKET_DATA_OVERRIDE=PE_RATIO</stp>
        <stp>CALC_INTERVAL=5y</stp>
        <stp>BEST_FPERIOD_OVERRIDE=BF</stp>
        <tr r="Q21" s="1"/>
      </tp>
      <tp t="s">
        <v>盧森堡 LUXX 報酬指數</v>
        <stp/>
        <stp>##V3_BDPV12</stp>
        <stp>LUXXR Index</stp>
        <stp>DS697</stp>
        <stp>[Index.xlsm]全球指數!R126C2</stp>
        <tr r="B126" s="1"/>
      </tp>
      <tp t="s">
        <v>GH</v>
        <stp/>
        <stp>##V3_BDPV12</stp>
        <stp>GGSECI Index</stp>
        <stp>DS003</stp>
        <stp>[Index.xlsm]全球指數!R111C3</stp>
        <tr r="C111" s="1"/>
      </tp>
      <tp t="s">
        <v>MX</v>
        <stp/>
        <stp>##V3_BDPV12</stp>
        <stp>MEXBOL Index</stp>
        <stp>DS003</stp>
        <stp>[Index.xlsm]全球指數!R236C3</stp>
        <tr r="C236" s="1"/>
      </tp>
      <tp t="s">
        <v>FTSEurofirst 100 指數</v>
        <stp/>
        <stp>##V3_BDPV12</stp>
        <stp>FTEFC1 Index</stp>
        <stp>DS697</stp>
        <stp>[Index.xlsm]全球指數!R214C2</stp>
        <tr r="B214" s="1"/>
      </tp>
      <tp>
        <v>15.246439956928006</v>
        <stp/>
        <stp>##V3_BDPV12</stp>
        <stp>OEX Index</stp>
        <stp>INTERVAL_Low</stp>
        <stp>[Index.xlsm]全球指數!R117C17</stp>
        <stp>MARKET_DATA_OVERRIDE=PE_RATIO</stp>
        <stp>CALC_INTERVAL=5y</stp>
        <stp>BEST_FPERIOD_OVERRIDE=BF</stp>
        <tr r="Q117" s="1"/>
      </tp>
      <tp t="s">
        <v>KU</v>
        <stp/>
        <stp>##V3_BDPV12</stp>
        <stp>KWSEPM Index</stp>
        <stp>DS003</stp>
        <stp>[Index.xlsm]全球指數!R311C3</stp>
        <tr r="C311" s="1"/>
      </tp>
      <tp>
        <v>13.012269467730261</v>
        <stp/>
        <stp>##V3_BDPV12</stp>
        <stp>INDI25 Index</stp>
        <stp>INTERVAL_Low</stp>
        <stp>[Index.xlsm]全球指數!R70C17</stp>
        <stp>MARKET_DATA_OVERRIDE=PE_RATIO</stp>
        <stp>CALC_INTERVAL=5y</stp>
        <stp>BEST_FPERIOD_OVERRIDE=BF</stp>
        <tr r="Q70" s="1"/>
      </tp>
      <tp t="s">
        <v>JN</v>
        <stp/>
        <stp>##V3_BDPV12</stp>
        <stp>TPXL70 Index</stp>
        <stp>DS003</stp>
        <stp>[Index.xlsm]全球指數!R278C3</stp>
        <tr r="C278" s="1"/>
      </tp>
      <tp t="s">
        <v>BZ</v>
        <stp/>
        <stp>##V3_BDPV12</stp>
        <stp>IBX50 Index</stp>
        <stp>DS003</stp>
        <stp>[Index.xlsm]全球指數!R290C3</stp>
        <tr r="C290" s="1"/>
      </tp>
      <tp>
        <v>3.6443210000000001</v>
        <stp/>
        <stp>##V3_BDPV12</stp>
        <stp>CBNK Index</stp>
        <stp>CHG_PCT_6M</stp>
        <stp>[Index.xlsm]全球指數!R92C13</stp>
        <tr r="M92" s="1"/>
      </tp>
      <tp>
        <v>-1.4549639999999999</v>
        <stp/>
        <stp>##V3_BDPV12</stp>
        <stp>CBNK Index</stp>
        <stp>CHG_PCT_5D</stp>
        <stp>[Index.xlsm]全球指數!R92C10</stp>
        <tr r="J92" s="1"/>
      </tp>
      <tp>
        <v>0.177844</v>
        <stp/>
        <stp>##V3_BDPV12</stp>
        <stp>CBNK Index</stp>
        <stp>CHG_PCT_3M</stp>
        <stp>[Index.xlsm]全球指數!R92C12</stp>
        <tr r="L92" s="1"/>
      </tp>
      <tp>
        <v>8.6068999999999996</v>
        <stp/>
        <stp>##V3_BDPV12</stp>
        <stp>CBNK Index</stp>
        <stp>CHG_PCT_1M</stp>
        <stp>[Index.xlsm]全球指數!R92C11</stp>
        <tr r="K92" s="1"/>
      </tp>
      <tp>
        <v>0.75108419999999998</v>
        <stp/>
        <stp>##V3_BDPV12</stp>
        <stp>CIND Index</stp>
        <stp>CHG_PCT_1M</stp>
        <stp>[Index.xlsm]全球指數!R25C11</stp>
        <tr r="K25" s="1"/>
      </tp>
      <tp>
        <v>-2.4152439999999999</v>
        <stp/>
        <stp>##V3_BDPV12</stp>
        <stp>CIND Index</stp>
        <stp>CHG_PCT_3M</stp>
        <stp>[Index.xlsm]全球指數!R25C12</stp>
        <tr r="L25" s="1"/>
      </tp>
      <tp>
        <v>-2.5271430000000001</v>
        <stp/>
        <stp>##V3_BDPV12</stp>
        <stp>CIND Index</stp>
        <stp>CHG_PCT_5D</stp>
        <stp>[Index.xlsm]全球指數!R25C10</stp>
        <tr r="J25" s="1"/>
      </tp>
      <tp>
        <v>2.8560859999999999</v>
        <stp/>
        <stp>##V3_BDPV12</stp>
        <stp>CIND Index</stp>
        <stp>CHG_PCT_6M</stp>
        <stp>[Index.xlsm]全球指數!R25C13</stp>
        <tr r="M25" s="1"/>
      </tp>
      <tp t="s">
        <v>JN</v>
        <stp/>
        <stp>##V3_BDPV12</stp>
        <stp>TSEMOTHR Index</stp>
        <stp>DS003</stp>
        <stp>[Index.xlsm]全球指數!R313C3</stp>
        <tr r="C313" s="1"/>
      </tp>
      <tp>
        <v>2172.4699999999998</v>
        <stp/>
        <stp>##V3_BDPV12</stp>
        <stp>WIG20 Index</stp>
        <stp>PX_LAST</stp>
        <stp>[Index.xlsm]全球指數!R145C4</stp>
        <tr r="D145" s="1"/>
      </tp>
      <tp>
        <v>17.937204058289012</v>
        <stp/>
        <stp>##V3_BDPV12</stp>
        <stp>INDU Index</stp>
        <stp>PE_RATIO</stp>
        <stp>[Index.xlsm]全球指數!R170C18</stp>
        <tr r="R170" s="1"/>
      </tp>
      <tp t="s">
        <v>安曼證券交易所一般指數</v>
        <stp/>
        <stp>##V3_BDPV12</stp>
        <stp>JOSMGNFF Index</stp>
        <stp>DS697</stp>
        <stp>[Index.xlsm]全球指數!R263C2</stp>
        <tr r="B263" s="1"/>
      </tp>
      <tp>
        <v>1005.4869505623872</v>
        <stp/>
        <stp>##V3_BDPV12</stp>
        <stp>AMZN US Equity</stp>
        <stp>INTERVAL_HIGH</stp>
        <stp>[Index.xlsm]主要產業!R4C36</stp>
        <stp>MARKET_DATA_OVERRIDE=PE_RATIO</stp>
        <stp>CALC_INTERVAL=5y</stp>
        <stp>BEST_FPERIOD_OVERRIDE=BF</stp>
        <tr r="AJ4" s="2"/>
      </tp>
      <tp>
        <v>20.63015068289489</v>
        <stp/>
        <stp>##V3_BDPV12</stp>
        <stp>AAPL US Equity</stp>
        <stp>INTERVAL_HIGH</stp>
        <stp>[Index.xlsm]主要產業!R3C36</stp>
        <stp>MARKET_DATA_OVERRIDE=PE_RATIO</stp>
        <stp>CALC_INTERVAL=5y</stp>
        <stp>BEST_FPERIOD_OVERRIDE=BF</stp>
        <tr r="AJ3" s="2"/>
      </tp>
      <tp>
        <v>543.4</v>
        <stp/>
        <stp>##V3_BDPV12</stp>
        <stp>SXNP INDEX</stp>
        <stp>PX_LAST</stp>
        <stp>[Index.xlsm]主要產業!R19C4</stp>
        <tr r="D19" s="2"/>
      </tp>
      <tp>
        <v>15.737329089375647</v>
        <stp/>
        <stp>##V3_BDPV12</stp>
        <stp>NMX Index</stp>
        <stp>INTERVAL_Low</stp>
        <stp>[Index.xlsm]全球指數!R212C17</stp>
        <stp>MARKET_DATA_OVERRIDE=PE_RATIO</stp>
        <stp>CALC_INTERVAL=5y</stp>
        <stp>BEST_FPERIOD_OVERRIDE=BF</stp>
        <tr r="Q212" s="1"/>
      </tp>
      <tp t="s">
        <v>盧森堡 LUXX 指數</v>
        <stp/>
        <stp>##V3_BDPV12</stp>
        <stp>LUXXX Index</stp>
        <stp>DS697</stp>
        <stp>[Index.xlsm]全球指數!R127C2</stp>
        <tr r="B127" s="1"/>
      </tp>
      <tp>
        <v>6.0612826885987658</v>
        <stp/>
        <stp>##V3_BDPV12</stp>
        <stp>EUETMP Index</stp>
        <stp>INTERVAL_Low</stp>
        <stp>[Index.xlsm]全球指數!R97C17</stp>
        <stp>MARKET_DATA_OVERRIDE=PE_RATIO</stp>
        <stp>CALC_INTERVAL=5y</stp>
        <stp>BEST_FPERIOD_OVERRIDE=BF</stp>
        <tr r="Q97" s="1"/>
      </tp>
      <tp>
        <v>7.8428010494263365</v>
        <stp/>
        <stp>##V3_BDPV12</stp>
        <stp>MSETOP Index</stp>
        <stp>INTERVAL_Low</stp>
        <stp>[Index.xlsm]全球指數!R26C17</stp>
        <stp>MARKET_DATA_OVERRIDE=PE_RATIO</stp>
        <stp>CALC_INTERVAL=5y</stp>
        <stp>BEST_FPERIOD_OVERRIDE=BF</stp>
        <tr r="Q26" s="1"/>
      </tp>
      <tp>
        <v>13.235173471021744</v>
        <stp/>
        <stp>##V3_BDPV12</stp>
        <stp>NKY Index</stp>
        <stp>INTERVAL_Low</stp>
        <stp>[Index.xlsm]全球指數!R264C17</stp>
        <stp>MARKET_DATA_OVERRIDE=PE_RATIO</stp>
        <stp>CALC_INTERVAL=5y</stp>
        <stp>BEST_FPERIOD_OVERRIDE=BF</stp>
        <tr r="Q264" s="1"/>
      </tp>
      <tp>
        <v>10.521659982819822</v>
        <stp/>
        <stp>##V3_BDPV12</stp>
        <stp>NEY Index</stp>
        <stp>INTERVAL_Low</stp>
        <stp>[Index.xlsm]全球指數!R282C17</stp>
        <stp>MARKET_DATA_OVERRIDE=PE_RATIO</stp>
        <stp>CALC_INTERVAL=5y</stp>
        <stp>BEST_FPERIOD_OVERRIDE=BF</stp>
        <tr r="Q282" s="1"/>
      </tp>
      <tp t="s">
        <v>TOPIX小型股指數</v>
        <stp/>
        <stp>##V3_BDPV12</stp>
        <stp>TPXSM Index</stp>
        <stp>DS697</stp>
        <stp>[Index.xlsm]全球指數!R307C2</stp>
        <tr r="B307" s="1"/>
      </tp>
      <tp t="s">
        <v>SL</v>
        <stp/>
        <stp>##V3_BDPV12</stp>
        <stp>CSEALL Index</stp>
        <stp>DS003</stp>
        <stp>[Index.xlsm]全球指數!R174C3</stp>
        <tr r="C174" s="1"/>
      </tp>
      <tp>
        <v>12.924693533511526</v>
        <stp/>
        <stp>##V3_BDPV12</stp>
        <stp>NDF Index</stp>
        <stp>INTERVAL_Low</stp>
        <stp>[Index.xlsm]全球指數!R125C17</stp>
        <stp>MARKET_DATA_OVERRIDE=PE_RATIO</stp>
        <stp>CALC_INTERVAL=5y</stp>
        <stp>BEST_FPERIOD_OVERRIDE=BF</stp>
        <tr r="Q125" s="1"/>
      </tp>
      <tp t="s">
        <v>SZ</v>
        <stp/>
        <stp>##V3_BDPV12</stp>
        <stp>SPIEXX Index</stp>
        <stp>DS003</stp>
        <stp>[Index.xlsm]全球指數!R180C3</stp>
        <tr r="C180" s="1"/>
      </tp>
      <tp>
        <v>50.394978948290735</v>
        <stp/>
        <stp>##V3_BDPV12</stp>
        <stp>SPTSXVEN Index</stp>
        <stp>INTERVAL_Low</stp>
        <stp>[Index.xlsm]全球指數!R78C17</stp>
        <stp>MARKET_DATA_OVERRIDE=PE_RATIO</stp>
        <stp>CALC_INTERVAL=5y</stp>
        <stp>BEST_FPERIOD_OVERRIDE=BF</stp>
        <tr r="Q78" s="1"/>
      </tp>
      <tp t="s">
        <v>奈洛比證交所全部股票指數</v>
        <stp/>
        <stp>##V3_BDPV12</stp>
        <stp>NSEASI Index</stp>
        <stp>DS697</stp>
        <stp>[Index.xlsm]全球指數!R252C2</stp>
        <tr r="B252" s="1"/>
      </tp>
      <tp>
        <v>9.8324128204326233E-3</v>
        <stp/>
        <stp>##V3_BDPV12</stp>
        <stp>NYK Index</stp>
        <stp>INTERVAL_Low</stp>
        <stp>[Index.xlsm]全球指數!R216C17</stp>
        <stp>MARKET_DATA_OVERRIDE=PE_RATIO</stp>
        <stp>CALC_INTERVAL=5y</stp>
        <stp>BEST_FPERIOD_OVERRIDE=BF</stp>
        <tr r="Q216" s="1"/>
      </tp>
      <tp>
        <v>13.763835870304352</v>
        <stp/>
        <stp>##V3_BDPV12</stp>
        <stp>NYA Index</stp>
        <stp>INTERVAL_Low</stp>
        <stp>[Index.xlsm]全球指數!R178C17</stp>
        <stp>MARKET_DATA_OVERRIDE=PE_RATIO</stp>
        <stp>CALC_INTERVAL=5y</stp>
        <stp>BEST_FPERIOD_OVERRIDE=BF</stp>
        <tr r="Q178" s="1"/>
      </tp>
      <tp t="s">
        <v>US</v>
        <stp/>
        <stp>##V3_BDPV12</stp>
        <stp>NYYID Index</stp>
        <stp>DS003</stp>
        <stp>[Index.xlsm]全球指數!R190C3</stp>
        <tr r="C190" s="1"/>
      </tp>
      <tp t="s">
        <v>JN</v>
        <stp/>
        <stp>##V3_BDPV12</stp>
        <stp>TPXC30 Index</stp>
        <stp>DS003</stp>
        <stp>[Index.xlsm]全球指數!R266C3</stp>
        <tr r="C266" s="1"/>
      </tp>
      <tp>
        <v>3617.11</v>
        <stp/>
        <stp>##V3_BDPV12</stp>
        <stp>SBF120 Index</stp>
        <stp>LOW_52WEEK</stp>
        <stp>[Index.xlsm]全球指數!R169C8</stp>
        <tr r="H169" s="1"/>
      </tp>
      <tp>
        <v>7.0876980219374648</v>
        <stp/>
        <stp>##V3_BDPV12</stp>
        <stp>KSE100 Index</stp>
        <stp>INTERVAL_Low</stp>
        <stp>[Index.xlsm]全球指數!R33C17</stp>
        <stp>MARKET_DATA_OVERRIDE=PE_RATIO</stp>
        <stp>CALC_INTERVAL=5y</stp>
        <stp>BEST_FPERIOD_OVERRIDE=BF</stp>
        <tr r="Q33" s="1"/>
      </tp>
      <tp>
        <v>9.3763901419560902</v>
        <stp/>
        <stp>##V3_BDPV12</stp>
        <stp>EUE15P Index</stp>
        <stp>INTERVAL_Low</stp>
        <stp>[Index.xlsm]全球指數!R57C17</stp>
        <stp>MARKET_DATA_OVERRIDE=PE_RATIO</stp>
        <stp>CALC_INTERVAL=5y</stp>
        <stp>BEST_FPERIOD_OVERRIDE=BF</stp>
        <tr r="Q57" s="1"/>
      </tp>
      <tp>
        <v>9.1130806144050585</v>
        <stp/>
        <stp>##V3_BDPV12</stp>
        <stp>SSE180 Index</stp>
        <stp>INTERVAL_Low</stp>
        <stp>[Index.xlsm]全球指數!R74C17</stp>
        <stp>MARKET_DATA_OVERRIDE=PE_RATIO</stp>
        <stp>CALC_INTERVAL=5y</stp>
        <stp>BEST_FPERIOD_OVERRIDE=BF</stp>
        <tr r="Q74" s="1"/>
      </tp>
      <tp t="s">
        <v>巴拿馬證券交易所一般指數</v>
        <stp/>
        <stp>##V3_BDPV12</stp>
        <stp>BVPSBVPS Index</stp>
        <stp>DS697</stp>
        <stp>[Index.xlsm]全球指數!R243C2</stp>
        <tr r="B243" s="1"/>
      </tp>
      <tp t="s">
        <v>維也納 ATX 主要指數</v>
        <stp/>
        <stp>##V3_BDPV12</stp>
        <stp>ATXPRIME Index</stp>
        <stp>DS697</stp>
        <stp>[Index.xlsm]全球指數!R42C2</stp>
        <tr r="B42" s="1"/>
      </tp>
      <tp t="s">
        <v>AS</v>
        <stp/>
        <stp>##V3_BDPV12</stp>
        <stp>ATXPRIME Index</stp>
        <stp>DS003</stp>
        <stp>[Index.xlsm]全球指數!R42C3</stp>
        <tr r="C42" s="1"/>
      </tp>
      <tp>
        <v>608.48</v>
        <stp/>
        <stp>##V3_BDPV12</stp>
        <stp>CH30 Index</stp>
        <stp>PX_LAST</stp>
        <stp>[Index.xlsm]全球指數!R157C4</stp>
        <tr r="D157" s="1"/>
      </tp>
      <tp>
        <v>6638.482</v>
        <stp/>
        <stp>##V3_BDPV12</stp>
        <stp>AS52 Index</stp>
        <stp>PX_LAST</stp>
        <stp>[Index.xlsm]全球指數!R185C4</stp>
        <tr r="D185" s="1"/>
      </tp>
      <tp t="s">
        <v>新上海證交所綜合指數</v>
        <stp/>
        <stp>##V3_BDPV12</stp>
        <stp>SHNCOMP Index</stp>
        <stp>DS697</stp>
        <stp>[Index.xlsm]全球指數!R31C2</stp>
        <tr r="B31" s="1"/>
      </tp>
      <tp>
        <v>17.37049542974896</v>
        <stp/>
        <stp>##V3_BDPV12</stp>
        <stp>COMP Index</stp>
        <stp>PE_RATIO</stp>
        <stp>[Index.xlsm]全球指數!R217C18</stp>
        <tr r="R217" s="1"/>
      </tp>
      <tp t="s">
        <v>CH</v>
        <stp/>
        <stp>##V3_BDPV12</stp>
        <stp>SHNCOMP Index</stp>
        <stp>DS003</stp>
        <stp>[Index.xlsm]全球指數!R31C3</stp>
        <tr r="C31" s="1"/>
      </tp>
      <tp>
        <v>315.54000000000002</v>
        <stp/>
        <stp>##V3_BDPV12</stp>
        <stp>SXEP INDEX</stp>
        <stp>PX_LAST</stp>
        <stp>[Index.xlsm]主要產業!R23C4</stp>
        <tr r="D23" s="2"/>
      </tp>
      <tp>
        <v>1.374241</v>
        <stp/>
        <stp>##V3_BDPV12</stp>
        <stp>INDU INDEX</stp>
        <stp>PR064</stp>
        <stp>[Index.xlsm]主要產業!R2C52</stp>
        <tr r="AZ2" s="2"/>
      </tp>
      <tp>
        <v>1645.2850000000001</v>
        <stp/>
        <stp>##V3_BDPV12</stp>
        <stp>RiY INDEX</stp>
        <stp>PX_LAST</stp>
        <stp>[Index.xlsm]主要產業!R8C42</stp>
        <tr r="AP8" s="2"/>
      </tp>
      <tp>
        <v>12.632018487870466</v>
        <stp/>
        <stp>##V3_BDPV12</stp>
        <stp>ES30 Index</stp>
        <stp>INTERVAL_Low</stp>
        <stp>[Index.xlsm]全球指數!R189C17</stp>
        <stp>MARKET_DATA_OVERRIDE=PE_RATIO</stp>
        <stp>CALC_INTERVAL=5y</stp>
        <stp>BEST_FPERIOD_OVERRIDE=BF</stp>
        <tr r="Q189" s="1"/>
      </tp>
      <tp>
        <v>15.839968662205969</v>
        <stp/>
        <stp>##V3_BDPV12</stp>
        <stp>AS30 Index</stp>
        <stp>INTERVAL_Low</stp>
        <stp>[Index.xlsm]全球指數!R183C17</stp>
        <stp>MARKET_DATA_OVERRIDE=PE_RATIO</stp>
        <stp>CALC_INTERVAL=5y</stp>
        <stp>BEST_FPERIOD_OVERRIDE=BF</stp>
        <tr r="Q183" s="1"/>
      </tp>
      <tp t="s">
        <v>#N/A N/A</v>
        <stp/>
        <stp>##V3_BDPV12</stp>
        <stp>DS30 Index</stp>
        <stp>INTERVAL_Low</stp>
        <stp>[Index.xlsm]全球指數!R301C17</stp>
        <stp>MARKET_DATA_OVERRIDE=PE_RATIO</stp>
        <stp>CALC_INTERVAL=5y</stp>
        <stp>BEST_FPERIOD_OVERRIDE=BF</stp>
        <tr r="Q301" s="1"/>
      </tp>
      <tp>
        <v>15.194159198275296</v>
        <stp/>
        <stp>##V3_BDPV12</stp>
        <stp>AS52 Index</stp>
        <stp>INTERVAL_Low</stp>
        <stp>[Index.xlsm]全球指數!R185C17</stp>
        <stp>MARKET_DATA_OVERRIDE=PE_RATIO</stp>
        <stp>CALC_INTERVAL=5y</stp>
        <stp>BEST_FPERIOD_OVERRIDE=BF</stp>
        <tr r="Q185" s="1"/>
      </tp>
      <tp>
        <v>15.146123214707263</v>
        <stp/>
        <stp>##V3_BDPV12</stp>
        <stp>AS51 Index</stp>
        <stp>INTERVAL_Low</stp>
        <stp>[Index.xlsm]全球指數!R182C17</stp>
        <stp>MARKET_DATA_OVERRIDE=PE_RATIO</stp>
        <stp>CALC_INTERVAL=5y</stp>
        <stp>BEST_FPERIOD_OVERRIDE=BF</stp>
        <tr r="Q182" s="1"/>
      </tp>
      <tp>
        <v>63.076008419155855</v>
        <stp/>
        <stp>##V3_BDPV12</stp>
        <stp>SZ399005 Index</stp>
        <stp>INTERVAL_HIGH</stp>
        <stp>[Index.xlsm]全球指數!R16C16</stp>
        <stp>MARKET_DATA_OVERRIDE=PE_RATIO</stp>
        <stp>CALC_INTERVAL=5y</stp>
        <stp>BEST_FPERIOD_OVERRIDE=BF</stp>
        <tr r="P16" s="1"/>
      </tp>
      <tp>
        <v>476.6</v>
        <stp/>
        <stp>##V3_BDPV12</stp>
        <stp>s5finl index</stp>
        <stp>HIGH_52WEEK</stp>
        <stp>[Index.xlsm]主要產業!R4C6</stp>
        <tr r="F4" s="2"/>
      </tp>
      <tp>
        <v>-1.3200880000000001E-3</v>
        <stp/>
        <stp>##V3_BDPV12</stp>
        <stp>BELEX15 Index</stp>
        <stp>CHG_PCT_5D</stp>
        <stp>[Index.xlsm]全球指數!R244C10</stp>
        <tr r="J244" s="1"/>
      </tp>
      <tp t="s">
        <v>BO</v>
        <stp/>
        <stp>##V3_BDPV12</stp>
        <stp>BGSMDC Index</stp>
        <stp>DS003</stp>
        <stp>[Index.xlsm]全球指數!R257C3</stp>
        <tr r="C257" s="1"/>
      </tp>
      <tp>
        <v>20.19550527152542</v>
        <stp/>
        <stp>##V3_BDPV12</stp>
        <stp>RIY Index</stp>
        <stp>PE_RATIO</stp>
        <stp>[Index.xlsm]全球指數!R129C18</stp>
        <tr r="R129" s="1"/>
      </tp>
      <tp t="s">
        <v>SK</v>
        <stp/>
        <stp>##V3_BDPV12</stp>
        <stp>KOSPI Index</stp>
        <stp>DS003</stp>
        <stp>[Index.xlsm]全球指數!R155C3</stp>
        <tr r="C155" s="1"/>
      </tp>
      <tp>
        <v>13.685956845407032</v>
        <stp/>
        <stp>##V3_BDPV12</stp>
        <stp>AEX Index</stp>
        <stp>INTERVAL_Low</stp>
        <stp>[Index.xlsm]全球指數!R222C17</stp>
        <stp>MARKET_DATA_OVERRIDE=PE_RATIO</stp>
        <stp>CALC_INTERVAL=5y</stp>
        <stp>BEST_FPERIOD_OVERRIDE=BF</stp>
        <tr r="Q222" s="1"/>
      </tp>
      <tp>
        <v>20.893535417877477</v>
        <stp/>
        <stp>##V3_BDPV12</stp>
        <stp>RAY Index</stp>
        <stp>PE_RATIO</stp>
        <stp>[Index.xlsm]全球指數!R122C18</stp>
        <tr r="R122" s="1"/>
      </tp>
      <tp t="s">
        <v>Palestine Stock Exchange Al</v>
        <stp/>
        <stp>##V3_BDPV12</stp>
        <stp>PASISI Index</stp>
        <stp>DS697</stp>
        <stp>[Index.xlsm]全球指數!R215C2</stp>
        <tr r="B215" s="1"/>
      </tp>
      <tp t="s">
        <v>JN</v>
        <stp/>
        <stp>##V3_BDPV12</stp>
        <stp>TSEREIT Index</stp>
        <stp>DS003</stp>
        <stp>[Index.xlsm]全球指數!R309C3</stp>
        <tr r="C309" s="1"/>
      </tp>
      <tp t="s">
        <v>HK</v>
        <stp/>
        <stp>##V3_BDPV12</stp>
        <stp>SAXCME Index</stp>
        <stp>DS003</stp>
        <stp>[Index.xlsm]全球指數!R109C3</stp>
        <tr r="C109" s="1"/>
      </tp>
      <tp>
        <v>1.3284618994392676</v>
        <stp/>
        <stp>##V3_BDPV12</stp>
        <stp>ASE Index</stp>
        <stp>INTERVAL_Low</stp>
        <stp>[Index.xlsm]全球指數!R142C17</stp>
        <stp>MARKET_DATA_OVERRIDE=PE_RATIO</stp>
        <stp>CALC_INTERVAL=5y</stp>
        <stp>BEST_FPERIOD_OVERRIDE=BF</stp>
        <tr r="Q142" s="1"/>
      </tp>
      <tp>
        <v>16.113247867211644</v>
        <stp/>
        <stp>##V3_BDPV12</stp>
        <stp>ASX Index</stp>
        <stp>INTERVAL_Low</stp>
        <stp>[Index.xlsm]全球指數!R209C17</stp>
        <stp>MARKET_DATA_OVERRIDE=PE_RATIO</stp>
        <stp>CALC_INTERVAL=5y</stp>
        <stp>BEST_FPERIOD_OVERRIDE=BF</stp>
        <tr r="Q209" s="1"/>
      </tp>
      <tp t="s">
        <v>FTSE BIVA Price Return Index</v>
        <stp/>
        <stp>##V3_BDPV12</stp>
        <stp>FTBIVA Index</stp>
        <stp>DS697</stp>
        <stp>[Index.xlsm]全球指數!R245C2</stp>
        <tr r="B245" s="1"/>
      </tp>
      <tp>
        <v>9.3790916487931018</v>
        <stp/>
        <stp>##V3_BDPV12</stp>
        <stp>HKSPLC25 Index</stp>
        <stp>INTERVAL_Low</stp>
        <stp>[Index.xlsm]全球指數!R94C17</stp>
        <stp>MARKET_DATA_OVERRIDE=PE_RATIO</stp>
        <stp>CALC_INTERVAL=5y</stp>
        <stp>BEST_FPERIOD_OVERRIDE=BF</stp>
        <tr r="Q94" s="1"/>
      </tp>
      <tp t="s">
        <v>貝爾格勒證券交易所BELEX15指</v>
        <stp/>
        <stp>##V3_BDPV12</stp>
        <stp>BELEX15 Index</stp>
        <stp>DS697</stp>
        <stp>[Index.xlsm]全球指數!R244C2</stp>
        <tr r="B244" s="1"/>
      </tp>
      <tp t="s">
        <v>CL</v>
        <stp/>
        <stp>##V3_BDPV12</stp>
        <stp>INTER10 Index</stp>
        <stp>DS003</stp>
        <stp>[Index.xlsm]全球指數!R203C3</stp>
        <tr r="C203" s="1"/>
      </tp>
      <tp t="s">
        <v>紐西蘭NZSX10指數</v>
        <stp/>
        <stp>##V3_BDPV12</stp>
        <stp>NZSE10 Index</stp>
        <stp>DS697</stp>
        <stp>[Index.xlsm]全球指數!R249C2</stp>
        <tr r="B249" s="1"/>
      </tp>
      <tp>
        <v>220.05</v>
        <stp/>
        <stp>##V3_BDPV12</stp>
        <stp>BE500 Index</stp>
        <stp>LOW_52WEEK</stp>
        <stp>[Index.xlsm]全球指數!R202C8</stp>
        <tr r="H202" s="1"/>
      </tp>
      <tp>
        <v>1090.28</v>
        <stp/>
        <stp>##V3_BDPV12</stp>
        <stp>TPX500 Index</stp>
        <stp>LOW_52WEEK</stp>
        <stp>[Index.xlsm]全球指數!R283C8</stp>
        <tr r="H283" s="1"/>
      </tp>
      <tp>
        <v>0.71981150000000005</v>
        <stp/>
        <stp>##V3_BDPV12</stp>
        <stp>E300 Index</stp>
        <stp>CHG_PCT_1D</stp>
        <stp>[Index.xlsm]全球指數!R213C5</stp>
        <tr r="E213" s="1"/>
      </tp>
      <tp>
        <v>14.593211613469414</v>
        <stp/>
        <stp>##V3_BDPV12</stp>
        <stp>MSPE Index</stp>
        <stp>INTERVAL_Low</stp>
        <stp>[Index.xlsm]全球指數!R207C17</stp>
        <stp>MARKET_DATA_OVERRIDE=PE_RATIO</stp>
        <stp>CALC_INTERVAL=5y</stp>
        <stp>BEST_FPERIOD_OVERRIDE=BF</stp>
        <tr r="Q207" s="1"/>
      </tp>
      <tp>
        <v>10561.46</v>
        <stp/>
        <stp>##V3_BDPV12</stp>
        <stp>HSFML25 Index</stp>
        <stp>HIGH_52WEEK</stp>
        <stp>[Index.xlsm]全球指數!R81C6</stp>
        <tr r="F81" s="1"/>
      </tp>
      <tp>
        <v>2.2806559999999998E-3</v>
        <stp/>
        <stp>##V3_BDPV12</stp>
        <stp>SHCSI100 Index</stp>
        <stp>PR064</stp>
        <stp>[Index.xlsm]全球指數!R98C14</stp>
        <tr r="N98" s="1"/>
      </tp>
      <tp>
        <v>3.9702770251267125</v>
        <stp/>
        <stp>##V3_BDPV12</stp>
        <stp>TSE2 Index</stp>
        <stp>INTERVAL_Low</stp>
        <stp>[Index.xlsm]全球指數!R261C17</stp>
        <stp>MARKET_DATA_OVERRIDE=PE_RATIO</stp>
        <stp>CALC_INTERVAL=5y</stp>
        <stp>BEST_FPERIOD_OVERRIDE=BF</stp>
        <tr r="Q261" s="1"/>
      </tp>
      <tp>
        <v>13.632604512295977</v>
        <stp/>
        <stp>##V3_BDPV12</stp>
        <stp>JSDA Index</stp>
        <stp>INTERVAL_Low</stp>
        <stp>[Index.xlsm]全球指數!R302C17</stp>
        <stp>MARKET_DATA_OVERRIDE=PE_RATIO</stp>
        <stp>CALC_INTERVAL=5y</stp>
        <stp>BEST_FPERIOD_OVERRIDE=BF</stp>
        <tr r="Q302" s="1"/>
      </tp>
      <tp>
        <v>13.788385097656032</v>
        <stp/>
        <stp>##V3_BDPV12</stp>
        <stp>ISEQ Index</stp>
        <stp>INTERVAL_Low</stp>
        <stp>[Index.xlsm]全球指數!R241C17</stp>
        <stp>MARKET_DATA_OVERRIDE=PE_RATIO</stp>
        <stp>CALC_INTERVAL=5y</stp>
        <stp>BEST_FPERIOD_OVERRIDE=BF</stp>
        <tr r="Q241" s="1"/>
      </tp>
      <tp t="s">
        <v>#N/A N/A</v>
        <stp/>
        <stp>##V3_BDPV12</stp>
        <stp>DSEX Index</stp>
        <stp>INTERVAL_Low</stp>
        <stp>[Index.xlsm]全球指數!R306C17</stp>
        <stp>MARKET_DATA_OVERRIDE=PE_RATIO</stp>
        <stp>CALC_INTERVAL=5y</stp>
        <stp>BEST_FPERIOD_OVERRIDE=BF</stp>
        <tr r="Q306" s="1"/>
      </tp>
      <tp>
        <v>13.143241075295851</v>
        <stp/>
        <stp>##V3_BDPV12</stp>
        <stp>MSER Index</stp>
        <stp>INTERVAL_Low</stp>
        <stp>[Index.xlsm]全球指數!R154C17</stp>
        <stp>MARKET_DATA_OVERRIDE=PE_RATIO</stp>
        <stp>CALC_INTERVAL=5y</stp>
        <stp>BEST_FPERIOD_OVERRIDE=BF</stp>
        <tr r="Q154" s="1"/>
      </tp>
      <tp>
        <v>1089.4100000000001</v>
        <stp/>
        <stp>##V3_BDPV12</stp>
        <stp>N100 Index</stp>
        <stp>PX_LAST</stp>
        <stp>[Index.xlsm]全球指數!R198C4</stp>
        <tr r="D198" s="1"/>
      </tp>
      <tp>
        <v>8636.7900000000009</v>
        <stp/>
        <stp>##V3_BDPV12</stp>
        <stp>Tran INDEX</stp>
        <stp>LOW_52WEEK</stp>
        <stp>[Index.xlsm]主要產業!R3C46</stp>
        <tr r="AT3" s="2"/>
      </tp>
      <tp>
        <v>9.0677964951144379</v>
        <stp/>
        <stp>##V3_BDPV12</stp>
        <stp>XOM US Equity</stp>
        <stp>INTERVAL_Low</stp>
        <stp>[Index.xlsm]主要產業!R9C37</stp>
        <stp>MARKET_DATA_OVERRIDE=PE_RATIO</stp>
        <stp>CALC_INTERVAL=5y</stp>
        <stp>BEST_FPERIOD_OVERRIDE=BF</stp>
        <tr r="AK9" s="2"/>
      </tp>
      <tp>
        <v>7.569732446859005</v>
        <stp/>
        <stp>##V3_BDPV12</stp>
        <stp>JPM US Equity</stp>
        <stp>INTERVAL_Low</stp>
        <stp>[Index.xlsm]主要產業!R5C37</stp>
        <stp>MARKET_DATA_OVERRIDE=PE_RATIO</stp>
        <stp>CALC_INTERVAL=5y</stp>
        <stp>BEST_FPERIOD_OVERRIDE=BF</stp>
        <tr r="AK5" s="2"/>
      </tp>
      <tp>
        <v>481.33210000000003</v>
        <stp/>
        <stp>##V3_BDPV12</stp>
        <stp>s5FDSR index</stp>
        <stp>PX_LAST</stp>
        <stp>[Index.xlsm]主要產業!R17C4</stp>
        <tr r="D17" s="2"/>
      </tp>
      <tp>
        <v>-6.7385659999999996</v>
        <stp/>
        <stp>##V3_BDPV12</stp>
        <stp>JNJ US Equity</stp>
        <stp>CHG_PCT_1YR</stp>
        <stp>[Index.xlsm]主要產業!R6C35</stp>
        <tr r="AI6" s="2"/>
      </tp>
      <tp t="s">
        <v>TA</v>
        <stp/>
        <stp>##V3_BDPV12</stp>
        <stp>TWSECII Index</stp>
        <stp>DS003</stp>
        <stp>[Index.xlsm]主要產業!R72C3</stp>
        <tr r="C72" s="2"/>
      </tp>
      <tp t="s">
        <v>TA</v>
        <stp/>
        <stp>##V3_BDPV12</stp>
        <stp>TWSEBMC Index</stp>
        <stp>DS003</stp>
        <stp>[Index.xlsm]主要產業!R92C3</stp>
        <tr r="C92" s="2"/>
      </tp>
      <tp>
        <v>-0.66604790000000003</v>
        <stp/>
        <stp>##V3_BDPV12</stp>
        <stp>KOSPI100 Index</stp>
        <stp>CHG_PCT_3M</stp>
        <stp>[Index.xlsm]全球指數!R195C12</stp>
        <tr r="L195" s="1"/>
      </tp>
      <tp>
        <v>1015.35</v>
        <stp/>
        <stp>##V3_BDPV12</stp>
        <stp>SPTSX60 Index</stp>
        <stp>HIGH_52WEEK</stp>
        <stp>[Index.xlsm]全球指數!R194C6</stp>
        <tr r="F194" s="1"/>
      </tp>
      <tp>
        <v>12.855510000000001</v>
        <stp/>
        <stp>##V3_BDPV12</stp>
        <stp>SHSZ300 Index</stp>
        <stp>CHG_PCT_1YR</stp>
        <stp>[Index.xlsm]全球指數!R44C15</stp>
        <tr r="O44" s="1"/>
      </tp>
      <tp>
        <v>3.2152120000000002</v>
        <stp/>
        <stp>##V3_BDPV12</stp>
        <stp>TA-125 Index</stp>
        <stp>CHG_PCT_1YR</stp>
        <stp>[Index.xlsm]全球指數!R258C15</stp>
        <tr r="O258" s="1"/>
      </tp>
      <tp>
        <v>1452.77</v>
        <stp/>
        <stp>##V3_BDPV12</stp>
        <stp>S5INFT Index</stp>
        <stp>HIGH_52WEEK</stp>
        <stp>[Index.xlsm]主要產業!R2C6</stp>
        <tr r="F2" s="2"/>
      </tp>
      <tp>
        <v>4.7398509999999998</v>
        <stp/>
        <stp>##V3_BDPV12</stp>
        <stp>JPNK400 Index</stp>
        <stp>CHG_PCT_3M</stp>
        <stp>[Index.xlsm]全球指數!R286C12</stp>
        <tr r="L286" s="1"/>
      </tp>
      <tp>
        <v>7.999943</v>
        <stp/>
        <stp>##V3_BDPV12</stp>
        <stp>CHILE65 Index</stp>
        <stp>CHG_PCT_1M</stp>
        <stp>[Index.xlsm]全球指數!R165C11</stp>
        <tr r="K165" s="1"/>
      </tp>
      <tp>
        <v>6.4218006964622729</v>
        <stp/>
        <stp>##V3_BDPV12</stp>
        <stp>H-FIN Index</stp>
        <stp>PE_RATIO</stp>
        <stp>[Index.xlsm]全球指數!R55C18</stp>
        <tr r="R55" s="1"/>
      </tp>
      <tp t="s">
        <v>彭博不動產投資信託指數</v>
        <stp/>
        <stp>##V3_BDPV12</stp>
        <stp>BBREIT Index</stp>
        <stp>DS697</stp>
        <stp>[Index.xlsm]全球指數!R288C2</stp>
        <tr r="B288" s="1"/>
      </tp>
      <tp>
        <v>21.453805131640927</v>
        <stp/>
        <stp>##V3_BDPV12</stp>
        <stp>SLI Index</stp>
        <stp>PE_RATIO</stp>
        <stp>[Index.xlsm]全球指數!R118C18</stp>
        <tr r="R118" s="1"/>
      </tp>
      <tp>
        <v>23.373650651737336</v>
        <stp/>
        <stp>##V3_BDPV12</stp>
        <stp>SML Index</stp>
        <stp>PE_RATIO</stp>
        <stp>[Index.xlsm]全球指數!R104C18</stp>
        <tr r="R104" s="1"/>
      </tp>
      <tp>
        <v>21.977417883750007</v>
        <stp/>
        <stp>##V3_BDPV12</stp>
        <stp>SMI Index</stp>
        <stp>PE_RATIO</stp>
        <stp>[Index.xlsm]全球指數!R192C18</stp>
        <tr r="R192" s="1"/>
      </tp>
      <tp>
        <v>8.500444860396744</v>
        <stp/>
        <stp>##V3_BDPV12</stp>
        <stp>IBOVIEE Index</stp>
        <stp>INTERVAL_Low</stp>
        <stp>[Index.xlsm]全球指數!R37C17</stp>
        <stp>MARKET_DATA_OVERRIDE=PE_RATIO</stp>
        <stp>CALC_INTERVAL=5y</stp>
        <stp>BEST_FPERIOD_OVERRIDE=BF</stp>
        <tr r="Q37" s="1"/>
      </tp>
      <tp>
        <v>19.446993812328394</v>
        <stp/>
        <stp>##V3_BDPV12</stp>
        <stp>SOX Index</stp>
        <stp>PE_RATIO</stp>
        <stp>[Index.xlsm]全球指數!R168C18</stp>
        <tr r="R168" s="1"/>
      </tp>
      <tp>
        <v>18.62804343448563</v>
        <stp/>
        <stp>##V3_BDPV12</stp>
        <stp>SET Index</stp>
        <stp>PE_RATIO</stp>
        <stp>[Index.xlsm]全球指數!R220C18</stp>
        <tr r="R220" s="1"/>
      </tp>
      <tp t="s">
        <v>SI</v>
        <stp/>
        <stp>##V3_BDPV12</stp>
        <stp>FSTAS Index</stp>
        <stp>DS003</stp>
        <stp>[Index.xlsm]全球指數!R133C3</stp>
        <tr r="C133" s="1"/>
      </tp>
      <tp>
        <v>12.950524122763415</v>
        <stp/>
        <stp>##V3_BDPV12</stp>
        <stp>HSML100 Index</stp>
        <stp>INTERVAL_HIGH</stp>
        <stp>[Index.xlsm]全球指數!R48C16</stp>
        <stp>MARKET_DATA_OVERRIDE=PE_RATIO</stp>
        <stp>CALC_INTERVAL=5y</stp>
        <stp>BEST_FPERIOD_OVERRIDE=BF</stp>
        <tr r="P48" s="1"/>
      </tp>
      <tp t="s">
        <v>俄羅斯RTS指數</v>
        <stp/>
        <stp>##V3_BDPV12</stp>
        <stp>RTSI$ Index</stp>
        <stp>DS697</stp>
        <stp>[Index.xlsm]全球指數!R102C2</stp>
        <tr r="B102" s="1"/>
      </tp>
      <tp>
        <v>4789.42</v>
        <stp/>
        <stp>##V3_BDPV12</stp>
        <stp>MOEX10 Index</stp>
        <stp>PX_LAST</stp>
        <stp>[Index.xlsm]全球指數!R160C4</stp>
        <tr r="D160" s="1"/>
      </tp>
      <tp>
        <v>19.540561410445594</v>
        <stp/>
        <stp>##V3_BDPV12</stp>
        <stp>SPX Index</stp>
        <stp>PE_RATIO</stp>
        <stp>[Index.xlsm]全球指數!R134C18</stp>
        <tr r="R134" s="1"/>
      </tp>
      <tp>
        <v>19.641577683207871</v>
        <stp/>
        <stp>##V3_BDPV12</stp>
        <stp>SPR Index</stp>
        <stp>PE_RATIO</stp>
        <stp>[Index.xlsm]全球指數!R135C18</stp>
        <tr r="R135" s="1"/>
      </tp>
      <tp>
        <v>19.030207470137352</v>
        <stp/>
        <stp>##V3_BDPV12</stp>
        <stp>SPI Index</stp>
        <stp>PE_RATIO</stp>
        <stp>[Index.xlsm]全球指數!R206C18</stp>
        <tr r="R206" s="1"/>
      </tp>
      <tp>
        <v>11.624740419759739</v>
        <stp/>
        <stp>##V3_BDPV12</stp>
        <stp>STI Index</stp>
        <stp>PE_RATIO</stp>
        <stp>[Index.xlsm]全球指數!R123C18</stp>
        <tr r="R123" s="1"/>
      </tp>
      <tp>
        <v>-1.551944</v>
        <stp/>
        <stp>##V3_BDPV12</stp>
        <stp>CDAX Index</stp>
        <stp>CHG_PCT_5D</stp>
        <stp>[Index.xlsm]全球指數!R82C10</stp>
        <tr r="J82" s="1"/>
      </tp>
      <tp>
        <v>-1.5006630000000001</v>
        <stp/>
        <stp>##V3_BDPV12</stp>
        <stp>HDAX Index</stp>
        <stp>CHG_PCT_5D</stp>
        <stp>[Index.xlsm]全球指數!R86C10</stp>
        <tr r="J86" s="1"/>
      </tp>
      <tp>
        <v>-1.5026200000000001</v>
        <stp/>
        <stp>##V3_BDPV12</stp>
        <stp>MDAX Index</stp>
        <stp>CHG_PCT_5D</stp>
        <stp>[Index.xlsm]全球指數!R85C10</stp>
        <tr r="J85" s="1"/>
      </tp>
      <tp>
        <v>6.6305259999999997</v>
        <stp/>
        <stp>##V3_BDPV12</stp>
        <stp>HDAX Index</stp>
        <stp>CHG_PCT_6M</stp>
        <stp>[Index.xlsm]全球指數!R86C13</stp>
        <tr r="M86" s="1"/>
      </tp>
      <tp>
        <v>3.993242</v>
        <stp/>
        <stp>##V3_BDPV12</stp>
        <stp>MDAX Index</stp>
        <stp>CHG_PCT_6M</stp>
        <stp>[Index.xlsm]全球指數!R85C13</stp>
        <tr r="M85" s="1"/>
      </tp>
      <tp>
        <v>5.8848000000000003</v>
        <stp/>
        <stp>##V3_BDPV12</stp>
        <stp>CDAX Index</stp>
        <stp>CHG_PCT_6M</stp>
        <stp>[Index.xlsm]全球指數!R82C13</stp>
        <tr r="M82" s="1"/>
      </tp>
      <tp>
        <v>3.8462580000000002</v>
        <stp/>
        <stp>##V3_BDPV12</stp>
        <stp>HDAX Index</stp>
        <stp>CHG_PCT_1M</stp>
        <stp>[Index.xlsm]全球指數!R86C11</stp>
        <tr r="K86" s="1"/>
      </tp>
      <tp>
        <v>2.0586980000000001</v>
        <stp/>
        <stp>##V3_BDPV12</stp>
        <stp>MDAX Index</stp>
        <stp>CHG_PCT_1M</stp>
        <stp>[Index.xlsm]全球指數!R85C11</stp>
        <tr r="K85" s="1"/>
      </tp>
      <tp>
        <v>4.1102930000000004</v>
        <stp/>
        <stp>##V3_BDPV12</stp>
        <stp>CDAX Index</stp>
        <stp>CHG_PCT_1M</stp>
        <stp>[Index.xlsm]全球指數!R82C11</stp>
        <tr r="K82" s="1"/>
      </tp>
      <tp t="s">
        <v>TH</v>
        <stp/>
        <stp>##V3_BDPV12</stp>
        <stp>SET50 Index</stp>
        <stp>DS003</stp>
        <stp>[Index.xlsm]全球指數!R233C3</stp>
        <tr r="C233" s="1"/>
      </tp>
      <tp>
        <v>-1.434154E-2</v>
        <stp/>
        <stp>##V3_BDPV12</stp>
        <stp>HDAX Index</stp>
        <stp>CHG_PCT_3M</stp>
        <stp>[Index.xlsm]全球指數!R86C12</stp>
        <tr r="L86" s="1"/>
      </tp>
      <tp>
        <v>1.4173370000000001</v>
        <stp/>
        <stp>##V3_BDPV12</stp>
        <stp>MDAX Index</stp>
        <stp>CHG_PCT_3M</stp>
        <stp>[Index.xlsm]全球指數!R85C12</stp>
        <tr r="L85" s="1"/>
      </tp>
      <tp>
        <v>0.16510250000000001</v>
        <stp/>
        <stp>##V3_BDPV12</stp>
        <stp>CDAX Index</stp>
        <stp>CHG_PCT_3M</stp>
        <stp>[Index.xlsm]全球指數!R82C12</stp>
        <tr r="L82" s="1"/>
      </tp>
      <tp>
        <v>-1.5899430000000001</v>
        <stp/>
        <stp>##V3_BDPV12</stp>
        <stp>PXAP Index</stp>
        <stp>CHG_PCT_5D</stp>
        <stp>[Index.xlsm]全球指數!R80C10</stp>
        <tr r="J80" s="1"/>
      </tp>
      <tp>
        <v>6.300675</v>
        <stp/>
        <stp>##V3_BDPV12</stp>
        <stp>PXAP Index</stp>
        <stp>CHG_PCT_6M</stp>
        <stp>[Index.xlsm]全球指數!R80C13</stp>
        <tr r="M80" s="1"/>
      </tp>
      <tp>
        <v>0.15355379999999999</v>
        <stp/>
        <stp>##V3_BDPV12</stp>
        <stp>KRX100 Index</stp>
        <stp>CHG_PCT_1D</stp>
        <stp>[Index.xlsm]全球指數!R197C5</stp>
        <tr r="E197" s="1"/>
      </tp>
      <tp>
        <v>3.766788</v>
        <stp/>
        <stp>##V3_BDPV12</stp>
        <stp>PXAP Index</stp>
        <stp>CHG_PCT_1M</stp>
        <stp>[Index.xlsm]全球指數!R80C11</stp>
        <tr r="K80" s="1"/>
      </tp>
      <tp>
        <v>-6.4138580000000001E-2</v>
        <stp/>
        <stp>##V3_BDPV12</stp>
        <stp>PXAP Index</stp>
        <stp>CHG_PCT_3M</stp>
        <stp>[Index.xlsm]全球指數!R80C12</stp>
        <tr r="L80" s="1"/>
      </tp>
      <tp>
        <v>0.50257370000000001</v>
        <stp/>
        <stp>##V3_BDPV12</stp>
        <stp>MOEX10 Index</stp>
        <stp>CHG_PCT_1D</stp>
        <stp>[Index.xlsm]全球指數!R160C5</stp>
        <tr r="E160" s="1"/>
      </tp>
      <tp>
        <v>-1.6163099999999999</v>
        <stp/>
        <stp>##V3_BDPV12</stp>
        <stp>DUAE Index</stp>
        <stp>CHG_PCT_1M</stp>
        <stp>[Index.xlsm]全球指數!R68C11</stp>
        <tr r="K68" s="1"/>
      </tp>
      <tp>
        <v>1.141786</v>
        <stp/>
        <stp>##V3_BDPV12</stp>
        <stp>DUAE Index</stp>
        <stp>CHG_PCT_3M</stp>
        <stp>[Index.xlsm]全球指數!R68C12</stp>
        <tr r="L68" s="1"/>
      </tp>
      <tp>
        <v>-1.7316130000000001</v>
        <stp/>
        <stp>##V3_BDPV12</stp>
        <stp>DUAE Index</stp>
        <stp>CHG_PCT_5D</stp>
        <stp>[Index.xlsm]全球指數!R68C10</stp>
        <tr r="J68" s="1"/>
      </tp>
      <tp>
        <v>-1.3167249999999999</v>
        <stp/>
        <stp>##V3_BDPV12</stp>
        <stp>DUAE Index</stp>
        <stp>CHG_PCT_6M</stp>
        <stp>[Index.xlsm]全球指數!R68C13</stp>
        <tr r="M68" s="1"/>
      </tp>
      <tp>
        <v>0.12633620000000001</v>
        <stp/>
        <stp>##V3_BDPV12</stp>
        <stp>DS30 Index</stp>
        <stp>CHG_PCT_1D</stp>
        <stp>[Index.xlsm]全球指數!R301C5</stp>
        <tr r="E301" s="1"/>
      </tp>
      <tp t="s">
        <v>恆生中國(香港上市)25指數</v>
        <stp/>
        <stp>##V3_BDPV12</stp>
        <stp>HSFML25 Index</stp>
        <stp>DS697</stp>
        <stp>[Index.xlsm]全球指數!R81C2</stp>
        <tr r="B81" s="1"/>
      </tp>
      <tp t="s">
        <v>CL</v>
        <stp/>
        <stp>##V3_BDPV12</stp>
        <stp>CHLRGCAP Index</stp>
        <stp>DS003</stp>
        <stp>[Index.xlsm]全球指數!R130C3</stp>
        <tr r="C130" s="1"/>
      </tp>
      <tp>
        <v>3.0484158954592382</v>
        <stp/>
        <stp>##V3_BDPV12</stp>
        <stp>CRTX Index</stp>
        <stp>INTERVAL_Low</stp>
        <stp>[Index.xlsm]全球指數!R108C17</stp>
        <stp>MARKET_DATA_OVERRIDE=PE_RATIO</stp>
        <stp>CALC_INTERVAL=5y</stp>
        <stp>BEST_FPERIOD_OVERRIDE=BF</stp>
        <tr r="Q108" s="1"/>
      </tp>
      <tp t="s">
        <v>HK</v>
        <stp/>
        <stp>##V3_BDPV12</stp>
        <stp>HSFML25 Index</stp>
        <stp>DS003</stp>
        <stp>[Index.xlsm]全球指數!R81C3</stp>
        <tr r="C81" s="1"/>
      </tp>
      <tp>
        <v>11.148820557554609</v>
        <stp/>
        <stp>##V3_BDPV12</stp>
        <stp>TRAN Index</stp>
        <stp>INTERVAL_Low</stp>
        <stp>[Index.xlsm]全球指數!R140C17</stp>
        <stp>MARKET_DATA_OVERRIDE=PE_RATIO</stp>
        <stp>CALC_INTERVAL=5y</stp>
        <stp>BEST_FPERIOD_OVERRIDE=BF</stp>
        <tr r="Q140" s="1"/>
      </tp>
      <tp>
        <v>11.433256111056835</v>
        <stp/>
        <stp>##V3_BDPV12</stp>
        <stp>MADX Index</stp>
        <stp>PE_RATIO</stp>
        <stp>[Index.xlsm]全球指數!R210C18</stp>
        <tr r="R210" s="1"/>
      </tp>
      <tp>
        <v>546.67999999999995</v>
        <stp/>
        <stp>##V3_BDPV12</stp>
        <stp>ES30 Index</stp>
        <stp>PX_LAST</stp>
        <stp>[Index.xlsm]全球指數!R189C4</stp>
        <tr r="D189" s="1"/>
      </tp>
      <tp t="s">
        <v>OMX Oslo 20 Index</v>
        <stp/>
        <stp>##V3_BDPV12</stp>
        <stp>OMXO20 Index</stp>
        <stp>DS697</stp>
        <stp>[Index.xlsm]全球指數!R49C2</stp>
        <tr r="B49" s="1"/>
      </tp>
      <tp t="s">
        <v>NO</v>
        <stp/>
        <stp>##V3_BDPV12</stp>
        <stp>OMXO20 Index</stp>
        <stp>DS003</stp>
        <stp>[Index.xlsm]全球指數!R49C3</stp>
        <tr r="C49" s="1"/>
      </tp>
      <tp>
        <v>7.6416130000000004</v>
        <stp/>
        <stp>##V3_BDPV12</stp>
        <stp>S5INFT Index</stp>
        <stp>CHG_PCT_1YR</stp>
        <stp>[Index.xlsm]主要產業!R2C15</stp>
        <tr r="O2" s="2"/>
      </tp>
      <tp>
        <v>28.773963753877116</v>
        <stp/>
        <stp>##V3_BDPV12</stp>
        <stp>PG US Equity</stp>
        <stp>INTERVAL_HIGH</stp>
        <stp>[Index.xlsm]主要產業!R8C36</stp>
        <stp>MARKET_DATA_OVERRIDE=PE_RATIO</stp>
        <stp>CALC_INTERVAL=5y</stp>
        <stp>BEST_FPERIOD_OVERRIDE=BF</stp>
        <tr r="AJ8" s="2"/>
      </tp>
      <tp>
        <v>297.02</v>
        <stp/>
        <stp>##V3_BDPV12</stp>
        <stp>SXMP INDEX</stp>
        <stp>PX_LAST</stp>
        <stp>[Index.xlsm]主要產業!R35C4</stp>
        <tr r="D35" s="2"/>
      </tp>
      <tp>
        <v>120.4</v>
        <stp/>
        <stp>##V3_BDPV12</stp>
        <stp>JPM US Equity</stp>
        <stp>HIGH_52WEEK</stp>
        <stp>[Index.xlsm]主要產業!R5C26</stp>
        <tr r="Z5" s="2"/>
      </tp>
      <tp t="s">
        <v>TA</v>
        <stp/>
        <stp>##V3_BDPV12</stp>
        <stp>TWSEDEPT Index</stp>
        <stp>DS003</stp>
        <stp>[Index.xlsm]主要產業!R85C3</stp>
        <tr r="C85" s="2"/>
      </tp>
      <tp>
        <v>-17.2651</v>
        <stp/>
        <stp>##V3_BDPV12</stp>
        <stp>XOM US Equity</stp>
        <stp>CHG_PCT_1YR</stp>
        <stp>[Index.xlsm]主要產業!R9C35</stp>
        <tr r="AI9" s="2"/>
      </tp>
      <tp>
        <v>14.357142419987722</v>
        <stp/>
        <stp>##V3_BDPV12</stp>
        <stp>LQ45 Index</stp>
        <stp>INTERVAL_Low</stp>
        <stp>[Index.xlsm]全球指數!R204C17</stp>
        <stp>MARKET_DATA_OVERRIDE=PE_RATIO</stp>
        <stp>CALC_INTERVAL=5y</stp>
        <stp>BEST_FPERIOD_OVERRIDE=BF</stp>
        <tr r="Q204" s="1"/>
      </tp>
      <tp>
        <v>1112.1500000000001</v>
        <stp/>
        <stp>##V3_BDPV12</stp>
        <stp>s5hlth index</stp>
        <stp>HIGH_52WEEK</stp>
        <stp>[Index.xlsm]主要產業!R3C6</stp>
        <tr r="F3" s="2"/>
      </tp>
      <tp t="s">
        <v>CA</v>
        <stp/>
        <stp>##V3_BDPV12</stp>
        <stp>SPTSX Index</stp>
        <stp>DS003</stp>
        <stp>[Index.xlsm]全球指數!R200C3</stp>
        <tr r="C200" s="1"/>
      </tp>
      <tp t="s">
        <v>TN</v>
        <stp/>
        <stp>##V3_BDPV12</stp>
        <stp>TUSISE Index</stp>
        <stp>DS003</stp>
        <stp>[Index.xlsm]全球指數!R221C3</stp>
        <tr r="C221" s="1"/>
      </tp>
      <tp>
        <v>20.199784216022454</v>
        <stp/>
        <stp>##V3_BDPV12</stp>
        <stp>PAX Index</stp>
        <stp>PE_RATIO</stp>
        <stp>[Index.xlsm]全球指數!R146C18</stp>
        <tr r="R146" s="1"/>
      </tp>
      <tp>
        <v>0.54511350000000003</v>
        <stp/>
        <stp>##V3_BDPV12</stp>
        <stp>SX5E Index</stp>
        <stp>CHG_PCT_1D</stp>
        <stp>[Index.xlsm]全球指數!R184C5</stp>
        <tr r="E184" s="1"/>
      </tp>
      <tp t="s">
        <v>CO</v>
        <stp/>
        <stp>##V3_BDPV12</stp>
        <stp>COLEQTY Index</stp>
        <stp>DS003</stp>
        <stp>[Index.xlsm]全球指數!R268C3</stp>
        <tr r="C268" s="1"/>
      </tp>
      <tp>
        <v>14.152589698235843</v>
        <stp/>
        <stp>##V3_BDPV12</stp>
        <stp>CAC Index</stp>
        <stp>INTERVAL_Low</stp>
        <stp>[Index.xlsm]全球指數!R173C17</stp>
        <stp>MARKET_DATA_OVERRIDE=PE_RATIO</stp>
        <stp>CALC_INTERVAL=5y</stp>
        <stp>BEST_FPERIOD_OVERRIDE=BF</stp>
        <tr r="Q173" s="1"/>
      </tp>
      <tp>
        <v>9.1163605088815594</v>
        <stp/>
        <stp>##V3_BDPV12</stp>
        <stp>HSHK35 Index</stp>
        <stp>INTERVAL_Low</stp>
        <stp>[Index.xlsm]全球指數!R73C17</stp>
        <stp>MARKET_DATA_OVERRIDE=PE_RATIO</stp>
        <stp>CALC_INTERVAL=5y</stp>
        <stp>BEST_FPERIOD_OVERRIDE=BF</stp>
        <tr r="Q73" s="1"/>
      </tp>
      <tp>
        <v>10.942130670643328</v>
        <stp/>
        <stp>##V3_BDPV12</stp>
        <stp>CRO Index</stp>
        <stp>INTERVAL_Low</stp>
        <stp>[Index.xlsm]全球指數!R310C17</stp>
        <stp>MARKET_DATA_OVERRIDE=PE_RATIO</stp>
        <stp>CALC_INTERVAL=5y</stp>
        <stp>BEST_FPERIOD_OVERRIDE=BF</stp>
        <tr r="Q310" s="1"/>
      </tp>
      <tp>
        <v>0.33865149999999999</v>
        <stp/>
        <stp>##V3_BDPV12</stp>
        <stp>S5SFTW Index</stp>
        <stp>CHG_PCT_1D</stp>
        <stp>[Index.xlsm]主要產業!R5C5</stp>
        <tr r="E5" s="2"/>
      </tp>
      <tp>
        <v>0.54038030000000004</v>
        <stp/>
        <stp>##V3_BDPV12</stp>
        <stp>FTEF80 Index</stp>
        <stp>CHG_PCT_1D</stp>
        <stp>[Index.xlsm]全球指數!R161C5</stp>
        <tr r="E161" s="1"/>
      </tp>
      <tp>
        <v>1532.56</v>
        <stp/>
        <stp>##V3_BDPV12</stp>
        <stp>TA-125 Index</stp>
        <stp>PX_LAST</stp>
        <stp>[Index.xlsm]全球指數!R258C4</stp>
        <tr r="D258" s="1"/>
      </tp>
      <tp>
        <v>0.64314510000000003</v>
        <stp/>
        <stp>##V3_BDPV12</stp>
        <stp>OMXC25 Index</stp>
        <stp>CHG_PCT_1D</stp>
        <stp>[Index.xlsm]全球指數!R262C5</stp>
        <tr r="E262" s="1"/>
      </tp>
      <tp>
        <v>899.05</v>
        <stp/>
        <stp>##V3_BDPV12</stp>
        <stp>TPX100 Index</stp>
        <stp>LOW_52WEEK</stp>
        <stp>[Index.xlsm]全球指數!R271C8</stp>
        <tr r="H271" s="1"/>
      </tp>
      <tp t="s">
        <v>#N/A N/A</v>
        <stp/>
        <stp>##V3_BDPV12</stp>
        <stp>IBVC Index</stp>
        <stp>PE_RATIO</stp>
        <stp>[Index.xlsm]全球指數!R312C18</stp>
        <tr r="R312" s="1"/>
      </tp>
      <tp>
        <v>13.072963184917894</v>
        <stp/>
        <stp>##V3_BDPV12</stp>
        <stp>IBEX Index</stp>
        <stp>PE_RATIO</stp>
        <stp>[Index.xlsm]全球指數!R240C18</stp>
        <tr r="R240" s="1"/>
      </tp>
      <tp>
        <v>16.299095794804714</v>
        <stp/>
        <stp>##V3_BDPV12</stp>
        <stp>IBOV Index</stp>
        <stp>PE_RATIO</stp>
        <stp>[Index.xlsm]全球指數!R287C18</stp>
        <tr r="R287" s="1"/>
      </tp>
      <tp t="s">
        <v>CL</v>
        <stp/>
        <stp>##V3_BDPV12</stp>
        <stp>CHSMLCAP Index</stp>
        <stp>DS003</stp>
        <stp>[Index.xlsm]全球指數!R273C3</stp>
        <tr r="C273" s="1"/>
      </tp>
      <tp>
        <v>373.47</v>
        <stp/>
        <stp>##V3_BDPV12</stp>
        <stp>s5FDSR index</stp>
        <stp>LOW_52WEEK</stp>
        <stp>[Index.xlsm]主要產業!R17C8</stp>
        <tr r="H17" s="2"/>
      </tp>
      <tp>
        <v>31.862906357813902</v>
        <stp/>
        <stp>##V3_BDPV12</stp>
        <stp>MSFT US Equity</stp>
        <stp>INTERVAL_HIGH</stp>
        <stp>[Index.xlsm]主要產業!R2C36</stp>
        <stp>MARKET_DATA_OVERRIDE=PE_RATIO</stp>
        <stp>CALC_INTERVAL=5y</stp>
        <stp>BEST_FPERIOD_OVERRIDE=BF</stp>
        <tr r="AJ2" s="2"/>
      </tp>
      <tp>
        <v>0.48127439999999999</v>
        <stp/>
        <stp>##V3_BDPV12</stp>
        <stp>s5util Index</stp>
        <stp>CHG_PCT_1D</stp>
        <stp>[Index.xlsm]主要產業!R14C5</stp>
        <tr r="E14" s="2"/>
      </tp>
      <tp t="s">
        <v>TA</v>
        <stp/>
        <stp>##V3_BDPV12</stp>
        <stp>TWSESCI Index</stp>
        <stp>DS003</stp>
        <stp>[Index.xlsm]主要產業!R70C3</stp>
        <tr r="C70" s="2"/>
      </tp>
      <tp t="s">
        <v>TA</v>
        <stp/>
        <stp>##V3_BDPV12</stp>
        <stp>TWSECHI Index</stp>
        <stp>DS003</stp>
        <stp>[Index.xlsm]主要產業!R90C3</stp>
        <tr r="C90" s="2"/>
      </tp>
      <tp t="s">
        <v>TA</v>
        <stp/>
        <stp>##V3_BDPV12</stp>
        <stp>TWSEAUTO Index</stp>
        <stp>DS003</stp>
        <stp>[Index.xlsm]主要產業!R83C3</stp>
        <tr r="C83" s="2"/>
      </tp>
      <tp>
        <v>219.89</v>
        <stp/>
        <stp>##V3_BDPV12</stp>
        <stp>AAPL US Equity</stp>
        <stp>PX_LAST</stp>
        <stp>[Index.xlsm]主要產業!R3C24</stp>
        <tr r="X3" s="2"/>
      </tp>
      <tp>
        <v>8.5783889999999996</v>
        <stp/>
        <stp>##V3_BDPV12</stp>
        <stp>KOSPI100 Index</stp>
        <stp>CHG_PCT_1M</stp>
        <stp>[Index.xlsm]全球指數!R195C11</stp>
        <tr r="K195" s="1"/>
      </tp>
      <tp>
        <v>-8.8783890000000003</v>
        <stp/>
        <stp>##V3_BDPV12</stp>
        <stp>SPBL25PT Index</stp>
        <stp>CHG_PCT_1YR</stp>
        <stp>[Index.xlsm]全球指數!R232C15</stp>
        <tr r="O232" s="1"/>
      </tp>
      <tp>
        <v>35.115021495038818</v>
        <stp/>
        <stp>##V3_BDPV12</stp>
        <stp>SZ399330 Index</stp>
        <stp>INTERVAL_HIGH</stp>
        <stp>[Index.xlsm]全球指數!R20C16</stp>
        <stp>MARKET_DATA_OVERRIDE=PE_RATIO</stp>
        <stp>CALC_INTERVAL=5y</stp>
        <stp>BEST_FPERIOD_OVERRIDE=BF</stp>
        <tr r="P20" s="1"/>
      </tp>
      <tp>
        <v>3.5342319999999998</v>
        <stp/>
        <stp>##V3_BDPV12</stp>
        <stp>BELEX15 Index</stp>
        <stp>CHG_PCT_6M</stp>
        <stp>[Index.xlsm]全球指數!R244C13</stp>
        <tr r="M244" s="1"/>
      </tp>
      <tp>
        <v>9.0343210000000003</v>
        <stp/>
        <stp>##V3_BDPV12</stp>
        <stp>JPNK400 Index</stp>
        <stp>CHG_PCT_1M</stp>
        <stp>[Index.xlsm]全球指數!R286C11</stp>
        <tr r="K286" s="1"/>
      </tp>
      <tp>
        <v>-2.4617079999999998</v>
        <stp/>
        <stp>##V3_BDPV12</stp>
        <stp>CHILE65 Index</stp>
        <stp>CHG_PCT_3M</stp>
        <stp>[Index.xlsm]全球指數!R165C12</stp>
        <tr r="L165" s="1"/>
      </tp>
      <tp t="s">
        <v>#N/A N/A</v>
        <stp/>
        <stp>##V3_BDPV12</stp>
        <stp>QMI Index</stp>
        <stp>PE_RATIO</stp>
        <stp>[Index.xlsm]全球指數!R103C18</stp>
        <tr r="R103" s="1"/>
      </tp>
      <tp>
        <v>9.671922031584872</v>
        <stp/>
        <stp>##V3_BDPV12</stp>
        <stp>BKX Index</stp>
        <stp>INTERVAL_Low</stp>
        <stp>[Index.xlsm]全球指數!R105C17</stp>
        <stp>MARKET_DATA_OVERRIDE=PE_RATIO</stp>
        <stp>CALC_INTERVAL=5y</stp>
        <stp>BEST_FPERIOD_OVERRIDE=BF</stp>
        <tr r="Q105" s="1"/>
      </tp>
      <tp>
        <v>0.58498704183888939</v>
        <stp/>
        <stp>##V3_BDPV12</stp>
        <stp>BET Index</stp>
        <stp>INTERVAL_Low</stp>
        <stp>[Index.xlsm]全球指數!R300C17</stp>
        <stp>MARKET_DATA_OVERRIDE=PE_RATIO</stp>
        <stp>CALC_INTERVAL=5y</stp>
        <stp>BEST_FPERIOD_OVERRIDE=BF</stp>
        <tr r="Q300" s="1"/>
      </tp>
      <tp t="s">
        <v>阿布達比證券市場一般指數</v>
        <stp/>
        <stp>##V3_BDPV12</stp>
        <stp>ADSMI Index</stp>
        <stp>DS697</stp>
        <stp>[Index.xlsm]全球指數!R120C2</stp>
        <tr r="B120" s="1"/>
      </tp>
      <tp>
        <v>9.5005736967151311</v>
        <stp/>
        <stp>##V3_BDPV12</stp>
        <stp>BUX Index</stp>
        <stp>INTERVAL_Low</stp>
        <stp>[Index.xlsm]全球指數!R138C17</stp>
        <stp>MARKET_DATA_OVERRIDE=PE_RATIO</stp>
        <stp>CALC_INTERVAL=5y</stp>
        <stp>BEST_FPERIOD_OVERRIDE=BF</stp>
        <tr r="Q138" s="1"/>
      </tp>
      <tp t="s">
        <v>JM</v>
        <stp/>
        <stp>##V3_BDPV12</stp>
        <stp>JMSMX Index</stp>
        <stp>DS003</stp>
        <stp>[Index.xlsm]全球指數!R106C3</stp>
        <tr r="C106" s="1"/>
      </tp>
      <tp>
        <v>2.3475723085271447</v>
        <stp/>
        <stp>##V3_BDPV12</stp>
        <stp>BSX Index</stp>
        <stp>INTERVAL_Low</stp>
        <stp>[Index.xlsm]全球指數!R297C17</stp>
        <stp>MARKET_DATA_OVERRIDE=PE_RATIO</stp>
        <stp>CALC_INTERVAL=5y</stp>
        <stp>BEST_FPERIOD_OVERRIDE=BF</stp>
        <tr r="Q297" s="1"/>
      </tp>
      <tp>
        <v>0.67299240000000005</v>
        <stp/>
        <stp>##V3_BDPV12</stp>
        <stp>SX5P Index</stp>
        <stp>CHG_PCT_1D</stp>
        <stp>[Index.xlsm]全球指數!R255C5</stp>
        <tr r="E255" s="1"/>
      </tp>
      <tp>
        <v>-1.877003</v>
        <stp/>
        <stp>##V3_BDPV12</stp>
        <stp>HSCI Index</stp>
        <stp>CHG_PCT_5D</stp>
        <stp>[Index.xlsm]全球指數!R60C10</stp>
        <tr r="J60" s="1"/>
      </tp>
      <tp>
        <v>7.9300259999999997E-2</v>
        <stp/>
        <stp>##V3_BDPV12</stp>
        <stp>NKY500 Index</stp>
        <stp>CHG_PCT_1D</stp>
        <stp>[Index.xlsm]全球指數!R280C5</stp>
        <tr r="E280" s="1"/>
      </tp>
      <tp>
        <v>-9.0132049999999992</v>
        <stp/>
        <stp>##V3_BDPV12</stp>
        <stp>HSCI Index</stp>
        <stp>CHG_PCT_6M</stp>
        <stp>[Index.xlsm]全球指數!R60C13</stp>
        <tr r="M60" s="1"/>
      </tp>
      <tp>
        <v>1.445066</v>
        <stp/>
        <stp>##V3_BDPV12</stp>
        <stp>HSCI Index</stp>
        <stp>CHG_PCT_1M</stp>
        <stp>[Index.xlsm]全球指數!R60C11</stp>
        <tr r="K60" s="1"/>
      </tp>
      <tp>
        <v>-7.7067940000000004</v>
        <stp/>
        <stp>##V3_BDPV12</stp>
        <stp>HSCI Index</stp>
        <stp>CHG_PCT_3M</stp>
        <stp>[Index.xlsm]全球指數!R60C12</stp>
        <tr r="L60" s="1"/>
      </tp>
      <tp>
        <v>3744.55</v>
        <stp/>
        <stp>##V3_BDPV12</stp>
        <stp>MSM30 Index</stp>
        <stp>LOW_52WEEK</stp>
        <stp>[Index.xlsm]全球指數!R272C8</stp>
        <tr r="H272" s="1"/>
      </tp>
      <tp>
        <v>28168.02</v>
        <stp/>
        <stp>##V3_BDPV12</stp>
        <stp>MERVAL Index</stp>
        <stp>PX_LAST</stp>
        <stp>[Index.xlsm]全球指數!R4C4</stp>
        <tr r="D4" s="1"/>
      </tp>
      <tp>
        <v>1.8724909999999999</v>
        <stp/>
        <stp>##V3_BDPV12</stp>
        <stp>LQ45 Index</stp>
        <stp>CHG_PCT_1D</stp>
        <stp>[Index.xlsm]全球指數!R204C5</stp>
        <tr r="E204" s="1"/>
      </tp>
      <tp>
        <v>-0.46754960000000001</v>
        <stp/>
        <stp>##V3_BDPV12</stp>
        <stp>AS52 Index</stp>
        <stp>CHG_PCT_1D</stp>
        <stp>[Index.xlsm]全球指數!R185C5</stp>
        <tr r="E185" s="1"/>
      </tp>
      <tp>
        <v>0.80123920000000004</v>
        <stp/>
        <stp>##V3_BDPV12</stp>
        <stp>CN20 Index</stp>
        <stp>CHG_PCT_1D</stp>
        <stp>[Index.xlsm]全球指數!R172C5</stp>
        <tr r="E172" s="1"/>
      </tp>
      <tp>
        <v>-0.4274</v>
        <stp/>
        <stp>##V3_BDPV12</stp>
        <stp>AS30 Index</stp>
        <stp>CHG_PCT_1D</stp>
        <stp>[Index.xlsm]全球指數!R183C5</stp>
        <tr r="E183" s="1"/>
      </tp>
      <tp>
        <v>0.22632350000000001</v>
        <stp/>
        <stp>##V3_BDPV12</stp>
        <stp>TW50 Index</stp>
        <stp>CHG_PCT_1D</stp>
        <stp>[Index.xlsm]全球指數!R235C5</stp>
        <tr r="E235" s="1"/>
      </tp>
      <tp>
        <v>14.795580876319438</v>
        <stp/>
        <stp>##V3_BDPV12</stp>
        <stp>IPSA Index</stp>
        <stp>INTERVAL_Low</stp>
        <stp>[Index.xlsm]全球指數!R147C17</stp>
        <stp>MARKET_DATA_OVERRIDE=PE_RATIO</stp>
        <stp>CALC_INTERVAL=5y</stp>
        <stp>BEST_FPERIOD_OVERRIDE=BF</stp>
        <tr r="Q147" s="1"/>
      </tp>
      <tp>
        <v>13.050168989913292</v>
        <stp/>
        <stp>##V3_BDPV12</stp>
        <stp>SPEU Index</stp>
        <stp>INTERVAL_Low</stp>
        <stp>[Index.xlsm]全球指數!R162C17</stp>
        <stp>MARKET_DATA_OVERRIDE=PE_RATIO</stp>
        <stp>CALC_INTERVAL=5y</stp>
        <stp>BEST_FPERIOD_OVERRIDE=BF</stp>
        <tr r="Q162" s="1"/>
      </tp>
      <tp>
        <v>-0.4814562</v>
        <stp/>
        <stp>##V3_BDPV12</stp>
        <stp>s5indu Index</stp>
        <stp>CHG_PCT_1YR</stp>
        <stp>[Index.xlsm]主要產業!R8C15</stp>
        <tr r="O8" s="2"/>
      </tp>
      <tp t="s">
        <v>TA</v>
        <stp/>
        <stp>##V3_BDPV12</stp>
        <stp>TWSEBKI Index</stp>
        <stp>DS003</stp>
        <stp>[Index.xlsm]主要產業!R71C3</stp>
        <tr r="C71" s="2"/>
      </tp>
      <tp t="s">
        <v>TA</v>
        <stp/>
        <stp>##V3_BDPV12</stp>
        <stp>TWSEEPD Index</stp>
        <stp>DS003</stp>
        <stp>[Index.xlsm]主要產業!R91C3</stp>
        <tr r="C91" s="2"/>
      </tp>
      <tp>
        <v>-0.14256179999999999</v>
        <stp/>
        <stp>##V3_BDPV12</stp>
        <stp>KOSPI100 Index</stp>
        <stp>CHG_PCT_6M</stp>
        <stp>[Index.xlsm]全球指數!R195C13</stp>
        <tr r="M195" s="1"/>
      </tp>
      <tp>
        <v>1.776165</v>
        <stp/>
        <stp>##V3_BDPV12</stp>
        <stp>OMXO20GI Index</stp>
        <stp>PR064</stp>
        <stp>[Index.xlsm]全球指數!R50C14</stp>
        <tr r="N50" s="1"/>
      </tp>
      <tp>
        <v>10.454225771687252</v>
        <stp/>
        <stp>##V3_BDPV12</stp>
        <stp>TW50 Index</stp>
        <stp>INTERVAL_Low</stp>
        <stp>[Index.xlsm]全球指數!R235C17</stp>
        <stp>MARKET_DATA_OVERRIDE=PE_RATIO</stp>
        <stp>CALC_INTERVAL=5y</stp>
        <stp>BEST_FPERIOD_OVERRIDE=BF</stp>
        <tr r="Q235" s="1"/>
      </tp>
      <tp>
        <v>1.1712020000000001</v>
        <stp/>
        <stp>##V3_BDPV12</stp>
        <stp>BELEX15 Index</stp>
        <stp>CHG_PCT_1M</stp>
        <stp>[Index.xlsm]全球指數!R244C11</stp>
        <tr r="K244" s="1"/>
      </tp>
      <tp>
        <v>1.263082</v>
        <stp/>
        <stp>##V3_BDPV12</stp>
        <stp>JPNK400 Index</stp>
        <stp>CHG_PCT_6M</stp>
        <stp>[Index.xlsm]全球指數!R286C13</stp>
        <tr r="M286" s="1"/>
      </tp>
      <tp>
        <v>1150.328</v>
        <stp/>
        <stp>##V3_BDPV12</stp>
        <stp>OMXC25 Index</stp>
        <stp>PX_LAST</stp>
        <stp>[Index.xlsm]全球指數!R262C4</stp>
        <tr r="D262" s="1"/>
      </tp>
      <tp t="s">
        <v>Colombia IEQC Index</v>
        <stp/>
        <stp>##V3_BDPV12</stp>
        <stp>COLEQTY Index</stp>
        <stp>DS697</stp>
        <stp>[Index.xlsm]全球指數!R268C2</stp>
        <tr r="B268" s="1"/>
      </tp>
      <tp t="s">
        <v>突尼斯證交所 TUNINDEX 指數</v>
        <stp/>
        <stp>##V3_BDPV12</stp>
        <stp>TUSISE Index</stp>
        <stp>DS697</stp>
        <stp>[Index.xlsm]全球指數!R221C2</stp>
        <tr r="B221" s="1"/>
      </tp>
      <tp t="s">
        <v>標普/多倫多綜合指數</v>
        <stp/>
        <stp>##V3_BDPV12</stp>
        <stp>SPTSX Index</stp>
        <stp>DS697</stp>
        <stp>[Index.xlsm]全球指數!R200C2</stp>
        <tr r="B200" s="1"/>
      </tp>
      <tp>
        <v>274.89</v>
        <stp/>
        <stp>##V3_BDPV12</stp>
        <stp>KOSPI2 Index</stp>
        <stp>PX_LAST</stp>
        <stp>[Index.xlsm]全球指數!R187C4</stp>
        <tr r="D187" s="1"/>
      </tp>
      <tp>
        <v>834.13</v>
        <stp/>
        <stp>##V3_BDPV12</stp>
        <stp>TR20I Index</stp>
        <stp>LOW_52WEEK</stp>
        <stp>[Index.xlsm]全球指數!R296C8</stp>
        <tr r="H296" s="1"/>
      </tp>
      <tp>
        <v>-3.181476</v>
        <stp/>
        <stp>##V3_BDPV12</stp>
        <stp>KOSDAQ Index</stp>
        <stp>CHG_PCT_5D</stp>
        <stp>[Index.xlsm]全球指數!R18C10</stp>
        <tr r="J18" s="1"/>
      </tp>
      <tp>
        <v>-13.7319</v>
        <stp/>
        <stp>##V3_BDPV12</stp>
        <stp>KOSDAQ Index</stp>
        <stp>CHG_PCT_6M</stp>
        <stp>[Index.xlsm]全球指數!R18C13</stp>
        <tr r="M18" s="1"/>
      </tp>
      <tp>
        <v>1379.22</v>
        <stp/>
        <stp>##V3_BDPV12</stp>
        <stp>TA-35 Index</stp>
        <stp>LOW_52WEEK</stp>
        <stp>[Index.xlsm]全球指數!R205C8</stp>
        <tr r="H205" s="1"/>
      </tp>
      <tp>
        <v>6.816014</v>
        <stp/>
        <stp>##V3_BDPV12</stp>
        <stp>KOSDAQ Index</stp>
        <stp>CHG_PCT_1M</stp>
        <stp>[Index.xlsm]全球指數!R18C11</stp>
        <tr r="K18" s="1"/>
      </tp>
      <tp>
        <v>1031.45</v>
        <stp/>
        <stp>##V3_BDPV12</stp>
        <stp>SET50 Index</stp>
        <stp>LOW_52WEEK</stp>
        <stp>[Index.xlsm]全球指數!R233C8</stp>
        <tr r="H233" s="1"/>
      </tp>
      <tp>
        <v>-9.9955649999999991</v>
        <stp/>
        <stp>##V3_BDPV12</stp>
        <stp>KOSDAQ Index</stp>
        <stp>CHG_PCT_3M</stp>
        <stp>[Index.xlsm]全球指數!R18C12</stp>
        <tr r="L18" s="1"/>
      </tp>
      <tp>
        <v>8.3139225391248832</v>
        <stp/>
        <stp>##V3_BDPV12</stp>
        <stp>FTN098 Index</stp>
        <stp>INTERVAL_Low</stp>
        <stp>[Index.xlsm]全球指數!R28C17</stp>
        <stp>MARKET_DATA_OVERRIDE=PE_RATIO</stp>
        <stp>CALC_INTERVAL=5y</stp>
        <stp>BEST_FPERIOD_OVERRIDE=BF</stp>
        <tr r="Q28" s="1"/>
      </tp>
      <tp>
        <v>-3.1294</v>
        <stp/>
        <stp>##V3_BDPV12</stp>
        <stp>NMDP Index</stp>
        <stp>CHG_PCT_5D</stp>
        <stp>[Index.xlsm]全球指數!R19C10</stp>
        <tr r="J19" s="1"/>
      </tp>
      <tp>
        <v>3.4109690000000001</v>
        <stp/>
        <stp>##V3_BDPV12</stp>
        <stp>NMDP Index</stp>
        <stp>CHG_PCT_6M</stp>
        <stp>[Index.xlsm]全球指數!R19C13</stp>
        <tr r="M19" s="1"/>
      </tp>
      <tp>
        <v>1.7589779999999999</v>
        <stp/>
        <stp>##V3_BDPV12</stp>
        <stp>NMDP Index</stp>
        <stp>CHG_PCT_1M</stp>
        <stp>[Index.xlsm]全球指數!R19C11</stp>
        <tr r="K19" s="1"/>
      </tp>
      <tp>
        <v>-0.73788960000000003</v>
        <stp/>
        <stp>##V3_BDPV12</stp>
        <stp>NMDP Index</stp>
        <stp>CHG_PCT_3M</stp>
        <stp>[Index.xlsm]全球指數!R19C12</stp>
        <tr r="L19" s="1"/>
      </tp>
      <tp>
        <v>3144.96</v>
        <stp/>
        <stp>##V3_BDPV12</stp>
        <stp>BEL20 Index</stp>
        <stp>LOW_52WEEK</stp>
        <stp>[Index.xlsm]全球指數!R224C8</stp>
        <tr r="H224" s="1"/>
      </tp>
      <tp>
        <v>-0.48645179999999999</v>
        <stp/>
        <stp>##V3_BDPV12</stp>
        <stp>AS51 Index</stp>
        <stp>CHG_PCT_1D</stp>
        <stp>[Index.xlsm]全球指數!R182C5</stp>
        <tr r="E182" s="1"/>
      </tp>
      <tp>
        <v>0.63757839999999999</v>
        <stp/>
        <stp>##V3_BDPV12</stp>
        <stp>IT30 Index</stp>
        <stp>CHG_PCT_1D</stp>
        <stp>[Index.xlsm]全球指數!R114C5</stp>
        <tr r="E114" s="1"/>
      </tp>
      <tp>
        <v>11.304947571706464</v>
        <stp/>
        <stp>##V3_BDPV12</stp>
        <stp>TWSE Index</stp>
        <stp>INTERVAL_Low</stp>
        <stp>[Index.xlsm]全球指數!R225C17</stp>
        <stp>MARKET_DATA_OVERRIDE=PE_RATIO</stp>
        <stp>CALC_INTERVAL=5y</stp>
        <stp>BEST_FPERIOD_OVERRIDE=BF</stp>
        <tr r="Q225" s="1"/>
      </tp>
      <tp>
        <v>13.039537506446434</v>
        <stp/>
        <stp>##V3_BDPV12</stp>
        <stp>DWCF Index</stp>
        <stp>INTERVAL_Low</stp>
        <stp>[Index.xlsm]全球指數!R121C17</stp>
        <stp>MARKET_DATA_OVERRIDE=PE_RATIO</stp>
        <stp>CALC_INTERVAL=5y</stp>
        <stp>BEST_FPERIOD_OVERRIDE=BF</stp>
        <tr r="Q121" s="1"/>
      </tp>
      <tp t="s">
        <v>智利小型股指數</v>
        <stp/>
        <stp>##V3_BDPV12</stp>
        <stp>CHSMLCAP Index</stp>
        <stp>DS697</stp>
        <stp>[Index.xlsm]全球指數!R273C2</stp>
        <tr r="B273" s="1"/>
      </tp>
      <tp>
        <v>11494.28</v>
        <stp/>
        <stp>##V3_BDPV12</stp>
        <stp>Tran INDEX</stp>
        <stp>HIGH_52WEEK</stp>
        <stp>[Index.xlsm]主要產業!R3C44</stp>
        <tr r="AR3" s="2"/>
      </tp>
      <tp>
        <v>299.37</v>
        <stp/>
        <stp>##V3_BDPV12</stp>
        <stp>SXIP INDEX</stp>
        <stp>PX_LAST</stp>
        <stp>[Index.xlsm]主要產業!R24C4</stp>
        <tr r="D24" s="2"/>
      </tp>
      <tp t="s">
        <v>TA</v>
        <stp/>
        <stp>##V3_BDPV12</stp>
        <stp>TWSEISI Index</stp>
        <stp>DS003</stp>
        <stp>[Index.xlsm]主要產業!R96C3</stp>
        <tr r="C96" s="2"/>
      </tp>
      <tp t="s">
        <v>TA</v>
        <stp/>
        <stp>##V3_BDPV12</stp>
        <stp>TWSECON Index</stp>
        <stp>DS003</stp>
        <stp>[Index.xlsm]主要產業!R86C3</stp>
        <tr r="C86" s="2"/>
      </tp>
      <tp t="s">
        <v>TA</v>
        <stp/>
        <stp>##V3_BDPV12</stp>
        <stp>TWSECPE Index</stp>
        <stp>DS003</stp>
        <stp>[Index.xlsm]主要產業!R76C3</stp>
        <tr r="C76" s="2"/>
      </tp>
      <tp t="s">
        <v>#N/A N/A</v>
        <stp/>
        <stp>##V3_BDPV12</stp>
        <stp>SZ399550 Index</stp>
        <stp>INTERVAL_HIGH</stp>
        <stp>[Index.xlsm]全球指數!R59C16</stp>
        <stp>MARKET_DATA_OVERRIDE=PE_RATIO</stp>
        <stp>CALC_INTERVAL=5y</stp>
        <stp>BEST_FPERIOD_OVERRIDE=BF</stp>
        <tr r="P59" s="1"/>
      </tp>
      <tp>
        <v>667.94</v>
        <stp/>
        <stp>##V3_BDPV12</stp>
        <stp>BELEX15 Index</stp>
        <stp>LOW_52WEEK</stp>
        <stp>[Index.xlsm]全球指數!R244C8</stp>
        <tr r="H244" s="1"/>
      </tp>
      <tp>
        <v>-0.76622990000000002</v>
        <stp/>
        <stp>##V3_BDPV12</stp>
        <stp>CHILE65 Index</stp>
        <stp>CHG_PCT_5D</stp>
        <stp>[Index.xlsm]全球指數!R165C10</stp>
        <tr r="J165" s="1"/>
      </tp>
      <tp>
        <v>990.03</v>
        <stp/>
        <stp>##V3_BDPV12</stp>
        <stp>s5cond index</stp>
        <stp>HIGH_52WEEK</stp>
        <stp>[Index.xlsm]主要產業!R7C6</stp>
        <tr r="F7" s="2"/>
      </tp>
      <tp>
        <v>13.004080731163302</v>
        <stp/>
        <stp>##V3_BDPV12</stp>
        <stp>WIG Index</stp>
        <stp>PE_RATIO</stp>
        <stp>[Index.xlsm]全球指數!R115C18</stp>
        <tr r="R115" s="1"/>
      </tp>
      <tp>
        <v>2107.59</v>
        <stp/>
        <stp>##V3_BDPV12</stp>
        <stp>NKY500 Index</stp>
        <stp>PX_LAST</stp>
        <stp>[Index.xlsm]全球指數!R280C4</stp>
        <tr r="D280" s="1"/>
      </tp>
      <tp>
        <v>1410.31</v>
        <stp/>
        <stp>##V3_BDPV12</stp>
        <stp>FTN098 Index</stp>
        <stp>HIGH_52WEEK</stp>
        <stp>[Index.xlsm]全球指數!R28C6</stp>
        <tr r="F28" s="1"/>
      </tp>
      <tp>
        <v>-0.66604790000000003</v>
        <stp/>
        <stp>##V3_BDPV12</stp>
        <stp>KOSPI100 Index</stp>
        <stp>PR064</stp>
        <stp>[Index.xlsm]全球指數!R195C14</stp>
        <tr r="N195" s="1"/>
      </tp>
      <tp t="s">
        <v>牙買加證交所指數</v>
        <stp/>
        <stp>##V3_BDPV12</stp>
        <stp>JMSMX Index</stp>
        <stp>DS697</stp>
        <stp>[Index.xlsm]全球指數!R106C2</stp>
        <tr r="B106" s="1"/>
      </tp>
      <tp>
        <v>4431.12</v>
        <stp/>
        <stp>##V3_BDPV12</stp>
        <stp>SBF120 Index</stp>
        <stp>PX_LAST</stp>
        <stp>[Index.xlsm]全球指數!R169C4</stp>
        <tr r="D169" s="1"/>
      </tp>
      <tp>
        <v>10.171901104142034</v>
        <stp/>
        <stp>##V3_BDPV12</stp>
        <stp>DSM Index</stp>
        <stp>INTERVAL_Low</stp>
        <stp>[Index.xlsm]全球指數!R143C17</stp>
        <stp>MARKET_DATA_OVERRIDE=PE_RATIO</stp>
        <stp>CALC_INTERVAL=5y</stp>
        <stp>BEST_FPERIOD_OVERRIDE=BF</stp>
        <tr r="Q143" s="1"/>
      </tp>
      <tp t="s">
        <v>UA</v>
        <stp/>
        <stp>##V3_BDPV12</stp>
        <stp>ADSMI Index</stp>
        <stp>DS003</stp>
        <stp>[Index.xlsm]全球指數!R120C3</stp>
        <tr r="C120" s="1"/>
      </tp>
      <tp>
        <v>2044.86</v>
        <stp/>
        <stp>##V3_BDPV12</stp>
        <stp>WIG20 Index</stp>
        <stp>LOW_52WEEK</stp>
        <stp>[Index.xlsm]全球指數!R145C8</stp>
        <tr r="H145" s="1"/>
      </tp>
      <tp>
        <v>1709.35</v>
        <stp/>
        <stp>##V3_BDPV12</stp>
        <stp>EUE15P Index</stp>
        <stp>HIGH_52WEEK</stp>
        <stp>[Index.xlsm]全球指數!R57C6</stp>
        <tr r="F57" s="1"/>
      </tp>
      <tp>
        <v>3547.59</v>
        <stp/>
        <stp>##V3_BDPV12</stp>
        <stp>SBF250 Index</stp>
        <stp>LOW_52WEEK</stp>
        <stp>[Index.xlsm]全球指數!R164C8</stp>
        <tr r="H164" s="1"/>
      </tp>
      <tp>
        <v>2249.366</v>
        <stp/>
        <stp>##V3_BDPV12</stp>
        <stp>SSE50 Index</stp>
        <stp>LOW_52WEEK</stp>
        <stp>[Index.xlsm]全球指數!R132C8</stp>
        <tr r="H132" s="1"/>
      </tp>
      <tp t="s">
        <v>#N/A N/A</v>
        <stp/>
        <stp>##V3_BDPV12</stp>
        <stp>SZSMEC Index</stp>
        <stp>PE_RATIO</stp>
        <stp>[Index.xlsm]全球指數!R9C18</stp>
        <tr r="R9" s="1"/>
      </tp>
      <tp>
        <v>15.053897085009318</v>
        <stp/>
        <stp>##V3_BDPV12</stp>
        <stp>QETR Index</stp>
        <stp>PE_RATIO</stp>
        <stp>[Index.xlsm]全球指數!R144C18</stp>
        <tr r="R144" s="1"/>
      </tp>
      <tp>
        <v>15.201975736174079</v>
        <stp/>
        <stp>##V3_BDPV12</stp>
        <stp>QEAS Index</stp>
        <stp>PE_RATIO</stp>
        <stp>[Index.xlsm]全球指數!R149C18</stp>
        <tr r="R149" s="1"/>
      </tp>
      <tp>
        <v>919.03</v>
        <stp/>
        <stp>##V3_BDPV12</stp>
        <stp>S5tech Index</stp>
        <stp>LOW_52WEEK</stp>
        <stp>[Index.xlsm]主要產業!R11C8</stp>
        <tr r="H11" s="2"/>
      </tp>
      <tp>
        <v>849.26</v>
        <stp/>
        <stp>##V3_BDPV12</stp>
        <stp>SXDP INDEX</stp>
        <stp>PX_LAST</stp>
        <stp>[Index.xlsm]主要產業!R18C4</stp>
        <tr r="D18" s="2"/>
      </tp>
      <tp>
        <v>0.78947330000000004</v>
        <stp/>
        <stp>##V3_BDPV12</stp>
        <stp>CCMP INDEX</stp>
        <stp>PR064</stp>
        <stp>[Index.xlsm]主要產業!R5C52</stp>
        <tr r="AZ5" s="2"/>
      </tp>
      <tp t="s">
        <v>TA</v>
        <stp/>
        <stp>##V3_BDPV12</stp>
        <stp>TWSEGLP Index</stp>
        <stp>DS003</stp>
        <stp>[Index.xlsm]主要產業!R97C3</stp>
        <tr r="C97" s="2"/>
      </tp>
      <tp>
        <v>3.8830800000000001</v>
        <stp/>
        <stp>##V3_BDPV12</stp>
        <stp>BELEX15 Index</stp>
        <stp>CHG_PCT_3M</stp>
        <stp>[Index.xlsm]全球指數!R244C12</stp>
        <tr r="L244" s="1"/>
      </tp>
      <tp>
        <v>6603.41015625</v>
        <stp/>
        <stp>##V3_BDPV12</stp>
        <stp>INTER10 Index</stp>
        <stp>HIGH_52WEEK</stp>
        <stp>[Index.xlsm]全球指數!R203C6</stp>
        <tr r="F203" s="1"/>
      </tp>
      <tp>
        <v>-6.5512050000000004</v>
        <stp/>
        <stp>##V3_BDPV12</stp>
        <stp>CHILE65 Index</stp>
        <stp>CHG_PCT_6M</stp>
        <stp>[Index.xlsm]全球指數!R165C13</stp>
        <tr r="M165" s="1"/>
      </tp>
      <tp>
        <v>33700.449999999997</v>
        <stp/>
        <stp>##V3_BDPV12</stp>
        <stp>HKSPLC25 Index</stp>
        <stp>PX_LAST</stp>
        <stp>[Index.xlsm]全球指數!R94C4</stp>
        <tr r="D94" s="1"/>
      </tp>
      <tp t="s">
        <v>PS</v>
        <stp/>
        <stp>##V3_BDPV12</stp>
        <stp>PASISI Index</stp>
        <stp>DS003</stp>
        <stp>[Index.xlsm]全球指數!R215C3</stp>
        <tr r="C215" s="1"/>
      </tp>
      <tp t="s">
        <v>東證REIT指數</v>
        <stp/>
        <stp>##V3_BDPV12</stp>
        <stp>TSEREIT Index</stp>
        <stp>DS697</stp>
        <stp>[Index.xlsm]全球指數!R309C2</stp>
        <tr r="B309" s="1"/>
      </tp>
      <tp t="s">
        <v>波札那嘉伯隆里指數</v>
        <stp/>
        <stp>##V3_BDPV12</stp>
        <stp>BGSMDC Index</stp>
        <stp>DS697</stp>
        <stp>[Index.xlsm]全球指數!R257C2</stp>
        <tr r="B257" s="1"/>
      </tp>
      <tp t="s">
        <v>韓國KOSPI指數</v>
        <stp/>
        <stp>##V3_BDPV12</stp>
        <stp>KOSPI Index</stp>
        <stp>DS697</stp>
        <stp>[Index.xlsm]全球指數!R155C2</stp>
        <tr r="B155" s="1"/>
      </tp>
      <tp>
        <v>1317.58</v>
        <stp/>
        <stp>##V3_BDPV12</stp>
        <stp>SE30 Index</stp>
        <stp>HIGH_52WEEK</stp>
        <stp>[Index.xlsm]全球指數!R29C6</stp>
        <tr r="F29" s="1"/>
      </tp>
      <tp t="s">
        <v>標準普爾亞洲50 CME</v>
        <stp/>
        <stp>##V3_BDPV12</stp>
        <stp>SAXCME Index</stp>
        <stp>DS697</stp>
        <stp>[Index.xlsm]全球指數!R109C2</stp>
        <tr r="B109" s="1"/>
      </tp>
      <tp t="s">
        <v>MX</v>
        <stp/>
        <stp>##V3_BDPV12</stp>
        <stp>FTBIVA Index</stp>
        <stp>DS003</stp>
        <stp>[Index.xlsm]全球指數!R245C3</stp>
        <tr r="C245" s="1"/>
      </tp>
      <tp>
        <v>14.2241561286531</v>
        <stp/>
        <stp>##V3_BDPV12</stp>
        <stp>TPX Index</stp>
        <stp>PE_RATIO</stp>
        <stp>[Index.xlsm]全球指數!R289C18</stp>
        <tr r="R289" s="1"/>
      </tp>
      <tp>
        <v>654.25199999999995</v>
        <stp/>
        <stp>##V3_BDPV12</stp>
        <stp>OMXO20 Index</stp>
        <stp>HIGH_52WEEK</stp>
        <stp>[Index.xlsm]全球指數!R49C6</stp>
        <tr r="F49" s="1"/>
      </tp>
      <tp t="s">
        <v>RR</v>
        <stp/>
        <stp>##V3_BDPV12</stp>
        <stp>BELEX15 Index</stp>
        <stp>DS003</stp>
        <stp>[Index.xlsm]全球指數!R244C3</stp>
        <tr r="C244" s="1"/>
      </tp>
      <tp t="s">
        <v>智利 INTER-10 國際指數</v>
        <stp/>
        <stp>##V3_BDPV12</stp>
        <stp>INTER10 Index</stp>
        <stp>DS697</stp>
        <stp>[Index.xlsm]全球指數!R203C2</stp>
        <tr r="B203" s="1"/>
      </tp>
      <tp>
        <v>621.66999999999996</v>
        <stp/>
        <stp>##V3_BDPV12</stp>
        <stp>SASX10 Index</stp>
        <stp>LOW_52WEEK</stp>
        <stp>[Index.xlsm]全球指數!R293C8</stp>
        <tr r="H293" s="1"/>
      </tp>
      <tp>
        <v>635.05999999999995</v>
        <stp/>
        <stp>##V3_BDPV12</stp>
        <stp>TPXC30 Index</stp>
        <stp>LOW_52WEEK</stp>
        <stp>[Index.xlsm]全球指數!R266C8</stp>
        <tr r="H266" s="1"/>
      </tp>
      <tp>
        <v>-6.2239009999999997</v>
        <stp/>
        <stp>##V3_BDPV12</stp>
        <stp>EUETMP Index</stp>
        <stp>CHG_PCT_6M</stp>
        <stp>[Index.xlsm]全球指數!R97C13</stp>
        <tr r="M97" s="1"/>
      </tp>
      <tp t="s">
        <v>NZ</v>
        <stp/>
        <stp>##V3_BDPV12</stp>
        <stp>NZSE10 Index</stp>
        <stp>DS003</stp>
        <stp>[Index.xlsm]全球指數!R249C3</stp>
        <tr r="C249" s="1"/>
      </tp>
      <tp>
        <v>-1.3936390000000001</v>
        <stp/>
        <stp>##V3_BDPV12</stp>
        <stp>EUETMP Index</stp>
        <stp>CHG_PCT_5D</stp>
        <stp>[Index.xlsm]全球指數!R97C10</stp>
        <tr r="J97" s="1"/>
      </tp>
      <tp>
        <v>-6.2466609999999996</v>
        <stp/>
        <stp>##V3_BDPV12</stp>
        <stp>EUETMP Index</stp>
        <stp>CHG_PCT_3M</stp>
        <stp>[Index.xlsm]全球指數!R97C12</stp>
        <tr r="L97" s="1"/>
      </tp>
      <tp>
        <v>2.0444870000000002</v>
        <stp/>
        <stp>##V3_BDPV12</stp>
        <stp>EUETMP Index</stp>
        <stp>CHG_PCT_1M</stp>
        <stp>[Index.xlsm]全球指數!R97C11</stp>
        <tr r="K97" s="1"/>
      </tp>
      <tp>
        <v>3.8397827158528561</v>
        <stp/>
        <stp>##V3_BDPV12</stp>
        <stp>PFTS Index</stp>
        <stp>PE_RATIO</stp>
        <stp>[Index.xlsm]全球指數!R295C18</stp>
        <tr r="R295" s="1"/>
      </tp>
      <tp>
        <v>19.750596516232818</v>
        <stp/>
        <stp>##V3_BDPV12</stp>
        <stp>CUTL Index</stp>
        <stp>INTERVAL_Low</stp>
        <stp>[Index.xlsm]全球指數!R107C17</stp>
        <stp>MARKET_DATA_OVERRIDE=PE_RATIO</stp>
        <stp>CALC_INTERVAL=5y</stp>
        <stp>BEST_FPERIOD_OVERRIDE=BF</stp>
        <tr r="Q107" s="1"/>
      </tp>
      <tp>
        <v>6.4610640000000004</v>
        <stp/>
        <stp>##V3_BDPV12</stp>
        <stp>SZ399006 Index</stp>
        <stp>PR064</stp>
        <stp>[Index.xlsm]全球指數!R8C14</stp>
        <tr r="N8" s="1"/>
      </tp>
      <tp>
        <v>33.078453242409402</v>
        <stp/>
        <stp>##V3_BDPV12</stp>
        <stp>CFIN Index</stp>
        <stp>PE_RATIO</stp>
        <stp>[Index.xlsm]全球指數!R137C18</stp>
        <tr r="R137" s="1"/>
      </tp>
      <tp>
        <v>467.88</v>
        <stp/>
        <stp>##V3_BDPV12</stp>
        <stp>SXOP INDEX</stp>
        <stp>PX_LAST</stp>
        <stp>[Index.xlsm]主要產業!R30C4</stp>
        <tr r="D30" s="2"/>
      </tp>
      <tp>
        <v>31.359626535396071</v>
        <stp/>
        <stp>##V3_BDPV12</stp>
        <stp>S5SFTW Index</stp>
        <stp>INTERVAL_HIGH</stp>
        <stp>[Index.xlsm]主要產業!R5C16</stp>
        <stp>MARKET_DATA_OVERRIDE=PE_RATIO</stp>
        <stp>CALC_INTERVAL=5y</stp>
        <stp>BEST_FPERIOD_OVERRIDE=BF</stp>
        <tr r="P5" s="2"/>
      </tp>
      <tp>
        <v>295.18</v>
        <stp/>
        <stp>##V3_BDPV12</stp>
        <stp>s5matr Index</stp>
        <stp>LOW_52WEEK</stp>
        <stp>[Index.xlsm]主要產業!R16C8</stp>
        <tr r="H16" s="2"/>
      </tp>
      <tp t="s">
        <v>TA</v>
        <stp/>
        <stp>##V3_BDPV12</stp>
        <stp>TWSEFOOD Index</stp>
        <stp>DS003</stp>
        <stp>[Index.xlsm]主要產業!R80C3</stp>
        <tr r="C80" s="2"/>
      </tp>
      <tp t="s">
        <v>TA</v>
        <stp/>
        <stp>##V3_BDPV12</stp>
        <stp>TWSEECI Index</stp>
        <stp>DS003</stp>
        <stp>[Index.xlsm]主要產業!R74C3</stp>
        <tr r="C74" s="2"/>
      </tp>
      <tp t="s">
        <v>TA</v>
        <stp/>
        <stp>##V3_BDPV12</stp>
        <stp>TWSEEAW Index</stp>
        <stp>DS003</stp>
        <stp>[Index.xlsm]主要產業!R94C3</stp>
        <tr r="C94" s="2"/>
      </tp>
      <tp>
        <v>10.853505322267505</v>
        <stp/>
        <stp>##V3_BDPV12</stp>
        <stp>IT30 Index</stp>
        <stp>INTERVAL_Low</stp>
        <stp>[Index.xlsm]全球指數!R114C17</stp>
        <stp>MARKET_DATA_OVERRIDE=PE_RATIO</stp>
        <stp>CALC_INTERVAL=5y</stp>
        <stp>BEST_FPERIOD_OVERRIDE=BF</stp>
        <tr r="Q114" s="1"/>
      </tp>
      <tp>
        <v>1676.71</v>
        <stp/>
        <stp>##V3_BDPV12</stp>
        <stp>KOSPI50 Index</stp>
        <stp>LOW_52WEEK</stp>
        <stp>[Index.xlsm]全球指數!R208C8</stp>
        <tr r="H208" s="1"/>
      </tp>
      <tp>
        <v>-0.47221970000000002</v>
        <stp/>
        <stp>##V3_BDPV12</stp>
        <stp>KOSPI100 Index</stp>
        <stp>CHG_PCT_5D</stp>
        <stp>[Index.xlsm]全球指數!R195C10</stp>
        <tr r="J195" s="1"/>
      </tp>
      <tp>
        <v>0.93001350000000005</v>
        <stp/>
        <stp>##V3_BDPV12</stp>
        <stp>JPNK400 Index</stp>
        <stp>CHG_PCT_5D</stp>
        <stp>[Index.xlsm]全球指數!R286C10</stp>
        <tr r="J286" s="1"/>
      </tp>
      <tp>
        <v>5.0925043910030361</v>
        <stp/>
        <stp>##V3_BDPV12</stp>
        <stp>IBG Index</stp>
        <stp>PE_RATIO</stp>
        <stp>[Index.xlsm]全球指數!R3C18</stp>
        <tr r="R3" s="1"/>
      </tp>
      <tp>
        <v>17.83447700374921</v>
        <stp/>
        <stp>##V3_BDPV12</stp>
        <stp>UKX Index</stp>
        <stp>PE_RATIO</stp>
        <stp>[Index.xlsm]全球指數!R239C18</stp>
        <tr r="R239" s="1"/>
      </tp>
      <tp>
        <v>70.920052651358958</v>
        <stp/>
        <stp>##V3_BDPV12</stp>
        <stp>CM100 Index</stp>
        <stp>INTERVAL_HIGH</stp>
        <stp>[Index.xlsm]全球指數!R88C16</stp>
        <stp>MARKET_DATA_OVERRIDE=PE_RATIO</stp>
        <stp>CALC_INTERVAL=5y</stp>
        <stp>BEST_FPERIOD_OVERRIDE=BF</stp>
        <tr r="P88" s="1"/>
      </tp>
      <tp t="s">
        <v>US</v>
        <stp/>
        <stp>##V3_BDPV12</stp>
        <stp>BBREIT Index</stp>
        <stp>DS003</stp>
        <stp>[Index.xlsm]全球指數!R288C3</stp>
        <tr r="C288" s="1"/>
      </tp>
      <tp>
        <v>8.9299917860238107</v>
        <stp/>
        <stp>##V3_BDPV12</stp>
        <stp>MXAPEXA Index</stp>
        <stp>INTERVAL_Low</stp>
        <stp>[Index.xlsm]全球指數!R90C17</stp>
        <stp>MARKET_DATA_OVERRIDE=PE_RATIO</stp>
        <stp>CALC_INTERVAL=5y</stp>
        <stp>BEST_FPERIOD_OVERRIDE=BF</stp>
        <tr r="Q90" s="1"/>
      </tp>
      <tp>
        <v>94.035353216890513</v>
        <stp/>
        <stp>##V3_BDPV12</stp>
        <stp>MS190 Index</stp>
        <stp>INTERVAL_HIGH</stp>
        <stp>[Index.xlsm]全球指數!R79C16</stp>
        <stp>MARKET_DATA_OVERRIDE=PE_RATIO</stp>
        <stp>CALC_INTERVAL=5y</stp>
        <stp>BEST_FPERIOD_OVERRIDE=BF</stp>
        <tr r="P79" s="1"/>
      </tp>
      <tp t="s">
        <v>RU</v>
        <stp/>
        <stp>##V3_BDPV12</stp>
        <stp>RTSI$ Index</stp>
        <stp>DS003</stp>
        <stp>[Index.xlsm]全球指數!R102C3</stp>
        <tr r="C102" s="1"/>
      </tp>
      <tp t="s">
        <v>富時海峽時報全部股票指數</v>
        <stp/>
        <stp>##V3_BDPV12</stp>
        <stp>FSTAS Index</stp>
        <stp>DS697</stp>
        <stp>[Index.xlsm]全球指數!R133C2</stp>
        <tr r="B133" s="1"/>
      </tp>
      <tp>
        <v>21.636991964976776</v>
        <stp/>
        <stp>##V3_BDPV12</stp>
        <stp>UTY Index</stp>
        <stp>PE_RATIO</stp>
        <stp>[Index.xlsm]全球指數!R303C18</stp>
        <tr r="R303" s="1"/>
      </tp>
      <tp>
        <v>1.1527639999999999</v>
        <stp/>
        <stp>##V3_BDPV12</stp>
        <stp>BSE100 Index</stp>
        <stp>CHG_PCT_1D</stp>
        <stp>[Index.xlsm]全球指數!R318C5</stp>
        <tr r="E318" s="1"/>
      </tp>
      <tp t="s">
        <v>泰國曼谷SET50指數</v>
        <stp/>
        <stp>##V3_BDPV12</stp>
        <stp>SET50 Index</stp>
        <stp>DS697</stp>
        <stp>[Index.xlsm]全球指數!R233C2</stp>
        <tr r="B233" s="1"/>
      </tp>
      <tp>
        <v>681.04</v>
        <stp/>
        <stp>##V3_BDPV12</stp>
        <stp>IMC30 Index</stp>
        <stp>LOW_52WEEK</stp>
        <stp>[Index.xlsm]全球指數!R246C8</stp>
        <tr r="H246" s="1"/>
      </tp>
      <tp>
        <v>13117.22</v>
        <stp/>
        <stp>##V3_BDPV12</stp>
        <stp>IBX50 Index</stp>
        <stp>LOW_52WEEK</stp>
        <stp>[Index.xlsm]全球指數!R290C8</stp>
        <tr r="H290" s="1"/>
      </tp>
      <tp>
        <v>0.69900870000000004</v>
        <stp/>
        <stp>##V3_BDPV12</stp>
        <stp>E100 Index</stp>
        <stp>CHG_PCT_1D</stp>
        <stp>[Index.xlsm]全球指數!R234C5</stp>
        <tr r="E234" s="1"/>
      </tp>
      <tp>
        <v>0.81516339999999998</v>
        <stp/>
        <stp>##V3_BDPV12</stp>
        <stp>CH30 Index</stp>
        <stp>CHG_PCT_1D</stp>
        <stp>[Index.xlsm]全球指數!R157C5</stp>
        <tr r="E157" s="1"/>
      </tp>
      <tp>
        <v>1.120995</v>
        <stp/>
        <stp>##V3_BDPV12</stp>
        <stp>SX40 Index</stp>
        <stp>CHG_PCT_1D</stp>
        <stp>[Index.xlsm]全球指數!R320C5</stp>
        <tr r="E320" s="1"/>
      </tp>
      <tp>
        <v>5.7670992902497593</v>
        <stp/>
        <stp>##V3_BDPV12</stp>
        <stp>CTRN Index</stp>
        <stp>INTERVAL_Low</stp>
        <stp>[Index.xlsm]全球指數!R136C17</stp>
        <stp>MARKET_DATA_OVERRIDE=PE_RATIO</stp>
        <stp>CALC_INTERVAL=5y</stp>
        <stp>BEST_FPERIOD_OVERRIDE=BF</stp>
        <tr r="Q136" s="1"/>
      </tp>
      <tp>
        <v>16.770730270242428</v>
        <stp/>
        <stp>##V3_BDPV12</stp>
        <stp>IGPA Index</stp>
        <stp>PE_RATIO</stp>
        <stp>[Index.xlsm]全球指數!R167C18</stp>
        <tr r="R167" s="1"/>
      </tp>
      <tp t="s">
        <v>智利大型股指數</v>
        <stp/>
        <stp>##V3_BDPV12</stp>
        <stp>CHLRGCAP Index</stp>
        <stp>DS697</stp>
        <stp>[Index.xlsm]全球指數!R130C2</stp>
        <tr r="B130" s="1"/>
      </tp>
      <tp>
        <v>19.297665915318159</v>
        <stp/>
        <stp>##V3_BDPV12</stp>
        <stp>IGCX Index</stp>
        <stp>PE_RATIO</stp>
        <stp>[Index.xlsm]全球指數!R270C18</stp>
        <tr r="R270" s="1"/>
      </tp>
      <tp>
        <v>14.745035517914033</v>
        <stp/>
        <stp>##V3_BDPV12</stp>
        <stp>UTIL Index</stp>
        <stp>INTERVAL_Low</stp>
        <stp>[Index.xlsm]全球指數!R305C17</stp>
        <stp>MARKET_DATA_OVERRIDE=PE_RATIO</stp>
        <stp>CALC_INTERVAL=5y</stp>
        <stp>BEST_FPERIOD_OVERRIDE=BF</stp>
        <tr r="Q305" s="1"/>
      </tp>
      <tp>
        <v>7.5597435539596187</v>
        <stp/>
        <stp>##V3_BDPV12</stp>
        <stp>ITMC Index</stp>
        <stp>INTERVAL_Low</stp>
        <stp>[Index.xlsm]全球指數!R163C17</stp>
        <stp>MARKET_DATA_OVERRIDE=PE_RATIO</stp>
        <stp>CALC_INTERVAL=5y</stp>
        <stp>BEST_FPERIOD_OVERRIDE=BF</stp>
        <tr r="Q163" s="1"/>
      </tp>
      <tp>
        <v>14.192962286655332</v>
        <stp/>
        <stp>##V3_BDPV12</stp>
        <stp>JNJ US Equity</stp>
        <stp>INTERVAL_Low</stp>
        <stp>[Index.xlsm]主要產業!R6C37</stp>
        <stp>MARKET_DATA_OVERRIDE=PE_RATIO</stp>
        <stp>CALC_INTERVAL=5y</stp>
        <stp>BEST_FPERIOD_OVERRIDE=BF</stp>
        <tr r="AK6" s="2"/>
      </tp>
      <tp t="s">
        <v>JN</v>
        <stp/>
        <stp>##V3_BDPV12</stp>
        <stp>TPTRAN Index</stp>
        <stp>DS003</stp>
        <stp>[Index.xlsm]主要產業!R39C3</stp>
        <tr r="C39" s="2"/>
      </tp>
      <tp>
        <v>13.817185476417913</v>
        <stp/>
        <stp>##V3_BDPV12</stp>
        <stp>MSFT US Equity</stp>
        <stp>INTERVAL_Low</stp>
        <stp>[Index.xlsm]主要產業!R2C37</stp>
        <stp>MARKET_DATA_OVERRIDE=PE_RATIO</stp>
        <stp>CALC_INTERVAL=5y</stp>
        <stp>BEST_FPERIOD_OVERRIDE=BF</stp>
        <tr r="AK2" s="2"/>
      </tp>
      <tp t="s">
        <v>TA</v>
        <stp/>
        <stp>##V3_BDPV12</stp>
        <stp>TWSEOEI Index</stp>
        <stp>DS003</stp>
        <stp>[Index.xlsm]主要產業!R75C3</stp>
        <tr r="C75" s="2"/>
      </tp>
      <tp>
        <v>17.982940952129709</v>
        <stp/>
        <stp>##V3_BDPV12</stp>
        <stp>SX5E Index</stp>
        <stp>PE_RATIO</stp>
        <stp>[Index.xlsm]全球指數!R184C18</stp>
        <tr r="R184" s="1"/>
      </tp>
      <tp t="s">
        <v>#N/A N/A</v>
        <stp/>
        <stp>##V3_BDPV12</stp>
        <stp>SX40 Index</stp>
        <stp>PE_RATIO</stp>
        <stp>[Index.xlsm]全球指數!R320C18</stp>
        <tr r="R320" s="1"/>
      </tp>
      <tp>
        <v>19.52854519642748</v>
        <stp/>
        <stp>##V3_BDPV12</stp>
        <stp>SX5P Index</stp>
        <stp>PE_RATIO</stp>
        <stp>[Index.xlsm]全球指數!R255C18</stp>
        <tr r="R255" s="1"/>
      </tp>
      <tp>
        <v>19555.63</v>
        <stp/>
        <stp>##V3_BDPV12</stp>
        <stp>MAR Index</stp>
        <stp>LOW_52WEEK</stp>
        <stp>[Index.xlsm]全球指數!R5C8</stp>
        <tr r="H5" s="1"/>
      </tp>
      <tp t="s">
        <v>#N/A N/A</v>
        <stp/>
        <stp>##V3_BDPV12</stp>
        <stp>OSX Index</stp>
        <stp>PE_RATIO</stp>
        <stp>[Index.xlsm]全球指數!R2C18</stp>
        <tr r="R2" s="1"/>
      </tp>
      <tp>
        <v>20949.419999999998</v>
        <stp/>
        <stp>##V3_BDPV12</stp>
        <stp>CHILE65 Index</stp>
        <stp>HIGH_52WEEK</stp>
        <stp>[Index.xlsm]全球指數!R165C6</stp>
        <tr r="F165" s="1"/>
      </tp>
      <tp>
        <v>4110.7539999999999</v>
        <stp/>
        <stp>##V3_BDPV12</stp>
        <stp>SHCSI100 Index</stp>
        <stp>PX_LAST</stp>
        <stp>[Index.xlsm]全球指數!R98C4</stp>
        <tr r="D98" s="1"/>
      </tp>
      <tp>
        <v>743.29</v>
        <stp/>
        <stp>##V3_BDPV12</stp>
        <stp>TPXC30 Index</stp>
        <stp>PX_LAST</stp>
        <stp>[Index.xlsm]全球指數!R266C4</stp>
        <tr r="D266" s="1"/>
      </tp>
      <tp t="s">
        <v>US</v>
        <stp/>
        <stp>##V3_BDPV12</stp>
        <stp>VALUA Index</stp>
        <stp>DS003</stp>
        <stp>[Index.xlsm]全球指數!R112C3</stp>
        <tr r="C112" s="1"/>
      </tp>
      <tp>
        <v>19.674619586991113</v>
        <stp/>
        <stp>##V3_BDPV12</stp>
        <stp>JCI Index</stp>
        <stp>PE_RATIO</stp>
        <stp>[Index.xlsm]全球指數!R223C18</stp>
        <tr r="R223" s="1"/>
      </tp>
      <tp>
        <v>22.480890130467674</v>
        <stp/>
        <stp>##V3_BDPV12</stp>
        <stp>SHSZ300 Index</stp>
        <stp>INTERVAL_HIGH</stp>
        <stp>[Index.xlsm]全球指數!R44C16</stp>
        <stp>MARKET_DATA_OVERRIDE=PE_RATIO</stp>
        <stp>CALC_INTERVAL=5y</stp>
        <stp>BEST_FPERIOD_OVERRIDE=BF</stp>
        <tr r="P44" s="1"/>
      </tp>
      <tp t="s">
        <v>標準普爾歐洲 350 指數</v>
        <stp/>
        <stp>##V3_BDPV12</stp>
        <stp>SPEURO Index</stp>
        <stp>DS697</stp>
        <stp>[Index.xlsm]全球指數!R201C2</stp>
        <tr r="B201" s="1"/>
      </tp>
      <tp>
        <v>2908.7</v>
        <stp/>
        <stp>##V3_BDPV12</stp>
        <stp>SX5E Index</stp>
        <stp>LOW_52WEEK</stp>
        <stp>[Index.xlsm]全球指數!R184C8</stp>
        <tr r="H184" s="1"/>
      </tp>
      <tp>
        <v>11558.79</v>
        <stp/>
        <stp>##V3_BDPV12</stp>
        <stp>SWIG80 Index</stp>
        <stp>PX_LAST</stp>
        <stp>[Index.xlsm]全球指數!R191C4</stp>
        <tr r="D191" s="1"/>
      </tp>
      <tp t="s">
        <v>MADEX浮動指數</v>
        <stp/>
        <stp>##V3_BDPV12</stp>
        <stp>MOSEMDX Index</stp>
        <stp>DS697</stp>
        <stp>[Index.xlsm]全球指數!R186C2</stp>
        <tr r="B186" s="1"/>
      </tp>
      <tp>
        <v>14981.24</v>
        <stp/>
        <stp>##V3_BDPV12</stp>
        <stp>BSE500 Index</stp>
        <stp>PX_LAST</stp>
        <stp>[Index.xlsm]全球指數!R315C4</stp>
        <tr r="D315" s="1"/>
      </tp>
      <tp t="s">
        <v>標普孟買SENSEX指數</v>
        <stp/>
        <stp>##V3_BDPV12</stp>
        <stp>SENSEX Index</stp>
        <stp>DS697</stp>
        <stp>[Index.xlsm]全球指數!R317C2</stp>
        <tr r="B317" s="1"/>
      </tp>
      <tp t="s">
        <v>SV</v>
        <stp/>
        <stp>##V3_BDPV12</stp>
        <stp>SBITOP Index</stp>
        <stp>DS003</stp>
        <stp>[Index.xlsm]全球指數!R176C3</stp>
        <tr r="C176" s="1"/>
      </tp>
      <tp t="s">
        <v>US</v>
        <stp/>
        <stp>##V3_BDPV12</stp>
        <stp>NYIID Index</stp>
        <stp>DS003</stp>
        <stp>[Index.xlsm]全球指數!R227C3</stp>
        <tr r="C227" s="1"/>
      </tp>
      <tp t="s">
        <v>PH</v>
        <stp/>
        <stp>##V3_BDPV12</stp>
        <stp>PCOMP Index</stp>
        <stp>DS003</stp>
        <stp>[Index.xlsm]全球指數!R231C3</stp>
        <tr r="C231" s="1"/>
      </tp>
      <tp>
        <v>0.70953080000000002</v>
        <stp/>
        <stp>##V3_BDPV12</stp>
        <stp>HSCCI Index</stp>
        <stp>CHG_PCT_1M</stp>
        <stp>[Index.xlsm]全球指數!R24C11</stp>
        <tr r="K24" s="1"/>
      </tp>
      <tp t="s">
        <v>比利時BEL20指數</v>
        <stp/>
        <stp>##V3_BDPV12</stp>
        <stp>BEL20 Index</stp>
        <stp>DS697</stp>
        <stp>[Index.xlsm]全球指數!R224C2</stp>
        <tr r="B224" s="1"/>
      </tp>
      <tp>
        <v>0.1414387</v>
        <stp/>
        <stp>##V3_BDPV12</stp>
        <stp>TPX100 Index</stp>
        <stp>CHG_PCT_1D</stp>
        <stp>[Index.xlsm]全球指數!R271C5</stp>
        <tr r="E271" s="1"/>
      </tp>
      <tp>
        <v>-2.005776</v>
        <stp/>
        <stp>##V3_BDPV12</stp>
        <stp>OBXP Index</stp>
        <stp>CHG_PCT_5D</stp>
        <stp>[Index.xlsm]全球指數!R47C10</stp>
        <tr r="J47" s="1"/>
      </tp>
      <tp>
        <v>-1.4462079999999999</v>
        <stp/>
        <stp>##V3_BDPV12</stp>
        <stp>HEXP Index</stp>
        <stp>CHG_PCT_5D</stp>
        <stp>[Index.xlsm]全球指數!R93C10</stp>
        <tr r="J93" s="1"/>
      </tp>
      <tp>
        <v>-1.975034</v>
        <stp/>
        <stp>##V3_BDPV12</stp>
        <stp>CLXP Index</stp>
        <stp>CHG_PCT_5D</stp>
        <stp>[Index.xlsm]全球指數!R54C10</stp>
        <tr r="J54" s="1"/>
      </tp>
      <tp>
        <v>-2.706671</v>
        <stp/>
        <stp>##V3_BDPV12</stp>
        <stp>TDXP Index</stp>
        <stp>CHG_PCT_5D</stp>
        <stp>[Index.xlsm]全球指數!R22C10</stp>
        <tr r="J22" s="1"/>
      </tp>
      <tp>
        <v>-2.6709520000000002</v>
        <stp/>
        <stp>##V3_BDPV12</stp>
        <stp>HEXP Index</stp>
        <stp>CHG_PCT_6M</stp>
        <stp>[Index.xlsm]全球指數!R93C13</stp>
        <tr r="M93" s="1"/>
      </tp>
      <tp>
        <v>-6.5940589999999997</v>
        <stp/>
        <stp>##V3_BDPV12</stp>
        <stp>HSCCI Index</stp>
        <stp>CHG_PCT_3M</stp>
        <stp>[Index.xlsm]全球指數!R24C12</stp>
        <tr r="L24" s="1"/>
      </tp>
      <tp>
        <v>3.3967499999999999</v>
        <stp/>
        <stp>##V3_BDPV12</stp>
        <stp>CLXP Index</stp>
        <stp>CHG_PCT_6M</stp>
        <stp>[Index.xlsm]全球指數!R54C13</stp>
        <tr r="M54" s="1"/>
      </tp>
      <tp>
        <v>-1.6425209999999999</v>
        <stp/>
        <stp>##V3_BDPV12</stp>
        <stp>OBXP Index</stp>
        <stp>CHG_PCT_6M</stp>
        <stp>[Index.xlsm]全球指數!R47C13</stp>
        <tr r="M47" s="1"/>
      </tp>
      <tp>
        <v>4.7816640000000001</v>
        <stp/>
        <stp>##V3_BDPV12</stp>
        <stp>TDXP Index</stp>
        <stp>CHG_PCT_6M</stp>
        <stp>[Index.xlsm]全球指數!R22C13</stp>
        <tr r="M22" s="1"/>
      </tp>
      <tp>
        <v>-2.5305909999999998</v>
        <stp/>
        <stp>##V3_BDPV12</stp>
        <stp>HSCCI Index</stp>
        <stp>CHG_PCT_5D</stp>
        <stp>[Index.xlsm]全球指數!R24C10</stp>
        <tr r="J24" s="1"/>
      </tp>
      <tp>
        <v>4.232621</v>
        <stp/>
        <stp>##V3_BDPV12</stp>
        <stp>HEXP Index</stp>
        <stp>CHG_PCT_1M</stp>
        <stp>[Index.xlsm]全球指數!R93C11</stp>
        <tr r="K93" s="1"/>
      </tp>
      <tp>
        <v>1.600419</v>
        <stp/>
        <stp>##V3_BDPV12</stp>
        <stp>CLXP Index</stp>
        <stp>CHG_PCT_1M</stp>
        <stp>[Index.xlsm]全球指數!R54C11</stp>
        <tr r="K54" s="1"/>
      </tp>
      <tp>
        <v>4.8175819999999998</v>
        <stp/>
        <stp>##V3_BDPV12</stp>
        <stp>OBXP Index</stp>
        <stp>CHG_PCT_1M</stp>
        <stp>[Index.xlsm]全球指數!R47C11</stp>
        <tr r="K47" s="1"/>
      </tp>
      <tp>
        <v>2.543898</v>
        <stp/>
        <stp>##V3_BDPV12</stp>
        <stp>TDXP Index</stp>
        <stp>CHG_PCT_1M</stp>
        <stp>[Index.xlsm]全球指數!R22C11</stp>
        <tr r="K22" s="1"/>
      </tp>
      <tp>
        <v>-4.0624180000000003E-2</v>
        <stp/>
        <stp>##V3_BDPV12</stp>
        <stp>HEXP Index</stp>
        <stp>CHG_PCT_3M</stp>
        <stp>[Index.xlsm]全球指數!R93C12</stp>
        <tr r="L93" s="1"/>
      </tp>
      <tp>
        <v>-8.4155300000000004</v>
        <stp/>
        <stp>##V3_BDPV12</stp>
        <stp>HSCCI Index</stp>
        <stp>CHG_PCT_6M</stp>
        <stp>[Index.xlsm]全球指數!R24C13</stp>
        <tr r="M24" s="1"/>
      </tp>
      <tp>
        <v>0.21740689999999999</v>
        <stp/>
        <stp>##V3_BDPV12</stp>
        <stp>CLXP Index</stp>
        <stp>CHG_PCT_3M</stp>
        <stp>[Index.xlsm]全球指數!R54C12</stp>
        <tr r="L54" s="1"/>
      </tp>
      <tp>
        <v>0.94011409999999995</v>
        <stp/>
        <stp>##V3_BDPV12</stp>
        <stp>OBXP Index</stp>
        <stp>CHG_PCT_3M</stp>
        <stp>[Index.xlsm]全球指數!R47C12</stp>
        <tr r="L47" s="1"/>
      </tp>
      <tp>
        <v>-0.7305239</v>
        <stp/>
        <stp>##V3_BDPV12</stp>
        <stp>TDXP Index</stp>
        <stp>CHG_PCT_3M</stp>
        <stp>[Index.xlsm]全球指數!R22C12</stp>
        <tr r="L22" s="1"/>
      </tp>
      <tp>
        <v>980.75049999999999</v>
        <stp/>
        <stp>##V3_BDPV12</stp>
        <stp>OMXC25 Index</stp>
        <stp>LOW_52WEEK</stp>
        <stp>[Index.xlsm]全球指數!R262C8</stp>
        <tr r="H262" s="1"/>
      </tp>
      <tp>
        <v>4057.32</v>
        <stp/>
        <stp>##V3_BDPV12</stp>
        <stp>FTEF80 Index</stp>
        <stp>LOW_52WEEK</stp>
        <stp>[Index.xlsm]全球指數!R161C8</stp>
        <tr r="H161" s="1"/>
      </tp>
      <tp>
        <v>12076.83</v>
        <stp/>
        <stp>##V3_BDPV12</stp>
        <stp>EGX30 Index</stp>
        <stp>LOW_52WEEK</stp>
        <stp>[Index.xlsm]全球指數!R7C8</stp>
        <tr r="H7" s="1"/>
      </tp>
      <tp>
        <v>-14.725350000000001</v>
        <stp/>
        <stp>##V3_BDPV12</stp>
        <stp>LSXC Index</stp>
        <stp>CHG_PCT_6M</stp>
        <stp>[Index.xlsm]全球指數!R14C13</stp>
        <tr r="M14" s="1"/>
      </tp>
      <tp>
        <v>-4.0294739999999996</v>
        <stp/>
        <stp>##V3_BDPV12</stp>
        <stp>LSXC Index</stp>
        <stp>CHG_PCT_5D</stp>
        <stp>[Index.xlsm]全球指數!R14C10</stp>
        <tr r="J14" s="1"/>
      </tp>
      <tp>
        <v>-10.103020000000001</v>
        <stp/>
        <stp>##V3_BDPV12</stp>
        <stp>LSXC Index</stp>
        <stp>CHG_PCT_3M</stp>
        <stp>[Index.xlsm]全球指數!R14C12</stp>
        <tr r="L14" s="1"/>
      </tp>
      <tp>
        <v>-6.6317870000000001</v>
        <stp/>
        <stp>##V3_BDPV12</stp>
        <stp>LSXC Index</stp>
        <stp>CHG_PCT_1M</stp>
        <stp>[Index.xlsm]全球指數!R14C11</stp>
        <tr r="K14" s="1"/>
      </tp>
      <tp t="s">
        <v>MULT</v>
        <stp/>
        <stp>##V3_BDPV12</stp>
        <stp>BWORLDEU Index</stp>
        <stp>DS003</stp>
        <stp>[Index.xlsm]全球指數!R101C3</stp>
        <tr r="C101" s="1"/>
      </tp>
      <tp>
        <v>11.568188038000002</v>
        <stp/>
        <stp>##V3_BDPV12</stp>
        <stp>SKSM Index</stp>
        <stp>INTERVAL_Low</stp>
        <stp>[Index.xlsm]全球指數!R281C17</stp>
        <stp>MARKET_DATA_OVERRIDE=PE_RATIO</stp>
        <stp>CALC_INTERVAL=5y</stp>
        <stp>BEST_FPERIOD_OVERRIDE=BF</stp>
        <tr r="Q281" s="1"/>
      </tp>
      <tp>
        <v>18.689016557429643</v>
        <stp/>
        <stp>##V3_BDPV12</stp>
        <stp>SXXP Index</stp>
        <stp>PE_RATIO</stp>
        <stp>[Index.xlsm]全球指數!R196C18</stp>
        <tr r="R196" s="1"/>
      </tp>
      <tp>
        <v>17.873990107815157</v>
        <stp/>
        <stp>##V3_BDPV12</stp>
        <stp>SXXE Index</stp>
        <stp>PE_RATIO</stp>
        <stp>[Index.xlsm]全球指數!R156C18</stp>
        <tr r="R156" s="1"/>
      </tp>
      <tp>
        <v>16.828124247992058</v>
        <stp/>
        <stp>##V3_BDPV12</stp>
        <stp>TXEQ Index</stp>
        <stp>PE_RATIO</stp>
        <stp>[Index.xlsm]全球指數!R193C18</stp>
        <tr r="R193" s="1"/>
      </tp>
      <tp>
        <v>1359.59</v>
        <stp/>
        <stp>##V3_BDPV12</stp>
        <stp>RTSI$ Index</stp>
        <stp>PX_LAST</stp>
        <stp>[Index.xlsm]全球指數!R102C4</stp>
        <tr r="D102" s="1"/>
      </tp>
      <tp>
        <v>854.52</v>
        <stp/>
        <stp>##V3_BDPV12</stp>
        <stp>SXQP INDEX</stp>
        <stp>PX_LAST</stp>
        <stp>[Index.xlsm]主要產業!R20C4</stp>
        <tr r="D20" s="2"/>
      </tp>
      <tp t="s">
        <v>JN</v>
        <stp/>
        <stp>##V3_BDPV12</stp>
        <stp>TPELMH Index</stp>
        <stp>DS003</stp>
        <stp>[Index.xlsm]主要產業!R37C3</stp>
        <tr r="C37" s="2"/>
      </tp>
      <tp t="s">
        <v>HK</v>
        <stp/>
        <stp>##V3_BDPV12</stp>
        <stp>HSCIFN Index</stp>
        <stp>DS003</stp>
        <stp>[Index.xlsm]主要產業!R61C3</stp>
        <tr r="C61" s="2"/>
      </tp>
      <tp>
        <v>0.99087890000000001</v>
        <stp/>
        <stp>##V3_BDPV12</stp>
        <stp>KOSPI50 Index</stp>
        <stp>CHG_PCT_6M</stp>
        <stp>[Index.xlsm]全球指數!R208C13</stp>
        <tr r="M208" s="1"/>
      </tp>
      <tp>
        <v>3.9365559999999999</v>
        <stp/>
        <stp>##V3_BDPV12</stp>
        <stp>SPTSX60 Index</stp>
        <stp>CHG_PCT_1M</stp>
        <stp>[Index.xlsm]全球指數!R194C11</stp>
        <tr r="K194" s="1"/>
      </tp>
      <tp>
        <v>16.813849999999999</v>
        <stp/>
        <stp>##V3_BDPV12</stp>
        <stp>NZSE50FG Index</stp>
        <stp>CHG_PCT_1YR</stp>
        <stp>[Index.xlsm]全球指數!R250C15</stp>
        <tr r="O250" s="1"/>
      </tp>
      <tp>
        <v>8.3835359999999994</v>
        <stp/>
        <stp>##V3_BDPV12</stp>
        <stp>INTER10 Index</stp>
        <stp>CHG_PCT_1M</stp>
        <stp>[Index.xlsm]全球指數!R203C11</stp>
        <tr r="K203" s="1"/>
      </tp>
      <tp>
        <v>0.92315139999999996</v>
        <stp/>
        <stp>##V3_BDPV12</stp>
        <stp>SHNCOMP Index</stp>
        <stp>CHG_PCT_1M</stp>
        <stp>[Index.xlsm]全球指數!R31C11</stp>
        <tr r="K31" s="1"/>
      </tp>
      <tp>
        <v>16287.24</v>
        <stp/>
        <stp>##V3_BDPV12</stp>
        <stp>JPNK400 Index</stp>
        <stp>HIGH_52WEEK</stp>
        <stp>[Index.xlsm]全球指數!R286C6</stp>
        <tr r="F286" s="1"/>
      </tp>
      <tp>
        <v>-2.2396759999999998</v>
        <stp/>
        <stp>##V3_BDPV12</stp>
        <stp>SHNCOMP Index</stp>
        <stp>CHG_PCT_3M</stp>
        <stp>[Index.xlsm]全球指數!R31C12</stp>
        <tr r="L31" s="1"/>
      </tp>
      <tp>
        <v>-6.4506259999999997</v>
        <stp/>
        <stp>##V3_BDPV12</stp>
        <stp>HKSPLC25 Index</stp>
        <stp>CHG_PCT_1YR</stp>
        <stp>[Index.xlsm]全球指數!R94C15</stp>
        <tr r="O94" s="1"/>
      </tp>
      <tp>
        <v>-2.3430200000000001</v>
        <stp/>
        <stp>##V3_BDPV12</stp>
        <stp>SHNCOMP Index</stp>
        <stp>CHG_PCT_5D</stp>
        <stp>[Index.xlsm]全球指數!R31C10</stp>
        <tr r="J31" s="1"/>
      </tp>
      <tp>
        <v>-3.0764670000000001</v>
        <stp/>
        <stp>##V3_BDPV12</stp>
        <stp>SHNCOMP Index</stp>
        <stp>CHG_PCT_6M</stp>
        <stp>[Index.xlsm]全球指數!R31C13</stp>
        <tr r="M31" s="1"/>
      </tp>
      <tp>
        <v>13.842982411865698</v>
        <stp/>
        <stp>##V3_BDPV12</stp>
        <stp>XMI Index</stp>
        <stp>INTERVAL_Low</stp>
        <stp>[Index.xlsm]全球指數!R211C17</stp>
        <stp>MARKET_DATA_OVERRIDE=PE_RATIO</stp>
        <stp>CALC_INTERVAL=5y</stp>
        <stp>BEST_FPERIOD_OVERRIDE=BF</stp>
        <tr r="Q211" s="1"/>
      </tp>
      <tp>
        <v>2673.54</v>
        <stp/>
        <stp>##V3_BDPV12</stp>
        <stp>SX5P Index</stp>
        <stp>LOW_52WEEK</stp>
        <stp>[Index.xlsm]全球指數!R255C8</stp>
        <tr r="H255" s="1"/>
      </tp>
      <tp t="s">
        <v>巴林綜合指數</v>
        <stp/>
        <stp>##V3_BDPV12</stp>
        <stp>BHSEASI Index</stp>
        <stp>DS697</stp>
        <stp>[Index.xlsm]全球指數!R304C2</stp>
        <tr r="B304" s="1"/>
      </tp>
      <tp t="s">
        <v>IN</v>
        <stp/>
        <stp>##V3_BDPV12</stp>
        <stp>NIFTY Index</stp>
        <stp>DS003</stp>
        <stp>[Index.xlsm]全球指數!R319C3</stp>
        <tr r="C319" s="1"/>
      </tp>
      <tp>
        <v>16.072187731893003</v>
        <stp/>
        <stp>##V3_BDPV12</stp>
        <stp>XII Index</stp>
        <stp>INTERVAL_Low</stp>
        <stp>[Index.xlsm]全球指數!R119C17</stp>
        <stp>MARKET_DATA_OVERRIDE=PE_RATIO</stp>
        <stp>CALC_INTERVAL=5y</stp>
        <stp>BEST_FPERIOD_OVERRIDE=BF</stp>
        <tr r="Q119" s="1"/>
      </tp>
      <tp>
        <v>22.428912623508509</v>
        <stp/>
        <stp>##V3_BDPV12</stp>
        <stp>KAX Index</stp>
        <stp>PE_RATIO</stp>
        <stp>[Index.xlsm]全球指數!R275C18</stp>
        <tr r="R275" s="1"/>
      </tp>
      <tp>
        <v>31.057355805017558</v>
        <stp/>
        <stp>##V3_BDPV12</stp>
        <stp>XAU Index</stp>
        <stp>INTERVAL_Low</stp>
        <stp>[Index.xlsm]全球指數!R251C17</stp>
        <stp>MARKET_DATA_OVERRIDE=PE_RATIO</stp>
        <stp>CALC_INTERVAL=5y</stp>
        <stp>BEST_FPERIOD_OVERRIDE=BF</stp>
        <tr r="Q251" s="1"/>
      </tp>
      <tp>
        <v>22.917482039287385</v>
        <stp/>
        <stp>##V3_BDPV12</stp>
        <stp>KFX Index</stp>
        <stp>PE_RATIO</stp>
        <stp>[Index.xlsm]全球指數!R285C18</stp>
        <tr r="R285" s="1"/>
      </tp>
      <tp>
        <v>14.992337093814504</v>
        <stp/>
        <stp>##V3_BDPV12</stp>
        <stp>XCI Index</stp>
        <stp>INTERVAL_Low</stp>
        <stp>[Index.xlsm]全球指數!R124C17</stp>
        <stp>MARKET_DATA_OVERRIDE=PE_RATIO</stp>
        <stp>CALC_INTERVAL=5y</stp>
        <stp>BEST_FPERIOD_OVERRIDE=BF</stp>
        <tr r="Q124" s="1"/>
      </tp>
      <tp t="s">
        <v>BE</v>
        <stp/>
        <stp>##V3_BDPV12</stp>
        <stp>BELSTK Index</stp>
        <stp>DS003</stp>
        <stp>[Index.xlsm]全球指數!R230C3</stp>
        <tr r="C230" s="1"/>
      </tp>
      <tp>
        <v>7.3313242960340936</v>
        <stp/>
        <stp>##V3_BDPV12</stp>
        <stp>KOSDAQ Index</stp>
        <stp>INTERVAL_Low</stp>
        <stp>[Index.xlsm]全球指數!R18C17</stp>
        <stp>MARKET_DATA_OVERRIDE=PE_RATIO</stp>
        <stp>CALC_INTERVAL=5y</stp>
        <stp>BEST_FPERIOD_OVERRIDE=BF</stp>
        <tr r="Q18" s="1"/>
      </tp>
      <tp t="s">
        <v>上海證券交易所B股指數</v>
        <stp/>
        <stp>##V3_BDPV12</stp>
        <stp>SHBSHR Index</stp>
        <stp>DS697</stp>
        <stp>[Index.xlsm]全球指數!R116C2</stp>
        <tr r="B116" s="1"/>
      </tp>
      <tp t="s">
        <v>OM</v>
        <stp/>
        <stp>##V3_BDPV12</stp>
        <stp>MSM30 Index</stp>
        <stp>DS003</stp>
        <stp>[Index.xlsm]全球指數!R272C3</stp>
        <tr r="C272" s="1"/>
      </tp>
      <tp>
        <v>6951.83984375</v>
        <stp/>
        <stp>##V3_BDPV12</stp>
        <stp>TW50 Index</stp>
        <stp>LOW_52WEEK</stp>
        <stp>[Index.xlsm]全球指數!R235C8</stp>
        <tr r="H235" s="1"/>
      </tp>
      <tp>
        <v>10007.299999999999</v>
        <stp/>
        <stp>##V3_BDPV12</stp>
        <stp>CN20 Index</stp>
        <stp>LOW_52WEEK</stp>
        <stp>[Index.xlsm]全球指數!R172C8</stp>
        <tr r="H172" s="1"/>
      </tp>
      <tp>
        <v>5478.4</v>
        <stp/>
        <stp>##V3_BDPV12</stp>
        <stp>AS30 Index</stp>
        <stp>LOW_52WEEK</stp>
        <stp>[Index.xlsm]全球指數!R183C8</stp>
        <tr r="H183" s="1"/>
      </tp>
      <tp>
        <v>5364.6</v>
        <stp/>
        <stp>##V3_BDPV12</stp>
        <stp>AS52 Index</stp>
        <stp>LOW_52WEEK</stp>
        <stp>[Index.xlsm]全球指數!R185C8</stp>
        <tr r="H185" s="1"/>
      </tp>
      <tp>
        <v>871.05100000000004</v>
        <stp/>
        <stp>##V3_BDPV12</stp>
        <stp>LQ45 Index</stp>
        <stp>LOW_52WEEK</stp>
        <stp>[Index.xlsm]全球指數!R204C8</stp>
        <tr r="H204" s="1"/>
      </tp>
      <tp>
        <v>-0.1429733</v>
        <stp/>
        <stp>##V3_BDPV12</stp>
        <stp>MSM30 Index</stp>
        <stp>CHG_PCT_1D</stp>
        <stp>[Index.xlsm]全球指數!R272C5</stp>
        <tr r="E272" s="1"/>
      </tp>
      <tp>
        <v>1750.92</v>
        <stp/>
        <stp>##V3_BDPV12</stp>
        <stp>NKY500 Index</stp>
        <stp>LOW_52WEEK</stp>
        <stp>[Index.xlsm]全球指數!R280C8</stp>
        <tr r="H280" s="1"/>
      </tp>
      <tp>
        <v>1.5555619999999999</v>
        <stp/>
        <stp>##V3_BDPV12</stp>
        <stp>OSEBX Index</stp>
        <stp>CHG_PCT_6M</stp>
        <stp>[Index.xlsm]全球指數!R52C13</stp>
        <tr r="M52" s="1"/>
      </tp>
      <tp>
        <v>-1.982172</v>
        <stp/>
        <stp>##V3_BDPV12</stp>
        <stp>OSEBX Index</stp>
        <stp>CHG_PCT_5D</stp>
        <stp>[Index.xlsm]全球指數!R52C10</stp>
        <tr r="J52" s="1"/>
      </tp>
      <tp>
        <v>1.9092800000000001</v>
        <stp/>
        <stp>##V3_BDPV12</stp>
        <stp>OSEBX Index</stp>
        <stp>CHG_PCT_3M</stp>
        <stp>[Index.xlsm]全球指數!R52C12</stp>
        <tr r="L52" s="1"/>
      </tp>
      <tp>
        <v>4.6981640000000002</v>
        <stp/>
        <stp>##V3_BDPV12</stp>
        <stp>OSEBX Index</stp>
        <stp>CHG_PCT_1M</stp>
        <stp>[Index.xlsm]全球指數!R52C11</stp>
        <tr r="K52" s="1"/>
      </tp>
      <tp t="s">
        <v>#N/A N/A</v>
        <stp/>
        <stp>##V3_BDPV12</stp>
        <stp>NYID Index</stp>
        <stp>PE_RATIO</stp>
        <stp>[Index.xlsm]全球指數!R148C18</stp>
        <tr r="R148" s="1"/>
      </tp>
      <tp t="s">
        <v>HK</v>
        <stp/>
        <stp>##V3_BDPV12</stp>
        <stp>HSCIEN Index</stp>
        <stp>DS003</stp>
        <stp>[Index.xlsm]主要產業!R60C3</stp>
        <tr r="C60" s="2"/>
      </tp>
      <tp t="s">
        <v>SK</v>
        <stp/>
        <stp>##V3_BDPV12</stp>
        <stp>KOSPCHEM Index</stp>
        <stp>DS003</stp>
        <stp>[Index.xlsm]主要產業!R45C3</stp>
        <tr r="C45" s="2"/>
      </tp>
      <tp t="s">
        <v>SK</v>
        <stp/>
        <stp>##V3_BDPV12</stp>
        <stp>KOSPELEC Index</stp>
        <stp>DS003</stp>
        <stp>[Index.xlsm]主要產業!R43C3</stp>
        <tr r="C43" s="2"/>
      </tp>
      <tp>
        <v>2292.96</v>
        <stp/>
        <stp>##V3_BDPV12</stp>
        <stp>KOSPI100 Index</stp>
        <stp>HIGH_52WEEK</stp>
        <stp>[Index.xlsm]全球指數!R195C6</stp>
        <tr r="F195" s="1"/>
      </tp>
      <tp>
        <v>-0.33255679999999999</v>
        <stp/>
        <stp>##V3_BDPV12</stp>
        <stp>KOSPI50 Index</stp>
        <stp>CHG_PCT_5D</stp>
        <stp>[Index.xlsm]全球指數!R208C10</stp>
        <tr r="J208" s="1"/>
      </tp>
      <tp>
        <v>7.3101534325587947</v>
        <stp/>
        <stp>##V3_BDPV12</stp>
        <stp>HSFML25 Index</stp>
        <stp>INTERVAL_Low</stp>
        <stp>[Index.xlsm]全球指數!R81C17</stp>
        <stp>MARKET_DATA_OVERRIDE=PE_RATIO</stp>
        <stp>CALC_INTERVAL=5y</stp>
        <stp>BEST_FPERIOD_OVERRIDE=BF</stp>
        <tr r="Q81" s="1"/>
      </tp>
      <tp t="s">
        <v>Colombia ICSC index</v>
        <stp/>
        <stp>##V3_BDPV12</stp>
        <stp>COLSC Index</stp>
        <stp>DS697</stp>
        <stp>[Index.xlsm]全球指數!R256C2</stp>
        <tr r="B256" s="1"/>
      </tp>
      <tp t="s">
        <v>MB</v>
        <stp/>
        <stp>##V3_BDPV12</stp>
        <stp>MALTEX Index</stp>
        <stp>DS003</stp>
        <stp>[Index.xlsm]全球指數!R284C3</stp>
        <tr r="C284" s="1"/>
      </tp>
      <tp t="s">
        <v>哈薩克KASE股票指數</v>
        <stp/>
        <stp>##V3_BDPV12</stp>
        <stp>KZKAK Index</stp>
        <stp>DS697</stp>
        <stp>[Index.xlsm]全球指數!R131C2</stp>
        <tr r="B131" s="1"/>
      </tp>
      <tp>
        <v>74.598773117321585</v>
        <stp/>
        <stp>##V3_BDPV12</stp>
        <stp>FTN098 Index</stp>
        <stp>INTERVAL_HIGH</stp>
        <stp>[Index.xlsm]全球指數!R28C16</stp>
        <stp>MARKET_DATA_OVERRIDE=PE_RATIO</stp>
        <stp>CALC_INTERVAL=5y</stp>
        <stp>BEST_FPERIOD_OVERRIDE=BF</stp>
        <tr r="P28" s="1"/>
      </tp>
      <tp t="s">
        <v>IT</v>
        <stp/>
        <stp>##V3_BDPV12</stp>
        <stp>ITLMS Index</stp>
        <stp>DS003</stp>
        <stp>[Index.xlsm]全球指數!R150C3</stp>
        <tr r="C150" s="1"/>
      </tp>
      <tp>
        <v>1291.01</v>
        <stp/>
        <stp>##V3_BDPV12</stp>
        <stp>E300 Index</stp>
        <stp>LOW_52WEEK</stp>
        <stp>[Index.xlsm]全球指數!R213C8</stp>
        <tr r="H213" s="1"/>
      </tp>
      <tp>
        <v>0.1634534</v>
        <stp/>
        <stp>##V3_BDPV12</stp>
        <stp>TPX500 Index</stp>
        <stp>CHG_PCT_1D</stp>
        <stp>[Index.xlsm]全球指數!R283C5</stp>
        <tr r="E283" s="1"/>
      </tp>
      <tp>
        <v>0.71497580000000005</v>
        <stp/>
        <stp>##V3_BDPV12</stp>
        <stp>BE500 Index</stp>
        <stp>CHG_PCT_1D</stp>
        <stp>[Index.xlsm]全球指數!R202C5</stp>
        <tr r="E202" s="1"/>
      </tp>
      <tp>
        <v>1270.0160000000001</v>
        <stp/>
        <stp>##V3_BDPV12</stp>
        <stp>HERMES Index</stp>
        <stp>PX_LAST</stp>
        <stp>[Index.xlsm]全球指數!R6C4</stp>
        <tr r="D6" s="1"/>
      </tp>
      <tp>
        <v>0.13050200000000001</v>
        <stp/>
        <stp>##V3_BDPV12</stp>
        <stp>OSEAX Index</stp>
        <stp>CHG_PCT_6M</stp>
        <stp>[Index.xlsm]全球指數!R35C13</stp>
        <tr r="M35" s="1"/>
      </tp>
      <tp>
        <v>-2.3028439999999999</v>
        <stp/>
        <stp>##V3_BDPV12</stp>
        <stp>OSEAX Index</stp>
        <stp>CHG_PCT_5D</stp>
        <stp>[Index.xlsm]全球指數!R35C10</stp>
        <tr r="J35" s="1"/>
      </tp>
      <tp>
        <v>1.5425800000000001</v>
        <stp/>
        <stp>##V3_BDPV12</stp>
        <stp>OSEAX Index</stp>
        <stp>CHG_PCT_3M</stp>
        <stp>[Index.xlsm]全球指數!R35C12</stp>
        <tr r="L35" s="1"/>
      </tp>
      <tp>
        <v>5.3911930000000003</v>
        <stp/>
        <stp>##V3_BDPV12</stp>
        <stp>OSEAX Index</stp>
        <stp>CHG_PCT_1M</stp>
        <stp>[Index.xlsm]全球指數!R35C11</stp>
        <tr r="K35" s="1"/>
      </tp>
      <tp>
        <v>6.8289544648481915</v>
        <stp/>
        <stp>##V3_BDPV12</stp>
        <stp>BIRS Index</stp>
        <stp>INTERVAL_Low</stp>
        <stp>[Index.xlsm]全球指數!R152C17</stp>
        <stp>MARKET_DATA_OVERRIDE=PE_RATIO</stp>
        <stp>CALC_INTERVAL=5y</stp>
        <stp>BEST_FPERIOD_OVERRIDE=BF</stp>
        <tr r="Q152" s="1"/>
      </tp>
      <tp>
        <v>3697.73</v>
        <stp/>
        <stp>##V3_BDPV12</stp>
        <stp>BEL20 Index</stp>
        <stp>PX_LAST</stp>
        <stp>[Index.xlsm]全球指數!R224C4</stp>
        <tr r="D224" s="1"/>
      </tp>
      <tp>
        <v>26.856234186219556</v>
        <stp/>
        <stp>##V3_BDPV12</stp>
        <stp>NZSE Index</stp>
        <stp>PE_RATIO</stp>
        <stp>[Index.xlsm]全球指數!R238C18</stp>
        <tr r="R238" s="1"/>
      </tp>
      <tp t="s">
        <v>PE</v>
        <stp/>
        <stp>##V3_BDPV12</stp>
        <stp>SPBLPGPT Index</stp>
        <stp>DS003</stp>
        <stp>[Index.xlsm]全球指數!R277C3</stp>
        <tr r="C277" s="1"/>
      </tp>
      <tp>
        <v>8.2764293663443205</v>
        <stp/>
        <stp>##V3_BDPV12</stp>
        <stp>CINS Index</stp>
        <stp>INTERVAL_Low</stp>
        <stp>[Index.xlsm]全球指數!R254C17</stp>
        <stp>MARKET_DATA_OVERRIDE=PE_RATIO</stp>
        <stp>CALC_INTERVAL=5y</stp>
        <stp>BEST_FPERIOD_OVERRIDE=BF</stp>
        <tr r="Q254" s="1"/>
      </tp>
      <tp t="s">
        <v>HK</v>
        <stp/>
        <stp>##V3_BDPV12</stp>
        <stp>HSCIIT Index</stp>
        <stp>DS003</stp>
        <stp>[Index.xlsm]主要產業!R63C3</stp>
        <tr r="C63" s="2"/>
      </tp>
      <tp t="s">
        <v>SK</v>
        <stp/>
        <stp>##V3_BDPV12</stp>
        <stp>KOSPBMET Index</stp>
        <stp>DS003</stp>
        <stp>[Index.xlsm]主要產業!R47C3</stp>
        <tr r="C47" s="2"/>
      </tp>
      <tp>
        <v>11.882080109358121</v>
        <stp/>
        <stp>##V3_BDPV12</stp>
        <stp>CH30 Index</stp>
        <stp>INTERVAL_Low</stp>
        <stp>[Index.xlsm]全球指數!R157C17</stp>
        <stp>MARKET_DATA_OVERRIDE=PE_RATIO</stp>
        <stp>CALC_INTERVAL=5y</stp>
        <stp>BEST_FPERIOD_OVERRIDE=BF</stp>
        <tr r="Q157" s="1"/>
      </tp>
      <tp>
        <v>2.9787789999999998</v>
        <stp/>
        <stp>##V3_BDPV12</stp>
        <stp>SPTSX60 Index</stp>
        <stp>CHG_PCT_3M</stp>
        <stp>[Index.xlsm]全球指數!R194C12</stp>
        <tr r="L194" s="1"/>
      </tp>
      <tp>
        <v>-2.1919659999999999</v>
        <stp/>
        <stp>##V3_BDPV12</stp>
        <stp>IBOVIEE Index</stp>
        <stp>CHG_PCT_5D</stp>
        <stp>[Index.xlsm]全球指數!R37C10</stp>
        <tr r="J37" s="1"/>
      </tp>
      <tp>
        <v>20.539739999999998</v>
        <stp/>
        <stp>##V3_BDPV12</stp>
        <stp>IBOVIEE Index</stp>
        <stp>CHG_PCT_6M</stp>
        <stp>[Index.xlsm]全球指數!R37C13</stp>
        <tr r="M37" s="1"/>
      </tp>
      <tp>
        <v>2.4090370000000001</v>
        <stp/>
        <stp>##V3_BDPV12</stp>
        <stp>IBOVIEE Index</stp>
        <stp>CHG_PCT_1M</stp>
        <stp>[Index.xlsm]全球指數!R37C11</stp>
        <tr r="K37" s="1"/>
      </tp>
      <tp>
        <v>83.514821200206015</v>
        <stp/>
        <stp>##V3_BDPV12</stp>
        <stp>SH000905 Index</stp>
        <stp>INTERVAL_HIGH</stp>
        <stp>[Index.xlsm]全球指數!R13C16</stp>
        <stp>MARKET_DATA_OVERRIDE=PE_RATIO</stp>
        <stp>CALC_INTERVAL=5y</stp>
        <stp>BEST_FPERIOD_OVERRIDE=BF</stp>
        <tr r="P13" s="1"/>
      </tp>
      <tp>
        <v>7.0196449999999997</v>
        <stp/>
        <stp>##V3_BDPV12</stp>
        <stp>IBOVIEE Index</stp>
        <stp>CHG_PCT_3M</stp>
        <stp>[Index.xlsm]全球指數!R37C12</stp>
        <tr r="L37" s="1"/>
      </tp>
      <tp>
        <v>2.236917</v>
        <stp/>
        <stp>##V3_BDPV12</stp>
        <stp>INTER10 Index</stp>
        <stp>CHG_PCT_3M</stp>
        <stp>[Index.xlsm]全球指數!R203C12</stp>
        <tr r="L203" s="1"/>
      </tp>
      <tp t="s">
        <v>LN</v>
        <stp/>
        <stp>##V3_BDPV12</stp>
        <stp>VILSE Index</stp>
        <stp>DS003</stp>
        <stp>[Index.xlsm]全球指數!R181C3</stp>
        <tr r="C181" s="1"/>
      </tp>
      <tp>
        <v>4448.26</v>
        <stp/>
        <stp>##V3_BDPV12</stp>
        <stp>KRX100 Index</stp>
        <stp>PX_LAST</stp>
        <stp>[Index.xlsm]全球指數!R197C4</stp>
        <tr r="D197" s="1"/>
      </tp>
      <tp>
        <v>19.567390684634812</v>
        <stp/>
        <stp>##V3_BDPV12</stp>
        <stp>SSE180 Index</stp>
        <stp>INTERVAL_HIGH</stp>
        <stp>[Index.xlsm]全球指數!R74C16</stp>
        <stp>MARKET_DATA_OVERRIDE=PE_RATIO</stp>
        <stp>CALC_INTERVAL=5y</stp>
        <stp>BEST_FPERIOD_OVERRIDE=BF</stp>
        <tr r="P74" s="1"/>
      </tp>
      <tp t="s">
        <v>愛沙尼亞OMX陶林指數</v>
        <stp/>
        <stp>##V3_BDPV12</stp>
        <stp>TALSE Index</stp>
        <stp>DS697</stp>
        <stp>[Index.xlsm]全球指數!R247C2</stp>
        <tr r="B247" s="1"/>
      </tp>
      <tp>
        <v>16.609497607124581</v>
        <stp/>
        <stp>##V3_BDPV12</stp>
        <stp>IBX Index</stp>
        <stp>PE_RATIO</stp>
        <stp>[Index.xlsm]全球指數!R279C18</stp>
        <tr r="R279" s="1"/>
      </tp>
      <tp t="s">
        <v>IC</v>
        <stp/>
        <stp>##V3_BDPV12</stp>
        <stp>ICEXI Index</stp>
        <stp>DS003</stp>
        <stp>[Index.xlsm]全球指數!R218C3</stp>
        <tr r="C218" s="1"/>
      </tp>
      <tp t="s">
        <v>韓國KOSPI200指數</v>
        <stp/>
        <stp>##V3_BDPV12</stp>
        <stp>KOSPI2 Index</stp>
        <stp>DS697</stp>
        <stp>[Index.xlsm]全球指數!R187C2</stp>
        <tr r="B187" s="1"/>
      </tp>
      <tp>
        <v>24.90065585393349</v>
        <stp/>
        <stp>##V3_BDPV12</stp>
        <stp>IXK Index</stp>
        <stp>PE_RATIO</stp>
        <stp>[Index.xlsm]全球指數!R113C18</stp>
        <tr r="R113" s="1"/>
      </tp>
      <tp t="s">
        <v>Colombia COLIR Index</v>
        <stp/>
        <stp>##V3_BDPV12</stp>
        <stp>COLIR Index</stp>
        <stp>DS697</stp>
        <stp>[Index.xlsm]全球指數!R267C2</stp>
        <tr r="B267" s="1"/>
      </tp>
      <tp>
        <v>185.5476434622386</v>
        <stp/>
        <stp>##V3_BDPV12</stp>
        <stp>EUE15P Index</stp>
        <stp>INTERVAL_HIGH</stp>
        <stp>[Index.xlsm]全球指數!R57C16</stp>
        <stp>MARKET_DATA_OVERRIDE=PE_RATIO</stp>
        <stp>CALC_INTERVAL=5y</stp>
        <stp>BEST_FPERIOD_OVERRIDE=BF</stp>
        <tr r="P57" s="1"/>
      </tp>
      <tp>
        <v>4848.59</v>
        <stp/>
        <stp>##V3_BDPV12</stp>
        <stp>FTEF80 Index</stp>
        <stp>PX_LAST</stp>
        <stp>[Index.xlsm]全球指數!R161C4</stp>
        <tr r="D161" s="1"/>
      </tp>
      <tp>
        <v>4845.87</v>
        <stp/>
        <stp>##V3_BDPV12</stp>
        <stp>BSE200 Index</stp>
        <stp>PX_LAST</stp>
        <stp>[Index.xlsm]全球指數!R316C4</stp>
        <tr r="D316" s="1"/>
      </tp>
      <tp>
        <v>12.351463295156593</v>
        <stp/>
        <stp>##V3_BDPV12</stp>
        <stp>KSE100 Index</stp>
        <stp>INTERVAL_HIGH</stp>
        <stp>[Index.xlsm]全球指數!R33C16</stp>
        <stp>MARKET_DATA_OVERRIDE=PE_RATIO</stp>
        <stp>CALC_INTERVAL=5y</stp>
        <stp>BEST_FPERIOD_OVERRIDE=BF</stp>
        <tr r="P33" s="1"/>
      </tp>
      <tp>
        <v>17.739736333783856</v>
        <stp/>
        <stp>##V3_BDPV12</stp>
        <stp>IRT Index</stp>
        <stp>PE_RATIO</stp>
        <stp>[Index.xlsm]全球指數!R237C18</stp>
        <tr r="R237" s="1"/>
      </tp>
      <tp t="s">
        <v>杜拜金融市場指數</v>
        <stp/>
        <stp>##V3_BDPV12</stp>
        <stp>DFMGI Index</stp>
        <stp>DS697</stp>
        <stp>[Index.xlsm]全球指數!R166C2</stp>
        <tr r="B166" s="1"/>
      </tp>
      <tp>
        <v>168.2278</v>
        <stp/>
        <stp>##V3_BDPV12</stp>
        <stp>s5tels Index</stp>
        <stp>PX_LAST</stp>
        <stp>[Index.xlsm]主要產業!R6C4</stp>
        <tr r="D6" s="2"/>
      </tp>
      <tp>
        <v>1723.242</v>
        <stp/>
        <stp>##V3_BDPV12</stp>
        <stp>DS30 Index</stp>
        <stp>LOW_52WEEK</stp>
        <stp>[Index.xlsm]全球指數!R301C8</stp>
        <tr r="H301" s="1"/>
      </tp>
      <tp>
        <v>4025.98</v>
        <stp/>
        <stp>##V3_BDPV12</stp>
        <stp>MOEX10 Index</stp>
        <stp>LOW_52WEEK</stp>
        <stp>[Index.xlsm]全球指數!R160C8</stp>
        <tr r="H160" s="1"/>
      </tp>
      <tp t="s">
        <v>CL</v>
        <stp/>
        <stp>##V3_BDPV12</stp>
        <stp>CHILE65 Index</stp>
        <stp>DS003</stp>
        <stp>[Index.xlsm]全球指數!R165C3</stp>
        <tr r="C165" s="1"/>
      </tp>
      <tp>
        <v>4065.97</v>
        <stp/>
        <stp>##V3_BDPV12</stp>
        <stp>KRX100 Index</stp>
        <stp>LOW_52WEEK</stp>
        <stp>[Index.xlsm]全球指數!R197C8</stp>
        <tr r="H197" s="1"/>
      </tp>
      <tp>
        <v>7.7714086908008477</v>
        <stp/>
        <stp>##V3_BDPV12</stp>
        <stp>HSML100 Index</stp>
        <stp>INTERVAL_Low</stp>
        <stp>[Index.xlsm]全球指數!R48C17</stp>
        <stp>MARKET_DATA_OVERRIDE=PE_RATIO</stp>
        <stp>CALC_INTERVAL=5y</stp>
        <stp>BEST_FPERIOD_OVERRIDE=BF</stp>
        <tr r="Q48" s="1"/>
      </tp>
      <tp t="s">
        <v>CC</v>
        <stp/>
        <stp>##V3_BDPV12</stp>
        <stp>CYSMMAPA Index</stp>
        <stp>DS003</stp>
        <stp>[Index.xlsm]全球指數!R139C3</stp>
        <tr r="C139" s="1"/>
      </tp>
      <tp t="s">
        <v>HK</v>
        <stp/>
        <stp>##V3_BDPV12</stp>
        <stp>HSHK35 Index</stp>
        <stp>DS003</stp>
        <stp>[Index.xlsm]全球指數!R73C3</stp>
        <tr r="C73" s="1"/>
      </tp>
      <tp t="s">
        <v>恆生香港35指數</v>
        <stp/>
        <stp>##V3_BDPV12</stp>
        <stp>HSHK35 Index</stp>
        <stp>DS697</stp>
        <stp>[Index.xlsm]全球指數!R73C2</stp>
        <tr r="B73" s="1"/>
      </tp>
      <tp t="s">
        <v>TZ</v>
        <stp/>
        <stp>##V3_BDPV12</stp>
        <stp>DARSDSEI Index</stp>
        <stp>DS003</stp>
        <stp>[Index.xlsm]全球指數!R253C3</stp>
        <tr r="C253" s="1"/>
      </tp>
      <tp>
        <v>411.09</v>
        <stp/>
        <stp>##V3_BDPV12</stp>
        <stp>SXPP INDEX</stp>
        <stp>PX_LAST</stp>
        <stp>[Index.xlsm]主要產業!R32C4</stp>
        <tr r="D32" s="2"/>
      </tp>
      <tp>
        <v>240.77</v>
        <stp/>
        <stp>##V3_BDPV12</stp>
        <stp>SXTP INDEX</stp>
        <stp>PX_LAST</stp>
        <stp>[Index.xlsm]主要產業!R36C4</stp>
        <tr r="D36" s="2"/>
      </tp>
      <tp>
        <v>0.90456800000000004</v>
        <stp/>
        <stp>##V3_BDPV12</stp>
        <stp>s5rlst Index</stp>
        <stp>CHG_PCT_1D</stp>
        <stp>[Index.xlsm]主要產業!R15C5</stp>
        <tr r="E15" s="2"/>
      </tp>
      <tp t="s">
        <v>HK</v>
        <stp/>
        <stp>##V3_BDPV12</stp>
        <stp>HSCIIN Index</stp>
        <stp>DS003</stp>
        <stp>[Index.xlsm]主要產業!R62C3</stp>
        <tr r="C62" s="2"/>
      </tp>
      <tp>
        <v>-8.5663160000000005</v>
        <stp/>
        <stp>##V3_BDPV12</stp>
        <stp>Tran INDEX</stp>
        <stp>CHG_PCT_1YR</stp>
        <stp>[Index.xlsm]主要產業!R3C53</stp>
        <tr r="BA3" s="2"/>
      </tp>
      <tp t="s">
        <v>US</v>
        <stp/>
        <stp>##V3_BDPV12</stp>
        <stp>s5FDSR index</stp>
        <stp>DS003</stp>
        <stp>[Index.xlsm]主要產業!R17C3</stp>
        <tr r="C17" s="2"/>
      </tp>
      <tp>
        <v>-4.3902510000000001</v>
        <stp/>
        <stp>##V3_BDPV12</stp>
        <stp>MXAPEXA Index</stp>
        <stp>CHG_PCT_6M</stp>
        <stp>[Index.xlsm]全球指數!R90C13</stp>
        <tr r="M90" s="1"/>
      </tp>
      <tp>
        <v>0.40017520000000001</v>
        <stp/>
        <stp>##V3_BDPV12</stp>
        <stp>KOSPI50 Index</stp>
        <stp>CHG_PCT_3M</stp>
        <stp>[Index.xlsm]全球指數!R208C12</stp>
        <tr r="L208" s="1"/>
      </tp>
      <tp>
        <v>-1.462218</v>
        <stp/>
        <stp>##V3_BDPV12</stp>
        <stp>MXAPEXA Index</stp>
        <stp>CHG_PCT_5D</stp>
        <stp>[Index.xlsm]全球指數!R90C10</stp>
        <tr r="J90" s="1"/>
      </tp>
      <tp>
        <v>-3.7944559999999998</v>
        <stp/>
        <stp>##V3_BDPV12</stp>
        <stp>MXAPEXA Index</stp>
        <stp>CHG_PCT_3M</stp>
        <stp>[Index.xlsm]全球指數!R90C12</stp>
        <tr r="L90" s="1"/>
      </tp>
      <tp>
        <v>4.6034139999999999</v>
        <stp/>
        <stp>##V3_BDPV12</stp>
        <stp>MXAPEXA Index</stp>
        <stp>CHG_PCT_1M</stp>
        <stp>[Index.xlsm]全球指數!R90C11</stp>
        <tr r="K90" s="1"/>
      </tp>
      <tp>
        <v>782.37</v>
        <stp/>
        <stp>##V3_BDPV12</stp>
        <stp>BELEX15 Index</stp>
        <stp>HIGH_52WEEK</stp>
        <stp>[Index.xlsm]全球指數!R244C6</stp>
        <tr r="F244" s="1"/>
      </tp>
      <tp t="s">
        <v>CO</v>
        <stp/>
        <stp>##V3_BDPV12</stp>
        <stp>COLSC Index</stp>
        <stp>DS003</stp>
        <stp>[Index.xlsm]全球指數!R256C3</stp>
        <tr r="C256" s="1"/>
      </tp>
      <tp>
        <v>15.647611905499852</v>
        <stp/>
        <stp>##V3_BDPV12</stp>
        <stp>NKY Index</stp>
        <stp>PE_RATIO</stp>
        <stp>[Index.xlsm]全球指數!R264C18</stp>
        <tr r="R264" s="1"/>
      </tp>
      <tp>
        <v>18.400590904084197</v>
        <stp/>
        <stp>##V3_BDPV12</stp>
        <stp>NMX Index</stp>
        <stp>PE_RATIO</stp>
        <stp>[Index.xlsm]全球指數!R212C18</stp>
        <tr r="R212" s="1"/>
      </tp>
      <tp t="s">
        <v>馬爾他交易所指數</v>
        <stp/>
        <stp>##V3_BDPV12</stp>
        <stp>MALTEX Index</stp>
        <stp>DS697</stp>
        <stp>[Index.xlsm]全球指數!R284C2</stp>
        <tr r="B284" s="1"/>
      </tp>
      <tp>
        <v>18.236980584742941</v>
        <stp/>
        <stp>##V3_BDPV12</stp>
        <stp>NDF Index</stp>
        <stp>PE_RATIO</stp>
        <stp>[Index.xlsm]全球指數!R125C18</stp>
        <tr r="R125" s="1"/>
      </tp>
      <tp>
        <v>13.575122982936396</v>
        <stp/>
        <stp>##V3_BDPV12</stp>
        <stp>NEY Index</stp>
        <stp>PE_RATIO</stp>
        <stp>[Index.xlsm]全球指數!R282C18</stp>
        <tr r="R282" s="1"/>
      </tp>
      <tp>
        <v>17.709657896101771</v>
        <stp/>
        <stp>##V3_BDPV12</stp>
        <stp>NYA Index</stp>
        <stp>PE_RATIO</stp>
        <stp>[Index.xlsm]全球指數!R178C18</stp>
        <tr r="R178" s="1"/>
      </tp>
      <tp t="s">
        <v>KZ</v>
        <stp/>
        <stp>##V3_BDPV12</stp>
        <stp>KZKAK Index</stp>
        <stp>DS003</stp>
        <stp>[Index.xlsm]全球指數!R131C3</stp>
        <tr r="C131" s="1"/>
      </tp>
      <tp>
        <v>15.456144485745194</v>
        <stp/>
        <stp>##V3_BDPV12</stp>
        <stp>NYK Index</stp>
        <stp>PE_RATIO</stp>
        <stp>[Index.xlsm]全球指數!R216C18</stp>
        <tr r="R216" s="1"/>
      </tp>
      <tp t="s">
        <v>富時義大利全部股票指數</v>
        <stp/>
        <stp>##V3_BDPV12</stp>
        <stp>ITLMS Index</stp>
        <stp>DS697</stp>
        <stp>[Index.xlsm]全球指數!R150C2</stp>
        <tr r="B150" s="1"/>
      </tp>
      <tp>
        <v>0.164405</v>
        <stp/>
        <stp>##V3_BDPV12</stp>
        <stp>TPXC30 Index</stp>
        <stp>CHG_PCT_1D</stp>
        <stp>[Index.xlsm]全球指數!R266C5</stp>
        <tr r="E266" s="1"/>
      </tp>
      <tp>
        <v>0.2484517</v>
        <stp/>
        <stp>##V3_BDPV12</stp>
        <stp>SASX10 Index</stp>
        <stp>CHG_PCT_1D</stp>
        <stp>[Index.xlsm]全球指數!R293C5</stp>
        <tr r="E293" s="1"/>
      </tp>
      <tp t="s">
        <v>BZ</v>
        <stp/>
        <stp>##V3_BDPV12</stp>
        <stp>IBOVIEE Index</stp>
        <stp>DS003</stp>
        <stp>[Index.xlsm]全球指數!R37C3</stp>
        <tr r="C37" s="1"/>
      </tp>
      <tp>
        <v>260.60000000000002</v>
        <stp/>
        <stp>##V3_BDPV12</stp>
        <stp>BE500 Index</stp>
        <stp>PX_LAST</stp>
        <stp>[Index.xlsm]全球指數!R202C4</stp>
        <tr r="D202" s="1"/>
      </tp>
      <tp t="s">
        <v>巴西電力類指數</v>
        <stp/>
        <stp>##V3_BDPV12</stp>
        <stp>IBOVIEE Index</stp>
        <stp>DS697</stp>
        <stp>[Index.xlsm]全球指數!R37C2</stp>
        <tr r="B37" s="1"/>
      </tp>
      <tp t="s">
        <v>標普/BVL秘魯一般總報酬PEN指</v>
        <stp/>
        <stp>##V3_BDPV12</stp>
        <stp>SPBLPGPT Index</stp>
        <stp>DS697</stp>
        <stp>[Index.xlsm]全球指數!R277C2</stp>
        <tr r="B277" s="1"/>
      </tp>
      <tp>
        <v>4126.0910000000003</v>
        <stp/>
        <stp>##V3_BDPV12</stp>
        <stp>SHSZ300 Index</stp>
        <stp>HIGH_52WEEK</stp>
        <stp>[Index.xlsm]全球指數!R44C6</stp>
        <tr r="F44" s="1"/>
      </tp>
      <tp>
        <v>13.585792705247393</v>
        <stp/>
        <stp>##V3_BDPV12</stp>
        <stp>COMP Index</stp>
        <stp>INTERVAL_Low</stp>
        <stp>[Index.xlsm]全球指數!R217C17</stp>
        <stp>MARKET_DATA_OVERRIDE=PE_RATIO</stp>
        <stp>CALC_INTERVAL=5y</stp>
        <stp>BEST_FPERIOD_OVERRIDE=BF</stp>
        <tr r="Q217" s="1"/>
      </tp>
      <tp>
        <v>38.648400894325071</v>
        <stp/>
        <stp>##V3_BDPV12</stp>
        <stp>XOM US Equity</stp>
        <stp>INTERVAL_HIGH</stp>
        <stp>[Index.xlsm]主要產業!R9C36</stp>
        <stp>MARKET_DATA_OVERRIDE=PE_RATIO</stp>
        <stp>CALC_INTERVAL=5y</stp>
        <stp>BEST_FPERIOD_OVERRIDE=BF</stp>
        <tr r="AJ9" s="2"/>
      </tp>
      <tp>
        <v>22.040356621741743</v>
        <stp/>
        <stp>##V3_BDPV12</stp>
        <stp>JNJ US Equity</stp>
        <stp>INTERVAL_HIGH</stp>
        <stp>[Index.xlsm]主要產業!R6C36</stp>
        <stp>MARKET_DATA_OVERRIDE=PE_RATIO</stp>
        <stp>CALC_INTERVAL=5y</stp>
        <stp>BEST_FPERIOD_OVERRIDE=BF</stp>
        <tr r="AJ6" s="2"/>
      </tp>
      <tp>
        <v>16.716027079117147</v>
        <stp/>
        <stp>##V3_BDPV12</stp>
        <stp>JPM US Equity</stp>
        <stp>INTERVAL_HIGH</stp>
        <stp>[Index.xlsm]主要產業!R5C36</stp>
        <stp>MARKET_DATA_OVERRIDE=PE_RATIO</stp>
        <stp>CALC_INTERVAL=5y</stp>
        <stp>BEST_FPERIOD_OVERRIDE=BF</stp>
        <tr r="AJ5" s="2"/>
      </tp>
      <tp>
        <v>25.29948456159363</v>
        <stp/>
        <stp>##V3_BDPV12</stp>
        <stp>S5INFT Index</stp>
        <stp>INTERVAL_HIGH</stp>
        <stp>[Index.xlsm]主要產業!R2C16</stp>
        <stp>MARKET_DATA_OVERRIDE=PE_RATIO</stp>
        <stp>CALC_INTERVAL=5y</stp>
        <stp>BEST_FPERIOD_OVERRIDE=BF</stp>
        <tr r="P2" s="2"/>
      </tp>
      <tp t="s">
        <v>HK</v>
        <stp/>
        <stp>##V3_BDPV12</stp>
        <stp>HSCIPC Index</stp>
        <stp>DS003</stp>
        <stp>[Index.xlsm]主要產業!R65C3</stp>
        <tr r="C65" s="2"/>
      </tp>
      <tp>
        <v>13.843315463582515</v>
        <stp/>
        <stp>##V3_BDPV12</stp>
        <stp>CN20 Index</stp>
        <stp>INTERVAL_Low</stp>
        <stp>[Index.xlsm]全球指數!R172C17</stp>
        <stp>MARKET_DATA_OVERRIDE=PE_RATIO</stp>
        <stp>CALC_INTERVAL=5y</stp>
        <stp>BEST_FPERIOD_OVERRIDE=BF</stp>
        <tr r="Q172" s="1"/>
      </tp>
      <tp>
        <v>-0.52076029999999995</v>
        <stp/>
        <stp>##V3_BDPV12</stp>
        <stp>SPTSX60 Index</stp>
        <stp>CHG_PCT_5D</stp>
        <stp>[Index.xlsm]全球指數!R194C10</stp>
        <tr r="J194" s="1"/>
      </tp>
      <tp>
        <v>0.1897237</v>
        <stp/>
        <stp>##V3_BDPV12</stp>
        <stp>KOSPI50 Index</stp>
        <stp>CHG_PCT_1D</stp>
        <stp>[Index.xlsm]全球指數!R208C5</stp>
        <tr r="E208" s="1"/>
      </tp>
      <tp>
        <v>-0.37446400000000002</v>
        <stp/>
        <stp>##V3_BDPV12</stp>
        <stp>INTER10 Index</stp>
        <stp>CHG_PCT_5D</stp>
        <stp>[Index.xlsm]全球指數!R203C10</stp>
        <tr r="J203" s="1"/>
      </tp>
      <tp t="s">
        <v>EE</v>
        <stp/>
        <stp>##V3_BDPV12</stp>
        <stp>TALSE Index</stp>
        <stp>DS003</stp>
        <stp>[Index.xlsm]全球指數!R247C3</stp>
        <tr r="C247" s="1"/>
      </tp>
      <tp t="s">
        <v>冰島主要指數</v>
        <stp/>
        <stp>##V3_BDPV12</stp>
        <stp>ICEXI Index</stp>
        <stp>DS697</stp>
        <stp>[Index.xlsm]全球指數!R218C2</stp>
        <tr r="B218" s="1"/>
      </tp>
      <tp t="s">
        <v>SK</v>
        <stp/>
        <stp>##V3_BDPV12</stp>
        <stp>KOSPI2 Index</stp>
        <stp>DS003</stp>
        <stp>[Index.xlsm]全球指數!R187C3</stp>
        <tr r="C187" s="1"/>
      </tp>
      <tp>
        <v>1256.23</v>
        <stp/>
        <stp>##V3_BDPV12</stp>
        <stp>TPX500 Index</stp>
        <stp>PX_LAST</stp>
        <stp>[Index.xlsm]全球指數!R283C4</stp>
        <tr r="D283" s="1"/>
      </tp>
      <tp>
        <v>9119.2710000000006</v>
        <stp/>
        <stp>##V3_BDPV12</stp>
        <stp>SSE180 Index</stp>
        <stp>HIGH_52WEEK</stp>
        <stp>[Index.xlsm]全球指數!R74C6</stp>
        <tr r="F74" s="1"/>
      </tp>
      <tp t="s">
        <v>立陶宛OMX維爾紐斯指數</v>
        <stp/>
        <stp>##V3_BDPV12</stp>
        <stp>VILSE Index</stp>
        <stp>DS697</stp>
        <stp>[Index.xlsm]全球指數!R181C2</stp>
        <tr r="B181" s="1"/>
      </tp>
      <tp>
        <v>19.178524619415104</v>
        <stp/>
        <stp>##V3_BDPV12</stp>
        <stp>OEX Index</stp>
        <stp>PE_RATIO</stp>
        <stp>[Index.xlsm]全球指數!R117C18</stp>
        <tr r="R117" s="1"/>
      </tp>
      <tp>
        <v>1836.2</v>
        <stp/>
        <stp>##V3_BDPV12</stp>
        <stp>NZSE10 Index</stp>
        <stp>PX_LAST</stp>
        <stp>[Index.xlsm]全球指數!R249C4</stp>
        <tr r="D249" s="1"/>
      </tp>
      <tp t="s">
        <v>UA</v>
        <stp/>
        <stp>##V3_BDPV12</stp>
        <stp>DFMGI Index</stp>
        <stp>DS003</stp>
        <stp>[Index.xlsm]全球指數!R166C3</stp>
        <tr r="C166" s="1"/>
      </tp>
      <tp t="s">
        <v>CO</v>
        <stp/>
        <stp>##V3_BDPV12</stp>
        <stp>COLIR Index</stp>
        <stp>DS003</stp>
        <stp>[Index.xlsm]全球指數!R267C3</stp>
        <tr r="C267" s="1"/>
      </tp>
      <tp>
        <v>19644.58984375</v>
        <stp/>
        <stp>##V3_BDPV12</stp>
        <stp>SX40 Index</stp>
        <stp>LOW_52WEEK</stp>
        <stp>[Index.xlsm]全球指數!R320C8</stp>
        <tr r="H320" s="1"/>
      </tp>
      <tp>
        <v>498.56</v>
        <stp/>
        <stp>##V3_BDPV12</stp>
        <stp>CH30 Index</stp>
        <stp>LOW_52WEEK</stp>
        <stp>[Index.xlsm]全球指數!R157C8</stp>
        <tr r="H157" s="1"/>
      </tp>
      <tp>
        <v>2504.48</v>
        <stp/>
        <stp>##V3_BDPV12</stp>
        <stp>E100 Index</stp>
        <stp>LOW_52WEEK</stp>
        <stp>[Index.xlsm]全球指數!R234C8</stp>
        <tr r="H234" s="1"/>
      </tp>
      <tp>
        <v>2.1072090000000001</v>
        <stp/>
        <stp>##V3_BDPV12</stp>
        <stp>IMC30 Index</stp>
        <stp>CHG_PCT_1D</stp>
        <stp>[Index.xlsm]全球指數!R246C5</stp>
        <tr r="E246" s="1"/>
      </tp>
      <tp>
        <v>0.85486810000000002</v>
        <stp/>
        <stp>##V3_BDPV12</stp>
        <stp>IBX50 Index</stp>
        <stp>CHG_PCT_1D</stp>
        <stp>[Index.xlsm]全球指數!R290C5</stp>
        <tr r="E290" s="1"/>
      </tp>
      <tp t="s">
        <v>智利65指數</v>
        <stp/>
        <stp>##V3_BDPV12</stp>
        <stp>CHILE65 Index</stp>
        <stp>DS697</stp>
        <stp>[Index.xlsm]全球指數!R165C2</stp>
        <tr r="B165" s="1"/>
      </tp>
      <tp>
        <v>10233.129999999999</v>
        <stp/>
        <stp>##V3_BDPV12</stp>
        <stp>BSE100 Index</stp>
        <stp>LOW_52WEEK</stp>
        <stp>[Index.xlsm]全球指數!R318C8</stp>
        <tr r="H318" s="1"/>
      </tp>
      <tp>
        <v>2.324783</v>
        <stp/>
        <stp>##V3_BDPV12</stp>
        <stp>OSEFX Index</stp>
        <stp>CHG_PCT_6M</stp>
        <stp>[Index.xlsm]全球指數!R53C13</stp>
        <tr r="M53" s="1"/>
      </tp>
      <tp>
        <v>-1.981892</v>
        <stp/>
        <stp>##V3_BDPV12</stp>
        <stp>OSEFX Index</stp>
        <stp>CHG_PCT_5D</stp>
        <stp>[Index.xlsm]全球指數!R53C10</stp>
        <tr r="J53" s="1"/>
      </tp>
      <tp>
        <v>2.1638609999999998</v>
        <stp/>
        <stp>##V3_BDPV12</stp>
        <stp>OSEFX Index</stp>
        <stp>CHG_PCT_3M</stp>
        <stp>[Index.xlsm]全球指數!R53C12</stp>
        <tr r="L53" s="1"/>
      </tp>
      <tp>
        <v>4.0950810000000004</v>
        <stp/>
        <stp>##V3_BDPV12</stp>
        <stp>OSEFX Index</stp>
        <stp>CHG_PCT_1M</stp>
        <stp>[Index.xlsm]全球指數!R53C11</stp>
        <tr r="K53" s="1"/>
      </tp>
      <tp t="s">
        <v>賽普勒斯證交所一般指數</v>
        <stp/>
        <stp>##V3_BDPV12</stp>
        <stp>CYSMMAPA Index</stp>
        <stp>DS697</stp>
        <stp>[Index.xlsm]全球指數!R139C2</stp>
        <tr r="B139" s="1"/>
      </tp>
      <tp t="s">
        <v>MULT</v>
        <stp/>
        <stp>##V3_BDPV12</stp>
        <stp>MXAPEXA Index</stp>
        <stp>DS003</stp>
        <stp>[Index.xlsm]全球指數!R90C3</stp>
        <tr r="C90" s="1"/>
      </tp>
      <tp t="s">
        <v>MSCI亞洲APEX50指數</v>
        <stp/>
        <stp>##V3_BDPV12</stp>
        <stp>MXAPEXA Index</stp>
        <stp>DS697</stp>
        <stp>[Index.xlsm]全球指數!R90C2</stp>
        <tr r="B90" s="1"/>
      </tp>
      <tp t="s">
        <v>標準普爾/多倫多創投指數</v>
        <stp/>
        <stp>##V3_BDPV12</stp>
        <stp>SPTSXVEN Index</stp>
        <stp>DS697</stp>
        <stp>[Index.xlsm]全球指數!R78C2</stp>
        <tr r="B78" s="1"/>
      </tp>
      <tp t="s">
        <v>Tanzania All Share Index Rea</v>
        <stp/>
        <stp>##V3_BDPV12</stp>
        <stp>DARSDSEI Index</stp>
        <stp>DS697</stp>
        <stp>[Index.xlsm]全球指數!R253C2</stp>
        <tr r="B253" s="1"/>
      </tp>
      <tp>
        <v>13.787372754642526</v>
        <stp/>
        <stp>##V3_BDPV12</stp>
        <stp>INDU Index</stp>
        <stp>INTERVAL_Low</stp>
        <stp>[Index.xlsm]全球指數!R170C17</stp>
        <stp>MARKET_DATA_OVERRIDE=PE_RATIO</stp>
        <stp>CALC_INTERVAL=5y</stp>
        <stp>BEST_FPERIOD_OVERRIDE=BF</stp>
        <tr r="Q170" s="1"/>
      </tp>
      <tp t="s">
        <v>CA</v>
        <stp/>
        <stp>##V3_BDPV12</stp>
        <stp>SPTSXVEN Index</stp>
        <stp>DS003</stp>
        <stp>[Index.xlsm]全球指數!R78C3</stp>
        <tr r="C78" s="1"/>
      </tp>
      <tp t="s">
        <v>JN</v>
        <stp/>
        <stp>##V3_BDPV12</stp>
        <stp>TPELEC Index</stp>
        <stp>DS003</stp>
        <stp>[Index.xlsm]主要產業!R42C3</stp>
        <tr r="C42" s="2"/>
      </tp>
      <tp t="s">
        <v>HK</v>
        <stp/>
        <stp>##V3_BDPV12</stp>
        <stp>HSCIMT Index</stp>
        <stp>DS003</stp>
        <stp>[Index.xlsm]主要產業!R64C3</stp>
        <tr r="C64" s="2"/>
      </tp>
      <tp>
        <v>72.192529702087668</v>
        <stp/>
        <stp>##V3_BDPV12</stp>
        <stp>AMZN US Equity</stp>
        <stp>INTERVAL_Low</stp>
        <stp>[Index.xlsm]主要產業!R4C37</stp>
        <stp>MARKET_DATA_OVERRIDE=PE_RATIO</stp>
        <stp>CALC_INTERVAL=5y</stp>
        <stp>BEST_FPERIOD_OVERRIDE=BF</stp>
        <tr r="AK4" s="2"/>
      </tp>
      <tp>
        <v>4.4964149999999998</v>
        <stp/>
        <stp>##V3_BDPV12</stp>
        <stp>SPTSX60 Index</stp>
        <stp>CHG_PCT_6M</stp>
        <stp>[Index.xlsm]全球指數!R194C13</stp>
        <tr r="M194" s="1"/>
      </tp>
      <tp>
        <v>8.6664829999999995</v>
        <stp/>
        <stp>##V3_BDPV12</stp>
        <stp>KOSPI50 Index</stp>
        <stp>CHG_PCT_1M</stp>
        <stp>[Index.xlsm]全球指數!R208C11</stp>
        <tr r="K208" s="1"/>
      </tp>
      <tp>
        <v>971926.375</v>
        <stp/>
        <stp>##V3_BDPV12</stp>
        <stp>IBG Index</stp>
        <stp>LOW_52WEEK</stp>
        <stp>[Index.xlsm]全球指數!R3C8</stp>
        <tr r="H3" s="1"/>
      </tp>
      <tp>
        <v>3.1085660000000001E-2</v>
        <stp/>
        <stp>##V3_BDPV12</stp>
        <stp>INTER10 Index</stp>
        <stp>CHG_PCT_6M</stp>
        <stp>[Index.xlsm]全球指數!R203C13</stp>
        <tr r="M203" s="1"/>
      </tp>
      <tp>
        <v>-0.82291429999999999</v>
        <stp/>
        <stp>##V3_BDPV12</stp>
        <stp>TR20I Index</stp>
        <stp>CHG_PCT_1D</stp>
        <stp>[Index.xlsm]全球指數!R296C5</stp>
        <tr r="E296" s="1"/>
      </tp>
      <tp t="s">
        <v>EC</v>
        <stp/>
        <stp>##V3_BDPV12</stp>
        <stp>SPEURO Index</stp>
        <stp>DS003</stp>
        <stp>[Index.xlsm]全球指數!R201C3</stp>
        <tr r="C201" s="1"/>
      </tp>
      <tp t="s">
        <v>Value Line Arithmetic</v>
        <stp/>
        <stp>##V3_BDPV12</stp>
        <stp>VALUA Index</stp>
        <stp>DS697</stp>
        <stp>[Index.xlsm]全球指數!R112C2</stp>
        <tr r="B112" s="1"/>
      </tp>
      <tp t="s">
        <v>IN</v>
        <stp/>
        <stp>##V3_BDPV12</stp>
        <stp>SENSEX Index</stp>
        <stp>DS003</stp>
        <stp>[Index.xlsm]全球指數!R317C3</stp>
        <tr r="C317" s="1"/>
      </tp>
      <tp t="s">
        <v>盧布亞那證交所斯洛維尼亞藍籌</v>
        <stp/>
        <stp>##V3_BDPV12</stp>
        <stp>SBITOP Index</stp>
        <stp>DS697</stp>
        <stp>[Index.xlsm]全球指數!R176C2</stp>
        <tr r="B176" s="1"/>
      </tp>
      <tp t="s">
        <v>紐約證交所國際100指數</v>
        <stp/>
        <stp>##V3_BDPV12</stp>
        <stp>NYIID Index</stp>
        <stp>DS697</stp>
        <stp>[Index.xlsm]全球指數!R227C2</stp>
        <tr r="B227" s="1"/>
      </tp>
      <tp t="s">
        <v>菲律賓綜合股價指數</v>
        <stp/>
        <stp>##V3_BDPV12</stp>
        <stp>PCOMP Index</stp>
        <stp>DS697</stp>
        <stp>[Index.xlsm]全球指數!R231C2</stp>
        <tr r="B231" s="1"/>
      </tp>
      <tp t="s">
        <v>MO</v>
        <stp/>
        <stp>##V3_BDPV12</stp>
        <stp>MOSEMDX Index</stp>
        <stp>DS003</stp>
        <stp>[Index.xlsm]全球指數!R186C3</stp>
        <tr r="C186" s="1"/>
      </tp>
      <tp>
        <v>5410.2</v>
        <stp/>
        <stp>##V3_BDPV12</stp>
        <stp>AS51 Index</stp>
        <stp>LOW_52WEEK</stp>
        <stp>[Index.xlsm]全球指數!R182C8</stp>
        <tr r="H182" s="1"/>
      </tp>
      <tp>
        <v>0.93080799999999997</v>
        <stp/>
        <stp>##V3_BDPV12</stp>
        <stp>FTSEM Index</stp>
        <stp>CHG_PCT_3M</stp>
        <stp>[Index.xlsm]全球指數!R43C12</stp>
        <tr r="L43" s="1"/>
      </tp>
      <tp>
        <v>1853.39</v>
        <stp/>
        <stp>##V3_BDPV12</stp>
        <stp>IT30 Index</stp>
        <stp>LOW_52WEEK</stp>
        <stp>[Index.xlsm]全球指數!R114C8</stp>
        <tr r="H114" s="1"/>
      </tp>
      <tp t="s">
        <v>BE</v>
        <stp/>
        <stp>##V3_BDPV12</stp>
        <stp>BEL20 Index</stp>
        <stp>DS003</stp>
        <stp>[Index.xlsm]全球指數!R224C3</stp>
        <tr r="C224" s="1"/>
      </tp>
      <tp>
        <v>-0.58771240000000002</v>
        <stp/>
        <stp>##V3_BDPV12</stp>
        <stp>FTSEM Index</stp>
        <stp>CHG_PCT_1M</stp>
        <stp>[Index.xlsm]全球指數!R43C11</stp>
        <tr r="K43" s="1"/>
      </tp>
      <tp>
        <v>16.682210000000001</v>
        <stp/>
        <stp>##V3_BDPV12</stp>
        <stp>FTSEM Index</stp>
        <stp>CHG_PCT_6M</stp>
        <stp>[Index.xlsm]全球指數!R43C13</stp>
        <tr r="M43" s="1"/>
      </tp>
      <tp>
        <v>-2.1291660000000001</v>
        <stp/>
        <stp>##V3_BDPV12</stp>
        <stp>FTSEM Index</stp>
        <stp>CHG_PCT_5D</stp>
        <stp>[Index.xlsm]全球指數!R43C10</stp>
        <tr r="J43" s="1"/>
      </tp>
      <tp>
        <v>2.1616140000000001</v>
        <stp/>
        <stp>##V3_BDPV12</stp>
        <stp>HSCEI Index</stp>
        <stp>CHG_PCT_1M</stp>
        <stp>[Index.xlsm]全球指數!R72C11</stp>
        <tr r="K72" s="1"/>
      </tp>
      <tp>
        <v>656.22969999999998</v>
        <stp/>
        <stp>##V3_BDPV12</stp>
        <stp>s5indu Index</stp>
        <stp>PX_LAST</stp>
        <stp>[Index.xlsm]主要產業!R8C4</stp>
        <tr r="D8" s="2"/>
      </tp>
      <tp>
        <v>0.51238419999999996</v>
        <stp/>
        <stp>##V3_BDPV12</stp>
        <stp>BEL20 Index</stp>
        <stp>CHG_PCT_1D</stp>
        <stp>[Index.xlsm]全球指數!R224C5</stp>
        <tr r="E224" s="1"/>
      </tp>
      <tp>
        <v>-6.2847770000000001</v>
        <stp/>
        <stp>##V3_BDPV12</stp>
        <stp>HSCEI Index</stp>
        <stp>CHG_PCT_3M</stp>
        <stp>[Index.xlsm]全球指數!R72C12</stp>
        <tr r="L72" s="1"/>
      </tp>
      <tp>
        <v>-1.6665749999999999</v>
        <stp/>
        <stp>##V3_BDPV12</stp>
        <stp>HSCEI Index</stp>
        <stp>CHG_PCT_5D</stp>
        <stp>[Index.xlsm]全球指數!R72C10</stp>
        <tr r="J72" s="1"/>
      </tp>
      <tp>
        <v>7.9080581920110982</v>
        <stp/>
        <stp>##V3_BDPV12</stp>
        <stp>SHCSI100 Index</stp>
        <stp>INTERVAL_Low</stp>
        <stp>[Index.xlsm]全球指數!R98C17</stp>
        <stp>MARKET_DATA_OVERRIDE=PE_RATIO</stp>
        <stp>CALC_INTERVAL=5y</stp>
        <stp>BEST_FPERIOD_OVERRIDE=BF</stp>
        <tr r="Q98" s="1"/>
      </tp>
      <tp>
        <v>-9.6687840000000005</v>
        <stp/>
        <stp>##V3_BDPV12</stp>
        <stp>HSCEI Index</stp>
        <stp>CHG_PCT_6M</stp>
        <stp>[Index.xlsm]全球指數!R72C13</stp>
        <tr r="M72" s="1"/>
      </tp>
      <tp>
        <v>0.64445739999999996</v>
        <stp/>
        <stp>##V3_BDPV12</stp>
        <stp>SET50 Index</stp>
        <stp>CHG_PCT_1D</stp>
        <stp>[Index.xlsm]全球指數!R233C5</stp>
        <tr r="E233" s="1"/>
      </tp>
      <tp>
        <v>0.63728390000000001</v>
        <stp/>
        <stp>##V3_BDPV12</stp>
        <stp>TA-35 Index</stp>
        <stp>CHG_PCT_1D</stp>
        <stp>[Index.xlsm]全球指數!R205C5</stp>
        <tr r="E205" s="1"/>
      </tp>
      <tp t="s">
        <v>Bloomberg EMEA -World Index</v>
        <stp/>
        <stp>##V3_BDPV12</stp>
        <stp>BWORLDEU Index</stp>
        <stp>DS697</stp>
        <stp>[Index.xlsm]全球指數!R101C2</stp>
        <tr r="B101" s="1"/>
      </tp>
      <tp t="s">
        <v>HK</v>
        <stp/>
        <stp>##V3_BDPV12</stp>
        <stp>HKSPLC25 Index</stp>
        <stp>DS003</stp>
        <stp>[Index.xlsm]全球指數!R94C3</stp>
        <tr r="C94" s="1"/>
      </tp>
      <tp>
        <v>11.433795367363906</v>
        <stp/>
        <stp>##V3_BDPV12</stp>
        <stp>SMIM Index</stp>
        <stp>INTERVAL_Low</stp>
        <stp>[Index.xlsm]全球指數!R199C17</stp>
        <stp>MARKET_DATA_OVERRIDE=PE_RATIO</stp>
        <stp>CALC_INTERVAL=5y</stp>
        <stp>BEST_FPERIOD_OVERRIDE=BF</stp>
        <tr r="Q199" s="1"/>
      </tp>
      <tp t="s">
        <v>標普/香港交易所大型股指數</v>
        <stp/>
        <stp>##V3_BDPV12</stp>
        <stp>HKSPLC25 Index</stp>
        <stp>DS697</stp>
        <stp>[Index.xlsm]全球指數!R94C2</stp>
        <tr r="B94" s="1"/>
      </tp>
      <tp>
        <v>86.89</v>
        <stp/>
        <stp>##V3_BDPV12</stp>
        <stp>XOM US Equity</stp>
        <stp>HIGH_52WEEK</stp>
        <stp>[Index.xlsm]主要產業!R9C26</stp>
        <tr r="Z9" s="2"/>
      </tp>
      <tp>
        <v>-1.3339540000000001</v>
        <stp/>
        <stp>##V3_BDPV12</stp>
        <stp>s5enrs Index</stp>
        <stp>CHG_PCT_1D</stp>
        <stp>[Index.xlsm]主要產業!R12C5</stp>
        <tr r="E12" s="2"/>
      </tp>
      <tp>
        <v>1.747525</v>
        <stp/>
        <stp>##V3_BDPV12</stp>
        <stp>JPM US Equity</stp>
        <stp>CHG_PCT_1YR</stp>
        <stp>[Index.xlsm]主要產業!R5C35</stp>
        <tr r="AI5" s="2"/>
      </tp>
      <tp t="s">
        <v>HK</v>
        <stp/>
        <stp>##V3_BDPV12</stp>
        <stp>HSCITC Index</stp>
        <stp>DS003</stp>
        <stp>[Index.xlsm]主要產業!R67C3</stp>
        <tr r="C67" s="2"/>
      </tp>
      <tp>
        <v>14.108879999999999</v>
        <stp/>
        <stp>##V3_BDPV12</stp>
        <stp>SHCSI100 Index</stp>
        <stp>CHG_PCT_1YR</stp>
        <stp>[Index.xlsm]全球指數!R98C15</stp>
        <tr r="O98" s="1"/>
      </tp>
      <tp>
        <v>-6.5738989999999999</v>
        <stp/>
        <stp>##V3_BDPV12</stp>
        <stp>HSML100 Index</stp>
        <stp>CHG_PCT_1YR</stp>
        <stp>[Index.xlsm]全球指數!R48C15</stp>
        <tr r="O48" s="1"/>
      </tp>
      <tp>
        <v>0.69302459999999999</v>
        <stp/>
        <stp>##V3_BDPV12</stp>
        <stp>BELEX15 Index</stp>
        <stp>CHG_PCT_1D</stp>
        <stp>[Index.xlsm]全球指數!R244C5</stp>
        <tr r="E244" s="1"/>
      </tp>
      <tp>
        <v>59.287210000000002</v>
        <stp/>
        <stp>##V3_BDPV12</stp>
        <stp>OSX Index</stp>
        <stp>LOW_52WEEK</stp>
        <stp>[Index.xlsm]全球指數!R2C8</stp>
        <tr r="H2" s="1"/>
      </tp>
      <tp>
        <v>19.743106006712708</v>
        <stp/>
        <stp>##V3_BDPV12</stp>
        <stp>MID Index</stp>
        <stp>PE_RATIO</stp>
        <stp>[Index.xlsm]全球指數!R175C18</stp>
        <tr r="R175" s="1"/>
      </tp>
      <tp>
        <v>1047.8699999999999</v>
        <stp/>
        <stp>##V3_BDPV12</stp>
        <stp>TPX100 Index</stp>
        <stp>PX_LAST</stp>
        <stp>[Index.xlsm]全球指數!R271C4</stp>
        <tr r="D271" s="1"/>
      </tp>
      <tp>
        <v>14266.87</v>
        <stp/>
        <stp>##V3_BDPV12</stp>
        <stp>CM100 Index</stp>
        <stp>HIGH_52WEEK</stp>
        <stp>[Index.xlsm]全球指數!R88C6</stp>
        <tr r="F88" s="1"/>
      </tp>
      <tp>
        <v>13.681586834998988</v>
        <stp/>
        <stp>##V3_BDPV12</stp>
        <stp>MBI Index</stp>
        <stp>PE_RATIO</stp>
        <stp>[Index.xlsm]全球指數!R314C18</stp>
        <tr r="R314" s="1"/>
      </tp>
      <tp>
        <v>23.071481016414985</v>
        <stp/>
        <stp>##V3_BDPV12</stp>
        <stp>MCX Index</stp>
        <stp>PE_RATIO</stp>
        <stp>[Index.xlsm]全球指數!R100C18</stp>
        <tr r="R100" s="1"/>
      </tp>
      <tp t="s">
        <v>印度CNX輕巧指數</v>
        <stp/>
        <stp>##V3_BDPV12</stp>
        <stp>NIFTY Index</stp>
        <stp>DS697</stp>
        <stp>[Index.xlsm]全球指數!R319C2</stp>
        <tr r="B319" s="1"/>
      </tp>
      <tp t="s">
        <v>BJ</v>
        <stp/>
        <stp>##V3_BDPV12</stp>
        <stp>BHSEASI Index</stp>
        <stp>DS003</stp>
        <stp>[Index.xlsm]全球指數!R304C3</stp>
        <tr r="C304" s="1"/>
      </tp>
      <tp>
        <v>4230.3</v>
        <stp/>
        <stp>##V3_BDPV12</stp>
        <stp>FTEFC1 Index</stp>
        <stp>PX_LAST</stp>
        <stp>[Index.xlsm]全球指數!R214C4</stp>
        <tr r="D214" s="1"/>
      </tp>
      <tp t="s">
        <v>比利時現貨遠期綜合指數</v>
        <stp/>
        <stp>##V3_BDPV12</stp>
        <stp>BELSTK Index</stp>
        <stp>DS697</stp>
        <stp>[Index.xlsm]全球指數!R230C2</stp>
        <tr r="B230" s="1"/>
      </tp>
      <tp t="s">
        <v>CH</v>
        <stp/>
        <stp>##V3_BDPV12</stp>
        <stp>SHBSHR Index</stp>
        <stp>DS003</stp>
        <stp>[Index.xlsm]全球指數!R116C3</stp>
        <tr r="C116" s="1"/>
      </tp>
      <tp>
        <v>3.9607040000000003E-2</v>
        <stp/>
        <stp>##V3_BDPV12</stp>
        <stp>S5INFT Index</stp>
        <stp>CHG_PCT_1D</stp>
        <stp>[Index.xlsm]主要產業!R2C5</stp>
        <tr r="E2" s="2"/>
      </tp>
      <tp t="s">
        <v>阿曼 MSM 30指數</v>
        <stp/>
        <stp>##V3_BDPV12</stp>
        <stp>MSM30 Index</stp>
        <stp>DS697</stp>
        <stp>[Index.xlsm]全球指數!R272C2</stp>
        <tr r="B272" s="1"/>
      </tp>
      <tp>
        <v>-3.2709250000000002E-2</v>
        <stp/>
        <stp>##V3_BDPV12</stp>
        <stp>SSE50 Index</stp>
        <stp>CHG_PCT_1D</stp>
        <stp>[Index.xlsm]全球指數!R132C5</stp>
        <tr r="E132" s="1"/>
      </tp>
      <tp>
        <v>0.63030330000000001</v>
        <stp/>
        <stp>##V3_BDPV12</stp>
        <stp>SBF250 Index</stp>
        <stp>CHG_PCT_1D</stp>
        <stp>[Index.xlsm]全球指數!R164C5</stp>
        <tr r="E164" s="1"/>
      </tp>
      <tp>
        <v>0.5922174</v>
        <stp/>
        <stp>##V3_BDPV12</stp>
        <stp>WIG20 Index</stp>
        <stp>CHG_PCT_1D</stp>
        <stp>[Index.xlsm]全球指數!R145C5</stp>
        <tr r="E145" s="1"/>
      </tp>
      <tp>
        <v>2220.06</v>
        <stp/>
        <stp>##V3_BDPV12</stp>
        <stp>N150 Index</stp>
        <stp>LOW_52WEEK</stp>
        <stp>[Index.xlsm]全球指數!R45C8</stp>
        <tr r="H45" s="1"/>
      </tp>
      <tp>
        <v>4.1903704142008813</v>
        <stp/>
        <stp>##V3_BDPV12</stp>
        <stp>BLOM Index</stp>
        <stp>INTERVAL_Low</stp>
        <stp>[Index.xlsm]全球指數!R259C17</stp>
        <stp>MARKET_DATA_OVERRIDE=PE_RATIO</stp>
        <stp>CALC_INTERVAL=5y</stp>
        <stp>BEST_FPERIOD_OVERRIDE=BF</stp>
        <tr r="Q259" s="1"/>
      </tp>
      <tp>
        <v>148.99</v>
        <stp/>
        <stp>##V3_BDPV12</stp>
        <stp>JNJ US Equity</stp>
        <stp>HIGH_52WEEK</stp>
        <stp>[Index.xlsm]主要產業!R6C26</stp>
        <tr r="Z6" s="2"/>
      </tp>
      <tp t="s">
        <v>HK</v>
        <stp/>
        <stp>##V3_BDPV12</stp>
        <stp>HSCISV Index</stp>
        <stp>DS003</stp>
        <stp>[Index.xlsm]主要產業!R66C3</stp>
        <tr r="C66" s="2"/>
      </tp>
      <tp>
        <v>9.3372364311458007</v>
        <stp/>
        <stp>##V3_BDPV12</stp>
        <stp>AAPL US Equity</stp>
        <stp>INTERVAL_Low</stp>
        <stp>[Index.xlsm]主要產業!R3C37</stp>
        <stp>MARKET_DATA_OVERRIDE=PE_RATIO</stp>
        <stp>CALC_INTERVAL=5y</stp>
        <stp>BEST_FPERIOD_OVERRIDE=BF</stp>
        <tr r="AK3" s="2"/>
      </tp>
      <tp>
        <v>4.1306180000000001</v>
        <stp/>
        <stp>##V3_BDPV12</stp>
        <stp>SZ399330 Index</stp>
        <stp>PR064</stp>
        <stp>[Index.xlsm]全球指數!R20C14</stp>
        <tr r="N20" s="1"/>
      </tp>
      <tp>
        <v>10.984432986447501</v>
        <stp/>
        <stp>##V3_BDPV12</stp>
        <stp>BKX Index</stp>
        <stp>PE_RATIO</stp>
        <stp>[Index.xlsm]全球指數!R105C18</stp>
        <tr r="R105" s="1"/>
      </tp>
      <tp t="s">
        <v>#N/A N/A</v>
        <stp/>
        <stp>##V3_BDPV12</stp>
        <stp>QMI Index</stp>
        <stp>INTERVAL_Low</stp>
        <stp>[Index.xlsm]全球指數!R103C17</stp>
        <stp>MARKET_DATA_OVERRIDE=PE_RATIO</stp>
        <stp>CALC_INTERVAL=5y</stp>
        <stp>BEST_FPERIOD_OVERRIDE=BF</stp>
        <tr r="Q103" s="1"/>
      </tp>
      <tp>
        <v>13.42235</v>
        <stp/>
        <stp>##V3_BDPV12</stp>
        <stp>IBG Index</stp>
        <stp>CHG_PCT_1M</stp>
        <stp>[Index.xlsm]全球指數!R3C11</stp>
        <tr r="K3" s="1"/>
      </tp>
      <tp>
        <v>-31.427790000000002</v>
        <stp/>
        <stp>##V3_BDPV12</stp>
        <stp>IBG Index</stp>
        <stp>CHG_PCT_3M</stp>
        <stp>[Index.xlsm]全球指數!R3C12</stp>
        <tr r="L3" s="1"/>
      </tp>
      <tp>
        <v>-13.703530000000001</v>
        <stp/>
        <stp>##V3_BDPV12</stp>
        <stp>IBG Index</stp>
        <stp>CHG_PCT_6M</stp>
        <stp>[Index.xlsm]全球指數!R3C13</stp>
        <tr r="M3" s="1"/>
      </tp>
      <tp>
        <v>-7.4709560000000002</v>
        <stp/>
        <stp>##V3_BDPV12</stp>
        <stp>IBG Index</stp>
        <stp>CHG_PCT_5D</stp>
        <stp>[Index.xlsm]全球指數!R3C10</stp>
        <tr r="J3" s="1"/>
      </tp>
      <tp t="s">
        <v>富時義大利STAR指數</v>
        <stp/>
        <stp>##V3_BDPV12</stp>
        <stp>ITSTAR Index</stp>
        <stp>DS697</stp>
        <stp>[Index.xlsm]全球指數!R158C2</stp>
        <tr r="B158" s="1"/>
      </tp>
      <tp t="s">
        <v>富時/雅典大型股指數</v>
        <stp/>
        <stp>##V3_BDPV12</stp>
        <stp>FTASE Index</stp>
        <stp>DS697</stp>
        <stp>[Index.xlsm]全球指數!R141C2</stp>
        <tr r="B141" s="1"/>
      </tp>
      <tp t="s">
        <v>IT</v>
        <stp/>
        <stp>##V3_BDPV12</stp>
        <stp>FTSEMIB Index</stp>
        <stp>DS003</stp>
        <stp>[Index.xlsm]全球指數!R153C3</stp>
        <tr r="C153" s="1"/>
      </tp>
      <tp t="s">
        <v>BZ</v>
        <stp/>
        <stp>##V3_BDPV12</stp>
        <stp>IVBX2 Index</stp>
        <stp>DS003</stp>
        <stp>[Index.xlsm]全球指數!R274C3</stp>
        <tr r="C274" s="1"/>
      </tp>
      <tp>
        <v>8.15912203358487</v>
        <stp/>
        <stp>##V3_BDPV12</stp>
        <stp>BET Index</stp>
        <stp>PE_RATIO</stp>
        <stp>[Index.xlsm]全球指數!R300C18</stp>
        <tr r="R300" s="1"/>
      </tp>
      <tp t="s">
        <v>標普/香港交易所創業板指數</v>
        <stp/>
        <stp>##V3_BDPV12</stp>
        <stp>HKSPGEM Index</stp>
        <stp>DS697</stp>
        <stp>[Index.xlsm]全球指數!R151C2</stp>
        <tr r="B151" s="1"/>
      </tp>
      <tp t="s">
        <v>RU</v>
        <stp/>
        <stp>##V3_BDPV12</stp>
        <stp>IMOEX Index</stp>
        <stp>DS003</stp>
        <stp>[Index.xlsm]全球指數!R159C3</stp>
        <tr r="C159" s="1"/>
      </tp>
      <tp>
        <v>2.7106932788585345</v>
        <stp/>
        <stp>##V3_BDPV12</stp>
        <stp>BSX Index</stp>
        <stp>PE_RATIO</stp>
        <stp>[Index.xlsm]全球指數!R297C18</stp>
        <tr r="R297" s="1"/>
      </tp>
      <tp t="s">
        <v>BP</v>
        <stp/>
        <stp>##V3_BDPV12</stp>
        <stp>SOFIX Index</stp>
        <stp>DS003</stp>
        <stp>[Index.xlsm]全球指數!R110C3</stp>
        <tr r="C110" s="1"/>
      </tp>
      <tp>
        <v>10.045728251019018</v>
        <stp/>
        <stp>##V3_BDPV12</stp>
        <stp>BUX Index</stp>
        <stp>PE_RATIO</stp>
        <stp>[Index.xlsm]全球指數!R138C18</stp>
        <tr r="R138" s="1"/>
      </tp>
      <tp>
        <v>-2.259252</v>
        <stp/>
        <stp>##V3_BDPV12</stp>
        <stp>SHCOMP Index</stp>
        <stp>CHG_PCT_3M</stp>
        <stp>[Index.xlsm]全球指數!R32C12</stp>
        <tr r="L32" s="1"/>
      </tp>
      <tp>
        <v>0.92667160000000004</v>
        <stp/>
        <stp>##V3_BDPV12</stp>
        <stp>SHCOMP Index</stp>
        <stp>CHG_PCT_1M</stp>
        <stp>[Index.xlsm]全球指數!R32C11</stp>
        <tr r="K32" s="1"/>
      </tp>
      <tp>
        <v>-3.0976110000000001</v>
        <stp/>
        <stp>##V3_BDPV12</stp>
        <stp>SHCOMP Index</stp>
        <stp>CHG_PCT_6M</stp>
        <stp>[Index.xlsm]全球指數!R32C13</stp>
        <tr r="M32" s="1"/>
      </tp>
      <tp>
        <v>-2.34029</v>
        <stp/>
        <stp>##V3_BDPV12</stp>
        <stp>SHCOMP Index</stp>
        <stp>CHG_PCT_5D</stp>
        <stp>[Index.xlsm]全球指數!R32C10</stp>
        <tr r="J32" s="1"/>
      </tp>
      <tp>
        <v>0.1190015</v>
        <stp/>
        <stp>##V3_BDPV12</stp>
        <stp>SZCOMP Index</stp>
        <stp>CHG_PCT_1M</stp>
        <stp>[Index.xlsm]全球指數!R11C11</stp>
        <tr r="K11" s="1"/>
      </tp>
      <tp>
        <v>1.277989</v>
        <stp/>
        <stp>##V3_BDPV12</stp>
        <stp>SZCOMP Index</stp>
        <stp>CHG_PCT_3M</stp>
        <stp>[Index.xlsm]全球指數!R11C12</stp>
        <tr r="L11" s="1"/>
      </tp>
      <tp>
        <v>-0.66079770000000004</v>
        <stp/>
        <stp>##V3_BDPV12</stp>
        <stp>XU100 Index</stp>
        <stp>CHG_PCT_1D</stp>
        <stp>[Index.xlsm]全球指數!R298C5</stp>
        <tr r="E298" s="1"/>
      </tp>
      <tp>
        <v>13287.3</v>
        <stp/>
        <stp>##V3_BDPV12</stp>
        <stp>BSE500 Index</stp>
        <stp>LOW_52WEEK</stp>
        <stp>[Index.xlsm]全球指數!R315C8</stp>
        <tr r="H315" s="1"/>
      </tp>
      <tp>
        <v>-4.478612</v>
        <stp/>
        <stp>##V3_BDPV12</stp>
        <stp>SZCOMP Index</stp>
        <stp>CHG_PCT_5D</stp>
        <stp>[Index.xlsm]全球指數!R11C10</stp>
        <tr r="J11" s="1"/>
      </tp>
      <tp>
        <v>-3.4430580000000002</v>
        <stp/>
        <stp>##V3_BDPV12</stp>
        <stp>SZCOMP Index</stp>
        <stp>CHG_PCT_6M</stp>
        <stp>[Index.xlsm]全球指數!R11C13</stp>
        <tr r="M11" s="1"/>
      </tp>
      <tp>
        <v>16.243089468936009</v>
        <stp/>
        <stp>##V3_BDPV12</stp>
        <stp>IPSA Index</stp>
        <stp>PE_RATIO</stp>
        <stp>[Index.xlsm]全球指數!R147C18</stp>
        <tr r="R147" s="1"/>
      </tp>
      <tp>
        <v>17.844374026929749</v>
        <stp/>
        <stp>##V3_BDPV12</stp>
        <stp>SPEU Index</stp>
        <stp>PE_RATIO</stp>
        <stp>[Index.xlsm]全球指數!R162C18</stp>
        <tr r="R162" s="1"/>
      </tp>
      <tp t="s">
        <v>TA</v>
        <stp/>
        <stp>##V3_BDPV12</stp>
        <stp>TWSETEXT Index</stp>
        <stp>DS003</stp>
        <stp>[Index.xlsm]主要產業!R84C3</stp>
        <tr r="C84" s="2"/>
      </tp>
      <tp t="s">
        <v>HK</v>
        <stp/>
        <stp>##V3_BDPV12</stp>
        <stp>HSCICO Index</stp>
        <stp>DS003</stp>
        <stp>[Index.xlsm]主要產業!R59C3</stp>
        <tr r="C59" s="2"/>
      </tp>
      <tp t="s">
        <v>CH</v>
        <stp/>
        <stp>##V3_BDPV12</stp>
        <stp>SSE180 Index</stp>
        <stp>DS003</stp>
        <stp>[Index.xlsm]全球指數!R74C3</stp>
        <tr r="C74" s="1"/>
      </tp>
      <tp>
        <v>16.160114601915026</v>
        <stp/>
        <stp>##V3_BDPV12</stp>
        <stp>LQ45 Index</stp>
        <stp>PE_RATIO</stp>
        <stp>[Index.xlsm]全球指數!R204C18</stp>
        <tr r="R204" s="1"/>
      </tp>
      <tp>
        <v>1603.91</v>
        <stp/>
        <stp>##V3_BDPV12</stp>
        <stp>TPXM400 Index</stp>
        <stp>LOW_52WEEK</stp>
        <stp>[Index.xlsm]全球指數!R294C8</stp>
        <tr r="H294" s="1"/>
      </tp>
      <tp t="s">
        <v>上海證交所180指數</v>
        <stp/>
        <stp>##V3_BDPV12</stp>
        <stp>SSE180 Index</stp>
        <stp>DS697</stp>
        <stp>[Index.xlsm]全球指數!R74C2</stp>
        <tr r="B74" s="1"/>
      </tp>
      <tp>
        <v>-7.9542289999999998</v>
        <stp/>
        <stp>##V3_BDPV12</stp>
        <stp>HSFML25 Index</stp>
        <stp>CHG_PCT_1YR</stp>
        <stp>[Index.xlsm]全球指數!R81C15</stp>
        <tr r="O81" s="1"/>
      </tp>
      <tp>
        <v>1.4128039999999999</v>
        <stp/>
        <stp>##V3_BDPV12</stp>
        <stp>TPXM400 Index</stp>
        <stp>CHG_PCT_5D</stp>
        <stp>[Index.xlsm]全球指數!R294C10</stp>
        <tr r="J294" s="1"/>
      </tp>
      <tp t="s">
        <v>LL</v>
        <stp/>
        <stp>##V3_BDPV12</stp>
        <stp>RIGSE Index</stp>
        <stp>DS003</stp>
        <stp>[Index.xlsm]全球指數!R260C3</stp>
        <tr r="C260" s="1"/>
      </tp>
      <tp>
        <v>19.27523996747626</v>
        <stp/>
        <stp>##V3_BDPV12</stp>
        <stp>CAC Index</stp>
        <stp>PE_RATIO</stp>
        <stp>[Index.xlsm]全球指數!R173C18</stp>
        <tr r="R173" s="1"/>
      </tp>
      <tp>
        <v>16.095691899885821</v>
        <stp/>
        <stp>##V3_BDPV12</stp>
        <stp>PAX Index</stp>
        <stp>INTERVAL_Low</stp>
        <stp>[Index.xlsm]全球指數!R146C17</stp>
        <stp>MARKET_DATA_OVERRIDE=PE_RATIO</stp>
        <stp>CALC_INTERVAL=5y</stp>
        <stp>BEST_FPERIOD_OVERRIDE=BF</stp>
        <tr r="Q146" s="1"/>
      </tp>
      <tp t="s">
        <v>MA</v>
        <stp/>
        <stp>##V3_BDPV12</stp>
        <stp>FBMEMAS Index</stp>
        <stp>DS003</stp>
        <stp>[Index.xlsm]全球指數!R242C3</stp>
        <tr r="C242" s="1"/>
      </tp>
      <tp t="s">
        <v>櫃買中心加權股價指數</v>
        <stp/>
        <stp>##V3_BDPV12</stp>
        <stp>TWOTCI Index</stp>
        <stp>DS697</stp>
        <stp>[Index.xlsm]全球指數!R229C2</stp>
        <tr r="B229" s="1"/>
      </tp>
      <tp>
        <v>16.478690987121546</v>
        <stp/>
        <stp>##V3_BDPV12</stp>
        <stp>CRO Index</stp>
        <stp>PE_RATIO</stp>
        <stp>[Index.xlsm]全球指數!R310C18</stp>
        <tr r="R310" s="1"/>
      </tp>
      <tp t="s">
        <v>CH</v>
        <stp/>
        <stp>##V3_BDPV12</stp>
        <stp>SZBSHR Index</stp>
        <stp>DS003</stp>
        <stp>[Index.xlsm]全球指數!R128C3</stp>
        <tr r="C128" s="1"/>
      </tp>
      <tp>
        <v>884.35</v>
        <stp/>
        <stp>##V3_BDPV12</stp>
        <stp>N100 Index</stp>
        <stp>LOW_52WEEK</stp>
        <stp>[Index.xlsm]全球指數!R198C8</stp>
        <tr r="H198" s="1"/>
      </tp>
      <tp t="s">
        <v>BY</v>
        <stp/>
        <stp>##V3_BDPV12</stp>
        <stp>SASX10 Index</stp>
        <stp>DS003</stp>
        <stp>[Index.xlsm]全球指數!R293C3</stp>
        <tr r="C293" s="1"/>
      </tp>
      <tp>
        <v>20804.4609375</v>
        <stp/>
        <stp>##V3_BDPV12</stp>
        <stp>XIN0I Index</stp>
        <stp>HIGH_52WEEK</stp>
        <stp>[Index.xlsm]全球指數!R96C6</stp>
        <tr r="F96" s="1"/>
      </tp>
      <tp t="s">
        <v>CH</v>
        <stp/>
        <stp>##V3_BDPV12</stp>
        <stp>SSE50 Index</stp>
        <stp>DS003</stp>
        <stp>[Index.xlsm]全球指數!R132C3</stp>
        <tr r="C132" s="1"/>
      </tp>
      <tp t="s">
        <v>標準普爾/多倫多60指數</v>
        <stp/>
        <stp>##V3_BDPV12</stp>
        <stp>SPTSX60 Index</stp>
        <stp>DS697</stp>
        <stp>[Index.xlsm]全球指數!R194C2</stp>
        <tr r="B194" s="1"/>
      </tp>
      <tp>
        <v>1449.62</v>
        <stp/>
        <stp>##V3_BDPV12</stp>
        <stp>NZSE10 Index</stp>
        <stp>LOW_52WEEK</stp>
        <stp>[Index.xlsm]全球指數!R249C8</stp>
        <tr r="H249" s="1"/>
      </tp>
      <tp t="s">
        <v>CH</v>
        <stp/>
        <stp>##V3_BDPV12</stp>
        <stp>SHASHR Index</stp>
        <stp>DS003</stp>
        <stp>[Index.xlsm]全球指數!R30C3</stp>
        <tr r="C30" s="1"/>
      </tp>
      <tp t="s">
        <v>CH</v>
        <stp/>
        <stp>##V3_BDPV12</stp>
        <stp>SZASHR Index</stp>
        <stp>DS003</stp>
        <stp>[Index.xlsm]全球指數!R10C3</stp>
        <tr r="C10" s="1"/>
      </tp>
      <tp t="s">
        <v>上海證券交易所A股指數</v>
        <stp/>
        <stp>##V3_BDPV12</stp>
        <stp>SHASHR Index</stp>
        <stp>DS697</stp>
        <stp>[Index.xlsm]全球指數!R30C2</stp>
        <tr r="B30" s="1"/>
      </tp>
      <tp t="s">
        <v>深圳證券交易所A股指數</v>
        <stp/>
        <stp>##V3_BDPV12</stp>
        <stp>SZASHR Index</stp>
        <stp>DS697</stp>
        <stp>[Index.xlsm]全球指數!R10C2</stp>
        <tr r="B10" s="1"/>
      </tp>
      <tp>
        <v>0.90770329664959359</v>
        <stp/>
        <stp>##V3_BDPV12</stp>
        <stp>IBVC Index</stp>
        <stp>INTERVAL_Low</stp>
        <stp>[Index.xlsm]全球指數!R312C17</stp>
        <stp>MARKET_DATA_OVERRIDE=PE_RATIO</stp>
        <stp>CALC_INTERVAL=5y</stp>
        <stp>BEST_FPERIOD_OVERRIDE=BF</stp>
        <tr r="Q312" s="1"/>
      </tp>
      <tp>
        <v>12.215821651722655</v>
        <stp/>
        <stp>##V3_BDPV12</stp>
        <stp>IBEX Index</stp>
        <stp>INTERVAL_Low</stp>
        <stp>[Index.xlsm]全球指數!R240C17</stp>
        <stp>MARKET_DATA_OVERRIDE=PE_RATIO</stp>
        <stp>CALC_INTERVAL=5y</stp>
        <stp>BEST_FPERIOD_OVERRIDE=BF</stp>
        <tr r="Q240" s="1"/>
      </tp>
      <tp t="s">
        <v>上海證券交易所綜合指數</v>
        <stp/>
        <stp>##V3_BDPV12</stp>
        <stp>SHCOMP Index</stp>
        <stp>DS697</stp>
        <stp>[Index.xlsm]全球指數!R32C2</stp>
        <tr r="B32" s="1"/>
      </tp>
      <tp t="s">
        <v>CH</v>
        <stp/>
        <stp>##V3_BDPV12</stp>
        <stp>SHCOMP Index</stp>
        <stp>DS003</stp>
        <stp>[Index.xlsm]全球指數!R32C3</stp>
        <tr r="C32" s="1"/>
      </tp>
      <tp>
        <v>14.762053211027549</v>
        <stp/>
        <stp>##V3_BDPV12</stp>
        <stp>IBOV Index</stp>
        <stp>INTERVAL_Low</stp>
        <stp>[Index.xlsm]全球指數!R287C17</stp>
        <stp>MARKET_DATA_OVERRIDE=PE_RATIO</stp>
        <stp>CALC_INTERVAL=5y</stp>
        <stp>BEST_FPERIOD_OVERRIDE=BF</stp>
        <tr r="Q287" s="1"/>
      </tp>
      <tp>
        <v>-0.12955530000000001</v>
        <stp/>
        <stp>##V3_BDPV12</stp>
        <stp>s5FDSR index</stp>
        <stp>CHG_PCT_1D</stp>
        <stp>[Index.xlsm]主要產業!R17C5</stp>
        <tr r="E17" s="2"/>
      </tp>
      <tp>
        <v>258.2</v>
        <stp/>
        <stp>##V3_BDPV12</stp>
        <stp>s5util Index</stp>
        <stp>LOW_52WEEK</stp>
        <stp>[Index.xlsm]主要產業!R14C8</stp>
        <tr r="H14" s="2"/>
      </tp>
      <tp>
        <v>1.8017650000000001</v>
        <stp/>
        <stp>##V3_BDPV12</stp>
        <stp>SPX INDEX</stp>
        <stp>PR064</stp>
        <stp>[Index.xlsm]主要產業!R4C52</stp>
        <tr r="AZ4" s="2"/>
      </tp>
      <tp>
        <v>8.4561910000000005</v>
        <stp/>
        <stp>##V3_BDPV12</stp>
        <stp>SOX INDEX</stp>
        <stp>PR064</stp>
        <stp>[Index.xlsm]主要產業!R6C52</stp>
        <tr r="AZ6" s="2"/>
      </tp>
      <tp>
        <v>1.622279</v>
        <stp/>
        <stp>##V3_BDPV12</stp>
        <stp>RiY INDEX</stp>
        <stp>PR064</stp>
        <stp>[Index.xlsm]主要產業!R8C52</stp>
        <tr r="AZ8" s="2"/>
      </tp>
      <tp>
        <v>-0.85506439999999995</v>
        <stp/>
        <stp>##V3_BDPV12</stp>
        <stp>RTY INDEX</stp>
        <stp>PR064</stp>
        <stp>[Index.xlsm]主要產業!R7C52</stp>
        <tr r="AZ7" s="2"/>
      </tp>
      <tp t="s">
        <v>JN</v>
        <stp/>
        <stp>##V3_BDPV12</stp>
        <stp>TPCOMM Index</stp>
        <stp>DS003</stp>
        <stp>[Index.xlsm]主要產業!R38C3</stp>
        <tr r="C38" s="2"/>
      </tp>
      <tp t="s">
        <v>HK</v>
        <stp/>
        <stp>##V3_BDPV12</stp>
        <stp>HSCICG Index</stp>
        <stp>DS003</stp>
        <stp>[Index.xlsm]主要產業!R58C3</stp>
        <tr r="C58" s="2"/>
      </tp>
      <tp t="s">
        <v>HK</v>
        <stp/>
        <stp>##V3_BDPV12</stp>
        <stp>HSCIUT Index</stp>
        <stp>DS003</stp>
        <stp>[Index.xlsm]主要產業!R68C3</stp>
        <tr r="C68" s="2"/>
      </tp>
      <tp>
        <v>0.14269190000000001</v>
        <stp/>
        <stp>##V3_BDPV12</stp>
        <stp>DAX INDEX</stp>
        <stp>PR064</stp>
        <stp>[Index.xlsm]主要產業!R9C52</stp>
        <tr r="AZ9" s="2"/>
      </tp>
      <tp t="s">
        <v>EC</v>
        <stp/>
        <stp>##V3_BDPV12</stp>
        <stp>EUE15P Index</stp>
        <stp>DS003</stp>
        <stp>[Index.xlsm]全球指數!R57C3</stp>
        <tr r="C57" s="1"/>
      </tp>
      <tp t="s">
        <v>道瓊STOXX歐盟15大型股指數</v>
        <stp/>
        <stp>##V3_BDPV12</stp>
        <stp>EUE15P Index</stp>
        <stp>DS697</stp>
        <stp>[Index.xlsm]全球指數!R57C2</stp>
        <tr r="B57" s="1"/>
      </tp>
      <tp>
        <v>4.1936271166858665</v>
        <stp/>
        <stp>##V3_BDPV12</stp>
        <stp>MAR Index</stp>
        <stp>PE_RATIO</stp>
        <stp>[Index.xlsm]全球指數!R5C18</stp>
        <tr r="R5" s="1"/>
      </tp>
      <tp>
        <v>-1.9191240000000001</v>
        <stp/>
        <stp>##V3_BDPV12</stp>
        <stp>TPXM400 Index</stp>
        <stp>CHG_PCT_6M</stp>
        <stp>[Index.xlsm]全球指數!R294C13</stp>
        <tr r="M294" s="1"/>
      </tp>
      <tp>
        <v>12.544385727963709</v>
        <stp/>
        <stp>##V3_BDPV12</stp>
        <stp>SOX Index</stp>
        <stp>INTERVAL_Low</stp>
        <stp>[Index.xlsm]全球指數!R168C17</stp>
        <stp>MARKET_DATA_OVERRIDE=PE_RATIO</stp>
        <stp>CALC_INTERVAL=5y</stp>
        <stp>BEST_FPERIOD_OVERRIDE=BF</stp>
        <tr r="Q168" s="1"/>
      </tp>
      <tp>
        <v>15.372935451261103</v>
        <stp/>
        <stp>##V3_BDPV12</stp>
        <stp>SLI Index</stp>
        <stp>INTERVAL_Low</stp>
        <stp>[Index.xlsm]全球指數!R118C17</stp>
        <stp>MARKET_DATA_OVERRIDE=PE_RATIO</stp>
        <stp>CALC_INTERVAL=5y</stp>
        <stp>BEST_FPERIOD_OVERRIDE=BF</stp>
        <tr r="Q118" s="1"/>
      </tp>
      <tp>
        <v>-6.1035750000000002</v>
        <stp/>
        <stp>##V3_BDPV12</stp>
        <stp>HSML100 Index</stp>
        <stp>PR064</stp>
        <stp>[Index.xlsm]全球指數!R48C14</stp>
        <tr r="N48" s="1"/>
      </tp>
      <tp>
        <v>16.560054906768343</v>
        <stp/>
        <stp>##V3_BDPV12</stp>
        <stp>SMI Index</stp>
        <stp>INTERVAL_Low</stp>
        <stp>[Index.xlsm]全球指數!R192C17</stp>
        <stp>MARKET_DATA_OVERRIDE=PE_RATIO</stp>
        <stp>CALC_INTERVAL=5y</stp>
        <stp>BEST_FPERIOD_OVERRIDE=BF</stp>
        <tr r="Q192" s="1"/>
      </tp>
      <tp>
        <v>17.762101413262389</v>
        <stp/>
        <stp>##V3_BDPV12</stp>
        <stp>SML Index</stp>
        <stp>INTERVAL_Low</stp>
        <stp>[Index.xlsm]全球指數!R104C17</stp>
        <stp>MARKET_DATA_OVERRIDE=PE_RATIO</stp>
        <stp>CALC_INTERVAL=5y</stp>
        <stp>BEST_FPERIOD_OVERRIDE=BF</stp>
        <tr r="Q104" s="1"/>
      </tp>
      <tp>
        <v>14.691348141665483</v>
        <stp/>
        <stp>##V3_BDPV12</stp>
        <stp>SET Index</stp>
        <stp>INTERVAL_Low</stp>
        <stp>[Index.xlsm]全球指數!R220C17</stp>
        <stp>MARKET_DATA_OVERRIDE=PE_RATIO</stp>
        <stp>CALC_INTERVAL=5y</stp>
        <stp>BEST_FPERIOD_OVERRIDE=BF</stp>
        <tr r="Q220" s="1"/>
      </tp>
      <tp>
        <v>4387.44921875</v>
        <stp/>
        <stp>##V3_BDPV12</stp>
        <stp>HEX25 Index</stp>
        <stp>HIGH_52WEEK</stp>
        <stp>[Index.xlsm]全球指數!R67C6</stp>
        <tr r="F67" s="1"/>
      </tp>
      <tp>
        <v>13857.12</v>
        <stp/>
        <stp>##V3_BDPV12</stp>
        <stp>EGX30 Index</stp>
        <stp>PX_LAST</stp>
        <stp>[Index.xlsm]全球指數!R7C4</stp>
        <tr r="D7" s="1"/>
      </tp>
      <tp>
        <v>14.379675547349658</v>
        <stp/>
        <stp>##V3_BDPV12</stp>
        <stp>OMXO20 Index</stp>
        <stp>INTERVAL_Low</stp>
        <stp>[Index.xlsm]全球指數!R49C17</stp>
        <stp>MARKET_DATA_OVERRIDE=PE_RATIO</stp>
        <stp>CALC_INTERVAL=5y</stp>
        <stp>BEST_FPERIOD_OVERRIDE=BF</stp>
        <tr r="Q49" s="1"/>
      </tp>
      <tp>
        <v>10.241475082037731</v>
        <stp/>
        <stp>##V3_BDPV12</stp>
        <stp>STI Index</stp>
        <stp>INTERVAL_Low</stp>
        <stp>[Index.xlsm]全球指數!R123C17</stp>
        <stp>MARKET_DATA_OVERRIDE=PE_RATIO</stp>
        <stp>CALC_INTERVAL=5y</stp>
        <stp>BEST_FPERIOD_OVERRIDE=BF</stp>
        <tr r="Q123" s="1"/>
      </tp>
      <tp t="s">
        <v>富時馬來西亞證交所KLCI指數</v>
        <stp/>
        <stp>##V3_BDPV12</stp>
        <stp>FBMKLCI Index</stp>
        <stp>DS697</stp>
        <stp>[Index.xlsm]全球指數!R226C2</stp>
        <tr r="B226" s="1"/>
      </tp>
      <tp>
        <v>11.329374408712635</v>
        <stp/>
        <stp>##V3_BDPV12</stp>
        <stp>SPI Index</stp>
        <stp>INTERVAL_Low</stp>
        <stp>[Index.xlsm]全球指數!R206C17</stp>
        <stp>MARKET_DATA_OVERRIDE=PE_RATIO</stp>
        <stp>CALC_INTERVAL=5y</stp>
        <stp>BEST_FPERIOD_OVERRIDE=BF</stp>
        <tr r="Q206" s="1"/>
      </tp>
      <tp>
        <v>15.497578684407575</v>
        <stp/>
        <stp>##V3_BDPV12</stp>
        <stp>SPR Index</stp>
        <stp>INTERVAL_Low</stp>
        <stp>[Index.xlsm]全球指數!R135C17</stp>
        <stp>MARKET_DATA_OVERRIDE=PE_RATIO</stp>
        <stp>CALC_INTERVAL=5y</stp>
        <stp>BEST_FPERIOD_OVERRIDE=BF</stp>
        <tr r="Q135" s="1"/>
      </tp>
      <tp>
        <v>15.51050787264983</v>
        <stp/>
        <stp>##V3_BDPV12</stp>
        <stp>SPX Index</stp>
        <stp>INTERVAL_Low</stp>
        <stp>[Index.xlsm]全球指數!R134C17</stp>
        <stp>MARKET_DATA_OVERRIDE=PE_RATIO</stp>
        <stp>CALC_INTERVAL=5y</stp>
        <stp>BEST_FPERIOD_OVERRIDE=BF</stp>
        <tr r="Q134" s="1"/>
      </tp>
      <tp>
        <v>-9.59544</v>
        <stp/>
        <stp>##V3_BDPV12</stp>
        <stp>H-FIN Index</stp>
        <stp>CHG_PCT_6M</stp>
        <stp>[Index.xlsm]全球指數!R55C13</stp>
        <tr r="M55" s="1"/>
      </tp>
      <tp t="s">
        <v>華沙WIG20指數</v>
        <stp/>
        <stp>##V3_BDPV12</stp>
        <stp>WIG20 Index</stp>
        <stp>DS697</stp>
        <stp>[Index.xlsm]全球指數!R145C2</stp>
        <tr r="B145" s="1"/>
      </tp>
      <tp>
        <v>-1.971381</v>
        <stp/>
        <stp>##V3_BDPV12</stp>
        <stp>H-FIN Index</stp>
        <stp>CHG_PCT_5D</stp>
        <stp>[Index.xlsm]全球指數!R55C10</stp>
        <tr r="J55" s="1"/>
      </tp>
      <tp>
        <v>-16.29448</v>
        <stp/>
        <stp>##V3_BDPV12</stp>
        <stp>MERVAL Index</stp>
        <stp>CHG_PCT_1YR</stp>
        <stp>[Index.xlsm]全球指數!R4C15</stp>
        <tr r="O4" s="1"/>
      </tp>
      <tp>
        <v>-6.4238869999999997</v>
        <stp/>
        <stp>##V3_BDPV12</stp>
        <stp>H-FIN Index</stp>
        <stp>CHG_PCT_3M</stp>
        <stp>[Index.xlsm]全球指數!R55C12</stp>
        <tr r="L55" s="1"/>
      </tp>
      <tp t="s">
        <v>SK</v>
        <stp/>
        <stp>##V3_BDPV12</stp>
        <stp>KOSPI50 Index</stp>
        <stp>DS003</stp>
        <stp>[Index.xlsm]全球指數!R208C3</stp>
        <tr r="C208" s="1"/>
      </tp>
      <tp>
        <v>2.6744729999999999</v>
        <stp/>
        <stp>##V3_BDPV12</stp>
        <stp>H-FIN Index</stp>
        <stp>CHG_PCT_1M</stp>
        <stp>[Index.xlsm]全球指數!R55C11</stp>
        <tr r="K55" s="1"/>
      </tp>
      <tp>
        <v>-0.7466469</v>
        <stp/>
        <stp>##V3_BDPV12</stp>
        <stp>XU030 Index</stp>
        <stp>CHG_PCT_1D</stp>
        <stp>[Index.xlsm]全球指數!R299C5</stp>
        <tr r="E299" s="1"/>
      </tp>
      <tp t="s">
        <v>RU</v>
        <stp/>
        <stp>##V3_BDPV12</stp>
        <stp>MOEX10 Index</stp>
        <stp>DS003</stp>
        <stp>[Index.xlsm]全球指數!R160C3</stp>
        <tr r="C160" s="1"/>
      </tp>
      <tp>
        <v>5.4387033262756272</v>
        <stp/>
        <stp>##V3_BDPV12</stp>
        <stp>CRTX Index</stp>
        <stp>PE_RATIO</stp>
        <stp>[Index.xlsm]全球指數!R108C18</stp>
        <tr r="R108" s="1"/>
      </tp>
      <tp t="s">
        <v>道瓊STOXX歐盟全市場指數</v>
        <stp/>
        <stp>##V3_BDPV12</stp>
        <stp>EUETMP Index</stp>
        <stp>DS697</stp>
        <stp>[Index.xlsm]全球指數!R97C2</stp>
        <tr r="B97" s="1"/>
      </tp>
      <tp t="s">
        <v>EC</v>
        <stp/>
        <stp>##V3_BDPV12</stp>
        <stp>EUETMP Index</stp>
        <stp>DS003</stp>
        <stp>[Index.xlsm]全球指數!R97C3</stp>
        <tr r="C97" s="1"/>
      </tp>
      <tp>
        <v>10.715721525087618</v>
        <stp/>
        <stp>##V3_BDPV12</stp>
        <stp>MADX Index</stp>
        <stp>INTERVAL_Low</stp>
        <stp>[Index.xlsm]全球指數!R210C17</stp>
        <stp>MARKET_DATA_OVERRIDE=PE_RATIO</stp>
        <stp>CALC_INTERVAL=5y</stp>
        <stp>BEST_FPERIOD_OVERRIDE=BF</stp>
        <tr r="Q210" s="1"/>
      </tp>
      <tp>
        <v>14.318208606244648</v>
        <stp/>
        <stp>##V3_BDPV12</stp>
        <stp>TRAN Index</stp>
        <stp>PE_RATIO</stp>
        <stp>[Index.xlsm]全球指數!R140C18</stp>
        <tr r="R140" s="1"/>
      </tp>
      <tp t="s">
        <v>深圳證交所綜合指數</v>
        <stp/>
        <stp>##V3_BDPV12</stp>
        <stp>SZCOMP Index</stp>
        <stp>DS697</stp>
        <stp>[Index.xlsm]全球指數!R11C2</stp>
        <tr r="B11" s="1"/>
      </tp>
      <tp t="s">
        <v>CH</v>
        <stp/>
        <stp>##V3_BDPV12</stp>
        <stp>SZCOMP Index</stp>
        <stp>DS003</stp>
        <stp>[Index.xlsm]全球指數!R11C3</stp>
        <tr r="C11" s="1"/>
      </tp>
      <tp t="s">
        <v>TA</v>
        <stp/>
        <stp>##V3_BDPV12</stp>
        <stp>TWSESTEE Index</stp>
        <stp>DS003</stp>
        <stp>[Index.xlsm]主要產業!R81C3</stp>
        <tr r="C81" s="2"/>
      </tp>
      <tp>
        <v>38.095470234783079</v>
        <stp/>
        <stp>##V3_BDPV12</stp>
        <stp>GOOGL US Equity</stp>
        <stp>INTERVAL_HIGH</stp>
        <stp>[Index.xlsm]主要產業!R7C36</stp>
        <stp>MARKET_DATA_OVERRIDE=PE_RATIO</stp>
        <stp>CALC_INTERVAL=5y</stp>
        <stp>BEST_FPERIOD_OVERRIDE=BF</stp>
        <tr r="AJ7" s="2"/>
      </tp>
      <tp>
        <v>0.97492069999999997</v>
        <stp/>
        <stp>##V3_BDPV12</stp>
        <stp>Tran INDEX</stp>
        <stp>PR064</stp>
        <stp>[Index.xlsm]主要產業!R3C52</stp>
        <tr r="AZ3" s="2"/>
      </tp>
      <tp>
        <v>19.849985157728707</v>
        <stp/>
        <stp>##V3_BDPV12</stp>
        <stp>AS52 Index</stp>
        <stp>PE_RATIO</stp>
        <stp>[Index.xlsm]全球指數!R185C18</stp>
        <tr r="R185" s="1"/>
      </tp>
      <tp>
        <v>19.467953793000706</v>
        <stp/>
        <stp>##V3_BDPV12</stp>
        <stp>AS51 Index</stp>
        <stp>PE_RATIO</stp>
        <stp>[Index.xlsm]全球指數!R182C18</stp>
        <tr r="R182" s="1"/>
      </tp>
      <tp t="s">
        <v>CH</v>
        <stp/>
        <stp>##V3_BDPV12</stp>
        <stp>SHSZ300 Index</stp>
        <stp>DS003</stp>
        <stp>[Index.xlsm]全球指數!R44C3</stp>
        <tr r="C44" s="1"/>
      </tp>
      <tp t="s">
        <v>#N/A N/A</v>
        <stp/>
        <stp>##V3_BDPV12</stp>
        <stp>DS30 Index</stp>
        <stp>PE_RATIO</stp>
        <stp>[Index.xlsm]全球指數!R301C18</stp>
        <tr r="R301" s="1"/>
      </tp>
      <tp t="s">
        <v>上海深圳滬深300指數</v>
        <stp/>
        <stp>##V3_BDPV12</stp>
        <stp>SHSZ300 Index</stp>
        <stp>DS697</stp>
        <stp>[Index.xlsm]全球指數!R44C2</stp>
        <tr r="B44" s="1"/>
      </tp>
      <tp>
        <v>19.772615566527779</v>
        <stp/>
        <stp>##V3_BDPV12</stp>
        <stp>AS30 Index</stp>
        <stp>PE_RATIO</stp>
        <stp>[Index.xlsm]全球指數!R183C18</stp>
        <tr r="R183" s="1"/>
      </tp>
      <tp>
        <v>13.449555178960969</v>
        <stp/>
        <stp>##V3_BDPV12</stp>
        <stp>ES30 Index</stp>
        <stp>PE_RATIO</stp>
        <stp>[Index.xlsm]全球指數!R189C18</stp>
        <tr r="R189" s="1"/>
      </tp>
      <tp>
        <v>0.40835850000000001</v>
        <stp/>
        <stp>##V3_BDPV12</stp>
        <stp>INTER10 Index</stp>
        <stp>CHG_PCT_1D</stp>
        <stp>[Index.xlsm]全球指數!R203C5</stp>
        <tr r="E203" s="1"/>
      </tp>
      <tp>
        <v>12512.4</v>
        <stp/>
        <stp>##V3_BDPV12</stp>
        <stp>JPNK400 Index</stp>
        <stp>LOW_52WEEK</stp>
        <stp>[Index.xlsm]全球指數!R286C8</stp>
        <tr r="H286" s="1"/>
      </tp>
      <tp>
        <v>4.7970430000000004</v>
        <stp/>
        <stp>##V3_BDPV12</stp>
        <stp>SZ399005 Index</stp>
        <stp>PR064</stp>
        <stp>[Index.xlsm]全球指數!R16C14</stp>
        <tr r="N16" s="1"/>
      </tp>
      <tp>
        <v>15.898765297667872</v>
        <stp/>
        <stp>##V3_BDPV12</stp>
        <stp>RIY Index</stp>
        <stp>INTERVAL_Low</stp>
        <stp>[Index.xlsm]全球指數!R129C17</stp>
        <stp>MARKET_DATA_OVERRIDE=PE_RATIO</stp>
        <stp>CALC_INTERVAL=5y</stp>
        <stp>BEST_FPERIOD_OVERRIDE=BF</stp>
        <tr r="Q129" s="1"/>
      </tp>
      <tp t="s">
        <v>RU</v>
        <stp/>
        <stp>##V3_BDPV12</stp>
        <stp>MOEXBC Index</stp>
        <stp>DS003</stp>
        <stp>[Index.xlsm]全球指數!R171C3</stp>
        <tr r="C171" s="1"/>
      </tp>
      <tp>
        <v>17.277085252309693</v>
        <stp/>
        <stp>##V3_BDPV12</stp>
        <stp>AEX Index</stp>
        <stp>PE_RATIO</stp>
        <stp>[Index.xlsm]全球指數!R222C18</stp>
        <tr r="R222" s="1"/>
      </tp>
      <tp>
        <v>20404.62</v>
        <stp/>
        <stp>##V3_BDPV12</stp>
        <stp>KSE30 Index</stp>
        <stp>HIGH_52WEEK</stp>
        <stp>[Index.xlsm]全球指數!R17C6</stp>
        <tr r="F17" s="1"/>
      </tp>
      <tp>
        <v>16.596676911560124</v>
        <stp/>
        <stp>##V3_BDPV12</stp>
        <stp>RAY Index</stp>
        <stp>INTERVAL_Low</stp>
        <stp>[Index.xlsm]全球指數!R122C17</stp>
        <stp>MARKET_DATA_OVERRIDE=PE_RATIO</stp>
        <stp>CALC_INTERVAL=5y</stp>
        <stp>BEST_FPERIOD_OVERRIDE=BF</stp>
        <tr r="Q122" s="1"/>
      </tp>
      <tp t="s">
        <v>MX</v>
        <stp/>
        <stp>##V3_BDPV12</stp>
        <stp>INMEX Index</stp>
        <stp>DS003</stp>
        <stp>[Index.xlsm]全球指數!R228C3</stp>
        <tr r="C228" s="1"/>
      </tp>
      <tp>
        <v>18.700715181852388</v>
        <stp/>
        <stp>##V3_BDPV12</stp>
        <stp>ASX Index</stp>
        <stp>PE_RATIO</stp>
        <stp>[Index.xlsm]全球指數!R209C18</stp>
        <tr r="R209" s="1"/>
      </tp>
      <tp t="s">
        <v>US</v>
        <stp/>
        <stp>##V3_BDPV12</stp>
        <stp>NYLID Index</stp>
        <stp>DS003</stp>
        <stp>[Index.xlsm]全球指數!R179C3</stp>
        <tr r="C179" s="1"/>
      </tp>
      <tp>
        <v>20.186046375051653</v>
        <stp/>
        <stp>##V3_BDPV12</stp>
        <stp>ASE Index</stp>
        <stp>PE_RATIO</stp>
        <stp>[Index.xlsm]全球指數!R142C18</stp>
        <tr r="R142" s="1"/>
      </tp>
      <tp t="s">
        <v>KN</v>
        <stp/>
        <stp>##V3_BDPV12</stp>
        <stp>KNSMIDX Index</stp>
        <stp>DS003</stp>
        <stp>[Index.xlsm]全球指數!R269C3</stp>
        <tr r="C269" s="1"/>
      </tp>
      <tp t="s">
        <v>MO</v>
        <stp/>
        <stp>##V3_BDPV12</stp>
        <stp>MOSENEW Index</stp>
        <stp>DS003</stp>
        <stp>[Index.xlsm]全球指數!R188C3</stp>
        <tr r="C188" s="1"/>
      </tp>
      <tp t="s">
        <v>MX</v>
        <stp/>
        <stp>##V3_BDPV12</stp>
        <stp>IMC30 Index</stp>
        <stp>DS003</stp>
        <stp>[Index.xlsm]全球指數!R246C3</stp>
        <tr r="C246" s="1"/>
      </tp>
      <tp>
        <v>492.14</v>
        <stp/>
        <stp>##V3_BDPV12</stp>
        <stp>ES30 Index</stp>
        <stp>LOW_52WEEK</stp>
        <stp>[Index.xlsm]全球指數!R189C8</stp>
        <tr r="H189" s="1"/>
      </tp>
      <tp>
        <v>-8.4119989999999998</v>
        <stp/>
        <stp>##V3_BDPV12</stp>
        <stp>HERMES Index</stp>
        <stp>CHG_PCT_1YR</stp>
        <stp>[Index.xlsm]全球指數!R6C15</stp>
        <tr r="O6" s="1"/>
      </tp>
      <tp>
        <v>4254.63</v>
        <stp/>
        <stp>##V3_BDPV12</stp>
        <stp>BSE200 Index</stp>
        <stp>LOW_52WEEK</stp>
        <stp>[Index.xlsm]全球指數!R316C8</stp>
        <tr r="H316" s="1"/>
      </tp>
      <tp>
        <v>0.79382299999999995</v>
        <stp/>
        <stp>##V3_BDPV12</stp>
        <stp>TA-125 Index</stp>
        <stp>CHG_PCT_1D</stp>
        <stp>[Index.xlsm]全球指數!R258C5</stp>
        <tr r="E258" s="1"/>
      </tp>
      <tp t="s">
        <v>蒙古20指數</v>
        <stp/>
        <stp>##V3_BDPV12</stp>
        <stp>MSETOP Index</stp>
        <stp>DS697</stp>
        <stp>[Index.xlsm]全球指數!R26C2</stp>
        <tr r="B26" s="1"/>
      </tp>
      <tp t="s">
        <v>MJ</v>
        <stp/>
        <stp>##V3_BDPV12</stp>
        <stp>MSETOP Index</stp>
        <stp>DS003</stp>
        <stp>[Index.xlsm]全球指數!R26C3</stp>
        <tr r="C26" s="1"/>
      </tp>
      <tp>
        <v>18.102125573187287</v>
        <stp/>
        <stp>##V3_BDPV12</stp>
        <stp>MSPE Index</stp>
        <stp>PE_RATIO</stp>
        <stp>[Index.xlsm]全球指數!R207C18</stp>
        <tr r="R207" s="1"/>
      </tp>
      <tp>
        <v>736.99829999999997</v>
        <stp/>
        <stp>##V3_BDPV12</stp>
        <stp>IMC30 Index</stp>
        <stp>PX_LAST</stp>
        <stp>[Index.xlsm]全球指數!R246C4</stp>
        <tr r="D246" s="1"/>
      </tp>
      <tp>
        <v>17.789613607737788</v>
        <stp/>
        <stp>##V3_BDPV12</stp>
        <stp>MSER Index</stp>
        <stp>PE_RATIO</stp>
        <stp>[Index.xlsm]全球指數!R154C18</stp>
        <tr r="R154" s="1"/>
      </tp>
      <tp t="s">
        <v>#N/A N/A</v>
        <stp/>
        <stp>##V3_BDPV12</stp>
        <stp>TSE2 Index</stp>
        <stp>PE_RATIO</stp>
        <stp>[Index.xlsm]全球指數!R261C18</stp>
        <tr r="R261" s="1"/>
      </tp>
      <tp>
        <v>4015.98</v>
        <stp/>
        <stp>##V3_BDPV12</stp>
        <stp>MSM30 Index</stp>
        <stp>PX_LAST</stp>
        <stp>[Index.xlsm]全球指數!R272C4</stp>
        <tr r="D272" s="1"/>
      </tp>
      <tp>
        <v>25.578397658090363</v>
        <stp/>
        <stp>##V3_BDPV12</stp>
        <stp>ISEQ Index</stp>
        <stp>PE_RATIO</stp>
        <stp>[Index.xlsm]全球指數!R241C18</stp>
        <tr r="R241" s="1"/>
      </tp>
      <tp>
        <v>22.726373608757822</v>
        <stp/>
        <stp>##V3_BDPV12</stp>
        <stp>JSDA Index</stp>
        <stp>PE_RATIO</stp>
        <stp>[Index.xlsm]全球指數!R302C18</stp>
        <tr r="R302" s="1"/>
      </tp>
      <tp t="s">
        <v>#N/A N/A</v>
        <stp/>
        <stp>##V3_BDPV12</stp>
        <stp>DSEX Index</stp>
        <stp>PE_RATIO</stp>
        <stp>[Index.xlsm]全球指數!R306C18</stp>
        <tr r="R306" s="1"/>
      </tp>
      <tp>
        <v>14526.71</v>
        <stp/>
        <stp>##V3_BDPV12</stp>
        <stp>IVBX2 Index</stp>
        <stp>PX_LAST</stp>
        <stp>[Index.xlsm]全球指數!R274C4</stp>
        <tr r="D274" s="1"/>
      </tp>
      <tp>
        <v>16.692454569625671</v>
        <stp/>
        <stp>##V3_BDPV12</stp>
        <stp>SHCSI100 Index</stp>
        <stp>INTERVAL_HIGH</stp>
        <stp>[Index.xlsm]全球指數!R98C16</stp>
        <stp>MARKET_DATA_OVERRIDE=PE_RATIO</stp>
        <stp>CALC_INTERVAL=5y</stp>
        <stp>BEST_FPERIOD_OVERRIDE=BF</stp>
        <tr r="P98" s="1"/>
      </tp>
      <tp>
        <v>13.87391</v>
        <stp/>
        <stp>##V3_BDPV12</stp>
        <stp>S5SFTW Index</stp>
        <stp>CHG_PCT_1YR</stp>
        <stp>[Index.xlsm]主要產業!R5C15</stp>
        <tr r="O5" s="2"/>
      </tp>
      <tp>
        <v>322.35000000000002</v>
        <stp/>
        <stp>##V3_BDPV12</stp>
        <stp>SXRP INDEX</stp>
        <stp>PX_LAST</stp>
        <stp>[Index.xlsm]主要產業!R28C4</stp>
        <tr r="D28" s="2"/>
      </tp>
      <tp>
        <v>-5.3949730000000002</v>
        <stp/>
        <stp>##V3_BDPV12</stp>
        <stp>s5hlth index</stp>
        <stp>CHG_PCT_1YR</stp>
        <stp>[Index.xlsm]主要產業!R3C15</stp>
        <tr r="O3" s="2"/>
      </tp>
      <tp t="s">
        <v>SK</v>
        <stp/>
        <stp>##V3_BDPV12</stp>
        <stp>KOSPFIN Index</stp>
        <stp>DS003</stp>
        <stp>[Index.xlsm]主要產業!R44C3</stp>
        <tr r="C44" s="2"/>
      </tp>
      <tp t="s">
        <v>TA</v>
        <stp/>
        <stp>##V3_BDPV12</stp>
        <stp>TWSEPLAS Index</stp>
        <stp>DS003</stp>
        <stp>[Index.xlsm]主要產業!R73C3</stp>
        <tr r="C73" s="2"/>
      </tp>
      <tp>
        <v>-0.23281180000000001</v>
        <stp/>
        <stp>##V3_BDPV12</stp>
        <stp>Tran INDEX</stp>
        <stp>CHG_PCT_1D</stp>
        <stp>[Index.xlsm]主要產業!R3C43</stp>
        <tr r="AQ3" s="2"/>
      </tp>
      <tp>
        <v>-0.90620460000000003</v>
        <stp/>
        <stp>##V3_BDPV12</stp>
        <stp>Tran INDEX</stp>
        <stp>CHG_PCT_5D</stp>
        <stp>[Index.xlsm]主要產業!R3C48</stp>
        <tr r="AV3" s="2"/>
      </tp>
      <tp>
        <v>6.9273009999999999</v>
        <stp/>
        <stp>##V3_BDPV12</stp>
        <stp>Tran INDEX</stp>
        <stp>CHG_PCT_1M</stp>
        <stp>[Index.xlsm]主要產業!R3C49</stp>
        <tr r="AW3" s="2"/>
      </tp>
      <tp>
        <v>2.072937</v>
        <stp/>
        <stp>##V3_BDPV12</stp>
        <stp>Tran INDEX</stp>
        <stp>CHG_PCT_6M</stp>
        <stp>[Index.xlsm]主要產業!R3C51</stp>
        <tr r="AY3" s="2"/>
      </tp>
      <tp>
        <v>0.97492069999999997</v>
        <stp/>
        <stp>##V3_BDPV12</stp>
        <stp>Tran INDEX</stp>
        <stp>CHG_PCT_3M</stp>
        <stp>[Index.xlsm]主要產業!R3C50</stp>
        <tr r="AX3" s="2"/>
      </tp>
      <tp>
        <v>125</v>
        <stp/>
        <stp>##V3_BDPV12</stp>
        <stp>PG US Equity</stp>
        <stp>HIGH_52WEEK</stp>
        <stp>[Index.xlsm]主要產業!R8C26</stp>
        <tr r="Z8" s="2"/>
      </tp>
      <tp>
        <v>13.529983872610275</v>
        <stp/>
        <stp>##V3_BDPV12</stp>
        <stp>IT30 Index</stp>
        <stp>PE_RATIO</stp>
        <stp>[Index.xlsm]全球指數!R114C18</stp>
        <tr r="R114" s="1"/>
      </tp>
      <tp>
        <v>0.76340810000000003</v>
        <stp/>
        <stp>##V3_BDPV12</stp>
        <stp>CHILE65 Index</stp>
        <stp>CHG_PCT_1D</stp>
        <stp>[Index.xlsm]全球指數!R165C5</stp>
        <tr r="E165" s="1"/>
      </tp>
      <tp>
        <v>15.25290565116236</v>
        <stp/>
        <stp>##V3_BDPV12</stp>
        <stp>UKX Index</stp>
        <stp>INTERVAL_Low</stp>
        <stp>[Index.xlsm]全球指數!R239C17</stp>
        <stp>MARKET_DATA_OVERRIDE=PE_RATIO</stp>
        <stp>CALC_INTERVAL=5y</stp>
        <stp>BEST_FPERIOD_OVERRIDE=BF</stp>
        <tr r="Q239" s="1"/>
      </tp>
      <tp>
        <v>-13.71683</v>
        <stp/>
        <stp>##V3_BDPV12</stp>
        <stp>MAR Index</stp>
        <stp>CHG_PCT_6M</stp>
        <stp>[Index.xlsm]全球指數!R5C13</stp>
        <tr r="M5" s="1"/>
      </tp>
      <tp>
        <v>-7.202858</v>
        <stp/>
        <stp>##V3_BDPV12</stp>
        <stp>MAR Index</stp>
        <stp>CHG_PCT_5D</stp>
        <stp>[Index.xlsm]全球指數!R5C10</stp>
        <tr r="J5" s="1"/>
      </tp>
      <tp>
        <v>-32.416580000000003</v>
        <stp/>
        <stp>##V3_BDPV12</stp>
        <stp>MAR Index</stp>
        <stp>CHG_PCT_3M</stp>
        <stp>[Index.xlsm]全球指數!R5C12</stp>
        <tr r="L5" s="1"/>
      </tp>
      <tp>
        <v>14.49879</v>
        <stp/>
        <stp>##V3_BDPV12</stp>
        <stp>MAR Index</stp>
        <stp>CHG_PCT_1M</stp>
        <stp>[Index.xlsm]全球指數!R5C11</stp>
        <tr r="K5" s="1"/>
      </tp>
      <tp t="s">
        <v>MA</v>
        <stp/>
        <stp>##V3_BDPV12</stp>
        <stp>FBMKLCI Index</stp>
        <stp>DS003</stp>
        <stp>[Index.xlsm]全球指數!R226C3</stp>
        <tr r="C226" s="1"/>
      </tp>
      <tp>
        <v>-0.12772549999999999</v>
        <stp/>
        <stp>##V3_BDPV12</stp>
        <stp>CM100 Index</stp>
        <stp>PR064</stp>
        <stp>[Index.xlsm]全球指數!R88C14</stp>
        <tr r="N88" s="1"/>
      </tp>
      <tp>
        <v>14.67255574667594</v>
        <stp/>
        <stp>##V3_BDPV12</stp>
        <stp>UTY Index</stp>
        <stp>INTERVAL_Low</stp>
        <stp>[Index.xlsm]全球指數!R303C17</stp>
        <stp>MARKET_DATA_OVERRIDE=PE_RATIO</stp>
        <stp>CALC_INTERVAL=5y</stp>
        <stp>BEST_FPERIOD_OVERRIDE=BF</stp>
        <tr r="Q303" s="1"/>
      </tp>
      <tp>
        <v>10.70509543154361</v>
        <stp/>
        <stp>##V3_BDPV12</stp>
        <stp>SHNCOMP Index</stp>
        <stp>INTERVAL_Low</stp>
        <stp>[Index.xlsm]全球指數!R31C17</stp>
        <stp>MARKET_DATA_OVERRIDE=PE_RATIO</stp>
        <stp>CALC_INTERVAL=5y</stp>
        <stp>BEST_FPERIOD_OVERRIDE=BF</stp>
        <tr r="Q31" s="1"/>
      </tp>
      <tp>
        <v>-0.62067939999999999</v>
        <stp/>
        <stp>##V3_BDPV12</stp>
        <stp>MS190 Index</stp>
        <stp>PR064</stp>
        <stp>[Index.xlsm]全球指數!R79C14</stp>
        <tr r="N79" s="1"/>
      </tp>
      <tp>
        <v>-2.4718119999999999</v>
        <stp/>
        <stp>##V3_BDPV12</stp>
        <stp>CHTX Index</stp>
        <stp>CHG_PCT_5D</stp>
        <stp>[Index.xlsm]全球指數!R27C10</stp>
        <tr r="J27" s="1"/>
      </tp>
      <tp t="s">
        <v>PD</v>
        <stp/>
        <stp>##V3_BDPV12</stp>
        <stp>WIG20 Index</stp>
        <stp>DS003</stp>
        <stp>[Index.xlsm]全球指數!R145C3</stp>
        <tr r="C145" s="1"/>
      </tp>
      <tp>
        <v>-13.00544</v>
        <stp/>
        <stp>##V3_BDPV12</stp>
        <stp>CHTX Index</stp>
        <stp>CHG_PCT_6M</stp>
        <stp>[Index.xlsm]全球指數!R27C13</stp>
        <tr r="M27" s="1"/>
      </tp>
      <tp>
        <v>9.766938E-2</v>
        <stp/>
        <stp>##V3_BDPV12</stp>
        <stp>CHTX Index</stp>
        <stp>CHG_PCT_1M</stp>
        <stp>[Index.xlsm]全球指數!R27C11</stp>
        <tr r="K27" s="1"/>
      </tp>
      <tp t="s">
        <v>韓國KOSPI50指數</v>
        <stp/>
        <stp>##V3_BDPV12</stp>
        <stp>KOSPI50 Index</stp>
        <stp>DS697</stp>
        <stp>[Index.xlsm]全球指數!R208C2</stp>
        <tr r="B208" s="1"/>
      </tp>
      <tp>
        <v>-8.421519</v>
        <stp/>
        <stp>##V3_BDPV12</stp>
        <stp>CHTX Index</stp>
        <stp>CHG_PCT_3M</stp>
        <stp>[Index.xlsm]全球指數!R27C12</stp>
        <tr r="L27" s="1"/>
      </tp>
      <tp>
        <v>-1.504767</v>
        <stp/>
        <stp>##V3_BDPV12</stp>
        <stp>SICOM Index</stp>
        <stp>CHG_PCT_6M</stp>
        <stp>[Index.xlsm]全球指數!R15C13</stp>
        <tr r="M15" s="1"/>
      </tp>
      <tp>
        <v>-3.9317150000000001</v>
        <stp/>
        <stp>##V3_BDPV12</stp>
        <stp>SICOM Index</stp>
        <stp>CHG_PCT_5D</stp>
        <stp>[Index.xlsm]全球指數!R15C10</stp>
        <tr r="J15" s="1"/>
      </tp>
      <tp t="s">
        <v>莫斯科 MICEX 10 指數</v>
        <stp/>
        <stp>##V3_BDPV12</stp>
        <stp>MOEX10 Index</stp>
        <stp>DS697</stp>
        <stp>[Index.xlsm]全球指數!R160C2</stp>
        <tr r="B160" s="1"/>
      </tp>
      <tp>
        <v>2.439006</v>
        <stp/>
        <stp>##V3_BDPV12</stp>
        <stp>SICOM Index</stp>
        <stp>CHG_PCT_3M</stp>
        <stp>[Index.xlsm]全球指數!R15C12</stp>
        <tr r="L15" s="1"/>
      </tp>
      <tp>
        <v>0.22937360000000001</v>
        <stp/>
        <stp>##V3_BDPV12</stp>
        <stp>SICOM Index</stp>
        <stp>CHG_PCT_1M</stp>
        <stp>[Index.xlsm]全球指數!R15C11</stp>
        <tr r="K15" s="1"/>
      </tp>
      <tp>
        <v>15.499734293030055</v>
        <stp/>
        <stp>##V3_BDPV12</stp>
        <stp>IGPA Index</stp>
        <stp>INTERVAL_Low</stp>
        <stp>[Index.xlsm]全球指數!R167C17</stp>
        <stp>MARKET_DATA_OVERRIDE=PE_RATIO</stp>
        <stp>CALC_INTERVAL=5y</stp>
        <stp>BEST_FPERIOD_OVERRIDE=BF</stp>
        <tr r="Q167" s="1"/>
      </tp>
      <tp>
        <v>13.854005046480598</v>
        <stp/>
        <stp>##V3_BDPV12</stp>
        <stp>CTRN Index</stp>
        <stp>PE_RATIO</stp>
        <stp>[Index.xlsm]全球指數!R136C18</stp>
        <tr r="R136" s="1"/>
      </tp>
      <tp>
        <v>13.152704848456731</v>
        <stp/>
        <stp>##V3_BDPV12</stp>
        <stp>IGCX Index</stp>
        <stp>INTERVAL_Low</stp>
        <stp>[Index.xlsm]全球指數!R270C17</stp>
        <stp>MARKET_DATA_OVERRIDE=PE_RATIO</stp>
        <stp>CALC_INTERVAL=5y</stp>
        <stp>BEST_FPERIOD_OVERRIDE=BF</stp>
        <tr r="Q270" s="1"/>
      </tp>
      <tp t="s">
        <v>SA</v>
        <stp/>
        <stp>##V3_BDPV12</stp>
        <stp>INDI25 Index</stp>
        <stp>DS003</stp>
        <stp>[Index.xlsm]全球指數!R70C3</stp>
        <tr r="C70" s="1"/>
      </tp>
      <tp t="s">
        <v>#N/A N/A</v>
        <stp/>
        <stp>##V3_BDPV12</stp>
        <stp>ITMC Index</stp>
        <stp>PE_RATIO</stp>
        <stp>[Index.xlsm]全球指數!R163C18</stp>
        <tr r="R163" s="1"/>
      </tp>
      <tp t="s">
        <v>FTSE/JSE 南非工業 25 指數</v>
        <stp/>
        <stp>##V3_BDPV12</stp>
        <stp>INDI25 Index</stp>
        <stp>DS697</stp>
        <stp>[Index.xlsm]全球指數!R70C2</stp>
        <tr r="B70" s="1"/>
      </tp>
      <tp>
        <v>23.123803488978599</v>
        <stp/>
        <stp>##V3_BDPV12</stp>
        <stp>UTIL Index</stp>
        <stp>PE_RATIO</stp>
        <stp>[Index.xlsm]全球指數!R305C18</stp>
        <tr r="R305" s="1"/>
      </tp>
      <tp t="s">
        <v>JN</v>
        <stp/>
        <stp>##V3_BDPV12</stp>
        <stp>TPNCHM Index</stp>
        <stp>DS003</stp>
        <stp>[Index.xlsm]主要產業!R40C3</stp>
        <tr r="C40" s="2"/>
      </tp>
      <tp>
        <v>139.54</v>
        <stp/>
        <stp>##V3_BDPV12</stp>
        <stp>MSFT US Equity</stp>
        <stp>PX_LAST</stp>
        <stp>[Index.xlsm]主要產業!R2C24</stp>
        <tr r="X2" s="2"/>
      </tp>
      <tp>
        <v>9.6106420000000004</v>
        <stp/>
        <stp>##V3_BDPV12</stp>
        <stp>TPXM400 Index</stp>
        <stp>CHG_PCT_1M</stp>
        <stp>[Index.xlsm]全球指數!R294C11</stp>
        <tr r="K294" s="1"/>
      </tp>
      <tp t="s">
        <v>莫斯科交易所藍籌股指數</v>
        <stp/>
        <stp>##V3_BDPV12</stp>
        <stp>MOEXBC Index</stp>
        <stp>DS697</stp>
        <stp>[Index.xlsm]全球指數!R171C2</stp>
        <tr r="B171" s="1"/>
      </tp>
      <tp t="s">
        <v>紐約證交所全球領袖指數</v>
        <stp/>
        <stp>##V3_BDPV12</stp>
        <stp>NYLID Index</stp>
        <stp>DS697</stp>
        <stp>[Index.xlsm]全球指數!R179C2</stp>
        <tr r="B179" s="1"/>
      </tp>
      <tp t="s">
        <v>Nairobi Securities Exchange</v>
        <stp/>
        <stp>##V3_BDPV12</stp>
        <stp>KNSMIDX Index</stp>
        <stp>DS697</stp>
        <stp>[Index.xlsm]全球指數!R269C2</stp>
        <tr r="B269" s="1"/>
      </tp>
      <tp t="s">
        <v>摩洛哥 MASI 流通指數</v>
        <stp/>
        <stp>##V3_BDPV12</stp>
        <stp>MOSENEW Index</stp>
        <stp>DS697</stp>
        <stp>[Index.xlsm]全球指數!R188C2</stp>
        <tr r="B188" s="1"/>
      </tp>
      <tp>
        <v>11708.22</v>
        <stp/>
        <stp>##V3_BDPV12</stp>
        <stp>BSE100 Index</stp>
        <stp>PX_LAST</stp>
        <stp>[Index.xlsm]全球指數!R318C4</stp>
        <tr r="D318" s="1"/>
      </tp>
      <tp>
        <v>11.158189835843245</v>
        <stp/>
        <stp>##V3_BDPV12</stp>
        <stp>TPX Index</stp>
        <stp>INTERVAL_Low</stp>
        <stp>[Index.xlsm]全球指數!R289C17</stp>
        <stp>MARKET_DATA_OVERRIDE=PE_RATIO</stp>
        <stp>CALC_INTERVAL=5y</stp>
        <stp>BEST_FPERIOD_OVERRIDE=BF</stp>
        <tr r="Q289" s="1"/>
      </tp>
      <tp t="s">
        <v>墨西哥INMEX指數</v>
        <stp/>
        <stp>##V3_BDPV12</stp>
        <stp>INMEX Index</stp>
        <stp>DS697</stp>
        <stp>[Index.xlsm]全球指數!R228C2</stp>
        <tr r="B228" s="1"/>
      </tp>
      <tp>
        <v>0.92329329999999998</v>
        <stp/>
        <stp>##V3_BDPV12</stp>
        <stp>SHASHR Index</stp>
        <stp>CHG_PCT_1M</stp>
        <stp>[Index.xlsm]全球指數!R30C11</stp>
        <tr r="K30" s="1"/>
      </tp>
      <tp>
        <v>-2.2398660000000001</v>
        <stp/>
        <stp>##V3_BDPV12</stp>
        <stp>SHASHR Index</stp>
        <stp>CHG_PCT_3M</stp>
        <stp>[Index.xlsm]全球指數!R30C12</stp>
        <tr r="L30" s="1"/>
      </tp>
      <tp>
        <v>8936.7739999999994</v>
        <stp/>
        <stp>##V3_BDPV12</stp>
        <stp>SZSMEC Index</stp>
        <stp>PX_LAST</stp>
        <stp>[Index.xlsm]全球指數!R9C4</stp>
        <tr r="D9" s="1"/>
      </tp>
      <tp>
        <v>-2.3432879999999998</v>
        <stp/>
        <stp>##V3_BDPV12</stp>
        <stp>SHASHR Index</stp>
        <stp>CHG_PCT_5D</stp>
        <stp>[Index.xlsm]全球指數!R30C10</stp>
        <tr r="J30" s="1"/>
      </tp>
      <tp>
        <v>-3.0761099999999999</v>
        <stp/>
        <stp>##V3_BDPV12</stp>
        <stp>SHASHR Index</stp>
        <stp>CHG_PCT_6M</stp>
        <stp>[Index.xlsm]全球指數!R30C13</stp>
        <tr r="M30" s="1"/>
      </tp>
      <tp t="s">
        <v>墨西哥IMC30指數</v>
        <stp/>
        <stp>##V3_BDPV12</stp>
        <stp>IMC30 Index</stp>
        <stp>DS697</stp>
        <stp>[Index.xlsm]全球指數!R246C2</stp>
        <tr r="B246" s="1"/>
      </tp>
      <tp>
        <v>1.2884279999999999</v>
        <stp/>
        <stp>##V3_BDPV12</stp>
        <stp>SZASHR Index</stp>
        <stp>CHG_PCT_3M</stp>
        <stp>[Index.xlsm]全球指數!R10C12</stp>
        <tr r="L10" s="1"/>
      </tp>
      <tp>
        <v>0.1220435</v>
        <stp/>
        <stp>##V3_BDPV12</stp>
        <stp>SZASHR Index</stp>
        <stp>CHG_PCT_1M</stp>
        <stp>[Index.xlsm]全球指數!R10C11</stp>
        <tr r="K10" s="1"/>
      </tp>
      <tp>
        <v>-3.432134</v>
        <stp/>
        <stp>##V3_BDPV12</stp>
        <stp>SZASHR Index</stp>
        <stp>CHG_PCT_6M</stp>
        <stp>[Index.xlsm]全球指數!R10C13</stp>
        <tr r="M10" s="1"/>
      </tp>
      <tp>
        <v>-4.4865740000000001</v>
        <stp/>
        <stp>##V3_BDPV12</stp>
        <stp>SZASHR Index</stp>
        <stp>CHG_PCT_5D</stp>
        <stp>[Index.xlsm]全球指數!R10C10</stp>
        <tr r="J10" s="1"/>
      </tp>
      <tp>
        <v>4.4225980381988794</v>
        <stp/>
        <stp>##V3_BDPV12</stp>
        <stp>MERVAL Index</stp>
        <stp>PE_RATIO</stp>
        <stp>[Index.xlsm]全球指數!R4C18</stp>
        <tr r="R4" s="1"/>
      </tp>
      <tp>
        <v>0.63751259999999998</v>
        <stp/>
        <stp>##V3_BDPV12</stp>
        <stp>SBF120 Index</stp>
        <stp>CHG_PCT_1D</stp>
        <stp>[Index.xlsm]全球指數!R169C5</stp>
        <tr r="E169" s="1"/>
      </tp>
      <tp t="s">
        <v>Warsaw Stock Exchange mWIG40</v>
        <stp/>
        <stp>##V3_BDPV12</stp>
        <stp>MIDWIG Index</stp>
        <stp>DS697</stp>
        <stp>[Index.xlsm]全球指數!R21C2</stp>
        <tr r="B21" s="1"/>
      </tp>
      <tp>
        <v>20.841366183719359</v>
        <stp/>
        <stp>##V3_BDPV12</stp>
        <stp>CUTL Index</stp>
        <stp>PE_RATIO</stp>
        <stp>[Index.xlsm]全球指數!R107C18</stp>
        <tr r="R107" s="1"/>
      </tp>
      <tp>
        <v>17317.86</v>
        <stp/>
        <stp>##V3_BDPV12</stp>
        <stp>IBX50 Index</stp>
        <stp>PX_LAST</stp>
        <stp>[Index.xlsm]全球指數!R290C4</stp>
        <tr r="D290" s="1"/>
      </tp>
      <tp>
        <v>2.4762462246971886</v>
        <stp/>
        <stp>##V3_BDPV12</stp>
        <stp>PFTS Index</stp>
        <stp>INTERVAL_Low</stp>
        <stp>[Index.xlsm]全球指數!R295C17</stp>
        <stp>MARKET_DATA_OVERRIDE=PE_RATIO</stp>
        <stp>CALC_INTERVAL=5y</stp>
        <stp>BEST_FPERIOD_OVERRIDE=BF</stp>
        <tr r="Q295" s="1"/>
      </tp>
      <tp t="s">
        <v>PD</v>
        <stp/>
        <stp>##V3_BDPV12</stp>
        <stp>MIDWIG Index</stp>
        <stp>DS003</stp>
        <stp>[Index.xlsm]全球指數!R21C3</stp>
        <tr r="C21" s="1"/>
      </tp>
      <tp>
        <v>21.251631430118604</v>
        <stp/>
        <stp>##V3_BDPV12</stp>
        <stp>CFIN Index</stp>
        <stp>INTERVAL_Low</stp>
        <stp>[Index.xlsm]全球指數!R137C17</stp>
        <stp>MARKET_DATA_OVERRIDE=PE_RATIO</stp>
        <stp>CALC_INTERVAL=5y</stp>
        <stp>BEST_FPERIOD_OVERRIDE=BF</stp>
        <tr r="Q137" s="1"/>
      </tp>
      <tp>
        <v>-0.20935809999999999</v>
        <stp/>
        <stp>##V3_BDPV12</stp>
        <stp>s5matr Index</stp>
        <stp>CHG_PCT_1D</stp>
        <stp>[Index.xlsm]主要產業!R16C5</stp>
        <tr r="E16" s="2"/>
      </tp>
      <tp t="s">
        <v>JN</v>
        <stp/>
        <stp>##V3_BDPV12</stp>
        <stp>TPNBNK Index</stp>
        <stp>DS003</stp>
        <stp>[Index.xlsm]主要產業!R41C3</stp>
        <tr r="C41" s="2"/>
      </tp>
      <tp t="s">
        <v>PK</v>
        <stp/>
        <stp>##V3_BDPV12</stp>
        <stp>KSE100 Index</stp>
        <stp>DS003</stp>
        <stp>[Index.xlsm]全球指數!R33C3</stp>
        <tr r="C33" s="1"/>
      </tp>
      <tp t="s">
        <v>NA</v>
        <stp/>
        <stp>##V3_BDPV12</stp>
        <stp>FTN098 Index</stp>
        <stp>DS003</stp>
        <stp>[Index.xlsm]全球指數!R28C3</stp>
        <tr r="C28" s="1"/>
      </tp>
      <tp t="s">
        <v>喀拉蚩100指數</v>
        <stp/>
        <stp>##V3_BDPV12</stp>
        <stp>KSE100 Index</stp>
        <stp>DS697</stp>
        <stp>[Index.xlsm]全球指數!R33C2</stp>
        <tr r="B33" s="1"/>
      </tp>
      <tp t="s">
        <v>富時JSE納米比亞綜合指數</v>
        <stp/>
        <stp>##V3_BDPV12</stp>
        <stp>FTN098 Index</stp>
        <stp>DS697</stp>
        <stp>[Index.xlsm]全球指數!R28C2</stp>
        <tr r="B28" s="1"/>
      </tp>
      <tp>
        <v>1.702758</v>
        <stp/>
        <stp>##V3_BDPV12</stp>
        <stp>SZ399550 Index</stp>
        <stp>PR064</stp>
        <stp>[Index.xlsm]全球指數!R59C14</stp>
        <tr r="N59" s="1"/>
      </tp>
      <tp t="s">
        <v>GR</v>
        <stp/>
        <stp>##V3_BDPV12</stp>
        <stp>FTASE Index</stp>
        <stp>DS003</stp>
        <stp>[Index.xlsm]全球指數!R141C3</stp>
        <tr r="C141" s="1"/>
      </tp>
      <tp t="s">
        <v>富時MIB指數</v>
        <stp/>
        <stp>##V3_BDPV12</stp>
        <stp>FTSEMIB Index</stp>
        <stp>DS697</stp>
        <stp>[Index.xlsm]全球指數!R153C2</stp>
        <tr r="B153" s="1"/>
      </tp>
      <tp t="s">
        <v>巴西BOV/VAL二級指數</v>
        <stp/>
        <stp>##V3_BDPV12</stp>
        <stp>IVBX2 Index</stp>
        <stp>DS697</stp>
        <stp>[Index.xlsm]全球指數!R274C2</stp>
        <tr r="B274" s="1"/>
      </tp>
      <tp>
        <v>1690.33</v>
        <stp/>
        <stp>##V3_BDPV12</stp>
        <stp>TPXL70 Index</stp>
        <stp>PX_LAST</stp>
        <stp>[Index.xlsm]全球指數!R278C4</stp>
        <tr r="D278" s="1"/>
      </tp>
      <tp>
        <v>11.58650788740864</v>
        <stp/>
        <stp>##V3_BDPV12</stp>
        <stp>WIG Index</stp>
        <stp>INTERVAL_Low</stp>
        <stp>[Index.xlsm]全球指數!R115C17</stp>
        <stp>MARKET_DATA_OVERRIDE=PE_RATIO</stp>
        <stp>CALC_INTERVAL=5y</stp>
        <stp>BEST_FPERIOD_OVERRIDE=BF</stp>
        <tr r="Q115" s="1"/>
      </tp>
      <tp t="s">
        <v>IT</v>
        <stp/>
        <stp>##V3_BDPV12</stp>
        <stp>ITSTAR Index</stp>
        <stp>DS003</stp>
        <stp>[Index.xlsm]全球指數!R158C3</stp>
        <tr r="C158" s="1"/>
      </tp>
      <tp t="s">
        <v>保加利亞SOFIX指數</v>
        <stp/>
        <stp>##V3_BDPV12</stp>
        <stp>SOFIX Index</stp>
        <stp>DS697</stp>
        <stp>[Index.xlsm]全球指數!R110C2</stp>
        <tr r="B110" s="1"/>
      </tp>
      <tp>
        <v>5429.32</v>
        <stp/>
        <stp>##V3_BDPV12</stp>
        <stp>PSI20 Index</stp>
        <stp>HIGH_52WEEK</stp>
        <stp>[Index.xlsm]全球指數!R23C6</stp>
        <tr r="F23" s="1"/>
      </tp>
      <tp>
        <v>-28.687069999999999</v>
        <stp/>
        <stp>##V3_BDPV12</stp>
        <stp>OSX Index</stp>
        <stp>CHG_PCT_6M</stp>
        <stp>[Index.xlsm]全球指數!R2C13</stp>
        <tr r="M2" s="1"/>
      </tp>
      <tp>
        <v>-8.3390109999999993</v>
        <stp/>
        <stp>##V3_BDPV12</stp>
        <stp>OSX Index</stp>
        <stp>CHG_PCT_5D</stp>
        <stp>[Index.xlsm]全球指數!R2C10</stp>
        <tr r="J2" s="1"/>
      </tp>
      <tp>
        <v>-15.980259999999999</v>
        <stp/>
        <stp>##V3_BDPV12</stp>
        <stp>OSX Index</stp>
        <stp>CHG_PCT_3M</stp>
        <stp>[Index.xlsm]全球指數!R2C12</stp>
        <tr r="L2" s="1"/>
      </tp>
      <tp>
        <v>11.66549</v>
        <stp/>
        <stp>##V3_BDPV12</stp>
        <stp>OSX Index</stp>
        <stp>CHG_PCT_1M</stp>
        <stp>[Index.xlsm]全球指數!R2C11</stp>
        <tr r="K2" s="1"/>
      </tp>
      <tp t="s">
        <v>HK</v>
        <stp/>
        <stp>##V3_BDPV12</stp>
        <stp>HKSPGEM Index</stp>
        <stp>DS003</stp>
        <stp>[Index.xlsm]全球指數!R151C3</stp>
        <tr r="C151" s="1"/>
      </tp>
      <tp>
        <v>15.053897085009318</v>
        <stp/>
        <stp>##V3_BDPV12</stp>
        <stp>DSM Index</stp>
        <stp>PE_RATIO</stp>
        <stp>[Index.xlsm]全球指數!R143C18</stp>
        <tr r="R143" s="1"/>
      </tp>
      <tp t="s">
        <v>MOEX Russia Index</v>
        <stp/>
        <stp>##V3_BDPV12</stp>
        <stp>IMOEX Index</stp>
        <stp>DS697</stp>
        <stp>[Index.xlsm]全球指數!R159C2</stp>
        <tr r="B159" s="1"/>
      </tp>
      <tp>
        <v>0.1154953</v>
        <stp/>
        <stp>##V3_BDPV12</stp>
        <stp>TPXL70 Index</stp>
        <stp>CHG_PCT_1D</stp>
        <stp>[Index.xlsm]全球指數!R278C5</stp>
        <tr r="E278" s="1"/>
      </tp>
      <tp>
        <v>10.171901104142034</v>
        <stp/>
        <stp>##V3_BDPV12</stp>
        <stp>QETR Index</stp>
        <stp>INTERVAL_Low</stp>
        <stp>[Index.xlsm]全球指數!R144C17</stp>
        <stp>MARKET_DATA_OVERRIDE=PE_RATIO</stp>
        <stp>CALC_INTERVAL=5y</stp>
        <stp>BEST_FPERIOD_OVERRIDE=BF</stp>
        <tr r="Q144" s="1"/>
      </tp>
      <tp>
        <v>10.241440694631637</v>
        <stp/>
        <stp>##V3_BDPV12</stp>
        <stp>QEAS Index</stp>
        <stp>INTERVAL_Low</stp>
        <stp>[Index.xlsm]全球指數!R149C17</stp>
        <stp>MARKET_DATA_OVERRIDE=PE_RATIO</stp>
        <stp>CALC_INTERVAL=5y</stp>
        <stp>BEST_FPERIOD_OVERRIDE=BF</stp>
        <tr r="Q149" s="1"/>
      </tp>
      <tp>
        <v>-0.49905579999999999</v>
        <stp/>
        <stp>##V3_BDPV12</stp>
        <stp>S5tech Index</stp>
        <stp>CHG_PCT_1D</stp>
        <stp>[Index.xlsm]主要產業!R11C5</stp>
        <tr r="E11" s="2"/>
      </tp>
      <tp t="s">
        <v>TA</v>
        <stp/>
        <stp>##V3_BDPV12</stp>
        <stp>TWSETRAN Index</stp>
        <stp>DS003</stp>
        <stp>[Index.xlsm]主要產業!R82C3</stp>
        <tr r="C82" s="2"/>
      </tp>
      <tp>
        <v>1299.3489999999999</v>
        <stp/>
        <stp>##V3_BDPV12</stp>
        <stp>S5tech Index</stp>
        <stp>PX_LAST</stp>
        <stp>[Index.xlsm]主要產業!R11C4</stp>
        <tr r="D11" s="2"/>
      </tp>
      <tp>
        <v>16.399121434497186</v>
        <stp/>
        <stp>##V3_BDPV12</stp>
        <stp>TW50 Index</stp>
        <stp>PE_RATIO</stp>
        <stp>[Index.xlsm]全球指數!R235C18</stp>
        <tr r="R235" s="1"/>
      </tp>
      <tp>
        <v>827.78</v>
        <stp/>
        <stp>##V3_BDPV12</stp>
        <stp>SPTSX60 Index</stp>
        <stp>LOW_52WEEK</stp>
        <stp>[Index.xlsm]全球指數!R194C8</stp>
        <tr r="H194" s="1"/>
      </tp>
      <tp>
        <v>36.140133785368029</v>
        <stp/>
        <stp>##V3_BDPV12</stp>
        <stp>OMXO20GI Index</stp>
        <stp>INTERVAL_HIGH</stp>
        <stp>[Index.xlsm]全球指數!R50C16</stp>
        <stp>MARKET_DATA_OVERRIDE=PE_RATIO</stp>
        <stp>CALC_INTERVAL=5y</stp>
        <stp>BEST_FPERIOD_OVERRIDE=BF</stp>
        <tr r="P50" s="1"/>
      </tp>
      <tp>
        <v>4.2629659999999996</v>
        <stp/>
        <stp>##V3_BDPV12</stp>
        <stp>TPXM400 Index</stp>
        <stp>CHG_PCT_3M</stp>
        <stp>[Index.xlsm]全球指數!R294C12</stp>
        <tr r="L294" s="1"/>
      </tp>
      <tp t="s">
        <v>拉脫維亞OMX里加指數</v>
        <stp/>
        <stp>##V3_BDPV12</stp>
        <stp>RIGSE Index</stp>
        <stp>DS697</stp>
        <stp>[Index.xlsm]全球指數!R260C2</stp>
        <tr r="B260" s="1"/>
      </tp>
      <tp>
        <v>14044.37</v>
        <stp/>
        <stp>##V3_BDPV12</stp>
        <stp>MS190 Index</stp>
        <stp>HIGH_52WEEK</stp>
        <stp>[Index.xlsm]全球指數!R79C6</stp>
        <tr r="F79" s="1"/>
      </tp>
      <tp>
        <v>8.9755283112744628</v>
        <stp/>
        <stp>##V3_BDPV12</stp>
        <stp>ATXPRIME Index</stp>
        <stp>INTERVAL_Low</stp>
        <stp>[Index.xlsm]全球指數!R42C17</stp>
        <stp>MARKET_DATA_OVERRIDE=PE_RATIO</stp>
        <stp>CALC_INTERVAL=5y</stp>
        <stp>BEST_FPERIOD_OVERRIDE=BF</stp>
        <tr r="Q42" s="1"/>
      </tp>
      <tp>
        <v>53234.08984375</v>
        <stp/>
        <stp>##V3_BDPV12</stp>
        <stp>TOP40 Index</stp>
        <stp>HIGH_52WEEK</stp>
        <stp>[Index.xlsm]全球指數!R64C6</stp>
        <tr r="F64" s="1"/>
      </tp>
      <tp t="s">
        <v>TA</v>
        <stp/>
        <stp>##V3_BDPV12</stp>
        <stp>TWOTCI Index</stp>
        <stp>DS003</stp>
        <stp>[Index.xlsm]全球指數!R229C3</stp>
        <tr r="C229" s="1"/>
      </tp>
      <tp t="s">
        <v>深圳證券交易所B股指數</v>
        <stp/>
        <stp>##V3_BDPV12</stp>
        <stp>SZBSHR Index</stp>
        <stp>DS697</stp>
        <stp>[Index.xlsm]全球指數!R128C2</stp>
        <tr r="B128" s="1"/>
      </tp>
      <tp t="s">
        <v>FTSE馬來西亞證交所EMAS指數</v>
        <stp/>
        <stp>##V3_BDPV12</stp>
        <stp>FBMEMAS Index</stp>
        <stp>DS697</stp>
        <stp>[Index.xlsm]全球指數!R242C2</stp>
        <tr r="B242" s="1"/>
      </tp>
      <tp t="s">
        <v>SASE自由市場10指數</v>
        <stp/>
        <stp>##V3_BDPV12</stp>
        <stp>SASX10 Index</stp>
        <stp>DS697</stp>
        <stp>[Index.xlsm]全球指數!R293C2</stp>
        <tr r="B293" s="1"/>
      </tp>
      <tp>
        <v>7.9569860000000006E-2</v>
        <stp/>
        <stp>##V3_BDPV12</stp>
        <stp>SWIG80 Index</stp>
        <stp>CHG_PCT_1D</stp>
        <stp>[Index.xlsm]全球指數!R191C5</stp>
        <tr r="E191" s="1"/>
      </tp>
      <tp t="s">
        <v>上海證交所50指數</v>
        <stp/>
        <stp>##V3_BDPV12</stp>
        <stp>SSE50 Index</stp>
        <stp>DS697</stp>
        <stp>[Index.xlsm]全球指數!R132C2</stp>
        <tr r="B132" s="1"/>
      </tp>
      <tp t="s">
        <v>CA</v>
        <stp/>
        <stp>##V3_BDPV12</stp>
        <stp>SPTSX60 Index</stp>
        <stp>DS003</stp>
        <stp>[Index.xlsm]全球指數!R194C3</stp>
        <tr r="C194" s="1"/>
      </tp>
      <tp>
        <v>17.241322903374268</v>
        <stp/>
        <stp>##V3_BDPV12</stp>
        <stp>TWSE Index</stp>
        <stp>PE_RATIO</stp>
        <stp>[Index.xlsm]全球指數!R225C18</stp>
        <tr r="R225" s="1"/>
      </tp>
      <tp>
        <v>21.028956347947908</v>
        <stp/>
        <stp>##V3_BDPV12</stp>
        <stp>DWCF Index</stp>
        <stp>PE_RATIO</stp>
        <stp>[Index.xlsm]全球指數!R121C18</stp>
        <tr r="R121" s="1"/>
      </tp>
      <tp t="s">
        <v>TA</v>
        <stp/>
        <stp>##V3_BDPV12</stp>
        <stp>TWSETOUR Index</stp>
        <stp>DS003</stp>
        <stp>[Index.xlsm]主要產業!R93C3</stp>
        <tr r="C93" s="2"/>
      </tp>
      <tp>
        <v>5.8887119999999999</v>
        <stp/>
        <stp>##V3_BDPV12</stp>
        <stp>BELSTK Index</stp>
        <stp>CHG_PCT_6M</stp>
        <stp>[Index.xlsm]全球指數!R230C13</stp>
        <tr r="M230" s="1"/>
      </tp>
      <tp>
        <v>17.755833470501756</v>
        <stp/>
        <stp>##V3_BDPV12</stp>
        <stp>CSEALL Index</stp>
        <stp>INTERVAL_HIGH</stp>
        <stp>[Index.xlsm]全球指數!R174C16</stp>
        <stp>MARKET_DATA_OVERRIDE=PE_RATIO</stp>
        <stp>CALC_INTERVAL=5y</stp>
        <stp>BEST_FPERIOD_OVERRIDE=BF</stp>
        <tr r="P174" s="1"/>
      </tp>
      <tp>
        <v>4.5171190000000001</v>
        <stp/>
        <stp>##V3_BDPV12</stp>
        <stp>CINS Index</stp>
        <stp>PR064</stp>
        <stp>[Index.xlsm]全球指數!R254C14</stp>
        <tr r="N254" s="1"/>
      </tp>
      <tp>
        <v>6380.2709999999997</v>
        <stp/>
        <stp>##V3_BDPV12</stp>
        <stp>CIND Index</stp>
        <stp>PX_LAST</stp>
        <stp>[Index.xlsm]全球指數!R25C4</stp>
        <tr r="D25" s="1"/>
      </tp>
      <tp>
        <v>3720.27</v>
        <stp/>
        <stp>##V3_BDPV12</stp>
        <stp>MIDWIG Index</stp>
        <stp>PX_LAST</stp>
        <stp>[Index.xlsm]全球指數!R21C4</stp>
        <tr r="D21" s="1"/>
      </tp>
      <tp>
        <v>19.008385934782439</v>
        <stp/>
        <stp>##V3_BDPV12</stp>
        <stp>QEAS Index</stp>
        <stp>INTERVAL_HIGH</stp>
        <stp>[Index.xlsm]全球指數!R149C16</stp>
        <stp>MARKET_DATA_OVERRIDE=PE_RATIO</stp>
        <stp>CALC_INTERVAL=5y</stp>
        <stp>BEST_FPERIOD_OVERRIDE=BF</stp>
        <tr r="P149" s="1"/>
      </tp>
      <tp>
        <v>21.702840661873864</v>
        <stp/>
        <stp>##V3_BDPV12</stp>
        <stp>TRAN Index</stp>
        <stp>INTERVAL_HIGH</stp>
        <stp>[Index.xlsm]全球指數!R140C16</stp>
        <stp>MARKET_DATA_OVERRIDE=PE_RATIO</stp>
        <stp>CALC_INTERVAL=5y</stp>
        <stp>BEST_FPERIOD_OVERRIDE=BF</stp>
        <tr r="P140" s="1"/>
      </tp>
    </main>
    <main first="bloomberg.rtd">
      <tp>
        <v>10.974592873661361</v>
        <stp/>
        <stp>##V3_BDPV12</stp>
        <stp>MOEXBC Index</stp>
        <stp>INTERVAL_HIGH</stp>
        <stp>[Index.xlsm]全球指數!R171C16</stp>
        <stp>MARKET_DATA_OVERRIDE=PE_RATIO</stp>
        <stp>CALC_INTERVAL=5y</stp>
        <stp>BEST_FPERIOD_OVERRIDE=BF</stp>
        <tr r="P171" s="1"/>
      </tp>
      <tp>
        <v>0.62763760000000002</v>
        <stp/>
        <stp>##V3_BDPV12</stp>
        <stp>VALUA Index</stp>
        <stp>PR064</stp>
        <stp>[Index.xlsm]全球指數!R112C14</stp>
        <tr r="N112" s="1"/>
      </tp>
      <tp>
        <v>5.7462249999999999</v>
        <stp/>
        <stp>##V3_BDPV12</stp>
        <stp>MEXBOL Index</stp>
        <stp>CHG_PCT_1M</stp>
        <stp>[Index.xlsm]全球指數!R236C11</stp>
        <tr r="K236" s="1"/>
      </tp>
      <tp>
        <v>-8.0629629999999999</v>
        <stp/>
        <stp>##V3_BDPV12</stp>
        <stp>GGSECI Index</stp>
        <stp>CHG_PCT_6M</stp>
        <stp>[Index.xlsm]全球指數!R111C13</stp>
        <tr r="M111" s="1"/>
      </tp>
      <tp>
        <v>0.1455428</v>
        <stp/>
        <stp>##V3_BDPV12</stp>
        <stp>NEY Index</stp>
        <stp>CHG_PCT_1D</stp>
        <stp>[Index.xlsm]全球指數!R282C5</stp>
        <tr r="E282" s="1"/>
      </tp>
      <tp>
        <v>3.361687E-2</v>
        <stp/>
        <stp>##V3_BDPV12</stp>
        <stp>SOX Index</stp>
        <stp>CHG_PCT_1D</stp>
        <stp>[Index.xlsm]全球指數!R168C5</stp>
        <tr r="E168" s="1"/>
      </tp>
      <tp>
        <v>0.63109230000000005</v>
        <stp/>
        <stp>##V3_BDPV12</stp>
        <stp>PAX Index</stp>
        <stp>CHG_PCT_1D</stp>
        <stp>[Index.xlsm]全球指數!R146C5</stp>
        <tr r="E146" s="1"/>
      </tp>
      <tp>
        <v>0.74988659999999996</v>
        <stp/>
        <stp>##V3_BDPV12</stp>
        <stp>AEX Index</stp>
        <stp>CHG_PCT_1D</stp>
        <stp>[Index.xlsm]全球指數!R222C5</stp>
        <tr r="E222" s="1"/>
      </tp>
      <tp>
        <v>-6.814209</v>
        <stp/>
        <stp>##V3_BDPV12</stp>
        <stp>JSDA Index</stp>
        <stp>CHG_PCT_1YR</stp>
        <stp>[Index.xlsm]全球指數!R302C15</stp>
        <tr r="O302" s="1"/>
      </tp>
      <tp>
        <v>35805.33984375</v>
        <stp/>
        <stp>##V3_BDPV12</stp>
        <stp>BUX Index</stp>
        <stp>LOW_52WEEK</stp>
        <stp>[Index.xlsm]全球指數!R138C8</stp>
        <tr r="H138" s="1"/>
      </tp>
      <tp>
        <v>27579.85</v>
        <stp/>
        <stp>##V3_BDPV12</stp>
        <stp>NGSEINDX Index</stp>
        <stp>PX_LAST</stp>
        <stp>[Index.xlsm]全球指數!R219C4</stp>
        <tr r="D219" s="1"/>
      </tp>
      <tp>
        <v>15.828187203277862</v>
        <stp/>
        <stp>##V3_BDPV12</stp>
        <stp>OMXO20 Index</stp>
        <stp>PE_RATIO</stp>
        <stp>[Index.xlsm]全球指數!R49C18</stp>
        <tr r="R49" s="1"/>
      </tp>
      <tp>
        <v>1184.9069999999999</v>
        <stp/>
        <stp>##V3_BDPV12</stp>
        <stp>SZ399006 Index</stp>
        <stp>LOW_52WEEK</stp>
        <stp>[Index.xlsm]全球指數!R8C8</stp>
        <tr r="H8" s="1"/>
      </tp>
      <tp>
        <v>-0.26781339999999998</v>
        <stp/>
        <stp>##V3_BDPV12</stp>
        <stp>XCI Index</stp>
        <stp>CHG_PCT_1D</stp>
        <stp>[Index.xlsm]全球指數!R124C5</stp>
        <tr r="E124" s="1"/>
      </tp>
      <tp>
        <v>4.41737</v>
        <stp/>
        <stp>##V3_BDPV12</stp>
        <stp>TPXSM Index</stp>
        <stp>CHG_PCT_3M</stp>
        <stp>[Index.xlsm]全球指數!R307C12</stp>
        <tr r="L307" s="1"/>
      </tp>
      <tp>
        <v>2765.5509999999999</v>
        <stp/>
        <stp>##V3_BDPV12</stp>
        <stp>XAX Index</stp>
        <stp>HIGH_52WEEK</stp>
        <stp>[Index.xlsm]全球指數!R39C6</stp>
        <tr r="F39" s="1"/>
      </tp>
      <tp>
        <v>12656.05</v>
        <stp/>
        <stp>##V3_BDPV12</stp>
        <stp>DAX Index</stp>
        <stp>HIGH_52WEEK</stp>
        <stp>[Index.xlsm]全球指數!R99C6</stp>
        <tr r="F99" s="1"/>
      </tp>
      <tp>
        <v>21.704704215693255</v>
        <stp/>
        <stp>##V3_BDPV12</stp>
        <stp>CBNK Index</stp>
        <stp>INTERVAL_HIGH</stp>
        <stp>[Index.xlsm]全球指數!R92C16</stp>
        <stp>MARKET_DATA_OVERRIDE=PE_RATIO</stp>
        <stp>CALC_INTERVAL=5y</stp>
        <stp>BEST_FPERIOD_OVERRIDE=BF</stp>
        <tr r="P92" s="1"/>
      </tp>
      <tp>
        <v>-7.6237919999999999</v>
        <stp/>
        <stp>##V3_BDPV12</stp>
        <stp>BLOM Index</stp>
        <stp>CHG_PCT_3M</stp>
        <stp>[Index.xlsm]全球指數!R259C12</stp>
        <tr r="L259" s="1"/>
      </tp>
      <tp>
        <v>-1.6274580000000001</v>
        <stp/>
        <stp>##V3_BDPV12</stp>
        <stp>PXAP Index</stp>
        <stp>CHG_PCT_1YR</stp>
        <stp>[Index.xlsm]全球指數!R80C15</stp>
        <tr r="O80" s="1"/>
      </tp>
      <tp>
        <v>-0.60962340000000004</v>
        <stp/>
        <stp>##V3_BDPV12</stp>
        <stp>TDXP Index</stp>
        <stp>CHG_PCT_1YR</stp>
        <stp>[Index.xlsm]全球指數!R22C15</stp>
        <tr r="O22" s="1"/>
      </tp>
      <tp>
        <v>-8.4158360000000005</v>
        <stp/>
        <stp>##V3_BDPV12</stp>
        <stp>HEXP Index</stp>
        <stp>CHG_PCT_1YR</stp>
        <stp>[Index.xlsm]全球指數!R93C15</stp>
        <tr r="O93" s="1"/>
      </tp>
      <tp>
        <v>1.232253</v>
        <stp/>
        <stp>##V3_BDPV12</stp>
        <stp>NKYJQ Index</stp>
        <stp>CHG_PCT_5D</stp>
        <stp>[Index.xlsm]全球指數!R292C10</stp>
        <tr r="J292" s="1"/>
      </tp>
      <tp>
        <v>2.9036689999999998</v>
        <stp/>
        <stp>##V3_BDPV12</stp>
        <stp>SMIM Index</stp>
        <stp>CHG_PCT_3M</stp>
        <stp>[Index.xlsm]全球指數!R199C12</stp>
        <tr r="L199" s="1"/>
      </tp>
      <tp>
        <v>-1.746459</v>
        <stp/>
        <stp>##V3_BDPV12</stp>
        <stp>SKSM Index</stp>
        <stp>CHG_PCT_3M</stp>
        <stp>[Index.xlsm]全球指數!R281C12</stp>
        <tr r="L281" s="1"/>
      </tp>
      <tp>
        <v>45.803963874636729</v>
        <stp/>
        <stp>##V3_BDPV12</stp>
        <stp>OBXP Index</stp>
        <stp>INTERVAL_HIGH</stp>
        <stp>[Index.xlsm]全球指數!R47C16</stp>
        <stp>MARKET_DATA_OVERRIDE=PE_RATIO</stp>
        <stp>CALC_INTERVAL=5y</stp>
        <stp>BEST_FPERIOD_OVERRIDE=BF</stp>
        <tr r="P47" s="1"/>
      </tp>
      <tp>
        <v>5.8560980000000002</v>
        <stp/>
        <stp>##V3_BDPV12</stp>
        <stp>SPR Index</stp>
        <stp>CHG_PCT_6M</stp>
        <stp>[Index.xlsm]全球指數!R135C13</stp>
        <tr r="M135" s="1"/>
      </tp>
      <tp>
        <v>0.54209770000000002</v>
        <stp/>
        <stp>##V3_BDPV12</stp>
        <stp>NMDP Index</stp>
        <stp>CHG_PCT_1YR</stp>
        <stp>[Index.xlsm]全球指數!R19C15</stp>
        <tr r="O19" s="1"/>
      </tp>
      <tp>
        <v>-7.7870020000000002</v>
        <stp/>
        <stp>##V3_BDPV12</stp>
        <stp>XAU Index</stp>
        <stp>CHG_PCT_1M</stp>
        <stp>[Index.xlsm]全球指數!R251C11</stp>
        <tr r="K251" s="1"/>
      </tp>
      <tp>
        <v>13255.13</v>
        <stp/>
        <stp>##V3_BDPV12</stp>
        <stp>NYA Index</stp>
        <stp>HIGH_52WEEK</stp>
        <stp>[Index.xlsm]全球指數!R178C6</stp>
        <tr r="F178" s="1"/>
      </tp>
      <tp>
        <v>-11.073230000000001</v>
        <stp/>
        <stp>##V3_BDPV12</stp>
        <stp>OBXP Index</stp>
        <stp>CHG_PCT_1YR</stp>
        <stp>[Index.xlsm]全球指數!R47C15</stp>
        <tr r="O47" s="1"/>
      </tp>
      <tp>
        <v>2617.1437876981563</v>
        <stp/>
        <stp>##V3_BDPV12</stp>
        <stp>FTSEMIB Index</stp>
        <stp>INTERVAL_HIGH</stp>
        <stp>[Index.xlsm]全球指數!R153C16</stp>
        <stp>MARKET_DATA_OVERRIDE=PE_RATIO</stp>
        <stp>CALC_INTERVAL=5y</stp>
        <stp>BEST_FPERIOD_OVERRIDE=BF</stp>
        <tr r="P153" s="1"/>
      </tp>
      <tp>
        <v>-0.14059550000000001</v>
        <stp/>
        <stp>##V3_BDPV12</stp>
        <stp>CCMP Index</stp>
        <stp>CHG_PCT_1YR</stp>
        <stp>[Index.xlsm]全球指數!R61C15</stp>
        <tr r="O61" s="1"/>
      </tp>
      <tp>
        <v>-2.8008289999999998</v>
        <stp/>
        <stp>##V3_BDPV12</stp>
        <stp>CLXP Index</stp>
        <stp>CHG_PCT_1YR</stp>
        <stp>[Index.xlsm]全球指數!R54C15</stp>
        <tr r="O54" s="1"/>
      </tp>
      <tp>
        <v>2356.62</v>
        <stp/>
        <stp>##V3_BDPV12</stp>
        <stp>KOSPI Index</stp>
        <stp>HIGH_52WEEK</stp>
        <stp>[Index.xlsm]全球指數!R155C6</stp>
        <tr r="F155" s="1"/>
      </tp>
      <tp t="s">
        <v>EG</v>
        <stp/>
        <stp>##V3_BDPV12</stp>
        <stp>HERMES Index</stp>
        <stp>DS003</stp>
        <stp>[Index.xlsm]全球指數!R6C3</stp>
        <tr r="C6" s="1"/>
      </tp>
      <tp t="s">
        <v>CH</v>
        <stp/>
        <stp>##V3_BDPV12</stp>
        <stp>SZSMEC Index</stp>
        <stp>DS003</stp>
        <stp>[Index.xlsm]全球指數!R9C3</stp>
        <tr r="C9" s="1"/>
      </tp>
      <tp>
        <v>3629.49</v>
        <stp/>
        <stp>##V3_BDPV12</stp>
        <stp>HEX25 Index</stp>
        <stp>LOW_52WEEK</stp>
        <stp>[Index.xlsm]全球指數!R67C8</stp>
        <tr r="H67" s="1"/>
      </tp>
      <tp>
        <v>84.09</v>
        <stp/>
        <stp>##V3_BDPV12</stp>
        <stp>TWSEISI Index</stp>
        <stp>LOW_52WEEK</stp>
        <stp>[Index.xlsm]主要產業!R96C8</stp>
        <tr r="H96" s="2"/>
      </tp>
      <tp>
        <v>8339.6389999999992</v>
        <stp/>
        <stp>##V3_BDPV12</stp>
        <stp>CCMP INDEX</stp>
        <stp>HIGH_52WEEK</stp>
        <stp>[Index.xlsm]主要產業!R5C44</stp>
        <tr r="AR5" s="2"/>
      </tp>
      <tp>
        <v>3614.52</v>
        <stp/>
        <stp>##V3_BDPV12</stp>
        <stp>HSCIFN Index</stp>
        <stp>PX_LAST</stp>
        <stp>[Index.xlsm]主要產業!R61C4</stp>
        <tr r="D61" s="2"/>
      </tp>
      <tp>
        <v>7189.38</v>
        <stp/>
        <stp>##V3_BDPV12</stp>
        <stp>HSCIEN Index</stp>
        <stp>LOW_52WEEK</stp>
        <stp>[Index.xlsm]主要產業!R60C8</stp>
        <tr r="H60" s="2"/>
      </tp>
      <tp>
        <v>505.27</v>
        <stp/>
        <stp>##V3_BDPV12</stp>
        <stp>SX8P INDEX</stp>
        <stp>HIGH_52WEEK</stp>
        <stp>[Index.xlsm]主要產業!R26C6</stp>
        <tr r="F26" s="2"/>
      </tp>
      <tp>
        <v>1295.47</v>
        <stp/>
        <stp>##V3_BDPV12</stp>
        <stp>TWSEBKI Index</stp>
        <stp>PX_LAST</stp>
        <stp>[Index.xlsm]主要產業!R71C4</stp>
        <tr r="D71" s="2"/>
      </tp>
      <tp>
        <v>-0.72584689999999996</v>
        <stp/>
        <stp>##V3_BDPV12</stp>
        <stp>MOEXBC Index</stp>
        <stp>CHG_PCT_5D</stp>
        <stp>[Index.xlsm]全球指數!R171C10</stp>
        <tr r="J171" s="1"/>
      </tp>
      <tp>
        <v>0.71897370000000005</v>
        <stp/>
        <stp>##V3_BDPV12</stp>
        <stp>JALSH Index</stp>
        <stp>CHG_PCT_1D</stp>
        <stp>[Index.xlsm]全球指數!R71C5</stp>
        <tr r="E71" s="1"/>
      </tp>
      <tp>
        <v>4.5623670000000001</v>
        <stp/>
        <stp>##V3_BDPV12</stp>
        <stp>IBOV Index</stp>
        <stp>PR064</stp>
        <stp>[Index.xlsm]全球指數!R287C14</stp>
        <tr r="N287" s="1"/>
      </tp>
      <tp>
        <v>2.97112</v>
        <stp/>
        <stp>##V3_BDPV12</stp>
        <stp>SPIEXX Index</stp>
        <stp>CHG_PCT_1M</stp>
        <stp>[Index.xlsm]全球指數!R180C11</stp>
        <tr r="K180" s="1"/>
      </tp>
      <tp>
        <v>894.94</v>
        <stp/>
        <stp>##V3_BDPV12</stp>
        <stp>SBITOP Index</stp>
        <stp>HIGH_52WEEK</stp>
        <stp>[Index.xlsm]全球指數!R176C6</stp>
        <tr r="F176" s="1"/>
      </tp>
      <tp>
        <v>18663.740000000002</v>
        <stp/>
        <stp>##V3_BDPV12</stp>
        <stp>MSETOP Index</stp>
        <stp>PX_LAST</stp>
        <stp>[Index.xlsm]全球指數!R26C4</stp>
        <tr r="D26" s="1"/>
      </tp>
      <tp>
        <v>-1.1080300000000001</v>
        <stp/>
        <stp>##V3_BDPV12</stp>
        <stp>SZBSHR Index</stp>
        <stp>CHG_PCT_1M</stp>
        <stp>[Index.xlsm]全球指數!R128C11</stp>
        <tr r="K128" s="1"/>
      </tp>
      <tp>
        <v>1.972189</v>
        <stp/>
        <stp>##V3_BDPV12</stp>
        <stp>SPEURO Index</stp>
        <stp>PR064</stp>
        <stp>[Index.xlsm]全球指數!R201C14</stp>
        <tr r="N201" s="1"/>
      </tp>
      <tp>
        <v>-2.2830590000000002</v>
        <stp/>
        <stp>##V3_BDPV12</stp>
        <stp>NIFTY Index</stp>
        <stp>PR064</stp>
        <stp>[Index.xlsm]全球指數!R319C14</stp>
        <tr r="N319" s="1"/>
      </tp>
      <tp t="s">
        <v>#N/A N/A</v>
        <stp/>
        <stp>##V3_BDPV12</stp>
        <stp>QIV Index</stp>
        <stp>INTERVAL_HIGH</stp>
        <stp>[Index.xlsm]全球指數!R65C16</stp>
        <stp>MARKET_DATA_OVERRIDE=PE_RATIO</stp>
        <stp>CALC_INTERVAL=5y</stp>
        <stp>BEST_FPERIOD_OVERRIDE=BF</stp>
        <tr r="P65" s="1"/>
      </tp>
      <tp>
        <v>-7.6237919999999999</v>
        <stp/>
        <stp>##V3_BDPV12</stp>
        <stp>BLOM Index</stp>
        <stp>PR064</stp>
        <stp>[Index.xlsm]全球指數!R259C14</stp>
        <tr r="N259" s="1"/>
      </tp>
      <tp>
        <v>-0.68931759999999997</v>
        <stp/>
        <stp>##V3_BDPV12</stp>
        <stp>PASISI Index</stp>
        <stp>CHG_PCT_1M</stp>
        <stp>[Index.xlsm]全球指數!R215C11</stp>
        <tr r="K215" s="1"/>
      </tp>
      <tp>
        <v>18.694969633122753</v>
        <stp/>
        <stp>##V3_BDPV12</stp>
        <stp>BE500 Index</stp>
        <stp>PE_RATIO</stp>
        <stp>[Index.xlsm]全球指數!R202C18</stp>
        <tr r="R202" s="1"/>
      </tp>
      <tp>
        <v>-7.5599159999999999E-2</v>
        <stp/>
        <stp>##V3_BDPV12</stp>
        <stp>MBI Index</stp>
        <stp>CHG_PCT_1D</stp>
        <stp>[Index.xlsm]全球指數!R314C5</stp>
        <tr r="E314" s="1"/>
      </tp>
      <tp>
        <v>45.673606367226448</v>
        <stp/>
        <stp>##V3_BDPV12</stp>
        <stp>CCMP Index</stp>
        <stp>INTERVAL_HIGH</stp>
        <stp>[Index.xlsm]全球指數!R61C16</stp>
        <stp>MARKET_DATA_OVERRIDE=PE_RATIO</stp>
        <stp>CALC_INTERVAL=5y</stp>
        <stp>BEST_FPERIOD_OVERRIDE=BF</stp>
        <tr r="P61" s="1"/>
      </tp>
      <tp>
        <v>2.6430859999999998</v>
        <stp/>
        <stp>##V3_BDPV12</stp>
        <stp>CFIN Index</stp>
        <stp>CHG_PCT_1M</stp>
        <stp>[Index.xlsm]全球指數!R137C11</stp>
        <tr r="K137" s="1"/>
      </tp>
      <tp>
        <v>8.3322029999999998</v>
        <stp/>
        <stp>##V3_BDPV12</stp>
        <stp>CTRN Index</stp>
        <stp>CHG_PCT_1M</stp>
        <stp>[Index.xlsm]全球指數!R136C11</stp>
        <tr r="K136" s="1"/>
      </tp>
      <tp>
        <v>-6.748672</v>
        <stp/>
        <stp>##V3_BDPV12</stp>
        <stp>CUTL Index</stp>
        <stp>CHG_PCT_3M</stp>
        <stp>[Index.xlsm]全球指數!R107C12</stp>
        <tr r="L107" s="1"/>
      </tp>
      <tp>
        <v>11.012370000000001</v>
        <stp/>
        <stp>##V3_BDPV12</stp>
        <stp>TR20I Index</stp>
        <stp>CHG_PCT_6M</stp>
        <stp>[Index.xlsm]全球指數!R296C13</stp>
        <tr r="M296" s="1"/>
      </tp>
      <tp>
        <v>4.4970359999999996</v>
        <stp/>
        <stp>##V3_BDPV12</stp>
        <stp>ITLMS Index</stp>
        <stp>CHG_PCT_1M</stp>
        <stp>[Index.xlsm]全球指數!R150C11</stp>
        <tr r="K150" s="1"/>
      </tp>
      <tp>
        <v>-1.0276190000000001</v>
        <stp/>
        <stp>##V3_BDPV12</stp>
        <stp>LUXXR Index</stp>
        <stp>CHG_PCT_5D</stp>
        <stp>[Index.xlsm]全球指數!R126C10</stp>
        <tr r="J126" s="1"/>
      </tp>
      <tp>
        <v>1.447567</v>
        <stp/>
        <stp>##V3_BDPV12</stp>
        <stp>HERMES Index</stp>
        <stp>CHG_PCT_1D</stp>
        <stp>[Index.xlsm]全球指數!R6C5</stp>
        <tr r="E6" s="1"/>
      </tp>
      <tp>
        <v>17409.140625</v>
        <stp/>
        <stp>##V3_BDPV12</stp>
        <stp>TXEQ Index</stp>
        <stp>HIGH_52WEEK</stp>
        <stp>[Index.xlsm]全球指數!R193C6</stp>
        <tr r="F193" s="1"/>
      </tp>
      <tp>
        <v>9.1587519999999998</v>
        <stp/>
        <stp>##V3_BDPV12</stp>
        <stp>UTIL Index</stp>
        <stp>CHG_PCT_3M</stp>
        <stp>[Index.xlsm]全球指數!R305C12</stp>
        <tr r="L305" s="1"/>
      </tp>
      <tp>
        <v>5183.5810000000001</v>
        <stp/>
        <stp>##V3_BDPV12</stp>
        <stp>IXK Index</stp>
        <stp>HIGH_52WEEK</stp>
        <stp>[Index.xlsm]全球指數!R113C6</stp>
        <tr r="F113" s="1"/>
      </tp>
      <tp>
        <v>1.317266</v>
        <stp/>
        <stp>##V3_BDPV12</stp>
        <stp>SET Index</stp>
        <stp>CHG_PCT_1M</stp>
        <stp>[Index.xlsm]全球指數!R220C11</stp>
        <tr r="K220" s="1"/>
      </tp>
      <tp>
        <v>2780.6509999999998</v>
        <stp/>
        <stp>##V3_BDPV12</stp>
        <stp>XMI Index</stp>
        <stp>HIGH_52WEEK</stp>
        <stp>[Index.xlsm]全球指數!R211C6</stp>
        <tr r="F211" s="1"/>
      </tp>
      <tp>
        <v>5.7934460000000003</v>
        <stp/>
        <stp>##V3_BDPV12</stp>
        <stp>IRT Index</stp>
        <stp>CHG_PCT_1M</stp>
        <stp>[Index.xlsm]全球指數!R237C11</stp>
        <tr r="K237" s="1"/>
      </tp>
      <tp>
        <v>6.9273009999999999</v>
        <stp/>
        <stp>##V3_BDPV12</stp>
        <stp>TRAN Index</stp>
        <stp>CHG_PCT_1M</stp>
        <stp>[Index.xlsm]全球指數!R140C11</stp>
        <tr r="K140" s="1"/>
      </tp>
      <tp>
        <v>1066.58</v>
        <stp/>
        <stp>##V3_BDPV12</stp>
        <stp>SML Index</stp>
        <stp>HIGH_52WEEK</stp>
        <stp>[Index.xlsm]全球指數!R104C6</stp>
        <tr r="F104" s="1"/>
      </tp>
      <tp>
        <v>2.9128799999999999</v>
        <stp/>
        <stp>##V3_BDPV12</stp>
        <stp>BET Index</stp>
        <stp>CHG_PCT_1M</stp>
        <stp>[Index.xlsm]全球指數!R300C11</stp>
        <tr r="K300" s="1"/>
      </tp>
      <tp>
        <v>957.95</v>
        <stp/>
        <stp>##V3_BDPV12</stp>
        <stp>COLSC Index</stp>
        <stp>HIGH_52WEEK</stp>
        <stp>[Index.xlsm]全球指數!R256C6</stp>
        <tr r="F256" s="1"/>
      </tp>
      <tp>
        <v>1.7181740000000001</v>
        <stp/>
        <stp>##V3_BDPV12</stp>
        <stp>NYYID Index</stp>
        <stp>CHG_PCT_1YR</stp>
        <stp>[Index.xlsm]全球指數!R190C15</stp>
        <tr r="O190" s="1"/>
      </tp>
      <tp>
        <v>-0.67389940000000004</v>
        <stp/>
        <stp>##V3_BDPV12</stp>
        <stp>NYLID Index</stp>
        <stp>CHG_PCT_1YR</stp>
        <stp>[Index.xlsm]全球指數!R179C15</stp>
        <tr r="O179" s="1"/>
      </tp>
      <tp>
        <v>-3.629311</v>
        <stp/>
        <stp>##V3_BDPV12</stp>
        <stp>NYIID Index</stp>
        <stp>CHG_PCT_1YR</stp>
        <stp>[Index.xlsm]全球指數!R227C15</stp>
        <tr r="O227" s="1"/>
      </tp>
      <tp>
        <v>463.77</v>
        <stp/>
        <stp>##V3_BDPV12</stp>
        <stp>TWSEELEC Index</stp>
        <stp>HIGH_52WEEK</stp>
        <stp>[Index.xlsm]主要產業!R69C6</stp>
        <tr r="F69" s="2"/>
      </tp>
      <tp>
        <v>798.62</v>
        <stp/>
        <stp>##V3_BDPV12</stp>
        <stp>s5phrm index</stp>
        <stp>LOW_52WEEK</stp>
        <stp>[Index.xlsm]主要產業!R10C8</stp>
        <tr r="H10" s="2"/>
      </tp>
      <tp>
        <v>-3.7801469999999997E-2</v>
        <stp/>
        <stp>##V3_BDPV12</stp>
        <stp>KOSPFIN Index</stp>
        <stp>CHG_PCT_1D</stp>
        <stp>[Index.xlsm]主要產業!R44C5</stp>
        <tr r="E44" s="2"/>
      </tp>
      <tp>
        <v>3451.5</v>
        <stp/>
        <stp>##V3_BDPV12</stp>
        <stp>HSCIFN Index</stp>
        <stp>LOW_52WEEK</stp>
        <stp>[Index.xlsm]主要產業!R61C8</stp>
        <tr r="H61" s="2"/>
      </tp>
      <tp>
        <v>1.0915969999999999</v>
        <stp/>
        <stp>##V3_BDPV12</stp>
        <stp>TPTRAN Index</stp>
        <stp>CHG_PCT_1D</stp>
        <stp>[Index.xlsm]主要產業!R39C5</stp>
        <tr r="E39" s="2"/>
      </tp>
      <tp>
        <v>-0.60051189999999999</v>
        <stp/>
        <stp>##V3_BDPV12</stp>
        <stp>TWSETOUR Index</stp>
        <stp>CHG_PCT_1D</stp>
        <stp>[Index.xlsm]主要產業!R93C5</stp>
        <tr r="E93" s="2"/>
      </tp>
      <tp>
        <v>126.53</v>
        <stp/>
        <stp>##V3_BDPV12</stp>
        <stp>TWSECII Index</stp>
        <stp>PX_LAST</stp>
        <stp>[Index.xlsm]主要產業!R72C4</stp>
        <tr r="D72" s="2"/>
      </tp>
      <tp>
        <v>-1.1327240000000001</v>
        <stp/>
        <stp>##V3_BDPV12</stp>
        <stp>KOSPTREQ Index</stp>
        <stp>CHG_PCT_1D</stp>
        <stp>[Index.xlsm]主要產業!R46C5</stp>
        <tr r="E46" s="2"/>
      </tp>
      <tp>
        <v>32.65</v>
        <stp/>
        <stp>##V3_BDPV12</stp>
        <stp>TWSEGLP Index</stp>
        <stp>PX_LAST</stp>
        <stp>[Index.xlsm]主要產業!R97C4</stp>
        <tr r="D97" s="2"/>
      </tp>
      <tp>
        <v>1580.095</v>
        <stp/>
        <stp>##V3_BDPV12</stp>
        <stp>SOX INDEX</stp>
        <stp>PX_LAST</stp>
        <stp>[Index.xlsm]主要產業!R6C42</stp>
        <tr r="AP6" s="2"/>
      </tp>
      <tp>
        <v>144.82</v>
        <stp/>
        <stp>##V3_BDPV12</stp>
        <stp>TWOTCI Index</stp>
        <stp>HIGH_52WEEK</stp>
        <stp>[Index.xlsm]全球指數!R229C6</stp>
        <tr r="F229" s="1"/>
      </tp>
      <tp>
        <v>-1.765395</v>
        <stp/>
        <stp>##V3_BDPV12</stp>
        <stp>MSETOP Index</stp>
        <stp>CHG_PCT_1D</stp>
        <stp>[Index.xlsm]全球指數!R26C5</stp>
        <tr r="E26" s="1"/>
      </tp>
      <tp>
        <v>84.567466001106126</v>
        <stp/>
        <stp>##V3_BDPV12</stp>
        <stp>RTY Index</stp>
        <stp>INTERVAL_HIGH</stp>
        <stp>[Index.xlsm]全球指數!R62C16</stp>
        <stp>MARKET_DATA_OVERRIDE=PE_RATIO</stp>
        <stp>CALC_INTERVAL=5y</stp>
        <stp>BEST_FPERIOD_OVERRIDE=BF</stp>
        <tr r="P62" s="1"/>
      </tp>
      <tp>
        <v>3169.47</v>
        <stp/>
        <stp>##V3_BDPV12</stp>
        <stp>DUAE Index</stp>
        <stp>PX_LAST</stp>
        <stp>[Index.xlsm]全球指數!R68C4</stp>
        <tr r="D68" s="1"/>
      </tp>
      <tp>
        <v>55.283903439825018</v>
        <stp/>
        <stp>##V3_BDPV12</stp>
        <stp>IGCX Index</stp>
        <stp>INTERVAL_HIGH</stp>
        <stp>[Index.xlsm]全球指數!R270C16</stp>
        <stp>MARKET_DATA_OVERRIDE=PE_RATIO</stp>
        <stp>CALC_INTERVAL=5y</stp>
        <stp>BEST_FPERIOD_OVERRIDE=BF</stp>
        <tr r="P270" s="1"/>
      </tp>
      <tp>
        <v>12.695589999999999</v>
        <stp/>
        <stp>##V3_BDPV12</stp>
        <stp>MOEXBC Index</stp>
        <stp>CHG_PCT_6M</stp>
        <stp>[Index.xlsm]全球指數!R171C13</stp>
        <tr r="M171" s="1"/>
      </tp>
      <tp>
        <v>26.175819090422277</v>
        <stp/>
        <stp>##V3_BDPV12</stp>
        <stp>ICEXI Index</stp>
        <stp>INTERVAL_HIGH</stp>
        <stp>[Index.xlsm]全球指數!R218C16</stp>
        <stp>MARKET_DATA_OVERRIDE=PE_RATIO</stp>
        <stp>CALC_INTERVAL=5y</stp>
        <stp>BEST_FPERIOD_OVERRIDE=BF</stp>
        <tr r="P218" s="1"/>
      </tp>
      <tp>
        <v>4.8570970000000004</v>
        <stp/>
        <stp>##V3_BDPV12</stp>
        <stp>AMX Index</stp>
        <stp>PR064</stp>
        <stp>[Index.xlsm]全球指數!R41C14</stp>
        <tr r="N41" s="1"/>
      </tp>
      <tp>
        <v>3.4722789999999999</v>
        <stp/>
        <stp>##V3_BDPV12</stp>
        <stp>COLCAP Index</stp>
        <stp>PR064</stp>
        <stp>[Index.xlsm]全球指數!R265C14</stp>
        <tr r="N265" s="1"/>
      </tp>
      <tp>
        <v>1.776221</v>
        <stp/>
        <stp>##V3_BDPV12</stp>
        <stp>ATX Index</stp>
        <stp>PR064</stp>
        <stp>[Index.xlsm]全球指數!R34C14</stp>
        <tr r="N34" s="1"/>
      </tp>
      <tp>
        <v>55271.38</v>
        <stp/>
        <stp>##V3_BDPV12</stp>
        <stp>JALSH Index</stp>
        <stp>PX_LAST</stp>
        <stp>[Index.xlsm]全球指數!R71C4</stp>
        <tr r="D71" s="1"/>
      </tp>
      <tp t="s">
        <v>#N/A N/A</v>
        <stp/>
        <stp>##V3_BDPV12</stp>
        <stp>LUXXR Index</stp>
        <stp>INTERVAL_HIGH</stp>
        <stp>[Index.xlsm]全球指數!R126C16</stp>
        <stp>MARKET_DATA_OVERRIDE=PE_RATIO</stp>
        <stp>CALC_INTERVAL=5y</stp>
        <stp>BEST_FPERIOD_OVERRIDE=BF</stp>
        <tr r="P126" s="1"/>
      </tp>
      <tp>
        <v>-0.76600869999999999</v>
        <stp/>
        <stp>##V3_BDPV12</stp>
        <stp>MEXBOL Index</stp>
        <stp>CHG_PCT_3M</stp>
        <stp>[Index.xlsm]全球指數!R236C12</stp>
        <tr r="L236" s="1"/>
      </tp>
      <tp>
        <v>-5.6712259999999999</v>
        <stp/>
        <stp>##V3_BDPV12</stp>
        <stp>AXX Index</stp>
        <stp>PR064</stp>
        <stp>[Index.xlsm]全球指數!R76C14</stp>
        <tr r="N76" s="1"/>
      </tp>
      <tp>
        <v>-0.76600869999999999</v>
        <stp/>
        <stp>##V3_BDPV12</stp>
        <stp>MEXBOL Index</stp>
        <stp>PR064</stp>
        <stp>[Index.xlsm]全球指數!R236C14</stp>
        <tr r="N236" s="1"/>
      </tp>
      <tp>
        <v>962.82590494603801</v>
        <stp/>
        <stp>##V3_BDPV12</stp>
        <stp>DWCF Index</stp>
        <stp>INTERVAL_HIGH</stp>
        <stp>[Index.xlsm]全球指數!R121C16</stp>
        <stp>MARKET_DATA_OVERRIDE=PE_RATIO</stp>
        <stp>CALC_INTERVAL=5y</stp>
        <stp>BEST_FPERIOD_OVERRIDE=BF</stp>
        <tr r="P121" s="1"/>
      </tp>
      <tp t="s">
        <v>#N/A N/A</v>
        <stp/>
        <stp>##V3_BDPV12</stp>
        <stp>LUXXX Index</stp>
        <stp>INTERVAL_HIGH</stp>
        <stp>[Index.xlsm]全球指數!R127C16</stp>
        <stp>MARKET_DATA_OVERRIDE=PE_RATIO</stp>
        <stp>CALC_INTERVAL=5y</stp>
        <stp>BEST_FPERIOD_OVERRIDE=BF</stp>
        <tr r="P127" s="1"/>
      </tp>
      <tp>
        <v>6561.21</v>
        <stp/>
        <stp>##V3_BDPV12</stp>
        <stp>NYK Index</stp>
        <stp>LOW_52WEEK</stp>
        <stp>[Index.xlsm]全球指數!R216C8</stp>
        <tr r="H216" s="1"/>
      </tp>
      <tp>
        <v>0.27108710000000003</v>
        <stp/>
        <stp>##V3_BDPV12</stp>
        <stp>BET Index</stp>
        <stp>CHG_PCT_1D</stp>
        <stp>[Index.xlsm]全球指數!R300C5</stp>
        <tr r="E300" s="1"/>
      </tp>
      <tp>
        <v>0.51400780000000001</v>
        <stp/>
        <stp>##V3_BDPV12</stp>
        <stp>SET Index</stp>
        <stp>CHG_PCT_1D</stp>
        <stp>[Index.xlsm]全球指數!R220C5</stp>
        <tr r="E220" s="1"/>
      </tp>
      <tp>
        <v>25.345376330509907</v>
        <stp/>
        <stp>##V3_BDPV12</stp>
        <stp>NZSE50FG Index</stp>
        <stp>PE_RATIO</stp>
        <stp>[Index.xlsm]全球指數!R250C18</stp>
        <tr r="R250" s="1"/>
      </tp>
      <tp>
        <v>-3.2779609999999999</v>
        <stp/>
        <stp>##V3_BDPV12</stp>
        <stp>CS90 Index</stp>
        <stp>PR064</stp>
        <stp>[Index.xlsm]全球指數!R38C14</stp>
        <tr r="N38" s="1"/>
      </tp>
      <tp>
        <v>-4.0282210000000003</v>
        <stp/>
        <stp>##V3_BDPV12</stp>
        <stp>H-FIN Index</stp>
        <stp>CHG_PCT_1YR</stp>
        <stp>[Index.xlsm]全球指數!R55C15</stp>
        <tr r="O55" s="1"/>
      </tp>
      <tp>
        <v>8.8500409999999992</v>
        <stp/>
        <stp>##V3_BDPV12</stp>
        <stp>TPXSM Index</stp>
        <stp>CHG_PCT_1M</stp>
        <stp>[Index.xlsm]全球指數!R307C11</stp>
        <tr r="K307" s="1"/>
      </tp>
      <tp>
        <v>5853.79</v>
        <stp/>
        <stp>##V3_BDPV12</stp>
        <stp>SMX Index</stp>
        <stp>HIGH_52WEEK</stp>
        <stp>[Index.xlsm]全球指數!R87C6</stp>
        <tr r="F87" s="1"/>
      </tp>
      <tp>
        <v>1136.163</v>
        <stp/>
        <stp>##V3_BDPV12</stp>
        <stp>SBX Index</stp>
        <stp>HIGH_52WEEK</stp>
        <stp>[Index.xlsm]全球指數!R58C6</stp>
        <tr r="F58" s="1"/>
      </tp>
      <tp>
        <v>-0.88635750000000002</v>
        <stp/>
        <stp>##V3_BDPV12</stp>
        <stp>BLOM Index</stp>
        <stp>CHG_PCT_1M</stp>
        <stp>[Index.xlsm]全球指數!R259C11</stp>
        <tr r="K259" s="1"/>
      </tp>
      <tp>
        <v>735.06</v>
        <stp/>
        <stp>##V3_BDPV12</stp>
        <stp>BIRS Index</stp>
        <stp>HIGH_52WEEK</stp>
        <stp>[Index.xlsm]全球指數!R152C6</stp>
        <tr r="F152" s="1"/>
      </tp>
      <tp>
        <v>-10.103020000000001</v>
        <stp/>
        <stp>##V3_BDPV12</stp>
        <stp>LSXC Index</stp>
        <stp>PR064</stp>
        <stp>[Index.xlsm]全球指數!R14C14</stp>
        <tr r="N14" s="1"/>
      </tp>
      <tp>
        <v>-0.18538489999999999</v>
        <stp/>
        <stp>##V3_BDPV12</stp>
        <stp>LUXXR Index</stp>
        <stp>CHG_PCT_6M</stp>
        <stp>[Index.xlsm]全球指數!R126C13</stp>
        <tr r="M126" s="1"/>
      </tp>
      <tp>
        <v>106650.1015625</v>
        <stp/>
        <stp>##V3_BDPV12</stp>
        <stp>IBOV Index</stp>
        <stp>HIGH_52WEEK</stp>
        <stp>[Index.xlsm]全球指數!R287C6</stp>
        <tr r="F287" s="1"/>
      </tp>
      <tp>
        <v>1.5649230000000001</v>
        <stp/>
        <stp>##V3_BDPV12</stp>
        <stp>TR20I Index</stp>
        <stp>CHG_PCT_5D</stp>
        <stp>[Index.xlsm]全球指數!R296C10</stp>
        <tr r="J296" s="1"/>
      </tp>
      <tp>
        <v>2.8155199999999998</v>
        <stp/>
        <stp>##V3_BDPV12</stp>
        <stp>SMIM Index</stp>
        <stp>CHG_PCT_1M</stp>
        <stp>[Index.xlsm]全球指數!R199C11</stp>
        <tr r="K199" s="1"/>
      </tp>
      <tp>
        <v>-1.294775</v>
        <stp/>
        <stp>##V3_BDPV12</stp>
        <stp>SKSM Index</stp>
        <stp>CHG_PCT_1M</stp>
        <stp>[Index.xlsm]全球指數!R281C11</stp>
        <tr r="K281" s="1"/>
      </tp>
      <tp>
        <v>11.69312</v>
        <stp/>
        <stp>##V3_BDPV12</stp>
        <stp>XAU Index</stp>
        <stp>CHG_PCT_3M</stp>
        <stp>[Index.xlsm]全球指數!R251C12</stp>
        <tr r="L251" s="1"/>
      </tp>
      <tp>
        <v>10140.9296875</v>
        <stp/>
        <stp>##V3_BDPV12</stp>
        <stp>SMI Index</stp>
        <stp>HIGH_52WEEK</stp>
        <stp>[Index.xlsm]全球指數!R192C6</stp>
        <tr r="F192" s="1"/>
      </tp>
      <tp>
        <v>-7.7067940000000004</v>
        <stp/>
        <stp>##V3_BDPV12</stp>
        <stp>HSCI Index</stp>
        <stp>PR064</stp>
        <stp>[Index.xlsm]全球指數!R60C14</stp>
        <tr r="N60" s="1"/>
      </tp>
      <tp>
        <v>-1.029698</v>
        <stp/>
        <stp>##V3_BDPV12</stp>
        <stp>KOSPI2 Index</stp>
        <stp>PR064</stp>
        <stp>[Index.xlsm]全球指數!R187C14</stp>
        <tr r="N187" s="1"/>
      </tp>
      <tp>
        <v>149.8075378210435</v>
        <stp/>
        <stp>##V3_BDPV12</stp>
        <stp>IVBX2 Index</stp>
        <stp>INTERVAL_HIGH</stp>
        <stp>[Index.xlsm]全球指數!R274C16</stp>
        <stp>MARKET_DATA_OVERRIDE=PE_RATIO</stp>
        <stp>CALC_INTERVAL=5y</stp>
        <stp>BEST_FPERIOD_OVERRIDE=BF</stp>
        <tr r="P274" s="1"/>
      </tp>
      <tp>
        <v>0.2017465</v>
        <stp/>
        <stp>##V3_BDPV12</stp>
        <stp>KZKAK Index</stp>
        <stp>CHG_PCT_1YR</stp>
        <stp>[Index.xlsm]全球指數!R131C15</stp>
        <tr r="O131" s="1"/>
      </tp>
      <tp>
        <v>437.15</v>
        <stp/>
        <stp>##V3_BDPV12</stp>
        <stp>BVPSBVPS Index</stp>
        <stp>LOW_52WEEK</stp>
        <stp>[Index.xlsm]全球指數!R243C8</stp>
        <tr r="H243" s="1"/>
      </tp>
      <tp>
        <v>1851.48</v>
        <stp/>
        <stp>##V3_BDPV12</stp>
        <stp>TPELMH Index</stp>
        <stp>LOW_52WEEK</stp>
        <stp>[Index.xlsm]主要產業!R37C8</stp>
        <tr r="H37" s="2"/>
      </tp>
      <tp>
        <v>1944.96</v>
        <stp/>
        <stp>##V3_BDPV12</stp>
        <stp>TWSEFOOD Index</stp>
        <stp>HIGH_52WEEK</stp>
        <stp>[Index.xlsm]主要產業!R80C6</stp>
        <tr r="F80" s="2"/>
      </tp>
      <tp>
        <v>1120.3399999999999</v>
        <stp/>
        <stp>##V3_BDPV12</stp>
        <stp>HSCIIN Index</stp>
        <stp>LOW_52WEEK</stp>
        <stp>[Index.xlsm]主要產業!R62C8</stp>
        <tr r="H62" s="2"/>
      </tp>
      <tp>
        <v>7825.61</v>
        <stp/>
        <stp>##V3_BDPV12</stp>
        <stp>HSCIEN Index</stp>
        <stp>PX_LAST</stp>
        <stp>[Index.xlsm]主要產業!R60C4</stp>
        <tr r="D60" s="2"/>
      </tp>
      <tp>
        <v>290.86</v>
        <stp/>
        <stp>##V3_BDPV12</stp>
        <stp>TWSEOTHR Index</stp>
        <stp>HIGH_52WEEK</stp>
        <stp>[Index.xlsm]主要產業!R77C6</stp>
        <tr r="F77" s="2"/>
      </tp>
      <tp t="s">
        <v>US</v>
        <stp/>
        <stp>##V3_BDPV12</stp>
        <stp>s5phrm index</stp>
        <stp>DS003</stp>
        <stp>[Index.xlsm]主要產業!R10C3</stp>
        <tr r="C10" s="2"/>
      </tp>
      <tp>
        <v>103.08</v>
        <stp/>
        <stp>##V3_BDPV12</stp>
        <stp>TWSECHI Index</stp>
        <stp>PX_LAST</stp>
        <stp>[Index.xlsm]主要產業!R90C4</stp>
        <tr r="D90" s="2"/>
      </tp>
      <tp>
        <v>16.734509666307972</v>
        <stp/>
        <stp>##V3_BDPV12</stp>
        <stp>XOM US Equity</stp>
        <stp>PE_RATIO</stp>
        <stp>[Index.xlsm]主要產業!R9C38</stp>
        <tr r="AL9" s="2"/>
      </tp>
      <tp>
        <v>12.251650856243828</v>
        <stp/>
        <stp>##V3_BDPV12</stp>
        <stp>JPM US Equity</stp>
        <stp>PE_RATIO</stp>
        <stp>[Index.xlsm]主要產業!R5C38</stp>
        <tr r="AL5" s="2"/>
      </tp>
      <tp>
        <v>-0.14125960000000001</v>
        <stp/>
        <stp>##V3_BDPV12</stp>
        <stp>TWSEPLAS Index</stp>
        <stp>CHG_PCT_1D</stp>
        <stp>[Index.xlsm]主要產業!R73C5</stp>
        <tr r="E73" s="2"/>
      </tp>
      <tp>
        <v>-0.44259150000000003</v>
        <stp/>
        <stp>##V3_BDPV12</stp>
        <stp>TWSEFOOD Index</stp>
        <stp>CHG_PCT_1D</stp>
        <stp>[Index.xlsm]主要產業!R80C5</stp>
        <tr r="E80" s="2"/>
      </tp>
      <tp>
        <v>1.43916</v>
        <stp/>
        <stp>##V3_BDPV12</stp>
        <stp>SPIEXX Index</stp>
        <stp>CHG_PCT_3M</stp>
        <stp>[Index.xlsm]全球指數!R180C12</stp>
        <tr r="L180" s="1"/>
      </tp>
      <tp>
        <v>2.5888770000000001</v>
        <stp/>
        <stp>##V3_BDPV12</stp>
        <stp>COMP Index</stp>
        <stp>PR064</stp>
        <stp>[Index.xlsm]全球指數!R217C14</stp>
        <tr r="N217" s="1"/>
      </tp>
      <tp>
        <v>-0.1895355</v>
        <stp/>
        <stp>##V3_BDPV12</stp>
        <stp>BELSTK Index</stp>
        <stp>CHG_PCT_5D</stp>
        <stp>[Index.xlsm]全球指數!R230C10</stp>
        <tr r="J230" s="1"/>
      </tp>
      <tp>
        <v>-2.8428599999999999</v>
        <stp/>
        <stp>##V3_BDPV12</stp>
        <stp>SZBSHR Index</stp>
        <stp>CHG_PCT_3M</stp>
        <stp>[Index.xlsm]全球指數!R128C12</stp>
        <tr r="L128" s="1"/>
      </tp>
      <tp>
        <v>0.29075800000000002</v>
        <stp/>
        <stp>##V3_BDPV12</stp>
        <stp>EUETMP Index</stp>
        <stp>CHG_PCT_1D</stp>
        <stp>[Index.xlsm]全球指數!R97C5</stp>
        <tr r="E97" s="1"/>
      </tp>
      <tp>
        <v>22.964951469395778</v>
        <stp/>
        <stp>##V3_BDPV12</stp>
        <stp>SAX Index</stp>
        <stp>INTERVAL_HIGH</stp>
        <stp>[Index.xlsm]全球指數!R56C16</stp>
        <stp>MARKET_DATA_OVERRIDE=PE_RATIO</stp>
        <stp>CALC_INTERVAL=5y</stp>
        <stp>BEST_FPERIOD_OVERRIDE=BF</stp>
        <tr r="P56" s="1"/>
      </tp>
      <tp>
        <v>1722.54</v>
        <stp/>
        <stp>##V3_BDPV12</stp>
        <stp>ATXPRIME Index</stp>
        <stp>HIGH_52WEEK</stp>
        <stp>[Index.xlsm]全球指數!R42C6</stp>
        <tr r="F42" s="1"/>
      </tp>
      <tp>
        <v>24.436249591988407</v>
        <stp/>
        <stp>##V3_BDPV12</stp>
        <stp>SBX Index</stp>
        <stp>INTERVAL_HIGH</stp>
        <stp>[Index.xlsm]全球指數!R58C16</stp>
        <stp>MARKET_DATA_OVERRIDE=PE_RATIO</stp>
        <stp>CALC_INTERVAL=5y</stp>
        <stp>BEST_FPERIOD_OVERRIDE=BF</stp>
        <tr r="P58" s="1"/>
      </tp>
      <tp>
        <v>-1.1992970000000001</v>
        <stp/>
        <stp>##V3_BDPV12</stp>
        <stp>GGSECI Index</stp>
        <stp>CHG_PCT_5D</stp>
        <stp>[Index.xlsm]全球指數!R111C10</stp>
        <tr r="J111" s="1"/>
      </tp>
      <tp>
        <v>2.4553989999999999</v>
        <stp/>
        <stp>##V3_BDPV12</stp>
        <stp>ITMC Index</stp>
        <stp>PR064</stp>
        <stp>[Index.xlsm]全球指數!R163C14</stp>
        <tr r="N163" s="1"/>
      </tp>
      <tp>
        <v>672.79</v>
        <stp/>
        <stp>##V3_BDPV12</stp>
        <stp>s5indu Index</stp>
        <stp>HIGH_52WEEK</stp>
        <stp>[Index.xlsm]主要產業!R8C6</stp>
        <tr r="F8" s="2"/>
      </tp>
      <tp>
        <v>-0.9460887</v>
        <stp/>
        <stp>##V3_BDPV12</stp>
        <stp>PASISI Index</stp>
        <stp>PR064</stp>
        <stp>[Index.xlsm]全球指數!R215C14</stp>
        <tr r="N215" s="1"/>
      </tp>
      <tp>
        <v>-0.9460887</v>
        <stp/>
        <stp>##V3_BDPV12</stp>
        <stp>PASISI Index</stp>
        <stp>CHG_PCT_3M</stp>
        <stp>[Index.xlsm]全球指數!R215C12</stp>
        <tr r="L215" s="1"/>
      </tp>
      <tp>
        <v>4051.3854796352234</v>
        <stp/>
        <stp>##V3_BDPV12</stp>
        <stp>SMX Index</stp>
        <stp>INTERVAL_HIGH</stp>
        <stp>[Index.xlsm]全球指數!R87C16</stp>
        <stp>MARKET_DATA_OVERRIDE=PE_RATIO</stp>
        <stp>CALC_INTERVAL=5y</stp>
        <stp>BEST_FPERIOD_OVERRIDE=BF</stp>
        <tr r="P87" s="1"/>
      </tp>
      <tp>
        <v>-0.89090130000000001</v>
        <stp/>
        <stp>##V3_BDPV12</stp>
        <stp>SHASHR Index</stp>
        <stp>CHG_PCT_1D</stp>
        <stp>[Index.xlsm]全球指數!R30C5</stp>
        <tr r="E30" s="1"/>
      </tp>
      <tp>
        <v>-2.5107620000000002</v>
        <stp/>
        <stp>##V3_BDPV12</stp>
        <stp>SZASHR Index</stp>
        <stp>CHG_PCT_1D</stp>
        <stp>[Index.xlsm]全球指數!R10C5</stp>
        <tr r="E10" s="1"/>
      </tp>
      <tp>
        <v>-4.1752799999999999</v>
        <stp/>
        <stp>##V3_BDPV12</stp>
        <stp>IBEX Index</stp>
        <stp>CHG_PCT_1YR</stp>
        <stp>[Index.xlsm]全球指數!R240C15</stp>
        <tr r="O240" s="1"/>
      </tp>
      <tp>
        <v>31.649100000000001</v>
        <stp/>
        <stp>##V3_BDPV12</stp>
        <stp>IBOV Index</stp>
        <stp>CHG_PCT_1YR</stp>
        <stp>[Index.xlsm]全球指數!R287C15</stp>
        <tr r="O287" s="1"/>
      </tp>
      <tp>
        <v>15489.77</v>
        <stp/>
        <stp>##V3_BDPV12</stp>
        <stp>IBVC Index</stp>
        <stp>CHG_PCT_1YR</stp>
        <stp>[Index.xlsm]全球指數!R312C15</stp>
        <tr r="O312" s="1"/>
      </tp>
      <tp>
        <v>-6.4418369999999996</v>
        <stp/>
        <stp>##V3_BDPV12</stp>
        <stp>IGPA Index</stp>
        <stp>CHG_PCT_1YR</stp>
        <stp>[Index.xlsm]全球指數!R167C15</stp>
        <tr r="O167" s="1"/>
      </tp>
      <tp>
        <v>37.761060000000001</v>
        <stp/>
        <stp>##V3_BDPV12</stp>
        <stp>IGCX Index</stp>
        <stp>CHG_PCT_1YR</stp>
        <stp>[Index.xlsm]全球指數!R270C15</stp>
        <tr r="O270" s="1"/>
      </tp>
      <tp>
        <v>1.7064699999999999</v>
        <stp/>
        <stp>##V3_BDPV12</stp>
        <stp>INDU Index</stp>
        <stp>CHG_PCT_1YR</stp>
        <stp>[Index.xlsm]全球指數!R170C15</stp>
        <tr r="O170" s="1"/>
      </tp>
      <tp>
        <v>0.46438790000000002</v>
        <stp/>
        <stp>##V3_BDPV12</stp>
        <stp>KAX Index</stp>
        <stp>CHG_PCT_1D</stp>
        <stp>[Index.xlsm]全球指數!R275C5</stp>
        <tr r="E275" s="1"/>
      </tp>
      <tp>
        <v>-5.587027</v>
        <stp/>
        <stp>##V3_BDPV12</stp>
        <stp>IPSA Index</stp>
        <stp>CHG_PCT_1YR</stp>
        <stp>[Index.xlsm]全球指數!R147C15</stp>
        <tr r="O147" s="1"/>
      </tp>
      <tp>
        <v>-7.3619029999999999</v>
        <stp/>
        <stp>##V3_BDPV12</stp>
        <stp>ISEQ Index</stp>
        <stp>CHG_PCT_1YR</stp>
        <stp>[Index.xlsm]全球指數!R241C15</stp>
        <tr r="O241" s="1"/>
      </tp>
      <tp>
        <v>0.72554019999999997</v>
        <stp/>
        <stp>##V3_BDPV12</stp>
        <stp>IT30 Index</stp>
        <stp>CHG_PCT_1YR</stp>
        <stp>[Index.xlsm]全球指數!R114C15</stp>
        <tr r="O114" s="1"/>
      </tp>
      <tp>
        <v>-8.8602089999999993</v>
        <stp/>
        <stp>##V3_BDPV12</stp>
        <stp>ITMC Index</stp>
        <stp>CHG_PCT_1YR</stp>
        <stp>[Index.xlsm]全球指數!R163C15</stp>
        <tr r="O163" s="1"/>
      </tp>
      <tp>
        <v>0.78130670000000002</v>
        <stp/>
        <stp>##V3_BDPV12</stp>
        <stp>SLI Index</stp>
        <stp>CHG_PCT_1D</stp>
        <stp>[Index.xlsm]全球指數!R118C5</stp>
        <tr r="E118" s="1"/>
      </tp>
      <tp>
        <v>3.8443710000000002</v>
        <stp/>
        <stp>##V3_BDPV12</stp>
        <stp>CFIN Index</stp>
        <stp>CHG_PCT_3M</stp>
        <stp>[Index.xlsm]全球指數!R137C12</stp>
        <tr r="L137" s="1"/>
      </tp>
      <tp>
        <v>3.964731</v>
        <stp/>
        <stp>##V3_BDPV12</stp>
        <stp>CUTL Index</stp>
        <stp>CHG_PCT_1M</stp>
        <stp>[Index.xlsm]全球指數!R107C11</stp>
        <tr r="K107" s="1"/>
      </tp>
      <tp>
        <v>-0.54680260000000003</v>
        <stp/>
        <stp>##V3_BDPV12</stp>
        <stp>CTRN Index</stp>
        <stp>CHG_PCT_3M</stp>
        <stp>[Index.xlsm]全球指數!R136C12</stp>
        <tr r="L136" s="1"/>
      </tp>
      <tp>
        <v>2092.6</v>
        <stp/>
        <stp>##V3_BDPV12</stp>
        <stp>CRTX Index</stp>
        <stp>HIGH_52WEEK</stp>
        <stp>[Index.xlsm]全球指數!R108C6</stp>
        <tr r="F108" s="1"/>
      </tp>
      <tp>
        <v>3.7729940000000002</v>
        <stp/>
        <stp>##V3_BDPV12</stp>
        <stp>ITLMS Index</stp>
        <stp>CHG_PCT_3M</stp>
        <stp>[Index.xlsm]全球指數!R150C12</stp>
        <tr r="L150" s="1"/>
      </tp>
      <tp>
        <v>6603.61</v>
        <stp/>
        <stp>##V3_BDPV12</stp>
        <stp>ISEQ Index</stp>
        <stp>HIGH_52WEEK</stp>
        <stp>[Index.xlsm]全球指數!R241C6</stp>
        <tr r="F241" s="1"/>
      </tp>
      <tp>
        <v>-9.1146799999999999</v>
        <stp/>
        <stp>##V3_BDPV12</stp>
        <stp>WBI Index</stp>
        <stp>CHG_PCT_1YR</stp>
        <stp>[Index.xlsm]全球指數!R63C15</stp>
        <tr r="O63" s="1"/>
      </tp>
      <tp>
        <v>-22.142520000000001</v>
        <stp/>
        <stp>##V3_BDPV12</stp>
        <stp>XOI Index</stp>
        <stp>CHG_PCT_1YR</stp>
        <stp>[Index.xlsm]全球指數!R40C15</stp>
        <tr r="O40" s="1"/>
      </tp>
      <tp>
        <v>-6.0389670000000004</v>
        <stp/>
        <stp>##V3_BDPV12</stp>
        <stp>HSI Index</stp>
        <stp>CHG_PCT_1YR</stp>
        <stp>[Index.xlsm]全球指數!R77C15</stp>
        <tr r="O77" s="1"/>
      </tp>
      <tp>
        <v>-17.934190000000001</v>
        <stp/>
        <stp>##V3_BDPV12</stp>
        <stp>NBI Index</stp>
        <stp>CHG_PCT_1YR</stp>
        <stp>[Index.xlsm]全球指數!R12C15</stp>
        <tr r="O12" s="1"/>
      </tp>
      <tp>
        <v>4.2674289999999999</v>
        <stp/>
        <stp>##V3_BDPV12</stp>
        <stp>UTIL Index</stp>
        <stp>CHG_PCT_1M</stp>
        <stp>[Index.xlsm]全球指數!R305C11</stp>
        <tr r="K305" s="1"/>
      </tp>
      <tp>
        <v>6636.33203125</v>
        <stp/>
        <stp>##V3_BDPV12</stp>
        <stp>JCI Index</stp>
        <stp>HIGH_52WEEK</stp>
        <stp>[Index.xlsm]全球指數!R223C6</stp>
        <tr r="F223" s="1"/>
      </tp>
      <tp>
        <v>-5.4797770000000003</v>
        <stp/>
        <stp>##V3_BDPV12</stp>
        <stp>SET Index</stp>
        <stp>CHG_PCT_3M</stp>
        <stp>[Index.xlsm]全球指數!R220C12</stp>
        <tr r="L220" s="1"/>
      </tp>
      <tp>
        <v>-0.21106420000000001</v>
        <stp/>
        <stp>##V3_BDPV12</stp>
        <stp>IRT Index</stp>
        <stp>CHG_PCT_3M</stp>
        <stp>[Index.xlsm]全球指數!R237C12</stp>
        <tr r="L237" s="1"/>
      </tp>
      <tp>
        <v>8016.5209999999997</v>
        <stp/>
        <stp>##V3_BDPV12</stp>
        <stp>QMI Index</stp>
        <stp>HIGH_52WEEK</stp>
        <stp>[Index.xlsm]全球指數!R103C6</stp>
        <tr r="F103" s="1"/>
      </tp>
      <tp>
        <v>3415.18</v>
        <stp/>
        <stp>##V3_BDPV12</stp>
        <stp>STI Index</stp>
        <stp>HIGH_52WEEK</stp>
        <stp>[Index.xlsm]全球指數!R123C6</stp>
        <tr r="F123" s="1"/>
      </tp>
      <tp>
        <v>0.97492069999999997</v>
        <stp/>
        <stp>##V3_BDPV12</stp>
        <stp>TRAN Index</stp>
        <stp>CHG_PCT_3M</stp>
        <stp>[Index.xlsm]全球指數!R140C12</stp>
        <tr r="L140" s="1"/>
      </tp>
      <tp>
        <v>-0.15734210000000001</v>
        <stp/>
        <stp>##V3_BDPV12</stp>
        <stp>MERVAL Index</stp>
        <stp>CHG_PCT_1D</stp>
        <stp>[Index.xlsm]全球指數!R4C5</stp>
        <tr r="E4" s="1"/>
      </tp>
      <tp>
        <v>8.9023900000000005</v>
        <stp/>
        <stp>##V3_BDPV12</stp>
        <stp>BET Index</stp>
        <stp>CHG_PCT_3M</stp>
        <stp>[Index.xlsm]全球指數!R300C12</stp>
        <tr r="L300" s="1"/>
      </tp>
      <tp>
        <v>-1.5324789999999999</v>
        <stp/>
        <stp>##V3_BDPV12</stp>
        <stp>NKYJQ Index</stp>
        <stp>CHG_PCT_6M</stp>
        <stp>[Index.xlsm]全球指數!R292C13</stp>
        <tr r="M292" s="1"/>
      </tp>
      <tp>
        <v>-0.96004069999999997</v>
        <stp/>
        <stp>##V3_BDPV12</stp>
        <stp>SPR Index</stp>
        <stp>CHG_PCT_5D</stp>
        <stp>[Index.xlsm]全球指數!R135C10</stp>
        <tr r="J135" s="1"/>
      </tp>
    </main>
    <main first="bloomberg.rtd">
      <tp>
        <v>8604.2099999999991</v>
        <stp/>
        <stp>##V3_BDPV12</stp>
        <stp>HSCIIT Index</stp>
        <stp>LOW_52WEEK</stp>
        <stp>[Index.xlsm]主要產業!R63C8</stp>
        <tr r="H63" s="2"/>
      </tp>
      <tp>
        <v>286.89</v>
        <stp/>
        <stp>##V3_BDPV12</stp>
        <stp>TWSECON Index</stp>
        <stp>PX_LAST</stp>
        <stp>[Index.xlsm]主要產業!R86C4</stp>
        <tr r="D86" s="2"/>
      </tp>
      <tp t="s">
        <v>US</v>
        <stp/>
        <stp>##V3_BDPV12</stp>
        <stp>s5util Index</stp>
        <stp>DS003</stp>
        <stp>[Index.xlsm]主要產業!R14C3</stp>
        <tr r="C14" s="2"/>
      </tp>
      <tp t="s">
        <v>#N/A N/A</v>
        <stp/>
        <stp>##V3_BDPV12</stp>
        <stp>DSEX Index</stp>
        <stp>INTERVAL_HIGH</stp>
        <stp>[Index.xlsm]全球指數!R306C16</stp>
        <stp>MARKET_DATA_OVERRIDE=PE_RATIO</stp>
        <stp>CALC_INTERVAL=5y</stp>
        <stp>BEST_FPERIOD_OVERRIDE=BF</stp>
        <tr r="P306" s="1"/>
      </tp>
      <tp>
        <v>22.08669382412624</v>
        <stp/>
        <stp>##V3_BDPV12</stp>
        <stp>IBEX Index</stp>
        <stp>INTERVAL_HIGH</stp>
        <stp>[Index.xlsm]全球指數!R240C16</stp>
        <stp>MARKET_DATA_OVERRIDE=PE_RATIO</stp>
        <stp>CALC_INTERVAL=5y</stp>
        <stp>BEST_FPERIOD_OVERRIDE=BF</stp>
        <tr r="P240" s="1"/>
      </tp>
      <tp>
        <v>26.461945945040842</v>
        <stp/>
        <stp>##V3_BDPV12</stp>
        <stp>SPEU Index</stp>
        <stp>INTERVAL_HIGH</stp>
        <stp>[Index.xlsm]全球指數!R162C16</stp>
        <stp>MARKET_DATA_OVERRIDE=PE_RATIO</stp>
        <stp>CALC_INTERVAL=5y</stp>
        <stp>BEST_FPERIOD_OVERRIDE=BF</stp>
        <tr r="P162" s="1"/>
      </tp>
      <tp>
        <v>14.230556348417434</v>
        <stp/>
        <stp>##V3_BDPV12</stp>
        <stp>JPNK400 Index</stp>
        <stp>PE_RATIO</stp>
        <stp>[Index.xlsm]全球指數!R286C18</stp>
        <tr r="R286" s="1"/>
      </tp>
      <tp>
        <v>23.410384948347573</v>
        <stp/>
        <stp>##V3_BDPV12</stp>
        <stp>TXEQ Index</stp>
        <stp>INTERVAL_HIGH</stp>
        <stp>[Index.xlsm]全球指數!R193C16</stp>
        <stp>MARKET_DATA_OVERRIDE=PE_RATIO</stp>
        <stp>CALC_INTERVAL=5y</stp>
        <stp>BEST_FPERIOD_OVERRIDE=BF</stp>
        <tr r="P193" s="1"/>
      </tp>
      <tp>
        <v>57.670241243638955</v>
        <stp/>
        <stp>##V3_BDPV12</stp>
        <stp>ISEQ Index</stp>
        <stp>INTERVAL_HIGH</stp>
        <stp>[Index.xlsm]全球指數!R241C16</stp>
        <stp>MARKET_DATA_OVERRIDE=PE_RATIO</stp>
        <stp>CALC_INTERVAL=5y</stp>
        <stp>BEST_FPERIOD_OVERRIDE=BF</stp>
        <tr r="P241" s="1"/>
      </tp>
      <tp>
        <v>23.433882093901794</v>
        <stp/>
        <stp>##V3_BDPV12</stp>
        <stp>MSER Index</stp>
        <stp>INTERVAL_HIGH</stp>
        <stp>[Index.xlsm]全球指數!R154C16</stp>
        <stp>MARKET_DATA_OVERRIDE=PE_RATIO</stp>
        <stp>CALC_INTERVAL=5y</stp>
        <stp>BEST_FPERIOD_OVERRIDE=BF</stp>
        <tr r="P154" s="1"/>
      </tp>
      <tp>
        <v>53.438427910918335</v>
        <stp/>
        <stp>##V3_BDPV12</stp>
        <stp>BBREIT Index</stp>
        <stp>INTERVAL_HIGH</stp>
        <stp>[Index.xlsm]全球指數!R288C16</stp>
        <stp>MARKET_DATA_OVERRIDE=PE_RATIO</stp>
        <stp>CALC_INTERVAL=5y</stp>
        <stp>BEST_FPERIOD_OVERRIDE=BF</stp>
        <tr r="P288" s="1"/>
      </tp>
      <tp>
        <v>27.100586774005944</v>
        <stp/>
        <stp>##V3_BDPV12</stp>
        <stp>SPIEXX Index</stp>
        <stp>INTERVAL_HIGH</stp>
        <stp>[Index.xlsm]全球指數!R180C16</stp>
        <stp>MARKET_DATA_OVERRIDE=PE_RATIO</stp>
        <stp>CALC_INTERVAL=5y</stp>
        <stp>BEST_FPERIOD_OVERRIDE=BF</stp>
        <tr r="P180" s="1"/>
      </tp>
      <tp>
        <v>7837.41015625</v>
        <stp/>
        <stp>##V3_BDPV12</stp>
        <stp>TUSISE Index</stp>
        <stp>HIGH_52WEEK</stp>
        <stp>[Index.xlsm]全球指數!R221C6</stp>
        <tr r="F221" s="1"/>
      </tp>
      <tp>
        <v>-6.5432230000000002</v>
        <stp/>
        <stp>##V3_BDPV12</stp>
        <stp>GGSECI Index</stp>
        <stp>PR064</stp>
        <stp>[Index.xlsm]全球指數!R111C14</stp>
        <tr r="N111" s="1"/>
      </tp>
      <tp>
        <v>-7.6032000000000002E-2</v>
        <stp/>
        <stp>##V3_BDPV12</stp>
        <stp>MEXBOL Index</stp>
        <stp>CHG_PCT_5D</stp>
        <stp>[Index.xlsm]全球指數!R236C10</stp>
        <tr r="J236" s="1"/>
      </tp>
      <tp>
        <v>7.1749031224572528</v>
        <stp/>
        <stp>##V3_BDPV12</stp>
        <stp>XU030 Index</stp>
        <stp>PE_RATIO</stp>
        <stp>[Index.xlsm]全球指數!R299C18</stp>
        <tr r="R299" s="1"/>
      </tp>
      <tp>
        <v>-0.32345020000000002</v>
        <stp/>
        <stp>##V3_BDPV12</stp>
        <stp>RAY Index</stp>
        <stp>CHG_PCT_1D</stp>
        <stp>[Index.xlsm]全球指數!R122C5</stp>
        <tr r="E122" s="1"/>
      </tp>
      <tp>
        <v>0.22093640000000001</v>
        <stp/>
        <stp>##V3_BDPV12</stp>
        <stp>MCX Index</stp>
        <stp>CHG_PCT_1D</stp>
        <stp>[Index.xlsm]全球指數!R100C5</stp>
        <tr r="E100" s="1"/>
      </tp>
      <tp>
        <v>0.42876950000000003</v>
        <stp/>
        <stp>##V3_BDPV12</stp>
        <stp>KFX Index</stp>
        <stp>CHG_PCT_1D</stp>
        <stp>[Index.xlsm]全球指數!R285C5</stp>
        <tr r="E285" s="1"/>
      </tp>
      <tp>
        <v>1408.89</v>
        <stp/>
        <stp>##V3_BDPV12</stp>
        <stp>TPX Index</stp>
        <stp>LOW_52WEEK</stp>
        <stp>[Index.xlsm]全球指數!R289C8</stp>
        <tr r="H289" s="1"/>
      </tp>
      <tp>
        <v>11.97767</v>
        <stp/>
        <stp>##V3_BDPV12</stp>
        <stp>NZSE Index</stp>
        <stp>CHG_PCT_1YR</stp>
        <stp>[Index.xlsm]全球指數!R238C15</stp>
        <tr r="O238" s="1"/>
      </tp>
      <tp>
        <v>0.87300469999999997</v>
        <stp/>
        <stp>##V3_BDPV12</stp>
        <stp>NYID Index</stp>
        <stp>CHG_PCT_1YR</stp>
        <stp>[Index.xlsm]全球指數!R148C15</stp>
        <tr r="O148" s="1"/>
      </tp>
      <tp>
        <v>-4.7388050000000002</v>
        <stp/>
        <stp>##V3_BDPV12</stp>
        <stp>CUTL Index</stp>
        <stp>CHG_PCT_6M</stp>
        <stp>[Index.xlsm]全球指數!R107C13</stp>
        <tr r="M107" s="1"/>
      </tp>
      <tp>
        <v>7.0452050000000002</v>
        <stp/>
        <stp>##V3_BDPV12</stp>
        <stp>TR20I Index</stp>
        <stp>CHG_PCT_3M</stp>
        <stp>[Index.xlsm]全球指數!R296C12</stp>
        <tr r="L296" s="1"/>
      </tp>
      <tp>
        <v>1700.35</v>
        <stp/>
        <stp>##V3_BDPV12</stp>
        <stp>OMX Index</stp>
        <stp>HIGH_52WEEK</stp>
        <stp>[Index.xlsm]全球指數!R51C6</stp>
        <tr r="F51" s="1"/>
      </tp>
      <tp>
        <v>843.09</v>
        <stp/>
        <stp>##V3_BDPV12</stp>
        <stp>AMX Index</stp>
        <stp>HIGH_52WEEK</stp>
        <stp>[Index.xlsm]全球指數!R41C6</stp>
        <tr r="F41" s="1"/>
      </tp>
      <tp>
        <v>10441.790000000001</v>
        <stp/>
        <stp>##V3_BDPV12</stp>
        <stp>CINS Index</stp>
        <stp>HIGH_52WEEK</stp>
        <stp>[Index.xlsm]全球指數!R254C6</stp>
        <tr r="F254" s="1"/>
      </tp>
      <tp>
        <v>9076.9296875</v>
        <stp/>
        <stp>##V3_BDPV12</stp>
        <stp>COMP Index</stp>
        <stp>HIGH_52WEEK</stp>
        <stp>[Index.xlsm]全球指數!R217C6</stp>
        <tr r="F217" s="1"/>
      </tp>
      <tp>
        <v>8718.3619999999992</v>
        <stp/>
        <stp>##V3_BDPV12</stp>
        <stp>NYLID Index</stp>
        <stp>HIGH_52WEEK</stp>
        <stp>[Index.xlsm]全球指數!R179C6</stp>
        <tr r="F179" s="1"/>
      </tp>
      <tp>
        <v>8037.2870000000003</v>
        <stp/>
        <stp>##V3_BDPV12</stp>
        <stp>QIV Index</stp>
        <stp>HIGH_52WEEK</stp>
        <stp>[Index.xlsm]全球指數!R65C6</stp>
        <tr r="F65" s="1"/>
      </tp>
      <tp>
        <v>1.8692359999999999</v>
        <stp/>
        <stp>##V3_BDPV12</stp>
        <stp>N100 Index</stp>
        <stp>CHG_PCT_1YR</stp>
        <stp>[Index.xlsm]全球指數!R198C15</stp>
        <tr r="O198" s="1"/>
      </tp>
      <tp>
        <v>1631</v>
        <stp/>
        <stp>##V3_BDPV12</stp>
        <stp>SPEU Index</stp>
        <stp>HIGH_52WEEK</stp>
        <stp>[Index.xlsm]全球指數!R162C6</stp>
        <tr r="F162" s="1"/>
      </tp>
      <tp>
        <v>12.16858</v>
        <stp/>
        <stp>##V3_BDPV12</stp>
        <stp>UTIL Index</stp>
        <stp>CHG_PCT_6M</stp>
        <stp>[Index.xlsm]全球指數!R305C13</stp>
        <tr r="M305" s="1"/>
      </tp>
      <tp>
        <v>8245.6796875</v>
        <stp/>
        <stp>##V3_BDPV12</stp>
        <stp>NYK Index</stp>
        <stp>HIGH_52WEEK</stp>
        <stp>[Index.xlsm]全球指數!R216C6</stp>
        <tr r="F216" s="1"/>
      </tp>
      <tp>
        <v>4368.3999999999996</v>
        <stp/>
        <stp>##V3_BDPV12</stp>
        <stp>MBI Index</stp>
        <stp>HIGH_52WEEK</stp>
        <stp>[Index.xlsm]全球指數!R314C6</stp>
        <tr r="F314" s="1"/>
      </tp>
      <tp>
        <v>3334.1489999999999</v>
        <stp/>
        <stp>##V3_BDPV12</stp>
        <stp>XCI Index</stp>
        <stp>HIGH_52WEEK</stp>
        <stp>[Index.xlsm]全球指數!R124C6</stp>
        <tr r="F124" s="1"/>
      </tp>
      <tp>
        <v>2.6641970000000001</v>
        <stp/>
        <stp>##V3_BDPV12</stp>
        <stp>NKYJQ Index</stp>
        <stp>CHG_PCT_1M</stp>
        <stp>[Index.xlsm]全球指數!R292C11</stp>
        <tr r="K292" s="1"/>
      </tp>
      <tp>
        <v>1.141786</v>
        <stp/>
        <stp>##V3_BDPV12</stp>
        <stp>DUAE Index</stp>
        <stp>PR064</stp>
        <stp>[Index.xlsm]全球指數!R68C14</stp>
        <tr r="N68" s="1"/>
      </tp>
      <tp>
        <v>0.18732309999999999</v>
        <stp/>
        <stp>##V3_BDPV12</stp>
        <stp>XAU Index</stp>
        <stp>CHG_PCT_5D</stp>
        <stp>[Index.xlsm]全球指數!R251C10</stp>
        <tr r="J251" s="1"/>
      </tp>
      <tp>
        <v>178.09074367803041</v>
        <stp/>
        <stp>##V3_BDPV12</stp>
        <stp>T1X Index</stp>
        <stp>INTERVAL_HIGH</stp>
        <stp>[Index.xlsm]全球指數!R95C16</stp>
        <stp>MARKET_DATA_OVERRIDE=PE_RATIO</stp>
        <stp>CALC_INTERVAL=5y</stp>
        <stp>BEST_FPERIOD_OVERRIDE=BF</stp>
        <tr r="P95" s="1"/>
      </tp>
      <tp>
        <v>0.36786029999999997</v>
        <stp/>
        <stp>##V3_BDPV12</stp>
        <stp>XIN0I Index</stp>
        <stp>CHG_PCT_1D</stp>
        <stp>[Index.xlsm]全球指數!R96C5</stp>
        <tr r="E96" s="1"/>
      </tp>
      <tp>
        <v>490.68713949030354</v>
        <stp/>
        <stp>##V3_BDPV12</stp>
        <stp>TSE2 Index</stp>
        <stp>INTERVAL_HIGH</stp>
        <stp>[Index.xlsm]全球指數!R261C16</stp>
        <stp>MARKET_DATA_OVERRIDE=PE_RATIO</stp>
        <stp>CALC_INTERVAL=5y</stp>
        <stp>BEST_FPERIOD_OVERRIDE=BF</stp>
        <tr r="P261" s="1"/>
      </tp>
      <tp t="s">
        <v>埃及 HERMES 指數</v>
        <stp/>
        <stp>##V3_BDPV12</stp>
        <stp>HERMES Index</stp>
        <stp>DS697</stp>
        <stp>[Index.xlsm]全球指數!R6C2</stp>
        <tr r="B6" s="1"/>
      </tp>
      <tp t="s">
        <v>China Shenzhen Small Medium</v>
        <stp/>
        <stp>##V3_BDPV12</stp>
        <stp>SZSMEC Index</stp>
        <stp>DS697</stp>
        <stp>[Index.xlsm]全球指數!R9C2</stp>
        <tr r="B9" s="1"/>
      </tp>
      <tp>
        <v>119.37</v>
        <stp/>
        <stp>##V3_BDPV12</stp>
        <stp>TWSECEM Index</stp>
        <stp>LOW_52WEEK</stp>
        <stp>[Index.xlsm]主要產業!R88C8</stp>
        <tr r="H88" s="2"/>
      </tp>
      <tp>
        <v>4150.0600000000004</v>
        <stp/>
        <stp>##V3_BDPV12</stp>
        <stp>HSCIMT Index</stp>
        <stp>LOW_52WEEK</stp>
        <stp>[Index.xlsm]主要產業!R64C8</stp>
        <tr r="H64" s="2"/>
      </tp>
      <tp>
        <v>610.77</v>
        <stp/>
        <stp>##V3_BDPV12</stp>
        <stp>OSESX Index</stp>
        <stp>PX_LAST</stp>
        <stp>[Index.xlsm]全球指數!R36C4</stp>
        <tr r="D36" s="1"/>
      </tp>
      <tp>
        <v>5.199891</v>
        <stp/>
        <stp>##V3_BDPV12</stp>
        <stp>BELSTK Index</stp>
        <stp>CHG_PCT_3M</stp>
        <stp>[Index.xlsm]全球指數!R230C12</stp>
        <tr r="L230" s="1"/>
      </tp>
      <tp>
        <v>-2.801831</v>
        <stp/>
        <stp>##V3_BDPV12</stp>
        <stp>KOSPI Index</stp>
        <stp>PR064</stp>
        <stp>[Index.xlsm]全球指數!R155C14</stp>
        <tr r="N155" s="1"/>
      </tp>
      <tp>
        <v>-1.0136540000000001</v>
        <stp/>
        <stp>##V3_BDPV12</stp>
        <stp>SZBSHR Index</stp>
        <stp>CHG_PCT_5D</stp>
        <stp>[Index.xlsm]全球指數!R128C10</stp>
        <tr r="J128" s="1"/>
      </tp>
      <tp>
        <v>30.660709000093519</v>
        <stp/>
        <stp>##V3_BDPV12</stp>
        <stp>MADX Index</stp>
        <stp>INTERVAL_HIGH</stp>
        <stp>[Index.xlsm]全球指數!R210C16</stp>
        <stp>MARKET_DATA_OVERRIDE=PE_RATIO</stp>
        <stp>CALC_INTERVAL=5y</stp>
        <stp>BEST_FPERIOD_OVERRIDE=BF</stp>
        <tr r="P210" s="1"/>
      </tp>
      <tp>
        <v>4.5458270000000001</v>
        <stp/>
        <stp>##V3_BDPV12</stp>
        <stp>MOEXBC Index</stp>
        <stp>CHG_PCT_1M</stp>
        <stp>[Index.xlsm]全球指數!R171C11</stp>
        <tr r="K171" s="1"/>
      </tp>
      <tp>
        <v>21.53939669265576</v>
        <stp/>
        <stp>##V3_BDPV12</stp>
        <stp>INDU Index</stp>
        <stp>INTERVAL_HIGH</stp>
        <stp>[Index.xlsm]全球指數!R170C16</stp>
        <stp>MARKET_DATA_OVERRIDE=PE_RATIO</stp>
        <stp>CALC_INTERVAL=5y</stp>
        <stp>BEST_FPERIOD_OVERRIDE=BF</stp>
        <tr r="P170" s="1"/>
      </tp>
      <tp>
        <v>-0.61067249999999995</v>
        <stp/>
        <stp>##V3_BDPV12</stp>
        <stp>SPIEXX Index</stp>
        <stp>CHG_PCT_5D</stp>
        <stp>[Index.xlsm]全球指數!R180C10</stp>
        <tr r="J180" s="1"/>
      </tp>
      <tp>
        <v>1009.86</v>
        <stp/>
        <stp>##V3_BDPV12</stp>
        <stp>FTBIVA Index</stp>
        <stp>HIGH_52WEEK</stp>
        <stp>[Index.xlsm]全球指數!R245C6</stp>
        <tr r="F245" s="1"/>
      </tp>
      <tp>
        <v>0.63354520000000003</v>
        <stp/>
        <stp>##V3_BDPV12</stp>
        <stp>IBOVIEE Index</stp>
        <stp>CHG_PCT_1D</stp>
        <stp>[Index.xlsm]全球指數!R37C5</stp>
        <tr r="E37" s="1"/>
      </tp>
      <tp>
        <v>-0.27572390000000002</v>
        <stp/>
        <stp>##V3_BDPV12</stp>
        <stp>PASISI Index</stp>
        <stp>CHG_PCT_5D</stp>
        <stp>[Index.xlsm]全球指數!R215C10</stp>
        <tr r="J215" s="1"/>
      </tp>
      <tp>
        <v>8.1426224273480585</v>
        <stp/>
        <stp>##V3_BDPV12</stp>
        <stp>XU100 Index</stp>
        <stp>PE_RATIO</stp>
        <stp>[Index.xlsm]全球指數!R298C18</stp>
        <tr r="R298" s="1"/>
      </tp>
      <tp>
        <v>-6.5432230000000002</v>
        <stp/>
        <stp>##V3_BDPV12</stp>
        <stp>GGSECI Index</stp>
        <stp>CHG_PCT_3M</stp>
        <stp>[Index.xlsm]全球指數!R111C12</stp>
        <tr r="L111" s="1"/>
      </tp>
      <tp>
        <v>24.809745198699499</v>
        <stp/>
        <stp>##V3_BDPV12</stp>
        <stp>JSDA Index</stp>
        <stp>INTERVAL_HIGH</stp>
        <stp>[Index.xlsm]全球指數!R302C16</stp>
        <stp>MARKET_DATA_OVERRIDE=PE_RATIO</stp>
        <stp>CALC_INTERVAL=5y</stp>
        <stp>BEST_FPERIOD_OVERRIDE=BF</stp>
        <tr r="P302" s="1"/>
      </tp>
      <tp>
        <v>10.295697851409223</v>
        <stp/>
        <stp>##V3_BDPV12</stp>
        <stp>ATXPRIME Index</stp>
        <stp>PE_RATIO</stp>
        <stp>[Index.xlsm]全球指數!R42C18</stp>
        <tr r="R42" s="1"/>
      </tp>
      <tp>
        <v>-0.35339979999999999</v>
        <stp/>
        <stp>##V3_BDPV12</stp>
        <stp>OEX Index</stp>
        <stp>CHG_PCT_1D</stp>
        <stp>[Index.xlsm]全球指數!R117C5</stp>
        <tr r="E117" s="1"/>
      </tp>
      <tp>
        <v>0.83799840000000003</v>
        <stp/>
        <stp>##V3_BDPV12</stp>
        <stp>UKX Index</stp>
        <stp>CHG_PCT_1D</stp>
        <stp>[Index.xlsm]全球指數!R239C5</stp>
        <tr r="E239" s="1"/>
      </tp>
      <tp>
        <v>0.65851210000000004</v>
        <stp/>
        <stp>##V3_BDPV12</stp>
        <stp>CAC Index</stp>
        <stp>CHG_PCT_1D</stp>
        <stp>[Index.xlsm]全球指數!R173C5</stp>
        <tr r="E173" s="1"/>
      </tp>
      <tp>
        <v>4.2046109838184318</v>
        <stp/>
        <stp>##V3_BDPV12</stp>
        <stp>IBG Index</stp>
        <stp>INTERVAL_Low</stp>
        <stp>[Index.xlsm]全球指數!R3C17</stp>
        <stp>MARKET_DATA_OVERRIDE=PE_RATIO</stp>
        <stp>CALC_INTERVAL=5y</stp>
        <stp>BEST_FPERIOD_OVERRIDE=BF</stp>
        <tr r="Q3" s="1"/>
      </tp>
      <tp>
        <v>-7.775986E-2</v>
        <stp/>
        <stp>##V3_BDPV12</stp>
        <stp>TPXSM Index</stp>
        <stp>CHG_PCT_6M</stp>
        <stp>[Index.xlsm]全球指數!R307C13</stp>
        <tr r="M307" s="1"/>
      </tp>
      <tp>
        <v>-17.15916</v>
        <stp/>
        <stp>##V3_BDPV12</stp>
        <stp>BLOM Index</stp>
        <stp>CHG_PCT_6M</stp>
        <stp>[Index.xlsm]全球指數!R259C13</stp>
        <tr r="M259" s="1"/>
      </tp>
      <tp>
        <v>8.4154649999999993</v>
        <stp/>
        <stp>##V3_BDPV12</stp>
        <stp>LUXXR Index</stp>
        <stp>CHG_PCT_1M</stp>
        <stp>[Index.xlsm]全球指數!R126C11</stp>
        <tr r="K126" s="1"/>
      </tp>
      <tp>
        <v>2270.46</v>
        <stp/>
        <stp>##V3_BDPV12</stp>
        <stp>FTASE Index</stp>
        <stp>HIGH_52WEEK</stp>
        <stp>[Index.xlsm]全球指數!R141C6</stp>
        <tr r="F141" s="1"/>
      </tp>
      <tp>
        <v>-0.9503549</v>
        <stp/>
        <stp>##V3_BDPV12</stp>
        <stp>CFIN Index</stp>
        <stp>CHG_PCT_5D</stp>
        <stp>[Index.xlsm]全球指數!R137C10</stp>
        <tr r="J137" s="1"/>
      </tp>
      <tp>
        <v>-0.95098629999999995</v>
        <stp/>
        <stp>##V3_BDPV12</stp>
        <stp>CTRN Index</stp>
        <stp>CHG_PCT_5D</stp>
        <stp>[Index.xlsm]全球指數!R136C10</stp>
        <tr r="J136" s="1"/>
      </tp>
      <tp>
        <v>1201.58</v>
        <stp/>
        <stp>##V3_BDPV12</stp>
        <stp>MSER Index</stp>
        <stp>HIGH_52WEEK</stp>
        <stp>[Index.xlsm]全球指數!R154C6</stp>
        <tr r="F154" s="1"/>
      </tp>
      <tp>
        <v>-0.82152919999999996</v>
        <stp/>
        <stp>##V3_BDPV12</stp>
        <stp>ITLMS Index</stp>
        <stp>CHG_PCT_5D</stp>
        <stp>[Index.xlsm]全球指數!R150C10</stp>
        <tr r="J150" s="1"/>
      </tp>
      <tp>
        <v>19668.060000000001</v>
        <stp/>
        <stp>##V3_BDPV12</stp>
        <stp>QETR Index</stp>
        <stp>HIGH_52WEEK</stp>
        <stp>[Index.xlsm]全球指數!R144C6</stp>
        <tr r="F144" s="1"/>
      </tp>
      <tp>
        <v>8.0968590000000003</v>
        <stp/>
        <stp>##V3_BDPV12</stp>
        <stp>SMIM Index</stp>
        <stp>CHG_PCT_6M</stp>
        <stp>[Index.xlsm]全球指數!R199C13</stp>
        <tr r="M199" s="1"/>
      </tp>
      <tp>
        <v>608.77890000000002</v>
        <stp/>
        <stp>##V3_BDPV12</stp>
        <stp>PFTS Index</stp>
        <stp>HIGH_52WEEK</stp>
        <stp>[Index.xlsm]全球指數!R295C6</stp>
        <tr r="F295" s="1"/>
      </tp>
      <tp>
        <v>8.2500561044715877</v>
        <stp/>
        <stp>##V3_BDPV12</stp>
        <stp>KOSPI100 Index</stp>
        <stp>INTERVAL_Low</stp>
        <stp>[Index.xlsm]全球指數!R195C17</stp>
        <stp>MARKET_DATA_OVERRIDE=PE_RATIO</stp>
        <stp>CALC_INTERVAL=5y</stp>
        <stp>BEST_FPERIOD_OVERRIDE=BF</stp>
        <tr r="Q195" s="1"/>
      </tp>
      <tp>
        <v>395.1</v>
        <stp/>
        <stp>##V3_BDPV12</stp>
        <stp>SXXP Index</stp>
        <stp>HIGH_52WEEK</stp>
        <stp>[Index.xlsm]全球指數!R196C6</stp>
        <tr r="F196" s="1"/>
      </tp>
      <tp>
        <v>-3.3999670000000002</v>
        <stp/>
        <stp>##V3_BDPV12</stp>
        <stp>SKSM Index</stp>
        <stp>CHG_PCT_6M</stp>
        <stp>[Index.xlsm]全球指數!R281C13</stp>
        <tr r="M281" s="1"/>
      </tp>
      <tp>
        <v>1.7228589999999999</v>
        <stp/>
        <stp>##V3_BDPV12</stp>
        <stp>SPR Index</stp>
        <stp>CHG_PCT_3M</stp>
        <stp>[Index.xlsm]全球指數!R135C12</stp>
        <tr r="L135" s="1"/>
      </tp>
      <tp>
        <v>12.67057</v>
        <stp/>
        <stp>##V3_BDPV12</stp>
        <stp>T1X Index</stp>
        <stp>CHG_PCT_6M</stp>
        <stp>[Index.xlsm]全球指數!R95C13</stp>
        <tr r="M95" s="1"/>
      </tp>
      <tp>
        <v>-5.7276759999999998</v>
        <stp/>
        <stp>##V3_BDPV12</stp>
        <stp>HSCCI Index</stp>
        <stp>CHG_PCT_1YR</stp>
        <stp>[Index.xlsm]全球指數!R24C15</stp>
        <tr r="O24" s="1"/>
      </tp>
      <tp>
        <v>-6.6432229999999999</v>
        <stp/>
        <stp>##V3_BDPV12</stp>
        <stp>HSCEI Index</stp>
        <stp>CHG_PCT_1YR</stp>
        <stp>[Index.xlsm]全球指數!R72C15</stp>
        <tr r="O72" s="1"/>
      </tp>
      <tp>
        <v>-1.4134850000000001</v>
        <stp/>
        <stp>##V3_BDPV12</stp>
        <stp>T1X Index</stp>
        <stp>CHG_PCT_5D</stp>
        <stp>[Index.xlsm]全球指數!R95C10</stp>
        <tr r="J95" s="1"/>
      </tp>
      <tp>
        <v>3.6048740000000001</v>
        <stp/>
        <stp>##V3_BDPV12</stp>
        <stp>T1X Index</stp>
        <stp>CHG_PCT_3M</stp>
        <stp>[Index.xlsm]全球指數!R95C12</stp>
        <tr r="L95" s="1"/>
      </tp>
      <tp>
        <v>1.810268</v>
        <stp/>
        <stp>##V3_BDPV12</stp>
        <stp>BET Index</stp>
        <stp>CHG_PCT_5D</stp>
        <stp>[Index.xlsm]全球指數!R300C10</stp>
        <tr r="J300" s="1"/>
      </tp>
      <tp>
        <v>-0.2383208</v>
        <stp/>
        <stp>##V3_BDPV12</stp>
        <stp>SET Index</stp>
        <stp>CHG_PCT_5D</stp>
        <stp>[Index.xlsm]全球指數!R220C10</stp>
        <tr r="J220" s="1"/>
      </tp>
      <tp>
        <v>-7.6023250000000001E-2</v>
        <stp/>
        <stp>##V3_BDPV12</stp>
        <stp>IRT Index</stp>
        <stp>CHG_PCT_5D</stp>
        <stp>[Index.xlsm]全球指數!R237C10</stp>
        <tr r="J237" s="1"/>
      </tp>
      <tp>
        <v>-0.90620460000000003</v>
        <stp/>
        <stp>##V3_BDPV12</stp>
        <stp>TRAN Index</stp>
        <stp>CHG_PCT_5D</stp>
        <stp>[Index.xlsm]全球指數!R140C10</stp>
        <tr r="J140" s="1"/>
      </tp>
      <tp>
        <v>-8.542023E-2</v>
        <stp/>
        <stp>##V3_BDPV12</stp>
        <stp>T1X Index</stp>
        <stp>CHG_PCT_1M</stp>
        <stp>[Index.xlsm]全球指數!R95C11</stp>
        <tr r="K95" s="1"/>
      </tp>
      <tp>
        <v>534.22429999999997</v>
        <stp/>
        <stp>##V3_BDPV12</stp>
        <stp>OMXO20 Index</stp>
        <stp>LOW_52WEEK</stp>
        <stp>[Index.xlsm]全球指數!R49C8</stp>
        <tr r="H49" s="1"/>
      </tp>
      <tp>
        <v>1.4380090000000001</v>
        <stp/>
        <stp>##V3_BDPV12</stp>
        <stp>FTEFC1 Index</stp>
        <stp>PR064</stp>
        <stp>[Index.xlsm]全球指數!R214C14</stp>
        <tr r="N214" s="1"/>
      </tp>
      <tp>
        <v>1.087855</v>
        <stp/>
        <stp>##V3_BDPV12</stp>
        <stp>NGSEINDX Index</stp>
        <stp>CHG_PCT_1D</stp>
        <stp>[Index.xlsm]全球指數!R219C5</stp>
        <tr r="E219" s="1"/>
      </tp>
      <tp>
        <v>977.66</v>
        <stp/>
        <stp>##V3_BDPV12</stp>
        <stp>GOOGL US Equity</stp>
        <stp>LOW_52WEEK</stp>
        <stp>[Index.xlsm]主要產業!R7C28</stp>
        <tr r="AB7" s="2"/>
      </tp>
      <tp>
        <v>3379.96</v>
        <stp/>
        <stp>##V3_BDPV12</stp>
        <stp>HSCIPC Index</stp>
        <stp>LOW_52WEEK</stp>
        <stp>[Index.xlsm]主要產業!R65C8</stp>
        <tr r="H65" s="2"/>
      </tp>
      <tp>
        <v>66.81</v>
        <stp/>
        <stp>##V3_BDPV12</stp>
        <stp>TWSEOEI Index</stp>
        <stp>LOW_52WEEK</stp>
        <stp>[Index.xlsm]主要產業!R75C8</stp>
        <tr r="H75" s="2"/>
      </tp>
      <tp>
        <v>1128.45</v>
        <stp/>
        <stp>##V3_BDPV12</stp>
        <stp>s5sseqx Index</stp>
        <stp>HIGH_52WEEK</stp>
        <stp>[Index.xlsm]主要產業!R13C6</stp>
        <tr r="F13" s="2"/>
      </tp>
      <tp>
        <v>62.85</v>
        <stp/>
        <stp>##V3_BDPV12</stp>
        <stp>TWSEBMC Index</stp>
        <stp>PX_LAST</stp>
        <stp>[Index.xlsm]主要產業!R92C4</stp>
        <tr r="D92" s="2"/>
      </tp>
      <tp>
        <v>17.618742745654369</v>
        <stp/>
        <stp>##V3_BDPV12</stp>
        <stp>JNJ US Equity</stp>
        <stp>PE_RATIO</stp>
        <stp>[Index.xlsm]主要產業!R6C38</stp>
        <tr r="AL6" s="2"/>
      </tp>
      <tp>
        <v>29.372011314799149</v>
        <stp/>
        <stp>##V3_BDPV12</stp>
        <stp>MSFT US Equity</stp>
        <stp>PE_RATIO</stp>
        <stp>[Index.xlsm]主要產業!R2C38</stp>
        <tr r="AL2" s="2"/>
      </tp>
      <tp t="s">
        <v>US</v>
        <stp/>
        <stp>##V3_BDPV12</stp>
        <stp>s5rlst Index</stp>
        <stp>DS003</stp>
        <stp>[Index.xlsm]主要產業!R15C3</stp>
        <tr r="C15" s="2"/>
      </tp>
      <tp>
        <v>0.38153009999999998</v>
        <stp/>
        <stp>##V3_BDPV12</stp>
        <stp>MIDWIG Index</stp>
        <stp>CHG_PCT_1D</stp>
        <stp>[Index.xlsm]全球指數!R21C5</stp>
        <tr r="E21" s="1"/>
      </tp>
      <tp>
        <v>-2.0384709999999999</v>
        <stp/>
        <stp>##V3_BDPV12</stp>
        <stp>FTASE Index</stp>
        <stp>PR064</stp>
        <stp>[Index.xlsm]全球指數!R141C14</stp>
        <tr r="N141" s="1"/>
      </tp>
      <tp>
        <v>9.5197339999999997</v>
        <stp/>
        <stp>##V3_BDPV12</stp>
        <stp>COLSC Index</stp>
        <stp>PR064</stp>
        <stp>[Index.xlsm]全球指數!R256C14</stp>
        <tr r="N256" s="1"/>
      </tp>
      <tp>
        <v>5.6759300000000001</v>
        <stp/>
        <stp>##V3_BDPV12</stp>
        <stp>SPIEXX Index</stp>
        <stp>CHG_PCT_6M</stp>
        <stp>[Index.xlsm]全球指數!R180C13</stp>
        <tr r="M180" s="1"/>
      </tp>
      <tp>
        <v>2.9597609999999999</v>
        <stp/>
        <stp>##V3_BDPV12</stp>
        <stp>SPTSX Index</stp>
        <stp>PR064</stp>
        <stp>[Index.xlsm]全球指數!R200C14</stp>
        <tr r="N200" s="1"/>
      </tp>
      <tp>
        <v>-0.55497750000000001</v>
        <stp/>
        <stp>##V3_BDPV12</stp>
        <stp>KWSEMM Index</stp>
        <stp>PR064</stp>
        <stp>[Index.xlsm]全球指數!R291C14</stp>
        <tr r="N291" s="1"/>
      </tp>
      <tp>
        <v>-7.890015</v>
        <stp/>
        <stp>##V3_BDPV12</stp>
        <stp>SZBSHR Index</stp>
        <stp>CHG_PCT_6M</stp>
        <stp>[Index.xlsm]全球指數!R128C13</stp>
        <tr r="M128" s="1"/>
      </tp>
      <tp>
        <v>3.0053320000000001</v>
        <stp/>
        <stp>##V3_BDPV12</stp>
        <stp>VILSE Index</stp>
        <stp>PR064</stp>
        <stp>[Index.xlsm]全球指數!R181C14</stp>
        <tr r="N181" s="1"/>
      </tp>
      <tp>
        <v>3295.78</v>
        <stp/>
        <stp>##V3_BDPV12</stp>
        <stp>NMDP Index</stp>
        <stp>PX_LAST</stp>
        <stp>[Index.xlsm]全球指數!R19C4</stp>
        <tr r="D19" s="1"/>
      </tp>
      <tp>
        <v>114.33998199076478</v>
        <stp/>
        <stp>##V3_BDPV12</stp>
        <stp>PX Index</stp>
        <stp>INTERVAL_HIGH</stp>
        <stp>[Index.xlsm]全球指數!R84C16</stp>
        <stp>MARKET_DATA_OVERRIDE=PE_RATIO</stp>
        <stp>CALC_INTERVAL=5y</stp>
        <stp>BEST_FPERIOD_OVERRIDE=BF</stp>
        <tr r="P84" s="1"/>
      </tp>
      <tp>
        <v>-1.570333</v>
        <stp/>
        <stp>##V3_BDPV12</stp>
        <stp>TALSE Index</stp>
        <stp>PR064</stp>
        <stp>[Index.xlsm]全球指數!R247C14</stp>
        <tr r="N247" s="1"/>
      </tp>
      <tp>
        <v>-2.2177739999999999</v>
        <stp/>
        <stp>##V3_BDPV12</stp>
        <stp>BGSMDC Index</stp>
        <stp>PR064</stp>
        <stp>[Index.xlsm]全球指數!R257C14</stp>
        <tr r="N257" s="1"/>
      </tp>
      <tp>
        <v>0.7428051</v>
        <stp/>
        <stp>##V3_BDPV12</stp>
        <stp>RIGSE Index</stp>
        <stp>PR064</stp>
        <stp>[Index.xlsm]全球指數!R260C14</stp>
        <tr r="N260" s="1"/>
      </tp>
      <tp>
        <v>4.41737</v>
        <stp/>
        <stp>##V3_BDPV12</stp>
        <stp>TPXSM Index</stp>
        <stp>PR064</stp>
        <stp>[Index.xlsm]全球指數!R307C14</stp>
        <tr r="N307" s="1"/>
      </tp>
      <tp>
        <v>-4.1830999999999996</v>
        <stp/>
        <stp>##V3_BDPV12</stp>
        <stp>PASISI Index</stp>
        <stp>CHG_PCT_6M</stp>
        <stp>[Index.xlsm]全球指數!R215C13</stp>
        <tr r="M215" s="1"/>
      </tp>
      <tp>
        <v>7.3542295186694586</v>
        <stp/>
        <stp>##V3_BDPV12</stp>
        <stp>TR20I Index</stp>
        <stp>PE_RATIO</stp>
        <stp>[Index.xlsm]全球指數!R296C18</stp>
        <tr r="R296" s="1"/>
      </tp>
      <tp>
        <v>173.42</v>
        <stp/>
        <stp>##V3_BDPV12</stp>
        <stp>s5tels Index</stp>
        <stp>HIGH_52WEEK</stp>
        <stp>[Index.xlsm]主要產業!R6C6</stp>
        <tr r="F6" s="2"/>
      </tp>
      <tp>
        <v>3644.2040000000002</v>
        <stp/>
        <stp>##V3_BDPV12</stp>
        <stp>IXK Index</stp>
        <stp>LOW_52WEEK</stp>
        <stp>[Index.xlsm]全球指數!R113C8</stp>
        <tr r="H113" s="1"/>
      </tp>
      <tp>
        <v>11471.75</v>
        <stp/>
        <stp>##V3_BDPV12</stp>
        <stp>MOSENEW Index</stp>
        <stp>PX_LAST</stp>
        <stp>[Index.xlsm]全球指數!R188C4</stp>
        <tr r="D188" s="1"/>
      </tp>
      <tp>
        <v>4.3597489999999999</v>
        <stp/>
        <stp>##V3_BDPV12</stp>
        <stp>LQ45 Index</stp>
        <stp>CHG_PCT_1YR</stp>
        <stp>[Index.xlsm]全球指數!R204C15</stp>
        <tr r="O204" s="1"/>
      </tp>
      <tp>
        <v>-0.78676800000000002</v>
        <stp/>
        <stp>##V3_BDPV12</stp>
        <stp>NDF Index</stp>
        <stp>CHG_PCT_1D</stp>
        <stp>[Index.xlsm]全球指數!R125C5</stp>
        <tr r="E125" s="1"/>
      </tp>
      <tp>
        <v>12.921433759936905</v>
        <stp/>
        <stp>##V3_BDPV12</stp>
        <stp>SHNCOMP Index</stp>
        <stp>PE_RATIO</stp>
        <stp>[Index.xlsm]全球指數!R31C18</stp>
        <tr r="R31" s="1"/>
      </tp>
      <tp>
        <v>11.9823</v>
        <stp/>
        <stp>##V3_BDPV12</stp>
        <stp>CFIN Index</stp>
        <stp>CHG_PCT_6M</stp>
        <stp>[Index.xlsm]全球指數!R137C13</stp>
        <tr r="M137" s="1"/>
      </tp>
      <tp>
        <v>1.7362249999999999</v>
        <stp/>
        <stp>##V3_BDPV12</stp>
        <stp>CTRN Index</stp>
        <stp>CHG_PCT_6M</stp>
        <stp>[Index.xlsm]全球指數!R136C13</stp>
        <tr r="M136" s="1"/>
      </tp>
      <tp>
        <v>6.4136160000000002</v>
        <stp/>
        <stp>##V3_BDPV12</stp>
        <stp>TR20I Index</stp>
        <stp>CHG_PCT_1M</stp>
        <stp>[Index.xlsm]全球指數!R296C11</stp>
        <tr r="K296" s="1"/>
      </tp>
      <tp>
        <v>2.9419520000000001</v>
        <stp/>
        <stp>##V3_BDPV12</stp>
        <stp>ITLMS Index</stp>
        <stp>CHG_PCT_6M</stp>
        <stp>[Index.xlsm]全球指數!R150C13</stp>
        <tr r="M150" s="1"/>
      </tp>
      <tp>
        <v>27398.6796875</v>
        <stp/>
        <stp>##V3_BDPV12</stp>
        <stp>INDU Index</stp>
        <stp>HIGH_52WEEK</stp>
        <stp>[Index.xlsm]全球指數!R170C6</stp>
        <tr r="F170" s="1"/>
      </tp>
      <tp>
        <v>2518.62</v>
        <stp/>
        <stp>##V3_BDPV12</stp>
        <stp>KZKAK Index</stp>
        <stp>HIGH_52WEEK</stp>
        <stp>[Index.xlsm]全球指數!R131C6</stp>
        <tr r="F131" s="1"/>
      </tp>
      <tp>
        <v>0.29502519999999999</v>
        <stp/>
        <stp>##V3_BDPV12</stp>
        <stp>BLOM Index</stp>
        <stp>CHG_PCT_5D</stp>
        <stp>[Index.xlsm]全球指數!R259C10</stp>
        <tr r="J259" s="1"/>
      </tp>
      <tp>
        <v>2.546672</v>
        <stp/>
        <stp>##V3_BDPV12</stp>
        <stp>TPXSM Index</stp>
        <stp>CHG_PCT_5D</stp>
        <stp>[Index.xlsm]全球指數!R307C10</stp>
        <tr r="J307" s="1"/>
      </tp>
      <tp>
        <v>-1.2809600000000001</v>
        <stp/>
        <stp>##V3_BDPV12</stp>
        <stp>JALSH Index</stp>
        <stp>CHG_PCT_1YR</stp>
        <stp>[Index.xlsm]全球指數!R71C15</stp>
        <tr r="O71" s="1"/>
      </tp>
      <tp>
        <v>24.441609805915174</v>
        <stp/>
        <stp>##V3_BDPV12</stp>
        <stp>MDAX Index</stp>
        <stp>INTERVAL_HIGH</stp>
        <stp>[Index.xlsm]全球指數!R85C16</stp>
        <stp>MARKET_DATA_OVERRIDE=PE_RATIO</stp>
        <stp>CALC_INTERVAL=5y</stp>
        <stp>BEST_FPERIOD_OVERRIDE=BF</stp>
        <tr r="P85" s="1"/>
      </tp>
      <tp>
        <v>24.298568740103033</v>
        <stp/>
        <stp>##V3_BDPV12</stp>
        <stp>HDAX Index</stp>
        <stp>INTERVAL_HIGH</stp>
        <stp>[Index.xlsm]全球指數!R86C16</stp>
        <stp>MARKET_DATA_OVERRIDE=PE_RATIO</stp>
        <stp>CALC_INTERVAL=5y</stp>
        <stp>BEST_FPERIOD_OVERRIDE=BF</stp>
        <tr r="P86" s="1"/>
      </tp>
      <tp>
        <v>24.409749576261074</v>
        <stp/>
        <stp>##V3_BDPV12</stp>
        <stp>CDAX Index</stp>
        <stp>INTERVAL_HIGH</stp>
        <stp>[Index.xlsm]全球指數!R82C16</stp>
        <stp>MARKET_DATA_OVERRIDE=PE_RATIO</stp>
        <stp>CALC_INTERVAL=5y</stp>
        <stp>BEST_FPERIOD_OVERRIDE=BF</stp>
        <tr r="P82" s="1"/>
      </tp>
      <tp>
        <v>8419.58984375</v>
        <stp/>
        <stp>##V3_BDPV12</stp>
        <stp>PCOMP Index</stp>
        <stp>HIGH_52WEEK</stp>
        <stp>[Index.xlsm]全球指數!R231C6</stp>
        <tr r="F231" s="1"/>
      </tp>
      <tp>
        <v>21.673260009663441</v>
        <stp/>
        <stp>##V3_BDPV12</stp>
        <stp>COLEQTY Index</stp>
        <stp>INTERVAL_HIGH</stp>
        <stp>[Index.xlsm]全球指數!R268C16</stp>
        <stp>MARKET_DATA_OVERRIDE=PE_RATIO</stp>
        <stp>CALC_INTERVAL=5y</stp>
        <stp>BEST_FPERIOD_OVERRIDE=BF</stp>
        <tr r="P268" s="1"/>
      </tp>
      <tp>
        <v>3248.82</v>
        <stp/>
        <stp>##V3_BDPV12</stp>
        <stp>SX5P Index</stp>
        <stp>HIGH_52WEEK</stp>
        <stp>[Index.xlsm]全球指數!R255C6</stp>
        <tr r="F255" s="1"/>
      </tp>
      <tp>
        <v>51.058563954047258</v>
        <stp/>
        <stp>##V3_BDPV12</stp>
        <stp>TDXP Index</stp>
        <stp>INTERVAL_HIGH</stp>
        <stp>[Index.xlsm]全球指數!R22C16</stp>
        <stp>MARKET_DATA_OVERRIDE=PE_RATIO</stp>
        <stp>CALC_INTERVAL=5y</stp>
        <stp>BEST_FPERIOD_OVERRIDE=BF</stp>
        <tr r="P22" s="1"/>
      </tp>
      <tp>
        <v>1967.53</v>
        <stp/>
        <stp>##V3_BDPV12</stp>
        <stp>CRO Index</stp>
        <stp>HIGH_52WEEK</stp>
        <stp>[Index.xlsm]全球指數!R310C6</stp>
        <tr r="F310" s="1"/>
      </tp>
      <tp>
        <v>0.45108480000000001</v>
        <stp/>
        <stp>##V3_BDPV12</stp>
        <stp>SET Index</stp>
        <stp>CHG_PCT_6M</stp>
        <stp>[Index.xlsm]全球指數!R220C13</stp>
        <tr r="M220" s="1"/>
      </tp>
      <tp>
        <v>2.194118</v>
        <stp/>
        <stp>##V3_BDPV12</stp>
        <stp>IRT Index</stp>
        <stp>CHG_PCT_6M</stp>
        <stp>[Index.xlsm]全球指數!R237C13</stp>
        <tr r="M237" s="1"/>
      </tp>
      <tp>
        <v>12302.53</v>
        <stp/>
        <stp>##V3_BDPV12</stp>
        <stp>SPI Index</stp>
        <stp>HIGH_52WEEK</stp>
        <stp>[Index.xlsm]全球指數!R206C6</stp>
        <tr r="F206" s="1"/>
      </tp>
      <tp>
        <v>2.072937</v>
        <stp/>
        <stp>##V3_BDPV12</stp>
        <stp>TRAN Index</stp>
        <stp>CHG_PCT_6M</stp>
        <stp>[Index.xlsm]全球指數!R140C13</stp>
        <tr r="M140" s="1"/>
      </tp>
      <tp>
        <v>17.332159999999998</v>
        <stp/>
        <stp>##V3_BDPV12</stp>
        <stp>BET Index</stp>
        <stp>CHG_PCT_6M</stp>
        <stp>[Index.xlsm]全球指數!R300C13</stp>
        <tr r="M300" s="1"/>
      </tp>
      <tp>
        <v>-0.1121153</v>
        <stp/>
        <stp>##V3_BDPV12</stp>
        <stp>NKYJQ Index</stp>
        <stp>CHG_PCT_3M</stp>
        <stp>[Index.xlsm]全球指數!R292C12</stp>
        <tr r="L292" s="1"/>
      </tp>
      <tp>
        <v>-0.42915350000000002</v>
        <stp/>
        <stp>##V3_BDPV12</stp>
        <stp>SMIM Index</stp>
        <stp>CHG_PCT_5D</stp>
        <stp>[Index.xlsm]全球指數!R199C10</stp>
        <tr r="J199" s="1"/>
      </tp>
      <tp>
        <v>0.8082762</v>
        <stp/>
        <stp>##V3_BDPV12</stp>
        <stp>SKSM Index</stp>
        <stp>CHG_PCT_5D</stp>
        <stp>[Index.xlsm]全球指數!R281C10</stp>
        <tr r="J281" s="1"/>
      </tp>
      <tp>
        <v>12.553293740366076</v>
        <stp/>
        <stp>##V3_BDPV12</stp>
        <stp>BHSEASI Index</stp>
        <stp>INTERVAL_HIGH</stp>
        <stp>[Index.xlsm]全球指數!R304C16</stp>
        <stp>MARKET_DATA_OVERRIDE=PE_RATIO</stp>
        <stp>CALC_INTERVAL=5y</stp>
        <stp>BEST_FPERIOD_OVERRIDE=BF</stp>
        <tr r="P304" s="1"/>
      </tp>
      <tp>
        <v>0.63604519999999998</v>
        <stp/>
        <stp>##V3_BDPV12</stp>
        <stp>PSI20 Index</stp>
        <stp>CHG_PCT_1D</stp>
        <stp>[Index.xlsm]全球指數!R23C5</stp>
        <tr r="E23" s="1"/>
      </tp>
      <tp>
        <v>3054.08</v>
        <stp/>
        <stp>##V3_BDPV12</stp>
        <stp>HSCISV Index</stp>
        <stp>LOW_52WEEK</stp>
        <stp>[Index.xlsm]主要產業!R66C8</stp>
        <tr r="H66" s="2"/>
      </tp>
      <tp>
        <v>126.27</v>
        <stp/>
        <stp>##V3_BDPV12</stp>
        <stp>TWSEOEG Index</stp>
        <stp>PX_LAST</stp>
        <stp>[Index.xlsm]主要產業!R79C4</stp>
        <tr r="D79" s="2"/>
      </tp>
      <tp>
        <v>0.31689339999999999</v>
        <stp/>
        <stp>##V3_BDPV12</stp>
        <stp>TUSISE Index</stp>
        <stp>PR064</stp>
        <stp>[Index.xlsm]全球指數!R221C14</stp>
        <tr r="N221" s="1"/>
      </tp>
      <tp>
        <v>31.536308249289771</v>
        <stp/>
        <stp>##V3_BDPV12</stp>
        <stp>MALTEX Index</stp>
        <stp>INTERVAL_HIGH</stp>
        <stp>[Index.xlsm]全球指數!R284C16</stp>
        <stp>MARKET_DATA_OVERRIDE=PE_RATIO</stp>
        <stp>CALC_INTERVAL=5y</stp>
        <stp>BEST_FPERIOD_OVERRIDE=BF</stp>
        <tr r="P284" s="1"/>
      </tp>
      <tp>
        <v>0.14269190000000001</v>
        <stp/>
        <stp>##V3_BDPV12</stp>
        <stp>DAX Index</stp>
        <stp>PR064</stp>
        <stp>[Index.xlsm]全球指數!R99C14</stp>
        <tr r="N99" s="1"/>
      </tp>
      <tp>
        <v>5.6451159999999998</v>
        <stp/>
        <stp>##V3_BDPV12</stp>
        <stp>BELSTK Index</stp>
        <stp>CHG_PCT_1M</stp>
        <stp>[Index.xlsm]全球指數!R230C11</stp>
        <tr r="K230" s="1"/>
      </tp>
      <tp>
        <v>1467.13</v>
        <stp/>
        <stp>##V3_BDPV12</stp>
        <stp>HERMES Index</stp>
        <stp>HIGH_52WEEK</stp>
        <stp>[Index.xlsm]全球指數!R6C6</stp>
        <tr r="F6" s="1"/>
      </tp>
      <tp>
        <v>3628.1080000000002</v>
        <stp/>
        <stp>##V3_BDPV12</stp>
        <stp>CBNK Index</stp>
        <stp>PX_LAST</stp>
        <stp>[Index.xlsm]全球指數!R92C4</stp>
        <tr r="D92" s="1"/>
      </tp>
      <tp>
        <v>-0.3280148</v>
        <stp/>
        <stp>##V3_BDPV12</stp>
        <stp>MOEXBC Index</stp>
        <stp>CHG_PCT_3M</stp>
        <stp>[Index.xlsm]全球指數!R171C12</stp>
        <tr r="L171" s="1"/>
      </tp>
      <tp>
        <v>1.50953</v>
        <stp/>
        <stp>##V3_BDPV12</stp>
        <stp>NYID Index</stp>
        <stp>PR064</stp>
        <stp>[Index.xlsm]全球指數!R148C14</stp>
        <tr r="N148" s="1"/>
      </tp>
      <tp>
        <v>8030.6610000000001</v>
        <stp/>
        <stp>##V3_BDPV12</stp>
        <stp>CCMP Index</stp>
        <stp>PX_LAST</stp>
        <stp>[Index.xlsm]全球指數!R61C4</stp>
        <tr r="D61" s="1"/>
      </tp>
      <tp>
        <v>1013.2065440917089</v>
        <stp/>
        <stp>##V3_BDPV12</stp>
        <stp>WBI Index</stp>
        <stp>INTERVAL_HIGH</stp>
        <stp>[Index.xlsm]全球指數!R63C16</stp>
        <stp>MARKET_DATA_OVERRIDE=PE_RATIO</stp>
        <stp>CALC_INTERVAL=5y</stp>
        <stp>BEST_FPERIOD_OVERRIDE=BF</stp>
        <tr r="P63" s="1"/>
      </tp>
      <tp>
        <v>8.6615460000000005E-2</v>
        <stp/>
        <stp>##V3_BDPV12</stp>
        <stp>MEXBOL Index</stp>
        <stp>CHG_PCT_6M</stp>
        <stp>[Index.xlsm]全球指數!R236C13</stp>
        <tr r="M236" s="1"/>
      </tp>
      <tp>
        <v>2.9036689999999998</v>
        <stp/>
        <stp>##V3_BDPV12</stp>
        <stp>SMIM Index</stp>
        <stp>PR064</stp>
        <stp>[Index.xlsm]全球指數!R199C14</stp>
        <tr r="N199" s="1"/>
      </tp>
      <tp>
        <v>628.41999999999996</v>
        <stp/>
        <stp>##V3_BDPV12</stp>
        <stp>KOSDAQ Index</stp>
        <stp>PX_LAST</stp>
        <stp>[Index.xlsm]全球指數!R18C4</stp>
        <tr r="D18" s="1"/>
      </tp>
      <tp>
        <v>3.8443710000000002</v>
        <stp/>
        <stp>##V3_BDPV12</stp>
        <stp>CFIN Index</stp>
        <stp>PR064</stp>
        <stp>[Index.xlsm]全球指數!R137C14</stp>
        <tr r="N137" s="1"/>
      </tp>
      <tp>
        <v>9.1587519999999998</v>
        <stp/>
        <stp>##V3_BDPV12</stp>
        <stp>UTIL Index</stp>
        <stp>PR064</stp>
        <stp>[Index.xlsm]全球指數!R305C14</stp>
        <tr r="N305" s="1"/>
      </tp>
      <tp>
        <v>70.224418258728278</v>
        <stp/>
        <stp>##V3_BDPV12</stp>
        <stp>ITSTAR Index</stp>
        <stp>INTERVAL_HIGH</stp>
        <stp>[Index.xlsm]全球指數!R158C16</stp>
        <stp>MARKET_DATA_OVERRIDE=PE_RATIO</stp>
        <stp>CALC_INTERVAL=5y</stp>
        <stp>BEST_FPERIOD_OVERRIDE=BF</stp>
        <tr r="P158" s="1"/>
      </tp>
      <tp>
        <v>-3.9673720000000001</v>
        <stp/>
        <stp>##V3_BDPV12</stp>
        <stp>GGSECI Index</stp>
        <stp>CHG_PCT_1M</stp>
        <stp>[Index.xlsm]全球指數!R111C11</stp>
        <tr r="K111" s="1"/>
      </tp>
      <tp>
        <v>-1.4547829999999999</v>
        <stp/>
        <stp>##V3_BDPV12</stp>
        <stp>XAU Index</stp>
        <stp>CHG_PCT_1D</stp>
        <stp>[Index.xlsm]全球指數!R251C5</stp>
        <tr r="E251" s="1"/>
      </tp>
      <tp>
        <v>-5.5556150000000004</v>
        <stp/>
        <stp>##V3_BDPV12</stp>
        <stp>MADX Index</stp>
        <stp>CHG_PCT_1YR</stp>
        <stp>[Index.xlsm]全球指數!R210C15</stp>
        <tr r="O210" s="1"/>
      </tp>
      <tp>
        <v>9340.6319999999996</v>
        <stp/>
        <stp>##V3_BDPV12</stp>
        <stp>MOSEMDX Index</stp>
        <stp>PX_LAST</stp>
        <stp>[Index.xlsm]全球指數!R186C4</stp>
        <tr r="D186" s="1"/>
      </tp>
      <tp>
        <v>-0.26726169999999999</v>
        <stp/>
        <stp>##V3_BDPV12</stp>
        <stp>RIY Index</stp>
        <stp>CHG_PCT_1D</stp>
        <stp>[Index.xlsm]全球指數!R129C5</stp>
        <tr r="E129" s="1"/>
      </tp>
      <tp>
        <v>0.23890439999999999</v>
        <stp/>
        <stp>##V3_BDPV12</stp>
        <stp>MSER Index</stp>
        <stp>CHG_PCT_1YR</stp>
        <stp>[Index.xlsm]全球指數!R154C15</stp>
        <tr r="O154" s="1"/>
      </tp>
      <tp>
        <v>3573.33</v>
        <stp/>
        <stp>##V3_BDPV12</stp>
        <stp>ASX Index</stp>
        <stp>LOW_52WEEK</stp>
        <stp>[Index.xlsm]全球指數!R209C8</stp>
        <tr r="H209" s="1"/>
      </tp>
      <tp>
        <v>1.641561</v>
        <stp/>
        <stp>##V3_BDPV12</stp>
        <stp>MSPE Index</stp>
        <stp>CHG_PCT_1YR</stp>
        <stp>[Index.xlsm]全球指數!R207C15</stp>
        <tr r="O207" s="1"/>
      </tp>
      <tp>
        <v>-0.29083429999999999</v>
        <stp/>
        <stp>##V3_BDPV12</stp>
        <stp>XII Index</stp>
        <stp>CHG_PCT_1D</stp>
        <stp>[Index.xlsm]全球指數!R119C5</stp>
        <tr r="E119" s="1"/>
      </tp>
      <tp>
        <v>1.3655139999999999</v>
        <stp/>
        <stp>##V3_BDPV12</stp>
        <stp>JCI Index</stp>
        <stp>CHG_PCT_1D</stp>
        <stp>[Index.xlsm]全球指數!R223C5</stp>
        <tr r="E223" s="1"/>
      </tp>
      <tp>
        <v>23.022336551552222</v>
        <stp/>
        <stp>##V3_BDPV12</stp>
        <stp>SE30 Index</stp>
        <stp>INTERVAL_HIGH</stp>
        <stp>[Index.xlsm]全球指數!R29C16</stp>
        <stp>MARKET_DATA_OVERRIDE=PE_RATIO</stp>
        <stp>CALC_INTERVAL=5y</stp>
        <stp>BEST_FPERIOD_OVERRIDE=BF</stp>
        <tr r="P29" s="1"/>
      </tp>
      <tp>
        <v>2.5565889999999998</v>
        <stp/>
        <stp>##V3_BDPV12</stp>
        <stp>LUXXR Index</stp>
        <stp>CHG_PCT_3M</stp>
        <stp>[Index.xlsm]全球指數!R126C12</stp>
        <tr r="L126" s="1"/>
      </tp>
      <tp>
        <v>-1.214459</v>
        <stp/>
        <stp>##V3_BDPV12</stp>
        <stp>CUTL Index</stp>
        <stp>CHG_PCT_5D</stp>
        <stp>[Index.xlsm]全球指數!R107C10</stp>
        <tr r="J107" s="1"/>
      </tp>
      <tp>
        <v>1.2422359999999999</v>
        <stp/>
        <stp>##V3_BDPV12</stp>
        <stp>BVLX Index</stp>
        <stp>PR064</stp>
        <stp>[Index.xlsm]全球指數!R69C14</stp>
        <tr r="N69" s="1"/>
      </tp>
      <tp>
        <v>1603.0840000000001</v>
        <stp/>
        <stp>##V3_BDPV12</stp>
        <stp>XOI Index</stp>
        <stp>HIGH_52WEEK</stp>
        <stp>[Index.xlsm]全球指數!R40C6</stp>
        <tr r="F40" s="1"/>
      </tp>
      <tp>
        <v>29.834740361124414</v>
        <stp/>
        <stp>##V3_BDPV12</stp>
        <stp>HEXP Index</stp>
        <stp>INTERVAL_HIGH</stp>
        <stp>[Index.xlsm]全球指數!R93C16</stp>
        <stp>MARKET_DATA_OVERRIDE=PE_RATIO</stp>
        <stp>CALC_INTERVAL=5y</stp>
        <stp>BEST_FPERIOD_OVERRIDE=BF</stp>
        <tr r="P93" s="1"/>
      </tp>
      <tp>
        <v>3.9671720000000001</v>
        <stp/>
        <stp>##V3_BDPV12</stp>
        <stp>SPR Index</stp>
        <stp>CHG_PCT_1M</stp>
        <stp>[Index.xlsm]全球指數!R135C11</stp>
        <tr r="K135" s="1"/>
      </tp>
      <tp>
        <v>35.447825651798688</v>
        <stp/>
        <stp>##V3_BDPV12</stp>
        <stp>TSEREIT Index</stp>
        <stp>INTERVAL_HIGH</stp>
        <stp>[Index.xlsm]全球指數!R309C16</stp>
        <stp>MARKET_DATA_OVERRIDE=PE_RATIO</stp>
        <stp>CALC_INTERVAL=5y</stp>
        <stp>BEST_FPERIOD_OVERRIDE=BF</stp>
        <tr r="P309" s="1"/>
      </tp>
      <tp>
        <v>18.67126</v>
        <stp/>
        <stp>##V3_BDPV12</stp>
        <stp>XAU Index</stp>
        <stp>CHG_PCT_6M</stp>
        <stp>[Index.xlsm]全球指數!R251C13</stp>
        <tr r="M251" s="1"/>
      </tp>
      <tp>
        <v>10810.55</v>
        <stp/>
        <stp>##V3_BDPV12</stp>
        <stp>DSM Index</stp>
        <stp>HIGH_52WEEK</stp>
        <stp>[Index.xlsm]全球指數!R143C6</stp>
        <tr r="F143" s="1"/>
      </tp>
      <tp>
        <v>2.2589540000000001</v>
        <stp/>
        <stp>##V3_BDPV12</stp>
        <stp>UTIL Index</stp>
        <stp>CHG_PCT_5D</stp>
        <stp>[Index.xlsm]全球指數!R305C10</stp>
        <tr r="J305" s="1"/>
      </tp>
      <tp>
        <v>0.47736669999999998</v>
        <stp/>
        <stp>##V3_BDPV12</stp>
        <stp>HSFML25 Index</stp>
        <stp>CHG_PCT_1D</stp>
        <stp>[Index.xlsm]全球指數!R81C5</stp>
        <tr r="E81" s="1"/>
      </tp>
      <tp t="s">
        <v>#N/A N/A</v>
        <stp/>
        <stp>##V3_BDPV12</stp>
        <stp>SZSMEC Index</stp>
        <stp>INTERVAL_Low</stp>
        <stp>[Index.xlsm]全球指數!R9C17</stp>
        <stp>MARKET_DATA_OVERRIDE=PE_RATIO</stp>
        <stp>CALC_INTERVAL=5y</stp>
        <stp>BEST_FPERIOD_OVERRIDE=BF</stp>
        <tr r="Q9" s="1"/>
      </tp>
      <tp>
        <v>392.57</v>
        <stp/>
        <stp>##V3_BDPV12</stp>
        <stp>TPELEC Index</stp>
        <stp>LOW_52WEEK</stp>
        <stp>[Index.xlsm]主要產業!R42C8</stp>
        <tr r="H42" s="2"/>
      </tp>
      <tp>
        <v>1441.43</v>
        <stp/>
        <stp>##V3_BDPV12</stp>
        <stp>HSCITC Index</stp>
        <stp>LOW_52WEEK</stp>
        <stp>[Index.xlsm]主要產業!R67C8</stp>
        <tr r="H67" s="2"/>
      </tp>
      <tp>
        <v>0.18025969999999999</v>
        <stp/>
        <stp>##V3_BDPV12</stp>
        <stp>TWSERUB Index</stp>
        <stp>CHG_PCT_1D</stp>
        <stp>[Index.xlsm]主要產業!R89C5</stp>
        <tr r="E89" s="2"/>
      </tp>
      <tp>
        <v>157.91</v>
        <stp/>
        <stp>##V3_BDPV12</stp>
        <stp>TWSECEM Index</stp>
        <stp>PX_LAST</stp>
        <stp>[Index.xlsm]主要產業!R88C4</stp>
        <tr r="D88" s="2"/>
      </tp>
      <tp>
        <v>4.9385370000000002</v>
        <stp/>
        <stp>##V3_BDPV12</stp>
        <stp>INDU INDEX</stp>
        <stp>CHG_PCT_6M</stp>
        <stp>[Index.xlsm]主要產業!R2C51</stp>
        <tr r="AY2" s="2"/>
      </tp>
      <tp>
        <v>1.374241</v>
        <stp/>
        <stp>##V3_BDPV12</stp>
        <stp>INDU INDEX</stp>
        <stp>CHG_PCT_3M</stp>
        <stp>[Index.xlsm]主要產業!R2C50</stp>
        <tr r="AX2" s="2"/>
      </tp>
      <tp>
        <v>-0.75169090000000005</v>
        <stp/>
        <stp>##V3_BDPV12</stp>
        <stp>INDU INDEX</stp>
        <stp>CHG_PCT_5D</stp>
        <stp>[Index.xlsm]主要產業!R2C48</stp>
        <tr r="AV2" s="2"/>
      </tp>
      <tp>
        <v>4.3185010000000004</v>
        <stp/>
        <stp>##V3_BDPV12</stp>
        <stp>INDU INDEX</stp>
        <stp>CHG_PCT_1M</stp>
        <stp>[Index.xlsm]主要產業!R2C49</stp>
        <tr r="AW2" s="2"/>
      </tp>
      <tp>
        <v>-0.29509790000000002</v>
        <stp/>
        <stp>##V3_BDPV12</stp>
        <stp>INDU INDEX</stp>
        <stp>CHG_PCT_1D</stp>
        <stp>[Index.xlsm]主要產業!R2C43</stp>
        <tr r="AQ2" s="2"/>
      </tp>
      <tp t="s">
        <v>US</v>
        <stp/>
        <stp>##V3_BDPV12</stp>
        <stp>S5tech Index</stp>
        <stp>DS003</stp>
        <stp>[Index.xlsm]主要產業!R11C3</stp>
        <tr r="C11" s="2"/>
      </tp>
      <tp>
        <v>4910.9690000000001</v>
        <stp/>
        <stp>##V3_BDPV12</stp>
        <stp>MALTEX Index</stp>
        <stp>HIGH_52WEEK</stp>
        <stp>[Index.xlsm]全球指數!R284C6</stp>
        <tr r="F284" s="1"/>
      </tp>
      <tp>
        <v>-24.56033</v>
        <stp/>
        <stp>##V3_BDPV12</stp>
        <stp>KOSDAQ Index</stp>
        <stp>CHG_PCT_1YR</stp>
        <stp>[Index.xlsm]全球指數!R18C15</stp>
        <tr r="O18" s="1"/>
      </tp>
      <tp>
        <v>2.2312059999999998</v>
        <stp/>
        <stp>##V3_BDPV12</stp>
        <stp>MALTEX Index</stp>
        <stp>PR064</stp>
        <stp>[Index.xlsm]全球指數!R284C14</stp>
        <tr r="N284" s="1"/>
      </tp>
      <tp>
        <v>64.286692972545481</v>
        <stp/>
        <stp>##V3_BDPV12</stp>
        <stp>TUSISE Index</stp>
        <stp>INTERVAL_HIGH</stp>
        <stp>[Index.xlsm]全球指數!R221C16</stp>
        <stp>MARKET_DATA_OVERRIDE=PE_RATIO</stp>
        <stp>CALC_INTERVAL=5y</stp>
        <stp>BEST_FPERIOD_OVERRIDE=BF</stp>
        <tr r="P221" s="1"/>
      </tp>
      <tp>
        <v>3505.13</v>
        <stp/>
        <stp>##V3_BDPV12</stp>
        <stp>HSCI Index</stp>
        <stp>PX_LAST</stp>
        <stp>[Index.xlsm]全球指數!R60C4</stp>
        <tr r="D60" s="1"/>
      </tp>
      <tp>
        <v>555.04433258450172</v>
        <stp/>
        <stp>##V3_BDPV12</stp>
        <stp>XAX Index</stp>
        <stp>INTERVAL_HIGH</stp>
        <stp>[Index.xlsm]全球指數!R39C16</stp>
        <stp>MARKET_DATA_OVERRIDE=PE_RATIO</stp>
        <stp>CALC_INTERVAL=5y</stp>
        <stp>BEST_FPERIOD_OVERRIDE=BF</stp>
        <tr r="P39" s="1"/>
      </tp>
      <tp>
        <v>25.626803154354537</v>
        <stp/>
        <stp>##V3_BDPV12</stp>
        <stp>SMIM Index</stp>
        <stp>INTERVAL_HIGH</stp>
        <stp>[Index.xlsm]全球指數!R199C16</stp>
        <stp>MARKET_DATA_OVERRIDE=PE_RATIO</stp>
        <stp>CALC_INTERVAL=5y</stp>
        <stp>BEST_FPERIOD_OVERRIDE=BF</stp>
        <tr r="P199" s="1"/>
      </tp>
      <tp>
        <v>36.09228953768104</v>
        <stp/>
        <stp>##V3_BDPV12</stp>
        <stp>CFIN Index</stp>
        <stp>INTERVAL_HIGH</stp>
        <stp>[Index.xlsm]全球指數!R137C16</stp>
        <stp>MARKET_DATA_OVERRIDE=PE_RATIO</stp>
        <stp>CALC_INTERVAL=5y</stp>
        <stp>BEST_FPERIOD_OVERRIDE=BF</stp>
        <tr r="P137" s="1"/>
      </tp>
      <tp>
        <v>23.123803488978599</v>
        <stp/>
        <stp>##V3_BDPV12</stp>
        <stp>UTIL Index</stp>
        <stp>INTERVAL_HIGH</stp>
        <stp>[Index.xlsm]全球指數!R305C16</stp>
        <stp>MARKET_DATA_OVERRIDE=PE_RATIO</stp>
        <stp>CALC_INTERVAL=5y</stp>
        <stp>BEST_FPERIOD_OVERRIDE=BF</stp>
        <tr r="P305" s="1"/>
      </tp>
      <tp>
        <v>-7.2088000000000001</v>
        <stp/>
        <stp>##V3_BDPV12</stp>
        <stp>KSE Index</stp>
        <stp>PR064</stp>
        <stp>[Index.xlsm]全球指數!R89C14</stp>
        <tr r="N89" s="1"/>
      </tp>
      <tp>
        <v>1.331442</v>
        <stp/>
        <stp>##V3_BDPV12</stp>
        <stp>ITSTAR Index</stp>
        <stp>PR064</stp>
        <stp>[Index.xlsm]全球指數!R158C14</stp>
        <tr r="N158" s="1"/>
      </tp>
      <tp t="s">
        <v>#N/A N/A</v>
        <stp/>
        <stp>##V3_BDPV12</stp>
        <stp>NYID Index</stp>
        <stp>INTERVAL_HIGH</stp>
        <stp>[Index.xlsm]全球指數!R148C16</stp>
        <stp>MARKET_DATA_OVERRIDE=PE_RATIO</stp>
        <stp>CALC_INTERVAL=5y</stp>
        <stp>BEST_FPERIOD_OVERRIDE=BF</stp>
        <tr r="P148" s="1"/>
      </tp>
      <tp>
        <v>1140.57</v>
        <stp/>
        <stp>##V3_BDPV12</stp>
        <stp>CDAX Index</stp>
        <stp>PX_LAST</stp>
        <stp>[Index.xlsm]全球指數!R82C4</stp>
        <tr r="D82" s="1"/>
      </tp>
      <tp>
        <v>10428.959999999999</v>
        <stp/>
        <stp>##V3_BDPV12</stp>
        <stp>SZSMEC Index</stp>
        <stp>HIGH_52WEEK</stp>
        <stp>[Index.xlsm]全球指數!R9C6</stp>
        <tr r="F9" s="1"/>
      </tp>
      <tp>
        <v>4805.0879483303561</v>
        <stp/>
        <stp>##V3_BDPV12</stp>
        <stp>XOI Index</stp>
        <stp>INTERVAL_HIGH</stp>
        <stp>[Index.xlsm]全球指數!R40C16</stp>
        <stp>MARKET_DATA_OVERRIDE=PE_RATIO</stp>
        <stp>CALC_INTERVAL=5y</stp>
        <stp>BEST_FPERIOD_OVERRIDE=BF</stp>
        <tr r="P40" s="1"/>
      </tp>
      <tp>
        <v>0.65919669999999997</v>
        <stp/>
        <stp>##V3_BDPV12</stp>
        <stp>ITSTAR Index</stp>
        <stp>CHG_PCT_6M</stp>
        <stp>[Index.xlsm]全球指數!R158C13</stp>
        <tr r="M158" s="1"/>
      </tp>
      <tp>
        <v>886.24</v>
        <stp/>
        <stp>##V3_BDPV12</stp>
        <stp>TSEMOTHR Index</stp>
        <stp>PX_LAST</stp>
        <stp>[Index.xlsm]全球指數!R313C4</stp>
        <tr r="D313" s="1"/>
      </tp>
      <tp>
        <v>9.8468520000000002</v>
        <stp/>
        <stp>##V3_BDPV12</stp>
        <stp>BIRS Index</stp>
        <stp>CHG_PCT_1YR</stp>
        <stp>[Index.xlsm]全球指數!R152C15</stp>
        <tr r="O152" s="1"/>
      </tp>
      <tp>
        <v>1593</v>
        <stp/>
        <stp>##V3_BDPV12</stp>
        <stp>FBMKLCI Index</stp>
        <stp>PX_LAST</stp>
        <stp>[Index.xlsm]全球指數!R226C4</stp>
        <tr r="D226" s="1"/>
      </tp>
      <tp>
        <v>7.9209920496516757</v>
        <stp/>
        <stp>##V3_BDPV12</stp>
        <stp>HSFML25 Index</stp>
        <stp>PE_RATIO</stp>
        <stp>[Index.xlsm]全球指數!R81C18</stp>
        <tr r="R81" s="1"/>
      </tp>
      <tp>
        <v>-18.1752</v>
        <stp/>
        <stp>##V3_BDPV12</stp>
        <stp>BLOM Index</stp>
        <stp>CHG_PCT_1YR</stp>
        <stp>[Index.xlsm]全球指數!R259C15</stp>
        <tr r="O259" s="1"/>
      </tp>
      <tp>
        <v>0.12756500000000001</v>
        <stp/>
        <stp>##V3_BDPV12</stp>
        <stp>NKY Index</stp>
        <stp>CHG_PCT_1D</stp>
        <stp>[Index.xlsm]全球指數!R264C5</stp>
        <tr r="E264" s="1"/>
      </tp>
      <tp>
        <v>2439.71</v>
        <stp/>
        <stp>##V3_BDPV12</stp>
        <stp>KNSMIDX Index</stp>
        <stp>PX_LAST</stp>
        <stp>[Index.xlsm]全球指數!R269C4</stp>
        <tr r="D269" s="1"/>
      </tp>
      <tp>
        <v>0.7351529</v>
        <stp/>
        <stp>##V3_BDPV12</stp>
        <stp>NMX Index</stp>
        <stp>CHG_PCT_1D</stp>
        <stp>[Index.xlsm]全球指數!R212C5</stp>
        <tr r="E212" s="1"/>
      </tp>
      <tp t="s">
        <v>AR</v>
        <stp/>
        <stp>##V3_BDPV12</stp>
        <stp>IBG Index</stp>
        <stp>DS003</stp>
        <stp>[Index.xlsm]全球指數!R3C3</stp>
        <tr r="C3" s="1"/>
      </tp>
      <tp>
        <v>540.61</v>
        <stp/>
        <stp>##V3_BDPV12</stp>
        <stp>SPR Index</stp>
        <stp>LOW_52WEEK</stp>
        <stp>[Index.xlsm]全球指數!R135C8</stp>
        <tr r="H135" s="1"/>
      </tp>
      <tp>
        <v>0.9671381</v>
        <stp/>
        <stp>##V3_BDPV12</stp>
        <stp>SMI Index</stp>
        <stp>CHG_PCT_1D</stp>
        <stp>[Index.xlsm]全球指數!R192C5</stp>
        <tr r="E192" s="1"/>
      </tp>
      <tp>
        <v>53243.4296875</v>
        <stp/>
        <stp>##V3_BDPV12</stp>
        <stp>IRT Index</stp>
        <stp>LOW_52WEEK</stp>
        <stp>[Index.xlsm]全球指數!R237C8</stp>
        <tr r="H237" s="1"/>
      </tp>
      <tp>
        <v>4.0912750000000004</v>
        <stp/>
        <stp>##V3_BDPV12</stp>
        <stp>IBVC Index</stp>
        <stp>CHG_PCT_5D</stp>
        <stp>[Index.xlsm]全球指數!R312C10</stp>
        <tr r="J312" s="1"/>
      </tp>
      <tp>
        <v>-0.77783389999999997</v>
        <stp/>
        <stp>##V3_BDPV12</stp>
        <stp>ITMC Index</stp>
        <stp>CHG_PCT_5D</stp>
        <stp>[Index.xlsm]全球指數!R163C10</stp>
        <tr r="J163" s="1"/>
      </tp>
      <tp>
        <v>-2.9927450000000002</v>
        <stp/>
        <stp>##V3_BDPV12</stp>
        <stp>LUXXX Index</stp>
        <stp>CHG_PCT_6M</stp>
        <stp>[Index.xlsm]全球指數!R127C13</stp>
        <tr r="M127" s="1"/>
      </tp>
      <tp>
        <v>1.741425</v>
        <stp/>
        <stp>##V3_BDPV12</stp>
        <stp>MSPE Index</stp>
        <stp>CHG_PCT_3M</stp>
        <stp>[Index.xlsm]全球指數!R207C12</stp>
        <tr r="L207" s="1"/>
      </tp>
      <tp>
        <v>2.767541</v>
        <stp/>
        <stp>##V3_BDPV12</stp>
        <stp>NZSE Index</stp>
        <stp>CHG_PCT_3M</stp>
        <stp>[Index.xlsm]全球指數!R238C12</stp>
        <tr r="L238" s="1"/>
      </tp>
      <tp>
        <v>-1.0951329999999999</v>
        <stp/>
        <stp>##V3_BDPV12</stp>
        <stp>HDAX Index</stp>
        <stp>CHG_PCT_1YR</stp>
        <stp>[Index.xlsm]全球指數!R86C15</stp>
        <tr r="O86" s="1"/>
      </tp>
      <tp>
        <v>2.120234</v>
        <stp/>
        <stp>##V3_BDPV12</stp>
        <stp>SXXE Index</stp>
        <stp>CHG_PCT_3M</stp>
        <stp>[Index.xlsm]全球指數!R156C12</stp>
        <tr r="L156" s="1"/>
      </tp>
      <tp>
        <v>2.6086619999999998</v>
        <stp/>
        <stp>##V3_BDPV12</stp>
        <stp>SX5E Index</stp>
        <stp>CHG_PCT_3M</stp>
        <stp>[Index.xlsm]全球指數!R184C12</stp>
        <tr r="L184" s="1"/>
      </tp>
      <tp>
        <v>8.0935670000000002</v>
        <stp/>
        <stp>##V3_BDPV12</stp>
        <stp>NIFTY Index</stp>
        <stp>CHG_PCT_5D</stp>
        <stp>[Index.xlsm]全球指數!R319C10</stp>
        <tr r="J319" s="1"/>
      </tp>
      <tp>
        <v>-1.570333</v>
        <stp/>
        <stp>##V3_BDPV12</stp>
        <stp>TALSE Index</stp>
        <stp>CHG_PCT_3M</stp>
        <stp>[Index.xlsm]全球指數!R247C12</stp>
        <tr r="L247" s="1"/>
      </tp>
      <tp>
        <v>0.32150919999999999</v>
        <stp/>
        <stp>##V3_BDPV12</stp>
        <stp>RIGSE Index</stp>
        <stp>CHG_PCT_5D</stp>
        <stp>[Index.xlsm]全球指數!R260C10</stp>
        <tr r="J260" s="1"/>
      </tp>
      <tp>
        <v>3865.8829999999998</v>
        <stp/>
        <stp>##V3_BDPV12</stp>
        <stp>NBI Index</stp>
        <stp>HIGH_52WEEK</stp>
        <stp>[Index.xlsm]全球指數!R12C6</stp>
        <tr r="F12" s="1"/>
      </tp>
      <tp>
        <v>-1.713074</v>
        <stp/>
        <stp>##V3_BDPV12</stp>
        <stp>MDAX Index</stp>
        <stp>CHG_PCT_1YR</stp>
        <stp>[Index.xlsm]全球指數!R85C15</stp>
        <tr r="O85" s="1"/>
      </tp>
      <tp>
        <v>0.91043960000000002</v>
        <stp/>
        <stp>##V3_BDPV12</stp>
        <stp>TWSE Index</stp>
        <stp>CHG_PCT_3M</stp>
        <stp>[Index.xlsm]全球指數!R225C12</stp>
        <tr r="L225" s="1"/>
      </tp>
      <tp>
        <v>2029.21</v>
        <stp/>
        <stp>##V3_BDPV12</stp>
        <stp>MID Index</stp>
        <stp>HIGH_52WEEK</stp>
        <stp>[Index.xlsm]全球指數!R175C6</stp>
        <tr r="F175" s="1"/>
      </tp>
      <tp>
        <v>1554.71</v>
        <stp/>
        <stp>##V3_BDPV12</stp>
        <stp>SLI Index</stp>
        <stp>HIGH_52WEEK</stp>
        <stp>[Index.xlsm]全球指數!R118C6</stp>
        <tr r="F118" s="1"/>
      </tp>
      <tp>
        <v>-1.1946000000000001</v>
        <stp/>
        <stp>##V3_BDPV12</stp>
        <stp>VALUA Index</stp>
        <stp>CHG_PCT_5D</stp>
        <stp>[Index.xlsm]全球指數!R112C10</stp>
        <tr r="J112" s="1"/>
      </tp>
      <tp>
        <v>-9.2486489999999994E-3</v>
        <stp/>
        <stp>##V3_BDPV12</stp>
        <stp>VILSE Index</stp>
        <stp>CHG_PCT_1M</stp>
        <stp>[Index.xlsm]全球指數!R181C11</stp>
        <tr r="K181" s="1"/>
      </tp>
      <tp>
        <v>-0.48684430000000001</v>
        <stp/>
        <stp>##V3_BDPV12</stp>
        <stp>BVLX Index</stp>
        <stp>CHG_PCT_1YR</stp>
        <stp>[Index.xlsm]全球指數!R69C15</stp>
        <tr r="O69" s="1"/>
      </tp>
      <tp>
        <v>-2.9632529999999999</v>
        <stp/>
        <stp>##V3_BDPV12</stp>
        <stp>CDAX Index</stp>
        <stp>CHG_PCT_1YR</stp>
        <stp>[Index.xlsm]全球指數!R82C15</stp>
        <tr r="O82" s="1"/>
      </tp>
      <tp>
        <v>-6.6754379999999998</v>
        <stp/>
        <stp>##V3_BDPV12</stp>
        <stp>CHTX Index</stp>
        <stp>CHG_PCT_1YR</stp>
        <stp>[Index.xlsm]全球指數!R27C15</stp>
        <tr r="O27" s="1"/>
      </tp>
      <tp>
        <v>3.7537600000000002</v>
        <stp/>
        <stp>##V3_BDPV12</stp>
        <stp>COLIR Index</stp>
        <stp>CHG_PCT_3M</stp>
        <stp>[Index.xlsm]全球指數!R267C12</stp>
        <tr r="L267" s="1"/>
      </tp>
      <tp>
        <v>11.876709999999999</v>
        <stp/>
        <stp>##V3_BDPV12</stp>
        <stp>TSEREIT Index</stp>
        <stp>PR064</stp>
        <stp>[Index.xlsm]全球指數!R309C14</stp>
        <tr r="N309" s="1"/>
      </tp>
      <tp>
        <v>-1.063126</v>
        <stp/>
        <stp>##V3_BDPV12</stp>
        <stp>RAY Index</stp>
        <stp>CHG_PCT_5D</stp>
        <stp>[Index.xlsm]全球指數!R122C10</stp>
        <tr r="J122" s="1"/>
      </tp>
      <tp>
        <v>-1.010507</v>
        <stp/>
        <stp>##V3_BDPV12</stp>
        <stp>RIY Index</stp>
        <stp>CHG_PCT_5D</stp>
        <stp>[Index.xlsm]全球指數!R129C10</stp>
        <tr r="J129" s="1"/>
      </tp>
      <tp>
        <v>-0.25038899999999997</v>
        <stp/>
        <stp>##V3_BDPV12</stp>
        <stp>IMOEX Index</stp>
        <stp>CHG_PCT_3M</stp>
        <stp>[Index.xlsm]全球指數!R159C12</stp>
        <tr r="L159" s="1"/>
      </tp>
      <tp>
        <v>-1.477069</v>
        <stp/>
        <stp>##V3_BDPV12</stp>
        <stp>INMEX Index</stp>
        <stp>CHG_PCT_3M</stp>
        <stp>[Index.xlsm]全球指數!R228C12</stp>
        <tr r="L228" s="1"/>
      </tp>
      <tp>
        <v>1.918388</v>
        <stp/>
        <stp>##V3_BDPV12</stp>
        <stp>UTY Index</stp>
        <stp>CHG_PCT_5D</stp>
        <stp>[Index.xlsm]全球指數!R303C10</stp>
        <tr r="J303" s="1"/>
      </tp>
      <tp>
        <v>0.39857120000000001</v>
        <stp/>
        <stp>##V3_BDPV12</stp>
        <stp>NKY Index</stp>
        <stp>CHG_PCT_5D</stp>
        <stp>[Index.xlsm]全球指數!R264C10</stp>
        <tr r="J264" s="1"/>
      </tp>
      <tp>
        <v>0.82423029999999997</v>
        <stp/>
        <stp>##V3_BDPV12</stp>
        <stp>NEY Index</stp>
        <stp>CHG_PCT_5D</stp>
        <stp>[Index.xlsm]全球指數!R282C10</stp>
        <tr r="J282" s="1"/>
      </tp>
      <tp>
        <v>-13.706569999999999</v>
        <stp/>
        <stp>##V3_BDPV12</stp>
        <stp>TPXSM Index</stp>
        <stp>CHG_PCT_1YR</stp>
        <stp>[Index.xlsm]全球指數!R307C15</stp>
        <tr r="O307" s="1"/>
      </tp>
      <tp>
        <v>3.614897</v>
        <stp/>
        <stp>##V3_BDPV12</stp>
        <stp>SPTSX Index</stp>
        <stp>CHG_PCT_1YR</stp>
        <stp>[Index.xlsm]全球指數!R200C15</stp>
        <tr r="O200" s="1"/>
      </tp>
      <tp>
        <v>10.273782508219641</v>
        <stp/>
        <stp>##V3_BDPV12</stp>
        <stp>HERMES Index</stp>
        <stp>INTERVAL_Low</stp>
        <stp>[Index.xlsm]全球指數!R6C17</stp>
        <stp>MARKET_DATA_OVERRIDE=PE_RATIO</stp>
        <stp>CALC_INTERVAL=5y</stp>
        <stp>BEST_FPERIOD_OVERRIDE=BF</stp>
        <tr r="Q6" s="1"/>
      </tp>
      <tp>
        <v>8.6635419999999996</v>
        <stp/>
        <stp>##V3_BDPV12</stp>
        <stp>SOX INDEX</stp>
        <stp>CHG_PCT_1M</stp>
        <stp>[Index.xlsm]主要產業!R6C49</stp>
        <tr r="AW6" s="2"/>
      </tp>
      <tp>
        <v>-0.75216209999999994</v>
        <stp/>
        <stp>##V3_BDPV12</stp>
        <stp>SOX INDEX</stp>
        <stp>CHG_PCT_5D</stp>
        <stp>[Index.xlsm]主要產業!R6C48</stp>
        <tr r="AV6" s="2"/>
      </tp>
      <tp>
        <v>3.361687E-2</v>
        <stp/>
        <stp>##V3_BDPV12</stp>
        <stp>SOX INDEX</stp>
        <stp>CHG_PCT_1D</stp>
        <stp>[Index.xlsm]主要產業!R6C43</stp>
        <tr r="AQ6" s="2"/>
      </tp>
      <tp>
        <v>8.4561910000000005</v>
        <stp/>
        <stp>##V3_BDPV12</stp>
        <stp>SOX INDEX</stp>
        <stp>CHG_PCT_3M</stp>
        <stp>[Index.xlsm]主要產業!R6C50</stp>
        <tr r="AX6" s="2"/>
      </tp>
      <tp>
        <v>14.79227</v>
        <stp/>
        <stp>##V3_BDPV12</stp>
        <stp>SOX INDEX</stp>
        <stp>CHG_PCT_6M</stp>
        <stp>[Index.xlsm]主要產業!R6C51</stp>
        <tr r="AY6" s="2"/>
      </tp>
      <tp>
        <v>30.36</v>
        <stp/>
        <stp>##V3_BDPV12</stp>
        <stp>TWSEOPE Index</stp>
        <stp>LOW_52WEEK</stp>
        <stp>[Index.xlsm]主要產業!R78C8</stp>
        <tr r="H78" s="2"/>
      </tp>
      <tp>
        <v>6933.93</v>
        <stp/>
        <stp>##V3_BDPV12</stp>
        <stp>HSCIUT Index</stp>
        <stp>LOW_52WEEK</stp>
        <stp>[Index.xlsm]主要產業!R68C8</stp>
        <tr r="H68" s="2"/>
      </tp>
      <tp>
        <v>4030.76</v>
        <stp/>
        <stp>##V3_BDPV12</stp>
        <stp>HSCICG Index</stp>
        <stp>LOW_52WEEK</stp>
        <stp>[Index.xlsm]主要產業!R58C8</stp>
        <tr r="H58" s="2"/>
      </tp>
      <tp>
        <v>1.8017650000000001</v>
        <stp/>
        <stp>##V3_BDPV12</stp>
        <stp>SPX INDEX</stp>
        <stp>CHG_PCT_3M</stp>
        <stp>[Index.xlsm]主要產業!R4C50</stp>
        <tr r="AX4" s="2"/>
      </tp>
      <tp>
        <v>6.1400100000000002</v>
        <stp/>
        <stp>##V3_BDPV12</stp>
        <stp>SPX INDEX</stp>
        <stp>CHG_PCT_6M</stp>
        <stp>[Index.xlsm]主要產業!R4C51</stp>
        <tr r="AY4" s="2"/>
      </tp>
      <tp>
        <v>3.780208</v>
        <stp/>
        <stp>##V3_BDPV12</stp>
        <stp>SPX INDEX</stp>
        <stp>CHG_PCT_1M</stp>
        <stp>[Index.xlsm]主要產業!R4C49</stp>
        <tr r="AW4" s="2"/>
      </tp>
      <tp>
        <v>-0.97013890000000003</v>
        <stp/>
        <stp>##V3_BDPV12</stp>
        <stp>SPX INDEX</stp>
        <stp>CHG_PCT_5D</stp>
        <stp>[Index.xlsm]主要產業!R4C48</stp>
        <tr r="AV4" s="2"/>
      </tp>
      <tp>
        <v>-0.24289169999999999</v>
        <stp/>
        <stp>##V3_BDPV12</stp>
        <stp>SPX INDEX</stp>
        <stp>CHG_PCT_1D</stp>
        <stp>[Index.xlsm]主要產業!R4C43</stp>
        <tr r="AQ4" s="2"/>
      </tp>
      <tp>
        <v>161.41</v>
        <stp/>
        <stp>##V3_BDPV12</stp>
        <stp>SX7P INDEX</stp>
        <stp>HIGH_52WEEK</stp>
        <stp>[Index.xlsm]主要產業!R21C6</stp>
        <tr r="F21" s="2"/>
      </tp>
      <tp>
        <v>0.17354249999999999</v>
        <stp/>
        <stp>##V3_BDPV12</stp>
        <stp>TWSEELEC Index</stp>
        <stp>CHG_PCT_1D</stp>
        <stp>[Index.xlsm]主要產業!R69C5</stp>
        <tr r="E69" s="2"/>
      </tp>
      <tp>
        <v>174.28</v>
        <stp/>
        <stp>##V3_BDPV12</stp>
        <stp>TWSEAUTO Index</stp>
        <stp>LOW_52WEEK</stp>
        <stp>[Index.xlsm]主要產業!R83C8</stp>
        <tr r="H83" s="2"/>
      </tp>
      <tp>
        <v>23.773816237692355</v>
        <stp/>
        <stp>##V3_BDPV12</stp>
        <stp>SPTSX Index</stp>
        <stp>INTERVAL_HIGH</stp>
        <stp>[Index.xlsm]全球指數!R200C16</stp>
        <stp>MARKET_DATA_OVERRIDE=PE_RATIO</stp>
        <stp>CALC_INTERVAL=5y</stp>
        <stp>BEST_FPERIOD_OVERRIDE=BF</stp>
        <tr r="P200" s="1"/>
      </tp>
      <tp>
        <v>16.904797695353494</v>
        <stp/>
        <stp>##V3_BDPV12</stp>
        <stp>KWSEMM Index</stp>
        <stp>INTERVAL_HIGH</stp>
        <stp>[Index.xlsm]全球指數!R291C16</stp>
        <stp>MARKET_DATA_OVERRIDE=PE_RATIO</stp>
        <stp>CALC_INTERVAL=5y</stp>
        <stp>BEST_FPERIOD_OVERRIDE=BF</stp>
        <tr r="P291" s="1"/>
      </tp>
      <tp>
        <v>133.51468593813746</v>
        <stp/>
        <stp>##V3_BDPV12</stp>
        <stp>FTASE Index</stp>
        <stp>INTERVAL_HIGH</stp>
        <stp>[Index.xlsm]全球指數!R141C16</stp>
        <stp>MARKET_DATA_OVERRIDE=PE_RATIO</stp>
        <stp>CALC_INTERVAL=5y</stp>
        <stp>BEST_FPERIOD_OVERRIDE=BF</stp>
        <tr r="P141" s="1"/>
      </tp>
      <tp>
        <v>45.765355280096081</v>
        <stp/>
        <stp>##V3_BDPV12</stp>
        <stp>COLSC Index</stp>
        <stp>INTERVAL_HIGH</stp>
        <stp>[Index.xlsm]全球指數!R256C16</stp>
        <stp>MARKET_DATA_OVERRIDE=PE_RATIO</stp>
        <stp>CALC_INTERVAL=5y</stp>
        <stp>BEST_FPERIOD_OVERRIDE=BF</stp>
        <tr r="P256" s="1"/>
      </tp>
      <tp>
        <v>18.032525683205531</v>
        <stp/>
        <stp>##V3_BDPV12</stp>
        <stp>BSE200 Index</stp>
        <stp>INTERVAL_Low</stp>
        <stp>[Index.xlsm]全球指數!R316C17</stp>
        <stp>MARKET_DATA_OVERRIDE=PE_RATIO</stp>
        <stp>CALC_INTERVAL=5y</stp>
        <stp>BEST_FPERIOD_OVERRIDE=BF</stp>
        <tr r="Q316" s="1"/>
      </tp>
      <tp>
        <v>320.99790000000002</v>
        <stp/>
        <stp>##V3_BDPV12</stp>
        <stp>SHBSHR Index</stp>
        <stp>HIGH_52WEEK</stp>
        <stp>[Index.xlsm]全球指數!R116C6</stp>
        <tr r="F116" s="1"/>
      </tp>
      <tp>
        <v>13.776949970704717</v>
        <stp/>
        <stp>##V3_BDPV12</stp>
        <stp>TPXM400 Index</stp>
        <stp>INTERVAL_Low</stp>
        <stp>[Index.xlsm]全球指數!R294C17</stp>
        <stp>MARKET_DATA_OVERRIDE=PE_RATIO</stp>
        <stp>CALC_INTERVAL=5y</stp>
        <stp>BEST_FPERIOD_OVERRIDE=BF</stp>
        <tr r="Q294" s="1"/>
      </tp>
      <tp>
        <v>18.991304876334752</v>
        <stp/>
        <stp>##V3_BDPV12</stp>
        <stp>TPXSM Index</stp>
        <stp>INTERVAL_HIGH</stp>
        <stp>[Index.xlsm]全球指數!R307C16</stp>
        <stp>MARKET_DATA_OVERRIDE=PE_RATIO</stp>
        <stp>CALC_INTERVAL=5y</stp>
        <stp>BEST_FPERIOD_OVERRIDE=BF</stp>
        <tr r="P307" s="1"/>
      </tp>
      <tp>
        <v>0.29376079999999999</v>
        <stp/>
        <stp>##V3_BDPV12</stp>
        <stp>BGSMDC Index</stp>
        <stp>CHG_PCT_5D</stp>
        <stp>[Index.xlsm]全球指數!R257C10</stp>
        <tr r="J257" s="1"/>
      </tp>
      <tp>
        <v>22.755490919960529</v>
        <stp/>
        <stp>##V3_BDPV12</stp>
        <stp>TALSE Index</stp>
        <stp>INTERVAL_HIGH</stp>
        <stp>[Index.xlsm]全球指數!R247C16</stp>
        <stp>MARKET_DATA_OVERRIDE=PE_RATIO</stp>
        <stp>CALC_INTERVAL=5y</stp>
        <stp>BEST_FPERIOD_OVERRIDE=BF</stp>
        <tr r="P247" s="1"/>
      </tp>
      <tp>
        <v>14.569667486345628</v>
        <stp/>
        <stp>##V3_BDPV12</stp>
        <stp>SBF250 Index</stp>
        <stp>INTERVAL_Low</stp>
        <stp>[Index.xlsm]全球指數!R164C17</stp>
        <stp>MARKET_DATA_OVERRIDE=PE_RATIO</stp>
        <stp>CALC_INTERVAL=5y</stp>
        <stp>BEST_FPERIOD_OVERRIDE=BF</stp>
        <tr r="Q164" s="1"/>
      </tp>
      <tp>
        <v>16.952784987134795</v>
        <stp/>
        <stp>##V3_BDPV12</stp>
        <stp>VILSE Index</stp>
        <stp>INTERVAL_HIGH</stp>
        <stp>[Index.xlsm]全球指數!R181C16</stp>
        <stp>MARKET_DATA_OVERRIDE=PE_RATIO</stp>
        <stp>CALC_INTERVAL=5y</stp>
        <stp>BEST_FPERIOD_OVERRIDE=BF</stp>
        <tr r="P181" s="1"/>
      </tp>
      <tp>
        <v>110.49233738798532</v>
        <stp/>
        <stp>##V3_BDPV12</stp>
        <stp>RIGSE Index</stp>
        <stp>INTERVAL_HIGH</stp>
        <stp>[Index.xlsm]全球指數!R260C16</stp>
        <stp>MARKET_DATA_OVERRIDE=PE_RATIO</stp>
        <stp>CALC_INTERVAL=5y</stp>
        <stp>BEST_FPERIOD_OVERRIDE=BF</stp>
        <tr r="P260" s="1"/>
      </tp>
      <tp>
        <v>-1.2041120000000001</v>
        <stp/>
        <stp>##V3_BDPV12</stp>
        <stp>SAXCME Index</stp>
        <stp>CHG_PCT_5D</stp>
        <stp>[Index.xlsm]全球指數!R109C10</stp>
        <tr r="J109" s="1"/>
      </tp>
      <tp>
        <v>16.103497414836962</v>
        <stp/>
        <stp>##V3_BDPV12</stp>
        <stp>BGSMDC Index</stp>
        <stp>INTERVAL_HIGH</stp>
        <stp>[Index.xlsm]全球指數!R257C16</stp>
        <stp>MARKET_DATA_OVERRIDE=PE_RATIO</stp>
        <stp>CALC_INTERVAL=5y</stp>
        <stp>BEST_FPERIOD_OVERRIDE=BF</stp>
        <tr r="P257" s="1"/>
      </tp>
      <tp>
        <v>8028.19</v>
        <stp/>
        <stp>##V3_BDPV12</stp>
        <stp>SASEIDX Index</stp>
        <stp>PX_LAST</stp>
        <stp>[Index.xlsm]全球指數!R308C4</stp>
        <tr r="D308" s="1"/>
      </tp>
      <tp>
        <v>12.024369999999999</v>
        <stp/>
        <stp>##V3_BDPV12</stp>
        <stp>CFIN Index</stp>
        <stp>CHG_PCT_1YR</stp>
        <stp>[Index.xlsm]全球指數!R137C15</stp>
        <tr r="O137" s="1"/>
      </tp>
      <tp>
        <v>21.545670000000001</v>
        <stp/>
        <stp>##V3_BDPV12</stp>
        <stp>CINS Index</stp>
        <stp>CHG_PCT_1YR</stp>
        <stp>[Index.xlsm]全球指數!R254C15</stp>
        <tr r="O254" s="1"/>
      </tp>
      <tp>
        <v>3.6063329999999998</v>
        <stp/>
        <stp>##V3_BDPV12</stp>
        <stp>CH30 Index</stp>
        <stp>CHG_PCT_1YR</stp>
        <stp>[Index.xlsm]全球指數!R157C15</stp>
        <tr r="O157" s="1"/>
      </tp>
      <tp>
        <v>-4.4096010000000003</v>
        <stp/>
        <stp>##V3_BDPV12</stp>
        <stp>CN20 Index</stp>
        <stp>CHG_PCT_1YR</stp>
        <stp>[Index.xlsm]全球指數!R172C15</stp>
        <tr r="O172" s="1"/>
      </tp>
      <tp>
        <v>-0.68759179999999998</v>
        <stp/>
        <stp>##V3_BDPV12</stp>
        <stp>BKX Index</stp>
        <stp>CHG_PCT_1D</stp>
        <stp>[Index.xlsm]全球指數!R105C5</stp>
        <tr r="E105" s="1"/>
      </tp>
      <tp>
        <v>2.0050119999999998</v>
        <stp/>
        <stp>##V3_BDPV12</stp>
        <stp>COMP Index</stp>
        <stp>CHG_PCT_1YR</stp>
        <stp>[Index.xlsm]全球指數!R217C15</stp>
        <tr r="O217" s="1"/>
      </tp>
      <tp>
        <v>13.68779</v>
        <stp/>
        <stp>##V3_BDPV12</stp>
        <stp>CRTX Index</stp>
        <stp>CHG_PCT_1YR</stp>
        <stp>[Index.xlsm]全球指數!R108C15</stp>
        <tr r="O108" s="1"/>
      </tp>
      <tp>
        <v>2346.58</v>
        <stp/>
        <stp>##V3_BDPV12</stp>
        <stp>SPX Index</stp>
        <stp>LOW_52WEEK</stp>
        <stp>[Index.xlsm]全球指數!R134C8</stp>
        <tr r="H134" s="1"/>
      </tp>
      <tp>
        <v>1914.38</v>
        <stp/>
        <stp>##V3_BDPV12</stp>
        <stp>BSX Index</stp>
        <stp>LOW_52WEEK</stp>
        <stp>[Index.xlsm]全球指數!R297C8</stp>
        <tr r="H297" s="1"/>
      </tp>
      <tp>
        <v>-0.59321740000000001</v>
        <stp/>
        <stp>##V3_BDPV12</stp>
        <stp>CUTL Index</stp>
        <stp>CHG_PCT_1YR</stp>
        <stp>[Index.xlsm]全球指數!R107C15</stp>
        <tr r="O107" s="1"/>
      </tp>
      <tp>
        <v>-9.9488710000000005</v>
        <stp/>
        <stp>##V3_BDPV12</stp>
        <stp>CTRN Index</stp>
        <stp>CHG_PCT_1YR</stp>
        <stp>[Index.xlsm]全球指數!R136C15</stp>
        <tr r="O136" s="1"/>
      </tp>
      <tp>
        <v>-0.85371620000000004</v>
        <stp/>
        <stp>##V3_BDPV12</stp>
        <stp>SZ399006 Index</stp>
        <stp>CHG_PCT_6M</stp>
        <stp>[Index.xlsm]全球指數!R8C13</stp>
        <tr r="M8" s="1"/>
      </tp>
      <tp>
        <v>-4.7964450000000003</v>
        <stp/>
        <stp>##V3_BDPV12</stp>
        <stp>SZ399006 Index</stp>
        <stp>CHG_PCT_5D</stp>
        <stp>[Index.xlsm]全球指數!R8C10</stp>
        <tr r="J8" s="1"/>
      </tp>
      <tp>
        <v>-0.26594810000000002</v>
        <stp/>
        <stp>##V3_BDPV12</stp>
        <stp>SZ399006 Index</stp>
        <stp>CHG_PCT_1M</stp>
        <stp>[Index.xlsm]全球指數!R8C11</stp>
        <tr r="K8" s="1"/>
      </tp>
      <tp>
        <v>6.4610640000000004</v>
        <stp/>
        <stp>##V3_BDPV12</stp>
        <stp>SZ399006 Index</stp>
        <stp>CHG_PCT_3M</stp>
        <stp>[Index.xlsm]全球指數!R8C12</stp>
        <tr r="L8" s="1"/>
      </tp>
      <tp>
        <v>1.0853870000000001</v>
        <stp/>
        <stp>##V3_BDPV12</stp>
        <stp>QMI Index</stp>
        <stp>CHG_PCT_1D</stp>
        <stp>[Index.xlsm]全球指數!R103C5</stp>
        <tr r="E103" s="1"/>
      </tp>
      <tp>
        <v>8027.1790000000001</v>
        <stp/>
        <stp>##V3_BDPV12</stp>
        <stp>NDX Index</stp>
        <stp>HIGH_52WEEK</stp>
        <stp>[Index.xlsm]全球指數!R75C6</stp>
        <tr r="F75" s="1"/>
      </tp>
      <tp>
        <v>-1.507663</v>
        <stp/>
        <stp>##V3_BDPV12</stp>
        <stp>FSTAS Index</stp>
        <stp>CHG_PCT_6M</stp>
        <stp>[Index.xlsm]全球指數!R133C13</stp>
        <tr r="M133" s="1"/>
      </tp>
      <tp>
        <v>3.7605339999999998</v>
        <stp/>
        <stp>##V3_BDPV12</stp>
        <stp>DWCF Index</stp>
        <stp>CHG_PCT_1M</stp>
        <stp>[Index.xlsm]全球指數!R121C11</stp>
        <tr r="K121" s="1"/>
      </tp>
      <tp>
        <v>0.27903480000000003</v>
        <stp/>
        <stp>##V3_BDPV12</stp>
        <stp>JSDA Index</stp>
        <stp>CHG_PCT_6M</stp>
        <stp>[Index.xlsm]全球指數!R302C13</stp>
        <tr r="M302" s="1"/>
      </tp>
      <tp>
        <v>-3.6619570000000001</v>
        <stp/>
        <stp>##V3_BDPV12</stp>
        <stp>IGPA Index</stp>
        <stp>CHG_PCT_6M</stp>
        <stp>[Index.xlsm]全球指數!R167C13</stp>
        <tr r="M167" s="1"/>
      </tp>
      <tp>
        <v>-2.8593799999999998</v>
        <stp/>
        <stp>##V3_BDPV12</stp>
        <stp>IPSA Index</stp>
        <stp>CHG_PCT_6M</stp>
        <stp>[Index.xlsm]全球指數!R147C13</stp>
        <tr r="M147" s="1"/>
      </tp>
      <tp>
        <v>1.50953</v>
        <stp/>
        <stp>##V3_BDPV12</stp>
        <stp>NYID Index</stp>
        <stp>CHG_PCT_3M</stp>
        <stp>[Index.xlsm]全球指數!R148C12</stp>
        <tr r="L148" s="1"/>
      </tp>
      <tp>
        <v>3259.17</v>
        <stp/>
        <stp>##V3_BDPV12</stp>
        <stp>QEAS Index</stp>
        <stp>HIGH_52WEEK</stp>
        <stp>[Index.xlsm]全球指數!R149C6</stp>
        <tr r="F149" s="1"/>
      </tp>
      <tp>
        <v>8.5600715954856099</v>
        <stp/>
        <stp>##V3_BDPV12</stp>
        <stp>HSML100 Index</stp>
        <stp>PE_RATIO</stp>
        <stp>[Index.xlsm]全球指數!R48C18</stp>
        <tr r="R48" s="1"/>
      </tp>
      <tp>
        <v>1340.77</v>
        <stp/>
        <stp>##V3_BDPV12</stp>
        <stp>WBI Index</stp>
        <stp>HIGH_52WEEK</stp>
        <stp>[Index.xlsm]全球指數!R63C6</stp>
        <tr r="F63" s="1"/>
      </tp>
      <tp>
        <v>5696.25</v>
        <stp/>
        <stp>##V3_BDPV12</stp>
        <stp>CAC Index</stp>
        <stp>HIGH_52WEEK</stp>
        <stp>[Index.xlsm]全球指數!R173C6</stp>
        <tr r="F173" s="1"/>
      </tp>
      <tp>
        <v>1395.8969999999999</v>
        <stp/>
        <stp>##V3_BDPV12</stp>
        <stp>XII Index</stp>
        <stp>HIGH_52WEEK</stp>
        <stp>[Index.xlsm]全球指數!R119C6</stp>
        <tr r="F119" s="1"/>
      </tp>
      <tp>
        <v>3.6129630000000001</v>
        <stp/>
        <stp>##V3_BDPV12</stp>
        <stp>BHSEASI Index</stp>
        <stp>PR064</stp>
        <stp>[Index.xlsm]全球指數!R304C14</stp>
        <tr r="N304" s="1"/>
      </tp>
      <tp>
        <v>3.8863789999999998</v>
        <stp/>
        <stp>##V3_BDPV12</stp>
        <stp>COLEQTY Index</stp>
        <stp>PR064</stp>
        <stp>[Index.xlsm]全球指數!R268C14</stp>
        <tr r="N268" s="1"/>
      </tp>
      <tp>
        <v>-0.86075100000000004</v>
        <stp/>
        <stp>##V3_BDPV12</stp>
        <stp>PAX Index</stp>
        <stp>CHG_PCT_5D</stp>
        <stp>[Index.xlsm]全球指數!R146C10</stp>
        <tr r="J146" s="1"/>
      </tp>
      <tp>
        <v>-0.75216209999999994</v>
        <stp/>
        <stp>##V3_BDPV12</stp>
        <stp>SOX Index</stp>
        <stp>CHG_PCT_5D</stp>
        <stp>[Index.xlsm]全球指數!R168C10</stp>
        <tr r="J168" s="1"/>
      </tp>
      <tp>
        <v>-0.97013890000000003</v>
        <stp/>
        <stp>##V3_BDPV12</stp>
        <stp>SPX Index</stp>
        <stp>CHG_PCT_5D</stp>
        <stp>[Index.xlsm]全球指數!R134C10</stp>
        <tr r="J134" s="1"/>
      </tp>
      <tp>
        <v>-1.3482240000000001</v>
        <stp/>
        <stp>##V3_BDPV12</stp>
        <stp>MCX Index</stp>
        <stp>CHG_PCT_5D</stp>
        <stp>[Index.xlsm]全球指數!R100C10</stp>
        <tr r="J100" s="1"/>
      </tp>
      <tp>
        <v>-1.1063799999999999</v>
        <stp/>
        <stp>##V3_BDPV12</stp>
        <stp>OEX Index</stp>
        <stp>CHG_PCT_5D</stp>
        <stp>[Index.xlsm]全球指數!R117C10</stp>
        <tr r="J117" s="1"/>
      </tp>
      <tp>
        <v>-0.94818910000000001</v>
        <stp/>
        <stp>##V3_BDPV12</stp>
        <stp>BUX Index</stp>
        <stp>CHG_PCT_5D</stp>
        <stp>[Index.xlsm]全球指數!R138C10</stp>
        <tr r="J138" s="1"/>
      </tp>
      <tp>
        <v>-1.310273</v>
        <stp/>
        <stp>##V3_BDPV12</stp>
        <stp>BKX Index</stp>
        <stp>CHG_PCT_5D</stp>
        <stp>[Index.xlsm]全球指數!R105C10</stp>
        <tr r="J105" s="1"/>
      </tp>
      <tp>
        <v>-2.7874409999999998</v>
        <stp/>
        <stp>##V3_BDPV12</stp>
        <stp>JMSMX Index</stp>
        <stp>CHG_PCT_1M</stp>
        <stp>[Index.xlsm]全球指數!R106C11</stp>
        <tr r="K106" s="1"/>
      </tp>
      <tp>
        <v>-6.4138580000000001E-2</v>
        <stp/>
        <stp>##V3_BDPV12</stp>
        <stp>PXAP Index</stp>
        <stp>PR064</stp>
        <stp>[Index.xlsm]全球指數!R80C14</stp>
        <tr r="N80" s="1"/>
      </tp>
      <tp>
        <v>1.0363370000000001</v>
        <stp/>
        <stp>##V3_BDPV12</stp>
        <stp>TPX Index</stp>
        <stp>CHG_PCT_5D</stp>
        <stp>[Index.xlsm]全球指數!R289C10</stp>
        <tr r="J289" s="1"/>
      </tp>
      <tp>
        <v>-7.2588600000000003E-2</v>
        <stp/>
        <stp>##V3_BDPV12</stp>
        <stp>UKX Index</stp>
        <stp>CHG_PCT_5D</stp>
        <stp>[Index.xlsm]全球指數!R239C10</stp>
        <tr r="J239" s="1"/>
      </tp>
      <tp>
        <v>0.69756359999999995</v>
        <stp/>
        <stp>##V3_BDPV12</stp>
        <stp>KAX Index</stp>
        <stp>CHG_PCT_5D</stp>
        <stp>[Index.xlsm]全球指數!R275C10</stp>
        <tr r="J275" s="1"/>
      </tp>
      <tp>
        <v>0.72612520000000003</v>
        <stp/>
        <stp>##V3_BDPV12</stp>
        <stp>IBX Index</stp>
        <stp>CHG_PCT_5D</stp>
        <stp>[Index.xlsm]全球指數!R279C10</stp>
        <tr r="J279" s="1"/>
      </tp>
      <tp>
        <v>-0.2869332</v>
        <stp/>
        <stp>##V3_BDPV12</stp>
        <stp>NMX Index</stp>
        <stp>CHG_PCT_5D</stp>
        <stp>[Index.xlsm]全球指數!R212C10</stp>
        <tr r="J212" s="1"/>
      </tp>
      <tp>
        <v>1.5721719999999999</v>
        <stp/>
        <stp>##V3_BDPV12</stp>
        <stp>BSX Index</stp>
        <stp>CHG_PCT_5D</stp>
        <stp>[Index.xlsm]全球指數!R297C10</stp>
        <tr r="J297" s="1"/>
      </tp>
      <tp>
        <v>-0.32930229999999999</v>
        <stp/>
        <stp>##V3_BDPV12</stp>
        <stp>ASX Index</stp>
        <stp>CHG_PCT_5D</stp>
        <stp>[Index.xlsm]全球指數!R209C10</stp>
        <tr r="J209" s="1"/>
      </tp>
      <tp>
        <v>-0.23485819999999999</v>
        <stp/>
        <stp>##V3_BDPV12</stp>
        <stp>AEX Index</stp>
        <stp>CHG_PCT_5D</stp>
        <stp>[Index.xlsm]全球指數!R222C10</stp>
        <tr r="J222" s="1"/>
      </tp>
      <tp>
        <v>0.90791049999999995</v>
        <stp/>
        <stp>##V3_BDPV12</stp>
        <stp>KFX Index</stp>
        <stp>CHG_PCT_5D</stp>
        <stp>[Index.xlsm]全球指數!R285C10</stp>
        <tr r="J285" s="1"/>
      </tp>
      <tp>
        <v>-1.4150130000000001</v>
        <stp/>
        <stp>##V3_BDPV12</stp>
        <stp>HKSPLC25 Index</stp>
        <stp>CHG_PCT_5D</stp>
        <stp>[Index.xlsm]全球指數!R94C10</stp>
        <tr r="J94" s="1"/>
      </tp>
      <tp>
        <v>-8.3653720000000007</v>
        <stp/>
        <stp>##V3_BDPV12</stp>
        <stp>HKSPLC25 Index</stp>
        <stp>CHG_PCT_6M</stp>
        <stp>[Index.xlsm]全球指數!R94C13</stp>
        <tr r="M94" s="1"/>
      </tp>
      <tp>
        <v>1.2486090000000001</v>
        <stp/>
        <stp>##V3_BDPV12</stp>
        <stp>HKSPLC25 Index</stp>
        <stp>CHG_PCT_1M</stp>
        <stp>[Index.xlsm]全球指數!R94C11</stp>
        <tr r="K94" s="1"/>
      </tp>
      <tp>
        <v>-8.6901919999999997</v>
        <stp/>
        <stp>##V3_BDPV12</stp>
        <stp>HKSPLC25 Index</stp>
        <stp>CHG_PCT_3M</stp>
        <stp>[Index.xlsm]全球指數!R94C12</stp>
        <tr r="L94" s="1"/>
      </tp>
      <tp>
        <v>3.663964</v>
        <stp/>
        <stp>##V3_BDPV12</stp>
        <stp>RiY INDEX</stp>
        <stp>CHG_PCT_1M</stp>
        <stp>[Index.xlsm]主要產業!R8C49</stp>
        <tr r="AW8" s="2"/>
      </tp>
      <tp>
        <v>-1.010507</v>
        <stp/>
        <stp>##V3_BDPV12</stp>
        <stp>RiY INDEX</stp>
        <stp>CHG_PCT_5D</stp>
        <stp>[Index.xlsm]主要產業!R8C48</stp>
        <tr r="AV8" s="2"/>
      </tp>
      <tp>
        <v>-0.26726169999999999</v>
        <stp/>
        <stp>##V3_BDPV12</stp>
        <stp>RiY INDEX</stp>
        <stp>CHG_PCT_1D</stp>
        <stp>[Index.xlsm]主要產業!R8C43</stp>
        <tr r="AQ8" s="2"/>
      </tp>
      <tp>
        <v>1.622279</v>
        <stp/>
        <stp>##V3_BDPV12</stp>
        <stp>RiY INDEX</stp>
        <stp>CHG_PCT_3M</stp>
        <stp>[Index.xlsm]主要產業!R8C50</stp>
        <tr r="AX8" s="2"/>
      </tp>
      <tp>
        <v>21.001810002856882</v>
        <stp/>
        <stp>##V3_BDPV12</stp>
        <stp>s5tels Index</stp>
        <stp>INTERVAL_HIGH</stp>
        <stp>[Index.xlsm]主要產業!R6C16</stp>
        <stp>MARKET_DATA_OVERRIDE=PE_RATIO</stp>
        <stp>CALC_INTERVAL=5y</stp>
        <stp>BEST_FPERIOD_OVERRIDE=BF</stp>
        <tr r="P6" s="2"/>
      </tp>
      <tp>
        <v>5.8990710000000002</v>
        <stp/>
        <stp>##V3_BDPV12</stp>
        <stp>RiY INDEX</stp>
        <stp>CHG_PCT_6M</stp>
        <stp>[Index.xlsm]主要產業!R8C51</stp>
        <tr r="AY8" s="2"/>
      </tp>
      <tp>
        <v>189.95</v>
        <stp/>
        <stp>##V3_BDPV12</stp>
        <stp>TWSEMACH Index</stp>
        <stp>HIGH_52WEEK</stp>
        <stp>[Index.xlsm]主要產業!R87C6</stp>
        <tr r="F87" s="2"/>
      </tp>
      <tp>
        <v>115.69</v>
        <stp/>
        <stp>##V3_BDPV12</stp>
        <stp>TWSESTEE Index</stp>
        <stp>HIGH_52WEEK</stp>
        <stp>[Index.xlsm]主要產業!R81C6</stp>
        <tr r="F81" s="2"/>
      </tp>
      <tp>
        <v>27398.6796875</v>
        <stp/>
        <stp>##V3_BDPV12</stp>
        <stp>INDU INDEX</stp>
        <stp>HIGH_52WEEK</stp>
        <stp>[Index.xlsm]主要產業!R2C44</stp>
        <tr r="AR2" s="2"/>
      </tp>
      <tp>
        <v>120.47</v>
        <stp/>
        <stp>##V3_BDPV12</stp>
        <stp>TWSEOEG Index</stp>
        <stp>LOW_52WEEK</stp>
        <stp>[Index.xlsm]主要產業!R79C8</stp>
        <tr r="H79" s="2"/>
      </tp>
      <tp>
        <v>177.43</v>
        <stp/>
        <stp>##V3_BDPV12</stp>
        <stp>TWSEPP Index</stp>
        <stp>LOW_52WEEK</stp>
        <stp>[Index.xlsm]主要產業!R95C8</stp>
        <tr r="H95" s="2"/>
      </tp>
      <tp>
        <v>-0.85506439999999995</v>
        <stp/>
        <stp>##V3_BDPV12</stp>
        <stp>RTY INDEX</stp>
        <stp>CHG_PCT_3M</stp>
        <stp>[Index.xlsm]主要產業!R7C50</stp>
        <tr r="AX7" s="2"/>
      </tp>
      <tp>
        <v>0.72887049999999998</v>
        <stp/>
        <stp>##V3_BDPV12</stp>
        <stp>RTY INDEX</stp>
        <stp>CHG_PCT_6M</stp>
        <stp>[Index.xlsm]主要產業!R7C51</stp>
        <tr r="AY7" s="2"/>
      </tp>
      <tp>
        <v>1973.15</v>
        <stp/>
        <stp>##V3_BDPV12</stp>
        <stp>HSCICO Index</stp>
        <stp>LOW_52WEEK</stp>
        <stp>[Index.xlsm]主要產業!R59C8</stp>
        <tr r="H59" s="2"/>
      </tp>
      <tp>
        <v>5.308039</v>
        <stp/>
        <stp>##V3_BDPV12</stp>
        <stp>RTY INDEX</stp>
        <stp>CHG_PCT_1M</stp>
        <stp>[Index.xlsm]主要產業!R7C49</stp>
        <tr r="AW7" s="2"/>
      </tp>
      <tp>
        <v>-1.8026789999999999</v>
        <stp/>
        <stp>##V3_BDPV12</stp>
        <stp>RTY INDEX</stp>
        <stp>CHG_PCT_5D</stp>
        <stp>[Index.xlsm]主要產業!R7C48</stp>
        <tr r="AV7" s="2"/>
      </tp>
      <tp>
        <v>-1.117464</v>
        <stp/>
        <stp>##V3_BDPV12</stp>
        <stp>RTY INDEX</stp>
        <stp>CHG_PCT_1D</stp>
        <stp>[Index.xlsm]主要產業!R7C43</stp>
        <tr r="AQ7" s="2"/>
      </tp>
      <tp>
        <v>13681.11</v>
        <stp/>
        <stp>##V3_BDPV12</stp>
        <stp>KOSPELEC Index</stp>
        <stp>LOW_52WEEK</stp>
        <stp>[Index.xlsm]主要產業!R43C8</stp>
        <tr r="H43" s="2"/>
      </tp>
      <tp>
        <v>185.76</v>
        <stp/>
        <stp>##V3_BDPV12</stp>
        <stp>TWSESCI Index</stp>
        <stp>PX_LAST</stp>
        <stp>[Index.xlsm]主要產業!R70C4</stp>
        <tr r="D70" s="2"/>
      </tp>
      <tp>
        <v>193.16</v>
        <stp/>
        <stp>##V3_BDPV12</stp>
        <stp>EUETMP Index</stp>
        <stp>PX_LAST</stp>
        <stp>[Index.xlsm]全球指數!R97C4</stp>
        <tr r="D97" s="1"/>
      </tp>
      <tp>
        <v>1.374241</v>
        <stp/>
        <stp>##V3_BDPV12</stp>
        <stp>INDU Index</stp>
        <stp>PR064</stp>
        <stp>[Index.xlsm]全球指數!R170C14</stp>
        <tr r="N170" s="1"/>
      </tp>
      <tp>
        <v>8.1207583834290347</v>
        <stp/>
        <stp>##V3_BDPV12</stp>
        <stp>KRX100 Index</stp>
        <stp>INTERVAL_Low</stp>
        <stp>[Index.xlsm]全球指數!R197C17</stp>
        <stp>MARKET_DATA_OVERRIDE=PE_RATIO</stp>
        <stp>CALC_INTERVAL=5y</stp>
        <stp>BEST_FPERIOD_OVERRIDE=BF</stp>
        <tr r="Q197" s="1"/>
      </tp>
      <tp>
        <v>23.814352298538022</v>
        <stp/>
        <stp>##V3_BDPV12</stp>
        <stp>KOSPI Index</stp>
        <stp>INTERVAL_HIGH</stp>
        <stp>[Index.xlsm]全球指數!R155C16</stp>
        <stp>MARKET_DATA_OVERRIDE=PE_RATIO</stp>
        <stp>CALC_INTERVAL=5y</stp>
        <stp>BEST_FPERIOD_OVERRIDE=BF</stp>
        <tr r="P155" s="1"/>
      </tp>
      <tp>
        <v>17.504071468437338</v>
        <stp/>
        <stp>##V3_BDPV12</stp>
        <stp>BSE100 Index</stp>
        <stp>INTERVAL_Low</stp>
        <stp>[Index.xlsm]全球指數!R318C17</stp>
        <stp>MARKET_DATA_OVERRIDE=PE_RATIO</stp>
        <stp>CALC_INTERVAL=5y</stp>
        <stp>BEST_FPERIOD_OVERRIDE=BF</stp>
        <tr r="Q318" s="1"/>
      </tp>
      <tp>
        <v>2.5394760000000001</v>
        <stp/>
        <stp>##V3_BDPV12</stp>
        <stp>TR20I Index</stp>
        <stp>CHG_PCT_1YR</stp>
        <stp>[Index.xlsm]全球指數!R296C15</stp>
        <tr r="O296" s="1"/>
      </tp>
      <tp>
        <v>-0.94489350000000005</v>
        <stp/>
        <stp>##V3_BDPV12</stp>
        <stp>MADX Index</stp>
        <stp>PR064</stp>
        <stp>[Index.xlsm]全球指數!R210C14</stp>
        <tr r="N210" s="1"/>
      </tp>
      <tp>
        <v>5032.71</v>
        <stp/>
        <stp>##V3_BDPV12</stp>
        <stp>PXAP Index</stp>
        <stp>PX_LAST</stp>
        <stp>[Index.xlsm]全球指數!R80C4</stp>
        <tr r="D80" s="1"/>
      </tp>
      <tp>
        <v>0.22291420000000001</v>
        <stp/>
        <stp>##V3_BDPV12</stp>
        <stp>MXAPEXA Index</stp>
        <stp>CHG_PCT_1D</stp>
        <stp>[Index.xlsm]全球指數!R90C5</stp>
        <tr r="E90" s="1"/>
      </tp>
      <tp>
        <v>-3.7307570000000001</v>
        <stp/>
        <stp>##V3_BDPV12</stp>
        <stp>SAXCME Index</stp>
        <stp>CHG_PCT_6M</stp>
        <stp>[Index.xlsm]全球指數!R109C13</stp>
        <tr r="M109" s="1"/>
      </tp>
      <tp>
        <v>2.1995319999999999E-2</v>
        <stp/>
        <stp>##V3_BDPV12</stp>
        <stp>OSEFX Index</stp>
        <stp>CHG_PCT_1D</stp>
        <stp>[Index.xlsm]全球指數!R53C5</stp>
        <tr r="E53" s="1"/>
      </tp>
      <tp>
        <v>5.0152939999999999</v>
        <stp/>
        <stp>##V3_BDPV12</stp>
        <stp>JSDA Index</stp>
        <stp>PR064</stp>
        <stp>[Index.xlsm]全球指數!R302C14</stp>
        <tr r="N302" s="1"/>
      </tp>
      <tp>
        <v>14.902857949530521</v>
        <stp/>
        <stp>##V3_BDPV12</stp>
        <stp>TA-125 Index</stp>
        <stp>INTERVAL_Low</stp>
        <stp>[Index.xlsm]全球指數!R258C17</stp>
        <stp>MARKET_DATA_OVERRIDE=PE_RATIO</stp>
        <stp>CALC_INTERVAL=5y</stp>
        <stp>BEST_FPERIOD_OVERRIDE=BF</stp>
        <tr r="Q258" s="1"/>
      </tp>
      <tp>
        <v>13.469848781390276</v>
        <stp/>
        <stp>##V3_BDPV12</stp>
        <stp>TA-35 Index</stp>
        <stp>INTERVAL_Low</stp>
        <stp>[Index.xlsm]全球指數!R205C17</stp>
        <stp>MARKET_DATA_OVERRIDE=PE_RATIO</stp>
        <stp>CALC_INTERVAL=5y</stp>
        <stp>BEST_FPERIOD_OVERRIDE=BF</stp>
        <tr r="Q205" s="1"/>
      </tp>
      <tp>
        <v>9.8567856937028235</v>
        <stp/>
        <stp>##V3_BDPV12</stp>
        <stp>TPX100 Index</stp>
        <stp>INTERVAL_Low</stp>
        <stp>[Index.xlsm]全球指數!R271C17</stp>
        <stp>MARKET_DATA_OVERRIDE=PE_RATIO</stp>
        <stp>CALC_INTERVAL=5y</stp>
        <stp>BEST_FPERIOD_OVERRIDE=BF</stp>
        <tr r="Q271" s="1"/>
      </tp>
      <tp>
        <v>-5.4105270000000001</v>
        <stp/>
        <stp>##V3_BDPV12</stp>
        <stp>BGSMDC Index</stp>
        <stp>CHG_PCT_6M</stp>
        <stp>[Index.xlsm]全球指數!R257C13</stp>
        <tr r="M257" s="1"/>
      </tp>
      <tp>
        <v>-2.1323620000000001</v>
        <stp/>
        <stp>##V3_BDPV12</stp>
        <stp>SICOM Index</stp>
        <stp>CHG_PCT_1D</stp>
        <stp>[Index.xlsm]全球指數!R15C5</stp>
        <tr r="E15" s="1"/>
      </tp>
      <tp>
        <v>14.264709824543489</v>
        <stp/>
        <stp>##V3_BDPV12</stp>
        <stp>SBF120 Index</stp>
        <stp>INTERVAL_Low</stp>
        <stp>[Index.xlsm]全球指數!R169C17</stp>
        <stp>MARKET_DATA_OVERRIDE=PE_RATIO</stp>
        <stp>CALC_INTERVAL=5y</stp>
        <stp>BEST_FPERIOD_OVERRIDE=BF</stp>
        <tr r="Q169" s="1"/>
      </tp>
      <tp>
        <v>2955.68</v>
        <stp/>
        <stp>##V3_BDPV12</stp>
        <stp>STI Index</stp>
        <stp>LOW_52WEEK</stp>
        <stp>[Index.xlsm]全球指數!R123C8</stp>
        <tr r="H123" s="1"/>
      </tp>
      <tp>
        <v>646.44709999999998</v>
        <stp/>
        <stp>##V3_BDPV12</stp>
        <stp>UTY Index</stp>
        <stp>LOW_52WEEK</stp>
        <stp>[Index.xlsm]全球指數!R303C8</stp>
        <tr r="H303" s="1"/>
      </tp>
      <tp>
        <v>6057.7</v>
        <stp/>
        <stp>##V3_BDPV12</stp>
        <stp>CHSMLCAP Index</stp>
        <stp>PX_LAST</stp>
        <stp>[Index.xlsm]全球指數!R273C4</stp>
        <tr r="D273" s="1"/>
      </tp>
      <tp>
        <v>-0.7543107</v>
        <stp/>
        <stp>##V3_BDPV12</stp>
        <stp>IGPA Index</stp>
        <stp>CHG_PCT_5D</stp>
        <stp>[Index.xlsm]全球指數!R167C10</stp>
        <tr r="J167" s="1"/>
      </tp>
      <tp>
        <v>-0.85793509999999995</v>
        <stp/>
        <stp>##V3_BDPV12</stp>
        <stp>IPSA Index</stp>
        <stp>CHG_PCT_5D</stp>
        <stp>[Index.xlsm]全球指數!R147C10</stp>
        <tr r="J147" s="1"/>
      </tp>
      <tp>
        <v>1.912547</v>
        <stp/>
        <stp>##V3_BDPV12</stp>
        <stp>JSDA Index</stp>
        <stp>CHG_PCT_5D</stp>
        <stp>[Index.xlsm]全球指數!R302C10</stp>
        <tr r="J302" s="1"/>
      </tp>
      <tp>
        <v>-0.97873940000000004</v>
        <stp/>
        <stp>##V3_BDPV12</stp>
        <stp>FSTAS Index</stp>
        <stp>CHG_PCT_5D</stp>
        <stp>[Index.xlsm]全球指數!R133C10</stp>
        <tr r="J133" s="1"/>
      </tp>
      <tp>
        <v>5658.4409999999998</v>
        <stp/>
        <stp>##V3_BDPV12</stp>
        <stp>NYIID Index</stp>
        <stp>HIGH_52WEEK</stp>
        <stp>[Index.xlsm]全球指數!R227C6</stp>
        <tr r="F227" s="1"/>
      </tp>
      <tp>
        <v>4.5301679999999998</v>
        <stp/>
        <stp>##V3_BDPV12</stp>
        <stp>MSPE Index</stp>
        <stp>CHG_PCT_1M</stp>
        <stp>[Index.xlsm]全球指數!R207C11</stp>
        <tr r="K207" s="1"/>
      </tp>
      <tp>
        <v>2.0270220000000001</v>
        <stp/>
        <stp>##V3_BDPV12</stp>
        <stp>NZSE Index</stp>
        <stp>CHG_PCT_1M</stp>
        <stp>[Index.xlsm]全球指數!R238C11</stp>
        <tr r="K238" s="1"/>
      </tp>
      <tp>
        <v>4.3380520000000002</v>
        <stp/>
        <stp>##V3_BDPV12</stp>
        <stp>SXXE Index</stp>
        <stp>CHG_PCT_1M</stp>
        <stp>[Index.xlsm]全球指數!R156C11</stp>
        <tr r="K156" s="1"/>
      </tp>
      <tp>
        <v>4.7978459999999998</v>
        <stp/>
        <stp>##V3_BDPV12</stp>
        <stp>SX5E Index</stp>
        <stp>CHG_PCT_1M</stp>
        <stp>[Index.xlsm]全球指數!R184C11</stp>
        <tr r="K184" s="1"/>
      </tp>
      <tp>
        <v>-1.1492469999999999</v>
        <stp/>
        <stp>##V3_BDPV12</stp>
        <stp>TALSE Index</stp>
        <stp>CHG_PCT_1M</stp>
        <stp>[Index.xlsm]全球指數!R247C11</stp>
        <tr r="K247" s="1"/>
      </tp>
      <tp>
        <v>14.79227</v>
        <stp/>
        <stp>##V3_BDPV12</stp>
        <stp>SOX Index</stp>
        <stp>CHG_PCT_6M</stp>
        <stp>[Index.xlsm]全球指數!R168C13</stp>
        <tr r="M168" s="1"/>
      </tp>
      <tp>
        <v>4.5009779999999999</v>
        <stp/>
        <stp>##V3_BDPV12</stp>
        <stp>PAX Index</stp>
        <stp>CHG_PCT_6M</stp>
        <stp>[Index.xlsm]全球指數!R146C13</stp>
        <tr r="M146" s="1"/>
      </tp>
      <tp>
        <v>6.1400100000000002</v>
        <stp/>
        <stp>##V3_BDPV12</stp>
        <stp>SPX Index</stp>
        <stp>CHG_PCT_6M</stp>
        <stp>[Index.xlsm]全球指數!R134C13</stp>
        <tr r="M134" s="1"/>
      </tp>
      <tp>
        <v>5.9602360000000001</v>
        <stp/>
        <stp>##V3_BDPV12</stp>
        <stp>OEX Index</stp>
        <stp>CHG_PCT_6M</stp>
        <stp>[Index.xlsm]全球指數!R117C13</stp>
        <tr r="M117" s="1"/>
      </tp>
      <tp>
        <v>4.8951089999999997</v>
        <stp/>
        <stp>##V3_BDPV12</stp>
        <stp>MCX Index</stp>
        <stp>CHG_PCT_6M</stp>
        <stp>[Index.xlsm]全球指數!R100C13</stp>
        <tr r="M100" s="1"/>
      </tp>
      <tp>
        <v>4.6668820000000002</v>
        <stp/>
        <stp>##V3_BDPV12</stp>
        <stp>TWSE Index</stp>
        <stp>CHG_PCT_1M</stp>
        <stp>[Index.xlsm]全球指數!R225C11</stp>
        <tr r="K225" s="1"/>
      </tp>
      <tp>
        <v>7.8845200000000002</v>
        <stp/>
        <stp>##V3_BDPV12</stp>
        <stp>BKX Index</stp>
        <stp>CHG_PCT_6M</stp>
        <stp>[Index.xlsm]全球指數!R105C13</stp>
        <tr r="M105" s="1"/>
      </tp>
      <tp>
        <v>-1.892522</v>
        <stp/>
        <stp>##V3_BDPV12</stp>
        <stp>BUX Index</stp>
        <stp>CHG_PCT_6M</stp>
        <stp>[Index.xlsm]全球指數!R138C13</stp>
        <tr r="M138" s="1"/>
      </tp>
      <tp>
        <v>0.85617370000000004</v>
        <stp/>
        <stp>##V3_BDPV12</stp>
        <stp>TPX Index</stp>
        <stp>CHG_PCT_6M</stp>
        <stp>[Index.xlsm]全球指數!R289C13</stp>
        <tr r="M289" s="1"/>
      </tp>
      <tp>
        <v>5014.0730000000003</v>
        <stp/>
        <stp>##V3_BDPV12</stp>
        <stp>NDF Index</stp>
        <stp>HIGH_52WEEK</stp>
        <stp>[Index.xlsm]全球指數!R125C6</stp>
        <tr r="F125" s="1"/>
      </tp>
      <tp>
        <v>2.1807889999999999</v>
        <stp/>
        <stp>##V3_BDPV12</stp>
        <stp>UKX Index</stp>
        <stp>CHG_PCT_6M</stp>
        <stp>[Index.xlsm]全球指數!R239C13</stp>
        <tr r="M239" s="1"/>
      </tp>
      <tp>
        <v>2.6146440000000002</v>
        <stp/>
        <stp>##V3_BDPV12</stp>
        <stp>NMX Index</stp>
        <stp>CHG_PCT_6M</stp>
        <stp>[Index.xlsm]全球指數!R212C13</stp>
        <tr r="M212" s="1"/>
      </tp>
      <tp>
        <v>15.61173</v>
        <stp/>
        <stp>##V3_BDPV12</stp>
        <stp>IBX Index</stp>
        <stp>CHG_PCT_6M</stp>
        <stp>[Index.xlsm]全球指數!R279C13</stp>
        <tr r="M279" s="1"/>
      </tp>
      <tp>
        <v>3.4425460000000001</v>
        <stp/>
        <stp>##V3_BDPV12</stp>
        <stp>KAX Index</stp>
        <stp>CHG_PCT_6M</stp>
        <stp>[Index.xlsm]全球指數!R275C13</stp>
        <tr r="M275" s="1"/>
      </tp>
      <tp>
        <v>-1.032619</v>
        <stp/>
        <stp>##V3_BDPV12</stp>
        <stp>BSX Index</stp>
        <stp>CHG_PCT_6M</stp>
        <stp>[Index.xlsm]全球指數!R297C13</stp>
        <tr r="M297" s="1"/>
      </tp>
      <tp>
        <v>5.9764379999999999</v>
        <stp/>
        <stp>##V3_BDPV12</stp>
        <stp>AEX Index</stp>
        <stp>CHG_PCT_6M</stp>
        <stp>[Index.xlsm]全球指數!R222C13</stp>
        <tr r="M222" s="1"/>
      </tp>
      <tp>
        <v>3.5047320000000002</v>
        <stp/>
        <stp>##V3_BDPV12</stp>
        <stp>KFX Index</stp>
        <stp>CHG_PCT_6M</stp>
        <stp>[Index.xlsm]全球指數!R285C13</stp>
        <tr r="M285" s="1"/>
      </tp>
      <tp>
        <v>2.5174439999999998</v>
        <stp/>
        <stp>##V3_BDPV12</stp>
        <stp>ASX Index</stp>
        <stp>CHG_PCT_6M</stp>
        <stp>[Index.xlsm]全球指數!R209C13</stp>
        <tr r="M209" s="1"/>
      </tp>
      <tp>
        <v>3.0053320000000001</v>
        <stp/>
        <stp>##V3_BDPV12</stp>
        <stp>VILSE Index</stp>
        <stp>CHG_PCT_3M</stp>
        <stp>[Index.xlsm]全球指數!R181C12</stp>
        <tr r="L181" s="1"/>
      </tp>
      <tp>
        <v>22407.499069679201</v>
        <stp/>
        <stp>##V3_BDPV12</stp>
        <stp>CHTX Index</stp>
        <stp>INTERVAL_HIGH</stp>
        <stp>[Index.xlsm]全球指數!R27C16</stp>
        <stp>MARKET_DATA_OVERRIDE=PE_RATIO</stp>
        <stp>CALC_INTERVAL=5y</stp>
        <stp>BEST_FPERIOD_OVERRIDE=BF</stp>
        <tr r="P27" s="1"/>
      </tp>
      <tp>
        <v>4.3577969999999997</v>
        <stp/>
        <stp>##V3_BDPV12</stp>
        <stp>COLIR Index</stp>
        <stp>CHG_PCT_1M</stp>
        <stp>[Index.xlsm]全球指數!R267C11</stp>
        <tr r="K267" s="1"/>
      </tp>
      <tp>
        <v>4.2623139999999999</v>
        <stp/>
        <stp>##V3_BDPV12</stp>
        <stp>IMOEX Index</stp>
        <stp>CHG_PCT_1M</stp>
        <stp>[Index.xlsm]全球指數!R159C11</stp>
        <tr r="K159" s="1"/>
      </tp>
      <tp>
        <v>5.9539730000000004</v>
        <stp/>
        <stp>##V3_BDPV12</stp>
        <stp>INMEX Index</stp>
        <stp>CHG_PCT_1M</stp>
        <stp>[Index.xlsm]全球指數!R228C11</stp>
        <tr r="K228" s="1"/>
      </tp>
      <tp>
        <v>59860.66015625</v>
        <stp/>
        <stp>##V3_BDPV12</stp>
        <stp>INDI25 Index</stp>
        <stp>LOW_52WEEK</stp>
        <stp>[Index.xlsm]全球指數!R70C8</stp>
        <tr r="H70" s="1"/>
      </tp>
      <tp>
        <v>114.1</v>
        <stp/>
        <stp>##V3_BDPV12</stp>
        <stp>BWORLDEU Index</stp>
        <stp>LOW_52WEEK</stp>
        <stp>[Index.xlsm]全球指數!R101C8</stp>
        <tr r="H101" s="1"/>
      </tp>
      <tp>
        <v>0.16435839999999999</v>
        <stp/>
        <stp>##V3_BDPV12</stp>
        <stp>CHSMLCAP Index</stp>
        <stp>CHG_PCT_1D</stp>
        <stp>[Index.xlsm]全球指數!R273C5</stp>
        <tr r="E273" s="1"/>
      </tp>
      <tp>
        <v>36.91519792826174</v>
        <stp/>
        <stp>##V3_BDPV12</stp>
        <stp>FTEFC1 Index</stp>
        <stp>INTERVAL_HIGH</stp>
        <stp>[Index.xlsm]全球指數!R214C16</stp>
        <stp>MARKET_DATA_OVERRIDE=PE_RATIO</stp>
        <stp>CALC_INTERVAL=5y</stp>
        <stp>BEST_FPERIOD_OVERRIDE=BF</stp>
        <tr r="P214" s="1"/>
      </tp>
      <tp>
        <v>79.83</v>
        <stp/>
        <stp>##V3_BDPV12</stp>
        <stp>TWSECPE Index</stp>
        <stp>LOW_52WEEK</stp>
        <stp>[Index.xlsm]主要產業!R76C8</stp>
        <tr r="H76" s="2"/>
      </tp>
      <tp>
        <v>127.48</v>
        <stp/>
        <stp>##V3_BDPV12</stp>
        <stp>TPNBNK Index</stp>
        <stp>LOW_52WEEK</stp>
        <stp>[Index.xlsm]主要產業!R41C8</stp>
        <tr r="H41" s="2"/>
      </tp>
      <tp>
        <v>1696.6</v>
        <stp/>
        <stp>##V3_BDPV12</stp>
        <stp>TPNCHM Index</stp>
        <stp>LOW_52WEEK</stp>
        <stp>[Index.xlsm]主要產業!R40C8</stp>
        <tr r="H40" s="2"/>
      </tp>
      <tp>
        <v>241.54</v>
        <stp/>
        <stp>##V3_BDPV12</stp>
        <stp>TWSECON Index</stp>
        <stp>LOW_52WEEK</stp>
        <stp>[Index.xlsm]主要產業!R86C8</stp>
        <tr r="H86" s="2"/>
      </tp>
      <tp>
        <v>28.218125864446833</v>
        <stp/>
        <stp>##V3_BDPV12</stp>
        <stp>GOOGL US Equity</stp>
        <stp>PE_RATIO</stp>
        <stp>[Index.xlsm]主要產業!R7C38</stp>
        <tr r="AL7" s="2"/>
      </tp>
      <tp>
        <v>245.14230000000001</v>
        <stp/>
        <stp>##V3_BDPV12</stp>
        <stp>s5rlst Index</stp>
        <stp>PX_LAST</stp>
        <stp>[Index.xlsm]主要產業!R15C4</stp>
        <tr r="D15" s="2"/>
      </tp>
      <tp>
        <v>76.05</v>
        <stp/>
        <stp>##V3_BDPV12</stp>
        <stp>TWSEOEI Index</stp>
        <stp>PX_LAST</stp>
        <stp>[Index.xlsm]主要產業!R75C4</stp>
        <tr r="D75" s="2"/>
      </tp>
      <tp>
        <v>2.6027439999999999</v>
        <stp/>
        <stp>##V3_BDPV12</stp>
        <stp>CCMP INDEX</stp>
        <stp>CHG_PCT_1M</stp>
        <stp>[Index.xlsm]主要產業!R5C49</stp>
        <tr r="AW5" s="2"/>
      </tp>
      <tp>
        <v>-1.860206</v>
        <stp/>
        <stp>##V3_BDPV12</stp>
        <stp>CCMP INDEX</stp>
        <stp>CHG_PCT_5D</stp>
        <stp>[Index.xlsm]主要產業!R5C48</stp>
        <tr r="AV5" s="2"/>
      </tp>
      <tp>
        <v>-0.57844220000000002</v>
        <stp/>
        <stp>##V3_BDPV12</stp>
        <stp>CCMP INDEX</stp>
        <stp>CHG_PCT_1D</stp>
        <stp>[Index.xlsm]主要產業!R5C43</stp>
        <tr r="AQ5" s="2"/>
      </tp>
      <tp>
        <v>0.78947330000000004</v>
        <stp/>
        <stp>##V3_BDPV12</stp>
        <stp>CCMP INDEX</stp>
        <stp>CHG_PCT_3M</stp>
        <stp>[Index.xlsm]主要產業!R5C50</stp>
        <tr r="AX5" s="2"/>
      </tp>
      <tp>
        <v>5.0669250000000003</v>
        <stp/>
        <stp>##V3_BDPV12</stp>
        <stp>CCMP INDEX</stp>
        <stp>CHG_PCT_6M</stp>
        <stp>[Index.xlsm]主要產業!R5C51</stp>
        <tr r="AY5" s="2"/>
      </tp>
      <tp>
        <v>2.2221090000000001</v>
        <stp/>
        <stp>##V3_BDPV12</stp>
        <stp>SPEU Index</stp>
        <stp>PR064</stp>
        <stp>[Index.xlsm]全球指數!R162C14</stp>
        <tr r="N162" s="1"/>
      </tp>
      <tp>
        <v>907.55039999999997</v>
        <stp/>
        <stp>##V3_BDPV12</stp>
        <stp>OMXO20GI Index</stp>
        <stp>HIGH_52WEEK</stp>
        <stp>[Index.xlsm]全球指數!R50C6</stp>
        <tr r="F50" s="1"/>
      </tp>
      <tp>
        <v>2.6654170000000001</v>
        <stp/>
        <stp>##V3_BDPV12</stp>
        <stp>TXEQ Index</stp>
        <stp>PR064</stp>
        <stp>[Index.xlsm]全球指數!R193C14</stp>
        <tr r="N193" s="1"/>
      </tp>
      <tp>
        <v>-0.13576559999999999</v>
        <stp/>
        <stp>##V3_BDPV12</stp>
        <stp>HEX Index</stp>
        <stp>PR064</stp>
        <stp>[Index.xlsm]全球指數!R91C14</stp>
        <tr r="N91" s="1"/>
      </tp>
      <tp>
        <v>7.4461769999999996</v>
        <stp/>
        <stp>##V3_BDPV12</stp>
        <stp>BBREIT Index</stp>
        <stp>PR064</stp>
        <stp>[Index.xlsm]全球指數!R288C14</stp>
        <tr r="N288" s="1"/>
      </tp>
      <tp>
        <v>-9.0550820000000004E-2</v>
        <stp/>
        <stp>##V3_BDPV12</stp>
        <stp>ISEQ Index</stp>
        <stp>PR064</stp>
        <stp>[Index.xlsm]全球指數!R241C14</stp>
        <tr r="N241" s="1"/>
      </tp>
      <tp>
        <v>2.0228160000000002</v>
        <stp/>
        <stp>##V3_BDPV12</stp>
        <stp>MSER Index</stp>
        <stp>PR064</stp>
        <stp>[Index.xlsm]全球指數!R154C14</stp>
        <tr r="N154" s="1"/>
      </tp>
      <tp>
        <v>1595.75</v>
        <stp/>
        <stp>##V3_BDPV12</stp>
        <stp>SPEURO Index</stp>
        <stp>HIGH_52WEEK</stp>
        <stp>[Index.xlsm]全球指數!R201C6</stp>
        <tr r="F201" s="1"/>
      </tp>
      <tp>
        <v>-0.19785749999999999</v>
        <stp/>
        <stp>##V3_BDPV12</stp>
        <stp>IBEX Index</stp>
        <stp>PR064</stp>
        <stp>[Index.xlsm]全球指數!R240C14</stp>
        <tr r="N240" s="1"/>
      </tp>
      <tp>
        <v>-8.5004690000000007</v>
        <stp/>
        <stp>##V3_BDPV12</stp>
        <stp>DSEX Index</stp>
        <stp>PR064</stp>
        <stp>[Index.xlsm]全球指數!R306C14</stp>
        <tr r="N306" s="1"/>
      </tp>
      <tp>
        <v>-8.1984360000000006E-2</v>
        <stp/>
        <stp>##V3_BDPV12</stp>
        <stp>HSCCI Index</stp>
        <stp>CHG_PCT_1D</stp>
        <stp>[Index.xlsm]全球指數!R24C5</stp>
        <tr r="E24" s="1"/>
      </tp>
      <tp>
        <v>6.1352480000000001E-2</v>
        <stp/>
        <stp>##V3_BDPV12</stp>
        <stp>OSEBX Index</stp>
        <stp>CHG_PCT_1D</stp>
        <stp>[Index.xlsm]全球指數!R52C5</stp>
        <tr r="E52" s="1"/>
      </tp>
      <tp>
        <v>-9.0124460000000006</v>
        <stp/>
        <stp>##V3_BDPV12</stp>
        <stp>HSI Index</stp>
        <stp>PR064</stp>
        <stp>[Index.xlsm]全球指數!R77C14</stp>
        <tr r="N77" s="1"/>
      </tp>
      <tp>
        <v>379.95021940427159</v>
        <stp/>
        <stp>##V3_BDPV12</stp>
        <stp>GGSECI Index</stp>
        <stp>INTERVAL_HIGH</stp>
        <stp>[Index.xlsm]全球指數!R111C16</stp>
        <stp>MARKET_DATA_OVERRIDE=PE_RATIO</stp>
        <stp>CALC_INTERVAL=5y</stp>
        <stp>BEST_FPERIOD_OVERRIDE=BF</stp>
        <tr r="P111" s="1"/>
      </tp>
      <tp>
        <v>-0.79626110000000005</v>
        <stp/>
        <stp>##V3_BDPV12</stp>
        <stp>ITSTAR Index</stp>
        <stp>CHG_PCT_5D</stp>
        <stp>[Index.xlsm]全球指數!R158C10</stp>
        <tr r="J158" s="1"/>
      </tp>
      <tp>
        <v>1.43916</v>
        <stp/>
        <stp>##V3_BDPV12</stp>
        <stp>SPIEXX Index</stp>
        <stp>PR064</stp>
        <stp>[Index.xlsm]全球指數!R180C14</stp>
        <tr r="N180" s="1"/>
      </tp>
      <tp>
        <v>327.05</v>
        <stp/>
        <stp>##V3_BDPV12</stp>
        <stp>BBREIT Index</stp>
        <stp>HIGH_52WEEK</stp>
        <stp>[Index.xlsm]全球指數!R288C6</stp>
        <tr r="F288" s="1"/>
      </tp>
      <tp>
        <v>9516.9500000000007</v>
        <stp/>
        <stp>##V3_BDPV12</stp>
        <stp>SPI Index</stp>
        <stp>LOW_52WEEK</stp>
        <stp>[Index.xlsm]全球指數!R206C8</stp>
        <tr r="H206" s="1"/>
      </tp>
      <tp>
        <v>7.7188309999999998</v>
        <stp/>
        <stp>##V3_BDPV12</stp>
        <stp>AS30 Index</stp>
        <stp>CHG_PCT_1YR</stp>
        <stp>[Index.xlsm]全球指數!R183C15</stp>
        <tr r="O183" s="1"/>
      </tp>
      <tp>
        <v>8.0302369999999996</v>
        <stp/>
        <stp>##V3_BDPV12</stp>
        <stp>AS51 Index</stp>
        <stp>CHG_PCT_1YR</stp>
        <stp>[Index.xlsm]全球指數!R182C15</stp>
        <tr r="O182" s="1"/>
      </tp>
      <tp>
        <v>8.1586719999999993</v>
        <stp/>
        <stp>##V3_BDPV12</stp>
        <stp>AS52 Index</stp>
        <stp>CHG_PCT_1YR</stp>
        <stp>[Index.xlsm]全球指數!R185C15</stp>
        <tr r="O185" s="1"/>
      </tp>
      <tp>
        <v>19630.64</v>
        <stp/>
        <stp>##V3_BDPV12</stp>
        <stp>SPBLPGPT Index</stp>
        <stp>PX_LAST</stp>
        <stp>[Index.xlsm]全球指數!R277C4</stp>
        <tr r="D277" s="1"/>
      </tp>
      <tp>
        <v>-0.53711819999999999</v>
        <stp/>
        <stp>##V3_BDPV12</stp>
        <stp>MID Index</stp>
        <stp>CHG_PCT_1D</stp>
        <stp>[Index.xlsm]全球指數!R175C5</stp>
        <tr r="E175" s="1"/>
      </tp>
      <tp>
        <v>0.51295389999999996</v>
        <stp/>
        <stp>##V3_BDPV12</stp>
        <stp>WIG Index</stp>
        <stp>CHG_PCT_1D</stp>
        <stp>[Index.xlsm]全球指數!R115C5</stp>
        <tr r="E115" s="1"/>
      </tp>
      <tp>
        <v>-0.27214969999999999</v>
        <stp/>
        <stp>##V3_BDPV12</stp>
        <stp>XMI Index</stp>
        <stp>CHG_PCT_1D</stp>
        <stp>[Index.xlsm]全球指數!R211C5</stp>
        <tr r="E211" s="1"/>
      </tp>
      <tp>
        <v>78.343391694643032</v>
        <stp/>
        <stp>##V3_BDPV12</stp>
        <stp>KOSDAQ Index</stp>
        <stp>PE_RATIO</stp>
        <stp>[Index.xlsm]全球指數!R18C18</stp>
        <tr r="R18" s="1"/>
      </tp>
      <tp>
        <v>576.94867221981133</v>
        <stp/>
        <stp>##V3_BDPV12</stp>
        <stp>CIND Index</stp>
        <stp>INTERVAL_HIGH</stp>
        <stp>[Index.xlsm]全球指數!R25C16</stp>
        <stp>MARKET_DATA_OVERRIDE=PE_RATIO</stp>
        <stp>CALC_INTERVAL=5y</stp>
        <stp>BEST_FPERIOD_OVERRIDE=BF</stp>
        <tr r="P25" s="1"/>
      </tp>
      <tp>
        <v>1.4604509999999999</v>
        <stp/>
        <stp>##V3_BDPV12</stp>
        <stp>DWCF Index</stp>
        <stp>CHG_PCT_3M</stp>
        <stp>[Index.xlsm]全球指數!R121C12</stp>
        <tr r="L121" s="1"/>
      </tp>
      <tp>
        <v>9587.6</v>
        <stp/>
        <stp>##V3_BDPV12</stp>
        <stp>IBEX Index</stp>
        <stp>HIGH_52WEEK</stp>
        <stp>[Index.xlsm]全球指數!R240C6</stp>
        <tr r="F240" s="1"/>
      </tp>
      <tp>
        <v>16320.51953125</v>
        <stp/>
        <stp>##V3_BDPV12</stp>
        <stp>IGCX Index</stp>
        <stp>HIGH_52WEEK</stp>
        <stp>[Index.xlsm]全球指數!R270C6</stp>
        <tr r="F270" s="1"/>
      </tp>
      <tp>
        <v>458.27190000000002</v>
        <stp/>
        <stp>##V3_BDPV12</stp>
        <stp>IBVC Index</stp>
        <stp>CHG_PCT_6M</stp>
        <stp>[Index.xlsm]全球指數!R312C13</stp>
        <tr r="M312" s="1"/>
      </tp>
      <tp>
        <v>-1.299939</v>
        <stp/>
        <stp>##V3_BDPV12</stp>
        <stp>ITMC Index</stp>
        <stp>CHG_PCT_6M</stp>
        <stp>[Index.xlsm]全球指數!R163C13</stp>
        <tr r="M163" s="1"/>
      </tp>
      <tp>
        <v>-1.027604</v>
        <stp/>
        <stp>##V3_BDPV12</stp>
        <stp>LUXXX Index</stp>
        <stp>CHG_PCT_5D</stp>
        <stp>[Index.xlsm]全球指數!R127C10</stp>
        <tr r="J127" s="1"/>
      </tp>
      <tp>
        <v>4.0607790000000001</v>
        <stp/>
        <stp>##V3_BDPV12</stp>
        <stp>NYID Index</stp>
        <stp>CHG_PCT_1M</stp>
        <stp>[Index.xlsm]全球指數!R148C11</stp>
        <tr r="K148" s="1"/>
      </tp>
      <tp>
        <v>966.67</v>
        <stp/>
        <stp>##V3_BDPV12</stp>
        <stp>MADX Index</stp>
        <stp>HIGH_52WEEK</stp>
        <stp>[Index.xlsm]全球指數!R210C6</stp>
        <tr r="F210" s="1"/>
      </tp>
      <tp>
        <v>1.7292149999999999</v>
        <stp/>
        <stp>##V3_BDPV12</stp>
        <stp>VALUA Index</stp>
        <stp>CHG_PCT_6M</stp>
        <stp>[Index.xlsm]全球指數!R112C13</stp>
        <tr r="M112" s="1"/>
      </tp>
      <tp>
        <v>5.5399469999999997</v>
        <stp/>
        <stp>##V3_BDPV12</stp>
        <stp>RAY Index</stp>
        <stp>CHG_PCT_6M</stp>
        <stp>[Index.xlsm]全球指數!R122C13</stp>
        <tr r="M122" s="1"/>
      </tp>
      <tp>
        <v>5.8990710000000002</v>
        <stp/>
        <stp>##V3_BDPV12</stp>
        <stp>RIY Index</stp>
        <stp>CHG_PCT_6M</stp>
        <stp>[Index.xlsm]全球指數!R129C13</stp>
        <tr r="M129" s="1"/>
      </tp>
      <tp>
        <v>3.1316630000000001</v>
        <stp/>
        <stp>##V3_BDPV12</stp>
        <stp>NKY Index</stp>
        <stp>CHG_PCT_6M</stp>
        <stp>[Index.xlsm]全球指數!R264C13</stp>
        <tr r="M264" s="1"/>
      </tp>
      <tp>
        <v>1.825137</v>
        <stp/>
        <stp>##V3_BDPV12</stp>
        <stp>NEY Index</stp>
        <stp>CHG_PCT_6M</stp>
        <stp>[Index.xlsm]全球指數!R282C13</stp>
        <tr r="M282" s="1"/>
      </tp>
      <tp>
        <v>62009.8984375</v>
        <stp/>
        <stp>##V3_BDPV12</stp>
        <stp>WIG Index</stp>
        <stp>HIGH_52WEEK</stp>
        <stp>[Index.xlsm]全球指數!R115C6</stp>
        <tr r="F115" s="1"/>
      </tp>
      <tp>
        <v>10.899990000000001</v>
        <stp/>
        <stp>##V3_BDPV12</stp>
        <stp>UTY Index</stp>
        <stp>CHG_PCT_6M</stp>
        <stp>[Index.xlsm]全球指數!R303C13</stp>
        <tr r="M303" s="1"/>
      </tp>
      <tp>
        <v>6.1242910000000004</v>
        <stp/>
        <stp>##V3_BDPV12</stp>
        <stp>RIGSE Index</stp>
        <stp>CHG_PCT_6M</stp>
        <stp>[Index.xlsm]全球指數!R260C13</stp>
        <tr r="M260" s="1"/>
      </tp>
      <tp>
        <v>1.1022270000000001</v>
        <stp/>
        <stp>##V3_BDPV12</stp>
        <stp>NIFTY Index</stp>
        <stp>CHG_PCT_6M</stp>
        <stp>[Index.xlsm]全球指數!R319C13</stp>
        <tr r="M319" s="1"/>
      </tp>
      <tp>
        <v>10.50839</v>
        <stp/>
        <stp>##V3_BDPV12</stp>
        <stp>JMSMX Index</stp>
        <stp>CHG_PCT_3M</stp>
        <stp>[Index.xlsm]全球指數!R106C12</stp>
        <tr r="L106" s="1"/>
      </tp>
      <tp>
        <v>-0.78414200000000001</v>
        <stp/>
        <stp>##V3_BDPV12</stp>
        <stp>TSE2 Index</stp>
        <stp>PR064</stp>
        <stp>[Index.xlsm]全球指數!R261C14</stp>
        <tr r="N261" s="1"/>
      </tp>
      <tp>
        <v>2775.26</v>
        <stp/>
        <stp>##V3_BDPV12</stp>
        <stp>HSHK35 Index</stp>
        <stp>LOW_52WEEK</stp>
        <stp>[Index.xlsm]全球指數!R73C8</stp>
        <tr r="H73" s="1"/>
      </tp>
      <tp>
        <v>-1.9735130000000001</v>
        <stp/>
        <stp>##V3_BDPV12</stp>
        <stp>FSTAS Index</stp>
        <stp>CHG_PCT_1YR</stp>
        <stp>[Index.xlsm]全球指數!R133C15</stp>
        <tr r="O133" s="1"/>
      </tp>
      <tp>
        <v>-11.225910000000001</v>
        <stp/>
        <stp>##V3_BDPV12</stp>
        <stp>MSM30 Index</stp>
        <stp>CHG_PCT_1YR</stp>
        <stp>[Index.xlsm]全球指數!R272C15</stp>
        <tr r="O272" s="1"/>
      </tp>
      <tp>
        <v>0.63958930000000003</v>
        <stp/>
        <stp>##V3_BDPV12</stp>
        <stp>SPBL25PT Index</stp>
        <stp>CHG_PCT_1D</stp>
        <stp>[Index.xlsm]全球指數!R232C5</stp>
        <tr r="E232" s="1"/>
      </tp>
      <tp>
        <v>60.12</v>
        <stp/>
        <stp>##V3_BDPV12</stp>
        <stp>CYSMMAPA Index</stp>
        <stp>LOW_52WEEK</stp>
        <stp>[Index.xlsm]全球指數!R139C8</stp>
        <tr r="H139" s="1"/>
      </tp>
      <tp>
        <v>13.68418</v>
        <stp/>
        <stp>##V3_BDPV12</stp>
        <stp>SSE50 Index</stp>
        <stp>CHG_PCT_1YR</stp>
        <stp>[Index.xlsm]全球指數!R132C15</stp>
        <tr r="O132" s="1"/>
      </tp>
      <tp>
        <v>43771.0390625</v>
        <stp/>
        <stp>##V3_BDPV12</stp>
        <stp>TOP40 Index</stp>
        <stp>LOW_52WEEK</stp>
        <stp>[Index.xlsm]全球指數!R64C8</stp>
        <tr r="H64" s="1"/>
      </tp>
      <tp>
        <v>99.92</v>
        <stp/>
        <stp>##V3_BDPV12</stp>
        <stp>TWSEEPD Index</stp>
        <stp>LOW_52WEEK</stp>
        <stp>[Index.xlsm]主要產業!R91C8</stp>
        <tr r="H91" s="2"/>
      </tp>
      <tp>
        <v>18031.939999999999</v>
        <stp/>
        <stp>##V3_BDPV12</stp>
        <stp>KOSPELEC Index</stp>
        <stp>HIGH_52WEEK</stp>
        <stp>[Index.xlsm]主要產業!R43C6</stp>
        <tr r="F43" s="2"/>
      </tp>
      <tp>
        <v>4089.49</v>
        <stp/>
        <stp>##V3_BDPV12</stp>
        <stp>KOSPCHEM Index</stp>
        <stp>LOW_52WEEK</stp>
        <stp>[Index.xlsm]主要產業!R45C8</stp>
        <tr r="H45" s="2"/>
      </tp>
      <tp>
        <v>99.47</v>
        <stp/>
        <stp>##V3_BDPV12</stp>
        <stp>TWSESTEE Index</stp>
        <stp>LOW_52WEEK</stp>
        <stp>[Index.xlsm]主要產業!R81C8</stp>
        <tr r="H81" s="2"/>
      </tp>
      <tp>
        <v>-0.49033919999999998</v>
        <stp/>
        <stp>##V3_BDPV12</stp>
        <stp>TWSEMACH Index</stp>
        <stp>CHG_PCT_1D</stp>
        <stp>[Index.xlsm]主要產業!R87C5</stp>
        <tr r="E87" s="2"/>
      </tp>
      <tp>
        <v>1.408398</v>
        <stp/>
        <stp>##V3_BDPV12</stp>
        <stp>OBX Index</stp>
        <stp>PR064</stp>
        <stp>[Index.xlsm]全球指數!R46C14</stp>
        <tr r="N46" s="1"/>
      </tp>
      <tp>
        <v>2060.759</v>
        <stp/>
        <stp>##V3_BDPV12</stp>
        <stp>SHNCOMP Index</stp>
        <stp>LOW_52WEEK</stp>
        <stp>[Index.xlsm]全球指數!R31C8</stp>
        <tr r="H31" s="1"/>
      </tp>
      <tp>
        <v>0.90776500000000004</v>
        <stp/>
        <stp>##V3_BDPV12</stp>
        <stp>OMX Index</stp>
        <stp>PR064</stp>
        <stp>[Index.xlsm]全球指數!R51C14</stp>
        <tr r="N51" s="1"/>
      </tp>
      <tp>
        <v>20.5711750207278</v>
        <stp/>
        <stp>##V3_BDPV12</stp>
        <stp>COMP Index</stp>
        <stp>INTERVAL_HIGH</stp>
        <stp>[Index.xlsm]全球指數!R217C16</stp>
        <stp>MARKET_DATA_OVERRIDE=PE_RATIO</stp>
        <stp>CALC_INTERVAL=5y</stp>
        <stp>BEST_FPERIOD_OVERRIDE=BF</stp>
        <tr r="P217" s="1"/>
      </tp>
      <tp>
        <v>14.754561724021135</v>
        <stp/>
        <stp>##V3_BDPV12</stp>
        <stp>PASISI Index</stp>
        <stp>INTERVAL_HIGH</stp>
        <stp>[Index.xlsm]全球指數!R215C16</stp>
        <stp>MARKET_DATA_OVERRIDE=PE_RATIO</stp>
        <stp>CALC_INTERVAL=5y</stp>
        <stp>BEST_FPERIOD_OVERRIDE=BF</stp>
        <tr r="P215" s="1"/>
      </tp>
      <tp>
        <v>6.8265649999999997E-2</v>
        <stp/>
        <stp>##V3_BDPV12</stp>
        <stp>OSEAX Index</stp>
        <stp>CHG_PCT_1D</stp>
        <stp>[Index.xlsm]全球指數!R35C5</stp>
        <tr r="E35" s="1"/>
      </tp>
      <tp>
        <v>4.9512450000000001</v>
        <stp/>
        <stp>##V3_BDPV12</stp>
        <stp>SHASHR Index</stp>
        <stp>CHG_PCT_1YR</stp>
        <stp>[Index.xlsm]全球指數!R30C15</stp>
        <tr r="O30" s="1"/>
      </tp>
      <tp>
        <v>6832.18</v>
        <stp/>
        <stp>##V3_BDPV12</stp>
        <stp>HDAX Index</stp>
        <stp>PX_LAST</stp>
        <stp>[Index.xlsm]全球指數!R86C4</stp>
        <tr r="D86" s="1"/>
      </tp>
      <tp>
        <v>356.3947815674137</v>
        <stp/>
        <stp>##V3_BDPV12</stp>
        <stp>ITMC Index</stp>
        <stp>INTERVAL_HIGH</stp>
        <stp>[Index.xlsm]全球指數!R163C16</stp>
        <stp>MARKET_DATA_OVERRIDE=PE_RATIO</stp>
        <stp>CALC_INTERVAL=5y</stp>
        <stp>BEST_FPERIOD_OVERRIDE=BF</stp>
        <tr r="P163" s="1"/>
      </tp>
      <tp>
        <v>10723.66015625</v>
        <stp/>
        <stp>##V3_BDPV12</stp>
        <stp>NYA Index</stp>
        <stp>LOW_52WEEK</stp>
        <stp>[Index.xlsm]全球指數!R178C8</stp>
        <tr r="H178" s="1"/>
      </tp>
      <tp>
        <v>0.79579599999999995</v>
        <stp/>
        <stp>##V3_BDPV12</stp>
        <stp>IBX Index</stp>
        <stp>CHG_PCT_1D</stp>
        <stp>[Index.xlsm]全球指數!R279C5</stp>
        <tr r="E279" s="1"/>
      </tp>
      <tp>
        <v>592.70000000000005</v>
        <stp/>
        <stp>##V3_BDPV12</stp>
        <stp>ASE Index</stp>
        <stp>LOW_52WEEK</stp>
        <stp>[Index.xlsm]全球指數!R142C8</stp>
        <tr r="H142" s="1"/>
      </tp>
      <tp t="s">
        <v>阿根廷 IBG 綜合指數</v>
        <stp/>
        <stp>##V3_BDPV12</stp>
        <stp>IBG Index</stp>
        <stp>DS697</stp>
        <stp>[Index.xlsm]全球指數!R3C2</stp>
        <tr r="B3" s="1"/>
      </tp>
      <tp>
        <v>881.06</v>
        <stp/>
        <stp>##V3_BDPV12</stp>
        <stp>OBX Index</stp>
        <stp>HIGH_52WEEK</stp>
        <stp>[Index.xlsm]全球指數!R46C6</stp>
        <tr r="F46" s="1"/>
      </tp>
      <tp>
        <v>10329.19</v>
        <stp/>
        <stp>##V3_BDPV12</stp>
        <stp>HEX Index</stp>
        <stp>HIGH_52WEEK</stp>
        <stp>[Index.xlsm]全球指數!R91C6</stp>
        <tr r="F91" s="1"/>
      </tp>
      <tp>
        <v>-5.0153840000000001</v>
        <stp/>
        <stp>##V3_BDPV12</stp>
        <stp>FSTAS Index</stp>
        <stp>CHG_PCT_3M</stp>
        <stp>[Index.xlsm]全球指數!R133C12</stp>
        <tr r="L133" s="1"/>
      </tp>
      <tp>
        <v>16947.23046875</v>
        <stp/>
        <stp>##V3_BDPV12</stp>
        <stp>SPTSX Index</stp>
        <stp>HIGH_52WEEK</stp>
        <stp>[Index.xlsm]全球指數!R200C6</stp>
        <tr r="F200" s="1"/>
      </tp>
      <tp>
        <v>12.198781211068276</v>
        <stp/>
        <stp>##V3_BDPV12</stp>
        <stp>SHCSI100 Index</stp>
        <stp>PE_RATIO</stp>
        <stp>[Index.xlsm]全球指數!R98C18</stp>
        <tr r="R98" s="1"/>
      </tp>
      <tp>
        <v>3.0632670000000002</v>
        <stp/>
        <stp>##V3_BDPV12</stp>
        <stp>IBVC Index</stp>
        <stp>CHG_PCT_1M</stp>
        <stp>[Index.xlsm]全球指數!R312C11</stp>
        <tr r="K312" s="1"/>
      </tp>
      <tp>
        <v>5.0152939999999999</v>
        <stp/>
        <stp>##V3_BDPV12</stp>
        <stp>JSDA Index</stp>
        <stp>CHG_PCT_3M</stp>
        <stp>[Index.xlsm]全球指數!R302C12</stp>
        <tr r="L302" s="1"/>
      </tp>
      <tp>
        <v>-1.9957119999999999</v>
        <stp/>
        <stp>##V3_BDPV12</stp>
        <stp>IGPA Index</stp>
        <stp>CHG_PCT_3M</stp>
        <stp>[Index.xlsm]全球指數!R167C12</stp>
        <tr r="L167" s="1"/>
      </tp>
      <tp>
        <v>-0.94287560000000004</v>
        <stp/>
        <stp>##V3_BDPV12</stp>
        <stp>IPSA Index</stp>
        <stp>CHG_PCT_3M</stp>
        <stp>[Index.xlsm]全球指數!R147C12</stp>
        <tr r="L147" s="1"/>
      </tp>
      <tp>
        <v>3.9929169999999998</v>
        <stp/>
        <stp>##V3_BDPV12</stp>
        <stp>ITMC Index</stp>
        <stp>CHG_PCT_1M</stp>
        <stp>[Index.xlsm]全球指數!R163C11</stp>
        <tr r="K163" s="1"/>
      </tp>
      <tp>
        <v>4.7062480000000004</v>
        <stp/>
        <stp>##V3_BDPV12</stp>
        <stp>NYID Index</stp>
        <stp>CHG_PCT_6M</stp>
        <stp>[Index.xlsm]全球指數!R148C13</stp>
        <tr r="M148" s="1"/>
      </tp>
      <tp>
        <v>-0.60755340000000002</v>
        <stp/>
        <stp>##V3_BDPV12</stp>
        <stp>VILSE Index</stp>
        <stp>CHG_PCT_5D</stp>
        <stp>[Index.xlsm]全球指數!R181C10</stp>
        <tr r="J181" s="1"/>
      </tp>
      <tp>
        <v>6.9513360000000004</v>
        <stp/>
        <stp>##V3_BDPV12</stp>
        <stp>VALUA Index</stp>
        <stp>CHG_PCT_1M</stp>
        <stp>[Index.xlsm]全球指數!R112C11</stp>
        <tr r="K112" s="1"/>
      </tp>
      <tp>
        <v>2951.55</v>
        <stp/>
        <stp>##V3_BDPV12</stp>
        <stp>DFMGI Index</stp>
        <stp>HIGH_52WEEK</stp>
        <stp>[Index.xlsm]全球指數!R166C6</stp>
        <tr r="F166" s="1"/>
      </tp>
      <tp>
        <v>3.7690489999999999</v>
        <stp/>
        <stp>##V3_BDPV12</stp>
        <stp>RAY Index</stp>
        <stp>CHG_PCT_1M</stp>
        <stp>[Index.xlsm]全球指數!R122C11</stp>
        <tr r="K122" s="1"/>
      </tp>
      <tp>
        <v>3.663964</v>
        <stp/>
        <stp>##V3_BDPV12</stp>
        <stp>RIY Index</stp>
        <stp>CHG_PCT_1M</stp>
        <stp>[Index.xlsm]全球指數!R129C11</stp>
        <tr r="K129" s="1"/>
      </tp>
      <tp>
        <v>7.7833100000000002</v>
        <stp/>
        <stp>##V3_BDPV12</stp>
        <stp>NKY Index</stp>
        <stp>CHG_PCT_1M</stp>
        <stp>[Index.xlsm]全球指數!R264C11</stp>
        <tr r="K264" s="1"/>
      </tp>
      <tp>
        <v>8.8165560000000003</v>
        <stp/>
        <stp>##V3_BDPV12</stp>
        <stp>NEY Index</stp>
        <stp>CHG_PCT_1M</stp>
        <stp>[Index.xlsm]全球指數!R282C11</stp>
        <tr r="K282" s="1"/>
      </tp>
      <tp>
        <v>4.8631580000000003</v>
        <stp/>
        <stp>##V3_BDPV12</stp>
        <stp>UTY Index</stp>
        <stp>CHG_PCT_1M</stp>
        <stp>[Index.xlsm]全球指數!R303C11</stp>
        <tr r="K303" s="1"/>
      </tp>
      <tp>
        <v>0.46372409999999997</v>
        <stp/>
        <stp>##V3_BDPV12</stp>
        <stp>RIGSE Index</stp>
        <stp>CHG_PCT_1M</stp>
        <stp>[Index.xlsm]全球指數!R260C11</stp>
        <tr r="K260" s="1"/>
      </tp>
      <tp>
        <v>4.1948299999999996</v>
        <stp/>
        <stp>##V3_BDPV12</stp>
        <stp>NIFTY Index</stp>
        <stp>CHG_PCT_1M</stp>
        <stp>[Index.xlsm]全球指數!R319C11</stp>
        <tr r="K319" s="1"/>
      </tp>
      <tp>
        <v>628.88</v>
        <stp/>
        <stp>##V3_BDPV12</stp>
        <stp>SOFIX Index</stp>
        <stp>HIGH_52WEEK</stp>
        <stp>[Index.xlsm]全球指數!R110C6</stp>
        <tr r="F110" s="1"/>
      </tp>
      <tp t="s">
        <v>HK</v>
        <stp/>
        <stp>##V3_BDPV12</stp>
        <stp>H-FIN Index</stp>
        <stp>DS003</stp>
        <stp>[Index.xlsm]全球指數!R55C3</stp>
        <tr r="C55" s="1"/>
      </tp>
      <tp>
        <v>14.455159999999999</v>
        <stp/>
        <stp>##V3_BDPV12</stp>
        <stp>RTSI$ Index</stp>
        <stp>CHG_PCT_1YR</stp>
        <stp>[Index.xlsm]全球指數!R102C15</stp>
        <tr r="O102" s="1"/>
      </tp>
      <tp t="s">
        <v>恆生中國H股金融行業指數</v>
        <stp/>
        <stp>##V3_BDPV12</stp>
        <stp>H-FIN Index</stp>
        <stp>DS697</stp>
        <stp>[Index.xlsm]全球指數!R55C2</stp>
        <tr r="B55" s="1"/>
      </tp>
      <tp>
        <v>0.59037810000000002</v>
        <stp/>
        <stp>##V3_BDPV12</stp>
        <stp>ITLMS Index</stp>
        <stp>CHG_PCT_1YR</stp>
        <stp>[Index.xlsm]全球指數!R150C15</stp>
        <tr r="O150" s="1"/>
      </tp>
      <tp>
        <v>2398.23</v>
        <stp/>
        <stp>##V3_BDPV12</stp>
        <stp>CHLRGCAP Index</stp>
        <stp>LOW_52WEEK</stp>
        <stp>[Index.xlsm]全球指數!R130C8</stp>
        <tr r="H130" s="1"/>
      </tp>
      <tp>
        <v>15.745990000000001</v>
        <stp/>
        <stp>##V3_BDPV12</stp>
        <stp>FTASE Index</stp>
        <stp>CHG_PCT_1YR</stp>
        <stp>[Index.xlsm]全球指數!R141C15</stp>
        <tr r="O141" s="1"/>
      </tp>
      <tp>
        <v>1496.74</v>
        <stp/>
        <stp>##V3_BDPV12</stp>
        <stp>BELEXLIN Index</stp>
        <stp>LOW_52WEEK</stp>
        <stp>[Index.xlsm]全球指數!R248C8</stp>
        <tr r="H248" s="1"/>
      </tp>
      <tp>
        <v>1268.79</v>
        <stp/>
        <stp>##V3_BDPV12</stp>
        <stp>HSCIIN Index</stp>
        <stp>PX_LAST</stp>
        <stp>[Index.xlsm]主要產業!R62C4</stp>
        <tr r="D62" s="2"/>
      </tp>
      <tp>
        <v>10279.200000000001</v>
        <stp/>
        <stp>##V3_BDPV12</stp>
        <stp>DAX INDEX</stp>
        <stp>LOW_52WEEK</stp>
        <stp>[Index.xlsm]主要產業!R9C46</stp>
        <tr r="AT9" s="2"/>
      </tp>
      <tp>
        <v>1158.68</v>
        <stp/>
        <stp>##V3_BDPV12</stp>
        <stp>TWSEBKI Index</stp>
        <stp>LOW_52WEEK</stp>
        <stp>[Index.xlsm]主要產業!R71C8</stp>
        <tr r="H71" s="2"/>
      </tp>
      <tp>
        <v>98</v>
        <stp/>
        <stp>##V3_BDPV12</stp>
        <stp>TWSECHI Index</stp>
        <stp>LOW_52WEEK</stp>
        <stp>[Index.xlsm]主要產業!R90C8</stp>
        <tr r="H90" s="2"/>
      </tp>
      <tp>
        <v>5139.33</v>
        <stp/>
        <stp>##V3_BDPV12</stp>
        <stp>HSCICG Index</stp>
        <stp>PX_LAST</stp>
        <stp>[Index.xlsm]主要產業!R58C4</stp>
        <tr r="D58" s="2"/>
      </tp>
      <tp>
        <v>3481.88</v>
        <stp/>
        <stp>##V3_BDPV12</stp>
        <stp>KOSPBMET Index</stp>
        <stp>LOW_52WEEK</stp>
        <stp>[Index.xlsm]主要產業!R47C8</stp>
        <tr r="H47" s="2"/>
      </tp>
      <tp>
        <v>-0.54794520000000002</v>
        <stp/>
        <stp>##V3_BDPV12</stp>
        <stp>TWSETEXT Index</stp>
        <stp>CHG_PCT_1D</stp>
        <stp>[Index.xlsm]主要產業!R84C5</stp>
        <tr r="E84" s="2"/>
      </tp>
      <tp>
        <v>440.44740000000002</v>
        <stp/>
        <stp>##V3_BDPV12</stp>
        <stp>s5enrs Index</stp>
        <stp>PX_LAST</stp>
        <stp>[Index.xlsm]主要產業!R12C4</stp>
        <tr r="D12" s="2"/>
      </tp>
      <tp>
        <v>-6.8050040000000003</v>
        <stp/>
        <stp>##V3_BDPV12</stp>
        <stp>NBI Index</stp>
        <stp>PR064</stp>
        <stp>[Index.xlsm]全球指數!R12C14</stp>
        <tr r="N12" s="1"/>
      </tp>
      <tp>
        <v>1212.229</v>
        <stp/>
        <stp>##V3_BDPV12</stp>
        <stp>SZCOMP Index</stp>
        <stp>LOW_52WEEK</stp>
        <stp>[Index.xlsm]全球指數!R11C8</stp>
        <tr r="H11" s="1"/>
      </tp>
      <tp>
        <v>-2.5552950000000001</v>
        <stp/>
        <stp>##V3_BDPV12</stp>
        <stp>ICEXI Index</stp>
        <stp>PR064</stp>
        <stp>[Index.xlsm]全球指數!R218C14</stp>
        <tr r="N218" s="1"/>
      </tp>
      <tp>
        <v>1.5011570000000001</v>
        <stp/>
        <stp>##V3_BDPV12</stp>
        <stp>NDX Index</stp>
        <stp>PR064</stp>
        <stp>[Index.xlsm]全球指數!R75C14</stp>
        <tr r="N75" s="1"/>
      </tp>
      <tp>
        <v>29.627147807177764</v>
        <stp/>
        <stp>##V3_BDPV12</stp>
        <stp>COLCAP Index</stp>
        <stp>INTERVAL_HIGH</stp>
        <stp>[Index.xlsm]全球指數!R265C16</stp>
        <stp>MARKET_DATA_OVERRIDE=PE_RATIO</stp>
        <stp>CALC_INTERVAL=5y</stp>
        <stp>BEST_FPERIOD_OVERRIDE=BF</stp>
        <tr r="P265" s="1"/>
      </tp>
      <tp>
        <v>161</v>
        <stp/>
        <stp>##V3_BDPV12</stp>
        <stp>NSEASI Index</stp>
        <stp>HIGH_52WEEK</stp>
        <stp>[Index.xlsm]全球指數!R252C6</stp>
        <tr r="F252" s="1"/>
      </tp>
      <tp>
        <v>1.5590200000000001</v>
        <stp/>
        <stp>##V3_BDPV12</stp>
        <stp>XU030 Index</stp>
        <stp>CHG_PCT_1YR</stp>
        <stp>[Index.xlsm]全球指數!R299C15</stp>
        <tr r="O299" s="1"/>
      </tp>
      <tp>
        <v>1.6367050000000001</v>
        <stp/>
        <stp>##V3_BDPV12</stp>
        <stp>XU100 Index</stp>
        <stp>CHG_PCT_1YR</stp>
        <stp>[Index.xlsm]全球指數!R298C15</stp>
        <tr r="O298" s="1"/>
      </tp>
      <tp>
        <v>7.0212019999999997</v>
        <stp/>
        <stp>##V3_BDPV12</stp>
        <stp>IGCX Index</stp>
        <stp>PR064</stp>
        <stp>[Index.xlsm]全球指數!R270C14</stp>
        <tr r="N270" s="1"/>
      </tp>
      <tp>
        <v>32.795382404800122</v>
        <stp/>
        <stp>##V3_BDPV12</stp>
        <stp>MEXBOL Index</stp>
        <stp>INTERVAL_HIGH</stp>
        <stp>[Index.xlsm]全球指數!R236C16</stp>
        <stp>MARKET_DATA_OVERRIDE=PE_RATIO</stp>
        <stp>CALC_INTERVAL=5y</stp>
        <stp>BEST_FPERIOD_OVERRIDE=BF</stp>
        <tr r="P236" s="1"/>
      </tp>
      <tp>
        <v>1.4604509999999999</v>
        <stp/>
        <stp>##V3_BDPV12</stp>
        <stp>DWCF Index</stp>
        <stp>PR064</stp>
        <stp>[Index.xlsm]全球指數!R121C14</stp>
        <tr r="N121" s="1"/>
      </tp>
      <tp>
        <v>4.7669449999999998</v>
        <stp/>
        <stp>##V3_BDPV12</stp>
        <stp>SAXCME Index</stp>
        <stp>CHG_PCT_1M</stp>
        <stp>[Index.xlsm]全球指數!R109C11</stp>
        <tr r="K109" s="1"/>
      </tp>
      <tp>
        <v>-2.9500570000000002</v>
        <stp/>
        <stp>##V3_BDPV12</stp>
        <stp>NTX Index</stp>
        <stp>PR064</stp>
        <stp>[Index.xlsm]全球指數!R66C14</stp>
        <tr r="N66" s="1"/>
      </tp>
      <tp>
        <v>2.0552239999999999</v>
        <stp/>
        <stp>##V3_BDPV12</stp>
        <stp>LUXXX Index</stp>
        <stp>PR064</stp>
        <stp>[Index.xlsm]全球指數!R127C14</stp>
        <tr r="N127" s="1"/>
      </tp>
      <tp>
        <v>0.4276816</v>
        <stp/>
        <stp>##V3_BDPV12</stp>
        <stp>HSCEI Index</stp>
        <stp>CHG_PCT_1D</stp>
        <stp>[Index.xlsm]全球指數!R72C5</stp>
        <tr r="E72" s="1"/>
      </tp>
      <tp>
        <v>-2.0327519999999999</v>
        <stp/>
        <stp>##V3_BDPV12</stp>
        <stp>NYP Index</stp>
        <stp>PR064</stp>
        <stp>[Index.xlsm]全球指數!R83C14</stp>
        <tr r="N83" s="1"/>
      </tp>
      <tp>
        <v>717.5</v>
        <stp/>
        <stp>##V3_BDPV12</stp>
        <stp>SPTSXVEN Index</stp>
        <stp>HIGH_52WEEK</stp>
        <stp>[Index.xlsm]全球指數!R78C6</stp>
        <tr r="F78" s="1"/>
      </tp>
      <tp>
        <v>-0.55576899999999996</v>
        <stp/>
        <stp>##V3_BDPV12</stp>
        <stp>BGSMDC Index</stp>
        <stp>CHG_PCT_1M</stp>
        <stp>[Index.xlsm]全球指數!R257C11</stp>
        <tr r="K257" s="1"/>
      </tp>
      <tp>
        <v>1.331442</v>
        <stp/>
        <stp>##V3_BDPV12</stp>
        <stp>ITSTAR Index</stp>
        <stp>CHG_PCT_3M</stp>
        <stp>[Index.xlsm]全球指數!R158C12</stp>
        <tr r="L158" s="1"/>
      </tp>
      <tp>
        <v>2.5565889999999998</v>
        <stp/>
        <stp>##V3_BDPV12</stp>
        <stp>LUXXR Index</stp>
        <stp>PR064</stp>
        <stp>[Index.xlsm]全球指數!R126C14</stp>
        <tr r="N126" s="1"/>
      </tp>
      <tp>
        <v>20.535389224956141</v>
        <stp/>
        <stp>##V3_BDPV12</stp>
        <stp>SPBL25PT Index</stp>
        <stp>PE_RATIO</stp>
        <stp>[Index.xlsm]全球指數!R232C18</stp>
        <tr r="R232" s="1"/>
      </tp>
      <tp>
        <v>9441.65</v>
        <stp/>
        <stp>##V3_BDPV12</stp>
        <stp>DSM Index</stp>
        <stp>LOW_52WEEK</stp>
        <stp>[Index.xlsm]全球指數!R143C8</stp>
        <tr r="H143" s="1"/>
      </tp>
      <tp>
        <v>1931.44</v>
        <stp/>
        <stp>##V3_BDPV12</stp>
        <stp>DARSDSEI Index</stp>
        <stp>PX_LAST</stp>
        <stp>[Index.xlsm]全球指數!R253C4</stp>
        <tr r="D253" s="1"/>
      </tp>
      <tp>
        <v>528.53</v>
        <stp/>
        <stp>##V3_BDPV12</stp>
        <stp>SPTSXVEN Index</stp>
        <stp>LOW_52WEEK</stp>
        <stp>[Index.xlsm]全球指數!R78C8</stp>
        <tr r="H78" s="1"/>
      </tp>
      <tp>
        <v>2.0552239999999999</v>
        <stp/>
        <stp>##V3_BDPV12</stp>
        <stp>LUXXX Index</stp>
        <stp>CHG_PCT_3M</stp>
        <stp>[Index.xlsm]全球指數!R127C12</stp>
        <tr r="L127" s="1"/>
      </tp>
      <tp>
        <v>5992.1</v>
        <stp/>
        <stp>##V3_BDPV12</stp>
        <stp>DSEX Index</stp>
        <stp>HIGH_52WEEK</stp>
        <stp>[Index.xlsm]全球指數!R306C6</stp>
        <tr r="F306" s="1"/>
      </tp>
      <tp>
        <v>9410.9590000000007</v>
        <stp/>
        <stp>##V3_BDPV12</stp>
        <stp>NYYID Index</stp>
        <stp>HIGH_52WEEK</stp>
        <stp>[Index.xlsm]全球指數!R190C6</stp>
        <tr r="F190" s="1"/>
      </tp>
      <tp>
        <v>3.018103</v>
        <stp/>
        <stp>##V3_BDPV12</stp>
        <stp>MSPE Index</stp>
        <stp>CHG_PCT_6M</stp>
        <stp>[Index.xlsm]全球指數!R207C13</stp>
        <tr r="M207" s="1"/>
      </tp>
      <tp>
        <v>9.5233659999999993</v>
        <stp/>
        <stp>##V3_BDPV12</stp>
        <stp>NZSE Index</stp>
        <stp>CHG_PCT_6M</stp>
        <stp>[Index.xlsm]全球指數!R238C13</stp>
        <tr r="M238" s="1"/>
      </tp>
      <tp>
        <v>-1.070103</v>
        <stp/>
        <stp>##V3_BDPV12</stp>
        <stp>DWCF Index</stp>
        <stp>CHG_PCT_5D</stp>
        <stp>[Index.xlsm]全球指數!R121C10</stp>
        <tr r="J121" s="1"/>
      </tp>
      <tp>
        <v>4.3781179999999997</v>
        <stp/>
        <stp>##V3_BDPV12</stp>
        <stp>SXXE Index</stp>
        <stp>CHG_PCT_6M</stp>
        <stp>[Index.xlsm]全球指數!R156C13</stp>
        <tr r="M156" s="1"/>
      </tp>
      <tp>
        <v>6.325628</v>
        <stp/>
        <stp>##V3_BDPV12</stp>
        <stp>SX5E Index</stp>
        <stp>CHG_PCT_6M</stp>
        <stp>[Index.xlsm]全球指數!R184C13</stp>
        <tr r="M184" s="1"/>
      </tp>
      <tp>
        <v>-0.4807998</v>
        <stp/>
        <stp>##V3_BDPV12</stp>
        <stp>TALSE Index</stp>
        <stp>CHG_PCT_6M</stp>
        <stp>[Index.xlsm]全球指數!R247C13</stp>
        <tr r="M247" s="1"/>
      </tp>
      <tp>
        <v>-1.255725</v>
        <stp/>
        <stp>##V3_BDPV12</stp>
        <stp>JMSMX Index</stp>
        <stp>CHG_PCT_5D</stp>
        <stp>[Index.xlsm]全球指數!R106C10</stp>
        <tr r="J106" s="1"/>
      </tp>
      <tp>
        <v>8.6635419999999996</v>
        <stp/>
        <stp>##V3_BDPV12</stp>
        <stp>SOX Index</stp>
        <stp>CHG_PCT_1M</stp>
        <stp>[Index.xlsm]全球指數!R168C11</stp>
        <tr r="K168" s="1"/>
      </tp>
      <tp>
        <v>3.2613089999999998</v>
        <stp/>
        <stp>##V3_BDPV12</stp>
        <stp>PAX Index</stp>
        <stp>CHG_PCT_1M</stp>
        <stp>[Index.xlsm]全球指數!R146C11</stp>
        <tr r="K146" s="1"/>
      </tp>
      <tp>
        <v>3.780208</v>
        <stp/>
        <stp>##V3_BDPV12</stp>
        <stp>SPX Index</stp>
        <stp>CHG_PCT_1M</stp>
        <stp>[Index.xlsm]全球指數!R134C11</stp>
        <tr r="K134" s="1"/>
      </tp>
      <tp>
        <v>2.496543</v>
        <stp/>
        <stp>##V3_BDPV12</stp>
        <stp>MCX Index</stp>
        <stp>CHG_PCT_1M</stp>
        <stp>[Index.xlsm]全球指數!R100C11</stp>
        <tr r="K100" s="1"/>
      </tp>
      <tp>
        <v>3.6196950000000001</v>
        <stp/>
        <stp>##V3_BDPV12</stp>
        <stp>OEX Index</stp>
        <stp>CHG_PCT_1M</stp>
        <stp>[Index.xlsm]全球指數!R117C11</stp>
        <tr r="K117" s="1"/>
      </tp>
      <tp>
        <v>3.1233939999999998</v>
        <stp/>
        <stp>##V3_BDPV12</stp>
        <stp>TWSE Index</stp>
        <stp>CHG_PCT_6M</stp>
        <stp>[Index.xlsm]全球指數!R225C13</stp>
        <tr r="M225" s="1"/>
      </tp>
      <tp>
        <v>3.6471870000000002</v>
        <stp/>
        <stp>##V3_BDPV12</stp>
        <stp>BUX Index</stp>
        <stp>CHG_PCT_1M</stp>
        <stp>[Index.xlsm]全球指數!R138C11</stp>
        <tr r="K138" s="1"/>
      </tp>
      <tp>
        <v>11.367979999999999</v>
        <stp/>
        <stp>##V3_BDPV12</stp>
        <stp>BKX Index</stp>
        <stp>CHG_PCT_1M</stp>
        <stp>[Index.xlsm]全球指數!R105C11</stp>
        <tr r="K105" s="1"/>
      </tp>
      <tp>
        <v>8.9669720000000002</v>
        <stp/>
        <stp>##V3_BDPV12</stp>
        <stp>TPX Index</stp>
        <stp>CHG_PCT_1M</stp>
        <stp>[Index.xlsm]全球指數!R289C11</stp>
        <tr r="K289" s="1"/>
      </tp>
      <tp>
        <v>3.6885119999999998</v>
        <stp/>
        <stp>##V3_BDPV12</stp>
        <stp>UKX Index</stp>
        <stp>CHG_PCT_1M</stp>
        <stp>[Index.xlsm]全球指數!R239C11</stp>
        <tr r="K239" s="1"/>
      </tp>
      <tp>
        <v>1.6083240000000001</v>
        <stp/>
        <stp>##V3_BDPV12</stp>
        <stp>KAX Index</stp>
        <stp>CHG_PCT_1M</stp>
        <stp>[Index.xlsm]全球指數!R275C11</stp>
        <tr r="K275" s="1"/>
      </tp>
      <tp>
        <v>3.4882919999999999</v>
        <stp/>
        <stp>##V3_BDPV12</stp>
        <stp>NMX Index</stp>
        <stp>CHG_PCT_1M</stp>
        <stp>[Index.xlsm]全球指數!R212C11</stp>
        <tr r="K212" s="1"/>
      </tp>
      <tp>
        <v>7.9144230000000002</v>
        <stp/>
        <stp>##V3_BDPV12</stp>
        <stp>IBX Index</stp>
        <stp>CHG_PCT_1M</stp>
        <stp>[Index.xlsm]全球指數!R279C11</stp>
        <tr r="K279" s="1"/>
      </tp>
      <tp>
        <v>10.303900000000001</v>
        <stp/>
        <stp>##V3_BDPV12</stp>
        <stp>BSX Index</stp>
        <stp>CHG_PCT_1M</stp>
        <stp>[Index.xlsm]全球指數!R297C11</stp>
        <tr r="K297" s="1"/>
      </tp>
      <tp>
        <v>3.3940139999999999</v>
        <stp/>
        <stp>##V3_BDPV12</stp>
        <stp>ASX Index</stp>
        <stp>CHG_PCT_1M</stp>
        <stp>[Index.xlsm]全球指數!R209C11</stp>
        <tr r="K209" s="1"/>
      </tp>
      <tp>
        <v>5.5620409999999998</v>
        <stp/>
        <stp>##V3_BDPV12</stp>
        <stp>AEX Index</stp>
        <stp>CHG_PCT_1M</stp>
        <stp>[Index.xlsm]全球指數!R222C11</stp>
        <tr r="K222" s="1"/>
      </tp>
      <tp>
        <v>1.4714989999999999</v>
        <stp/>
        <stp>##V3_BDPV12</stp>
        <stp>KFX Index</stp>
        <stp>CHG_PCT_1M</stp>
        <stp>[Index.xlsm]全球指數!R285C11</stp>
        <tr r="K285" s="1"/>
      </tp>
      <tp>
        <v>2.9265059999999998</v>
        <stp/>
        <stp>##V3_BDPV12</stp>
        <stp>COLIR Index</stp>
        <stp>CHG_PCT_6M</stp>
        <stp>[Index.xlsm]全球指數!R267C13</stp>
        <tr r="M267" s="1"/>
      </tp>
      <tp>
        <v>11.46622</v>
        <stp/>
        <stp>##V3_BDPV12</stp>
        <stp>IMOEX Index</stp>
        <stp>CHG_PCT_6M</stp>
        <stp>[Index.xlsm]全球指數!R159C13</stp>
        <tr r="M159" s="1"/>
      </tp>
      <tp>
        <v>-1.6328879999999999</v>
        <stp/>
        <stp>##V3_BDPV12</stp>
        <stp>INMEX Index</stp>
        <stp>CHG_PCT_6M</stp>
        <stp>[Index.xlsm]全球指數!R228C13</stp>
        <tr r="M228" s="1"/>
      </tp>
      <tp>
        <v>9.4406420000000005E-2</v>
        <stp/>
        <stp>##V3_BDPV12</stp>
        <stp>JOSMGNFF Index</stp>
        <stp>CHG_PCT_1D</stp>
        <stp>[Index.xlsm]全球指數!R263C5</stp>
        <tr r="E263" s="1"/>
      </tp>
      <tp>
        <v>-21.959759999999999</v>
        <stp/>
        <stp>##V3_BDPV12</stp>
        <stp>LUXXX Index</stp>
        <stp>CHG_PCT_1YR</stp>
        <stp>[Index.xlsm]全球指數!R127C15</stp>
        <tr r="O127" s="1"/>
      </tp>
      <tp>
        <v>-19.434229999999999</v>
        <stp/>
        <stp>##V3_BDPV12</stp>
        <stp>LUXXR Index</stp>
        <stp>CHG_PCT_1YR</stp>
        <stp>[Index.xlsm]全球指數!R126C15</stp>
        <tr r="O126" s="1"/>
      </tp>
      <tp>
        <v>16.218203481942059</v>
        <stp/>
        <stp>##V3_BDPV12</stp>
        <stp>KOSPI2 Index</stp>
        <stp>INTERVAL_HIGH</stp>
        <stp>[Index.xlsm]全球指數!R187C16</stp>
        <stp>MARKET_DATA_OVERRIDE=PE_RATIO</stp>
        <stp>CALC_INTERVAL=5y</stp>
        <stp>BEST_FPERIOD_OVERRIDE=BF</stp>
        <tr r="P187" s="1"/>
      </tp>
      <tp>
        <v>12.524940000000001</v>
        <stp/>
        <stp>##V3_BDPV12</stp>
        <stp>IVBX2 Index</stp>
        <stp>PR064</stp>
        <stp>[Index.xlsm]全球指數!R274C14</stp>
        <tr r="N274" s="1"/>
      </tp>
      <tp>
        <v>10847.15</v>
        <stp/>
        <stp>##V3_BDPV12</stp>
        <stp>HSCIIT Index</stp>
        <stp>PX_LAST</stp>
        <stp>[Index.xlsm]主要產業!R63C4</stp>
        <tr r="D63" s="2"/>
      </tp>
      <tp>
        <v>2068.35</v>
        <stp/>
        <stp>##V3_BDPV12</stp>
        <stp>HSCICO Index</stp>
        <stp>PX_LAST</stp>
        <stp>[Index.xlsm]主要產業!R59C4</stp>
        <tr r="D59" s="2"/>
      </tp>
      <tp>
        <v>5671.9</v>
        <stp/>
        <stp>##V3_BDPV12</stp>
        <stp>KOSPCHEM Index</stp>
        <stp>HIGH_52WEEK</stp>
        <stp>[Index.xlsm]主要產業!R45C6</stp>
        <tr r="F45" s="2"/>
      </tp>
      <tp>
        <v>967.64</v>
        <stp/>
        <stp>##V3_BDPV12</stp>
        <stp>SX4P INDEX</stp>
        <stp>HIGH_52WEEK</stp>
        <stp>[Index.xlsm]主要產業!R27C6</stp>
        <tr r="F27" s="2"/>
      </tp>
      <tp>
        <v>343</v>
        <stp/>
        <stp>##V3_BDPV12</stp>
        <stp>SX6P INDEX</stp>
        <stp>HIGH_52WEEK</stp>
        <stp>[Index.xlsm]主要產業!R25C6</stp>
        <tr r="F25" s="2"/>
      </tp>
      <tp>
        <v>-0.70109940000000004</v>
        <stp/>
        <stp>##V3_BDPV12</stp>
        <stp>TWSEDEPT Index</stp>
        <stp>CHG_PCT_1D</stp>
        <stp>[Index.xlsm]主要產業!R85C5</stp>
        <tr r="E85" s="2"/>
      </tp>
      <tp>
        <v>214.6</v>
        <stp/>
        <stp>##V3_BDPV12</stp>
        <stp>TWSEOTHR Index</stp>
        <stp>LOW_52WEEK</stp>
        <stp>[Index.xlsm]主要產業!R77C8</stp>
        <tr r="H77" s="2"/>
      </tp>
      <tp>
        <v>103.75</v>
        <stp/>
        <stp>##V3_BDPV12</stp>
        <stp>TWSEECI Index</stp>
        <stp>PX_LAST</stp>
        <stp>[Index.xlsm]主要產業!R74C4</stp>
        <tr r="D74" s="2"/>
      </tp>
      <tp t="s">
        <v>#N/A N/A</v>
        <stp/>
        <stp>##V3_BDPV12</stp>
        <stp>NKY500 Index</stp>
        <stp>INTERVAL_Low</stp>
        <stp>[Index.xlsm]全球指數!R280C17</stp>
        <stp>MARKET_DATA_OVERRIDE=PE_RATIO</stp>
        <stp>CALC_INTERVAL=5y</stp>
        <stp>BEST_FPERIOD_OVERRIDE=BF</stp>
        <tr r="Q280" s="1"/>
      </tp>
      <tp>
        <v>2440.9059999999999</v>
        <stp/>
        <stp>##V3_BDPV12</stp>
        <stp>SHCOMP Index</stp>
        <stp>LOW_52WEEK</stp>
        <stp>[Index.xlsm]全球指數!R32C8</stp>
        <tr r="H32" s="1"/>
      </tp>
      <tp>
        <v>29.867590653066191</v>
        <stp/>
        <stp>##V3_BDPV12</stp>
        <stp>SPEURO Index</stp>
        <stp>INTERVAL_HIGH</stp>
        <stp>[Index.xlsm]全球指數!R201C16</stp>
        <stp>MARKET_DATA_OVERRIDE=PE_RATIO</stp>
        <stp>CALC_INTERVAL=5y</stp>
        <stp>BEST_FPERIOD_OVERRIDE=BF</stp>
        <tr r="P201" s="1"/>
      </tp>
      <tp>
        <v>452.46212647955451</v>
        <stp/>
        <stp>##V3_BDPV12</stp>
        <stp>IBOV Index</stp>
        <stp>INTERVAL_HIGH</stp>
        <stp>[Index.xlsm]全球指數!R287C16</stp>
        <stp>MARKET_DATA_OVERRIDE=PE_RATIO</stp>
        <stp>CALC_INTERVAL=5y</stp>
        <stp>BEST_FPERIOD_OVERRIDE=BF</stp>
        <tr r="P287" s="1"/>
      </tp>
      <tp>
        <v>6168.02</v>
        <stp/>
        <stp>##V3_BDPV12</stp>
        <stp>CSEALL Index</stp>
        <stp>HIGH_52WEEK</stp>
        <stp>[Index.xlsm]全球指數!R174C6</stp>
        <tr r="F174" s="1"/>
      </tp>
      <tp>
        <v>18.580507581822886</v>
        <stp/>
        <stp>##V3_BDPV12</stp>
        <stp>BSE500 Index</stp>
        <stp>INTERVAL_Low</stp>
        <stp>[Index.xlsm]全球指數!R315C17</stp>
        <stp>MARKET_DATA_OVERRIDE=PE_RATIO</stp>
        <stp>CALC_INTERVAL=5y</stp>
        <stp>BEST_FPERIOD_OVERRIDE=BF</stp>
        <tr r="Q315" s="1"/>
      </tp>
      <tp>
        <v>7.7726193447316199</v>
        <stp/>
        <stp>##V3_BDPV12</stp>
        <stp>BLOM Index</stp>
        <stp>INTERVAL_HIGH</stp>
        <stp>[Index.xlsm]全球指數!R259C16</stp>
        <stp>MARKET_DATA_OVERRIDE=PE_RATIO</stp>
        <stp>CALC_INTERVAL=5y</stp>
        <stp>BEST_FPERIOD_OVERRIDE=BF</stp>
        <tr r="P259" s="1"/>
      </tp>
      <tp>
        <v>4.9184479999999997</v>
        <stp/>
        <stp>##V3_BDPV12</stp>
        <stp>SHCOMP Index</stp>
        <stp>CHG_PCT_1YR</stp>
        <stp>[Index.xlsm]全球指數!R32C15</stp>
        <tr r="O32" s="1"/>
      </tp>
      <tp>
        <v>3178.5</v>
        <stp/>
        <stp>##V3_BDPV12</stp>
        <stp>BVLX Index</stp>
        <stp>PX_LAST</stp>
        <stp>[Index.xlsm]全球指數!R69C4</stp>
        <tr r="D69" s="1"/>
      </tp>
      <tp>
        <v>10.916008083099037</v>
        <stp/>
        <stp>##V3_BDPV12</stp>
        <stp>TPX500 Index</stp>
        <stp>INTERVAL_Low</stp>
        <stp>[Index.xlsm]全球指數!R283C17</stp>
        <stp>MARKET_DATA_OVERRIDE=PE_RATIO</stp>
        <stp>CALC_INTERVAL=5y</stp>
        <stp>BEST_FPERIOD_OVERRIDE=BF</stp>
        <tr r="Q283" s="1"/>
      </tp>
      <tp>
        <v>6799.58</v>
        <stp/>
        <stp>##V3_BDPV12</stp>
        <stp>KWSEPM Index</stp>
        <stp>HIGH_52WEEK</stp>
        <stp>[Index.xlsm]全球指數!R311C6</stp>
        <tr r="F311" s="1"/>
      </tp>
      <tp>
        <v>5062.58</v>
        <stp/>
        <stp>##V3_BDPV12</stp>
        <stp>KWSEMM Index</stp>
        <stp>HIGH_52WEEK</stp>
        <stp>[Index.xlsm]全球指數!R291C6</stp>
        <tr r="F291" s="1"/>
      </tp>
      <tp>
        <v>26.40574457835578</v>
        <stp/>
        <stp>##V3_BDPV12</stp>
        <stp>NIFTY Index</stp>
        <stp>INTERVAL_HIGH</stp>
        <stp>[Index.xlsm]全球指數!R319C16</stp>
        <stp>MARKET_DATA_OVERRIDE=PE_RATIO</stp>
        <stp>CALC_INTERVAL=5y</stp>
        <stp>BEST_FPERIOD_OVERRIDE=BF</stp>
        <tr r="P319" s="1"/>
      </tp>
      <tp>
        <v>1113.68</v>
        <stp/>
        <stp>##V3_BDPV12</stp>
        <stp>PX Index</stp>
        <stp>HIGH_52WEEK</stp>
        <stp>[Index.xlsm]全球指數!R84C6</stp>
        <tr r="F84" s="1"/>
      </tp>
      <tp>
        <v>-6.1481899999999996</v>
        <stp/>
        <stp>##V3_BDPV12</stp>
        <stp>DS30 Index</stp>
        <stp>CHG_PCT_1YR</stp>
        <stp>[Index.xlsm]全球指數!R301C15</stp>
        <tr r="O301" s="1"/>
      </tp>
      <tp>
        <v>-7.0078339999999999</v>
        <stp/>
        <stp>##V3_BDPV12</stp>
        <stp>DSEX Index</stp>
        <stp>CHG_PCT_1YR</stp>
        <stp>[Index.xlsm]全球指數!R306C15</stp>
        <tr r="O306" s="1"/>
      </tp>
      <tp>
        <v>0.99686350000000001</v>
        <stp/>
        <stp>##V3_BDPV12</stp>
        <stp>DWCF Index</stp>
        <stp>CHG_PCT_1YR</stp>
        <stp>[Index.xlsm]全球指數!R121C15</stp>
        <tr r="O121" s="1"/>
      </tp>
      <tp>
        <v>-1.0677639999999999</v>
        <stp/>
        <stp>##V3_BDPV12</stp>
        <stp>SML Index</stp>
        <stp>CHG_PCT_1D</stp>
        <stp>[Index.xlsm]全球指數!R104C5</stp>
        <tr r="E104" s="1"/>
      </tp>
      <tp>
        <v>1.9733890000000001</v>
        <stp/>
        <stp>##V3_BDPV12</stp>
        <stp>FSTAS Index</stp>
        <stp>CHG_PCT_1M</stp>
        <stp>[Index.xlsm]全球指數!R133C11</stp>
        <tr r="K133" s="1"/>
      </tp>
      <tp>
        <v>-0.33676869999999998</v>
        <stp/>
        <stp>##V3_BDPV12</stp>
        <stp>MSPE Index</stp>
        <stp>CHG_PCT_5D</stp>
        <stp>[Index.xlsm]全球指數!R207C10</stp>
        <tr r="J207" s="1"/>
      </tp>
      <tp>
        <v>-7.3657529999999999E-2</v>
        <stp/>
        <stp>##V3_BDPV12</stp>
        <stp>NZSE Index</stp>
        <stp>CHG_PCT_5D</stp>
        <stp>[Index.xlsm]全球指數!R238C10</stp>
        <tr r="J238" s="1"/>
      </tp>
      <tp>
        <v>5.5187860000000004</v>
        <stp/>
        <stp>##V3_BDPV12</stp>
        <stp>DWCF Index</stp>
        <stp>CHG_PCT_6M</stp>
        <stp>[Index.xlsm]全球指數!R121C13</stp>
        <tr r="M121" s="1"/>
      </tp>
      <tp>
        <v>189.22909999999999</v>
        <stp/>
        <stp>##V3_BDPV12</stp>
        <stp>IBVC Index</stp>
        <stp>CHG_PCT_3M</stp>
        <stp>[Index.xlsm]全球指數!R312C12</stp>
        <tr r="L312" s="1"/>
      </tp>
      <tp>
        <v>6.1842920000000001</v>
        <stp/>
        <stp>##V3_BDPV12</stp>
        <stp>JSDA Index</stp>
        <stp>CHG_PCT_1M</stp>
        <stp>[Index.xlsm]全球指數!R302C11</stp>
        <tr r="K302" s="1"/>
      </tp>
      <tp>
        <v>7.9382869999999999</v>
        <stp/>
        <stp>##V3_BDPV12</stp>
        <stp>IGPA Index</stp>
        <stp>CHG_PCT_1M</stp>
        <stp>[Index.xlsm]全球指數!R167C11</stp>
        <tr r="K167" s="1"/>
      </tp>
      <tp>
        <v>9.1473119999999994</v>
        <stp/>
        <stp>##V3_BDPV12</stp>
        <stp>IPSA Index</stp>
        <stp>CHG_PCT_1M</stp>
        <stp>[Index.xlsm]全球指數!R147C11</stp>
        <tr r="K147" s="1"/>
      </tp>
      <tp>
        <v>2.4553989999999999</v>
        <stp/>
        <stp>##V3_BDPV12</stp>
        <stp>ITMC Index</stp>
        <stp>CHG_PCT_3M</stp>
        <stp>[Index.xlsm]全球指數!R163C12</stp>
        <tr r="L163" s="1"/>
      </tp>
      <tp>
        <v>0.62763760000000002</v>
        <stp/>
        <stp>##V3_BDPV12</stp>
        <stp>VALUA Index</stp>
        <stp>CHG_PCT_3M</stp>
        <stp>[Index.xlsm]全球指數!R112C12</stp>
        <tr r="L112" s="1"/>
      </tp>
      <tp>
        <v>24455.39</v>
        <stp/>
        <stp>##V3_BDPV12</stp>
        <stp>SPBL25PT Index</stp>
        <stp>PX_LAST</stp>
        <stp>[Index.xlsm]全球指數!R232C4</stp>
        <tr r="D232" s="1"/>
      </tp>
      <tp>
        <v>-0.78969</v>
        <stp/>
        <stp>##V3_BDPV12</stp>
        <stp>IMOEX Index</stp>
        <stp>CHG_PCT_5D</stp>
        <stp>[Index.xlsm]全球指數!R159C10</stp>
        <tr r="J159" s="1"/>
      </tp>
      <tp>
        <v>-0.20186670000000001</v>
        <stp/>
        <stp>##V3_BDPV12</stp>
        <stp>INMEX Index</stp>
        <stp>CHG_PCT_5D</stp>
        <stp>[Index.xlsm]全球指數!R228C10</stp>
        <tr r="J228" s="1"/>
      </tp>
      <tp>
        <v>0.53567339999999997</v>
        <stp/>
        <stp>##V3_BDPV12</stp>
        <stp>COLIR Index</stp>
        <stp>CHG_PCT_5D</stp>
        <stp>[Index.xlsm]全球指數!R267C10</stp>
        <tr r="J267" s="1"/>
      </tp>
      <tp>
        <v>30.182000300832041</v>
        <stp/>
        <stp>##V3_BDPV12</stp>
        <stp>CLXP Index</stp>
        <stp>INTERVAL_HIGH</stp>
        <stp>[Index.xlsm]全球指數!R54C16</stp>
        <stp>MARKET_DATA_OVERRIDE=PE_RATIO</stp>
        <stp>CALC_INTERVAL=5y</stp>
        <stp>BEST_FPERIOD_OVERRIDE=BF</stp>
        <tr r="P54" s="1"/>
      </tp>
      <tp>
        <v>1.4567730000000001</v>
        <stp/>
        <stp>##V3_BDPV12</stp>
        <stp>RAY Index</stp>
        <stp>CHG_PCT_3M</stp>
        <stp>[Index.xlsm]全球指數!R122C12</stp>
        <tr r="L122" s="1"/>
      </tp>
      <tp>
        <v>1.622279</v>
        <stp/>
        <stp>##V3_BDPV12</stp>
        <stp>RIY Index</stp>
        <stp>CHG_PCT_3M</stp>
        <stp>[Index.xlsm]全球指數!R129C12</stp>
        <tr r="L129" s="1"/>
      </tp>
      <tp>
        <v>901.57</v>
        <stp/>
        <stp>##V3_BDPV12</stp>
        <stp>ASE Index</stp>
        <stp>HIGH_52WEEK</stp>
        <stp>[Index.xlsm]全球指數!R142C6</stp>
        <tr r="F142" s="1"/>
      </tp>
      <tp>
        <v>3.3277000000000001</v>
        <stp/>
        <stp>##V3_BDPV12</stp>
        <stp>NKY Index</stp>
        <stp>CHG_PCT_3M</stp>
        <stp>[Index.xlsm]全球指數!R264C12</stp>
        <tr r="L264" s="1"/>
      </tp>
      <tp>
        <v>4.6547749999999999</v>
        <stp/>
        <stp>##V3_BDPV12</stp>
        <stp>NEY Index</stp>
        <stp>CHG_PCT_3M</stp>
        <stp>[Index.xlsm]全球指數!R282C12</stp>
        <tr r="L282" s="1"/>
      </tp>
      <tp>
        <v>9.199446</v>
        <stp/>
        <stp>##V3_BDPV12</stp>
        <stp>UTY Index</stp>
        <stp>CHG_PCT_3M</stp>
        <stp>[Index.xlsm]全球指數!R303C12</stp>
        <tr r="L303" s="1"/>
      </tp>
      <tp>
        <v>-0.8081351</v>
        <stp/>
        <stp>##V3_BDPV12</stp>
        <stp>SXXE Index</stp>
        <stp>CHG_PCT_5D</stp>
        <stp>[Index.xlsm]全球指數!R156C10</stp>
        <tr r="J156" s="1"/>
      </tp>
      <tp>
        <v>-0.57618689999999995</v>
        <stp/>
        <stp>##V3_BDPV12</stp>
        <stp>SX5E Index</stp>
        <stp>CHG_PCT_5D</stp>
        <stp>[Index.xlsm]全球指數!R184C10</stp>
        <tr r="J184" s="1"/>
      </tp>
      <tp>
        <v>0.7428051</v>
        <stp/>
        <stp>##V3_BDPV12</stp>
        <stp>RIGSE Index</stp>
        <stp>CHG_PCT_3M</stp>
        <stp>[Index.xlsm]全球指數!R260C12</stp>
        <tr r="L260" s="1"/>
      </tp>
      <tp>
        <v>-2.2830590000000002</v>
        <stp/>
        <stp>##V3_BDPV12</stp>
        <stp>NIFTY Index</stp>
        <stp>CHG_PCT_3M</stp>
        <stp>[Index.xlsm]全球指數!R319C12</stp>
        <tr r="L319" s="1"/>
      </tp>
      <tp>
        <v>0.1026238</v>
        <stp/>
        <stp>##V3_BDPV12</stp>
        <stp>TALSE Index</stp>
        <stp>CHG_PCT_5D</stp>
        <stp>[Index.xlsm]全球指數!R247C10</stp>
        <tr r="J247" s="1"/>
      </tp>
      <tp>
        <v>-0.20845179999999999</v>
        <stp/>
        <stp>##V3_BDPV12</stp>
        <stp>TWSE Index</stp>
        <stp>CHG_PCT_5D</stp>
        <stp>[Index.xlsm]全球指數!R225C10</stp>
        <tr r="J225" s="1"/>
      </tp>
      <tp>
        <v>31.343969999999999</v>
        <stp/>
        <stp>##V3_BDPV12</stp>
        <stp>JMSMX Index</stp>
        <stp>CHG_PCT_6M</stp>
        <stp>[Index.xlsm]全球指數!R106C13</stp>
        <tr r="M106" s="1"/>
      </tp>
      <tp>
        <v>-0.71756759999999997</v>
        <stp/>
        <stp>##V3_BDPV12</stp>
        <stp>KSE30 Index</stp>
        <stp>CHG_PCT_1D</stp>
        <stp>[Index.xlsm]全球指數!R17C5</stp>
        <tr r="E17" s="1"/>
      </tp>
      <tp>
        <v>0.2312717</v>
        <stp/>
        <stp>##V3_BDPV12</stp>
        <stp>NZSE50FG Index</stp>
        <stp>CHG_PCT_1D</stp>
        <stp>[Index.xlsm]全球指數!R250C5</stp>
        <tr r="E250" s="1"/>
      </tp>
      <tp>
        <v>-0.79603630000000003</v>
        <stp/>
        <stp>##V3_BDPV12</stp>
        <stp>s5tels Index</stp>
        <stp>CHG_PCT_1D</stp>
        <stp>[Index.xlsm]主要產業!R6C5</stp>
        <tr r="E6" s="2"/>
      </tp>
      <tp>
        <v>1.2316549999999999</v>
        <stp/>
        <stp>##V3_BDPV12</stp>
        <stp>SPBLPGPT Index</stp>
        <stp>CHG_PCT_1D</stp>
        <stp>[Index.xlsm]全球指數!R277C5</stp>
        <tr r="E277" s="1"/>
      </tp>
      <tp>
        <v>45.894889999999997</v>
        <stp/>
        <stp>##V3_BDPV12</stp>
        <stp>IVBX2 Index</stp>
        <stp>CHG_PCT_1YR</stp>
        <stp>[Index.xlsm]全球指數!R274C15</stp>
        <tr r="O274" s="1"/>
      </tp>
      <tp>
        <v>72.680000000000007</v>
        <stp/>
        <stp>##V3_BDPV12</stp>
        <stp>TWSETRAN Index</stp>
        <stp>HIGH_52WEEK</stp>
        <stp>[Index.xlsm]主要產業!R82C6</stp>
        <tr r="F82" s="2"/>
      </tp>
      <tp>
        <v>2907.67</v>
        <stp/>
        <stp>##V3_BDPV12</stp>
        <stp>TPCOMM Index</stp>
        <stp>LOW_52WEEK</stp>
        <stp>[Index.xlsm]主要產業!R38C8</stp>
        <tr r="H38" s="2"/>
      </tp>
      <tp>
        <v>1678.25</v>
        <stp/>
        <stp>##V3_BDPV12</stp>
        <stp>KOSPTREQ Index</stp>
        <stp>HIGH_52WEEK</stp>
        <stp>[Index.xlsm]主要產業!R46C6</stp>
        <tr r="F46" s="2"/>
      </tp>
      <tp>
        <v>183.97</v>
        <stp/>
        <stp>##V3_BDPV12</stp>
        <stp>TWSEPP Index</stp>
        <stp>PX_LAST</stp>
        <stp>[Index.xlsm]主要產業!R95C4</stp>
        <tr r="D95" s="2"/>
      </tp>
      <tp>
        <v>4286.76</v>
        <stp/>
        <stp>##V3_BDPV12</stp>
        <stp>HSCIMT Index</stp>
        <stp>PX_LAST</stp>
        <stp>[Index.xlsm]主要產業!R64C4</stp>
        <tr r="D64" s="2"/>
      </tp>
      <tp>
        <v>76.48</v>
        <stp/>
        <stp>##V3_BDPV12</stp>
        <stp>TWSEECI Index</stp>
        <stp>LOW_52WEEK</stp>
        <stp>[Index.xlsm]主要產業!R74C8</stp>
        <tr r="H74" s="2"/>
      </tp>
      <tp>
        <v>41.91</v>
        <stp/>
        <stp>##V3_BDPV12</stp>
        <stp>TWSEEAW Index</stp>
        <stp>LOW_52WEEK</stp>
        <stp>[Index.xlsm]主要產業!R94C8</stp>
        <tr r="H94" s="2"/>
      </tp>
      <tp>
        <v>114.85</v>
        <stp/>
        <stp>##V3_BDPV12</stp>
        <stp>TWSECII Index</stp>
        <stp>LOW_52WEEK</stp>
        <stp>[Index.xlsm]主要產業!R72C8</stp>
        <tr r="H72" s="2"/>
      </tp>
      <tp>
        <v>773.35</v>
        <stp/>
        <stp>##V3_BDPV12</stp>
        <stp>s5sseqx Index</stp>
        <stp>LOW_52WEEK</stp>
        <stp>[Index.xlsm]主要產業!R13C8</stp>
        <tr r="H13" s="2"/>
      </tp>
      <tp>
        <v>362.96929999999998</v>
        <stp/>
        <stp>##V3_BDPV12</stp>
        <stp>s5matr Index</stp>
        <stp>PX_LAST</stp>
        <stp>[Index.xlsm]主要產業!R16C4</stp>
        <tr r="D16" s="2"/>
      </tp>
      <tp>
        <v>60.03</v>
        <stp/>
        <stp>##V3_BDPV12</stp>
        <stp>TWSETRAN Index</stp>
        <stp>LOW_52WEEK</stp>
        <stp>[Index.xlsm]主要產業!R82C8</stp>
        <tr r="H82" s="2"/>
      </tp>
      <tp>
        <v>861.72580000000005</v>
        <stp/>
        <stp>##V3_BDPV12</stp>
        <stp>s5phrm index</stp>
        <stp>PX_LAST</stp>
        <stp>[Index.xlsm]主要產業!R10C4</stp>
        <tr r="D10" s="2"/>
      </tp>
      <tp>
        <v>3.1117949999999998E-2</v>
        <stp/>
        <stp>##V3_BDPV12</stp>
        <stp>OSESX Index</stp>
        <stp>CHG_PCT_1D</stp>
        <stp>[Index.xlsm]全球指數!R36C5</stp>
        <tr r="E36" s="1"/>
      </tp>
      <tp>
        <v>40312.0703125</v>
        <stp/>
        <stp>##V3_BDPV12</stp>
        <stp>SENSEX Index</stp>
        <stp>HIGH_52WEEK</stp>
        <stp>[Index.xlsm]全球指數!R317C6</stp>
        <tr r="F317" s="1"/>
      </tp>
      <tp>
        <v>1634.17</v>
        <stp/>
        <stp>##V3_BDPV12</stp>
        <stp>COLCAP Index</stp>
        <stp>HIGH_52WEEK</stp>
        <stp>[Index.xlsm]全球指數!R265C6</stp>
        <tr r="F265" s="1"/>
      </tp>
      <tp>
        <v>-0.89341250000000005</v>
        <stp/>
        <stp>##V3_BDPV12</stp>
        <stp>QEAS Index</stp>
        <stp>PR064</stp>
        <stp>[Index.xlsm]全球指數!R149C14</stp>
        <tr r="N149" s="1"/>
      </tp>
      <tp>
        <v>8.0003650000000004</v>
        <stp/>
        <stp>##V3_BDPV12</stp>
        <stp>CSEALL Index</stp>
        <stp>PR064</stp>
        <stp>[Index.xlsm]全球指數!R174C14</stp>
        <tr r="N174" s="1"/>
      </tp>
      <tp>
        <v>38.995596371015949</v>
        <stp/>
        <stp>##V3_BDPV12</stp>
        <stp>CINS Index</stp>
        <stp>INTERVAL_HIGH</stp>
        <stp>[Index.xlsm]全球指數!R254C16</stp>
        <stp>MARKET_DATA_OVERRIDE=PE_RATIO</stp>
        <stp>CALC_INTERVAL=5y</stp>
        <stp>BEST_FPERIOD_OVERRIDE=BF</stp>
        <tr r="P254" s="1"/>
      </tp>
      <tp>
        <v>911.71</v>
        <stp/>
        <stp>##V3_BDPV12</stp>
        <stp>FTSEM Index</stp>
        <stp>LOW_52WEEK</stp>
        <stp>[Index.xlsm]全球指數!R43C8</stp>
        <tr r="H43" s="1"/>
      </tp>
      <tp>
        <v>-4.4111659999999997</v>
        <stp/>
        <stp>##V3_BDPV12</stp>
        <stp>SAXCME Index</stp>
        <stp>CHG_PCT_3M</stp>
        <stp>[Index.xlsm]全球指數!R109C12</stp>
        <tr r="L109" s="1"/>
      </tp>
      <tp>
        <v>540.83000000000004</v>
        <stp/>
        <stp>##V3_BDPV12</stp>
        <stp>KOSDAQ Index</stp>
        <stp>LOW_52WEEK</stp>
        <stp>[Index.xlsm]全球指數!R18C8</stp>
        <tr r="H18" s="1"/>
      </tp>
      <tp>
        <v>0.54388340000000002</v>
        <stp/>
        <stp>##V3_BDPV12</stp>
        <stp>H-FIN Index</stp>
        <stp>CHG_PCT_1D</stp>
        <stp>[Index.xlsm]全球指數!R55C5</stp>
        <tr r="E55" s="1"/>
      </tp>
      <tp>
        <v>25700.35</v>
        <stp/>
        <stp>##V3_BDPV12</stp>
        <stp>MDAX Index</stp>
        <stp>PX_LAST</stp>
        <stp>[Index.xlsm]全球指數!R85C4</stp>
        <tr r="D85" s="1"/>
      </tp>
      <tp>
        <v>0.97492069999999997</v>
        <stp/>
        <stp>##V3_BDPV12</stp>
        <stp>TRAN Index</stp>
        <stp>PR064</stp>
        <stp>[Index.xlsm]全球指數!R140C14</stp>
        <tr r="N140" s="1"/>
      </tp>
      <tp>
        <v>-2.2177739999999999</v>
        <stp/>
        <stp>##V3_BDPV12</stp>
        <stp>BGSMDC Index</stp>
        <stp>CHG_PCT_3M</stp>
        <stp>[Index.xlsm]全球指數!R257C12</stp>
        <tr r="L257" s="1"/>
      </tp>
      <tp>
        <v>4.4177299999999997</v>
        <stp/>
        <stp>##V3_BDPV12</stp>
        <stp>ITSTAR Index</stp>
        <stp>CHG_PCT_1M</stp>
        <stp>[Index.xlsm]全球指數!R158C11</stp>
        <tr r="K158" s="1"/>
      </tp>
      <tp>
        <v>-0.3280148</v>
        <stp/>
        <stp>##V3_BDPV12</stp>
        <stp>MOEXBC Index</stp>
        <stp>PR064</stp>
        <stp>[Index.xlsm]全球指數!R171C14</stp>
        <tr r="N171" s="1"/>
      </tp>
      <tp t="s">
        <v>#N/A N/A</v>
        <stp/>
        <stp>##V3_BDPV12</stp>
        <stp>VALUA Index</stp>
        <stp>INTERVAL_HIGH</stp>
        <stp>[Index.xlsm]全球指數!R112C16</stp>
        <stp>MARKET_DATA_OVERRIDE=PE_RATIO</stp>
        <stp>CALC_INTERVAL=5y</stp>
        <stp>BEST_FPERIOD_OVERRIDE=BF</stp>
        <tr r="P112" s="1"/>
      </tp>
      <tp>
        <v>1693.82</v>
        <stp/>
        <stp>##V3_BDPV12</stp>
        <stp>CRO Index</stp>
        <stp>LOW_52WEEK</stp>
        <stp>[Index.xlsm]全球指數!R310C8</stp>
        <tr r="H310" s="1"/>
      </tp>
      <tp>
        <v>-2.812446</v>
        <stp/>
        <stp>##V3_BDPV12</stp>
        <stp>ES30 Index</stp>
        <stp>CHG_PCT_1YR</stp>
        <stp>[Index.xlsm]全球指數!R189C15</stp>
        <tr r="O189" s="1"/>
      </tp>
      <tp>
        <v>31599.9296875</v>
        <stp/>
        <stp>##V3_BDPV12</stp>
        <stp>HKSPLC25 Index</stp>
        <stp>LOW_52WEEK</stp>
        <stp>[Index.xlsm]全球指數!R94C8</stp>
        <tr r="H94" s="1"/>
      </tp>
      <tp>
        <v>632.15660000000003</v>
        <stp/>
        <stp>##V3_BDPV12</stp>
        <stp>SAX Index</stp>
        <stp>HIGH_52WEEK</stp>
        <stp>[Index.xlsm]全球指數!R56C6</stp>
        <tr r="F56" s="1"/>
      </tp>
      <tp>
        <v>8.1157769999999996</v>
        <stp/>
        <stp>##V3_BDPV12</stp>
        <stp>LUXXX Index</stp>
        <stp>CHG_PCT_1M</stp>
        <stp>[Index.xlsm]全球指數!R127C11</stp>
        <tr r="K127" s="1"/>
      </tp>
      <tp>
        <v>-0.84598709999999999</v>
        <stp/>
        <stp>##V3_BDPV12</stp>
        <stp>NYID Index</stp>
        <stp>CHG_PCT_5D</stp>
        <stp>[Index.xlsm]全球指數!R148C10</stp>
        <tr r="J148" s="1"/>
      </tp>
      <tp>
        <v>1738.5696777241008</v>
        <stp/>
        <stp>##V3_BDPV12</stp>
        <stp>NMDP Index</stp>
        <stp>INTERVAL_HIGH</stp>
        <stp>[Index.xlsm]全球指數!R19C16</stp>
        <stp>MARKET_DATA_OVERRIDE=PE_RATIO</stp>
        <stp>CALC_INTERVAL=5y</stp>
        <stp>BEST_FPERIOD_OVERRIDE=BF</stp>
        <tr r="P19" s="1"/>
      </tp>
      <tp>
        <v>-2.395899</v>
        <stp/>
        <stp>##V3_BDPV12</stp>
        <stp>SZSMEC Index</stp>
        <stp>CHG_PCT_1D</stp>
        <stp>[Index.xlsm]全球指數!R9C5</stp>
        <tr r="E9" s="1"/>
      </tp>
      <tp>
        <v>-22.463509999999999</v>
        <stp/>
        <stp>##V3_BDPV12</stp>
        <stp>KSE Index</stp>
        <stp>CHG_PCT_1YR</stp>
        <stp>[Index.xlsm]全球指數!R89C15</stp>
        <tr r="O89" s="1"/>
      </tp>
      <tp>
        <v>1505.0329999999999</v>
        <stp/>
        <stp>##V3_BDPV12</stp>
        <stp>ICEXI Index</stp>
        <stp>HIGH_52WEEK</stp>
        <stp>[Index.xlsm]全球指數!R218C6</stp>
        <tr r="F218" s="1"/>
      </tp>
      <tp>
        <v>2.969957</v>
        <stp/>
        <stp>##V3_BDPV12</stp>
        <stp>E100 Index</stp>
        <stp>CHG_PCT_1YR</stp>
        <stp>[Index.xlsm]全球指數!R234C15</stp>
        <tr r="O234" s="1"/>
      </tp>
      <tp>
        <v>1.2406219999999999</v>
        <stp/>
        <stp>##V3_BDPV12</stp>
        <stp>E300 Index</stp>
        <stp>CHG_PCT_1YR</stp>
        <stp>[Index.xlsm]全球指數!R213C15</stp>
        <tr r="O213" s="1"/>
      </tp>
      <tp>
        <v>1.4568209999999999</v>
        <stp/>
        <stp>##V3_BDPV12</stp>
        <stp>PAX Index</stp>
        <stp>CHG_PCT_3M</stp>
        <stp>[Index.xlsm]全球指數!R146C12</stp>
        <tr r="L146" s="1"/>
      </tp>
      <tp>
        <v>8.4561910000000005</v>
        <stp/>
        <stp>##V3_BDPV12</stp>
        <stp>SOX Index</stp>
        <stp>CHG_PCT_3M</stp>
        <stp>[Index.xlsm]全球指數!R168C12</stp>
        <tr r="L168" s="1"/>
      </tp>
      <tp>
        <v>1.8017650000000001</v>
        <stp/>
        <stp>##V3_BDPV12</stp>
        <stp>SPX Index</stp>
        <stp>CHG_PCT_3M</stp>
        <stp>[Index.xlsm]全球指數!R134C12</stp>
        <tr r="L134" s="1"/>
      </tp>
      <tp>
        <v>1.6800120000000001</v>
        <stp/>
        <stp>##V3_BDPV12</stp>
        <stp>OEX Index</stp>
        <stp>CHG_PCT_3M</stp>
        <stp>[Index.xlsm]全球指數!R117C12</stp>
        <tr r="L117" s="1"/>
      </tp>
      <tp>
        <v>2.6102120000000002</v>
        <stp/>
        <stp>##V3_BDPV12</stp>
        <stp>MCX Index</stp>
        <stp>CHG_PCT_3M</stp>
        <stp>[Index.xlsm]全球指數!R100C12</stp>
        <tr r="L100" s="1"/>
      </tp>
      <tp>
        <v>3.808192</v>
        <stp/>
        <stp>##V3_BDPV12</stp>
        <stp>BKX Index</stp>
        <stp>CHG_PCT_3M</stp>
        <stp>[Index.xlsm]全球指數!R105C12</stp>
        <tr r="L105" s="1"/>
      </tp>
      <tp>
        <v>0.2318703</v>
        <stp/>
        <stp>##V3_BDPV12</stp>
        <stp>BUX Index</stp>
        <stp>CHG_PCT_3M</stp>
        <stp>[Index.xlsm]全球指數!R138C12</stp>
        <tr r="L138" s="1"/>
      </tp>
      <tp>
        <v>4.506621</v>
        <stp/>
        <stp>##V3_BDPV12</stp>
        <stp>TPX Index</stp>
        <stp>CHG_PCT_3M</stp>
        <stp>[Index.xlsm]全球指數!R289C12</stp>
        <tr r="L289" s="1"/>
      </tp>
      <tp>
        <v>-0.69234960000000001</v>
        <stp/>
        <stp>##V3_BDPV12</stp>
        <stp>UKX Index</stp>
        <stp>CHG_PCT_3M</stp>
        <stp>[Index.xlsm]全球指數!R239C12</stp>
        <tr r="L239" s="1"/>
      </tp>
      <tp>
        <v>5.0836420000000002</v>
        <stp/>
        <stp>##V3_BDPV12</stp>
        <stp>IBX Index</stp>
        <stp>CHG_PCT_3M</stp>
        <stp>[Index.xlsm]全球指數!R279C12</stp>
        <tr r="L279" s="1"/>
      </tp>
      <tp>
        <v>-0.16645699999999999</v>
        <stp/>
        <stp>##V3_BDPV12</stp>
        <stp>NMX Index</stp>
        <stp>CHG_PCT_3M</stp>
        <stp>[Index.xlsm]全球指數!R212C12</stp>
        <tr r="L212" s="1"/>
      </tp>
      <tp>
        <v>3.3162750000000001</v>
        <stp/>
        <stp>##V3_BDPV12</stp>
        <stp>KAX Index</stp>
        <stp>CHG_PCT_3M</stp>
        <stp>[Index.xlsm]全球指數!R275C12</stp>
        <tr r="L275" s="1"/>
      </tp>
      <tp>
        <v>-3.5787840000000002</v>
        <stp/>
        <stp>##V3_BDPV12</stp>
        <stp>BSX Index</stp>
        <stp>CHG_PCT_3M</stp>
        <stp>[Index.xlsm]全球指數!R297C12</stp>
        <tr r="L297" s="1"/>
      </tp>
      <tp>
        <v>3.6213190000000002</v>
        <stp/>
        <stp>##V3_BDPV12</stp>
        <stp>AEX Index</stp>
        <stp>CHG_PCT_3M</stp>
        <stp>[Index.xlsm]全球指數!R222C12</stp>
        <tr r="L222" s="1"/>
      </tp>
      <tp>
        <v>4.899756</v>
        <stp/>
        <stp>##V3_BDPV12</stp>
        <stp>KFX Index</stp>
        <stp>CHG_PCT_3M</stp>
        <stp>[Index.xlsm]全球指數!R285C12</stp>
        <tr r="L285" s="1"/>
      </tp>
      <tp>
        <v>-0.25137589999999999</v>
        <stp/>
        <stp>##V3_BDPV12</stp>
        <stp>ASX Index</stp>
        <stp>CHG_PCT_3M</stp>
        <stp>[Index.xlsm]全球指數!R209C12</stp>
        <tr r="L209" s="1"/>
      </tp>
      <tp>
        <v>5426.24609375</v>
        <stp/>
        <stp>##V3_BDPV12</stp>
        <stp>ADSMI Index</stp>
        <stp>HIGH_52WEEK</stp>
        <stp>[Index.xlsm]全球指數!R120C6</stp>
        <tr r="F120" s="1"/>
      </tp>
      <tp>
        <v>5.1675279999999999</v>
        <stp/>
        <stp>##V3_BDPV12</stp>
        <stp>VILSE Index</stp>
        <stp>CHG_PCT_6M</stp>
        <stp>[Index.xlsm]全球指數!R181C13</stp>
        <tr r="M181" s="1"/>
      </tp>
      <tp>
        <v>2.9043670000000001E-2</v>
        <stp/>
        <stp>##V3_BDPV12</stp>
        <stp>ATXPRIME Index</stp>
        <stp>CHG_PCT_1D</stp>
        <stp>[Index.xlsm]全球指數!R42C5</stp>
        <tr r="E42" s="1"/>
      </tp>
      <tp>
        <v>3.9638390000000001</v>
        <stp/>
        <stp>##V3_BDPV12</stp>
        <stp>FTSEMIB Index</stp>
        <stp>PR064</stp>
        <stp>[Index.xlsm]全球指數!R153C14</stp>
        <tr r="N153" s="1"/>
      </tp>
      <tp>
        <v>17.889589999999998</v>
        <stp/>
        <stp>##V3_BDPV12</stp>
        <stp>FTSEM Index</stp>
        <stp>CHG_PCT_1YR</stp>
        <stp>[Index.xlsm]全球指數!R43C15</stp>
        <tr r="O43" s="1"/>
      </tp>
      <tp>
        <v>749.18</v>
        <stp/>
        <stp>##V3_BDPV12</stp>
        <stp>TSEMOTHR Index</stp>
        <stp>LOW_52WEEK</stp>
        <stp>[Index.xlsm]全球指數!R313C8</stp>
        <tr r="H313" s="1"/>
      </tp>
      <tp>
        <v>15321.23046875</v>
        <stp/>
        <stp>##V3_BDPV12</stp>
        <stp>EGX30 Index</stp>
        <stp>HIGH_52WEEK</stp>
        <stp>[Index.xlsm]全球指數!R7C6</stp>
        <tr r="F7" s="1"/>
      </tp>
      <tp>
        <v>0.22936970000000001</v>
        <stp/>
        <stp>##V3_BDPV12</stp>
        <stp>DARSDSEI Index</stp>
        <stp>CHG_PCT_1D</stp>
        <stp>[Index.xlsm]全球指數!R253C5</stp>
        <tr r="E253" s="1"/>
      </tp>
      <tp>
        <v>0.42166720000000002</v>
        <stp/>
        <stp>##V3_BDPV12</stp>
        <stp>TWSESCI Index</stp>
        <stp>CHG_PCT_1D</stp>
        <stp>[Index.xlsm]主要產業!R70C5</stp>
        <tr r="E70" s="2"/>
      </tp>
      <tp>
        <v>4850.8</v>
        <stp/>
        <stp>##V3_BDPV12</stp>
        <stp>KOSPBMET Index</stp>
        <stp>HIGH_52WEEK</stp>
        <stp>[Index.xlsm]主要產業!R47C6</stp>
        <tr r="F47" s="2"/>
      </tp>
      <tp>
        <v>52.12</v>
        <stp/>
        <stp>##V3_BDPV12</stp>
        <stp>TWSEBMC Index</stp>
        <stp>LOW_52WEEK</stp>
        <stp>[Index.xlsm]主要產業!R92C8</stp>
        <tr r="H92" s="2"/>
      </tp>
      <tp>
        <v>31.35</v>
        <stp/>
        <stp>##V3_BDPV12</stp>
        <stp>TWSEGLP Index</stp>
        <stp>LOW_52WEEK</stp>
        <stp>[Index.xlsm]主要產業!R97C8</stp>
        <tr r="H97" s="2"/>
      </tp>
      <tp>
        <v>327.78</v>
        <stp/>
        <stp>##V3_BDPV12</stp>
        <stp>TWSEPLAS Index</stp>
        <stp>HIGH_52WEEK</stp>
        <stp>[Index.xlsm]主要產業!R73C6</stp>
        <tr r="F73" s="2"/>
      </tp>
      <tp>
        <v>828.68</v>
        <stp/>
        <stp>##V3_BDPV12</stp>
        <stp>SX3P INDEX</stp>
        <stp>HIGH_52WEEK</stp>
        <stp>[Index.xlsm]主要產業!R22C6</stp>
        <tr r="F22" s="2"/>
      </tp>
      <tp>
        <v>45.99</v>
        <stp/>
        <stp>##V3_BDPV12</stp>
        <stp>TWSEEAW Index</stp>
        <stp>PX_LAST</stp>
        <stp>[Index.xlsm]主要產業!R94C4</stp>
        <tr r="D94" s="2"/>
      </tp>
      <tp>
        <v>12288.54</v>
        <stp/>
        <stp>##V3_BDPV12</stp>
        <stp>DAX INDEX</stp>
        <stp>PX_LAST</stp>
        <stp>[Index.xlsm]主要產業!R9C42</stp>
        <tr r="AP9" s="2"/>
      </tp>
      <tp>
        <v>880.7</v>
        <stp/>
        <stp>##V3_BDPV12</stp>
        <stp>OSEBX Index</stp>
        <stp>PX_LAST</stp>
        <stp>[Index.xlsm]全球指數!R52C4</stp>
        <tr r="D52" s="1"/>
      </tp>
      <tp>
        <v>2.0708639999999998</v>
        <stp/>
        <stp>##V3_BDPV12</stp>
        <stp>TWOTCI Index</stp>
        <stp>CHG_PCT_6M</stp>
        <stp>[Index.xlsm]全球指數!R229C13</stp>
        <tr r="M229" s="1"/>
      </tp>
      <tp>
        <v>1.0935699999999999</v>
        <stp/>
        <stp>##V3_BDPV12</stp>
        <stp>SAX Index</stp>
        <stp>PR064</stp>
        <stp>[Index.xlsm]全球指數!R56C14</stp>
        <tr r="N56" s="1"/>
      </tp>
      <tp>
        <v>1.1759250000000001</v>
        <stp/>
        <stp>##V3_BDPV12</stp>
        <stp>SBX Index</stp>
        <stp>PR064</stp>
        <stp>[Index.xlsm]全球指數!R58C14</stp>
        <tr r="N58" s="1"/>
      </tp>
      <tp>
        <v>1.7332399999999999</v>
        <stp/>
        <stp>##V3_BDPV12</stp>
        <stp>MALTEX Index</stp>
        <stp>CHG_PCT_1M</stp>
        <stp>[Index.xlsm]全球指數!R284C11</stp>
        <tr r="K284" s="1"/>
      </tp>
      <tp>
        <v>8.7153610000000006E-2</v>
        <stp/>
        <stp>##V3_BDPV12</stp>
        <stp>FTBIVA Index</stp>
        <stp>PR064</stp>
        <stp>[Index.xlsm]全球指數!R245C14</stp>
        <tr r="N245" s="1"/>
      </tp>
      <tp>
        <v>1267.2739999999999</v>
        <stp/>
        <stp>##V3_BDPV12</stp>
        <stp>SZASHR Index</stp>
        <stp>LOW_52WEEK</stp>
        <stp>[Index.xlsm]全球指數!R10C8</stp>
        <tr r="H10" s="1"/>
      </tp>
      <tp>
        <v>2555.8389999999999</v>
        <stp/>
        <stp>##V3_BDPV12</stp>
        <stp>SHASHR Index</stp>
        <stp>LOW_52WEEK</stp>
        <stp>[Index.xlsm]全球指數!R30C8</stp>
        <tr r="H30" s="1"/>
      </tp>
      <tp>
        <v>8.0243640000000003</v>
        <stp/>
        <stp>##V3_BDPV12</stp>
        <stp>SENSEX Index</stp>
        <stp>CHG_PCT_5D</stp>
        <stp>[Index.xlsm]全球指數!R317C10</stp>
        <tr r="J317" s="1"/>
      </tp>
      <tp>
        <v>-2.563107</v>
        <stp/>
        <stp>##V3_BDPV12</stp>
        <stp>SMX Index</stp>
        <stp>PR064</stp>
        <stp>[Index.xlsm]全球指數!R87C14</stp>
        <tr r="N87" s="1"/>
      </tp>
      <tp>
        <v>-0.25038899999999997</v>
        <stp/>
        <stp>##V3_BDPV12</stp>
        <stp>IMOEX Index</stp>
        <stp>PR064</stp>
        <stp>[Index.xlsm]全球指數!R159C14</stp>
        <tr r="N159" s="1"/>
      </tp>
      <tp>
        <v>6478.2669999999998</v>
        <stp/>
        <stp>##V3_BDPV12</stp>
        <stp>HEXP Index</stp>
        <stp>PX_LAST</stp>
        <stp>[Index.xlsm]全球指數!R93C4</stp>
        <tr r="D93" s="1"/>
      </tp>
      <tp>
        <v>-1.477069</v>
        <stp/>
        <stp>##V3_BDPV12</stp>
        <stp>INMEX Index</stp>
        <stp>PR064</stp>
        <stp>[Index.xlsm]全球指數!R228C14</stp>
        <tr r="N228" s="1"/>
      </tp>
      <tp>
        <v>24.816699382346528</v>
        <stp/>
        <stp>##V3_BDPV12</stp>
        <stp>NKYJQ Index</stp>
        <stp>INTERVAL_HIGH</stp>
        <stp>[Index.xlsm]全球指數!R292C16</stp>
        <stp>MARKET_DATA_OVERRIDE=PE_RATIO</stp>
        <stp>CALC_INTERVAL=5y</stp>
        <stp>BEST_FPERIOD_OVERRIDE=BF</stp>
        <tr r="P292" s="1"/>
      </tp>
      <tp>
        <v>185.87</v>
        <stp/>
        <stp>##V3_BDPV12</stp>
        <stp>EUETMP Index</stp>
        <stp>LOW_52WEEK</stp>
        <stp>[Index.xlsm]全球指數!R97C8</stp>
        <tr r="H97" s="1"/>
      </tp>
      <tp>
        <v>0.42852269999999998</v>
        <stp/>
        <stp>##V3_BDPV12</stp>
        <stp>UTY Index</stp>
        <stp>CHG_PCT_1D</stp>
        <stp>[Index.xlsm]全球指數!R303C5</stp>
        <tr r="E303" s="1"/>
      </tp>
      <tp>
        <v>12.429390592655205</v>
        <stp/>
        <stp>##V3_BDPV12</stp>
        <stp>HSHK35 Index</stp>
        <stp>PE_RATIO</stp>
        <stp>[Index.xlsm]全球指數!R73C18</stp>
        <tr r="R73" s="1"/>
      </tp>
      <tp>
        <v>3.4826930011240882</v>
        <stp/>
        <stp>##V3_BDPV12</stp>
        <stp>MAR Index</stp>
        <stp>INTERVAL_Low</stp>
        <stp>[Index.xlsm]全球指數!R5C17</stp>
        <stp>MARKET_DATA_OVERRIDE=PE_RATIO</stp>
        <stp>CALC_INTERVAL=5y</stp>
        <stp>BEST_FPERIOD_OVERRIDE=BF</stp>
        <tr r="Q5" s="1"/>
      </tp>
      <tp>
        <v>-3.1991609999999998E-4</v>
        <stp/>
        <stp>##V3_BDPV12</stp>
        <stp>STI Index</stp>
        <stp>CHG_PCT_1D</stp>
        <stp>[Index.xlsm]全球指數!R123C5</stp>
        <tr r="E123" s="1"/>
      </tp>
      <tp>
        <v>12.250920000000001</v>
        <stp/>
        <stp>##V3_BDPV12</stp>
        <stp>CRTX Index</stp>
        <stp>CHG_PCT_6M</stp>
        <stp>[Index.xlsm]全球指數!R108C13</stp>
        <tr r="M108" s="1"/>
      </tp>
      <tp>
        <v>3.7495419999999999</v>
        <stp/>
        <stp>##V3_BDPV12</stp>
        <stp>SPTSX Index</stp>
        <stp>CHG_PCT_1M</stp>
        <stp>[Index.xlsm]全球指數!R200C11</stp>
        <tr r="K200" s="1"/>
      </tp>
      <tp>
        <v>-9.7050070000000002</v>
        <stp/>
        <stp>##V3_BDPV12</stp>
        <stp>DSEX Index</stp>
        <stp>CHG_PCT_6M</stp>
        <stp>[Index.xlsm]全球指數!R306C13</stp>
        <tr r="M306" s="1"/>
      </tp>
      <tp>
        <v>-1.085604</v>
        <stp/>
        <stp>##V3_BDPV12</stp>
        <stp>IBEX Index</stp>
        <stp>CHG_PCT_6M</stp>
        <stp>[Index.xlsm]全球指數!R240C13</stp>
        <tr r="M240" s="1"/>
      </tp>
      <tp>
        <v>17.965710000000001</v>
        <stp/>
        <stp>##V3_BDPV12</stp>
        <stp>IGCX Index</stp>
        <stp>CHG_PCT_6M</stp>
        <stp>[Index.xlsm]全球指數!R270C13</stp>
        <tr r="M270" s="1"/>
      </tp>
      <tp>
        <v>169.25</v>
        <stp/>
        <stp>##V3_BDPV12</stp>
        <stp>JSDA Index</stp>
        <stp>HIGH_52WEEK</stp>
        <stp>[Index.xlsm]全球指數!R302C6</stp>
        <tr r="F302" s="1"/>
      </tp>
      <tp>
        <v>-2.0323150000000001</v>
        <stp/>
        <stp>##V3_BDPV12</stp>
        <stp>MADX Index</stp>
        <stp>CHG_PCT_6M</stp>
        <stp>[Index.xlsm]全球指數!R210C13</stp>
        <tr r="M210" s="1"/>
      </tp>
      <tp>
        <v>387.63</v>
        <stp/>
        <stp>##V3_BDPV12</stp>
        <stp>SXXE Index</stp>
        <stp>HIGH_52WEEK</stp>
        <stp>[Index.xlsm]全球指數!R156C6</stp>
        <tr r="F156" s="1"/>
      </tp>
      <tp>
        <v>15.406941087731138</v>
        <stp/>
        <stp>##V3_BDPV12</stp>
        <stp>VHINDEX Index</stp>
        <stp>INTERVAL_HIGH</stp>
        <stp>[Index.xlsm]全球指數!R276C16</stp>
        <stp>MARKET_DATA_OVERRIDE=PE_RATIO</stp>
        <stp>CALC_INTERVAL=5y</stp>
        <stp>BEST_FPERIOD_OVERRIDE=BF</stp>
        <tr r="P276" s="1"/>
      </tp>
      <tp>
        <v>-4.8355230000000002</v>
        <stp/>
        <stp>##V3_BDPV12</stp>
        <stp>WIG Index</stp>
        <stp>CHG_PCT_3M</stp>
        <stp>[Index.xlsm]全球指數!R115C12</stp>
        <tr r="L115" s="1"/>
      </tp>
      <tp>
        <v>4.1532369999999998</v>
        <stp/>
        <stp>##V3_BDPV12</stp>
        <stp>ASE Index</stp>
        <stp>CHG_PCT_1M</stp>
        <stp>[Index.xlsm]全球指數!R142C11</stp>
        <tr r="K142" s="1"/>
      </tp>
      <tp>
        <v>1081.5060000000001</v>
        <stp/>
        <stp>##V3_BDPV12</stp>
        <stp>RIGSE Index</stp>
        <stp>HIGH_52WEEK</stp>
        <stp>[Index.xlsm]全球指數!R260C6</stp>
        <tr r="F260" s="1"/>
      </tp>
      <tp>
        <v>-0.62933649999999997</v>
        <stp/>
        <stp>##V3_BDPV12</stp>
        <stp>NYA Index</stp>
        <stp>CHG_PCT_5D</stp>
        <stp>[Index.xlsm]全球指數!R178C10</stp>
        <tr r="J178" s="1"/>
      </tp>
      <tp>
        <v>0.14139289999999999</v>
        <stp/>
        <stp>##V3_BDPV12</stp>
        <stp>SOFIX Index</stp>
        <stp>CHG_PCT_1M</stp>
        <stp>[Index.xlsm]全球指數!R110C11</stp>
        <tr r="K110" s="1"/>
      </tp>
      <tp>
        <v>5805.82</v>
        <stp/>
        <stp>##V3_BDPV12</stp>
        <stp>CHSMLCAP Index</stp>
        <stp>LOW_52WEEK</stp>
        <stp>[Index.xlsm]全球指數!R273C8</stp>
        <tr r="H273" s="1"/>
      </tp>
      <tp>
        <v>0.49435030000000002</v>
        <stp/>
        <stp>##V3_BDPV12</stp>
        <stp>BWORLDEU Index</stp>
        <stp>CHG_PCT_1D</stp>
        <stp>[Index.xlsm]全球指數!R101C5</stp>
        <tr r="E101" s="1"/>
      </tp>
      <tp>
        <v>0.86365689999999995</v>
        <stp/>
        <stp>##V3_BDPV12</stp>
        <stp>HSCIIT Index</stp>
        <stp>CHG_PCT_1D</stp>
        <stp>[Index.xlsm]主要產業!R63C5</stp>
        <tr r="E63" s="2"/>
      </tp>
      <tp>
        <v>1.82809</v>
        <stp/>
        <stp>##V3_BDPV12</stp>
        <stp>COLCAP Index</stp>
        <stp>CHG_PCT_6M</stp>
        <stp>[Index.xlsm]全球指數!R265C13</stp>
        <tr r="M265" s="1"/>
      </tp>
      <tp>
        <v>103.22951142447286</v>
        <stp/>
        <stp>##V3_BDPV12</stp>
        <stp>ATX Index</stp>
        <stp>INTERVAL_HIGH</stp>
        <stp>[Index.xlsm]全球指數!R34C16</stp>
        <stp>MARKET_DATA_OVERRIDE=PE_RATIO</stp>
        <stp>CALC_INTERVAL=5y</stp>
        <stp>BEST_FPERIOD_OVERRIDE=BF</stp>
        <tr r="P34" s="1"/>
      </tp>
      <tp>
        <v>-1.7277119999999999</v>
        <stp/>
        <stp>##V3_BDPV12</stp>
        <stp>EGX30 Index</stp>
        <stp>PR064</stp>
        <stp>[Index.xlsm]全球指數!R7C14</stp>
        <tr r="N7" s="1"/>
      </tp>
      <tp>
        <v>6739.69</v>
        <stp/>
        <stp>##V3_BDPV12</stp>
        <stp>SZ399005 Index</stp>
        <stp>HIGH_52WEEK</stp>
        <stp>[Index.xlsm]全球指數!R16C6</stp>
        <tr r="F16" s="1"/>
      </tp>
      <tp>
        <v>4.7351349999999996</v>
        <stp/>
        <stp>##V3_BDPV12</stp>
        <stp>CSEALL Index</stp>
        <stp>CHG_PCT_6M</stp>
        <stp>[Index.xlsm]全球指數!R174C13</stp>
        <tr r="M174" s="1"/>
      </tp>
      <tp>
        <v>6777.7406044384961</v>
        <stp/>
        <stp>##V3_BDPV12</stp>
        <stp>AXX Index</stp>
        <stp>INTERVAL_HIGH</stp>
        <stp>[Index.xlsm]全球指數!R76C16</stp>
        <stp>MARKET_DATA_OVERRIDE=PE_RATIO</stp>
        <stp>CALC_INTERVAL=5y</stp>
        <stp>BEST_FPERIOD_OVERRIDE=BF</stp>
        <tr r="P76" s="1"/>
      </tp>
      <tp>
        <v>-2.5886450000000001</v>
        <stp/>
        <stp>##V3_BDPV12</stp>
        <stp>NSEASI Index</stp>
        <stp>CHG_PCT_3M</stp>
        <stp>[Index.xlsm]全球指數!R252C12</stp>
        <tr r="L252" s="1"/>
      </tp>
      <tp>
        <v>3.0490279999999998</v>
        <stp/>
        <stp>##V3_BDPV12</stp>
        <stp>SPEURO Index</stp>
        <stp>CHG_PCT_6M</stp>
        <stp>[Index.xlsm]全球指數!R201C13</stp>
        <tr r="M201" s="1"/>
      </tp>
      <tp>
        <v>-9.3661460000000005</v>
        <stp/>
        <stp>##V3_BDPV12</stp>
        <stp>SHBSHR Index</stp>
        <stp>CHG_PCT_3M</stp>
        <stp>[Index.xlsm]全球指數!R116C12</stp>
        <tr r="L116" s="1"/>
      </tp>
      <tp>
        <v>2815.63</v>
        <stp/>
        <stp>##V3_BDPV12</stp>
        <stp>TDXP Index</stp>
        <stp>PX_LAST</stp>
        <stp>[Index.xlsm]全球指數!R22C4</stp>
        <tr r="D22" s="1"/>
      </tp>
      <tp>
        <v>-0.85506439999999995</v>
        <stp/>
        <stp>##V3_BDPV12</stp>
        <stp>RTY Index</stp>
        <stp>PR064</stp>
        <stp>[Index.xlsm]全球指數!R62C14</stp>
        <tr r="N62" s="1"/>
      </tp>
      <tp>
        <v>31.911913346375467</v>
        <stp/>
        <stp>##V3_BDPV12</stp>
        <stp>MSPE Index</stp>
        <stp>INTERVAL_HIGH</stp>
        <stp>[Index.xlsm]全球指數!R207C16</stp>
        <stp>MARKET_DATA_OVERRIDE=PE_RATIO</stp>
        <stp>CALC_INTERVAL=5y</stp>
        <stp>BEST_FPERIOD_OVERRIDE=BF</stp>
        <tr r="P207" s="1"/>
      </tp>
      <tp>
        <v>-0.55497750000000001</v>
        <stp/>
        <stp>##V3_BDPV12</stp>
        <stp>KWSEMM Index</stp>
        <stp>CHG_PCT_3M</stp>
        <stp>[Index.xlsm]全球指數!R291C12</stp>
        <tr r="L291" s="1"/>
      </tp>
      <tp>
        <v>176.60851022257557</v>
        <stp/>
        <stp>##V3_BDPV12</stp>
        <stp>AMX Index</stp>
        <stp>INTERVAL_HIGH</stp>
        <stp>[Index.xlsm]全球指數!R41C16</stp>
        <stp>MARKET_DATA_OVERRIDE=PE_RATIO</stp>
        <stp>CALC_INTERVAL=5y</stp>
        <stp>BEST_FPERIOD_OVERRIDE=BF</stp>
        <tr r="P41" s="1"/>
      </tp>
      <tp>
        <v>-2.1358079999999999</v>
        <stp/>
        <stp>##V3_BDPV12</stp>
        <stp>KWSEPM Index</stp>
        <stp>CHG_PCT_3M</stp>
        <stp>[Index.xlsm]全球指數!R311C12</stp>
        <tr r="L311" s="1"/>
      </tp>
      <tp>
        <v>24.079423528324629</v>
        <stp/>
        <stp>##V3_BDPV12</stp>
        <stp>IGPA Index</stp>
        <stp>INTERVAL_HIGH</stp>
        <stp>[Index.xlsm]全球指數!R167C16</stp>
        <stp>MARKET_DATA_OVERRIDE=PE_RATIO</stp>
        <stp>CALC_INTERVAL=5y</stp>
        <stp>BEST_FPERIOD_OVERRIDE=BF</stp>
        <tr r="P167" s="1"/>
      </tp>
      <tp>
        <v>18546.609375</v>
        <stp/>
        <stp>##V3_BDPV12</stp>
        <stp>MSETOP Index</stp>
        <stp>LOW_52WEEK</stp>
        <stp>[Index.xlsm]全球指數!R26C8</stp>
        <tr r="H26" s="1"/>
      </tp>
      <tp>
        <v>13.816440671652686</v>
        <stp/>
        <stp>##V3_BDPV12</stp>
        <stp>SAXCME Index</stp>
        <stp>INTERVAL_HIGH</stp>
        <stp>[Index.xlsm]全球指數!R109C16</stp>
        <stp>MARKET_DATA_OVERRIDE=PE_RATIO</stp>
        <stp>CALC_INTERVAL=5y</stp>
        <stp>BEST_FPERIOD_OVERRIDE=BF</stp>
        <tr r="P109" s="1"/>
      </tp>
      <tp>
        <v>2202.69</v>
        <stp/>
        <stp>##V3_BDPV12</stp>
        <stp>XMI Index</stp>
        <stp>LOW_52WEEK</stp>
        <stp>[Index.xlsm]全球指數!R211C8</stp>
        <tr r="H211" s="1"/>
      </tp>
      <tp>
        <v>15.598943836163699</v>
        <stp/>
        <stp>##V3_BDPV12</stp>
        <stp>NZSE50FG Index</stp>
        <stp>INTERVAL_Low</stp>
        <stp>[Index.xlsm]全球指數!R250C17</stp>
        <stp>MARKET_DATA_OVERRIDE=PE_RATIO</stp>
        <stp>CALC_INTERVAL=5y</stp>
        <stp>BEST_FPERIOD_OVERRIDE=BF</stp>
        <tr r="Q250" s="1"/>
      </tp>
      <tp>
        <v>54027.3203125</v>
        <stp/>
        <stp>##V3_BDPV12</stp>
        <stp>WIG Index</stp>
        <stp>LOW_52WEEK</stp>
        <stp>[Index.xlsm]全球指數!R115C8</stp>
        <tr r="H115" s="1"/>
      </tp>
      <tp>
        <v>1565.76</v>
        <stp/>
        <stp>##V3_BDPV12</stp>
        <stp>MID Index</stp>
        <stp>LOW_52WEEK</stp>
        <stp>[Index.xlsm]全球指數!R175C8</stp>
        <tr r="H175" s="1"/>
      </tp>
      <tp>
        <v>514.70279850736108</v>
        <stp/>
        <stp>##V3_BDPV12</stp>
        <stp>CS90 Index</stp>
        <stp>INTERVAL_HIGH</stp>
        <stp>[Index.xlsm]全球指數!R38C16</stp>
        <stp>MARKET_DATA_OVERRIDE=PE_RATIO</stp>
        <stp>CALC_INTERVAL=5y</stp>
        <stp>BEST_FPERIOD_OVERRIDE=BF</stp>
        <tr r="P38" s="1"/>
      </tp>
      <tp>
        <v>0.91714640000000003</v>
        <stp/>
        <stp>##V3_BDPV12</stp>
        <stp>SPI Index</stp>
        <stp>CHG_PCT_1D</stp>
        <stp>[Index.xlsm]全球指數!R206C5</stp>
        <tr r="E206" s="1"/>
      </tp>
      <tp>
        <v>66.349999999999994</v>
        <stp/>
        <stp>##V3_BDPV12</stp>
        <stp>CYSMMAPA Index</stp>
        <stp>PX_LAST</stp>
        <stp>[Index.xlsm]全球指數!R139C4</stp>
        <tr r="D139" s="1"/>
      </tp>
      <tp>
        <v>825</v>
        <stp/>
        <stp>##V3_BDPV12</stp>
        <stp>FSTAS Index</stp>
        <stp>HIGH_52WEEK</stp>
        <stp>[Index.xlsm]全球指數!R133C6</stp>
        <tr r="F133" s="1"/>
      </tp>
      <tp>
        <v>2.6866819999999998</v>
        <stp/>
        <stp>##V3_BDPV12</stp>
        <stp>NYYID Index</stp>
        <stp>CHG_PCT_1M</stp>
        <stp>[Index.xlsm]全球指數!R190C11</stp>
        <tr r="K190" s="1"/>
      </tp>
      <tp>
        <v>4.3597070000000002</v>
        <stp/>
        <stp>##V3_BDPV12</stp>
        <stp>NYLID Index</stp>
        <stp>CHG_PCT_1M</stp>
        <stp>[Index.xlsm]全球指數!R179C11</stp>
        <tr r="K179" s="1"/>
      </tp>
      <tp>
        <v>4.888395</v>
        <stp/>
        <stp>##V3_BDPV12</stp>
        <stp>NYIID Index</stp>
        <stp>CHG_PCT_1M</stp>
        <stp>[Index.xlsm]全球指數!R227C11</stp>
        <tr r="K227" s="1"/>
      </tp>
      <tp>
        <v>1234.3399999999999</v>
        <stp/>
        <stp>##V3_BDPV12</stp>
        <stp>MSPE Index</stp>
        <stp>HIGH_52WEEK</stp>
        <stp>[Index.xlsm]全球指數!R207C6</stp>
        <tr r="F207" s="1"/>
      </tp>
      <tp t="s">
        <v>#N/A N/A</v>
        <stp/>
        <stp>##V3_BDPV12</stp>
        <stp>HSCI Index</stp>
        <stp>INTERVAL_HIGH</stp>
        <stp>[Index.xlsm]全球指數!R60C16</stp>
        <stp>MARKET_DATA_OVERRIDE=PE_RATIO</stp>
        <stp>CALC_INTERVAL=5y</stp>
        <stp>BEST_FPERIOD_OVERRIDE=BF</stp>
        <tr r="P60" s="1"/>
      </tp>
      <tp t="s">
        <v>富時歐洲100指數</v>
        <stp/>
        <stp>##V3_BDPV12</stp>
        <stp>E100 Index</stp>
        <stp>DS697</stp>
        <stp>[Index.xlsm]全球指數!R234C2</stp>
        <tr r="B234" s="1"/>
      </tp>
      <tp>
        <v>1281.018</v>
        <stp/>
        <stp>##V3_BDPV12</stp>
        <stp>TALSE Index</stp>
        <stp>HIGH_52WEEK</stp>
        <stp>[Index.xlsm]全球指數!R247C6</stp>
        <tr r="F247" s="1"/>
      </tp>
      <tp>
        <v>-4.4023000000000003</v>
        <stp/>
        <stp>##V3_BDPV12</stp>
        <stp>FBMEMAS Index</stp>
        <stp>PR064</stp>
        <stp>[Index.xlsm]全球指數!R242C14</stp>
        <tr r="N242" s="1"/>
      </tp>
      <tp>
        <v>1.557188</v>
        <stp/>
        <stp>##V3_BDPV12</stp>
        <stp>ADSMI Index</stp>
        <stp>CHG_PCT_3M</stp>
        <stp>[Index.xlsm]全球指數!R120C12</stp>
        <tr r="L120" s="1"/>
      </tp>
      <tp>
        <v>13.732568442669878</v>
        <stp/>
        <stp>##V3_BDPV12</stp>
        <stp>LSXC Index</stp>
        <stp>INTERVAL_HIGH</stp>
        <stp>[Index.xlsm]全球指數!R14C16</stp>
        <stp>MARKET_DATA_OVERRIDE=PE_RATIO</stp>
        <stp>CALC_INTERVAL=5y</stp>
        <stp>BEST_FPERIOD_OVERRIDE=BF</stp>
        <tr r="P14" s="1"/>
      </tp>
      <tp>
        <v>3.6757610000000001</v>
        <stp/>
        <stp>##V3_BDPV12</stp>
        <stp>NDF Index</stp>
        <stp>CHG_PCT_3M</stp>
        <stp>[Index.xlsm]全球指數!R125C12</stp>
        <tr r="L125" s="1"/>
      </tp>
      <tp>
        <v>5.6934550000000002</v>
        <stp/>
        <stp>##V3_BDPV12</stp>
        <stp>MID Index</stp>
        <stp>CHG_PCT_1M</stp>
        <stp>[Index.xlsm]全球指數!R175C11</stp>
        <tr r="K175" s="1"/>
      </tp>
      <tp>
        <v>6.0236770000000002</v>
        <stp/>
        <stp>##V3_BDPV12</stp>
        <stp>CAC Index</stp>
        <stp>CHG_PCT_6M</stp>
        <stp>[Index.xlsm]全球指數!R173C13</stp>
        <tr r="M173" s="1"/>
      </tp>
      <tp>
        <v>7.032718</v>
        <stp/>
        <stp>##V3_BDPV12</stp>
        <stp>DFMGI Index</stp>
        <stp>CHG_PCT_6M</stp>
        <stp>[Index.xlsm]全球指數!R166C13</stp>
        <tr r="M166" s="1"/>
      </tp>
      <tp>
        <v>20475.16015625</v>
        <stp/>
        <stp>##V3_BDPV12</stp>
        <stp>MCX Index</stp>
        <stp>HIGH_52WEEK</stp>
        <stp>[Index.xlsm]全球指數!R100C6</stp>
        <tr r="F100" s="1"/>
      </tp>
      <tp>
        <v>1050.51</v>
        <stp/>
        <stp>##V3_BDPV12</stp>
        <stp>COLIR Index</stp>
        <stp>HIGH_52WEEK</stp>
        <stp>[Index.xlsm]全球指數!R267C6</stp>
        <tr r="F267" s="1"/>
      </tp>
      <tp>
        <v>0.95861229999999997</v>
        <stp/>
        <stp>##V3_BDPV12</stp>
        <stp>CYSMMAPA Index</stp>
        <stp>CHG_PCT_1D</stp>
        <stp>[Index.xlsm]全球指數!R139C5</stp>
        <tr r="E139" s="1"/>
      </tp>
      <tp>
        <v>23214.42</v>
        <stp/>
        <stp>##V3_BDPV12</stp>
        <stp>SPBL25PT Index</stp>
        <stp>LOW_52WEEK</stp>
        <stp>[Index.xlsm]全球指數!R232C8</stp>
        <tr r="H232" s="1"/>
      </tp>
      <tp>
        <v>5.2234200000000001E-2</v>
        <stp/>
        <stp>##V3_BDPV12</stp>
        <stp>VILSE Index</stp>
        <stp>CHG_PCT_1YR</stp>
        <stp>[Index.xlsm]全球指數!R181C15</stp>
        <tr r="O181" s="1"/>
      </tp>
      <tp>
        <v>-6.1596450000000003</v>
        <stp/>
        <stp>##V3_BDPV12</stp>
        <stp>WIG20 Index</stp>
        <stp>CHG_PCT_1YR</stp>
        <stp>[Index.xlsm]全球指數!R145C15</stp>
        <tr r="O145" s="1"/>
      </tp>
      <tp>
        <v>4.9310409999999996</v>
        <stp/>
        <stp>##V3_BDPV12</stp>
        <stp>RIGSE Index</stp>
        <stp>CHG_PCT_1YR</stp>
        <stp>[Index.xlsm]全球指數!R260C15</stp>
        <tr r="O260" s="1"/>
      </tp>
      <tp>
        <v>5.4078590000000002</v>
        <stp/>
        <stp>##V3_BDPV12</stp>
        <stp>NIFTY Index</stp>
        <stp>CHG_PCT_1YR</stp>
        <stp>[Index.xlsm]全球指數!R319C15</stp>
        <tr r="O319" s="1"/>
      </tp>
      <tp>
        <v>0.47752539999999999</v>
        <stp/>
        <stp>##V3_BDPV12</stp>
        <stp>HSCIIN Index</stp>
        <stp>CHG_PCT_1D</stp>
        <stp>[Index.xlsm]主要產業!R62C5</stp>
        <tr r="E62" s="2"/>
      </tp>
      <tp>
        <v>0.12264</v>
        <stp/>
        <stp>##V3_BDPV12</stp>
        <stp>TPELMH Index</stp>
        <stp>CHG_PCT_1D</stp>
        <stp>[Index.xlsm]主要產業!R37C5</stp>
        <tr r="E37" s="2"/>
      </tp>
      <tp>
        <v>2359.38</v>
        <stp/>
        <stp>##V3_BDPV12</stp>
        <stp>TPELMH Index</stp>
        <stp>PX_LAST</stp>
        <stp>[Index.xlsm]主要產業!R37C4</stp>
        <tr r="D37" s="2"/>
      </tp>
      <tp>
        <v>595.20000000000005</v>
        <stp/>
        <stp>##V3_BDPV12</stp>
        <stp>TWSETEXT Index</stp>
        <stp>HIGH_52WEEK</stp>
        <stp>[Index.xlsm]主要產業!R84C6</stp>
        <tr r="F84" s="2"/>
      </tp>
      <tp>
        <v>1555.15</v>
        <stp/>
        <stp>##V3_BDPV12</stp>
        <stp>TWSEFOOD Index</stp>
        <stp>LOW_52WEEK</stp>
        <stp>[Index.xlsm]主要產業!R80C8</stp>
        <tr r="H80" s="2"/>
      </tp>
      <tp>
        <v>240.98</v>
        <stp/>
        <stp>##V3_BDPV12</stp>
        <stp>TWSEPLAS Index</stp>
        <stp>LOW_52WEEK</stp>
        <stp>[Index.xlsm]主要產業!R73C8</stp>
        <tr r="H73" s="2"/>
      </tp>
      <tp>
        <v>329.41570000000002</v>
        <stp/>
        <stp>##V3_BDPV12</stp>
        <stp>s5util Index</stp>
        <stp>PX_LAST</stp>
        <stp>[Index.xlsm]主要產業!R14C4</stp>
        <tr r="D14" s="2"/>
      </tp>
      <tp>
        <v>-0.65874679999999997</v>
        <stp/>
        <stp>##V3_BDPV12</stp>
        <stp>CSEALL Index</stp>
        <stp>CHG_PCT_5D</stp>
        <stp>[Index.xlsm]全球指數!R174C10</stp>
        <tr r="J174" s="1"/>
      </tp>
      <tp>
        <v>2.2312059999999998</v>
        <stp/>
        <stp>##V3_BDPV12</stp>
        <stp>MALTEX Index</stp>
        <stp>CHG_PCT_3M</stp>
        <stp>[Index.xlsm]全球指數!R284C12</stp>
        <tr r="L284" s="1"/>
      </tp>
      <tp>
        <v>-0.39564290000000002</v>
        <stp/>
        <stp>##V3_BDPV12</stp>
        <stp>SPEURO Index</stp>
        <stp>CHG_PCT_5D</stp>
        <stp>[Index.xlsm]全球指數!R201C10</stp>
        <tr r="J201" s="1"/>
      </tp>
      <tp>
        <v>17.291025815063243</v>
        <stp/>
        <stp>##V3_BDPV12</stp>
        <stp>NSEASI Index</stp>
        <stp>INTERVAL_HIGH</stp>
        <stp>[Index.xlsm]全球指數!R252C16</stp>
        <stp>MARKET_DATA_OVERRIDE=PE_RATIO</stp>
        <stp>CALC_INTERVAL=5y</stp>
        <stp>BEST_FPERIOD_OVERRIDE=BF</stp>
        <tr r="P252" s="1"/>
      </tp>
      <tp>
        <v>1.332166</v>
        <stp/>
        <stp>##V3_BDPV12</stp>
        <stp>QIV Index</stp>
        <stp>PR064</stp>
        <stp>[Index.xlsm]全球指數!R65C14</stp>
        <tr r="N65" s="1"/>
      </tp>
      <tp>
        <v>0.45982210000000001</v>
        <stp/>
        <stp>##V3_BDPV12</stp>
        <stp>COLCAP Index</stp>
        <stp>CHG_PCT_5D</stp>
        <stp>[Index.xlsm]全球指數!R265C10</stp>
        <tr r="J265" s="1"/>
      </tp>
      <tp>
        <v>6.5554439999999996</v>
        <stp/>
        <stp>##V3_BDPV12</stp>
        <stp>DFMGI Index</stp>
        <stp>PR064</stp>
        <stp>[Index.xlsm]全球指數!R166C14</stp>
        <tr r="N166" s="1"/>
      </tp>
      <tp>
        <v>68.933342545651286</v>
        <stp/>
        <stp>##V3_BDPV12</stp>
        <stp>SKSM Index</stp>
        <stp>INTERVAL_HIGH</stp>
        <stp>[Index.xlsm]全球指數!R281C16</stp>
        <stp>MARKET_DATA_OVERRIDE=PE_RATIO</stp>
        <stp>CALC_INTERVAL=5y</stp>
        <stp>BEST_FPERIOD_OVERRIDE=BF</stp>
        <tr r="P281" s="1"/>
      </tp>
      <tp>
        <v>52.593311386274912</v>
        <stp/>
        <stp>##V3_BDPV12</stp>
        <stp>NZSE Index</stp>
        <stp>INTERVAL_HIGH</stp>
        <stp>[Index.xlsm]全球指數!R238C16</stp>
        <stp>MARKET_DATA_OVERRIDE=PE_RATIO</stp>
        <stp>CALC_INTERVAL=5y</stp>
        <stp>BEST_FPERIOD_OVERRIDE=BF</stp>
        <tr r="P238" s="1"/>
      </tp>
      <tp>
        <v>13.918610233588867</v>
        <stp/>
        <stp>##V3_BDPV12</stp>
        <stp>BE500 Index</stp>
        <stp>INTERVAL_Low</stp>
        <stp>[Index.xlsm]全球指數!R202C17</stp>
        <stp>MARKET_DATA_OVERRIDE=PE_RATIO</stp>
        <stp>CALC_INTERVAL=5y</stp>
        <stp>BEST_FPERIOD_OVERRIDE=BF</stp>
        <tr r="Q202" s="1"/>
      </tp>
      <tp>
        <v>17.356925050109698</v>
        <stp/>
        <stp>##V3_BDPV12</stp>
        <stp>TWSE Index</stp>
        <stp>INTERVAL_HIGH</stp>
        <stp>[Index.xlsm]全球指數!R225C16</stp>
        <stp>MARKET_DATA_OVERRIDE=PE_RATIO</stp>
        <stp>CALC_INTERVAL=5y</stp>
        <stp>BEST_FPERIOD_OVERRIDE=BF</stp>
        <tr r="P225" s="1"/>
      </tp>
      <tp>
        <v>50032.73828125</v>
        <stp/>
        <stp>##V3_BDPV12</stp>
        <stp>JALSH Index</stp>
        <stp>LOW_52WEEK</stp>
        <stp>[Index.xlsm]全球指數!R71C8</stp>
        <tr r="H71" s="1"/>
      </tp>
      <tp>
        <v>25.039888757108113</v>
        <stp/>
        <stp>##V3_BDPV12</stp>
        <stp>IPSA Index</stp>
        <stp>INTERVAL_HIGH</stp>
        <stp>[Index.xlsm]全球指數!R147C16</stp>
        <stp>MARKET_DATA_OVERRIDE=PE_RATIO</stp>
        <stp>CALC_INTERVAL=5y</stp>
        <stp>BEST_FPERIOD_OVERRIDE=BF</stp>
        <tr r="P147" s="1"/>
      </tp>
      <tp>
        <v>-6.8180459999999998E-2</v>
        <stp/>
        <stp>##V3_BDPV12</stp>
        <stp>IRT Index</stp>
        <stp>CHG_PCT_1D</stp>
        <stp>[Index.xlsm]全球指數!R237C5</stp>
        <tr r="E237" s="1"/>
      </tp>
      <tp>
        <v>8138.56</v>
        <stp/>
        <stp>##V3_BDPV12</stp>
        <stp>SMI Index</stp>
        <stp>LOW_52WEEK</stp>
        <stp>[Index.xlsm]全球指數!R192C8</stp>
        <tr r="H192" s="1"/>
      </tp>
      <tp>
        <v>-0.2843272</v>
        <stp/>
        <stp>##V3_BDPV12</stp>
        <stp>SPR Index</stp>
        <stp>CHG_PCT_1D</stp>
        <stp>[Index.xlsm]全球指數!R135C5</stp>
        <tr r="E135" s="1"/>
      </tp>
      <tp t="s">
        <v>費城石油服務類指數</v>
        <stp/>
        <stp>##V3_BDPV12</stp>
        <stp>OSX Index</stp>
        <stp>DS697</stp>
        <stp>[Index.xlsm]全球指數!R2C2</stp>
        <tr r="B2" s="1"/>
      </tp>
      <tp>
        <v>2166.2800000000002</v>
        <stp/>
        <stp>##V3_BDPV12</stp>
        <stp>TSEREIT Index</stp>
        <stp>PX_LAST</stp>
        <stp>[Index.xlsm]全球指數!R309C4</stp>
        <tr r="D309" s="1"/>
      </tp>
      <tp>
        <v>18948.580000000002</v>
        <stp/>
        <stp>##V3_BDPV12</stp>
        <stp>NKY Index</stp>
        <stp>LOW_52WEEK</stp>
        <stp>[Index.xlsm]全球指數!R264C8</stp>
        <tr r="H264" s="1"/>
      </tp>
      <tp>
        <v>12.418106484055754</v>
        <stp/>
        <stp>##V3_BDPV12</stp>
        <stp>HKSPLC25 Index</stp>
        <stp>PE_RATIO</stp>
        <stp>[Index.xlsm]全球指數!R94C18</stp>
        <tr r="R94" s="1"/>
      </tp>
      <tp>
        <v>3617.92</v>
        <stp/>
        <stp>##V3_BDPV12</stp>
        <stp>NMX Index</stp>
        <stp>LOW_52WEEK</stp>
        <stp>[Index.xlsm]全球指數!R212C8</stp>
        <tr r="H212" s="1"/>
      </tp>
      <tp>
        <v>128.07</v>
        <stp/>
        <stp>##V3_BDPV12</stp>
        <stp>BWORLDEU Index</stp>
        <stp>PX_LAST</stp>
        <stp>[Index.xlsm]全球指數!R101C4</stp>
        <tr r="D101" s="1"/>
      </tp>
      <tp>
        <v>2.9597609999999999</v>
        <stp/>
        <stp>##V3_BDPV12</stp>
        <stp>SPTSX Index</stp>
        <stp>CHG_PCT_3M</stp>
        <stp>[Index.xlsm]全球指數!R200C12</stp>
        <tr r="L200" s="1"/>
      </tp>
      <tp>
        <v>66458.15625</v>
        <stp/>
        <stp>##V3_BDPV12</stp>
        <stp>IBVC Index</stp>
        <stp>HIGH_52WEEK</stp>
        <stp>[Index.xlsm]全球指數!R312C6</stp>
        <tr r="F312" s="1"/>
      </tp>
      <tp>
        <v>16647.2109375</v>
        <stp/>
        <stp>##V3_BDPV12</stp>
        <stp>NYP Index</stp>
        <stp>HIGH_52WEEK</stp>
        <stp>[Index.xlsm]全球指數!R83C6</stp>
        <tr r="F83" s="1"/>
      </tp>
      <tp>
        <v>0.2466315</v>
        <stp/>
        <stp>##V3_BDPV12</stp>
        <stp>SAX Index</stp>
        <stp>CHG_PCT_1YR</stp>
        <stp>[Index.xlsm]全球指數!R56C15</stp>
        <tr r="O56" s="1"/>
      </tp>
      <tp>
        <v>2.3086540000000002</v>
        <stp/>
        <stp>##V3_BDPV12</stp>
        <stp>SBX Index</stp>
        <stp>CHG_PCT_1YR</stp>
        <stp>[Index.xlsm]全球指數!R58C15</stp>
        <tr r="O58" s="1"/>
      </tp>
      <tp>
        <v>13.00764</v>
        <stp/>
        <stp>##V3_BDPV12</stp>
        <stp>T1X Index</stp>
        <stp>CHG_PCT_1YR</stp>
        <stp>[Index.xlsm]全球指數!R95C15</stp>
        <tr r="O95" s="1"/>
      </tp>
      <tp>
        <v>-6.9617820000000004</v>
        <stp/>
        <stp>##V3_BDPV12</stp>
        <stp>SMX Index</stp>
        <stp>CHG_PCT_1YR</stp>
        <stp>[Index.xlsm]全球指數!R87C15</stp>
        <tr r="O87" s="1"/>
      </tp>
      <tp>
        <v>-7.8991509999999998</v>
        <stp/>
        <stp>##V3_BDPV12</stp>
        <stp>XAX Index</stp>
        <stp>CHG_PCT_1YR</stp>
        <stp>[Index.xlsm]全球指數!R39C15</stp>
        <tr r="O39" s="1"/>
      </tp>
      <tp>
        <v>4.678274</v>
        <stp/>
        <stp>##V3_BDPV12</stp>
        <stp>AMX Index</stp>
        <stp>CHG_PCT_1YR</stp>
        <stp>[Index.xlsm]全球指數!R41C15</stp>
        <tr r="O41" s="1"/>
      </tp>
      <tp>
        <v>-20.523440000000001</v>
        <stp/>
        <stp>##V3_BDPV12</stp>
        <stp>AXX Index</stp>
        <stp>CHG_PCT_1YR</stp>
        <stp>[Index.xlsm]全球指數!R76C15</stp>
        <tr r="O76" s="1"/>
      </tp>
      <tp>
        <v>-9.5840800000000002</v>
        <stp/>
        <stp>##V3_BDPV12</stp>
        <stp>HEX Index</stp>
        <stp>CHG_PCT_1YR</stp>
        <stp>[Index.xlsm]全球指數!R91C15</stp>
        <tr r="O91" s="1"/>
      </tp>
      <tp>
        <v>-11.173109999999999</v>
        <stp/>
        <stp>##V3_BDPV12</stp>
        <stp>ATX Index</stp>
        <stp>CHG_PCT_1YR</stp>
        <stp>[Index.xlsm]全球指數!R34C15</stp>
        <tr r="O34" s="1"/>
      </tp>
      <tp>
        <v>-1.1824920000000001</v>
        <stp/>
        <stp>##V3_BDPV12</stp>
        <stp>DAX Index</stp>
        <stp>CHG_PCT_1YR</stp>
        <stp>[Index.xlsm]全球指數!R99C15</stp>
        <tr r="O99" s="1"/>
      </tp>
      <tp>
        <v>-6.6891679999999996</v>
        <stp/>
        <stp>##V3_BDPV12</stp>
        <stp>NTX Index</stp>
        <stp>CHG_PCT_1YR</stp>
        <stp>[Index.xlsm]全球指數!R66C15</stp>
        <tr r="O66" s="1"/>
      </tp>
      <tp>
        <v>1.86669</v>
        <stp/>
        <stp>##V3_BDPV12</stp>
        <stp>NDX Index</stp>
        <stp>CHG_PCT_1YR</stp>
        <stp>[Index.xlsm]全球指數!R75C15</stp>
        <tr r="O75" s="1"/>
      </tp>
      <tp>
        <v>-2.6700490000000001</v>
        <stp/>
        <stp>##V3_BDPV12</stp>
        <stp>OMX Index</stp>
        <stp>CHG_PCT_1YR</stp>
        <stp>[Index.xlsm]全球指數!R51C15</stp>
        <tr r="O51" s="1"/>
      </tp>
      <tp>
        <v>-7.3679740000000002</v>
        <stp/>
        <stp>##V3_BDPV12</stp>
        <stp>OBX Index</stp>
        <stp>CHG_PCT_1YR</stp>
        <stp>[Index.xlsm]全球指數!R46C15</stp>
        <tr r="O46" s="1"/>
      </tp>
      <tp>
        <v>0.78947330000000004</v>
        <stp/>
        <stp>##V3_BDPV12</stp>
        <stp>CCMP Index</stp>
        <stp>PR064</stp>
        <stp>[Index.xlsm]全球指數!R61C14</stp>
        <tr r="N61" s="1"/>
      </tp>
      <tp>
        <v>6557.62</v>
        <stp/>
        <stp>##V3_BDPV12</stp>
        <stp>VALUA Index</stp>
        <stp>HIGH_52WEEK</stp>
        <stp>[Index.xlsm]全球指數!R112C6</stp>
        <tr r="F112" s="1"/>
      </tp>
      <tp>
        <v>3578.04</v>
        <stp/>
        <stp>##V3_BDPV12</stp>
        <stp>SX5E Index</stp>
        <stp>HIGH_52WEEK</stp>
        <stp>[Index.xlsm]全球指數!R184C6</stp>
        <tr r="F184" s="1"/>
      </tp>
      <tp>
        <v>2.6768749999999999</v>
        <stp/>
        <stp>##V3_BDPV12</stp>
        <stp>WIG Index</stp>
        <stp>CHG_PCT_1M</stp>
        <stp>[Index.xlsm]全球指數!R115C11</stp>
        <tr r="K115" s="1"/>
      </tp>
      <tp>
        <v>0.82177080000000002</v>
        <stp/>
        <stp>##V3_BDPV12</stp>
        <stp>ASE Index</stp>
        <stp>CHG_PCT_3M</stp>
        <stp>[Index.xlsm]全球指數!R142C12</stp>
        <tr r="L142" s="1"/>
      </tp>
      <tp>
        <v>366.42</v>
        <stp/>
        <stp>##V3_BDPV12</stp>
        <stp>NEY Index</stp>
        <stp>HIGH_52WEEK</stp>
        <stp>[Index.xlsm]全球指數!R282C6</stp>
        <tr r="F282" s="1"/>
      </tp>
      <tp>
        <v>1780.809</v>
        <stp/>
        <stp>##V3_BDPV12</stp>
        <stp>RAY Index</stp>
        <stp>HIGH_52WEEK</stp>
        <stp>[Index.xlsm]全球指數!R122C6</stp>
        <tr r="F122" s="1"/>
      </tp>
      <tp t="s">
        <v>EC</v>
        <stp/>
        <stp>##V3_BDPV12</stp>
        <stp>E300 Index</stp>
        <stp>DS003</stp>
        <stp>[Index.xlsm]全球指數!R213C3</stp>
        <tr r="C213" s="1"/>
      </tp>
      <tp>
        <v>-0.68050069999999996</v>
        <stp/>
        <stp>##V3_BDPV12</stp>
        <stp>CAC Index</stp>
        <stp>CHG_PCT_5D</stp>
        <stp>[Index.xlsm]全球指數!R173C10</stp>
        <tr r="J173" s="1"/>
      </tp>
      <tp>
        <v>-1.419392</v>
        <stp/>
        <stp>##V3_BDPV12</stp>
        <stp>SOFIX Index</stp>
        <stp>CHG_PCT_3M</stp>
        <stp>[Index.xlsm]全球指數!R110C12</stp>
        <tr r="L110" s="1"/>
      </tp>
      <tp>
        <v>-0.76178380000000001</v>
        <stp/>
        <stp>##V3_BDPV12</stp>
        <stp>DFMGI Index</stp>
        <stp>CHG_PCT_5D</stp>
        <stp>[Index.xlsm]全球指數!R166C10</stp>
        <tr r="J166" s="1"/>
      </tp>
      <tp>
        <v>30547.05078125</v>
        <stp/>
        <stp>##V3_BDPV12</stp>
        <stp>KSE Index</stp>
        <stp>HIGH_52WEEK</stp>
        <stp>[Index.xlsm]全球指數!R89C6</stp>
        <tr r="F89" s="1"/>
      </tp>
      <tp>
        <v>365.05</v>
        <stp/>
        <stp>##V3_BDPV12</stp>
        <stp>KOSPFIN Index</stp>
        <stp>LOW_52WEEK</stp>
        <stp>[Index.xlsm]主要產業!R44C8</stp>
        <tr r="H44" s="2"/>
      </tp>
      <tp>
        <v>0.45467679999999999</v>
        <stp/>
        <stp>##V3_BDPV12</stp>
        <stp>HSCIFN Index</stp>
        <stp>CHG_PCT_1D</stp>
        <stp>[Index.xlsm]主要產業!R61C5</stp>
        <tr r="E61" s="2"/>
      </tp>
      <tp>
        <v>2389.3200000000002</v>
        <stp/>
        <stp>##V3_BDPV12</stp>
        <stp>TPTRAN Index</stp>
        <stp>LOW_52WEEK</stp>
        <stp>[Index.xlsm]主要產業!R39C8</stp>
        <tr r="H39" s="2"/>
      </tp>
      <tp>
        <v>-0.19453200000000001</v>
        <stp/>
        <stp>##V3_BDPV12</stp>
        <stp>s5phrm index</stp>
        <stp>CHG_PCT_1D</stp>
        <stp>[Index.xlsm]主要產業!R10C5</stp>
        <tr r="E10" s="2"/>
      </tp>
      <tp>
        <v>3600.56</v>
        <stp/>
        <stp>##V3_BDPV12</stp>
        <stp>HSCISV Index</stp>
        <stp>PX_LAST</stp>
        <stp>[Index.xlsm]主要產業!R66C4</stp>
        <tr r="D66" s="2"/>
      </tp>
      <tp>
        <v>3858.73</v>
        <stp/>
        <stp>##V3_BDPV12</stp>
        <stp>HSCIPC Index</stp>
        <stp>PX_LAST</stp>
        <stp>[Index.xlsm]主要產業!R65C4</stp>
        <tr r="D65" s="2"/>
      </tp>
      <tp>
        <v>37.94</v>
        <stp/>
        <stp>##V3_BDPV12</stp>
        <stp>TWSEOPE Index</stp>
        <stp>PX_LAST</stp>
        <stp>[Index.xlsm]主要產業!R78C4</stp>
        <tr r="D78" s="2"/>
      </tp>
      <tp>
        <v>1245.94</v>
        <stp/>
        <stp>##V3_BDPV12</stp>
        <stp>KOSPTREQ Index</stp>
        <stp>LOW_52WEEK</stp>
        <stp>[Index.xlsm]主要產業!R46C8</stp>
        <tr r="H46" s="2"/>
      </tp>
      <tp>
        <v>95.44</v>
        <stp/>
        <stp>##V3_BDPV12</stp>
        <stp>TWSETOUR Index</stp>
        <stp>LOW_52WEEK</stp>
        <stp>[Index.xlsm]主要產業!R93C8</stp>
        <tr r="H93" s="2"/>
      </tp>
      <tp>
        <v>2.247036</v>
        <stp/>
        <stp>##V3_BDPV12</stp>
        <stp>SENSEX Index</stp>
        <stp>CHG_PCT_6M</stp>
        <stp>[Index.xlsm]全球指數!R317C13</stp>
        <tr r="M317" s="1"/>
      </tp>
      <tp t="s">
        <v>#N/A N/A</v>
        <stp/>
        <stp>##V3_BDPV12</stp>
        <stp>NYIID Index</stp>
        <stp>INTERVAL_HIGH</stp>
        <stp>[Index.xlsm]全球指數!R227C16</stp>
        <stp>MARKET_DATA_OVERRIDE=PE_RATIO</stp>
        <stp>CALC_INTERVAL=5y</stp>
        <stp>BEST_FPERIOD_OVERRIDE=BF</stp>
        <tr r="P227" s="1"/>
      </tp>
      <tp t="s">
        <v>#N/A N/A</v>
        <stp/>
        <stp>##V3_BDPV12</stp>
        <stp>NYLID Index</stp>
        <stp>INTERVAL_HIGH</stp>
        <stp>[Index.xlsm]全球指數!R179C16</stp>
        <stp>MARKET_DATA_OVERRIDE=PE_RATIO</stp>
        <stp>CALC_INTERVAL=5y</stp>
        <stp>BEST_FPERIOD_OVERRIDE=BF</stp>
        <tr r="P179" s="1"/>
      </tp>
      <tp t="s">
        <v>#N/A N/A</v>
        <stp/>
        <stp>##V3_BDPV12</stp>
        <stp>NYYID Index</stp>
        <stp>INTERVAL_HIGH</stp>
        <stp>[Index.xlsm]全球指數!R190C16</stp>
        <stp>MARKET_DATA_OVERRIDE=PE_RATIO</stp>
        <stp>CALC_INTERVAL=5y</stp>
        <stp>BEST_FPERIOD_OVERRIDE=BF</stp>
        <tr r="P190" s="1"/>
      </tp>
      <tp>
        <v>22.702261395912561</v>
        <stp/>
        <stp>##V3_BDPV12</stp>
        <stp>SOFIX Index</stp>
        <stp>INTERVAL_HIGH</stp>
        <stp>[Index.xlsm]全球指數!R110C16</stp>
        <stp>MARKET_DATA_OVERRIDE=PE_RATIO</stp>
        <stp>CALC_INTERVAL=5y</stp>
        <stp>BEST_FPERIOD_OVERRIDE=BF</stp>
        <tr r="P110" s="1"/>
      </tp>
      <tp>
        <v>13.503542335879237</v>
        <stp/>
        <stp>##V3_BDPV12</stp>
        <stp>SBITOP Index</stp>
        <stp>INTERVAL_HIGH</stp>
        <stp>[Index.xlsm]全球指數!R176C16</stp>
        <stp>MARKET_DATA_OVERRIDE=PE_RATIO</stp>
        <stp>CALC_INTERVAL=5y</stp>
        <stp>BEST_FPERIOD_OVERRIDE=BF</stp>
        <tr r="P176" s="1"/>
      </tp>
      <tp>
        <v>-0.19050010000000001</v>
        <stp/>
        <stp>##V3_BDPV12</stp>
        <stp>TWOTCI Index</stp>
        <stp>CHG_PCT_5D</stp>
        <stp>[Index.xlsm]全球指數!R229C10</stp>
        <tr r="J229" s="1"/>
      </tp>
      <tp>
        <v>-2.4505530000000002</v>
        <stp/>
        <stp>##V3_BDPV12</stp>
        <stp>NSEASI Index</stp>
        <stp>CHG_PCT_1M</stp>
        <stp>[Index.xlsm]全球指數!R252C11</stp>
        <tr r="K252" s="1"/>
      </tp>
      <tp>
        <v>2.2648890000000002</v>
        <stp/>
        <stp>##V3_BDPV12</stp>
        <stp>SHBSHR Index</stp>
        <stp>CHG_PCT_1M</stp>
        <stp>[Index.xlsm]全球指數!R116C11</stp>
        <tr r="K116" s="1"/>
      </tp>
      <tp>
        <v>11225.929539745501</v>
        <stp/>
        <stp>##V3_BDPV12</stp>
        <stp>BIRS Index</stp>
        <stp>INTERVAL_HIGH</stp>
        <stp>[Index.xlsm]全球指數!R152C16</stp>
        <stp>MARKET_DATA_OVERRIDE=PE_RATIO</stp>
        <stp>CALC_INTERVAL=5y</stp>
        <stp>BEST_FPERIOD_OVERRIDE=BF</stp>
        <tr r="P152" s="1"/>
      </tp>
      <tp>
        <v>82.529100434594497</v>
        <stp/>
        <stp>##V3_BDPV12</stp>
        <stp>CTRN Index</stp>
        <stp>INTERVAL_HIGH</stp>
        <stp>[Index.xlsm]全球指數!R136C16</stp>
        <stp>MARKET_DATA_OVERRIDE=PE_RATIO</stp>
        <stp>CALC_INTERVAL=5y</stp>
        <stp>BEST_FPERIOD_OVERRIDE=BF</stp>
        <tr r="P136" s="1"/>
      </tp>
      <tp>
        <v>-4.8696349999999997</v>
        <stp/>
        <stp>##V3_BDPV12</stp>
        <stp>EUE15P Index</stp>
        <stp>CHG_PCT_1YR</stp>
        <stp>[Index.xlsm]全球指數!R57C15</stp>
        <tr r="O57" s="1"/>
      </tp>
      <tp>
        <v>-4.9456239999999996</v>
        <stp/>
        <stp>##V3_BDPV12</stp>
        <stp>EUETMP Index</stp>
        <stp>CHG_PCT_1YR</stp>
        <stp>[Index.xlsm]全球指數!R97C15</stp>
        <tr r="O97" s="1"/>
      </tp>
      <tp>
        <v>44.29029718122451</v>
        <stp/>
        <stp>##V3_BDPV12</stp>
        <stp>COLIR Index</stp>
        <stp>INTERVAL_HIGH</stp>
        <stp>[Index.xlsm]全球指數!R267C16</stp>
        <stp>MARKET_DATA_OVERRIDE=PE_RATIO</stp>
        <stp>CALC_INTERVAL=5y</stp>
        <stp>BEST_FPERIOD_OVERRIDE=BF</stp>
        <tr r="P267" s="1"/>
      </tp>
      <tp>
        <v>-1.34433</v>
        <stp/>
        <stp>##V3_BDPV12</stp>
        <stp>KWSEMM Index</stp>
        <stp>CHG_PCT_1M</stp>
        <stp>[Index.xlsm]全球指數!R291C11</stp>
        <tr r="K291" s="1"/>
      </tp>
      <tp>
        <v>-4.6589530000000003</v>
        <stp/>
        <stp>##V3_BDPV12</stp>
        <stp>KWSEPM Index</stp>
        <stp>CHG_PCT_1M</stp>
        <stp>[Index.xlsm]全球指數!R311C11</stp>
        <tr r="K311" s="1"/>
      </tp>
      <tp>
        <v>5921.2780000000002</v>
        <stp/>
        <stp>##V3_BDPV12</stp>
        <stp>QMI Index</stp>
        <stp>LOW_52WEEK</stp>
        <stp>[Index.xlsm]全球指數!R103C8</stp>
        <tr r="H103" s="1"/>
      </tp>
      <tp t="s">
        <v>#N/A N/A</v>
        <stp/>
        <stp>##V3_BDPV12</stp>
        <stp>IBOVIEE Index</stp>
        <stp>PE_RATIO</stp>
        <stp>[Index.xlsm]全球指數!R37C18</stp>
        <tr r="R37" s="1"/>
      </tp>
      <tp>
        <v>4.8988329821816539</v>
        <stp/>
        <stp>##V3_BDPV12</stp>
        <stp>H-FIN Index</stp>
        <stp>INTERVAL_Low</stp>
        <stp>[Index.xlsm]全球指數!R55C17</stp>
        <stp>MARKET_DATA_OVERRIDE=PE_RATIO</stp>
        <stp>CALC_INTERVAL=5y</stp>
        <stp>BEST_FPERIOD_OVERRIDE=BF</stp>
        <tr r="Q55" s="1"/>
      </tp>
      <tp>
        <v>-0.24289169999999999</v>
        <stp/>
        <stp>##V3_BDPV12</stp>
        <stp>SPX Index</stp>
        <stp>CHG_PCT_1D</stp>
        <stp>[Index.xlsm]全球指數!R134C5</stp>
        <tr r="E134" s="1"/>
      </tp>
      <tp>
        <v>3.5910379999999999E-2</v>
        <stp/>
        <stp>##V3_BDPV12</stp>
        <stp>BSX Index</stp>
        <stp>CHG_PCT_1D</stp>
        <stp>[Index.xlsm]全球指數!R297C5</stp>
        <tr r="E297" s="1"/>
      </tp>
      <tp>
        <v>79.853210000000004</v>
        <stp/>
        <stp>##V3_BDPV12</stp>
        <stp>BKX Index</stp>
        <stp>LOW_52WEEK</stp>
        <stp>[Index.xlsm]全球指數!R105C8</stp>
        <tr r="H105" s="1"/>
      </tp>
      <tp>
        <v>-6.8957969999999993E-2</v>
        <stp/>
        <stp>##V3_BDPV12</stp>
        <stp>IBEX Index</stp>
        <stp>CHG_PCT_5D</stp>
        <stp>[Index.xlsm]全球指數!R240C10</stp>
        <tr r="J240" s="1"/>
      </tp>
      <tp>
        <v>0.56225020000000003</v>
        <stp/>
        <stp>##V3_BDPV12</stp>
        <stp>IGCX Index</stp>
        <stp>CHG_PCT_5D</stp>
        <stp>[Index.xlsm]全球指數!R270C10</stp>
        <tr r="J270" s="1"/>
      </tp>
      <tp>
        <v>0.94011409999999995</v>
        <stp/>
        <stp>##V3_BDPV12</stp>
        <stp>OBXP Index</stp>
        <stp>PR064</stp>
        <stp>[Index.xlsm]全球指數!R47C14</stp>
        <tr r="N47" s="1"/>
      </tp>
      <tp>
        <v>-0.32676840000000001</v>
        <stp/>
        <stp>##V3_BDPV12</stp>
        <stp>MADX Index</stp>
        <stp>CHG_PCT_5D</stp>
        <stp>[Index.xlsm]全球指數!R210C10</stp>
        <tr r="J210" s="1"/>
      </tp>
      <tp>
        <v>2474.136</v>
        <stp/>
        <stp>##V3_BDPV12</stp>
        <stp>SHNCOMP Index</stp>
        <stp>PX_LAST</stp>
        <stp>[Index.xlsm]全球指數!R31C4</stp>
        <tr r="D31" s="1"/>
      </tp>
      <tp>
        <v>-4.7647490000000001</v>
        <stp/>
        <stp>##V3_BDPV12</stp>
        <stp>FBMKLCI Index</stp>
        <stp>PR064</stp>
        <stp>[Index.xlsm]全球指數!R226C14</stp>
        <tr r="N226" s="1"/>
      </tp>
      <tp>
        <v>41411.859375</v>
        <stp/>
        <stp>##V3_BDPV12</stp>
        <stp>ITMC Index</stp>
        <stp>HIGH_52WEEK</stp>
        <stp>[Index.xlsm]全球指數!R163C6</stp>
        <tr r="F163" s="1"/>
      </tp>
      <tp>
        <v>-1.2072309999999999</v>
        <stp/>
        <stp>##V3_BDPV12</stp>
        <stp>CRTX Index</stp>
        <stp>CHG_PCT_5D</stp>
        <stp>[Index.xlsm]全球指數!R108C10</stp>
        <tr r="J108" s="1"/>
      </tp>
      <tp>
        <v>-0.71178620000000004</v>
        <stp/>
        <stp>##V3_BDPV12</stp>
        <stp>NYYID Index</stp>
        <stp>CHG_PCT_3M</stp>
        <stp>[Index.xlsm]全球指數!R190C12</stp>
        <tr r="L190" s="1"/>
      </tp>
      <tp>
        <v>0.50929349999999995</v>
        <stp/>
        <stp>##V3_BDPV12</stp>
        <stp>NYLID Index</stp>
        <stp>CHG_PCT_3M</stp>
        <stp>[Index.xlsm]全球指數!R179C12</stp>
        <tr r="L179" s="1"/>
      </tp>
      <tp>
        <v>-1.15744</v>
        <stp/>
        <stp>##V3_BDPV12</stp>
        <stp>NYIID Index</stp>
        <stp>CHG_PCT_3M</stp>
        <stp>[Index.xlsm]全球指數!R227C12</stp>
        <tr r="L227" s="1"/>
      </tp>
      <tp>
        <v>2.3163819999999999</v>
        <stp/>
        <stp>##V3_BDPV12</stp>
        <stp>DSEX Index</stp>
        <stp>CHG_PCT_5D</stp>
        <stp>[Index.xlsm]全球指數!R306C10</stp>
        <tr r="J306" s="1"/>
      </tp>
      <tp>
        <v>-9.2988780000000002</v>
        <stp/>
        <stp>##V3_BDPV12</stp>
        <stp>RTY Index</stp>
        <stp>CHG_PCT_1YR</stp>
        <stp>[Index.xlsm]全球指數!R62C15</stp>
        <tr r="O62" s="1"/>
      </tp>
      <tp>
        <v>0.177844</v>
        <stp/>
        <stp>##V3_BDPV12</stp>
        <stp>CBNK Index</stp>
        <stp>PR064</stp>
        <stp>[Index.xlsm]全球指數!R92C14</stp>
        <tr r="N92" s="1"/>
      </tp>
      <tp>
        <v>-1.195419</v>
        <stp/>
        <stp>##V3_BDPV12</stp>
        <stp>ADSMI Index</stp>
        <stp>CHG_PCT_1M</stp>
        <stp>[Index.xlsm]全球指數!R120C11</stp>
        <tr r="K120" s="1"/>
      </tp>
      <tp>
        <v>-17.95214</v>
        <stp/>
        <stp>##V3_BDPV12</stp>
        <stp>LSXC Index</stp>
        <stp>CHG_PCT_1YR</stp>
        <stp>[Index.xlsm]全球指數!R14C15</stp>
        <tr r="O14" s="1"/>
      </tp>
      <tp>
        <v>11097</v>
        <stp/>
        <stp>##V3_BDPV12</stp>
        <stp>TWSE Index</stp>
        <stp>HIGH_52WEEK</stp>
        <stp>[Index.xlsm]全球指數!R225C6</stp>
        <tr r="F225" s="1"/>
      </tp>
      <tp>
        <v>5.0324960000000001</v>
        <stp/>
        <stp>##V3_BDPV12</stp>
        <stp>NDF Index</stp>
        <stp>CHG_PCT_1M</stp>
        <stp>[Index.xlsm]全球指數!R125C11</stp>
        <tr r="K125" s="1"/>
      </tp>
      <tp>
        <v>0.7631443</v>
        <stp/>
        <stp>##V3_BDPV12</stp>
        <stp>MID Index</stp>
        <stp>CHG_PCT_3M</stp>
        <stp>[Index.xlsm]全球指數!R175C12</stp>
        <tr r="L175" s="1"/>
      </tp>
      <tp>
        <v>3.4706980000000001</v>
        <stp/>
        <stp>##V3_BDPV12</stp>
        <stp>NYA Index</stp>
        <stp>CHG_PCT_6M</stp>
        <stp>[Index.xlsm]全球指數!R178C13</stp>
        <tr r="M178" s="1"/>
      </tp>
      <tp>
        <v>4269.1000000000004</v>
        <stp/>
        <stp>##V3_BDPV12</stp>
        <stp>NMX Index</stp>
        <stp>HIGH_52WEEK</stp>
        <stp>[Index.xlsm]全球指數!R212C6</stp>
        <tr r="F212" s="1"/>
      </tp>
      <tp>
        <v>586.32000000000005</v>
        <stp/>
        <stp>##V3_BDPV12</stp>
        <stp>AEX Index</stp>
        <stp>HIGH_52WEEK</stp>
        <stp>[Index.xlsm]全球指數!R222C6</stp>
        <tr r="F222" s="1"/>
      </tp>
      <tp>
        <v>833.61779999999999</v>
        <stp/>
        <stp>##V3_BDPV12</stp>
        <stp>UTY Index</stp>
        <stp>HIGH_52WEEK</stp>
        <stp>[Index.xlsm]全球指數!R303C6</stp>
        <tr r="F303" s="1"/>
      </tp>
      <tp>
        <v>-31.427790000000002</v>
        <stp/>
        <stp>##V3_BDPV12</stp>
        <stp>IBG Index</stp>
        <stp>PR064</stp>
        <stp>[Index.xlsm]全球指數!R3C14</stp>
        <tr r="N3" s="1"/>
      </tp>
      <tp t="s">
        <v>#N/A N/A</v>
        <stp/>
        <stp>##V3_BDPV12</stp>
        <stp>HKSPGEM Index</stp>
        <stp>INTERVAL_HIGH</stp>
        <stp>[Index.xlsm]全球指數!R151C16</stp>
        <stp>MARKET_DATA_OVERRIDE=PE_RATIO</stp>
        <stp>CALC_INTERVAL=5y</stp>
        <stp>BEST_FPERIOD_OVERRIDE=BF</stp>
        <tr r="P151" s="1"/>
      </tp>
      <tp>
        <v>2116.6869999999999</v>
        <stp/>
        <stp>##V3_BDPV12</stp>
        <stp>S5SFTW Index</stp>
        <stp>PX_LAST</stp>
        <stp>[Index.xlsm]主要產業!R5C4</stp>
        <tr r="D5" s="2"/>
      </tp>
      <tp>
        <v>-6.4677100000000003</v>
        <stp/>
        <stp>##V3_BDPV12</stp>
        <stp>OSEBX Index</stp>
        <stp>CHG_PCT_1YR</stp>
        <stp>[Index.xlsm]全球指數!R52C15</stp>
        <tr r="O52" s="1"/>
      </tp>
      <tp>
        <v>-4.8069730000000002</v>
        <stp/>
        <stp>##V3_BDPV12</stp>
        <stp>OSEFX Index</stp>
        <stp>CHG_PCT_1YR</stp>
        <stp>[Index.xlsm]全球指數!R53C15</stp>
        <tr r="O53" s="1"/>
      </tp>
      <tp>
        <v>-14.196</v>
        <stp/>
        <stp>##V3_BDPV12</stp>
        <stp>OSESX Index</stp>
        <stp>CHG_PCT_1YR</stp>
        <stp>[Index.xlsm]全球指數!R36C15</stp>
        <tr r="O36" s="1"/>
      </tp>
      <tp>
        <v>-8.4081759999999992</v>
        <stp/>
        <stp>##V3_BDPV12</stp>
        <stp>OSEAX Index</stp>
        <stp>CHG_PCT_1YR</stp>
        <stp>[Index.xlsm]全球指數!R35C15</stp>
        <tr r="O35" s="1"/>
      </tp>
      <tp>
        <v>-32.416580000000003</v>
        <stp/>
        <stp>##V3_BDPV12</stp>
        <stp>MAR Index</stp>
        <stp>PR064</stp>
        <stp>[Index.xlsm]全球指數!R5C14</stp>
        <tr r="N5" s="1"/>
      </tp>
      <tp>
        <v>540072.875</v>
        <stp/>
        <stp>##V3_BDPV12</stp>
        <stp>JMSMX Index</stp>
        <stp>HIGH_52WEEK</stp>
        <stp>[Index.xlsm]全球指數!R106C6</stp>
        <tr r="F106" s="1"/>
      </tp>
      <tp>
        <v>-15.980259999999999</v>
        <stp/>
        <stp>##V3_BDPV12</stp>
        <stp>OSX Index</stp>
        <stp>PR064</stp>
        <stp>[Index.xlsm]全球指數!R2C14</stp>
        <tr r="N2" s="1"/>
      </tp>
      <tp>
        <v>0.27993249999999997</v>
        <stp/>
        <stp>##V3_BDPV12</stp>
        <stp>HEX25 Index</stp>
        <stp>CHG_PCT_1D</stp>
        <stp>[Index.xlsm]全球指數!R67C5</stp>
        <tr r="E67" s="1"/>
      </tp>
      <tp>
        <v>-10.95965</v>
        <stp/>
        <stp>##V3_BDPV12</stp>
        <stp>NKYJQ Index</stp>
        <stp>CHG_PCT_1YR</stp>
        <stp>[Index.xlsm]全球指數!R292C15</stp>
        <tr r="O292" s="1"/>
      </tp>
      <tp>
        <v>10.358925115268477</v>
        <stp/>
        <stp>##V3_BDPV12</stp>
        <stp>RTSI$ Index</stp>
        <stp>INTERVAL_HIGH</stp>
        <stp>[Index.xlsm]全球指數!R102C16</stp>
        <stp>MARKET_DATA_OVERRIDE=PE_RATIO</stp>
        <stp>CALC_INTERVAL=5y</stp>
        <stp>BEST_FPERIOD_OVERRIDE=BF</stp>
        <tr r="P102" s="1"/>
      </tp>
      <tp>
        <v>-0.65795490000000001</v>
        <stp/>
        <stp>##V3_BDPV12</stp>
        <stp>HSCIEN Index</stp>
        <stp>CHG_PCT_1D</stp>
        <stp>[Index.xlsm]主要產業!R60C5</stp>
        <tr r="E60" s="2"/>
      </tp>
      <tp>
        <v>2720.85</v>
        <stp/>
        <stp>##V3_BDPV12</stp>
        <stp>TPTRAN Index</stp>
        <stp>PX_LAST</stp>
        <stp>[Index.xlsm]主要產業!R39C4</stp>
        <tr r="D39" s="2"/>
      </tp>
      <tp>
        <v>1969.8</v>
        <stp/>
        <stp>##V3_BDPV12</stp>
        <stp>TPNCHM Index</stp>
        <stp>PX_LAST</stp>
        <stp>[Index.xlsm]主要產業!R40C4</stp>
        <tr r="D40" s="2"/>
      </tp>
      <tp>
        <v>-0.46854079999999998</v>
        <stp/>
        <stp>##V3_BDPV12</stp>
        <stp>TWSEISI Index</stp>
        <stp>CHG_PCT_1D</stp>
        <stp>[Index.xlsm]主要產業!R96C5</stp>
        <tr r="E96" s="2"/>
      </tp>
      <tp>
        <v>982.13</v>
        <stp/>
        <stp>##V3_BDPV12</stp>
        <stp>OSEAX Index</stp>
        <stp>PX_LAST</stp>
        <stp>[Index.xlsm]全球指數!R35C4</stp>
        <tr r="D35" s="1"/>
      </tp>
      <tp>
        <v>3.5824210000000001</v>
        <stp/>
        <stp>##V3_BDPV12</stp>
        <stp>SENSEX Index</stp>
        <stp>CHG_PCT_1M</stp>
        <stp>[Index.xlsm]全球指數!R317C11</stp>
        <tr r="K317" s="1"/>
      </tp>
      <tp>
        <v>40.062091012011862</v>
        <stp/>
        <stp>##V3_BDPV12</stp>
        <stp>SHBSHR Index</stp>
        <stp>INTERVAL_HIGH</stp>
        <stp>[Index.xlsm]全球指數!R116C16</stp>
        <stp>MARKET_DATA_OVERRIDE=PE_RATIO</stp>
        <stp>CALC_INTERVAL=5y</stp>
        <stp>BEST_FPERIOD_OVERRIDE=BF</stp>
        <tr r="P116" s="1"/>
      </tp>
      <tp>
        <v>-4.771077</v>
        <stp/>
        <stp>##V3_BDPV12</stp>
        <stp>KZKAK Index</stp>
        <stp>PR064</stp>
        <stp>[Index.xlsm]全球指數!R131C14</stp>
        <tr r="N131" s="1"/>
      </tp>
      <tp>
        <v>1.7904610000000001</v>
        <stp/>
        <stp>##V3_BDPV12</stp>
        <stp>WBI Index</stp>
        <stp>PR064</stp>
        <stp>[Index.xlsm]全球指數!R63C14</stp>
        <tr r="N63" s="1"/>
      </tp>
      <tp>
        <v>17.045780459038927</v>
        <stp/>
        <stp>##V3_BDPV12</stp>
        <stp>KWSEPM Index</stp>
        <stp>INTERVAL_HIGH</stp>
        <stp>[Index.xlsm]全球指數!R311C16</stp>
        <stp>MARKET_DATA_OVERRIDE=PE_RATIO</stp>
        <stp>CALC_INTERVAL=5y</stp>
        <stp>BEST_FPERIOD_OVERRIDE=BF</stp>
        <tr r="P311" s="1"/>
      </tp>
      <tp>
        <v>3.4722789999999999</v>
        <stp/>
        <stp>##V3_BDPV12</stp>
        <stp>COLCAP Index</stp>
        <stp>CHG_PCT_3M</stp>
        <stp>[Index.xlsm]全球指數!R265C12</stp>
        <tr r="L265" s="1"/>
      </tp>
      <tp>
        <v>8.0003650000000004</v>
        <stp/>
        <stp>##V3_BDPV12</stp>
        <stp>CSEALL Index</stp>
        <stp>CHG_PCT_3M</stp>
        <stp>[Index.xlsm]全球指數!R174C12</stp>
        <tr r="L174" s="1"/>
      </tp>
      <tp>
        <v>-7.5495859999999997</v>
        <stp/>
        <stp>##V3_BDPV12</stp>
        <stp>NSEASI Index</stp>
        <stp>CHG_PCT_6M</stp>
        <stp>[Index.xlsm]全球指數!R252C13</stp>
        <tr r="M252" s="1"/>
      </tp>
      <tp>
        <v>0.87618870000000004</v>
        <stp/>
        <stp>##V3_BDPV12</stp>
        <stp>MALTEX Index</stp>
        <stp>CHG_PCT_5D</stp>
        <stp>[Index.xlsm]全球指數!R284C10</stp>
        <tr r="J284" s="1"/>
      </tp>
      <tp>
        <v>1.972189</v>
        <stp/>
        <stp>##V3_BDPV12</stp>
        <stp>SPEURO Index</stp>
        <stp>CHG_PCT_3M</stp>
        <stp>[Index.xlsm]全球指數!R201C12</stp>
        <tr r="L201" s="1"/>
      </tp>
      <tp>
        <v>4466.4609375</v>
        <stp/>
        <stp>##V3_BDPV12</stp>
        <stp>SZ399330 Index</stp>
        <stp>HIGH_52WEEK</stp>
        <stp>[Index.xlsm]全球指數!R20C6</stp>
        <tr r="F20" s="1"/>
      </tp>
      <tp>
        <v>-10.86617</v>
        <stp/>
        <stp>##V3_BDPV12</stp>
        <stp>SHBSHR Index</stp>
        <stp>CHG_PCT_6M</stp>
        <stp>[Index.xlsm]全球指數!R116C13</stp>
        <tr r="M116" s="1"/>
      </tp>
      <tp>
        <v>22.751587151989405</v>
        <stp/>
        <stp>##V3_BDPV12</stp>
        <stp>DAX Index</stp>
        <stp>INTERVAL_HIGH</stp>
        <stp>[Index.xlsm]全球指數!R99C16</stp>
        <stp>MARKET_DATA_OVERRIDE=PE_RATIO</stp>
        <stp>CALC_INTERVAL=5y</stp>
        <stp>BEST_FPERIOD_OVERRIDE=BF</stp>
        <tr r="P99" s="1"/>
      </tp>
      <tp>
        <v>27.569658955476314</v>
        <stp/>
        <stp>##V3_BDPV12</stp>
        <stp>SZBSHR Index</stp>
        <stp>INTERVAL_HIGH</stp>
        <stp>[Index.xlsm]全球指數!R128C16</stp>
        <stp>MARKET_DATA_OVERRIDE=PE_RATIO</stp>
        <stp>CALC_INTERVAL=5y</stp>
        <stp>BEST_FPERIOD_OVERRIDE=BF</stp>
        <tr r="P128" s="1"/>
      </tp>
      <tp>
        <v>461.69</v>
        <stp/>
        <stp>##V3_BDPV12</stp>
        <stp>OBXP Index</stp>
        <stp>PX_LAST</stp>
        <stp>[Index.xlsm]全球指數!R47C4</stp>
        <tr r="D47" s="1"/>
      </tp>
      <tp>
        <v>-5.0153840000000001</v>
        <stp/>
        <stp>##V3_BDPV12</stp>
        <stp>FSTAS Index</stp>
        <stp>PR064</stp>
        <stp>[Index.xlsm]全球指數!R133C14</stp>
        <tr r="N133" s="1"/>
      </tp>
      <tp>
        <v>-2.852833</v>
        <stp/>
        <stp>##V3_BDPV12</stp>
        <stp>KWSEMM Index</stp>
        <stp>CHG_PCT_6M</stp>
        <stp>[Index.xlsm]全球指數!R291C13</stp>
        <tr r="M291" s="1"/>
      </tp>
      <tp>
        <v>4.5652809999999997</v>
        <stp/>
        <stp>##V3_BDPV12</stp>
        <stp>KWSEPM Index</stp>
        <stp>CHG_PCT_6M</stp>
        <stp>[Index.xlsm]全球指數!R311C13</stp>
        <tr r="M311" s="1"/>
      </tp>
      <tp>
        <v>1521.3440000000001</v>
        <stp/>
        <stp>##V3_BDPV12</stp>
        <stp>BHSEASI Index</stp>
        <stp>PX_LAST</stp>
        <stp>[Index.xlsm]全球指數!R304C4</stp>
        <tr r="D304" s="1"/>
      </tp>
      <tp>
        <v>793.86</v>
        <stp/>
        <stp>##V3_BDPV12</stp>
        <stp>SML Index</stp>
        <stp>LOW_52WEEK</stp>
        <stp>[Index.xlsm]全球指數!R104C8</stp>
        <tr r="H104" s="1"/>
      </tp>
      <tp>
        <v>8.4433179999999997E-2</v>
        <stp/>
        <stp>##V3_BDPV12</stp>
        <stp>SE30 Index</stp>
        <stp>PR064</stp>
        <stp>[Index.xlsm]全球指數!R29C14</stp>
        <tr r="N29" s="1"/>
      </tp>
      <tp>
        <v>1399.7962799603306</v>
        <stp/>
        <stp>##V3_BDPV12</stp>
        <stp>BVLX Index</stp>
        <stp>INTERVAL_HIGH</stp>
        <stp>[Index.xlsm]全球指數!R69C16</stp>
        <stp>MARKET_DATA_OVERRIDE=PE_RATIO</stp>
        <stp>CALC_INTERVAL=5y</stp>
        <stp>BEST_FPERIOD_OVERRIDE=BF</stp>
        <tr r="P69" s="1"/>
      </tp>
      <tp>
        <v>-4.0624180000000003E-2</v>
        <stp/>
        <stp>##V3_BDPV12</stp>
        <stp>HEXP Index</stp>
        <stp>PR064</stp>
        <stp>[Index.xlsm]全球指數!R93C14</stp>
        <tr r="N93" s="1"/>
      </tp>
      <tp>
        <v>31115.97</v>
        <stp/>
        <stp>##V3_BDPV12</stp>
        <stp>DWCF Index</stp>
        <stp>HIGH_52WEEK</stp>
        <stp>[Index.xlsm]全球指數!R121C6</stp>
        <tr r="F121" s="1"/>
      </tp>
      <tp>
        <v>1733.9960000000001</v>
        <stp/>
        <stp>##V3_BDPV12</stp>
        <stp>LUXXX Index</stp>
        <stp>HIGH_52WEEK</stp>
        <stp>[Index.xlsm]全球指數!R127C6</stp>
        <tr r="F127" s="1"/>
      </tp>
      <tp>
        <v>43735</v>
        <stp/>
        <stp>##V3_BDHV12</stp>
        <stp>TSM Equity</stp>
        <stp>PX_LAST</stp>
        <stp>ED-60AD</stp>
        <stp/>
        <stp>[Index.xlsm]ADR!R3C1</stp>
        <stp>Points=30</stp>
        <stp>Sort=D</stp>
        <stp>Per=d</stp>
        <stp>Days=A</stp>
        <stp>Fill=E</stp>
        <stp>QtTyp=P</stp>
        <stp>Dts=S</stp>
        <stp>cols=2;rows=30</stp>
        <tr r="A3" s="4"/>
      </tp>
      <tp>
        <v>-0.40303899999999998</v>
        <stp/>
        <stp>##V3_BDPV12</stp>
        <stp>SPTSX Index</stp>
        <stp>CHG_PCT_5D</stp>
        <stp>[Index.xlsm]全球指數!R200C10</stp>
        <tr r="J200" s="1"/>
      </tp>
      <tp t="s">
        <v>FTSEurofirst 300 指數</v>
        <stp/>
        <stp>##V3_BDPV12</stp>
        <stp>E300 Index</stp>
        <stp>DS697</stp>
        <stp>[Index.xlsm]全球指數!R213C2</stp>
        <tr r="B213" s="1"/>
      </tp>
      <tp>
        <v>-0.78286789999999995</v>
        <stp/>
        <stp>##V3_BDPV12</stp>
        <stp>ADSMI Index</stp>
        <stp>CHG_PCT_6M</stp>
        <stp>[Index.xlsm]全球指數!R120C13</stp>
        <tr r="M120" s="1"/>
      </tp>
      <tp>
        <v>12.238770000000001</v>
        <stp/>
        <stp>##V3_BDPV12</stp>
        <stp>NDF Index</stp>
        <stp>CHG_PCT_6M</stp>
        <stp>[Index.xlsm]全球指數!R125C13</stp>
        <tr r="M125" s="1"/>
      </tp>
      <tp>
        <v>4.4467549999999996</v>
        <stp/>
        <stp>##V3_BDPV12</stp>
        <stp>NYA Index</stp>
        <stp>CHG_PCT_1M</stp>
        <stp>[Index.xlsm]全球指數!R178C11</stp>
        <tr r="K178" s="1"/>
      </tp>
      <tp>
        <v>2.311048</v>
        <stp/>
        <stp>##V3_BDPV12</stp>
        <stp>CAC Index</stp>
        <stp>CHG_PCT_3M</stp>
        <stp>[Index.xlsm]全球指數!R173C12</stp>
        <tr r="L173" s="1"/>
      </tp>
      <tp>
        <v>-1.200383</v>
        <stp/>
        <stp>##V3_BDPV12</stp>
        <stp>SOFIX Index</stp>
        <stp>CHG_PCT_5D</stp>
        <stp>[Index.xlsm]全球指數!R110C10</stp>
        <tr r="J110" s="1"/>
      </tp>
      <tp>
        <v>6.5554439999999996</v>
        <stp/>
        <stp>##V3_BDPV12</stp>
        <stp>DFMGI Index</stp>
        <stp>CHG_PCT_3M</stp>
        <stp>[Index.xlsm]全球指數!R166C12</stp>
        <tr r="L166" s="1"/>
      </tp>
      <tp>
        <v>1060.6279999999999</v>
        <stp/>
        <stp>##V3_BDPV12</stp>
        <stp>KFX Index</stp>
        <stp>HIGH_52WEEK</stp>
        <stp>[Index.xlsm]全球指數!R285C6</stp>
        <tr r="F285" s="1"/>
      </tp>
      <tp>
        <v>878.50609999999995</v>
        <stp/>
        <stp>##V3_BDPV12</stp>
        <stp>KAX Index</stp>
        <stp>HIGH_52WEEK</stp>
        <stp>[Index.xlsm]全球指數!R275C6</stp>
        <tr r="F275" s="1"/>
      </tp>
      <tp>
        <v>24448.0703125</v>
        <stp/>
        <stp>##V3_BDPV12</stp>
        <stp>NKY Index</stp>
        <stp>HIGH_52WEEK</stp>
        <stp>[Index.xlsm]全球指數!R264C6</stp>
        <tr r="F264" s="1"/>
      </tp>
      <tp>
        <v>108.34829999999999</v>
        <stp/>
        <stp>##V3_BDPV12</stp>
        <stp>BKX Index</stp>
        <stp>HIGH_52WEEK</stp>
        <stp>[Index.xlsm]全球指數!R105C6</stp>
        <tr r="F105" s="1"/>
      </tp>
      <tp>
        <v>-1.978054</v>
        <stp/>
        <stp>##V3_BDPV12</stp>
        <stp>CIND Index</stp>
        <stp>CHG_PCT_1YR</stp>
        <stp>[Index.xlsm]全球指數!R25C15</stp>
        <tr r="O25" s="1"/>
      </tp>
      <tp>
        <v>-0.88679790000000003</v>
        <stp/>
        <stp>##V3_BDPV12</stp>
        <stp>ASE Index</stp>
        <stp>CHG_PCT_5D</stp>
        <stp>[Index.xlsm]全球指數!R142C10</stp>
        <tr r="J142" s="1"/>
      </tp>
      <tp>
        <v>18531.2890625</v>
        <stp/>
        <stp>##V3_BDPV12</stp>
        <stp>SPBLPGPT Index</stp>
        <stp>LOW_52WEEK</stp>
        <stp>[Index.xlsm]全球指數!R277C8</stp>
        <tr r="H277" s="1"/>
      </tp>
      <tp>
        <v>8431.91015625</v>
        <stp/>
        <stp>##V3_BDPV12</stp>
        <stp>HSFML25 Index</stp>
        <stp>LOW_52WEEK</stp>
        <stp>[Index.xlsm]全球指數!R81C8</stp>
        <tr r="H81" s="1"/>
      </tp>
      <tp>
        <v>8490.76</v>
        <stp/>
        <stp>##V3_BDPV12</stp>
        <stp>NZSE50FG Index</stp>
        <stp>LOW_52WEEK</stp>
        <stp>[Index.xlsm]全球指數!R250C8</stp>
        <tr r="H250" s="1"/>
      </tp>
      <tp>
        <v>22.93450553074619</v>
        <stp/>
        <stp>##V3_BDPV12</stp>
        <stp>s5indu Index</stp>
        <stp>INTERVAL_HIGH</stp>
        <stp>[Index.xlsm]主要產業!R8C16</stp>
        <stp>MARKET_DATA_OVERRIDE=PE_RATIO</stp>
        <stp>CALC_INTERVAL=5y</stp>
        <stp>BEST_FPERIOD_OVERRIDE=BF</stp>
        <tr r="P8" s="2"/>
      </tp>
      <tp>
        <v>231.19</v>
        <stp/>
        <stp>##V3_BDPV12</stp>
        <stp>TWSERUB Index</stp>
        <stp>LOW_52WEEK</stp>
        <stp>[Index.xlsm]主要產業!R89C8</stp>
        <tr r="H89" s="2"/>
      </tp>
      <tp>
        <v>147.19999999999999</v>
        <stp/>
        <stp>##V3_BDPV12</stp>
        <stp>TPNBNK Index</stp>
        <stp>PX_LAST</stp>
        <stp>[Index.xlsm]主要產業!R41C4</stp>
        <tr r="D41" s="2"/>
      </tp>
      <tp>
        <v>-0.91148430000000003</v>
        <stp/>
        <stp>##V3_BDPV12</stp>
        <stp>HSCITC Index</stp>
        <stp>CHG_PCT_1D</stp>
        <stp>[Index.xlsm]主要產業!R67C5</stp>
        <tr r="E67" s="2"/>
      </tp>
      <tp>
        <v>-0.56850100000000003</v>
        <stp/>
        <stp>##V3_BDPV12</stp>
        <stp>TPELEC Index</stp>
        <stp>CHG_PCT_1D</stp>
        <stp>[Index.xlsm]主要產業!R42C5</stp>
        <tr r="E42" s="2"/>
      </tp>
      <tp>
        <v>1490.43</v>
        <stp/>
        <stp>##V3_BDPV12</stp>
        <stp>HSCITC Index</stp>
        <stp>PX_LAST</stp>
        <stp>[Index.xlsm]主要產業!R67C4</stp>
        <tr r="D67" s="2"/>
      </tp>
      <tp>
        <v>21712.53</v>
        <stp/>
        <stp>##V3_BDPV12</stp>
        <stp>INDU INDEX</stp>
        <stp>LOW_52WEEK</stp>
        <stp>[Index.xlsm]主要產業!R2C46</stp>
        <tr r="AT2" s="2"/>
      </tp>
      <tp>
        <v>864.01</v>
        <stp/>
        <stp>##V3_BDPV12</stp>
        <stp>OSEFX Index</stp>
        <stp>PX_LAST</stp>
        <stp>[Index.xlsm]全球指數!R53C4</stp>
        <tr r="D53" s="1"/>
      </tp>
      <tp>
        <v>3.4064350000000001</v>
        <stp/>
        <stp>##V3_BDPV12</stp>
        <stp>TWOTCI Index</stp>
        <stp>CHG_PCT_3M</stp>
        <stp>[Index.xlsm]全球指數!R229C12</stp>
        <tr r="L229" s="1"/>
      </tp>
      <tp>
        <v>-8.0926250000000005E-2</v>
        <stp/>
        <stp>##V3_BDPV12</stp>
        <stp>PX Index</stp>
        <stp>PR064</stp>
        <stp>[Index.xlsm]全球指數!R84C14</stp>
        <tr r="N84" s="1"/>
      </tp>
      <tp>
        <v>11.196728787778104</v>
        <stp/>
        <stp>##V3_BDPV12</stp>
        <stp>CRTX Index</stp>
        <stp>INTERVAL_HIGH</stp>
        <stp>[Index.xlsm]全球指數!R108C16</stp>
        <stp>MARKET_DATA_OVERRIDE=PE_RATIO</stp>
        <stp>CALC_INTERVAL=5y</stp>
        <stp>BEST_FPERIOD_OVERRIDE=BF</stp>
        <tr r="P108" s="1"/>
      </tp>
      <tp>
        <v>117.779958214769</v>
        <stp/>
        <stp>##V3_BDPV12</stp>
        <stp>PFTS Index</stp>
        <stp>INTERVAL_HIGH</stp>
        <stp>[Index.xlsm]全球指數!R295C16</stp>
        <stp>MARKET_DATA_OVERRIDE=PE_RATIO</stp>
        <stp>CALC_INTERVAL=5y</stp>
        <stp>BEST_FPERIOD_OVERRIDE=BF</stp>
        <tr r="P295" s="1"/>
      </tp>
      <tp>
        <v>1084.395</v>
        <stp/>
        <stp>##V3_BDPV12</stp>
        <stp>SZBSHR Index</stp>
        <stp>HIGH_52WEEK</stp>
        <stp>[Index.xlsm]全球指數!R128C6</stp>
        <tr r="F128" s="1"/>
      </tp>
      <tp>
        <v>19.036800517934353</v>
        <stp/>
        <stp>##V3_BDPV12</stp>
        <stp>QETR Index</stp>
        <stp>INTERVAL_HIGH</stp>
        <stp>[Index.xlsm]全球指數!R144C16</stp>
        <stp>MARKET_DATA_OVERRIDE=PE_RATIO</stp>
        <stp>CALC_INTERVAL=5y</stp>
        <stp>BEST_FPERIOD_OVERRIDE=BF</stp>
        <tr r="P144" s="1"/>
      </tp>
      <tp>
        <v>33.75058241463784</v>
        <stp/>
        <stp>##V3_BDPV12</stp>
        <stp>CUTL Index</stp>
        <stp>INTERVAL_HIGH</stp>
        <stp>[Index.xlsm]全球指數!R107C16</stp>
        <stp>MARKET_DATA_OVERRIDE=PE_RATIO</stp>
        <stp>CALC_INTERVAL=5y</stp>
        <stp>BEST_FPERIOD_OVERRIDE=BF</stp>
        <tr r="P107" s="1"/>
      </tp>
      <tp>
        <v>-7.5011599999999996</v>
        <stp/>
        <stp>##V3_BDPV12</stp>
        <stp>MSETOP Index</stp>
        <stp>CHG_PCT_1YR</stp>
        <stp>[Index.xlsm]全球指數!R26C15</stp>
        <tr r="O26" s="1"/>
      </tp>
      <tp>
        <v>3640.17</v>
        <stp/>
        <stp>##V3_BDPV12</stp>
        <stp>MIDWIG Index</stp>
        <stp>LOW_52WEEK</stp>
        <stp>[Index.xlsm]全球指數!R21C8</stp>
        <tr r="H21" s="1"/>
      </tp>
      <tp>
        <v>5.5808668939382375</v>
        <stp/>
        <stp>##V3_BDPV12</stp>
        <stp>TR20I Index</stp>
        <stp>INTERVAL_Low</stp>
        <stp>[Index.xlsm]全球指數!R296C17</stp>
        <stp>MARKET_DATA_OVERRIDE=PE_RATIO</stp>
        <stp>CALC_INTERVAL=5y</stp>
        <stp>BEST_FPERIOD_OVERRIDE=BF</stp>
        <tr r="Q296" s="1"/>
      </tp>
      <tp>
        <v>13.043179562602017</v>
        <stp/>
        <stp>##V3_BDPV12</stp>
        <stp>MXAPEXA Index</stp>
        <stp>PE_RATIO</stp>
        <stp>[Index.xlsm]全球指數!R90C18</stp>
        <tr r="R90" s="1"/>
      </tp>
      <tp>
        <v>89.38</v>
        <stp/>
        <stp>##V3_BDPV12</stp>
        <stp>HKSPGEM Index</stp>
        <stp>PX_LAST</stp>
        <stp>[Index.xlsm]全球指數!R151C4</stp>
        <tr r="D151" s="1"/>
      </tp>
      <tp>
        <v>1.2937609999999999</v>
        <stp/>
        <stp>##V3_BDPV12</stp>
        <stp>CRO Index</stp>
        <stp>CHG_PCT_1D</stp>
        <stp>[Index.xlsm]全球指數!R310C5</stp>
        <tr r="E310" s="1"/>
      </tp>
      <tp>
        <v>-0.55330599999999996</v>
        <stp/>
        <stp>##V3_BDPV12</stp>
        <stp>NYYID Index</stp>
        <stp>CHG_PCT_5D</stp>
        <stp>[Index.xlsm]全球指數!R190C10</stp>
        <tr r="J190" s="1"/>
      </tp>
      <tp>
        <v>-0.61542859999999999</v>
        <stp/>
        <stp>##V3_BDPV12</stp>
        <stp>NYLID Index</stp>
        <stp>CHG_PCT_5D</stp>
        <stp>[Index.xlsm]全球指數!R179C10</stp>
        <tr r="J179" s="1"/>
      </tp>
      <tp>
        <v>-3.1789000000000001</v>
        <stp/>
        <stp>##V3_BDPV12</stp>
        <stp>CRTX Index</stp>
        <stp>CHG_PCT_3M</stp>
        <stp>[Index.xlsm]全球指數!R108C12</stp>
        <tr r="L108" s="1"/>
      </tp>
      <tp>
        <v>-0.20442350000000001</v>
        <stp/>
        <stp>##V3_BDPV12</stp>
        <stp>NYIID Index</stp>
        <stp>CHG_PCT_5D</stp>
        <stp>[Index.xlsm]全球指數!R227C10</stp>
        <tr r="J227" s="1"/>
      </tp>
      <tp>
        <v>-6.6045280000000002</v>
        <stp/>
        <stp>##V3_BDPV12</stp>
        <stp>XIN0I Index</stp>
        <stp>CHG_PCT_1YR</stp>
        <stp>[Index.xlsm]全球指數!R96C15</stp>
        <tr r="O96" s="1"/>
      </tp>
      <tp>
        <v>-0.7305239</v>
        <stp/>
        <stp>##V3_BDPV12</stp>
        <stp>TDXP Index</stp>
        <stp>PR064</stp>
        <stp>[Index.xlsm]全球指數!R22C14</stp>
        <tr r="N22" s="1"/>
      </tp>
      <tp>
        <v>-8.5004690000000007</v>
        <stp/>
        <stp>##V3_BDPV12</stp>
        <stp>DSEX Index</stp>
        <stp>CHG_PCT_3M</stp>
        <stp>[Index.xlsm]全球指數!R306C12</stp>
        <tr r="L306" s="1"/>
      </tp>
      <tp>
        <v>-0.19785749999999999</v>
        <stp/>
        <stp>##V3_BDPV12</stp>
        <stp>IBEX Index</stp>
        <stp>CHG_PCT_3M</stp>
        <stp>[Index.xlsm]全球指數!R240C12</stp>
        <tr r="L240" s="1"/>
      </tp>
      <tp>
        <v>5515.95</v>
        <stp/>
        <stp>##V3_BDPV12</stp>
        <stp>IPSA Index</stp>
        <stp>HIGH_52WEEK</stp>
        <stp>[Index.xlsm]全球指數!R147C6</stp>
        <tr r="F147" s="1"/>
      </tp>
      <tp>
        <v>7.0212019999999997</v>
        <stp/>
        <stp>##V3_BDPV12</stp>
        <stp>IGCX Index</stp>
        <stp>CHG_PCT_3M</stp>
        <stp>[Index.xlsm]全球指數!R270C12</stp>
        <tr r="L270" s="1"/>
      </tp>
      <tp>
        <v>27779.1</v>
        <stp/>
        <stp>##V3_BDPV12</stp>
        <stp>IGPA Index</stp>
        <stp>HIGH_52WEEK</stp>
        <stp>[Index.xlsm]全球指數!R167C6</stp>
        <tr r="F167" s="1"/>
      </tp>
      <tp>
        <v>-0.94489350000000005</v>
        <stp/>
        <stp>##V3_BDPV12</stp>
        <stp>MADX Index</stp>
        <stp>CHG_PCT_3M</stp>
        <stp>[Index.xlsm]全球指數!R210C12</stp>
        <tr r="L210" s="1"/>
      </tp>
      <tp>
        <v>-4.128558</v>
        <stp/>
        <stp>##V3_BDPV12</stp>
        <stp>WIG Index</stp>
        <stp>CHG_PCT_6M</stp>
        <stp>[Index.xlsm]全球指數!R115C13</stp>
        <tr r="M115" s="1"/>
      </tp>
      <tp>
        <v>3027.98</v>
        <stp/>
        <stp>##V3_BDPV12</stp>
        <stp>SPX Index</stp>
        <stp>HIGH_52WEEK</stp>
        <stp>[Index.xlsm]全球指數!R134C6</stp>
        <tr r="F134" s="1"/>
      </tp>
      <tp>
        <v>697.81849999999997</v>
        <stp/>
        <stp>##V3_BDPV12</stp>
        <stp>VILSE Index</stp>
        <stp>HIGH_52WEEK</stp>
        <stp>[Index.xlsm]全球指數!R181C6</stp>
        <tr r="F181" s="1"/>
      </tp>
      <tp>
        <v>-2.579161</v>
        <stp/>
        <stp>##V3_BDPV12</stp>
        <stp>DUAE Index</stp>
        <stp>CHG_PCT_1YR</stp>
        <stp>[Index.xlsm]全球指數!R68C15</stp>
        <tr r="O68" s="1"/>
      </tp>
      <tp>
        <v>-0.65088449999999998</v>
        <stp/>
        <stp>##V3_BDPV12</stp>
        <stp>MID Index</stp>
        <stp>CHG_PCT_5D</stp>
        <stp>[Index.xlsm]全球指數!R175C10</stp>
        <tr r="J175" s="1"/>
      </tp>
      <tp>
        <v>0.16510250000000001</v>
        <stp/>
        <stp>##V3_BDPV12</stp>
        <stp>CDAX Index</stp>
        <stp>PR064</stp>
        <stp>[Index.xlsm]全球指數!R82C14</stp>
        <tr r="N82" s="1"/>
      </tp>
      <tp>
        <v>-1.434154E-2</v>
        <stp/>
        <stp>##V3_BDPV12</stp>
        <stp>HDAX Index</stp>
        <stp>PR064</stp>
        <stp>[Index.xlsm]全球指數!R86C14</stp>
        <tr r="N86" s="1"/>
      </tp>
      <tp>
        <v>1.4173370000000001</v>
        <stp/>
        <stp>##V3_BDPV12</stp>
        <stp>MDAX Index</stp>
        <stp>PR064</stp>
        <stp>[Index.xlsm]全球指數!R85C14</stp>
        <tr r="N85" s="1"/>
      </tp>
      <tp>
        <v>43.696480000000001</v>
        <stp/>
        <stp>##V3_BDPV12</stp>
        <stp>JMSMX Index</stp>
        <stp>CHG_PCT_1YR</stp>
        <stp>[Index.xlsm]全球指數!R106C15</stp>
        <tr r="O106" s="1"/>
      </tp>
      <tp>
        <v>1782.06</v>
        <stp/>
        <stp>##V3_BDPV12</stp>
        <stp>DARSDSEI Index</stp>
        <stp>LOW_52WEEK</stp>
        <stp>[Index.xlsm]全球指數!R253C8</stp>
        <tr r="H253" s="1"/>
      </tp>
      <tp>
        <v>12.047739999999999</v>
        <stp/>
        <stp>##V3_BDPV12</stp>
        <stp>IMOEX Index</stp>
        <stp>CHG_PCT_1YR</stp>
        <stp>[Index.xlsm]全球指數!R159C15</stp>
        <tr r="O159" s="1"/>
      </tp>
      <tp>
        <v>0.55597160000000001</v>
        <stp/>
        <stp>##V3_BDPV12</stp>
        <stp>TSEMOTHR Index</stp>
        <stp>CHG_PCT_1D</stp>
        <stp>[Index.xlsm]全球指數!R313C5</stp>
        <tr r="E313" s="1"/>
      </tp>
      <tp>
        <v>4551.83984375</v>
        <stp/>
        <stp>##V3_BDPV12</stp>
        <stp>PSI20 Index</stp>
        <stp>LOW_52WEEK</stp>
        <stp>[Index.xlsm]全球指數!R23C8</stp>
        <tr r="H23" s="1"/>
      </tp>
      <tp>
        <v>-15.03715</v>
        <stp/>
        <stp>##V3_BDPV12</stp>
        <stp>IMC30 Index</stp>
        <stp>CHG_PCT_1YR</stp>
        <stp>[Index.xlsm]全球指數!R246C15</stp>
        <tr r="O246" s="1"/>
      </tp>
      <tp>
        <v>25.116167999572102</v>
        <stp/>
        <stp>##V3_BDPV12</stp>
        <stp>s5hlth index</stp>
        <stp>INTERVAL_HIGH</stp>
        <stp>[Index.xlsm]主要產業!R3C16</stp>
        <stp>MARKET_DATA_OVERRIDE=PE_RATIO</stp>
        <stp>CALC_INTERVAL=5y</stp>
        <stp>BEST_FPERIOD_OVERRIDE=BF</stp>
        <tr r="P3" s="2"/>
      </tp>
      <tp>
        <v>1.193902</v>
        <stp/>
        <stp>##V3_BDPV12</stp>
        <stp>HSCISV Index</stp>
        <stp>CHG_PCT_1D</stp>
        <stp>[Index.xlsm]主要產業!R66C5</stp>
        <tr r="E66" s="2"/>
      </tp>
      <tp t="s">
        <v>US</v>
        <stp/>
        <stp>##V3_BDPV12</stp>
        <stp>s5enrs Index</stp>
        <stp>DS003</stp>
        <stp>[Index.xlsm]主要產業!R12C3</stp>
        <tr r="C12" s="2"/>
      </tp>
      <tp>
        <v>-1.5072639999999999</v>
        <stp/>
        <stp>##V3_BDPV12</stp>
        <stp>SENSEX Index</stp>
        <stp>CHG_PCT_3M</stp>
        <stp>[Index.xlsm]全球指數!R317C12</stp>
        <tr r="L317" s="1"/>
      </tp>
      <tp>
        <v>4.5654320000000004</v>
        <stp/>
        <stp>##V3_BDPV12</stp>
        <stp>COLCAP Index</stp>
        <stp>CHG_PCT_1M</stp>
        <stp>[Index.xlsm]全球指數!R265C11</stp>
        <tr r="K265" s="1"/>
      </tp>
      <tp>
        <v>2.0250699999999999</v>
        <stp/>
        <stp>##V3_BDPV12</stp>
        <stp>SXXP Index</stp>
        <stp>PR064</stp>
        <stp>[Index.xlsm]全球指數!R196C14</stp>
        <tr r="N196" s="1"/>
      </tp>
      <tp>
        <v>-2.3044850000000001</v>
        <stp/>
        <stp>##V3_BDPV12</stp>
        <stp>CSEALL Index</stp>
        <stp>CHG_PCT_1M</stp>
        <stp>[Index.xlsm]全球指數!R174C11</stp>
        <tr r="K174" s="1"/>
      </tp>
      <tp>
        <v>38557.390625</v>
        <stp/>
        <stp>##V3_BDPV12</stp>
        <stp>IBOVIEE Index</stp>
        <stp>LOW_52WEEK</stp>
        <stp>[Index.xlsm]全球指數!R37C8</stp>
        <tr r="H37" s="1"/>
      </tp>
      <tp>
        <v>4.5093740000000002</v>
        <stp/>
        <stp>##V3_BDPV12</stp>
        <stp>SPEURO Index</stp>
        <stp>CHG_PCT_1M</stp>
        <stp>[Index.xlsm]全球指數!R201C11</stp>
        <tr r="K201" s="1"/>
      </tp>
      <tp>
        <v>-1.5072639999999999</v>
        <stp/>
        <stp>##V3_BDPV12</stp>
        <stp>SENSEX Index</stp>
        <stp>PR064</stp>
        <stp>[Index.xlsm]全球指數!R317C14</stp>
        <tr r="N317" s="1"/>
      </tp>
      <tp>
        <v>2.120234</v>
        <stp/>
        <stp>##V3_BDPV12</stp>
        <stp>SXXE Index</stp>
        <stp>PR064</stp>
        <stp>[Index.xlsm]全球指數!R156C14</stp>
        <tr r="N156" s="1"/>
      </tp>
      <tp>
        <v>6.1021330373783735</v>
        <stp/>
        <stp>##V3_BDPV12</stp>
        <stp>XU100 Index</stp>
        <stp>INTERVAL_Low</stp>
        <stp>[Index.xlsm]全球指數!R298C17</stp>
        <stp>MARKET_DATA_OVERRIDE=PE_RATIO</stp>
        <stp>CALC_INTERVAL=5y</stp>
        <stp>BEST_FPERIOD_OVERRIDE=BF</stp>
        <tr r="Q298" s="1"/>
      </tp>
      <tp>
        <v>1326.14</v>
        <stp/>
        <stp>##V3_BDPV12</stp>
        <stp>FTSEM Index</stp>
        <stp>PX_LAST</stp>
        <stp>[Index.xlsm]全球指數!R43C4</stp>
        <tr r="D43" s="1"/>
      </tp>
      <tp>
        <v>8169.777</v>
        <stp/>
        <stp>##V3_BDPV12</stp>
        <stp>BGSMDC Index</stp>
        <stp>HIGH_52WEEK</stp>
        <stp>[Index.xlsm]全球指數!R257C6</stp>
        <tr r="F257" s="1"/>
      </tp>
      <tp>
        <v>5.199891</v>
        <stp/>
        <stp>##V3_BDPV12</stp>
        <stp>BELSTK Index</stp>
        <stp>PR064</stp>
        <stp>[Index.xlsm]全球指數!R230C14</stp>
        <tr r="N230" s="1"/>
      </tp>
      <tp>
        <v>11271.16</v>
        <stp/>
        <stp>##V3_BDPV12</stp>
        <stp>FBMEMAS Index</stp>
        <stp>PX_LAST</stp>
        <stp>[Index.xlsm]全球指數!R242C4</stp>
        <tr r="D242" s="1"/>
      </tp>
      <tp>
        <v>0.47442839999999997</v>
        <stp/>
        <stp>##V3_BDPV12</stp>
        <stp>ASE Index</stp>
        <stp>CHG_PCT_1D</stp>
        <stp>[Index.xlsm]全球指數!R142C5</stp>
        <tr r="E142" s="1"/>
      </tp>
      <tp t="s">
        <v>US</v>
        <stp/>
        <stp>##V3_BDPV12</stp>
        <stp>OSX Index</stp>
        <stp>DS003</stp>
        <stp>[Index.xlsm]全球指數!R2C3</stp>
        <tr r="C2" s="1"/>
      </tp>
      <tp>
        <v>32098.92</v>
        <stp/>
        <stp>##V3_BDPV12</stp>
        <stp>IBX Index</stp>
        <stp>LOW_52WEEK</stp>
        <stp>[Index.xlsm]全球指數!R279C8</stp>
        <tr r="H279" s="1"/>
      </tp>
      <tp>
        <v>-6.8033940000000001E-2</v>
        <stp/>
        <stp>##V3_BDPV12</stp>
        <stp>NYA Index</stp>
        <stp>CHG_PCT_1D</stp>
        <stp>[Index.xlsm]全球指數!R178C5</stp>
        <tr r="E178" s="1"/>
      </tp>
      <tp>
        <v>2623.7</v>
        <stp/>
        <stp>##V3_BDPV12</stp>
        <stp>CHLRGCAP Index</stp>
        <stp>PX_LAST</stp>
        <stp>[Index.xlsm]全球指數!R130C4</stp>
        <tr r="D130" s="1"/>
      </tp>
      <tp>
        <v>1103.01</v>
        <stp/>
        <stp>##V3_BDPV12</stp>
        <stp>AXX Index</stp>
        <stp>HIGH_52WEEK</stp>
        <stp>[Index.xlsm]全球指數!R76C6</stp>
        <tr r="F76" s="1"/>
      </tp>
      <tp>
        <v>626.89670000000001</v>
        <stp/>
        <stp>##V3_BDPV12</stp>
        <stp>s5cons index</stp>
        <stp>PX_LAST</stp>
        <stp>[Index.xlsm]主要產業!R9C4</stp>
        <tr r="D9" s="2"/>
      </tp>
      <tp>
        <v>0.49773010000000001</v>
        <stp/>
        <stp>##V3_BDPV12</stp>
        <stp>s5cons index</stp>
        <stp>CHG_PCT_1D</stp>
        <stp>[Index.xlsm]主要產業!R9C5</stp>
        <tr r="E9" s="2"/>
      </tp>
      <tp>
        <v>10847.8</v>
        <stp/>
        <stp>##V3_BDPV12</stp>
        <stp>NZSE50FG Index</stp>
        <stp>PX_LAST</stp>
        <stp>[Index.xlsm]全球指數!R250C4</stp>
        <tr r="D250" s="1"/>
      </tp>
      <tp>
        <v>3.4790700000000001</v>
        <stp/>
        <stp>##V3_BDPV12</stp>
        <stp>NYYID Index</stp>
        <stp>CHG_PCT_6M</stp>
        <stp>[Index.xlsm]全球指數!R190C13</stp>
        <tr r="M190" s="1"/>
      </tp>
      <tp>
        <v>3.250785</v>
        <stp/>
        <stp>##V3_BDPV12</stp>
        <stp>NYLID Index</stp>
        <stp>CHG_PCT_6M</stp>
        <stp>[Index.xlsm]全球指數!R179C13</stp>
        <tr r="M179" s="1"/>
      </tp>
      <tp>
        <v>8.8894797301239681</v>
        <stp/>
        <stp>##V3_BDPV12</stp>
        <stp>FTN098 Index</stp>
        <stp>PE_RATIO</stp>
        <stp>[Index.xlsm]全球指數!R28C18</stp>
        <tr r="R28" s="1"/>
      </tp>
      <tp>
        <v>0.60212069999999995</v>
        <stp/>
        <stp>##V3_BDPV12</stp>
        <stp>NYIID Index</stp>
        <stp>CHG_PCT_6M</stp>
        <stp>[Index.xlsm]全球指數!R227C13</stp>
        <tr r="M227" s="1"/>
      </tp>
      <tp>
        <v>38.143114235700601</v>
        <stp/>
        <stp>##V3_BDPV12</stp>
        <stp>MOSEMDX Index</stp>
        <stp>INTERVAL_HIGH</stp>
        <stp>[Index.xlsm]全球指數!R186C16</stp>
        <stp>MARKET_DATA_OVERRIDE=PE_RATIO</stp>
        <stp>CALC_INTERVAL=5y</stp>
        <stp>BEST_FPERIOD_OVERRIDE=BF</stp>
        <tr r="P186" s="1"/>
      </tp>
      <tp>
        <v>3.318289</v>
        <stp/>
        <stp>##V3_BDPV12</stp>
        <stp>MID Index</stp>
        <stp>CHG_PCT_6M</stp>
        <stp>[Index.xlsm]全球指數!R175C13</stp>
        <tr r="M175" s="1"/>
      </tp>
      <tp>
        <v>0.48907469999999997</v>
        <stp/>
        <stp>##V3_BDPV12</stp>
        <stp>NYA Index</stp>
        <stp>CHG_PCT_3M</stp>
        <stp>[Index.xlsm]全球指數!R178C12</stp>
        <tr r="L178" s="1"/>
      </tp>
      <tp>
        <v>4.3340649999999998</v>
        <stp/>
        <stp>##V3_BDPV12</stp>
        <stp>CAC Index</stp>
        <stp>CHG_PCT_1M</stp>
        <stp>[Index.xlsm]全球指數!R173C11</stp>
        <tr r="K173" s="1"/>
      </tp>
      <tp>
        <v>1.705379</v>
        <stp/>
        <stp>##V3_BDPV12</stp>
        <stp>DFMGI Index</stp>
        <stp>CHG_PCT_1M</stp>
        <stp>[Index.xlsm]全球指數!R166C11</stp>
        <tr r="K166" s="1"/>
      </tp>
      <tp>
        <v>1340.99</v>
        <stp/>
        <stp>##V3_BDPV12</stp>
        <stp>OEX Index</stp>
        <stp>HIGH_52WEEK</stp>
        <stp>[Index.xlsm]全球指數!R117C6</stp>
        <tr r="F117" s="1"/>
      </tp>
      <tp>
        <v>2935.06</v>
        <stp/>
        <stp>##V3_BDPV12</stp>
        <stp>BSX Index</stp>
        <stp>HIGH_52WEEK</stp>
        <stp>[Index.xlsm]全球指數!R297C6</stp>
        <tr r="F297" s="1"/>
      </tp>
      <tp>
        <v>21.970492664942515</v>
        <stp/>
        <stp>##V3_BDPV12</stp>
        <stp>VNINDEX Index</stp>
        <stp>INTERVAL_HIGH</stp>
        <stp>[Index.xlsm]全球指數!R177C16</stp>
        <stp>MARKET_DATA_OVERRIDE=PE_RATIO</stp>
        <stp>CALC_INTERVAL=5y</stp>
        <stp>BEST_FPERIOD_OVERRIDE=BF</stp>
        <tr r="P177" s="1"/>
      </tp>
      <tp>
        <v>11.934191482735049</v>
        <stp/>
        <stp>##V3_BDPV12</stp>
        <stp>KOSPI100 Index</stp>
        <stp>PE_RATIO</stp>
        <stp>[Index.xlsm]全球指數!R195C18</stp>
        <tr r="R195" s="1"/>
      </tp>
      <tp>
        <v>-1.163001</v>
        <stp/>
        <stp>##V3_BDPV12</stp>
        <stp>WIG Index</stp>
        <stp>CHG_PCT_5D</stp>
        <stp>[Index.xlsm]全球指數!R115C10</stp>
        <tr r="J115" s="1"/>
      </tp>
      <tp>
        <v>0.58534039999999998</v>
        <stp/>
        <stp>##V3_BDPV12</stp>
        <stp>BELEXLIN Index</stp>
        <stp>CHG_PCT_1D</stp>
        <stp>[Index.xlsm]全球指數!R248C5</stp>
        <tr r="E248" s="1"/>
      </tp>
      <tp>
        <v>0.84676379999999996</v>
        <stp/>
        <stp>##V3_BDPV12</stp>
        <stp>CHLRGCAP Index</stp>
        <stp>CHG_PCT_1D</stp>
        <stp>[Index.xlsm]全球指數!R130C5</stp>
        <tr r="E130" s="1"/>
      </tp>
      <tp>
        <v>-15.78998</v>
        <stp/>
        <stp>##V3_BDPV12</stp>
        <stp>INMEX Index</stp>
        <stp>CHG_PCT_1YR</stp>
        <stp>[Index.xlsm]全球指數!R228C15</stp>
        <tr r="O228" s="1"/>
      </tp>
      <tp>
        <v>0.1009375</v>
        <stp/>
        <stp>##V3_BDPV12</stp>
        <stp>OMXO20 Index</stp>
        <stp>CHG_PCT_1D</stp>
        <stp>[Index.xlsm]全球指數!R49C5</stp>
        <tr r="E49" s="1"/>
      </tp>
      <tp>
        <v>14.992789999999999</v>
        <stp/>
        <stp>##V3_BDPV12</stp>
        <stp>GOOGL US Equity</stp>
        <stp>CHG_PCT_3M</stp>
        <stp>[Index.xlsm]主要產業!R7C32</stp>
        <tr r="AF7" s="2"/>
      </tp>
      <tp>
        <v>6.0716489999999999</v>
        <stp/>
        <stp>##V3_BDPV12</stp>
        <stp>GOOGL US Equity</stp>
        <stp>CHG_PCT_1M</stp>
        <stp>[Index.xlsm]主要產業!R7C31</stp>
        <tr r="AE7" s="2"/>
      </tp>
      <tp>
        <v>4.4081590000000004</v>
        <stp/>
        <stp>##V3_BDPV12</stp>
        <stp>GOOGL US Equity</stp>
        <stp>CHG_PCT_6M</stp>
        <stp>[Index.xlsm]主要產業!R7C33</stp>
        <tr r="AG7" s="2"/>
      </tp>
      <tp>
        <v>0.28577190000000002</v>
        <stp/>
        <stp>##V3_BDPV12</stp>
        <stp>GOOGL US Equity</stp>
        <stp>CHG_PCT_5D</stp>
        <stp>[Index.xlsm]主要產業!R7C30</stp>
        <tr r="AD7" s="2"/>
      </tp>
      <tp>
        <v>-0.29295149999999998</v>
        <stp/>
        <stp>##V3_BDPV12</stp>
        <stp>GOOGL US Equity</stp>
        <stp>CHG_PCT_1D</stp>
        <stp>[Index.xlsm]主要產業!R7C25</stp>
        <tr r="Y7" s="2"/>
      </tp>
      <tp>
        <v>-0.91205210000000003</v>
        <stp/>
        <stp>##V3_BDPV12</stp>
        <stp>TWSEOEI Index</stp>
        <stp>CHG_PCT_1D</stp>
        <stp>[Index.xlsm]主要產業!R75C5</stp>
        <tr r="E75" s="2"/>
      </tp>
      <tp>
        <v>2527.6170000000002</v>
        <stp/>
        <stp>##V3_BDPV12</stp>
        <stp>SH000910 Index</stp>
        <stp>HIGH_52WEEK</stp>
        <stp>[Index.xlsm]主要產業!R49C6</stp>
        <tr r="F49" s="2"/>
      </tp>
      <tp>
        <v>0.48226530000000001</v>
        <stp/>
        <stp>##V3_BDPV12</stp>
        <stp>HSCIPC Index</stp>
        <stp>CHG_PCT_1D</stp>
        <stp>[Index.xlsm]主要產業!R65C5</stp>
        <tr r="E65" s="2"/>
      </tp>
      <tp>
        <v>1.7064699999999999</v>
        <stp/>
        <stp>##V3_BDPV12</stp>
        <stp>INDU INDEX</stp>
        <stp>CHG_PCT_1YR</stp>
        <stp>[Index.xlsm]主要產業!R2C53</stp>
        <tr r="BA2" s="2"/>
      </tp>
      <tp>
        <v>272.32</v>
        <stp/>
        <stp>##V3_BDPV12</stp>
        <stp>TWSERUB Index</stp>
        <stp>PX_LAST</stp>
        <stp>[Index.xlsm]主要產業!R89C4</stp>
        <tr r="D89" s="2"/>
      </tp>
      <tp>
        <v>713.8</v>
        <stp/>
        <stp>##V3_BDPV12</stp>
        <stp>LSXC Index</stp>
        <stp>PX_LAST</stp>
        <stp>[Index.xlsm]全球指數!R14C4</stp>
        <tr r="D14" s="1"/>
      </tp>
      <tp>
        <v>3.240405</v>
        <stp/>
        <stp>##V3_BDPV12</stp>
        <stp>TWOTCI Index</stp>
        <stp>CHG_PCT_1M</stp>
        <stp>[Index.xlsm]全球指數!R229C11</stp>
        <tr r="K229" s="1"/>
      </tp>
      <tp>
        <v>17.739530047525058</v>
        <stp/>
        <stp>##V3_BDPV12</stp>
        <stp>ADSMI Index</stp>
        <stp>INTERVAL_HIGH</stp>
        <stp>[Index.xlsm]全球指數!R120C16</stp>
        <stp>MARKET_DATA_OVERRIDE=PE_RATIO</stp>
        <stp>CALC_INTERVAL=5y</stp>
        <stp>BEST_FPERIOD_OVERRIDE=BF</stp>
        <tr r="P120" s="1"/>
      </tp>
      <tp>
        <v>5939.4979999999996</v>
        <stp/>
        <stp>##V3_BDPV12</stp>
        <stp>SH000905 Index</stp>
        <stp>HIGH_52WEEK</stp>
        <stp>[Index.xlsm]全球指數!R13C6</stp>
        <tr r="F13" s="1"/>
      </tp>
      <tp>
        <v>0.19414699999999999</v>
        <stp/>
        <stp>##V3_BDPV12</stp>
        <stp>NSEASI Index</stp>
        <stp>CHG_PCT_5D</stp>
        <stp>[Index.xlsm]全球指數!R252C10</stp>
        <tr r="J252" s="1"/>
      </tp>
      <tp>
        <v>3.099478</v>
        <stp/>
        <stp>##V3_BDPV12</stp>
        <stp>MALTEX Index</stp>
        <stp>CHG_PCT_6M</stp>
        <stp>[Index.xlsm]全球指數!R284C13</stp>
        <tr r="M284" s="1"/>
      </tp>
      <tp>
        <v>-1.154838</v>
        <stp/>
        <stp>##V3_BDPV12</stp>
        <stp>SHBSHR Index</stp>
        <stp>CHG_PCT_5D</stp>
        <stp>[Index.xlsm]全球指數!R116C10</stp>
        <tr r="J116" s="1"/>
      </tp>
      <tp>
        <v>24.122009853533239</v>
        <stp/>
        <stp>##V3_BDPV12</stp>
        <stp>PCOMP Index</stp>
        <stp>INTERVAL_HIGH</stp>
        <stp>[Index.xlsm]全球指數!R231C16</stp>
        <stp>MARKET_DATA_OVERRIDE=PE_RATIO</stp>
        <stp>CALC_INTERVAL=5y</stp>
        <stp>BEST_FPERIOD_OVERRIDE=BF</stp>
        <tr r="P231" s="1"/>
      </tp>
      <tp>
        <v>10.853665709309524</v>
        <stp/>
        <stp>##V3_BDPV12</stp>
        <stp>JPNK400 Index</stp>
        <stp>INTERVAL_Low</stp>
        <stp>[Index.xlsm]全球指數!R286C17</stp>
        <stp>MARKET_DATA_OVERRIDE=PE_RATIO</stp>
        <stp>CALC_INTERVAL=5y</stp>
        <stp>BEST_FPERIOD_OVERRIDE=BF</stp>
        <tr r="Q286" s="1"/>
      </tp>
      <tp>
        <v>3.4064350000000001</v>
        <stp/>
        <stp>##V3_BDPV12</stp>
        <stp>TWOTCI Index</stp>
        <stp>PR064</stp>
        <stp>[Index.xlsm]全球指數!R229C14</stp>
        <tr r="N229" s="1"/>
      </tp>
      <tp>
        <v>461.23924333018283</v>
        <stp/>
        <stp>##V3_BDPV12</stp>
        <stp>ITLMS Index</stp>
        <stp>INTERVAL_HIGH</stp>
        <stp>[Index.xlsm]全球指數!R150C16</stp>
        <stp>MARKET_DATA_OVERRIDE=PE_RATIO</stp>
        <stp>CALC_INTERVAL=5y</stp>
        <stp>BEST_FPERIOD_OVERRIDE=BF</stp>
        <tr r="P150" s="1"/>
      </tp>
      <tp>
        <v>8698.5</v>
        <stp/>
        <stp>##V3_BDPV12</stp>
        <stp>CLXP Index</stp>
        <stp>PX_LAST</stp>
        <stp>[Index.xlsm]全球指數!R54C4</stp>
        <tr r="D54" s="1"/>
      </tp>
      <tp>
        <v>3.5443199999999999</v>
        <stp/>
        <stp>##V3_BDPV12</stp>
        <stp>KWSEPM Index</stp>
        <stp>CHG_PCT_5D</stp>
        <stp>[Index.xlsm]全球指數!R311C10</stp>
        <tr r="J311" s="1"/>
      </tp>
      <tp>
        <v>1.087359</v>
        <stp/>
        <stp>##V3_BDPV12</stp>
        <stp>KWSEMM Index</stp>
        <stp>CHG_PCT_5D</stp>
        <stp>[Index.xlsm]全球指數!R291C10</stp>
        <tr r="J291" s="1"/>
      </tp>
      <tp>
        <v>10212.27</v>
        <stp/>
        <stp>##V3_BDPV12</stp>
        <stp>HSCEI Index</stp>
        <stp>PX_LAST</stp>
        <stp>[Index.xlsm]全球指數!R72C4</stp>
        <tr r="D72" s="1"/>
      </tp>
      <tp>
        <v>4155.92</v>
        <stp/>
        <stp>##V3_BDPV12</stp>
        <stp>HSCCI Index</stp>
        <stp>PX_LAST</stp>
        <stp>[Index.xlsm]全球指數!R24C4</stp>
        <tr r="D24" s="1"/>
      </tp>
      <tp>
        <v>5.4089635523593458</v>
        <stp/>
        <stp>##V3_BDPV12</stp>
        <stp>XU030 Index</stp>
        <stp>INTERVAL_Low</stp>
        <stp>[Index.xlsm]全球指數!R299C17</stp>
        <stp>MARKET_DATA_OVERRIDE=PE_RATIO</stp>
        <stp>CALC_INTERVAL=5y</stp>
        <stp>BEST_FPERIOD_OVERRIDE=BF</stp>
        <tr r="Q299" s="1"/>
      </tp>
      <tp>
        <v>20.545233794252987</v>
        <stp/>
        <stp>##V3_BDPV12</stp>
        <stp>JMSMX Index</stp>
        <stp>INTERVAL_HIGH</stp>
        <stp>[Index.xlsm]全球指數!R106C16</stp>
        <stp>MARKET_DATA_OVERRIDE=PE_RATIO</stp>
        <stp>CALC_INTERVAL=5y</stp>
        <stp>BEST_FPERIOD_OVERRIDE=BF</stp>
        <tr r="P106" s="1"/>
      </tp>
      <tp>
        <v>4405.0622289245784</v>
        <stp/>
        <stp>##V3_BDPV12</stp>
        <stp>IBVC Index</stp>
        <stp>INTERVAL_HIGH</stp>
        <stp>[Index.xlsm]全球指數!R312C16</stp>
        <stp>MARKET_DATA_OVERRIDE=PE_RATIO</stp>
        <stp>CALC_INTERVAL=5y</stp>
        <stp>BEST_FPERIOD_OVERRIDE=BF</stp>
        <tr r="P312" s="1"/>
      </tp>
      <tp>
        <v>1104.79</v>
        <stp/>
        <stp>##V3_BDPV12</stp>
        <stp>COLEQTY Index</stp>
        <stp>PX_LAST</stp>
        <stp>[Index.xlsm]全球指數!R268C4</stp>
        <tr r="D268" s="1"/>
      </tp>
      <tp>
        <v>1618.74</v>
        <stp/>
        <stp>##V3_BDPV12</stp>
        <stp>BELEXLIN Index</stp>
        <stp>PX_LAST</stp>
        <stp>[Index.xlsm]全球指數!R248C4</stp>
        <tr r="D248" s="1"/>
      </tp>
      <tp>
        <v>453.56</v>
        <stp/>
        <stp>##V3_BDPV12</stp>
        <stp>BVPSBVPS Index</stp>
        <stp>PX_LAST</stp>
        <stp>[Index.xlsm]全球指數!R243C4</stp>
        <tr r="D243" s="1"/>
      </tp>
      <tp>
        <v>-0.2013209</v>
        <stp/>
        <stp>##V3_BDPV12</stp>
        <stp>DSM Index</stp>
        <stp>CHG_PCT_1D</stp>
        <stp>[Index.xlsm]全球指數!R143C5</stp>
        <tr r="E143" s="1"/>
      </tp>
      <tp>
        <v>7.636304</v>
        <stp/>
        <stp>##V3_BDPV12</stp>
        <stp>CRTX Index</stp>
        <stp>CHG_PCT_1M</stp>
        <stp>[Index.xlsm]全球指數!R108C11</stp>
        <tr r="K108" s="1"/>
      </tp>
      <tp>
        <v>38.209466055632312</v>
        <stp/>
        <stp>##V3_BDPV12</stp>
        <stp>MOSENEW Index</stp>
        <stp>INTERVAL_HIGH</stp>
        <stp>[Index.xlsm]全球指數!R188C16</stp>
        <stp>MARKET_DATA_OVERRIDE=PE_RATIO</stp>
        <stp>CALC_INTERVAL=5y</stp>
        <stp>BEST_FPERIOD_OVERRIDE=BF</stp>
        <tr r="P188" s="1"/>
      </tp>
      <tp>
        <v>4.0779100000000001</v>
        <stp/>
        <stp>##V3_BDPV12</stp>
        <stp>SPTSX Index</stp>
        <stp>CHG_PCT_6M</stp>
        <stp>[Index.xlsm]全球指數!R200C13</stp>
        <tr r="M200" s="1"/>
      </tp>
      <tp>
        <v>995.56529999999998</v>
        <stp/>
        <stp>##V3_BDPV12</stp>
        <stp>BLOM Index</stp>
        <stp>HIGH_52WEEK</stp>
        <stp>[Index.xlsm]全球指數!R259C6</stp>
        <tr r="F259" s="1"/>
      </tp>
      <tp>
        <v>-4.0596040000000002</v>
        <stp/>
        <stp>##V3_BDPV12</stp>
        <stp>DSEX Index</stp>
        <stp>CHG_PCT_1M</stp>
        <stp>[Index.xlsm]全球指數!R306C11</stp>
        <tr r="K306" s="1"/>
      </tp>
      <tp>
        <v>-8.7354149999999997</v>
        <stp/>
        <stp>##V3_BDPV12</stp>
        <stp>SASEIDX Index</stp>
        <stp>PR064</stp>
        <stp>[Index.xlsm]全球指數!R308C14</stp>
        <tr r="N308" s="1"/>
      </tp>
      <tp>
        <v>-0.62925580000000003</v>
        <stp/>
        <stp>##V3_BDPV12</stp>
        <stp>s5hlth index</stp>
        <stp>CHG_PCT_1D</stp>
        <stp>[Index.xlsm]主要產業!R3C5</stp>
        <tr r="E3" s="2"/>
      </tp>
      <tp>
        <v>4.5916410000000001</v>
        <stp/>
        <stp>##V3_BDPV12</stp>
        <stp>IBEX Index</stp>
        <stp>CHG_PCT_1M</stp>
        <stp>[Index.xlsm]全球指數!R240C11</stp>
        <tr r="K240" s="1"/>
      </tp>
      <tp>
        <v>7.8583889999999998</v>
        <stp/>
        <stp>##V3_BDPV12</stp>
        <stp>IGCX Index</stp>
        <stp>CHG_PCT_1M</stp>
        <stp>[Index.xlsm]全球指數!R270C11</stp>
        <tr r="K270" s="1"/>
      </tp>
      <tp>
        <v>29.181804074301894</v>
        <stp/>
        <stp>##V3_BDPV12</stp>
        <stp>DUAE Index</stp>
        <stp>INTERVAL_HIGH</stp>
        <stp>[Index.xlsm]全球指數!R68C16</stp>
        <stp>MARKET_DATA_OVERRIDE=PE_RATIO</stp>
        <stp>CALC_INTERVAL=5y</stp>
        <stp>BEST_FPERIOD_OVERRIDE=BF</stp>
        <tr r="P68" s="1"/>
      </tp>
      <tp>
        <v>4.3918179999999998</v>
        <stp/>
        <stp>##V3_BDPV12</stp>
        <stp>MADX Index</stp>
        <stp>CHG_PCT_1M</stp>
        <stp>[Index.xlsm]全球指數!R210C11</stp>
        <tr r="K210" s="1"/>
      </tp>
      <tp>
        <v>17.316556195729476</v>
        <stp/>
        <stp>##V3_BDPV12</stp>
        <stp>KNSMIDX Index</stp>
        <stp>INTERVAL_HIGH</stp>
        <stp>[Index.xlsm]全球指數!R269C16</stp>
        <stp>MARKET_DATA_OVERRIDE=PE_RATIO</stp>
        <stp>CALC_INTERVAL=5y</stp>
        <stp>BEST_FPERIOD_OVERRIDE=BF</stp>
        <tr r="P269" s="1"/>
      </tp>
      <tp>
        <v>2645.366</v>
        <stp/>
        <stp>##V3_BDPV12</stp>
        <stp>SMIM Index</stp>
        <stp>HIGH_52WEEK</stp>
        <stp>[Index.xlsm]全球指數!R199C6</stp>
        <tr r="F199" s="1"/>
      </tp>
      <tp>
        <v>67479.23</v>
        <stp/>
        <stp>##V3_BDPV12</stp>
        <stp>IBOVIEE Index</stp>
        <stp>PX_LAST</stp>
        <stp>[Index.xlsm]全球指數!R37C4</stp>
        <tr r="D37" s="1"/>
      </tp>
      <tp>
        <v>21.35962</v>
        <stp/>
        <stp>##V3_BDPV12</stp>
        <stp>ASE Index</stp>
        <stp>CHG_PCT_6M</stp>
        <stp>[Index.xlsm]全球指數!R142C13</stp>
        <tr r="M142" s="1"/>
      </tp>
      <tp>
        <v>6898.87</v>
        <stp/>
        <stp>##V3_BDPV12</stp>
        <stp>PAX Index</stp>
        <stp>HIGH_52WEEK</stp>
        <stp>[Index.xlsm]全球指數!R146C6</stp>
        <tr r="F146" s="1"/>
      </tp>
      <tp>
        <v>43735</v>
        <stp/>
        <stp>##V3_BDHV12</stp>
        <stp>TWD Curncy</stp>
        <stp>PX_LAST</stp>
        <stp>ED-60AD</stp>
        <stp/>
        <stp>[Index.xlsm]ADR!R3C5</stp>
        <stp>Points=30</stp>
        <stp>Sort=D</stp>
        <stp>Per=d</stp>
        <stp>Days=A</stp>
        <stp>Fill=E</stp>
        <stp>QtTyp=P</stp>
        <stp>Dts=S</stp>
        <stp>cols=2;rows=30</stp>
        <tr r="E3" s="4"/>
      </tp>
      <tp t="s">
        <v>EC</v>
        <stp/>
        <stp>##V3_BDPV12</stp>
        <stp>E100 Index</stp>
        <stp>DS003</stp>
        <stp>[Index.xlsm]全球指數!R234C3</stp>
        <tr r="C234" s="1"/>
      </tp>
      <tp>
        <v>1177.96</v>
        <stp/>
        <stp>##V3_BDPV12</stp>
        <stp>MXAPEXA Index</stp>
        <stp>PX_LAST</stp>
        <stp>[Index.xlsm]全球指數!R90C4</stp>
        <tr r="D90" s="1"/>
      </tp>
      <tp>
        <v>-1.0353319999999999</v>
        <stp/>
        <stp>##V3_BDPV12</stp>
        <stp>NDF Index</stp>
        <stp>CHG_PCT_5D</stp>
        <stp>[Index.xlsm]全球指數!R125C10</stp>
        <tr r="J125" s="1"/>
      </tp>
      <tp>
        <v>-1.079145</v>
        <stp/>
        <stp>##V3_BDPV12</stp>
        <stp>ADSMI Index</stp>
        <stp>CHG_PCT_5D</stp>
        <stp>[Index.xlsm]全球指數!R120C10</stp>
        <tr r="J120" s="1"/>
      </tp>
      <tp>
        <v>-0.87945580000000001</v>
        <stp/>
        <stp>##V3_BDPV12</stp>
        <stp>SOFIX Index</stp>
        <stp>CHG_PCT_6M</stp>
        <stp>[Index.xlsm]全球指數!R110C13</stp>
        <tr r="M110" s="1"/>
      </tp>
      <tp>
        <v>-11.92606</v>
        <stp/>
        <stp>##V3_BDPV12</stp>
        <stp>KOSPI Index</stp>
        <stp>CHG_PCT_1YR</stp>
        <stp>[Index.xlsm]全球指數!R155C15</stp>
        <tr r="O155" s="1"/>
      </tp>
      <tp>
        <v>10.10821</v>
        <stp/>
        <stp>##V3_BDPV12</stp>
        <stp>COLIR Index</stp>
        <stp>CHG_PCT_1YR</stp>
        <stp>[Index.xlsm]全球指數!R267C15</stp>
        <tr r="O267" s="1"/>
      </tp>
      <tp>
        <v>21.7441</v>
        <stp/>
        <stp>##V3_BDPV12</stp>
        <stp>COLSC Index</stp>
        <stp>CHG_PCT_1YR</stp>
        <stp>[Index.xlsm]全球指數!R256C15</stp>
        <tr r="O256" s="1"/>
      </tp>
      <tp>
        <v>3.6048740000000001</v>
        <stp/>
        <stp>##V3_BDPV12</stp>
        <stp>T1X Index</stp>
        <stp>PR064</stp>
        <stp>[Index.xlsm]全球指數!R95C14</stp>
        <tr r="N95" s="1"/>
      </tp>
      <tp>
        <v>-8.0095589999999994</v>
        <stp/>
        <stp>##V3_BDPV12</stp>
        <stp>SOFIX Index</stp>
        <stp>CHG_PCT_1YR</stp>
        <stp>[Index.xlsm]全球指數!R110C15</stp>
        <tr r="O110" s="1"/>
      </tp>
      <tp>
        <v>16844.099999999999</v>
        <stp/>
        <stp>##V3_BDPV12</stp>
        <stp>XIN0I Index</stp>
        <stp>LOW_52WEEK</stp>
        <stp>[Index.xlsm]全球指數!R96C8</stp>
        <tr r="H96" s="1"/>
      </tp>
      <tp>
        <v>3.7169773465656961</v>
        <stp/>
        <stp>##V3_BDPV12</stp>
        <stp>MERVAL Index</stp>
        <stp>INTERVAL_Low</stp>
        <stp>[Index.xlsm]全球指數!R4C17</stp>
        <stp>MARKET_DATA_OVERRIDE=PE_RATIO</stp>
        <stp>CALC_INTERVAL=5y</stp>
        <stp>BEST_FPERIOD_OVERRIDE=BF</stp>
        <tr r="Q4" s="1"/>
      </tp>
      <tp>
        <v>1759.78</v>
        <stp/>
        <stp>##V3_BDPV12</stp>
        <stp>JOSMGNFF Index</stp>
        <stp>LOW_52WEEK</stp>
        <stp>[Index.xlsm]全球指數!R263C8</stp>
        <tr r="H263" s="1"/>
      </tp>
      <tp>
        <v>0.52199379999999995</v>
        <stp/>
        <stp>##V3_BDPV12</stp>
        <stp>TWSECEM Index</stp>
        <stp>CHG_PCT_1D</stp>
        <stp>[Index.xlsm]主要產業!R88C5</stp>
        <tr r="E88" s="2"/>
      </tp>
      <tp>
        <v>-0.89470249999999996</v>
        <stp/>
        <stp>##V3_BDPV12</stp>
        <stp>HSCIMT Index</stp>
        <stp>CHG_PCT_1D</stp>
        <stp>[Index.xlsm]主要產業!R64C5</stp>
        <tr r="E64" s="2"/>
      </tp>
      <tp>
        <v>7106.5379999999996</v>
        <stp/>
        <stp>##V3_BDPV12</stp>
        <stp>SH000914 Index</stp>
        <stp>HIGH_52WEEK</stp>
        <stp>[Index.xlsm]主要產業!R48C6</stp>
        <tr r="F48" s="2"/>
      </tp>
      <tp>
        <v>179.52</v>
        <stp/>
        <stp>##V3_BDPV12</stp>
        <stp>SX86P INDEX</stp>
        <stp>HIGH_52WEEK</stp>
        <stp>[Index.xlsm]主要產業!R34C6</stp>
        <tr r="F34" s="2"/>
      </tp>
      <tp>
        <v>14.18282045003129</v>
        <stp/>
        <stp>##V3_BDPV12</stp>
        <stp>HSI Index</stp>
        <stp>INTERVAL_HIGH</stp>
        <stp>[Index.xlsm]全球指數!R77C16</stp>
        <stp>MARKET_DATA_OVERRIDE=PE_RATIO</stp>
        <stp>CALC_INTERVAL=5y</stp>
        <stp>BEST_FPERIOD_OVERRIDE=BF</stp>
        <tr r="P77" s="1"/>
      </tp>
      <tp>
        <v>-2.0000909999999998</v>
        <stp/>
        <stp>##V3_BDPV12</stp>
        <stp>PCOMP Index</stp>
        <stp>PR064</stp>
        <stp>[Index.xlsm]全球指數!R231C14</stp>
        <tr r="N231" s="1"/>
      </tp>
      <tp>
        <v>-1.128719E-3</v>
        <stp/>
        <stp>##V3_BDPV12</stp>
        <stp>FTBIVA Index</stp>
        <stp>CHG_PCT_5D</stp>
        <stp>[Index.xlsm]全球指數!R245C10</stp>
        <tr r="J245" s="1"/>
      </tp>
      <tp>
        <v>33.994521271329084</v>
        <stp/>
        <stp>##V3_BDPV12</stp>
        <stp>TWOTCI Index</stp>
        <stp>INTERVAL_HIGH</stp>
        <stp>[Index.xlsm]全球指數!R229C16</stp>
        <stp>MARKET_DATA_OVERRIDE=PE_RATIO</stp>
        <stp>CALC_INTERVAL=5y</stp>
        <stp>BEST_FPERIOD_OVERRIDE=BF</stp>
        <tr r="P229" s="1"/>
      </tp>
      <tp>
        <v>1.557188</v>
        <stp/>
        <stp>##V3_BDPV12</stp>
        <stp>ADSMI Index</stp>
        <stp>PR064</stp>
        <stp>[Index.xlsm]全球指數!R120C14</stp>
        <tr r="N120" s="1"/>
      </tp>
      <tp>
        <v>19361.990000000002</v>
        <stp/>
        <stp>##V3_BDPV12</stp>
        <stp>MOEXBC Index</stp>
        <stp>HIGH_52WEEK</stp>
        <stp>[Index.xlsm]全球指數!R171C6</stp>
        <tr r="F171" s="1"/>
      </tp>
      <tp>
        <v>3941.07</v>
        <stp/>
        <stp>##V3_BDPV12</stp>
        <stp>HSCCI Index</stp>
        <stp>LOW_52WEEK</stp>
        <stp>[Index.xlsm]全球指數!R24C8</stp>
        <tr r="H24" s="1"/>
      </tp>
      <tp>
        <v>783.58</v>
        <stp/>
        <stp>##V3_BDPV12</stp>
        <stp>OSEBX Index</stp>
        <stp>LOW_52WEEK</stp>
        <stp>[Index.xlsm]全球指數!R52C8</stp>
        <tr r="H52" s="1"/>
      </tp>
      <tp>
        <v>-11.179790000000001</v>
        <stp/>
        <stp>##V3_BDPV12</stp>
        <stp>MIDWIG Index</stp>
        <stp>CHG_PCT_1YR</stp>
        <stp>[Index.xlsm]全球指數!R21C15</stp>
        <tr r="O21" s="1"/>
      </tp>
      <tp>
        <v>10.50839</v>
        <stp/>
        <stp>##V3_BDPV12</stp>
        <stp>JMSMX Index</stp>
        <stp>PR064</stp>
        <stp>[Index.xlsm]全球指數!R106C14</stp>
        <tr r="N106" s="1"/>
      </tp>
      <tp>
        <v>30.12097827459398</v>
        <stp/>
        <stp>##V3_BDPV12</stp>
        <stp>HEX Index</stp>
        <stp>INTERVAL_HIGH</stp>
        <stp>[Index.xlsm]全球指數!R91C16</stp>
        <stp>MARKET_DATA_OVERRIDE=PE_RATIO</stp>
        <stp>CALC_INTERVAL=5y</stp>
        <stp>BEST_FPERIOD_OVERRIDE=BF</stp>
        <tr r="P91" s="1"/>
      </tp>
      <tp>
        <v>189.22909999999999</v>
        <stp/>
        <stp>##V3_BDPV12</stp>
        <stp>IBVC Index</stp>
        <stp>PR064</stp>
        <stp>[Index.xlsm]全球指數!R312C14</stp>
        <tr r="N312" s="1"/>
      </tp>
      <tp>
        <v>4940.12</v>
        <stp/>
        <stp>##V3_BDPV12</stp>
        <stp>SAXCME Index</stp>
        <stp>HIGH_52WEEK</stp>
        <stp>[Index.xlsm]全球指數!R109C6</stp>
        <tr r="F109" s="1"/>
      </tp>
      <tp>
        <v>4539.82</v>
        <stp/>
        <stp>##V3_BDPV12</stp>
        <stp>CHTX Index</stp>
        <stp>PX_LAST</stp>
        <stp>[Index.xlsm]全球指數!R27C4</stp>
        <tr r="D27" s="1"/>
      </tp>
      <tp>
        <v>3.7729940000000002</v>
        <stp/>
        <stp>##V3_BDPV12</stp>
        <stp>ITLMS Index</stp>
        <stp>PR064</stp>
        <stp>[Index.xlsm]全球指數!R150C14</stp>
        <tr r="N150" s="1"/>
      </tp>
      <tp>
        <v>551.41</v>
        <stp/>
        <stp>##V3_BDPV12</stp>
        <stp>PASISI Index</stp>
        <stp>HIGH_52WEEK</stp>
        <stp>[Index.xlsm]全球指數!R215C6</stp>
        <tr r="F215" s="1"/>
      </tp>
      <tp>
        <v>8.0293840000000003</v>
        <stp/>
        <stp>##V3_BDPV12</stp>
        <stp>BBREIT Index</stp>
        <stp>CHG_PCT_6M</stp>
        <stp>[Index.xlsm]全球指數!R288C13</stp>
        <tr r="M288" s="1"/>
      </tp>
      <tp>
        <v>21947.67</v>
        <stp/>
        <stp>##V3_BDPV12</stp>
        <stp>FTSEMIB Index</stp>
        <stp>PX_LAST</stp>
        <stp>[Index.xlsm]全球指數!R153C4</stp>
        <tr r="D153" s="1"/>
      </tp>
      <tp>
        <v>3.2051040000000003E-2</v>
        <stp/>
        <stp>##V3_BDPV12</stp>
        <stp>NYK Index</stp>
        <stp>CHG_PCT_1D</stp>
        <stp>[Index.xlsm]全球指數!R216C5</stp>
        <tr r="E216" s="1"/>
      </tp>
      <tp>
        <v>6771.68</v>
        <stp/>
        <stp>##V3_BDPV12</stp>
        <stp>BET Index</stp>
        <stp>LOW_52WEEK</stp>
        <stp>[Index.xlsm]全球指數!R300C8</stp>
        <tr r="H300" s="1"/>
      </tp>
      <tp>
        <v>1546.62</v>
        <stp/>
        <stp>##V3_BDPV12</stp>
        <stp>SET Index</stp>
        <stp>LOW_52WEEK</stp>
        <stp>[Index.xlsm]全球指數!R220C8</stp>
        <tr r="H220" s="1"/>
      </tp>
      <tp>
        <v>3419.93</v>
        <stp/>
        <stp>##V3_BDPV12</stp>
        <stp>ATX Index</stp>
        <stp>HIGH_52WEEK</stp>
        <stp>[Index.xlsm]全球指數!R34C6</stp>
        <tr r="F34" s="1"/>
      </tp>
      <tp>
        <v>5.4290459999999996</v>
        <stp/>
        <stp>##V3_BDPV12</stp>
        <stp>COMP Index</stp>
        <stp>CHG_PCT_6M</stp>
        <stp>[Index.xlsm]全球指數!R217C13</stp>
        <tr r="M217" s="1"/>
      </tp>
      <tp>
        <v>440.46600000000001</v>
        <stp/>
        <stp>##V3_BDPV12</stp>
        <stp>CUTL Index</stp>
        <stp>HIGH_52WEEK</stp>
        <stp>[Index.xlsm]全球指數!R107C6</stp>
        <tr r="F107" s="1"/>
      </tp>
      <tp>
        <v>942.85829999999999</v>
        <stp/>
        <stp>##V3_BDPV12</stp>
        <stp>s5cond index</stp>
        <stp>PX_LAST</stp>
        <stp>[Index.xlsm]主要產業!R7C4</stp>
        <tr r="D7" s="2"/>
      </tp>
      <tp>
        <v>5.2138350000000004</v>
        <stp/>
        <stp>##V3_BDPV12</stp>
        <stp>FTASE Index</stp>
        <stp>CHG_PCT_1M</stp>
        <stp>[Index.xlsm]全球指數!R141C11</stp>
        <tr r="K141" s="1"/>
      </tp>
      <tp>
        <v>-0.55817079999999997</v>
        <stp/>
        <stp>##V3_BDPV12</stp>
        <stp>s5cond index</stp>
        <stp>CHG_PCT_1D</stp>
        <stp>[Index.xlsm]主要產業!R7C5</stp>
        <tr r="E7" s="2"/>
      </tp>
      <tp>
        <v>-7.9552740000000002</v>
        <stp/>
        <stp>##V3_BDPV12</stp>
        <stp>KNSMIDX Index</stp>
        <stp>PR064</stp>
        <stp>[Index.xlsm]全球指數!R269C14</stp>
        <tr r="N269" s="1"/>
      </tp>
      <tp>
        <v>-0.81859939999999998</v>
        <stp/>
        <stp>##V3_BDPV12</stp>
        <stp>BIRS Index</stp>
        <stp>CHG_PCT_5D</stp>
        <stp>[Index.xlsm]全球指數!R152C10</stp>
        <tr r="J152" s="1"/>
      </tp>
      <tp>
        <v>1.2555719999999999</v>
        <stp/>
        <stp>##V3_BDPV12</stp>
        <stp>MOSENEW Index</stp>
        <stp>PR064</stp>
        <stp>[Index.xlsm]全球指數!R188C14</stp>
        <tr r="N188" s="1"/>
      </tp>
      <tp>
        <v>0.24487120000000001</v>
        <stp/>
        <stp>##V3_BDPV12</stp>
        <stp>CINS Index</stp>
        <stp>CHG_PCT_5D</stp>
        <stp>[Index.xlsm]全球指數!R254C10</stp>
        <tr r="J254" s="1"/>
      </tp>
      <tp>
        <v>1.374241</v>
        <stp/>
        <stp>##V3_BDPV12</stp>
        <stp>INDU Index</stp>
        <stp>CHG_PCT_3M</stp>
        <stp>[Index.xlsm]全球指數!R170C12</stp>
        <tr r="L170" s="1"/>
      </tp>
      <tp>
        <v>22.341584013149198</v>
        <stp/>
        <stp>##V3_BDPV12</stp>
        <stp>SASEIDX Index</stp>
        <stp>INTERVAL_HIGH</stp>
        <stp>[Index.xlsm]全球指數!R308C16</stp>
        <stp>MARKET_DATA_OVERRIDE=PE_RATIO</stp>
        <stp>CALC_INTERVAL=5y</stp>
        <stp>BEST_FPERIOD_OVERRIDE=BF</stp>
        <tr r="P308" s="1"/>
      </tp>
      <tp>
        <v>2.2221090000000001</v>
        <stp/>
        <stp>##V3_BDPV12</stp>
        <stp>SPEU Index</stp>
        <stp>CHG_PCT_3M</stp>
        <stp>[Index.xlsm]全球指數!R162C12</stp>
        <tr r="L162" s="1"/>
      </tp>
      <tp>
        <v>3.3582519999999998</v>
        <stp/>
        <stp>##V3_BDPV12</stp>
        <stp>SXXP Index</stp>
        <stp>CHG_PCT_6M</stp>
        <stp>[Index.xlsm]全球指數!R196C13</stp>
        <tr r="M196" s="1"/>
      </tp>
      <tp>
        <v>-2.4152439999999999</v>
        <stp/>
        <stp>##V3_BDPV12</stp>
        <stp>CIND Index</stp>
        <stp>PR064</stp>
        <stp>[Index.xlsm]全球指數!R25C14</stp>
        <tr r="N25" s="1"/>
      </tp>
      <tp>
        <v>4.2333639999999999</v>
        <stp/>
        <stp>##V3_BDPV12</stp>
        <stp>SX5P Index</stp>
        <stp>CHG_PCT_6M</stp>
        <stp>[Index.xlsm]全球指數!R255C13</stp>
        <tr r="M255" s="1"/>
      </tp>
      <tp>
        <v>3.8911190000000002</v>
        <stp/>
        <stp>##V3_BDPV12</stp>
        <stp>DSM Index</stp>
        <stp>CHG_PCT_1M</stp>
        <stp>[Index.xlsm]全球指數!R143C11</stp>
        <tr r="K143" s="1"/>
      </tp>
      <tp>
        <v>44564.03125</v>
        <stp/>
        <stp>##V3_BDPV12</stp>
        <stp>IBX Index</stp>
        <stp>HIGH_52WEEK</stp>
        <stp>[Index.xlsm]全球指數!R279C6</stp>
        <tr r="F279" s="1"/>
      </tp>
      <tp>
        <v>4205.74</v>
        <stp/>
        <stp>##V3_BDPV12</stp>
        <stp>ASX Index</stp>
        <stp>HIGH_52WEEK</stp>
        <stp>[Index.xlsm]全球指數!R209C6</stp>
        <tr r="F209" s="1"/>
      </tp>
      <tp>
        <v>1838.3</v>
        <stp/>
        <stp>##V3_BDPV12</stp>
        <stp>TPX Index</stp>
        <stp>HIGH_52WEEK</stp>
        <stp>[Index.xlsm]全球指數!R289C6</stp>
        <tr r="F289" s="1"/>
      </tp>
      <tp>
        <v>7727.49</v>
        <stp/>
        <stp>##V3_BDPV12</stp>
        <stp>UKX Index</stp>
        <stp>HIGH_52WEEK</stp>
        <stp>[Index.xlsm]全球指數!R239C6</stp>
        <tr r="F239" s="1"/>
      </tp>
      <tp>
        <v>4.3653760000000004</v>
        <stp/>
        <stp>##V3_BDPV12</stp>
        <stp>CRO Index</stp>
        <stp>CHG_PCT_3M</stp>
        <stp>[Index.xlsm]全球指數!R310C12</stp>
        <tr r="L310" s="1"/>
      </tp>
      <tp>
        <v>1.5328839999999999</v>
        <stp/>
        <stp>##V3_BDPV12</stp>
        <stp>PFTS Index</stp>
        <stp>CHG_PCT_5D</stp>
        <stp>[Index.xlsm]全球指數!R295C10</stp>
        <tr r="J295" s="1"/>
      </tp>
      <tp>
        <v>-0.82539750000000001</v>
        <stp/>
        <stp>##V3_BDPV12</stp>
        <stp>QEAS Index</stp>
        <stp>CHG_PCT_5D</stp>
        <stp>[Index.xlsm]全球指數!R149C10</stp>
        <tr r="J149" s="1"/>
      </tp>
      <tp>
        <v>-1.0839859999999999</v>
        <stp/>
        <stp>##V3_BDPV12</stp>
        <stp>XII Index</stp>
        <stp>CHG_PCT_5D</stp>
        <stp>[Index.xlsm]全球指數!R119C10</stp>
        <tr r="J119" s="1"/>
      </tp>
      <tp>
        <v>-1.0389870000000001</v>
        <stp/>
        <stp>##V3_BDPV12</stp>
        <stp>XCI Index</stp>
        <stp>CHG_PCT_5D</stp>
        <stp>[Index.xlsm]全球指數!R124C10</stp>
        <tr r="J124" s="1"/>
      </tp>
      <tp>
        <v>-0.53405709999999995</v>
        <stp/>
        <stp>##V3_BDPV12</stp>
        <stp>SMI Index</stp>
        <stp>CHG_PCT_5D</stp>
        <stp>[Index.xlsm]全球指數!R192C10</stp>
        <tr r="J192" s="1"/>
      </tp>
      <tp>
        <v>-1.33806</v>
        <stp/>
        <stp>##V3_BDPV12</stp>
        <stp>QMI Index</stp>
        <stp>CHG_PCT_5D</stp>
        <stp>[Index.xlsm]全球指數!R103C10</stp>
        <tr r="J103" s="1"/>
      </tp>
      <tp>
        <v>-1.0443849999999999</v>
        <stp/>
        <stp>##V3_BDPV12</stp>
        <stp>STI Index</stp>
        <stp>CHG_PCT_5D</stp>
        <stp>[Index.xlsm]全球指數!R123C10</stp>
        <tr r="J123" s="1"/>
      </tp>
      <tp>
        <v>-1.086497</v>
        <stp/>
        <stp>##V3_BDPV12</stp>
        <stp>SLI Index</stp>
        <stp>CHG_PCT_5D</stp>
        <stp>[Index.xlsm]全球指數!R118C10</stp>
        <tr r="J118" s="1"/>
      </tp>
      <tp>
        <v>4.8825799999999999</v>
        <stp/>
        <stp>##V3_BDPV12</stp>
        <stp>MBI Index</stp>
        <stp>CHG_PCT_5D</stp>
        <stp>[Index.xlsm]全球指數!R314C10</stp>
        <tr r="J314" s="1"/>
      </tp>
      <tp>
        <v>-0.31501400000000002</v>
        <stp/>
        <stp>##V3_BDPV12</stp>
        <stp>XMI Index</stp>
        <stp>CHG_PCT_5D</stp>
        <stp>[Index.xlsm]全球指數!R211C10</stp>
        <tr r="J211" s="1"/>
      </tp>
      <tp>
        <v>-0.3615853</v>
        <stp/>
        <stp>##V3_BDPV12</stp>
        <stp>SPI Index</stp>
        <stp>CHG_PCT_5D</stp>
        <stp>[Index.xlsm]全球指數!R206C10</stp>
        <tr r="J206" s="1"/>
      </tp>
      <tp>
        <v>-0.22637969999999999</v>
        <stp/>
        <stp>##V3_BDPV12</stp>
        <stp>JCI Index</stp>
        <stp>CHG_PCT_5D</stp>
        <stp>[Index.xlsm]全球指數!R223C10</stp>
        <tr r="J223" s="1"/>
      </tp>
      <tp>
        <v>0.77476630000000002</v>
        <stp/>
        <stp>##V3_BDPV12</stp>
        <stp>TOP40 Index</stp>
        <stp>CHG_PCT_1D</stp>
        <stp>[Index.xlsm]全球指數!R64C5</stp>
        <tr r="E64" s="1"/>
      </tp>
      <tp>
        <v>4.8528700000000001E-2</v>
        <stp/>
        <stp>##V3_BDPV12</stp>
        <stp>BVPSBVPS Index</stp>
        <stp>CHG_PCT_1D</stp>
        <stp>[Index.xlsm]全球指數!R243C5</stp>
        <tr r="E243" s="1"/>
      </tp>
      <tp>
        <v>0.22645000000000001</v>
        <stp/>
        <stp>##V3_BDPV12</stp>
        <stp>HSHK35 Index</stp>
        <stp>CHG_PCT_1D</stp>
        <stp>[Index.xlsm]全球指數!R73C5</stp>
        <tr r="E73" s="1"/>
      </tp>
      <tp>
        <v>3314.5419999999999</v>
        <stp/>
        <stp>##V3_BDPV12</stp>
        <stp>SH000916 Index</stp>
        <stp>HIGH_52WEEK</stp>
        <stp>[Index.xlsm]主要產業!R57C6</stp>
        <tr r="F57" s="2"/>
      </tp>
      <tp>
        <v>278.26</v>
        <stp/>
        <stp>##V3_BDPV12</stp>
        <stp>TWSEDEPT Index</stp>
        <stp>HIGH_52WEEK</stp>
        <stp>[Index.xlsm]主要產業!R85C6</stp>
        <tr r="F85" s="2"/>
      </tp>
      <tp>
        <v>-0.27913470000000001</v>
        <stp/>
        <stp>##V3_BDPV12</stp>
        <stp>TWSEEPD Index</stp>
        <stp>CHG_PCT_1D</stp>
        <stp>[Index.xlsm]主要產業!R91C5</stp>
        <tr r="E91" s="2"/>
      </tp>
      <tp>
        <v>147.51</v>
        <stp/>
        <stp>##V3_BDPV12</stp>
        <stp>TWSEMACH Index</stp>
        <stp>LOW_52WEEK</stp>
        <stp>[Index.xlsm]主要產業!R87C8</stp>
        <tr r="H87" s="2"/>
      </tp>
      <tp>
        <v>-0.26911190000000001</v>
        <stp/>
        <stp>##V3_BDPV12</stp>
        <stp>TWSESTEE Index</stp>
        <stp>CHG_PCT_1D</stp>
        <stp>[Index.xlsm]主要產業!R81C5</stp>
        <tr r="E81" s="2"/>
      </tp>
      <tp>
        <v>-0.53788130000000001</v>
        <stp/>
        <stp>##V3_BDPV12</stp>
        <stp>KOSPCHEM Index</stp>
        <stp>CHG_PCT_1D</stp>
        <stp>[Index.xlsm]主要產業!R45C5</stp>
        <tr r="E45" s="2"/>
      </tp>
      <tp>
        <v>11.542620653069408</v>
        <stp/>
        <stp>##V3_BDPV12</stp>
        <stp>KRX100 Index</stp>
        <stp>PE_RATIO</stp>
        <stp>[Index.xlsm]全球指數!R197C18</stp>
        <tr r="R197" s="1"/>
      </tp>
      <tp>
        <v>-3.0486620000000002</v>
        <stp/>
        <stp>##V3_BDPV12</stp>
        <stp>SBITOP Index</stp>
        <stp>CHG_PCT_3M</stp>
        <stp>[Index.xlsm]全球指數!R176C12</stp>
        <tr r="L176" s="1"/>
      </tp>
      <tp>
        <v>28.809337653028177</v>
        <stp/>
        <stp>##V3_BDPV12</stp>
        <stp>SENSEX Index</stp>
        <stp>INTERVAL_HIGH</stp>
        <stp>[Index.xlsm]全球指數!R317C16</stp>
        <stp>MARKET_DATA_OVERRIDE=PE_RATIO</stp>
        <stp>CALC_INTERVAL=5y</stp>
        <stp>BEST_FPERIOD_OVERRIDE=BF</stp>
        <tr r="P317" s="1"/>
      </tp>
      <tp>
        <v>7011.328125</v>
        <stp/>
        <stp>##V3_BDPV12</stp>
        <stp>SICOM Index</stp>
        <stp>LOW_52WEEK</stp>
        <stp>[Index.xlsm]全球指數!R15C8</stp>
        <tr r="H15" s="1"/>
      </tp>
      <tp>
        <v>24.985037800907119</v>
        <stp/>
        <stp>##V3_BDPV12</stp>
        <stp>BSE100 Index</stp>
        <stp>PE_RATIO</stp>
        <stp>[Index.xlsm]全球指數!R318C18</stp>
        <tr r="R318" s="1"/>
      </tp>
      <tp>
        <v>28.146872507306551</v>
        <stp/>
        <stp>##V3_BDPV12</stp>
        <stp>SXXP Index</stp>
        <stp>INTERVAL_HIGH</stp>
        <stp>[Index.xlsm]全球指數!R196C16</stp>
        <stp>MARKET_DATA_OVERRIDE=PE_RATIO</stp>
        <stp>CALC_INTERVAL=5y</stp>
        <stp>BEST_FPERIOD_OVERRIDE=BF</stp>
        <tr r="P196" s="1"/>
      </tp>
      <tp>
        <v>1050.92</v>
        <stp/>
        <stp>##V3_BDPV12</stp>
        <stp>MXAPEXA Index</stp>
        <stp>LOW_52WEEK</stp>
        <stp>[Index.xlsm]全球指數!R90C8</stp>
        <tr r="H90" s="1"/>
      </tp>
      <tp>
        <v>759.47</v>
        <stp/>
        <stp>##V3_BDPV12</stp>
        <stp>OSEFX Index</stp>
        <stp>LOW_52WEEK</stp>
        <stp>[Index.xlsm]全球指數!R53C8</stp>
        <tr r="H53" s="1"/>
      </tp>
      <tp>
        <v>-1.6612210000000001</v>
        <stp/>
        <stp>##V3_BDPV12</stp>
        <stp>TA-35 Index</stp>
        <stp>CHG_PCT_1YR</stp>
        <stp>[Index.xlsm]全球指數!R205C15</stp>
        <tr r="O205" s="1"/>
      </tp>
      <tp>
        <v>46.515327416675845</v>
        <stp/>
        <stp>##V3_BDPV12</stp>
        <stp>BELSTK Index</stp>
        <stp>INTERVAL_HIGH</stp>
        <stp>[Index.xlsm]全球指數!R230C16</stp>
        <stp>MARKET_DATA_OVERRIDE=PE_RATIO</stp>
        <stp>CALC_INTERVAL=5y</stp>
        <stp>BEST_FPERIOD_OVERRIDE=BF</stp>
        <tr r="P230" s="1"/>
      </tp>
      <tp>
        <v>26.884039078953034</v>
        <stp/>
        <stp>##V3_BDPV12</stp>
        <stp>SXXE Index</stp>
        <stp>INTERVAL_HIGH</stp>
        <stp>[Index.xlsm]全球指數!R156C16</stp>
        <stp>MARKET_DATA_OVERRIDE=PE_RATIO</stp>
        <stp>CALC_INTERVAL=5y</stp>
        <stp>BEST_FPERIOD_OVERRIDE=BF</stp>
        <tr r="P156" s="1"/>
      </tp>
      <tp>
        <v>19.572739592229389</v>
        <stp/>
        <stp>##V3_BDPV12</stp>
        <stp>SBF120 Index</stp>
        <stp>PE_RATIO</stp>
        <stp>[Index.xlsm]全球指數!R169C18</stp>
        <tr r="R169" s="1"/>
      </tp>
      <tp>
        <v>-1.2984039999999999</v>
        <stp/>
        <stp>##V3_BDPV12</stp>
        <stp>TUSISE Index</stp>
        <stp>CHG_PCT_1M</stp>
        <stp>[Index.xlsm]全球指數!R221C11</stp>
        <tr r="K221" s="1"/>
      </tp>
      <tp>
        <v>13.185707658508326</v>
        <stp/>
        <stp>##V3_BDPV12</stp>
        <stp>TPX100 Index</stp>
        <stp>PE_RATIO</stp>
        <stp>[Index.xlsm]全球指數!R271C18</stp>
        <tr r="R271" s="1"/>
      </tp>
      <tp>
        <v>2929.087</v>
        <stp/>
        <stp>##V3_BDPV12</stp>
        <stp>SHCOMP Index</stp>
        <stp>PX_LAST</stp>
        <stp>[Index.xlsm]全球指數!R32C4</stp>
        <tr r="D32" s="1"/>
      </tp>
      <tp>
        <v>52.452543882663349</v>
        <stp/>
        <stp>##V3_BDPV12</stp>
        <stp>TA-125 Index</stp>
        <stp>PE_RATIO</stp>
        <stp>[Index.xlsm]全球指數!R258C18</stp>
        <tr r="R258" s="1"/>
      </tp>
      <tp>
        <v>723.46792406694772</v>
        <stp/>
        <stp>##V3_BDPV12</stp>
        <stp>TA-35 Index</stp>
        <stp>PE_RATIO</stp>
        <stp>[Index.xlsm]全球指數!R205C18</stp>
        <tr r="R205" s="1"/>
      </tp>
      <tp>
        <v>1251.69</v>
        <stp/>
        <stp>##V3_BDPV12</stp>
        <stp>SLI Index</stp>
        <stp>LOW_52WEEK</stp>
        <stp>[Index.xlsm]全球指數!R118C8</stp>
        <tr r="H118" s="1"/>
      </tp>
      <tp>
        <v>34.642594829553808</v>
        <stp/>
        <stp>##V3_BDPV12</stp>
        <stp>SZASHR Index</stp>
        <stp>PE_RATIO</stp>
        <stp>[Index.xlsm]全球指數!R10C18</stp>
        <tr r="R10" s="1"/>
      </tp>
      <tp>
        <v>14.233918298307685</v>
        <stp/>
        <stp>##V3_BDPV12</stp>
        <stp>SHASHR Index</stp>
        <stp>PE_RATIO</stp>
        <stp>[Index.xlsm]全球指數!R30C18</stp>
        <tr r="R30" s="1"/>
      </tp>
      <tp>
        <v>3.2725499999999998</v>
        <stp/>
        <stp>##V3_BDPV12</stp>
        <stp>SKSM Index</stp>
        <stp>CHG_PCT_1YR</stp>
        <stp>[Index.xlsm]全球指數!R281C15</stp>
        <tr r="O281" s="1"/>
      </tp>
      <tp>
        <v>-2.0151560000000002</v>
        <stp/>
        <stp>##V3_BDPV12</stp>
        <stp>SMIM Index</stp>
        <stp>CHG_PCT_1YR</stp>
        <stp>[Index.xlsm]全球指數!R199C15</stp>
        <tr r="O199" s="1"/>
      </tp>
      <tp>
        <v>739.83640000000003</v>
        <stp/>
        <stp>##V3_BDPV12</stp>
        <stp>KAX Index</stp>
        <stp>LOW_52WEEK</stp>
        <stp>[Index.xlsm]全球指數!R275C8</stp>
        <tr r="H275" s="1"/>
      </tp>
      <tp>
        <v>-1.2560180000000001</v>
        <stp/>
        <stp>##V3_BDPV12</stp>
        <stp>SPEU Index</stp>
        <stp>CHG_PCT_1YR</stp>
        <stp>[Index.xlsm]全球指數!R162C15</stp>
        <tr r="O162" s="1"/>
      </tp>
      <tp>
        <v>4.3414590000000004</v>
        <stp/>
        <stp>##V3_BDPV12</stp>
        <stp>SX5P Index</stp>
        <stp>CHG_PCT_1YR</stp>
        <stp>[Index.xlsm]全球指數!R255C15</stp>
        <tr r="O255" s="1"/>
      </tp>
      <tp>
        <v>6.2715500000000004</v>
        <stp/>
        <stp>##V3_BDPV12</stp>
        <stp>SX40 Index</stp>
        <stp>CHG_PCT_1YR</stp>
        <stp>[Index.xlsm]全球指數!R320C15</stp>
        <tr r="O320" s="1"/>
      </tp>
      <tp>
        <v>2.388258</v>
        <stp/>
        <stp>##V3_BDPV12</stp>
        <stp>SX5E Index</stp>
        <stp>CHG_PCT_1YR</stp>
        <stp>[Index.xlsm]全球指數!R184C15</stp>
        <tr r="O184" s="1"/>
      </tp>
      <tp>
        <v>0.92396279999999997</v>
        <stp/>
        <stp>##V3_BDPV12</stp>
        <stp>SXXP Index</stp>
        <stp>CHG_PCT_1YR</stp>
        <stp>[Index.xlsm]全球指數!R196C15</stp>
        <tr r="O196" s="1"/>
      </tp>
      <tp>
        <v>-0.70977539999999995</v>
        <stp/>
        <stp>##V3_BDPV12</stp>
        <stp>SXXE Index</stp>
        <stp>CHG_PCT_1YR</stp>
        <stp>[Index.xlsm]全球指數!R156C15</stp>
        <tr r="O156" s="1"/>
      </tp>
      <tp>
        <v>2388.1999999999998</v>
        <stp/>
        <stp>##V3_BDPV12</stp>
        <stp>TPXSM Index</stp>
        <stp>HIGH_52WEEK</stp>
        <stp>[Index.xlsm]全球指數!R307C6</stp>
        <tr r="F307" s="1"/>
      </tp>
      <tp>
        <v>1.2953460000000001</v>
        <stp/>
        <stp>##V3_BDPV12</stp>
        <stp>MOSEMDX Index</stp>
        <stp>PR064</stp>
        <stp>[Index.xlsm]全球指數!R186C14</stp>
        <tr r="N186" s="1"/>
      </tp>
      <tp>
        <v>-0.81336660000000005</v>
        <stp/>
        <stp>##V3_BDPV12</stp>
        <stp>MSER Index</stp>
        <stp>CHG_PCT_5D</stp>
        <stp>[Index.xlsm]全球指數!R154C10</stp>
        <tr r="J154" s="1"/>
      </tp>
      <tp>
        <v>-8.421519</v>
        <stp/>
        <stp>##V3_BDPV12</stp>
        <stp>CHTX Index</stp>
        <stp>PR064</stp>
        <stp>[Index.xlsm]全球指數!R27C14</stp>
        <tr r="N27" s="1"/>
      </tp>
      <tp>
        <v>8.2684270000000009</v>
        <stp/>
        <stp>##V3_BDPV12</stp>
        <stp>IBOV Index</stp>
        <stp>CHG_PCT_1M</stp>
        <stp>[Index.xlsm]全球指數!R287C11</stp>
        <tr r="K287" s="1"/>
      </tp>
      <tp>
        <v>0.84985710000000003</v>
        <stp/>
        <stp>##V3_BDPV12</stp>
        <stp>ISEQ Index</stp>
        <stp>CHG_PCT_6M</stp>
        <stp>[Index.xlsm]全球指數!R241C13</stp>
        <tr r="M241" s="1"/>
      </tp>
      <tp>
        <v>-4.771077</v>
        <stp/>
        <stp>##V3_BDPV12</stp>
        <stp>KZKAK Index</stp>
        <stp>CHG_PCT_3M</stp>
        <stp>[Index.xlsm]全球指數!R131C12</stp>
        <tr r="L131" s="1"/>
      </tp>
      <tp>
        <v>-2.5552950000000001</v>
        <stp/>
        <stp>##V3_BDPV12</stp>
        <stp>ICEXI Index</stp>
        <stp>CHG_PCT_3M</stp>
        <stp>[Index.xlsm]全球指數!R218C12</stp>
        <tr r="L218" s="1"/>
      </tp>
      <tp>
        <v>-2.0000909999999998</v>
        <stp/>
        <stp>##V3_BDPV12</stp>
        <stp>PCOMP Index</stp>
        <stp>CHG_PCT_3M</stp>
        <stp>[Index.xlsm]全球指數!R231C12</stp>
        <tr r="L231" s="1"/>
      </tp>
      <tp>
        <v>-6.5248860000000004</v>
        <stp/>
        <stp>##V3_BDPV12</stp>
        <stp>HSCI Index</stp>
        <stp>CHG_PCT_1YR</stp>
        <stp>[Index.xlsm]全球指數!R60C15</stp>
        <tr r="O60" s="1"/>
      </tp>
      <tp>
        <v>6.3961940000000004</v>
        <stp/>
        <stp>##V3_BDPV12</stp>
        <stp>SML Index</stp>
        <stp>CHG_PCT_1M</stp>
        <stp>[Index.xlsm]全球指數!R104C11</stp>
        <tr r="K104" s="1"/>
      </tp>
      <tp>
        <v>10.19797</v>
        <stp/>
        <stp>##V3_BDPV12</stp>
        <stp>IXK Index</stp>
        <stp>CHG_PCT_6M</stp>
        <stp>[Index.xlsm]全球指數!R113C13</stp>
        <tr r="M113" s="1"/>
      </tp>
      <tp>
        <v>43563.37890625</v>
        <stp/>
        <stp>##V3_BDPV12</stp>
        <stp>BUX Index</stp>
        <stp>HIGH_52WEEK</stp>
        <stp>[Index.xlsm]全球指數!R138C6</stp>
        <tr r="F138" s="1"/>
      </tp>
      <tp>
        <v>6.6387140000000002</v>
        <stp/>
        <stp>##V3_BDPV12</stp>
        <stp>NYK Index</stp>
        <stp>CHG_PCT_6M</stp>
        <stp>[Index.xlsm]全球指數!R216C13</stp>
        <tr r="M216" s="1"/>
      </tp>
      <tp>
        <v>1625.1579999999999</v>
        <stp/>
        <stp>##V3_BDPV12</stp>
        <stp>SOX Index</stp>
        <stp>HIGH_52WEEK</stp>
        <stp>[Index.xlsm]全球指數!R168C6</stp>
        <tr r="F168" s="1"/>
      </tp>
      <tp>
        <v>1678.277</v>
        <stp/>
        <stp>##V3_BDPV12</stp>
        <stp>RIY Index</stp>
        <stp>HIGH_52WEEK</stp>
        <stp>[Index.xlsm]全球指數!R129C6</stp>
        <tr r="F129" s="1"/>
      </tp>
      <tp>
        <v>3.8963380000000001</v>
        <stp/>
        <stp>##V3_BDPV12</stp>
        <stp>TXEQ Index</stp>
        <stp>CHG_PCT_6M</stp>
        <stp>[Index.xlsm]全球指數!R193C13</stp>
        <tr r="M193" s="1"/>
      </tp>
      <tp>
        <v>12103.05</v>
        <stp/>
        <stp>##V3_BDPV12</stp>
        <stp>NIFTY Index</stp>
        <stp>HIGH_52WEEK</stp>
        <stp>[Index.xlsm]全球指數!R319C6</stp>
        <tr r="F319" s="1"/>
      </tp>
      <tp>
        <v>-0.87555899999999998</v>
        <stp/>
        <stp>##V3_BDPV12</stp>
        <stp>QETR Index</stp>
        <stp>CHG_PCT_5D</stp>
        <stp>[Index.xlsm]全球指數!R144C10</stp>
        <tr r="J144" s="1"/>
      </tp>
      <tp>
        <v>9.5197339999999997</v>
        <stp/>
        <stp>##V3_BDPV12</stp>
        <stp>COLSC Index</stp>
        <stp>CHG_PCT_3M</stp>
        <stp>[Index.xlsm]全球指數!R256C12</stp>
        <tr r="L256" s="1"/>
      </tp>
      <tp>
        <v>5.051374</v>
        <stp/>
        <stp>##V3_BDPV12</stp>
        <stp>VNINDEX Index</stp>
        <stp>PR064</stp>
        <stp>[Index.xlsm]全球指數!R177C14</stp>
        <tr r="N177" s="1"/>
      </tp>
      <tp>
        <v>7.7896729999999996</v>
        <stp/>
        <stp>##V3_BDPV12</stp>
        <stp>KOSPI Index</stp>
        <stp>CHG_PCT_1M</stp>
        <stp>[Index.xlsm]全球指數!R155C11</stp>
        <tr r="K155" s="1"/>
      </tp>
      <tp>
        <v>1.5835920000000001</v>
        <stp/>
        <stp>##V3_BDPV12</stp>
        <stp>TALSE Index</stp>
        <stp>CHG_PCT_1YR</stp>
        <stp>[Index.xlsm]全球指數!R247C15</stp>
        <tr r="O247" s="1"/>
      </tp>
      <tp>
        <v>-4.9132020000000001</v>
        <stp/>
        <stp>##V3_BDPV12</stp>
        <stp>VALUA Index</stp>
        <stp>CHG_PCT_1YR</stp>
        <stp>[Index.xlsm]全球指數!R112C15</stp>
        <tr r="O112" s="1"/>
      </tp>
      <tp t="s">
        <v>阿根廷 MERVAL 指數</v>
        <stp/>
        <stp>##V3_BDPV12</stp>
        <stp>MERVAL Index</stp>
        <stp>DS697</stp>
        <stp>[Index.xlsm]全球指數!R4C2</stp>
        <tr r="B4" s="1"/>
      </tp>
      <tp>
        <v>0.49965799999999999</v>
        <stp/>
        <stp>##V3_BDPV12</stp>
        <stp>INDI25 Index</stp>
        <stp>CHG_PCT_1D</stp>
        <stp>[Index.xlsm]全球指數!R70C5</stp>
        <tr r="E70" s="1"/>
      </tp>
      <tp>
        <v>-0.42344939999999998</v>
        <stp/>
        <stp>##V3_BDPV12</stp>
        <stp>TWSECON Index</stp>
        <stp>CHG_PCT_1D</stp>
        <stp>[Index.xlsm]主要產業!R86C5</stp>
        <tr r="E86" s="2"/>
      </tp>
      <tp>
        <v>1966.413</v>
        <stp/>
        <stp>##V3_BDPV12</stp>
        <stp>SH000917 Index</stp>
        <stp>HIGH_52WEEK</stp>
        <stp>[Index.xlsm]主要產業!R56C6</stp>
        <tr r="F56" s="2"/>
      </tp>
      <tp>
        <v>0.69088170000000004</v>
        <stp/>
        <stp>##V3_BDPV12</stp>
        <stp>TPNBNK Index</stp>
        <stp>CHG_PCT_1D</stp>
        <stp>[Index.xlsm]主要產業!R41C5</stp>
        <tr r="E41" s="2"/>
      </tp>
      <tp>
        <v>0.1576244</v>
        <stp/>
        <stp>##V3_BDPV12</stp>
        <stp>TPNCHM Index</stp>
        <stp>CHG_PCT_1D</stp>
        <stp>[Index.xlsm]主要產業!R40C5</stp>
        <tr r="E40" s="2"/>
      </tp>
      <tp>
        <v>-0.24136850000000001</v>
        <stp/>
        <stp>##V3_BDPV12</stp>
        <stp>TWSECPE Index</stp>
        <stp>CHG_PCT_1D</stp>
        <stp>[Index.xlsm]主要產業!R76C5</stp>
        <tr r="E76" s="2"/>
      </tp>
      <tp>
        <v>6190.1660000000002</v>
        <stp/>
        <stp>##V3_BDPV12</stp>
        <stp>CCMP INDEX</stp>
        <stp>LOW_52WEEK</stp>
        <stp>[Index.xlsm]主要產業!R5C46</stp>
        <tr r="AT5" s="2"/>
      </tp>
      <tp t="s">
        <v>US</v>
        <stp/>
        <stp>##V3_BDPV12</stp>
        <stp>s5matr Index</stp>
        <stp>DS003</stp>
        <stp>[Index.xlsm]主要產業!R16C3</stp>
        <tr r="C16" s="2"/>
      </tp>
      <tp>
        <v>-3.1313559999999998</v>
        <stp/>
        <stp>##V3_BDPV12</stp>
        <stp>PFTS Index</stp>
        <stp>PR064</stp>
        <stp>[Index.xlsm]全球指數!R295C14</stp>
        <tr r="N295" s="1"/>
      </tp>
      <tp>
        <v>-0.23424809999999999</v>
        <stp/>
        <stp>##V3_BDPV12</stp>
        <stp>QETR Index</stp>
        <stp>PR064</stp>
        <stp>[Index.xlsm]全球指數!R144C14</stp>
        <tr r="N144" s="1"/>
      </tp>
      <tp>
        <v>9464.8359999999993</v>
        <stp/>
        <stp>##V3_BDPV12</stp>
        <stp>SICOM Index</stp>
        <stp>PX_LAST</stp>
        <stp>[Index.xlsm]全球指數!R15C4</stp>
        <tr r="D15" s="1"/>
      </tp>
      <tp>
        <v>27.2347598055395</v>
        <stp/>
        <stp>##V3_BDPV12</stp>
        <stp>BSE200 Index</stp>
        <stp>PE_RATIO</stp>
        <stp>[Index.xlsm]全球指數!R316C18</stp>
        <tr r="R316" s="1"/>
      </tp>
      <tp>
        <v>15.816220481106759</v>
        <stp/>
        <stp>##V3_BDPV12</stp>
        <stp>TPXM400 Index</stp>
        <stp>PE_RATIO</stp>
        <stp>[Index.xlsm]全球指數!R294C18</stp>
        <tr r="R294" s="1"/>
      </tp>
      <tp>
        <v>-3.1789000000000001</v>
        <stp/>
        <stp>##V3_BDPV12</stp>
        <stp>CRTX Index</stp>
        <stp>PR064</stp>
        <stp>[Index.xlsm]全球指數!R108C14</stp>
        <tr r="N108" s="1"/>
      </tp>
      <tp>
        <v>1597.7180000000001</v>
        <stp/>
        <stp>##V3_BDPV12</stp>
        <stp>SZCOMP Index</stp>
        <stp>PX_LAST</stp>
        <stp>[Index.xlsm]全球指數!R11C4</stp>
        <tr r="D11" s="1"/>
      </tp>
      <tp>
        <v>50041.6015625</v>
        <stp/>
        <stp>##V3_BDPV12</stp>
        <stp>MEXBOL Index</stp>
        <stp>HIGH_52WEEK</stp>
        <stp>[Index.xlsm]全球指數!R236C6</stp>
        <tr r="F236" s="1"/>
      </tp>
      <tp>
        <v>-6.748672</v>
        <stp/>
        <stp>##V3_BDPV12</stp>
        <stp>CUTL Index</stp>
        <stp>PR064</stp>
        <stp>[Index.xlsm]全球指數!R107C14</stp>
        <tr r="N107" s="1"/>
      </tp>
      <tp>
        <v>2973.4490000000001</v>
        <stp/>
        <stp>##V3_BDPV12</stp>
        <stp>GGSECI Index</stp>
        <stp>HIGH_52WEEK</stp>
        <stp>[Index.xlsm]全球指數!R111C6</stp>
        <tr r="F111" s="1"/>
      </tp>
      <tp>
        <v>19.814503590779633</v>
        <stp/>
        <stp>##V3_BDPV12</stp>
        <stp>SBF250 Index</stp>
        <stp>PE_RATIO</stp>
        <stp>[Index.xlsm]全球指數!R164C18</stp>
        <tr r="R164" s="1"/>
      </tp>
      <tp>
        <v>2331.36</v>
        <stp/>
        <stp>##V3_BDPV12</stp>
        <stp>XCI Index</stp>
        <stp>LOW_52WEEK</stp>
        <stp>[Index.xlsm]全球指數!R124C8</stp>
        <tr r="H124" s="1"/>
      </tp>
      <tp>
        <v>-2.5852020000000002</v>
        <stp/>
        <stp>##V3_BDPV12</stp>
        <stp>PFTS Index</stp>
        <stp>CHG_PCT_1YR</stp>
        <stp>[Index.xlsm]全球指數!R295C15</stp>
        <tr r="O295" s="1"/>
      </tp>
      <tp>
        <v>-4.8429350000000003E-2</v>
        <stp/>
        <stp>##V3_BDPV12</stp>
        <stp>BUX Index</stp>
        <stp>CHG_PCT_1D</stp>
        <stp>[Index.xlsm]全球指數!R138C5</stp>
        <tr r="E138" s="1"/>
      </tp>
      <tp>
        <v>284.63</v>
        <stp/>
        <stp>##V3_BDPV12</stp>
        <stp>NEY Index</stp>
        <stp>LOW_52WEEK</stp>
        <stp>[Index.xlsm]全球指數!R282C8</stp>
        <tr r="H282" s="1"/>
      </tp>
      <tp>
        <v>5557.3</v>
        <stp/>
        <stp>##V3_BDPV12</stp>
        <stp>PAX Index</stp>
        <stp>LOW_52WEEK</stp>
        <stp>[Index.xlsm]全球指數!R146C8</stp>
        <tr r="H146" s="1"/>
      </tp>
      <tp>
        <v>1066.3869999999999</v>
        <stp/>
        <stp>##V3_BDPV12</stp>
        <stp>SOX Index</stp>
        <stp>LOW_52WEEK</stp>
        <stp>[Index.xlsm]全球指數!R168C8</stp>
        <tr r="H168" s="1"/>
      </tp>
      <tp>
        <v>472.19</v>
        <stp/>
        <stp>##V3_BDPV12</stp>
        <stp>AEX Index</stp>
        <stp>LOW_52WEEK</stp>
        <stp>[Index.xlsm]全球指數!R222C8</stp>
        <tr r="H222" s="1"/>
      </tp>
      <tp>
        <v>10.539487024988267</v>
        <stp/>
        <stp>##V3_BDPV12</stp>
        <stp>OSX Index</stp>
        <stp>INTERVAL_Low</stp>
        <stp>[Index.xlsm]全球指數!R2C17</stp>
        <stp>MARKET_DATA_OVERRIDE=PE_RATIO</stp>
        <stp>CALC_INTERVAL=5y</stp>
        <stp>BEST_FPERIOD_OVERRIDE=BF</stp>
        <tr r="Q2" s="1"/>
      </tp>
      <tp>
        <v>-5.7164449999999999E-2</v>
        <stp/>
        <stp>##V3_BDPV12</stp>
        <stp>ISEQ Index</stp>
        <stp>CHG_PCT_5D</stp>
        <stp>[Index.xlsm]全球指數!R241C10</stp>
        <tr r="J241" s="1"/>
      </tp>
      <tp>
        <v>1256.07</v>
        <stp/>
        <stp>##V3_BDPV12</stp>
        <stp>NTX Index</stp>
        <stp>HIGH_52WEEK</stp>
        <stp>[Index.xlsm]全球指數!R66C6</stp>
        <tr r="F66" s="1"/>
      </tp>
      <tp>
        <v>9294.884</v>
        <stp/>
        <stp>##V3_BDPV12</stp>
        <stp>CFIN Index</stp>
        <stp>HIGH_52WEEK</stp>
        <stp>[Index.xlsm]全球指數!R137C6</stp>
        <tr r="F137" s="1"/>
      </tp>
      <tp>
        <v>13.55871</v>
        <stp/>
        <stp>##V3_BDPV12</stp>
        <stp>SICOM Index</stp>
        <stp>CHG_PCT_1YR</stp>
        <stp>[Index.xlsm]全球指數!R15C15</stp>
        <tr r="O15" s="1"/>
      </tp>
      <tp>
        <v>-2.0384709999999999</v>
        <stp/>
        <stp>##V3_BDPV12</stp>
        <stp>FTASE Index</stp>
        <stp>CHG_PCT_3M</stp>
        <stp>[Index.xlsm]全球指數!R141C12</stp>
        <tr r="L141" s="1"/>
      </tp>
      <tp>
        <v>4.3185010000000004</v>
        <stp/>
        <stp>##V3_BDPV12</stp>
        <stp>INDU Index</stp>
        <stp>CHG_PCT_1M</stp>
        <stp>[Index.xlsm]全球指數!R170C11</stp>
        <tr r="K170" s="1"/>
      </tp>
      <tp>
        <v>24.343782843633168</v>
        <stp/>
        <stp>##V3_BDPV12</stp>
        <stp>PXAP Index</stp>
        <stp>INTERVAL_HIGH</stp>
        <stp>[Index.xlsm]全球指數!R80C16</stp>
        <stp>MARKET_DATA_OVERRIDE=PE_RATIO</stp>
        <stp>CALC_INTERVAL=5y</stp>
        <stp>BEST_FPERIOD_OVERRIDE=BF</stp>
        <tr r="P80" s="1"/>
      </tp>
      <tp>
        <v>-1.830578</v>
        <stp/>
        <stp>##V3_BDPV12</stp>
        <stp>NYP Index</stp>
        <stp>CHG_PCT_1YR</stp>
        <stp>[Index.xlsm]全球指數!R83C15</stp>
        <tr r="O83" s="1"/>
      </tp>
      <tp>
        <v>4.331245</v>
        <stp/>
        <stp>##V3_BDPV12</stp>
        <stp>MSER Index</stp>
        <stp>CHG_PCT_6M</stp>
        <stp>[Index.xlsm]全球指數!R154C13</stp>
        <tr r="M154" s="1"/>
      </tp>
      <tp>
        <v>4.6263439999999996</v>
        <stp/>
        <stp>##V3_BDPV12</stp>
        <stp>SPEU Index</stp>
        <stp>CHG_PCT_1M</stp>
        <stp>[Index.xlsm]全球指數!R162C11</stp>
        <tr r="K162" s="1"/>
      </tp>
      <tp>
        <v>3.149292</v>
        <stp/>
        <stp>##V3_BDPV12</stp>
        <stp>QETR Index</stp>
        <stp>CHG_PCT_6M</stp>
        <stp>[Index.xlsm]全球指數!R144C13</stp>
        <tr r="M144" s="1"/>
      </tp>
      <tp>
        <v>881.56</v>
        <stp/>
        <stp>##V3_BDPV12</stp>
        <stp>UTIL Index</stp>
        <stp>HIGH_52WEEK</stp>
        <stp>[Index.xlsm]全球指數!R305C6</stp>
        <tr r="F305" s="1"/>
      </tp>
      <tp>
        <v>-0.23419970000000001</v>
        <stp/>
        <stp>##V3_BDPV12</stp>
        <stp>DSM Index</stp>
        <stp>CHG_PCT_3M</stp>
        <stp>[Index.xlsm]全球指數!R143C12</stp>
        <tr r="L143" s="1"/>
      </tp>
      <tp>
        <v>67732.0078125</v>
        <stp/>
        <stp>##V3_BDPV12</stp>
        <stp>IRT Index</stp>
        <stp>HIGH_52WEEK</stp>
        <stp>[Index.xlsm]全球指數!R237C6</stp>
        <tr r="F237" s="1"/>
      </tp>
      <tp>
        <v>4.6361980000000003</v>
        <stp/>
        <stp>##V3_BDPV12</stp>
        <stp>CRO Index</stp>
        <stp>CHG_PCT_1M</stp>
        <stp>[Index.xlsm]全球指數!R310C11</stp>
        <tr r="K310" s="1"/>
      </tp>
      <tp>
        <v>3866.26</v>
        <stp/>
        <stp>##V3_BDPV12</stp>
        <stp>NKYJQ Index</stp>
        <stp>HIGH_52WEEK</stp>
        <stp>[Index.xlsm]全球指數!R292C6</stp>
        <tr r="F292" s="1"/>
      </tp>
      <tp>
        <v>-1.1916389999999999</v>
        <stp/>
        <stp>##V3_BDPV12</stp>
        <stp>IXK Index</stp>
        <stp>CHG_PCT_5D</stp>
        <stp>[Index.xlsm]全球指數!R113C10</stp>
        <tr r="J113" s="1"/>
      </tp>
      <tp>
        <v>-0.26519799999999999</v>
        <stp/>
        <stp>##V3_BDPV12</stp>
        <stp>NYK Index</stp>
        <stp>CHG_PCT_5D</stp>
        <stp>[Index.xlsm]全球指數!R216C10</stp>
        <tr r="J216" s="1"/>
      </tp>
      <tp>
        <v>-0.52686109999999997</v>
        <stp/>
        <stp>##V3_BDPV12</stp>
        <stp>TXEQ Index</stp>
        <stp>CHG_PCT_5D</stp>
        <stp>[Index.xlsm]全球指數!R193C10</stp>
        <tr r="J193" s="1"/>
      </tp>
      <tp>
        <v>28.864239999999999</v>
        <stp/>
        <stp>##V3_BDPV12</stp>
        <stp>IBX50 Index</stp>
        <stp>CHG_PCT_1YR</stp>
        <stp>[Index.xlsm]全球指數!R290C15</stp>
        <tr r="O290" s="1"/>
      </tp>
      <tp>
        <v>1296.2260000000001</v>
        <stp/>
        <stp>##V3_BDPV12</stp>
        <stp>RiY INDEX</stp>
        <stp>LOW_52WEEK</stp>
        <stp>[Index.xlsm]主要產業!R8C46</stp>
        <tr r="AT8" s="2"/>
      </tp>
      <tp>
        <v>310.58</v>
        <stp/>
        <stp>##V3_BDPV12</stp>
        <stp>TWSEAUTO Index</stp>
        <stp>HIGH_52WEEK</stp>
        <stp>[Index.xlsm]主要產業!R83C6</stp>
        <tr r="F83" s="2"/>
      </tp>
      <tp>
        <v>2398.0120000000002</v>
        <stp/>
        <stp>##V3_BDPV12</stp>
        <stp>SH000909 Index</stp>
        <stp>HIGH_52WEEK</stp>
        <stp>[Index.xlsm]主要產業!R54C6</stp>
        <tr r="F54" s="2"/>
      </tp>
      <tp>
        <v>-1.8852049999999999E-2</v>
        <stp/>
        <stp>##V3_BDPV12</stp>
        <stp>HSCICO Index</stp>
        <stp>CHG_PCT_1D</stp>
        <stp>[Index.xlsm]主要產業!R59C5</stp>
        <tr r="E59" s="2"/>
      </tp>
      <tp>
        <v>1266.925</v>
        <stp/>
        <stp>##V3_BDPV12</stp>
        <stp>RTY INDEX</stp>
        <stp>LOW_52WEEK</stp>
        <stp>[Index.xlsm]主要產業!R7C46</stp>
        <tr r="AT7" s="2"/>
      </tp>
      <tp>
        <v>-1.1430359999999999</v>
        <stp/>
        <stp>##V3_BDPV12</stp>
        <stp>TWSEOEG Index</stp>
        <stp>CHG_PCT_1D</stp>
        <stp>[Index.xlsm]主要產業!R79C5</stp>
        <tr r="E79" s="2"/>
      </tp>
      <tp>
        <v>10788.74</v>
        <stp/>
        <stp>##V3_BDPV12</stp>
        <stp>SH000913 Index</stp>
        <stp>HIGH_52WEEK</stp>
        <stp>[Index.xlsm]主要產業!R55C6</stp>
        <tr r="F55" s="2"/>
      </tp>
      <tp>
        <v>-0.1953019</v>
        <stp/>
        <stp>##V3_BDPV12</stp>
        <stp>TWSEPP Index</stp>
        <stp>CHG_PCT_1D</stp>
        <stp>[Index.xlsm]主要產業!R95C5</stp>
        <tr r="E95" s="2"/>
      </tp>
      <tp>
        <v>7266.07</v>
        <stp/>
        <stp>##V3_BDPV12</stp>
        <stp>HSCIUT Index</stp>
        <stp>PX_LAST</stp>
        <stp>[Index.xlsm]主要產業!R68C4</stp>
        <tr r="D68" s="2"/>
      </tp>
      <tp>
        <v>0.80195519999999998</v>
        <stp/>
        <stp>##V3_BDPV12</stp>
        <stp>KOSPELEC Index</stp>
        <stp>CHG_PCT_1D</stp>
        <stp>[Index.xlsm]主要產業!R43C5</stp>
        <tr r="E43" s="2"/>
      </tp>
      <tp>
        <v>1533.326</v>
        <stp/>
        <stp>##V3_BDPV12</stp>
        <stp>RTY INDEX</stp>
        <stp>PX_LAST</stp>
        <stp>[Index.xlsm]主要產業!R7C42</stp>
        <tr r="AP7" s="2"/>
      </tp>
      <tp>
        <v>-1.8162720000000001</v>
        <stp/>
        <stp>##V3_BDPV12</stp>
        <stp>XAX Index</stp>
        <stp>PR064</stp>
        <stp>[Index.xlsm]全球指數!R39C14</stp>
        <tr r="N39" s="1"/>
      </tp>
      <tp>
        <v>16.090979668023159</v>
        <stp/>
        <stp>##V3_BDPV12</stp>
        <stp>KSE Index</stp>
        <stp>INTERVAL_HIGH</stp>
        <stp>[Index.xlsm]全球指數!R89C16</stp>
        <stp>MARKET_DATA_OVERRIDE=PE_RATIO</stp>
        <stp>CALC_INTERVAL=5y</stp>
        <stp>BEST_FPERIOD_OVERRIDE=BF</stp>
        <tr r="P89" s="1"/>
      </tp>
      <tp>
        <v>45815.3515625</v>
        <stp/>
        <stp>##V3_BDPV12</stp>
        <stp>BELSTK Index</stp>
        <stp>HIGH_52WEEK</stp>
        <stp>[Index.xlsm]全球指數!R230C6</stp>
        <tr r="F230" s="1"/>
      </tp>
      <tp>
        <v>0.2645845</v>
        <stp/>
        <stp>##V3_BDPV12</stp>
        <stp>SBITOP Index</stp>
        <stp>CHG_PCT_1M</stp>
        <stp>[Index.xlsm]全球指數!R176C11</stp>
        <tr r="K176" s="1"/>
      </tp>
      <tp>
        <v>16.861245740561156</v>
        <stp/>
        <stp>##V3_BDPV12</stp>
        <stp>KZKAK Index</stp>
        <stp>INTERVAL_HIGH</stp>
        <stp>[Index.xlsm]全球指數!R131C16</stp>
        <stp>MARKET_DATA_OVERRIDE=PE_RATIO</stp>
        <stp>CALC_INTERVAL=5y</stp>
        <stp>BEST_FPERIOD_OVERRIDE=BF</stp>
        <tr r="P131" s="1"/>
      </tp>
      <tp>
        <v>-9.3661460000000005</v>
        <stp/>
        <stp>##V3_BDPV12</stp>
        <stp>SHBSHR Index</stp>
        <stp>PR064</stp>
        <stp>[Index.xlsm]全球指數!R116C14</stp>
        <tr r="N116" s="1"/>
      </tp>
      <tp>
        <v>-2.1358079999999999</v>
        <stp/>
        <stp>##V3_BDPV12</stp>
        <stp>KWSEPM Index</stp>
        <stp>PR064</stp>
        <stp>[Index.xlsm]全球指數!R311C14</stp>
        <tr r="N311" s="1"/>
      </tp>
      <tp>
        <v>0.61445609999999995</v>
        <stp/>
        <stp>##V3_BDPV12</stp>
        <stp>FTBIVA Index</stp>
        <stp>CHG_PCT_6M</stp>
        <stp>[Index.xlsm]全球指數!R245C13</stp>
        <tr r="M245" s="1"/>
      </tp>
      <tp>
        <v>7301.7259999999997</v>
        <stp/>
        <stp>##V3_BDPV12</stp>
        <stp>SZ399550 Index</stp>
        <stp>HIGH_52WEEK</stp>
        <stp>[Index.xlsm]全球指數!R59C6</stp>
        <tr r="F59" s="1"/>
      </tp>
      <tp>
        <v>-3.9471690000000001</v>
        <stp/>
        <stp>##V3_BDPV12</stp>
        <stp>XOI Index</stp>
        <stp>PR064</stp>
        <stp>[Index.xlsm]全球指數!R40C14</stp>
        <tr r="N40" s="1"/>
      </tp>
      <tp>
        <v>0.94949850000000002</v>
        <stp/>
        <stp>##V3_BDPV12</stp>
        <stp>BBREIT Index</stp>
        <stp>CHG_PCT_5D</stp>
        <stp>[Index.xlsm]全球指數!R288C10</stp>
        <tr r="J288" s="1"/>
      </tp>
      <tp>
        <v>-2.8428599999999999</v>
        <stp/>
        <stp>##V3_BDPV12</stp>
        <stp>SZBSHR Index</stp>
        <stp>PR064</stp>
        <stp>[Index.xlsm]全球指數!R128C14</stp>
        <tr r="N128" s="1"/>
      </tp>
      <tp>
        <v>0.31689339999999999</v>
        <stp/>
        <stp>##V3_BDPV12</stp>
        <stp>TUSISE Index</stp>
        <stp>CHG_PCT_3M</stp>
        <stp>[Index.xlsm]全球指數!R221C12</stp>
        <tr r="L221" s="1"/>
      </tp>
      <tp>
        <v>37947.3984375</v>
        <stp/>
        <stp>##V3_BDPV12</stp>
        <stp>ITSTAR Index</stp>
        <stp>HIGH_52WEEK</stp>
        <stp>[Index.xlsm]全球指數!R158C6</stp>
        <tr r="F158" s="1"/>
      </tp>
      <tp>
        <v>15.751381109480572</v>
        <stp/>
        <stp>##V3_BDPV12</stp>
        <stp>FSTAS Index</stp>
        <stp>INTERVAL_HIGH</stp>
        <stp>[Index.xlsm]全球指數!R133C16</stp>
        <stp>MARKET_DATA_OVERRIDE=PE_RATIO</stp>
        <stp>CALC_INTERVAL=5y</stp>
        <stp>BEST_FPERIOD_OVERRIDE=BF</stp>
        <tr r="P133" s="1"/>
      </tp>
      <tp>
        <v>3261.2</v>
        <stp/>
        <stp>##V3_BDPV12</stp>
        <stp>MBI Index</stp>
        <stp>LOW_52WEEK</stp>
        <stp>[Index.xlsm]全球指數!R314C8</stp>
        <tr r="H314" s="1"/>
      </tp>
      <tp>
        <v>11.223839999999999</v>
        <stp/>
        <stp>##V3_BDPV12</stp>
        <stp>QETR Index</stp>
        <stp>CHG_PCT_1YR</stp>
        <stp>[Index.xlsm]全球指數!R144C15</stp>
        <tr r="O144" s="1"/>
      </tp>
      <tp>
        <v>6.0110440000000001</v>
        <stp/>
        <stp>##V3_BDPV12</stp>
        <stp>QEAS Index</stp>
        <stp>CHG_PCT_1YR</stp>
        <stp>[Index.xlsm]全球指數!R149C15</stp>
        <tr r="O149" s="1"/>
      </tp>
      <tp t="s">
        <v>AR</v>
        <stp/>
        <stp>##V3_BDPV12</stp>
        <stp>MAR Index</stp>
        <stp>DS003</stp>
        <stp>[Index.xlsm]全球指數!R5C3</stp>
        <tr r="C5" s="1"/>
      </tp>
      <tp>
        <v>34.537977555604286</v>
        <stp/>
        <stp>##V3_BDPV12</stp>
        <stp>SZCOMP Index</stp>
        <stp>PE_RATIO</stp>
        <stp>[Index.xlsm]全球指數!R11C18</stp>
        <tr r="R11" s="1"/>
      </tp>
      <tp>
        <v>14.220972807608177</v>
        <stp/>
        <stp>##V3_BDPV12</stp>
        <stp>SHCOMP Index</stp>
        <stp>PE_RATIO</stp>
        <stp>[Index.xlsm]全球指數!R32C18</stp>
        <tr r="R32" s="1"/>
      </tp>
      <tp>
        <v>-17.59233</v>
        <stp/>
        <stp>##V3_BDPV12</stp>
        <stp>BIRS Index</stp>
        <stp>CHG_PCT_6M</stp>
        <stp>[Index.xlsm]全球指數!R152C13</stp>
        <tr r="M152" s="1"/>
      </tp>
      <tp>
        <v>18.52826</v>
        <stp/>
        <stp>##V3_BDPV12</stp>
        <stp>CINS Index</stp>
        <stp>CHG_PCT_6M</stp>
        <stp>[Index.xlsm]全球指數!R254C13</stp>
        <tr r="M254" s="1"/>
      </tp>
      <tp>
        <v>5645.1030000000001</v>
        <stp/>
        <stp>##V3_BDPV12</stp>
        <stp>CTRN Index</stp>
        <stp>HIGH_52WEEK</stp>
        <stp>[Index.xlsm]全球指數!R136C6</stp>
        <tr r="F136" s="1"/>
      </tp>
      <tp>
        <v>4.5623670000000001</v>
        <stp/>
        <stp>##V3_BDPV12</stp>
        <stp>IBOV Index</stp>
        <stp>CHG_PCT_3M</stp>
        <stp>[Index.xlsm]全球指數!R287C12</stp>
        <tr r="L287" s="1"/>
      </tp>
      <tp>
        <v>0.66757149999999998</v>
        <stp/>
        <stp>##V3_BDPV12</stp>
        <stp>KZKAK Index</stp>
        <stp>CHG_PCT_1M</stp>
        <stp>[Index.xlsm]全球指數!R131C11</stp>
        <tr r="K131" s="1"/>
      </tp>
      <tp>
        <v>-0.26228050000000003</v>
        <stp/>
        <stp>##V3_BDPV12</stp>
        <stp>COMP Index</stp>
        <stp>CHG_PCT_5D</stp>
        <stp>[Index.xlsm]全球指數!R217C10</stp>
        <tr r="J217" s="1"/>
      </tp>
      <tp>
        <v>-0.69786599999999999</v>
        <stp/>
        <stp>##V3_BDPV12</stp>
        <stp>ICEXI Index</stp>
        <stp>CHG_PCT_1M</stp>
        <stp>[Index.xlsm]全球指數!R218C11</stp>
        <tr r="K218" s="1"/>
      </tp>
      <tp>
        <v>1.924523</v>
        <stp/>
        <stp>##V3_BDPV12</stp>
        <stp>PCOMP Index</stp>
        <stp>CHG_PCT_1M</stp>
        <stp>[Index.xlsm]全球指數!R231C11</stp>
        <tr r="K231" s="1"/>
      </tp>
      <tp>
        <v>-8.7777370000000001</v>
        <stp/>
        <stp>##V3_BDPV12</stp>
        <stp>PFTS Index</stp>
        <stp>CHG_PCT_6M</stp>
        <stp>[Index.xlsm]全球指數!R295C13</stp>
        <tr r="M295" s="1"/>
      </tp>
      <tp>
        <v>-0.65948249999999997</v>
        <stp/>
        <stp>##V3_BDPV12</stp>
        <stp>QEAS Index</stp>
        <stp>CHG_PCT_6M</stp>
        <stp>[Index.xlsm]全球指數!R149C13</stp>
        <tr r="M149" s="1"/>
      </tp>
      <tp>
        <v>9.711468</v>
        <stp/>
        <stp>##V3_BDPV12</stp>
        <stp>XCI Index</stp>
        <stp>CHG_PCT_6M</stp>
        <stp>[Index.xlsm]全球指數!R124C13</stp>
        <tr r="M124" s="1"/>
      </tp>
      <tp>
        <v>6.6036330000000003</v>
        <stp/>
        <stp>##V3_BDPV12</stp>
        <stp>SMI Index</stp>
        <stp>CHG_PCT_6M</stp>
        <stp>[Index.xlsm]全球指數!R192C13</stp>
        <tr r="M192" s="1"/>
      </tp>
      <tp>
        <v>6.28139</v>
        <stp/>
        <stp>##V3_BDPV12</stp>
        <stp>XII Index</stp>
        <stp>CHG_PCT_6M</stp>
        <stp>[Index.xlsm]全球指數!R119C13</stp>
        <tr r="M119" s="1"/>
      </tp>
      <tp>
        <v>6.6470390000000004</v>
        <stp/>
        <stp>##V3_BDPV12</stp>
        <stp>SLI Index</stp>
        <stp>CHG_PCT_6M</stp>
        <stp>[Index.xlsm]全球指數!R118C13</stp>
        <tr r="M118" s="1"/>
      </tp>
      <tp>
        <v>1.2910170000000001</v>
        <stp/>
        <stp>##V3_BDPV12</stp>
        <stp>SML Index</stp>
        <stp>CHG_PCT_3M</stp>
        <stp>[Index.xlsm]全球指數!R104C12</stp>
        <tr r="L104" s="1"/>
      </tp>
      <tp>
        <v>5.908925</v>
        <stp/>
        <stp>##V3_BDPV12</stp>
        <stp>QMI Index</stp>
        <stp>CHG_PCT_6M</stp>
        <stp>[Index.xlsm]全球指數!R103C13</stp>
        <tr r="M103" s="1"/>
      </tp>
      <tp>
        <v>-2.2692619999999999</v>
        <stp/>
        <stp>##V3_BDPV12</stp>
        <stp>STI Index</stp>
        <stp>CHG_PCT_6M</stp>
        <stp>[Index.xlsm]全球指數!R123C13</stp>
        <tr r="M123" s="1"/>
      </tp>
      <tp>
        <v>5.1704829999999999</v>
        <stp/>
        <stp>##V3_BDPV12</stp>
        <stp>XMI Index</stp>
        <stp>CHG_PCT_6M</stp>
        <stp>[Index.xlsm]全球指數!R211C13</stp>
        <tr r="M211" s="1"/>
      </tp>
      <tp>
        <v>9.1283469999999998</v>
        <stp/>
        <stp>##V3_BDPV12</stp>
        <stp>SPI Index</stp>
        <stp>CHG_PCT_6M</stp>
        <stp>[Index.xlsm]全球指數!R206C13</stp>
        <tr r="M206" s="1"/>
      </tp>
      <tp>
        <v>-3.3268040000000001</v>
        <stp/>
        <stp>##V3_BDPV12</stp>
        <stp>JCI Index</stp>
        <stp>CHG_PCT_6M</stp>
        <stp>[Index.xlsm]全球指數!R223C13</stp>
        <tr r="M223" s="1"/>
      </tp>
      <tp>
        <v>18.748940000000001</v>
        <stp/>
        <stp>##V3_BDPV12</stp>
        <stp>MBI Index</stp>
        <stp>CHG_PCT_6M</stp>
        <stp>[Index.xlsm]全球指數!R314C13</stp>
        <tr r="M314" s="1"/>
      </tp>
      <tp>
        <v>-0.4721766</v>
        <stp/>
        <stp>##V3_BDPV12</stp>
        <stp>SXXP Index</stp>
        <stp>CHG_PCT_5D</stp>
        <stp>[Index.xlsm]全球指數!R196C10</stp>
        <tr r="J196" s="1"/>
      </tp>
      <tp t="s">
        <v>EC</v>
        <stp/>
        <stp>##V3_BDPV12</stp>
        <stp>N100 Index</stp>
        <stp>DS003</stp>
        <stp>[Index.xlsm]全球指數!R198C3</stp>
        <tr r="C198" s="1"/>
      </tp>
      <tp>
        <v>-10.28274</v>
        <stp/>
        <stp>##V3_BDPV12</stp>
        <stp>CBNK Index</stp>
        <stp>CHG_PCT_1YR</stp>
        <stp>[Index.xlsm]全球指數!R92C15</stp>
        <tr r="O92" s="1"/>
      </tp>
      <tp>
        <v>0.2713546</v>
        <stp/>
        <stp>##V3_BDPV12</stp>
        <stp>SX5P Index</stp>
        <stp>CHG_PCT_5D</stp>
        <stp>[Index.xlsm]全球指數!R255C10</stp>
        <tr r="J255" s="1"/>
      </tp>
      <tp>
        <v>3.5960299999999998</v>
        <stp/>
        <stp>##V3_BDPV12</stp>
        <stp>COLSC Index</stp>
        <stp>CHG_PCT_1M</stp>
        <stp>[Index.xlsm]全球指數!R256C11</stp>
        <tr r="K256" s="1"/>
      </tp>
      <tp>
        <v>-2.801831</v>
        <stp/>
        <stp>##V3_BDPV12</stp>
        <stp>KOSPI Index</stp>
        <stp>CHG_PCT_3M</stp>
        <stp>[Index.xlsm]全球指數!R155C12</stp>
        <tr r="L155" s="1"/>
      </tp>
      <tp>
        <v>7.8667179999999997</v>
        <stp/>
        <stp>##V3_BDPV12</stp>
        <stp>PCOMP Index</stp>
        <stp>CHG_PCT_1YR</stp>
        <stp>[Index.xlsm]全球指數!R231C15</stp>
        <tr r="O231" s="1"/>
      </tp>
      <tp>
        <v>2.2806559999999998E-3</v>
        <stp/>
        <stp>##V3_BDPV12</stp>
        <stp>SHCSI100 Index</stp>
        <stp>CHG_PCT_3M</stp>
        <stp>[Index.xlsm]全球指數!R98C12</stp>
        <tr r="L98" s="1"/>
      </tp>
      <tp>
        <v>12.817159999999999</v>
        <stp/>
        <stp>##V3_BDPV12</stp>
        <stp>ICEXI Index</stp>
        <stp>CHG_PCT_1YR</stp>
        <stp>[Index.xlsm]全球指數!R218C15</stp>
        <tr r="O218" s="1"/>
      </tp>
      <tp>
        <v>0.93327769999999999</v>
        <stp/>
        <stp>##V3_BDPV12</stp>
        <stp>SHCSI100 Index</stp>
        <stp>CHG_PCT_1M</stp>
        <stp>[Index.xlsm]全球指數!R98C11</stp>
        <tr r="K98" s="1"/>
      </tp>
      <tp>
        <v>5.8602319999999999</v>
        <stp/>
        <stp>##V3_BDPV12</stp>
        <stp>SHCSI100 Index</stp>
        <stp>CHG_PCT_6M</stp>
        <stp>[Index.xlsm]全球指數!R98C13</stp>
        <tr r="M98" s="1"/>
      </tp>
      <tp>
        <v>-1.3697900000000001</v>
        <stp/>
        <stp>##V3_BDPV12</stp>
        <stp>SHCSI100 Index</stp>
        <stp>CHG_PCT_5D</stp>
        <stp>[Index.xlsm]全球指數!R98C10</stp>
        <tr r="J98" s="1"/>
      </tp>
      <tp>
        <v>0.3857738</v>
        <stp/>
        <stp>##V3_BDPV12</stp>
        <stp>HSCICG Index</stp>
        <stp>CHG_PCT_1D</stp>
        <stp>[Index.xlsm]主要產業!R58C5</stp>
        <tr r="E58" s="2"/>
      </tp>
      <tp>
        <v>2346.58</v>
        <stp/>
        <stp>##V3_BDPV12</stp>
        <stp>SPX INDEX</stp>
        <stp>LOW_52WEEK</stp>
        <stp>[Index.xlsm]主要產業!R4C46</stp>
        <tr r="AT4" s="2"/>
      </tp>
      <tp>
        <v>18.949964481000737</v>
        <stp/>
        <stp>##V3_BDPV12</stp>
        <stp>s5finl index</stp>
        <stp>INTERVAL_HIGH</stp>
        <stp>[Index.xlsm]主要產業!R4C16</stp>
        <stp>MARKET_DATA_OVERRIDE=PE_RATIO</stp>
        <stp>CALC_INTERVAL=5y</stp>
        <stp>BEST_FPERIOD_OVERRIDE=BF</stp>
        <tr r="P4" s="2"/>
      </tp>
      <tp>
        <v>-8.257491E-4</v>
        <stp/>
        <stp>##V3_BDPV12</stp>
        <stp>HSCIUT Index</stp>
        <stp>CHG_PCT_1D</stp>
        <stp>[Index.xlsm]主要產業!R68C5</stp>
        <tr r="E68" s="2"/>
      </tp>
      <tp>
        <v>1066.3869999999999</v>
        <stp/>
        <stp>##V3_BDPV12</stp>
        <stp>SOX INDEX</stp>
        <stp>LOW_52WEEK</stp>
        <stp>[Index.xlsm]主要產業!R6C46</stp>
        <tr r="AT6" s="2"/>
      </tp>
      <tp>
        <v>1.0924590000000001</v>
        <stp/>
        <stp>##V3_BDPV12</stp>
        <stp>TWSEOPE Index</stp>
        <stp>CHG_PCT_1D</stp>
        <stp>[Index.xlsm]主要產業!R78C5</stp>
        <tr r="E78" s="2"/>
      </tp>
      <tp>
        <v>112.78</v>
        <stp/>
        <stp>##V3_BDPV12</stp>
        <stp>TWSETOUR Index</stp>
        <stp>HIGH_52WEEK</stp>
        <stp>[Index.xlsm]主要產業!R93C6</stp>
        <tr r="F93" s="2"/>
      </tp>
      <tp>
        <v>114.32</v>
        <stp/>
        <stp>##V3_BDPV12</stp>
        <stp>TWSEEPD Index</stp>
        <stp>PX_LAST</stp>
        <stp>[Index.xlsm]主要產業!R91C4</stp>
        <tr r="D91" s="2"/>
      </tp>
      <tp>
        <v>0.83511630000000003</v>
        <stp/>
        <stp>##V3_BDPV12</stp>
        <stp>TWSEAUTO Index</stp>
        <stp>CHG_PCT_1D</stp>
        <stp>[Index.xlsm]主要產業!R83C5</stp>
        <tr r="E83" s="2"/>
      </tp>
      <tp>
        <v>365.17</v>
        <stp/>
        <stp>##V3_BDPV12</stp>
        <stp>TWSEELEC Index</stp>
        <stp>LOW_52WEEK</stp>
        <stp>[Index.xlsm]主要產業!R69C8</stp>
        <tr r="H69" s="2"/>
      </tp>
      <tp>
        <v>14846.53</v>
        <stp/>
        <stp>##V3_BDPV12</stp>
        <stp>H-FIN Index</stp>
        <stp>LOW_52WEEK</stp>
        <stp>[Index.xlsm]全球指數!R55C8</stp>
        <tr r="H55" s="1"/>
      </tp>
      <tp>
        <v>-3.0486620000000002</v>
        <stp/>
        <stp>##V3_BDPV12</stp>
        <stp>SBITOP Index</stp>
        <stp>PR064</stp>
        <stp>[Index.xlsm]全球指數!R176C14</stp>
        <tr r="N176" s="1"/>
      </tp>
      <tp>
        <v>-1.821623</v>
        <stp/>
        <stp>##V3_BDPV12</stp>
        <stp>SBITOP Index</stp>
        <stp>CHG_PCT_6M</stp>
        <stp>[Index.xlsm]全球指數!R176C13</stp>
        <tr r="M176" s="1"/>
      </tp>
      <tp>
        <v>-3.5222280000000001</v>
        <stp/>
        <stp>##V3_BDPV12</stp>
        <stp>BIRS Index</stp>
        <stp>PR064</stp>
        <stp>[Index.xlsm]全球指數!R152C14</stp>
        <tr r="N152" s="1"/>
      </tp>
      <tp>
        <v>-1.15744</v>
        <stp/>
        <stp>##V3_BDPV12</stp>
        <stp>NYIID Index</stp>
        <stp>PR064</stp>
        <stp>[Index.xlsm]全球指數!R227C14</stp>
        <tr r="N227" s="1"/>
      </tp>
      <tp>
        <v>-1.419392</v>
        <stp/>
        <stp>##V3_BDPV12</stp>
        <stp>SOFIX Index</stp>
        <stp>PR064</stp>
        <stp>[Index.xlsm]全球指數!R110C14</stp>
        <tr r="N110" s="1"/>
      </tp>
      <tp>
        <v>0.50929349999999995</v>
        <stp/>
        <stp>##V3_BDPV12</stp>
        <stp>NYLID Index</stp>
        <stp>PR064</stp>
        <stp>[Index.xlsm]全球指數!R179C14</stp>
        <tr r="N179" s="1"/>
      </tp>
      <tp>
        <v>-0.71178620000000004</v>
        <stp/>
        <stp>##V3_BDPV12</stp>
        <stp>NYYID Index</stp>
        <stp>PR064</stp>
        <stp>[Index.xlsm]全球指數!R190C14</stp>
        <tr r="N190" s="1"/>
      </tp>
      <tp>
        <v>0.26485419999999998</v>
        <stp/>
        <stp>##V3_BDPV12</stp>
        <stp>KOSDAQ Index</stp>
        <stp>CHG_PCT_1D</stp>
        <stp>[Index.xlsm]全球指數!R18C5</stp>
        <tr r="E18" s="1"/>
      </tp>
      <tp>
        <v>6.0571900000000003</v>
        <stp/>
        <stp>##V3_BDPV12</stp>
        <stp>FTBIVA Index</stp>
        <stp>CHG_PCT_1M</stp>
        <stp>[Index.xlsm]全球指數!R245C11</stp>
        <tr r="K245" s="1"/>
      </tp>
      <tp>
        <v>15726.29</v>
        <stp/>
        <stp>##V3_BDPV12</stp>
        <stp>H-FIN Index</stp>
        <stp>PX_LAST</stp>
        <stp>[Index.xlsm]全球指數!R55C4</stp>
        <tr r="D55" s="1"/>
      </tp>
      <tp>
        <v>3.7537600000000002</v>
        <stp/>
        <stp>##V3_BDPV12</stp>
        <stp>COLIR Index</stp>
        <stp>PR064</stp>
        <stp>[Index.xlsm]全球指數!R267C14</stp>
        <tr r="N267" s="1"/>
      </tp>
      <tp>
        <v>11.75924</v>
        <stp/>
        <stp>##V3_BDPV12</stp>
        <stp>SZCOMP Index</stp>
        <stp>CHG_PCT_1YR</stp>
        <stp>[Index.xlsm]全球指數!R11C15</stp>
        <tr r="O11" s="1"/>
      </tp>
      <tp>
        <v>0.18357499999999999</v>
        <stp/>
        <stp>##V3_BDPV12</stp>
        <stp>FTSEM Index</stp>
        <stp>CHG_PCT_1D</stp>
        <stp>[Index.xlsm]全球指數!R43C5</stp>
        <tr r="E43" s="1"/>
      </tp>
      <tp>
        <v>557.17999999999995</v>
        <stp/>
        <stp>##V3_BDPV12</stp>
        <stp>OSESX Index</stp>
        <stp>LOW_52WEEK</stp>
        <stp>[Index.xlsm]全球指數!R36C8</stp>
        <tr r="H36" s="1"/>
      </tp>
      <tp>
        <v>-0.54680260000000003</v>
        <stp/>
        <stp>##V3_BDPV12</stp>
        <stp>CTRN Index</stp>
        <stp>PR064</stp>
        <stp>[Index.xlsm]全球指數!R136C14</stp>
        <tr r="N136" s="1"/>
      </tp>
      <tp>
        <v>0.30227189999999998</v>
        <stp/>
        <stp>##V3_BDPV12</stp>
        <stp>HKSPLC25 Index</stp>
        <stp>CHG_PCT_1D</stp>
        <stp>[Index.xlsm]全球指數!R94C5</stp>
        <tr r="E94" s="1"/>
      </tp>
      <tp>
        <v>3789.308</v>
        <stp/>
        <stp>##V3_BDPV12</stp>
        <stp>NDF Index</stp>
        <stp>LOW_52WEEK</stp>
        <stp>[Index.xlsm]全球指數!R125C8</stp>
        <tr r="H125" s="1"/>
      </tp>
      <tp>
        <v>13.093419420212953</v>
        <stp/>
        <stp>##V3_BDPV12</stp>
        <stp>MIDWIG Index</stp>
        <stp>PE_RATIO</stp>
        <stp>[Index.xlsm]全球指數!R21C18</stp>
        <tr r="R21" s="1"/>
      </tp>
      <tp>
        <v>990.75</v>
        <stp/>
        <stp>##V3_BDPV12</stp>
        <stp>VNINDEX Index</stp>
        <stp>PX_LAST</stp>
        <stp>[Index.xlsm]全球指數!R177C4</stp>
        <tr r="D177" s="1"/>
      </tp>
      <tp>
        <v>18.972107797680316</v>
        <stp/>
        <stp>##V3_BDPV12</stp>
        <stp>INDI25 Index</stp>
        <stp>PE_RATIO</stp>
        <stp>[Index.xlsm]全球指數!R70C18</stp>
        <tr r="R70" s="1"/>
      </tp>
      <tp>
        <v>1823.63</v>
        <stp/>
        <stp>##V3_BDPV12</stp>
        <stp>JOSMGNFF Index</stp>
        <stp>PX_LAST</stp>
        <stp>[Index.xlsm]全球指數!R263C4</stp>
        <tr r="D263" s="1"/>
      </tp>
      <tp>
        <v>-0.1450236</v>
        <stp/>
        <stp>##V3_BDPV12</stp>
        <stp>IXK Index</stp>
        <stp>CHG_PCT_1D</stp>
        <stp>[Index.xlsm]全球指數!R113C5</stp>
        <tr r="E113" s="1"/>
      </tp>
      <tp>
        <v>-0.55724450000000003</v>
        <stp/>
        <stp>##V3_BDPV12</stp>
        <stp>BIRS Index</stp>
        <stp>CHG_PCT_1M</stp>
        <stp>[Index.xlsm]全球指數!R152C11</stp>
        <tr r="K152" s="1"/>
      </tp>
      <tp>
        <v>21.720842221678648</v>
        <stp/>
        <stp>##V3_BDPV12</stp>
        <stp>FBMKLCI Index</stp>
        <stp>INTERVAL_HIGH</stp>
        <stp>[Index.xlsm]全球指數!R226C16</stp>
        <stp>MARKET_DATA_OVERRIDE=PE_RATIO</stp>
        <stp>CALC_INTERVAL=5y</stp>
        <stp>BEST_FPERIOD_OVERRIDE=BF</stp>
        <tr r="P226" s="1"/>
      </tp>
      <tp>
        <v>1076.27</v>
        <stp/>
        <stp>##V3_BDPV12</stp>
        <stp>TR20I Index</stp>
        <stp>HIGH_52WEEK</stp>
        <stp>[Index.xlsm]全球指數!R296C6</stp>
        <tr r="F296" s="1"/>
      </tp>
      <tp>
        <v>4.3389470000000001</v>
        <stp/>
        <stp>##V3_BDPV12</stp>
        <stp>CINS Index</stp>
        <stp>CHG_PCT_1M</stp>
        <stp>[Index.xlsm]全球指數!R254C11</stp>
        <tr r="K254" s="1"/>
      </tp>
      <tp>
        <v>1353.06</v>
        <stp/>
        <stp>##V3_BDPV12</stp>
        <stp>ATXPRIME Index</stp>
        <stp>LOW_52WEEK</stp>
        <stp>[Index.xlsm]全球指數!R42C8</stp>
        <tr r="H42" s="1"/>
      </tp>
      <tp>
        <v>-9.0550820000000004E-2</v>
        <stp/>
        <stp>##V3_BDPV12</stp>
        <stp>ISEQ Index</stp>
        <stp>CHG_PCT_3M</stp>
        <stp>[Index.xlsm]全球指數!R241C12</stp>
        <tr r="L241" s="1"/>
      </tp>
      <tp>
        <v>-9.495495</v>
        <stp/>
        <stp>##V3_BDPV12</stp>
        <stp>KZKAK Index</stp>
        <stp>CHG_PCT_6M</stp>
        <stp>[Index.xlsm]全球指數!R131C13</stp>
        <tr r="M131" s="1"/>
      </tp>
      <tp>
        <v>1416.9760000000001</v>
        <stp/>
        <stp>##V3_BDPV12</stp>
        <stp>S5INFT Index</stp>
        <stp>PX_LAST</stp>
        <stp>[Index.xlsm]主要產業!R2C4</stp>
        <tr r="D2" s="2"/>
      </tp>
      <tp>
        <v>-0.90325560000000005</v>
        <stp/>
        <stp>##V3_BDPV12</stp>
        <stp>FTASE Index</stp>
        <stp>CHG_PCT_5D</stp>
        <stp>[Index.xlsm]全球指數!R141C10</stp>
        <tr r="J141" s="1"/>
      </tp>
      <tp>
        <v>1.7828550000000001</v>
        <stp/>
        <stp>##V3_BDPV12</stp>
        <stp>QIV Index</stp>
        <stp>CHG_PCT_1YR</stp>
        <stp>[Index.xlsm]全球指數!R65C15</stp>
        <tr r="O65" s="1"/>
      </tp>
      <tp>
        <v>3.8282219999999998</v>
        <stp/>
        <stp>##V3_BDPV12</stp>
        <stp>ICEXI Index</stp>
        <stp>CHG_PCT_6M</stp>
        <stp>[Index.xlsm]全球指數!R218C13</stp>
        <tr r="M218" s="1"/>
      </tp>
      <tp>
        <v>0.45070539999999998</v>
        <stp/>
        <stp>##V3_BDPV12</stp>
        <stp>PCOMP Index</stp>
        <stp>CHG_PCT_6M</stp>
        <stp>[Index.xlsm]全球指數!R231C13</stp>
        <tr r="M231" s="1"/>
      </tp>
      <tp>
        <v>-10.967230000000001</v>
        <stp/>
        <stp>##V3_BDPV12</stp>
        <stp>HKSPGEM Index</stp>
        <stp>PR064</stp>
        <stp>[Index.xlsm]全球指數!R151C14</stp>
        <tr r="N151" s="1"/>
      </tp>
      <tp>
        <v>-0.63537370000000004</v>
        <stp/>
        <stp>##V3_BDPV12</stp>
        <stp>PFTS Index</stp>
        <stp>CHG_PCT_1M</stp>
        <stp>[Index.xlsm]全球指數!R295C11</stp>
        <tr r="K295" s="1"/>
      </tp>
      <tp>
        <v>30280.12</v>
        <stp/>
        <stp>##V3_BDPV12</stp>
        <stp>HSI Index</stp>
        <stp>HIGH_52WEEK</stp>
        <stp>[Index.xlsm]全球指數!R77C6</stp>
        <tr r="F77" s="1"/>
      </tp>
      <tp>
        <v>4.0270900000000003</v>
        <stp/>
        <stp>##V3_BDPV12</stp>
        <stp>QEAS Index</stp>
        <stp>CHG_PCT_1M</stp>
        <stp>[Index.xlsm]全球指數!R149C11</stp>
        <tr r="K149" s="1"/>
      </tp>
      <tp>
        <v>3.1632380000000002</v>
        <stp/>
        <stp>##V3_BDPV12</stp>
        <stp>XII Index</stp>
        <stp>CHG_PCT_1M</stp>
        <stp>[Index.xlsm]全球指數!R119C11</stp>
        <tr r="K119" s="1"/>
      </tp>
      <tp>
        <v>4.8032320000000004</v>
        <stp/>
        <stp>##V3_BDPV12</stp>
        <stp>XCI Index</stp>
        <stp>CHG_PCT_1M</stp>
        <stp>[Index.xlsm]全球指數!R124C11</stp>
        <tr r="K124" s="1"/>
      </tp>
      <tp>
        <v>2.2954020000000002</v>
        <stp/>
        <stp>##V3_BDPV12</stp>
        <stp>SMI Index</stp>
        <stp>CHG_PCT_1M</stp>
        <stp>[Index.xlsm]全球指數!R192C11</stp>
        <tr r="K192" s="1"/>
      </tp>
      <tp>
        <v>2.3741340000000002</v>
        <stp/>
        <stp>##V3_BDPV12</stp>
        <stp>QMI Index</stp>
        <stp>CHG_PCT_1M</stp>
        <stp>[Index.xlsm]全球指數!R103C11</stp>
        <tr r="K103" s="1"/>
      </tp>
      <tp>
        <v>1.9002330000000001</v>
        <stp/>
        <stp>##V3_BDPV12</stp>
        <stp>STI Index</stp>
        <stp>CHG_PCT_1M</stp>
        <stp>[Index.xlsm]全球指數!R123C11</stp>
        <tr r="K123" s="1"/>
      </tp>
      <tp>
        <v>3.1918790000000001</v>
        <stp/>
        <stp>##V3_BDPV12</stp>
        <stp>SLI Index</stp>
        <stp>CHG_PCT_1M</stp>
        <stp>[Index.xlsm]全球指數!R118C11</stp>
        <tr r="K118" s="1"/>
      </tp>
      <tp>
        <v>5.3120219999999998</v>
        <stp/>
        <stp>##V3_BDPV12</stp>
        <stp>IXK Index</stp>
        <stp>CHG_PCT_3M</stp>
        <stp>[Index.xlsm]全球指數!R113C12</stp>
        <tr r="L113" s="1"/>
      </tp>
      <tp>
        <v>3.6807910000000001</v>
        <stp/>
        <stp>##V3_BDPV12</stp>
        <stp>XMI Index</stp>
        <stp>CHG_PCT_1M</stp>
        <stp>[Index.xlsm]全球指數!R211C11</stp>
        <tr r="K211" s="1"/>
      </tp>
      <tp>
        <v>2.0130439999999998</v>
        <stp/>
        <stp>##V3_BDPV12</stp>
        <stp>SPI Index</stp>
        <stp>CHG_PCT_1M</stp>
        <stp>[Index.xlsm]全球指數!R206C11</stp>
        <tr r="K206" s="1"/>
      </tp>
      <tp>
        <v>1.9988809999999999</v>
        <stp/>
        <stp>##V3_BDPV12</stp>
        <stp>NYK Index</stp>
        <stp>CHG_PCT_3M</stp>
        <stp>[Index.xlsm]全球指數!R216C12</stp>
        <tr r="L216" s="1"/>
      </tp>
      <tp>
        <v>-0.76195619999999997</v>
        <stp/>
        <stp>##V3_BDPV12</stp>
        <stp>JCI Index</stp>
        <stp>CHG_PCT_1M</stp>
        <stp>[Index.xlsm]全球指數!R223C11</stp>
        <tr r="K223" s="1"/>
      </tp>
      <tp>
        <v>2.6654170000000001</v>
        <stp/>
        <stp>##V3_BDPV12</stp>
        <stp>TXEQ Index</stp>
        <stp>CHG_PCT_3M</stp>
        <stp>[Index.xlsm]全球指數!R193C12</stp>
        <tr r="L193" s="1"/>
      </tp>
      <tp>
        <v>9.0254209999999997</v>
        <stp/>
        <stp>##V3_BDPV12</stp>
        <stp>MBI Index</stp>
        <stp>CHG_PCT_1M</stp>
        <stp>[Index.xlsm]全球指數!R314C11</stp>
        <tr r="K314" s="1"/>
      </tp>
      <tp>
        <v>-0.73788960000000003</v>
        <stp/>
        <stp>##V3_BDPV12</stp>
        <stp>NMDP Index</stp>
        <stp>PR064</stp>
        <stp>[Index.xlsm]全球指數!R19C14</stp>
        <tr r="N19" s="1"/>
      </tp>
      <tp>
        <v>17.14865</v>
        <stp/>
        <stp>##V3_BDPV12</stp>
        <stp>COLSC Index</stp>
        <stp>CHG_PCT_6M</stp>
        <stp>[Index.xlsm]全球指數!R256C13</stp>
        <tr r="M256" s="1"/>
      </tp>
      <tp>
        <v>-0.8755617</v>
        <stp/>
        <stp>##V3_BDPV12</stp>
        <stp>DSM Index</stp>
        <stp>CHG_PCT_5D</stp>
        <stp>[Index.xlsm]全球指數!R143C10</stp>
        <tr r="J143" s="1"/>
      </tp>
      <tp>
        <v>2.4555980000000002</v>
        <stp/>
        <stp>##V3_BDPV12</stp>
        <stp>ADSMI Index</stp>
        <stp>CHG_PCT_1YR</stp>
        <stp>[Index.xlsm]全球指數!R120C15</stp>
        <tr r="O120" s="1"/>
      </tp>
      <tp>
        <v>-2.0517690000000002</v>
        <stp/>
        <stp>##V3_BDPV12</stp>
        <stp>RTSI$ Index</stp>
        <stp>PR064</stp>
        <stp>[Index.xlsm]全球指數!R102C14</stp>
        <tr r="N102" s="1"/>
      </tp>
      <tp>
        <v>-0.66382169999999996</v>
        <stp/>
        <stp>##V3_BDPV12</stp>
        <stp>TWSEBMC Index</stp>
        <stp>CHG_PCT_1D</stp>
        <stp>[Index.xlsm]主要產業!R92C5</stp>
        <tr r="E92" s="2"/>
      </tp>
      <tp>
        <v>-0.6390749</v>
        <stp/>
        <stp>##V3_BDPV12</stp>
        <stp>TWSEGLP Index</stp>
        <stp>CHG_PCT_1D</stp>
        <stp>[Index.xlsm]主要產業!R97C5</stp>
        <tr r="E97" s="2"/>
      </tp>
      <tp>
        <v>139.47999999999999</v>
        <stp/>
        <stp>##V3_BDPV12</stp>
        <stp>TWSESCI Index</stp>
        <stp>LOW_52WEEK</stp>
        <stp>[Index.xlsm]主要產業!R70C8</stp>
        <tr r="H70" s="2"/>
      </tp>
      <tp>
        <v>442.5</v>
        <stp/>
        <stp>##V3_BDPV12</stp>
        <stp>TPELEC Index</stp>
        <stp>PX_LAST</stp>
        <stp>[Index.xlsm]主要產業!R42C4</stp>
        <tr r="D42" s="2"/>
      </tp>
      <tp>
        <v>95.06</v>
        <stp/>
        <stp>##V3_BDPV12</stp>
        <stp>TWSECPE Index</stp>
        <stp>PX_LAST</stp>
        <stp>[Index.xlsm]主要產業!R76C4</stp>
        <tr r="D76" s="2"/>
      </tp>
      <tp>
        <v>28.584608740116103</v>
        <stp/>
        <stp>##V3_BDPV12</stp>
        <stp>DFMGI Index</stp>
        <stp>INTERVAL_HIGH</stp>
        <stp>[Index.xlsm]全球指數!R166C16</stp>
        <stp>MARKET_DATA_OVERRIDE=PE_RATIO</stp>
        <stp>CALC_INTERVAL=5y</stp>
        <stp>BEST_FPERIOD_OVERRIDE=BF</stp>
        <tr r="P166" s="1"/>
      </tp>
      <tp>
        <v>299.38</v>
        <stp/>
        <stp>##V3_BDPV12</stp>
        <stp>SPIEXX Index</stp>
        <stp>HIGH_52WEEK</stp>
        <stp>[Index.xlsm]全球指數!R180C6</stp>
        <tr r="F180" s="1"/>
      </tp>
      <tp t="s">
        <v>#N/A N/A</v>
        <stp/>
        <stp>##V3_BDPV12</stp>
        <stp>NKY500 Index</stp>
        <stp>PE_RATIO</stp>
        <stp>[Index.xlsm]全球指數!R280C18</stp>
        <tr r="R280" s="1"/>
      </tp>
      <tp>
        <v>7.2962810000000003E-2</v>
        <stp/>
        <stp>##V3_BDPV12</stp>
        <stp>BE500 Index</stp>
        <stp>CHG_PCT_1YR</stp>
        <stp>[Index.xlsm]全球指數!R202C15</stp>
        <tr r="O202" s="1"/>
      </tp>
      <tp>
        <v>-2.5886450000000001</v>
        <stp/>
        <stp>##V3_BDPV12</stp>
        <stp>NSEASI Index</stp>
        <stp>PR064</stp>
        <stp>[Index.xlsm]全球指數!R252C14</stp>
        <tr r="N252" s="1"/>
      </tp>
      <tp>
        <v>28.015577084536154</v>
        <stp/>
        <stp>##V3_BDPV12</stp>
        <stp>BSE500 Index</stp>
        <stp>PE_RATIO</stp>
        <stp>[Index.xlsm]全球指數!R315C18</stp>
        <tr r="R315" s="1"/>
      </tp>
      <tp>
        <v>2.767541</v>
        <stp/>
        <stp>##V3_BDPV12</stp>
        <stp>NZSE Index</stp>
        <stp>PR064</stp>
        <stp>[Index.xlsm]全球指數!R238C14</stp>
        <tr r="N238" s="1"/>
      </tp>
      <tp>
        <v>0.91043960000000002</v>
        <stp/>
        <stp>##V3_BDPV12</stp>
        <stp>TWSE Index</stp>
        <stp>PR064</stp>
        <stp>[Index.xlsm]全球指數!R225C14</stp>
        <tr r="N225" s="1"/>
      </tp>
      <tp>
        <v>-0.94287560000000004</v>
        <stp/>
        <stp>##V3_BDPV12</stp>
        <stp>IPSA Index</stp>
        <stp>PR064</stp>
        <stp>[Index.xlsm]全球指數!R147C14</stp>
        <tr r="N147" s="1"/>
      </tp>
      <tp>
        <v>-0.23688419999999999</v>
        <stp/>
        <stp>##V3_BDPV12</stp>
        <stp>TUSISE Index</stp>
        <stp>CHG_PCT_5D</stp>
        <stp>[Index.xlsm]全球指數!R221C10</stp>
        <tr r="J221" s="1"/>
      </tp>
      <tp>
        <v>-0.89144299999999999</v>
        <stp/>
        <stp>##V3_BDPV12</stp>
        <stp>SHCOMP Index</stp>
        <stp>CHG_PCT_1D</stp>
        <stp>[Index.xlsm]全球指數!R32C5</stp>
        <tr r="E32" s="1"/>
      </tp>
      <tp>
        <v>-1.746459</v>
        <stp/>
        <stp>##V3_BDPV12</stp>
        <stp>SKSM Index</stp>
        <stp>PR064</stp>
        <stp>[Index.xlsm]全球指數!R281C14</stp>
        <tr r="N281" s="1"/>
      </tp>
      <tp>
        <v>7.4461769999999996</v>
        <stp/>
        <stp>##V3_BDPV12</stp>
        <stp>BBREIT Index</stp>
        <stp>CHG_PCT_3M</stp>
        <stp>[Index.xlsm]全球指數!R288C12</stp>
        <tr r="L288" s="1"/>
      </tp>
      <tp>
        <v>13.978094039037163</v>
        <stp/>
        <stp>##V3_BDPV12</stp>
        <stp>TPX500 Index</stp>
        <stp>PE_RATIO</stp>
        <stp>[Index.xlsm]全球指數!R283C18</stp>
        <tr r="R283" s="1"/>
      </tp>
      <tp>
        <v>2.6216240000000002</v>
        <stp/>
        <stp>##V3_BDPV12</stp>
        <stp>QMI Index</stp>
        <stp>CHG_PCT_1YR</stp>
        <stp>[Index.xlsm]全球指數!R103C15</stp>
        <tr r="O103" s="1"/>
      </tp>
      <tp>
        <v>-0.35577700000000001</v>
        <stp/>
        <stp>##V3_BDPV12</stp>
        <stp>PAX Index</stp>
        <stp>CHG_PCT_1YR</stp>
        <stp>[Index.xlsm]全球指數!R146C15</stp>
        <tr r="O146" s="1"/>
      </tp>
      <tp>
        <v>-6.6288229999999997</v>
        <stp/>
        <stp>##V3_BDPV12</stp>
        <stp>SET Index</stp>
        <stp>CHG_PCT_1YR</stp>
        <stp>[Index.xlsm]全球指數!R220C15</stp>
        <tr r="O220" s="1"/>
      </tp>
      <tp>
        <v>12.29053</v>
        <stp/>
        <stp>##V3_BDPV12</stp>
        <stp>SPI Index</stp>
        <stp>CHG_PCT_1YR</stp>
        <stp>[Index.xlsm]全球指數!R206C15</stp>
        <tr r="O206" s="1"/>
      </tp>
      <tp>
        <v>-9.9411909999999999</v>
        <stp/>
        <stp>##V3_BDPV12</stp>
        <stp>SML Index</stp>
        <stp>CHG_PCT_1YR</stp>
        <stp>[Index.xlsm]全球指數!R104C15</stp>
        <tr r="O104" s="1"/>
      </tp>
      <tp>
        <v>2.5301580000000001</v>
        <stp/>
        <stp>##V3_BDPV12</stp>
        <stp>SLI Index</stp>
        <stp>CHG_PCT_1YR</stp>
        <stp>[Index.xlsm]全球指數!R118C15</stp>
        <tr r="O118" s="1"/>
      </tp>
      <tp>
        <v>16.3657</v>
        <stp/>
        <stp>##V3_BDPV12</stp>
        <stp>SOX Index</stp>
        <stp>CHG_PCT_1YR</stp>
        <stp>[Index.xlsm]全球指數!R168C15</stp>
        <tr r="O168" s="1"/>
      </tp>
      <tp>
        <v>9.8602790000000002</v>
        <stp/>
        <stp>##V3_BDPV12</stp>
        <stp>SMI Index</stp>
        <stp>CHG_PCT_1YR</stp>
        <stp>[Index.xlsm]全球指數!R192C15</stp>
        <tr r="O192" s="1"/>
      </tp>
      <tp>
        <v>-3.4128889999999998</v>
        <stp/>
        <stp>##V3_BDPV12</stp>
        <stp>STI Index</stp>
        <stp>CHG_PCT_1YR</stp>
        <stp>[Index.xlsm]全球指數!R123C15</stp>
        <tr r="O123" s="1"/>
      </tp>
      <tp>
        <v>2.1832569999999998</v>
        <stp/>
        <stp>##V3_BDPV12</stp>
        <stp>SPX Index</stp>
        <stp>CHG_PCT_1YR</stp>
        <stp>[Index.xlsm]全球指數!R134C15</stp>
        <tr r="O134" s="1"/>
      </tp>
      <tp>
        <v>1.423778</v>
        <stp/>
        <stp>##V3_BDPV12</stp>
        <stp>SPR Index</stp>
        <stp>CHG_PCT_1YR</stp>
        <stp>[Index.xlsm]全球指數!R135C15</stp>
        <tr r="O135" s="1"/>
      </tp>
      <tp>
        <v>1074.222</v>
        <stp/>
        <stp>##V3_BDPV12</stp>
        <stp>XII Index</stp>
        <stp>LOW_52WEEK</stp>
        <stp>[Index.xlsm]全球指數!R119C8</stp>
        <tr r="H119" s="1"/>
      </tp>
      <tp>
        <v>5623.8429999999998</v>
        <stp/>
        <stp>##V3_BDPV12</stp>
        <stp>JCI Index</stp>
        <stp>LOW_52WEEK</stp>
        <stp>[Index.xlsm]全球指數!R223C8</stp>
        <tr r="H223" s="1"/>
      </tp>
      <tp>
        <v>1.9183969999999999</v>
        <stp/>
        <stp>##V3_BDPV12</stp>
        <stp>RIY Index</stp>
        <stp>CHG_PCT_1YR</stp>
        <stp>[Index.xlsm]全球指數!R129C15</stp>
        <tr r="O129" s="1"/>
      </tp>
      <tp>
        <v>1.0833619999999999</v>
        <stp/>
        <stp>##V3_BDPV12</stp>
        <stp>RAY Index</stp>
        <stp>CHG_PCT_1YR</stp>
        <stp>[Index.xlsm]全球指數!R122C15</stp>
        <tr r="O122" s="1"/>
      </tp>
      <tp>
        <v>-3.754677</v>
        <stp/>
        <stp>##V3_BDPV12</stp>
        <stp>WIG Index</stp>
        <stp>CHG_PCT_1YR</stp>
        <stp>[Index.xlsm]全球指數!R115C15</stp>
        <tr r="O115" s="1"/>
      </tp>
      <tp>
        <v>-9.8238420000000009</v>
        <stp/>
        <stp>##V3_BDPV12</stp>
        <stp>TPX Index</stp>
        <stp>CHG_PCT_1YR</stp>
        <stp>[Index.xlsm]全球指數!R289C15</stp>
        <tr r="O289" s="1"/>
      </tp>
      <tp>
        <v>25.517410000000002</v>
        <stp/>
        <stp>##V3_BDPV12</stp>
        <stp>UTY Index</stp>
        <stp>CHG_PCT_1YR</stp>
        <stp>[Index.xlsm]全球指數!R303C15</stp>
        <tr r="O303" s="1"/>
      </tp>
      <tp>
        <v>-2.5758589999999999</v>
        <stp/>
        <stp>##V3_BDPV12</stp>
        <stp>UKX Index</stp>
        <stp>CHG_PCT_1YR</stp>
        <stp>[Index.xlsm]全球指數!R239C15</stp>
        <tr r="O239" s="1"/>
      </tp>
      <tp>
        <v>2.3955639999999998</v>
        <stp/>
        <stp>##V3_BDPV12</stp>
        <stp>XII Index</stp>
        <stp>CHG_PCT_1YR</stp>
        <stp>[Index.xlsm]全球指數!R119C15</stp>
        <tr r="O119" s="1"/>
      </tp>
      <tp>
        <v>5.4920460000000002</v>
        <stp/>
        <stp>##V3_BDPV12</stp>
        <stp>XCI Index</stp>
        <stp>CHG_PCT_1YR</stp>
        <stp>[Index.xlsm]全球指數!R124C15</stp>
        <tr r="O124" s="1"/>
      </tp>
      <tp>
        <v>5.4300759999999997</v>
        <stp/>
        <stp>##V3_BDPV12</stp>
        <stp>XMI Index</stp>
        <stp>CHG_PCT_1YR</stp>
        <stp>[Index.xlsm]全球指數!R211C15</stp>
        <tr r="O211" s="1"/>
      </tp>
      <tp>
        <v>44.238329999999998</v>
        <stp/>
        <stp>##V3_BDPV12</stp>
        <stp>XAU Index</stp>
        <stp>CHG_PCT_1YR</stp>
        <stp>[Index.xlsm]全球指數!R251C15</stp>
        <tr r="O251" s="1"/>
      </tp>
      <tp>
        <v>0.69837150000000003</v>
        <stp/>
        <stp>##V3_BDPV12</stp>
        <stp>ASX Index</stp>
        <stp>CHG_PCT_1D</stp>
        <stp>[Index.xlsm]全球指數!R209C5</stp>
        <tr r="E209" s="1"/>
      </tp>
      <tp>
        <v>104.7719</v>
        <stp/>
        <stp>##V3_BDPV12</stp>
        <stp>VHINDEX Index</stp>
        <stp>PX_LAST</stp>
        <stp>[Index.xlsm]全球指數!R276C4</stp>
        <tr r="D276" s="1"/>
      </tp>
      <tp>
        <v>8.9730366861570818</v>
        <stp/>
        <stp>##V3_BDPV12</stp>
        <stp>MSETOP Index</stp>
        <stp>PE_RATIO</stp>
        <stp>[Index.xlsm]全球指數!R26C18</stp>
        <tr r="R26" s="1"/>
      </tp>
      <tp>
        <v>10.698569312456268</v>
        <stp/>
        <stp>##V3_BDPV12</stp>
        <stp>EUETMP Index</stp>
        <stp>PE_RATIO</stp>
        <stp>[Index.xlsm]全球指數!R97C18</stp>
        <tr r="R97" s="1"/>
      </tp>
      <tp>
        <v>-27.15945</v>
        <stp/>
        <stp>##V3_BDPV12</stp>
        <stp>BSX Index</stp>
        <stp>CHG_PCT_1YR</stp>
        <stp>[Index.xlsm]全球指數!R297C15</stp>
        <tr r="O297" s="1"/>
      </tp>
      <tp>
        <v>22.355630000000001</v>
        <stp/>
        <stp>##V3_BDPV12</stp>
        <stp>ASE Index</stp>
        <stp>CHG_PCT_1YR</stp>
        <stp>[Index.xlsm]全球指數!R142C15</stp>
        <tr r="O142" s="1"/>
      </tp>
      <tp>
        <v>9.6378550000000001</v>
        <stp/>
        <stp>##V3_BDPV12</stp>
        <stp>CRO Index</stp>
        <stp>CHG_PCT_1YR</stp>
        <stp>[Index.xlsm]全球指數!R310C15</stp>
        <tr r="O310" s="1"/>
      </tp>
      <tp>
        <v>12.808160000000001</v>
        <stp/>
        <stp>##V3_BDPV12</stp>
        <stp>BET Index</stp>
        <stp>CHG_PCT_1YR</stp>
        <stp>[Index.xlsm]全球指數!R300C15</stp>
        <tr r="O300" s="1"/>
      </tp>
      <tp>
        <v>1.4468179999999999</v>
        <stp/>
        <stp>##V3_BDPV12</stp>
        <stp>CAC Index</stp>
        <stp>CHG_PCT_1YR</stp>
        <stp>[Index.xlsm]全球指數!R173C15</stp>
        <tr r="O173" s="1"/>
      </tp>
      <tp>
        <v>1296.2260000000001</v>
        <stp/>
        <stp>##V3_BDPV12</stp>
        <stp>RIY Index</stp>
        <stp>LOW_52WEEK</stp>
        <stp>[Index.xlsm]全球指數!R129C8</stp>
        <tr r="H129" s="1"/>
      </tp>
      <tp>
        <v>-5.7383220000000001</v>
        <stp/>
        <stp>##V3_BDPV12</stp>
        <stp>BKX Index</stp>
        <stp>CHG_PCT_1YR</stp>
        <stp>[Index.xlsm]全球指數!R105C15</stp>
        <tr r="O105" s="1"/>
      </tp>
      <tp>
        <v>4.3286629999999997</v>
        <stp/>
        <stp>##V3_BDPV12</stp>
        <stp>AEX Index</stp>
        <stp>CHG_PCT_1YR</stp>
        <stp>[Index.xlsm]全球指數!R222C15</stp>
        <tr r="O222" s="1"/>
      </tp>
      <tp>
        <v>11.14006</v>
        <stp/>
        <stp>##V3_BDPV12</stp>
        <stp>BUX Index</stp>
        <stp>CHG_PCT_1YR</stp>
        <stp>[Index.xlsm]全球指數!R138C15</stp>
        <tr r="O138" s="1"/>
      </tp>
      <tp>
        <v>-2.757673</v>
        <stp/>
        <stp>##V3_BDPV12</stp>
        <stp>ASX Index</stp>
        <stp>CHG_PCT_1YR</stp>
        <stp>[Index.xlsm]全球指數!R209C15</stp>
        <tr r="O209" s="1"/>
      </tp>
      <tp>
        <v>6.4972390000000004</v>
        <stp/>
        <stp>##V3_BDPV12</stp>
        <stp>DSM Index</stp>
        <stp>CHG_PCT_1YR</stp>
        <stp>[Index.xlsm]全球指數!R143C15</stp>
        <tr r="O143" s="1"/>
      </tp>
      <tp>
        <v>5.0785499999999999</v>
        <stp/>
        <stp>##V3_BDPV12</stp>
        <stp>JCI Index</stp>
        <stp>CHG_PCT_1YR</stp>
        <stp>[Index.xlsm]全球指數!R223C15</stp>
        <tr r="O223" s="1"/>
      </tp>
      <tp>
        <v>5.6911750000000003</v>
        <stp/>
        <stp>##V3_BDPV12</stp>
        <stp>IXK Index</stp>
        <stp>CHG_PCT_1YR</stp>
        <stp>[Index.xlsm]全球指數!R113C15</stp>
        <tr r="O113" s="1"/>
      </tp>
      <tp>
        <v>6.719233</v>
        <stp/>
        <stp>##V3_BDPV12</stp>
        <stp>KFX Index</stp>
        <stp>CHG_PCT_1YR</stp>
        <stp>[Index.xlsm]全球指數!R285C15</stp>
        <tr r="O285" s="1"/>
      </tp>
      <tp>
        <v>3.7268080000000001</v>
        <stp/>
        <stp>##V3_BDPV12</stp>
        <stp>KAX Index</stp>
        <stp>CHG_PCT_1YR</stp>
        <stp>[Index.xlsm]全球指數!R275C15</stp>
        <tr r="O275" s="1"/>
      </tp>
      <tp>
        <v>34.407089999999997</v>
        <stp/>
        <stp>##V3_BDPV12</stp>
        <stp>IBX Index</stp>
        <stp>CHG_PCT_1YR</stp>
        <stp>[Index.xlsm]全球指數!R279C15</stp>
        <tr r="O279" s="1"/>
      </tp>
      <tp>
        <v>-10.68121</v>
        <stp/>
        <stp>##V3_BDPV12</stp>
        <stp>IRT Index</stp>
        <stp>CHG_PCT_1YR</stp>
        <stp>[Index.xlsm]全球指數!R237C15</stp>
        <tr r="O237" s="1"/>
      </tp>
      <tp>
        <v>-2.5991909999999998</v>
        <stp/>
        <stp>##V3_BDPV12</stp>
        <stp>NMX Index</stp>
        <stp>CHG_PCT_1YR</stp>
        <stp>[Index.xlsm]全球指數!R212C15</stp>
        <tr r="O212" s="1"/>
      </tp>
      <tp>
        <v>-7.8562669999999999</v>
        <stp/>
        <stp>##V3_BDPV12</stp>
        <stp>NEY Index</stp>
        <stp>CHG_PCT_1YR</stp>
        <stp>[Index.xlsm]全球指數!R282C15</stp>
        <tr r="O282" s="1"/>
      </tp>
      <tp>
        <v>-7.347645</v>
        <stp/>
        <stp>##V3_BDPV12</stp>
        <stp>NKY Index</stp>
        <stp>CHG_PCT_1YR</stp>
        <stp>[Index.xlsm]全球指數!R264C15</stp>
        <tr r="O264" s="1"/>
      </tp>
      <tp>
        <v>-3.7621280000000001</v>
        <stp/>
        <stp>##V3_BDPV12</stp>
        <stp>MID Index</stp>
        <stp>CHG_PCT_1YR</stp>
        <stp>[Index.xlsm]全球指數!R175C15</stp>
        <tr r="O175" s="1"/>
      </tp>
      <tp>
        <v>-2.726985</v>
        <stp/>
        <stp>##V3_BDPV12</stp>
        <stp>MCX Index</stp>
        <stp>CHG_PCT_1YR</stp>
        <stp>[Index.xlsm]全球指數!R100C15</stp>
        <tr r="O100" s="1"/>
      </tp>
      <tp>
        <v>1.3827480000000001</v>
        <stp/>
        <stp>##V3_BDPV12</stp>
        <stp>NYK Index</stp>
        <stp>CHG_PCT_1YR</stp>
        <stp>[Index.xlsm]全球指數!R216C15</stp>
        <tr r="O216" s="1"/>
      </tp>
      <tp t="s">
        <v>#N/A N/A</v>
        <stp/>
        <stp>##V3_BDPV12</stp>
        <stp>SPTSXVEN Index</stp>
        <stp>PE_RATIO</stp>
        <stp>[Index.xlsm]全球指數!R78C18</stp>
        <tr r="R78" s="1"/>
      </tp>
      <tp>
        <v>1.439028</v>
        <stp/>
        <stp>##V3_BDPV12</stp>
        <stp>OEX Index</stp>
        <stp>CHG_PCT_1YR</stp>
        <stp>[Index.xlsm]全球指數!R117C15</stp>
        <tr r="O117" s="1"/>
      </tp>
      <tp>
        <v>24.438700000000001</v>
        <stp/>
        <stp>##V3_BDPV12</stp>
        <stp>MBI Index</stp>
        <stp>CHG_PCT_1YR</stp>
        <stp>[Index.xlsm]全球指數!R314C15</stp>
        <tr r="O314" s="1"/>
      </tp>
      <tp>
        <v>61.354410000000001</v>
        <stp/>
        <stp>##V3_BDPV12</stp>
        <stp>XAU Index</stp>
        <stp>LOW_52WEEK</stp>
        <stp>[Index.xlsm]全球指數!R251C8</stp>
        <tr r="H251" s="1"/>
      </tp>
      <tp>
        <v>5.6054069999999996</v>
        <stp/>
        <stp>##V3_BDPV12</stp>
        <stp>NDF Index</stp>
        <stp>CHG_PCT_1YR</stp>
        <stp>[Index.xlsm]全球指數!R125C15</stp>
        <tr r="O125" s="1"/>
      </tp>
      <tp>
        <v>-0.58737329999999999</v>
        <stp/>
        <stp>##V3_BDPV12</stp>
        <stp>NYA Index</stp>
        <stp>CHG_PCT_1YR</stp>
        <stp>[Index.xlsm]全球指數!R178C15</stp>
        <tr r="O178" s="1"/>
      </tp>
      <tp>
        <v>0.93947829999999999</v>
        <stp/>
        <stp>##V3_BDPV12</stp>
        <stp>IBOV Index</stp>
        <stp>CHG_PCT_5D</stp>
        <stp>[Index.xlsm]全球指數!R287C10</stp>
        <tr r="J287" s="1"/>
      </tp>
      <tp>
        <v>2.5888770000000001</v>
        <stp/>
        <stp>##V3_BDPV12</stp>
        <stp>COMP Index</stp>
        <stp>CHG_PCT_3M</stp>
        <stp>[Index.xlsm]全球指數!R217C12</stp>
        <tr r="L217" s="1"/>
      </tp>
      <tp>
        <v>464.93360000000001</v>
        <stp/>
        <stp>##V3_BDPV12</stp>
        <stp>s5finl index</stp>
        <stp>PX_LAST</stp>
        <stp>[Index.xlsm]主要產業!R4C4</stp>
        <tr r="D4" s="2"/>
      </tp>
      <tp>
        <v>0.21740689999999999</v>
        <stp/>
        <stp>##V3_BDPV12</stp>
        <stp>CLXP Index</stp>
        <stp>PR064</stp>
        <stp>[Index.xlsm]全球指數!R54C14</stp>
        <tr r="N54" s="1"/>
      </tp>
      <tp>
        <v>24308.69921875</v>
        <stp/>
        <stp>##V3_BDPV12</stp>
        <stp>ITLMS Index</stp>
        <stp>HIGH_52WEEK</stp>
        <stp>[Index.xlsm]全球指數!R150C6</stp>
        <tr r="F150" s="1"/>
      </tp>
      <tp>
        <v>9.8140566765934736</v>
        <stp/>
        <stp>##V3_BDPV12</stp>
        <stp>EUE15P Index</stp>
        <stp>PE_RATIO</stp>
        <stp>[Index.xlsm]全球指數!R57C18</stp>
        <tr r="R57" s="1"/>
      </tp>
      <tp>
        <v>7.6747383688278257</v>
        <stp/>
        <stp>##V3_BDPV12</stp>
        <stp>KSE100 Index</stp>
        <stp>PE_RATIO</stp>
        <stp>[Index.xlsm]全球指數!R33C18</stp>
        <tr r="R33" s="1"/>
      </tp>
      <tp>
        <v>12.073459722394988</v>
        <stp/>
        <stp>##V3_BDPV12</stp>
        <stp>SSE180 Index</stp>
        <stp>PE_RATIO</stp>
        <stp>[Index.xlsm]全球指數!R74C18</stp>
        <tr r="R74" s="1"/>
      </tp>
      <tp>
        <v>4.9385370000000002</v>
        <stp/>
        <stp>##V3_BDPV12</stp>
        <stp>INDU Index</stp>
        <stp>CHG_PCT_6M</stp>
        <stp>[Index.xlsm]全球指數!R170C13</stp>
        <tr r="M170" s="1"/>
      </tp>
      <tp>
        <v>4.50115</v>
        <stp/>
        <stp>##V3_BDPV12</stp>
        <stp>MSER Index</stp>
        <stp>CHG_PCT_1M</stp>
        <stp>[Index.xlsm]全球指數!R154C11</stp>
        <tr r="K154" s="1"/>
      </tp>
      <tp>
        <v>3.9115129999999998</v>
        <stp/>
        <stp>##V3_BDPV12</stp>
        <stp>SPEU Index</stp>
        <stp>CHG_PCT_6M</stp>
        <stp>[Index.xlsm]全球指數!R162C13</stp>
        <tr r="M162" s="1"/>
      </tp>
      <tp>
        <v>2.0250699999999999</v>
        <stp/>
        <stp>##V3_BDPV12</stp>
        <stp>SXXP Index</stp>
        <stp>CHG_PCT_3M</stp>
        <stp>[Index.xlsm]全球指數!R196C12</stp>
        <tr r="L196" s="1"/>
      </tp>
      <tp t="s">
        <v>泛歐證券交易所 100 指數</v>
        <stp/>
        <stp>##V3_BDPV12</stp>
        <stp>N100 Index</stp>
        <stp>DS697</stp>
        <stp>[Index.xlsm]全球指數!R198C2</stp>
        <tr r="B198" s="1"/>
      </tp>
      <tp>
        <v>2.2805010000000001</v>
        <stp/>
        <stp>##V3_BDPV12</stp>
        <stp>SX5P Index</stp>
        <stp>CHG_PCT_3M</stp>
        <stp>[Index.xlsm]全球指數!R255C12</stp>
        <tr r="L255" s="1"/>
      </tp>
      <tp>
        <v>3.891184</v>
        <stp/>
        <stp>##V3_BDPV12</stp>
        <stp>QETR Index</stp>
        <stp>CHG_PCT_1M</stp>
        <stp>[Index.xlsm]全球指數!R144C11</stp>
        <tr r="K144" s="1"/>
      </tp>
      <tp>
        <v>11494.28</v>
        <stp/>
        <stp>##V3_BDPV12</stp>
        <stp>TRAN Index</stp>
        <stp>HIGH_52WEEK</stp>
        <stp>[Index.xlsm]全球指數!R140C6</stp>
        <tr r="F140" s="1"/>
      </tp>
      <tp>
        <v>-0.8128069</v>
        <stp/>
        <stp>##V3_BDPV12</stp>
        <stp>KOSPI Index</stp>
        <stp>CHG_PCT_5D</stp>
        <stp>[Index.xlsm]全球指數!R155C10</stp>
        <tr r="J155" s="1"/>
      </tp>
      <tp>
        <v>9557.2999999999993</v>
        <stp/>
        <stp>##V3_BDPV12</stp>
        <stp>BET Index</stp>
        <stp>HIGH_52WEEK</stp>
        <stp>[Index.xlsm]全球指數!R300C6</stp>
        <tr r="F300" s="1"/>
      </tp>
      <tp>
        <v>102.28740000000001</v>
        <stp/>
        <stp>##V3_BDPV12</stp>
        <stp>XAU Index</stp>
        <stp>HIGH_52WEEK</stp>
        <stp>[Index.xlsm]全球指數!R251C6</stp>
        <tr r="F251" s="1"/>
      </tp>
      <tp>
        <v>1765.06</v>
        <stp/>
        <stp>##V3_BDPV12</stp>
        <stp>SET Index</stp>
        <stp>HIGH_52WEEK</stp>
        <stp>[Index.xlsm]全球指數!R220C6</stp>
        <tr r="F220" s="1"/>
      </tp>
      <tp>
        <v>9.4712689999999995</v>
        <stp/>
        <stp>##V3_BDPV12</stp>
        <stp>CRO Index</stp>
        <stp>CHG_PCT_6M</stp>
        <stp>[Index.xlsm]全球指數!R310C13</stp>
        <tr r="M310" s="1"/>
      </tp>
      <tp>
        <v>-1.332176</v>
        <stp/>
        <stp>##V3_BDPV12</stp>
        <stp>SML Index</stp>
        <stp>CHG_PCT_5D</stp>
        <stp>[Index.xlsm]全球指數!R104C10</stp>
        <tr r="J104" s="1"/>
      </tp>
      <tp>
        <v>8.2172869999999995E-2</v>
        <stp/>
        <stp>##V3_BDPV12</stp>
        <stp>s5indu Index</stp>
        <stp>CHG_PCT_1D</stp>
        <stp>[Index.xlsm]主要產業!R8C5</stp>
        <tr r="E8" s="2"/>
      </tp>
      <tp>
        <v>-6.0455430000000003</v>
        <stp/>
        <stp>##V3_BDPV12</stp>
        <stp>SET50 Index</stp>
        <stp>CHG_PCT_1YR</stp>
        <stp>[Index.xlsm]全球指數!R233C15</stp>
        <tr r="O233" s="1"/>
      </tp>
      <tp>
        <v>-1.161397</v>
        <stp/>
        <stp>##V3_BDPV12</stp>
        <stp>BEL20 Index</stp>
        <stp>CHG_PCT_1YR</stp>
        <stp>[Index.xlsm]全球指數!R224C15</stp>
        <tr r="O224" s="1"/>
      </tp>
      <tp t="s">
        <v>AR</v>
        <stp/>
        <stp>##V3_BDPV12</stp>
        <stp>MERVAL Index</stp>
        <stp>DS003</stp>
        <stp>[Index.xlsm]全球指數!R4C3</stp>
        <tr r="C4" s="1"/>
      </tp>
      <tp>
        <v>13347.08984375</v>
        <stp/>
        <stp>##V3_BDPV12</stp>
        <stp>KSE30 Index</stp>
        <stp>LOW_52WEEK</stp>
        <stp>[Index.xlsm]全球指數!R17C8</stp>
        <tr r="H17" s="1"/>
      </tp>
      <tp>
        <v>1883.56</v>
        <stp/>
        <stp>##V3_BDPV12</stp>
        <stp>SH000908 Index</stp>
        <stp>HIGH_52WEEK</stp>
        <stp>[Index.xlsm]主要產業!R53C6</stp>
        <tr r="F53" s="2"/>
      </tp>
      <tp>
        <v>-0.17357</v>
        <stp/>
        <stp>##V3_BDPV12</stp>
        <stp>TWSECII Index</stp>
        <stp>CHG_PCT_1D</stp>
        <stp>[Index.xlsm]主要產業!R72C5</stp>
        <tr r="E72" s="2"/>
      </tp>
      <tp>
        <v>0.52459020000000001</v>
        <stp/>
        <stp>##V3_BDPV12</stp>
        <stp>TWSEEAW Index</stp>
        <stp>CHG_PCT_1D</stp>
        <stp>[Index.xlsm]主要產業!R94C5</stp>
        <tr r="E94" s="2"/>
      </tp>
      <tp>
        <v>4.8216009999999997E-2</v>
        <stp/>
        <stp>##V3_BDPV12</stp>
        <stp>TWSEECI Index</stp>
        <stp>CHG_PCT_1D</stp>
        <stp>[Index.xlsm]主要產業!R74C5</stp>
        <tr r="E74" s="2"/>
      </tp>
      <tp>
        <v>2224.2719999999999</v>
        <stp/>
        <stp>##V3_BDPV12</stp>
        <stp>SH000915 Index</stp>
        <stp>HIGH_52WEEK</stp>
        <stp>[Index.xlsm]主要產業!R52C6</stp>
        <tr r="F52" s="2"/>
      </tp>
      <tp>
        <v>8.7862499999999996E-2</v>
        <stp/>
        <stp>##V3_BDPV12</stp>
        <stp>TPCOMM Index</stp>
        <stp>CHG_PCT_1D</stp>
        <stp>[Index.xlsm]主要產業!R38C5</stp>
        <tr r="E38" s="2"/>
      </tp>
      <tp>
        <v>-0.52934060000000005</v>
        <stp/>
        <stp>##V3_BDPV12</stp>
        <stp>TWSETRAN Index</stp>
        <stp>CHG_PCT_1D</stp>
        <stp>[Index.xlsm]主要產業!R82C5</stp>
        <tr r="E82" s="2"/>
      </tp>
      <tp>
        <v>18.724005265580328</v>
        <stp/>
        <stp>##V3_BDPV12</stp>
        <stp>AAPL US Equity</stp>
        <stp>PE_RATIO</stp>
        <stp>[Index.xlsm]主要產業!R3C38</stp>
        <tr r="AL3" s="2"/>
      </tp>
      <tp>
        <v>-9.3060729999999994E-2</v>
        <stp/>
        <stp>##V3_BDPV12</stp>
        <stp>s5sseqx Index</stp>
        <stp>CHG_PCT_1D</stp>
        <stp>[Index.xlsm]主要產業!R13C5</stp>
        <tr r="E13" s="2"/>
      </tp>
      <tp>
        <v>66.760241186121434</v>
        <stp/>
        <stp>##V3_BDPV12</stp>
        <stp>NTX Index</stp>
        <stp>INTERVAL_HIGH</stp>
        <stp>[Index.xlsm]全球指數!R66C16</stp>
        <stp>MARKET_DATA_OVERRIDE=PE_RATIO</stp>
        <stp>CALC_INTERVAL=5y</stp>
        <stp>BEST_FPERIOD_OVERRIDE=BF</stp>
        <tr r="P66" s="1"/>
      </tp>
      <tp>
        <v>44470.76171875</v>
        <stp/>
        <stp>##V3_BDPV12</stp>
        <stp>MERVAL Index</stp>
        <stp>HIGH_52WEEK</stp>
        <stp>[Index.xlsm]全球指數!R4C6</stp>
        <tr r="F4" s="1"/>
      </tp>
      <tp>
        <v>28.330169501863619</v>
        <stp/>
        <stp>##V3_BDPV12</stp>
        <stp>NYP Index</stp>
        <stp>INTERVAL_HIGH</stp>
        <stp>[Index.xlsm]全球指數!R83C16</stp>
        <stp>MARKET_DATA_OVERRIDE=PE_RATIO</stp>
        <stp>CALC_INTERVAL=5y</stp>
        <stp>BEST_FPERIOD_OVERRIDE=BF</stp>
        <tr r="P83" s="1"/>
      </tp>
      <tp>
        <v>9731.89</v>
        <stp/>
        <stp>##V3_BDPV12</stp>
        <stp>HSCEI Index</stp>
        <stp>LOW_52WEEK</stp>
        <stp>[Index.xlsm]全球指數!R72C8</stp>
        <tr r="H72" s="1"/>
      </tp>
      <tp>
        <v>8.7153610000000006E-2</v>
        <stp/>
        <stp>##V3_BDPV12</stp>
        <stp>FTBIVA Index</stp>
        <stp>CHG_PCT_3M</stp>
        <stp>[Index.xlsm]全球指數!R245C12</stp>
        <tr r="L245" s="1"/>
      </tp>
      <tp>
        <v>1671.1030000000001</v>
        <stp/>
        <stp>##V3_BDPV12</stp>
        <stp>SZASHR Index</stp>
        <stp>PX_LAST</stp>
        <stp>[Index.xlsm]全球指數!R10C4</stp>
        <tr r="D10" s="1"/>
      </tp>
      <tp>
        <v>69141.109566536077</v>
        <stp/>
        <stp>##V3_BDPV12</stp>
        <stp>NBI Index</stp>
        <stp>INTERVAL_HIGH</stp>
        <stp>[Index.xlsm]全球指數!R12C16</stp>
        <stp>MARKET_DATA_OVERRIDE=PE_RATIO</stp>
        <stp>CALC_INTERVAL=5y</stp>
        <stp>BEST_FPERIOD_OVERRIDE=BF</stp>
        <tr r="P12" s="1"/>
      </tp>
      <tp>
        <v>1.741425</v>
        <stp/>
        <stp>##V3_BDPV12</stp>
        <stp>MSPE Index</stp>
        <stp>PR064</stp>
        <stp>[Index.xlsm]全球指數!R207C14</stp>
        <tr r="N207" s="1"/>
      </tp>
      <tp>
        <v>-1.9957119999999999</v>
        <stp/>
        <stp>##V3_BDPV12</stp>
        <stp>IGPA Index</stp>
        <stp>PR064</stp>
        <stp>[Index.xlsm]全球指數!R167C14</stp>
        <tr r="N167" s="1"/>
      </tp>
      <tp>
        <v>28.055002993568507</v>
        <stp/>
        <stp>##V3_BDPV12</stp>
        <stp>NDX Index</stp>
        <stp>INTERVAL_HIGH</stp>
        <stp>[Index.xlsm]全球指數!R75C16</stp>
        <stp>MARKET_DATA_OVERRIDE=PE_RATIO</stp>
        <stp>CALC_INTERVAL=5y</stp>
        <stp>BEST_FPERIOD_OVERRIDE=BF</stp>
        <tr r="P75" s="1"/>
      </tp>
      <tp>
        <v>-4.4111659999999997</v>
        <stp/>
        <stp>##V3_BDPV12</stp>
        <stp>SAXCME Index</stp>
        <stp>PR064</stp>
        <stp>[Index.xlsm]全球指數!R109C14</stp>
        <tr r="N109" s="1"/>
      </tp>
      <tp>
        <v>11.806839999999999</v>
        <stp/>
        <stp>##V3_BDPV12</stp>
        <stp>SZASHR Index</stp>
        <stp>CHG_PCT_1YR</stp>
        <stp>[Index.xlsm]全球指數!R10C15</stp>
        <tr r="O10" s="1"/>
      </tp>
      <tp>
        <v>-2.505109</v>
        <stp/>
        <stp>##V3_BDPV12</stp>
        <stp>SZCOMP Index</stp>
        <stp>CHG_PCT_1D</stp>
        <stp>[Index.xlsm]全球指數!R11C5</stp>
        <tr r="E11" s="1"/>
      </tp>
      <tp>
        <v>1.6090199999999999</v>
        <stp/>
        <stp>##V3_BDPV12</stp>
        <stp>TUSISE Index</stp>
        <stp>CHG_PCT_6M</stp>
        <stp>[Index.xlsm]全球指數!R221C13</stp>
        <tr r="M221" s="1"/>
      </tp>
      <tp>
        <v>3068.4949999999999</v>
        <stp/>
        <stp>##V3_BDPV12</stp>
        <stp>SHASHR Index</stp>
        <stp>PX_LAST</stp>
        <stp>[Index.xlsm]全球指數!R30C4</stp>
        <tr r="D30" s="1"/>
      </tp>
      <tp>
        <v>2.7288669908630347</v>
        <stp/>
        <stp>##V3_BDPV12</stp>
        <stp>SPBL25PT Index</stp>
        <stp>INTERVAL_Low</stp>
        <stp>[Index.xlsm]全球指數!R232C17</stp>
        <stp>MARKET_DATA_OVERRIDE=PE_RATIO</stp>
        <stp>CALC_INTERVAL=5y</stp>
        <stp>BEST_FPERIOD_OVERRIDE=BF</stp>
        <tr r="Q232" s="1"/>
      </tp>
      <tp>
        <v>0.19690389999999999</v>
        <stp/>
        <stp>##V3_BDPV12</stp>
        <stp>TPX Index</stp>
        <stp>CHG_PCT_1D</stp>
        <stp>[Index.xlsm]全球指數!R289C5</stp>
        <tr r="E289" s="1"/>
      </tp>
      <tp>
        <v>-8.5663160000000005</v>
        <stp/>
        <stp>##V3_BDPV12</stp>
        <stp>TRAN Index</stp>
        <stp>CHG_PCT_1YR</stp>
        <stp>[Index.xlsm]全球指數!R140C15</stp>
        <tr r="O140" s="1"/>
      </tp>
      <tp>
        <v>1379.0139999999999</v>
        <stp/>
        <stp>##V3_BDPV12</stp>
        <stp>RAY Index</stp>
        <stp>LOW_52WEEK</stp>
        <stp>[Index.xlsm]全球指數!R122C8</stp>
        <tr r="H122" s="1"/>
      </tp>
      <tp>
        <v>17054.72</v>
        <stp/>
        <stp>##V3_BDPV12</stp>
        <stp>MCX Index</stp>
        <stp>LOW_52WEEK</stp>
        <stp>[Index.xlsm]全球指數!R100C8</stp>
        <tr r="H100" s="1"/>
      </tp>
      <tp>
        <v>860.86170000000004</v>
        <stp/>
        <stp>##V3_BDPV12</stp>
        <stp>KFX Index</stp>
        <stp>LOW_52WEEK</stp>
        <stp>[Index.xlsm]全球指數!R285C8</stp>
        <tr r="H285" s="1"/>
      </tp>
      <tp>
        <v>-10.987159999999999</v>
        <stp/>
        <stp>##V3_BDPV12</stp>
        <stp>TSE2 Index</stp>
        <stp>CHG_PCT_1YR</stp>
        <stp>[Index.xlsm]全球指數!R261C15</stp>
        <tr r="O261" s="1"/>
      </tp>
      <tp>
        <v>-3.402466</v>
        <stp/>
        <stp>##V3_BDPV12</stp>
        <stp>TW50 Index</stp>
        <stp>CHG_PCT_1YR</stp>
        <stp>[Index.xlsm]全球指數!R235C15</stp>
        <tr r="O235" s="1"/>
      </tp>
      <tp>
        <v>-1.469978</v>
        <stp/>
        <stp>##V3_BDPV12</stp>
        <stp>TWSE Index</stp>
        <stp>CHG_PCT_1YR</stp>
        <stp>[Index.xlsm]全球指數!R225C15</stp>
        <tr r="O225" s="1"/>
      </tp>
      <tp>
        <v>3.1400749999999999</v>
        <stp/>
        <stp>##V3_BDPV12</stp>
        <stp>TXEQ Index</stp>
        <stp>CHG_PCT_1YR</stp>
        <stp>[Index.xlsm]全球指數!R193C15</stp>
        <tr r="O193" s="1"/>
      </tp>
      <tp>
        <v>-3.5222280000000001</v>
        <stp/>
        <stp>##V3_BDPV12</stp>
        <stp>BIRS Index</stp>
        <stp>CHG_PCT_3M</stp>
        <stp>[Index.xlsm]全球指數!R152C12</stp>
        <tr r="L152" s="1"/>
      </tp>
      <tp>
        <v>4.5171190000000001</v>
        <stp/>
        <stp>##V3_BDPV12</stp>
        <stp>CINS Index</stp>
        <stp>CHG_PCT_3M</stp>
        <stp>[Index.xlsm]全球指數!R254C12</stp>
        <tr r="L254" s="1"/>
      </tp>
      <tp>
        <v>-0.75169090000000005</v>
        <stp/>
        <stp>##V3_BDPV12</stp>
        <stp>INDU Index</stp>
        <stp>CHG_PCT_5D</stp>
        <stp>[Index.xlsm]全球指數!R170C10</stp>
        <tr r="J170" s="1"/>
      </tp>
      <tp>
        <v>1703.809</v>
        <stp/>
        <stp>##V3_BDPV12</stp>
        <stp>RTY Index</stp>
        <stp>HIGH_52WEEK</stp>
        <stp>[Index.xlsm]全球指數!R62C6</stp>
        <tr r="F62" s="1"/>
      </tp>
      <tp>
        <v>-0.38847619999999999</v>
        <stp/>
        <stp>##V3_BDPV12</stp>
        <stp>s5finl index</stp>
        <stp>CHG_PCT_1D</stp>
        <stp>[Index.xlsm]主要產業!R4C5</stp>
        <tr r="E4" s="2"/>
      </tp>
      <tp>
        <v>14.597939999999999</v>
        <stp/>
        <stp>##V3_BDPV12</stp>
        <stp>IBOV Index</stp>
        <stp>CHG_PCT_6M</stp>
        <stp>[Index.xlsm]全球指數!R287C13</stp>
        <tr r="M287" s="1"/>
      </tp>
      <tp>
        <v>4.6387280000000004</v>
        <stp/>
        <stp>##V3_BDPV12</stp>
        <stp>ISEQ Index</stp>
        <stp>CHG_PCT_1M</stp>
        <stp>[Index.xlsm]全球指數!R241C11</stp>
        <tr r="K241" s="1"/>
      </tp>
      <tp>
        <v>1892.54</v>
        <stp/>
        <stp>##V3_BDPV12</stp>
        <stp>NZSE Index</stp>
        <stp>HIGH_52WEEK</stp>
        <stp>[Index.xlsm]全球指數!R238C6</stp>
        <tr r="F238" s="1"/>
      </tp>
      <tp>
        <v>-3.1313559999999998</v>
        <stp/>
        <stp>##V3_BDPV12</stp>
        <stp>PFTS Index</stp>
        <stp>CHG_PCT_3M</stp>
        <stp>[Index.xlsm]全球指數!R295C12</stp>
        <tr r="L295" s="1"/>
      </tp>
      <tp>
        <v>-0.89341250000000005</v>
        <stp/>
        <stp>##V3_BDPV12</stp>
        <stp>QEAS Index</stp>
        <stp>CHG_PCT_3M</stp>
        <stp>[Index.xlsm]全球指數!R149C12</stp>
        <tr r="L149" s="1"/>
      </tp>
      <tp>
        <v>4.008146</v>
        <stp/>
        <stp>##V3_BDPV12</stp>
        <stp>XCI Index</stp>
        <stp>CHG_PCT_3M</stp>
        <stp>[Index.xlsm]全球指數!R124C12</stp>
        <tr r="L124" s="1"/>
      </tp>
      <tp>
        <v>1.530972</v>
        <stp/>
        <stp>##V3_BDPV12</stp>
        <stp>SMI Index</stp>
        <stp>CHG_PCT_3M</stp>
        <stp>[Index.xlsm]全球指數!R192C12</stp>
        <tr r="L192" s="1"/>
      </tp>
      <tp>
        <v>1.5926849999999999</v>
        <stp/>
        <stp>##V3_BDPV12</stp>
        <stp>XII Index</stp>
        <stp>CHG_PCT_3M</stp>
        <stp>[Index.xlsm]全球指數!R119C12</stp>
        <tr r="L119" s="1"/>
      </tp>
      <tp>
        <v>1.1226799999999999</v>
        <stp/>
        <stp>##V3_BDPV12</stp>
        <stp>SLI Index</stp>
        <stp>CHG_PCT_3M</stp>
        <stp>[Index.xlsm]全球指數!R118C12</stp>
        <tr r="L118" s="1"/>
      </tp>
      <tp>
        <v>2.4039890000000002</v>
        <stp/>
        <stp>##V3_BDPV12</stp>
        <stp>SML Index</stp>
        <stp>CHG_PCT_6M</stp>
        <stp>[Index.xlsm]全球指數!R104C13</stp>
        <tr r="M104" s="1"/>
      </tp>
      <tp>
        <v>1.950947</v>
        <stp/>
        <stp>##V3_BDPV12</stp>
        <stp>QMI Index</stp>
        <stp>CHG_PCT_3M</stp>
        <stp>[Index.xlsm]全球指數!R103C12</stp>
        <tr r="L103" s="1"/>
      </tp>
      <tp>
        <v>-6.092352</v>
        <stp/>
        <stp>##V3_BDPV12</stp>
        <stp>STI Index</stp>
        <stp>CHG_PCT_3M</stp>
        <stp>[Index.xlsm]全球指數!R123C12</stp>
        <tr r="L123" s="1"/>
      </tp>
      <tp>
        <v>4.3681669999999997</v>
        <stp/>
        <stp>##V3_BDPV12</stp>
        <stp>IXK Index</stp>
        <stp>CHG_PCT_1M</stp>
        <stp>[Index.xlsm]全球指數!R113C11</stp>
        <tr r="K113" s="1"/>
      </tp>
      <tp>
        <v>1.377189</v>
        <stp/>
        <stp>##V3_BDPV12</stp>
        <stp>XMI Index</stp>
        <stp>CHG_PCT_3M</stp>
        <stp>[Index.xlsm]全球指數!R211C12</stp>
        <tr r="L211" s="1"/>
      </tp>
      <tp>
        <v>2.0392480000000002</v>
        <stp/>
        <stp>##V3_BDPV12</stp>
        <stp>SPI Index</stp>
        <stp>CHG_PCT_3M</stp>
        <stp>[Index.xlsm]全球指數!R206C12</stp>
        <tr r="L206" s="1"/>
      </tp>
      <tp>
        <v>6.2040009999999999</v>
        <stp/>
        <stp>##V3_BDPV12</stp>
        <stp>NYK Index</stp>
        <stp>CHG_PCT_1M</stp>
        <stp>[Index.xlsm]全球指數!R216C11</stp>
        <tr r="K216" s="1"/>
      </tp>
      <tp>
        <v>-1.9263589999999999</v>
        <stp/>
        <stp>##V3_BDPV12</stp>
        <stp>JCI Index</stp>
        <stp>CHG_PCT_3M</stp>
        <stp>[Index.xlsm]全球指數!R223C12</stp>
        <tr r="L223" s="1"/>
      </tp>
      <tp>
        <v>695.42</v>
        <stp/>
        <stp>##V3_BDPV12</stp>
        <stp>SPR Index</stp>
        <stp>HIGH_52WEEK</stp>
        <stp>[Index.xlsm]全球指數!R135C6</stp>
        <tr r="F135" s="1"/>
      </tp>
      <tp>
        <v>3.6982379999999999</v>
        <stp/>
        <stp>##V3_BDPV12</stp>
        <stp>TXEQ Index</stp>
        <stp>CHG_PCT_1M</stp>
        <stp>[Index.xlsm]全球指數!R193C11</stp>
        <tr r="K193" s="1"/>
      </tp>
      <tp>
        <v>14.34262</v>
        <stp/>
        <stp>##V3_BDPV12</stp>
        <stp>MBI Index</stp>
        <stp>CHG_PCT_3M</stp>
        <stp>[Index.xlsm]全球指數!R314C12</stp>
        <tr r="L314" s="1"/>
      </tp>
      <tp>
        <v>-0.78159480000000003</v>
        <stp/>
        <stp>##V3_BDPV12</stp>
        <stp>SPEU Index</stp>
        <stp>CHG_PCT_5D</stp>
        <stp>[Index.xlsm]全球指數!R162C10</stp>
        <tr r="J162" s="1"/>
      </tp>
      <tp>
        <v>-0.61387190000000003</v>
        <stp/>
        <stp>##V3_BDPV12</stp>
        <stp>SPTSXVEN Index</stp>
        <stp>CHG_PCT_1D</stp>
        <stp>[Index.xlsm]全球指數!R78C5</stp>
        <tr r="E78" s="1"/>
      </tp>
      <tp>
        <v>25.997045208477324</v>
        <stp/>
        <stp>##V3_BDPV12</stp>
        <stp>FBMEMAS Index</stp>
        <stp>INTERVAL_HIGH</stp>
        <stp>[Index.xlsm]全球指數!R242C16</stp>
        <stp>MARKET_DATA_OVERRIDE=PE_RATIO</stp>
        <stp>CALC_INTERVAL=5y</stp>
        <stp>BEST_FPERIOD_OVERRIDE=BF</stp>
        <tr r="P242" s="1"/>
      </tp>
      <tp>
        <v>2996.64</v>
        <stp/>
        <stp>##V3_BDPV12</stp>
        <stp>INMEX Index</stp>
        <stp>HIGH_52WEEK</stp>
        <stp>[Index.xlsm]全球指數!R228C6</stp>
        <tr r="F228" s="1"/>
      </tp>
      <tp>
        <v>3.2965040000000001</v>
        <stp/>
        <stp>##V3_BDPV12</stp>
        <stp>CRO Index</stp>
        <stp>CHG_PCT_5D</stp>
        <stp>[Index.xlsm]全球指數!R310C10</stp>
        <tr r="J310" s="1"/>
      </tp>
      <tp>
        <v>-3.3137319999999999</v>
        <stp/>
        <stp>##V3_BDPV12</stp>
        <stp>KOSPI Index</stp>
        <stp>CHG_PCT_6M</stp>
        <stp>[Index.xlsm]全球指數!R155C13</stp>
        <tr r="M155" s="1"/>
      </tp>
      <tp>
        <v>-0.97496070000000001</v>
        <stp/>
        <stp>##V3_BDPV12</stp>
        <stp>DFMGI Index</stp>
        <stp>CHG_PCT_1YR</stp>
        <stp>[Index.xlsm]全球指數!R166C15</stp>
        <tr r="O166" s="1"/>
      </tp>
      <tp>
        <v>5923.8810000000003</v>
        <stp/>
        <stp>##V3_BDPV12</stp>
        <stp>SH000911 Index</stp>
        <stp>HIGH_52WEEK</stp>
        <stp>[Index.xlsm]主要產業!R51C6</stp>
        <tr r="F51" s="2"/>
      </tp>
      <tp>
        <v>23.494341263386563</v>
        <stp/>
        <stp>##V3_BDPV12</stp>
        <stp>s5cons index</stp>
        <stp>INTERVAL_HIGH</stp>
        <stp>[Index.xlsm]主要產業!R9C16</stp>
        <stp>MARKET_DATA_OVERRIDE=PE_RATIO</stp>
        <stp>CALC_INTERVAL=5y</stp>
        <stp>BEST_FPERIOD_OVERRIDE=BF</stp>
        <tr r="P9" s="2"/>
      </tp>
      <tp>
        <v>27.027917743066713</v>
        <stp/>
        <stp>##V3_BDPV12</stp>
        <stp>s5cond index</stp>
        <stp>INTERVAL_HIGH</stp>
        <stp>[Index.xlsm]主要產業!R7C16</stp>
        <stp>MARKET_DATA_OVERRIDE=PE_RATIO</stp>
        <stp>CALC_INTERVAL=5y</stp>
        <stp>BEST_FPERIOD_OVERRIDE=BF</stp>
        <tr r="P7" s="2"/>
      </tp>
      <tp>
        <v>3690.82</v>
        <stp/>
        <stp>##V3_BDPV12</stp>
        <stp>TPCOMM Index</stp>
        <stp>PX_LAST</stp>
        <stp>[Index.xlsm]主要產業!R38C4</stp>
        <tr r="D38" s="2"/>
      </tp>
      <tp>
        <v>2977.62</v>
        <stp/>
        <stp>##V3_BDPV12</stp>
        <stp>SPX INDEX</stp>
        <stp>PX_LAST</stp>
        <stp>[Index.xlsm]主要產業!R4C42</stp>
        <tr r="AP4" s="2"/>
      </tp>
      <tp>
        <v>6.0179120000000003E-2</v>
        <stp/>
        <stp>##V3_BDPV12</stp>
        <stp>TWSEOTHR Index</stp>
        <stp>CHG_PCT_1D</stp>
        <stp>[Index.xlsm]主要產業!R77C5</stp>
        <tr r="E77" s="2"/>
      </tp>
      <tp>
        <v>231.61</v>
        <stp/>
        <stp>##V3_BDPV12</stp>
        <stp>TWSEDEPT Index</stp>
        <stp>LOW_52WEEK</stp>
        <stp>[Index.xlsm]主要產業!R85C8</stp>
        <tr r="H85" s="2"/>
      </tp>
      <tp>
        <v>884.35</v>
        <stp/>
        <stp>##V3_BDPV12</stp>
        <stp>OSEAX Index</stp>
        <stp>LOW_52WEEK</stp>
        <stp>[Index.xlsm]全球指數!R35C8</stp>
        <tr r="H35" s="1"/>
      </tp>
      <tp>
        <v>-0.63696770000000003</v>
        <stp/>
        <stp>##V3_BDPV12</stp>
        <stp>SBITOP Index</stp>
        <stp>CHG_PCT_5D</stp>
        <stp>[Index.xlsm]全球指數!R176C10</stp>
        <tr r="J176" s="1"/>
      </tp>
      <tp>
        <v>125.18013018412469</v>
        <stp/>
        <stp>##V3_BDPV12</stp>
        <stp>FTBIVA Index</stp>
        <stp>INTERVAL_HIGH</stp>
        <stp>[Index.xlsm]全球指數!R245C16</stp>
        <stp>MARKET_DATA_OVERRIDE=PE_RATIO</stp>
        <stp>CALC_INTERVAL=5y</stp>
        <stp>BEST_FPERIOD_OVERRIDE=BF</stp>
        <tr r="P245" s="1"/>
      </tp>
      <tp>
        <v>-0.89093109999999998</v>
        <stp/>
        <stp>##V3_BDPV12</stp>
        <stp>SHNCOMP Index</stp>
        <stp>CHG_PCT_1D</stp>
        <stp>[Index.xlsm]全球指數!R31C5</stp>
        <tr r="E31" s="1"/>
      </tp>
      <tp>
        <v>47.664397775266885</v>
        <stp/>
        <stp>##V3_BDPV12</stp>
        <stp>OBX Index</stp>
        <stp>INTERVAL_HIGH</stp>
        <stp>[Index.xlsm]全球指數!R46C16</stp>
        <stp>MARKET_DATA_OVERRIDE=PE_RATIO</stp>
        <stp>CALC_INTERVAL=5y</stp>
        <stp>BEST_FPERIOD_OVERRIDE=BF</stp>
        <tr r="P46" s="1"/>
      </tp>
      <tp>
        <v>10.20860786213475</v>
        <stp/>
        <stp>##V3_BDPV12</stp>
        <stp>IMOEX Index</stp>
        <stp>INTERVAL_HIGH</stp>
        <stp>[Index.xlsm]全球指數!R159C16</stp>
        <stp>MARKET_DATA_OVERRIDE=PE_RATIO</stp>
        <stp>CALC_INTERVAL=5y</stp>
        <stp>BEST_FPERIOD_OVERRIDE=BF</stp>
        <tr r="P159" s="1"/>
      </tp>
      <tp>
        <v>32.684433207959685</v>
        <stp/>
        <stp>##V3_BDPV12</stp>
        <stp>INMEX Index</stp>
        <stp>INTERVAL_HIGH</stp>
        <stp>[Index.xlsm]全球指數!R228C16</stp>
        <stp>MARKET_DATA_OVERRIDE=PE_RATIO</stp>
        <stp>CALC_INTERVAL=5y</stp>
        <stp>BEST_FPERIOD_OVERRIDE=BF</stp>
        <tr r="P228" s="1"/>
      </tp>
      <tp>
        <v>23.425352018099943</v>
        <stp/>
        <stp>##V3_BDPV12</stp>
        <stp>OMX Index</stp>
        <stp>INTERVAL_HIGH</stp>
        <stp>[Index.xlsm]全球指數!R51C16</stp>
        <stp>MARKET_DATA_OVERRIDE=PE_RATIO</stp>
        <stp>CALC_INTERVAL=5y</stp>
        <stp>BEST_FPERIOD_OVERRIDE=BF</stp>
        <tr r="P51" s="1"/>
      </tp>
      <tp>
        <v>3.2519290000000001</v>
        <stp/>
        <stp>##V3_BDPV12</stp>
        <stp>BBREIT Index</stp>
        <stp>CHG_PCT_1M</stp>
        <stp>[Index.xlsm]全球指數!R288C11</stp>
        <tr r="K288" s="1"/>
      </tp>
      <tp>
        <v>-0.1121153</v>
        <stp/>
        <stp>##V3_BDPV12</stp>
        <stp>NKYJQ Index</stp>
        <stp>PR064</stp>
        <stp>[Index.xlsm]全球指數!R292C14</stp>
        <tr r="N292" s="1"/>
      </tp>
      <tp>
        <v>4555.99</v>
        <stp/>
        <stp>##V3_BDPV12</stp>
        <stp>CAC Index</stp>
        <stp>LOW_52WEEK</stp>
        <stp>[Index.xlsm]全球指數!R173C8</stp>
        <tr r="H173" s="1"/>
      </tp>
      <tp t="s">
        <v>阿根廷 M.AR 指數</v>
        <stp/>
        <stp>##V3_BDPV12</stp>
        <stp>MAR Index</stp>
        <stp>DS697</stp>
        <stp>[Index.xlsm]全球指數!R5C2</stp>
        <tr r="B5" s="1"/>
      </tp>
      <tp>
        <v>1041.6600000000001</v>
        <stp/>
        <stp>##V3_BDPV12</stp>
        <stp>OEX Index</stp>
        <stp>LOW_52WEEK</stp>
        <stp>[Index.xlsm]全球指數!R117C8</stp>
        <tr r="H117" s="1"/>
      </tp>
      <tp>
        <v>6536.53</v>
        <stp/>
        <stp>##V3_BDPV12</stp>
        <stp>UKX Index</stp>
        <stp>LOW_52WEEK</stp>
        <stp>[Index.xlsm]全球指數!R239C8</stp>
        <tr r="H239" s="1"/>
      </tp>
      <tp>
        <v>23.774719999999999</v>
        <stp/>
        <stp>##V3_BDPV12</stp>
        <stp>UTIL Index</stp>
        <stp>CHG_PCT_1YR</stp>
        <stp>[Index.xlsm]全球指數!R305C15</stp>
        <tr r="O305" s="1"/>
      </tp>
      <tp>
        <v>4.941541</v>
        <stp/>
        <stp>##V3_BDPV12</stp>
        <stp>COMP Index</stp>
        <stp>CHG_PCT_1M</stp>
        <stp>[Index.xlsm]全球指數!R217C11</stp>
        <tr r="K217" s="1"/>
      </tp>
      <tp>
        <v>-0.98266109999999995</v>
        <stp/>
        <stp>##V3_BDPV12</stp>
        <stp>KZKAK Index</stp>
        <stp>CHG_PCT_5D</stp>
        <stp>[Index.xlsm]全球指數!R131C10</stp>
        <tr r="J131" s="1"/>
      </tp>
      <tp>
        <v>15.475949999999999</v>
        <stp/>
        <stp>##V3_BDPV12</stp>
        <stp>FTASE Index</stp>
        <stp>CHG_PCT_6M</stp>
        <stp>[Index.xlsm]全球指數!R141C13</stp>
        <tr r="M141" s="1"/>
      </tp>
      <tp>
        <v>2850.279</v>
        <stp/>
        <stp>##V3_BDPV12</stp>
        <stp>LUXXR Index</stp>
        <stp>HIGH_52WEEK</stp>
        <stp>[Index.xlsm]全球指數!R126C6</stp>
        <tr r="F126" s="1"/>
      </tp>
      <tp>
        <v>13.922925654024613</v>
        <stp/>
        <stp>##V3_BDPV12</stp>
        <stp>SHSZ300 Index</stp>
        <stp>PE_RATIO</stp>
        <stp>[Index.xlsm]全球指數!R44C18</stp>
        <tr r="R44" s="1"/>
      </tp>
      <tp>
        <v>11056.47</v>
        <stp/>
        <stp>##V3_BDPV12</stp>
        <stp>NYID Index</stp>
        <stp>HIGH_52WEEK</stp>
        <stp>[Index.xlsm]全球指數!R148C6</stp>
        <tr r="F148" s="1"/>
      </tp>
      <tp>
        <v>2.0228160000000002</v>
        <stp/>
        <stp>##V3_BDPV12</stp>
        <stp>MSER Index</stp>
        <stp>CHG_PCT_3M</stp>
        <stp>[Index.xlsm]全球指數!R154C12</stp>
        <tr r="L154" s="1"/>
      </tp>
      <tp>
        <v>4.3707560000000001</v>
        <stp/>
        <stp>##V3_BDPV12</stp>
        <stp>SXXP Index</stp>
        <stp>CHG_PCT_1M</stp>
        <stp>[Index.xlsm]全球指數!R196C11</stp>
        <tr r="K196" s="1"/>
      </tp>
      <tp>
        <v>4.6433580000000001</v>
        <stp/>
        <stp>##V3_BDPV12</stp>
        <stp>SX5P Index</stp>
        <stp>CHG_PCT_1M</stp>
        <stp>[Index.xlsm]全球指數!R255C11</stp>
        <tr r="K255" s="1"/>
      </tp>
      <tp>
        <v>367.57</v>
        <stp/>
        <stp>##V3_BDPV12</stp>
        <stp>SKSM Index</stp>
        <stp>HIGH_52WEEK</stp>
        <stp>[Index.xlsm]全球指數!R281C6</stp>
        <tr r="F281" s="1"/>
      </tp>
      <tp>
        <v>-0.23424809999999999</v>
        <stp/>
        <stp>##V3_BDPV12</stp>
        <stp>QETR Index</stp>
        <stp>CHG_PCT_3M</stp>
        <stp>[Index.xlsm]全球指數!R144C12</stp>
        <tr r="L144" s="1"/>
      </tp>
      <tp>
        <v>0.27197470000000001</v>
        <stp/>
        <stp>##V3_BDPV12</stp>
        <stp>COLSC Index</stp>
        <stp>CHG_PCT_5D</stp>
        <stp>[Index.xlsm]全球指數!R256C10</stp>
        <tr r="J256" s="1"/>
      </tp>
      <tp>
        <v>3.116854</v>
        <stp/>
        <stp>##V3_BDPV12</stp>
        <stp>DSM Index</stp>
        <stp>CHG_PCT_6M</stp>
        <stp>[Index.xlsm]全球指數!R143C13</stp>
        <tr r="M143" s="1"/>
      </tp>
      <tp>
        <v>1038.4680000000001</v>
        <stp/>
        <stp>##V3_BDPV12</stp>
        <stp>s5hlth index</stp>
        <stp>PX_LAST</stp>
        <stp>[Index.xlsm]主要產業!R3C4</stp>
        <tr r="D3" s="2"/>
      </tp>
      <tp>
        <v>-0.26163360000000002</v>
        <stp/>
        <stp>##V3_BDPV12</stp>
        <stp>ICEXI Index</stp>
        <stp>CHG_PCT_5D</stp>
        <stp>[Index.xlsm]全球指數!R218C10</stp>
        <tr r="J218" s="1"/>
      </tp>
      <tp>
        <v>-0.1875771</v>
        <stp/>
        <stp>##V3_BDPV12</stp>
        <stp>PCOMP Index</stp>
        <stp>CHG_PCT_5D</stp>
        <stp>[Index.xlsm]全球指數!R231C10</stp>
        <tr r="J231" s="1"/>
      </tp>
      <tp>
        <v>1.7605010000000001</v>
        <stp/>
        <stp>##V3_BDPV12</stp>
        <stp>VHINDEX Index</stp>
        <stp>PR064</stp>
        <stp>[Index.xlsm]全球指數!R276C14</stp>
        <tr r="N276" s="1"/>
      </tp>
      <tp>
        <v>2848.4</v>
        <stp/>
        <stp>##V3_BDPV12</stp>
        <stp>IMOEX Index</stp>
        <stp>HIGH_52WEEK</stp>
        <stp>[Index.xlsm]全球指數!R159C6</stp>
        <tr r="F159" s="1"/>
      </tp>
      <tp>
        <v>26789.38</v>
        <stp/>
        <stp>##V3_BDPV12</stp>
        <stp>NGSEINDX Index</stp>
        <stp>LOW_52WEEK</stp>
        <stp>[Index.xlsm]全球指數!R219C8</stp>
        <tr r="H219" s="1"/>
      </tp>
      <tp>
        <v>-0.26124819999999999</v>
        <stp/>
        <stp>##V3_BDPV12</stp>
        <stp>TWSECHI Index</stp>
        <stp>CHG_PCT_1D</stp>
        <stp>[Index.xlsm]主要產業!R90C5</stp>
        <tr r="E90" s="2"/>
      </tp>
      <tp>
        <v>-0.1779963</v>
        <stp/>
        <stp>##V3_BDPV12</stp>
        <stp>TWSEBKI Index</stp>
        <stp>CHG_PCT_1D</stp>
        <stp>[Index.xlsm]主要產業!R71C5</stp>
        <tr r="E71" s="2"/>
      </tp>
      <tp>
        <v>21260.76953125</v>
        <stp/>
        <stp>##V3_BDPV12</stp>
        <stp>SH000912 Index</stp>
        <stp>HIGH_52WEEK</stp>
        <stp>[Index.xlsm]主要產業!R50C6</stp>
        <tr r="F50" s="2"/>
      </tp>
      <tp>
        <v>4.761463</v>
        <stp/>
        <stp>##V3_BDPV12</stp>
        <stp>DAX INDEX</stp>
        <stp>CHG_PCT_1M</stp>
        <stp>[Index.xlsm]主要產業!R9C49</stp>
        <tr r="AW9" s="2"/>
      </tp>
      <tp>
        <v>-1.357877</v>
        <stp/>
        <stp>##V3_BDPV12</stp>
        <stp>DAX INDEX</stp>
        <stp>CHG_PCT_5D</stp>
        <stp>[Index.xlsm]主要產業!R9C48</stp>
        <tr r="AV9" s="2"/>
      </tp>
      <tp>
        <v>0.44432890000000003</v>
        <stp/>
        <stp>##V3_BDPV12</stp>
        <stp>DAX INDEX</stp>
        <stp>CHG_PCT_1D</stp>
        <stp>[Index.xlsm]主要產業!R9C43</stp>
        <tr r="AQ9" s="2"/>
      </tp>
      <tp>
        <v>0.14269190000000001</v>
        <stp/>
        <stp>##V3_BDPV12</stp>
        <stp>DAX INDEX</stp>
        <stp>CHG_PCT_3M</stp>
        <stp>[Index.xlsm]主要產業!R9C50</stp>
        <tr r="AX9" s="2"/>
      </tp>
      <tp>
        <v>7.6144749999999997</v>
        <stp/>
        <stp>##V3_BDPV12</stp>
        <stp>DAX INDEX</stp>
        <stp>CHG_PCT_6M</stp>
        <stp>[Index.xlsm]主要產業!R9C51</stp>
        <tr r="AY9" s="2"/>
      </tp>
      <tp>
        <v>-0.14059550000000001</v>
        <stp/>
        <stp>##V3_BDPV12</stp>
        <stp>CCMP INDEX</stp>
        <stp>CHG_PCT_1YR</stp>
        <stp>[Index.xlsm]主要產業!R5C53</stp>
        <tr r="BA5" s="2"/>
      </tp>
      <tp t="s">
        <v>US</v>
        <stp/>
        <stp>##V3_BDPV12</stp>
        <stp>s5sseqx Index</stp>
        <stp>DS003</stp>
        <stp>[Index.xlsm]主要產業!R13C3</stp>
        <tr r="C13" s="2"/>
      </tp>
      <tp>
        <v>396.66</v>
        <stp/>
        <stp>##V3_BDPV12</stp>
        <stp>KOSPFIN Index</stp>
        <stp>PX_LAST</stp>
        <stp>[Index.xlsm]主要產業!R44C4</stp>
        <tr r="D44" s="2"/>
      </tp>
      <tp>
        <v>118.96</v>
        <stp/>
        <stp>##V3_BDPV12</stp>
        <stp>TWSEISI Index</stp>
        <stp>PX_LAST</stp>
        <stp>[Index.xlsm]主要產業!R96C4</stp>
        <tr r="D96" s="2"/>
      </tp>
      <tp>
        <v>-0.25645240000000002</v>
        <stp/>
        <stp>##V3_BDPV12</stp>
        <stp>KOSPBMET Index</stp>
        <stp>CHG_PCT_1D</stp>
        <stp>[Index.xlsm]主要產業!R47C5</stp>
        <tr r="E47" s="2"/>
      </tp>
      <tp>
        <v>495.51</v>
        <stp/>
        <stp>##V3_BDPV12</stp>
        <stp>TWSETEXT Index</stp>
        <stp>LOW_52WEEK</stp>
        <stp>[Index.xlsm]主要產業!R84C8</stp>
        <tr r="H84" s="2"/>
      </tp>
      <tp>
        <v>72.192529702087668</v>
        <stp/>
        <stp>##V3_BDPV12</stp>
        <stp>AMZN US Equity</stp>
        <stp>PE_RATIO</stp>
        <stp>[Index.xlsm]主要產業!R4C38</stp>
        <tr r="AL4" s="2"/>
      </tp>
      <tp>
        <v>18.011281796986164</v>
        <stp/>
        <stp>##V3_BDPV12</stp>
        <stp>SET50 Index</stp>
        <stp>PE_RATIO</stp>
        <stp>[Index.xlsm]全球指數!R233C18</stp>
        <tr r="R233" s="1"/>
      </tp>
      <tp>
        <v>10.714997137550277</v>
        <stp/>
        <stp>##V3_BDPV12</stp>
        <stp>WIG20 Index</stp>
        <stp>INTERVAL_Low</stp>
        <stp>[Index.xlsm]全球指數!R145C17</stp>
        <stp>MARKET_DATA_OVERRIDE=PE_RATIO</stp>
        <stp>CALC_INTERVAL=5y</stp>
        <stp>BEST_FPERIOD_OVERRIDE=BF</stp>
        <tr r="Q145" s="1"/>
      </tp>
      <tp>
        <v>2.7017186319600097</v>
        <stp/>
        <stp>##V3_BDPV12</stp>
        <stp>BELEX15 Index</stp>
        <stp>PE_RATIO</stp>
        <stp>[Index.xlsm]全球指數!R244C18</stp>
        <tr r="R244" s="1"/>
      </tp>
      <tp t="s">
        <v>NE</v>
        <stp/>
        <stp>##V3_BDPV12</stp>
        <stp>AMX Index</stp>
        <stp>DS003</stp>
        <stp>[Index.xlsm]全球指數!R41C3</stp>
        <tr r="C41" s="1"/>
      </tp>
      <tp t="s">
        <v>阿姆斯特丹中型股指數</v>
        <stp/>
        <stp>##V3_BDPV12</stp>
        <stp>AMX Index</stp>
        <stp>DS697</stp>
        <stp>[Index.xlsm]全球指數!R41C2</stp>
        <tr r="B41" s="1"/>
      </tp>
      <tp t="s">
        <v>SMIM股價指數</v>
        <stp/>
        <stp>##V3_BDPV12</stp>
        <stp>SMIM Index</stp>
        <stp>DS697</stp>
        <stp>[Index.xlsm]全球指數!R199C2</stp>
        <tr r="B199" s="1"/>
      </tp>
      <tp>
        <v>1.6632130000000001</v>
        <stp/>
        <stp>##V3_BDPV12</stp>
        <stp>N150 Index</stp>
        <stp>PR064</stp>
        <stp>[Index.xlsm]全球指數!R45C14</stp>
        <tr r="N45" s="1"/>
      </tp>
      <tp t="s">
        <v>OMX斯德哥爾摩30指數</v>
        <stp/>
        <stp>##V3_BDPV12</stp>
        <stp>OMX Index</stp>
        <stp>DS697</stp>
        <stp>[Index.xlsm]全球指數!R51C2</stp>
        <tr r="B51" s="1"/>
      </tp>
      <tp t="s">
        <v>FI</v>
        <stp/>
        <stp>##V3_BDPV12</stp>
        <stp>HEX Index</stp>
        <stp>DS003</stp>
        <stp>[Index.xlsm]全球指數!R91C3</stp>
        <tr r="C91" s="1"/>
      </tp>
      <tp t="s">
        <v>SW</v>
        <stp/>
        <stp>##V3_BDPV12</stp>
        <stp>OMX Index</stp>
        <stp>DS003</stp>
        <stp>[Index.xlsm]全球指數!R51C3</stp>
        <tr r="C51" s="1"/>
      </tp>
      <tp t="s">
        <v>OMX赫爾辛基指數</v>
        <stp/>
        <stp>##V3_BDPV12</stp>
        <stp>HEX Index</stp>
        <stp>DS697</stp>
        <stp>[Index.xlsm]全球指數!R91C2</stp>
        <tr r="B91" s="1"/>
      </tp>
      <tp t="s">
        <v>SP</v>
        <stp/>
        <stp>##V3_BDPV12</stp>
        <stp>IBEX Index</stp>
        <stp>DS003</stp>
        <stp>[Index.xlsm]全球指數!R240C3</stp>
        <tr r="C240" s="1"/>
      </tp>
      <tp t="s">
        <v>德國法蘭克福TECDAX表現指數</v>
        <stp/>
        <stp>##V3_BDPV12</stp>
        <stp>TDXP Index</stp>
        <stp>DS697</stp>
        <stp>[Index.xlsm]全球指數!R22C2</stp>
        <tr r="B22" s="1"/>
      </tp>
      <tp t="s">
        <v>GE</v>
        <stp/>
        <stp>##V3_BDPV12</stp>
        <stp>TDXP Index</stp>
        <stp>DS003</stp>
        <stp>[Index.xlsm]全球指數!R22C3</stp>
        <tr r="C22" s="1"/>
      </tp>
      <tp>
        <v>6875.5</v>
        <stp/>
        <stp>##V3_BDPV12</stp>
        <stp>AS51 Index</stp>
        <stp>HIGH_52WEEK</stp>
        <stp>[Index.xlsm]全球指數!R182C6</stp>
        <tr r="F182" s="1"/>
      </tp>
      <tp>
        <v>6958.7</v>
        <stp/>
        <stp>##V3_BDPV12</stp>
        <stp>AS30 Index</stp>
        <stp>HIGH_52WEEK</stp>
        <stp>[Index.xlsm]全球指數!R183C6</stp>
        <tr r="F183" s="1"/>
      </tp>
      <tp>
        <v>1554.34</v>
        <stp/>
        <stp>##V3_BDPV12</stp>
        <stp>E300 Index</stp>
        <stp>HIGH_52WEEK</stp>
        <stp>[Index.xlsm]全球指數!R213C6</stp>
        <tr r="F213" s="1"/>
      </tp>
      <tp>
        <v>7.283563</v>
        <stp/>
        <stp>##V3_BDPV12</stp>
        <stp>IVBX2 Index</stp>
        <stp>CHG_PCT_1M</stp>
        <stp>[Index.xlsm]全球指數!R274C11</stp>
        <tr r="K274" s="1"/>
      </tp>
      <tp>
        <v>-1.1187229999999999</v>
        <stp/>
        <stp>##V3_BDPV12</stp>
        <stp>TOP40 Index</stp>
        <stp>CHG_PCT_1YR</stp>
        <stp>[Index.xlsm]全球指數!R64C15</stp>
        <tr r="O64" s="1"/>
      </tp>
      <tp>
        <v>-1.9339059999999999</v>
        <stp/>
        <stp>##V3_BDPV12</stp>
        <stp>SE30 Index</stp>
        <stp>CHG_PCT_1YR</stp>
        <stp>[Index.xlsm]全球指數!R29C15</stp>
        <tr r="O29" s="1"/>
      </tp>
      <tp>
        <v>3.9806859999999999</v>
        <stp/>
        <stp>##V3_BDPV12</stp>
        <stp>IBX50 Index</stp>
        <stp>CHG_PCT_3M</stp>
        <stp>[Index.xlsm]全球指數!R290C12</stp>
        <tr r="L290" s="1"/>
      </tp>
      <tp>
        <v>7463.58984375</v>
        <stp/>
        <stp>##V3_BDPV12</stp>
        <stp>TSE2 Index</stp>
        <stp>HIGH_52WEEK</stp>
        <stp>[Index.xlsm]全球指數!R261C6</stp>
        <tr r="F261" s="1"/>
      </tp>
      <tp>
        <v>-2.2653789999999998</v>
        <stp/>
        <stp>##V3_BDPV12</stp>
        <stp>N150 Index</stp>
        <stp>CHG_PCT_1YR</stp>
        <stp>[Index.xlsm]全球指數!R45C15</stp>
        <tr r="O45" s="1"/>
      </tp>
      <tp>
        <v>-4.1894770000000001</v>
        <stp/>
        <stp>##V3_BDPV12</stp>
        <stp>NTX Index</stp>
        <stp>CHG_PCT_6M</stp>
        <stp>[Index.xlsm]全球指數!R66C13</stp>
        <tr r="M66" s="1"/>
      </tp>
      <tp>
        <v>-1.320605</v>
        <stp/>
        <stp>##V3_BDPV12</stp>
        <stp>ATX Index</stp>
        <stp>CHG_PCT_6M</stp>
        <stp>[Index.xlsm]全球指數!R34C13</stp>
        <tr r="M34" s="1"/>
      </tp>
      <tp>
        <v>0.72887049999999998</v>
        <stp/>
        <stp>##V3_BDPV12</stp>
        <stp>RTY Index</stp>
        <stp>CHG_PCT_6M</stp>
        <stp>[Index.xlsm]全球指數!R62C13</stp>
        <tr r="M62" s="1"/>
      </tp>
      <tp>
        <v>-1.8026789999999999</v>
        <stp/>
        <stp>##V3_BDPV12</stp>
        <stp>RTY Index</stp>
        <stp>CHG_PCT_5D</stp>
        <stp>[Index.xlsm]全球指數!R62C10</stp>
        <tr r="J62" s="1"/>
      </tp>
      <tp>
        <v>-16.811299999999999</v>
        <stp/>
        <stp>##V3_BDPV12</stp>
        <stp>CS90 Index</stp>
        <stp>CHG_PCT_1YR</stp>
        <stp>[Index.xlsm]全球指數!R38C15</stp>
        <tr r="O38" s="1"/>
      </tp>
      <tp>
        <v>-1.749023</v>
        <stp/>
        <stp>##V3_BDPV12</stp>
        <stp>NTX Index</stp>
        <stp>CHG_PCT_5D</stp>
        <stp>[Index.xlsm]全球指數!R66C10</stp>
        <tr r="J66" s="1"/>
      </tp>
      <tp>
        <v>-2.3170410000000001</v>
        <stp/>
        <stp>##V3_BDPV12</stp>
        <stp>ATX Index</stp>
        <stp>CHG_PCT_5D</stp>
        <stp>[Index.xlsm]全球指數!R34C10</stp>
        <tr r="J34" s="1"/>
      </tp>
      <tp>
        <v>-0.85506439999999995</v>
        <stp/>
        <stp>##V3_BDPV12</stp>
        <stp>RTY Index</stp>
        <stp>CHG_PCT_3M</stp>
        <stp>[Index.xlsm]全球指數!R62C12</stp>
        <tr r="L62" s="1"/>
      </tp>
      <tp>
        <v>-2.9500570000000002</v>
        <stp/>
        <stp>##V3_BDPV12</stp>
        <stp>NTX Index</stp>
        <stp>CHG_PCT_3M</stp>
        <stp>[Index.xlsm]全球指數!R66C12</stp>
        <tr r="L66" s="1"/>
      </tp>
      <tp>
        <v>1.776221</v>
        <stp/>
        <stp>##V3_BDPV12</stp>
        <stp>ATX Index</stp>
        <stp>CHG_PCT_3M</stp>
        <stp>[Index.xlsm]全球指數!R34C12</stp>
        <tr r="L34" s="1"/>
      </tp>
      <tp>
        <v>-0.3761292</v>
        <stp/>
        <stp>##V3_BDPV12</stp>
        <stp>IMC30 Index</stp>
        <stp>CHG_PCT_3M</stp>
        <stp>[Index.xlsm]全球指數!R246C12</stp>
        <tr r="L246" s="1"/>
      </tp>
      <tp>
        <v>5.308039</v>
        <stp/>
        <stp>##V3_BDPV12</stp>
        <stp>RTY Index</stp>
        <stp>CHG_PCT_1M</stp>
        <stp>[Index.xlsm]全球指數!R62C11</stp>
        <tr r="K62" s="1"/>
      </tp>
      <tp>
        <v>3.5314049999999999</v>
        <stp/>
        <stp>##V3_BDPV12</stp>
        <stp>NTX Index</stp>
        <stp>CHG_PCT_1M</stp>
        <stp>[Index.xlsm]全球指數!R66C11</stp>
        <tr r="K66" s="1"/>
      </tp>
      <tp>
        <v>3.5115080000000001</v>
        <stp/>
        <stp>##V3_BDPV12</stp>
        <stp>ATX Index</stp>
        <stp>CHG_PCT_1M</stp>
        <stp>[Index.xlsm]全球指數!R34C11</stp>
        <tr r="K34" s="1"/>
      </tp>
      <tp t="s">
        <v>SI</v>
        <stp/>
        <stp>##V3_BDPV12</stp>
        <stp>STI Index</stp>
        <stp>DS003</stp>
        <stp>[Index.xlsm]全球指數!R123C3</stp>
        <tr r="C123" s="1"/>
      </tp>
      <tp>
        <v>-5.5416699999999999</v>
        <stp/>
        <stp>##V3_BDPV12</stp>
        <stp>SET50 Index</stp>
        <stp>PR064</stp>
        <stp>[Index.xlsm]全球指數!R233C14</stp>
        <tr r="N233" s="1"/>
      </tp>
      <tp>
        <v>-0.31496669999999999</v>
        <stp/>
        <stp>##V3_BDPV12</stp>
        <stp>SSE50 Index</stp>
        <stp>PR064</stp>
        <stp>[Index.xlsm]全球指數!R132C14</stp>
        <tr r="N132" s="1"/>
      </tp>
      <tp>
        <v>4.6329314721320349</v>
        <stp/>
        <stp>##V3_BDPV12</stp>
        <stp>LSXC Index</stp>
        <stp>INTERVAL_Low</stp>
        <stp>[Index.xlsm]全球指數!R14C17</stp>
        <stp>MARKET_DATA_OVERRIDE=PE_RATIO</stp>
        <stp>CALC_INTERVAL=5y</stp>
        <stp>BEST_FPERIOD_OVERRIDE=BF</stp>
        <tr r="Q14" s="1"/>
      </tp>
      <tp t="s">
        <v>費城公用事業類指數</v>
        <stp/>
        <stp>##V3_BDPV12</stp>
        <stp>UTY Index</stp>
        <stp>DS697</stp>
        <stp>[Index.xlsm]全球指數!R303C2</stp>
        <tr r="B303" s="1"/>
      </tp>
      <tp>
        <v>12772.2</v>
        <stp/>
        <stp>##V3_BDPV12</stp>
        <stp>MS190 Index</stp>
        <stp>PX_LAST</stp>
        <stp>[Index.xlsm]全球指數!R79C4</stp>
        <tr r="D79" s="1"/>
      </tp>
      <tp t="s">
        <v>標準普爾1500綜合指數</v>
        <stp/>
        <stp>##V3_BDPV12</stp>
        <stp>SPR Index</stp>
        <stp>DS697</stp>
        <stp>[Index.xlsm]全球指數!R135C2</stp>
        <tr r="B135" s="1"/>
      </tp>
      <tp>
        <v>7249.03</v>
        <stp/>
        <stp>##V3_BDPV12</stp>
        <stp>HSML100 Index</stp>
        <stp>LOW_52WEEK</stp>
        <stp>[Index.xlsm]全球指數!R48C8</stp>
        <tr r="H48" s="1"/>
      </tp>
      <tp>
        <v>12.950797983739527</v>
        <stp/>
        <stp>##V3_BDPV12</stp>
        <stp>FSTAS Index</stp>
        <stp>PE_RATIO</stp>
        <stp>[Index.xlsm]全球指數!R133C18</stp>
        <tr r="R133" s="1"/>
      </tp>
      <tp>
        <v>19.948276496158815</v>
        <stp/>
        <stp>##V3_BDPV12</stp>
        <stp>SASEIDX Index</stp>
        <stp>PE_RATIO</stp>
        <stp>[Index.xlsm]全球指數!R308C18</stp>
        <tr r="R308" s="1"/>
      </tp>
      <tp>
        <v>49243.65</v>
        <stp/>
        <stp>##V3_BDPV12</stp>
        <stp>TOP40 Index</stp>
        <stp>PX_LAST</stp>
        <stp>[Index.xlsm]全球指數!R64C4</stp>
        <tr r="D64" s="1"/>
      </tp>
      <tp t="s">
        <v>US</v>
        <stp/>
        <stp>##V3_BDPV12</stp>
        <stp>RAY Index</stp>
        <stp>DS003</stp>
        <stp>[Index.xlsm]全球指數!R122C3</stp>
        <tr r="C122" s="1"/>
      </tp>
      <tp>
        <v>11.481456839102927</v>
        <stp/>
        <stp>##V3_BDPV12</stp>
        <stp>RIGSE Index</stp>
        <stp>INTERVAL_Low</stp>
        <stp>[Index.xlsm]全球指數!R260C17</stp>
        <stp>MARKET_DATA_OVERRIDE=PE_RATIO</stp>
        <stp>CALC_INTERVAL=5y</stp>
        <stp>BEST_FPERIOD_OVERRIDE=BF</stp>
        <tr r="Q260" s="1"/>
      </tp>
      <tp>
        <v>3.9806859999999999</v>
        <stp/>
        <stp>##V3_BDPV12</stp>
        <stp>IBX50 Index</stp>
        <stp>PR064</stp>
        <stp>[Index.xlsm]全球指數!R290C14</stp>
        <tr r="N290" s="1"/>
      </tp>
      <tp t="s">
        <v>法國CAC所有股票指數</v>
        <stp/>
        <stp>##V3_BDPV12</stp>
        <stp>PAX Index</stp>
        <stp>DS697</stp>
        <stp>[Index.xlsm]全球指數!R146C2</stp>
        <tr r="B146" s="1"/>
      </tp>
      <tp>
        <v>17.079826050877362</v>
        <stp/>
        <stp>##V3_BDPV12</stp>
        <stp>SPTSX Index</stp>
        <stp>PE_RATIO</stp>
        <stp>[Index.xlsm]全球指數!R200C18</stp>
        <tr r="R200" s="1"/>
      </tp>
      <tp>
        <v>-0.41665659999999999</v>
        <stp/>
        <stp>##V3_BDPV12</stp>
        <stp>SXPP INDEX</stp>
        <stp>CHG_PCT_1D</stp>
        <stp>[Index.xlsm]主要產業!R32C5</stp>
        <tr r="E32" s="2"/>
      </tp>
      <tp>
        <v>10.086919999999999</v>
        <stp/>
        <stp>##V3_BDPV12</stp>
        <stp>s5finl index</stp>
        <stp>CHG_PCT_6M</stp>
        <stp>[Index.xlsm]主要產業!R4C13</stp>
        <tr r="M4" s="2"/>
      </tp>
      <tp>
        <v>-1.0745720000000001</v>
        <stp/>
        <stp>##V3_BDPV12</stp>
        <stp>s5finl index</stp>
        <stp>CHG_PCT_5D</stp>
        <stp>[Index.xlsm]主要產業!R4C10</stp>
        <tr r="J4" s="2"/>
      </tp>
      <tp>
        <v>7.2598539999999998</v>
        <stp/>
        <stp>##V3_BDPV12</stp>
        <stp>s5finl index</stp>
        <stp>CHG_PCT_1M</stp>
        <stp>[Index.xlsm]主要產業!R4C11</stp>
        <tr r="K4" s="2"/>
      </tp>
      <tp>
        <v>2.7329979999999998</v>
        <stp/>
        <stp>##V3_BDPV12</stp>
        <stp>s5finl index</stp>
        <stp>CHG_PCT_3M</stp>
        <stp>[Index.xlsm]主要產業!R4C12</stp>
        <tr r="L4" s="2"/>
      </tp>
      <tp>
        <v>-11.90014</v>
        <stp/>
        <stp>##V3_BDPV12</stp>
        <stp>AMZN US Equity</stp>
        <stp>CHG_PCT_1YR</stp>
        <stp>[Index.xlsm]主要產業!R4C35</stp>
        <tr r="AI4" s="2"/>
      </tp>
      <tp>
        <v>0.93945319999999999</v>
        <stp/>
        <stp>##V3_BDPV12</stp>
        <stp>SX3P INDEX</stp>
        <stp>CHG_PCT_1D</stp>
        <stp>[Index.xlsm]主要產業!R22C5</stp>
        <tr r="E22" s="2"/>
      </tp>
      <tp>
        <v>1206334</v>
        <stp/>
        <stp>##V3_BDPV12</stp>
        <stp>IBG Index</stp>
        <stp>PX_LAST</stp>
        <stp>[Index.xlsm]全球指數!R3C4</stp>
        <tr r="D3" s="1"/>
      </tp>
      <tp t="s">
        <v>#N/A N/A</v>
        <stp/>
        <stp>##V3_BDPV12</stp>
        <stp>INTER10 Index</stp>
        <stp>PE_RATIO</stp>
        <stp>[Index.xlsm]全球指數!R203C18</stp>
        <tr r="R203" s="1"/>
      </tp>
      <tp t="s">
        <v>法國CAC 100中型股指數</v>
        <stp/>
        <stp>##V3_BDPV12</stp>
        <stp>CM100 Index</stp>
        <stp>DS697</stp>
        <stp>[Index.xlsm]全球指數!R88C2</stp>
        <tr r="B88" s="1"/>
      </tp>
      <tp>
        <v>2.8699560000000002</v>
        <stp/>
        <stp>##V3_BDPV12</stp>
        <stp>NZSE10 Index</stp>
        <stp>CHG_PCT_3M</stp>
        <stp>[Index.xlsm]全球指數!R249C12</stp>
        <tr r="L249" s="1"/>
      </tp>
      <tp t="s">
        <v>FR</v>
        <stp/>
        <stp>##V3_BDPV12</stp>
        <stp>CM100 Index</stp>
        <stp>DS003</stp>
        <stp>[Index.xlsm]全球指數!R88C3</stp>
        <tr r="C88" s="1"/>
      </tp>
      <tp>
        <v>7.0447559560955506</v>
        <stp/>
        <stp>##V3_BDPV12</stp>
        <stp>NGSEINDX Index</stp>
        <stp>PE_RATIO</stp>
        <stp>[Index.xlsm]全球指數!R219C18</stp>
        <tr r="R219" s="1"/>
      </tp>
      <tp t="s">
        <v>黎巴嫩BLOM股價指數</v>
        <stp/>
        <stp>##V3_BDPV12</stp>
        <stp>BLOM Index</stp>
        <stp>DS697</stp>
        <stp>[Index.xlsm]全球指數!R259C2</stp>
        <tr r="B259" s="1"/>
      </tp>
      <tp t="s">
        <v>巴西聖保羅證交所指數</v>
        <stp/>
        <stp>##V3_BDPV12</stp>
        <stp>IBOV Index</stp>
        <stp>DS697</stp>
        <stp>[Index.xlsm]全球指數!R287C2</stp>
        <tr r="B287" s="1"/>
      </tp>
      <tp>
        <v>1864.13</v>
        <stp/>
        <stp>##V3_BDPV12</stp>
        <stp>KOSPI50 Index</stp>
        <stp>PX_LAST</stp>
        <stp>[Index.xlsm]全球指數!R208C4</stp>
        <tr r="D208" s="1"/>
      </tp>
      <tp>
        <v>4.2013658265961906</v>
        <stp/>
        <stp>##V3_BDPV12</stp>
        <stp>BELEXLIN Index</stp>
        <stp>PE_RATIO</stp>
        <stp>[Index.xlsm]全球指數!R248C18</stp>
        <tr r="R248" s="1"/>
      </tp>
      <tp t="s">
        <v>US</v>
        <stp/>
        <stp>##V3_BDPV12</stp>
        <stp>XOI Index</stp>
        <stp>DS003</stp>
        <stp>[Index.xlsm]全球指數!R40C3</stp>
        <tr r="C40" s="1"/>
      </tp>
      <tp>
        <v>-0.3165521</v>
        <stp/>
        <stp>##V3_BDPV12</stp>
        <stp>SHCSI100 Index</stp>
        <stp>CHG_PCT_1D</stp>
        <stp>[Index.xlsm]全球指數!R98C5</stp>
        <tr r="E98" s="1"/>
      </tp>
      <tp t="s">
        <v>UK</v>
        <stp/>
        <stp>##V3_BDPV12</stp>
        <stp>PFTS Index</stp>
        <stp>DS003</stp>
        <stp>[Index.xlsm]全球指數!R295C3</stp>
        <tr r="C295" s="1"/>
      </tp>
      <tp t="s">
        <v>紐約證交所Arca石油類指數</v>
        <stp/>
        <stp>##V3_BDPV12</stp>
        <stp>XOI Index</stp>
        <stp>DS697</stp>
        <stp>[Index.xlsm]全球指數!R40C2</stp>
        <tr r="B40" s="1"/>
      </tp>
      <tp>
        <v>-0.77434170000000002</v>
        <stp/>
        <stp>##V3_BDPV12</stp>
        <stp>MSM30 Index</stp>
        <stp>CHG_PCT_6M</stp>
        <stp>[Index.xlsm]全球指數!R272C13</stp>
        <tr r="M272" s="1"/>
      </tp>
      <tp>
        <v>12460.88</v>
        <stp/>
        <stp>##V3_BDPV12</stp>
        <stp>CN20 Index</stp>
        <stp>HIGH_52WEEK</stp>
        <stp>[Index.xlsm]全球指數!R172C6</stp>
        <tr r="F172" s="1"/>
      </tp>
      <tp>
        <v>720.28</v>
        <stp/>
        <stp>##V3_BDPV12</stp>
        <stp>s5cond index</stp>
        <stp>LOW_52WEEK</stp>
        <stp>[Index.xlsm]主要產業!R7C8</stp>
        <tr r="H7" s="2"/>
      </tp>
      <tp>
        <v>8.1311227779990745</v>
        <stp/>
        <stp>##V3_BDPV12</stp>
        <stp>SOFIX Index</stp>
        <stp>INTERVAL_Low</stp>
        <stp>[Index.xlsm]全球指數!R110C17</stp>
        <stp>MARKET_DATA_OVERRIDE=PE_RATIO</stp>
        <stp>CALC_INTERVAL=5y</stp>
        <stp>BEST_FPERIOD_OVERRIDE=BF</stp>
        <tr r="Q110" s="1"/>
      </tp>
      <tp>
        <v>2.3384070000000001</v>
        <stp/>
        <stp>##V3_BDPV12</stp>
        <stp>SBF120 Index</stp>
        <stp>PR064</stp>
        <stp>[Index.xlsm]全球指數!R169C14</stp>
        <tr r="N169" s="1"/>
      </tp>
      <tp>
        <v>15.258688699653231</v>
        <stp/>
        <stp>##V3_BDPV12</stp>
        <stp>FTBIVA Index</stp>
        <stp>PE_RATIO</stp>
        <stp>[Index.xlsm]全球指數!R245C18</stp>
        <tr r="R245" s="1"/>
      </tp>
      <tp t="s">
        <v>標準普爾500指數</v>
        <stp/>
        <stp>##V3_BDPV12</stp>
        <stp>SPX Index</stp>
        <stp>DS697</stp>
        <stp>[Index.xlsm]全球指數!R134C2</stp>
        <tr r="B134" s="1"/>
      </tp>
      <tp t="s">
        <v>標準普爾小型股600指數</v>
        <stp/>
        <stp>##V3_BDPV12</stp>
        <stp>SML Index</stp>
        <stp>DS697</stp>
        <stp>[Index.xlsm]全球指數!R104C2</stp>
        <tr r="B104" s="1"/>
      </tp>
      <tp>
        <v>15.161549502444776</v>
        <stp/>
        <stp>##V3_BDPV12</stp>
        <stp>MDAX Index</stp>
        <stp>INTERVAL_Low</stp>
        <stp>[Index.xlsm]全球指數!R85C17</stp>
        <stp>MARKET_DATA_OVERRIDE=PE_RATIO</stp>
        <stp>CALC_INTERVAL=5y</stp>
        <stp>BEST_FPERIOD_OVERRIDE=BF</stp>
        <tr r="Q85" s="1"/>
      </tp>
      <tp>
        <v>4906.45</v>
        <stp/>
        <stp>##V3_BDPV12</stp>
        <stp>PSI20 Index</stp>
        <stp>PX_LAST</stp>
        <stp>[Index.xlsm]全球指數!R23C4</stp>
        <tr r="D23" s="1"/>
      </tp>
      <tp t="s">
        <v>SZ</v>
        <stp/>
        <stp>##V3_BDPV12</stp>
        <stp>SMI Index</stp>
        <stp>DS003</stp>
        <stp>[Index.xlsm]全球指數!R192C3</stp>
        <tr r="C192" s="1"/>
      </tp>
      <tp>
        <v>11.667379411676668</v>
        <stp/>
        <stp>##V3_BDPV12</stp>
        <stp>PASISI Index</stp>
        <stp>PE_RATIO</stp>
        <stp>[Index.xlsm]全球指數!R215C18</stp>
        <tr r="R215" s="1"/>
      </tp>
      <tp t="s">
        <v>US</v>
        <stp/>
        <stp>##V3_BDPV12</stp>
        <stp>XII Index</stp>
        <stp>DS003</stp>
        <stp>[Index.xlsm]全球指數!R119C3</stp>
        <tr r="C119" s="1"/>
      </tp>
      <tp>
        <v>19.609076372214339</v>
        <stp/>
        <stp>##V3_BDPV12</stp>
        <stp>TUSISE Index</stp>
        <stp>PE_RATIO</stp>
        <stp>[Index.xlsm]全球指數!R221C18</stp>
        <tr r="R221" s="1"/>
      </tp>
      <tp>
        <v>17.891400065209098</v>
        <stp/>
        <stp>##V3_BDPV12</stp>
        <stp>NIFTY Index</stp>
        <stp>INTERVAL_Low</stp>
        <stp>[Index.xlsm]全球指數!R319C17</stp>
        <stp>MARKET_DATA_OVERRIDE=PE_RATIO</stp>
        <stp>CALC_INTERVAL=5y</stp>
        <stp>BEST_FPERIOD_OVERRIDE=BF</stp>
        <tr r="Q319" s="1"/>
      </tp>
      <tp>
        <v>1.2406710000000001</v>
        <stp/>
        <stp>##V3_BDPV12</stp>
        <stp>SXFP INDEX</stp>
        <stp>CHG_PCT_1D</stp>
        <stp>[Index.xlsm]主要產業!R33C5</stp>
        <tr r="E33" s="2"/>
      </tp>
      <tp>
        <v>0.45525450000000001</v>
        <stp/>
        <stp>##V3_BDPV12</stp>
        <stp>SXEP INDEX</stp>
        <stp>CHG_PCT_1D</stp>
        <stp>[Index.xlsm]主要產業!R23C5</stp>
        <tr r="E23" s="2"/>
      </tp>
      <tp>
        <v>1368.82</v>
        <stp/>
        <stp>##V3_BDPV12</stp>
        <stp>S5tech Index</stp>
        <stp>HIGH_52WEEK</stp>
        <stp>[Index.xlsm]主要產業!R11C6</stp>
        <tr r="F11" s="2"/>
      </tp>
      <tp>
        <v>17.830302077589224</v>
        <stp/>
        <stp>##V3_BDPV12</stp>
        <stp>N150 Index</stp>
        <stp>INTERVAL_Low</stp>
        <stp>[Index.xlsm]全球指數!R45C17</stp>
        <stp>MARKET_DATA_OVERRIDE=PE_RATIO</stp>
        <stp>CALC_INTERVAL=5y</stp>
        <stp>BEST_FPERIOD_OVERRIDE=BF</stp>
        <tr r="Q45" s="1"/>
      </tp>
      <tp>
        <v>13.678806941341872</v>
        <stp/>
        <stp>##V3_BDPV12</stp>
        <stp>SPTSX60 Index</stp>
        <stp>INTERVAL_Low</stp>
        <stp>[Index.xlsm]全球指數!R194C17</stp>
        <stp>MARKET_DATA_OVERRIDE=PE_RATIO</stp>
        <stp>CALC_INTERVAL=5y</stp>
        <stp>BEST_FPERIOD_OVERRIDE=BF</stp>
        <tr r="Q194" s="1"/>
      </tp>
      <tp>
        <v>7.1702728723223608</v>
        <stp/>
        <stp>##V3_BDPV12</stp>
        <stp>SSE50 Index</stp>
        <stp>INTERVAL_Low</stp>
        <stp>[Index.xlsm]全球指數!R132C17</stp>
        <stp>MARKET_DATA_OVERRIDE=PE_RATIO</stp>
        <stp>CALC_INTERVAL=5y</stp>
        <stp>BEST_FPERIOD_OVERRIDE=BF</stp>
        <tr r="Q132" s="1"/>
      </tp>
      <tp t="s">
        <v>#N/A N/A</v>
        <stp/>
        <stp>##V3_BDPV12</stp>
        <stp>INTER10 Index</stp>
        <stp>INTERVAL_HIGH</stp>
        <stp>[Index.xlsm]全球指數!R203C16</stp>
        <stp>MARKET_DATA_OVERRIDE=PE_RATIO</stp>
        <stp>CALC_INTERVAL=5y</stp>
        <stp>BEST_FPERIOD_OVERRIDE=BF</stp>
        <tr r="P203" s="1"/>
      </tp>
      <tp t="s">
        <v>紐約證交所保健類指數</v>
        <stp/>
        <stp>##V3_BDPV12</stp>
        <stp>NYP Index</stp>
        <stp>DS697</stp>
        <stp>[Index.xlsm]全球指數!R83C2</stp>
        <tr r="B83" s="1"/>
      </tp>
      <tp t="s">
        <v>US</v>
        <stp/>
        <stp>##V3_BDPV12</stp>
        <stp>NYP Index</stp>
        <stp>DS003</stp>
        <stp>[Index.xlsm]全球指數!R83C3</stp>
        <tr r="C83" s="1"/>
      </tp>
      <tp t="s">
        <v>維也納綜合指數</v>
        <stp/>
        <stp>##V3_BDPV12</stp>
        <stp>WBI Index</stp>
        <stp>DS697</stp>
        <stp>[Index.xlsm]全球指數!R63C2</stp>
        <tr r="B63" s="1"/>
      </tp>
      <tp t="s">
        <v>AS</v>
        <stp/>
        <stp>##V3_BDPV12</stp>
        <stp>WBI Index</stp>
        <stp>DS003</stp>
        <stp>[Index.xlsm]全球指數!R63C3</stp>
        <tr r="C63" s="1"/>
      </tp>
      <tp t="s">
        <v>CL</v>
        <stp/>
        <stp>##V3_BDPV12</stp>
        <stp>IGPA Index</stp>
        <stp>DS003</stp>
        <stp>[Index.xlsm]全球指數!R167C3</stp>
        <tr r="C167" s="1"/>
      </tp>
      <tp t="s">
        <v>VZ</v>
        <stp/>
        <stp>##V3_BDPV12</stp>
        <stp>IBVC Index</stp>
        <stp>DS003</stp>
        <stp>[Index.xlsm]全球指數!R312C3</stp>
        <tr r="C312" s="1"/>
      </tp>
      <tp>
        <v>12.524940000000001</v>
        <stp/>
        <stp>##V3_BDPV12</stp>
        <stp>IVBX2 Index</stp>
        <stp>CHG_PCT_3M</stp>
        <stp>[Index.xlsm]全球指數!R274C12</stp>
        <tr r="L274" s="1"/>
      </tp>
      <tp>
        <v>2061.9920000000002</v>
        <stp/>
        <stp>##V3_BDPV12</stp>
        <stp>DS30 Index</stp>
        <stp>HIGH_52WEEK</stp>
        <stp>[Index.xlsm]全球指數!R301C6</stp>
        <tr r="F301" s="1"/>
      </tp>
      <tp>
        <v>-2.2954349999999999</v>
        <stp/>
        <stp>##V3_BDPV12</stp>
        <stp>SH000905 Index</stp>
        <stp>CHG_PCT_1D</stp>
        <stp>[Index.xlsm]全球指數!R13C5</stp>
        <tr r="E13" s="1"/>
      </tp>
      <tp>
        <v>0.59742839999999997</v>
        <stp/>
        <stp>##V3_BDPV12</stp>
        <stp>MSM30 Index</stp>
        <stp>CHG_PCT_5D</stp>
        <stp>[Index.xlsm]全球指數!R272C10</stp>
        <tr r="J272" s="1"/>
      </tp>
      <tp>
        <v>1059.6479999999999</v>
        <stp/>
        <stp>##V3_BDPV12</stp>
        <stp>LQ45 Index</stp>
        <stp>HIGH_52WEEK</stp>
        <stp>[Index.xlsm]全球指數!R204C6</stp>
        <tr r="F204" s="1"/>
      </tp>
      <tp>
        <v>8.5578819999999993</v>
        <stp/>
        <stp>##V3_BDPV12</stp>
        <stp>IBX50 Index</stp>
        <stp>CHG_PCT_1M</stp>
        <stp>[Index.xlsm]全球指數!R290C11</stp>
        <tr r="K290" s="1"/>
      </tp>
      <tp>
        <v>4.1615250000000001</v>
        <stp/>
        <stp>##V3_BDPV12</stp>
        <stp>IMC30 Index</stp>
        <stp>CHG_PCT_1M</stp>
        <stp>[Index.xlsm]全球指數!R246C11</stp>
        <tr r="K246" s="1"/>
      </tp>
      <tp>
        <v>10.411659999999999</v>
        <stp/>
        <stp>##V3_BDPV12</stp>
        <stp>SASX10 Index</stp>
        <stp>PR064</stp>
        <stp>[Index.xlsm]全球指數!R293C14</stp>
        <tr r="N293" s="1"/>
      </tp>
      <tp>
        <v>14.199325981830142</v>
        <stp/>
        <stp>##V3_BDPV12</stp>
        <stp>FBMEMAS Index</stp>
        <stp>INTERVAL_Low</stp>
        <stp>[Index.xlsm]全球指數!R242C17</stp>
        <stp>MARKET_DATA_OVERRIDE=PE_RATIO</stp>
        <stp>CALC_INTERVAL=5y</stp>
        <stp>BEST_FPERIOD_OVERRIDE=BF</stp>
        <tr r="Q242" s="1"/>
      </tp>
      <tp>
        <v>13.616249937030585</v>
        <stp/>
        <stp>##V3_BDPV12</stp>
        <stp>ICEXI Index</stp>
        <stp>INTERVAL_Low</stp>
        <stp>[Index.xlsm]全球指數!R218C17</stp>
        <stp>MARKET_DATA_OVERRIDE=PE_RATIO</stp>
        <stp>CALC_INTERVAL=5y</stp>
        <stp>BEST_FPERIOD_OVERRIDE=BF</stp>
        <tr r="Q218" s="1"/>
      </tp>
      <tp>
        <v>10.324669759276938</v>
        <stp/>
        <stp>##V3_BDPV12</stp>
        <stp>FTSEMIB Index</stp>
        <stp>INTERVAL_Low</stp>
        <stp>[Index.xlsm]全球指數!R153C17</stp>
        <stp>MARKET_DATA_OVERRIDE=PE_RATIO</stp>
        <stp>CALC_INTERVAL=5y</stp>
        <stp>BEST_FPERIOD_OVERRIDE=BF</stp>
        <tr r="Q153" s="1"/>
      </tp>
      <tp>
        <v>11.102458037283428</v>
        <stp/>
        <stp>##V3_BDPV12</stp>
        <stp>PX Index</stp>
        <stp>INTERVAL_Low</stp>
        <stp>[Index.xlsm]全球指數!R84C17</stp>
        <stp>MARKET_DATA_OVERRIDE=PE_RATIO</stp>
        <stp>CALC_INTERVAL=5y</stp>
        <stp>BEST_FPERIOD_OVERRIDE=BF</stp>
        <tr r="Q84" s="1"/>
      </tp>
      <tp t="s">
        <v>US</v>
        <stp/>
        <stp>##V3_BDPV12</stp>
        <stp>QMI Index</stp>
        <stp>DS003</stp>
        <stp>[Index.xlsm]全球指數!R103C3</stp>
        <tr r="C103" s="1"/>
      </tp>
      <tp>
        <v>31.032425164024872</v>
        <stp/>
        <stp>##V3_BDPV12</stp>
        <stp>NMDP Index</stp>
        <stp>INTERVAL_Low</stp>
        <stp>[Index.xlsm]全球指數!R19C17</stp>
        <stp>MARKET_DATA_OVERRIDE=PE_RATIO</stp>
        <stp>CALC_INTERVAL=5y</stp>
        <stp>BEST_FPERIOD_OVERRIDE=BF</stp>
        <tr r="Q19" s="1"/>
      </tp>
      <tp t="s">
        <v>PD</v>
        <stp/>
        <stp>##V3_BDPV12</stp>
        <stp>WIG Index</stp>
        <stp>DS003</stp>
        <stp>[Index.xlsm]全球指數!R115C3</stp>
        <tr r="C115" s="1"/>
      </tp>
      <tp>
        <v>-0.4160276</v>
        <stp/>
        <stp>##V3_BDPV12</stp>
        <stp>KSE100 Index</stp>
        <stp>CHG_PCT_1D</stp>
        <stp>[Index.xlsm]全球指數!R33C5</stp>
        <tr r="E33" s="1"/>
      </tp>
      <tp>
        <v>0.93191820000000003</v>
        <stp/>
        <stp>##V3_BDPV12</stp>
        <stp>SXOP INDEX</stp>
        <stp>CHG_PCT_1D</stp>
        <stp>[Index.xlsm]主要產業!R30C5</stp>
        <tr r="E30" s="2"/>
      </tp>
      <tp>
        <v>0.48684119999999997</v>
        <stp/>
        <stp>##V3_BDPV12</stp>
        <stp>SXQP INDEX</stp>
        <stp>CHG_PCT_1D</stp>
        <stp>[Index.xlsm]主要產業!R20C5</stp>
        <tr r="E20" s="2"/>
      </tp>
      <tp>
        <v>4.0391550000000001</v>
        <stp/>
        <stp>##V3_BDPV12</stp>
        <stp>GOOGL US Equity</stp>
        <stp>CHG_PCT_1YR</stp>
        <stp>[Index.xlsm]主要產業!R7C35</stp>
        <tr r="AI7" s="2"/>
      </tp>
      <tp>
        <v>-1.08216</v>
        <stp/>
        <stp>##V3_BDPV12</stp>
        <stp>SH000910 Index</stp>
        <stp>CHG_PCT_1D</stp>
        <stp>[Index.xlsm]主要產業!R49C5</stp>
        <tr r="E49" s="2"/>
      </tp>
      <tp>
        <v>4.7296335680919626</v>
        <stp/>
        <stp>##V3_BDPV12</stp>
        <stp>MOEX10 Index</stp>
        <stp>INTERVAL_Low</stp>
        <stp>[Index.xlsm]全球指數!R160C17</stp>
        <stp>MARKET_DATA_OVERRIDE=PE_RATIO</stp>
        <stp>CALC_INTERVAL=5y</stp>
        <stp>BEST_FPERIOD_OVERRIDE=BF</stp>
        <tr r="Q160" s="1"/>
      </tp>
      <tp>
        <v>24643.45</v>
        <stp/>
        <stp>##V3_BDPV12</stp>
        <stp>MAR Index</stp>
        <stp>PX_LAST</stp>
        <stp>[Index.xlsm]全球指數!R5C4</stp>
        <tr r="D5" s="1"/>
      </tp>
      <tp>
        <v>4398.03</v>
        <stp/>
        <stp>##V3_BDPV12</stp>
        <stp>SBF250 Index</stp>
        <stp>HIGH_52WEEK</stp>
        <stp>[Index.xlsm]全球指數!R164C6</stp>
        <tr r="F164" s="1"/>
      </tp>
      <tp>
        <v>2.070084</v>
        <stp/>
        <stp>##V3_BDPV12</stp>
        <stp>NZSE10 Index</stp>
        <stp>CHG_PCT_1M</stp>
        <stp>[Index.xlsm]全球指數!R249C11</stp>
        <tr r="K249" s="1"/>
      </tp>
      <tp>
        <v>6.9860200225907709</v>
        <stp/>
        <stp>##V3_BDPV12</stp>
        <stp>SASX10 Index</stp>
        <stp>INTERVAL_Low</stp>
        <stp>[Index.xlsm]全球指數!R293C17</stp>
        <stp>MARKET_DATA_OVERRIDE=PE_RATIO</stp>
        <stp>CALC_INTERVAL=5y</stp>
        <stp>BEST_FPERIOD_OVERRIDE=BF</stp>
        <tr r="Q293" s="1"/>
      </tp>
      <tp t="s">
        <v>US</v>
        <stp/>
        <stp>##V3_BDPV12</stp>
        <stp>CFIN Index</stp>
        <stp>DS003</stp>
        <stp>[Index.xlsm]全球指數!R137C3</stp>
        <tr r="C137" s="1"/>
      </tp>
      <tp t="s">
        <v>巴西公司治理指數</v>
        <stp/>
        <stp>##V3_BDPV12</stp>
        <stp>IGCX Index</stp>
        <stp>DS697</stp>
        <stp>[Index.xlsm]全球指數!R270C2</stp>
        <tr r="B270" s="1"/>
      </tp>
      <tp t="s">
        <v>#N/A N/A</v>
        <stp/>
        <stp>##V3_BDPV12</stp>
        <stp>CHSMLCAP Index</stp>
        <stp>PE_RATIO</stp>
        <stp>[Index.xlsm]全球指數!R273C18</stp>
        <tr r="R273" s="1"/>
      </tp>
      <tp t="s">
        <v>那斯達克生物科技類指數</v>
        <stp/>
        <stp>##V3_BDPV12</stp>
        <stp>NBI Index</stp>
        <stp>DS697</stp>
        <stp>[Index.xlsm]全球指數!R12C2</stp>
        <tr r="B12" s="1"/>
      </tp>
      <tp t="s">
        <v>SP</v>
        <stp/>
        <stp>##V3_BDPV12</stp>
        <stp>MADX Index</stp>
        <stp>DS003</stp>
        <stp>[Index.xlsm]全球指數!R210C3</stp>
        <tr r="C210" s="1"/>
      </tp>
      <tp t="s">
        <v>US</v>
        <stp/>
        <stp>##V3_BDPV12</stp>
        <stp>NBI Index</stp>
        <stp>DS003</stp>
        <stp>[Index.xlsm]全球指數!R12C3</stp>
        <tr r="C12" s="1"/>
      </tp>
      <tp>
        <v>1.4807297367932395</v>
        <stp/>
        <stp>##V3_BDPV12</stp>
        <stp>CYSMMAPA Index</stp>
        <stp>INTERVAL_Low</stp>
        <stp>[Index.xlsm]全球指數!R139C17</stp>
        <stp>MARKET_DATA_OVERRIDE=PE_RATIO</stp>
        <stp>CALC_INTERVAL=5y</stp>
        <stp>BEST_FPERIOD_OVERRIDE=BF</stp>
        <tr r="Q139" s="1"/>
      </tp>
      <tp t="s">
        <v>US</v>
        <stp/>
        <stp>##V3_BDPV12</stp>
        <stp>RTY Index</stp>
        <stp>DS003</stp>
        <stp>[Index.xlsm]全球指數!R62C3</stp>
        <tr r="C62" s="1"/>
      </tp>
      <tp t="s">
        <v>羅素2000指數</v>
        <stp/>
        <stp>##V3_BDPV12</stp>
        <stp>RTY Index</stp>
        <stp>DS697</stp>
        <stp>[Index.xlsm]全球指數!R62C2</stp>
        <tr r="B62" s="1"/>
      </tp>
      <tp t="s">
        <v>#N/A N/A</v>
        <stp/>
        <stp>##V3_BDPV12</stp>
        <stp>CHLRGCAP Index</stp>
        <stp>PE_RATIO</stp>
        <stp>[Index.xlsm]全球指數!R130C18</stp>
        <tr r="R130" s="1"/>
      </tp>
      <tp t="s">
        <v>#N/A N/A</v>
        <stp/>
        <stp>##V3_BDPV12</stp>
        <stp>CHILE65 Index</stp>
        <stp>INTERVAL_HIGH</stp>
        <stp>[Index.xlsm]全球指數!R165C16</stp>
        <stp>MARKET_DATA_OVERRIDE=PE_RATIO</stp>
        <stp>CALC_INTERVAL=5y</stp>
        <stp>BEST_FPERIOD_OVERRIDE=BF</stp>
        <tr r="P165" s="1"/>
      </tp>
      <tp t="s">
        <v>QA</v>
        <stp/>
        <stp>##V3_BDPV12</stp>
        <stp>QETR Index</stp>
        <stp>DS003</stp>
        <stp>[Index.xlsm]全球指數!R144C3</stp>
        <tr r="C144" s="1"/>
      </tp>
      <tp>
        <v>23687.41015625</v>
        <stp/>
        <stp>##V3_BDPV12</stp>
        <stp>SX40 Index</stp>
        <stp>HIGH_52WEEK</stp>
        <stp>[Index.xlsm]全球指數!R320C6</stp>
        <tr r="F320" s="1"/>
      </tp>
      <tp>
        <v>1665.75</v>
        <stp/>
        <stp>##V3_BDPV12</stp>
        <stp>TA-35 Index</stp>
        <stp>HIGH_52WEEK</stp>
        <stp>[Index.xlsm]全球指數!R205C6</stp>
        <tr r="F205" s="1"/>
      </tp>
      <tp>
        <v>14.912552650146459</v>
        <stp/>
        <stp>##V3_BDPV12</stp>
        <stp>FBMKLCI Index</stp>
        <stp>INTERVAL_Low</stp>
        <stp>[Index.xlsm]全球指數!R226C17</stp>
        <stp>MARKET_DATA_OVERRIDE=PE_RATIO</stp>
        <stp>CALC_INTERVAL=5y</stp>
        <stp>BEST_FPERIOD_OVERRIDE=BF</stp>
        <tr r="Q226" s="1"/>
      </tp>
      <tp t="s">
        <v>瑞士SPI表現指數</v>
        <stp/>
        <stp>##V3_BDPV12</stp>
        <stp>SPI Index</stp>
        <stp>DS697</stp>
        <stp>[Index.xlsm]全球指數!R206C2</stp>
        <tr r="B206" s="1"/>
      </tp>
      <tp>
        <v>5.2922359999999999</v>
        <stp/>
        <stp>##V3_BDPV12</stp>
        <stp>TPXL70 Index</stp>
        <stp>PR064</stp>
        <stp>[Index.xlsm]全球指數!R278C14</stp>
        <tr r="N278" s="1"/>
      </tp>
      <tp t="s">
        <v>TH</v>
        <stp/>
        <stp>##V3_BDPV12</stp>
        <stp>SET Index</stp>
        <stp>DS003</stp>
        <stp>[Index.xlsm]全球指數!R220C3</stp>
        <tr r="C220" s="1"/>
      </tp>
      <tp>
        <v>4.6373405654013595</v>
        <stp/>
        <stp>##V3_BDPV12</stp>
        <stp>MOEXBC Index</stp>
        <stp>INTERVAL_Low</stp>
        <stp>[Index.xlsm]全球指數!R171C17</stp>
        <stp>MARKET_DATA_OVERRIDE=PE_RATIO</stp>
        <stp>CALC_INTERVAL=5y</stp>
        <stp>BEST_FPERIOD_OVERRIDE=BF</stp>
        <tr r="Q171" s="1"/>
      </tp>
      <tp>
        <v>11.818344072734781</v>
        <stp/>
        <stp>##V3_BDPV12</stp>
        <stp>OBXP Index</stp>
        <stp>INTERVAL_Low</stp>
        <stp>[Index.xlsm]全球指數!R47C17</stp>
        <stp>MARKET_DATA_OVERRIDE=PE_RATIO</stp>
        <stp>CALC_INTERVAL=5y</stp>
        <stp>BEST_FPERIOD_OVERRIDE=BF</stp>
        <tr r="Q47" s="1"/>
      </tp>
      <tp>
        <v>-9.4960749999999997E-2</v>
        <stp/>
        <stp>##V3_BDPV12</stp>
        <stp>SXAP INDEX</stp>
        <stp>CHG_PCT_1D</stp>
        <stp>[Index.xlsm]主要產業!R31C5</stp>
        <tr r="E31" s="2"/>
      </tp>
      <tp>
        <v>5.0196160000000001</v>
        <stp/>
        <stp>##V3_BDPV12</stp>
        <stp>s5cons index</stp>
        <stp>PR064</stp>
        <stp>[Index.xlsm]主要產業!R9C14</stp>
        <tr r="N9" s="2"/>
      </tp>
      <tp>
        <v>-4.0701229999999998E-2</v>
        <stp/>
        <stp>##V3_BDPV12</stp>
        <stp>s5cond index</stp>
        <stp>PR064</stp>
        <stp>[Index.xlsm]主要產業!R7C14</stp>
        <tr r="N7" s="2"/>
      </tp>
      <tp>
        <v>142.37</v>
        <stp/>
        <stp>##V3_BDPV12</stp>
        <stp>MSFT US Equity</stp>
        <stp>HIGH_52WEEK</stp>
        <stp>[Index.xlsm]主要產業!R2C26</stp>
        <tr r="Z2" s="2"/>
      </tp>
      <tp>
        <v>2122404926603.0002</v>
        <stp/>
        <stp>##V3_BDPV12</stp>
        <stp>s5cons index</stp>
        <stp>RR902</stp>
        <stp>[Index.xlsm]主要產業!R9C20</stp>
        <tr r="T9" s="2"/>
      </tp>
      <tp>
        <v>2681104416804</v>
        <stp/>
        <stp>##V3_BDPV12</stp>
        <stp>s5cond index</stp>
        <stp>RR902</stp>
        <stp>[Index.xlsm]主要產業!R7C20</stp>
        <tr r="T7" s="2"/>
      </tp>
      <tp>
        <v>19.394606982234464</v>
        <stp/>
        <stp>##V3_BDPV12</stp>
        <stp>s5hlth index</stp>
        <stp>PE_RATIO</stp>
        <stp>[Index.xlsm]主要產業!R3C18</stp>
        <tr r="R3" s="2"/>
      </tp>
      <tp>
        <v>0.292518</v>
        <stp/>
        <stp>##V3_BDPV12</stp>
        <stp>SH000914 Index</stp>
        <stp>CHG_PCT_1D</stp>
        <stp>[Index.xlsm]主要產業!R48C5</stp>
        <tr r="E48" s="2"/>
      </tp>
      <tp>
        <v>0.1308598</v>
        <stp/>
        <stp>##V3_BDPV12</stp>
        <stp>SX7P INDEX</stp>
        <stp>CHG_PCT_1D</stp>
        <stp>[Index.xlsm]主要產業!R21C5</stp>
        <tr r="E21" s="2"/>
      </tp>
      <tp>
        <v>12.237584731613588</v>
        <stp/>
        <stp>##V3_BDPV12</stp>
        <stp>IMC30 Index</stp>
        <stp>INTERVAL_Low</stp>
        <stp>[Index.xlsm]全球指數!R246C17</stp>
        <stp>MARKET_DATA_OVERRIDE=PE_RATIO</stp>
        <stp>CALC_INTERVAL=5y</stp>
        <stp>BEST_FPERIOD_OVERRIDE=BF</stp>
        <tr r="Q246" s="1"/>
      </tp>
      <tp>
        <v>14.800598940294911</v>
        <stp/>
        <stp>##V3_BDPV12</stp>
        <stp>TPXL70 Index</stp>
        <stp>PE_RATIO</stp>
        <stp>[Index.xlsm]全球指數!R278C18</stp>
        <tr r="R278" s="1"/>
      </tp>
      <tp>
        <v>9.461093</v>
        <stp/>
        <stp>##V3_BDPV12</stp>
        <stp>NZSE10 Index</stp>
        <stp>CHG_PCT_6M</stp>
        <stp>[Index.xlsm]全球指數!R249C13</stp>
        <tr r="M249" s="1"/>
      </tp>
      <tp t="s">
        <v>那斯達克100指數</v>
        <stp/>
        <stp>##V3_BDPV12</stp>
        <stp>NDX Index</stp>
        <stp>DS697</stp>
        <stp>[Index.xlsm]全球指數!R75C2</stp>
        <tr r="B75" s="1"/>
      </tp>
      <tp t="s">
        <v>US</v>
        <stp/>
        <stp>##V3_BDPV12</stp>
        <stp>NDX Index</stp>
        <stp>DS003</stp>
        <stp>[Index.xlsm]全球指數!R75C3</stp>
        <tr r="C75" s="1"/>
      </tp>
      <tp t="s">
        <v>智利加權綜合指數</v>
        <stp/>
        <stp>##V3_BDPV12</stp>
        <stp>IGPA Index</stp>
        <stp>DS697</stp>
        <stp>[Index.xlsm]全球指數!R167C2</stp>
        <tr r="B167" s="1"/>
      </tp>
      <tp t="s">
        <v>富時科技指數</v>
        <stp/>
        <stp>##V3_BDPV12</stp>
        <stp>T1X Index</stp>
        <stp>DS697</stp>
        <stp>[Index.xlsm]全球指數!R95C2</stp>
        <tr r="B95" s="1"/>
      </tp>
      <tp t="s">
        <v>US</v>
        <stp/>
        <stp>##V3_BDPV12</stp>
        <stp>QIV Index</stp>
        <stp>DS003</stp>
        <stp>[Index.xlsm]全球指數!R65C3</stp>
        <tr r="C65" s="1"/>
      </tp>
      <tp t="s">
        <v>那斯達克收盤後市場指數</v>
        <stp/>
        <stp>##V3_BDPV12</stp>
        <stp>QIV Index</stp>
        <stp>DS697</stp>
        <stp>[Index.xlsm]全球指數!R65C2</stp>
        <tr r="B65" s="1"/>
      </tp>
      <tp t="s">
        <v>委內瑞拉 IBC 指數</v>
        <stp/>
        <stp>##V3_BDPV12</stp>
        <stp>IBVC Index</stp>
        <stp>DS697</stp>
        <stp>[Index.xlsm]全球指數!R312C2</stp>
        <tr r="B312" s="1"/>
      </tp>
      <tp t="s">
        <v>GB</v>
        <stp/>
        <stp>##V3_BDPV12</stp>
        <stp>T1X Index</stp>
        <stp>DS003</stp>
        <stp>[Index.xlsm]全球指數!R95C3</stp>
        <tr r="C95" s="1"/>
      </tp>
      <tp>
        <v>3.2104339999999998</v>
        <stp/>
        <stp>##V3_BDPV12</stp>
        <stp>MSM30 Index</stp>
        <stp>CHG_PCT_3M</stp>
        <stp>[Index.xlsm]全球指數!R272C12</stp>
        <tr r="L272" s="1"/>
      </tp>
      <tp>
        <v>6824.5</v>
        <stp/>
        <stp>##V3_BDPV12</stp>
        <stp>AS52 Index</stp>
        <stp>HIGH_52WEEK</stp>
        <stp>[Index.xlsm]全球指數!R185C6</stp>
        <tr r="F185" s="1"/>
      </tp>
      <tp>
        <v>619.24</v>
        <stp/>
        <stp>##V3_BDPV12</stp>
        <stp>CH30 Index</stp>
        <stp>HIGH_52WEEK</stp>
        <stp>[Index.xlsm]全球指數!R157C6</stp>
        <tr r="F157" s="1"/>
      </tp>
      <tp t="s">
        <v>US</v>
        <stp/>
        <stp>##V3_BDPV12</stp>
        <stp>s5finl index</stp>
        <stp>DS003</stp>
        <stp>[Index.xlsm]主要產業!R4C3</stp>
        <tr r="C4" s="2"/>
      </tp>
      <tp>
        <v>0.66413100000000003</v>
        <stp/>
        <stp>##V3_BDPV12</stp>
        <stp>IVBX2 Index</stp>
        <stp>CHG_PCT_5D</stp>
        <stp>[Index.xlsm]全球指數!R274C10</stp>
        <tr r="J274" s="1"/>
      </tp>
      <tp>
        <v>-9.5463500000000003</v>
        <stp/>
        <stp>##V3_BDPV12</stp>
        <stp>PSI20 Index</stp>
        <stp>CHG_PCT_1YR</stp>
        <stp>[Index.xlsm]全球指數!R23C15</stp>
        <tr r="O23" s="1"/>
      </tp>
      <tp t="s">
        <v>SA</v>
        <stp/>
        <stp>##V3_BDPV12</stp>
        <stp>JALSH Index</stp>
        <stp>DS003</stp>
        <stp>[Index.xlsm]全球指數!R71C3</stp>
        <tr r="C71" s="1"/>
      </tp>
      <tp t="s">
        <v>#N/A N/A</v>
        <stp/>
        <stp>##V3_BDPV12</stp>
        <stp>HSCI Index</stp>
        <stp>INTERVAL_Low</stp>
        <stp>[Index.xlsm]全球指數!R60C17</stp>
        <stp>MARKET_DATA_OVERRIDE=PE_RATIO</stp>
        <stp>CALC_INTERVAL=5y</stp>
        <stp>BEST_FPERIOD_OVERRIDE=BF</stp>
        <tr r="Q60" s="1"/>
      </tp>
      <tp t="s">
        <v>FTSE/JSE南非綜合指數</v>
        <stp/>
        <stp>##V3_BDPV12</stp>
        <stp>JALSH Index</stp>
        <stp>DS697</stp>
        <stp>[Index.xlsm]全球指數!R71C2</stp>
        <tr r="B71" s="1"/>
      </tp>
      <tp>
        <v>14659.21</v>
        <stp/>
        <stp>##V3_BDPV12</stp>
        <stp>KSE30 Index</stp>
        <stp>PX_LAST</stp>
        <stp>[Index.xlsm]全球指數!R17C4</stp>
        <tr r="D17" s="1"/>
      </tp>
      <tp t="s">
        <v>那斯達克開盤前市場指數</v>
        <stp/>
        <stp>##V3_BDPV12</stp>
        <stp>QMI Index</stp>
        <stp>DS697</stp>
        <stp>[Index.xlsm]全球指數!R103C2</stp>
        <tr r="B103" s="1"/>
      </tp>
      <tp>
        <v>4.5194679999999998</v>
        <stp/>
        <stp>##V3_BDPV12</stp>
        <stp>TPX500 Index</stp>
        <stp>PR064</stp>
        <stp>[Index.xlsm]全球指數!R283C14</stp>
        <tr r="N283" s="1"/>
      </tp>
      <tp>
        <v>4.6520000000000001</v>
        <stp/>
        <stp>##V3_BDPV12</stp>
        <stp>TPX100 Index</stp>
        <stp>PR064</stp>
        <stp>[Index.xlsm]全球指數!R271C14</stp>
        <tr r="N271" s="1"/>
      </tp>
      <tp>
        <v>13.065850282702787</v>
        <stp/>
        <stp>##V3_BDPV12</stp>
        <stp>HEXP Index</stp>
        <stp>INTERVAL_Low</stp>
        <stp>[Index.xlsm]全球指數!R93C17</stp>
        <stp>MARKET_DATA_OVERRIDE=PE_RATIO</stp>
        <stp>CALC_INTERVAL=5y</stp>
        <stp>BEST_FPERIOD_OVERRIDE=BF</stp>
        <tr r="Q93" s="1"/>
      </tp>
      <tp>
        <v>12.399891377740767</v>
        <stp/>
        <stp>##V3_BDPV12</stp>
        <stp>HDAX Index</stp>
        <stp>INTERVAL_Low</stp>
        <stp>[Index.xlsm]全球指數!R86C17</stp>
        <stp>MARKET_DATA_OVERRIDE=PE_RATIO</stp>
        <stp>CALC_INTERVAL=5y</stp>
        <stp>BEST_FPERIOD_OVERRIDE=BF</stp>
        <tr r="Q86" s="1"/>
      </tp>
      <tp t="s">
        <v>華沙WIG指數</v>
        <stp/>
        <stp>##V3_BDPV12</stp>
        <stp>WIG Index</stp>
        <stp>DS697</stp>
        <stp>[Index.xlsm]全球指數!R115C2</stp>
        <tr r="B115" s="1"/>
      </tp>
      <tp>
        <v>504.67</v>
        <stp/>
        <stp>##V3_BDPV12</stp>
        <stp>s5indu Index</stp>
        <stp>LOW_52WEEK</stp>
        <stp>[Index.xlsm]主要產業!R8C8</stp>
        <tr r="H8" s="2"/>
      </tp>
      <tp>
        <v>35.359149013922526</v>
        <stp/>
        <stp>##V3_BDPV12</stp>
        <stp>SWIG80 Index</stp>
        <stp>INTERVAL_HIGH</stp>
        <stp>[Index.xlsm]全球指數!R191C16</stp>
        <stp>MARKET_DATA_OVERRIDE=PE_RATIO</stp>
        <stp>CALC_INTERVAL=5y</stp>
        <stp>BEST_FPERIOD_OVERRIDE=BF</stp>
        <tr r="P191" s="1"/>
      </tp>
      <tp>
        <v>-4.9815270000000002E-2</v>
        <stp/>
        <stp>##V3_BDPV12</stp>
        <stp>SXTP INDEX</stp>
        <stp>CHG_PCT_1D</stp>
        <stp>[Index.xlsm]主要產業!R36C5</stp>
        <tr r="E36" s="2"/>
      </tp>
      <tp>
        <v>124.31</v>
        <stp/>
        <stp>##V3_BDPV12</stp>
        <stp>PG US Equity</stp>
        <stp>PX_LAST</stp>
        <stp>[Index.xlsm]主要產業!R8C24</stp>
        <tr r="X8" s="2"/>
      </tp>
      <tp>
        <v>335.42</v>
        <stp/>
        <stp>##V3_BDPV12</stp>
        <stp>SXRP INDEX</stp>
        <stp>HIGH_52WEEK</stp>
        <stp>[Index.xlsm]主要產業!R28C6</stp>
        <tr r="F28" s="2"/>
      </tp>
      <tp>
        <v>0.75013099999999999</v>
        <stp/>
        <stp>##V3_BDPV12</stp>
        <stp>SX8P INDEX</stp>
        <stp>CHG_PCT_1D</stp>
        <stp>[Index.xlsm]主要產業!R26C5</stp>
        <tr r="E26" s="2"/>
      </tp>
      <tp>
        <v>7.0452050000000002</v>
        <stp/>
        <stp>##V3_BDPV12</stp>
        <stp>TR20I Index</stp>
        <stp>PR064</stp>
        <stp>[Index.xlsm]全球指數!R296C14</stp>
        <tr r="N296" s="1"/>
      </tp>
      <tp t="s">
        <v>AS</v>
        <stp/>
        <stp>##V3_BDPV12</stp>
        <stp>ATX Index</stp>
        <stp>DS003</stp>
        <stp>[Index.xlsm]全球指數!R34C3</stp>
        <tr r="C34" s="1"/>
      </tp>
      <tp t="s">
        <v>奧地利維也納ATX指數</v>
        <stp/>
        <stp>##V3_BDPV12</stp>
        <stp>ATX Index</stp>
        <stp>DS697</stp>
        <stp>[Index.xlsm]全球指數!R34C2</stp>
        <tr r="B34" s="1"/>
      </tp>
      <tp t="s">
        <v>馬德里綜合指數</v>
        <stp/>
        <stp>##V3_BDPV12</stp>
        <stp>MADX Index</stp>
        <stp>DS697</stp>
        <stp>[Index.xlsm]全球指數!R210C2</stp>
        <tr r="B210" s="1"/>
      </tp>
      <tp t="s">
        <v>那斯達克其他金融類指數</v>
        <stp/>
        <stp>##V3_BDPV12</stp>
        <stp>CFIN Index</stp>
        <stp>DS697</stp>
        <stp>[Index.xlsm]全球指數!R137C2</stp>
        <tr r="B137" s="1"/>
      </tp>
      <tp t="s">
        <v>BZ</v>
        <stp/>
        <stp>##V3_BDPV12</stp>
        <stp>IGCX Index</stp>
        <stp>DS003</stp>
        <stp>[Index.xlsm]全球指數!R270C3</stp>
        <tr r="C270" s="1"/>
      </tp>
      <tp t="s">
        <v>QE總報酬指數</v>
        <stp/>
        <stp>##V3_BDPV12</stp>
        <stp>QETR Index</stp>
        <stp>DS697</stp>
        <stp>[Index.xlsm]全球指數!R144C2</stp>
        <tr r="B144" s="1"/>
      </tp>
      <tp>
        <v>-19.884</v>
        <stp/>
        <stp>##V3_BDPV12</stp>
        <stp>MAR Index</stp>
        <stp>CHG_PCT_1YR</stp>
        <stp>[Index.xlsm]全球指數!R5C15</stp>
        <tr r="O5" s="1"/>
      </tp>
      <tp>
        <v>13.523709999999999</v>
        <stp/>
        <stp>##V3_BDPV12</stp>
        <stp>IBX50 Index</stp>
        <stp>CHG_PCT_6M</stp>
        <stp>[Index.xlsm]全球指數!R290C13</stp>
        <tr r="M290" s="1"/>
      </tp>
      <tp>
        <v>5177.9589999999998</v>
        <stp/>
        <stp>##V3_BDPV12</stp>
        <stp>SZ399550 Index</stp>
        <stp>LOW_52WEEK</stp>
        <stp>[Index.xlsm]全球指數!R59C8</stp>
        <tr r="H59" s="1"/>
      </tp>
      <tp>
        <v>2420.94</v>
        <stp/>
        <stp>##V3_BDPV12</stp>
        <stp>WIG20 Index</stp>
        <stp>HIGH_52WEEK</stp>
        <stp>[Index.xlsm]全球指數!R145C6</stp>
        <tr r="F145" s="1"/>
      </tp>
      <tp>
        <v>-1.504645</v>
        <stp/>
        <stp>##V3_BDPV12</stp>
        <stp>IMC30 Index</stp>
        <stp>CHG_PCT_6M</stp>
        <stp>[Index.xlsm]全球指數!R246C13</stp>
        <tr r="M246" s="1"/>
      </tp>
      <tp t="s">
        <v>SZ</v>
        <stp/>
        <stp>##V3_BDPV12</stp>
        <stp>SPI Index</stp>
        <stp>DS003</stp>
        <stp>[Index.xlsm]全球指數!R206C3</stp>
        <tr r="C206" s="1"/>
      </tp>
      <tp>
        <v>3967.0279999999998</v>
        <stp/>
        <stp>##V3_BDPV12</stp>
        <stp>HEX25 Index</stp>
        <stp>PX_LAST</stp>
        <stp>[Index.xlsm]全球指數!R67C4</stp>
        <tr r="D67" s="1"/>
      </tp>
      <tp>
        <v>6.6621040000000002</v>
        <stp/>
        <stp>##V3_BDPV12</stp>
        <stp>XU100 Index</stp>
        <stp>PR064</stp>
        <stp>[Index.xlsm]全球指數!R298C14</stp>
        <tr r="N298" s="1"/>
      </tp>
      <tp>
        <v>-0.41887010000000002</v>
        <stp/>
        <stp>##V3_BDPV12</stp>
        <stp>SSE180 Index</stp>
        <stp>CHG_PCT_1D</stp>
        <stp>[Index.xlsm]全球指數!R74C5</stp>
        <tr r="E74" s="1"/>
      </tp>
      <tp>
        <v>1.8247230000000001</v>
        <stp/>
        <stp>##V3_BDPV12</stp>
        <stp>BE500 Index</stp>
        <stp>PR064</stp>
        <stp>[Index.xlsm]全球指數!R202C14</stp>
        <tr r="N202" s="1"/>
      </tp>
      <tp>
        <v>14.409801501982718</v>
        <stp/>
        <stp>##V3_BDPV12</stp>
        <stp>IVBX2 Index</stp>
        <stp>INTERVAL_Low</stp>
        <stp>[Index.xlsm]全球指數!R274C17</stp>
        <stp>MARKET_DATA_OVERRIDE=PE_RATIO</stp>
        <stp>CALC_INTERVAL=5y</stp>
        <stp>BEST_FPERIOD_OVERRIDE=BF</stp>
        <tr r="Q274" s="1"/>
      </tp>
      <tp t="s">
        <v>泰國曼谷SET指數</v>
        <stp/>
        <stp>##V3_BDPV12</stp>
        <stp>SET Index</stp>
        <stp>DS697</stp>
        <stp>[Index.xlsm]全球指數!R220C2</stp>
        <tr r="B220" s="1"/>
      </tp>
      <tp>
        <v>7.425359281814802</v>
        <stp/>
        <stp>##V3_BDPV12</stp>
        <stp>BGSMDC Index</stp>
        <stp>PE_RATIO</stp>
        <stp>[Index.xlsm]全球指數!R257C18</stp>
        <tr r="R257" s="1"/>
      </tp>
      <tp>
        <v>0.84808539999999999</v>
        <stp/>
        <stp>##V3_BDPV12</stp>
        <stp>s5hlth index</stp>
        <stp>CHG_PCT_1M</stp>
        <stp>[Index.xlsm]主要產業!R3C11</stp>
        <tr r="K3" s="2"/>
      </tp>
      <tp>
        <v>-2.8132100000000002</v>
        <stp/>
        <stp>##V3_BDPV12</stp>
        <stp>s5hlth index</stp>
        <stp>CHG_PCT_3M</stp>
        <stp>[Index.xlsm]主要產業!R3C12</stp>
        <tr r="L3" s="2"/>
      </tp>
      <tp>
        <v>-2.0136270000000001</v>
        <stp/>
        <stp>##V3_BDPV12</stp>
        <stp>s5hlth index</stp>
        <stp>CHG_PCT_5D</stp>
        <stp>[Index.xlsm]主要產業!R3C10</stp>
        <tr r="J3" s="2"/>
      </tp>
      <tp>
        <v>-0.84359170000000006</v>
        <stp/>
        <stp>##V3_BDPV12</stp>
        <stp>s5hlth index</stp>
        <stp>CHG_PCT_6M</stp>
        <stp>[Index.xlsm]主要產業!R3C13</stp>
        <tr r="M3" s="2"/>
      </tp>
      <tp>
        <v>0.37455569999999999</v>
        <stp/>
        <stp>##V3_BDPV12</stp>
        <stp>SX4P INDEX</stp>
        <stp>CHG_PCT_1D</stp>
        <stp>[Index.xlsm]主要產業!R27C5</stp>
        <tr r="E27" s="2"/>
      </tp>
      <tp>
        <v>17802.96</v>
        <stp/>
        <stp>##V3_BDPV12</stp>
        <stp>XIN0I Index</stp>
        <stp>PX_LAST</stp>
        <stp>[Index.xlsm]全球指數!R96C4</stp>
        <tr r="D96" s="1"/>
      </tp>
      <tp>
        <v>66.619339999999994</v>
        <stp/>
        <stp>##V3_BDPV12</stp>
        <stp>OSX Index</stp>
        <stp>PX_LAST</stp>
        <stp>[Index.xlsm]全球指數!R2C4</stp>
        <tr r="D2" s="1"/>
      </tp>
      <tp t="s">
        <v>SZ</v>
        <stp/>
        <stp>##V3_BDPV12</stp>
        <stp>SMIM Index</stp>
        <stp>DS003</stp>
        <stp>[Index.xlsm]全球指數!R199C3</stp>
        <tr r="C199" s="1"/>
      </tp>
      <tp t="s">
        <v>西班牙IBEX35指數</v>
        <stp/>
        <stp>##V3_BDPV12</stp>
        <stp>IBEX Index</stp>
        <stp>DS697</stp>
        <stp>[Index.xlsm]全球指數!R240C2</stp>
        <tr r="B240" s="1"/>
      </tp>
      <tp t="s">
        <v>GE</v>
        <stp/>
        <stp>##V3_BDPV12</stp>
        <stp>PXAP Index</stp>
        <stp>DS003</stp>
        <stp>[Index.xlsm]全球指數!R80C3</stp>
        <tr r="C80" s="1"/>
      </tp>
      <tp t="s">
        <v>HK</v>
        <stp/>
        <stp>##V3_BDPV12</stp>
        <stp>HSI Index</stp>
        <stp>DS003</stp>
        <stp>[Index.xlsm]全球指數!R77C3</stp>
        <tr r="C77" s="1"/>
      </tp>
      <tp t="s">
        <v>香港恆生指數</v>
        <stp/>
        <stp>##V3_BDPV12</stp>
        <stp>HSI Index</stp>
        <stp>DS697</stp>
        <stp>[Index.xlsm]全球指數!R77C2</stp>
        <tr r="B77" s="1"/>
      </tp>
      <tp>
        <v>1808.17</v>
        <stp/>
        <stp>##V3_BDPV12</stp>
        <stp>TPXM400 Index</stp>
        <stp>PX_LAST</stp>
        <stp>[Index.xlsm]全球指數!R294C4</stp>
        <tr r="D294" s="1"/>
      </tp>
      <tp t="s">
        <v>法蘭克福標準股表現指數</v>
        <stp/>
        <stp>##V3_BDPV12</stp>
        <stp>PXAP Index</stp>
        <stp>DS697</stp>
        <stp>[Index.xlsm]全球指數!R80C2</stp>
        <tr r="B80" s="1"/>
      </tp>
      <tp t="s">
        <v>GB</v>
        <stp/>
        <stp>##V3_BDPV12</stp>
        <stp>SMX Index</stp>
        <stp>DS003</stp>
        <stp>[Index.xlsm]全球指數!R87C3</stp>
        <tr r="C87" s="1"/>
      </tp>
      <tp>
        <v>3.8830800000000001</v>
        <stp/>
        <stp>##V3_BDPV12</stp>
        <stp>BELEX15 Index</stp>
        <stp>PR064</stp>
        <stp>[Index.xlsm]全球指數!R244C14</stp>
        <tr r="N244" s="1"/>
      </tp>
      <tp t="s">
        <v>富時小型股指數</v>
        <stp/>
        <stp>##V3_BDPV12</stp>
        <stp>SMX Index</stp>
        <stp>DS697</stp>
        <stp>[Index.xlsm]全球指數!R87C2</stp>
        <tr r="B87" s="1"/>
      </tp>
      <tp>
        <v>3048.8229999999999</v>
        <stp/>
        <stp>##V3_BDPV12</stp>
        <stp>SSE50 Index</stp>
        <stp>HIGH_52WEEK</stp>
        <stp>[Index.xlsm]全球指數!R132C6</stp>
        <tr r="F132" s="1"/>
      </tp>
      <tp>
        <v>1.555712</v>
        <stp/>
        <stp>##V3_BDPV12</stp>
        <stp>MSM30 Index</stp>
        <stp>CHG_PCT_1M</stp>
        <stp>[Index.xlsm]全球指數!R272C11</stp>
        <tr r="K272" s="1"/>
      </tp>
      <tp>
        <v>133621.296875</v>
        <stp/>
        <stp>##V3_BDPV12</stp>
        <stp>XU030 Index</stp>
        <stp>HIGH_52WEEK</stp>
        <stp>[Index.xlsm]全球指數!R299C6</stp>
        <tr r="F299" s="1"/>
      </tp>
      <tp>
        <v>8514.26</v>
        <stp/>
        <stp>##V3_BDPV12</stp>
        <stp>TW50 Index</stp>
        <stp>HIGH_52WEEK</stp>
        <stp>[Index.xlsm]全球指數!R235C6</stp>
        <tr r="F235" s="1"/>
      </tp>
      <tp>
        <v>0</v>
        <stp/>
        <stp>##V3_BDPV12</stp>
        <stp>IMC30 Index</stp>
        <stp>CHG_PCT_5D</stp>
        <stp>[Index.xlsm]全球指數!R246C10</stp>
        <tr r="J246" s="1"/>
      </tp>
      <tp>
        <v>1.0777950000000001</v>
        <stp/>
        <stp>##V3_BDPV12</stp>
        <stp>IBX50 Index</stp>
        <stp>CHG_PCT_5D</stp>
        <stp>[Index.xlsm]全球指數!R290C10</stp>
        <tr r="J290" s="1"/>
      </tp>
      <tp>
        <v>-20.707750000000001</v>
        <stp/>
        <stp>##V3_BDPV12</stp>
        <stp>IBG Index</stp>
        <stp>CHG_PCT_1YR</stp>
        <stp>[Index.xlsm]全球指數!R3C15</stp>
        <tr r="O3" s="1"/>
      </tp>
      <tp t="s">
        <v>US</v>
        <stp/>
        <stp>##V3_BDPV12</stp>
        <stp>UTY Index</stp>
        <stp>DS003</stp>
        <stp>[Index.xlsm]全球指數!R303C3</stp>
        <tr r="C303" s="1"/>
      </tp>
      <tp t="s">
        <v>#N/A N/A</v>
        <stp/>
        <stp>##V3_BDPV12</stp>
        <stp>HKSPGEM Index</stp>
        <stp>INTERVAL_Low</stp>
        <stp>[Index.xlsm]全球指數!R151C17</stp>
        <stp>MARKET_DATA_OVERRIDE=PE_RATIO</stp>
        <stp>CALC_INTERVAL=5y</stp>
        <stp>BEST_FPERIOD_OVERRIDE=BF</stp>
        <tr r="Q151" s="1"/>
      </tp>
      <tp>
        <v>2.2498119999999999</v>
        <stp/>
        <stp>##V3_BDPV12</stp>
        <stp>SBF250 Index</stp>
        <stp>PR064</stp>
        <stp>[Index.xlsm]全球指數!R164C14</stp>
        <tr r="N164" s="1"/>
      </tp>
      <tp>
        <v>2.3070789999999999</v>
        <stp/>
        <stp>##V3_BDPV12</stp>
        <stp>TA-35 Index</stp>
        <stp>PR064</stp>
        <stp>[Index.xlsm]全球指數!R205C14</stp>
        <tr r="N205" s="1"/>
      </tp>
      <tp t="s">
        <v>US</v>
        <stp/>
        <stp>##V3_BDPV12</stp>
        <stp>SPR Index</stp>
        <stp>DS003</stp>
        <stp>[Index.xlsm]全球指數!R135C3</stp>
        <tr r="C135" s="1"/>
      </tp>
      <tp>
        <v>4.4148940000000003</v>
        <stp/>
        <stp>##V3_BDPV12</stp>
        <stp>TA-125 Index</stp>
        <stp>PR064</stp>
        <stp>[Index.xlsm]全球指數!R258C14</stp>
        <tr r="N258" s="1"/>
      </tp>
      <tp t="s">
        <v>海峽時報指數</v>
        <stp/>
        <stp>##V3_BDPV12</stp>
        <stp>STI Index</stp>
        <stp>DS697</stp>
        <stp>[Index.xlsm]全球指數!R123C2</stp>
        <tr r="B123" s="1"/>
      </tp>
      <tp>
        <v>5.6705370000000004</v>
        <stp/>
        <stp>##V3_BDPV12</stp>
        <stp>XU030 Index</stp>
        <stp>PR064</stp>
        <stp>[Index.xlsm]全球指數!R299C14</stp>
        <tr r="N299" s="1"/>
      </tp>
      <tp>
        <v>-0.77099260000000003</v>
        <stp/>
        <stp>##V3_BDPV12</stp>
        <stp>SHSZ300 Index</stp>
        <stp>CHG_PCT_1D</stp>
        <stp>[Index.xlsm]全球指數!R44C5</stp>
        <tr r="E44" s="1"/>
      </tp>
      <tp t="s">
        <v>OMX赫爾辛基25指數</v>
        <stp/>
        <stp>##V3_BDPV12</stp>
        <stp>HEX25 Index</stp>
        <stp>DS697</stp>
        <stp>[Index.xlsm]全球指數!R67C2</stp>
        <tr r="B67" s="1"/>
      </tp>
      <tp t="s">
        <v>FR</v>
        <stp/>
        <stp>##V3_BDPV12</stp>
        <stp>PAX Index</stp>
        <stp>DS003</stp>
        <stp>[Index.xlsm]全球指數!R146C3</stp>
        <tr r="C146" s="1"/>
      </tp>
      <tp t="s">
        <v>FI</v>
        <stp/>
        <stp>##V3_BDPV12</stp>
        <stp>HEX25 Index</stp>
        <stp>DS003</stp>
        <stp>[Index.xlsm]全球指數!R67C3</stp>
        <tr r="C67" s="1"/>
      </tp>
      <tp>
        <v>0.13156090000000001</v>
        <stp/>
        <stp>##V3_BDPV12</stp>
        <stp>EUE15P Index</stp>
        <stp>CHG_PCT_1D</stp>
        <stp>[Index.xlsm]全球指數!R57C5</stp>
        <tr r="E57" s="1"/>
      </tp>
      <tp>
        <v>11116.6</v>
        <stp/>
        <stp>##V3_BDPV12</stp>
        <stp>CM100 Index</stp>
        <stp>LOW_52WEEK</stp>
        <stp>[Index.xlsm]全球指數!R88C8</stp>
        <tr r="H88" s="1"/>
      </tp>
      <tp>
        <v>2.7466470250490356</v>
        <stp/>
        <stp>##V3_BDPV12</stp>
        <stp>FTASE Index</stp>
        <stp>INTERVAL_Low</stp>
        <stp>[Index.xlsm]全球指數!R141C17</stp>
        <stp>MARKET_DATA_OVERRIDE=PE_RATIO</stp>
        <stp>CALC_INTERVAL=5y</stp>
        <stp>BEST_FPERIOD_OVERRIDE=BF</stp>
        <tr r="Q141" s="1"/>
      </tp>
      <tp>
        <v>-0.3761292</v>
        <stp/>
        <stp>##V3_BDPV12</stp>
        <stp>IMC30 Index</stp>
        <stp>PR064</stp>
        <stp>[Index.xlsm]全球指數!R246C14</stp>
        <tr r="N246" s="1"/>
      </tp>
      <tp t="s">
        <v>羅素3000指數</v>
        <stp/>
        <stp>##V3_BDPV12</stp>
        <stp>RAY Index</stp>
        <stp>DS697</stp>
        <stp>[Index.xlsm]全球指數!R122C2</stp>
        <tr r="B122" s="1"/>
      </tp>
      <tp>
        <v>3.2104339999999998</v>
        <stp/>
        <stp>##V3_BDPV12</stp>
        <stp>MSM30 Index</stp>
        <stp>PR064</stp>
        <stp>[Index.xlsm]全球指數!R272C14</stp>
        <tr r="N272" s="1"/>
      </tp>
      <tp>
        <v>0.75387879999999996</v>
        <stp/>
        <stp>##V3_BDPV12</stp>
        <stp>SXIP INDEX</stp>
        <stp>CHG_PCT_1D</stp>
        <stp>[Index.xlsm]主要產業!R24C5</stp>
        <tr r="E24" s="2"/>
      </tp>
      <tp>
        <v>2.7329979999999998</v>
        <stp/>
        <stp>##V3_BDPV12</stp>
        <stp>s5finl index</stp>
        <stp>PR064</stp>
        <stp>[Index.xlsm]主要產業!R4C14</stp>
        <tr r="N4" s="2"/>
      </tp>
      <tp>
        <v>3248664867212</v>
        <stp/>
        <stp>##V3_BDPV12</stp>
        <stp>s5finl index</stp>
        <stp>RR902</stp>
        <stp>[Index.xlsm]主要產業!R4C20</stp>
        <tr r="T4" s="2"/>
      </tp>
      <tp>
        <v>5.0196160000000001</v>
        <stp/>
        <stp>##V3_BDPV12</stp>
        <stp>s5cons index</stp>
        <stp>CHG_PCT_3M</stp>
        <stp>[Index.xlsm]主要產業!R9C12</stp>
        <tr r="L9" s="2"/>
      </tp>
      <tp>
        <v>1.6806840000000001</v>
        <stp/>
        <stp>##V3_BDPV12</stp>
        <stp>s5cons index</stp>
        <stp>CHG_PCT_1M</stp>
        <stp>[Index.xlsm]主要產業!R9C11</stp>
        <tr r="K9" s="2"/>
      </tp>
      <tp>
        <v>1.06904</v>
        <stp/>
        <stp>##V3_BDPV12</stp>
        <stp>s5cons index</stp>
        <stp>CHG_PCT_5D</stp>
        <stp>[Index.xlsm]主要產業!R9C10</stp>
        <tr r="J9" s="2"/>
      </tp>
      <tp>
        <v>9.2686259999999994</v>
        <stp/>
        <stp>##V3_BDPV12</stp>
        <stp>s5cons index</stp>
        <stp>CHG_PCT_6M</stp>
        <stp>[Index.xlsm]主要產業!R9C13</stp>
        <tr r="M9" s="2"/>
      </tp>
      <tp>
        <v>5.7708120000000003</v>
        <stp/>
        <stp>##V3_BDPV12</stp>
        <stp>s5cond index</stp>
        <stp>CHG_PCT_6M</stp>
        <stp>[Index.xlsm]主要產業!R7C13</stp>
        <tr r="M7" s="2"/>
      </tp>
      <tp>
        <v>-1.719622</v>
        <stp/>
        <stp>##V3_BDPV12</stp>
        <stp>s5cond index</stp>
        <stp>CHG_PCT_5D</stp>
        <stp>[Index.xlsm]主要產業!R7C10</stp>
        <tr r="J7" s="2"/>
      </tp>
      <tp>
        <v>2.2690220000000001</v>
        <stp/>
        <stp>##V3_BDPV12</stp>
        <stp>s5cond index</stp>
        <stp>CHG_PCT_1M</stp>
        <stp>[Index.xlsm]主要產業!R7C11</stp>
        <tr r="K7" s="2"/>
      </tp>
      <tp>
        <v>-4.0701229999999998E-2</v>
        <stp/>
        <stp>##V3_BDPV12</stp>
        <stp>s5cond index</stp>
        <stp>CHG_PCT_3M</stp>
        <stp>[Index.xlsm]主要產業!R7C12</stp>
        <tr r="L7" s="2"/>
      </tp>
      <tp>
        <v>-4.7925550000000001</v>
        <stp/>
        <stp>##V3_BDPV12</stp>
        <stp>EGX30 Index</stp>
        <stp>CHG_PCT_6M</stp>
        <stp>[Index.xlsm]全球指數!R7C13</stp>
        <tr r="M7" s="1"/>
      </tp>
      <tp>
        <v>-6.0028899999999998</v>
        <stp/>
        <stp>##V3_BDPV12</stp>
        <stp>EGX30 Index</stp>
        <stp>CHG_PCT_5D</stp>
        <stp>[Index.xlsm]全球指數!R7C10</stp>
        <tr r="J7" s="1"/>
      </tp>
      <tp>
        <v>-2.9851220000000001</v>
        <stp/>
        <stp>##V3_BDPV12</stp>
        <stp>EGX30 Index</stp>
        <stp>CHG_PCT_1M</stp>
        <stp>[Index.xlsm]全球指數!R7C11</stp>
        <tr r="K7" s="1"/>
      </tp>
      <tp>
        <v>-1.7277119999999999</v>
        <stp/>
        <stp>##V3_BDPV12</stp>
        <stp>EGX30 Index</stp>
        <stp>CHG_PCT_3M</stp>
        <stp>[Index.xlsm]全球指數!R7C12</stp>
        <tr r="L7" s="1"/>
      </tp>
      <tp>
        <v>0.13672570000000001</v>
        <stp/>
        <stp>##V3_BDPV12</stp>
        <stp>NZSE10 Index</stp>
        <stp>CHG_PCT_5D</stp>
        <stp>[Index.xlsm]全球指數!R249C10</stp>
        <tr r="J249" s="1"/>
      </tp>
      <tp>
        <v>1914.05</v>
        <stp/>
        <stp>##V3_BDPV12</stp>
        <stp>KOSPI100 Index</stp>
        <stp>LOW_52WEEK</stp>
        <stp>[Index.xlsm]全球指數!R195C8</stp>
        <tr r="H195" s="1"/>
      </tp>
      <tp>
        <v>827.16</v>
        <stp/>
        <stp>##V3_BDPV12</stp>
        <stp>SASX10 Index</stp>
        <stp>HIGH_52WEEK</stp>
        <stp>[Index.xlsm]全球指數!R293C6</stp>
        <tr r="F293" s="1"/>
      </tp>
      <tp t="s">
        <v>GB</v>
        <stp/>
        <stp>##V3_BDPV12</stp>
        <stp>AXX Index</stp>
        <stp>DS003</stp>
        <stp>[Index.xlsm]全球指數!R76C3</stp>
        <tr r="C76" s="1"/>
      </tp>
      <tp t="s">
        <v>富時另類投資指數</v>
        <stp/>
        <stp>##V3_BDPV12</stp>
        <stp>AXX Index</stp>
        <stp>DS697</stp>
        <stp>[Index.xlsm]全球指數!R76C2</stp>
        <tr r="B76" s="1"/>
      </tp>
      <tp>
        <v>14.372650279835627</v>
        <stp/>
        <stp>##V3_BDPV12</stp>
        <stp>KOSPI50 Index</stp>
        <stp>INTERVAL_HIGH</stp>
        <stp>[Index.xlsm]全球指數!R208C16</stp>
        <stp>MARKET_DATA_OVERRIDE=PE_RATIO</stp>
        <stp>CALC_INTERVAL=5y</stp>
        <stp>BEST_FPERIOD_OVERRIDE=BF</stp>
        <tr r="P208" s="1"/>
      </tp>
      <tp t="s">
        <v>LE</v>
        <stp/>
        <stp>##V3_BDPV12</stp>
        <stp>BLOM Index</stp>
        <stp>DS003</stp>
        <stp>[Index.xlsm]全球指數!R259C3</stp>
        <tr r="C259" s="1"/>
      </tp>
      <tp t="s">
        <v>BZ</v>
        <stp/>
        <stp>##V3_BDPV12</stp>
        <stp>IBOV Index</stp>
        <stp>DS003</stp>
        <stp>[Index.xlsm]全球指數!R287C3</stp>
        <tr r="C287" s="1"/>
      </tp>
      <tp t="s">
        <v>挪威奧斯陸OBX指數</v>
        <stp/>
        <stp>##V3_BDPV12</stp>
        <stp>OBX Index</stp>
        <stp>DS697</stp>
        <stp>[Index.xlsm]全球指數!R46C2</stp>
        <tr r="B46" s="1"/>
      </tp>
      <tp t="s">
        <v>維也納新歐洲藍籌股指數</v>
        <stp/>
        <stp>##V3_BDPV12</stp>
        <stp>NTX Index</stp>
        <stp>DS697</stp>
        <stp>[Index.xlsm]全球指數!R66C2</stp>
        <tr r="B66" s="1"/>
      </tp>
      <tp t="s">
        <v>NO</v>
        <stp/>
        <stp>##V3_BDPV12</stp>
        <stp>OBX Index</stp>
        <stp>DS003</stp>
        <stp>[Index.xlsm]全球指數!R46C3</stp>
        <tr r="C46" s="1"/>
      </tp>
      <tp t="s">
        <v>EC</v>
        <stp/>
        <stp>##V3_BDPV12</stp>
        <stp>NTX Index</stp>
        <stp>DS003</stp>
        <stp>[Index.xlsm]全球指數!R66C3</stp>
        <tr r="C66" s="1"/>
      </tp>
      <tp t="s">
        <v>SW</v>
        <stp/>
        <stp>##V3_BDPV12</stp>
        <stp>SAX Index</stp>
        <stp>DS003</stp>
        <stp>[Index.xlsm]全球指數!R56C3</stp>
        <tr r="C56" s="1"/>
      </tp>
      <tp t="s">
        <v>烏克蘭 PFTS指數</v>
        <stp/>
        <stp>##V3_BDPV12</stp>
        <stp>PFTS Index</stp>
        <stp>DS697</stp>
        <stp>[Index.xlsm]全球指數!R295C2</stp>
        <tr r="B295" s="1"/>
      </tp>
      <tp t="s">
        <v>OMX斯德哥爾摩全股指數</v>
        <stp/>
        <stp>##V3_BDPV12</stp>
        <stp>SAX Index</stp>
        <stp>DS697</stp>
        <stp>[Index.xlsm]全球指數!R56C2</stp>
        <tr r="B56" s="1"/>
      </tp>
      <tp>
        <v>-7.2088000000000001</v>
        <stp/>
        <stp>##V3_BDPV12</stp>
        <stp>KSE Index</stp>
        <stp>CHG_PCT_3M</stp>
        <stp>[Index.xlsm]全球指數!R89C12</stp>
        <tr r="L89" s="1"/>
      </tp>
      <tp>
        <v>2.4662120000000001</v>
        <stp/>
        <stp>##V3_BDPV12</stp>
        <stp>KSE Index</stp>
        <stp>CHG_PCT_1M</stp>
        <stp>[Index.xlsm]全球指數!R89C11</stp>
        <tr r="K89" s="1"/>
      </tp>
      <tp>
        <v>3025.05</v>
        <stp/>
        <stp>##V3_BDPV12</stp>
        <stp>E100 Index</stp>
        <stp>HIGH_52WEEK</stp>
        <stp>[Index.xlsm]全球指數!R234C6</stp>
        <tr r="F234" s="1"/>
      </tp>
      <tp>
        <v>26.74718</v>
        <stp/>
        <stp>##V3_BDPV12</stp>
        <stp>IVBX2 Index</stp>
        <stp>CHG_PCT_6M</stp>
        <stp>[Index.xlsm]全球指數!R274C13</stp>
        <tr r="M274" s="1"/>
      </tp>
      <tp>
        <v>-18.74596</v>
        <stp/>
        <stp>##V3_BDPV12</stp>
        <stp>KSE Index</stp>
        <stp>CHG_PCT_6M</stp>
        <stp>[Index.xlsm]全球指數!R89C13</stp>
        <tr r="M89" s="1"/>
      </tp>
      <tp>
        <v>-1.4771639999999999</v>
        <stp/>
        <stp>##V3_BDPV12</stp>
        <stp>KSE Index</stp>
        <stp>CHG_PCT_5D</stp>
        <stp>[Index.xlsm]全球指數!R89C10</stp>
        <tr r="J89" s="1"/>
      </tp>
      <tp>
        <v>105930.203125</v>
        <stp/>
        <stp>##V3_BDPV12</stp>
        <stp>XU100 Index</stp>
        <stp>HIGH_52WEEK</stp>
        <stp>[Index.xlsm]全球指數!R298C6</stp>
        <tr r="F298" s="1"/>
      </tp>
      <tp>
        <v>2314.98</v>
        <stp/>
        <stp>##V3_BDPV12</stp>
        <stp>IT30 Index</stp>
        <stp>HIGH_52WEEK</stp>
        <stp>[Index.xlsm]全球指數!R114C6</stp>
        <tr r="F114" s="1"/>
      </tp>
      <tp>
        <v>-9.350797</v>
        <stp/>
        <stp>##V3_BDPV12</stp>
        <stp>HSI Index</stp>
        <stp>CHG_PCT_6M</stp>
        <stp>[Index.xlsm]全球指數!R77C13</stp>
        <tr r="M77" s="1"/>
      </tp>
      <tp>
        <v>-1.6132839999999999</v>
        <stp/>
        <stp>##V3_BDPV12</stp>
        <stp>HSI Index</stp>
        <stp>CHG_PCT_5D</stp>
        <stp>[Index.xlsm]全球指數!R77C10</stp>
        <tr r="J77" s="1"/>
      </tp>
      <tp t="s">
        <v>US</v>
        <stp/>
        <stp>##V3_BDPV12</stp>
        <stp>s5hlth index</stp>
        <stp>DS003</stp>
        <stp>[Index.xlsm]主要產業!R3C3</stp>
        <tr r="C3" s="2"/>
      </tp>
      <tp>
        <v>-9.0124460000000006</v>
        <stp/>
        <stp>##V3_BDPV12</stp>
        <stp>HSI Index</stp>
        <stp>CHG_PCT_3M</stp>
        <stp>[Index.xlsm]全球指數!R77C12</stp>
        <tr r="L77" s="1"/>
      </tp>
      <tp>
        <v>1.4723280000000001</v>
        <stp/>
        <stp>##V3_BDPV12</stp>
        <stp>HSI Index</stp>
        <stp>CHG_PCT_1M</stp>
        <stp>[Index.xlsm]全球指數!R77C11</stp>
        <tr r="K77" s="1"/>
      </tp>
      <tp>
        <v>366.8</v>
        <stp/>
        <stp>##V3_BDPV12</stp>
        <stp>s5finl index</stp>
        <stp>LOW_52WEEK</stp>
        <stp>[Index.xlsm]主要產業!R4C8</stp>
        <tr r="H4" s="2"/>
      </tp>
      <tp>
        <v>1164.92</v>
        <stp/>
        <stp>##V3_BDPV12</stp>
        <stp>SET50 Index</stp>
        <stp>HIGH_52WEEK</stp>
        <stp>[Index.xlsm]全球指數!R233C6</stp>
        <tr r="F233" s="1"/>
      </tp>
      <tp>
        <v>15.187541265647198</v>
        <stp/>
        <stp>##V3_BDPV12</stp>
        <stp>ADSMI Index</stp>
        <stp>PE_RATIO</stp>
        <stp>[Index.xlsm]全球指數!R120C18</stp>
        <tr r="R120" s="1"/>
      </tp>
      <tp>
        <v>19.601523456539812</v>
        <stp/>
        <stp>##V3_BDPV12</stp>
        <stp>JMSMX Index</stp>
        <stp>PE_RATIO</stp>
        <stp>[Index.xlsm]全球指數!R106C18</stp>
        <tr r="R106" s="1"/>
      </tp>
      <tp t="s">
        <v>US</v>
        <stp/>
        <stp>##V3_BDPV12</stp>
        <stp>SPX Index</stp>
        <stp>DS003</stp>
        <stp>[Index.xlsm]全球指數!R134C3</stp>
        <tr r="C134" s="1"/>
      </tp>
      <tp>
        <v>5.83026385294131</v>
        <stp/>
        <stp>##V3_BDPV12</stp>
        <stp>RTSI$ Index</stp>
        <stp>PE_RATIO</stp>
        <stp>[Index.xlsm]全球指數!R102C18</stp>
        <tr r="R102" s="1"/>
      </tp>
      <tp>
        <v>-6.965776</v>
        <stp/>
        <stp>##V3_BDPV12</stp>
        <stp>WIG20 Index</stp>
        <stp>PR064</stp>
        <stp>[Index.xlsm]全球指數!R145C14</stp>
        <tr r="N145" s="1"/>
      </tp>
      <tp t="s">
        <v>瑞士SMI指數</v>
        <stp/>
        <stp>##V3_BDPV12</stp>
        <stp>SMI Index</stp>
        <stp>DS697</stp>
        <stp>[Index.xlsm]全球指數!R192C2</stp>
        <tr r="B192" s="1"/>
      </tp>
      <tp>
        <v>10877.03</v>
        <stp/>
        <stp>##V3_BDPV12</stp>
        <stp>MS190 Index</stp>
        <stp>LOW_52WEEK</stp>
        <stp>[Index.xlsm]全球指數!R79C8</stp>
        <tr r="H79" s="1"/>
      </tp>
      <tp>
        <v>4.1036970000000004</v>
        <stp/>
        <stp>##V3_BDPV12</stp>
        <stp>TPXC30 Index</stp>
        <stp>PR064</stp>
        <stp>[Index.xlsm]全球指數!R266C14</stp>
        <tr r="N266" s="1"/>
      </tp>
      <tp>
        <v>5.244389</v>
        <stp/>
        <stp>##V3_BDPV12</stp>
        <stp>BEL20 Index</stp>
        <stp>PR064</stp>
        <stp>[Index.xlsm]全球指數!R224C14</stp>
        <tr r="N224" s="1"/>
      </tp>
      <tp t="s">
        <v>紐約證交所Arca機構指數</v>
        <stp/>
        <stp>##V3_BDPV12</stp>
        <stp>XII Index</stp>
        <stp>DS697</stp>
        <stp>[Index.xlsm]全球指數!R119C2</stp>
        <tr r="B119" s="1"/>
      </tp>
      <tp t="s">
        <v>US</v>
        <stp/>
        <stp>##V3_BDPV12</stp>
        <stp>SML Index</stp>
        <stp>DS003</stp>
        <stp>[Index.xlsm]全球指數!R104C3</stp>
        <tr r="C104" s="1"/>
      </tp>
      <tp>
        <v>13.514629883914258</v>
        <stp/>
        <stp>##V3_BDPV12</stp>
        <stp>KOSPI Index</stp>
        <stp>PE_RATIO</stp>
        <stp>[Index.xlsm]全球指數!R155C18</stp>
        <tr r="R155" s="1"/>
      </tp>
      <tp>
        <v>0.60289930000000003</v>
        <stp/>
        <stp>##V3_BDPV12</stp>
        <stp>SXMP INDEX</stp>
        <stp>CHG_PCT_1D</stp>
        <stp>[Index.xlsm]主要產業!R35C5</stp>
        <tr r="E35" s="2"/>
      </tp>
      <tp>
        <v>13.288444798181471</v>
        <stp/>
        <stp>##V3_BDPV12</stp>
        <stp>s5finl index</stp>
        <stp>PE_RATIO</stp>
        <stp>[Index.xlsm]主要產業!R4C18</stp>
        <tr r="R4" s="2"/>
      </tp>
      <tp>
        <v>1.9183969999999999</v>
        <stp/>
        <stp>##V3_BDPV12</stp>
        <stp>RiY INDEX</stp>
        <stp>CHG_PCT_1YR</stp>
        <stp>[Index.xlsm]主要產業!R8C53</stp>
        <tr r="BA8" s="2"/>
      </tp>
      <tp>
        <v>-0.65402039999999995</v>
        <stp/>
        <stp>##V3_BDPV12</stp>
        <stp>S5INFT Index</stp>
        <stp>CHG_PCT_5D</stp>
        <stp>[Index.xlsm]主要產業!R2C10</stp>
        <tr r="J2" s="2"/>
      </tp>
      <tp>
        <v>10.547599999999999</v>
        <stp/>
        <stp>##V3_BDPV12</stp>
        <stp>S5INFT Index</stp>
        <stp>CHG_PCT_6M</stp>
        <stp>[Index.xlsm]主要產業!R2C13</stp>
        <tr r="M2" s="2"/>
      </tp>
      <tp>
        <v>3.571259</v>
        <stp/>
        <stp>##V3_BDPV12</stp>
        <stp>S5INFT Index</stp>
        <stp>CHG_PCT_1M</stp>
        <stp>[Index.xlsm]主要產業!R2C11</stp>
        <tr r="K2" s="2"/>
      </tp>
      <tp>
        <v>3.3833959999999998</v>
        <stp/>
        <stp>##V3_BDPV12</stp>
        <stp>S5INFT Index</stp>
        <stp>CHG_PCT_3M</stp>
        <stp>[Index.xlsm]主要產業!R2C12</stp>
        <tr r="L2" s="2"/>
      </tp>
      <tp>
        <v>1.579634</v>
        <stp/>
        <stp>##V3_BDPV12</stp>
        <stp>SX6P INDEX</stp>
        <stp>CHG_PCT_1D</stp>
        <stp>[Index.xlsm]主要產業!R25C5</stp>
        <tr r="E25" s="2"/>
      </tp>
      <tp>
        <v>-0.27769579999999999</v>
        <stp/>
        <stp>##V3_BDPV12</stp>
        <stp>FTEFC1 Index</stp>
        <stp>CHG_PCT_5D</stp>
        <stp>[Index.xlsm]全球指數!R214C10</stp>
        <tr r="J214" s="1"/>
      </tp>
      <tp>
        <v>-2.4052060000000002</v>
        <stp/>
        <stp>##V3_BDPV12</stp>
        <stp>BSE500 Index</stp>
        <stp>CHG_PCT_3M</stp>
        <stp>[Index.xlsm]全球指數!R315C12</stp>
        <tr r="L315" s="1"/>
      </tp>
      <tp>
        <v>-2.1384910000000001</v>
        <stp/>
        <stp>##V3_BDPV12</stp>
        <stp>BSE100 Index</stp>
        <stp>CHG_PCT_3M</stp>
        <stp>[Index.xlsm]全球指數!R318C12</stp>
        <tr r="L318" s="1"/>
      </tp>
      <tp>
        <v>-2.0405060000000002</v>
        <stp/>
        <stp>##V3_BDPV12</stp>
        <stp>BSE200 Index</stp>
        <stp>CHG_PCT_3M</stp>
        <stp>[Index.xlsm]全球指數!R316C12</stp>
        <tr r="L316" s="1"/>
      </tp>
      <tp>
        <v>0.44498569999999998</v>
        <stp/>
        <stp>##V3_BDPV12</stp>
        <stp>SZ399330 Index</stp>
        <stp>CHG_PCT_1M</stp>
        <stp>[Index.xlsm]全球指數!R20C11</stp>
        <tr r="K20" s="1"/>
      </tp>
      <tp>
        <v>4.1306180000000001</v>
        <stp/>
        <stp>##V3_BDPV12</stp>
        <stp>SZ399330 Index</stp>
        <stp>CHG_PCT_3M</stp>
        <stp>[Index.xlsm]全球指數!R20C12</stp>
        <tr r="L20" s="1"/>
      </tp>
      <tp>
        <v>-3.0132129999999999</v>
        <stp/>
        <stp>##V3_BDPV12</stp>
        <stp>SZ399330 Index</stp>
        <stp>CHG_PCT_5D</stp>
        <stp>[Index.xlsm]全球指數!R20C10</stp>
        <tr r="J20" s="1"/>
      </tp>
      <tp>
        <v>3.9173390000000001</v>
        <stp/>
        <stp>##V3_BDPV12</stp>
        <stp>SZ399330 Index</stp>
        <stp>CHG_PCT_6M</stp>
        <stp>[Index.xlsm]全球指數!R20C13</stp>
        <tr r="M20" s="1"/>
      </tp>
      <tp>
        <v>-4.2650730000000001</v>
        <stp/>
        <stp>##V3_BDPV12</stp>
        <stp>SH000905 Index</stp>
        <stp>CHG_PCT_5D</stp>
        <stp>[Index.xlsm]全球指數!R13C10</stp>
        <tr r="J13" s="1"/>
      </tp>
      <tp>
        <v>-8.7674249999999994</v>
        <stp/>
        <stp>##V3_BDPV12</stp>
        <stp>SH000905 Index</stp>
        <stp>CHG_PCT_6M</stp>
        <stp>[Index.xlsm]全球指數!R13C13</stp>
        <tr r="M13" s="1"/>
      </tp>
      <tp>
        <v>0.69115389999999999</v>
        <stp/>
        <stp>##V3_BDPV12</stp>
        <stp>SH000905 Index</stp>
        <stp>CHG_PCT_1M</stp>
        <stp>[Index.xlsm]全球指數!R13C11</stp>
        <tr r="K13" s="1"/>
      </tp>
      <tp>
        <v>-0.74374039999999997</v>
        <stp/>
        <stp>##V3_BDPV12</stp>
        <stp>SH000905 Index</stp>
        <stp>CHG_PCT_3M</stp>
        <stp>[Index.xlsm]全球指數!R13C12</stp>
        <tr r="L13" s="1"/>
      </tp>
      <tp t="s">
        <v>QE全部股票指數</v>
        <stp/>
        <stp>##V3_BDPV12</stp>
        <stp>QEAS Index</stp>
        <stp>DS697</stp>
        <stp>[Index.xlsm]全球指數!R149C2</stp>
        <tr r="B149" s="1"/>
      </tp>
      <tp t="s">
        <v>德國法蘭克福DAX指數</v>
        <stp/>
        <stp>##V3_BDPV12</stp>
        <stp>DAX Index</stp>
        <stp>DS697</stp>
        <stp>[Index.xlsm]全球指數!R99C2</stp>
        <tr r="B99" s="1"/>
      </tp>
      <tp t="s">
        <v>GE</v>
        <stp/>
        <stp>##V3_BDPV12</stp>
        <stp>DAX Index</stp>
        <stp>DS003</stp>
        <stp>[Index.xlsm]全球指數!R99C3</stp>
        <tr r="C99" s="1"/>
      </tp>
      <tp t="s">
        <v>PK</v>
        <stp/>
        <stp>##V3_BDPV12</stp>
        <stp>KSE Index</stp>
        <stp>DS003</stp>
        <stp>[Index.xlsm]全球指數!R89C3</stp>
        <tr r="C89" s="1"/>
      </tp>
      <tp t="s">
        <v>喀拉蚩綜合指數</v>
        <stp/>
        <stp>##V3_BDPV12</stp>
        <stp>KSE Index</stp>
        <stp>DS697</stp>
        <stp>[Index.xlsm]全球指數!R89C2</stp>
        <tr r="B89" s="1"/>
      </tp>
      <tp>
        <v>0.40017520000000001</v>
        <stp/>
        <stp>##V3_BDPV12</stp>
        <stp>KOSPI50 Index</stp>
        <stp>PR064</stp>
        <stp>[Index.xlsm]全球指數!R208C14</stp>
        <tr r="N208" s="1"/>
      </tp>
      <tp>
        <v>11.725505465144888</v>
        <stp/>
        <stp>##V3_BDPV12</stp>
        <stp>BVPSBVPS Index</stp>
        <stp>PE_RATIO</stp>
        <stp>[Index.xlsm]全球指數!R243C18</stp>
        <tr r="R243" s="1"/>
      </tp>
      <tp>
        <v>13.599399923959067</v>
        <stp/>
        <stp>##V3_BDPV12</stp>
        <stp>BWORLDEU Index</stp>
        <stp>INTERVAL_Low</stp>
        <stp>[Index.xlsm]全球指數!R101C17</stp>
        <stp>MARKET_DATA_OVERRIDE=PE_RATIO</stp>
        <stp>CALC_INTERVAL=5y</stp>
        <stp>BEST_FPERIOD_OVERRIDE=BF</stp>
        <tr r="Q101" s="1"/>
      </tp>
      <tp t="s">
        <v>US</v>
        <stp/>
        <stp>##V3_BDPV12</stp>
        <stp>XAX Index</stp>
        <stp>DS003</stp>
        <stp>[Index.xlsm]全球指數!R39C3</stp>
        <tr r="C39" s="1"/>
      </tp>
      <tp t="s">
        <v>SO</v>
        <stp/>
        <stp>##V3_BDPV12</stp>
        <stp>SKSM Index</stp>
        <stp>DS003</stp>
        <stp>[Index.xlsm]全球指數!R281C3</stp>
        <tr r="C281" s="1"/>
      </tp>
      <tp t="s">
        <v>紐約證交所Amex綜合指數</v>
        <stp/>
        <stp>##V3_BDPV12</stp>
        <stp>XAX Index</stp>
        <stp>DS697</stp>
        <stp>[Index.xlsm]全球指數!R39C2</stp>
        <tr r="B39" s="1"/>
      </tp>
      <tp t="s">
        <v>法國CAC 20次要指數</v>
        <stp/>
        <stp>##V3_BDPV12</stp>
        <stp>CN20 Index</stp>
        <stp>DS697</stp>
        <stp>[Index.xlsm]全球指數!R172C2</stp>
        <tr r="B172" s="1"/>
      </tp>
      <tp>
        <v>8.0897789057352014</v>
        <stp/>
        <stp>##V3_BDPV12</stp>
        <stp>DUAE Index</stp>
        <stp>INTERVAL_Low</stp>
        <stp>[Index.xlsm]全球指數!R68C17</stp>
        <stp>MARKET_DATA_OVERRIDE=PE_RATIO</stp>
        <stp>CALC_INTERVAL=5y</stp>
        <stp>BEST_FPERIOD_OVERRIDE=BF</stp>
        <tr r="Q68" s="1"/>
      </tp>
      <tp>
        <v>16.902094114442608</v>
        <stp/>
        <stp>##V3_BDPV12</stp>
        <stp>VNINDEX Index</stp>
        <stp>PE_RATIO</stp>
        <stp>[Index.xlsm]全球指數!R177C18</stp>
        <tr r="R177" s="1"/>
      </tp>
      <tp>
        <v>13183.6</v>
        <stp/>
        <stp>##V3_BDPV12</stp>
        <stp>CM100 Index</stp>
        <stp>PX_LAST</stp>
        <stp>[Index.xlsm]全球指數!R88C4</stp>
        <tr r="D88" s="1"/>
      </tp>
      <tp>
        <v>7.5242337406749522</v>
        <stp/>
        <stp>##V3_BDPV12</stp>
        <stp>VHINDEX Index</stp>
        <stp>PE_RATIO</stp>
        <stp>[Index.xlsm]全球指數!R276C18</stp>
        <tr r="R276" s="1"/>
      </tp>
      <tp>
        <v>6.5205482809982804</v>
        <stp/>
        <stp>##V3_BDPV12</stp>
        <stp>SZBSHR Index</stp>
        <stp>INTERVAL_Low</stp>
        <stp>[Index.xlsm]全球指數!R128C17</stp>
        <stp>MARKET_DATA_OVERRIDE=PE_RATIO</stp>
        <stp>CALC_INTERVAL=5y</stp>
        <stp>BEST_FPERIOD_OVERRIDE=BF</stp>
        <tr r="Q128" s="1"/>
      </tp>
      <tp>
        <v>9.253142481668819</v>
        <stp/>
        <stp>##V3_BDPV12</stp>
        <stp>SHBSHR Index</stp>
        <stp>INTERVAL_Low</stp>
        <stp>[Index.xlsm]全球指數!R116C17</stp>
        <stp>MARKET_DATA_OVERRIDE=PE_RATIO</stp>
        <stp>CALC_INTERVAL=5y</stp>
        <stp>BEST_FPERIOD_OVERRIDE=BF</stp>
        <tr r="Q116" s="1"/>
      </tp>
      <tp>
        <v>17.320879989150495</v>
        <stp/>
        <stp>##V3_BDPV12</stp>
        <stp>PCOMP Index</stp>
        <stp>INTERVAL_Low</stp>
        <stp>[Index.xlsm]全球指數!R231C17</stp>
        <stp>MARKET_DATA_OVERRIDE=PE_RATIO</stp>
        <stp>CALC_INTERVAL=5y</stp>
        <stp>BEST_FPERIOD_OVERRIDE=BF</stp>
        <tr r="Q231" s="1"/>
      </tp>
      <tp t="s">
        <v>深圳證券交易所成份指數</v>
        <stp/>
        <stp>##V3_BDPV12</stp>
        <stp>SICOM Index</stp>
        <stp>DS697</stp>
        <stp>[Index.xlsm]全球指數!R15C2</stp>
        <tr r="B15" s="1"/>
      </tp>
      <tp>
        <v>16.981041198862105</v>
        <stp/>
        <stp>##V3_BDPV12</stp>
        <stp>SENSEX Index</stp>
        <stp>INTERVAL_Low</stp>
        <stp>[Index.xlsm]全球指數!R317C17</stp>
        <stp>MARKET_DATA_OVERRIDE=PE_RATIO</stp>
        <stp>CALC_INTERVAL=5y</stp>
        <stp>BEST_FPERIOD_OVERRIDE=BF</stp>
        <tr r="Q317" s="1"/>
      </tp>
      <tp>
        <v>13.868369878530938</v>
        <stp/>
        <stp>##V3_BDPV12</stp>
        <stp>BELSTK Index</stp>
        <stp>INTERVAL_Low</stp>
        <stp>[Index.xlsm]全球指數!R230C17</stp>
        <stp>MARKET_DATA_OVERRIDE=PE_RATIO</stp>
        <stp>CALC_INTERVAL=5y</stp>
        <stp>BEST_FPERIOD_OVERRIDE=BF</stp>
        <tr r="Q230" s="1"/>
      </tp>
      <tp>
        <v>4.8554048967168466</v>
        <stp/>
        <stp>##V3_BDPV12</stp>
        <stp>IMOEX Index</stp>
        <stp>INTERVAL_Low</stp>
        <stp>[Index.xlsm]全球指數!R159C17</stp>
        <stp>MARKET_DATA_OVERRIDE=PE_RATIO</stp>
        <stp>CALC_INTERVAL=5y</stp>
        <stp>BEST_FPERIOD_OVERRIDE=BF</stp>
        <tr r="Q159" s="1"/>
      </tp>
      <tp t="s">
        <v>CH</v>
        <stp/>
        <stp>##V3_BDPV12</stp>
        <stp>SICOM Index</stp>
        <stp>DS003</stp>
        <stp>[Index.xlsm]全球指數!R15C3</stp>
        <tr r="C15" s="1"/>
      </tp>
      <tp>
        <v>61.979235827572943</v>
        <stp/>
        <stp>##V3_BDPV12</stp>
        <stp>WIG20 Index</stp>
        <stp>INTERVAL_HIGH</stp>
        <stp>[Index.xlsm]全球指數!R145C16</stp>
        <stp>MARKET_DATA_OVERRIDE=PE_RATIO</stp>
        <stp>CALC_INTERVAL=5y</stp>
        <stp>BEST_FPERIOD_OVERRIDE=BF</stp>
        <tr r="P145" s="1"/>
      </tp>
      <tp>
        <v>12.948253795321438</v>
        <stp/>
        <stp>##V3_BDPV12</stp>
        <stp>COLEQTY Index</stp>
        <stp>PE_RATIO</stp>
        <stp>[Index.xlsm]全球指數!R268C18</stp>
        <tr r="R268" s="1"/>
      </tp>
      <tp>
        <v>1.4376199999999999</v>
        <stp/>
        <stp>##V3_BDPV12</stp>
        <stp>FTN098 Index</stp>
        <stp>CHG_PCT_1D</stp>
        <stp>[Index.xlsm]全球指數!R28C5</stp>
        <tr r="E28" s="1"/>
      </tp>
      <tp>
        <v>56.285407714369839</v>
        <stp/>
        <stp>##V3_BDPV12</stp>
        <stp>BEL20 Index</stp>
        <stp>INTERVAL_HIGH</stp>
        <stp>[Index.xlsm]全球指數!R224C16</stp>
        <stp>MARKET_DATA_OVERRIDE=PE_RATIO</stp>
        <stp>CALC_INTERVAL=5y</stp>
        <stp>BEST_FPERIOD_OVERRIDE=BF</stp>
        <tr r="P224" s="1"/>
      </tp>
      <tp>
        <v>16.733251640390694</v>
        <stp/>
        <stp>##V3_BDPV12</stp>
        <stp>TPXC30 Index</stp>
        <stp>INTERVAL_HIGH</stp>
        <stp>[Index.xlsm]全球指數!R266C16</stp>
        <stp>MARKET_DATA_OVERRIDE=PE_RATIO</stp>
        <stp>CALC_INTERVAL=5y</stp>
        <stp>BEST_FPERIOD_OVERRIDE=BF</stp>
        <tr r="P266" s="1"/>
      </tp>
      <tp>
        <v>-2.8132100000000002</v>
        <stp/>
        <stp>##V3_BDPV12</stp>
        <stp>s5hlth index</stp>
        <stp>PR064</stp>
        <stp>[Index.xlsm]主要產業!R3C14</stp>
        <tr r="N3" s="2"/>
      </tp>
      <tp>
        <v>3444545790065</v>
        <stp/>
        <stp>##V3_BDPV12</stp>
        <stp>s5hlth index</stp>
        <stp>RR902</stp>
        <stp>[Index.xlsm]主要產業!R3C20</stp>
        <tr r="T3" s="2"/>
      </tp>
      <tp>
        <v>128.85</v>
        <stp/>
        <stp>##V3_BDPV12</stp>
        <stp>JNJ US Equity</stp>
        <stp>PX_LAST</stp>
        <stp>[Index.xlsm]主要產業!R6C24</stp>
        <tr r="X6" s="2"/>
      </tp>
      <tp>
        <v>-0.26031130000000002</v>
        <stp/>
        <stp>##V3_BDPV12</stp>
        <stp>SH000908 Index</stp>
        <stp>CHG_PCT_1D</stp>
        <stp>[Index.xlsm]主要產業!R53C5</stp>
        <tr r="E53" s="2"/>
      </tp>
      <tp>
        <v>-0.78271120000000005</v>
        <stp/>
        <stp>##V3_BDPV12</stp>
        <stp>FTEF80 Index</stp>
        <stp>CHG_PCT_5D</stp>
        <stp>[Index.xlsm]全球指數!R161C10</stp>
        <tr r="J161" s="1"/>
      </tp>
      <tp>
        <v>-2.8194530000000002</v>
        <stp/>
        <stp>##V3_BDPV12</stp>
        <stp>SWIG80 Index</stp>
        <stp>CHG_PCT_6M</stp>
        <stp>[Index.xlsm]全球指數!R191C13</stp>
        <tr r="M191" s="1"/>
      </tp>
      <tp>
        <v>-0.56065670000000001</v>
        <stp/>
        <stp>##V3_BDPV12</stp>
        <stp>KRX100 Index</stp>
        <stp>CHG_PCT_3M</stp>
        <stp>[Index.xlsm]全球指數!R197C12</stp>
        <tr r="L197" s="1"/>
      </tp>
      <tp>
        <v>8.8926630000000007</v>
        <stp/>
        <stp>##V3_BDPV12</stp>
        <stp>TPXL70 Index</stp>
        <stp>CHG_PCT_1M</stp>
        <stp>[Index.xlsm]全球指數!R278C11</stp>
        <tr r="K278" s="1"/>
      </tp>
      <tp>
        <v>8.4556489999999993</v>
        <stp/>
        <stp>##V3_BDPV12</stp>
        <stp>TPXC30 Index</stp>
        <stp>CHG_PCT_1M</stp>
        <stp>[Index.xlsm]全球指數!R266C11</stp>
        <tr r="K266" s="1"/>
      </tp>
      <tp>
        <v>8.9805779999999995</v>
        <stp/>
        <stp>##V3_BDPV12</stp>
        <stp>TPX500 Index</stp>
        <stp>CHG_PCT_1M</stp>
        <stp>[Index.xlsm]全球指數!R283C11</stp>
        <tr r="K283" s="1"/>
      </tp>
      <tp>
        <v>8.657375</v>
        <stp/>
        <stp>##V3_BDPV12</stp>
        <stp>TPX100 Index</stp>
        <stp>CHG_PCT_1M</stp>
        <stp>[Index.xlsm]全球指數!R271C11</stp>
        <tr r="K271" s="1"/>
      </tp>
      <tp>
        <v>11.73036460433921</v>
        <stp/>
        <stp>##V3_BDPV12</stp>
        <stp>JOSMGNFF Index</stp>
        <stp>PE_RATIO</stp>
        <stp>[Index.xlsm]全球指數!R263C18</stp>
        <tr r="R263" s="1"/>
      </tp>
      <tp>
        <v>8.1352698377529169</v>
        <stp/>
        <stp>##V3_BDPV12</stp>
        <stp>DARSDSEI Index</stp>
        <stp>INTERVAL_Low</stp>
        <stp>[Index.xlsm]全球指數!R253C17</stp>
        <stp>MARKET_DATA_OVERRIDE=PE_RATIO</stp>
        <stp>CALC_INTERVAL=5y</stp>
        <stp>BEST_FPERIOD_OVERRIDE=BF</stp>
        <tr r="Q253" s="1"/>
      </tp>
      <tp t="s">
        <v>那斯達克保險類指數</v>
        <stp/>
        <stp>##V3_BDPV12</stp>
        <stp>CINS Index</stp>
        <stp>DS697</stp>
        <stp>[Index.xlsm]全球指數!R254C2</stp>
        <tr r="B254" s="1"/>
      </tp>
      <tp t="s">
        <v>SW</v>
        <stp/>
        <stp>##V3_BDPV12</stp>
        <stp>SBX Index</stp>
        <stp>DS003</stp>
        <stp>[Index.xlsm]全球指數!R58C3</stp>
        <tr r="C58" s="1"/>
      </tp>
      <tp t="s">
        <v>OMX斯德哥爾摩基準指數</v>
        <stp/>
        <stp>##V3_BDPV12</stp>
        <stp>SBX Index</stp>
        <stp>DS697</stp>
        <stp>[Index.xlsm]全球指數!R58C2</stp>
        <tr r="B58" s="1"/>
      </tp>
      <tp t="s">
        <v>BY</v>
        <stp/>
        <stp>##V3_BDPV12</stp>
        <stp>BIRS Index</stp>
        <stp>DS003</stp>
        <stp>[Index.xlsm]全球指數!R152C3</stp>
        <tr r="C152" s="1"/>
      </tp>
      <tp>
        <v>1590.5443472005877</v>
        <stp/>
        <stp>##V3_BDPV12</stp>
        <stp>BELEX15 Index</stp>
        <stp>INTERVAL_HIGH</stp>
        <stp>[Index.xlsm]全球指數!R244C16</stp>
        <stp>MARKET_DATA_OVERRIDE=PE_RATIO</stp>
        <stp>CALC_INTERVAL=5y</stp>
        <stp>BEST_FPERIOD_OVERRIDE=BF</stp>
        <tr r="P244" s="1"/>
      </tp>
      <tp>
        <v>-1.3402940000000001</v>
        <stp/>
        <stp>##V3_BDPV12</stp>
        <stp>RTSI$ Index</stp>
        <stp>CHG_PCT_5D</stp>
        <stp>[Index.xlsm]全球指數!R102C10</stp>
        <tr r="J102" s="1"/>
      </tp>
      <tp>
        <v>5.5833649999999997</v>
        <stp/>
        <stp>##V3_BDPV12</stp>
        <stp>BEL20 Index</stp>
        <stp>CHG_PCT_1M</stp>
        <stp>[Index.xlsm]全球指數!R224C11</stp>
        <tr r="K224" s="1"/>
      </tp>
      <tp>
        <v>4.1858240000000002</v>
        <stp/>
        <stp>##V3_BDPV12</stp>
        <stp>BE500 Index</stp>
        <stp>CHG_PCT_1M</stp>
        <stp>[Index.xlsm]全球指數!R202C11</stp>
        <tr r="K202" s="1"/>
      </tp>
      <tp>
        <v>1535.99</v>
        <stp/>
        <stp>##V3_BDPV12</stp>
        <stp>TA-125 Index</stp>
        <stp>HIGH_52WEEK</stp>
        <stp>[Index.xlsm]全球指數!R258C6</stp>
        <tr r="F258" s="1"/>
      </tp>
      <tp>
        <v>12.026398292983496</v>
        <stp/>
        <stp>##V3_BDPV12</stp>
        <stp>XU030 Index</stp>
        <stp>INTERVAL_HIGH</stp>
        <stp>[Index.xlsm]全球指數!R299C16</stp>
        <stp>MARKET_DATA_OVERRIDE=PE_RATIO</stp>
        <stp>CALC_INTERVAL=5y</stp>
        <stp>BEST_FPERIOD_OVERRIDE=BF</stp>
        <tr r="P299" s="1"/>
      </tp>
      <tp>
        <v>10.943299896116564</v>
        <stp/>
        <stp>##V3_BDPV12</stp>
        <stp>NSEASI Index</stp>
        <stp>PE_RATIO</stp>
        <stp>[Index.xlsm]全球指數!R252C18</stp>
        <tr r="R252" s="1"/>
      </tp>
      <tp>
        <v>17.510983412810059</v>
        <stp/>
        <stp>##V3_BDPV12</stp>
        <stp>MOSEMDX Index</stp>
        <stp>INTERVAL_Low</stp>
        <stp>[Index.xlsm]全球指數!R186C17</stp>
        <stp>MARKET_DATA_OVERRIDE=PE_RATIO</stp>
        <stp>CALC_INTERVAL=5y</stp>
        <stp>BEST_FPERIOD_OVERRIDE=BF</stp>
        <tr r="Q186" s="1"/>
      </tp>
      <tp>
        <v>30.027555761703045</v>
        <stp/>
        <stp>##V3_BDPV12</stp>
        <stp>SBF250 Index</stp>
        <stp>INTERVAL_HIGH</stp>
        <stp>[Index.xlsm]全球指數!R164C16</stp>
        <stp>MARKET_DATA_OVERRIDE=PE_RATIO</stp>
        <stp>CALC_INTERVAL=5y</stp>
        <stp>BEST_FPERIOD_OVERRIDE=BF</stp>
        <tr r="P164" s="1"/>
      </tp>
      <tp>
        <v>726.15941032715671</v>
        <stp/>
        <stp>##V3_BDPV12</stp>
        <stp>TA-35 Index</stp>
        <stp>INTERVAL_HIGH</stp>
        <stp>[Index.xlsm]全球指數!R205C16</stp>
        <stp>MARKET_DATA_OVERRIDE=PE_RATIO</stp>
        <stp>CALC_INTERVAL=5y</stp>
        <stp>BEST_FPERIOD_OVERRIDE=BF</stp>
        <tr r="P205" s="1"/>
      </tp>
      <tp>
        <v>52.452543882663349</v>
        <stp/>
        <stp>##V3_BDPV12</stp>
        <stp>TA-125 Index</stp>
        <stp>INTERVAL_HIGH</stp>
        <stp>[Index.xlsm]全球指數!R258C16</stp>
        <stp>MARKET_DATA_OVERRIDE=PE_RATIO</stp>
        <stp>CALC_INTERVAL=5y</stp>
        <stp>BEST_FPERIOD_OVERRIDE=BF</stp>
        <tr r="P258" s="1"/>
      </tp>
      <tp>
        <v>32.833799119363796</v>
        <stp/>
        <stp>##V3_BDPV12</stp>
        <stp>IMC30 Index</stp>
        <stp>INTERVAL_HIGH</stp>
        <stp>[Index.xlsm]全球指數!R246C16</stp>
        <stp>MARKET_DATA_OVERRIDE=PE_RATIO</stp>
        <stp>CALC_INTERVAL=5y</stp>
        <stp>BEST_FPERIOD_OVERRIDE=BF</stp>
        <tr r="P246" s="1"/>
      </tp>
      <tp t="s">
        <v>US</v>
        <stp/>
        <stp>##V3_BDPV12</stp>
        <stp>XAU Index</stp>
        <stp>DS003</stp>
        <stp>[Index.xlsm]全球指數!R251C3</stp>
        <tr r="C251" s="1"/>
      </tp>
      <tp>
        <v>10.554487657717509</v>
        <stp/>
        <stp>##V3_BDPV12</stp>
        <stp>CSEALL Index</stp>
        <stp>PE_RATIO</stp>
        <stp>[Index.xlsm]全球指數!R174C18</stp>
        <tr r="R174" s="1"/>
      </tp>
      <tp>
        <v>13.571093062280841</v>
        <stp/>
        <stp>##V3_BDPV12</stp>
        <stp>MSM30 Index</stp>
        <stp>INTERVAL_HIGH</stp>
        <stp>[Index.xlsm]全球指數!R272C16</stp>
        <stp>MARKET_DATA_OVERRIDE=PE_RATIO</stp>
        <stp>CALC_INTERVAL=5y</stp>
        <stp>BEST_FPERIOD_OVERRIDE=BF</stp>
        <tr r="P272" s="1"/>
      </tp>
      <tp t="s">
        <v>US</v>
        <stp/>
        <stp>##V3_BDPV12</stp>
        <stp>XMI Index</stp>
        <stp>DS003</stp>
        <stp>[Index.xlsm]全球指數!R211C3</stp>
        <tr r="C211" s="1"/>
      </tp>
      <tp>
        <v>1.6758789999999999</v>
        <stp/>
        <stp>##V3_BDPV12</stp>
        <stp>s5indu Index</stp>
        <stp>PR064</stp>
        <stp>[Index.xlsm]主要產業!R8C14</stp>
        <tr r="N8" s="2"/>
      </tp>
      <tp>
        <v>2416407426398</v>
        <stp/>
        <stp>##V3_BDPV12</stp>
        <stp>s5indu Index</stp>
        <stp>RR902</stp>
        <stp>[Index.xlsm]主要產業!R8C20</stp>
        <tr r="T8" s="2"/>
      </tp>
      <tp>
        <v>70.97</v>
        <stp/>
        <stp>##V3_BDPV12</stp>
        <stp>XOM US Equity</stp>
        <stp>PX_LAST</stp>
        <stp>[Index.xlsm]主要產業!R9C24</stp>
        <tr r="X9" s="2"/>
      </tp>
      <tp>
        <v>-2.2876340000000002</v>
        <stp/>
        <stp>##V3_BDPV12</stp>
        <stp>SH000915 Index</stp>
        <stp>CHG_PCT_1D</stp>
        <stp>[Index.xlsm]主要產業!R52C5</stp>
        <tr r="E52" s="2"/>
      </tp>
      <tp>
        <v>4.7440069999999999</v>
        <stp/>
        <stp>##V3_BDPV12</stp>
        <stp>FTEF80 Index</stp>
        <stp>CHG_PCT_6M</stp>
        <stp>[Index.xlsm]全球指數!R161C13</stp>
        <tr r="M161" s="1"/>
      </tp>
      <tp>
        <v>4947.17</v>
        <stp/>
        <stp>##V3_BDPV12</stp>
        <stp>MOEX10 Index</stp>
        <stp>HIGH_52WEEK</stp>
        <stp>[Index.xlsm]全球指數!R160C6</stp>
        <tr r="F160" s="1"/>
      </tp>
      <tp>
        <v>4.7453120000000002</v>
        <stp/>
        <stp>##V3_BDPV12</stp>
        <stp>BSE500 Index</stp>
        <stp>CHG_PCT_1M</stp>
        <stp>[Index.xlsm]全球指數!R315C11</stp>
        <tr r="K315" s="1"/>
      </tp>
      <tp>
        <v>4.6472800000000003</v>
        <stp/>
        <stp>##V3_BDPV12</stp>
        <stp>BSE200 Index</stp>
        <stp>CHG_PCT_1M</stp>
        <stp>[Index.xlsm]全球指數!R316C11</stp>
        <tr r="K316" s="1"/>
      </tp>
      <tp>
        <v>4.5100559999999996</v>
        <stp/>
        <stp>##V3_BDPV12</stp>
        <stp>BSE100 Index</stp>
        <stp>CHG_PCT_1M</stp>
        <stp>[Index.xlsm]全球指數!R318C11</stp>
        <tr r="K318" s="1"/>
      </tp>
      <tp>
        <v>-0.53643560000000001</v>
        <stp/>
        <stp>##V3_BDPV12</stp>
        <stp>SWIG80 Index</stp>
        <stp>CHG_PCT_5D</stp>
        <stp>[Index.xlsm]全球指數!R191C10</stp>
        <tr r="J191" s="1"/>
      </tp>
      <tp>
        <v>10.863651915148004</v>
        <stp/>
        <stp>##V3_BDPV12</stp>
        <stp>TR20I Index</stp>
        <stp>INTERVAL_HIGH</stp>
        <stp>[Index.xlsm]全球指數!R296C16</stp>
        <stp>MARKET_DATA_OVERRIDE=PE_RATIO</stp>
        <stp>CALC_INTERVAL=5y</stp>
        <stp>BEST_FPERIOD_OVERRIDE=BF</stp>
        <tr r="P296" s="1"/>
      </tp>
      <tp>
        <v>7.626282329754499</v>
        <stp/>
        <stp>##V3_BDPV12</stp>
        <stp>MSM30 Index</stp>
        <stp>INTERVAL_Low</stp>
        <stp>[Index.xlsm]全球指數!R272C17</stp>
        <stp>MARKET_DATA_OVERRIDE=PE_RATIO</stp>
        <stp>CALC_INTERVAL=5y</stp>
        <stp>BEST_FPERIOD_OVERRIDE=BF</stp>
        <tr r="Q272" s="1"/>
      </tp>
      <tp t="s">
        <v>道瓊工業平均指數</v>
        <stp/>
        <stp>##V3_BDPV12</stp>
        <stp>INDU Index</stp>
        <stp>DS697</stp>
        <stp>[Index.xlsm]全球指數!R170C2</stp>
        <tr r="B170" s="1"/>
      </tp>
      <tp t="s">
        <v>US</v>
        <stp/>
        <stp>##V3_BDPV12</stp>
        <stp>COMP Index</stp>
        <stp>DS003</stp>
        <stp>[Index.xlsm]全球指數!R217C3</stp>
        <tr r="C217" s="1"/>
      </tp>
      <tp>
        <v>1004.102</v>
        <stp/>
        <stp>##V3_BDPV12</stp>
        <stp>SPTSX60 Index</stp>
        <stp>PX_LAST</stp>
        <stp>[Index.xlsm]全球指數!R194C4</stp>
        <tr r="D194" s="1"/>
      </tp>
      <tp t="s">
        <v>#N/A N/A</v>
        <stp/>
        <stp>##V3_BDPV12</stp>
        <stp>FTSEM Index</stp>
        <stp>INTERVAL_Low</stp>
        <stp>[Index.xlsm]全球指數!R43C17</stp>
        <stp>MARKET_DATA_OVERRIDE=PE_RATIO</stp>
        <stp>CALC_INTERVAL=5y</stp>
        <stp>BEST_FPERIOD_OVERRIDE=BF</stp>
        <tr r="Q43" s="1"/>
      </tp>
      <tp>
        <v>12.62063</v>
        <stp/>
        <stp>##V3_BDPV12</stp>
        <stp>RTSI$ Index</stp>
        <stp>CHG_PCT_6M</stp>
        <stp>[Index.xlsm]全球指數!R102C13</stp>
        <tr r="M102" s="1"/>
      </tp>
      <tp>
        <v>570.36</v>
        <stp/>
        <stp>##V3_BDPV12</stp>
        <stp>ES30 Index</stp>
        <stp>HIGH_52WEEK</stp>
        <stp>[Index.xlsm]全球指數!R189C6</stp>
        <tr r="F189" s="1"/>
      </tp>
      <tp>
        <v>2902.3220000000001</v>
        <stp/>
        <stp>##V3_BDPV12</stp>
        <stp>SZ399330 Index</stp>
        <stp>LOW_52WEEK</stp>
        <stp>[Index.xlsm]全球指數!R20C8</stp>
        <tr r="H20" s="1"/>
      </tp>
      <tp>
        <v>13.027530347357288</v>
        <stp/>
        <stp>##V3_BDPV12</stp>
        <stp>XU100 Index</stp>
        <stp>INTERVAL_HIGH</stp>
        <stp>[Index.xlsm]全球指數!R298C16</stp>
        <stp>MARKET_DATA_OVERRIDE=PE_RATIO</stp>
        <stp>CALC_INTERVAL=5y</stp>
        <stp>BEST_FPERIOD_OVERRIDE=BF</stp>
        <tr r="P298" s="1"/>
      </tp>
      <tp>
        <v>17.506133975440221</v>
        <stp/>
        <stp>##V3_BDPV12</stp>
        <stp>MOSENEW Index</stp>
        <stp>INTERVAL_Low</stp>
        <stp>[Index.xlsm]全球指數!R188C17</stp>
        <stp>MARKET_DATA_OVERRIDE=PE_RATIO</stp>
        <stp>CALC_INTERVAL=5y</stp>
        <stp>BEST_FPERIOD_OVERRIDE=BF</stp>
        <tr r="Q188" s="1"/>
      </tp>
      <tp>
        <v>8491.7450000000008</v>
        <stp/>
        <stp>##V3_BDPV12</stp>
        <stp>SSE180 Index</stp>
        <stp>PX_LAST</stp>
        <stp>[Index.xlsm]全球指數!R74C4</stp>
        <tr r="D74" s="1"/>
      </tp>
      <tp>
        <v>7.3054401381743972</v>
        <stp/>
        <stp>##V3_BDPV12</stp>
        <stp>DFMGI Index</stp>
        <stp>INTERVAL_Low</stp>
        <stp>[Index.xlsm]全球指數!R166C17</stp>
        <stp>MARKET_DATA_OVERRIDE=PE_RATIO</stp>
        <stp>CALC_INTERVAL=5y</stp>
        <stp>BEST_FPERIOD_OVERRIDE=BF</stp>
        <tr r="Q166" s="1"/>
      </tp>
      <tp>
        <v>14.894631321408873</v>
        <stp/>
        <stp>##V3_BDPV12</stp>
        <stp>INMEX Index</stp>
        <stp>INTERVAL_Low</stp>
        <stp>[Index.xlsm]全球指數!R228C17</stp>
        <stp>MARKET_DATA_OVERRIDE=PE_RATIO</stp>
        <stp>CALC_INTERVAL=5y</stp>
        <stp>BEST_FPERIOD_OVERRIDE=BF</stp>
        <tr r="Q228" s="1"/>
      </tp>
      <tp t="s">
        <v>富時100指數</v>
        <stp/>
        <stp>##V3_BDPV12</stp>
        <stp>UKX Index</stp>
        <stp>DS697</stp>
        <stp>[Index.xlsm]全球指數!R239C2</stp>
        <tr r="B239" s="1"/>
      </tp>
      <tp>
        <v>7.3436336959514987</v>
        <stp/>
        <stp>##V3_BDPV12</stp>
        <stp>BHSEASI Index</stp>
        <stp>INTERVAL_Low</stp>
        <stp>[Index.xlsm]全球指數!R304C17</stp>
        <stp>MARKET_DATA_OVERRIDE=PE_RATIO</stp>
        <stp>CALC_INTERVAL=5y</stp>
        <stp>BEST_FPERIOD_OVERRIDE=BF</stp>
        <tr r="Q304" s="1"/>
      </tp>
      <tp>
        <v>28.295160344309064</v>
        <stp/>
        <stp>##V3_BDPV12</stp>
        <stp>BE500 Index</stp>
        <stp>INTERVAL_HIGH</stp>
        <stp>[Index.xlsm]全球指數!R202C16</stp>
        <stp>MARKET_DATA_OVERRIDE=PE_RATIO</stp>
        <stp>CALC_INTERVAL=5y</stp>
        <stp>BEST_FPERIOD_OVERRIDE=BF</stp>
        <tr r="P202" s="1"/>
      </tp>
      <tp>
        <v>16.645694052172789</v>
        <stp/>
        <stp>##V3_BDPV12</stp>
        <stp>MEXBOL Index</stp>
        <stp>PE_RATIO</stp>
        <stp>[Index.xlsm]全球指數!R236C18</stp>
        <tr r="R236" s="1"/>
      </tp>
      <tp t="s">
        <v>紐約證交所Arca電腦科技指數</v>
        <stp/>
        <stp>##V3_BDPV12</stp>
        <stp>XCI Index</stp>
        <stp>DS697</stp>
        <stp>[Index.xlsm]全球指數!R124C2</stp>
        <tr r="B124" s="1"/>
      </tp>
      <tp>
        <v>0.52436579999999999</v>
        <stp/>
        <stp>##V3_BDPV12</stp>
        <stp>SXDP INDEX</stp>
        <stp>CHG_PCT_1D</stp>
        <stp>[Index.xlsm]主要產業!R18C5</stp>
        <tr r="E18" s="2"/>
      </tp>
      <tp>
        <v>0.88254619999999995</v>
        <stp/>
        <stp>##V3_BDPV12</stp>
        <stp>SXRP INDEX</stp>
        <stp>CHG_PCT_1D</stp>
        <stp>[Index.xlsm]主要產業!R28C5</stp>
        <tr r="E28" s="2"/>
      </tp>
      <tp>
        <v>-0.2404492</v>
        <stp/>
        <stp>##V3_BDPV12</stp>
        <stp>AAPL US Equity</stp>
        <stp>CHG_PCT_1YR</stp>
        <stp>[Index.xlsm]主要產業!R3C35</stp>
        <tr r="AI3" s="2"/>
      </tp>
      <tp>
        <v>-0.42779719999999999</v>
        <stp/>
        <stp>##V3_BDPV12</stp>
        <stp>SH000911 Index</stp>
        <stp>CHG_PCT_1D</stp>
        <stp>[Index.xlsm]主要產業!R51C5</stp>
        <tr r="E51" s="2"/>
      </tp>
      <tp>
        <v>22.855883336179314</v>
        <stp/>
        <stp>##V3_BDPV12</stp>
        <stp>OMXC25 Index</stp>
        <stp>PE_RATIO</stp>
        <stp>[Index.xlsm]全球指數!R262C18</stp>
        <tr r="R262" s="1"/>
      </tp>
      <tp>
        <v>1.7968379999999999</v>
        <stp/>
        <stp>##V3_BDPV12</stp>
        <stp>FTEFC1 Index</stp>
        <stp>CHG_PCT_6M</stp>
        <stp>[Index.xlsm]全球指數!R214C13</stp>
        <tr r="M214" s="1"/>
      </tp>
      <tp>
        <v>-10.40413</v>
        <stp/>
        <stp>##V3_BDPV12</stp>
        <stp>OMXO20 Index</stp>
        <stp>CHG_PCT_1YR</stp>
        <stp>[Index.xlsm]全球指數!R49C15</stp>
        <tr r="O49" s="1"/>
      </tp>
      <tp>
        <v>-3.7995800000000002</v>
        <stp/>
        <stp>##V3_BDPV12</stp>
        <stp>SZ399005 Index</stp>
        <stp>CHG_PCT_5D</stp>
        <stp>[Index.xlsm]全球指數!R16C10</stp>
        <tr r="J16" s="1"/>
      </tp>
      <tp>
        <v>-3.0096430000000001</v>
        <stp/>
        <stp>##V3_BDPV12</stp>
        <stp>SZ399005 Index</stp>
        <stp>CHG_PCT_6M</stp>
        <stp>[Index.xlsm]全球指數!R16C13</stp>
        <tr r="M16" s="1"/>
      </tp>
      <tp>
        <v>8.3321740000000002</v>
        <stp/>
        <stp>##V3_BDPV12</stp>
        <stp>KRX100 Index</stp>
        <stp>CHG_PCT_1M</stp>
        <stp>[Index.xlsm]全球指數!R197C11</stp>
        <tr r="K197" s="1"/>
      </tp>
      <tp>
        <v>0.9513412</v>
        <stp/>
        <stp>##V3_BDPV12</stp>
        <stp>SZ399005 Index</stp>
        <stp>CHG_PCT_1M</stp>
        <stp>[Index.xlsm]全球指數!R16C11</stp>
        <tr r="K16" s="1"/>
      </tp>
      <tp>
        <v>5.2922359999999999</v>
        <stp/>
        <stp>##V3_BDPV12</stp>
        <stp>TPXL70 Index</stp>
        <stp>CHG_PCT_3M</stp>
        <stp>[Index.xlsm]全球指數!R278C12</stp>
        <tr r="L278" s="1"/>
      </tp>
      <tp>
        <v>4.1036970000000004</v>
        <stp/>
        <stp>##V3_BDPV12</stp>
        <stp>TPXC30 Index</stp>
        <stp>CHG_PCT_3M</stp>
        <stp>[Index.xlsm]全球指數!R266C12</stp>
        <tr r="L266" s="1"/>
      </tp>
      <tp>
        <v>4.7970430000000004</v>
        <stp/>
        <stp>##V3_BDPV12</stp>
        <stp>SZ399005 Index</stp>
        <stp>CHG_PCT_3M</stp>
        <stp>[Index.xlsm]全球指數!R16C12</stp>
        <tr r="L16" s="1"/>
      </tp>
      <tp>
        <v>4.5194679999999998</v>
        <stp/>
        <stp>##V3_BDPV12</stp>
        <stp>TPX500 Index</stp>
        <stp>CHG_PCT_3M</stp>
        <stp>[Index.xlsm]全球指數!R283C12</stp>
        <tr r="L283" s="1"/>
      </tp>
      <tp>
        <v>7.7836998671942776</v>
        <stp/>
        <stp>##V3_BDPV12</stp>
        <stp>KOSPI50 Index</stp>
        <stp>INTERVAL_Low</stp>
        <stp>[Index.xlsm]全球指數!R208C17</stp>
        <stp>MARKET_DATA_OVERRIDE=PE_RATIO</stp>
        <stp>CALC_INTERVAL=5y</stp>
        <stp>BEST_FPERIOD_OVERRIDE=BF</stp>
        <tr r="Q208" s="1"/>
      </tp>
      <tp>
        <v>4.6520000000000001</v>
        <stp/>
        <stp>##V3_BDPV12</stp>
        <stp>TPX100 Index</stp>
        <stp>CHG_PCT_3M</stp>
        <stp>[Index.xlsm]全球指數!R271C12</stp>
        <tr r="L271" s="1"/>
      </tp>
      <tp>
        <v>14.260531591911219</v>
        <stp/>
        <stp>##V3_BDPV12</stp>
        <stp>BEL20 Index</stp>
        <stp>INTERVAL_Low</stp>
        <stp>[Index.xlsm]全球指數!R224C17</stp>
        <stp>MARKET_DATA_OVERRIDE=PE_RATIO</stp>
        <stp>CALC_INTERVAL=5y</stp>
        <stp>BEST_FPERIOD_OVERRIDE=BF</stp>
        <tr r="Q224" s="1"/>
      </tp>
      <tp>
        <v>12.048005228284731</v>
        <stp/>
        <stp>##V3_BDPV12</stp>
        <stp>TPXC30 Index</stp>
        <stp>PE_RATIO</stp>
        <stp>[Index.xlsm]全球指數!R266C18</stp>
        <tr r="R266" s="1"/>
      </tp>
      <tp>
        <v>3841.1390000000001</v>
        <stp/>
        <stp>##V3_BDPV12</stp>
        <stp>SHSZ300 Index</stp>
        <stp>PX_LAST</stp>
        <stp>[Index.xlsm]全球指數!R44C4</stp>
        <tr r="D44" s="1"/>
      </tp>
      <tp>
        <v>19.07639618475628</v>
        <stp/>
        <stp>##V3_BDPV12</stp>
        <stp>OMXO20GI Index</stp>
        <stp>PE_RATIO</stp>
        <stp>[Index.xlsm]全球指數!R50C18</stp>
        <tr r="R50" s="1"/>
      </tp>
      <tp>
        <v>1108.48</v>
        <stp/>
        <stp>##V3_BDPV12</stp>
        <stp>N100 Index</stp>
        <stp>HIGH_52WEEK</stp>
        <stp>[Index.xlsm]全球指數!R198C6</stp>
        <tr r="F198" s="1"/>
      </tp>
      <tp t="s">
        <v>道瓊瑞士Titans30指數</v>
        <stp/>
        <stp>##V3_BDPV12</stp>
        <stp>CH30 Index</stp>
        <stp>DS697</stp>
        <stp>[Index.xlsm]全球指數!R157C2</stp>
        <tr r="B157" s="1"/>
      </tp>
      <tp>
        <v>5.244389</v>
        <stp/>
        <stp>##V3_BDPV12</stp>
        <stp>BEL20 Index</stp>
        <stp>CHG_PCT_3M</stp>
        <stp>[Index.xlsm]全球指數!R224C12</stp>
        <tr r="L224" s="1"/>
      </tp>
      <tp>
        <v>1.8247230000000001</v>
        <stp/>
        <stp>##V3_BDPV12</stp>
        <stp>BE500 Index</stp>
        <stp>CHG_PCT_3M</stp>
        <stp>[Index.xlsm]全球指數!R202C12</stp>
        <tr r="L202" s="1"/>
      </tp>
      <tp t="s">
        <v>#N/A N/A</v>
        <stp/>
        <stp>##V3_BDPV12</stp>
        <stp>NYLID Index</stp>
        <stp>INTERVAL_Low</stp>
        <stp>[Index.xlsm]全球指數!R179C17</stp>
        <stp>MARKET_DATA_OVERRIDE=PE_RATIO</stp>
        <stp>CALC_INTERVAL=5y</stp>
        <stp>BEST_FPERIOD_OVERRIDE=BF</stp>
        <tr r="Q179" s="1"/>
      </tp>
      <tp t="s">
        <v>HK</v>
        <stp/>
        <stp>##V3_BDPV12</stp>
        <stp>XIN0I Index</stp>
        <stp>DS003</stp>
        <stp>[Index.xlsm]全球指數!R96C3</stp>
        <tr r="C96" s="1"/>
      </tp>
      <tp>
        <v>11.008155736287637</v>
        <stp/>
        <stp>##V3_BDPV12</stp>
        <stp>COLIR Index</stp>
        <stp>INTERVAL_Low</stp>
        <stp>[Index.xlsm]全球指數!R267C17</stp>
        <stp>MARKET_DATA_OVERRIDE=PE_RATIO</stp>
        <stp>CALC_INTERVAL=5y</stp>
        <stp>BEST_FPERIOD_OVERRIDE=BF</stp>
        <tr r="Q267" s="1"/>
      </tp>
      <tp>
        <v>10.942893365471136</v>
        <stp/>
        <stp>##V3_BDPV12</stp>
        <stp>ITLMS Index</stp>
        <stp>INTERVAL_Low</stp>
        <stp>[Index.xlsm]全球指數!R150C17</stp>
        <stp>MARKET_DATA_OVERRIDE=PE_RATIO</stp>
        <stp>CALC_INTERVAL=5y</stp>
        <stp>BEST_FPERIOD_OVERRIDE=BF</stp>
        <tr r="Q150" s="1"/>
      </tp>
      <tp>
        <v>12.722545231543764</v>
        <stp/>
        <stp>##V3_BDPV12</stp>
        <stp>SAXCME Index</stp>
        <stp>PE_RATIO</stp>
        <stp>[Index.xlsm]全球指數!R109C18</stp>
        <tr r="R109" s="1"/>
      </tp>
      <tp t="s">
        <v>FTSE China 50 Index HKD</v>
        <stp/>
        <stp>##V3_BDPV12</stp>
        <stp>XIN0I Index</stp>
        <stp>DS697</stp>
        <stp>[Index.xlsm]全球指數!R96C2</stp>
        <tr r="B96" s="1"/>
      </tp>
      <tp>
        <v>8.8372905609018453</v>
        <stp/>
        <stp>##V3_BDPV12</stp>
        <stp>KNSMIDX Index</stp>
        <stp>INTERVAL_Low</stp>
        <stp>[Index.xlsm]全球指數!R269C17</stp>
        <stp>MARKET_DATA_OVERRIDE=PE_RATIO</stp>
        <stp>CALC_INTERVAL=5y</stp>
        <stp>BEST_FPERIOD_OVERRIDE=BF</stp>
        <tr r="Q269" s="1"/>
      </tp>
      <tp t="s">
        <v>TOPIX指數</v>
        <stp/>
        <stp>##V3_BDPV12</stp>
        <stp>TPX Index</stp>
        <stp>DS697</stp>
        <stp>[Index.xlsm]全球指數!R289C2</stp>
        <tr r="B289" s="1"/>
      </tp>
      <tp>
        <v>28.640082982574025</v>
        <stp/>
        <stp>##V3_BDPV12</stp>
        <stp>TSEREIT Index</stp>
        <stp>PE_RATIO</stp>
        <stp>[Index.xlsm]全球指數!R309C18</stp>
        <tr r="R309" s="1"/>
      </tp>
      <tp>
        <v>-1.8301780000000001</v>
        <stp/>
        <stp>##V3_BDPV12</stp>
        <stp>SWIG80 Index</stp>
        <stp>PR064</stp>
        <stp>[Index.xlsm]全球指數!R191C14</stp>
        <tr r="N191" s="1"/>
      </tp>
      <tp t="s">
        <v>SZ</v>
        <stp/>
        <stp>##V3_BDPV12</stp>
        <stp>SLI Index</stp>
        <stp>DS003</stp>
        <stp>[Index.xlsm]全球指數!R118C3</stp>
        <tr r="C118" s="1"/>
      </tp>
      <tp>
        <v>10.384142883314929</v>
        <stp/>
        <stp>##V3_BDPV12</stp>
        <stp>TALSE Index</stp>
        <stp>INTERVAL_Low</stp>
        <stp>[Index.xlsm]全球指數!R247C17</stp>
        <stp>MARKET_DATA_OVERRIDE=PE_RATIO</stp>
        <stp>CALC_INTERVAL=5y</stp>
        <stp>BEST_FPERIOD_OVERRIDE=BF</stp>
        <tr r="Q247" s="1"/>
      </tp>
      <tp>
        <v>5.491170313250076</v>
        <stp/>
        <stp>##V3_BDPV12</stp>
        <stp>COLSC Index</stp>
        <stp>INTERVAL_Low</stp>
        <stp>[Index.xlsm]全球指數!R256C17</stp>
        <stp>MARKET_DATA_OVERRIDE=PE_RATIO</stp>
        <stp>CALC_INTERVAL=5y</stp>
        <stp>BEST_FPERIOD_OVERRIDE=BF</stp>
        <tr r="Q256" s="1"/>
      </tp>
      <tp>
        <v>20.109109500666815</v>
        <stp/>
        <stp>##V3_BDPV12</stp>
        <stp>TPX500 Index</stp>
        <stp>INTERVAL_HIGH</stp>
        <stp>[Index.xlsm]全球指數!R283C16</stp>
        <stp>MARKET_DATA_OVERRIDE=PE_RATIO</stp>
        <stp>CALC_INTERVAL=5y</stp>
        <stp>BEST_FPERIOD_OVERRIDE=BF</stp>
        <tr r="P283" s="1"/>
      </tp>
      <tp>
        <v>18.562764701215425</v>
        <stp/>
        <stp>##V3_BDPV12</stp>
        <stp>TPX100 Index</stp>
        <stp>INTERVAL_HIGH</stp>
        <stp>[Index.xlsm]全球指數!R271C16</stp>
        <stp>MARKET_DATA_OVERRIDE=PE_RATIO</stp>
        <stp>CALC_INTERVAL=5y</stp>
        <stp>BEST_FPERIOD_OVERRIDE=BF</stp>
        <tr r="P271" s="1"/>
      </tp>
      <tp>
        <v>0.25130861398325277</v>
        <stp/>
        <stp>##V3_BDPV12</stp>
        <stp>VILSE Index</stp>
        <stp>INTERVAL_Low</stp>
        <stp>[Index.xlsm]全球指數!R181C17</stp>
        <stp>MARKET_DATA_OVERRIDE=PE_RATIO</stp>
        <stp>CALC_INTERVAL=5y</stp>
        <stp>BEST_FPERIOD_OVERRIDE=BF</stp>
        <tr r="Q181" s="1"/>
      </tp>
      <tp t="s">
        <v>US</v>
        <stp/>
        <stp>##V3_BDPV12</stp>
        <stp>SOX Index</stp>
        <stp>DS003</stp>
        <stp>[Index.xlsm]全球指數!R168C3</stp>
        <tr r="C168" s="1"/>
      </tp>
      <tp>
        <v>13.053761795970056</v>
        <stp/>
        <stp>##V3_BDPV12</stp>
        <stp>COLCAP Index</stp>
        <stp>PE_RATIO</stp>
        <stp>[Index.xlsm]全球指數!R265C18</stp>
        <tr r="R265" s="1"/>
      </tp>
      <tp t="s">
        <v>#N/A N/A</v>
        <stp/>
        <stp>##V3_BDPV12</stp>
        <stp>VALUA Index</stp>
        <stp>INTERVAL_Low</stp>
        <stp>[Index.xlsm]全球指數!R112C17</stp>
        <stp>MARKET_DATA_OVERRIDE=PE_RATIO</stp>
        <stp>CALC_INTERVAL=5y</stp>
        <stp>BEST_FPERIOD_OVERRIDE=BF</stp>
        <tr r="Q112" s="1"/>
      </tp>
      <tp t="s">
        <v>US</v>
        <stp/>
        <stp>##V3_BDPV12</stp>
        <stp>RIY Index</stp>
        <stp>DS003</stp>
        <stp>[Index.xlsm]全球指數!R129C3</stp>
        <tr r="C129" s="1"/>
      </tp>
      <tp>
        <v>8.512271014953285</v>
        <stp/>
        <stp>##V3_BDPV12</stp>
        <stp>KOSPI2 Index</stp>
        <stp>INTERVAL_Low</stp>
        <stp>[Index.xlsm]全球指數!R187C17</stp>
        <stp>MARKET_DATA_OVERRIDE=PE_RATIO</stp>
        <stp>CALC_INTERVAL=5y</stp>
        <stp>BEST_FPERIOD_OVERRIDE=BF</stp>
        <tr r="Q187" s="1"/>
      </tp>
      <tp>
        <v>0.49749399999999999</v>
        <stp/>
        <stp>##V3_BDPV12</stp>
        <stp>SXNP INDEX</stp>
        <stp>CHG_PCT_1D</stp>
        <stp>[Index.xlsm]主要產業!R19C5</stp>
        <tr r="E19" s="2"/>
      </tp>
      <tp>
        <v>0.76699919999999999</v>
        <stp/>
        <stp>##V3_BDPV12</stp>
        <stp>SXKP INDEX</stp>
        <stp>CHG_PCT_1D</stp>
        <stp>[Index.xlsm]主要產業!R29C5</stp>
        <tr r="E29" s="2"/>
      </tp>
      <tp>
        <v>-1.944102</v>
        <stp/>
        <stp>##V3_BDPV12</stp>
        <stp>SH000912 Index</stp>
        <stp>CHG_PCT_1D</stp>
        <stp>[Index.xlsm]主要產業!R50C5</stp>
        <tr r="E50" s="2"/>
      </tp>
      <tp>
        <v>-1.8301780000000001</v>
        <stp/>
        <stp>##V3_BDPV12</stp>
        <stp>SWIG80 Index</stp>
        <stp>CHG_PCT_3M</stp>
        <stp>[Index.xlsm]全球指數!R191C12</stp>
        <tr r="L191" s="1"/>
      </tp>
      <tp>
        <v>50.105007952907876</v>
        <stp/>
        <stp>##V3_BDPV12</stp>
        <stp>EGX30 Index</stp>
        <stp>INTERVAL_HIGH</stp>
        <stp>[Index.xlsm]全球指數!R7C16</stp>
        <stp>MARKET_DATA_OVERRIDE=PE_RATIO</stp>
        <stp>CALC_INTERVAL=5y</stp>
        <stp>BEST_FPERIOD_OVERRIDE=BF</stp>
        <tr r="P7" s="1"/>
      </tp>
      <tp>
        <v>5.348217</v>
        <stp/>
        <stp>##V3_BDPV12</stp>
        <stp>FTEFC1 Index</stp>
        <stp>CHG_PCT_1M</stp>
        <stp>[Index.xlsm]全球指數!R214C11</stp>
        <tr r="K214" s="1"/>
      </tp>
      <tp>
        <v>-0.31932709999999997</v>
        <stp/>
        <stp>##V3_BDPV12</stp>
        <stp>KRX100 Index</stp>
        <stp>CHG_PCT_6M</stp>
        <stp>[Index.xlsm]全球指數!R197C13</stp>
        <tr r="M197" s="1"/>
      </tp>
      <tp>
        <v>15.771569413425857</v>
        <stp/>
        <stp>##V3_BDPV12</stp>
        <stp>IBX50 Index</stp>
        <stp>PE_RATIO</stp>
        <stp>[Index.xlsm]全球指數!R290C18</stp>
        <tr r="R290" s="1"/>
      </tp>
      <tp>
        <v>2.369337533179928</v>
        <stp/>
        <stp>##V3_BDPV12</stp>
        <stp>SPBLPGPT Index</stp>
        <stp>INTERVAL_Low</stp>
        <stp>[Index.xlsm]全球指數!R277C17</stp>
        <stp>MARKET_DATA_OVERRIDE=PE_RATIO</stp>
        <stp>CALC_INTERVAL=5y</stp>
        <stp>BEST_FPERIOD_OVERRIDE=BF</stp>
        <tr r="Q277" s="1"/>
      </tp>
      <tp t="s">
        <v>US</v>
        <stp/>
        <stp>##V3_BDPV12</stp>
        <stp>INDU Index</stp>
        <stp>DS003</stp>
        <stp>[Index.xlsm]全球指數!R170C3</stp>
        <tr r="C170" s="1"/>
      </tp>
      <tp t="s">
        <v>道瓊綜合指數</v>
        <stp/>
        <stp>##V3_BDPV12</stp>
        <stp>COMP Index</stp>
        <stp>DS697</stp>
        <stp>[Index.xlsm]全球指數!R217C2</stp>
        <tr r="B217" s="1"/>
      </tp>
      <tp t="s">
        <v>道瓊瑞典 Titans 30 指數</v>
        <stp/>
        <stp>##V3_BDPV12</stp>
        <stp>SE30 Index</stp>
        <stp>DS697</stp>
        <stp>[Index.xlsm]全球指數!R29C2</stp>
        <tr r="B29" s="1"/>
      </tp>
      <tp>
        <v>-2.4617079999999998</v>
        <stp/>
        <stp>##V3_BDPV12</stp>
        <stp>CHILE65 Index</stp>
        <stp>PR064</stp>
        <stp>[Index.xlsm]全球指數!R165C14</stp>
        <tr r="N165" s="1"/>
      </tp>
      <tp t="s">
        <v>SW</v>
        <stp/>
        <stp>##V3_BDPV12</stp>
        <stp>SE30 Index</stp>
        <stp>DS003</stp>
        <stp>[Index.xlsm]全球指數!R29C3</stp>
        <tr r="C29" s="1"/>
      </tp>
      <tp>
        <v>-4.2888409999999997</v>
        <stp/>
        <stp>##V3_BDPV12</stp>
        <stp>AXX Index</stp>
        <stp>CHG_PCT_6M</stp>
        <stp>[Index.xlsm]全球指數!R76C13</stp>
        <tr r="M76" s="1"/>
      </tp>
      <tp>
        <v>-1.6404000000000001</v>
        <stp/>
        <stp>##V3_BDPV12</stp>
        <stp>AXX Index</stp>
        <stp>CHG_PCT_5D</stp>
        <stp>[Index.xlsm]全球指數!R76C10</stp>
        <tr r="J76" s="1"/>
      </tp>
      <tp>
        <v>-5.6712259999999999</v>
        <stp/>
        <stp>##V3_BDPV12</stp>
        <stp>AXX Index</stp>
        <stp>CHG_PCT_3M</stp>
        <stp>[Index.xlsm]全球指數!R76C12</stp>
        <tr r="L76" s="1"/>
      </tp>
      <tp>
        <v>0.1195116</v>
        <stp/>
        <stp>##V3_BDPV12</stp>
        <stp>AXX Index</stp>
        <stp>CHG_PCT_1M</stp>
        <stp>[Index.xlsm]全球指數!R76C11</stp>
        <tr r="K76" s="1"/>
      </tp>
      <tp>
        <v>3.9350013551437284</v>
        <stp/>
        <stp>##V3_BDPV12</stp>
        <stp>KZKAK Index</stp>
        <stp>INTERVAL_Low</stp>
        <stp>[Index.xlsm]全球指數!R131C17</stp>
        <stp>MARKET_DATA_OVERRIDE=PE_RATIO</stp>
        <stp>CALC_INTERVAL=5y</stp>
        <stp>BEST_FPERIOD_OVERRIDE=BF</stp>
        <tr r="Q131" s="1"/>
      </tp>
      <tp t="s">
        <v>US</v>
        <stp/>
        <stp>##V3_BDPV12</stp>
        <stp>XCI Index</stp>
        <stp>DS003</stp>
        <stp>[Index.xlsm]全球指數!R124C3</stp>
        <tr r="C124" s="1"/>
      </tp>
      <tp t="s">
        <v>#N/A N/A</v>
        <stp/>
        <stp>##V3_BDPV12</stp>
        <stp>LUXXX Index</stp>
        <stp>PE_RATIO</stp>
        <stp>[Index.xlsm]全球指數!R127C18</stp>
        <tr r="R127" s="1"/>
      </tp>
      <tp t="s">
        <v>#N/A N/A</v>
        <stp/>
        <stp>##V3_BDPV12</stp>
        <stp>LUXXR Index</stp>
        <stp>PE_RATIO</stp>
        <stp>[Index.xlsm]全球指數!R126C18</stp>
        <tr r="R126" s="1"/>
      </tp>
      <tp>
        <v>22.383868064708579</v>
        <stp/>
        <stp>##V3_BDPV12</stp>
        <stp>TPXL70 Index</stp>
        <stp>INTERVAL_HIGH</stp>
        <stp>[Index.xlsm]全球指數!R278C16</stp>
        <stp>MARKET_DATA_OVERRIDE=PE_RATIO</stp>
        <stp>CALC_INTERVAL=5y</stp>
        <stp>BEST_FPERIOD_OVERRIDE=BF</stp>
        <tr r="P278" s="1"/>
      </tp>
      <tp>
        <v>16.756770091751211</v>
        <stp/>
        <stp>##V3_BDPV12</stp>
        <stp>TPXSM Index</stp>
        <stp>PE_RATIO</stp>
        <stp>[Index.xlsm]全球指數!R307C18</stp>
        <tr r="R307" s="1"/>
      </tp>
      <tp t="s">
        <v>GB</v>
        <stp/>
        <stp>##V3_BDPV12</stp>
        <stp>UKX Index</stp>
        <stp>DS003</stp>
        <stp>[Index.xlsm]全球指數!R239C3</stp>
        <tr r="C239" s="1"/>
      </tp>
      <tp>
        <v>501.17</v>
        <stp/>
        <stp>##V3_BDPV12</stp>
        <stp>SXPP INDEX</stp>
        <stp>HIGH_52WEEK</stp>
        <stp>[Index.xlsm]主要產業!R32C6</stp>
        <tr r="F32" s="2"/>
      </tp>
      <tp>
        <v>254.13</v>
        <stp/>
        <stp>##V3_BDPV12</stp>
        <stp>SXTP INDEX</stp>
        <stp>HIGH_52WEEK</stp>
        <stp>[Index.xlsm]主要產業!R36C6</stp>
        <tr r="F36" s="2"/>
      </tp>
      <tp>
        <v>-3.0272489999999999</v>
        <stp/>
        <stp>##V3_BDPV12</stp>
        <stp>SH000916 Index</stp>
        <stp>CHG_PCT_1D</stp>
        <stp>[Index.xlsm]主要產業!R57C5</stp>
        <tr r="E57" s="2"/>
      </tp>
      <tp>
        <v>26.432789993305313</v>
        <stp/>
        <stp>##V3_BDPV12</stp>
        <stp>NZSE10 Index</stp>
        <stp>PE_RATIO</stp>
        <stp>[Index.xlsm]全球指數!R249C18</stp>
        <tr r="R249" s="1"/>
      </tp>
      <tp>
        <v>4.954421</v>
        <stp/>
        <stp>##V3_BDPV12</stp>
        <stp>FTEF80 Index</stp>
        <stp>CHG_PCT_1M</stp>
        <stp>[Index.xlsm]全球指數!R161C11</stp>
        <tr r="K161" s="1"/>
      </tp>
      <tp>
        <v>-0.50665709999999997</v>
        <stp/>
        <stp>##V3_BDPV12</stp>
        <stp>BSE500 Index</stp>
        <stp>CHG_PCT_6M</stp>
        <stp>[Index.xlsm]全球指數!R315C13</stp>
        <tr r="M315" s="1"/>
      </tp>
      <tp>
        <v>0.77820310000000004</v>
        <stp/>
        <stp>##V3_BDPV12</stp>
        <stp>BSE100 Index</stp>
        <stp>CHG_PCT_6M</stp>
        <stp>[Index.xlsm]全球指數!R318C13</stp>
        <tr r="M318" s="1"/>
      </tp>
      <tp>
        <v>0.37783</v>
        <stp/>
        <stp>##V3_BDPV12</stp>
        <stp>BSE200 Index</stp>
        <stp>CHG_PCT_6M</stp>
        <stp>[Index.xlsm]全球指數!R316C13</stp>
        <tr r="M316" s="1"/>
      </tp>
      <tp>
        <v>1.4486619999999999</v>
        <stp/>
        <stp>##V3_BDPV12</stp>
        <stp>INDI25 Index</stp>
        <stp>CHG_PCT_1YR</stp>
        <stp>[Index.xlsm]全球指數!R70C15</stp>
        <tr r="O70" s="1"/>
      </tp>
      <tp>
        <v>0.71799519999999994</v>
        <stp/>
        <stp>##V3_BDPV12</stp>
        <stp>TPXL70 Index</stp>
        <stp>CHG_PCT_5D</stp>
        <stp>[Index.xlsm]全球指數!R278C10</stp>
        <tr r="J278" s="1"/>
      </tp>
      <tp>
        <v>0.46224399999999999</v>
        <stp/>
        <stp>##V3_BDPV12</stp>
        <stp>TPXC30 Index</stp>
        <stp>CHG_PCT_5D</stp>
        <stp>[Index.xlsm]全球指數!R266C10</stp>
        <tr r="J266" s="1"/>
      </tp>
      <tp>
        <v>0.86312259999999996</v>
        <stp/>
        <stp>##V3_BDPV12</stp>
        <stp>TPX500 Index</stp>
        <stp>CHG_PCT_5D</stp>
        <stp>[Index.xlsm]全球指數!R283C10</stp>
        <tr r="J283" s="1"/>
      </tp>
      <tp>
        <v>0.58071969999999995</v>
        <stp/>
        <stp>##V3_BDPV12</stp>
        <stp>TPX100 Index</stp>
        <stp>CHG_PCT_5D</stp>
        <stp>[Index.xlsm]全球指數!R271C10</stp>
        <tr r="J271" s="1"/>
      </tp>
      <tp>
        <v>11.992741938111015</v>
        <stp/>
        <stp>##V3_BDPV12</stp>
        <stp>PSI20 Index</stp>
        <stp>INTERVAL_Low</stp>
        <stp>[Index.xlsm]全球指數!R23C17</stp>
        <stp>MARKET_DATA_OVERRIDE=PE_RATIO</stp>
        <stp>CALC_INTERVAL=5y</stp>
        <stp>BEST_FPERIOD_OVERRIDE=BF</stp>
        <tr r="Q23" s="1"/>
      </tp>
      <tp>
        <v>6112.1570000000002</v>
        <stp/>
        <stp>##V3_BDPV12</stp>
        <stp>INTER10 Index</stp>
        <stp>PX_LAST</stp>
        <stp>[Index.xlsm]全球指數!R203C4</stp>
        <tr r="D203" s="1"/>
      </tp>
      <tp>
        <v>2.236917</v>
        <stp/>
        <stp>##V3_BDPV12</stp>
        <stp>INTER10 Index</stp>
        <stp>PR064</stp>
        <stp>[Index.xlsm]全球指數!R203C14</stp>
        <tr r="N203" s="1"/>
      </tp>
      <tp>
        <v>8.749214284603271</v>
        <stp/>
        <stp>##V3_BDPV12</stp>
        <stp>HSCCI Index</stp>
        <stp>INTERVAL_Low</stp>
        <stp>[Index.xlsm]全球指數!R24C17</stp>
        <stp>MARKET_DATA_OVERRIDE=PE_RATIO</stp>
        <stp>CALC_INTERVAL=5y</stp>
        <stp>BEST_FPERIOD_OVERRIDE=BF</stp>
        <tr r="Q24" s="1"/>
      </tp>
      <tp>
        <v>5.6292568922183577</v>
        <stp/>
        <stp>##V3_BDPV12</stp>
        <stp>HSCEI Index</stp>
        <stp>INTERVAL_Low</stp>
        <stp>[Index.xlsm]全球指數!R72C17</stp>
        <stp>MARKET_DATA_OVERRIDE=PE_RATIO</stp>
        <stp>CALC_INTERVAL=5y</stp>
        <stp>BEST_FPERIOD_OVERRIDE=BF</stp>
        <tr r="Q72" s="1"/>
      </tp>
      <tp>
        <v>6.2469932138469257</v>
        <stp/>
        <stp>##V3_BDPV12</stp>
        <stp>KSE30 Index</stp>
        <stp>INTERVAL_Low</stp>
        <stp>[Index.xlsm]全球指數!R17C17</stp>
        <stp>MARKET_DATA_OVERRIDE=PE_RATIO</stp>
        <stp>CALC_INTERVAL=5y</stp>
        <stp>BEST_FPERIOD_OVERRIDE=BF</stp>
        <tr r="Q17" s="1"/>
      </tp>
      <tp>
        <v>12.04630630335153</v>
        <stp/>
        <stp>##V3_BDPV12</stp>
        <stp>OSEBX Index</stp>
        <stp>INTERVAL_Low</stp>
        <stp>[Index.xlsm]全球指數!R52C17</stp>
        <stp>MARKET_DATA_OVERRIDE=PE_RATIO</stp>
        <stp>CALC_INTERVAL=5y</stp>
        <stp>BEST_FPERIOD_OVERRIDE=BF</stp>
        <tr r="Q52" s="1"/>
      </tp>
      <tp>
        <v>4.8103315352401728</v>
        <stp/>
        <stp>##V3_BDPV12</stp>
        <stp>OSEAX Index</stp>
        <stp>INTERVAL_Low</stp>
        <stp>[Index.xlsm]全球指數!R35C17</stp>
        <stp>MARKET_DATA_OVERRIDE=PE_RATIO</stp>
        <stp>CALC_INTERVAL=5y</stp>
        <stp>BEST_FPERIOD_OVERRIDE=BF</stp>
        <tr r="Q35" s="1"/>
      </tp>
      <tp>
        <v>11.661586825444445</v>
        <stp/>
        <stp>##V3_BDPV12</stp>
        <stp>OSEFX Index</stp>
        <stp>INTERVAL_Low</stp>
        <stp>[Index.xlsm]全球指數!R53C17</stp>
        <stp>MARKET_DATA_OVERRIDE=PE_RATIO</stp>
        <stp>CALC_INTERVAL=5y</stp>
        <stp>BEST_FPERIOD_OVERRIDE=BF</stp>
        <tr r="Q53" s="1"/>
      </tp>
      <tp>
        <v>1.0504435297005188</v>
        <stp/>
        <stp>##V3_BDPV12</stp>
        <stp>OSESX Index</stp>
        <stp>INTERVAL_Low</stp>
        <stp>[Index.xlsm]全球指數!R36C17</stp>
        <stp>MARKET_DATA_OVERRIDE=PE_RATIO</stp>
        <stp>CALC_INTERVAL=5y</stp>
        <stp>BEST_FPERIOD_OVERRIDE=BF</stp>
        <tr r="Q36" s="1"/>
      </tp>
      <tp>
        <v>8.0239940000000001</v>
        <stp/>
        <stp>##V3_BDPV12</stp>
        <stp>RTSI$ Index</stp>
        <stp>CHG_PCT_1M</stp>
        <stp>[Index.xlsm]全球指數!R102C11</stp>
        <tr r="K102" s="1"/>
      </tp>
      <tp>
        <v>-0.54366020000000004</v>
        <stp/>
        <stp>##V3_BDPV12</stp>
        <stp>NYP Index</stp>
        <stp>CHG_PCT_6M</stp>
        <stp>[Index.xlsm]全球指數!R83C13</stp>
        <tr r="M83" s="1"/>
      </tp>
      <tp>
        <v>-1.5452969999999999</v>
        <stp/>
        <stp>##V3_BDPV12</stp>
        <stp>NYP Index</stp>
        <stp>CHG_PCT_5D</stp>
        <stp>[Index.xlsm]全球指數!R83C10</stp>
        <tr r="J83" s="1"/>
      </tp>
      <tp>
        <v>-2.0327519999999999</v>
        <stp/>
        <stp>##V3_BDPV12</stp>
        <stp>NYP Index</stp>
        <stp>CHG_PCT_3M</stp>
        <stp>[Index.xlsm]全球指數!R83C12</stp>
        <tr r="L83" s="1"/>
      </tp>
      <tp>
        <v>0.1009462</v>
        <stp/>
        <stp>##V3_BDPV12</stp>
        <stp>OMXO20GI Index</stp>
        <stp>CHG_PCT_1D</stp>
        <stp>[Index.xlsm]全球指數!R50C5</stp>
        <tr r="E50" s="1"/>
      </tp>
      <tp>
        <v>0.62203260000000005</v>
        <stp/>
        <stp>##V3_BDPV12</stp>
        <stp>NYP Index</stp>
        <stp>CHG_PCT_1M</stp>
        <stp>[Index.xlsm]全球指數!R83C11</stp>
        <tr r="K83" s="1"/>
      </tp>
      <tp>
        <v>16.006341367119006</v>
        <stp/>
        <stp>##V3_BDPV12</stp>
        <stp>MS190 Index</stp>
        <stp>INTERVAL_Low</stp>
        <stp>[Index.xlsm]全球指數!R79C17</stp>
        <stp>MARKET_DATA_OVERRIDE=PE_RATIO</stp>
        <stp>CALC_INTERVAL=5y</stp>
        <stp>BEST_FPERIOD_OVERRIDE=BF</stp>
        <tr r="Q79" s="1"/>
      </tp>
      <tp t="s">
        <v>SZ</v>
        <stp/>
        <stp>##V3_BDPV12</stp>
        <stp>CH30 Index</stp>
        <stp>DS003</stp>
        <stp>[Index.xlsm]全球指數!R157C3</stp>
        <tr r="C157" s="1"/>
      </tp>
      <tp>
        <v>-0.212923</v>
        <stp/>
        <stp>##V3_BDPV12</stp>
        <stp>BEL20 Index</stp>
        <stp>CHG_PCT_5D</stp>
        <stp>[Index.xlsm]全球指數!R224C10</stp>
        <tr r="J224" s="1"/>
      </tp>
      <tp>
        <v>-0.38987660000000002</v>
        <stp/>
        <stp>##V3_BDPV12</stp>
        <stp>BE500 Index</stp>
        <stp>CHG_PCT_5D</stp>
        <stp>[Index.xlsm]全球指數!R202C10</stp>
        <tr r="J202" s="1"/>
      </tp>
      <tp>
        <v>15.066211582587098</v>
        <stp/>
        <stp>##V3_BDPV12</stp>
        <stp>KWSEPM Index</stp>
        <stp>PE_RATIO</stp>
        <stp>[Index.xlsm]全球指數!R311C18</stp>
        <tr r="R311" s="1"/>
      </tp>
      <tp t="s">
        <v>JN</v>
        <stp/>
        <stp>##V3_BDPV12</stp>
        <stp>TPX Index</stp>
        <stp>DS003</stp>
        <stp>[Index.xlsm]全球指數!R289C3</stp>
        <tr r="C289" s="1"/>
      </tp>
      <tp t="s">
        <v>#N/A N/A</v>
        <stp/>
        <stp>##V3_BDPV12</stp>
        <stp>NYYID Index</stp>
        <stp>PE_RATIO</stp>
        <stp>[Index.xlsm]全球指數!R190C18</stp>
        <tr r="R190" s="1"/>
      </tp>
      <tp>
        <v>22.568120516807191</v>
        <stp/>
        <stp>##V3_BDPV12</stp>
        <stp>NKYJQ Index</stp>
        <stp>PE_RATIO</stp>
        <stp>[Index.xlsm]全球指數!R292C18</stp>
        <tr r="R292" s="1"/>
      </tp>
      <tp>
        <v>68.844864259936472</v>
        <stp/>
        <stp>##V3_BDPV12</stp>
        <stp>SASX10 Index</stp>
        <stp>INTERVAL_HIGH</stp>
        <stp>[Index.xlsm]全球指數!R293C16</stp>
        <stp>MARKET_DATA_OVERRIDE=PE_RATIO</stp>
        <stp>CALC_INTERVAL=5y</stp>
        <stp>BEST_FPERIOD_OVERRIDE=BF</stp>
        <tr r="P293" s="1"/>
      </tp>
      <tp t="s">
        <v>SLI瑞士領先指數</v>
        <stp/>
        <stp>##V3_BDPV12</stp>
        <stp>SLI Index</stp>
        <stp>DS697</stp>
        <stp>[Index.xlsm]全球指數!R118C2</stp>
        <tr r="B118" s="1"/>
      </tp>
      <tp>
        <v>26.657369398158792</v>
        <stp/>
        <stp>##V3_BDPV12</stp>
        <stp>SPIEXX Index</stp>
        <stp>PE_RATIO</stp>
        <stp>[Index.xlsm]全球指數!R180C18</stp>
        <tr r="R180" s="1"/>
      </tp>
      <tp t="s">
        <v>費城半導體指數</v>
        <stp/>
        <stp>##V3_BDPV12</stp>
        <stp>SOX Index</stp>
        <stp>DS697</stp>
        <stp>[Index.xlsm]全球指數!R168C2</stp>
        <tr r="B168" s="1"/>
      </tp>
      <tp>
        <v>53.438427910918335</v>
        <stp/>
        <stp>##V3_BDPV12</stp>
        <stp>BBREIT Index</stp>
        <stp>PE_RATIO</stp>
        <stp>[Index.xlsm]全球指數!R288C18</stp>
        <tr r="R288" s="1"/>
      </tp>
      <tp t="s">
        <v>羅素1000指數</v>
        <stp/>
        <stp>##V3_BDPV12</stp>
        <stp>RIY Index</stp>
        <stp>DS697</stp>
        <stp>[Index.xlsm]全球指數!R129C2</stp>
        <tr r="B129" s="1"/>
      </tp>
      <tp>
        <v>15.351148784270489</v>
        <stp/>
        <stp>##V3_BDPV12</stp>
        <stp>GGSECI Index</stp>
        <stp>PE_RATIO</stp>
        <stp>[Index.xlsm]全球指數!R111C18</stp>
        <tr r="R111" s="1"/>
      </tp>
      <tp>
        <v>14.963974812994438</v>
        <stp/>
        <stp>##V3_BDPV12</stp>
        <stp>KWSEMM Index</stp>
        <stp>PE_RATIO</stp>
        <stp>[Index.xlsm]全球指數!R291C18</stp>
        <tr r="R291" s="1"/>
      </tp>
      <tp>
        <v>-0.18726599999999999</v>
        <stp/>
        <stp>##V3_BDPV12</stp>
        <stp>SH000917 Index</stp>
        <stp>CHG_PCT_1D</stp>
        <stp>[Index.xlsm]主要產業!R56C5</stp>
        <tr r="E56" s="2"/>
      </tp>
      <tp>
        <v>7.7732000000000001</v>
        <stp/>
        <stp>##V3_BDPV12</stp>
        <stp>BSE500 Index</stp>
        <stp>CHG_PCT_5D</stp>
        <stp>[Index.xlsm]全球指數!R315C10</stp>
        <tr r="J315" s="1"/>
      </tp>
      <tp>
        <v>7.9195859999999998</v>
        <stp/>
        <stp>##V3_BDPV12</stp>
        <stp>BSE200 Index</stp>
        <stp>CHG_PCT_5D</stp>
        <stp>[Index.xlsm]全球指數!R316C10</stp>
        <tr r="J316" s="1"/>
      </tp>
      <tp>
        <v>8.0669319999999995</v>
        <stp/>
        <stp>##V3_BDPV12</stp>
        <stp>BSE100 Index</stp>
        <stp>CHG_PCT_5D</stp>
        <stp>[Index.xlsm]全球指數!R318C10</stp>
        <tr r="J318" s="1"/>
      </tp>
      <tp>
        <v>18.240685927585364</v>
        <stp/>
        <stp>##V3_BDPV12</stp>
        <stp>FTEF80 Index</stp>
        <stp>PE_RATIO</stp>
        <stp>[Index.xlsm]全球指數!R161C18</stp>
        <tr r="R161" s="1"/>
      </tp>
      <tp>
        <v>0.1593502</v>
        <stp/>
        <stp>##V3_BDPV12</stp>
        <stp>SWIG80 Index</stp>
        <stp>CHG_PCT_1M</stp>
        <stp>[Index.xlsm]全球指數!R191C11</stp>
        <tr r="K191" s="1"/>
      </tp>
      <tp>
        <v>4490.4399999999996</v>
        <stp/>
        <stp>##V3_BDPV12</stp>
        <stp>SBF120 Index</stp>
        <stp>HIGH_52WEEK</stp>
        <stp>[Index.xlsm]全球指數!R169C6</stp>
        <tr r="F169" s="1"/>
      </tp>
      <tp>
        <v>1.4380090000000001</v>
        <stp/>
        <stp>##V3_BDPV12</stp>
        <stp>FTEFC1 Index</stp>
        <stp>CHG_PCT_3M</stp>
        <stp>[Index.xlsm]全球指數!R214C12</stp>
        <tr r="L214" s="1"/>
      </tp>
      <tp>
        <v>1.055234</v>
        <stp/>
        <stp>##V3_BDPV12</stp>
        <stp>SZ399550 Index</stp>
        <stp>CHG_PCT_1M</stp>
        <stp>[Index.xlsm]全球指數!R59C11</stp>
        <tr r="K59" s="1"/>
      </tp>
      <tp>
        <v>1.702758</v>
        <stp/>
        <stp>##V3_BDPV12</stp>
        <stp>SZ399550 Index</stp>
        <stp>CHG_PCT_3M</stp>
        <stp>[Index.xlsm]全球指數!R59C12</stp>
        <tr r="L59" s="1"/>
      </tp>
      <tp>
        <v>-1.903662</v>
        <stp/>
        <stp>##V3_BDPV12</stp>
        <stp>SZ399550 Index</stp>
        <stp>CHG_PCT_5D</stp>
        <stp>[Index.xlsm]全球指數!R59C10</stp>
        <tr r="J59" s="1"/>
      </tp>
      <tp>
        <v>2271.29</v>
        <stp/>
        <stp>##V3_BDPV12</stp>
        <stp>NKY500 Index</stp>
        <stp>HIGH_52WEEK</stp>
        <stp>[Index.xlsm]全球指數!R280C6</stp>
        <tr r="F280" s="1"/>
      </tp>
      <tp>
        <v>3.0180150000000001</v>
        <stp/>
        <stp>##V3_BDPV12</stp>
        <stp>TPXL70 Index</stp>
        <stp>CHG_PCT_6M</stp>
        <stp>[Index.xlsm]全球指數!R278C13</stp>
        <tr r="M278" s="1"/>
      </tp>
      <tp>
        <v>2.1002719999999999</v>
        <stp/>
        <stp>##V3_BDPV12</stp>
        <stp>TPXC30 Index</stp>
        <stp>CHG_PCT_6M</stp>
        <stp>[Index.xlsm]全球指數!R266C13</stp>
        <tr r="M266" s="1"/>
      </tp>
      <tp>
        <v>3.849383</v>
        <stp/>
        <stp>##V3_BDPV12</stp>
        <stp>SZ399550 Index</stp>
        <stp>CHG_PCT_6M</stp>
        <stp>[Index.xlsm]全球指數!R59C13</stp>
        <tr r="M59" s="1"/>
      </tp>
      <tp>
        <v>0.96688879999999999</v>
        <stp/>
        <stp>##V3_BDPV12</stp>
        <stp>TPX500 Index</stp>
        <stp>CHG_PCT_6M</stp>
        <stp>[Index.xlsm]全球指數!R283C13</stp>
        <tr r="M283" s="1"/>
      </tp>
      <tp>
        <v>2.5242879999999999</v>
        <stp/>
        <stp>##V3_BDPV12</stp>
        <stp>TPX100 Index</stp>
        <stp>CHG_PCT_6M</stp>
        <stp>[Index.xlsm]全球指數!R271C13</stp>
        <tr r="M271" s="1"/>
      </tp>
      <tp t="s">
        <v>QA</v>
        <stp/>
        <stp>##V3_BDPV12</stp>
        <stp>QEAS Index</stp>
        <stp>DS003</stp>
        <stp>[Index.xlsm]全球指數!R149C3</stp>
        <tr r="C149" s="1"/>
      </tp>
      <tp t="s">
        <v>斯洛伐克股票指數</v>
        <stp/>
        <stp>##V3_BDPV12</stp>
        <stp>SKSM Index</stp>
        <stp>DS697</stp>
        <stp>[Index.xlsm]全球指數!R281C2</stp>
        <tr r="B281" s="1"/>
      </tp>
      <tp>
        <v>1792.028</v>
        <stp/>
        <stp>##V3_BDPV12</stp>
        <stp>SZ399006 Index</stp>
        <stp>HIGH_52WEEK</stp>
        <stp>[Index.xlsm]全球指數!R8C6</stp>
        <tr r="F8" s="1"/>
      </tp>
      <tp>
        <v>223.62623931235223</v>
        <stp/>
        <stp>##V3_BDPV12</stp>
        <stp>MAR Index</stp>
        <stp>INTERVAL_HIGH</stp>
        <stp>[Index.xlsm]全球指數!R5C16</stp>
        <stp>MARKET_DATA_OVERRIDE=PE_RATIO</stp>
        <stp>CALC_INTERVAL=5y</stp>
        <stp>BEST_FPERIOD_OVERRIDE=BF</stp>
        <tr r="P5" s="1"/>
      </tp>
      <tp>
        <v>145.98632805927761</v>
        <stp/>
        <stp>##V3_BDPV12</stp>
        <stp>OSX Index</stp>
        <stp>INTERVAL_HIGH</stp>
        <stp>[Index.xlsm]全球指數!R2C16</stp>
        <stp>MARKET_DATA_OVERRIDE=PE_RATIO</stp>
        <stp>CALC_INTERVAL=5y</stp>
        <stp>BEST_FPERIOD_OVERRIDE=BF</stp>
        <tr r="P2" s="1"/>
      </tp>
      <tp>
        <v>38.68367039811713</v>
        <stp/>
        <stp>##V3_BDPV12</stp>
        <stp>IBG Index</stp>
        <stp>INTERVAL_HIGH</stp>
        <stp>[Index.xlsm]全球指數!R3C16</stp>
        <stp>MARKET_DATA_OVERRIDE=PE_RATIO</stp>
        <stp>CALC_INTERVAL=5y</stp>
        <stp>BEST_FPERIOD_OVERRIDE=BF</stp>
        <tr r="P3" s="1"/>
      </tp>
      <tp>
        <v>934.18</v>
        <stp/>
        <stp>##V3_BDPV12</stp>
        <stp>s5hlth index</stp>
        <stp>LOW_52WEEK</stp>
        <stp>[Index.xlsm]主要產業!R3C8</stp>
        <tr r="H3" s="2"/>
      </tp>
      <tp>
        <v>2.3006859999999998</v>
        <stp/>
        <stp>##V3_BDPV12</stp>
        <stp>BEL20 Index</stp>
        <stp>CHG_PCT_6M</stp>
        <stp>[Index.xlsm]全球指數!R224C13</stp>
        <tr r="M224" s="1"/>
      </tp>
      <tp>
        <v>2.5984280000000002</v>
        <stp/>
        <stp>##V3_BDPV12</stp>
        <stp>BE500 Index</stp>
        <stp>CHG_PCT_6M</stp>
        <stp>[Index.xlsm]全球指數!R202C13</stp>
        <tr r="M202" s="1"/>
      </tp>
      <tp t="s">
        <v>FR</v>
        <stp/>
        <stp>##V3_BDPV12</stp>
        <stp>CN20 Index</stp>
        <stp>DS003</stp>
        <stp>[Index.xlsm]全球指數!R172C3</stp>
        <tr r="C172" s="1"/>
      </tp>
      <tp>
        <v>13.610129999428297</v>
        <stp/>
        <stp>##V3_BDPV12</stp>
        <stp>BVLX Index</stp>
        <stp>INTERVAL_Low</stp>
        <stp>[Index.xlsm]全球指數!R69C17</stp>
        <stp>MARKET_DATA_OVERRIDE=PE_RATIO</stp>
        <stp>CALC_INTERVAL=5y</stp>
        <stp>BEST_FPERIOD_OVERRIDE=BF</stp>
        <tr r="Q69" s="1"/>
      </tp>
      <tp>
        <v>9.6826670000000007E-3</v>
        <stp/>
        <stp>##V3_BDPV12</stp>
        <stp>SZSMEC Index</stp>
        <stp>CHG_PCT_1M</stp>
        <stp>[Index.xlsm]全球指數!R9C11</stp>
        <tr r="K9" s="1"/>
      </tp>
      <tp>
        <v>0.51277539999999999</v>
        <stp/>
        <stp>##V3_BDPV12</stp>
        <stp>SZSMEC Index</stp>
        <stp>CHG_PCT_3M</stp>
        <stp>[Index.xlsm]全球指數!R9C12</stp>
        <tr r="L9" s="1"/>
      </tp>
      <tp>
        <v>-6.919441</v>
        <stp/>
        <stp>##V3_BDPV12</stp>
        <stp>SZSMEC Index</stp>
        <stp>CHG_PCT_6M</stp>
        <stp>[Index.xlsm]全球指數!R9C13</stp>
        <tr r="M9" s="1"/>
      </tp>
      <tp>
        <v>-4.5109149999999998</v>
        <stp/>
        <stp>##V3_BDPV12</stp>
        <stp>SZSMEC Index</stp>
        <stp>CHG_PCT_5D</stp>
        <stp>[Index.xlsm]全球指數!R9C10</stp>
        <tr r="J9" s="1"/>
      </tp>
      <tp t="s">
        <v>#N/A N/A</v>
        <stp/>
        <stp>##V3_BDPV12</stp>
        <stp>NYIID Index</stp>
        <stp>INTERVAL_Low</stp>
        <stp>[Index.xlsm]全球指數!R227C17</stp>
        <stp>MARKET_DATA_OVERRIDE=PE_RATIO</stp>
        <stp>CALC_INTERVAL=5y</stp>
        <stp>BEST_FPERIOD_OVERRIDE=BF</stp>
        <tr r="Q227" s="1"/>
      </tp>
      <tp>
        <v>30.221444672005926</v>
        <stp/>
        <stp>##V3_BDPV12</stp>
        <stp>SBF120 Index</stp>
        <stp>INTERVAL_HIGH</stp>
        <stp>[Index.xlsm]全球指數!R169C16</stp>
        <stp>MARKET_DATA_OVERRIDE=PE_RATIO</stp>
        <stp>CALC_INTERVAL=5y</stp>
        <stp>BEST_FPERIOD_OVERRIDE=BF</stp>
        <tr r="P169" s="1"/>
      </tp>
      <tp>
        <v>-6.3478490000000001</v>
        <stp/>
        <stp>##V3_BDPV12</stp>
        <stp>HERMES Index</stp>
        <stp>CHG_PCT_5D</stp>
        <stp>[Index.xlsm]全球指數!R6C10</stp>
        <tr r="J6" s="1"/>
      </tp>
      <tp>
        <v>-10.13705</v>
        <stp/>
        <stp>##V3_BDPV12</stp>
        <stp>HERMES Index</stp>
        <stp>CHG_PCT_6M</stp>
        <stp>[Index.xlsm]全球指數!R6C13</stp>
        <tr r="M6" s="1"/>
      </tp>
      <tp>
        <v>-5.6982049999999997</v>
        <stp/>
        <stp>##V3_BDPV12</stp>
        <stp>HERMES Index</stp>
        <stp>CHG_PCT_3M</stp>
        <stp>[Index.xlsm]全球指數!R6C12</stp>
        <tr r="L6" s="1"/>
      </tp>
      <tp>
        <v>-5.0260740000000004</v>
        <stp/>
        <stp>##V3_BDPV12</stp>
        <stp>HERMES Index</stp>
        <stp>CHG_PCT_1M</stp>
        <stp>[Index.xlsm]全球指數!R6C11</stp>
        <tr r="K6" s="1"/>
      </tp>
      <tp>
        <v>18.150023847710937</v>
        <stp/>
        <stp>##V3_BDPV12</stp>
        <stp>FTEFC1 Index</stp>
        <stp>PE_RATIO</stp>
        <stp>[Index.xlsm]全球指數!R214C18</stp>
        <tr r="R214" s="1"/>
      </tp>
      <tp>
        <v>14.32097835500762</v>
        <stp/>
        <stp>##V3_BDPV12</stp>
        <stp>SPEURO Index</stp>
        <stp>INTERVAL_Low</stp>
        <stp>[Index.xlsm]全球指數!R201C17</stp>
        <stp>MARKET_DATA_OVERRIDE=PE_RATIO</stp>
        <stp>CALC_INTERVAL=5y</stp>
        <stp>BEST_FPERIOD_OVERRIDE=BF</stp>
        <tr r="Q201" s="1"/>
      </tp>
      <tp>
        <v>-1.407799</v>
        <stp/>
        <stp>##V3_BDPV12</stp>
        <stp>SH000913 Index</stp>
        <stp>CHG_PCT_1D</stp>
        <stp>[Index.xlsm]主要產業!R55C5</stp>
        <tr r="E55" s="2"/>
      </tp>
      <tp>
        <v>2.4153739999999999</v>
        <stp/>
        <stp>##V3_BDPV12</stp>
        <stp>FTEF80 Index</stp>
        <stp>CHG_PCT_3M</stp>
        <stp>[Index.xlsm]全球指數!R161C12</stp>
        <tr r="L161" s="1"/>
      </tp>
      <tp t="s">
        <v>#N/A N/A</v>
        <stp/>
        <stp>##V3_BDPV12</stp>
        <stp>CHILE65 Index</stp>
        <stp>INTERVAL_Low</stp>
        <stp>[Index.xlsm]全球指數!R165C17</stp>
        <stp>MARKET_DATA_OVERRIDE=PE_RATIO</stp>
        <stp>CALC_INTERVAL=5y</stp>
        <stp>BEST_FPERIOD_OVERRIDE=BF</stp>
        <tr r="Q165" s="1"/>
      </tp>
      <tp>
        <v>35.230586582901047</v>
        <stp/>
        <stp>##V3_BDPV12</stp>
        <stp>SWIG80 Index</stp>
        <stp>PE_RATIO</stp>
        <stp>[Index.xlsm]全球指數!R191C18</stp>
        <tr r="R191" s="1"/>
      </tp>
      <tp>
        <v>1163.5070000000001</v>
        <stp/>
        <stp>##V3_BDPV12</stp>
        <stp>OMXC25 Index</stp>
        <stp>HIGH_52WEEK</stp>
        <stp>[Index.xlsm]全球指數!R262C6</stp>
        <tr r="F262" s="1"/>
      </tp>
      <tp>
        <v>302.64</v>
        <stp/>
        <stp>##V3_BDPV12</stp>
        <stp>KOSPI2 Index</stp>
        <stp>HIGH_52WEEK</stp>
        <stp>[Index.xlsm]全球指數!R187C6</stp>
        <tr r="F187" s="1"/>
      </tp>
      <tp>
        <v>-0.44002400000000003</v>
        <stp/>
        <stp>##V3_BDPV12</stp>
        <stp>KRX100 Index</stp>
        <stp>CHG_PCT_5D</stp>
        <stp>[Index.xlsm]全球指數!R197C10</stp>
        <tr r="J197" s="1"/>
      </tp>
      <tp t="s">
        <v>US</v>
        <stp/>
        <stp>##V3_BDPV12</stp>
        <stp>CINS Index</stp>
        <stp>DS003</stp>
        <stp>[Index.xlsm]全球指數!R254C3</stp>
        <tr r="C254" s="1"/>
      </tp>
      <tp t="s">
        <v>波士尼亞BIRS指數</v>
        <stp/>
        <stp>##V3_BDPV12</stp>
        <stp>BIRS Index</stp>
        <stp>DS697</stp>
        <stp>[Index.xlsm]全球指數!R152C2</stp>
        <tr r="B152" s="1"/>
      </tp>
      <tp t="s">
        <v>#N/A N/A</v>
        <stp/>
        <stp>##V3_BDPV12</stp>
        <stp>TSEMOTHR Index</stp>
        <stp>PE_RATIO</stp>
        <stp>[Index.xlsm]全球指數!R313C18</stp>
        <tr r="R313" s="1"/>
      </tp>
      <tp t="s">
        <v>US</v>
        <stp/>
        <stp>##V3_BDPV12</stp>
        <stp>s5cond index</stp>
        <stp>DS003</stp>
        <stp>[Index.xlsm]主要產業!R7C3</stp>
        <tr r="C7" s="2"/>
      </tp>
      <tp>
        <v>-2.0517690000000002</v>
        <stp/>
        <stp>##V3_BDPV12</stp>
        <stp>RTSI$ Index</stp>
        <stp>CHG_PCT_3M</stp>
        <stp>[Index.xlsm]全球指數!R102C12</stp>
        <tr r="L102" s="1"/>
      </tp>
      <tp>
        <v>4527.9539999999997</v>
        <stp/>
        <stp>##V3_BDPV12</stp>
        <stp>SZ399005 Index</stp>
        <stp>LOW_52WEEK</stp>
        <stp>[Index.xlsm]全球指數!R16C8</stp>
        <tr r="H16" s="1"/>
      </tp>
      <tp>
        <v>496.81</v>
        <stp/>
        <stp>##V3_BDPV12</stp>
        <stp>s5cons index</stp>
        <stp>LOW_52WEEK</stp>
        <stp>[Index.xlsm]主要產業!R9C8</stp>
        <tr r="H9" s="2"/>
      </tp>
      <tp>
        <v>7.0690609042541013</v>
        <stp/>
        <stp>##V3_BDPV12</stp>
        <stp>SBITOP Index</stp>
        <stp>INTERVAL_Low</stp>
        <stp>[Index.xlsm]全球指數!R176C17</stp>
        <stp>MARKET_DATA_OVERRIDE=PE_RATIO</stp>
        <stp>CALC_INTERVAL=5y</stp>
        <stp>BEST_FPERIOD_OVERRIDE=BF</stp>
        <tr r="Q176" s="1"/>
      </tp>
      <tp>
        <v>13.021137611857018</v>
        <stp/>
        <stp>##V3_BDPV12</stp>
        <stp>CS90 Index</stp>
        <stp>INTERVAL_Low</stp>
        <stp>[Index.xlsm]全球指數!R38C17</stp>
        <stp>MARKET_DATA_OVERRIDE=PE_RATIO</stp>
        <stp>CALC_INTERVAL=5y</stp>
        <stp>BEST_FPERIOD_OVERRIDE=BF</stp>
        <tr r="Q38" s="1"/>
      </tp>
      <tp>
        <v>4338.74609375</v>
        <stp/>
        <stp>##V3_BDPV12</stp>
        <stp>SHCSI100 Index</stp>
        <stp>HIGH_52WEEK</stp>
        <stp>[Index.xlsm]全球指數!R98C6</stp>
        <tr r="F98" s="1"/>
      </tp>
      <tp>
        <v>22.611309645644422</v>
        <stp/>
        <stp>##V3_BDPV12</stp>
        <stp>SET50 Index</stp>
        <stp>INTERVAL_HIGH</stp>
        <stp>[Index.xlsm]全球指數!R233C16</stp>
        <stp>MARKET_DATA_OVERRIDE=PE_RATIO</stp>
        <stp>CALC_INTERVAL=5y</stp>
        <stp>BEST_FPERIOD_OVERRIDE=BF</stp>
        <tr r="P233" s="1"/>
      </tp>
      <tp>
        <v>19.788962140671387</v>
        <stp/>
        <stp>##V3_BDPV12</stp>
        <stp>TWOTCI Index</stp>
        <stp>INTERVAL_Low</stp>
        <stp>[Index.xlsm]全球指數!R229C17</stp>
        <stp>MARKET_DATA_OVERRIDE=PE_RATIO</stp>
        <stp>CALC_INTERVAL=5y</stp>
        <stp>BEST_FPERIOD_OVERRIDE=BF</stp>
        <tr r="Q229" s="1"/>
      </tp>
      <tp>
        <v>15.147603184223296</v>
        <stp/>
        <stp>##V3_BDPV12</stp>
        <stp>SSE50 Index</stp>
        <stp>INTERVAL_HIGH</stp>
        <stp>[Index.xlsm]全球指數!R132C16</stp>
        <stp>MARKET_DATA_OVERRIDE=PE_RATIO</stp>
        <stp>CALC_INTERVAL=5y</stp>
        <stp>BEST_FPERIOD_OVERRIDE=BF</stp>
        <tr r="P132" s="1"/>
      </tp>
      <tp t="s">
        <v>紐約證交所Arca主要市場指數</v>
        <stp/>
        <stp>##V3_BDPV12</stp>
        <stp>XMI Index</stp>
        <stp>DS697</stp>
        <stp>[Index.xlsm]全球指數!R211C2</stp>
        <tr r="B211" s="1"/>
      </tp>
      <tp>
        <v>312.08230492802909</v>
        <stp/>
        <stp>##V3_BDPV12</stp>
        <stp>IBX50 Index</stp>
        <stp>INTERVAL_HIGH</stp>
        <stp>[Index.xlsm]全球指數!R290C16</stp>
        <stp>MARKET_DATA_OVERRIDE=PE_RATIO</stp>
        <stp>CALC_INTERVAL=5y</stp>
        <stp>BEST_FPERIOD_OVERRIDE=BF</stp>
        <tr r="P290" s="1"/>
      </tp>
      <tp>
        <v>11.977994038067958</v>
        <stp/>
        <stp>##V3_BDPV12</stp>
        <stp>CDAX Index</stp>
        <stp>INTERVAL_Low</stp>
        <stp>[Index.xlsm]全球指數!R82C17</stp>
        <stp>MARKET_DATA_OVERRIDE=PE_RATIO</stp>
        <stp>CALC_INTERVAL=5y</stp>
        <stp>BEST_FPERIOD_OVERRIDE=BF</stp>
        <tr r="Q82" s="1"/>
      </tp>
      <tp>
        <v>13.996738349593175</v>
        <stp/>
        <stp>##V3_BDPV12</stp>
        <stp>ITSTAR Index</stp>
        <stp>INTERVAL_Low</stp>
        <stp>[Index.xlsm]全球指數!R158C17</stp>
        <stp>MARKET_DATA_OVERRIDE=PE_RATIO</stp>
        <stp>CALC_INTERVAL=5y</stp>
        <stp>BEST_FPERIOD_OVERRIDE=BF</stp>
        <tr r="Q158" s="1"/>
      </tp>
      <tp>
        <v>24.954221858697238</v>
        <stp/>
        <stp>##V3_BDPV12</stp>
        <stp>CCMP Index</stp>
        <stp>INTERVAL_Low</stp>
        <stp>[Index.xlsm]全球指數!R61C17</stp>
        <stp>MARKET_DATA_OVERRIDE=PE_RATIO</stp>
        <stp>CALC_INTERVAL=5y</stp>
        <stp>BEST_FPERIOD_OVERRIDE=BF</stp>
        <tr r="Q61" s="1"/>
      </tp>
      <tp>
        <v>10.948847405962928</v>
        <stp/>
        <stp>##V3_BDPV12</stp>
        <stp>CBNK Index</stp>
        <stp>INTERVAL_Low</stp>
        <stp>[Index.xlsm]全球指數!R92C17</stp>
        <stp>MARKET_DATA_OVERRIDE=PE_RATIO</stp>
        <stp>CALC_INTERVAL=5y</stp>
        <stp>BEST_FPERIOD_OVERRIDE=BF</stp>
        <tr r="Q92" s="1"/>
      </tp>
      <tp>
        <v>14.001069136409512</v>
        <stp/>
        <stp>##V3_BDPV12</stp>
        <stp>MALTEX Index</stp>
        <stp>INTERVAL_Low</stp>
        <stp>[Index.xlsm]全球指數!R284C17</stp>
        <stp>MARKET_DATA_OVERRIDE=PE_RATIO</stp>
        <stp>CALC_INTERVAL=5y</stp>
        <stp>BEST_FPERIOD_OVERRIDE=BF</stp>
        <tr r="Q284" s="1"/>
      </tp>
      <tp t="s">
        <v>FTSE/JSE 南非 40 指數</v>
        <stp/>
        <stp>##V3_BDPV12</stp>
        <stp>TOP40 Index</stp>
        <stp>DS697</stp>
        <stp>[Index.xlsm]全球指數!R64C2</stp>
        <tr r="B64" s="1"/>
      </tp>
      <tp>
        <v>14.034340024267941</v>
        <stp/>
        <stp>##V3_BDPV12</stp>
        <stp>CLXP Index</stp>
        <stp>INTERVAL_Low</stp>
        <stp>[Index.xlsm]全球指數!R54C17</stp>
        <stp>MARKET_DATA_OVERRIDE=PE_RATIO</stp>
        <stp>CALC_INTERVAL=5y</stp>
        <stp>BEST_FPERIOD_OVERRIDE=BF</stp>
        <tr r="Q54" s="1"/>
      </tp>
      <tp t="s">
        <v>費城金銀指數</v>
        <stp/>
        <stp>##V3_BDPV12</stp>
        <stp>XAU Index</stp>
        <stp>DS697</stp>
        <stp>[Index.xlsm]全球指數!R251C2</stp>
        <tr r="B251" s="1"/>
      </tp>
      <tp t="s">
        <v>SA</v>
        <stp/>
        <stp>##V3_BDPV12</stp>
        <stp>TOP40 Index</stp>
        <stp>DS003</stp>
        <stp>[Index.xlsm]全球指數!R64C3</stp>
        <tr r="C64" s="1"/>
      </tp>
      <tp>
        <v>2.0842595521344922</v>
        <stp/>
        <stp>##V3_BDPV12</stp>
        <stp>CIND Index</stp>
        <stp>INTERVAL_Low</stp>
        <stp>[Index.xlsm]全球指數!R25C17</stp>
        <stp>MARKET_DATA_OVERRIDE=PE_RATIO</stp>
        <stp>CALC_INTERVAL=5y</stp>
        <stp>BEST_FPERIOD_OVERRIDE=BF</stp>
        <tr r="Q25" s="1"/>
      </tp>
      <tp>
        <v>9.4539356321995456</v>
        <stp/>
        <stp>##V3_BDPV12</stp>
        <stp>CHTX Index</stp>
        <stp>INTERVAL_Low</stp>
        <stp>[Index.xlsm]全球指數!R27C17</stp>
        <stp>MARKET_DATA_OVERRIDE=PE_RATIO</stp>
        <stp>CALC_INTERVAL=5y</stp>
        <stp>BEST_FPERIOD_OVERRIDE=BF</stp>
        <tr r="Q27" s="1"/>
      </tp>
      <tp>
        <v>23.827774471416262</v>
        <stp/>
        <stp>##V3_BDPV12</stp>
        <stp>s5cond index</stp>
        <stp>PE_RATIO</stp>
        <stp>[Index.xlsm]主要產業!R7C18</stp>
        <tr r="R7" s="2"/>
      </tp>
      <tp>
        <v>11.927339999999999</v>
        <stp/>
        <stp>##V3_BDPV12</stp>
        <stp>S5SFTW Index</stp>
        <stp>CHG_PCT_6M</stp>
        <stp>[Index.xlsm]主要產業!R5C13</stp>
        <tr r="M5" s="2"/>
      </tp>
      <tp>
        <v>-0.59027070000000004</v>
        <stp/>
        <stp>##V3_BDPV12</stp>
        <stp>S5SFTW Index</stp>
        <stp>CHG_PCT_5D</stp>
        <stp>[Index.xlsm]主要產業!R5C10</stp>
        <tr r="J5" s="2"/>
      </tp>
      <tp>
        <v>1.9465669999999999</v>
        <stp/>
        <stp>##V3_BDPV12</stp>
        <stp>S5SFTW Index</stp>
        <stp>CHG_PCT_3M</stp>
        <stp>[Index.xlsm]主要產業!R5C12</stp>
        <tr r="L5" s="2"/>
      </tp>
      <tp>
        <v>0.65839329999999996</v>
        <stp/>
        <stp>##V3_BDPV12</stp>
        <stp>S5SFTW Index</stp>
        <stp>CHG_PCT_1M</stp>
        <stp>[Index.xlsm]主要產業!R5C11</stp>
        <tr r="K5" s="2"/>
      </tp>
      <tp>
        <v>887.06</v>
        <stp/>
        <stp>##V3_BDPV12</stp>
        <stp>SXQP INDEX</stp>
        <stp>HIGH_52WEEK</stp>
        <stp>[Index.xlsm]主要產業!R20C6</stp>
        <tr r="F20" s="2"/>
      </tp>
      <tp>
        <v>-1.75745</v>
        <stp/>
        <stp>##V3_BDPV12</stp>
        <stp>SH000909 Index</stp>
        <stp>CHG_PCT_1D</stp>
        <stp>[Index.xlsm]主要產業!R54C5</stp>
        <tr r="E54" s="2"/>
      </tp>
      <tp>
        <v>5.0528275893737513</v>
        <stp/>
        <stp>##V3_BDPV12</stp>
        <stp>MOEX10 Index</stp>
        <stp>PE_RATIO</stp>
        <stp>[Index.xlsm]全球指數!R160C18</stp>
        <tr r="R160" s="1"/>
      </tp>
      <tp>
        <v>4923.54</v>
        <stp/>
        <stp>##V3_BDPV12</stp>
        <stp>FTEF80 Index</stp>
        <stp>HIGH_52WEEK</stp>
        <stp>[Index.xlsm]全球指數!R161C6</stp>
        <tr r="F161" s="1"/>
      </tp>
      <tp>
        <v>5061.7</v>
        <stp/>
        <stp>##V3_BDPV12</stp>
        <stp>BSE200 Index</stp>
        <stp>HIGH_52WEEK</stp>
        <stp>[Index.xlsm]全球指數!R316C6</stp>
        <tr r="F316" s="1"/>
      </tp>
      <tp>
        <v>-0.56070120000000001</v>
        <stp/>
        <stp>##V3_BDPV12</stp>
        <stp>KOSPI2 Index</stp>
        <stp>CHG_PCT_5D</stp>
        <stp>[Index.xlsm]全球指數!R187C10</stp>
        <tr r="J187" s="1"/>
      </tp>
      <tp>
        <v>5.5018840000000004</v>
        <stp/>
        <stp>##V3_BDPV12</stp>
        <stp>NKY500 Index</stp>
        <stp>CHG_PCT_3M</stp>
        <stp>[Index.xlsm]全球指數!R280C12</stp>
        <tr r="L280" s="1"/>
      </tp>
      <tp>
        <v>4860.01</v>
        <stp/>
        <stp>##V3_BDPV12</stp>
        <stp>KRX100 Index</stp>
        <stp>HIGH_52WEEK</stp>
        <stp>[Index.xlsm]全球指數!R197C6</stp>
        <tr r="F197" s="1"/>
      </tp>
      <tp>
        <v>18.490349765164829</v>
        <stp/>
        <stp>##V3_BDPV12</stp>
        <stp>SASX10 Index</stp>
        <stp>PE_RATIO</stp>
        <stp>[Index.xlsm]全球指數!R293C18</stp>
        <tr r="R293" s="1"/>
      </tp>
      <tp>
        <v>-5.7115369999999999</v>
        <stp/>
        <stp>##V3_BDPV12</stp>
        <stp>HSHK35 Index</stp>
        <stp>CHG_PCT_1YR</stp>
        <stp>[Index.xlsm]全球指數!R73C15</stp>
        <tr r="O73" s="1"/>
      </tp>
      <tp t="s">
        <v>#N/A N/A</v>
        <stp/>
        <stp>##V3_BDPV12</stp>
        <stp>CHSMLCAP Index</stp>
        <stp>INTERVAL_Low</stp>
        <stp>[Index.xlsm]全球指數!R273C17</stp>
        <stp>MARKET_DATA_OVERRIDE=PE_RATIO</stp>
        <stp>CALC_INTERVAL=5y</stp>
        <stp>BEST_FPERIOD_OVERRIDE=BF</stp>
        <tr r="Q273" s="1"/>
      </tp>
      <tp t="s">
        <v>US</v>
        <stp/>
        <stp>##V3_BDPV12</stp>
        <stp>TRAN Index</stp>
        <stp>DS003</stp>
        <stp>[Index.xlsm]全球指數!R140C3</stp>
        <tr r="C140" s="1"/>
      </tp>
      <tp t="s">
        <v>EC</v>
        <stp/>
        <stp>##V3_BDPV12</stp>
        <stp>SPEU Index</stp>
        <stp>DS003</stp>
        <stp>[Index.xlsm]全球指數!R162C3</stp>
        <tr r="C162" s="1"/>
      </tp>
      <tp t="s">
        <v>IR</v>
        <stp/>
        <stp>##V3_BDPV12</stp>
        <stp>ISEQ Index</stp>
        <stp>DS003</stp>
        <stp>[Index.xlsm]全球指數!R241C3</stp>
        <tr r="C241" s="1"/>
      </tp>
      <tp t="s">
        <v>JN</v>
        <stp/>
        <stp>##V3_BDPV12</stp>
        <stp>TSE2 Index</stp>
        <stp>DS003</stp>
        <stp>[Index.xlsm]全球指數!R261C3</stp>
        <tr r="C261" s="1"/>
      </tp>
      <tp t="s">
        <v>MSCI 泛歐指數</v>
        <stp/>
        <stp>##V3_BDPV12</stp>
        <stp>MSPE Index</stp>
        <stp>DS697</stp>
        <stp>[Index.xlsm]全球指數!R207C2</stp>
        <tr r="B207" s="1"/>
      </tp>
      <tp t="s">
        <v>EG</v>
        <stp/>
        <stp>##V3_BDPV12</stp>
        <stp>EGX30 Index</stp>
        <stp>DS003</stp>
        <stp>[Index.xlsm]全球指數!R7C3</stp>
        <tr r="C7" s="1"/>
      </tp>
      <tp>
        <v>1.7658792434707573</v>
        <stp/>
        <stp>##V3_BDPV12</stp>
        <stp>CYSMMAPA Index</stp>
        <stp>PE_RATIO</stp>
        <stp>[Index.xlsm]全球指數!R139C18</stp>
        <tr r="R139" s="1"/>
      </tp>
      <tp t="s">
        <v>US</v>
        <stp/>
        <stp>##V3_BDPV12</stp>
        <stp>CIND Index</stp>
        <stp>DS003</stp>
        <stp>[Index.xlsm]全球指數!R25C3</stp>
        <tr r="C25" s="1"/>
      </tp>
      <tp t="s">
        <v>US</v>
        <stp/>
        <stp>##V3_BDPV12</stp>
        <stp>CTRN Index</stp>
        <stp>DS003</stp>
        <stp>[Index.xlsm]全球指數!R136C3</stp>
        <tr r="C136" s="1"/>
      </tp>
      <tp t="s">
        <v>TA</v>
        <stp/>
        <stp>##V3_BDPV12</stp>
        <stp>TWSE Index</stp>
        <stp>DS003</stp>
        <stp>[Index.xlsm]全球指數!R225C3</stp>
        <tr r="C225" s="1"/>
      </tp>
      <tp t="s">
        <v>NZ</v>
        <stp/>
        <stp>##V3_BDPV12</stp>
        <stp>NZSE Index</stp>
        <stp>DS003</stp>
        <stp>[Index.xlsm]全球指數!R238C3</stp>
        <tr r="C238" s="1"/>
      </tp>
      <tp t="s">
        <v>US</v>
        <stp/>
        <stp>##V3_BDPV12</stp>
        <stp>CUTL Index</stp>
        <stp>DS003</stp>
        <stp>[Index.xlsm]全球指數!R107C3</stp>
        <tr r="C107" s="1"/>
      </tp>
      <tp t="s">
        <v>那斯達克工業指數</v>
        <stp/>
        <stp>##V3_BDPV12</stp>
        <stp>CIND Index</stp>
        <stp>DS697</stp>
        <stp>[Index.xlsm]全球指數!R25C2</stp>
        <tr r="B25" s="1"/>
      </tp>
      <tp t="s">
        <v>#N/A N/A</v>
        <stp/>
        <stp>##V3_BDPV12</stp>
        <stp>CHLRGCAP Index</stp>
        <stp>INTERVAL_Low</stp>
        <stp>[Index.xlsm]全球指數!R130C17</stp>
        <stp>MARKET_DATA_OVERRIDE=PE_RATIO</stp>
        <stp>CALC_INTERVAL=5y</stp>
        <stp>BEST_FPERIOD_OVERRIDE=BF</stp>
        <tr r="Q130" s="1"/>
      </tp>
      <tp>
        <v>6.3462930000000002</v>
        <stp/>
        <stp>##V3_BDPV12</stp>
        <stp>NDX Index</stp>
        <stp>CHG_PCT_6M</stp>
        <stp>[Index.xlsm]全球指數!R75C13</stp>
        <tr r="M75" s="1"/>
      </tp>
      <tp>
        <v>-1.642665</v>
        <stp/>
        <stp>##V3_BDPV12</stp>
        <stp>NDX Index</stp>
        <stp>CHG_PCT_5D</stp>
        <stp>[Index.xlsm]全球指數!R75C10</stp>
        <tr r="J75" s="1"/>
      </tp>
      <tp t="s">
        <v>BW</v>
        <stp/>
        <stp>##V3_BDPV12</stp>
        <stp>DS30 Index</stp>
        <stp>DS003</stp>
        <stp>[Index.xlsm]全球指數!R301C3</stp>
        <tr r="C301" s="1"/>
      </tp>
      <tp>
        <v>1.5011570000000001</v>
        <stp/>
        <stp>##V3_BDPV12</stp>
        <stp>NDX Index</stp>
        <stp>CHG_PCT_3M</stp>
        <stp>[Index.xlsm]全球指數!R75C12</stp>
        <tr r="L75" s="1"/>
      </tp>
      <tp t="s">
        <v>TA</v>
        <stp/>
        <stp>##V3_BDPV12</stp>
        <stp>TW50 Index</stp>
        <stp>DS003</stp>
        <stp>[Index.xlsm]全球指數!R235C3</stp>
        <tr r="C235" s="1"/>
      </tp>
      <tp>
        <v>2.7222390000000001</v>
        <stp/>
        <stp>##V3_BDPV12</stp>
        <stp>NDX Index</stp>
        <stp>CHG_PCT_1M</stp>
        <stp>[Index.xlsm]全球指數!R75C11</stp>
        <tr r="K75" s="1"/>
      </tp>
      <tp t="s">
        <v>紐約證交所綜合指數</v>
        <stp/>
        <stp>##V3_BDPV12</stp>
        <stp>NYA Index</stp>
        <stp>DS697</stp>
        <stp>[Index.xlsm]全球指數!R178C2</stp>
        <tr r="B178" s="1"/>
      </tp>
      <tp t="s">
        <v>PK</v>
        <stp/>
        <stp>##V3_BDPV12</stp>
        <stp>KSE30 Index</stp>
        <stp>DS003</stp>
        <stp>[Index.xlsm]全球指數!R17C3</stp>
        <tr r="C17" s="1"/>
      </tp>
      <tp>
        <v>19.289512871868929</v>
        <stp/>
        <stp>##V3_BDPV12</stp>
        <stp>FBMKLCI Index</stp>
        <stp>PE_RATIO</stp>
        <stp>[Index.xlsm]全球指數!R226C18</stp>
        <tr r="R226" s="1"/>
      </tp>
      <tp t="s">
        <v>喀拉蚩30指數</v>
        <stp/>
        <stp>##V3_BDPV12</stp>
        <stp>KSE30 Index</stp>
        <stp>DS697</stp>
        <stp>[Index.xlsm]全球指數!R17C2</stp>
        <tr r="B17" s="1"/>
      </tp>
      <tp>
        <v>39.017881642148382</v>
        <stp/>
        <stp>##V3_BDPV12</stp>
        <stp>NZSE10 Index</stp>
        <stp>INTERVAL_HIGH</stp>
        <stp>[Index.xlsm]全球指數!R249C16</stp>
        <stp>MARKET_DATA_OVERRIDE=PE_RATIO</stp>
        <stp>CALC_INTERVAL=5y</stp>
        <stp>BEST_FPERIOD_OVERRIDE=BF</stp>
        <tr r="P249" s="1"/>
      </tp>
      <tp t="s">
        <v>FR</v>
        <stp/>
        <stp>##V3_BDPV12</stp>
        <stp>CAC Index</stp>
        <stp>DS003</stp>
        <stp>[Index.xlsm]全球指數!R173C3</stp>
        <tr r="C173" s="1"/>
      </tp>
      <tp>
        <v>5.6222633241230744</v>
        <stp/>
        <stp>##V3_BDPV12</stp>
        <stp>MOEXBC Index</stp>
        <stp>PE_RATIO</stp>
        <stp>[Index.xlsm]全球指數!R171C18</stp>
        <tr r="R171" s="1"/>
      </tp>
      <tp t="s">
        <v>BZ</v>
        <stp/>
        <stp>##V3_BDPV12</stp>
        <stp>IBX Index</stp>
        <stp>DS003</stp>
        <stp>[Index.xlsm]全球指數!R279C3</stp>
        <tr r="C279" s="1"/>
      </tp>
      <tp>
        <v>428.98</v>
        <stp/>
        <stp>##V3_BDPV12</stp>
        <stp>SXAP INDEX</stp>
        <stp>LOW_52WEEK</stp>
        <stp>[Index.xlsm]主要產業!R31C8</stp>
        <tr r="H31" s="2"/>
      </tp>
      <tp>
        <v>115.8</v>
        <stp/>
        <stp>##V3_BDPV12</stp>
        <stp>SX7P INDEX</stp>
        <stp>LOW_52WEEK</stp>
        <stp>[Index.xlsm]主要產業!R21C8</stp>
        <tr r="H21" s="2"/>
      </tp>
      <tp>
        <v>5073.7759999999998</v>
        <stp/>
        <stp>##V3_BDPV12</stp>
        <stp>SH000914 Index</stp>
        <stp>LOW_52WEEK</stp>
        <stp>[Index.xlsm]主要產業!R48C8</stp>
        <tr r="H48" s="2"/>
      </tp>
      <tp>
        <v>7.9364330000000001</v>
        <stp/>
        <stp>##V3_BDPV12</stp>
        <stp>MOEX10 Index</stp>
        <stp>CHG_PCT_6M</stp>
        <stp>[Index.xlsm]全球指數!R160C13</stp>
        <tr r="M160" s="1"/>
      </tp>
      <tp>
        <v>16.212696639343037</v>
        <stp/>
        <stp>##V3_BDPV12</stp>
        <stp>SPTSX60 Index</stp>
        <stp>PE_RATIO</stp>
        <stp>[Index.xlsm]全球指數!R194C18</stp>
        <tr r="R194" s="1"/>
      </tp>
      <tp>
        <v>1.856441</v>
        <stp/>
        <stp>##V3_BDPV12</stp>
        <stp>OMXC25 Index</stp>
        <stp>CHG_PCT_1M</stp>
        <stp>[Index.xlsm]全球指數!R262C11</stp>
        <tr r="K262" s="1"/>
      </tp>
      <tp>
        <v>10.907893825212268</v>
        <stp/>
        <stp>##V3_BDPV12</stp>
        <stp>SSE50 Index</stp>
        <stp>PE_RATIO</stp>
        <stp>[Index.xlsm]全球指數!R132C18</stp>
        <tr r="R132" s="1"/>
      </tp>
      <tp t="s">
        <v>Bangladesh Dhaka Stock Excha</v>
        <stp/>
        <stp>##V3_BDPV12</stp>
        <stp>DSEX Index</stp>
        <stp>DS697</stp>
        <stp>[Index.xlsm]全球指數!R306C2</stp>
        <tr r="B306" s="1"/>
      </tp>
      <tp>
        <v>2101.35</v>
        <stp/>
        <stp>##V3_BDPV12</stp>
        <stp>KOSPI100 Index</stp>
        <stp>PX_LAST</stp>
        <stp>[Index.xlsm]全球指數!R195C4</stp>
        <tr r="D195" s="1"/>
      </tp>
      <tp t="s">
        <v>法蘭克福科技股表現指數</v>
        <stp/>
        <stp>##V3_BDPV12</stp>
        <stp>NMDP Index</stp>
        <stp>DS697</stp>
        <stp>[Index.xlsm]全球指數!R19C2</stp>
        <tr r="B19" s="1"/>
      </tp>
      <tp>
        <v>13.028613934705954</v>
        <stp/>
        <stp>##V3_BDPV12</stp>
        <stp>TOP40 Index</stp>
        <stp>INTERVAL_Low</stp>
        <stp>[Index.xlsm]全球指數!R64C17</stp>
        <stp>MARKET_DATA_OVERRIDE=PE_RATIO</stp>
        <stp>CALC_INTERVAL=5y</stp>
        <stp>BEST_FPERIOD_OVERRIDE=BF</stp>
        <tr r="Q64" s="1"/>
      </tp>
      <tp t="s">
        <v>法蘭克福傳統股表現指數</v>
        <stp/>
        <stp>##V3_BDPV12</stp>
        <stp>CLXP Index</stp>
        <stp>DS697</stp>
        <stp>[Index.xlsm]全球指數!R54C2</stp>
        <tr r="B54" s="1"/>
      </tp>
      <tp t="s">
        <v>GE</v>
        <stp/>
        <stp>##V3_BDPV12</stp>
        <stp>NMDP Index</stp>
        <stp>DS003</stp>
        <stp>[Index.xlsm]全球指數!R19C3</stp>
        <tr r="C19" s="1"/>
      </tp>
      <tp t="s">
        <v>GE</v>
        <stp/>
        <stp>##V3_BDPV12</stp>
        <stp>CLXP Index</stp>
        <stp>DS003</stp>
        <stp>[Index.xlsm]全球指數!R54C3</stp>
        <tr r="C54" s="1"/>
      </tp>
      <tp>
        <v>6.6621040000000002</v>
        <stp/>
        <stp>##V3_BDPV12</stp>
        <stp>XU100 Index</stp>
        <stp>CHG_PCT_3M</stp>
        <stp>[Index.xlsm]全球指數!R298C12</stp>
        <tr r="L298" s="1"/>
      </tp>
      <tp>
        <v>5.6705370000000004</v>
        <stp/>
        <stp>##V3_BDPV12</stp>
        <stp>XU030 Index</stp>
        <stp>CHG_PCT_3M</stp>
        <stp>[Index.xlsm]全球指數!R299C12</stp>
        <tr r="L299" s="1"/>
      </tp>
      <tp t="s">
        <v>US</v>
        <stp/>
        <stp>##V3_BDPV12</stp>
        <stp>s5indu Index</stp>
        <stp>DS003</stp>
        <stp>[Index.xlsm]主要產業!R8C3</stp>
        <tr r="C8" s="2"/>
      </tp>
      <tp>
        <v>3948.5590000000002</v>
        <stp/>
        <stp>##V3_BDPV12</stp>
        <stp>SH000905 Index</stp>
        <stp>LOW_52WEEK</stp>
        <stp>[Index.xlsm]全球指數!R13C8</stp>
        <tr r="H13" s="1"/>
      </tp>
      <tp t="s">
        <v>印尼雅加達L-Q45指數</v>
        <stp/>
        <stp>##V3_BDPV12</stp>
        <stp>LQ45 Index</stp>
        <stp>DS697</stp>
        <stp>[Index.xlsm]全球指數!R204C2</stp>
        <tr r="B204" s="1"/>
      </tp>
      <tp>
        <v>3868.32</v>
        <stp/>
        <stp>##V3_BDPV12</stp>
        <stp>BEL20 Index</stp>
        <stp>HIGH_52WEEK</stp>
        <stp>[Index.xlsm]全球指數!R224C6</stp>
        <tr r="F224" s="1"/>
      </tp>
      <tp>
        <v>-3.3629889999999998</v>
        <stp/>
        <stp>##V3_BDPV12</stp>
        <stp>HEX Index</stp>
        <stp>CHG_PCT_6M</stp>
        <stp>[Index.xlsm]全球指數!R91C13</stp>
        <tr r="M91" s="1"/>
      </tp>
      <tp>
        <v>-1.4594469999999999</v>
        <stp/>
        <stp>##V3_BDPV12</stp>
        <stp>HEX Index</stp>
        <stp>CHG_PCT_5D</stp>
        <stp>[Index.xlsm]全球指數!R91C10</stp>
        <tr r="J91" s="1"/>
      </tp>
      <tp>
        <v>-0.13576559999999999</v>
        <stp/>
        <stp>##V3_BDPV12</stp>
        <stp>HEX Index</stp>
        <stp>CHG_PCT_3M</stp>
        <stp>[Index.xlsm]全球指數!R91C12</stp>
        <tr r="L91" s="1"/>
      </tp>
      <tp>
        <v>4.1970799999999997</v>
        <stp/>
        <stp>##V3_BDPV12</stp>
        <stp>HEX Index</stp>
        <stp>CHG_PCT_1M</stp>
        <stp>[Index.xlsm]全球指數!R91C11</stp>
        <tr r="K91" s="1"/>
      </tp>
      <tp>
        <v>38786.5390625</v>
        <stp/>
        <stp>##V3_BDPV12</stp>
        <stp>HKSPLC25 Index</stp>
        <stp>HIGH_52WEEK</stp>
        <stp>[Index.xlsm]全球指數!R94C6</stp>
        <tr r="F94" s="1"/>
      </tp>
      <tp t="s">
        <v>#N/A N/A</v>
        <stp/>
        <stp>##V3_BDPV12</stp>
        <stp>NKY500 Index</stp>
        <stp>INTERVAL_HIGH</stp>
        <stp>[Index.xlsm]全球指數!R280C16</stp>
        <stp>MARKET_DATA_OVERRIDE=PE_RATIO</stp>
        <stp>CALC_INTERVAL=5y</stp>
        <stp>BEST_FPERIOD_OVERRIDE=BF</stp>
        <tr r="P280" s="1"/>
      </tp>
      <tp>
        <v>28670.98046875</v>
        <stp/>
        <stp>##V3_BDPV12</stp>
        <stp>KSE100 Index</stp>
        <stp>LOW_52WEEK</stp>
        <stp>[Index.xlsm]全球指數!R33C8</stp>
        <tr r="H33" s="1"/>
      </tp>
      <tp>
        <v>23.960622837983227</v>
        <stp/>
        <stp>##V3_BDPV12</stp>
        <stp>FBMEMAS Index</stp>
        <stp>PE_RATIO</stp>
        <stp>[Index.xlsm]全球指數!R242C18</stp>
        <tr r="R242" s="1"/>
      </tp>
      <tp t="s">
        <v>NO</v>
        <stp/>
        <stp>##V3_BDPV12</stp>
        <stp>OSESX Index</stp>
        <stp>DS003</stp>
        <stp>[Index.xlsm]全球指數!R36C3</stp>
        <tr r="C36" s="1"/>
      </tp>
      <tp>
        <v>29.159812488674309</v>
        <stp/>
        <stp>##V3_BDPV12</stp>
        <stp>N100 Index</stp>
        <stp>INTERVAL_HIGH</stp>
        <stp>[Index.xlsm]全球指數!R198C16</stp>
        <stp>MARKET_DATA_OVERRIDE=PE_RATIO</stp>
        <stp>CALC_INTERVAL=5y</stp>
        <stp>BEST_FPERIOD_OVERRIDE=BF</stp>
        <tr r="P198" s="1"/>
      </tp>
      <tp t="s">
        <v>卡達指數</v>
        <stp/>
        <stp>##V3_BDPV12</stp>
        <stp>DSM Index</stp>
        <stp>DS697</stp>
        <stp>[Index.xlsm]全球指數!R143C2</stp>
        <tr r="B143" s="1"/>
      </tp>
      <tp t="s">
        <v>奧斯陸小型股指數</v>
        <stp/>
        <stp>##V3_BDPV12</stp>
        <stp>OSESX Index</stp>
        <stp>DS697</stp>
        <stp>[Index.xlsm]全球指數!R36C2</stp>
        <tr r="B36" s="1"/>
      </tp>
      <tp>
        <v>30.447799094053597</v>
        <stp/>
        <stp>##V3_BDPV12</stp>
        <stp>E100 Index</stp>
        <stp>INTERVAL_HIGH</stp>
        <stp>[Index.xlsm]全球指數!R234C16</stp>
        <stp>MARKET_DATA_OVERRIDE=PE_RATIO</stp>
        <stp>CALC_INTERVAL=5y</stp>
        <stp>BEST_FPERIOD_OVERRIDE=BF</stp>
        <tr r="P234" s="1"/>
      </tp>
      <tp>
        <v>29.580755049573195</v>
        <stp/>
        <stp>##V3_BDPV12</stp>
        <stp>E300 Index</stp>
        <stp>INTERVAL_HIGH</stp>
        <stp>[Index.xlsm]全球指數!R213C16</stp>
        <stp>MARKET_DATA_OVERRIDE=PE_RATIO</stp>
        <stp>CALC_INTERVAL=5y</stp>
        <stp>BEST_FPERIOD_OVERRIDE=BF</stp>
        <tr r="P213" s="1"/>
      </tp>
      <tp>
        <v>1256.56</v>
        <stp/>
        <stp>##V3_BDPV12</stp>
        <stp>SE30 Index</stp>
        <stp>PX_LAST</stp>
        <stp>[Index.xlsm]全球指數!R29C4</stp>
        <tr r="D29" s="1"/>
      </tp>
      <tp>
        <v>20.143113886574426</v>
        <stp/>
        <stp>##V3_BDPV12</stp>
        <stp>ICEXI Index</stp>
        <stp>PE_RATIO</stp>
        <stp>[Index.xlsm]全球指數!R218C18</stp>
        <tr r="R218" s="1"/>
      </tp>
      <tp>
        <v>13.226469790042195</v>
        <stp/>
        <stp>##V3_BDPV12</stp>
        <stp>FTSEMIB Index</stp>
        <stp>PE_RATIO</stp>
        <stp>[Index.xlsm]全球指數!R153C18</stp>
        <tr r="R153" s="1"/>
      </tp>
      <tp t="s">
        <v>費城KBW銀行指數</v>
        <stp/>
        <stp>##V3_BDPV12</stp>
        <stp>BKX Index</stp>
        <stp>DS697</stp>
        <stp>[Index.xlsm]全球指數!R105C2</stp>
        <tr r="B105" s="1"/>
      </tp>
      <tp>
        <v>582.03560000000004</v>
        <stp/>
        <stp>##V3_BDPV12</stp>
        <stp>OMXO20 Index</stp>
        <stp>PX_LAST</stp>
        <stp>[Index.xlsm]全球指數!R49C4</stp>
        <tr r="D49" s="1"/>
      </tp>
      <tp>
        <v>25.118357547967232</v>
        <stp/>
        <stp>##V3_BDPV12</stp>
        <stp>FTEF80 Index</stp>
        <stp>INTERVAL_HIGH</stp>
        <stp>[Index.xlsm]全球指數!R161C16</stp>
        <stp>MARKET_DATA_OVERRIDE=PE_RATIO</stp>
        <stp>CALC_INTERVAL=5y</stp>
        <stp>BEST_FPERIOD_OVERRIDE=BF</stp>
        <tr r="P161" s="1"/>
      </tp>
      <tp>
        <v>687.11</v>
        <stp/>
        <stp>##V3_BDPV12</stp>
        <stp>SXQP INDEX</stp>
        <stp>LOW_52WEEK</stp>
        <stp>[Index.xlsm]主要產業!R20C8</stp>
        <tr r="H20" s="2"/>
      </tp>
      <tp>
        <v>359.47</v>
        <stp/>
        <stp>##V3_BDPV12</stp>
        <stp>SXOP INDEX</stp>
        <stp>LOW_52WEEK</stp>
        <stp>[Index.xlsm]主要產業!R30C8</stp>
        <tr r="H30" s="2"/>
      </tp>
      <tp>
        <v>476.6</v>
        <stp/>
        <stp>##V3_BDPV12</stp>
        <stp>SXOP INDEX</stp>
        <stp>HIGH_52WEEK</stp>
        <stp>[Index.xlsm]主要產業!R30C6</stp>
        <tr r="F30" s="2"/>
      </tp>
      <tp>
        <v>1791.4259999999999</v>
        <stp/>
        <stp>##V3_BDPV12</stp>
        <stp>SH000910 Index</stp>
        <stp>LOW_52WEEK</stp>
        <stp>[Index.xlsm]主要產業!R49C8</stp>
        <tr r="H49" s="2"/>
      </tp>
      <tp>
        <v>-0.78326450000000003</v>
        <stp/>
        <stp>##V3_BDPV12</stp>
        <stp>MOEX10 Index</stp>
        <stp>CHG_PCT_5D</stp>
        <stp>[Index.xlsm]全球指數!R160C10</stp>
        <tr r="J160" s="1"/>
      </tp>
      <tp>
        <v>1529.82</v>
        <stp/>
        <stp>##V3_BDPV12</stp>
        <stp>EUE15P Index</stp>
        <stp>PX_LAST</stp>
        <stp>[Index.xlsm]全球指數!R57C4</stp>
        <tr r="D57" s="1"/>
      </tp>
      <tp t="s">
        <v>#N/A N/A</v>
        <stp/>
        <stp>##V3_BDPV12</stp>
        <stp>INTER10 Index</stp>
        <stp>INTERVAL_Low</stp>
        <stp>[Index.xlsm]全球指數!R203C17</stp>
        <stp>MARKET_DATA_OVERRIDE=PE_RATIO</stp>
        <stp>CALC_INTERVAL=5y</stp>
        <stp>BEST_FPERIOD_OVERRIDE=BF</stp>
        <tr r="Q203" s="1"/>
      </tp>
      <tp>
        <v>7.726871</v>
        <stp/>
        <stp>##V3_BDPV12</stp>
        <stp>NKY500 Index</stp>
        <stp>CHG_PCT_1M</stp>
        <stp>[Index.xlsm]全球指數!R280C11</stp>
        <tr r="K280" s="1"/>
      </tp>
      <tp>
        <v>3114.04</v>
        <stp/>
        <stp>##V3_BDPV12</stp>
        <stp>SHCSI100 Index</stp>
        <stp>LOW_52WEEK</stp>
        <stp>[Index.xlsm]全球指數!R98C8</stp>
        <tr r="H98" s="1"/>
      </tp>
      <tp t="s">
        <v>道瓊美國整體股票市場指數</v>
        <stp/>
        <stp>##V3_BDPV12</stp>
        <stp>DWCF Index</stp>
        <stp>DS697</stp>
        <stp>[Index.xlsm]全球指數!R121C2</stp>
        <tr r="B121" s="1"/>
      </tp>
      <tp>
        <v>4.2629659999999996</v>
        <stp/>
        <stp>##V3_BDPV12</stp>
        <stp>TPXM400 Index</stp>
        <stp>PR064</stp>
        <stp>[Index.xlsm]全球指數!R294C14</stp>
        <tr r="N294" s="1"/>
      </tp>
      <tp>
        <v>6.4007764664224007</v>
        <stp/>
        <stp>##V3_BDPV12</stp>
        <stp>NGSEINDX Index</stp>
        <stp>INTERVAL_Low</stp>
        <stp>[Index.xlsm]全球指數!R219C17</stp>
        <stp>MARKET_DATA_OVERRIDE=PE_RATIO</stp>
        <stp>CALC_INTERVAL=5y</stp>
        <stp>BEST_FPERIOD_OVERRIDE=BF</stp>
        <tr r="Q219" s="1"/>
      </tp>
      <tp>
        <v>14498.97</v>
        <stp/>
        <stp>##V3_BDPV12</stp>
        <stp>JPNK400 Index</stp>
        <stp>PX_LAST</stp>
        <stp>[Index.xlsm]全球指數!R286C4</stp>
        <tr r="D286" s="1"/>
      </tp>
      <tp>
        <v>4.7398509999999998</v>
        <stp/>
        <stp>##V3_BDPV12</stp>
        <stp>JPNK400 Index</stp>
        <stp>PR064</stp>
        <stp>[Index.xlsm]全球指數!R286C14</stp>
        <tr r="N286" s="1"/>
      </tp>
      <tp>
        <v>3.6712199567613526</v>
        <stp/>
        <stp>##V3_BDPV12</stp>
        <stp>BELEXLIN Index</stp>
        <stp>INTERVAL_Low</stp>
        <stp>[Index.xlsm]全球指數!R248C17</stp>
        <stp>MARKET_DATA_OVERRIDE=PE_RATIO</stp>
        <stp>CALC_INTERVAL=5y</stp>
        <stp>BEST_FPERIOD_OVERRIDE=BF</stp>
        <tr r="Q248" s="1"/>
      </tp>
      <tp t="s">
        <v>HU</v>
        <stp/>
        <stp>##V3_BDPV12</stp>
        <stp>CHTX Index</stp>
        <stp>DS003</stp>
        <stp>[Index.xlsm]全球指數!R27C3</stp>
        <tr r="C27" s="1"/>
      </tp>
      <tp t="s">
        <v>匈牙利交易指數</v>
        <stp/>
        <stp>##V3_BDPV12</stp>
        <stp>CHTX Index</stp>
        <stp>DS697</stp>
        <stp>[Index.xlsm]全球指數!R27C2</stp>
        <tr r="B27" s="1"/>
      </tp>
      <tp t="s">
        <v>標準普爾/ASX300指數</v>
        <stp/>
        <stp>##V3_BDPV12</stp>
        <stp>AS52 Index</stp>
        <stp>DS697</stp>
        <stp>[Index.xlsm]全球指數!R185C2</stp>
        <tr r="B185" s="1"/>
      </tp>
      <tp t="s">
        <v>AU</v>
        <stp/>
        <stp>##V3_BDPV12</stp>
        <stp>AS30 Index</stp>
        <stp>DS003</stp>
        <stp>[Index.xlsm]全球指數!R183C3</stp>
        <tr r="C183" s="1"/>
      </tp>
      <tp t="s">
        <v>IT</v>
        <stp/>
        <stp>##V3_BDPV12</stp>
        <stp>IT30 Index</stp>
        <stp>DS003</stp>
        <stp>[Index.xlsm]全球指數!R114C3</stp>
        <tr r="C114" s="1"/>
      </tp>
      <tp>
        <v>22.980146483160532</v>
        <stp/>
        <stp>##V3_BDPV12</stp>
        <stp>OMXC25 Index</stp>
        <stp>INTERVAL_HIGH</stp>
        <stp>[Index.xlsm]全球指數!R262C16</stp>
        <stp>MARKET_DATA_OVERRIDE=PE_RATIO</stp>
        <stp>CALC_INTERVAL=5y</stp>
        <stp>BEST_FPERIOD_OVERRIDE=BF</stp>
        <tr r="P262" s="1"/>
      </tp>
      <tp>
        <v>9.2552491329052184</v>
        <stp/>
        <stp>##V3_BDPV12</stp>
        <stp>SOFIX Index</stp>
        <stp>PE_RATIO</stp>
        <stp>[Index.xlsm]全球指數!R110C18</stp>
        <tr r="R110" s="1"/>
      </tp>
      <tp t="s">
        <v>NO</v>
        <stp/>
        <stp>##V3_BDPV12</stp>
        <stp>OSEAX Index</stp>
        <stp>DS003</stp>
        <stp>[Index.xlsm]全球指數!R35C3</stp>
        <tr r="C35" s="1"/>
      </tp>
      <tp>
        <v>1258.78</v>
        <stp/>
        <stp>##V3_BDPV12</stp>
        <stp>FTN098 Index</stp>
        <stp>PX_LAST</stp>
        <stp>[Index.xlsm]全球指數!R28C4</stp>
        <tr r="D28" s="1"/>
      </tp>
      <tp>
        <v>37.924449333826885</v>
        <stp/>
        <stp>##V3_BDPV12</stp>
        <stp>ES30 Index</stp>
        <stp>INTERVAL_HIGH</stp>
        <stp>[Index.xlsm]全球指數!R189C16</stp>
        <stp>MARKET_DATA_OVERRIDE=PE_RATIO</stp>
        <stp>CALC_INTERVAL=5y</stp>
        <stp>BEST_FPERIOD_OVERRIDE=BF</stp>
        <tr r="P189" s="1"/>
      </tp>
      <tp>
        <v>647.03727312391584</v>
        <stp/>
        <stp>##V3_BDPV12</stp>
        <stp>IT30 Index</stp>
        <stp>INTERVAL_HIGH</stp>
        <stp>[Index.xlsm]全球指數!R114C16</stp>
        <stp>MARKET_DATA_OVERRIDE=PE_RATIO</stp>
        <stp>CALC_INTERVAL=5y</stp>
        <stp>BEST_FPERIOD_OVERRIDE=BF</stp>
        <tr r="P114" s="1"/>
      </tp>
      <tp>
        <v>28.372615449330858</v>
        <stp/>
        <stp>##V3_BDPV12</stp>
        <stp>AS30 Index</stp>
        <stp>INTERVAL_HIGH</stp>
        <stp>[Index.xlsm]全球指數!R183C16</stp>
        <stp>MARKET_DATA_OVERRIDE=PE_RATIO</stp>
        <stp>CALC_INTERVAL=5y</stp>
        <stp>BEST_FPERIOD_OVERRIDE=BF</stp>
        <tr r="P183" s="1"/>
      </tp>
      <tp>
        <v>30.031419053232526</v>
        <stp/>
        <stp>##V3_BDPV12</stp>
        <stp>CH30 Index</stp>
        <stp>INTERVAL_HIGH</stp>
        <stp>[Index.xlsm]全球指數!R157C16</stp>
        <stp>MARKET_DATA_OVERRIDE=PE_RATIO</stp>
        <stp>CALC_INTERVAL=5y</stp>
        <stp>BEST_FPERIOD_OVERRIDE=BF</stp>
        <tr r="P157" s="1"/>
      </tp>
      <tp t="s">
        <v>#N/A N/A</v>
        <stp/>
        <stp>##V3_BDPV12</stp>
        <stp>DS30 Index</stp>
        <stp>INTERVAL_HIGH</stp>
        <stp>[Index.xlsm]全球指數!R301C16</stp>
        <stp>MARKET_DATA_OVERRIDE=PE_RATIO</stp>
        <stp>CALC_INTERVAL=5y</stp>
        <stp>BEST_FPERIOD_OVERRIDE=BF</stp>
        <tr r="P301" s="1"/>
      </tp>
      <tp t="s">
        <v>奧斯陸綜合股票指數</v>
        <stp/>
        <stp>##V3_BDPV12</stp>
        <stp>OSEAX Index</stp>
        <stp>DS697</stp>
        <stp>[Index.xlsm]全球指數!R35C2</stp>
        <tr r="B35" s="1"/>
      </tp>
      <tp>
        <v>13.632483565773645</v>
        <stp/>
        <stp>##V3_BDPV12</stp>
        <stp>FTBIVA Index</stp>
        <stp>INTERVAL_Low</stp>
        <stp>[Index.xlsm]全球指數!R245C17</stp>
        <stp>MARKET_DATA_OVERRIDE=PE_RATIO</stp>
        <stp>CALC_INTERVAL=5y</stp>
        <stp>BEST_FPERIOD_OVERRIDE=BF</stp>
        <tr r="Q245" s="1"/>
      </tp>
      <tp t="s">
        <v>RO</v>
        <stp/>
        <stp>##V3_BDPV12</stp>
        <stp>BET Index</stp>
        <stp>DS003</stp>
        <stp>[Index.xlsm]全球指數!R300C3</stp>
        <tr r="C300" s="1"/>
      </tp>
      <tp>
        <v>-2.4052060000000002</v>
        <stp/>
        <stp>##V3_BDPV12</stp>
        <stp>BSE500 Index</stp>
        <stp>PR064</stp>
        <stp>[Index.xlsm]全球指數!R315C14</stp>
        <tr r="N315" s="1"/>
      </tp>
      <tp>
        <v>-2.0405060000000002</v>
        <stp/>
        <stp>##V3_BDPV12</stp>
        <stp>BSE200 Index</stp>
        <stp>PR064</stp>
        <stp>[Index.xlsm]全球指數!R316C14</stp>
        <tr r="N316" s="1"/>
      </tp>
      <tp>
        <v>-2.1384910000000001</v>
        <stp/>
        <stp>##V3_BDPV12</stp>
        <stp>BSE100 Index</stp>
        <stp>PR064</stp>
        <stp>[Index.xlsm]全球指數!R318C14</stp>
        <tr r="N318" s="1"/>
      </tp>
      <tp>
        <v>16.005197218725836</v>
        <stp/>
        <stp>##V3_BDPV12</stp>
        <stp>TUSISE Index</stp>
        <stp>INTERVAL_Low</stp>
        <stp>[Index.xlsm]全球指數!R221C17</stp>
        <stp>MARKET_DATA_OVERRIDE=PE_RATIO</stp>
        <stp>CALC_INTERVAL=5y</stp>
        <stp>BEST_FPERIOD_OVERRIDE=BF</stp>
        <tr r="Q221" s="1"/>
      </tp>
      <tp>
        <v>24.490620926065429</v>
        <stp/>
        <stp>##V3_BDPV12</stp>
        <stp>NIFTY Index</stp>
        <stp>PE_RATIO</stp>
        <stp>[Index.xlsm]全球指數!R319C18</stp>
        <tr r="R319" s="1"/>
      </tp>
      <tp>
        <v>10.090893795874631</v>
        <stp/>
        <stp>##V3_BDPV12</stp>
        <stp>PASISI Index</stp>
        <stp>INTERVAL_Low</stp>
        <stp>[Index.xlsm]全球指數!R215C17</stp>
        <stp>MARKET_DATA_OVERRIDE=PE_RATIO</stp>
        <stp>CALC_INTERVAL=5y</stp>
        <stp>BEST_FPERIOD_OVERRIDE=BF</stp>
        <tr r="Q215" s="1"/>
      </tp>
      <tp>
        <v>286.97000000000003</v>
        <stp/>
        <stp>##V3_BDPV12</stp>
        <stp>SXEP INDEX</stp>
        <stp>LOW_52WEEK</stp>
        <stp>[Index.xlsm]主要產業!R23C8</stp>
        <tr r="H23" s="2"/>
      </tp>
      <tp>
        <v>405.26</v>
        <stp/>
        <stp>##V3_BDPV12</stp>
        <stp>SXFP INDEX</stp>
        <stp>LOW_52WEEK</stp>
        <stp>[Index.xlsm]主要產業!R33C8</stp>
        <tr r="H33" s="2"/>
      </tp>
      <tp>
        <v>854.76</v>
        <stp/>
        <stp>##V3_BDPV12</stp>
        <stp>SXDP INDEX</stp>
        <stp>HIGH_52WEEK</stp>
        <stp>[Index.xlsm]主要產業!R18C6</stp>
        <tr r="F18" s="2"/>
      </tp>
      <tp>
        <v>12290.33984375</v>
        <stp/>
        <stp>##V3_BDPV12</stp>
        <stp>SWIG80 Index</stp>
        <stp>HIGH_52WEEK</stp>
        <stp>[Index.xlsm]全球指數!R191C6</stp>
        <tr r="F191" s="1"/>
      </tp>
      <tp>
        <v>15742.11</v>
        <stp/>
        <stp>##V3_BDPV12</stp>
        <stp>BSE500 Index</stp>
        <stp>HIGH_52WEEK</stp>
        <stp>[Index.xlsm]全球指數!R315C6</stp>
        <tr r="F315" s="1"/>
      </tp>
      <tp>
        <v>3.2600229999999999</v>
        <stp/>
        <stp>##V3_BDPV12</stp>
        <stp>OMXC25 Index</stp>
        <stp>CHG_PCT_3M</stp>
        <stp>[Index.xlsm]全球指數!R262C12</stp>
        <tr r="L262" s="1"/>
      </tp>
      <tp>
        <v>822.41</v>
        <stp/>
        <stp>##V3_BDPV12</stp>
        <stp>TPXC30 Index</stp>
        <stp>HIGH_52WEEK</stp>
        <stp>[Index.xlsm]全球指數!R266C6</stp>
        <tr r="F266" s="1"/>
      </tp>
      <tp>
        <v>1.250045289612095E-6</v>
        <stp/>
        <stp>##V3_BDPV12</stp>
        <stp>BELEX15 Index</stp>
        <stp>INTERVAL_Low</stp>
        <stp>[Index.xlsm]全球指數!R244C17</stp>
        <stp>MARKET_DATA_OVERRIDE=PE_RATIO</stp>
        <stp>CALC_INTERVAL=5y</stp>
        <stp>BEST_FPERIOD_OVERRIDE=BF</stp>
        <tr r="Q244" s="1"/>
      </tp>
      <tp>
        <v>12.263880003686269</v>
        <stp/>
        <stp>##V3_BDPV12</stp>
        <stp>WIG20 Index</stp>
        <stp>PE_RATIO</stp>
        <stp>[Index.xlsm]全球指數!R145C18</stp>
        <tr r="R145" s="1"/>
      </tp>
      <tp>
        <v>-0.8619388</v>
        <stp/>
        <stp>##V3_BDPV12</stp>
        <stp>KOSPI2 Index</stp>
        <stp>CHG_PCT_6M</stp>
        <stp>[Index.xlsm]全球指數!R187C13</stp>
        <tr r="M187" s="1"/>
      </tp>
      <tp>
        <v>13.897593471737848</v>
        <stp/>
        <stp>##V3_BDPV12</stp>
        <stp>SET50 Index</stp>
        <stp>INTERVAL_Low</stp>
        <stp>[Index.xlsm]全球指數!R233C17</stp>
        <stp>MARKET_DATA_OVERRIDE=PE_RATIO</stp>
        <stp>CALC_INTERVAL=5y</stp>
        <stp>BEST_FPERIOD_OVERRIDE=BF</stp>
        <tr r="Q233" s="1"/>
      </tp>
      <tp t="s">
        <v>US</v>
        <stp/>
        <stp>##V3_BDPV12</stp>
        <stp>NYID Index</stp>
        <stp>DS003</stp>
        <stp>[Index.xlsm]全球指數!R148C3</stp>
        <tr r="C148" s="1"/>
      </tp>
      <tp t="s">
        <v>US</v>
        <stp/>
        <stp>##V3_BDPV12</stp>
        <stp>UTIL Index</stp>
        <stp>DS003</stp>
        <stp>[Index.xlsm]全球指數!R305C3</stp>
        <tr r="C305" s="1"/>
      </tp>
      <tp t="s">
        <v>MSCI 歐盟指數</v>
        <stp/>
        <stp>##V3_BDPV12</stp>
        <stp>MSER Index</stp>
        <stp>DS697</stp>
        <stp>[Index.xlsm]全球指數!R154C2</stp>
        <tr r="B154" s="1"/>
      </tp>
      <tp t="s">
        <v>富時義大利中型股指數</v>
        <stp/>
        <stp>##V3_BDPV12</stp>
        <stp>ITMC Index</stp>
        <stp>DS697</stp>
        <stp>[Index.xlsm]全球指數!R163C2</stp>
        <tr r="B163" s="1"/>
      </tp>
      <tp t="s">
        <v>JN</v>
        <stp/>
        <stp>##V3_BDPV12</stp>
        <stp>JSDA Index</stp>
        <stp>DS003</stp>
        <stp>[Index.xlsm]全球指數!R302C3</stp>
        <tr r="C302" s="1"/>
      </tp>
      <tp>
        <v>2960.57</v>
        <stp/>
        <stp>##V3_BDPV12</stp>
        <stp>CHILE65 Index</stp>
        <stp>PX_LAST</stp>
        <stp>[Index.xlsm]全球指數!R165C4</stp>
        <tr r="D165" s="1"/>
      </tp>
      <tp t="s">
        <v>智利 IPSA40 指數</v>
        <stp/>
        <stp>##V3_BDPV12</stp>
        <stp>IPSA Index</stp>
        <stp>DS697</stp>
        <stp>[Index.xlsm]全球指數!R147C2</stp>
        <tr r="B147" s="1"/>
      </tp>
      <tp>
        <v>357.96339387756819</v>
        <stp/>
        <stp>##V3_BDPV12</stp>
        <stp>N150 Index</stp>
        <stp>INTERVAL_HIGH</stp>
        <stp>[Index.xlsm]全球指數!R45C16</stp>
        <stp>MARKET_DATA_OVERRIDE=PE_RATIO</stp>
        <stp>CALC_INTERVAL=5y</stp>
        <stp>BEST_FPERIOD_OVERRIDE=BF</stp>
        <tr r="P45" s="1"/>
      </tp>
      <tp>
        <v>5.7228089999999998</v>
        <stp/>
        <stp>##V3_BDPV12</stp>
        <stp>XU030 Index</stp>
        <stp>CHG_PCT_1M</stp>
        <stp>[Index.xlsm]全球指數!R299C11</stp>
        <tr r="K299" s="1"/>
      </tp>
      <tp>
        <v>6.1541180000000004</v>
        <stp/>
        <stp>##V3_BDPV12</stp>
        <stp>XU100 Index</stp>
        <stp>CHG_PCT_1M</stp>
        <stp>[Index.xlsm]全球指數!R298C11</stp>
        <tr r="K298" s="1"/>
      </tp>
      <tp>
        <v>1413.82</v>
        <stp/>
        <stp>##V3_BDPV12</stp>
        <stp>RTSI$ Index</stp>
        <stp>HIGH_52WEEK</stp>
        <stp>[Index.xlsm]全球指數!R102C6</stp>
        <tr r="F102" s="1"/>
      </tp>
      <tp>
        <v>16.414697986885386</v>
        <stp/>
        <stp>##V3_BDPV12</stp>
        <stp>CM100 Index</stp>
        <stp>INTERVAL_Low</stp>
        <stp>[Index.xlsm]全球指數!R88C17</stp>
        <stp>MARKET_DATA_OVERRIDE=PE_RATIO</stp>
        <stp>CALC_INTERVAL=5y</stp>
        <stp>BEST_FPERIOD_OVERRIDE=BF</stp>
        <tr r="Q88" s="1"/>
      </tp>
      <tp t="s">
        <v>AU</v>
        <stp/>
        <stp>##V3_BDPV12</stp>
        <stp>AS51 Index</stp>
        <stp>DS003</stp>
        <stp>[Index.xlsm]全球指數!R182C3</stp>
        <tr r="C182" s="1"/>
      </tp>
      <tp>
        <v>12.455847296594678</v>
        <stp/>
        <stp>##V3_BDPV12</stp>
        <stp>MOEX10 Index</stp>
        <stp>INTERVAL_HIGH</stp>
        <stp>[Index.xlsm]全球指數!R160C16</stp>
        <stp>MARKET_DATA_OVERRIDE=PE_RATIO</stp>
        <stp>CALC_INTERVAL=5y</stp>
        <stp>BEST_FPERIOD_OVERRIDE=BF</stp>
        <tr r="P160" s="1"/>
      </tp>
      <tp t="s">
        <v>HR</v>
        <stp/>
        <stp>##V3_BDPV12</stp>
        <stp>CRO Index</stp>
        <stp>DS003</stp>
        <stp>[Index.xlsm]全球指數!R310C3</stp>
        <tr r="C310" s="1"/>
      </tp>
      <tp t="s">
        <v>GR</v>
        <stp/>
        <stp>##V3_BDPV12</stp>
        <stp>ASE Index</stp>
        <stp>DS003</stp>
        <stp>[Index.xlsm]全球指數!R142C3</stp>
        <tr r="C142" s="1"/>
      </tp>
      <tp t="s">
        <v>恆生香港中資企業指數</v>
        <stp/>
        <stp>##V3_BDPV12</stp>
        <stp>HSCCI Index</stp>
        <stp>DS697</stp>
        <stp>[Index.xlsm]全球指數!R24C2</stp>
        <tr r="B24" s="1"/>
      </tp>
      <tp>
        <v>11.425510106273197</v>
        <stp/>
        <stp>##V3_BDPV12</stp>
        <stp>FSTAS Index</stp>
        <stp>INTERVAL_Low</stp>
        <stp>[Index.xlsm]全球指數!R133C17</stp>
        <stp>MARKET_DATA_OVERRIDE=PE_RATIO</stp>
        <stp>CALC_INTERVAL=5y</stp>
        <stp>BEST_FPERIOD_OVERRIDE=BF</stp>
        <tr r="Q133" s="1"/>
      </tp>
      <tp>
        <v>12.641008390773274</v>
        <stp/>
        <stp>##V3_BDPV12</stp>
        <stp>SASEIDX Index</stp>
        <stp>INTERVAL_Low</stp>
        <stp>[Index.xlsm]全球指數!R308C17</stp>
        <stp>MARKET_DATA_OVERRIDE=PE_RATIO</stp>
        <stp>CALC_INTERVAL=5y</stp>
        <stp>BEST_FPERIOD_OVERRIDE=BF</stp>
        <tr r="Q308" s="1"/>
      </tp>
      <tp>
        <v>126.97133365152253</v>
        <stp/>
        <stp>##V3_BDPV12</stp>
        <stp>CN20 Index</stp>
        <stp>INTERVAL_HIGH</stp>
        <stp>[Index.xlsm]全球指數!R172C16</stp>
        <stp>MARKET_DATA_OVERRIDE=PE_RATIO</stp>
        <stp>CALC_INTERVAL=5y</stp>
        <stp>BEST_FPERIOD_OVERRIDE=BF</stp>
        <tr r="P172" s="1"/>
      </tp>
      <tp t="s">
        <v>百慕達證交所指數</v>
        <stp/>
        <stp>##V3_BDPV12</stp>
        <stp>BSX Index</stp>
        <stp>DS697</stp>
        <stp>[Index.xlsm]全球指數!R297C2</stp>
        <tr r="B297" s="1"/>
      </tp>
      <tp t="s">
        <v>HK</v>
        <stp/>
        <stp>##V3_BDPV12</stp>
        <stp>HSCCI Index</stp>
        <stp>DS003</stp>
        <stp>[Index.xlsm]全球指數!R24C3</stp>
        <tr r="C24" s="1"/>
      </tp>
      <tp t="s">
        <v>NE</v>
        <stp/>
        <stp>##V3_BDPV12</stp>
        <stp>AEX Index</stp>
        <stp>DS003</stp>
        <stp>[Index.xlsm]全球指數!R222C3</stp>
        <tr r="C222" s="1"/>
      </tp>
      <tp>
        <v>0.40693800000000002</v>
        <stp/>
        <stp>##V3_BDPV12</stp>
        <stp>HSML100 Index</stp>
        <stp>CHG_PCT_1D</stp>
        <stp>[Index.xlsm]全球指數!R48C5</stp>
        <tr r="E48" s="1"/>
      </tp>
      <tp t="s">
        <v>富時/雅典中型股40指數</v>
        <stp/>
        <stp>##V3_BDPV12</stp>
        <stp>FTSEM Index</stp>
        <stp>DS697</stp>
        <stp>[Index.xlsm]全球指數!R43C2</stp>
        <tr r="B43" s="1"/>
      </tp>
      <tp>
        <v>15.232454432333697</v>
        <stp/>
        <stp>##V3_BDPV12</stp>
        <stp>SPTSX Index</stp>
        <stp>INTERVAL_Low</stp>
        <stp>[Index.xlsm]全球指數!R200C17</stp>
        <stp>MARKET_DATA_OVERRIDE=PE_RATIO</stp>
        <stp>CALC_INTERVAL=5y</stp>
        <stp>BEST_FPERIOD_OVERRIDE=BF</stp>
        <tr r="Q200" s="1"/>
      </tp>
      <tp t="s">
        <v>GR</v>
        <stp/>
        <stp>##V3_BDPV12</stp>
        <stp>FTSEM Index</stp>
        <stp>DS003</stp>
        <stp>[Index.xlsm]全球指數!R43C3</stp>
        <tr r="C43" s="1"/>
      </tp>
      <tp>
        <v>27.995725691522317</v>
        <stp/>
        <stp>##V3_BDPV12</stp>
        <stp>RIGSE Index</stp>
        <stp>PE_RATIO</stp>
        <stp>[Index.xlsm]全球指數!R260C18</stp>
        <tr r="R260" s="1"/>
      </tp>
      <tp>
        <v>372.11</v>
        <stp/>
        <stp>##V3_BDPV12</stp>
        <stp>SXPP INDEX</stp>
        <stp>LOW_52WEEK</stp>
        <stp>[Index.xlsm]主要產業!R32C8</stp>
        <tr r="H32" s="2"/>
      </tp>
      <tp>
        <v>10409.030000000001</v>
        <stp/>
        <stp>##V3_BDPV12</stp>
        <stp>Tran INDEX</stp>
        <stp>PX_LAST</stp>
        <stp>[Index.xlsm]主要產業!R3C42</stp>
        <tr r="AP3" s="2"/>
      </tp>
      <tp>
        <v>311.10000000000002</v>
        <stp/>
        <stp>##V3_BDPV12</stp>
        <stp>SXIP INDEX</stp>
        <stp>HIGH_52WEEK</stp>
        <stp>[Index.xlsm]主要產業!R24C6</stp>
        <tr r="F24" s="2"/>
      </tp>
      <tp>
        <v>599.88</v>
        <stp/>
        <stp>##V3_BDPV12</stp>
        <stp>SX3P INDEX</stp>
        <stp>LOW_52WEEK</stp>
        <stp>[Index.xlsm]主要產業!R22C8</stp>
        <tr r="H22" s="2"/>
      </tp>
      <tp>
        <v>4.7419019999999999E-2</v>
        <stp/>
        <stp>##V3_BDPV12</stp>
        <stp>MOEX10 Index</stp>
        <stp>CHG_PCT_3M</stp>
        <stp>[Index.xlsm]全球指數!R160C12</stp>
        <tr r="L160" s="1"/>
      </tp>
      <tp>
        <v>4318.5200000000004</v>
        <stp/>
        <stp>##V3_BDPV12</stp>
        <stp>FTEFC1 Index</stp>
        <stp>HIGH_52WEEK</stp>
        <stp>[Index.xlsm]全球指數!R214C6</stp>
        <tr r="F214" s="1"/>
      </tp>
      <tp>
        <v>28.949313388773398</v>
        <stp/>
        <stp>##V3_BDPV12</stp>
        <stp>SX5P Index</stp>
        <stp>INTERVAL_HIGH</stp>
        <stp>[Index.xlsm]全球指數!R255C16</stp>
        <stp>MARKET_DATA_OVERRIDE=PE_RATIO</stp>
        <stp>CALC_INTERVAL=5y</stp>
        <stp>BEST_FPERIOD_OVERRIDE=BF</stp>
        <tr r="P255" s="1"/>
      </tp>
      <tp>
        <v>1169.3699999999999</v>
        <stp/>
        <stp>##V3_BDPV12</stp>
        <stp>TPX100 Index</stp>
        <stp>HIGH_52WEEK</stp>
        <stp>[Index.xlsm]全球指數!R271C6</stp>
        <tr r="F271" s="1"/>
      </tp>
      <tp>
        <v>25.381058957460482</v>
        <stp/>
        <stp>##V3_BDPV12</stp>
        <stp>SX5E Index</stp>
        <stp>INTERVAL_HIGH</stp>
        <stp>[Index.xlsm]全球指數!R184C16</stp>
        <stp>MARKET_DATA_OVERRIDE=PE_RATIO</stp>
        <stp>CALC_INTERVAL=5y</stp>
        <stp>BEST_FPERIOD_OVERRIDE=BF</stp>
        <tr r="P184" s="1"/>
      </tp>
      <tp>
        <v>8.4378759999999993</v>
        <stp/>
        <stp>##V3_BDPV12</stp>
        <stp>KOSPI2 Index</stp>
        <stp>CHG_PCT_1M</stp>
        <stp>[Index.xlsm]全球指數!R187C11</stp>
        <tr r="K187" s="1"/>
      </tp>
      <tp t="s">
        <v>US</v>
        <stp/>
        <stp>##V3_BDPV12</stp>
        <stp>DWCF Index</stp>
        <stp>DS003</stp>
        <stp>[Index.xlsm]全球指數!R121C3</stp>
        <tr r="C121" s="1"/>
      </tp>
      <tp>
        <v>2.9787789999999998</v>
        <stp/>
        <stp>##V3_BDPV12</stp>
        <stp>SPTSX60 Index</stp>
        <stp>PR064</stp>
        <stp>[Index.xlsm]全球指數!R194C14</stp>
        <tr r="N194" s="1"/>
      </tp>
      <tp t="s">
        <v>US</v>
        <stp/>
        <stp>##V3_BDPV12</stp>
        <stp>CCMP Index</stp>
        <stp>DS003</stp>
        <stp>[Index.xlsm]全球指數!R61C3</stp>
        <tr r="C61" s="1"/>
      </tp>
      <tp t="s">
        <v>Egyptian Exchange EGX 30 Pri</v>
        <stp/>
        <stp>##V3_BDPV12</stp>
        <stp>EGX30 Index</stp>
        <stp>DS697</stp>
        <stp>[Index.xlsm]全球指數!R7C2</stp>
        <tr r="B7" s="1"/>
      </tp>
      <tp t="s">
        <v>那斯達克綜合指數</v>
        <stp/>
        <stp>##V3_BDPV12</stp>
        <stp>CCMP Index</stp>
        <stp>DS697</stp>
        <stp>[Index.xlsm]全球指數!R61C2</stp>
        <tr r="B61" s="1"/>
      </tp>
      <tp>
        <v>9.7889569999999999</v>
        <stp/>
        <stp>##V3_BDPV12</stp>
        <stp>XU030 Index</stp>
        <stp>CHG_PCT_6M</stp>
        <stp>[Index.xlsm]全球指數!R299C13</stp>
        <tr r="M299" s="1"/>
      </tp>
      <tp>
        <v>10.97941</v>
        <stp/>
        <stp>##V3_BDPV12</stp>
        <stp>XU100 Index</stp>
        <stp>CHG_PCT_6M</stp>
        <stp>[Index.xlsm]全球指數!R298C13</stp>
        <tr r="M298" s="1"/>
      </tp>
      <tp t="s">
        <v>澳洲AS30普通股指數</v>
        <stp/>
        <stp>##V3_BDPV12</stp>
        <stp>AS30 Index</stp>
        <stp>DS697</stp>
        <stp>[Index.xlsm]全球指數!R183C2</stp>
        <tr r="B183" s="1"/>
      </tp>
      <tp t="s">
        <v>道瓊義大利 Titans 30 指數</v>
        <stp/>
        <stp>##V3_BDPV12</stp>
        <stp>IT30 Index</stp>
        <stp>DS697</stp>
        <stp>[Index.xlsm]全球指數!R114C2</stp>
        <tr r="B114" s="1"/>
      </tp>
      <tp t="s">
        <v>AU</v>
        <stp/>
        <stp>##V3_BDPV12</stp>
        <stp>AS52 Index</stp>
        <stp>DS003</stp>
        <stp>[Index.xlsm]全球指數!R185C3</stp>
        <tr r="C185" s="1"/>
      </tp>
      <tp>
        <v>3.2663366151584183</v>
        <stp/>
        <stp>##V3_BDPV12</stp>
        <stp>RTSI$ Index</stp>
        <stp>INTERVAL_Low</stp>
        <stp>[Index.xlsm]全球指數!R102C17</stp>
        <stp>MARKET_DATA_OVERRIDE=PE_RATIO</stp>
        <stp>CALC_INTERVAL=5y</stp>
        <stp>BEST_FPERIOD_OVERRIDE=BF</stp>
        <tr r="Q102" s="1"/>
      </tp>
      <tp t="s">
        <v>葡萄牙 PSI20指數</v>
        <stp/>
        <stp>##V3_BDPV12</stp>
        <stp>PSI20 Index</stp>
        <stp>DS697</stp>
        <stp>[Index.xlsm]全球指數!R23C2</stp>
        <tr r="B23" s="1"/>
      </tp>
      <tp t="s">
        <v>PO</v>
        <stp/>
        <stp>##V3_BDPV12</stp>
        <stp>PSI20 Index</stp>
        <stp>DS003</stp>
        <stp>[Index.xlsm]全球指數!R23C3</stp>
        <tr r="C23" s="1"/>
      </tp>
      <tp>
        <v>8.0772199504496651</v>
        <stp/>
        <stp>##V3_BDPV12</stp>
        <stp>JMSMX Index</stp>
        <stp>INTERVAL_Low</stp>
        <stp>[Index.xlsm]全球指數!R106C17</stp>
        <stp>MARKET_DATA_OVERRIDE=PE_RATIO</stp>
        <stp>CALC_INTERVAL=5y</stp>
        <stp>BEST_FPERIOD_OVERRIDE=BF</stp>
        <tr r="Q106" s="1"/>
      </tp>
      <tp>
        <v>9.6458886449791112</v>
        <stp/>
        <stp>##V3_BDPV12</stp>
        <stp>ADSMI Index</stp>
        <stp>INTERVAL_Low</stp>
        <stp>[Index.xlsm]全球指數!R120C17</stp>
        <stp>MARKET_DATA_OVERRIDE=PE_RATIO</stp>
        <stp>CALC_INTERVAL=5y</stp>
        <stp>BEST_FPERIOD_OVERRIDE=BF</stp>
        <tr r="Q120" s="1"/>
      </tp>
      <tp t="s">
        <v>NO</v>
        <stp/>
        <stp>##V3_BDPV12</stp>
        <stp>OSEFX Index</stp>
        <stp>DS003</stp>
        <stp>[Index.xlsm]全球指數!R53C3</stp>
        <tr r="C53" s="1"/>
      </tp>
      <tp>
        <v>0.2564459</v>
        <stp/>
        <stp>##V3_BDPV12</stp>
        <stp>MS190 Index</stp>
        <stp>CHG_PCT_1D</stp>
        <stp>[Index.xlsm]全球指數!R79C5</stp>
        <tr r="E79" s="1"/>
      </tp>
      <tp>
        <v>23.398312722253248</v>
        <stp/>
        <stp>##V3_BDPV12</stp>
        <stp>AS51 Index</stp>
        <stp>INTERVAL_HIGH</stp>
        <stp>[Index.xlsm]全球指數!R182C16</stp>
        <stp>MARKET_DATA_OVERRIDE=PE_RATIO</stp>
        <stp>CALC_INTERVAL=5y</stp>
        <stp>BEST_FPERIOD_OVERRIDE=BF</stp>
        <tr r="P182" s="1"/>
      </tp>
      <tp>
        <v>26.282214664702384</v>
        <stp/>
        <stp>##V3_BDPV12</stp>
        <stp>AS52 Index</stp>
        <stp>INTERVAL_HIGH</stp>
        <stp>[Index.xlsm]全球指數!R185C16</stp>
        <stp>MARKET_DATA_OVERRIDE=PE_RATIO</stp>
        <stp>CALC_INTERVAL=5y</stp>
        <stp>BEST_FPERIOD_OVERRIDE=BF</stp>
        <tr r="P185" s="1"/>
      </tp>
      <tp t="s">
        <v>奧斯陸共同基金指數</v>
        <stp/>
        <stp>##V3_BDPV12</stp>
        <stp>OSEFX Index</stp>
        <stp>DS697</stp>
        <stp>[Index.xlsm]全球指數!R53C2</stp>
        <tr r="B53" s="1"/>
      </tp>
      <tp>
        <v>16.621474179980101</v>
        <stp/>
        <stp>##V3_BDPV12</stp>
        <stp>TW50 Index</stp>
        <stp>INTERVAL_HIGH</stp>
        <stp>[Index.xlsm]全球指數!R235C16</stp>
        <stp>MARKET_DATA_OVERRIDE=PE_RATIO</stp>
        <stp>CALC_INTERVAL=5y</stp>
        <stp>BEST_FPERIOD_OVERRIDE=BF</stp>
        <tr r="P235" s="1"/>
      </tp>
      <tp t="s">
        <v>布加勒斯特證交所交易綜合指數</v>
        <stp/>
        <stp>##V3_BDPV12</stp>
        <stp>BET Index</stp>
        <stp>DS697</stp>
        <stp>[Index.xlsm]全球指數!R300C2</stp>
        <tr r="B300" s="1"/>
      </tp>
      <tp>
        <v>14.968665959304497</v>
        <stp/>
        <stp>##V3_BDPV12</stp>
        <stp>KRX100 Index</stp>
        <stp>INTERVAL_HIGH</stp>
        <stp>[Index.xlsm]全球指數!R197C16</stp>
        <stp>MARKET_DATA_OVERRIDE=PE_RATIO</stp>
        <stp>CALC_INTERVAL=5y</stp>
        <stp>BEST_FPERIOD_OVERRIDE=BF</stp>
        <tr r="P197" s="1"/>
      </tp>
      <tp>
        <v>9.4600446515245</v>
        <stp/>
        <stp>##V3_BDPV12</stp>
        <stp>KOSPI Index</stp>
        <stp>INTERVAL_Low</stp>
        <stp>[Index.xlsm]全球指數!R155C17</stp>
        <stp>MARKET_DATA_OVERRIDE=PE_RATIO</stp>
        <stp>CALC_INTERVAL=5y</stp>
        <stp>BEST_FPERIOD_OVERRIDE=BF</stp>
        <tr r="Q155" s="1"/>
      </tp>
      <tp>
        <v>2728338574599</v>
        <stp/>
        <stp>##V3_BDPV12</stp>
        <stp>s5tels Index</stp>
        <stp>RR902</stp>
        <stp>[Index.xlsm]主要產業!R6C20</stp>
        <tr r="T6" s="2"/>
      </tp>
      <tp>
        <v>3.2330800000000002</v>
        <stp/>
        <stp>##V3_BDPV12</stp>
        <stp>s5tels Index</stp>
        <stp>PR064</stp>
        <stp>[Index.xlsm]主要產業!R6C14</stp>
        <tr r="N6" s="2"/>
      </tp>
      <tp>
        <v>254.8</v>
        <stp/>
        <stp>##V3_BDPV12</stp>
        <stp>SXMP INDEX</stp>
        <stp>LOW_52WEEK</stp>
        <stp>[Index.xlsm]主要產業!R35C8</stp>
        <tr r="H35" s="2"/>
      </tp>
      <tp>
        <v>269.7</v>
        <stp/>
        <stp>##V3_BDPV12</stp>
        <stp>SX6P INDEX</stp>
        <stp>LOW_52WEEK</stp>
        <stp>[Index.xlsm]主要產業!R25C8</stp>
        <tr r="H25" s="2"/>
      </tp>
      <tp>
        <v>11.51887</v>
        <stp/>
        <stp>##V3_BDPV12</stp>
        <stp>SSE180 Index</stp>
        <stp>CHG_PCT_1YR</stp>
        <stp>[Index.xlsm]全球指數!R74C15</stp>
        <tr r="O74" s="1"/>
      </tp>
      <tp>
        <v>-23.053840000000001</v>
        <stp/>
        <stp>##V3_BDPV12</stp>
        <stp>KSE100 Index</stp>
        <stp>CHG_PCT_1YR</stp>
        <stp>[Index.xlsm]全球指數!R33C15</stp>
        <tr r="O33" s="1"/>
      </tp>
      <tp>
        <v>2.7721749999999998</v>
        <stp/>
        <stp>##V3_BDPV12</stp>
        <stp>NKY500 Index</stp>
        <stp>CHG_PCT_6M</stp>
        <stp>[Index.xlsm]全球指數!R280C13</stp>
        <tr r="M280" s="1"/>
      </tp>
      <tp>
        <v>0.33361869999999999</v>
        <stp/>
        <stp>##V3_BDPV12</stp>
        <stp>OMXC25 Index</stp>
        <stp>CHG_PCT_5D</stp>
        <stp>[Index.xlsm]全球指數!R262C10</stp>
        <tr r="J262" s="1"/>
      </tp>
      <tp t="s">
        <v>JASDAQ指數</v>
        <stp/>
        <stp>##V3_BDPV12</stp>
        <stp>JSDA Index</stp>
        <stp>DS697</stp>
        <stp>[Index.xlsm]全球指數!R302C2</stp>
        <tr r="B302" s="1"/>
      </tp>
      <tp t="s">
        <v>IT</v>
        <stp/>
        <stp>##V3_BDPV12</stp>
        <stp>ITMC Index</stp>
        <stp>DS003</stp>
        <stp>[Index.xlsm]全球指數!R163C3</stp>
        <tr r="C163" s="1"/>
      </tp>
      <tp t="s">
        <v>紐約證交所100指數</v>
        <stp/>
        <stp>##V3_BDPV12</stp>
        <stp>NYID Index</stp>
        <stp>DS697</stp>
        <stp>[Index.xlsm]全球指數!R148C2</stp>
        <tr r="B148" s="1"/>
      </tp>
      <tp t="s">
        <v>道瓊公用事業類指數</v>
        <stp/>
        <stp>##V3_BDPV12</stp>
        <stp>UTIL Index</stp>
        <stp>DS697</stp>
        <stp>[Index.xlsm]全球指數!R305C2</stp>
        <tr r="B305" s="1"/>
      </tp>
      <tp t="s">
        <v>EC</v>
        <stp/>
        <stp>##V3_BDPV12</stp>
        <stp>MSER Index</stp>
        <stp>DS003</stp>
        <stp>[Index.xlsm]全球指數!R154C3</stp>
        <tr r="C154" s="1"/>
      </tp>
      <tp t="s">
        <v>CL</v>
        <stp/>
        <stp>##V3_BDPV12</stp>
        <stp>IPSA Index</stp>
        <stp>DS003</stp>
        <stp>[Index.xlsm]全球指數!R147C3</stp>
        <tr r="C147" s="1"/>
      </tp>
      <tp>
        <v>27.114234988098108</v>
        <stp/>
        <stp>##V3_BDPV12</stp>
        <stp>SH000905 Index</stp>
        <stp>PE_RATIO</stp>
        <stp>[Index.xlsm]全球指數!R13C18</stp>
        <tr r="R13" s="1"/>
      </tp>
      <tp t="s">
        <v>標準普爾/ASX200指數</v>
        <stp/>
        <stp>##V3_BDPV12</stp>
        <stp>AS51 Index</stp>
        <stp>DS697</stp>
        <stp>[Index.xlsm]全球指數!R182C2</stp>
        <tr r="B182" s="1"/>
      </tp>
      <tp>
        <v>5.33094</v>
        <stp/>
        <stp>##V3_BDPV12</stp>
        <stp>SAX Index</stp>
        <stp>CHG_PCT_6M</stp>
        <stp>[Index.xlsm]全球指數!R56C13</stp>
        <tr r="M56" s="1"/>
      </tp>
      <tp>
        <v>-9.6988099999999994E-2</v>
        <stp/>
        <stp>##V3_BDPV12</stp>
        <stp>XAX Index</stp>
        <stp>CHG_PCT_6M</stp>
        <stp>[Index.xlsm]全球指數!R39C13</stp>
        <tr r="M39" s="1"/>
      </tp>
      <tp>
        <v>7.6144749999999997</v>
        <stp/>
        <stp>##V3_BDPV12</stp>
        <stp>DAX Index</stp>
        <stp>CHG_PCT_6M</stp>
        <stp>[Index.xlsm]全球指數!R99C13</stp>
        <tr r="M99" s="1"/>
      </tp>
      <tp>
        <v>-1.357877</v>
        <stp/>
        <stp>##V3_BDPV12</stp>
        <stp>DAX Index</stp>
        <stp>CHG_PCT_5D</stp>
        <stp>[Index.xlsm]全球指數!R99C10</stp>
        <tr r="J99" s="1"/>
      </tp>
      <tp>
        <v>-1.9632369999999999</v>
        <stp/>
        <stp>##V3_BDPV12</stp>
        <stp>SAX Index</stp>
        <stp>CHG_PCT_5D</stp>
        <stp>[Index.xlsm]全球指數!R56C10</stp>
        <tr r="J56" s="1"/>
      </tp>
      <tp>
        <v>-2.1652650000000002</v>
        <stp/>
        <stp>##V3_BDPV12</stp>
        <stp>XAX Index</stp>
        <stp>CHG_PCT_5D</stp>
        <stp>[Index.xlsm]全球指數!R39C10</stp>
        <tr r="J39" s="1"/>
      </tp>
      <tp>
        <v>1.0935699999999999</v>
        <stp/>
        <stp>##V3_BDPV12</stp>
        <stp>SAX Index</stp>
        <stp>CHG_PCT_3M</stp>
        <stp>[Index.xlsm]全球指數!R56C12</stp>
        <tr r="L56" s="1"/>
      </tp>
      <tp>
        <v>-1.8162720000000001</v>
        <stp/>
        <stp>##V3_BDPV12</stp>
        <stp>XAX Index</stp>
        <stp>CHG_PCT_3M</stp>
        <stp>[Index.xlsm]全球指數!R39C12</stp>
        <tr r="L39" s="1"/>
      </tp>
      <tp>
        <v>0.14269190000000001</v>
        <stp/>
        <stp>##V3_BDPV12</stp>
        <stp>DAX Index</stp>
        <stp>CHG_PCT_3M</stp>
        <stp>[Index.xlsm]全球指數!R99C12</stp>
        <tr r="L99" s="1"/>
      </tp>
      <tp>
        <v>4.6018749999999997</v>
        <stp/>
        <stp>##V3_BDPV12</stp>
        <stp>SAX Index</stp>
        <stp>CHG_PCT_1M</stp>
        <stp>[Index.xlsm]全球指數!R56C11</stp>
        <tr r="K56" s="1"/>
      </tp>
      <tp>
        <v>5.5687819999999997</v>
        <stp/>
        <stp>##V3_BDPV12</stp>
        <stp>XAX Index</stp>
        <stp>CHG_PCT_1M</stp>
        <stp>[Index.xlsm]全球指數!R39C11</stp>
        <tr r="K39" s="1"/>
      </tp>
      <tp>
        <v>4.761463</v>
        <stp/>
        <stp>##V3_BDPV12</stp>
        <stp>DAX Index</stp>
        <stp>CHG_PCT_1M</stp>
        <stp>[Index.xlsm]全球指數!R99C11</stp>
        <tr r="K99" s="1"/>
      </tp>
      <tp>
        <v>0.27450059999999998</v>
        <stp/>
        <stp>##V3_BDPV12</stp>
        <stp>CM100 Index</stp>
        <stp>CHG_PCT_1D</stp>
        <stp>[Index.xlsm]全球指數!R88C5</stp>
        <tr r="E88" s="1"/>
      </tp>
      <tp t="s">
        <v>#N/A N/A</v>
        <stp/>
        <stp>##V3_BDPV12</stp>
        <stp>HKSPGEM Index</stp>
        <stp>PE_RATIO</stp>
        <stp>[Index.xlsm]全球指數!R151C18</stp>
        <tr r="R151" s="1"/>
      </tp>
      <tp t="s">
        <v>BD</v>
        <stp/>
        <stp>##V3_BDPV12</stp>
        <stp>BSX Index</stp>
        <stp>DS003</stp>
        <stp>[Index.xlsm]全球指數!R297C3</stp>
        <tr r="C297" s="1"/>
      </tp>
      <tp t="s">
        <v>NO</v>
        <stp/>
        <stp>##V3_BDPV12</stp>
        <stp>OSEBX Index</stp>
        <stp>DS003</stp>
        <stp>[Index.xlsm]全球指數!R52C3</stp>
        <tr r="C52" s="1"/>
      </tp>
      <tp t="s">
        <v>恆生中國企業指數</v>
        <stp/>
        <stp>##V3_BDPV12</stp>
        <stp>HSCEI Index</stp>
        <stp>DS697</stp>
        <stp>[Index.xlsm]全球指數!R72C2</stp>
        <tr r="B72" s="1"/>
      </tp>
      <tp>
        <v>22.001303118964582</v>
        <stp/>
        <stp>##V3_BDPV12</stp>
        <stp>LQ45 Index</stp>
        <stp>INTERVAL_HIGH</stp>
        <stp>[Index.xlsm]全球指數!R204C16</stp>
        <stp>MARKET_DATA_OVERRIDE=PE_RATIO</stp>
        <stp>CALC_INTERVAL=5y</stp>
        <stp>BEST_FPERIOD_OVERRIDE=BF</stp>
        <tr r="P204" s="1"/>
      </tp>
      <tp>
        <v>1454.79</v>
        <stp/>
        <stp>##V3_BDPV12</stp>
        <stp>EUE15P Index</stp>
        <stp>LOW_52WEEK</stp>
        <stp>[Index.xlsm]全球指數!R57C8</stp>
        <tr r="H57" s="1"/>
      </tp>
      <tp t="s">
        <v>希臘雅典ASE綜合指數</v>
        <stp/>
        <stp>##V3_BDPV12</stp>
        <stp>ASE Index</stp>
        <stp>DS697</stp>
        <stp>[Index.xlsm]全球指數!R142C2</stp>
        <tr r="B142" s="1"/>
      </tp>
      <tp t="s">
        <v>#N/A N/A</v>
        <stp/>
        <stp>##V3_BDPV12</stp>
        <stp>SX40 Index</stp>
        <stp>INTERVAL_HIGH</stp>
        <stp>[Index.xlsm]全球指數!R320C16</stp>
        <stp>MARKET_DATA_OVERRIDE=PE_RATIO</stp>
        <stp>CALC_INTERVAL=5y</stp>
        <stp>BEST_FPERIOD_OVERRIDE=BF</stp>
        <tr r="P320" s="1"/>
      </tp>
      <tp t="s">
        <v>HK</v>
        <stp/>
        <stp>##V3_BDPV12</stp>
        <stp>HSCEI Index</stp>
        <stp>DS003</stp>
        <stp>[Index.xlsm]全球指數!R72C3</stp>
        <tr r="C72" s="1"/>
      </tp>
      <tp t="s">
        <v>挪威奧斯陸基準指數</v>
        <stp/>
        <stp>##V3_BDPV12</stp>
        <stp>OSEBX Index</stp>
        <stp>DS697</stp>
        <stp>[Index.xlsm]全球指數!R52C2</stp>
        <tr r="B52" s="1"/>
      </tp>
      <tp t="s">
        <v>克羅埃西亞ZAGREB CROBEX</v>
        <stp/>
        <stp>##V3_BDPV12</stp>
        <stp>CRO Index</stp>
        <stp>DS697</stp>
        <stp>[Index.xlsm]全球指數!R310C2</stp>
        <tr r="B310" s="1"/>
      </tp>
      <tp>
        <v>2935.83</v>
        <stp/>
        <stp>##V3_BDPV12</stp>
        <stp>SHSZ300 Index</stp>
        <stp>LOW_52WEEK</stp>
        <stp>[Index.xlsm]全球指數!R44C8</stp>
        <tr r="H44" s="1"/>
      </tp>
      <tp t="s">
        <v>荷蘭阿姆斯特丹AEX指數</v>
        <stp/>
        <stp>##V3_BDPV12</stp>
        <stp>AEX Index</stp>
        <stp>DS697</stp>
        <stp>[Index.xlsm]全球指數!R222C2</stp>
        <tr r="B222" s="1"/>
      </tp>
      <tp>
        <v>14.399649999999999</v>
        <stp/>
        <stp>##V3_BDPV12</stp>
        <stp>MERVAL Index</stp>
        <stp>CHG_PCT_1M</stp>
        <stp>[Index.xlsm]全球指數!R4C11</stp>
        <tr r="K4" s="1"/>
      </tp>
      <tp>
        <v>-31.51202</v>
        <stp/>
        <stp>##V3_BDPV12</stp>
        <stp>MERVAL Index</stp>
        <stp>CHG_PCT_3M</stp>
        <stp>[Index.xlsm]全球指數!R4C12</stp>
        <tr r="L4" s="1"/>
      </tp>
      <tp>
        <v>-7.38591</v>
        <stp/>
        <stp>##V3_BDPV12</stp>
        <stp>MERVAL Index</stp>
        <stp>CHG_PCT_5D</stp>
        <stp>[Index.xlsm]全球指數!R4C10</stp>
        <tr r="J4" s="1"/>
      </tp>
      <tp>
        <v>-12.45284</v>
        <stp/>
        <stp>##V3_BDPV12</stp>
        <stp>MERVAL Index</stp>
        <stp>CHG_PCT_6M</stp>
        <stp>[Index.xlsm]全球指數!R4C13</stp>
        <tr r="M4" s="1"/>
      </tp>
      <tp>
        <v>20.53203548268413</v>
        <stp/>
        <stp>##V3_BDPV12</stp>
        <stp>FTASE Index</stp>
        <stp>PE_RATIO</stp>
        <stp>[Index.xlsm]全球指數!R141C18</stp>
        <tr r="R141" s="1"/>
      </tp>
      <tp>
        <v>250.81</v>
        <stp/>
        <stp>##V3_BDPV12</stp>
        <stp>SXIP INDEX</stp>
        <stp>LOW_52WEEK</stp>
        <stp>[Index.xlsm]主要產業!R24C8</stp>
        <tr r="H24" s="2"/>
      </tp>
      <tp>
        <v>233.47</v>
        <stp/>
        <stp>##V3_BDPV12</stp>
        <stp>AAPL US Equity</stp>
        <stp>HIGH_52WEEK</stp>
        <stp>[Index.xlsm]主要產業!R3C26</stp>
        <tr r="Z3" s="2"/>
      </tp>
      <tp>
        <v>16.222811719702555</v>
        <stp/>
        <stp>##V3_BDPV12</stp>
        <stp>S5INFT Index</stp>
        <stp>INTERVAL_Low</stp>
        <stp>[Index.xlsm]主要產業!R2C17</stp>
        <stp>MARKET_DATA_OVERRIDE=PE_RATIO</stp>
        <stp>CALC_INTERVAL=5y</stp>
        <stp>BEST_FPERIOD_OVERRIDE=BF</stp>
        <tr r="Q2" s="2"/>
      </tp>
      <tp>
        <v>-8.0926250000000005E-2</v>
        <stp/>
        <stp>##V3_BDPV12</stp>
        <stp>PX Index</stp>
        <stp>CHG_PCT_3M</stp>
        <stp>[Index.xlsm]全球指數!R84C12</stp>
        <tr r="L84" s="1"/>
      </tp>
      <tp>
        <v>0.28719509999999998</v>
        <stp/>
        <stp>##V3_BDPV12</stp>
        <stp>PX Index</stp>
        <stp>CHG_PCT_1M</stp>
        <stp>[Index.xlsm]全球指數!R84C11</stp>
        <tr r="K84" s="1"/>
      </tp>
      <tp>
        <v>-3.7011579999999999</v>
        <stp/>
        <stp>##V3_BDPV12</stp>
        <stp>PX Index</stp>
        <stp>CHG_PCT_6M</stp>
        <stp>[Index.xlsm]全球指數!R84C13</stp>
        <tr r="M84" s="1"/>
      </tp>
      <tp>
        <v>-1.5436300000000001</v>
        <stp/>
        <stp>##V3_BDPV12</stp>
        <stp>PX Index</stp>
        <stp>CHG_PCT_5D</stp>
        <stp>[Index.xlsm]全球指數!R84C10</stp>
        <tr r="J84" s="1"/>
      </tp>
      <tp>
        <v>4.4381740000000001</v>
        <stp/>
        <stp>##V3_BDPV12</stp>
        <stp>MOEX10 Index</stp>
        <stp>CHG_PCT_1M</stp>
        <stp>[Index.xlsm]全球指數!R160C11</stp>
        <tr r="K160" s="1"/>
      </tp>
      <tp>
        <v>2.8913120000000001</v>
        <stp/>
        <stp>##V3_BDPV12</stp>
        <stp>OMXC25 Index</stp>
        <stp>CHG_PCT_6M</stp>
        <stp>[Index.xlsm]全球指數!R262C13</stp>
        <tr r="M262" s="1"/>
      </tp>
      <tp>
        <v>1416.59</v>
        <stp/>
        <stp>##V3_BDPV12</stp>
        <stp>TPX500 Index</stp>
        <stp>HIGH_52WEEK</stp>
        <stp>[Index.xlsm]全球指數!R283C6</stp>
        <tr r="F283" s="1"/>
      </tp>
      <tp>
        <v>1943.48</v>
        <stp/>
        <stp>##V3_BDPV12</stp>
        <stp>NZSE10 Index</stp>
        <stp>HIGH_52WEEK</stp>
        <stp>[Index.xlsm]全球指數!R249C6</stp>
        <tr r="F249" s="1"/>
      </tp>
      <tp>
        <v>-1.029698</v>
        <stp/>
        <stp>##V3_BDPV12</stp>
        <stp>KOSPI2 Index</stp>
        <stp>CHG_PCT_3M</stp>
        <stp>[Index.xlsm]全球指數!R187C12</stp>
        <tr r="L187" s="1"/>
      </tp>
      <tp>
        <v>0.7620825</v>
        <stp/>
        <stp>##V3_BDPV12</stp>
        <stp>NKY500 Index</stp>
        <stp>CHG_PCT_5D</stp>
        <stp>[Index.xlsm]全球指數!R280C10</stp>
        <tr r="J280" s="1"/>
      </tp>
      <tp t="s">
        <v>道瓊運輸類指數</v>
        <stp/>
        <stp>##V3_BDPV12</stp>
        <stp>TRAN Index</stp>
        <stp>DS697</stp>
        <stp>[Index.xlsm]全球指數!R140C2</stp>
        <tr r="B140" s="1"/>
      </tp>
      <tp t="s">
        <v>愛爾蘭綜合指數</v>
        <stp/>
        <stp>##V3_BDPV12</stp>
        <stp>ISEQ Index</stp>
        <stp>DS697</stp>
        <stp>[Index.xlsm]全球指數!R241C2</stp>
        <tr r="B241" s="1"/>
      </tp>
      <tp t="s">
        <v>標準普爾歐盟指數</v>
        <stp/>
        <stp>##V3_BDPV12</stp>
        <stp>SPEU Index</stp>
        <stp>DS697</stp>
        <stp>[Index.xlsm]全球指數!R162C2</stp>
        <tr r="B162" s="1"/>
      </tp>
      <tp t="s">
        <v>TOPIX二部指數</v>
        <stp/>
        <stp>##V3_BDPV12</stp>
        <stp>TSE2 Index</stp>
        <stp>DS697</stp>
        <stp>[Index.xlsm]全球指數!R261C2</stp>
        <tr r="B261" s="1"/>
      </tp>
      <tp t="s">
        <v>台灣證交所加權股價指數</v>
        <stp/>
        <stp>##V3_BDPV12</stp>
        <stp>TWSE Index</stp>
        <stp>DS697</stp>
        <stp>[Index.xlsm]全球指數!R225C2</stp>
        <tr r="B225" s="1"/>
      </tp>
      <tp t="s">
        <v>紐西蘭NZSX普通股指數</v>
        <stp/>
        <stp>##V3_BDPV12</stp>
        <stp>NZSE Index</stp>
        <stp>DS697</stp>
        <stp>[Index.xlsm]全球指數!R238C2</stp>
        <tr r="B238" s="1"/>
      </tp>
      <tp t="s">
        <v>那斯達克運輸類指數</v>
        <stp/>
        <stp>##V3_BDPV12</stp>
        <stp>CTRN Index</stp>
        <stp>DS697</stp>
        <stp>[Index.xlsm]全球指數!R136C2</stp>
        <tr r="B136" s="1"/>
      </tp>
      <tp t="s">
        <v>那斯達克電信類指數</v>
        <stp/>
        <stp>##V3_BDPV12</stp>
        <stp>CUTL Index</stp>
        <stp>DS697</stp>
        <stp>[Index.xlsm]全球指數!R107C2</stp>
        <tr r="B107" s="1"/>
      </tp>
      <tp t="s">
        <v>EC</v>
        <stp/>
        <stp>##V3_BDPV12</stp>
        <stp>MSPE Index</stp>
        <stp>DS003</stp>
        <stp>[Index.xlsm]全球指數!R207C3</stp>
        <tr r="C207" s="1"/>
      </tp>
      <tp t="s">
        <v>US</v>
        <stp/>
        <stp>##V3_BDPV12</stp>
        <stp>s5cons index</stp>
        <stp>DS003</stp>
        <stp>[Index.xlsm]主要產業!R9C3</stp>
        <tr r="C9" s="2"/>
      </tp>
      <tp>
        <v>-0.46763690000000002</v>
        <stp/>
        <stp>##V3_BDPV12</stp>
        <stp>WBI Index</stp>
        <stp>CHG_PCT_6M</stp>
        <stp>[Index.xlsm]全球指數!R63C13</stp>
        <tr r="M63" s="1"/>
      </tp>
      <tp>
        <v>-8.0316700000000001</v>
        <stp/>
        <stp>##V3_BDPV12</stp>
        <stp>NBI Index</stp>
        <stp>CHG_PCT_6M</stp>
        <stp>[Index.xlsm]全球指數!R12C13</stp>
        <tr r="M12" s="1"/>
      </tp>
      <tp>
        <v>-1.8009459999999999</v>
        <stp/>
        <stp>##V3_BDPV12</stp>
        <stp>WBI Index</stp>
        <stp>CHG_PCT_5D</stp>
        <stp>[Index.xlsm]全球指數!R63C10</stp>
        <tr r="J63" s="1"/>
      </tp>
      <tp>
        <v>-4.3709049999999996</v>
        <stp/>
        <stp>##V3_BDPV12</stp>
        <stp>NBI Index</stp>
        <stp>CHG_PCT_5D</stp>
        <stp>[Index.xlsm]全球指數!R12C10</stp>
        <tr r="J12" s="1"/>
      </tp>
      <tp>
        <v>1.7904610000000001</v>
        <stp/>
        <stp>##V3_BDPV12</stp>
        <stp>WBI Index</stp>
        <stp>CHG_PCT_3M</stp>
        <stp>[Index.xlsm]全球指數!R63C12</stp>
        <tr r="L63" s="1"/>
      </tp>
      <tp>
        <v>-6.8050040000000003</v>
        <stp/>
        <stp>##V3_BDPV12</stp>
        <stp>NBI Index</stp>
        <stp>CHG_PCT_3M</stp>
        <stp>[Index.xlsm]全球指數!R12C12</stp>
        <tr r="L12" s="1"/>
      </tp>
      <tp>
        <v>-0.6120584</v>
        <stp/>
        <stp>##V3_BDPV12</stp>
        <stp>SZ399550 Index</stp>
        <stp>CHG_PCT_1D</stp>
        <stp>[Index.xlsm]全球指數!R59C5</stp>
        <tr r="E59" s="1"/>
      </tp>
      <tp>
        <v>2.5354749999999999</v>
        <stp/>
        <stp>##V3_BDPV12</stp>
        <stp>WBI Index</stp>
        <stp>CHG_PCT_1M</stp>
        <stp>[Index.xlsm]全球指數!R63C11</stp>
        <tr r="K63" s="1"/>
      </tp>
      <tp>
        <v>-2.076641</v>
        <stp/>
        <stp>##V3_BDPV12</stp>
        <stp>NBI Index</stp>
        <stp>CHG_PCT_1M</stp>
        <stp>[Index.xlsm]全球指數!R12C11</stp>
        <tr r="K12" s="1"/>
      </tp>
      <tp t="s">
        <v>Bangladesh Dhaka Stock Excha</v>
        <stp/>
        <stp>##V3_BDPV12</stp>
        <stp>DS30 Index</stp>
        <stp>DS697</stp>
        <stp>[Index.xlsm]全球指數!R301C2</stp>
        <tr r="B301" s="1"/>
      </tp>
      <tp t="s">
        <v>台灣證交所台灣50指數</v>
        <stp/>
        <stp>##V3_BDPV12</stp>
        <stp>TW50 Index</stp>
        <stp>DS697</stp>
        <stp>[Index.xlsm]全球指數!R235C2</stp>
        <tr r="B235" s="1"/>
      </tp>
      <tp>
        <v>1.388093</v>
        <stp/>
        <stp>##V3_BDPV12</stp>
        <stp>OBX Index</stp>
        <stp>CHG_PCT_6M</stp>
        <stp>[Index.xlsm]全球指數!R46C13</stp>
        <tr r="M46" s="1"/>
      </tp>
      <tp>
        <v>6.845269</v>
        <stp/>
        <stp>##V3_BDPV12</stp>
        <stp>SBX Index</stp>
        <stp>CHG_PCT_6M</stp>
        <stp>[Index.xlsm]全球指數!R58C13</stp>
        <tr r="M58" s="1"/>
      </tp>
      <tp>
        <v>-2.0069680000000001</v>
        <stp/>
        <stp>##V3_BDPV12</stp>
        <stp>OBX Index</stp>
        <stp>CHG_PCT_5D</stp>
        <stp>[Index.xlsm]全球指數!R46C10</stp>
        <tr r="J46" s="1"/>
      </tp>
      <tp>
        <v>-1.906047</v>
        <stp/>
        <stp>##V3_BDPV12</stp>
        <stp>SBX Index</stp>
        <stp>CHG_PCT_5D</stp>
        <stp>[Index.xlsm]全球指數!R58C10</stp>
        <tr r="J58" s="1"/>
      </tp>
      <tp>
        <v>1.1759250000000001</v>
        <stp/>
        <stp>##V3_BDPV12</stp>
        <stp>SBX Index</stp>
        <stp>CHG_PCT_3M</stp>
        <stp>[Index.xlsm]全球指數!R58C12</stp>
        <tr r="L58" s="1"/>
      </tp>
      <tp>
        <v>1.408398</v>
        <stp/>
        <stp>##V3_BDPV12</stp>
        <stp>OBX Index</stp>
        <stp>CHG_PCT_3M</stp>
        <stp>[Index.xlsm]全球指數!R46C12</stp>
        <tr r="L46" s="1"/>
      </tp>
      <tp>
        <v>7112.15</v>
        <stp/>
        <stp>##V3_BDPV12</stp>
        <stp>SZSMEC Index</stp>
        <stp>LOW_52WEEK</stp>
        <stp>[Index.xlsm]全球指數!R9C8</stp>
        <tr r="H9" s="1"/>
      </tp>
      <tp>
        <v>4.9465640000000004</v>
        <stp/>
        <stp>##V3_BDPV12</stp>
        <stp>OBX Index</stp>
        <stp>CHG_PCT_1M</stp>
        <stp>[Index.xlsm]全球指數!R46C11</stp>
        <tr r="K46" s="1"/>
      </tp>
      <tp>
        <v>5.4169559999999999</v>
        <stp/>
        <stp>##V3_BDPV12</stp>
        <stp>SBX Index</stp>
        <stp>CHG_PCT_1M</stp>
        <stp>[Index.xlsm]全球指數!R58C11</stp>
        <tr r="K58" s="1"/>
      </tp>
      <tp t="s">
        <v>US</v>
        <stp/>
        <stp>##V3_BDPV12</stp>
        <stp>NYA Index</stp>
        <stp>DS003</stp>
        <stp>[Index.xlsm]全球指數!R178C3</stp>
        <tr r="C178" s="1"/>
      </tp>
      <tp>
        <v>20.257007271556759</v>
        <stp/>
        <stp>##V3_BDPV12</stp>
        <stp>IVBX2 Index</stp>
        <stp>PE_RATIO</stp>
        <stp>[Index.xlsm]全球指數!R274C18</stp>
        <tr r="R274" s="1"/>
      </tp>
      <tp>
        <v>6661.6260000000002</v>
        <stp/>
        <stp>##V3_BDPV12</stp>
        <stp>SSE180 Index</stp>
        <stp>LOW_52WEEK</stp>
        <stp>[Index.xlsm]全球指數!R74C8</stp>
        <tr r="H74" s="1"/>
      </tp>
      <tp>
        <v>7.3633250184360328</v>
        <stp/>
        <stp>##V3_BDPV12</stp>
        <stp>BGSMDC Index</stp>
        <stp>INTERVAL_Low</stp>
        <stp>[Index.xlsm]全球指數!R257C17</stp>
        <stp>MARKET_DATA_OVERRIDE=PE_RATIO</stp>
        <stp>CALC_INTERVAL=5y</stp>
        <stp>BEST_FPERIOD_OVERRIDE=BF</stp>
        <tr r="Q257" s="1"/>
      </tp>
      <tp t="s">
        <v>法國CAC40指數</v>
        <stp/>
        <stp>##V3_BDPV12</stp>
        <stp>CAC Index</stp>
        <stp>DS697</stp>
        <stp>[Index.xlsm]全球指數!R173C2</stp>
        <tr r="B173" s="1"/>
      </tp>
      <tp t="s">
        <v>巴西 IBrX 指數</v>
        <stp/>
        <stp>##V3_BDPV12</stp>
        <stp>IBX Index</stp>
        <stp>DS697</stp>
        <stp>[Index.xlsm]全球指數!R279C2</stp>
        <tr r="B279" s="1"/>
      </tp>
      <tp>
        <v>20.872790813429329</v>
        <stp/>
        <stp>##V3_BDPV12</stp>
        <stp>S5SFTW Index</stp>
        <stp>INTERVAL_Low</stp>
        <stp>[Index.xlsm]主要產業!R5C17</stp>
        <stp>MARKET_DATA_OVERRIDE=PE_RATIO</stp>
        <stp>CALC_INTERVAL=5y</stp>
        <stp>BEST_FPERIOD_OVERRIDE=BF</stp>
        <tr r="Q5" s="2"/>
      </tp>
      <tp>
        <v>301.20999999999998</v>
        <stp/>
        <stp>##V3_BDPV12</stp>
        <stp>SXMP INDEX</stp>
        <stp>HIGH_52WEEK</stp>
        <stp>[Index.xlsm]主要產業!R35C6</stp>
        <tr r="F35" s="2"/>
      </tp>
      <tp>
        <v>117.03</v>
        <stp/>
        <stp>##V3_BDPV12</stp>
        <stp>JPM US Equity</stp>
        <stp>PX_LAST</stp>
        <stp>[Index.xlsm]主要產業!R5C24</stp>
        <tr r="X5" s="2"/>
      </tp>
      <tp>
        <v>775.57</v>
        <stp/>
        <stp>##V3_BDPV12</stp>
        <stp>SX4P INDEX</stp>
        <stp>LOW_52WEEK</stp>
        <stp>[Index.xlsm]主要產業!R27C8</stp>
        <tr r="H27" s="2"/>
      </tp>
      <tp>
        <v>1.786286</v>
        <stp/>
        <stp>##V3_BDPV12</stp>
        <stp>OMXO20GI Index</stp>
        <stp>CHG_PCT_6M</stp>
        <stp>[Index.xlsm]全球指數!R50C13</stp>
        <tr r="M50" s="1"/>
      </tp>
      <tp>
        <v>-1.9965299999999999</v>
        <stp/>
        <stp>##V3_BDPV12</stp>
        <stp>OMXO20GI Index</stp>
        <stp>CHG_PCT_5D</stp>
        <stp>[Index.xlsm]全球指數!R50C10</stp>
        <tr r="J50" s="1"/>
      </tp>
      <tp>
        <v>10.971151284637026</v>
        <stp/>
        <stp>##V3_BDPV12</stp>
        <stp>TPXL70 Index</stp>
        <stp>INTERVAL_Low</stp>
        <stp>[Index.xlsm]全球指數!R278C17</stp>
        <stp>MARKET_DATA_OVERRIDE=PE_RATIO</stp>
        <stp>CALC_INTERVAL=5y</stp>
        <stp>BEST_FPERIOD_OVERRIDE=BF</stp>
        <tr r="Q278" s="1"/>
      </tp>
      <tp>
        <v>1.776165</v>
        <stp/>
        <stp>##V3_BDPV12</stp>
        <stp>OMXO20GI Index</stp>
        <stp>CHG_PCT_3M</stp>
        <stp>[Index.xlsm]全球指數!R50C12</stp>
        <tr r="L50" s="1"/>
      </tp>
      <tp t="s">
        <v>#N/A N/A</v>
        <stp/>
        <stp>##V3_BDPV12</stp>
        <stp>IMC30 Index</stp>
        <stp>PE_RATIO</stp>
        <stp>[Index.xlsm]全球指數!R246C18</stp>
        <tr r="R246" s="1"/>
      </tp>
      <tp>
        <v>5.3698249999999996</v>
        <stp/>
        <stp>##V3_BDPV12</stp>
        <stp>OMXO20GI Index</stp>
        <stp>CHG_PCT_1M</stp>
        <stp>[Index.xlsm]全球指數!R50C11</stp>
        <tr r="K50" s="1"/>
      </tp>
      <tp>
        <v>758.44</v>
        <stp/>
        <stp>##V3_BDPV12</stp>
        <stp>BELEX15 Index</stp>
        <stp>PX_LAST</stp>
        <stp>[Index.xlsm]全球指數!R244C4</stp>
        <tr r="D244" s="1"/>
      </tp>
      <tp>
        <v>6.8730907332608489</v>
        <stp/>
        <stp>##V3_BDPV12</stp>
        <stp>XIN0I Index</stp>
        <stp>INTERVAL_Low</stp>
        <stp>[Index.xlsm]全球指數!R96C17</stp>
        <stp>MARKET_DATA_OVERRIDE=PE_RATIO</stp>
        <stp>CALC_INTERVAL=5y</stp>
        <stp>BEST_FPERIOD_OVERRIDE=BF</stp>
        <tr r="Q96" s="1"/>
      </tp>
      <tp>
        <v>13.056044388332204</v>
        <stp/>
        <stp>##V3_BDPV12</stp>
        <stp>SICOM Index</stp>
        <stp>INTERVAL_Low</stp>
        <stp>[Index.xlsm]全球指數!R15C17</stp>
        <stp>MARKET_DATA_OVERRIDE=PE_RATIO</stp>
        <stp>CALC_INTERVAL=5y</stp>
        <stp>BEST_FPERIOD_OVERRIDE=BF</stp>
        <tr r="Q15" s="1"/>
      </tp>
      <tp>
        <v>8928.67</v>
        <stp/>
        <stp>##V3_BDPV12</stp>
        <stp>HSFML25 Index</stp>
        <stp>PX_LAST</stp>
        <stp>[Index.xlsm]全球指數!R81C4</stp>
        <tr r="D81" s="1"/>
      </tp>
      <tp t="s">
        <v>BW</v>
        <stp/>
        <stp>##V3_BDPV12</stp>
        <stp>DSEX Index</stp>
        <stp>DS003</stp>
        <stp>[Index.xlsm]全球指數!R306C3</stp>
        <tr r="C306" s="1"/>
      </tp>
      <tp t="s">
        <v>德國法蘭克福CDAX綜合指數</v>
        <stp/>
        <stp>##V3_BDPV12</stp>
        <stp>CDAX Index</stp>
        <stp>DS697</stp>
        <stp>[Index.xlsm]全球指數!R82C2</stp>
        <tr r="B82" s="1"/>
      </tp>
      <tp t="s">
        <v>US</v>
        <stp/>
        <stp>##V3_BDPV12</stp>
        <stp>CBNK Index</stp>
        <stp>DS003</stp>
        <stp>[Index.xlsm]全球指數!R92C3</stp>
        <tr r="C92" s="1"/>
      </tp>
      <tp t="s">
        <v>GE</v>
        <stp/>
        <stp>##V3_BDPV12</stp>
        <stp>CDAX Index</stp>
        <stp>DS003</stp>
        <stp>[Index.xlsm]全球指數!R82C3</stp>
        <tr r="C82" s="1"/>
      </tp>
      <tp t="s">
        <v>那斯達克銀行類指數</v>
        <stp/>
        <stp>##V3_BDPV12</stp>
        <stp>CBNK Index</stp>
        <stp>DS697</stp>
        <stp>[Index.xlsm]全球指數!R92C2</stp>
        <tr r="B92" s="1"/>
      </tp>
      <tp>
        <v>-55.275649999999999</v>
        <stp/>
        <stp>##V3_BDPV12</stp>
        <stp>OSX Index</stp>
        <stp>CHG_PCT_1YR</stp>
        <stp>[Index.xlsm]全球指數!R2C15</stp>
        <tr r="O2" s="1"/>
      </tp>
      <tp>
        <v>-7.263414</v>
        <stp/>
        <stp>##V3_BDPV12</stp>
        <stp>CM100 Index</stp>
        <stp>CHG_PCT_1YR</stp>
        <stp>[Index.xlsm]全球指數!R88C15</stp>
        <tr r="O88" s="1"/>
      </tp>
      <tp>
        <v>1.5961190000000001</v>
        <stp/>
        <stp>##V3_BDPV12</stp>
        <stp>XU100 Index</stp>
        <stp>CHG_PCT_5D</stp>
        <stp>[Index.xlsm]全球指數!R298C10</stp>
        <tr r="J298" s="1"/>
      </tp>
      <tp>
        <v>1.7266170000000001</v>
        <stp/>
        <stp>##V3_BDPV12</stp>
        <stp>XU030 Index</stp>
        <stp>CHG_PCT_5D</stp>
        <stp>[Index.xlsm]全球指數!R299C10</stp>
        <tr r="J299" s="1"/>
      </tp>
      <tp>
        <v>264.58999999999997</v>
        <stp/>
        <stp>##V3_BDPV12</stp>
        <stp>BE500 Index</stp>
        <stp>HIGH_52WEEK</stp>
        <stp>[Index.xlsm]全球指數!R202C6</stp>
        <tr r="F202" s="1"/>
      </tp>
      <tp t="s">
        <v>ID</v>
        <stp/>
        <stp>##V3_BDPV12</stp>
        <stp>LQ45 Index</stp>
        <stp>DS003</stp>
        <stp>[Index.xlsm]全球指數!R204C3</stp>
        <tr r="C204" s="1"/>
      </tp>
      <tp t="s">
        <v>QA</v>
        <stp/>
        <stp>##V3_BDPV12</stp>
        <stp>DSM Index</stp>
        <stp>DS003</stp>
        <stp>[Index.xlsm]全球指數!R143C3</stp>
        <tr r="C143" s="1"/>
      </tp>
      <tp>
        <v>130.80000000000001</v>
        <stp/>
        <stp>##V3_BDPV12</stp>
        <stp>s5tels Index</stp>
        <stp>LOW_52WEEK</stp>
        <stp>[Index.xlsm]主要產業!R6C8</stp>
        <tr r="H6" s="2"/>
      </tp>
      <tp t="s">
        <v>US</v>
        <stp/>
        <stp>##V3_BDPV12</stp>
        <stp>BKX Index</stp>
        <stp>DS003</stp>
        <stp>[Index.xlsm]全球指數!R105C3</stp>
        <tr r="C105" s="1"/>
      </tp>
      <tp>
        <v>215.24</v>
        <stp/>
        <stp>##V3_BDPV12</stp>
        <stp>SXTP INDEX</stp>
        <stp>LOW_52WEEK</stp>
        <stp>[Index.xlsm]主要產業!R36C8</stp>
        <tr r="H36" s="2"/>
      </tp>
      <tp>
        <v>487.14</v>
        <stp/>
        <stp>##V3_BDPV12</stp>
        <stp>s5FDSR index</stp>
        <stp>HIGH_52WEEK</stp>
        <stp>[Index.xlsm]主要產業!R17C6</stp>
        <tr r="F17" s="2"/>
      </tp>
      <tp>
        <v>375</v>
        <stp/>
        <stp>##V3_BDPV12</stp>
        <stp>SX8P INDEX</stp>
        <stp>LOW_52WEEK</stp>
        <stp>[Index.xlsm]主要產業!R26C8</stp>
        <tr r="H26" s="2"/>
      </tp>
      <tp>
        <v>16.850627168492604</v>
        <stp/>
        <stp>##V3_BDPV12</stp>
        <stp>OMXC25 Index</stp>
        <stp>INTERVAL_Low</stp>
        <stp>[Index.xlsm]全球指數!R262C17</stp>
        <stp>MARKET_DATA_OVERRIDE=PE_RATIO</stp>
        <stp>CALC_INTERVAL=5y</stp>
        <stp>BEST_FPERIOD_OVERRIDE=BF</stp>
        <tr r="Q262" s="1"/>
      </tp>
      <tp>
        <v>11.644366540077028</v>
        <stp/>
        <stp>##V3_BDPV12</stp>
        <stp>KOSPI50 Index</stp>
        <stp>PE_RATIO</stp>
        <stp>[Index.xlsm]全球指數!R208C18</stp>
        <tr r="R208" s="1"/>
      </tp>
      <tp>
        <v>9.0551289599699682</v>
        <stp/>
        <stp>##V3_BDPV12</stp>
        <stp>TPXC30 Index</stp>
        <stp>INTERVAL_Low</stp>
        <stp>[Index.xlsm]全球指數!R266C17</stp>
        <stp>MARKET_DATA_OVERRIDE=PE_RATIO</stp>
        <stp>CALC_INTERVAL=5y</stp>
        <stp>BEST_FPERIOD_OVERRIDE=BF</stp>
        <tr r="Q266" s="1"/>
      </tp>
      <tp>
        <v>5.0308549999999999</v>
        <stp/>
        <stp>##V3_BDPV12</stp>
        <stp>SASX10 Index</stp>
        <stp>CHG_PCT_1M</stp>
        <stp>[Index.xlsm]全球指數!R293C11</stp>
        <tr r="K293" s="1"/>
      </tp>
      <tp>
        <v>16.116728066464653</v>
        <stp/>
        <stp>##V3_BDPV12</stp>
        <stp>BEL20 Index</stp>
        <stp>PE_RATIO</stp>
        <stp>[Index.xlsm]全球指數!R224C18</stp>
        <tr r="R224" s="1"/>
      </tp>
      <tp t="s">
        <v>德國法蘭克福HDAX指數</v>
        <stp/>
        <stp>##V3_BDPV12</stp>
        <stp>HDAX Index</stp>
        <stp>DS697</stp>
        <stp>[Index.xlsm]全球指數!R86C2</stp>
        <tr r="B86" s="1"/>
      </tp>
      <tp t="s">
        <v>GE</v>
        <stp/>
        <stp>##V3_BDPV12</stp>
        <stp>HDAX Index</stp>
        <stp>DS003</stp>
        <stp>[Index.xlsm]全球指數!R86C3</stp>
        <tr r="C86" s="1"/>
      </tp>
      <tp t="s">
        <v>RU</v>
        <stp/>
        <stp>##V3_BDPV12</stp>
        <stp>CRTX Index</stp>
        <stp>DS003</stp>
        <stp>[Index.xlsm]全球指數!R108C3</stp>
        <tr r="C108" s="1"/>
      </tp>
      <tp>
        <v>4566.3</v>
        <stp/>
        <stp>##V3_BDPV12</stp>
        <stp>MSM30 Index</stp>
        <stp>HIGH_52WEEK</stp>
        <stp>[Index.xlsm]全球指數!R272C6</stp>
        <tr r="F272" s="1"/>
      </tp>
      <tp>
        <v>6.6162070000000002</v>
        <stp/>
        <stp>##V3_BDPV12</stp>
        <stp>CH30 Index</stp>
        <stp>CHG_PCT_6M</stp>
        <stp>[Index.xlsm]全球指數!R157C13</stp>
        <tr r="M157" s="1"/>
      </tp>
      <tp>
        <v>5.7209349999999999</v>
        <stp/>
        <stp>##V3_BDPV12</stp>
        <stp>CN20 Index</stp>
        <stp>CHG_PCT_6M</stp>
        <stp>[Index.xlsm]全球指數!R172C13</stp>
        <tr r="M172" s="1"/>
      </tp>
      <tp>
        <v>1.407502</v>
        <stp/>
        <stp>##V3_BDPV12</stp>
        <stp>SSE50 Index</stp>
        <stp>CHG_PCT_1M</stp>
        <stp>[Index.xlsm]全球指數!R132C11</stp>
        <tr r="K132" s="1"/>
      </tp>
      <tp>
        <v>9.1343160000000001</v>
        <stp/>
        <stp>##V3_BDPV12</stp>
        <stp>AS30 Index</stp>
        <stp>CHG_PCT_6M</stp>
        <stp>[Index.xlsm]全球指數!R183C13</stp>
        <tr r="M183" s="1"/>
      </tp>
      <tp>
        <v>3.2488450000000002</v>
        <stp/>
        <stp>##V3_BDPV12</stp>
        <stp>E300 Index</stp>
        <stp>CHG_PCT_6M</stp>
        <stp>[Index.xlsm]全球指數!R213C13</stp>
        <tr r="M213" s="1"/>
      </tp>
      <tp>
        <v>3.5346039999999999</v>
        <stp/>
        <stp>##V3_BDPV12</stp>
        <stp>E100 Index</stp>
        <stp>CHG_PCT_6M</stp>
        <stp>[Index.xlsm]全球指數!R234C13</stp>
        <tr r="M234" s="1"/>
      </tp>
      <tp>
        <v>-10.148630000000001</v>
        <stp/>
        <stp>##V3_BDPV12</stp>
        <stp>DS30 Index</stp>
        <stp>CHG_PCT_6M</stp>
        <stp>[Index.xlsm]全球指數!R301C13</stp>
        <tr r="M301" s="1"/>
      </tp>
      <tp>
        <v>14582.11</v>
        <stp/>
        <stp>##V3_BDPV12</stp>
        <stp>IVBX2 Index</stp>
        <stp>HIGH_52WEEK</stp>
        <stp>[Index.xlsm]全球指數!R274C6</stp>
        <tr r="F274" s="1"/>
      </tp>
      <tp>
        <v>-0.99784669999999998</v>
        <stp/>
        <stp>##V3_BDPV12</stp>
        <stp>ES30 Index</stp>
        <stp>CHG_PCT_6M</stp>
        <stp>[Index.xlsm]全球指數!R189C13</stp>
        <tr r="M189" s="1"/>
      </tp>
      <tp>
        <v>2.900118</v>
        <stp/>
        <stp>##V3_BDPV12</stp>
        <stp>IT30 Index</stp>
        <stp>CHG_PCT_6M</stp>
        <stp>[Index.xlsm]全球指數!R114C13</stp>
        <tr r="M114" s="1"/>
      </tp>
      <tp>
        <v>5.4169099999999997</v>
        <stp/>
        <stp>##V3_BDPV12</stp>
        <stp>N100 Index</stp>
        <stp>CHG_PCT_6M</stp>
        <stp>[Index.xlsm]全球指數!R198C13</stp>
        <tr r="M198" s="1"/>
      </tp>
      <tp>
        <v>-3.1890209999999999</v>
        <stp/>
        <stp>##V3_BDPV12</stp>
        <stp>LQ45 Index</stp>
        <stp>CHG_PCT_3M</stp>
        <stp>[Index.xlsm]全球指數!R204C12</stp>
        <tr r="L204" s="1"/>
      </tp>
      <tp>
        <v>-0.8733244</v>
        <stp/>
        <stp>##V3_BDPV12</stp>
        <stp>WIG20 Index</stp>
        <stp>CHG_PCT_5D</stp>
        <stp>[Index.xlsm]全球指數!R145C10</stp>
        <tr r="J145" s="1"/>
      </tp>
      <tp>
        <v>2.3070789999999999</v>
        <stp/>
        <stp>##V3_BDPV12</stp>
        <stp>TA-35 Index</stp>
        <stp>CHG_PCT_3M</stp>
        <stp>[Index.xlsm]全球指數!R205C12</stp>
        <tr r="L205" s="1"/>
      </tp>
      <tp>
        <v>1.8674059999999999</v>
        <stp/>
        <stp>##V3_BDPV12</stp>
        <stp>SX40 Index</stp>
        <stp>CHG_PCT_6M</stp>
        <stp>[Index.xlsm]全球指數!R320C13</stp>
        <tr r="M320" s="1"/>
      </tp>
      <tp t="s">
        <v>歐盟STOXX50指數</v>
        <stp/>
        <stp>##V3_BDPV12</stp>
        <stp>SX5E Index</stp>
        <stp>DS697</stp>
        <stp>[Index.xlsm]全球指數!R184C2</stp>
        <tr r="B184" s="1"/>
      </tp>
      <tp>
        <v>4.2345750000000004</v>
        <stp/>
        <stp>##V3_BDPV12</stp>
        <stp>TW50 Index</stp>
        <stp>CHG_PCT_6M</stp>
        <stp>[Index.xlsm]全球指數!R235C13</stp>
        <tr r="M235" s="1"/>
      </tp>
      <tp>
        <v>2.1787459999999998</v>
        <stp/>
        <stp>##V3_BDPV12</stp>
        <stp>SET50 Index</stp>
        <stp>CHG_PCT_1M</stp>
        <stp>[Index.xlsm]全球指數!R233C11</stp>
        <tr r="K233" s="1"/>
      </tp>
      <tp t="s">
        <v>SP</v>
        <stp/>
        <stp>##V3_BDPV12</stp>
        <stp>ES30 Index</stp>
        <stp>DS003</stp>
        <stp>[Index.xlsm]全球指數!R189C3</stp>
        <tr r="C189" s="1"/>
      </tp>
      <tp>
        <v>875.43</v>
        <stp/>
        <stp>##V3_BDPV12</stp>
        <stp>IMC30 Index</stp>
        <stp>HIGH_52WEEK</stp>
        <stp>[Index.xlsm]全球指數!R246C6</stp>
        <tr r="F246" s="1"/>
      </tp>
      <tp>
        <v>1186.7190000000001</v>
        <stp/>
        <stp>##V3_BDPV12</stp>
        <stp>HERMES Index</stp>
        <stp>LOW_52WEEK</stp>
        <stp>[Index.xlsm]全球指數!R6C8</stp>
        <tr r="H6" s="1"/>
      </tp>
      <tp>
        <v>8.9104820716617716</v>
        <stp/>
        <stp>##V3_BDPV12</stp>
        <stp>KNSMIDX Index</stp>
        <stp>PE_RATIO</stp>
        <stp>[Index.xlsm]全球指數!R269C18</stp>
        <tr r="R269" s="1"/>
      </tp>
      <tp>
        <v>8.7013214935419967</v>
        <stp/>
        <stp>##V3_BDPV12</stp>
        <stp>SAXCME Index</stp>
        <stp>INTERVAL_Low</stp>
        <stp>[Index.xlsm]全球指數!R109C17</stp>
        <stp>MARKET_DATA_OVERRIDE=PE_RATIO</stp>
        <stp>CALC_INTERVAL=5y</stp>
        <stp>BEST_FPERIOD_OVERRIDE=BF</stp>
        <tr r="Q109" s="1"/>
      </tp>
      <tp t="s">
        <v>#N/A N/A</v>
        <stp/>
        <stp>##V3_BDPV12</stp>
        <stp>ITLMS Index</stp>
        <stp>PE_RATIO</stp>
        <stp>[Index.xlsm]全球指數!R150C18</stp>
        <tr r="R150" s="1"/>
      </tp>
      <tp>
        <v>12.511166718089697</v>
        <stp/>
        <stp>##V3_BDPV12</stp>
        <stp>COLIR Index</stp>
        <stp>PE_RATIO</stp>
        <stp>[Index.xlsm]全球指數!R267C18</stp>
        <tr r="R267" s="1"/>
      </tp>
      <tp t="s">
        <v>#N/A N/A</v>
        <stp/>
        <stp>##V3_BDPV12</stp>
        <stp>NYLID Index</stp>
        <stp>PE_RATIO</stp>
        <stp>[Index.xlsm]全球指數!R179C18</stp>
        <tr r="R179" s="1"/>
      </tp>
      <tp t="s">
        <v>GB</v>
        <stp/>
        <stp>##V3_BDPV12</stp>
        <stp>ASX Index</stp>
        <stp>DS003</stp>
        <stp>[Index.xlsm]全球指數!R209C3</stp>
        <tr r="C209" s="1"/>
      </tp>
      <tp t="s">
        <v>US</v>
        <stp/>
        <stp>##V3_BDPV12</stp>
        <stp>NYK Index</stp>
        <stp>DS003</stp>
        <stp>[Index.xlsm]全球指數!R216C3</stp>
        <tr r="C216" s="1"/>
      </tp>
      <tp t="s">
        <v>墨西哥總報酬指數</v>
        <stp/>
        <stp>##V3_BDPV12</stp>
        <stp>IRT Index</stp>
        <stp>DS697</stp>
        <stp>[Index.xlsm]全球指數!R237C2</stp>
        <tr r="B237" s="1"/>
      </tp>
      <tp t="s">
        <v>US</v>
        <stp/>
        <stp>##V3_BDPV12</stp>
        <stp>OEX Index</stp>
        <stp>DS003</stp>
        <stp>[Index.xlsm]全球指數!R117C3</stp>
        <tr r="C117" s="1"/>
      </tp>
      <tp>
        <v>26.405020094841976</v>
        <stp/>
        <stp>##V3_BDPV12</stp>
        <stp>TDXP Index</stp>
        <stp>INTERVAL_Low</stp>
        <stp>[Index.xlsm]全球指數!R22C17</stp>
        <stp>MARKET_DATA_OVERRIDE=PE_RATIO</stp>
        <stp>CALC_INTERVAL=5y</stp>
        <stp>BEST_FPERIOD_OVERRIDE=BF</stp>
        <tr r="Q22" s="1"/>
      </tp>
      <tp>
        <v>23.947300577048143</v>
        <stp/>
        <stp>##V3_BDPV12</stp>
        <stp>TSEREIT Index</stp>
        <stp>INTERVAL_Low</stp>
        <stp>[Index.xlsm]全球指數!R309C17</stp>
        <stp>MARKET_DATA_OVERRIDE=PE_RATIO</stp>
        <stp>CALC_INTERVAL=5y</stp>
        <stp>BEST_FPERIOD_OVERRIDE=BF</stp>
        <tr r="Q309" s="1"/>
      </tp>
      <tp>
        <v>12.059891714991709</v>
        <stp/>
        <stp>##V3_BDPV12</stp>
        <stp>KOSPI2 Index</stp>
        <stp>PE_RATIO</stp>
        <stp>[Index.xlsm]全球指數!R187C18</stp>
        <tr r="R187" s="1"/>
      </tp>
      <tp t="s">
        <v>#N/A N/A</v>
        <stp/>
        <stp>##V3_BDPV12</stp>
        <stp>VALUA Index</stp>
        <stp>PE_RATIO</stp>
        <stp>[Index.xlsm]全球指數!R112C18</stp>
        <tr r="R112" s="1"/>
      </tp>
      <tp t="s">
        <v>OMX哥本哈根20指數</v>
        <stp/>
        <stp>##V3_BDPV12</stp>
        <stp>KFX Index</stp>
        <stp>DS697</stp>
        <stp>[Index.xlsm]全球指數!R285C2</stp>
        <tr r="B285" s="1"/>
      </tp>
      <tp t="s">
        <v>OMX哥本哈根指數</v>
        <stp/>
        <stp>##V3_BDPV12</stp>
        <stp>KAX Index</stp>
        <stp>DS697</stp>
        <stp>[Index.xlsm]全球指數!R275C2</stp>
        <tr r="B275" s="1"/>
      </tp>
      <tp>
        <v>15.198275966222896</v>
        <stp/>
        <stp>##V3_BDPV12</stp>
        <stp>VILSE Index</stp>
        <stp>PE_RATIO</stp>
        <stp>[Index.xlsm]全球指數!R181C18</stp>
        <tr r="R181" s="1"/>
      </tp>
      <tp t="s">
        <v>US</v>
        <stp/>
        <stp>##V3_BDPV12</stp>
        <stp>MID Index</stp>
        <stp>DS003</stp>
        <stp>[Index.xlsm]全球指數!R175C3</stp>
        <tr r="C175" s="1"/>
      </tp>
      <tp>
        <v>11.322069895585422</v>
        <stp/>
        <stp>##V3_BDPV12</stp>
        <stp>COLCAP Index</stp>
        <stp>INTERVAL_Low</stp>
        <stp>[Index.xlsm]全球指數!R265C17</stp>
        <stp>MARKET_DATA_OVERRIDE=PE_RATIO</stp>
        <stp>CALC_INTERVAL=5y</stp>
        <stp>BEST_FPERIOD_OVERRIDE=BF</stp>
        <tr r="Q265" s="1"/>
      </tp>
      <tp>
        <v>6.8861627764185318</v>
        <stp/>
        <stp>##V3_BDPV12</stp>
        <stp>COLSC Index</stp>
        <stp>PE_RATIO</stp>
        <stp>[Index.xlsm]全球指數!R256C18</stp>
        <tr r="R256" s="1"/>
      </tp>
      <tp>
        <v>22.371386330157183</v>
        <stp/>
        <stp>##V3_BDPV12</stp>
        <stp>TALSE Index</stp>
        <stp>PE_RATIO</stp>
        <stp>[Index.xlsm]全球指數!R247C18</stp>
        <tr r="R247" s="1"/>
      </tp>
      <tp>
        <v>441.23</v>
        <stp/>
        <stp>##V3_BDPV12</stp>
        <stp>SXNP INDEX</stp>
        <stp>LOW_52WEEK</stp>
        <stp>[Index.xlsm]主要產業!R19C8</stp>
        <tr r="H19" s="2"/>
      </tp>
      <tp>
        <v>229.69</v>
        <stp/>
        <stp>##V3_BDPV12</stp>
        <stp>SXKP INDEX</stp>
        <stp>LOW_52WEEK</stp>
        <stp>[Index.xlsm]主要產業!R29C8</stp>
        <tr r="H29" s="2"/>
      </tp>
      <tp>
        <v>1678.277</v>
        <stp/>
        <stp>##V3_BDPV12</stp>
        <stp>RiY INDEX</stp>
        <stp>HIGH_52WEEK</stp>
        <stp>[Index.xlsm]主要產業!R8C44</stp>
        <tr r="AR8" s="2"/>
      </tp>
      <tp>
        <v>21.329826213172815</v>
        <stp/>
        <stp>##V3_BDPV12</stp>
        <stp>s5cons index</stp>
        <stp>PE_RATIO</stp>
        <stp>[Index.xlsm]主要產業!R9C18</stp>
        <tr r="R9" s="2"/>
      </tp>
      <tp>
        <v>20.417812814574685</v>
        <stp/>
        <stp>##V3_BDPV12</stp>
        <stp>s5tels Index</stp>
        <stp>PE_RATIO</stp>
        <stp>[Index.xlsm]主要產業!R6C18</stp>
        <tr r="R6" s="2"/>
      </tp>
      <tp>
        <v>367.37</v>
        <stp/>
        <stp>##V3_BDPV12</stp>
        <stp>SXEP INDEX</stp>
        <stp>HIGH_52WEEK</stp>
        <stp>[Index.xlsm]主要產業!R23C6</stp>
        <tr r="F23" s="2"/>
      </tp>
      <tp>
        <v>10155.129999999999</v>
        <stp/>
        <stp>##V3_BDPV12</stp>
        <stp>SH000912 Index</stp>
        <stp>LOW_52WEEK</stp>
        <stp>[Index.xlsm]主要產業!R50C8</stp>
        <tr r="H50" s="2"/>
      </tp>
      <tp>
        <v>-1.606954</v>
        <stp/>
        <stp>##V3_BDPV12</stp>
        <stp>SPTSXVEN Index</stp>
        <stp>CHG_PCT_5D</stp>
        <stp>[Index.xlsm]全球指數!R78C10</stp>
        <tr r="J78" s="1"/>
      </tp>
      <tp>
        <v>-8.2191010000000002</v>
        <stp/>
        <stp>##V3_BDPV12</stp>
        <stp>SPTSXVEN Index</stp>
        <stp>CHG_PCT_6M</stp>
        <stp>[Index.xlsm]全球指數!R78C13</stp>
        <tr r="M78" s="1"/>
      </tp>
      <tp>
        <v>-1.509447</v>
        <stp/>
        <stp>##V3_BDPV12</stp>
        <stp>SPTSXVEN Index</stp>
        <stp>CHG_PCT_1M</stp>
        <stp>[Index.xlsm]全球指數!R78C11</stp>
        <tr r="K78" s="1"/>
      </tp>
      <tp>
        <v>-0.89954579999999995</v>
        <stp/>
        <stp>##V3_BDPV12</stp>
        <stp>SPTSXVEN Index</stp>
        <stp>CHG_PCT_3M</stp>
        <stp>[Index.xlsm]全球指數!R78C12</stp>
        <tr r="L78" s="1"/>
      </tp>
      <tp>
        <v>2.2498119999999999</v>
        <stp/>
        <stp>##V3_BDPV12</stp>
        <stp>SBF250 Index</stp>
        <stp>CHG_PCT_3M</stp>
        <stp>[Index.xlsm]全球指數!R164C12</stp>
        <tr r="L164" s="1"/>
      </tp>
      <tp>
        <v>2.3384070000000001</v>
        <stp/>
        <stp>##V3_BDPV12</stp>
        <stp>SBF120 Index</stp>
        <stp>CHG_PCT_3M</stp>
        <stp>[Index.xlsm]全球指數!R169C12</stp>
        <tr r="L169" s="1"/>
      </tp>
      <tp>
        <v>8.1766842365537276</v>
        <stp/>
        <stp>##V3_BDPV12</stp>
        <stp>MSM30 Index</stp>
        <stp>PE_RATIO</stp>
        <stp>[Index.xlsm]全球指數!R272C18</stp>
        <tr r="R272" s="1"/>
      </tp>
      <tp>
        <v>-2.9208210000000001</v>
        <stp/>
        <stp>##V3_BDPV12</stp>
        <stp>SZ399006 Index</stp>
        <stp>CHG_PCT_1D</stp>
        <stp>[Index.xlsm]全球指數!R8C5</stp>
        <tr r="E8" s="1"/>
      </tp>
      <tp t="s">
        <v>CA</v>
        <stp/>
        <stp>##V3_BDPV12</stp>
        <stp>TXEQ Index</stp>
        <stp>DS003</stp>
        <stp>[Index.xlsm]全球指數!R193C3</stp>
        <tr r="C193" s="1"/>
      </tp>
      <tp>
        <v>68.392174751941027</v>
        <stp/>
        <stp>##V3_BDPV12</stp>
        <stp>SZ399006 Index</stp>
        <stp>PE_RATIO</stp>
        <stp>[Index.xlsm]全球指數!R8C18</stp>
        <tr r="R8" s="1"/>
      </tp>
      <tp>
        <v>11.146335445248754</v>
        <stp/>
        <stp>##V3_BDPV12</stp>
        <stp>EGX30 Index</stp>
        <stp>INTERVAL_Low</stp>
        <stp>[Index.xlsm]全球指數!R7C17</stp>
        <stp>MARKET_DATA_OVERRIDE=PE_RATIO</stp>
        <stp>CALC_INTERVAL=5y</stp>
        <stp>BEST_FPERIOD_OVERRIDE=BF</stp>
        <tr r="Q7" s="1"/>
      </tp>
      <tp>
        <v>8.8267989999999994</v>
        <stp/>
        <stp>##V3_BDPV12</stp>
        <stp>AS51 Index</stp>
        <stp>CHG_PCT_6M</stp>
        <stp>[Index.xlsm]全球指數!R182C13</stp>
        <tr r="M182" s="1"/>
      </tp>
      <tp>
        <v>-1.604806</v>
        <stp/>
        <stp>##V3_BDPV12</stp>
        <stp>SZ399330 Index</stp>
        <stp>CHG_PCT_1D</stp>
        <stp>[Index.xlsm]全球指數!R20C5</stp>
        <tr r="E20" s="1"/>
      </tp>
      <tp>
        <v>-0.57245509999999999</v>
        <stp/>
        <stp>##V3_BDPV12</stp>
        <stp>AS52 Index</stp>
        <stp>CHG_PCT_5D</stp>
        <stp>[Index.xlsm]全球指數!R185C10</stp>
        <tr r="J185" s="1"/>
      </tp>
      <tp>
        <v>-9.4402640000000009</v>
        <stp/>
        <stp>##V3_BDPV12</stp>
        <stp>HEX25 Index</stp>
        <stp>CHG_PCT_1YR</stp>
        <stp>[Index.xlsm]全球指數!R67C15</stp>
        <tr r="O67" s="1"/>
      </tp>
      <tp t="s">
        <v>道瓊STOXX50指數</v>
        <stp/>
        <stp>##V3_BDPV12</stp>
        <stp>SX5P Index</stp>
        <stp>DS697</stp>
        <stp>[Index.xlsm]全球指數!R255C2</stp>
        <tr r="B255" s="1"/>
      </tp>
      <tp t="s">
        <v>US</v>
        <stp/>
        <stp>##V3_BDPV12</stp>
        <stp>s5tels Index</stp>
        <stp>DS003</stp>
        <stp>[Index.xlsm]主要產業!R6C3</stp>
        <tr r="C6" s="2"/>
      </tp>
      <tp>
        <v>9.3500340000000008</v>
        <stp/>
        <stp>##V3_BDPV12</stp>
        <stp>AMX Index</stp>
        <stp>CHG_PCT_6M</stp>
        <stp>[Index.xlsm]全球指數!R41C13</stp>
        <tr r="M41" s="1"/>
      </tp>
      <tp>
        <v>4.1999589999999998</v>
        <stp/>
        <stp>##V3_BDPV12</stp>
        <stp>OMX Index</stp>
        <stp>CHG_PCT_6M</stp>
        <stp>[Index.xlsm]全球指數!R51C13</stp>
        <tr r="M51" s="1"/>
      </tp>
      <tp>
        <v>-0.1097451</v>
        <stp/>
        <stp>##V3_BDPV12</stp>
        <stp>SMX Index</stp>
        <stp>CHG_PCT_6M</stp>
        <stp>[Index.xlsm]全球指數!R87C13</stp>
        <tr r="M87" s="1"/>
      </tp>
      <tp>
        <v>-8.8468900000000001</v>
        <stp/>
        <stp>##V3_BDPV12</stp>
        <stp>MS190 Index</stp>
        <stp>CHG_PCT_1YR</stp>
        <stp>[Index.xlsm]全球指數!R79C15</stp>
        <tr r="O79" s="1"/>
      </tp>
      <tp>
        <v>-1.4981949999999999</v>
        <stp/>
        <stp>##V3_BDPV12</stp>
        <stp>SMX Index</stp>
        <stp>CHG_PCT_5D</stp>
        <stp>[Index.xlsm]全球指數!R87C10</stp>
        <tr r="J87" s="1"/>
      </tp>
      <tp>
        <v>-2.1392030000000002</v>
        <stp/>
        <stp>##V3_BDPV12</stp>
        <stp>AMX Index</stp>
        <stp>CHG_PCT_5D</stp>
        <stp>[Index.xlsm]全球指數!R41C10</stp>
        <tr r="J41" s="1"/>
      </tp>
      <tp>
        <v>-1.9839089999999999</v>
        <stp/>
        <stp>##V3_BDPV12</stp>
        <stp>OMX Index</stp>
        <stp>CHG_PCT_5D</stp>
        <stp>[Index.xlsm]全球指數!R51C10</stp>
        <tr r="J51" s="1"/>
      </tp>
      <tp>
        <v>0.32937650000000002</v>
        <stp/>
        <stp>##V3_BDPV12</stp>
        <stp>TSE2 Index</stp>
        <stp>CHG_PCT_5D</stp>
        <stp>[Index.xlsm]全球指數!R261C10</stp>
        <tr r="J261" s="1"/>
      </tp>
      <tp>
        <v>0.90776500000000004</v>
        <stp/>
        <stp>##V3_BDPV12</stp>
        <stp>OMX Index</stp>
        <stp>CHG_PCT_3M</stp>
        <stp>[Index.xlsm]全球指數!R51C12</stp>
        <tr r="L51" s="1"/>
      </tp>
      <tp>
        <v>4.8570970000000004</v>
        <stp/>
        <stp>##V3_BDPV12</stp>
        <stp>AMX Index</stp>
        <stp>CHG_PCT_3M</stp>
        <stp>[Index.xlsm]全球指數!R41C12</stp>
        <tr r="L41" s="1"/>
      </tp>
      <tp>
        <v>-2.563107</v>
        <stp/>
        <stp>##V3_BDPV12</stp>
        <stp>SMX Index</stp>
        <stp>CHG_PCT_3M</stp>
        <stp>[Index.xlsm]全球指數!R87C12</stp>
        <tr r="L87" s="1"/>
      </tp>
      <tp>
        <v>3.3070020000000002</v>
        <stp/>
        <stp>##V3_BDPV12</stp>
        <stp>AMX Index</stp>
        <stp>CHG_PCT_1M</stp>
        <stp>[Index.xlsm]全球指數!R41C11</stp>
        <tr r="K41" s="1"/>
      </tp>
      <tp>
        <v>6.5847350000000002</v>
        <stp/>
        <stp>##V3_BDPV12</stp>
        <stp>OMX Index</stp>
        <stp>CHG_PCT_1M</stp>
        <stp>[Index.xlsm]全球指數!R51C11</stp>
        <tr r="K51" s="1"/>
      </tp>
      <tp>
        <v>0.81229280000000004</v>
        <stp/>
        <stp>##V3_BDPV12</stp>
        <stp>SMX Index</stp>
        <stp>CHG_PCT_1M</stp>
        <stp>[Index.xlsm]全球指數!R87C11</stp>
        <tr r="K87" s="1"/>
      </tp>
      <tp>
        <v>19.531480490721023</v>
        <stp/>
        <stp>##V3_BDPV12</stp>
        <stp>MOSENEW Index</stp>
        <stp>PE_RATIO</stp>
        <stp>[Index.xlsm]全球指數!R188C18</stp>
        <tr r="R188" s="1"/>
      </tp>
      <tp>
        <v>11.764139408076883</v>
        <stp/>
        <stp>##V3_BDPV12</stp>
        <stp>DFMGI Index</stp>
        <stp>PE_RATIO</stp>
        <stp>[Index.xlsm]全球指數!R166C18</stp>
        <tr r="R166" s="1"/>
      </tp>
      <tp>
        <v>17.134856868329958</v>
        <stp/>
        <stp>##V3_BDPV12</stp>
        <stp>INMEX Index</stp>
        <stp>PE_RATIO</stp>
        <stp>[Index.xlsm]全球指數!R228C18</stp>
        <tr r="R228" s="1"/>
      </tp>
      <tp>
        <v>0.29383819999999999</v>
        <stp/>
        <stp>##V3_BDPV12</stp>
        <stp>TA-125 Index</stp>
        <stp>CHG_PCT_5D</stp>
        <stp>[Index.xlsm]全球指數!R258C10</stp>
        <tr r="J258" s="1"/>
      </tp>
      <tp>
        <v>11.398323409872278</v>
        <stp/>
        <stp>##V3_BDPV12</stp>
        <stp>BHSEASI Index</stp>
        <stp>PE_RATIO</stp>
        <stp>[Index.xlsm]全球指數!R304C18</stp>
        <tr r="R304" s="1"/>
      </tp>
      <tp t="s">
        <v>MC</v>
        <stp/>
        <stp>##V3_BDPV12</stp>
        <stp>MBI Index</stp>
        <stp>DS003</stp>
        <stp>[Index.xlsm]全球指數!R314C3</stp>
        <tr r="C314" s="1"/>
      </tp>
      <tp t="s">
        <v>ID</v>
        <stp/>
        <stp>##V3_BDPV12</stp>
        <stp>JCI Index</stp>
        <stp>DS003</stp>
        <stp>[Index.xlsm]全球指數!R223C3</stp>
        <tr r="C223" s="1"/>
      </tp>
      <tp>
        <v>14.461544022202892</v>
        <stp/>
        <stp>##V3_BDPV12</stp>
        <stp>MEXBOL Index</stp>
        <stp>INTERVAL_Low</stp>
        <stp>[Index.xlsm]全球指數!R236C17</stp>
        <stp>MARKET_DATA_OVERRIDE=PE_RATIO</stp>
        <stp>CALC_INTERVAL=5y</stp>
        <stp>BEST_FPERIOD_OVERRIDE=BF</stp>
        <tr r="Q236" s="1"/>
      </tp>
      <tp>
        <v>262.88</v>
        <stp/>
        <stp>##V3_BDPV12</stp>
        <stp>SXRP INDEX</stp>
        <stp>LOW_52WEEK</stp>
        <stp>[Index.xlsm]主要產業!R28C8</stp>
        <tr r="H28" s="2"/>
      </tp>
      <tp>
        <v>687.15</v>
        <stp/>
        <stp>##V3_BDPV12</stp>
        <stp>SXDP INDEX</stp>
        <stp>LOW_52WEEK</stp>
        <stp>[Index.xlsm]主要產業!R18C8</stp>
        <tr r="H18" s="2"/>
      </tp>
      <tp>
        <v>559.54999999999995</v>
        <stp/>
        <stp>##V3_BDPV12</stp>
        <stp>SXNP INDEX</stp>
        <stp>HIGH_52WEEK</stp>
        <stp>[Index.xlsm]主要產業!R19C6</stp>
        <tr r="F19" s="2"/>
      </tp>
      <tp>
        <v>4016.2910000000002</v>
        <stp/>
        <stp>##V3_BDPV12</stp>
        <stp>SH000911 Index</stp>
        <stp>LOW_52WEEK</stp>
        <stp>[Index.xlsm]主要產業!R51C8</stp>
        <tr r="H51" s="2"/>
      </tp>
      <tp>
        <v>-4.2323170000000001</v>
        <stp/>
        <stp>##V3_BDPV12</stp>
        <stp>FTN098 Index</stp>
        <stp>CHG_PCT_1YR</stp>
        <stp>[Index.xlsm]全球指數!R28C15</stp>
        <tr r="O28" s="1"/>
      </tp>
      <tp>
        <v>10.411659999999999</v>
        <stp/>
        <stp>##V3_BDPV12</stp>
        <stp>SASX10 Index</stp>
        <stp>CHG_PCT_3M</stp>
        <stp>[Index.xlsm]全球指數!R293C12</stp>
        <tr r="L293" s="1"/>
      </tp>
      <tp>
        <v>8.3296201978164763</v>
        <stp/>
        <stp>##V3_BDPV12</stp>
        <stp>DARSDSEI Index</stp>
        <stp>PE_RATIO</stp>
        <stp>[Index.xlsm]全球指數!R253C18</stp>
        <tr r="R253" s="1"/>
      </tp>
      <tp t="s">
        <v>富時那斯達克杜拜UAE 20指數</v>
        <stp/>
        <stp>##V3_BDPV12</stp>
        <stp>DUAE Index</stp>
        <stp>DS697</stp>
        <stp>[Index.xlsm]全球指數!R68C2</stp>
        <tr r="B68" s="1"/>
      </tp>
      <tp>
        <v>11.106234917838032</v>
        <stp/>
        <stp>##V3_BDPV12</stp>
        <stp>JOSMGNFF Index</stp>
        <stp>INTERVAL_Low</stp>
        <stp>[Index.xlsm]全球指數!R263C17</stp>
        <stp>MARKET_DATA_OVERRIDE=PE_RATIO</stp>
        <stp>CALC_INTERVAL=5y</stp>
        <stp>BEST_FPERIOD_OVERRIDE=BF</stp>
        <tr r="Q263" s="1"/>
      </tp>
      <tp t="s">
        <v>UA</v>
        <stp/>
        <stp>##V3_BDPV12</stp>
        <stp>DUAE Index</stp>
        <stp>DS003</stp>
        <stp>[Index.xlsm]全球指數!R68C3</stp>
        <tr r="C68" s="1"/>
      </tp>
      <tp t="s">
        <v>歐盟STOXX指數</v>
        <stp/>
        <stp>##V3_BDPV12</stp>
        <stp>SXXE Index</stp>
        <stp>DS697</stp>
        <stp>[Index.xlsm]全球指數!R156C2</stp>
        <tr r="B156" s="1"/>
      </tp>
      <tp t="s">
        <v>道瓊歐洲STOXX600指數</v>
        <stp/>
        <stp>##V3_BDPV12</stp>
        <stp>SXXP Index</stp>
        <stp>DS697</stp>
        <stp>[Index.xlsm]全球指數!R196C2</stp>
        <tr r="B196" s="1"/>
      </tp>
      <tp>
        <v>-0.31496669999999999</v>
        <stp/>
        <stp>##V3_BDPV12</stp>
        <stp>SSE50 Index</stp>
        <stp>CHG_PCT_3M</stp>
        <stp>[Index.xlsm]全球指數!R132C12</stp>
        <tr r="L132" s="1"/>
      </tp>
      <tp>
        <v>9.0986340000000006</v>
        <stp/>
        <stp>##V3_BDPV12</stp>
        <stp>AS52 Index</stp>
        <stp>CHG_PCT_6M</stp>
        <stp>[Index.xlsm]全球指數!R185C13</stp>
        <tr r="M185" s="1"/>
      </tp>
      <tp>
        <v>22484.400000000001</v>
        <stp/>
        <stp>##V3_BDPV12</stp>
        <stp>MERVAL Index</stp>
        <stp>LOW_52WEEK</stp>
        <stp>[Index.xlsm]全球指數!R4C8</stp>
        <tr r="H4" s="1"/>
      </tp>
      <tp>
        <v>-0.59389979999999998</v>
        <stp/>
        <stp>##V3_BDPV12</stp>
        <stp>AS51 Index</stp>
        <stp>CHG_PCT_5D</stp>
        <stp>[Index.xlsm]全球指數!R182C10</stp>
        <tr r="J182" s="1"/>
      </tp>
      <tp>
        <v>-5.5019129999999999E-2</v>
        <stp/>
        <stp>##V3_BDPV12</stp>
        <stp>LQ45 Index</stp>
        <stp>CHG_PCT_1M</stp>
        <stp>[Index.xlsm]全球指數!R204C11</stp>
        <tr r="K204" s="1"/>
      </tp>
      <tp>
        <v>4.1553000000000004</v>
        <stp/>
        <stp>##V3_BDPV12</stp>
        <stp>TA-35 Index</stp>
        <stp>CHG_PCT_1M</stp>
        <stp>[Index.xlsm]全球指數!R205C11</stp>
        <tr r="K205" s="1"/>
      </tp>
      <tp>
        <v>-4.3167809999999998</v>
        <stp/>
        <stp>##V3_BDPV12</stp>
        <stp>TSE2 Index</stp>
        <stp>CHG_PCT_6M</stp>
        <stp>[Index.xlsm]全球指數!R261C13</stp>
        <tr r="M261" s="1"/>
      </tp>
      <tp>
        <v>-5.5416699999999999</v>
        <stp/>
        <stp>##V3_BDPV12</stp>
        <stp>SET50 Index</stp>
        <stp>CHG_PCT_3M</stp>
        <stp>[Index.xlsm]全球指數!R233C12</stp>
        <tr r="L233" s="1"/>
      </tp>
      <tp t="s">
        <v>IN</v>
        <stp/>
        <stp>##V3_BDPV12</stp>
        <stp>SX40 Index</stp>
        <stp>DS003</stp>
        <stp>[Index.xlsm]全球指數!R320C3</stp>
        <tr r="C320" s="1"/>
      </tp>
      <tp t="s">
        <v>HU</v>
        <stp/>
        <stp>##V3_BDPV12</stp>
        <stp>BUX Index</stp>
        <stp>DS003</stp>
        <stp>[Index.xlsm]全球指數!R138C3</stp>
        <tr r="C138" s="1"/>
      </tp>
      <tp>
        <v>9.78739996507176</v>
        <stp/>
        <stp>##V3_BDPV12</stp>
        <stp>NSEASI Index</stp>
        <stp>INTERVAL_Low</stp>
        <stp>[Index.xlsm]全球指數!R252C17</stp>
        <stp>MARKET_DATA_OVERRIDE=PE_RATIO</stp>
        <stp>CALC_INTERVAL=5y</stp>
        <stp>BEST_FPERIOD_OVERRIDE=BF</stp>
        <tr r="Q252" s="1"/>
      </tp>
      <tp>
        <v>8.2821149999999992</v>
        <stp/>
        <stp>##V3_BDPV12</stp>
        <stp>TA-125 Index</stp>
        <stp>CHG_PCT_6M</stp>
        <stp>[Index.xlsm]全球指數!R258C13</stp>
        <tr r="M258" s="1"/>
      </tp>
      <tp>
        <v>19.308505114152599</v>
        <stp/>
        <stp>##V3_BDPV12</stp>
        <stp>MOSEMDX Index</stp>
        <stp>PE_RATIO</stp>
        <stp>[Index.xlsm]全球指數!R186C18</stp>
        <tr r="R186" s="1"/>
      </tp>
      <tp>
        <v>-3.1890209999999999</v>
        <stp/>
        <stp>##V3_BDPV12</stp>
        <stp>LQ45 Index</stp>
        <stp>PR064</stp>
        <stp>[Index.xlsm]全球指數!R204C14</stp>
        <tr r="N204" s="1"/>
      </tp>
      <tp>
        <v>-1.9317340000000001</v>
        <stp/>
        <stp>##V3_BDPV12</stp>
        <stp>SX40 Index</stp>
        <stp>PR064</stp>
        <stp>[Index.xlsm]全球指數!R320C14</stp>
        <tr r="N320" s="1"/>
      </tp>
      <tp t="s">
        <v>US</v>
        <stp/>
        <stp>##V3_BDPV12</stp>
        <stp>IXK Index</stp>
        <stp>DS003</stp>
        <stp>[Index.xlsm]全球指數!R113C3</stp>
        <tr r="C113" s="1"/>
      </tp>
      <tp t="s">
        <v>富時350指數</v>
        <stp/>
        <stp>##V3_BDPV12</stp>
        <stp>NMX Index</stp>
        <stp>DS697</stp>
        <stp>[Index.xlsm]全球指數!R212C2</stp>
        <tr r="B212" s="1"/>
      </tp>
      <tp>
        <v>10429.75</v>
        <stp/>
        <stp>##V3_BDPV12</stp>
        <stp>CS90 Index</stp>
        <stp>PX_LAST</stp>
        <stp>[Index.xlsm]全球指數!R38C4</stp>
        <tr r="D38" s="1"/>
      </tp>
      <tp>
        <v>8.0044350781694984</v>
        <stp/>
        <stp>##V3_BDPV12</stp>
        <stp>CSEALL Index</stp>
        <stp>INTERVAL_Low</stp>
        <stp>[Index.xlsm]全球指數!R174C17</stp>
        <stp>MARKET_DATA_OVERRIDE=PE_RATIO</stp>
        <stp>CALC_INTERVAL=5y</stp>
        <stp>BEST_FPERIOD_OVERRIDE=BF</stp>
        <tr r="Q174" s="1"/>
      </tp>
      <tp t="s">
        <v>日經300指數</v>
        <stp/>
        <stp>##V3_BDPV12</stp>
        <stp>NEY Index</stp>
        <stp>DS697</stp>
        <stp>[Index.xlsm]全球指數!R282C2</stp>
        <tr r="B282" s="1"/>
      </tp>
      <tp t="s">
        <v>JN</v>
        <stp/>
        <stp>##V3_BDPV12</stp>
        <stp>NKY Index</stp>
        <stp>DS003</stp>
        <stp>[Index.xlsm]全球指數!R264C3</stp>
        <tr r="C264" s="1"/>
      </tp>
      <tp>
        <v>1392.519</v>
        <stp/>
        <stp>##V3_BDPV12</stp>
        <stp>SH000915 Index</stp>
        <stp>LOW_52WEEK</stp>
        <stp>[Index.xlsm]主要產業!R52C8</stp>
        <tr r="H52" s="2"/>
      </tp>
      <tp>
        <v>2.2805010000000001</v>
        <stp/>
        <stp>##V3_BDPV12</stp>
        <stp>SX5P Index</stp>
        <stp>PR064</stp>
        <stp>[Index.xlsm]全球指數!R255C14</stp>
        <tr r="N255" s="1"/>
      </tp>
      <tp>
        <v>15.95534</v>
        <stp/>
        <stp>##V3_BDPV12</stp>
        <stp>SZ399006 Index</stp>
        <stp>CHG_PCT_1YR</stp>
        <stp>[Index.xlsm]全球指數!R8C15</stp>
        <tr r="O8" s="1"/>
      </tp>
      <tp>
        <v>4.0916759999999996</v>
        <stp/>
        <stp>##V3_BDPV12</stp>
        <stp>SBF120 Index</stp>
        <stp>CHG_PCT_1M</stp>
        <stp>[Index.xlsm]全球指數!R169C11</stp>
        <tr r="K169" s="1"/>
      </tp>
      <tp>
        <v>4.044899</v>
        <stp/>
        <stp>##V3_BDPV12</stp>
        <stp>SBF250 Index</stp>
        <stp>CHG_PCT_1M</stp>
        <stp>[Index.xlsm]全球指數!R164C11</stp>
        <tr r="K164" s="1"/>
      </tp>
      <tp>
        <v>2.6086619999999998</v>
        <stp/>
        <stp>##V3_BDPV12</stp>
        <stp>SX5E Index</stp>
        <stp>PR064</stp>
        <stp>[Index.xlsm]全球指數!R184C14</stp>
        <tr r="N184" s="1"/>
      </tp>
      <tp>
        <v>21.09785437972857</v>
        <stp/>
        <stp>##V3_BDPV12</stp>
        <stp>SPTSX60 Index</stp>
        <stp>INTERVAL_HIGH</stp>
        <stp>[Index.xlsm]全球指數!R194C16</stp>
        <stp>MARKET_DATA_OVERRIDE=PE_RATIO</stp>
        <stp>CALC_INTERVAL=5y</stp>
        <stp>BEST_FPERIOD_OVERRIDE=BF</stp>
        <tr r="P194" s="1"/>
      </tp>
      <tp>
        <v>11.071625387845371</v>
        <stp/>
        <stp>##V3_BDPV12</stp>
        <stp>BVPSBVPS Index</stp>
        <stp>INTERVAL_Low</stp>
        <stp>[Index.xlsm]全球指數!R243C17</stp>
        <stp>MARKET_DATA_OVERRIDE=PE_RATIO</stp>
        <stp>CALC_INTERVAL=5y</stp>
        <stp>BEST_FPERIOD_OVERRIDE=BF</stp>
        <tr r="Q243" s="1"/>
      </tp>
      <tp>
        <v>14.284915622146739</v>
        <stp/>
        <stp>##V3_BDPV12</stp>
        <stp>HEX25 Index</stp>
        <stp>INTERVAL_Low</stp>
        <stp>[Index.xlsm]全球指數!R67C17</stp>
        <stp>MARKET_DATA_OVERRIDE=PE_RATIO</stp>
        <stp>CALC_INTERVAL=5y</stp>
        <stp>BEST_FPERIOD_OVERRIDE=BF</stp>
        <tr r="Q67" s="1"/>
      </tp>
      <tp>
        <v>15.644398735624181</v>
        <stp/>
        <stp>##V3_BDPV12</stp>
        <stp>BWORLDEU Index</stp>
        <stp>PE_RATIO</stp>
        <stp>[Index.xlsm]全球指數!R101C18</stp>
        <tr r="R101" s="1"/>
      </tp>
      <tp>
        <v>-1.166531</v>
        <stp/>
        <stp>##V3_BDPV12</stp>
        <stp>IT30 Index</stp>
        <stp>CHG_PCT_5D</stp>
        <stp>[Index.xlsm]全球指數!R114C10</stp>
        <tr r="J114" s="1"/>
      </tp>
      <tp>
        <v>-0.43412610000000001</v>
        <stp/>
        <stp>##V3_BDPV12</stp>
        <stp>N100 Index</stp>
        <stp>CHG_PCT_5D</stp>
        <stp>[Index.xlsm]全球指數!R198C10</stp>
        <tr r="J198" s="1"/>
      </tp>
      <tp>
        <v>-0.80047190000000001</v>
        <stp/>
        <stp>##V3_BDPV12</stp>
        <stp>CH30 Index</stp>
        <stp>CHG_PCT_5D</stp>
        <stp>[Index.xlsm]全球指數!R157C10</stp>
        <tr r="J157" s="1"/>
      </tp>
      <tp>
        <v>-0.71091990000000005</v>
        <stp/>
        <stp>##V3_BDPV12</stp>
        <stp>CN20 Index</stp>
        <stp>CHG_PCT_5D</stp>
        <stp>[Index.xlsm]全球指數!R172C10</stp>
        <tr r="J172" s="1"/>
      </tp>
      <tp>
        <v>-6.9646189999999999</v>
        <stp/>
        <stp>##V3_BDPV12</stp>
        <stp>XOI Index</stp>
        <stp>CHG_PCT_6M</stp>
        <stp>[Index.xlsm]全球指數!R40C13</stp>
        <tr r="M40" s="1"/>
      </tp>
      <tp>
        <v>-0.58026909999999998</v>
        <stp/>
        <stp>##V3_BDPV12</stp>
        <stp>AS30 Index</stp>
        <stp>CHG_PCT_5D</stp>
        <stp>[Index.xlsm]全球指數!R183C10</stp>
        <tr r="J183" s="1"/>
      </tp>
      <tp>
        <v>-2.157899</v>
        <stp/>
        <stp>##V3_BDPV12</stp>
        <stp>XOI Index</stp>
        <stp>CHG_PCT_5D</stp>
        <stp>[Index.xlsm]全球指數!R40C10</stp>
        <tr r="J40" s="1"/>
      </tp>
      <tp>
        <v>-3.9471690000000001</v>
        <stp/>
        <stp>##V3_BDPV12</stp>
        <stp>XOI Index</stp>
        <stp>CHG_PCT_3M</stp>
        <stp>[Index.xlsm]全球指數!R40C12</stp>
        <tr r="L40" s="1"/>
      </tp>
      <tp>
        <v>-0.28582970000000002</v>
        <stp/>
        <stp>##V3_BDPV12</stp>
        <stp>E300 Index</stp>
        <stp>CHG_PCT_5D</stp>
        <stp>[Index.xlsm]全球指數!R213C10</stp>
        <tr r="J213" s="1"/>
      </tp>
      <tp>
        <v>-9.98748E-2</v>
        <stp/>
        <stp>##V3_BDPV12</stp>
        <stp>E100 Index</stp>
        <stp>CHG_PCT_5D</stp>
        <stp>[Index.xlsm]全球指數!R234C10</stp>
        <tr r="J234" s="1"/>
      </tp>
      <tp>
        <v>1.901896</v>
        <stp/>
        <stp>##V3_BDPV12</stp>
        <stp>DS30 Index</stp>
        <stp>CHG_PCT_5D</stp>
        <stp>[Index.xlsm]全球指數!R301C10</stp>
        <tr r="J301" s="1"/>
      </tp>
      <tp>
        <v>7.9745860000000004</v>
        <stp/>
        <stp>##V3_BDPV12</stp>
        <stp>XOI Index</stp>
        <stp>CHG_PCT_1M</stp>
        <stp>[Index.xlsm]全球指數!R40C11</stp>
        <tr r="K40" s="1"/>
      </tp>
      <tp>
        <v>-0.55662500000000004</v>
        <stp/>
        <stp>##V3_BDPV12</stp>
        <stp>ES30 Index</stp>
        <stp>CHG_PCT_5D</stp>
        <stp>[Index.xlsm]全球指數!R189C10</stp>
        <tr r="J189" s="1"/>
      </tp>
      <tp>
        <v>-6.1636920000000002</v>
        <stp/>
        <stp>##V3_BDPV12</stp>
        <stp>WIG20 Index</stp>
        <stp>CHG_PCT_6M</stp>
        <stp>[Index.xlsm]全球指數!R145C13</stp>
        <tr r="M145" s="1"/>
      </tp>
      <tp>
        <v>8.1018279999999994</v>
        <stp/>
        <stp>##V3_BDPV12</stp>
        <stp>SX40 Index</stp>
        <stp>CHG_PCT_5D</stp>
        <stp>[Index.xlsm]全球指數!R320C10</stp>
        <tr r="J320" s="1"/>
      </tp>
      <tp>
        <v>-9.0850760000000003E-2</v>
        <stp/>
        <stp>##V3_BDPV12</stp>
        <stp>TW50 Index</stp>
        <stp>CHG_PCT_5D</stp>
        <stp>[Index.xlsm]全球指數!R235C10</stp>
        <tr r="J235" s="1"/>
      </tp>
      <tp>
        <v>7.1750610852460364</v>
        <stp/>
        <stp>##V3_BDPV12</stp>
        <stp>VHINDEX Index</stp>
        <stp>INTERVAL_Low</stp>
        <stp>[Index.xlsm]全球指數!R276C17</stp>
        <stp>MARKET_DATA_OVERRIDE=PE_RATIO</stp>
        <stp>CALC_INTERVAL=5y</stp>
        <stp>BEST_FPERIOD_OVERRIDE=BF</stp>
        <tr r="Q276" s="1"/>
      </tp>
      <tp>
        <v>12.291734458951369</v>
        <stp/>
        <stp>##V3_BDPV12</stp>
        <stp>DAX Index</stp>
        <stp>INTERVAL_Low</stp>
        <stp>[Index.xlsm]全球指數!R99C17</stp>
        <stp>MARKET_DATA_OVERRIDE=PE_RATIO</stp>
        <stp>CALC_INTERVAL=5y</stp>
        <stp>BEST_FPERIOD_OVERRIDE=BF</stp>
        <tr r="Q99" s="1"/>
      </tp>
      <tp>
        <v>17.734370956754184</v>
        <stp/>
        <stp>##V3_BDPV12</stp>
        <stp>PCOMP Index</stp>
        <stp>PE_RATIO</stp>
        <stp>[Index.xlsm]全球指數!R231C18</stp>
        <tr r="R231" s="1"/>
      </tp>
      <tp>
        <v>10.073854612588981</v>
        <stp/>
        <stp>##V3_BDPV12</stp>
        <stp>SHBSHR Index</stp>
        <stp>PE_RATIO</stp>
        <stp>[Index.xlsm]全球指數!R116C18</stp>
        <tr r="R116" s="1"/>
      </tp>
      <tp>
        <v>15.117342225997362</v>
        <stp/>
        <stp>##V3_BDPV12</stp>
        <stp>SZBSHR Index</stp>
        <stp>PE_RATIO</stp>
        <stp>[Index.xlsm]全球指數!R128C18</stp>
        <tr r="R128" s="1"/>
      </tp>
      <tp>
        <v>1160.49</v>
        <stp/>
        <stp>##V3_BDPV12</stp>
        <stp>FTN098 Index</stp>
        <stp>LOW_52WEEK</stp>
        <stp>[Index.xlsm]全球指數!R28C8</stp>
        <tr r="H28" s="1"/>
      </tp>
      <tp>
        <v>0.45743595698663647</v>
        <stp/>
        <stp>##V3_BDPV12</stp>
        <stp>AMX Index</stp>
        <stp>INTERVAL_Low</stp>
        <stp>[Index.xlsm]全球指數!R41C17</stp>
        <stp>MARKET_DATA_OVERRIDE=PE_RATIO</stp>
        <stp>CALC_INTERVAL=5y</stp>
        <stp>BEST_FPERIOD_OVERRIDE=BF</stp>
        <tr r="Q41" s="1"/>
      </tp>
      <tp>
        <v>5.0988914291295941</v>
        <stp/>
        <stp>##V3_BDPV12</stp>
        <stp>AXX Index</stp>
        <stp>INTERVAL_Low</stp>
        <stp>[Index.xlsm]全球指數!R76C17</stp>
        <stp>MARKET_DATA_OVERRIDE=PE_RATIO</stp>
        <stp>CALC_INTERVAL=5y</stp>
        <stp>BEST_FPERIOD_OVERRIDE=BF</stp>
        <tr r="Q76" s="1"/>
      </tp>
      <tp>
        <v>8.5455492131175426</v>
        <stp/>
        <stp>##V3_BDPV12</stp>
        <stp>ATX Index</stp>
        <stp>INTERVAL_Low</stp>
        <stp>[Index.xlsm]全球指數!R34C17</stp>
        <stp>MARKET_DATA_OVERRIDE=PE_RATIO</stp>
        <stp>CALC_INTERVAL=5y</stp>
        <stp>BEST_FPERIOD_OVERRIDE=BF</stp>
        <tr r="Q34" s="1"/>
      </tp>
      <tp>
        <v>0.16903000000000001</v>
        <stp/>
        <stp>##V3_BDPV12</stp>
        <stp>AS51 Index</stp>
        <stp>PR064</stp>
        <stp>[Index.xlsm]全球指數!R182C14</stp>
        <tr r="N182" s="1"/>
      </tp>
      <tp>
        <v>10.794602637223873</v>
        <stp/>
        <stp>##V3_BDPV12</stp>
        <stp>VNINDEX Index</stp>
        <stp>INTERVAL_Low</stp>
        <stp>[Index.xlsm]全球指數!R177C17</stp>
        <stp>MARKET_DATA_OVERRIDE=PE_RATIO</stp>
        <stp>CALC_INTERVAL=5y</stp>
        <stp>BEST_FPERIOD_OVERRIDE=BF</stp>
        <tr r="Q177" s="1"/>
      </tp>
      <tp>
        <v>1.8336520000000001</v>
        <stp/>
        <stp>##V3_BDPV12</stp>
        <stp>TW50 Index</stp>
        <stp>PR064</stp>
        <stp>[Index.xlsm]全球指數!R235C14</stp>
        <tr r="N235" s="1"/>
      </tp>
      <tp>
        <v>0.36682629999999999</v>
        <stp/>
        <stp>##V3_BDPV12</stp>
        <stp>AS52 Index</stp>
        <stp>PR064</stp>
        <stp>[Index.xlsm]全球指數!R185C14</stp>
        <tr r="N185" s="1"/>
      </tp>
      <tp>
        <v>14.109565821007928</v>
        <stp/>
        <stp>##V3_BDPV12</stp>
        <stp>OMX Index</stp>
        <stp>INTERVAL_Low</stp>
        <stp>[Index.xlsm]全球指數!R51C17</stp>
        <stp>MARKET_DATA_OVERRIDE=PE_RATIO</stp>
        <stp>CALC_INTERVAL=5y</stp>
        <stp>BEST_FPERIOD_OVERRIDE=BF</stp>
        <tr r="Q51" s="1"/>
      </tp>
      <tp>
        <v>11.818292714356573</v>
        <stp/>
        <stp>##V3_BDPV12</stp>
        <stp>OBX Index</stp>
        <stp>INTERVAL_Low</stp>
        <stp>[Index.xlsm]全球指數!R46C17</stp>
        <stp>MARKET_DATA_OVERRIDE=PE_RATIO</stp>
        <stp>CALC_INTERVAL=5y</stp>
        <stp>BEST_FPERIOD_OVERRIDE=BF</stp>
        <tr r="Q46" s="1"/>
      </tp>
      <tp>
        <v>5.7048350736012718</v>
        <stp/>
        <stp>##V3_BDPV12</stp>
        <stp>IMOEX Index</stp>
        <stp>PE_RATIO</stp>
        <stp>[Index.xlsm]全球指數!R159C18</stp>
        <tr r="R159" s="1"/>
      </tp>
      <tp>
        <v>61.077178076076009</v>
        <stp/>
        <stp>##V3_BDPV12</stp>
        <stp>NBI Index</stp>
        <stp>INTERVAL_Low</stp>
        <stp>[Index.xlsm]全球指數!R12C17</stp>
        <stp>MARKET_DATA_OVERRIDE=PE_RATIO</stp>
        <stp>CALC_INTERVAL=5y</stp>
        <stp>BEST_FPERIOD_OVERRIDE=BF</stp>
        <tr r="Q12" s="1"/>
      </tp>
      <tp>
        <v>19.370205174142974</v>
        <stp/>
        <stp>##V3_BDPV12</stp>
        <stp>NDX Index</stp>
        <stp>INTERVAL_Low</stp>
        <stp>[Index.xlsm]全球指數!R75C17</stp>
        <stp>MARKET_DATA_OVERRIDE=PE_RATIO</stp>
        <stp>CALC_INTERVAL=5y</stp>
        <stp>BEST_FPERIOD_OVERRIDE=BF</stp>
        <tr r="Q75" s="1"/>
      </tp>
      <tp>
        <v>9.8113545853836346</v>
        <stp/>
        <stp>##V3_BDPV12</stp>
        <stp>NTX Index</stp>
        <stp>INTERVAL_Low</stp>
        <stp>[Index.xlsm]全球指數!R66C17</stp>
        <stp>MARKET_DATA_OVERRIDE=PE_RATIO</stp>
        <stp>CALC_INTERVAL=5y</stp>
        <stp>BEST_FPERIOD_OVERRIDE=BF</stp>
        <tr r="Q66" s="1"/>
      </tp>
      <tp>
        <v>0.10861542426355854</v>
        <stp/>
        <stp>##V3_BDPV12</stp>
        <stp>NYP Index</stp>
        <stp>INTERVAL_Low</stp>
        <stp>[Index.xlsm]全球指數!R83C17</stp>
        <stp>MARKET_DATA_OVERRIDE=PE_RATIO</stp>
        <stp>CALC_INTERVAL=5y</stp>
        <stp>BEST_FPERIOD_OVERRIDE=BF</stp>
        <tr r="Q83" s="1"/>
      </tp>
      <tp>
        <v>16.010878899592626</v>
        <stp/>
        <stp>##V3_BDPV12</stp>
        <stp>HEX Index</stp>
        <stp>INTERVAL_Low</stp>
        <stp>[Index.xlsm]全球指數!R91C17</stp>
        <stp>MARKET_DATA_OVERRIDE=PE_RATIO</stp>
        <stp>CALC_INTERVAL=5y</stp>
        <stp>BEST_FPERIOD_OVERRIDE=BF</stp>
        <tr r="Q91" s="1"/>
      </tp>
      <tp>
        <v>8.9401353446496312</v>
        <stp/>
        <stp>##V3_BDPV12</stp>
        <stp>HSI Index</stp>
        <stp>INTERVAL_Low</stp>
        <stp>[Index.xlsm]全球指數!R77C17</stp>
        <stp>MARKET_DATA_OVERRIDE=PE_RATIO</stp>
        <stp>CALC_INTERVAL=5y</stp>
        <stp>BEST_FPERIOD_OVERRIDE=BF</stp>
        <tr r="Q77" s="1"/>
      </tp>
      <tp>
        <v>6.6597880253550779</v>
        <stp/>
        <stp>##V3_BDPV12</stp>
        <stp>KSE Index</stp>
        <stp>INTERVAL_Low</stp>
        <stp>[Index.xlsm]全球指數!R89C17</stp>
        <stp>MARKET_DATA_OVERRIDE=PE_RATIO</stp>
        <stp>CALC_INTERVAL=5y</stp>
        <stp>BEST_FPERIOD_OVERRIDE=BF</stp>
        <tr r="Q89" s="1"/>
      </tp>
      <tp>
        <v>26.988781162693037</v>
        <stp/>
        <stp>##V3_BDPV12</stp>
        <stp>SENSEX Index</stp>
        <stp>PE_RATIO</stp>
        <stp>[Index.xlsm]全球指數!R317C18</stp>
        <tr r="R317" s="1"/>
      </tp>
      <tp>
        <v>18.220469041176838</v>
        <stp/>
        <stp>##V3_BDPV12</stp>
        <stp>BELSTK Index</stp>
        <stp>PE_RATIO</stp>
        <stp>[Index.xlsm]全球指數!R230C18</stp>
        <tr r="R230" s="1"/>
      </tp>
      <tp t="s">
        <v>US</v>
        <stp/>
        <stp>##V3_BDPV12</stp>
        <stp>NDF Index</stp>
        <stp>DS003</stp>
        <stp>[Index.xlsm]全球指數!R125C3</stp>
        <tr r="C125" s="1"/>
      </tp>
      <tp>
        <v>-0.56065670000000001</v>
        <stp/>
        <stp>##V3_BDPV12</stp>
        <stp>KRX100 Index</stp>
        <stp>PR064</stp>
        <stp>[Index.xlsm]全球指數!R197C14</stp>
        <tr r="N197" s="1"/>
      </tp>
      <tp>
        <v>19.418896160381973</v>
        <stp/>
        <stp>##V3_BDPV12</stp>
        <stp>T1X Index</stp>
        <stp>INTERVAL_Low</stp>
        <stp>[Index.xlsm]全球指數!R95C17</stp>
        <stp>MARKET_DATA_OVERRIDE=PE_RATIO</stp>
        <stp>CALC_INTERVAL=5y</stp>
        <stp>BEST_FPERIOD_OVERRIDE=BF</stp>
        <tr r="Q95" s="1"/>
      </tp>
      <tp>
        <v>9.8696656410297301</v>
        <stp/>
        <stp>##V3_BDPV12</stp>
        <stp>WBI Index</stp>
        <stp>INTERVAL_Low</stp>
        <stp>[Index.xlsm]全球指數!R63C17</stp>
        <stp>MARKET_DATA_OVERRIDE=PE_RATIO</stp>
        <stp>CALC_INTERVAL=5y</stp>
        <stp>BEST_FPERIOD_OVERRIDE=BF</stp>
        <tr r="Q63" s="1"/>
      </tp>
      <tp>
        <v>2670.53</v>
        <stp/>
        <stp>##V3_BDPV12</stp>
        <stp>N150 Index</stp>
        <stp>PX_LAST</stp>
        <stp>[Index.xlsm]全球指數!R45C4</stp>
        <tr r="D45" s="1"/>
      </tp>
      <tp t="s">
        <v>#N/A N/A</v>
        <stp/>
        <stp>##V3_BDPV12</stp>
        <stp>QIV Index</stp>
        <stp>INTERVAL_Low</stp>
        <stp>[Index.xlsm]全球指數!R65C17</stp>
        <stp>MARKET_DATA_OVERRIDE=PE_RATIO</stp>
        <stp>CALC_INTERVAL=5y</stp>
        <stp>BEST_FPERIOD_OVERRIDE=BF</stp>
        <tr r="Q65" s="1"/>
      </tp>
      <tp>
        <v>5.9864138074128324</v>
        <stp/>
        <stp>##V3_BDPV12</stp>
        <stp>COLEQTY Index</stp>
        <stp>INTERVAL_Low</stp>
        <stp>[Index.xlsm]全球指數!R268C17</stp>
        <stp>MARKET_DATA_OVERRIDE=PE_RATIO</stp>
        <stp>CALC_INTERVAL=5y</stp>
        <stp>BEST_FPERIOD_OVERRIDE=BF</stp>
        <tr r="Q268" s="1"/>
      </tp>
      <tp>
        <v>13.688657452690132</v>
        <stp/>
        <stp>##V3_BDPV12</stp>
        <stp>SBX Index</stp>
        <stp>INTERVAL_Low</stp>
        <stp>[Index.xlsm]全球指數!R58C17</stp>
        <stp>MARKET_DATA_OVERRIDE=PE_RATIO</stp>
        <stp>CALC_INTERVAL=5y</stp>
        <stp>BEST_FPERIOD_OVERRIDE=BF</stp>
        <tr r="Q58" s="1"/>
      </tp>
      <tp>
        <v>21.738826741635169</v>
        <stp/>
        <stp>##V3_BDPV12</stp>
        <stp>SMX Index</stp>
        <stp>INTERVAL_Low</stp>
        <stp>[Index.xlsm]全球指數!R87C17</stp>
        <stp>MARKET_DATA_OVERRIDE=PE_RATIO</stp>
        <stp>CALC_INTERVAL=5y</stp>
        <stp>BEST_FPERIOD_OVERRIDE=BF</stp>
        <tr r="Q87" s="1"/>
      </tp>
      <tp>
        <v>11.312193547962334</v>
        <stp/>
        <stp>##V3_BDPV12</stp>
        <stp>SAX Index</stp>
        <stp>INTERVAL_Low</stp>
        <stp>[Index.xlsm]全球指數!R56C17</stp>
        <stp>MARKET_DATA_OVERRIDE=PE_RATIO</stp>
        <stp>CALC_INTERVAL=5y</stp>
        <stp>BEST_FPERIOD_OVERRIDE=BF</stp>
        <tr r="Q56" s="1"/>
      </tp>
      <tp>
        <v>30.046516697966592</v>
        <stp/>
        <stp>##V3_BDPV12</stp>
        <stp>RTY Index</stp>
        <stp>INTERVAL_Low</stp>
        <stp>[Index.xlsm]全球指數!R62C17</stp>
        <stp>MARKET_DATA_OVERRIDE=PE_RATIO</stp>
        <stp>CALC_INTERVAL=5y</stp>
        <stp>BEST_FPERIOD_OVERRIDE=BF</stp>
        <tr r="Q62" s="1"/>
      </tp>
      <tp>
        <v>10.517044653934583</v>
        <stp/>
        <stp>##V3_BDPV12</stp>
        <stp>XOI Index</stp>
        <stp>INTERVAL_Low</stp>
        <stp>[Index.xlsm]全球指數!R40C17</stp>
        <stp>MARKET_DATA_OVERRIDE=PE_RATIO</stp>
        <stp>CALC_INTERVAL=5y</stp>
        <stp>BEST_FPERIOD_OVERRIDE=BF</stp>
        <tr r="Q40" s="1"/>
      </tp>
      <tp>
        <v>20.010223243328312</v>
        <stp/>
        <stp>##V3_BDPV12</stp>
        <stp>XAX Index</stp>
        <stp>INTERVAL_Low</stp>
        <stp>[Index.xlsm]全球指數!R39C17</stp>
        <stp>MARKET_DATA_OVERRIDE=PE_RATIO</stp>
        <stp>CALC_INTERVAL=5y</stp>
        <stp>BEST_FPERIOD_OVERRIDE=BF</stp>
        <tr r="Q39" s="1"/>
      </tp>
      <tp t="s">
        <v>富時250指數</v>
        <stp/>
        <stp>##V3_BDPV12</stp>
        <stp>MCX Index</stp>
        <stp>DS697</stp>
        <stp>[Index.xlsm]全球指數!R100C2</stp>
        <tr r="B100" s="1"/>
      </tp>
      <tp>
        <v>540.78</v>
        <stp/>
        <stp>##V3_BDPV12</stp>
        <stp>SXFP INDEX</stp>
        <stp>HIGH_52WEEK</stp>
        <stp>[Index.xlsm]主要產業!R33C6</stp>
        <tr r="F33" s="2"/>
      </tp>
      <tp>
        <v>1455.05</v>
        <stp/>
        <stp>##V3_BDPV12</stp>
        <stp>SH000908 Index</stp>
        <stp>LOW_52WEEK</stp>
        <stp>[Index.xlsm]主要產業!R53C8</stp>
        <tr r="H53" s="2"/>
      </tp>
      <tp>
        <v>5.6553019999999998</v>
        <stp/>
        <stp>##V3_BDPV12</stp>
        <stp>SBF250 Index</stp>
        <stp>CHG_PCT_6M</stp>
        <stp>[Index.xlsm]全球指數!R164C13</stp>
        <tr r="M164" s="1"/>
      </tp>
      <tp>
        <v>5.758699</v>
        <stp/>
        <stp>##V3_BDPV12</stp>
        <stp>SBF120 Index</stp>
        <stp>CHG_PCT_6M</stp>
        <stp>[Index.xlsm]全球指數!R169C13</stp>
        <tr r="M169" s="1"/>
      </tp>
      <tp>
        <v>1.377588</v>
        <stp/>
        <stp>##V3_BDPV12</stp>
        <stp>SASX10 Index</stp>
        <stp>CHG_PCT_5D</stp>
        <stp>[Index.xlsm]全球指數!R293C10</stp>
        <tr r="J293" s="1"/>
      </tp>
      <tp t="s">
        <v>#N/A N/A</v>
        <stp/>
        <stp>##V3_BDPV12</stp>
        <stp>CHILE65 Index</stp>
        <stp>PE_RATIO</stp>
        <stp>[Index.xlsm]全球指數!R165C18</stp>
        <tr r="R165" s="1"/>
      </tp>
      <tp>
        <v>4.7600866269667135</v>
        <stp/>
        <stp>##V3_BDPV12</stp>
        <stp>SWIG80 Index</stp>
        <stp>INTERVAL_Low</stp>
        <stp>[Index.xlsm]全球指數!R191C17</stp>
        <stp>MARKET_DATA_OVERRIDE=PE_RATIO</stp>
        <stp>CALC_INTERVAL=5y</stp>
        <stp>BEST_FPERIOD_OVERRIDE=BF</stp>
        <tr r="Q191" s="1"/>
      </tp>
      <tp>
        <v>7703.15</v>
        <stp/>
        <stp>##V3_BDPV12</stp>
        <stp>HSML100 Index</stp>
        <stp>PX_LAST</stp>
        <stp>[Index.xlsm]全球指數!R48C4</stp>
        <tr r="D48" s="1"/>
      </tp>
      <tp t="s">
        <v>EC</v>
        <stp/>
        <stp>##V3_BDPV12</stp>
        <stp>SXXE Index</stp>
        <stp>DS003</stp>
        <stp>[Index.xlsm]全球指數!R156C3</stp>
        <tr r="C156" s="1"/>
      </tp>
      <tp t="s">
        <v>EC</v>
        <stp/>
        <stp>##V3_BDPV12</stp>
        <stp>SXXP Index</stp>
        <stp>DS003</stp>
        <stp>[Index.xlsm]全球指數!R196C3</stp>
        <tr r="C196" s="1"/>
      </tp>
      <tp t="s">
        <v>布拉格證券交易所指數</v>
        <stp/>
        <stp>##V3_BDPV12</stp>
        <stp>PX Index</stp>
        <stp>DS697</stp>
        <stp>[Index.xlsm]全球指數!R84C2</stp>
        <tr r="B84" s="1"/>
      </tp>
      <tp t="s">
        <v>CZ</v>
        <stp/>
        <stp>##V3_BDPV12</stp>
        <stp>PX Index</stp>
        <stp>DS003</stp>
        <stp>[Index.xlsm]全球指數!R84C3</stp>
        <tr r="C84" s="1"/>
      </tp>
      <tp>
        <v>53.336317183245683</v>
        <stp/>
        <stp>##V3_BDPV12</stp>
        <stp>TSEMOTHR Index</stp>
        <stp>INTERVAL_Low</stp>
        <stp>[Index.xlsm]全球指數!R313C17</stp>
        <stp>MARKET_DATA_OVERRIDE=PE_RATIO</stp>
        <stp>CALC_INTERVAL=5y</stp>
        <stp>BEST_FPERIOD_OVERRIDE=BF</stp>
        <tr r="Q313" s="1"/>
      </tp>
      <tp>
        <v>5421.12</v>
        <stp/>
        <stp>##V3_BDPV12</stp>
        <stp>T1X Index</stp>
        <stp>HIGH_52WEEK</stp>
        <stp>[Index.xlsm]全球指數!R95C6</stp>
        <tr r="F95" s="1"/>
      </tp>
      <tp>
        <v>0.16903000000000001</v>
        <stp/>
        <stp>##V3_BDPV12</stp>
        <stp>AS51 Index</stp>
        <stp>CHG_PCT_3M</stp>
        <stp>[Index.xlsm]全球指數!R182C12</stp>
        <tr r="L182" s="1"/>
      </tp>
      <tp>
        <v>-0.97916859999999994</v>
        <stp/>
        <stp>##V3_BDPV12</stp>
        <stp>SSE50 Index</stp>
        <stp>CHG_PCT_5D</stp>
        <stp>[Index.xlsm]全球指數!R132C10</stp>
        <tr r="J132" s="1"/>
      </tp>
      <tp>
        <v>-1.969616</v>
        <stp/>
        <stp>##V3_BDPV12</stp>
        <stp>SZ399005 Index</stp>
        <stp>CHG_PCT_1D</stp>
        <stp>[Index.xlsm]全球指數!R16C5</stp>
        <tr r="E16" s="1"/>
      </tp>
      <tp>
        <v>24.238806764719662</v>
        <stp/>
        <stp>##V3_BDPV12</stp>
        <stp>SZ399005 Index</stp>
        <stp>PE_RATIO</stp>
        <stp>[Index.xlsm]全球指數!R16C18</stp>
        <tr r="R16" s="1"/>
      </tp>
      <tp>
        <v>21.032603169187887</v>
        <stp/>
        <stp>##V3_BDPV12</stp>
        <stp>SZ399330 Index</stp>
        <stp>PE_RATIO</stp>
        <stp>[Index.xlsm]全球指數!R20C18</stp>
        <tr r="R20" s="1"/>
      </tp>
      <tp t="s">
        <v>#N/A N/A</v>
        <stp/>
        <stp>##V3_BDPV12</stp>
        <stp>SZ399550 Index</stp>
        <stp>PE_RATIO</stp>
        <stp>[Index.xlsm]全球指數!R59C18</stp>
        <tr r="R59" s="1"/>
      </tp>
      <tp t="s">
        <v>Metropolitan Stock Exchange</v>
        <stp/>
        <stp>##V3_BDPV12</stp>
        <stp>SX40 Index</stp>
        <stp>DS697</stp>
        <stp>[Index.xlsm]全球指數!R320C2</stp>
        <tr r="B320" s="1"/>
      </tp>
      <tp>
        <v>3.6755840000000002</v>
        <stp/>
        <stp>##V3_BDPV12</stp>
        <stp>WIG20 Index</stp>
        <stp>CHG_PCT_1M</stp>
        <stp>[Index.xlsm]全球指數!R145C11</stp>
        <tr r="K145" s="1"/>
      </tp>
      <tp>
        <v>-0.1687516</v>
        <stp/>
        <stp>##V3_BDPV12</stp>
        <stp>SET50 Index</stp>
        <stp>CHG_PCT_5D</stp>
        <stp>[Index.xlsm]全球指數!R233C10</stp>
        <tr r="J233" s="1"/>
      </tp>
      <tp t="s">
        <v>那斯達克電腦類指數</v>
        <stp/>
        <stp>##V3_BDPV12</stp>
        <stp>IXK Index</stp>
        <stp>DS697</stp>
        <stp>[Index.xlsm]全球指數!R113C2</stp>
        <tr r="B113" s="1"/>
      </tp>
      <tp>
        <v>5.36259</v>
        <stp/>
        <stp>##V3_BDPV12</stp>
        <stp>CN20 Index</stp>
        <stp>PR064</stp>
        <stp>[Index.xlsm]全球指數!R172C14</stp>
        <tr r="N172" s="1"/>
      </tp>
      <tp>
        <v>7.1430427460795425</v>
        <stp/>
        <stp>##V3_BDPV12</stp>
        <stp>SBITOP Index</stp>
        <stp>PE_RATIO</stp>
        <stp>[Index.xlsm]全球指數!R176C18</stp>
        <tr r="R176" s="1"/>
      </tp>
      <tp t="s">
        <v>布達佩斯證交所指數</v>
        <stp/>
        <stp>##V3_BDPV12</stp>
        <stp>BUX Index</stp>
        <stp>DS697</stp>
        <stp>[Index.xlsm]全球指數!R138C2</stp>
        <tr r="B138" s="1"/>
      </tp>
      <tp>
        <v>4.7419019999999999E-2</v>
        <stp/>
        <stp>##V3_BDPV12</stp>
        <stp>MOEX10 Index</stp>
        <stp>PR064</stp>
        <stp>[Index.xlsm]全球指數!R160C14</stp>
        <tr r="N160" s="1"/>
      </tp>
      <tp>
        <v>25.479060736562076</v>
        <stp/>
        <stp>##V3_BDPV12</stp>
        <stp>TWOTCI Index</stp>
        <stp>PE_RATIO</stp>
        <stp>[Index.xlsm]全球指數!R229C18</stp>
        <tr r="R229" s="1"/>
      </tp>
      <tp>
        <v>11.55897974273304</v>
        <stp/>
        <stp>##V3_BDPV12</stp>
        <stp>PXAP Index</stp>
        <stp>INTERVAL_Low</stp>
        <stp>[Index.xlsm]全球指數!R80C17</stp>
        <stp>MARKET_DATA_OVERRIDE=PE_RATIO</stp>
        <stp>CALC_INTERVAL=5y</stp>
        <stp>BEST_FPERIOD_OVERRIDE=BF</stp>
        <tr r="Q80" s="1"/>
      </tp>
      <tp t="s">
        <v>JN</v>
        <stp/>
        <stp>##V3_BDPV12</stp>
        <stp>NEY Index</stp>
        <stp>DS003</stp>
        <stp>[Index.xlsm]全球指數!R282C3</stp>
        <tr r="C282" s="1"/>
      </tp>
      <tp>
        <v>24.24693120415294</v>
        <stp/>
        <stp>##V3_BDPV12</stp>
        <stp>MALTEX Index</stp>
        <stp>PE_RATIO</stp>
        <stp>[Index.xlsm]全球指數!R284C18</stp>
        <tr r="R284" s="1"/>
      </tp>
      <tp>
        <v>36.883594552220991</v>
        <stp/>
        <stp>##V3_BDPV12</stp>
        <stp>ITSTAR Index</stp>
        <stp>PE_RATIO</stp>
        <stp>[Index.xlsm]全球指數!R158C18</stp>
        <tr r="R158" s="1"/>
      </tp>
      <tp t="s">
        <v>日經225指數</v>
        <stp/>
        <stp>##V3_BDPV12</stp>
        <stp>NKY Index</stp>
        <stp>DS697</stp>
        <stp>[Index.xlsm]全球指數!R264C2</stp>
        <tr r="B264" s="1"/>
      </tp>
      <tp t="s">
        <v>GB</v>
        <stp/>
        <stp>##V3_BDPV12</stp>
        <stp>NMX Index</stp>
        <stp>DS003</stp>
        <stp>[Index.xlsm]全球指數!R212C3</stp>
        <tr r="C212" s="1"/>
      </tp>
      <tp>
        <v>22.424980000000001</v>
        <stp/>
        <stp>##V3_BDPV12</stp>
        <stp>MSFT US Equity</stp>
        <stp>CHG_PCT_1YR</stp>
        <stp>[Index.xlsm]主要產業!R2C35</stp>
        <tr r="AI2" s="2"/>
      </tp>
      <tp>
        <v>263.44</v>
        <stp/>
        <stp>##V3_BDPV12</stp>
        <stp>SXKP INDEX</stp>
        <stp>HIGH_52WEEK</stp>
        <stp>[Index.xlsm]主要產業!R29C6</stp>
        <tr r="F29" s="2"/>
      </tp>
      <tp>
        <v>1638.973</v>
        <stp/>
        <stp>##V3_BDPV12</stp>
        <stp>SH000909 Index</stp>
        <stp>LOW_52WEEK</stp>
        <stp>[Index.xlsm]主要產業!R54C8</stp>
        <tr r="H54" s="2"/>
      </tp>
      <tp>
        <v>13.124710159089098</v>
        <stp/>
        <stp>##V3_BDPV12</stp>
        <stp>FTEF80 Index</stp>
        <stp>INTERVAL_Low</stp>
        <stp>[Index.xlsm]全球指數!R161C17</stp>
        <stp>MARKET_DATA_OVERRIDE=PE_RATIO</stp>
        <stp>CALC_INTERVAL=5y</stp>
        <stp>BEST_FPERIOD_OVERRIDE=BF</stp>
        <tr r="Q161" s="1"/>
      </tp>
      <tp>
        <v>-2.1299679999999999</v>
        <stp/>
        <stp>##V3_BDPV12</stp>
        <stp>ATXPRIME Index</stp>
        <stp>CHG_PCT_5D</stp>
        <stp>[Index.xlsm]全球指數!R42C10</stp>
        <tr r="J42" s="1"/>
      </tp>
      <tp>
        <v>0.182119</v>
        <stp/>
        <stp>##V3_BDPV12</stp>
        <stp>KOSPI100 Index</stp>
        <stp>CHG_PCT_1D</stp>
        <stp>[Index.xlsm]全球指數!R195C5</stp>
        <tr r="E195" s="1"/>
      </tp>
      <tp>
        <v>-1.0467360000000001</v>
        <stp/>
        <stp>##V3_BDPV12</stp>
        <stp>ATXPRIME Index</stp>
        <stp>CHG_PCT_6M</stp>
        <stp>[Index.xlsm]全球指數!R42C13</stp>
        <tr r="M42" s="1"/>
      </tp>
      <tp>
        <v>3.4374479999999998</v>
        <stp/>
        <stp>##V3_BDPV12</stp>
        <stp>ATXPRIME Index</stp>
        <stp>CHG_PCT_1M</stp>
        <stp>[Index.xlsm]全球指數!R42C11</stp>
        <tr r="K42" s="1"/>
      </tp>
      <tp>
        <v>1.673996</v>
        <stp/>
        <stp>##V3_BDPV12</stp>
        <stp>ATXPRIME Index</stp>
        <stp>CHG_PCT_3M</stp>
        <stp>[Index.xlsm]全球指數!R42C12</stp>
        <tr r="L42" s="1"/>
      </tp>
      <tp>
        <v>1904.98</v>
        <stp/>
        <stp>##V3_BDPV12</stp>
        <stp>TPXL70 Index</stp>
        <stp>HIGH_52WEEK</stp>
        <stp>[Index.xlsm]全球指數!R278C6</stp>
        <tr r="F278" s="1"/>
      </tp>
      <tp t="s">
        <v>葡萄牙PSI全股指數總報酬</v>
        <stp/>
        <stp>##V3_BDPV12</stp>
        <stp>BVLX Index</stp>
        <stp>DS697</stp>
        <stp>[Index.xlsm]全球指數!R69C2</stp>
        <tr r="B69" s="1"/>
      </tp>
      <tp t="s">
        <v>FR</v>
        <stp/>
        <stp>##V3_BDPV12</stp>
        <stp>CS90 Index</stp>
        <stp>DS003</stp>
        <stp>[Index.xlsm]全球指數!R38C3</stp>
        <tr r="C38" s="1"/>
      </tp>
      <tp t="s">
        <v>法國CAC 90小型股指數</v>
        <stp/>
        <stp>##V3_BDPV12</stp>
        <stp>CS90 Index</stp>
        <stp>DS697</stp>
        <stp>[Index.xlsm]全球指數!R38C2</stp>
        <tr r="B38" s="1"/>
      </tp>
      <tp t="s">
        <v>PO</v>
        <stp/>
        <stp>##V3_BDPV12</stp>
        <stp>BVLX Index</stp>
        <stp>DS003</stp>
        <stp>[Index.xlsm]全球指數!R69C3</stp>
        <tr r="C69" s="1"/>
      </tp>
      <tp>
        <v>23.874900613934983</v>
        <stp/>
        <stp>##V3_BDPV12</stp>
        <stp>TPXM400 Index</stp>
        <stp>INTERVAL_HIGH</stp>
        <stp>[Index.xlsm]全球指數!R294C16</stp>
        <stp>MARKET_DATA_OVERRIDE=PE_RATIO</stp>
        <stp>CALC_INTERVAL=5y</stp>
        <stp>BEST_FPERIOD_OVERRIDE=BF</stp>
        <tr r="P294" s="1"/>
      </tp>
      <tp t="s">
        <v>OMX赫爾辛基Cap指數</v>
        <stp/>
        <stp>##V3_BDPV12</stp>
        <stp>HEXP Index</stp>
        <stp>DS697</stp>
        <stp>[Index.xlsm]全球指數!R93C2</stp>
        <tr r="B93" s="1"/>
      </tp>
      <tp t="s">
        <v>FI</v>
        <stp/>
        <stp>##V3_BDPV12</stp>
        <stp>HEXP Index</stp>
        <stp>DS003</stp>
        <stp>[Index.xlsm]全球指數!R93C3</stp>
        <tr r="C93" s="1"/>
      </tp>
      <tp>
        <v>19.59946772931157</v>
        <stp/>
        <stp>##V3_BDPV12</stp>
        <stp>JPNK400 Index</stp>
        <stp>INTERVAL_HIGH</stp>
        <stp>[Index.xlsm]全球指數!R286C16</stp>
        <stp>MARKET_DATA_OVERRIDE=PE_RATIO</stp>
        <stp>CALC_INTERVAL=5y</stp>
        <stp>BEST_FPERIOD_OVERRIDE=BF</stp>
        <tr r="P286" s="1"/>
      </tp>
      <tp t="s">
        <v>EC</v>
        <stp/>
        <stp>##V3_BDPV12</stp>
        <stp>N150 Index</stp>
        <stp>DS003</stp>
        <stp>[Index.xlsm]全球指數!R45C3</stp>
        <tr r="C45" s="1"/>
      </tp>
      <tp>
        <v>1.312022</v>
        <stp/>
        <stp>##V3_BDPV12</stp>
        <stp>CH30 Index</stp>
        <stp>CHG_PCT_3M</stp>
        <stp>[Index.xlsm]全球指數!R157C12</stp>
        <tr r="L157" s="1"/>
      </tp>
      <tp>
        <v>5.36259</v>
        <stp/>
        <stp>##V3_BDPV12</stp>
        <stp>CN20 Index</stp>
        <stp>CHG_PCT_3M</stp>
        <stp>[Index.xlsm]全球指數!R172C12</stp>
        <tr r="L172" s="1"/>
      </tp>
      <tp>
        <v>3.2332139999999998</v>
        <stp/>
        <stp>##V3_BDPV12</stp>
        <stp>AS52 Index</stp>
        <stp>CHG_PCT_1M</stp>
        <stp>[Index.xlsm]全球指數!R185C11</stp>
        <tr r="K185" s="1"/>
      </tp>
      <tp>
        <v>0.63114400000000004</v>
        <stp/>
        <stp>##V3_BDPV12</stp>
        <stp>AS30 Index</stp>
        <stp>CHG_PCT_3M</stp>
        <stp>[Index.xlsm]全球指數!R183C12</stp>
        <tr r="L183" s="1"/>
      </tp>
      <tp>
        <v>1.9608639999999999</v>
        <stp/>
        <stp>##V3_BDPV12</stp>
        <stp>E300 Index</stp>
        <stp>CHG_PCT_3M</stp>
        <stp>[Index.xlsm]全球指數!R213C12</stp>
        <tr r="L213" s="1"/>
      </tp>
      <tp>
        <v>1.855459</v>
        <stp/>
        <stp>##V3_BDPV12</stp>
        <stp>E100 Index</stp>
        <stp>CHG_PCT_3M</stp>
        <stp>[Index.xlsm]全球指數!R234C12</stp>
        <tr r="L234" s="1"/>
      </tp>
      <tp>
        <v>-8.1023060000000005</v>
        <stp/>
        <stp>##V3_BDPV12</stp>
        <stp>DS30 Index</stp>
        <stp>CHG_PCT_3M</stp>
        <stp>[Index.xlsm]全球指數!R301C12</stp>
        <tr r="L301" s="1"/>
      </tp>
      <tp t="s">
        <v>泛歐證券交易所 150 指數</v>
        <stp/>
        <stp>##V3_BDPV12</stp>
        <stp>N150 Index</stp>
        <stp>DS697</stp>
        <stp>[Index.xlsm]全球指數!R45C2</stp>
        <tr r="B45" s="1"/>
      </tp>
      <tp>
        <v>-0.36996390000000001</v>
        <stp/>
        <stp>##V3_BDPV12</stp>
        <stp>ES30 Index</stp>
        <stp>CHG_PCT_3M</stp>
        <stp>[Index.xlsm]全球指數!R189C12</stp>
        <tr r="L189" s="1"/>
      </tp>
      <tp>
        <v>3.4595859999999998</v>
        <stp/>
        <stp>##V3_BDPV12</stp>
        <stp>IT30 Index</stp>
        <stp>CHG_PCT_3M</stp>
        <stp>[Index.xlsm]全球指數!R114C12</stp>
        <tr r="L114" s="1"/>
      </tp>
      <tp>
        <v>2.5442900000000002</v>
        <stp/>
        <stp>##V3_BDPV12</stp>
        <stp>N100 Index</stp>
        <stp>CHG_PCT_3M</stp>
        <stp>[Index.xlsm]全球指數!R198C12</stp>
        <tr r="L198" s="1"/>
      </tp>
      <tp>
        <v>-3.0969449999999998</v>
        <stp/>
        <stp>##V3_BDPV12</stp>
        <stp>LQ45 Index</stp>
        <stp>CHG_PCT_6M</stp>
        <stp>[Index.xlsm]全球指數!R204C13</stp>
        <tr r="M204" s="1"/>
      </tp>
      <tp>
        <v>2.6116320000000002</v>
        <stp/>
        <stp>##V3_BDPV12</stp>
        <stp>QIV Index</stp>
        <stp>CHG_PCT_1M</stp>
        <stp>[Index.xlsm]全球指數!R65C11</stp>
        <tr r="K65" s="1"/>
      </tp>
      <tp>
        <v>4.6769860000000003</v>
        <stp/>
        <stp>##V3_BDPV12</stp>
        <stp>TA-35 Index</stp>
        <stp>CHG_PCT_6M</stp>
        <stp>[Index.xlsm]全球指數!R205C13</stp>
        <tr r="M205" s="1"/>
      </tp>
      <tp>
        <v>1.332166</v>
        <stp/>
        <stp>##V3_BDPV12</stp>
        <stp>QIV Index</stp>
        <stp>CHG_PCT_3M</stp>
        <stp>[Index.xlsm]全球指數!R65C12</stp>
        <tr r="L65" s="1"/>
      </tp>
      <tp>
        <v>-1.9317340000000001</v>
        <stp/>
        <stp>##V3_BDPV12</stp>
        <stp>SX40 Index</stp>
        <stp>CHG_PCT_3M</stp>
        <stp>[Index.xlsm]全球指數!R320C12</stp>
        <tr r="L320" s="1"/>
      </tp>
      <tp>
        <v>1.8336520000000001</v>
        <stp/>
        <stp>##V3_BDPV12</stp>
        <stp>TW50 Index</stp>
        <stp>CHG_PCT_3M</stp>
        <stp>[Index.xlsm]全球指數!R235C12</stp>
        <tr r="L235" s="1"/>
      </tp>
      <tp>
        <v>-1.7658579999999999</v>
        <stp/>
        <stp>##V3_BDPV12</stp>
        <stp>QIV Index</stp>
        <stp>CHG_PCT_5D</stp>
        <stp>[Index.xlsm]全球指數!R65C10</stp>
        <tr r="J65" s="1"/>
      </tp>
      <tp>
        <v>3.4190200000000002</v>
        <stp/>
        <stp>##V3_BDPV12</stp>
        <stp>TSE2 Index</stp>
        <stp>CHG_PCT_1M</stp>
        <stp>[Index.xlsm]全球指數!R261C11</stp>
        <tr r="K261" s="1"/>
      </tp>
      <tp>
        <v>6.2675939999999999</v>
        <stp/>
        <stp>##V3_BDPV12</stp>
        <stp>QIV Index</stp>
        <stp>CHG_PCT_6M</stp>
        <stp>[Index.xlsm]全球指數!R65C13</stp>
        <tr r="M65" s="1"/>
      </tp>
      <tp>
        <v>4.2791930000000002</v>
        <stp/>
        <stp>##V3_BDPV12</stp>
        <stp>TA-125 Index</stp>
        <stp>CHG_PCT_1M</stp>
        <stp>[Index.xlsm]全球指數!R258C11</stp>
        <tr r="K258" s="1"/>
      </tp>
      <tp>
        <v>2965.41</v>
        <stp/>
        <stp>##V3_BDPV12</stp>
        <stp>HSHK35 Index</stp>
        <stp>PX_LAST</stp>
        <stp>[Index.xlsm]全球指數!R73C4</stp>
        <tr r="D73" s="1"/>
      </tp>
      <tp t="s">
        <v>#N/A N/A</v>
        <stp/>
        <stp>##V3_BDPV12</stp>
        <stp>NYIID Index</stp>
        <stp>PE_RATIO</stp>
        <stp>[Index.xlsm]全球指數!R227C18</stp>
        <tr r="R227" s="1"/>
      </tp>
      <tp>
        <v>-0.36996390000000001</v>
        <stp/>
        <stp>##V3_BDPV12</stp>
        <stp>ES30 Index</stp>
        <stp>PR064</stp>
        <stp>[Index.xlsm]全球指數!R189C14</stp>
        <tr r="N189" s="1"/>
      </tp>
      <tp>
        <v>0.63114400000000004</v>
        <stp/>
        <stp>##V3_BDPV12</stp>
        <stp>AS30 Index</stp>
        <stp>PR064</stp>
        <stp>[Index.xlsm]全球指數!R183C14</stp>
        <tr r="N183" s="1"/>
      </tp>
      <tp>
        <v>3.4595859999999998</v>
        <stp/>
        <stp>##V3_BDPV12</stp>
        <stp>IT30 Index</stp>
        <stp>PR064</stp>
        <stp>[Index.xlsm]全球指數!R114C14</stp>
        <tr r="N114" s="1"/>
      </tp>
      <tp>
        <v>1.312022</v>
        <stp/>
        <stp>##V3_BDPV12</stp>
        <stp>CH30 Index</stp>
        <stp>PR064</stp>
        <stp>[Index.xlsm]全球指數!R157C14</stp>
        <tr r="N157" s="1"/>
      </tp>
      <tp>
        <v>31433.89</v>
        <stp/>
        <stp>##V3_BDPV12</stp>
        <stp>KSE100 Index</stp>
        <stp>PX_LAST</stp>
        <stp>[Index.xlsm]全球指數!R33C4</stp>
        <tr r="D33" s="1"/>
      </tp>
      <tp>
        <v>-8.1023060000000005</v>
        <stp/>
        <stp>##V3_BDPV12</stp>
        <stp>DS30 Index</stp>
        <stp>PR064</stp>
        <stp>[Index.xlsm]全球指數!R301C14</stp>
        <tr r="N301" s="1"/>
      </tp>
      <tp>
        <v>3.2600229999999999</v>
        <stp/>
        <stp>##V3_BDPV12</stp>
        <stp>OMXC25 Index</stp>
        <stp>PR064</stp>
        <stp>[Index.xlsm]全球指數!R262C14</stp>
        <tr r="N262" s="1"/>
      </tp>
      <tp t="s">
        <v>GB</v>
        <stp/>
        <stp>##V3_BDPV12</stp>
        <stp>MCX Index</stp>
        <stp>DS003</stp>
        <stp>[Index.xlsm]全球指數!R100C3</stp>
        <tr r="C100" s="1"/>
      </tp>
      <tp>
        <v>18.53269823180608</v>
        <stp/>
        <stp>##V3_BDPV12</stp>
        <stp>SPEURO Index</stp>
        <stp>PE_RATIO</stp>
        <stp>[Index.xlsm]全球指數!R201C18</stp>
        <tr r="R201" s="1"/>
      </tp>
      <tp t="s">
        <v>那斯達克金融類指數</v>
        <stp/>
        <stp>##V3_BDPV12</stp>
        <stp>NDF Index</stp>
        <stp>DS697</stp>
        <stp>[Index.xlsm]全球指數!R125C2</stp>
        <tr r="B125" s="1"/>
      </tp>
      <tp>
        <v>13.86670208447647</v>
        <stp/>
        <stp>##V3_BDPV12</stp>
        <stp>FTEFC1 Index</stp>
        <stp>INTERVAL_Low</stp>
        <stp>[Index.xlsm]全球指數!R214C17</stp>
        <stp>MARKET_DATA_OVERRIDE=PE_RATIO</stp>
        <stp>CALC_INTERVAL=5y</stp>
        <stp>BEST_FPERIOD_OVERRIDE=BF</stp>
        <tr r="Q214" s="1"/>
      </tp>
      <tp>
        <v>29.401156881692405</v>
        <stp/>
        <stp>##V3_BDPV12</stp>
        <stp>BSE500 Index</stp>
        <stp>INTERVAL_HIGH</stp>
        <stp>[Index.xlsm]全球指數!R315C16</stp>
        <stp>MARKET_DATA_OVERRIDE=PE_RATIO</stp>
        <stp>CALC_INTERVAL=5y</stp>
        <stp>BEST_FPERIOD_OVERRIDE=BF</stp>
        <tr r="P315" s="1"/>
      </tp>
      <tp>
        <v>28.807248343081703</v>
        <stp/>
        <stp>##V3_BDPV12</stp>
        <stp>BSE200 Index</stp>
        <stp>INTERVAL_HIGH</stp>
        <stp>[Index.xlsm]全球指數!R316C16</stp>
        <stp>MARKET_DATA_OVERRIDE=PE_RATIO</stp>
        <stp>CALC_INTERVAL=5y</stp>
        <stp>BEST_FPERIOD_OVERRIDE=BF</stp>
        <tr r="P316" s="1"/>
      </tp>
      <tp>
        <v>27.721099723795867</v>
        <stp/>
        <stp>##V3_BDPV12</stp>
        <stp>BSE100 Index</stp>
        <stp>INTERVAL_HIGH</stp>
        <stp>[Index.xlsm]全球指數!R318C16</stp>
        <stp>MARKET_DATA_OVERRIDE=PE_RATIO</stp>
        <stp>CALC_INTERVAL=5y</stp>
        <stp>BEST_FPERIOD_OVERRIDE=BF</stp>
        <tr r="P318" s="1"/>
      </tp>
      <tp>
        <v>1296.9749999999999</v>
        <stp/>
        <stp>##V3_BDPV12</stp>
        <stp>GOOGL US Equity</stp>
        <stp>HIGH_52WEEK</stp>
        <stp>[Index.xlsm]主要產業!R7C26</stp>
        <tr r="Z7" s="2"/>
      </tp>
      <tp>
        <v>7257.8890000000001</v>
        <stp/>
        <stp>##V3_BDPV12</stp>
        <stp>SH000913 Index</stp>
        <stp>LOW_52WEEK</stp>
        <stp>[Index.xlsm]主要產業!R55C8</stp>
        <tr r="H55" s="2"/>
      </tp>
      <tp>
        <v>17.81883666957857</v>
        <stp/>
        <stp>##V3_BDPV12</stp>
        <stp>NZSE10 Index</stp>
        <stp>INTERVAL_Low</stp>
        <stp>[Index.xlsm]全球指數!R249C17</stp>
        <stp>MARKET_DATA_OVERRIDE=PE_RATIO</stp>
        <stp>CALC_INTERVAL=5y</stp>
        <stp>BEST_FPERIOD_OVERRIDE=BF</stp>
        <tr r="Q249" s="1"/>
      </tp>
      <tp>
        <v>12224.08</v>
        <stp/>
        <stp>##V3_BDPV12</stp>
        <stp>BSE100 Index</stp>
        <stp>HIGH_52WEEK</stp>
        <stp>[Index.xlsm]全球指數!R318C6</stp>
        <tr r="F318" s="1"/>
      </tp>
      <tp t="s">
        <v>法國CAC 190中小型股指數</v>
        <stp/>
        <stp>##V3_BDPV12</stp>
        <stp>MS190 Index</stp>
        <stp>DS697</stp>
        <stp>[Index.xlsm]全球指數!R79C2</stp>
        <tr r="B79" s="1"/>
      </tp>
      <tp t="s">
        <v>FR</v>
        <stp/>
        <stp>##V3_BDPV12</stp>
        <stp>MS190 Index</stp>
        <stp>DS003</stp>
        <stp>[Index.xlsm]全球指數!R79C3</stp>
        <tr r="C79" s="1"/>
      </tp>
      <tp t="s">
        <v>LO</v>
        <stp/>
        <stp>##V3_BDPV12</stp>
        <stp>LSXC Index</stp>
        <stp>DS003</stp>
        <stp>[Index.xlsm]全球指數!R14C3</stp>
        <tr r="C14" s="1"/>
      </tp>
      <tp t="s">
        <v>HK</v>
        <stp/>
        <stp>##V3_BDPV12</stp>
        <stp>HSCI Index</stp>
        <stp>DS003</stp>
        <stp>[Index.xlsm]全球指數!R60C3</stp>
        <tr r="C60" s="1"/>
      </tp>
      <tp t="s">
        <v>寮國證券交易所綜合指數</v>
        <stp/>
        <stp>##V3_BDPV12</stp>
        <stp>LSXC Index</stp>
        <stp>DS697</stp>
        <stp>[Index.xlsm]全球指數!R14C2</stp>
        <tr r="B14" s="1"/>
      </tp>
      <tp t="s">
        <v>恆生綜合指數</v>
        <stp/>
        <stp>##V3_BDPV12</stp>
        <stp>HSCI Index</stp>
        <stp>DS697</stp>
        <stp>[Index.xlsm]全球指數!R60C2</stp>
        <tr r="B60" s="1"/>
      </tp>
      <tp t="s">
        <v>NO</v>
        <stp/>
        <stp>##V3_BDPV12</stp>
        <stp>OBXP Index</stp>
        <stp>DS003</stp>
        <stp>[Index.xlsm]全球指數!R47C3</stp>
        <tr r="C47" s="1"/>
      </tp>
      <tp t="s">
        <v>德國法蘭克福DAX中型股指數</v>
        <stp/>
        <stp>##V3_BDPV12</stp>
        <stp>MDAX Index</stp>
        <stp>DS697</stp>
        <stp>[Index.xlsm]全球指數!R85C2</stp>
        <tr r="B85" s="1"/>
      </tp>
      <tp t="s">
        <v>俄羅斯 RTX 藍籌股指數</v>
        <stp/>
        <stp>##V3_BDPV12</stp>
        <stp>CRTX Index</stp>
        <stp>DS697</stp>
        <stp>[Index.xlsm]全球指數!R108C2</stp>
        <tr r="B108" s="1"/>
      </tp>
      <tp t="s">
        <v>挪威奧斯陸OBX價格指數</v>
        <stp/>
        <stp>##V3_BDPV12</stp>
        <stp>OBXP Index</stp>
        <stp>DS697</stp>
        <stp>[Index.xlsm]全球指數!R47C2</stp>
        <tr r="B47" s="1"/>
      </tp>
      <tp t="s">
        <v>GE</v>
        <stp/>
        <stp>##V3_BDPV12</stp>
        <stp>MDAX Index</stp>
        <stp>DS003</stp>
        <stp>[Index.xlsm]全球指數!R85C3</stp>
        <tr r="C85" s="1"/>
      </tp>
      <tp>
        <v>3.1889720000000001</v>
        <stp/>
        <stp>##V3_BDPV12</stp>
        <stp>AS51 Index</stp>
        <stp>CHG_PCT_1M</stp>
        <stp>[Index.xlsm]全球指數!R182C11</stp>
        <tr r="K182" s="1"/>
      </tp>
      <tp>
        <v>-0.37392969999999998</v>
        <stp/>
        <stp>##V3_BDPV12</stp>
        <stp>LQ45 Index</stp>
        <stp>CHG_PCT_5D</stp>
        <stp>[Index.xlsm]全球指數!R204C10</stp>
        <tr r="J204" s="1"/>
      </tp>
      <tp>
        <v>753.81510000000003</v>
        <stp/>
        <stp>##V3_BDPV12</stp>
        <stp>OMXO20GI Index</stp>
        <stp>LOW_52WEEK</stp>
        <stp>[Index.xlsm]全球指數!R50C8</stp>
        <tr r="H50" s="1"/>
      </tp>
      <tp>
        <v>17613.5390625</v>
        <stp/>
        <stp>##V3_BDPV12</stp>
        <stp>IBX50 Index</stp>
        <stp>HIGH_52WEEK</stp>
        <stp>[Index.xlsm]全球指數!R290C6</stp>
        <tr r="F290" s="1"/>
      </tp>
      <tp t="s">
        <v>道瓊西班牙Titans30指數</v>
        <stp/>
        <stp>##V3_BDPV12</stp>
        <stp>ES30 Index</stp>
        <stp>DS697</stp>
        <stp>[Index.xlsm]全球指數!R189C2</stp>
        <tr r="B189" s="1"/>
      </tp>
      <tp>
        <v>-6.965776</v>
        <stp/>
        <stp>##V3_BDPV12</stp>
        <stp>WIG20 Index</stp>
        <stp>CHG_PCT_3M</stp>
        <stp>[Index.xlsm]全球指數!R145C12</stp>
        <tr r="L145" s="1"/>
      </tp>
      <tp>
        <v>-0.37064619999999998</v>
        <stp/>
        <stp>##V3_BDPV12</stp>
        <stp>TA-35 Index</stp>
        <stp>CHG_PCT_5D</stp>
        <stp>[Index.xlsm]全球指數!R205C10</stp>
        <tr r="J205" s="1"/>
      </tp>
      <tp t="s">
        <v>EC</v>
        <stp/>
        <stp>##V3_BDPV12</stp>
        <stp>SX5E Index</stp>
        <stp>DS003</stp>
        <stp>[Index.xlsm]全球指數!R184C3</stp>
        <tr r="C184" s="1"/>
      </tp>
      <tp>
        <v>13.710754797680798</v>
        <stp/>
        <stp>##V3_BDPV12</stp>
        <stp>NKYJQ Index</stp>
        <stp>INTERVAL_Low</stp>
        <stp>[Index.xlsm]全球指數!R292C17</stp>
        <stp>MARKET_DATA_OVERRIDE=PE_RATIO</stp>
        <stp>CALC_INTERVAL=5y</stp>
        <stp>BEST_FPERIOD_OVERRIDE=BF</stp>
        <tr r="Q292" s="1"/>
      </tp>
      <tp t="s">
        <v>#N/A N/A</v>
        <stp/>
        <stp>##V3_BDPV12</stp>
        <stp>NYYID Index</stp>
        <stp>INTERVAL_Low</stp>
        <stp>[Index.xlsm]全球指數!R190C17</stp>
        <stp>MARKET_DATA_OVERRIDE=PE_RATIO</stp>
        <stp>CALC_INTERVAL=5y</stp>
        <stp>BEST_FPERIOD_OVERRIDE=BF</stp>
        <tr r="Q190" s="1"/>
      </tp>
      <tp t="s">
        <v>紐約證交所金融類指數</v>
        <stp/>
        <stp>##V3_BDPV12</stp>
        <stp>NYK Index</stp>
        <stp>DS697</stp>
        <stp>[Index.xlsm]全球指數!R216C2</stp>
        <tr r="B216" s="1"/>
      </tp>
      <tp>
        <v>13.448327360736767</v>
        <stp/>
        <stp>##V3_BDPV12</stp>
        <stp>KWSEPM Index</stp>
        <stp>INTERVAL_Low</stp>
        <stp>[Index.xlsm]全球指數!R311C17</stp>
        <stp>MARKET_DATA_OVERRIDE=PE_RATIO</stp>
        <stp>CALC_INTERVAL=5y</stp>
        <stp>BEST_FPERIOD_OVERRIDE=BF</stp>
        <tr r="Q311" s="1"/>
      </tp>
      <tp>
        <v>2.5442900000000002</v>
        <stp/>
        <stp>##V3_BDPV12</stp>
        <stp>N100 Index</stp>
        <stp>PR064</stp>
        <stp>[Index.xlsm]全球指數!R198C14</stp>
        <tr r="N198" s="1"/>
      </tp>
      <tp t="s">
        <v>MX</v>
        <stp/>
        <stp>##V3_BDPV12</stp>
        <stp>IRT Index</stp>
        <stp>DS003</stp>
        <stp>[Index.xlsm]全球指數!R237C3</stp>
        <tr r="C237" s="1"/>
      </tp>
      <tp>
        <v>1.9608639999999999</v>
        <stp/>
        <stp>##V3_BDPV12</stp>
        <stp>E300 Index</stp>
        <stp>PR064</stp>
        <stp>[Index.xlsm]全球指數!R213C14</stp>
        <tr r="N213" s="1"/>
      </tp>
      <tp>
        <v>1.855459</v>
        <stp/>
        <stp>##V3_BDPV12</stp>
        <stp>E100 Index</stp>
        <stp>PR064</stp>
        <stp>[Index.xlsm]全球指數!R234C14</stp>
        <tr r="N234" s="1"/>
      </tp>
      <tp>
        <v>5.5018840000000004</v>
        <stp/>
        <stp>##V3_BDPV12</stp>
        <stp>NKY500 Index</stp>
        <stp>PR064</stp>
        <stp>[Index.xlsm]全球指數!R280C14</stp>
        <tr r="N280" s="1"/>
      </tp>
      <tp t="s">
        <v>富時綜合指數</v>
        <stp/>
        <stp>##V3_BDPV12</stp>
        <stp>ASX Index</stp>
        <stp>DS697</stp>
        <stp>[Index.xlsm]全球指數!R209C2</stp>
        <tr r="B209" s="1"/>
      </tp>
      <tp t="s">
        <v>DE</v>
        <stp/>
        <stp>##V3_BDPV12</stp>
        <stp>KFX Index</stp>
        <stp>DS003</stp>
        <stp>[Index.xlsm]全球指數!R285C3</stp>
        <tr r="C285" s="1"/>
      </tp>
      <tp t="s">
        <v>標準普爾中型股400指數</v>
        <stp/>
        <stp>##V3_BDPV12</stp>
        <stp>MID Index</stp>
        <stp>DS697</stp>
        <stp>[Index.xlsm]全球指數!R175C2</stp>
        <tr r="B175" s="1"/>
      </tp>
      <tp>
        <v>28.04276219432306</v>
        <stp/>
        <stp>##V3_BDPV12</stp>
        <stp>BBREIT Index</stp>
        <stp>INTERVAL_Low</stp>
        <stp>[Index.xlsm]全球指數!R288C17</stp>
        <stp>MARKET_DATA_OVERRIDE=PE_RATIO</stp>
        <stp>CALC_INTERVAL=5y</stp>
        <stp>BEST_FPERIOD_OVERRIDE=BF</stp>
        <tr r="Q288" s="1"/>
      </tp>
      <tp t="s">
        <v>DE</v>
        <stp/>
        <stp>##V3_BDPV12</stp>
        <stp>KAX Index</stp>
        <stp>DS003</stp>
        <stp>[Index.xlsm]全球指數!R275C3</stp>
        <tr r="C275" s="1"/>
      </tp>
      <tp>
        <v>2.4153739999999999</v>
        <stp/>
        <stp>##V3_BDPV12</stp>
        <stp>FTEF80 Index</stp>
        <stp>PR064</stp>
        <stp>[Index.xlsm]全球指數!R161C14</stp>
        <tr r="N161" s="1"/>
      </tp>
      <tp>
        <v>14.247644873392206</v>
        <stp/>
        <stp>##V3_BDPV12</stp>
        <stp>SPIEXX Index</stp>
        <stp>INTERVAL_Low</stp>
        <stp>[Index.xlsm]全球指數!R180C17</stp>
        <stp>MARKET_DATA_OVERRIDE=PE_RATIO</stp>
        <stp>CALC_INTERVAL=5y</stp>
        <stp>BEST_FPERIOD_OVERRIDE=BF</stp>
        <tr r="Q180" s="1"/>
      </tp>
      <tp t="s">
        <v>標準普爾100指數</v>
        <stp/>
        <stp>##V3_BDPV12</stp>
        <stp>OEX Index</stp>
        <stp>DS697</stp>
        <stp>[Index.xlsm]全球指數!R117C2</stp>
        <tr r="B117" s="1"/>
      </tp>
      <tp>
        <v>15.300627669638352</v>
        <stp/>
        <stp>##V3_BDPV12</stp>
        <stp>GGSECI Index</stp>
        <stp>INTERVAL_Low</stp>
        <stp>[Index.xlsm]全球指數!R111C17</stp>
        <stp>MARKET_DATA_OVERRIDE=PE_RATIO</stp>
        <stp>CALC_INTERVAL=5y</stp>
        <stp>BEST_FPERIOD_OVERRIDE=BF</stp>
        <tr r="Q111" s="1"/>
      </tp>
      <tp>
        <v>14.067753028803313</v>
        <stp/>
        <stp>##V3_BDPV12</stp>
        <stp>KWSEMM Index</stp>
        <stp>INTERVAL_Low</stp>
        <stp>[Index.xlsm]全球指數!R291C17</stp>
        <stp>MARKET_DATA_OVERRIDE=PE_RATIO</stp>
        <stp>CALC_INTERVAL=5y</stp>
        <stp>BEST_FPERIOD_OVERRIDE=BF</stp>
        <tr r="Q291" s="1"/>
      </tp>
      <tp>
        <v>70005.7</v>
        <stp/>
        <stp>##V3_BDPV12</stp>
        <stp>INDI25 Index</stp>
        <stp>PX_LAST</stp>
        <stp>[Index.xlsm]全球指數!R70C4</stp>
        <tr r="D70" s="1"/>
      </tp>
      <tp>
        <v>18.304728640336034</v>
        <stp/>
        <stp>##V3_BDPV12</stp>
        <stp>s5indu Index</stp>
        <stp>PE_RATIO</stp>
        <stp>[Index.xlsm]主要產業!R8C18</stp>
        <tr r="R8" s="2"/>
      </tp>
      <tp>
        <v>15.20373662432813</v>
        <stp/>
        <stp>##V3_BDPV12</stp>
        <stp>PG US Equity</stp>
        <stp>INTERVAL_Low</stp>
        <stp>[Index.xlsm]主要產業!R8C37</stp>
        <stp>MARKET_DATA_OVERRIDE=PE_RATIO</stp>
        <stp>CALC_INTERVAL=5y</stp>
        <stp>BEST_FPERIOD_OVERRIDE=BF</stp>
        <tr r="AK8" s="2"/>
      </tp>
      <tp>
        <v>552.35</v>
        <stp/>
        <stp>##V3_BDPV12</stp>
        <stp>SXAP INDEX</stp>
        <stp>HIGH_52WEEK</stp>
        <stp>[Index.xlsm]主要產業!R31C6</stp>
        <tr r="F31" s="2"/>
      </tp>
      <tp>
        <v>1661.614</v>
        <stp/>
        <stp>##V3_BDPV12</stp>
        <stp>SH000917 Index</stp>
        <stp>LOW_52WEEK</stp>
        <stp>[Index.xlsm]主要產業!R56C8</stp>
        <tr r="H56" s="2"/>
      </tp>
      <tp>
        <v>-0.75212650000000003</v>
        <stp/>
        <stp>##V3_BDPV12</stp>
        <stp>SBF120 Index</stp>
        <stp>CHG_PCT_5D</stp>
        <stp>[Index.xlsm]全球指數!R169C10</stp>
        <tr r="J169" s="1"/>
      </tp>
      <tp>
        <v>-0.77334409999999998</v>
        <stp/>
        <stp>##V3_BDPV12</stp>
        <stp>SBF250 Index</stp>
        <stp>CHG_PCT_5D</stp>
        <stp>[Index.xlsm]全球指數!R164C10</stp>
        <tr r="J164" s="1"/>
      </tp>
      <tp>
        <v>8.4615039999999997</v>
        <stp/>
        <stp>##V3_BDPV12</stp>
        <stp>SASX10 Index</stp>
        <stp>CHG_PCT_6M</stp>
        <stp>[Index.xlsm]全球指數!R293C13</stp>
        <tr r="M293" s="1"/>
      </tp>
      <tp>
        <v>14.362921893267989</v>
        <stp/>
        <stp>##V3_BDPV12</stp>
        <stp>IBX50 Index</stp>
        <stp>INTERVAL_Low</stp>
        <stp>[Index.xlsm]全球指數!R290C17</stp>
        <stp>MARKET_DATA_OVERRIDE=PE_RATIO</stp>
        <stp>CALC_INTERVAL=5y</stp>
        <stp>BEST_FPERIOD_OVERRIDE=BF</stp>
        <tr r="Q290" s="1"/>
      </tp>
      <tp t="s">
        <v>標準普爾/多倫多股票指數</v>
        <stp/>
        <stp>##V3_BDPV12</stp>
        <stp>TXEQ Index</stp>
        <stp>DS697</stp>
        <stp>[Index.xlsm]全球指數!R193C2</stp>
        <tr r="B193" s="1"/>
      </tp>
      <tp>
        <v>17.719904056296318</v>
        <stp/>
        <stp>##V3_BDPV12</stp>
        <stp>SPBLPGPT Index</stp>
        <stp>PE_RATIO</stp>
        <stp>[Index.xlsm]全球指數!R277C18</stp>
        <tr r="R277" s="1"/>
      </tp>
      <tp>
        <v>14.388279137944595</v>
        <stp/>
        <stp>##V3_BDPV12</stp>
        <stp>JALSH Index</stp>
        <stp>INTERVAL_Low</stp>
        <stp>[Index.xlsm]全球指數!R71C17</stp>
        <stp>MARKET_DATA_OVERRIDE=PE_RATIO</stp>
        <stp>CALC_INTERVAL=5y</stp>
        <stp>BEST_FPERIOD_OVERRIDE=BF</stp>
        <tr r="Q71" s="1"/>
      </tp>
      <tp>
        <v>3.0850219999999999</v>
        <stp/>
        <stp>##V3_BDPV12</stp>
        <stp>CH30 Index</stp>
        <stp>CHG_PCT_1M</stp>
        <stp>[Index.xlsm]全球指數!R157C11</stp>
        <tr r="K157" s="1"/>
      </tp>
      <tp>
        <v>3.6230479999999998</v>
        <stp/>
        <stp>##V3_BDPV12</stp>
        <stp>CN20 Index</stp>
        <stp>CHG_PCT_1M</stp>
        <stp>[Index.xlsm]全球指數!R172C11</stp>
        <tr r="K172" s="1"/>
      </tp>
      <tp>
        <v>6.7948089999999999</v>
        <stp/>
        <stp>##V3_BDPV12</stp>
        <stp>SSE50 Index</stp>
        <stp>CHG_PCT_6M</stp>
        <stp>[Index.xlsm]全球指數!R132C13</stp>
        <tr r="M132" s="1"/>
      </tp>
      <tp>
        <v>3.3499460000000001</v>
        <stp/>
        <stp>##V3_BDPV12</stp>
        <stp>AS30 Index</stp>
        <stp>CHG_PCT_1M</stp>
        <stp>[Index.xlsm]全球指數!R183C11</stp>
        <tr r="K183" s="1"/>
      </tp>
      <tp>
        <v>0.36682629999999999</v>
        <stp/>
        <stp>##V3_BDPV12</stp>
        <stp>AS52 Index</stp>
        <stp>CHG_PCT_3M</stp>
        <stp>[Index.xlsm]全球指數!R185C12</stp>
        <tr r="L185" s="1"/>
      </tp>
      <tp>
        <v>4.4431390000000004</v>
        <stp/>
        <stp>##V3_BDPV12</stp>
        <stp>E300 Index</stp>
        <stp>CHG_PCT_1M</stp>
        <stp>[Index.xlsm]全球指數!R213C11</stp>
        <tr r="K213" s="1"/>
      </tp>
      <tp>
        <v>4.4096890000000002</v>
        <stp/>
        <stp>##V3_BDPV12</stp>
        <stp>E100 Index</stp>
        <stp>CHG_PCT_1M</stp>
        <stp>[Index.xlsm]全球指數!R234C11</stp>
        <tr r="K234" s="1"/>
      </tp>
      <tp>
        <v>-3.291045</v>
        <stp/>
        <stp>##V3_BDPV12</stp>
        <stp>DS30 Index</stp>
        <stp>CHG_PCT_1M</stp>
        <stp>[Index.xlsm]全球指數!R301C11</stp>
        <tr r="K301" s="1"/>
      </tp>
      <tp>
        <v>4.5997199999999996</v>
        <stp/>
        <stp>##V3_BDPV12</stp>
        <stp>ES30 Index</stp>
        <stp>CHG_PCT_1M</stp>
        <stp>[Index.xlsm]全球指數!R189C11</stp>
        <tr r="K189" s="1"/>
      </tp>
      <tp>
        <v>4.8124599999999997</v>
        <stp/>
        <stp>##V3_BDPV12</stp>
        <stp>IT30 Index</stp>
        <stp>CHG_PCT_1M</stp>
        <stp>[Index.xlsm]全球指數!R114C11</stp>
        <tr r="K114" s="1"/>
      </tp>
      <tp>
        <v>4.2298210000000003</v>
        <stp/>
        <stp>##V3_BDPV12</stp>
        <stp>N100 Index</stp>
        <stp>CHG_PCT_1M</stp>
        <stp>[Index.xlsm]全球指數!R198C11</stp>
        <tr r="K198" s="1"/>
      </tp>
      <tp>
        <v>4.158595</v>
        <stp/>
        <stp>##V3_BDPV12</stp>
        <stp>SX40 Index</stp>
        <stp>CHG_PCT_1M</stp>
        <stp>[Index.xlsm]全球指數!R320C11</stp>
        <tr r="K320" s="1"/>
      </tp>
      <tp>
        <v>-0.78414200000000001</v>
        <stp/>
        <stp>##V3_BDPV12</stp>
        <stp>TSE2 Index</stp>
        <stp>CHG_PCT_3M</stp>
        <stp>[Index.xlsm]全球指數!R261C12</stp>
        <tr r="L261" s="1"/>
      </tp>
      <tp>
        <v>5.5030590000000004</v>
        <stp/>
        <stp>##V3_BDPV12</stp>
        <stp>TW50 Index</stp>
        <stp>CHG_PCT_1M</stp>
        <stp>[Index.xlsm]全球指數!R235C11</stp>
        <tr r="K235" s="1"/>
      </tp>
      <tp>
        <v>0.28006920000000002</v>
        <stp/>
        <stp>##V3_BDPV12</stp>
        <stp>SET50 Index</stp>
        <stp>CHG_PCT_6M</stp>
        <stp>[Index.xlsm]全球指數!R233C13</stp>
        <tr r="M233" s="1"/>
      </tp>
      <tp>
        <v>-26.269500000000001</v>
        <stp/>
        <stp>##V3_BDPV12</stp>
        <stp>KSE30 Index</stp>
        <stp>CHG_PCT_1YR</stp>
        <stp>[Index.xlsm]全球指數!R17C15</stp>
        <tr r="O17" s="1"/>
      </tp>
      <tp t="s">
        <v>EC</v>
        <stp/>
        <stp>##V3_BDPV12</stp>
        <stp>SX5P Index</stp>
        <stp>DS003</stp>
        <stp>[Index.xlsm]全球指數!R255C3</stp>
        <tr r="C255" s="1"/>
      </tp>
      <tp>
        <v>4.4148940000000003</v>
        <stp/>
        <stp>##V3_BDPV12</stp>
        <stp>TA-125 Index</stp>
        <stp>CHG_PCT_3M</stp>
        <stp>[Index.xlsm]全球指數!R258C12</stp>
        <tr r="L258" s="1"/>
      </tp>
      <tp>
        <v>6.1133834395390512</v>
        <stp/>
        <stp>##V3_BDPV12</stp>
        <stp>KZKAK Index</stp>
        <stp>PE_RATIO</stp>
        <stp>[Index.xlsm]全球指數!R131C18</stp>
        <tr r="R131" s="1"/>
      </tp>
      <tp t="s">
        <v>#N/A N/A</v>
        <stp/>
        <stp>##V3_BDPV12</stp>
        <stp>LUXXR Index</stp>
        <stp>INTERVAL_Low</stp>
        <stp>[Index.xlsm]全球指數!R126C17</stp>
        <stp>MARKET_DATA_OVERRIDE=PE_RATIO</stp>
        <stp>CALC_INTERVAL=5y</stp>
        <stp>BEST_FPERIOD_OVERRIDE=BF</stp>
        <tr r="Q126" s="1"/>
      </tp>
      <tp t="s">
        <v>#N/A N/A</v>
        <stp/>
        <stp>##V3_BDPV12</stp>
        <stp>LUXXX Index</stp>
        <stp>INTERVAL_Low</stp>
        <stp>[Index.xlsm]全球指數!R127C17</stp>
        <stp>MARKET_DATA_OVERRIDE=PE_RATIO</stp>
        <stp>CALC_INTERVAL=5y</stp>
        <stp>BEST_FPERIOD_OVERRIDE=BF</stp>
        <tr r="Q127" s="1"/>
      </tp>
      <tp>
        <v>2.3547444516866487</v>
        <stp/>
        <stp>##V3_BDPV12</stp>
        <stp>SE30 Index</stp>
        <stp>INTERVAL_Low</stp>
        <stp>[Index.xlsm]全球指數!R29C17</stp>
        <stp>MARKET_DATA_OVERRIDE=PE_RATIO</stp>
        <stp>CALC_INTERVAL=5y</stp>
        <stp>BEST_FPERIOD_OVERRIDE=BF</stp>
        <tr r="Q29" s="1"/>
      </tp>
      <tp>
        <v>12.89511259299154</v>
        <stp/>
        <stp>##V3_BDPV12</stp>
        <stp>TPXSM Index</stp>
        <stp>INTERVAL_Low</stp>
        <stp>[Index.xlsm]全球指數!R307C17</stp>
        <stp>MARKET_DATA_OVERRIDE=PE_RATIO</stp>
        <stp>CALC_INTERVAL=5y</stp>
        <stp>BEST_FPERIOD_OVERRIDE=BF</stp>
        <tr r="Q307" s="1"/>
      </tp>
      <tp>
        <v>2.8699560000000002</v>
        <stp/>
        <stp>##V3_BDPV12</stp>
        <stp>NZSE10 Index</stp>
        <stp>PR064</stp>
        <stp>[Index.xlsm]全球指數!R249C14</stp>
        <tr r="N249" s="1"/>
      </tp>
      <tp t="s">
        <v>印尼雅加達綜合股價指數</v>
        <stp/>
        <stp>##V3_BDPV12</stp>
        <stp>JCI Index</stp>
        <stp>DS697</stp>
        <stp>[Index.xlsm]全球指數!R223C2</stp>
        <tr r="B223" s="1"/>
      </tp>
      <tp t="s">
        <v>馬其頓 MBI 10指數</v>
        <stp/>
        <stp>##V3_BDPV12</stp>
        <stp>MBI Index</stp>
        <stp>DS697</stp>
        <stp>[Index.xlsm]全球指數!R314C2</stp>
        <tr r="B314" s="1"/>
      </tp>
      <tp>
        <v>2035.8</v>
        <stp/>
        <stp>##V3_BDPV12</stp>
        <stp>AMZN US Equity</stp>
        <stp>HIGH_52WEEK</stp>
        <stp>[Index.xlsm]主要產業!R4C26</stp>
        <tr r="Z4" s="2"/>
      </tp>
      <tp>
        <v>1969.8530000000001</v>
        <stp/>
        <stp>##V3_BDPV12</stp>
        <stp>SH000916 Index</stp>
        <stp>LOW_52WEEK</stp>
        <stp>[Index.xlsm]主要產業!R57C8</stp>
        <tr r="H57" s="2"/>
      </tp>
      <tp>
        <v>4.3653760000000004</v>
        <stp/>
        <stp>##V3_BDPV12</stp>
        <stp>CRO Index</stp>
        <stp>PR064</stp>
        <stp>[Index.xlsm]全球指數!R310C14</stp>
        <tr r="N310" s="1"/>
      </tp>
      <tp>
        <v>2.7525200000000001</v>
        <stp/>
        <stp>##V3_BDPV12</stp>
        <stp>TSEREIT Index</stp>
        <stp>CHG_PCT_5D</stp>
        <stp>[Index.xlsm]全球指數!R309C10</stp>
        <tr r="J309" s="1"/>
      </tp>
      <tp>
        <v>2.907297E-2</v>
        <stp/>
        <stp>##V3_BDPV12</stp>
        <stp>JOSMGNFF Index</stp>
        <stp>CHG_PCT_1M</stp>
        <stp>[Index.xlsm]全球指數!R263C11</stp>
        <tr r="K263" s="1"/>
      </tp>
      <tp>
        <v>3.1080030000000001</v>
        <stp/>
        <stp>##V3_BDPV12</stp>
        <stp>CYSMMAPA Index</stp>
        <stp>CHG_PCT_6M</stp>
        <stp>[Index.xlsm]全球指數!R139C13</stp>
        <tr r="M139" s="1"/>
      </tp>
      <tp>
        <v>0.70647680000000002</v>
        <stp/>
        <stp>##V3_BDPV12</stp>
        <stp>VHINDEX Index</stp>
        <stp>CHG_PCT_5D</stp>
        <stp>[Index.xlsm]全球指數!R276C10</stp>
        <tr r="J276" s="1"/>
      </tp>
      <tp>
        <v>-0.63684439999999998</v>
        <stp/>
        <stp>##V3_BDPV12</stp>
        <stp>VNINDEX Index</stp>
        <stp>CHG_PCT_5D</stp>
        <stp>[Index.xlsm]全球指數!R177C10</stp>
        <tr r="J177" s="1"/>
      </tp>
      <tp>
        <v>4.3840190000000003</v>
        <stp/>
        <stp>##V3_BDPV12</stp>
        <stp>COLEQTY Index</stp>
        <stp>CHG_PCT_1M</stp>
        <stp>[Index.xlsm]全球指數!R268C11</stp>
        <tr r="K268" s="1"/>
      </tp>
      <tp>
        <v>-0.21106420000000001</v>
        <stp/>
        <stp>##V3_BDPV12</stp>
        <stp>IRT Index</stp>
        <stp>PR064</stp>
        <stp>[Index.xlsm]全球指數!R237C14</stp>
        <tr r="N237" s="1"/>
      </tp>
      <tp>
        <v>1.5285029999999999</v>
        <stp/>
        <stp>##V3_BDPV12</stp>
        <stp>BELEXLIN Index</stp>
        <stp>CHG_PCT_1M</stp>
        <stp>[Index.xlsm]全球指數!R248C11</stp>
        <tr r="K248" s="1"/>
      </tp>
      <tp>
        <v>-0.81601710000000005</v>
        <stp/>
        <stp>##V3_BDPV12</stp>
        <stp>FTSEMIB Index</stp>
        <stp>CHG_PCT_5D</stp>
        <stp>[Index.xlsm]全球指數!R153C10</stp>
        <tr r="J153" s="1"/>
      </tp>
      <tp>
        <v>71.692989999999995</v>
        <stp/>
        <stp>##V3_BDPV12</stp>
        <stp>IBOVIEE Index</stp>
        <stp>CHG_PCT_1YR</stp>
        <stp>[Index.xlsm]全球指數!R37C15</stp>
        <tr r="O37" s="1"/>
      </tp>
      <tp>
        <v>990.7</v>
        <stp/>
        <stp>##V3_BDPV12</stp>
        <stp>MSER Index</stp>
        <stp>LOW_52WEEK</stp>
        <stp>[Index.xlsm]全球指數!R154C8</stp>
        <tr r="H154" s="1"/>
      </tp>
      <tp>
        <v>7.7807319999999999E-2</v>
        <stp/>
        <stp>##V3_BDPV12</stp>
        <stp>NZSE Index</stp>
        <stp>CHG_PCT_1D</stp>
        <stp>[Index.xlsm]全球指數!R238C5</stp>
        <tr r="E238" s="1"/>
      </tp>
      <tp>
        <v>-7.6868970000000001</v>
        <stp/>
        <stp>##V3_BDPV12</stp>
        <stp>KSE30 Index</stp>
        <stp>CHG_PCT_3M</stp>
        <stp>[Index.xlsm]全球指數!R17C12</stp>
        <tr r="L17" s="1"/>
      </tp>
      <tp>
        <v>-6.0636179999999998E-4</v>
        <stp/>
        <stp>##V3_BDPV12</stp>
        <stp>NYLID Index</stp>
        <stp>CHG_PCT_1D</stp>
        <stp>[Index.xlsm]全球指數!R179C5</stp>
        <tr r="E179" s="1"/>
      </tp>
      <tp>
        <v>1.5490200000000001</v>
        <stp/>
        <stp>##V3_BDPV12</stp>
        <stp>KSE30 Index</stp>
        <stp>CHG_PCT_1M</stp>
        <stp>[Index.xlsm]全球指數!R17C11</stp>
        <tr r="K17" s="1"/>
      </tp>
      <tp>
        <v>8908.4765625</v>
        <stp/>
        <stp>##V3_BDPV12</stp>
        <stp>NYID Index</stp>
        <stp>LOW_52WEEK</stp>
        <stp>[Index.xlsm]全球指數!R148C8</stp>
        <tr r="H148" s="1"/>
      </tp>
      <tp>
        <v>-20.55847</v>
        <stp/>
        <stp>##V3_BDPV12</stp>
        <stp>KSE30 Index</stp>
        <stp>CHG_PCT_6M</stp>
        <stp>[Index.xlsm]全球指數!R17C13</stp>
        <tr r="M17" s="1"/>
      </tp>
      <tp>
        <v>-3.21814</v>
        <stp/>
        <stp>##V3_BDPV12</stp>
        <stp>KSE30 Index</stp>
        <stp>CHG_PCT_5D</stp>
        <stp>[Index.xlsm]全球指數!R17C10</stp>
        <tr r="J17" s="1"/>
      </tp>
      <tp>
        <v>-9.5963090000000001E-2</v>
        <stp/>
        <stp>##V3_BDPV12</stp>
        <stp>KZKAK Index</stp>
        <stp>CHG_PCT_1D</stp>
        <stp>[Index.xlsm]全球指數!R131C5</stp>
        <tr r="E131" s="1"/>
      </tp>
      <tp>
        <v>1.131068E-2</v>
        <stp/>
        <stp>##V3_BDPV12</stp>
        <stp>FTBIVA Index</stp>
        <stp>CHG_PCT_1D</stp>
        <stp>[Index.xlsm]全球指數!R245C5</stp>
        <tr r="E245" s="1"/>
      </tp>
      <tp>
        <v>8636.7900000000009</v>
        <stp/>
        <stp>##V3_BDPV12</stp>
        <stp>TRAN Index</stp>
        <stp>LOW_52WEEK</stp>
        <stp>[Index.xlsm]全球指數!R140C8</stp>
        <tr r="H140" s="1"/>
      </tp>
      <tp>
        <v>4200.08</v>
        <stp/>
        <stp>##V3_BDPV12</stp>
        <stp>T1X Index</stp>
        <stp>LOW_52WEEK</stp>
        <stp>[Index.xlsm]全球指數!R95C8</stp>
        <tr r="H95" s="1"/>
      </tp>
      <tp>
        <v>-0.10866199999999999</v>
        <stp/>
        <stp>##V3_BDPV12</stp>
        <stp>KSE Index</stp>
        <stp>CHG_PCT_1D</stp>
        <stp>[Index.xlsm]全球指數!R89C5</stp>
        <tr r="E89" s="1"/>
      </tp>
      <tp>
        <v>2192.24609375</v>
        <stp/>
        <stp>##V3_BDPV12</stp>
        <stp>XAX Index</stp>
        <stp>LOW_52WEEK</stp>
        <stp>[Index.xlsm]全球指數!R39C8</stp>
        <tr r="H39" s="1"/>
      </tp>
      <tp>
        <v>3125.81</v>
        <stp/>
        <stp>##V3_BDPV12</stp>
        <stp>STI Index</stp>
        <stp>PX_LAST</stp>
        <stp>[Index.xlsm]全球指數!R123C4</stp>
        <tr r="D123" s="1"/>
      </tp>
      <tp>
        <v>7796.7280000000001</v>
        <stp/>
        <stp>##V3_BDPV12</stp>
        <stp>QMI Index</stp>
        <stp>PX_LAST</stp>
        <stp>[Index.xlsm]全球指數!R103C4</stp>
        <tr r="D103" s="1"/>
      </tp>
      <tp>
        <v>6230.3339999999998</v>
        <stp/>
        <stp>##V3_BDPV12</stp>
        <stp>JCI Index</stp>
        <stp>PX_LAST</stp>
        <stp>[Index.xlsm]全球指數!R223C4</stp>
        <tr r="D223" s="1"/>
      </tp>
      <tp>
        <v>1988.57</v>
        <stp/>
        <stp>##V3_BDPV12</stp>
        <stp>CRTX Index</stp>
        <stp>PX_LAST</stp>
        <stp>[Index.xlsm]全球指數!R108C4</stp>
        <tr r="D108" s="1"/>
      </tp>
      <tp>
        <v>0.21515119999999999</v>
        <stp/>
        <stp>##V3_BDPV12</stp>
        <stp>FBMKLCI Index</stp>
        <stp>CHG_PCT_1D</stp>
        <stp>[Index.xlsm]全球指數!R226C5</stp>
        <tr r="E226" s="1"/>
      </tp>
      <tp>
        <v>6101.84</v>
        <stp/>
        <stp>##V3_BDPV12</stp>
        <stp>ISEQ Index</stp>
        <stp>PX_LAST</stp>
        <stp>[Index.xlsm]全球指數!R241C4</stp>
        <tr r="D241" s="1"/>
      </tp>
      <tp>
        <v>495.6</v>
        <stp/>
        <stp>##V3_BDPV12</stp>
        <stp>KOSPFIN Index</stp>
        <stp>HIGH_52WEEK</stp>
        <stp>[Index.xlsm]主要產業!R44C6</stp>
        <tr r="F44" s="2"/>
      </tp>
      <tp>
        <v>120.94</v>
        <stp/>
        <stp>##V3_BDPV12</stp>
        <stp>TWSEISI Index</stp>
        <stp>HIGH_52WEEK</stp>
        <stp>[Index.xlsm]主要產業!R96C6</stp>
        <tr r="F96" s="2"/>
      </tp>
      <tp>
        <v>20144.29</v>
        <stp/>
        <stp>##V3_BDPV12</stp>
        <stp>SH000912 Index</stp>
        <stp>PX_LAST</stp>
        <stp>[Index.xlsm]主要產業!R50C4</stp>
        <tr r="D50" s="2"/>
      </tp>
      <tp>
        <v>1533.326</v>
        <stp/>
        <stp>##V3_BDPV12</stp>
        <stp>RTY Index</stp>
        <stp>PX_LAST</stp>
        <stp>[Index.xlsm]全球指數!R62C4</stp>
        <tr r="D62" s="1"/>
      </tp>
      <tp>
        <v>-0.23419970000000001</v>
        <stp/>
        <stp>##V3_BDPV12</stp>
        <stp>DSM Index</stp>
        <stp>PR064</stp>
        <stp>[Index.xlsm]全球指數!R143C14</stp>
        <tr r="N143" s="1"/>
      </tp>
      <tp>
        <v>0.82177080000000002</v>
        <stp/>
        <stp>##V3_BDPV12</stp>
        <stp>ASE Index</stp>
        <stp>PR064</stp>
        <stp>[Index.xlsm]全球指數!R142C14</stp>
        <tr r="N142" s="1"/>
      </tp>
      <tp>
        <v>-11.02474</v>
        <stp/>
        <stp>##V3_BDPV12</stp>
        <stp>ATXPRIME Index</stp>
        <stp>CHG_PCT_1YR</stp>
        <stp>[Index.xlsm]全球指數!R42C15</stp>
        <tr r="O42" s="1"/>
      </tp>
      <tp>
        <v>4.4593280000000002</v>
        <stp/>
        <stp>##V3_BDPV12</stp>
        <stp>BSE100 Index</stp>
        <stp>CHG_PCT_1YR</stp>
        <stp>[Index.xlsm]全球指數!R318C15</stp>
        <tr r="O318" s="1"/>
      </tp>
      <tp>
        <v>3.837774</v>
        <stp/>
        <stp>##V3_BDPV12</stp>
        <stp>BSE200 Index</stp>
        <stp>CHG_PCT_1YR</stp>
        <stp>[Index.xlsm]全球指數!R316C15</stp>
        <tr r="O316" s="1"/>
      </tp>
      <tp>
        <v>5667.62</v>
        <stp/>
        <stp>##V3_BDPV12</stp>
        <stp>HDAX Index</stp>
        <stp>LOW_52WEEK</stp>
        <stp>[Index.xlsm]全球指數!R86C8</stp>
        <tr r="H86" s="1"/>
      </tp>
      <tp>
        <v>2.6757230000000001</v>
        <stp/>
        <stp>##V3_BDPV12</stp>
        <stp>BSE500 Index</stp>
        <stp>CHG_PCT_1YR</stp>
        <stp>[Index.xlsm]全球指數!R315C15</stp>
        <tr r="O315" s="1"/>
      </tp>
      <tp>
        <v>-3.5787840000000002</v>
        <stp/>
        <stp>##V3_BDPV12</stp>
        <stp>BSX Index</stp>
        <stp>PR064</stp>
        <stp>[Index.xlsm]全球指數!R297C14</stp>
        <tr r="N297" s="1"/>
      </tp>
      <tp>
        <v>-0.25137589999999999</v>
        <stp/>
        <stp>##V3_BDPV12</stp>
        <stp>ASX Index</stp>
        <stp>PR064</stp>
        <stp>[Index.xlsm]全球指數!R209C14</stp>
        <tr r="N209" s="1"/>
      </tp>
      <tp>
        <v>6190.1660000000002</v>
        <stp/>
        <stp>##V3_BDPV12</stp>
        <stp>CCMP Index</stp>
        <stp>LOW_52WEEK</stp>
        <stp>[Index.xlsm]全球指數!R61C8</stp>
        <tr r="H61" s="1"/>
      </tp>
      <tp>
        <v>2.0754459999999999</v>
        <stp/>
        <stp>##V3_BDPV12</stp>
        <stp>PSI20 Index</stp>
        <stp>CHG_PCT_1M</stp>
        <stp>[Index.xlsm]全球指數!R23C11</stp>
        <tr r="K23" s="1"/>
      </tp>
      <tp>
        <v>-3.8469410000000002</v>
        <stp/>
        <stp>##V3_BDPV12</stp>
        <stp>PSI20 Index</stp>
        <stp>CHG_PCT_3M</stp>
        <stp>[Index.xlsm]全球指數!R23C12</stp>
        <tr r="L23" s="1"/>
      </tp>
      <tp>
        <v>-2.6482549999999998</v>
        <stp/>
        <stp>##V3_BDPV12</stp>
        <stp>PSI20 Index</stp>
        <stp>CHG_PCT_5D</stp>
        <stp>[Index.xlsm]全球指數!R23C10</stp>
        <tr r="J23" s="1"/>
      </tp>
      <tp>
        <v>-5.0754590000000004</v>
        <stp/>
        <stp>##V3_BDPV12</stp>
        <stp>PSI20 Index</stp>
        <stp>CHG_PCT_6M</stp>
        <stp>[Index.xlsm]全球指數!R23C13</stp>
        <tr r="M23" s="1"/>
      </tp>
      <tp>
        <v>-1.735549</v>
        <stp/>
        <stp>##V3_BDPV12</stp>
        <stp>HEX25 Index</stp>
        <stp>CHG_PCT_5D</stp>
        <stp>[Index.xlsm]全球指數!R67C10</stp>
        <tr r="J67" s="1"/>
      </tp>
      <tp>
        <v>141.46</v>
        <stp/>
        <stp>##V3_BDPV12</stp>
        <stp>TWOTCI Index</stp>
        <stp>PX_LAST</stp>
        <stp>[Index.xlsm]全球指數!R229C4</stp>
        <tr r="D229" s="1"/>
      </tp>
      <tp>
        <v>-3.1876329999999999</v>
        <stp/>
        <stp>##V3_BDPV12</stp>
        <stp>HEX25 Index</stp>
        <stp>CHG_PCT_6M</stp>
        <stp>[Index.xlsm]全球指數!R67C13</stp>
        <tr r="M67" s="1"/>
      </tp>
      <tp>
        <v>4.5304039999999999</v>
        <stp/>
        <stp>##V3_BDPV12</stp>
        <stp>HEX25 Index</stp>
        <stp>CHG_PCT_1M</stp>
        <stp>[Index.xlsm]全球指數!R67C11</stp>
        <tr r="K67" s="1"/>
      </tp>
      <tp>
        <v>0.33340019999999998</v>
        <stp/>
        <stp>##V3_BDPV12</stp>
        <stp>HEX25 Index</stp>
        <stp>CHG_PCT_3M</stp>
        <stp>[Index.xlsm]全球指數!R67C12</stp>
        <tr r="L67" s="1"/>
      </tp>
      <tp>
        <v>-0.14773320000000001</v>
        <stp/>
        <stp>##V3_BDPV12</stp>
        <stp>DFMGI Index</stp>
        <stp>CHG_PCT_1D</stp>
        <stp>[Index.xlsm]全球指數!R166C5</stp>
        <tr r="E166" s="1"/>
      </tp>
      <tp>
        <v>15019.42</v>
        <stp/>
        <stp>##V3_BDPV12</stp>
        <stp>MOEXBC Index</stp>
        <stp>LOW_52WEEK</stp>
        <stp>[Index.xlsm]全球指數!R171C8</stp>
        <tr r="H171" s="1"/>
      </tp>
      <tp>
        <v>2048.9229999999998</v>
        <stp/>
        <stp>##V3_BDPV12</stp>
        <stp>SMIM Index</stp>
        <stp>LOW_52WEEK</stp>
        <stp>[Index.xlsm]全球指數!R199C8</stp>
        <tr r="H199" s="1"/>
      </tp>
      <tp>
        <v>17.768532358057868</v>
        <stp/>
        <stp>##V3_BDPV12</stp>
        <stp>HEX25 Index</stp>
        <stp>PE_RATIO</stp>
        <stp>[Index.xlsm]全球指數!R67C18</stp>
        <tr r="R67" s="1"/>
      </tp>
      <tp t="s">
        <v>伊斯坦堡全國30指數</v>
        <stp/>
        <stp>##V3_BDPV12</stp>
        <stp>XU030 Index</stp>
        <stp>DS697</stp>
        <stp>[Index.xlsm]全球指數!R299C2</stp>
        <tr r="B299" s="1"/>
      </tp>
      <tp t="s">
        <v>伊斯坦堡交易所100指數</v>
        <stp/>
        <stp>##V3_BDPV12</stp>
        <stp>XU100 Index</stp>
        <stp>DS697</stp>
        <stp>[Index.xlsm]全球指數!R298C2</stp>
        <tr r="B298" s="1"/>
      </tp>
      <tp>
        <v>1881.65</v>
        <stp/>
        <stp>##V3_BDPV12</stp>
        <stp>SZASHR Index</stp>
        <stp>HIGH_52WEEK</stp>
        <stp>[Index.xlsm]全球指數!R10C6</stp>
        <tr r="F10" s="1"/>
      </tp>
      <tp>
        <v>-4.8138990000000002</v>
        <stp/>
        <stp>##V3_BDPV12</stp>
        <stp>JALSH Index</stp>
        <stp>PR064</stp>
        <stp>[Index.xlsm]全球指數!R71C14</stp>
        <tr r="N71" s="1"/>
      </tp>
      <tp>
        <v>1266.925</v>
        <stp/>
        <stp>##V3_BDPV12</stp>
        <stp>RTY Index</stp>
        <stp>LOW_52WEEK</stp>
        <stp>[Index.xlsm]全球指數!R62C8</stp>
        <tr r="H62" s="1"/>
      </tp>
      <tp>
        <v>16.626309979798009</v>
        <stp/>
        <stp>##V3_BDPV12</stp>
        <stp>BVPSBVPS Index</stp>
        <stp>INTERVAL_HIGH</stp>
        <stp>[Index.xlsm]全球指數!R243C16</stp>
        <stp>MARKET_DATA_OVERRIDE=PE_RATIO</stp>
        <stp>CALC_INTERVAL=5y</stp>
        <stp>BEST_FPERIOD_OVERRIDE=BF</stp>
        <tr r="P243" s="1"/>
      </tp>
      <tp>
        <v>3444.4430000000002</v>
        <stp/>
        <stp>##V3_BDPV12</stp>
        <stp>SHASHR Index</stp>
        <stp>HIGH_52WEEK</stp>
        <stp>[Index.xlsm]全球指數!R30C6</stp>
        <tr r="F30" s="1"/>
      </tp>
      <tp>
        <v>19.281603378696925</v>
        <stp/>
        <stp>##V3_BDPV12</stp>
        <stp>HEX Index</stp>
        <stp>PE_RATIO</stp>
        <stp>[Index.xlsm]全球指數!R91C18</stp>
        <tr r="R91" s="1"/>
      </tp>
      <tp>
        <v>10.141857800545433</v>
        <stp/>
        <stp>##V3_BDPV12</stp>
        <stp>HSI Index</stp>
        <stp>PE_RATIO</stp>
        <stp>[Index.xlsm]全球指數!R77C18</stp>
        <tr r="R77" s="1"/>
      </tp>
      <tp>
        <v>-4.0504680000000004</v>
        <stp/>
        <stp>##V3_BDPV12</stp>
        <stp>NSEASI Index</stp>
        <stp>CHG_PCT_1YR</stp>
        <stp>[Index.xlsm]全球指數!R252C15</stp>
        <tr r="O252" s="1"/>
      </tp>
      <tp>
        <v>-1.6450020000000001</v>
        <stp/>
        <stp>##V3_BDPV12</stp>
        <stp>CSEALL Index</stp>
        <stp>CHG_PCT_1YR</stp>
        <stp>[Index.xlsm]全球指數!R174C15</stp>
        <tr r="O174" s="1"/>
      </tp>
      <tp>
        <v>10.569797170298358</v>
        <stp/>
        <stp>##V3_BDPV12</stp>
        <stp>KSE Index</stp>
        <stp>PE_RATIO</stp>
        <stp>[Index.xlsm]全球指數!R89C18</stp>
        <tr r="R89" s="1"/>
      </tp>
      <tp>
        <v>10010.709999999999</v>
        <stp/>
        <stp>##V3_BDPV12</stp>
        <stp>SMI Index</stp>
        <stp>PX_LAST</stp>
        <stp>[Index.xlsm]全球指數!R192C4</stp>
        <tr r="D192" s="1"/>
      </tp>
      <tp>
        <v>0.1576109</v>
        <stp/>
        <stp>##V3_BDPV12</stp>
        <stp>FTEF80 Index</stp>
        <stp>CHG_PCT_1YR</stp>
        <stp>[Index.xlsm]全球指數!R161C15</stp>
        <tr r="O161" s="1"/>
      </tp>
      <tp>
        <v>24.199639666318145</v>
        <stp/>
        <stp>##V3_BDPV12</stp>
        <stp>NDX Index</stp>
        <stp>PE_RATIO</stp>
        <stp>[Index.xlsm]全球指數!R75C18</stp>
        <tr r="R75" s="1"/>
      </tp>
      <tp>
        <v>502.17572652995193</v>
        <stp/>
        <stp>##V3_BDPV12</stp>
        <stp>NBI Index</stp>
        <stp>PE_RATIO</stp>
        <stp>[Index.xlsm]全球指數!R12C18</stp>
        <tr r="R12" s="1"/>
      </tp>
      <tp>
        <v>22.945513361365123</v>
        <stp/>
        <stp>##V3_BDPV12</stp>
        <stp>NYP Index</stp>
        <stp>PE_RATIO</stp>
        <stp>[Index.xlsm]全球指數!R83C18</stp>
        <tr r="R83" s="1"/>
      </tp>
      <tp>
        <v>10.25437391957195</v>
        <stp/>
        <stp>##V3_BDPV12</stp>
        <stp>NTX Index</stp>
        <stp>PE_RATIO</stp>
        <stp>[Index.xlsm]全球指數!R66C18</stp>
        <tr r="R66" s="1"/>
      </tp>
      <tp>
        <v>-0.11263140000000001</v>
        <stp/>
        <stp>##V3_BDPV12</stp>
        <stp>FTEFC1 Index</stp>
        <stp>CHG_PCT_1YR</stp>
        <stp>[Index.xlsm]全球指數!R214C15</stp>
        <tr r="O214" s="1"/>
      </tp>
      <tp>
        <v>16.280547257931556</v>
        <stp/>
        <stp>##V3_BDPV12</stp>
        <stp>OBX Index</stp>
        <stp>PE_RATIO</stp>
        <stp>[Index.xlsm]全球指數!R46C18</stp>
        <tr r="R46" s="1"/>
      </tp>
      <tp>
        <v>17.272167358090059</v>
        <stp/>
        <stp>##V3_BDPV12</stp>
        <stp>OMX Index</stp>
        <stp>PE_RATIO</stp>
        <stp>[Index.xlsm]全球指數!R51C18</stp>
        <tr r="R51" s="1"/>
      </tp>
      <tp>
        <v>16.221849455892968</v>
        <stp/>
        <stp>##V3_BDPV12</stp>
        <stp>AMX Index</stp>
        <stp>PE_RATIO</stp>
        <stp>[Index.xlsm]全球指數!R41C18</stp>
        <tr r="R41" s="1"/>
      </tp>
      <tp>
        <v>9.958429446236492</v>
        <stp/>
        <stp>##V3_BDPV12</stp>
        <stp>ATX Index</stp>
        <stp>PE_RATIO</stp>
        <stp>[Index.xlsm]全球指數!R34C18</stp>
        <tr r="R34" s="1"/>
      </tp>
      <tp t="s">
        <v>#N/A N/A</v>
        <stp/>
        <stp>##V3_BDPV12</stp>
        <stp>AXX Index</stp>
        <stp>PE_RATIO</stp>
        <stp>[Index.xlsm]全球指數!R76C18</stp>
        <tr r="R76" s="1"/>
      </tp>
      <tp>
        <v>19.98208488233622</v>
        <stp/>
        <stp>##V3_BDPV12</stp>
        <stp>DAX Index</stp>
        <stp>PE_RATIO</stp>
        <stp>[Index.xlsm]全球指數!R99C18</stp>
        <tr r="R99" s="1"/>
      </tp>
      <tp>
        <v>23.571851509165818</v>
        <stp/>
        <stp>##V3_BDPV12</stp>
        <stp>XAX Index</stp>
        <stp>PE_RATIO</stp>
        <stp>[Index.xlsm]全球指數!R39C18</stp>
        <tr r="R39" s="1"/>
      </tp>
      <tp>
        <v>13.61173991281259</v>
        <stp/>
        <stp>##V3_BDPV12</stp>
        <stp>XOI Index</stp>
        <stp>PE_RATIO</stp>
        <stp>[Index.xlsm]全球指數!R40C18</stp>
        <tr r="R40" s="1"/>
      </tp>
      <tp>
        <v>592.47</v>
        <stp/>
        <stp>##V3_BDPV12</stp>
        <stp>BIRS Index</stp>
        <stp>PX_LAST</stp>
        <stp>[Index.xlsm]全球指數!R152C4</stp>
        <tr r="D152" s="1"/>
      </tp>
      <tp>
        <v>1.0133540000000001</v>
        <stp/>
        <stp>##V3_BDPV12</stp>
        <stp>SPEURO Index</stp>
        <stp>CHG_PCT_1YR</stp>
        <stp>[Index.xlsm]全球指數!R201C15</stp>
        <tr r="O201" s="1"/>
      </tp>
      <tp t="s">
        <v>#N/A N/A</v>
        <stp/>
        <stp>##V3_BDPV12</stp>
        <stp>QIV Index</stp>
        <stp>PE_RATIO</stp>
        <stp>[Index.xlsm]全球指數!R65C18</stp>
        <tr r="R65" s="1"/>
      </tp>
      <tp>
        <v>41.235304104337075</v>
        <stp/>
        <stp>##V3_BDPV12</stp>
        <stp>RTY Index</stp>
        <stp>PE_RATIO</stp>
        <stp>[Index.xlsm]全球指數!R62C18</stp>
        <tr r="R62" s="1"/>
      </tp>
      <tp>
        <v>105319.4</v>
        <stp/>
        <stp>##V3_BDPV12</stp>
        <stp>IBOV Index</stp>
        <stp>PX_LAST</stp>
        <stp>[Index.xlsm]全球指數!R287C4</stp>
        <tr r="D287" s="1"/>
      </tp>
      <tp>
        <v>6.5281409999999997</v>
        <stp/>
        <stp>##V3_BDPV12</stp>
        <stp>MOEX10 Index</stp>
        <stp>CHG_PCT_1YR</stp>
        <stp>[Index.xlsm]全球指數!R160C15</stp>
        <tr r="O160" s="1"/>
      </tp>
      <tp>
        <v>17.265624144989687</v>
        <stp/>
        <stp>##V3_BDPV12</stp>
        <stp>SAX Index</stp>
        <stp>PE_RATIO</stp>
        <stp>[Index.xlsm]全球指數!R56C18</stp>
        <tr r="R56" s="1"/>
      </tp>
      <tp>
        <v>130.7701148217817</v>
        <stp/>
        <stp>##V3_BDPV12</stp>
        <stp>SMX Index</stp>
        <stp>PE_RATIO</stp>
        <stp>[Index.xlsm]全球指數!R87C18</stp>
        <tr r="R87" s="1"/>
      </tp>
      <tp>
        <v>19.817605674472958</v>
        <stp/>
        <stp>##V3_BDPV12</stp>
        <stp>SBX Index</stp>
        <stp>PE_RATIO</stp>
        <stp>[Index.xlsm]全球指數!R58C18</stp>
        <tr r="R58" s="1"/>
      </tp>
      <tp>
        <v>13.43099</v>
        <stp/>
        <stp>##V3_BDPV12</stp>
        <stp>MOEXBC Index</stp>
        <stp>CHG_PCT_1YR</stp>
        <stp>[Index.xlsm]全球指數!R171C15</stp>
        <tr r="O171" s="1"/>
      </tp>
      <tp>
        <v>51.308638497654279</v>
        <stp/>
        <stp>##V3_BDPV12</stp>
        <stp>T1X Index</stp>
        <stp>PE_RATIO</stp>
        <stp>[Index.xlsm]全球指數!R95C18</stp>
        <tr r="R95" s="1"/>
      </tp>
      <tp>
        <v>11.095324168890951</v>
        <stp/>
        <stp>##V3_BDPV12</stp>
        <stp>WBI Index</stp>
        <stp>PE_RATIO</stp>
        <stp>[Index.xlsm]全球指數!R63C18</stp>
        <tr r="R63" s="1"/>
      </tp>
      <tp>
        <v>3027.98</v>
        <stp/>
        <stp>##V3_BDPV12</stp>
        <stp>SPX INDEX</stp>
        <stp>HIGH_52WEEK</stp>
        <stp>[Index.xlsm]主要產業!R4C44</stp>
        <tr r="AR4" s="2"/>
      </tp>
      <tp>
        <v>16.3657</v>
        <stp/>
        <stp>##V3_BDPV12</stp>
        <stp>SOX INDEX</stp>
        <stp>CHG_PCT_1YR</stp>
        <stp>[Index.xlsm]主要產業!R6C53</stp>
        <tr r="BA6" s="2"/>
      </tp>
      <tp>
        <v>5184.6319999999996</v>
        <stp/>
        <stp>##V3_BDPV12</stp>
        <stp>SH000911 Index</stp>
        <stp>PX_LAST</stp>
        <stp>[Index.xlsm]主要產業!R51C4</stp>
        <tr r="D51" s="2"/>
      </tp>
      <tp>
        <v>4010.69</v>
        <stp/>
        <stp>##V3_BDPV12</stp>
        <stp>TPCOMM Index</stp>
        <stp>HIGH_52WEEK</stp>
        <stp>[Index.xlsm]主要產業!R38C6</stp>
        <tr r="F38" s="2"/>
      </tp>
      <tp>
        <v>2.0392480000000002</v>
        <stp/>
        <stp>##V3_BDPV12</stp>
        <stp>SPI Index</stp>
        <stp>PR064</stp>
        <stp>[Index.xlsm]全球指數!R206C14</stp>
        <tr r="N206" s="1"/>
      </tp>
      <tp>
        <v>-2.8164419999999999</v>
        <stp/>
        <stp>##V3_BDPV12</stp>
        <stp>JOSMGNFF Index</stp>
        <stp>CHG_PCT_3M</stp>
        <stp>[Index.xlsm]全球指數!R263C12</stp>
        <tr r="L263" s="1"/>
      </tp>
      <tp>
        <v>-0.1915965</v>
        <stp/>
        <stp>##V3_BDPV12</stp>
        <stp>SBF250 Index</stp>
        <stp>CHG_PCT_1YR</stp>
        <stp>[Index.xlsm]全球指數!R164C15</stp>
        <tr r="O164" s="1"/>
      </tp>
      <tp>
        <v>0.1174941</v>
        <stp/>
        <stp>##V3_BDPV12</stp>
        <stp>SBF120 Index</stp>
        <stp>CHG_PCT_1YR</stp>
        <stp>[Index.xlsm]全球指數!R169C15</stp>
        <tr r="O169" s="1"/>
      </tp>
      <tp>
        <v>21160.7109375</v>
        <stp/>
        <stp>##V3_BDPV12</stp>
        <stp>MDAX Index</stp>
        <stp>LOW_52WEEK</stp>
        <stp>[Index.xlsm]全球指數!R85C8</stp>
        <tr r="H85" s="1"/>
      </tp>
      <tp>
        <v>4.506621</v>
        <stp/>
        <stp>##V3_BDPV12</stp>
        <stp>TPX Index</stp>
        <stp>PR064</stp>
        <stp>[Index.xlsm]全球指數!R289C14</stp>
        <tr r="N289" s="1"/>
      </tp>
      <tp>
        <v>3.8863789999999998</v>
        <stp/>
        <stp>##V3_BDPV12</stp>
        <stp>COLEQTY Index</stp>
        <stp>CHG_PCT_3M</stp>
        <stp>[Index.xlsm]全球指數!R268C12</stp>
        <tr r="L268" s="1"/>
      </tp>
      <tp>
        <v>1.8017650000000001</v>
        <stp/>
        <stp>##V3_BDPV12</stp>
        <stp>SPX Index</stp>
        <stp>PR064</stp>
        <stp>[Index.xlsm]全球指數!R134C14</stp>
        <tr r="N134" s="1"/>
      </tp>
      <tp>
        <v>4.7558639999999999</v>
        <stp/>
        <stp>##V3_BDPV12</stp>
        <stp>BELEXLIN Index</stp>
        <stp>CHG_PCT_3M</stp>
        <stp>[Index.xlsm]全球指數!R248C12</stp>
        <tr r="L248" s="1"/>
      </tp>
      <tp>
        <v>1.7228589999999999</v>
        <stp/>
        <stp>##V3_BDPV12</stp>
        <stp>SPR Index</stp>
        <stp>PR064</stp>
        <stp>[Index.xlsm]全球指數!R135C14</stp>
        <tr r="N135" s="1"/>
      </tp>
      <tp>
        <v>11494.47</v>
        <stp/>
        <stp>##V3_BDPV12</stp>
        <stp>IGCX Index</stp>
        <stp>LOW_52WEEK</stp>
        <stp>[Index.xlsm]全球指數!R270C8</stp>
        <tr r="H270" s="1"/>
      </tp>
      <tp>
        <v>4839.0879999999997</v>
        <stp/>
        <stp>##V3_BDPV12</stp>
        <stp>DSEX Index</stp>
        <stp>LOW_52WEEK</stp>
        <stp>[Index.xlsm]全球指數!R306C8</stp>
        <tr r="H306" s="1"/>
      </tp>
      <tp>
        <v>0.39533299999999999</v>
        <stp/>
        <stp>##V3_BDPV12</stp>
        <stp>SAXCME Index</stp>
        <stp>CHG_PCT_1D</stp>
        <stp>[Index.xlsm]全球指數!R109C5</stp>
        <tr r="E109" s="1"/>
      </tp>
      <tp>
        <v>-6.2387089999999999E-2</v>
        <stp/>
        <stp>##V3_BDPV12</stp>
        <stp>FSTAS Index</stp>
        <stp>CHG_PCT_1D</stp>
        <stp>[Index.xlsm]全球指數!R133C5</stp>
        <tr r="E133" s="1"/>
      </tp>
      <tp>
        <v>856.41</v>
        <stp/>
        <stp>##V3_BDPV12</stp>
        <stp>SBITOP Index</stp>
        <stp>PX_LAST</stp>
        <stp>[Index.xlsm]全球指數!R176C4</stp>
        <tr r="D176" s="1"/>
      </tp>
      <tp>
        <v>-2.2398660000000001</v>
        <stp/>
        <stp>##V3_BDPV12</stp>
        <stp>SHASHR Index</stp>
        <stp>PR064</stp>
        <stp>[Index.xlsm]全球指數!R30C14</stp>
        <tr r="N30" s="1"/>
      </tp>
      <tp>
        <v>1.2884279999999999</v>
        <stp/>
        <stp>##V3_BDPV12</stp>
        <stp>SZASHR Index</stp>
        <stp>PR064</stp>
        <stp>[Index.xlsm]全球指數!R10C14</stp>
        <tr r="N10" s="1"/>
      </tp>
      <tp>
        <v>688.75380975202631</v>
        <stp/>
        <stp>##V3_BDPV12</stp>
        <stp>CYSMMAPA Index</stp>
        <stp>INTERVAL_HIGH</stp>
        <stp>[Index.xlsm]全球指數!R139C16</stp>
        <stp>MARKET_DATA_OVERRIDE=PE_RATIO</stp>
        <stp>CALC_INTERVAL=5y</stp>
        <stp>BEST_FPERIOD_OVERRIDE=BF</stp>
        <tr r="P139" s="1"/>
      </tp>
      <tp>
        <v>0.40527340000000001</v>
        <stp/>
        <stp>##V3_BDPV12</stp>
        <stp>AMX Index</stp>
        <stp>CHG_PCT_1D</stp>
        <stp>[Index.xlsm]全球指數!R41C5</stp>
        <tr r="E41" s="1"/>
      </tp>
      <tp>
        <v>2743.9389999999999</v>
        <stp/>
        <stp>##V3_BDPV12</stp>
        <stp>XMI Index</stp>
        <stp>PX_LAST</stp>
        <stp>[Index.xlsm]全球指數!R211C4</stp>
        <tr r="D211" s="1"/>
      </tp>
      <tp>
        <v>952.48</v>
        <stp/>
        <stp>##V3_BDPV12</stp>
        <stp>SML Index</stp>
        <stp>PX_LAST</stp>
        <stp>[Index.xlsm]全球指數!R104C4</stp>
        <tr r="D104" s="1"/>
      </tp>
      <tp>
        <v>5063.5439999999999</v>
        <stp/>
        <stp>##V3_BDPV12</stp>
        <stp>IXK Index</stp>
        <stp>PX_LAST</stp>
        <stp>[Index.xlsm]全球指數!R113C4</stp>
        <tr r="D113" s="1"/>
      </tp>
      <tp>
        <v>17278.22</v>
        <stp/>
        <stp>##V3_BDPV12</stp>
        <stp>TXEQ Index</stp>
        <stp>PX_LAST</stp>
        <stp>[Index.xlsm]全球指數!R193C4</stp>
        <tr r="D193" s="1"/>
      </tp>
      <tp>
        <v>947.51</v>
        <stp/>
        <stp>##V3_BDPV12</stp>
        <stp>COLSC Index</stp>
        <stp>PX_LAST</stp>
        <stp>[Index.xlsm]全球指數!R256C4</stp>
        <tr r="D256" s="1"/>
      </tp>
      <tp>
        <v>1303.2239999999999</v>
        <stp/>
        <stp>##V3_BDPV12</stp>
        <stp>BHSEASI Index</stp>
        <stp>LOW_52WEEK</stp>
        <stp>[Index.xlsm]全球指數!R304C8</stp>
        <tr r="H304" s="1"/>
      </tp>
      <tp>
        <v>30.146850444144714</v>
        <stp/>
        <stp>##V3_BDPV12</stp>
        <stp>TDXP Index</stp>
        <stp>PE_RATIO</stp>
        <stp>[Index.xlsm]全球指數!R22C18</stp>
        <tr r="R22" s="1"/>
      </tp>
      <tp>
        <v>1513.0809999999999</v>
        <stp/>
        <stp>##V3_BDPV12</stp>
        <stp>SH000908 Index</stp>
        <stp>PX_LAST</stp>
        <stp>[Index.xlsm]主要產業!R53C4</stp>
        <tr r="D53" s="2"/>
      </tp>
      <tp>
        <v>2076.6770000000001</v>
        <stp/>
        <stp>##V3_BDPV12</stp>
        <stp>SH000915 Index</stp>
        <stp>PX_LAST</stp>
        <stp>[Index.xlsm]主要產業!R52C4</stp>
        <tr r="D52" s="2"/>
      </tp>
      <tp>
        <v>12.078150000000001</v>
        <stp/>
        <stp>##V3_BDPV12</stp>
        <stp>TSEREIT Index</stp>
        <stp>CHG_PCT_6M</stp>
        <stp>[Index.xlsm]全球指數!R309C13</stp>
        <tr r="M309" s="1"/>
      </tp>
      <tp>
        <v>-0.92578950000000004</v>
        <stp/>
        <stp>##V3_BDPV12</stp>
        <stp>CYSMMAPA Index</stp>
        <stp>CHG_PCT_5D</stp>
        <stp>[Index.xlsm]全球指數!R139C10</stp>
        <tr r="J139" s="1"/>
      </tp>
      <tp>
        <v>33577.109375</v>
        <stp/>
        <stp>##V3_BDPV12</stp>
        <stp>NGSEINDX Index</stp>
        <stp>HIGH_52WEEK</stp>
        <stp>[Index.xlsm]全球指數!R219C6</stp>
        <tr r="F219" s="1"/>
      </tp>
      <tp>
        <v>0.3133782</v>
        <stp/>
        <stp>##V3_BDPV12</stp>
        <stp>HSCI Index</stp>
        <stp>CHG_PCT_1D</stp>
        <stp>[Index.xlsm]全球指數!R60C5</stp>
        <tr r="E60" s="1"/>
      </tp>
      <tp>
        <v>26041.93</v>
        <stp/>
        <stp>##V3_BDPV12</stp>
        <stp>HSI Index</stp>
        <stp>PX_LAST</stp>
        <stp>[Index.xlsm]全球指數!R77C4</stp>
        <tr r="D77" s="1"/>
      </tp>
      <tp>
        <v>3.5551279999999998</v>
        <stp/>
        <stp>##V3_BDPV12</stp>
        <stp>FTSEMIB Index</stp>
        <stp>CHG_PCT_6M</stp>
        <stp>[Index.xlsm]全球指數!R153C13</stp>
        <tr r="M153" s="1"/>
      </tp>
      <tp>
        <v>-2.5900560000000001</v>
        <stp/>
        <stp>##V3_BDPV12</stp>
        <stp>VHINDEX Index</stp>
        <stp>CHG_PCT_6M</stp>
        <stp>[Index.xlsm]全球指數!R276C13</stp>
        <tr r="M276" s="1"/>
      </tp>
      <tp>
        <v>3103.4769999999999</v>
        <stp/>
        <stp>##V3_BDPV12</stp>
        <stp>CBNK Index</stp>
        <stp>LOW_52WEEK</stp>
        <stp>[Index.xlsm]全球指數!R92C8</stp>
        <tr r="H92" s="1"/>
      </tp>
      <tp>
        <v>1.520635</v>
        <stp/>
        <stp>##V3_BDPV12</stp>
        <stp>VNINDEX Index</stp>
        <stp>CHG_PCT_6M</stp>
        <stp>[Index.xlsm]全球指數!R177C13</stp>
        <tr r="M177" s="1"/>
      </tp>
      <tp>
        <v>0.69905890000000004</v>
        <stp/>
        <stp>##V3_BDPV12</stp>
        <stp>BELSTK Index</stp>
        <stp>CHG_PCT_1D</stp>
        <stp>[Index.xlsm]全球指數!R230C5</stp>
        <tr r="E230" s="1"/>
      </tp>
      <tp>
        <v>4325.4129999999996</v>
        <stp/>
        <stp>##V3_BDPV12</stp>
        <stp>MALTEX Index</stp>
        <stp>LOW_52WEEK</stp>
        <stp>[Index.xlsm]全球指數!R284C8</stp>
        <tr r="H284" s="1"/>
      </tp>
      <tp>
        <v>-6.746791</v>
        <stp/>
        <stp>##V3_BDPV12</stp>
        <stp>XIN0I Index</stp>
        <stp>PR064</stp>
        <stp>[Index.xlsm]全球指數!R96C14</stp>
        <tr r="N96" s="1"/>
      </tp>
      <tp>
        <v>24091.5390625</v>
        <stp/>
        <stp>##V3_BDPV12</stp>
        <stp>DWCF Index</stp>
        <stp>LOW_52WEEK</stp>
        <stp>[Index.xlsm]全球指數!R121C8</stp>
        <tr r="H121" s="1"/>
      </tp>
      <tp>
        <v>-0.12772549999999999</v>
        <stp/>
        <stp>##V3_BDPV12</stp>
        <stp>CM100 Index</stp>
        <stp>CHG_PCT_3M</stp>
        <stp>[Index.xlsm]全球指數!R88C12</stp>
        <tr r="L88" s="1"/>
      </tp>
      <tp>
        <v>2.1890170000000002</v>
        <stp/>
        <stp>##V3_BDPV12</stp>
        <stp>CM100 Index</stp>
        <stp>CHG_PCT_1M</stp>
        <stp>[Index.xlsm]全球指數!R88C11</stp>
        <tr r="K88" s="1"/>
      </tp>
      <tp>
        <v>3.3161010000000002</v>
        <stp/>
        <stp>##V3_BDPV12</stp>
        <stp>CM100 Index</stp>
        <stp>CHG_PCT_6M</stp>
        <stp>[Index.xlsm]全球指數!R88C13</stp>
        <tr r="M88" s="1"/>
      </tp>
      <tp>
        <v>-1.4960599999999999</v>
        <stp/>
        <stp>##V3_BDPV12</stp>
        <stp>CM100 Index</stp>
        <stp>CHG_PCT_5D</stp>
        <stp>[Index.xlsm]全球指數!R88C10</stp>
        <tr r="J88" s="1"/>
      </tp>
      <tp>
        <v>7.0196449999999997</v>
        <stp/>
        <stp>##V3_BDPV12</stp>
        <stp>IBOVIEE Index</stp>
        <stp>PR064</stp>
        <stp>[Index.xlsm]全球指數!R37C14</stp>
        <tr r="N37" s="1"/>
      </tp>
      <tp>
        <v>975.31</v>
        <stp/>
        <stp>##V3_BDPV12</stp>
        <stp>PX Index</stp>
        <stp>LOW_52WEEK</stp>
        <stp>[Index.xlsm]全球指數!R84C8</stp>
        <tr r="H84" s="1"/>
      </tp>
      <tp>
        <v>-0.1622209</v>
        <stp/>
        <stp>##V3_BDPV12</stp>
        <stp>TSEMOTHR Index</stp>
        <stp>PR064</stp>
        <stp>[Index.xlsm]全球指數!R313C14</stp>
        <tr r="N313" s="1"/>
      </tp>
      <tp>
        <v>18717.859375</v>
        <stp/>
        <stp>##V3_BDPV12</stp>
        <stp>H-FIN Index</stp>
        <stp>HIGH_52WEEK</stp>
        <stp>[Index.xlsm]全球指數!R55C6</stp>
        <tr r="F55" s="1"/>
      </tp>
      <tp>
        <v>-1.8484149999999999</v>
        <stp/>
        <stp>##V3_BDPV12</stp>
        <stp>CHLRGCAP Index</stp>
        <stp>PR064</stp>
        <stp>[Index.xlsm]全球指數!R130C14</stp>
        <tr r="N130" s="1"/>
      </tp>
      <tp>
        <v>2.7709579999999998</v>
        <stp/>
        <stp>##V3_BDPV12</stp>
        <stp>XIN0I Index</stp>
        <stp>CHG_PCT_1M</stp>
        <stp>[Index.xlsm]全球指數!R96C11</stp>
        <tr r="K96" s="1"/>
      </tp>
      <tp>
        <v>-6.746791</v>
        <stp/>
        <stp>##V3_BDPV12</stp>
        <stp>XIN0I Index</stp>
        <stp>CHG_PCT_3M</stp>
        <stp>[Index.xlsm]全球指數!R96C12</stp>
        <tr r="L96" s="1"/>
      </tp>
      <tp>
        <v>-1.396671</v>
        <stp/>
        <stp>##V3_BDPV12</stp>
        <stp>XIN0I Index</stp>
        <stp>CHG_PCT_5D</stp>
        <stp>[Index.xlsm]全球指數!R96C10</stp>
        <tr r="J96" s="1"/>
      </tp>
      <tp>
        <v>-10.20148</v>
        <stp/>
        <stp>##V3_BDPV12</stp>
        <stp>XIN0I Index</stp>
        <stp>CHG_PCT_6M</stp>
        <stp>[Index.xlsm]全球指數!R96C13</stp>
        <tr r="M96" s="1"/>
      </tp>
      <tp>
        <v>13028.74</v>
        <stp/>
        <stp>##V3_BDPV12</stp>
        <stp>NYA Index</stp>
        <stp>PX_LAST</stp>
        <stp>[Index.xlsm]全球指數!R178C4</stp>
        <tr r="D178" s="1"/>
      </tp>
      <tp>
        <v>2074.52</v>
        <stp/>
        <stp>##V3_BDPV12</stp>
        <stp>KOSPI Index</stp>
        <stp>PX_LAST</stp>
        <stp>[Index.xlsm]全球指數!R155C4</stp>
        <tr r="D155" s="1"/>
      </tp>
      <tp t="s">
        <v>S&amp;P/BVL LIMA 25 Total Return</v>
        <stp/>
        <stp>##V3_BDPV12</stp>
        <stp>SPBL25PT Index</stp>
        <stp>DS697</stp>
        <stp>[Index.xlsm]全球指數!R232C2</stp>
        <tr r="B232" s="1"/>
      </tp>
      <tp>
        <v>17914.03</v>
        <stp/>
        <stp>##V3_BDPV12</stp>
        <stp>FTSEMIB Index</stp>
        <stp>LOW_52WEEK</stp>
        <stp>[Index.xlsm]全球指數!R153C8</stp>
        <tr r="H153" s="1"/>
      </tp>
      <tp>
        <v>96.89</v>
        <stp/>
        <stp>##V3_BDPV12</stp>
        <stp>TWSECPE Index</stp>
        <stp>HIGH_52WEEK</stp>
        <stp>[Index.xlsm]主要產業!R76C6</stp>
        <tr r="F76" s="2"/>
      </tp>
      <tp>
        <v>517.01</v>
        <stp/>
        <stp>##V3_BDPV12</stp>
        <stp>TPELEC Index</stp>
        <stp>HIGH_52WEEK</stp>
        <stp>[Index.xlsm]主要產業!R42C6</stp>
        <tr r="F42" s="2"/>
      </tp>
      <tp>
        <v>4.4891769999999998</v>
        <stp/>
        <stp>##V3_BDPV12</stp>
        <stp>TSEREIT Index</stp>
        <stp>CHG_PCT_1M</stp>
        <stp>[Index.xlsm]全球指數!R309C11</stp>
        <tr r="K309" s="1"/>
      </tp>
      <tp>
        <v>0.35881229999999997</v>
        <stp/>
        <stp>##V3_BDPV12</stp>
        <stp>JOSMGNFF Index</stp>
        <stp>CHG_PCT_5D</stp>
        <stp>[Index.xlsm]全球指數!R263C10</stp>
        <tr r="J263" s="1"/>
      </tp>
      <tp>
        <v>26.756848364736573</v>
        <stp/>
        <stp>##V3_BDPV12</stp>
        <stp>NYA Index</stp>
        <stp>INTERVAL_HIGH</stp>
        <stp>[Index.xlsm]全球指數!R178C16</stp>
        <stp>MARKET_DATA_OVERRIDE=PE_RATIO</stp>
        <stp>CALC_INTERVAL=5y</stp>
        <stp>BEST_FPERIOD_OVERRIDE=BF</stp>
        <tr r="P178" s="1"/>
      </tp>
      <tp>
        <v>20.313767953802689</v>
        <stp/>
        <stp>##V3_BDPV12</stp>
        <stp>NYK Index</stp>
        <stp>INTERVAL_HIGH</stp>
        <stp>[Index.xlsm]全球指數!R216C16</stp>
        <stp>MARKET_DATA_OVERRIDE=PE_RATIO</stp>
        <stp>CALC_INTERVAL=5y</stp>
        <stp>BEST_FPERIOD_OVERRIDE=BF</stp>
        <tr r="P216" s="1"/>
      </tp>
      <tp>
        <v>0.1286582</v>
        <stp/>
        <stp>##V3_BDPV12</stp>
        <stp>BELEXLIN Index</stp>
        <stp>CHG_PCT_5D</stp>
        <stp>[Index.xlsm]全球指數!R248C10</stp>
        <tr r="J248" s="1"/>
      </tp>
      <tp>
        <v>4.5560260000000001</v>
        <stp/>
        <stp>##V3_BDPV12</stp>
        <stp>FTSEMIB Index</stp>
        <stp>CHG_PCT_1M</stp>
        <stp>[Index.xlsm]全球指數!R153C11</stp>
        <tr r="K153" s="1"/>
      </tp>
      <tp>
        <v>9613.9580000000005</v>
        <stp/>
        <stp>##V3_BDPV12</stp>
        <stp>MOSEMDX Index</stp>
        <stp>HIGH_52WEEK</stp>
        <stp>[Index.xlsm]全球指數!R186C6</stp>
        <tr r="F186" s="1"/>
      </tp>
      <tp>
        <v>1.8602240000000001</v>
        <stp/>
        <stp>##V3_BDPV12</stp>
        <stp>VHINDEX Index</stp>
        <stp>CHG_PCT_1M</stp>
        <stp>[Index.xlsm]全球指數!R276C11</stp>
        <tr r="K276" s="1"/>
      </tp>
      <tp>
        <v>568.60706618941629</v>
        <stp/>
        <stp>##V3_BDPV12</stp>
        <stp>SPTSXVEN Index</stp>
        <stp>INTERVAL_HIGH</stp>
        <stp>[Index.xlsm]全球指數!R78C16</stp>
        <stp>MARKET_DATA_OVERRIDE=PE_RATIO</stp>
        <stp>CALC_INTERVAL=5y</stp>
        <stp>BEST_FPERIOD_OVERRIDE=BF</stp>
        <tr r="P78" s="1"/>
      </tp>
      <tp>
        <v>0.5451357</v>
        <stp/>
        <stp>##V3_BDPV12</stp>
        <stp>COLEQTY Index</stp>
        <stp>CHG_PCT_5D</stp>
        <stp>[Index.xlsm]全球指數!R268C10</stp>
        <tr r="J268" s="1"/>
      </tp>
      <tp>
        <v>1.429173</v>
        <stp/>
        <stp>##V3_BDPV12</stp>
        <stp>VNINDEX Index</stp>
        <stp>CHG_PCT_1M</stp>
        <stp>[Index.xlsm]全球指數!R177C11</stp>
        <tr r="K177" s="1"/>
      </tp>
      <tp>
        <v>5192.63</v>
        <stp/>
        <stp>##V3_BDPV12</stp>
        <stp>CSEALL Index</stp>
        <stp>LOW_52WEEK</stp>
        <stp>[Index.xlsm]全球指數!R174C8</stp>
        <tr r="H174" s="1"/>
      </tp>
      <tp>
        <v>8286.2000000000007</v>
        <stp/>
        <stp>##V3_BDPV12</stp>
        <stp>IBEX Index</stp>
        <stp>LOW_52WEEK</stp>
        <stp>[Index.xlsm]全球指數!R240C8</stp>
        <tr r="H240" s="1"/>
      </tp>
      <tp>
        <v>1.0266489999999999</v>
        <stp/>
        <stp>##V3_BDPV12</stp>
        <stp>SENSEX Index</stp>
        <stp>CHG_PCT_1D</stp>
        <stp>[Index.xlsm]全球指數!R317C5</stp>
        <tr r="E317" s="1"/>
      </tp>
      <tp>
        <v>-3.8469410000000002</v>
        <stp/>
        <stp>##V3_BDPV12</stp>
        <stp>PSI20 Index</stp>
        <stp>PR064</stp>
        <stp>[Index.xlsm]全球指數!R23C14</stp>
        <tr r="N23" s="1"/>
      </tp>
      <tp>
        <v>1935.348</v>
        <stp/>
        <stp>##V3_BDPV12</stp>
        <stp>LUXXR Index</stp>
        <stp>LOW_52WEEK</stp>
        <stp>[Index.xlsm]全球指數!R126C8</stp>
        <tr r="H126" s="1"/>
      </tp>
      <tp>
        <v>236.84200000000001</v>
        <stp/>
        <stp>##V3_BDPV12</stp>
        <stp>SPIEXX Index</stp>
        <stp>LOW_52WEEK</stp>
        <stp>[Index.xlsm]全球指數!R180C8</stp>
        <tr r="H180" s="1"/>
      </tp>
      <tp>
        <v>6812.7830000000004</v>
        <stp/>
        <stp>##V3_BDPV12</stp>
        <stp>SZ399550 Index</stp>
        <stp>PX_LAST</stp>
        <stp>[Index.xlsm]全球指數!R59C4</stp>
        <tr r="D59" s="1"/>
      </tp>
      <tp>
        <v>513.36249999999995</v>
        <stp/>
        <stp>##V3_BDPV12</stp>
        <stp>SAX Index</stp>
        <stp>LOW_52WEEK</stp>
        <stp>[Index.xlsm]全球指數!R56C8</stp>
        <tr r="H56" s="1"/>
      </tp>
      <tp>
        <v>14117.743130922256</v>
        <stp/>
        <stp>##V3_BDPV12</stp>
        <stp>BELEXLIN Index</stp>
        <stp>INTERVAL_HIGH</stp>
        <stp>[Index.xlsm]全球指數!R248C16</stp>
        <stp>MARKET_DATA_OVERRIDE=PE_RATIO</stp>
        <stp>CALC_INTERVAL=5y</stp>
        <stp>BEST_FPERIOD_OVERRIDE=BF</stp>
        <tr r="P248" s="1"/>
      </tp>
      <tp>
        <v>-2.984613</v>
        <stp/>
        <stp>##V3_BDPV12</stp>
        <stp>BWORLDEU Index</stp>
        <stp>PR064</stp>
        <stp>[Index.xlsm]全球指數!R101C14</stp>
        <tr r="N101" s="1"/>
      </tp>
      <tp>
        <v>10420.02</v>
        <stp/>
        <stp>##V3_BDPV12</stp>
        <stp>DSM Index</stp>
        <stp>PX_LAST</stp>
        <stp>[Index.xlsm]全球指數!R143C4</stp>
        <tr r="D143" s="1"/>
      </tp>
      <tp>
        <v>-6.113918</v>
        <stp/>
        <stp>##V3_BDPV12</stp>
        <stp>BWORLDEU Index</stp>
        <stp>CHG_PCT_1YR</stp>
        <stp>[Index.xlsm]全球指數!R101C15</stp>
        <tr r="O101" s="1"/>
      </tp>
      <tp>
        <v>-8.5584340000000001</v>
        <stp/>
        <stp>##V3_BDPV12</stp>
        <stp>CYSMMAPA Index</stp>
        <stp>CHG_PCT_1YR</stp>
        <stp>[Index.xlsm]全球指數!R139C15</stp>
        <tr r="O139" s="1"/>
      </tp>
      <tp>
        <v>-0.3207276</v>
        <stp/>
        <stp>##V3_BDPV12</stp>
        <stp>KNSMIDX Index</stp>
        <stp>CHG_PCT_1D</stp>
        <stp>[Index.xlsm]全球指數!R269C5</stp>
        <tr r="E269" s="1"/>
      </tp>
      <tp>
        <v>-0.48425049999999997</v>
        <stp/>
        <stp>##V3_BDPV12</stp>
        <stp>AAPL US Equity</stp>
        <stp>CHG_PCT_5D</stp>
        <stp>[Index.xlsm]主要產業!R3C30</stp>
        <tr r="AD3" s="2"/>
      </tp>
      <tp>
        <v>17.72044</v>
        <stp/>
        <stp>##V3_BDPV12</stp>
        <stp>AAPL US Equity</stp>
        <stp>CHG_PCT_6M</stp>
        <stp>[Index.xlsm]主要產業!R3C33</stp>
        <tr r="AG3" s="2"/>
      </tp>
      <tp>
        <v>6.4894160000000003</v>
        <stp/>
        <stp>##V3_BDPV12</stp>
        <stp>AAPL US Equity</stp>
        <stp>CHG_PCT_1M</stp>
        <stp>[Index.xlsm]主要產業!R3C31</stp>
        <tr r="AE3" s="2"/>
      </tp>
      <tp>
        <v>10.05505</v>
        <stp/>
        <stp>##V3_BDPV12</stp>
        <stp>AAPL US Equity</stp>
        <stp>CHG_PCT_3M</stp>
        <stp>[Index.xlsm]主要產業!R3C32</stp>
        <tr r="AF3" s="2"/>
      </tp>
      <tp>
        <v>-0.51576710000000003</v>
        <stp/>
        <stp>##V3_BDPV12</stp>
        <stp>AAPL US Equity</stp>
        <stp>CHG_PCT_1D</stp>
        <stp>[Index.xlsm]主要產業!R3C25</stp>
        <tr r="Y3" s="2"/>
      </tp>
      <tp>
        <v>119.34</v>
        <stp/>
        <stp>##V3_BDPV12</stp>
        <stp>TWSEEPD Index</stp>
        <stp>HIGH_52WEEK</stp>
        <stp>[Index.xlsm]主要產業!R91C6</stp>
        <tr r="F91" s="2"/>
      </tp>
      <tp>
        <v>100.97</v>
        <stp/>
        <stp>##V3_BDPV12</stp>
        <stp>TWSETOUR Index</stp>
        <stp>PX_LAST</stp>
        <stp>[Index.xlsm]主要產業!R93C4</stp>
        <tr r="D93" s="2"/>
      </tp>
      <tp>
        <v>1144.8399999999999</v>
        <stp/>
        <stp>##V3_BDPV12</stp>
        <stp>NTX Index</stp>
        <stp>PX_LAST</stp>
        <stp>[Index.xlsm]全球指數!R66C4</stp>
        <tr r="D66" s="1"/>
      </tp>
      <tp>
        <v>5892.4780000000001</v>
        <stp/>
        <stp>##V3_BDPV12</stp>
        <stp>HEXP Index</stp>
        <stp>LOW_52WEEK</stp>
        <stp>[Index.xlsm]全球指數!R93C8</stp>
        <tr r="H93" s="1"/>
      </tp>
      <tp>
        <v>2375.59</v>
        <stp/>
        <stp>##V3_BDPV12</stp>
        <stp>TDXP Index</stp>
        <stp>LOW_52WEEK</stp>
        <stp>[Index.xlsm]全球指數!R22C8</stp>
        <tr r="H22" s="1"/>
      </tp>
      <tp>
        <v>-6.4438810000000002</v>
        <stp/>
        <stp>##V3_BDPV12</stp>
        <stp>CYSMMAPA Index</stp>
        <stp>CHG_PCT_3M</stp>
        <stp>[Index.xlsm]全球指數!R139C12</stp>
        <tr r="L139" s="1"/>
      </tp>
      <tp>
        <v>29.221895438515563</v>
        <stp/>
        <stp>##V3_BDPV12</stp>
        <stp>IXK Index</stp>
        <stp>INTERVAL_HIGH</stp>
        <stp>[Index.xlsm]全球指數!R113C16</stp>
        <stp>MARKET_DATA_OVERRIDE=PE_RATIO</stp>
        <stp>CALC_INTERVAL=5y</stp>
        <stp>BEST_FPERIOD_OVERRIDE=BF</stp>
        <tr r="P113" s="1"/>
      </tp>
      <tp>
        <v>967.14</v>
        <stp/>
        <stp>##V3_BDPV12</stp>
        <stp>CDAX Index</stp>
        <stp>LOW_52WEEK</stp>
        <stp>[Index.xlsm]全球指數!R82C8</stp>
        <tr r="H82" s="1"/>
      </tp>
      <tp>
        <v>11796.26</v>
        <stp/>
        <stp>##V3_BDPV12</stp>
        <stp>MOSENEW Index</stp>
        <stp>HIGH_52WEEK</stp>
        <stp>[Index.xlsm]全球指數!R188C6</stp>
        <tr r="F188" s="1"/>
      </tp>
      <tp>
        <v>5311.73</v>
        <stp/>
        <stp>##V3_BDPV12</stp>
        <stp>ISEQ Index</stp>
        <stp>LOW_52WEEK</stp>
        <stp>[Index.xlsm]全球指數!R241C8</stp>
        <tr r="H241" s="1"/>
      </tp>
      <tp>
        <v>21712.53</v>
        <stp/>
        <stp>##V3_BDPV12</stp>
        <stp>INDU Index</stp>
        <stp>LOW_52WEEK</stp>
        <stp>[Index.xlsm]全球指數!R170C8</stp>
        <tr r="H170" s="1"/>
      </tp>
      <tp>
        <v>837.04</v>
        <stp/>
        <stp>##V3_BDPV12</stp>
        <stp>MADX Index</stp>
        <stp>LOW_52WEEK</stp>
        <stp>[Index.xlsm]全球指數!R210C8</stp>
        <tr r="H210" s="1"/>
      </tp>
      <tp>
        <v>0.58952599999999999</v>
        <stp/>
        <stp>##V3_BDPV12</stp>
        <stp>SXXE Index</stp>
        <stp>CHG_PCT_1D</stp>
        <stp>[Index.xlsm]全球指數!R156C5</stp>
        <tr r="E156" s="1"/>
      </tp>
      <tp>
        <v>14.497485108481404</v>
        <stp/>
        <stp>##V3_BDPV12</stp>
        <stp>JALSH Index</stp>
        <stp>PE_RATIO</stp>
        <stp>[Index.xlsm]全球指數!R71C18</stp>
        <tr r="R71" s="1"/>
      </tp>
      <tp>
        <v>1146.0830000000001</v>
        <stp/>
        <stp>##V3_BDPV12</stp>
        <stp>LUXXX Index</stp>
        <stp>LOW_52WEEK</stp>
        <stp>[Index.xlsm]全球指數!R127C8</stp>
        <tr r="H127" s="1"/>
      </tp>
      <tp>
        <v>0.60889079999999995</v>
        <stp/>
        <stp>##V3_BDPV12</stp>
        <stp>SXXP Index</stp>
        <stp>CHG_PCT_1D</stp>
        <stp>[Index.xlsm]全球指數!R196C5</stp>
        <tr r="E196" s="1"/>
      </tp>
      <tp>
        <v>5821.81</v>
        <stp/>
        <stp>##V3_BDPV12</stp>
        <stp>TSE2 Index</stp>
        <stp>LOW_52WEEK</stp>
        <stp>[Index.xlsm]全球指數!R261C8</stp>
        <tr r="H261" s="1"/>
      </tp>
      <tp>
        <v>5074.67</v>
        <stp/>
        <stp>##V3_BDPV12</stp>
        <stp>SMX Index</stp>
        <stp>LOW_52WEEK</stp>
        <stp>[Index.xlsm]全球指數!R87C8</stp>
        <tr r="H87" s="1"/>
      </tp>
      <tp>
        <v>5880.8149999999996</v>
        <stp/>
        <stp>##V3_BDPV12</stp>
        <stp>QIV Index</stp>
        <stp>LOW_52WEEK</stp>
        <stp>[Index.xlsm]全球指數!R65C8</stp>
        <tr r="H65" s="1"/>
      </tp>
      <tp>
        <v>10541.1796875</v>
        <stp/>
        <stp>##V3_BDPV12</stp>
        <stp>SICOM Index</stp>
        <stp>HIGH_52WEEK</stp>
        <stp>[Index.xlsm]全球指數!R15C6</stp>
        <tr r="F15" s="1"/>
      </tp>
      <tp>
        <v>1086.19</v>
        <stp/>
        <stp>##V3_BDPV12</stp>
        <stp>WBI Index</stp>
        <stp>LOW_52WEEK</stp>
        <stp>[Index.xlsm]全球指數!R63C8</stp>
        <tr r="H63" s="1"/>
      </tp>
      <tp>
        <v>-0.3955687</v>
        <stp/>
        <stp>##V3_BDPV12</stp>
        <stp>AXX Index</stp>
        <stp>CHG_PCT_1D</stp>
        <stp>[Index.xlsm]全球指數!R76C5</stp>
        <tr r="E76" s="1"/>
      </tp>
      <tp>
        <v>1799.096</v>
        <stp/>
        <stp>##V3_BDPV12</stp>
        <stp>SZCOMP Index</stp>
        <stp>HIGH_52WEEK</stp>
        <stp>[Index.xlsm]全球指數!R11C6</stp>
        <tr r="F11" s="1"/>
      </tp>
      <tp>
        <v>-8.4896820000000002</v>
        <stp/>
        <stp>##V3_BDPV12</stp>
        <stp>MSETOP Index</stp>
        <stp>PR064</stp>
        <stp>[Index.xlsm]全球指數!R26C14</stp>
        <tr r="N26" s="1"/>
      </tp>
      <tp>
        <v>-6.2466609999999996</v>
        <stp/>
        <stp>##V3_BDPV12</stp>
        <stp>EUETMP Index</stp>
        <stp>PR064</stp>
        <stp>[Index.xlsm]全球指數!R97C14</stp>
        <tr r="N97" s="1"/>
      </tp>
      <tp>
        <v>3229.65</v>
        <stp/>
        <stp>##V3_BDPV12</stp>
        <stp>SX5P Index</stp>
        <stp>PX_LAST</stp>
        <stp>[Index.xlsm]全球指數!R255C4</stp>
        <tr r="D255" s="1"/>
      </tp>
      <tp>
        <v>7896.48</v>
        <stp/>
        <stp>##V3_BDPV12</stp>
        <stp>PCOMP Index</stp>
        <stp>PX_LAST</stp>
        <stp>[Index.xlsm]全球指數!R231C4</stp>
        <tr r="D231" s="1"/>
      </tp>
      <tp>
        <v>12157.64</v>
        <stp/>
        <stp>##V3_BDPV12</stp>
        <stp>SPI Index</stp>
        <stp>PX_LAST</stp>
        <stp>[Index.xlsm]全球指數!R206C4</stp>
        <tr r="D206" s="1"/>
      </tp>
      <tp>
        <v>1959.7</v>
        <stp/>
        <stp>##V3_BDPV12</stp>
        <stp>CRO Index</stp>
        <stp>PX_LAST</stp>
        <stp>[Index.xlsm]全球指數!R310C4</stp>
        <tr r="D310" s="1"/>
      </tp>
      <tp>
        <v>-9.7091999999999992</v>
        <stp/>
        <stp>##V3_BDPV12</stp>
        <stp>CHSMLCAP Index</stp>
        <stp>CHG_PCT_1YR</stp>
        <stp>[Index.xlsm]全球指數!R273C15</stp>
        <tr r="O273" s="1"/>
      </tp>
      <tp>
        <v>8.5238330000000001E-2</v>
        <stp/>
        <stp>##V3_BDPV12</stp>
        <stp>MOSENEW Index</stp>
        <stp>CHG_PCT_1D</stp>
        <stp>[Index.xlsm]全球指數!R188C5</stp>
        <tr r="E188" s="1"/>
      </tp>
      <tp t="s">
        <v>PE</v>
        <stp/>
        <stp>##V3_BDPV12</stp>
        <stp>SPBL25PT Index</stp>
        <stp>DS003</stp>
        <stp>[Index.xlsm]全球指數!R232C3</stp>
        <tr r="C232" s="1"/>
      </tp>
      <tp>
        <v>26891.119999999999</v>
        <stp/>
        <stp>##V3_BDPV12</stp>
        <stp>INDU Index</stp>
        <stp>PX_LAST</stp>
        <stp>[Index.xlsm]全球指數!R170C4</stp>
        <tr r="D170" s="1"/>
      </tp>
      <tp>
        <v>2165.42</v>
        <stp/>
        <stp>##V3_BDPV12</stp>
        <stp>KZKAK Index</stp>
        <stp>PX_LAST</stp>
        <stp>[Index.xlsm]全球指數!R131C4</stp>
        <tr r="D131" s="1"/>
      </tp>
      <tp>
        <v>16.629577345301122</v>
        <stp/>
        <stp>##V3_BDPV12</stp>
        <stp>SE30 Index</stp>
        <stp>PE_RATIO</stp>
        <stp>[Index.xlsm]全球指數!R29C18</stp>
        <tr r="R29" s="1"/>
      </tp>
      <tp>
        <v>93.96</v>
        <stp/>
        <stp>##V3_BDPV12</stp>
        <stp>MSFT US Equity</stp>
        <stp>LOW_52WEEK</stp>
        <stp>[Index.xlsm]主要產業!R2C28</stp>
        <tr r="AB2" s="2"/>
      </tp>
      <tp>
        <v>1703.809</v>
        <stp/>
        <stp>##V3_BDPV12</stp>
        <stp>RTY INDEX</stp>
        <stp>HIGH_52WEEK</stp>
        <stp>[Index.xlsm]主要產業!R7C44</stp>
        <tr r="AR7" s="2"/>
      </tp>
      <tp>
        <v>1.9770300000000001</v>
        <stp/>
        <stp>##V3_BDPV12</stp>
        <stp>PG US Equity</stp>
        <stp>CHG_PCT_5D</stp>
        <stp>[Index.xlsm]主要產業!R8C30</stp>
        <tr r="AD8" s="2"/>
      </tp>
      <tp>
        <v>20.665890000000001</v>
        <stp/>
        <stp>##V3_BDPV12</stp>
        <stp>PG US Equity</stp>
        <stp>CHG_PCT_6M</stp>
        <stp>[Index.xlsm]主要產業!R8C33</stp>
        <tr r="AG8" s="2"/>
      </tp>
      <tp>
        <v>13.28716</v>
        <stp/>
        <stp>##V3_BDPV12</stp>
        <stp>PG US Equity</stp>
        <stp>CHG_PCT_3M</stp>
        <stp>[Index.xlsm]主要產業!R8C32</stp>
        <tr r="AF8" s="2"/>
      </tp>
      <tp>
        <v>4.1820320000000004</v>
        <stp/>
        <stp>##V3_BDPV12</stp>
        <stp>PG US Equity</stp>
        <stp>CHG_PCT_1M</stp>
        <stp>[Index.xlsm]主要產業!R8C31</stp>
        <tr r="AE8" s="2"/>
      </tp>
      <tp>
        <v>1.04861</v>
        <stp/>
        <stp>##V3_BDPV12</stp>
        <stp>PG US Equity</stp>
        <stp>CHG_PCT_1D</stp>
        <stp>[Index.xlsm]主要產業!R8C25</stp>
        <tr r="Y8" s="2"/>
      </tp>
      <tp>
        <v>1892.18</v>
        <stp/>
        <stp>##V3_BDPV12</stp>
        <stp>SH000909 Index</stp>
        <stp>PX_LAST</stp>
        <stp>[Index.xlsm]主要產業!R54C4</stp>
        <tr r="D54" s="2"/>
      </tp>
      <tp>
        <v>18.086762825781538</v>
        <stp/>
        <stp>##V3_BDPV12</stp>
        <stp>s5cond index</stp>
        <stp>INTERVAL_Low</stp>
        <stp>[Index.xlsm]主要產業!R7C17</stp>
        <stp>MARKET_DATA_OVERRIDE=PE_RATIO</stp>
        <stp>CALC_INTERVAL=5y</stp>
        <stp>BEST_FPERIOD_OVERRIDE=BF</stp>
        <tr r="Q7" s="2"/>
      </tp>
      <tp>
        <v>292.2</v>
        <stp/>
        <stp>##V3_BDPV12</stp>
        <stp>TWSEAUTO Index</stp>
        <stp>PX_LAST</stp>
        <stp>[Index.xlsm]主要產業!R83C4</stp>
        <tr r="D83" s="2"/>
      </tp>
      <tp>
        <v>10213.59</v>
        <stp/>
        <stp>##V3_BDPV12</stp>
        <stp>SH000913 Index</stp>
        <stp>PX_LAST</stp>
        <stp>[Index.xlsm]主要產業!R55C4</stp>
        <tr r="D55" s="2"/>
      </tp>
      <tp>
        <v>8121.22</v>
        <stp/>
        <stp>##V3_BDPV12</stp>
        <stp>HSCIUT Index</stp>
        <stp>HIGH_52WEEK</stp>
        <stp>[Index.xlsm]主要產業!R68C6</stp>
        <tr r="F68" s="2"/>
      </tp>
      <tp>
        <v>11.876709999999999</v>
        <stp/>
        <stp>##V3_BDPV12</stp>
        <stp>TSEREIT Index</stp>
        <stp>CHG_PCT_3M</stp>
        <stp>[Index.xlsm]全球指數!R309C12</stp>
        <tr r="L309" s="1"/>
      </tp>
      <tp>
        <v>-6.092352</v>
        <stp/>
        <stp>##V3_BDPV12</stp>
        <stp>STI Index</stp>
        <stp>PR064</stp>
        <stp>[Index.xlsm]全球指數!R123C14</stp>
        <tr r="N123" s="1"/>
      </tp>
      <tp>
        <v>425.29</v>
        <stp/>
        <stp>##V3_BDPV12</stp>
        <stp>OBXP Index</stp>
        <stp>LOW_52WEEK</stp>
        <stp>[Index.xlsm]全球指數!R47C8</stp>
        <tr r="H47" s="1"/>
      </tp>
      <tp>
        <v>3.9638390000000001</v>
        <stp/>
        <stp>##V3_BDPV12</stp>
        <stp>FTSEMIB Index</stp>
        <stp>CHG_PCT_3M</stp>
        <stp>[Index.xlsm]全球指數!R153C12</stp>
        <tr r="L153" s="1"/>
      </tp>
      <tp>
        <v>9.199446</v>
        <stp/>
        <stp>##V3_BDPV12</stp>
        <stp>UTY Index</stp>
        <stp>PR064</stp>
        <stp>[Index.xlsm]全球指數!R303C14</stp>
        <tr r="N303" s="1"/>
      </tp>
      <tp>
        <v>1.7605010000000001</v>
        <stp/>
        <stp>##V3_BDPV12</stp>
        <stp>VHINDEX Index</stp>
        <stp>CHG_PCT_3M</stp>
        <stp>[Index.xlsm]全球指數!R276C12</stp>
        <tr r="L276" s="1"/>
      </tp>
      <tp>
        <v>5.051374</v>
        <stp/>
        <stp>##V3_BDPV12</stp>
        <stp>VNINDEX Index</stp>
        <stp>CHG_PCT_3M</stp>
        <stp>[Index.xlsm]全球指數!R177C12</stp>
        <tr r="L177" s="1"/>
      </tp>
      <tp>
        <v>-8.4754769999999993E-2</v>
        <stp/>
        <stp>##V3_BDPV12</stp>
        <stp>SZBSHR Index</stp>
        <stp>CHG_PCT_1D</stp>
        <stp>[Index.xlsm]全球指數!R128C5</stp>
        <tr r="E128" s="1"/>
      </tp>
      <tp>
        <v>1352.17</v>
        <stp/>
        <stp>##V3_BDPV12</stp>
        <stp>SPEU Index</stp>
        <stp>LOW_52WEEK</stp>
        <stp>[Index.xlsm]全球指數!R162C8</stp>
        <tr r="H162" s="1"/>
      </tp>
      <tp>
        <v>26.18938883805507</v>
        <stp/>
        <stp>##V3_BDPV12</stp>
        <stp>HEX25 Index</stp>
        <stp>INTERVAL_HIGH</stp>
        <stp>[Index.xlsm]全球指數!R67C16</stp>
        <stp>MARKET_DATA_OVERRIDE=PE_RATIO</stp>
        <stp>CALC_INTERVAL=5y</stp>
        <stp>BEST_FPERIOD_OVERRIDE=BF</stp>
        <tr r="P67" s="1"/>
      </tp>
      <tp>
        <v>884.22</v>
        <stp/>
        <stp>##V3_BDPV12</stp>
        <stp>FTBIVA Index</stp>
        <stp>PX_LAST</stp>
        <stp>[Index.xlsm]全球指數!R245C4</stp>
        <tr r="D245" s="1"/>
      </tp>
      <tp>
        <v>179.7911197052828</v>
        <stp/>
        <stp>##V3_BDPV12</stp>
        <stp>KOSDAQ Index</stp>
        <stp>INTERVAL_HIGH</stp>
        <stp>[Index.xlsm]全球指數!R18C16</stp>
        <stp>MARKET_DATA_OVERRIDE=PE_RATIO</stp>
        <stp>CALC_INTERVAL=5y</stp>
        <stp>BEST_FPERIOD_OVERRIDE=BF</stp>
        <tr r="P18" s="1"/>
      </tp>
      <tp>
        <v>-9.2169790000000003</v>
        <stp/>
        <stp>##V3_BDPV12</stp>
        <stp>MIDWIG Index</stp>
        <stp>PR064</stp>
        <stp>[Index.xlsm]全球指數!R21C14</stp>
        <tr r="N21" s="1"/>
      </tp>
      <tp t="s">
        <v>#N/A N/A</v>
        <stp/>
        <stp>##V3_BDPV12</stp>
        <stp>SZ399550 Index</stp>
        <stp>INTERVAL_Low</stp>
        <stp>[Index.xlsm]全球指數!R59C17</stp>
        <stp>MARKET_DATA_OVERRIDE=PE_RATIO</stp>
        <stp>CALC_INTERVAL=5y</stp>
        <stp>BEST_FPERIOD_OVERRIDE=BF</stp>
        <tr r="Q59" s="1"/>
      </tp>
      <tp>
        <v>18.033973067966009</v>
        <stp/>
        <stp>##V3_BDPV12</stp>
        <stp>SZ399005 Index</stp>
        <stp>INTERVAL_Low</stp>
        <stp>[Index.xlsm]全球指數!R16C17</stp>
        <stp>MARKET_DATA_OVERRIDE=PE_RATIO</stp>
        <stp>CALC_INTERVAL=5y</stp>
        <stp>BEST_FPERIOD_OVERRIDE=BF</stp>
        <tr r="Q16" s="1"/>
      </tp>
      <tp>
        <v>15.001031825549374</v>
        <stp/>
        <stp>##V3_BDPV12</stp>
        <stp>SZ399330 Index</stp>
        <stp>INTERVAL_Low</stp>
        <stp>[Index.xlsm]全球指數!R20C17</stp>
        <stp>MARKET_DATA_OVERRIDE=PE_RATIO</stp>
        <stp>CALC_INTERVAL=5y</stp>
        <stp>BEST_FPERIOD_OVERRIDE=BF</stp>
        <tr r="Q20" s="1"/>
      </tp>
      <tp>
        <v>9674.94</v>
        <stp/>
        <stp>##V3_BDPV12</stp>
        <stp>IVBX2 Index</stp>
        <stp>LOW_52WEEK</stp>
        <stp>[Index.xlsm]全球指數!R274C8</stp>
        <tr r="H274" s="1"/>
      </tp>
      <tp>
        <v>3288.453</v>
        <stp/>
        <stp>##V3_BDPV12</stp>
        <stp>SHCOMP Index</stp>
        <stp>HIGH_52WEEK</stp>
        <stp>[Index.xlsm]全球指數!R32C6</stp>
        <tr r="F32" s="1"/>
      </tp>
      <tp>
        <v>389.95</v>
        <stp/>
        <stp>##V3_BDPV12</stp>
        <stp>SXXP Index</stp>
        <stp>PX_LAST</stp>
        <stp>[Index.xlsm]全球指數!R196C4</stp>
        <tr r="D196" s="1"/>
      </tp>
      <tp>
        <v>19173.72</v>
        <stp/>
        <stp>##V3_BDPV12</stp>
        <stp>QETR Index</stp>
        <stp>PX_LAST</stp>
        <stp>[Index.xlsm]全球指數!R144C4</stp>
        <tr r="D144" s="1"/>
      </tp>
      <tp>
        <v>19.729169963381562</v>
        <stp/>
        <stp>##V3_BDPV12</stp>
        <stp>PXAP Index</stp>
        <stp>PE_RATIO</stp>
        <stp>[Index.xlsm]全球指數!R80C18</stp>
        <tr r="R80" s="1"/>
      </tp>
      <tp>
        <v>524.87810000000002</v>
        <stp/>
        <stp>##V3_BDPV12</stp>
        <stp>PFTS Index</stp>
        <stp>PX_LAST</stp>
        <stp>[Index.xlsm]全球指數!R295C4</stp>
        <tr r="D295" s="1"/>
      </tp>
      <tp>
        <v>-11.77563</v>
        <stp/>
        <stp>##V3_BDPV12</stp>
        <stp>FTBIVA Index</stp>
        <stp>CHG_PCT_1YR</stp>
        <stp>[Index.xlsm]全球指數!R245C15</stp>
        <tr r="O245" s="1"/>
      </tp>
      <tp>
        <v>0.27891929999999998</v>
        <stp/>
        <stp>##V3_BDPV12</stp>
        <stp>FBMEMAS Index</stp>
        <stp>CHG_PCT_1D</stp>
        <stp>[Index.xlsm]全球指數!R242C5</stp>
        <tr r="E242" s="1"/>
      </tp>
      <tp>
        <v>-6.7403490000000001</v>
        <stp/>
        <stp>##V3_BDPV12</stp>
        <stp>SHBSHR Index</stp>
        <stp>CHG_PCT_1YR</stp>
        <stp>[Index.xlsm]全球指數!R116C15</stp>
        <tr r="O116" s="1"/>
      </tp>
      <tp>
        <v>-3.3077580000000002</v>
        <stp/>
        <stp>##V3_BDPV12</stp>
        <stp>SZBSHR Index</stp>
        <stp>CHG_PCT_1YR</stp>
        <stp>[Index.xlsm]全球指數!R128C15</stp>
        <tr r="O128" s="1"/>
      </tp>
      <tp>
        <v>2148.13</v>
        <stp/>
        <stp>##V3_BDPV12</stp>
        <stp>FTASE Index</stp>
        <stp>PX_LAST</stp>
        <stp>[Index.xlsm]全球指數!R141C4</stp>
        <tr r="D141" s="1"/>
      </tp>
      <tp>
        <v>1179.4469999999999</v>
        <stp/>
        <stp>##V3_BDPV12</stp>
        <stp>MSER Index</stp>
        <stp>PX_LAST</stp>
        <stp>[Index.xlsm]全球指數!R154C4</stp>
        <tr r="D154" s="1"/>
      </tp>
      <tp t="s">
        <v>EC</v>
        <stp/>
        <stp>##V3_BDPV12</stp>
        <stp>SXNP INDEX</stp>
        <stp>DS003</stp>
        <stp>[Index.xlsm]主要產業!R19C3</stp>
        <tr r="C19" s="2"/>
      </tp>
      <tp t="s">
        <v>EC</v>
        <stp/>
        <stp>##V3_BDPV12</stp>
        <stp>SXKP INDEX</stp>
        <stp>DS003</stp>
        <stp>[Index.xlsm]主要產業!R29C3</stp>
        <tr r="C29" s="2"/>
      </tp>
      <tp t="s">
        <v>US</v>
        <stp/>
        <stp>##V3_BDPV12</stp>
        <stp>GOOGL US Equity</stp>
        <stp>DS003</stp>
        <stp>[Index.xlsm]主要產業!R7C23</stp>
        <tr r="W7" s="2"/>
      </tp>
      <tp>
        <v>1867.098</v>
        <stp/>
        <stp>##V3_BDPV12</stp>
        <stp>SH000917 Index</stp>
        <stp>PX_LAST</stp>
        <stp>[Index.xlsm]主要產業!R56C4</stp>
        <tr r="D56" s="2"/>
      </tp>
      <tp>
        <v>2997.89</v>
        <stp/>
        <stp>##V3_BDPV12</stp>
        <stp>ATX Index</stp>
        <stp>PX_LAST</stp>
        <stp>[Index.xlsm]全球指數!R34C4</stp>
        <tr r="D34" s="1"/>
      </tp>
      <tp>
        <v>-5.4927910000000004</v>
        <stp/>
        <stp>##V3_BDPV12</stp>
        <stp>JOSMGNFF Index</stp>
        <stp>CHG_PCT_6M</stp>
        <stp>[Index.xlsm]全球指數!R263C13</stp>
        <tr r="M263" s="1"/>
      </tp>
      <tp>
        <v>-5.3089789999999999</v>
        <stp/>
        <stp>##V3_BDPV12</stp>
        <stp>CYSMMAPA Index</stp>
        <stp>CHG_PCT_1M</stp>
        <stp>[Index.xlsm]全球指數!R139C11</stp>
        <tr r="K139" s="1"/>
      </tp>
      <tp>
        <v>-0.77980570000000005</v>
        <stp/>
        <stp>##V3_BDPV12</stp>
        <stp>LSXC Index</stp>
        <stp>CHG_PCT_1D</stp>
        <stp>[Index.xlsm]全球指數!R14C5</stp>
        <tr r="E14" s="1"/>
      </tp>
      <tp>
        <v>2727.92</v>
        <stp/>
        <stp>##V3_BDPV12</stp>
        <stp>NMDP Index</stp>
        <stp>LOW_52WEEK</stp>
        <stp>[Index.xlsm]全球指數!R19C8</stp>
        <tr r="H19" s="1"/>
      </tp>
      <tp>
        <v>3.073197</v>
        <stp/>
        <stp>##V3_BDPV12</stp>
        <stp>COLEQTY Index</stp>
        <stp>CHG_PCT_6M</stp>
        <stp>[Index.xlsm]全球指數!R268C13</stp>
        <tr r="M268" s="1"/>
      </tp>
      <tp>
        <v>0.2318703</v>
        <stp/>
        <stp>##V3_BDPV12</stp>
        <stp>BUX Index</stp>
        <stp>PR064</stp>
        <stp>[Index.xlsm]全球指數!R138C14</stp>
        <tr r="N138" s="1"/>
      </tp>
      <tp>
        <v>2.0424389999999999</v>
        <stp/>
        <stp>##V3_BDPV12</stp>
        <stp>BELEXLIN Index</stp>
        <stp>CHG_PCT_6M</stp>
        <stp>[Index.xlsm]全球指數!R248C13</stp>
        <tr r="M248" s="1"/>
      </tp>
      <tp>
        <v>14221.83</v>
        <stp/>
        <stp>##V3_BDPV12</stp>
        <stp>TXEQ Index</stp>
        <stp>LOW_52WEEK</stp>
        <stp>[Index.xlsm]全球指數!R193C8</stp>
        <tr r="H193" s="1"/>
      </tp>
      <tp>
        <v>-7.2267950000000001</v>
        <stp/>
        <stp>##V3_BDPV12</stp>
        <stp>HSFML25 Index</stp>
        <stp>PR064</stp>
        <stp>[Index.xlsm]全球指數!R81C14</stp>
        <tr r="N81" s="1"/>
      </tp>
      <tp>
        <v>-1.776392</v>
        <stp/>
        <stp>##V3_BDPV12</stp>
        <stp>TOP40 Index</stp>
        <stp>CHG_PCT_5D</stp>
        <stp>[Index.xlsm]全球指數!R64C10</stp>
        <tr r="J64" s="1"/>
      </tp>
      <tp>
        <v>-1.3100339999999999</v>
        <stp/>
        <stp>##V3_BDPV12</stp>
        <stp>TOP40 Index</stp>
        <stp>CHG_PCT_6M</stp>
        <stp>[Index.xlsm]全球指數!R64C13</stp>
        <tr r="M64" s="1"/>
      </tp>
      <tp>
        <v>2.2759</v>
        <stp/>
        <stp>##V3_BDPV12</stp>
        <stp>TOP40 Index</stp>
        <stp>CHG_PCT_1M</stp>
        <stp>[Index.xlsm]全球指數!R64C11</stp>
        <tr r="K64" s="1"/>
      </tp>
      <tp>
        <v>7087.9</v>
        <stp/>
        <stp>##V3_BDPV12</stp>
        <stp>TUSISE Index</stp>
        <stp>PX_LAST</stp>
        <stp>[Index.xlsm]全球指數!R221C4</stp>
        <tr r="D221" s="1"/>
      </tp>
      <tp>
        <v>-5.4032030000000004</v>
        <stp/>
        <stp>##V3_BDPV12</stp>
        <stp>TOP40 Index</stp>
        <stp>CHG_PCT_3M</stp>
        <stp>[Index.xlsm]全球指數!R64C12</stp>
        <tr r="L64" s="1"/>
      </tp>
      <tp>
        <v>127.9</v>
        <stp/>
        <stp>##V3_BDPV12</stp>
        <stp>JSDA Index</stp>
        <stp>LOW_52WEEK</stp>
        <stp>[Index.xlsm]全球指數!R302C8</stp>
        <tr r="H302" s="1"/>
      </tp>
      <tp>
        <v>10004.549999999999</v>
        <stp/>
        <stp>##V3_BDPV12</stp>
        <stp>NIFTY Index</stp>
        <stp>LOW_52WEEK</stp>
        <stp>[Index.xlsm]全球指數!R319C8</stp>
        <tr r="H319" s="1"/>
      </tp>
      <tp>
        <v>0.2904968</v>
        <stp/>
        <stp>##V3_BDPV12</stp>
        <stp>CRTX Index</stp>
        <stp>CHG_PCT_1D</stp>
        <stp>[Index.xlsm]全球指數!R108C5</stp>
        <tr r="E108" s="1"/>
      </tp>
      <tp>
        <v>786.89359999999999</v>
        <stp/>
        <stp>##V3_BDPV12</stp>
        <stp>BLOM Index</stp>
        <stp>LOW_52WEEK</stp>
        <stp>[Index.xlsm]全球指數!R259C8</stp>
        <tr r="H259" s="1"/>
      </tp>
      <tp>
        <v>-4.3361950000000002E-3</v>
        <stp/>
        <stp>##V3_BDPV12</stp>
        <stp>ATX Index</stp>
        <stp>CHG_PCT_1D</stp>
        <stp>[Index.xlsm]全球指數!R34C5</stp>
        <tr r="E34" s="1"/>
      </tp>
      <tp t="s">
        <v>TU</v>
        <stp/>
        <stp>##V3_BDPV12</stp>
        <stp>XU030 Index</stp>
        <stp>DS003</stp>
        <stp>[Index.xlsm]全球指數!R299C3</stp>
        <tr r="C299" s="1"/>
      </tp>
      <tp t="s">
        <v>TU</v>
        <stp/>
        <stp>##V3_BDPV12</stp>
        <stp>XU100 Index</stp>
        <stp>DS003</stp>
        <stp>[Index.xlsm]全球指數!R298C3</stp>
        <tr r="C298" s="1"/>
      </tp>
      <tp>
        <v>5493.33</v>
        <stp/>
        <stp>##V3_BDPV12</stp>
        <stp>CHTX Index</stp>
        <stp>HIGH_52WEEK</stp>
        <stp>[Index.xlsm]全球指數!R27C6</stp>
        <tr r="F27" s="1"/>
      </tp>
      <tp>
        <v>1604.56</v>
        <stp/>
        <stp>##V3_BDPV12</stp>
        <stp>SPEU Index</stp>
        <stp>PX_LAST</stp>
        <stp>[Index.xlsm]全球指數!R162C4</stp>
        <tr r="D162" s="1"/>
      </tp>
      <tp>
        <v>-7.8574539999999997</v>
        <stp/>
        <stp>##V3_BDPV12</stp>
        <stp>JOSMGNFF Index</stp>
        <stp>CHG_PCT_1YR</stp>
        <stp>[Index.xlsm]全球指數!R263C15</stp>
        <tr r="O263" s="1"/>
      </tp>
      <tp>
        <v>3242.0650000000001</v>
        <stp/>
        <stp>##V3_BDPV12</stp>
        <stp>XCI Index</stp>
        <stp>PX_LAST</stp>
        <stp>[Index.xlsm]全球指數!R124C4</stp>
        <tr r="D124" s="1"/>
      </tp>
      <tp>
        <v>4348.6099999999997</v>
        <stp/>
        <stp>##V3_BDPV12</stp>
        <stp>MBI Index</stp>
        <stp>PX_LAST</stp>
        <stp>[Index.xlsm]全球指數!R314C4</stp>
        <tr r="D314" s="1"/>
      </tp>
      <tp>
        <v>8142.7510000000002</v>
        <stp/>
        <stp>##V3_BDPV12</stp>
        <stp>NYK Index</stp>
        <stp>PX_LAST</stp>
        <stp>[Index.xlsm]全球指數!R216C4</stp>
        <tr r="D216" s="1"/>
      </tp>
      <tp>
        <v>8966.7199999999993</v>
        <stp/>
        <stp>##V3_BDPV12</stp>
        <stp>COMP Index</stp>
        <stp>PX_LAST</stp>
        <stp>[Index.xlsm]全球指數!R217C4</stp>
        <tr r="D217" s="1"/>
      </tp>
      <tp>
        <v>10363.77</v>
        <stp/>
        <stp>##V3_BDPV12</stp>
        <stp>CINS Index</stp>
        <stp>PX_LAST</stp>
        <stp>[Index.xlsm]全球指數!R254C4</stp>
        <tr r="D254" s="1"/>
      </tp>
      <tp>
        <v>8575.6859999999997</v>
        <stp/>
        <stp>##V3_BDPV12</stp>
        <stp>NYLID Index</stp>
        <stp>PX_LAST</stp>
        <stp>[Index.xlsm]全球指數!R179C4</stp>
        <tr r="D179" s="1"/>
      </tp>
      <tp t="s">
        <v>EC</v>
        <stp/>
        <stp>##V3_BDPV12</stp>
        <stp>SXDP INDEX</stp>
        <stp>DS003</stp>
        <stp>[Index.xlsm]主要產業!R18C3</stp>
        <tr r="C18" s="2"/>
      </tp>
      <tp t="s">
        <v>EC</v>
        <stp/>
        <stp>##V3_BDPV12</stp>
        <stp>SXRP INDEX</stp>
        <stp>DS003</stp>
        <stp>[Index.xlsm]主要產業!R28C3</stp>
        <tr r="C28" s="2"/>
      </tp>
      <tp>
        <v>5.622655</v>
        <stp/>
        <stp>##V3_BDPV12</stp>
        <stp>s5indu Index</stp>
        <stp>CHG_PCT_6M</stp>
        <stp>[Index.xlsm]主要產業!R8C13</stp>
        <tr r="M8" s="2"/>
      </tp>
      <tp>
        <v>-0.68027249999999995</v>
        <stp/>
        <stp>##V3_BDPV12</stp>
        <stp>s5indu Index</stp>
        <stp>CHG_PCT_5D</stp>
        <stp>[Index.xlsm]主要產業!R8C10</stp>
        <tr r="J8" s="2"/>
      </tp>
      <tp>
        <v>1.6758789999999999</v>
        <stp/>
        <stp>##V3_BDPV12</stp>
        <stp>s5indu Index</stp>
        <stp>CHG_PCT_3M</stp>
        <stp>[Index.xlsm]主要產業!R8C12</stp>
        <tr r="L8" s="2"/>
      </tp>
      <tp>
        <v>6.5358369999999999</v>
        <stp/>
        <stp>##V3_BDPV12</stp>
        <stp>s5indu Index</stp>
        <stp>CHG_PCT_1M</stp>
        <stp>[Index.xlsm]主要產業!R8C11</stp>
        <tr r="K8" s="2"/>
      </tp>
      <tp>
        <v>14.992789999999999</v>
        <stp/>
        <stp>##V3_BDPV12</stp>
        <stp>GOOGL US Equity</stp>
        <stp>PR064</stp>
        <stp>[Index.xlsm]主要產業!R7C34</stp>
        <tr r="AH7" s="2"/>
      </tp>
      <tp>
        <v>2745.9259999999999</v>
        <stp/>
        <stp>##V3_BDPV12</stp>
        <stp>SH000916 Index</stp>
        <stp>PX_LAST</stp>
        <stp>[Index.xlsm]主要產業!R57C4</stp>
        <tr r="D57" s="2"/>
      </tp>
      <tp>
        <v>239.36</v>
        <stp/>
        <stp>##V3_BDPV12</stp>
        <stp>TWSEDEPT Index</stp>
        <stp>PX_LAST</stp>
        <stp>[Index.xlsm]主要產業!R85C4</stp>
        <tr r="D85" s="2"/>
      </tp>
      <tp>
        <v>14.549412761093134</v>
        <stp/>
        <stp>##V3_BDPV12</stp>
        <stp>E300 Index</stp>
        <stp>INTERVAL_Low</stp>
        <stp>[Index.xlsm]全球指數!R213C17</stp>
        <stp>MARKET_DATA_OVERRIDE=PE_RATIO</stp>
        <stp>CALC_INTERVAL=5y</stp>
        <stp>BEST_FPERIOD_OVERRIDE=BF</stp>
        <tr r="Q213" s="1"/>
      </tp>
      <tp>
        <v>21492.390625</v>
        <stp/>
        <stp>##V3_BDPV12</stp>
        <stp>SPBLPGPT Index</stp>
        <stp>HIGH_52WEEK</stp>
        <stp>[Index.xlsm]全球指數!R277C6</stp>
        <tr r="F277" s="1"/>
      </tp>
      <tp>
        <v>-1.340419</v>
        <stp/>
        <stp>##V3_BDPV12</stp>
        <stp>BWORLDEU Index</stp>
        <stp>CHG_PCT_5D</stp>
        <stp>[Index.xlsm]全球指數!R101C10</stp>
        <tr r="J101" s="1"/>
      </tp>
      <tp>
        <v>0.34833829999999999</v>
        <stp/>
        <stp>##V3_BDPV12</stp>
        <stp>PXAP Index</stp>
        <stp>CHG_PCT_1D</stp>
        <stp>[Index.xlsm]全球指數!R80C5</stp>
        <tr r="E80" s="1"/>
      </tp>
      <tp>
        <v>69308.8984375</v>
        <stp/>
        <stp>##V3_BDPV12</stp>
        <stp>IBOVIEE Index</stp>
        <stp>HIGH_52WEEK</stp>
        <stp>[Index.xlsm]全球指數!R37C6</stp>
        <tr r="F37" s="1"/>
      </tp>
      <tp>
        <v>7.6519579999999996</v>
        <stp/>
        <stp>##V3_BDPV12</stp>
        <stp>BHSEASI Index</stp>
        <stp>CHG_PCT_6M</stp>
        <stp>[Index.xlsm]全球指數!R304C13</stp>
        <tr r="M304" s="1"/>
      </tp>
      <tp>
        <v>1310.5</v>
        <stp/>
        <stp>##V3_BDPV12</stp>
        <stp>MXAPEXA Index</stp>
        <stp>HIGH_52WEEK</stp>
        <stp>[Index.xlsm]全球指數!R90C6</stp>
        <tr r="F90" s="1"/>
      </tp>
      <tp>
        <v>-8.3564410000000002</v>
        <stp/>
        <stp>##V3_BDPV12</stp>
        <stp>KOSPI100 Index</stp>
        <stp>CHG_PCT_1YR</stp>
        <stp>[Index.xlsm]全球指數!R195C15</stp>
        <tr r="O195" s="1"/>
      </tp>
      <tp>
        <v>366.51662012313307</v>
        <stp/>
        <stp>##V3_BDPV12</stp>
        <stp>BUX Index</stp>
        <stp>INTERVAL_HIGH</stp>
        <stp>[Index.xlsm]全球指數!R138C16</stp>
        <stp>MARKET_DATA_OVERRIDE=PE_RATIO</stp>
        <stp>CALC_INTERVAL=5y</stp>
        <stp>BEST_FPERIOD_OVERRIDE=BF</stp>
        <tr r="P138" s="1"/>
      </tp>
      <tp>
        <v>-1.28637</v>
        <stp/>
        <stp>##V3_BDPV12</stp>
        <stp>CUTL Index</stp>
        <stp>CHG_PCT_1D</stp>
        <stp>[Index.xlsm]全球指數!R107C5</stp>
        <tr r="E107" s="1"/>
      </tp>
      <tp>
        <v>0.17972869999999999</v>
        <stp/>
        <stp>##V3_BDPV12</stp>
        <stp>NKYJQ Index</stp>
        <stp>CHG_PCT_1D</stp>
        <stp>[Index.xlsm]全球指數!R292C5</stp>
        <tr r="E292" s="1"/>
      </tp>
      <tp>
        <v>1548.58</v>
        <stp/>
        <stp>##V3_BDPV12</stp>
        <stp>FTASE Index</stp>
        <stp>LOW_52WEEK</stp>
        <stp>[Index.xlsm]全球指數!R141C8</stp>
        <tr r="H141" s="1"/>
      </tp>
      <tp>
        <v>1290.9000000000001</v>
        <stp/>
        <stp>##V3_BDPV12</stp>
        <stp>COLCAP Index</stp>
        <stp>LOW_52WEEK</stp>
        <stp>[Index.xlsm]全球指數!R265C8</stp>
        <tr r="H265" s="1"/>
      </tp>
      <tp>
        <v>4627.41015625</v>
        <stp/>
        <stp>##V3_BDPV12</stp>
        <stp>KWSEMM Index</stp>
        <stp>LOW_52WEEK</stp>
        <stp>[Index.xlsm]全球指數!R291C8</stp>
        <tr r="H291" s="1"/>
      </tp>
      <tp>
        <v>326.39999999999998</v>
        <stp/>
        <stp>##V3_BDPV12</stp>
        <stp>BBREIT Index</stp>
        <stp>PX_LAST</stp>
        <stp>[Index.xlsm]全球指數!R288C4</stp>
        <tr r="D288" s="1"/>
      </tp>
      <tp>
        <v>-1.083626</v>
        <stp/>
        <stp>##V3_BDPV12</stp>
        <stp>SHBSHR Index</stp>
        <stp>CHG_PCT_1D</stp>
        <stp>[Index.xlsm]全球指數!R116C5</stp>
        <tr r="E116" s="1"/>
      </tp>
      <tp>
        <v>-7.6868970000000001</v>
        <stp/>
        <stp>##V3_BDPV12</stp>
        <stp>KSE30 Index</stp>
        <stp>PR064</stp>
        <stp>[Index.xlsm]全球指數!R17C14</stp>
        <tr r="N17" s="1"/>
      </tp>
      <tp>
        <v>613.06910000000005</v>
        <stp/>
        <stp>##V3_BDPV12</stp>
        <stp>VILSE Index</stp>
        <stp>LOW_52WEEK</stp>
        <stp>[Index.xlsm]全球指數!R181C8</stp>
        <tr r="H181" s="1"/>
      </tp>
      <tp>
        <v>1575.97</v>
        <stp/>
        <stp>##V3_BDPV12</stp>
        <stp>SPEURO Index</stp>
        <stp>PX_LAST</stp>
        <stp>[Index.xlsm]全球指數!R201C4</stp>
        <tr r="D201" s="1"/>
      </tp>
      <tp>
        <v>2.1638609999999998</v>
        <stp/>
        <stp>##V3_BDPV12</stp>
        <stp>OSEFX Index</stp>
        <stp>PR064</stp>
        <stp>[Index.xlsm]全球指數!R53C14</stp>
        <tr r="N53" s="1"/>
      </tp>
      <tp>
        <v>4970.24</v>
        <stp/>
        <stp>##V3_BDPV12</stp>
        <stp>SH000905 Index</stp>
        <stp>PX_LAST</stp>
        <stp>[Index.xlsm]全球指數!R13C4</stp>
        <tr r="D13" s="1"/>
      </tp>
      <tp>
        <v>879.22</v>
        <stp/>
        <stp>##V3_BDPV12</stp>
        <stp>LSXC Index</stp>
        <stp>HIGH_52WEEK</stp>
        <stp>[Index.xlsm]全球指數!R14C6</stp>
        <tr r="F14" s="1"/>
      </tp>
      <tp>
        <v>1.9092800000000001</v>
        <stp/>
        <stp>##V3_BDPV12</stp>
        <stp>OSEBX Index</stp>
        <stp>PR064</stp>
        <stp>[Index.xlsm]全球指數!R52C14</stp>
        <tr r="N52" s="1"/>
      </tp>
      <tp>
        <v>1.5425800000000001</v>
        <stp/>
        <stp>##V3_BDPV12</stp>
        <stp>OSEAX Index</stp>
        <stp>PR064</stp>
        <stp>[Index.xlsm]全球指數!R35C14</stp>
        <tr r="N35" s="1"/>
      </tp>
      <tp>
        <v>9026.8799999999992</v>
        <stp/>
        <stp>##V3_BDPV12</stp>
        <stp>CLXP Index</stp>
        <stp>HIGH_52WEEK</stp>
        <stp>[Index.xlsm]全球指數!R54C6</stp>
        <tr r="F54" s="1"/>
      </tp>
      <tp>
        <v>-1.7153940000000001</v>
        <stp/>
        <stp>##V3_BDPV12</stp>
        <stp>OSESX Index</stp>
        <stp>PR064</stp>
        <stp>[Index.xlsm]全球指數!R36C14</stp>
        <tr r="N36" s="1"/>
      </tp>
      <tp t="s">
        <v>JN</v>
        <stp/>
        <stp>##V3_BDPV12</stp>
        <stp>JPNK400 Index</stp>
        <stp>DS003</stp>
        <stp>[Index.xlsm]全球指數!R286C3</stp>
        <tr r="C286" s="1"/>
      </tp>
      <tp>
        <v>4788.57</v>
        <stp/>
        <stp>##V3_BDPV12</stp>
        <stp>HSCCI Index</stp>
        <stp>HIGH_52WEEK</stp>
        <stp>[Index.xlsm]全球指數!R24C6</stp>
        <tr r="F24" s="1"/>
      </tp>
      <tp>
        <v>11881.6796875</v>
        <stp/>
        <stp>##V3_BDPV12</stp>
        <stp>HSCEI Index</stp>
        <stp>HIGH_52WEEK</stp>
        <stp>[Index.xlsm]全球指數!R72C6</stp>
        <tr r="F72" s="1"/>
      </tp>
      <tp>
        <v>6.894552</v>
        <stp/>
        <stp>##V3_BDPV12</stp>
        <stp>COLCAP Index</stp>
        <stp>CHG_PCT_1YR</stp>
        <stp>[Index.xlsm]全球指數!R265C15</stp>
        <tr r="O265" s="1"/>
      </tp>
      <tp>
        <v>57377.87</v>
        <stp/>
        <stp>##V3_BDPV12</stp>
        <stp>WIG Index</stp>
        <stp>PX_LAST</stp>
        <stp>[Index.xlsm]全球指數!R115C4</stp>
        <tr r="D115" s="1"/>
      </tp>
      <tp>
        <v>0.47212229999999999</v>
        <stp/>
        <stp>##V3_BDPV12</stp>
        <stp>HKSPGEM Index</stp>
        <stp>CHG_PCT_1D</stp>
        <stp>[Index.xlsm]全球指數!R151C5</stp>
        <tr r="E151" s="1"/>
      </tp>
      <tp>
        <v>1.9564520000000001</v>
        <stp/>
        <stp>##V3_BDPV12</stp>
        <stp>BELSTK Index</stp>
        <stp>CHG_PCT_1YR</stp>
        <stp>[Index.xlsm]全球指數!R230C15</stp>
        <tr r="O230" s="1"/>
      </tp>
      <tp>
        <v>13.13902</v>
        <stp/>
        <stp>##V3_BDPV12</stp>
        <stp>MALTEX Index</stp>
        <stp>CHG_PCT_1YR</stp>
        <stp>[Index.xlsm]全球指數!R284C15</stp>
        <tr r="O284" s="1"/>
      </tp>
      <tp>
        <v>16200.88</v>
        <stp/>
        <stp>##V3_BDPV12</stp>
        <stp>IGCX Index</stp>
        <stp>PX_LAST</stp>
        <stp>[Index.xlsm]全球指數!R270C4</stp>
        <tr r="D270" s="1"/>
      </tp>
      <tp>
        <v>9129.7000000000007</v>
        <stp/>
        <stp>##V3_BDPV12</stp>
        <stp>IBEX Index</stp>
        <stp>PX_LAST</stp>
        <stp>[Index.xlsm]全球指數!R240C4</stp>
        <tr r="D240" s="1"/>
      </tp>
      <tp t="s">
        <v>NZ</v>
        <stp/>
        <stp>##V3_BDPV12</stp>
        <stp>NZSE50FG Index</stp>
        <stp>DS003</stp>
        <stp>[Index.xlsm]全球指數!R250C3</stp>
        <tr r="C250" s="1"/>
      </tp>
      <tp>
        <v>912.04</v>
        <stp/>
        <stp>##V3_BDPV12</stp>
        <stp>MADX Index</stp>
        <stp>PX_LAST</stp>
        <stp>[Index.xlsm]全球指數!R210C4</stp>
        <tr r="D210" s="1"/>
      </tp>
      <tp>
        <v>-4.4831180000000002</v>
        <stp/>
        <stp>##V3_BDPV12</stp>
        <stp>AMZN US Equity</stp>
        <stp>CHG_PCT_5D</stp>
        <stp>[Index.xlsm]主要產業!R4C30</stp>
        <tr r="AD4" s="2"/>
      </tp>
      <tp>
        <v>-2.462215</v>
        <stp/>
        <stp>##V3_BDPV12</stp>
        <stp>AMZN US Equity</stp>
        <stp>CHG_PCT_6M</stp>
        <stp>[Index.xlsm]主要產業!R4C33</stp>
        <tr r="AG4" s="2"/>
      </tp>
      <tp>
        <v>-1.64116</v>
        <stp/>
        <stp>##V3_BDPV12</stp>
        <stp>AMZN US Equity</stp>
        <stp>CHG_PCT_1M</stp>
        <stp>[Index.xlsm]主要產業!R4C31</stp>
        <tr r="AE4" s="2"/>
      </tp>
      <tp>
        <v>-8.3247689999999999</v>
        <stp/>
        <stp>##V3_BDPV12</stp>
        <stp>AMZN US Equity</stp>
        <stp>CHG_PCT_3M</stp>
        <stp>[Index.xlsm]主要產業!R4C32</stp>
        <tr r="AF4" s="2"/>
      </tp>
      <tp>
        <v>-1.6111249999999999</v>
        <stp/>
        <stp>##V3_BDPV12</stp>
        <stp>AMZN US Equity</stp>
        <stp>CHG_PCT_1D</stp>
        <stp>[Index.xlsm]主要產業!R4C25</stp>
        <tr r="Y4" s="2"/>
      </tp>
      <tp t="s">
        <v>US</v>
        <stp/>
        <stp>##V3_BDPV12</stp>
        <stp>XOM US Equity</stp>
        <stp>DS003</stp>
        <stp>[Index.xlsm]主要產業!R9C23</stp>
        <tr r="W9" s="2"/>
      </tp>
      <tp>
        <v>177.61</v>
        <stp/>
        <stp>##V3_BDPV12</stp>
        <stp>SX86P INDEX</stp>
        <stp>PX_LAST</stp>
        <stp>[Index.xlsm]主要產業!R34C4</stp>
        <tr r="D34" s="2"/>
      </tp>
      <tp t="s">
        <v>US</v>
        <stp/>
        <stp>##V3_BDPV12</stp>
        <stp>JPM US Equity</stp>
        <stp>DS003</stp>
        <stp>[Index.xlsm]主要產業!R5C23</stp>
        <tr r="W5" s="2"/>
      </tp>
      <tp t="s">
        <v>US</v>
        <stp/>
        <stp>##V3_BDPV12</stp>
        <stp>JNJ US Equity</stp>
        <stp>DS003</stp>
        <stp>[Index.xlsm]主要產業!R6C23</stp>
        <tr r="W6" s="2"/>
      </tp>
      <tp t="s">
        <v>EC</v>
        <stp/>
        <stp>##V3_BDPV12</stp>
        <stp>SX4P INDEX</stp>
        <stp>DS003</stp>
        <stp>[Index.xlsm]主要產業!R27C3</stp>
        <tr r="C27" s="2"/>
      </tp>
      <tp>
        <v>6526.326</v>
        <stp/>
        <stp>##V3_BDPV12</stp>
        <stp>SH000914 Index</stp>
        <stp>PX_LAST</stp>
        <stp>[Index.xlsm]主要產業!R48C4</stp>
        <tr r="D48" s="2"/>
      </tp>
      <tp>
        <v>3.4014180000000001</v>
        <stp/>
        <stp>##V3_BDPV12</stp>
        <stp>BVPSBVPS Index</stp>
        <stp>CHG_PCT_3M</stp>
        <stp>[Index.xlsm]全球指數!R243C12</stp>
        <tr r="L243" s="1"/>
      </tp>
      <tp>
        <v>871.23</v>
        <stp/>
        <stp>##V3_BDPV12</stp>
        <stp>AXX Index</stp>
        <stp>PX_LAST</stp>
        <stp>[Index.xlsm]全球指數!R76C4</stp>
        <tr r="D76" s="1"/>
      </tp>
      <tp>
        <v>-10.967230000000001</v>
        <stp/>
        <stp>##V3_BDPV12</stp>
        <stp>HKSPGEM Index</stp>
        <stp>CHG_PCT_3M</stp>
        <stp>[Index.xlsm]全球指數!R151C12</stp>
        <tr r="L151" s="1"/>
      </tp>
      <tp>
        <v>9.0586350000000007</v>
        <stp/>
        <stp>##V3_BDPV12</stp>
        <stp>CHLRGCAP Index</stp>
        <stp>CHG_PCT_1M</stp>
        <stp>[Index.xlsm]全球指數!R130C11</stp>
        <tr r="K130" s="1"/>
      </tp>
      <tp>
        <v>437418.40625</v>
        <stp/>
        <stp>##V3_BDPV12</stp>
        <stp>CHSMLCAP Index</stp>
        <stp>HIGH_52WEEK</stp>
        <stp>[Index.xlsm]全球指數!R273C6</stp>
        <tr r="F273" s="1"/>
      </tp>
      <tp>
        <v>16.036042647415897</v>
        <stp/>
        <stp>##V3_BDPV12</stp>
        <stp>STI Index</stp>
        <stp>INTERVAL_HIGH</stp>
        <stp>[Index.xlsm]全球指數!R123C16</stp>
        <stp>MARKET_DATA_OVERRIDE=PE_RATIO</stp>
        <stp>CALC_INTERVAL=5y</stp>
        <stp>BEST_FPERIOD_OVERRIDE=BF</stp>
        <tr r="P123" s="1"/>
      </tp>
      <tp>
        <v>-17.696390000000001</v>
        <stp/>
        <stp>##V3_BDPV12</stp>
        <stp>SPTSXVEN Index</stp>
        <stp>CHG_PCT_1YR</stp>
        <stp>[Index.xlsm]全球指數!R78C15</stp>
        <tr r="O78" s="1"/>
      </tp>
      <tp>
        <v>-4.4023000000000003</v>
        <stp/>
        <stp>##V3_BDPV12</stp>
        <stp>FBMEMAS Index</stp>
        <stp>CHG_PCT_3M</stp>
        <stp>[Index.xlsm]全球指數!R242C12</stp>
        <tr r="L242" s="1"/>
      </tp>
      <tp>
        <v>21.636991964976776</v>
        <stp/>
        <stp>##V3_BDPV12</stp>
        <stp>UTY Index</stp>
        <stp>INTERVAL_HIGH</stp>
        <stp>[Index.xlsm]全球指數!R303C16</stp>
        <stp>MARKET_DATA_OVERRIDE=PE_RATIO</stp>
        <stp>CALC_INTERVAL=5y</stp>
        <stp>BEST_FPERIOD_OVERRIDE=BF</stp>
        <tr r="P303" s="1"/>
      </tp>
      <tp>
        <v>-5.8439779999999997E-2</v>
        <stp/>
        <stp>##V3_BDPV12</stp>
        <stp>MAR Index</stp>
        <stp>CHG_PCT_1D</stp>
        <stp>[Index.xlsm]全球指數!R5C5</stp>
        <tr r="E5" s="1"/>
      </tp>
      <tp>
        <v>2783.49</v>
        <stp/>
        <stp>##V3_BDPV12</stp>
        <stp>QEAS Index</stp>
        <stp>LOW_52WEEK</stp>
        <stp>[Index.xlsm]全球指數!R149C8</stp>
        <tr r="H149" s="1"/>
      </tp>
      <tp>
        <v>0</v>
        <stp/>
        <stp>##V3_BDPV12</stp>
        <stp>SKSM Index</stp>
        <stp>CHG_PCT_1D</stp>
        <stp>[Index.xlsm]全球指數!R281C5</stp>
        <tr r="E281" s="1"/>
      </tp>
      <tp>
        <v>78090.71875</v>
        <stp/>
        <stp>##V3_BDPV12</stp>
        <stp>IBOV Index</stp>
        <stp>LOW_52WEEK</stp>
        <stp>[Index.xlsm]全球指數!R287C8</stp>
        <tr r="H287" s="1"/>
      </tp>
      <tp>
        <v>6762.23</v>
        <stp/>
        <stp>##V3_BDPV12</stp>
        <stp>TUSISE Index</stp>
        <stp>LOW_52WEEK</stp>
        <stp>[Index.xlsm]全球指數!R221C8</stp>
        <tr r="H221" s="1"/>
      </tp>
      <tp>
        <v>13776.88</v>
        <stp/>
        <stp>##V3_BDPV12</stp>
        <stp>SPTSX Index</stp>
        <stp>LOW_52WEEK</stp>
        <stp>[Index.xlsm]全球指數!R200C8</stp>
        <tr r="H200" s="1"/>
      </tp>
      <tp>
        <v>6.9730139999999996E-3</v>
        <stp/>
        <stp>##V3_BDPV12</stp>
        <stp>SOFIX Index</stp>
        <stp>CHG_PCT_1D</stp>
        <stp>[Index.xlsm]全球指數!R110C5</stp>
        <tr r="E110" s="1"/>
      </tp>
      <tp>
        <v>-9.0605489999999997E-2</v>
        <stp/>
        <stp>##V3_BDPV12</stp>
        <stp>NYYID Index</stp>
        <stp>CHG_PCT_1D</stp>
        <stp>[Index.xlsm]全球指數!R190C5</stp>
        <tr r="E190" s="1"/>
      </tp>
      <tp>
        <v>882.68039999999996</v>
        <stp/>
        <stp>##V3_BDPV12</stp>
        <stp>RIGSE Index</stp>
        <stp>LOW_52WEEK</stp>
        <stp>[Index.xlsm]全球指數!R260C8</stp>
        <tr r="H260" s="1"/>
      </tp>
      <tp>
        <v>16.829540738685676</v>
        <stp/>
        <stp>##V3_BDPV12</stp>
        <stp>HSHK35 Index</stp>
        <stp>INTERVAL_HIGH</stp>
        <stp>[Index.xlsm]全球指數!R73C16</stp>
        <stp>MARKET_DATA_OVERRIDE=PE_RATIO</stp>
        <stp>CALC_INTERVAL=5y</stp>
        <stp>BEST_FPERIOD_OVERRIDE=BF</stp>
        <tr r="P73" s="1"/>
      </tp>
      <tp>
        <v>511.33</v>
        <stp/>
        <stp>##V3_BDPV12</stp>
        <stp>PASISI Index</stp>
        <stp>LOW_52WEEK</stp>
        <stp>[Index.xlsm]全球指數!R215C8</stp>
        <tr r="H215" s="1"/>
      </tp>
      <tp>
        <v>1078.7339999999999</v>
        <stp/>
        <stp>##V3_BDPV12</stp>
        <stp>XOI Index</stp>
        <stp>LOW_52WEEK</stp>
        <stp>[Index.xlsm]全球指數!R40C8</stp>
        <tr r="H40" s="1"/>
      </tp>
      <tp t="s">
        <v>EC</v>
        <stp/>
        <stp>##V3_BDPV12</stp>
        <stp>BE500 Index</stp>
        <stp>DS003</stp>
        <stp>[Index.xlsm]全球指數!R202C3</stp>
        <tr r="C202" s="1"/>
      </tp>
      <tp>
        <v>1.9309860000000001</v>
        <stp/>
        <stp>##V3_BDPV12</stp>
        <stp>EGX30 Index</stp>
        <stp>CHG_PCT_1D</stp>
        <stp>[Index.xlsm]全球指數!R7C5</stp>
        <tr r="E7" s="1"/>
      </tp>
      <tp>
        <v>-0.40430359999999999</v>
        <stp/>
        <stp>##V3_BDPV12</stp>
        <stp>NDX Index</stp>
        <stp>CHG_PCT_1D</stp>
        <stp>[Index.xlsm]全球指數!R75C5</stp>
        <tr r="E75" s="1"/>
      </tp>
      <tp>
        <v>25.457835065253771</v>
        <stp/>
        <stp>##V3_BDPV12</stp>
        <stp>CM100 Index</stp>
        <stp>PE_RATIO</stp>
        <stp>[Index.xlsm]全球指數!R88C18</stp>
        <tr r="R88" s="1"/>
      </tp>
      <tp>
        <v>1467.88</v>
        <stp/>
        <stp>##V3_BDPV12</stp>
        <stp>FTSEM Index</stp>
        <stp>HIGH_52WEEK</stp>
        <stp>[Index.xlsm]全球指數!R43C6</stp>
        <tr r="F43" s="1"/>
      </tp>
      <tp>
        <v>4918.7449999999999</v>
        <stp/>
        <stp>##V3_BDPV12</stp>
        <stp>NDF Index</stp>
        <stp>PX_LAST</stp>
        <stp>[Index.xlsm]全球指數!R125C4</stp>
        <tr r="D125" s="1"/>
      </tp>
      <tp>
        <v>-7.2881200000000002</v>
        <stp/>
        <stp>##V3_BDPV12</stp>
        <stp>KOSPI50 Index</stp>
        <stp>CHG_PCT_1YR</stp>
        <stp>[Index.xlsm]全球指數!R208C15</stp>
        <tr r="O208" s="1"/>
      </tp>
      <tp>
        <v>0.47595399999999999</v>
        <stp/>
        <stp>##V3_BDPV12</stp>
        <stp>SPBLPGPT Index</stp>
        <stp>CHG_PCT_1YR</stp>
        <stp>[Index.xlsm]全球指數!R277C15</stp>
        <tr r="O277" s="1"/>
      </tp>
      <tp>
        <v>5428.3760000000002</v>
        <stp/>
        <stp>##V3_BDPV12</stp>
        <stp>NYIID Index</stp>
        <stp>PX_LAST</stp>
        <stp>[Index.xlsm]全球指數!R227C4</stp>
        <tr r="D227" s="1"/>
      </tp>
      <tp>
        <v>3.183055</v>
        <stp/>
        <stp>##V3_BDPV12</stp>
        <stp>NZSE50FG Index</stp>
        <stp>CHG_PCT_1M</stp>
        <stp>[Index.xlsm]全球指數!R250C11</stp>
        <tr r="K250" s="1"/>
      </tp>
      <tp>
        <v>-50.884709999999998</v>
        <stp/>
        <stp>##V3_BDPV12</stp>
        <stp>HKSPGEM Index</stp>
        <stp>CHG_PCT_1YR</stp>
        <stp>[Index.xlsm]全球指數!R151C15</stp>
        <tr r="O151" s="1"/>
      </tp>
      <tp>
        <v>-7.3498679999999998</v>
        <stp/>
        <stp>##V3_BDPV12</stp>
        <stp>XOM US Equity</stp>
        <stp>PR064</stp>
        <stp>[Index.xlsm]主要產業!R9C34</stp>
        <tr r="AH9" s="2"/>
      </tp>
      <tp>
        <v>7.881634</v>
        <stp/>
        <stp>##V3_BDPV12</stp>
        <stp>JPM US Equity</stp>
        <stp>PR064</stp>
        <stp>[Index.xlsm]主要產業!R5C34</stp>
        <tr r="AH5" s="2"/>
      </tp>
      <tp>
        <v>-9.1646140000000003</v>
        <stp/>
        <stp>##V3_BDPV12</stp>
        <stp>JNJ US Equity</stp>
        <stp>PR064</stp>
        <stp>[Index.xlsm]主要產業!R6C34</stp>
        <tr r="AH6" s="2"/>
      </tp>
      <tp>
        <v>3.3833959999999998</v>
        <stp/>
        <stp>##V3_BDPV12</stp>
        <stp>S5INFT Index</stp>
        <stp>PR064</stp>
        <stp>[Index.xlsm]主要產業!R2C14</stp>
        <tr r="N2" s="2"/>
      </tp>
      <tp>
        <v>274.38</v>
        <stp/>
        <stp>##V3_BDPV12</stp>
        <stp>TWSERUB Index</stp>
        <stp>HIGH_52WEEK</stp>
        <stp>[Index.xlsm]主要產業!R89C6</stp>
        <tr r="F89" s="2"/>
      </tp>
      <tp t="s">
        <v>EC</v>
        <stp/>
        <stp>##V3_BDPV12</stp>
        <stp>SX8P INDEX</stp>
        <stp>DS003</stp>
        <stp>[Index.xlsm]主要產業!R26C3</stp>
        <tr r="C26" s="2"/>
      </tp>
      <tp t="s">
        <v>EC</v>
        <stp/>
        <stp>##V3_BDPV12</stp>
        <stp>SXTP INDEX</stp>
        <stp>DS003</stp>
        <stp>[Index.xlsm]主要產業!R36C3</stp>
        <tr r="C36" s="2"/>
      </tp>
      <tp>
        <v>5612203711398</v>
        <stp/>
        <stp>##V3_BDPV12</stp>
        <stp>S5INFT Index</stp>
        <stp>RR902</stp>
        <stp>[Index.xlsm]主要產業!R2C20</stp>
        <tr r="T2" s="2"/>
      </tp>
      <tp>
        <v>18.217319689295781</v>
        <stp/>
        <stp>##V3_BDPV12</stp>
        <stp>s5hlth index</stp>
        <stp>INTERVAL_Low</stp>
        <stp>[Index.xlsm]主要產業!R3C17</stp>
        <stp>MARKET_DATA_OVERRIDE=PE_RATIO</stp>
        <stp>CALC_INTERVAL=5y</stp>
        <stp>BEST_FPERIOD_OVERRIDE=BF</stp>
        <tr r="Q3" s="2"/>
      </tp>
      <tp>
        <v>2171.5749999999998</v>
        <stp/>
        <stp>##V3_BDPV12</stp>
        <stp>SH000910 Index</stp>
        <stp>PX_LAST</stp>
        <stp>[Index.xlsm]主要產業!R49C4</stp>
        <tr r="D49" s="2"/>
      </tp>
      <tp>
        <v>154.32</v>
        <stp/>
        <stp>##V3_BDPV12</stp>
        <stp>SX86P INDEX</stp>
        <stp>LOW_52WEEK</stp>
        <stp>[Index.xlsm]主要產業!R34C8</stp>
        <tr r="H34" s="2"/>
      </tp>
      <tp>
        <v>14.416001106781207</v>
        <stp/>
        <stp>##V3_BDPV12</stp>
        <stp>E100 Index</stp>
        <stp>INTERVAL_Low</stp>
        <stp>[Index.xlsm]全球指數!R234C17</stp>
        <stp>MARKET_DATA_OVERRIDE=PE_RATIO</stp>
        <stp>CALC_INTERVAL=5y</stp>
        <stp>BEST_FPERIOD_OVERRIDE=BF</stp>
        <tr r="Q234" s="1"/>
      </tp>
      <tp>
        <v>14.562058092686742</v>
        <stp/>
        <stp>##V3_BDPV12</stp>
        <stp>N100 Index</stp>
        <stp>INTERVAL_Low</stp>
        <stp>[Index.xlsm]全球指數!R198C17</stp>
        <stp>MARKET_DATA_OVERRIDE=PE_RATIO</stp>
        <stp>CALC_INTERVAL=5y</stp>
        <stp>BEST_FPERIOD_OVERRIDE=BF</stp>
        <tr r="Q198" s="1"/>
      </tp>
      <tp>
        <v>5.3120219999999998</v>
        <stp/>
        <stp>##V3_BDPV12</stp>
        <stp>IXK Index</stp>
        <stp>PR064</stp>
        <stp>[Index.xlsm]全球指數!R113C14</stp>
        <tr r="N113" s="1"/>
      </tp>
      <tp>
        <v>9403.0499999999993</v>
        <stp/>
        <stp>##V3_BDPV12</stp>
        <stp>SASEIDX Index</stp>
        <stp>HIGH_52WEEK</stp>
        <stp>[Index.xlsm]全球指數!R308C6</stp>
        <tr r="F308" s="1"/>
      </tp>
      <tp>
        <v>-5.5145140000000001</v>
        <stp/>
        <stp>##V3_BDPV12</stp>
        <stp>MXAPEXA Index</stp>
        <stp>CHG_PCT_1YR</stp>
        <stp>[Index.xlsm]全球指數!R90C15</stp>
        <tr r="O90" s="1"/>
      </tp>
      <tp>
        <v>1177.0229999999999</v>
        <stp/>
        <stp>##V3_BDPV12</stp>
        <stp>ICEXI Index</stp>
        <stp>LOW_52WEEK</stp>
        <stp>[Index.xlsm]全球指數!R218C8</stp>
        <tr r="H218" s="1"/>
      </tp>
      <tp>
        <v>-1.597815</v>
        <stp/>
        <stp>##V3_BDPV12</stp>
        <stp>MS190 Index</stp>
        <stp>CHG_PCT_5D</stp>
        <stp>[Index.xlsm]全球指數!R79C10</stp>
        <tr r="J79" s="1"/>
      </tp>
      <tp>
        <v>-0.82361019999999996</v>
        <stp/>
        <stp>##V3_BDPV12</stp>
        <stp>NSEASI Index</stp>
        <stp>CHG_PCT_1D</stp>
        <stp>[Index.xlsm]全球指數!R252C5</stp>
        <tr r="E252" s="1"/>
      </tp>
      <tp>
        <v>2.6708310000000002</v>
        <stp/>
        <stp>##V3_BDPV12</stp>
        <stp>MS190 Index</stp>
        <stp>CHG_PCT_6M</stp>
        <stp>[Index.xlsm]全球指數!R79C13</stp>
        <tr r="M79" s="1"/>
      </tp>
      <tp>
        <v>2.0127470000000001</v>
        <stp/>
        <stp>##V3_BDPV12</stp>
        <stp>MS190 Index</stp>
        <stp>CHG_PCT_1M</stp>
        <stp>[Index.xlsm]全球指數!R79C11</stp>
        <tr r="K79" s="1"/>
      </tp>
      <tp>
        <v>-0.62067939999999999</v>
        <stp/>
        <stp>##V3_BDPV12</stp>
        <stp>MS190 Index</stp>
        <stp>CHG_PCT_3M</stp>
        <stp>[Index.xlsm]全球指數!R79C12</stp>
        <tr r="L79" s="1"/>
      </tp>
      <tp>
        <v>2210.4299999999998</v>
        <stp/>
        <stp>##V3_BDPV12</stp>
        <stp>GGSECI Index</stp>
        <stp>LOW_52WEEK</stp>
        <stp>[Index.xlsm]全球指數!R111C8</stp>
        <tr r="H111" s="1"/>
      </tp>
      <tp>
        <v>0.30476799999999998</v>
        <stp/>
        <stp>##V3_BDPV12</stp>
        <stp>PFTS Index</stp>
        <stp>CHG_PCT_1D</stp>
        <stp>[Index.xlsm]全球指數!R295C5</stp>
        <tr r="E295" s="1"/>
      </tp>
      <tp>
        <v>269.24770000000001</v>
        <stp/>
        <stp>##V3_BDPV12</stp>
        <stp>SHBSHR Index</stp>
        <stp>PX_LAST</stp>
        <stp>[Index.xlsm]全球指數!R116C4</stp>
        <tr r="D116" s="1"/>
      </tp>
      <tp>
        <v>0.12681590000000001</v>
        <stp/>
        <stp>##V3_BDPV12</stp>
        <stp>NTX Index</stp>
        <stp>CHG_PCT_1D</stp>
        <stp>[Index.xlsm]全球指數!R66C5</stp>
        <tr r="E66" s="1"/>
      </tp>
      <tp t="s">
        <v>TU</v>
        <stp/>
        <stp>##V3_BDPV12</stp>
        <stp>TR20I Index</stp>
        <stp>DS003</stp>
        <stp>[Index.xlsm]全球指數!R296C3</stp>
        <tr r="C296" s="1"/>
      </tp>
      <tp>
        <v>916.09</v>
        <stp/>
        <stp>##V3_BDPV12</stp>
        <stp>OSEFX Index</stp>
        <stp>HIGH_52WEEK</stp>
        <stp>[Index.xlsm]全球指數!R53C6</stp>
        <tr r="F53" s="1"/>
      </tp>
      <tp>
        <v>250.24</v>
        <stp/>
        <stp>##V3_BDPV12</stp>
        <stp>KOSPI2 Index</stp>
        <stp>LOW_52WEEK</stp>
        <stp>[Index.xlsm]全球指數!R187C8</stp>
        <tr r="H187" s="1"/>
      </tp>
      <tp>
        <v>902.69889999999998</v>
        <stp/>
        <stp>##V3_BDPV12</stp>
        <stp>SBX Index</stp>
        <stp>LOW_52WEEK</stp>
        <stp>[Index.xlsm]全球指數!R58C8</stp>
        <tr r="H58" s="1"/>
      </tp>
      <tp>
        <v>-1.273997</v>
        <stp/>
        <stp>##V3_BDPV12</stp>
        <stp>BVPSBVPS Index</stp>
        <stp>CHG_PCT_1YR</stp>
        <stp>[Index.xlsm]全球指數!R243C15</stp>
        <tr r="O243" s="1"/>
      </tp>
      <tp>
        <v>3063.91</v>
        <stp/>
        <stp>##V3_BDPV12</stp>
        <stp>QEAS Index</stp>
        <stp>PX_LAST</stp>
        <stp>[Index.xlsm]全球指數!R149C4</stp>
        <tr r="D149" s="1"/>
      </tp>
      <tp>
        <v>1368.6110000000001</v>
        <stp/>
        <stp>##V3_BDPV12</stp>
        <stp>XII Index</stp>
        <stp>PX_LAST</stp>
        <stp>[Index.xlsm]全球指數!R119C4</stp>
        <tr r="D119" s="1"/>
      </tp>
      <tp>
        <v>5620.57</v>
        <stp/>
        <stp>##V3_BDPV12</stp>
        <stp>CAC Index</stp>
        <stp>PX_LAST</stp>
        <stp>[Index.xlsm]全球指數!R173C4</stp>
        <tr r="D173" s="1"/>
      </tp>
      <tp>
        <v>16.392208822043923</v>
        <stp/>
        <stp>##V3_BDPV12</stp>
        <stp>HKSPLC25 Index</stp>
        <stp>INTERVAL_HIGH</stp>
        <stp>[Index.xlsm]全球指數!R94C16</stp>
        <stp>MARKET_DATA_OVERRIDE=PE_RATIO</stp>
        <stp>CALC_INTERVAL=5y</stp>
        <stp>BEST_FPERIOD_OVERRIDE=BF</stp>
        <tr r="P94" s="1"/>
      </tp>
      <tp>
        <v>-8.3000229999999995</v>
        <stp/>
        <stp>##V3_BDPV12</stp>
        <stp>DARSDSEI Index</stp>
        <stp>CHG_PCT_1YR</stp>
        <stp>[Index.xlsm]全球指數!R253C15</stp>
        <tr r="O253" s="1"/>
      </tp>
      <tp>
        <v>7.3382709999999998</v>
        <stp/>
        <stp>##V3_BDPV12</stp>
        <stp>SENSEX Index</stp>
        <stp>CHG_PCT_1YR</stp>
        <stp>[Index.xlsm]全球指數!R317C15</stp>
        <tr r="O317" s="1"/>
      </tp>
      <tp>
        <v>4.297364</v>
        <stp/>
        <stp>##V3_BDPV12</stp>
        <stp>SPTSX60 Index</stp>
        <stp>CHG_PCT_1YR</stp>
        <stp>[Index.xlsm]全球指數!R194C15</stp>
        <tr r="O194" s="1"/>
      </tp>
      <tp>
        <v>7.9576090000000002E-2</v>
        <stp/>
        <stp>##V3_BDPV12</stp>
        <stp>MOSEMDX Index</stp>
        <stp>CHG_PCT_1D</stp>
        <stp>[Index.xlsm]全球指數!R186C5</stp>
        <tr r="E186" s="1"/>
      </tp>
      <tp>
        <v>-2.6150989999999999E-2</v>
        <stp/>
        <stp>##V3_BDPV12</stp>
        <stp>SASEIDX Index</stp>
        <stp>CHG_PCT_1D</stp>
        <stp>[Index.xlsm]全球指數!R308C5</stp>
        <tr r="E308" s="1"/>
      </tp>
      <tp t="s">
        <v>EC</v>
        <stp/>
        <stp>##V3_BDPV12</stp>
        <stp>SX6P INDEX</stp>
        <stp>DS003</stp>
        <stp>[Index.xlsm]主要產業!R25C3</stp>
        <tr r="C25" s="2"/>
      </tp>
      <tp t="s">
        <v>EC</v>
        <stp/>
        <stp>##V3_BDPV12</stp>
        <stp>SXMP INDEX</stp>
        <stp>DS003</stp>
        <stp>[Index.xlsm]主要產業!R35C3</stp>
        <tr r="C35" s="2"/>
      </tp>
      <tp>
        <v>0.28522969999999997</v>
        <stp/>
        <stp>##V3_BDPV12</stp>
        <stp>BVPSBVPS Index</stp>
        <stp>CHG_PCT_1M</stp>
        <stp>[Index.xlsm]全球指數!R243C11</stp>
        <tr r="K243" s="1"/>
      </tp>
      <tp>
        <v>-3.6957230000000001</v>
        <stp/>
        <stp>##V3_BDPV12</stp>
        <stp>HKSPGEM Index</stp>
        <stp>CHG_PCT_1M</stp>
        <stp>[Index.xlsm]全球指數!R151C11</stp>
        <tr r="K151" s="1"/>
      </tp>
      <tp>
        <v>-1.8484149999999999</v>
        <stp/>
        <stp>##V3_BDPV12</stp>
        <stp>CHLRGCAP Index</stp>
        <stp>CHG_PCT_3M</stp>
        <stp>[Index.xlsm]全球指數!R130C12</stp>
        <tr r="L130" s="1"/>
      </tp>
      <tp>
        <v>1.9988809999999999</v>
        <stp/>
        <stp>##V3_BDPV12</stp>
        <stp>NYK Index</stp>
        <stp>PR064</stp>
        <stp>[Index.xlsm]全球指數!R216C14</stp>
        <tr r="N216" s="1"/>
      </tp>
      <tp t="s">
        <v>OMX Oslo 20 GI Index</v>
        <stp/>
        <stp>##V3_BDPV12</stp>
        <stp>OMXO20GI Index</stp>
        <stp>DS697</stp>
        <stp>[Index.xlsm]全球指數!R50C2</stp>
        <tr r="B50" s="1"/>
      </tp>
      <tp>
        <v>7113.91015625</v>
        <stp/>
        <stp>##V3_BDPV12</stp>
        <stp>CLXP Index</stp>
        <stp>LOW_52WEEK</stp>
        <stp>[Index.xlsm]全球指數!R54C8</stp>
        <tr r="H54" s="1"/>
      </tp>
      <tp t="s">
        <v>NO</v>
        <stp/>
        <stp>##V3_BDPV12</stp>
        <stp>OMXO20GI Index</stp>
        <stp>DS003</stp>
        <stp>[Index.xlsm]全球指數!R50C3</stp>
        <tr r="C50" s="1"/>
      </tp>
      <tp>
        <v>-0.23368990000000001</v>
        <stp/>
        <stp>##V3_BDPV12</stp>
        <stp>BWORLDEU Index</stp>
        <stp>CHG_PCT_6M</stp>
        <stp>[Index.xlsm]全球指數!R101C13</stp>
        <tr r="M101" s="1"/>
      </tp>
      <tp>
        <v>0.48907469999999997</v>
        <stp/>
        <stp>##V3_BDPV12</stp>
        <stp>NYA Index</stp>
        <stp>PR064</stp>
        <stp>[Index.xlsm]全球指數!R178C14</stp>
        <tr r="N178" s="1"/>
      </tp>
      <tp>
        <v>0.38162990000000002</v>
        <stp/>
        <stp>##V3_BDPV12</stp>
        <stp>FBMEMAS Index</stp>
        <stp>CHG_PCT_1M</stp>
        <stp>[Index.xlsm]全球指數!R242C11</stp>
        <tr r="K242" s="1"/>
      </tp>
      <tp>
        <v>1803.71</v>
        <stp/>
        <stp>##V3_BDPV12</stp>
        <stp>FBMKLCI Index</stp>
        <stp>HIGH_52WEEK</stp>
        <stp>[Index.xlsm]全球指數!R226C6</stp>
        <tr r="F226" s="1"/>
      </tp>
      <tp>
        <v>1086.54</v>
        <stp/>
        <stp>##V3_BDPV12</stp>
        <stp>TSEMOTHR Index</stp>
        <stp>HIGH_52WEEK</stp>
        <stp>[Index.xlsm]全球指數!R313C6</stp>
        <tr r="F313" s="1"/>
      </tp>
      <tp>
        <v>3070.33</v>
        <stp/>
        <stp>##V3_BDPV12</stp>
        <stp>KNSMIDX Index</stp>
        <stp>HIGH_52WEEK</stp>
        <stp>[Index.xlsm]全球指數!R269C6</stp>
        <tr r="F269" s="1"/>
      </tp>
      <tp>
        <v>2.076972</v>
        <stp/>
        <stp>##V3_BDPV12</stp>
        <stp>BHSEASI Index</stp>
        <stp>CHG_PCT_5D</stp>
        <stp>[Index.xlsm]全球指數!R304C10</stp>
        <tr r="J304" s="1"/>
      </tp>
      <tp>
        <v>7235.05</v>
        <stp/>
        <stp>##V3_BDPV12</stp>
        <stp>COMP Index</stp>
        <stp>LOW_52WEEK</stp>
        <stp>[Index.xlsm]全球指數!R217C8</stp>
        <tr r="H217" s="1"/>
      </tp>
      <tp>
        <v>7385.098</v>
        <stp/>
        <stp>##V3_BDPV12</stp>
        <stp>CINS Index</stp>
        <stp>LOW_52WEEK</stp>
        <stp>[Index.xlsm]全球指數!R254C8</stp>
        <tr r="H254" s="1"/>
      </tp>
      <tp>
        <v>-0.44679940000000001</v>
        <stp/>
        <stp>##V3_BDPV12</stp>
        <stp>JMSMX Index</stp>
        <stp>CHG_PCT_1D</stp>
        <stp>[Index.xlsm]全球指數!R106C5</stp>
        <tr r="E106" s="1"/>
      </tp>
      <tp>
        <v>4893.7299999999996</v>
        <stp/>
        <stp>##V3_BDPV12</stp>
        <stp>MALTEX Index</stp>
        <stp>PX_LAST</stp>
        <stp>[Index.xlsm]全球指數!R284C4</stp>
        <tr r="D284" s="1"/>
      </tp>
      <tp>
        <v>13.135864616662122</v>
        <stp/>
        <stp>##V3_BDPV12</stp>
        <stp>TOP40 Index</stp>
        <stp>PE_RATIO</stp>
        <stp>[Index.xlsm]全球指數!R64C18</stp>
        <tr r="R64" s="1"/>
      </tp>
      <tp>
        <v>-0.31710240000000001</v>
        <stp/>
        <stp>##V3_BDPV12</stp>
        <stp>TWOTCI Index</stp>
        <stp>CHG_PCT_1D</stp>
        <stp>[Index.xlsm]全球指數!R229C5</stp>
        <tr r="E229" s="1"/>
      </tp>
      <tp>
        <v>33.5194945805423</v>
        <stp/>
        <stp>##V3_BDPV12</stp>
        <stp>INDI25 Index</stp>
        <stp>INTERVAL_HIGH</stp>
        <stp>[Index.xlsm]全球指數!R70C16</stp>
        <stp>MARKET_DATA_OVERRIDE=PE_RATIO</stp>
        <stp>CALC_INTERVAL=5y</stp>
        <stp>BEST_FPERIOD_OVERRIDE=BF</stp>
        <tr r="P70" s="1"/>
      </tp>
      <tp>
        <v>-0.68726220000000005</v>
        <stp/>
        <stp>##V3_BDPV12</stp>
        <stp>BIRS Index</stp>
        <stp>CHG_PCT_1D</stp>
        <stp>[Index.xlsm]全球指數!R152C5</stp>
        <tr r="E152" s="1"/>
      </tp>
      <tp>
        <v>-0.20138030000000001</v>
        <stp/>
        <stp>##V3_BDPV12</stp>
        <stp>QETR Index</stp>
        <stp>CHG_PCT_1D</stp>
        <stp>[Index.xlsm]全球指數!R144C5</stp>
        <tr r="E144" s="1"/>
      </tp>
      <tp>
        <v>38265.51171875</v>
        <stp/>
        <stp>##V3_BDPV12</stp>
        <stp>MEXBOL Index</stp>
        <stp>LOW_52WEEK</stp>
        <stp>[Index.xlsm]全球指數!R236C8</stp>
        <tr r="H236" s="1"/>
      </tp>
      <tp>
        <v>-3.7944559999999998</v>
        <stp/>
        <stp>##V3_BDPV12</stp>
        <stp>MXAPEXA Index</stp>
        <stp>PR064</stp>
        <stp>[Index.xlsm]全球指數!R90C14</stp>
        <tr r="N90" s="1"/>
      </tp>
      <tp>
        <v>1079.29</v>
        <stp/>
        <stp>##V3_BDPV12</stp>
        <stp>OSEAX Index</stp>
        <stp>HIGH_52WEEK</stp>
        <stp>[Index.xlsm]全球指數!R35C6</stp>
        <tr r="F35" s="1"/>
      </tp>
      <tp>
        <v>0.41210920000000001</v>
        <stp/>
        <stp>##V3_BDPV12</stp>
        <stp>RTSI$ Index</stp>
        <stp>CHG_PCT_1D</stp>
        <stp>[Index.xlsm]全球指數!R102C5</stp>
        <tr r="E102" s="1"/>
      </tp>
      <tp>
        <v>-6.4238869999999997</v>
        <stp/>
        <stp>##V3_BDPV12</stp>
        <stp>H-FIN Index</stp>
        <stp>PR064</stp>
        <stp>[Index.xlsm]全球指數!R55C14</stp>
        <tr r="N55" s="1"/>
      </tp>
      <tp>
        <v>4180.6769999999997</v>
        <stp/>
        <stp>##V3_BDPV12</stp>
        <stp>SZ399330 Index</stp>
        <stp>PX_LAST</stp>
        <stp>[Index.xlsm]全球指數!R20C4</stp>
        <tr r="D20" s="1"/>
      </tp>
      <tp>
        <v>523.1</v>
        <stp/>
        <stp>##V3_BDPV12</stp>
        <stp>OBXP Index</stp>
        <stp>HIGH_52WEEK</stp>
        <stp>[Index.xlsm]全球指數!R47C6</stp>
        <tr r="F47" s="1"/>
      </tp>
      <tp>
        <v>0.29079430000000001</v>
        <stp/>
        <stp>##V3_BDPV12</stp>
        <stp>HEX Index</stp>
        <stp>CHG_PCT_1D</stp>
        <stp>[Index.xlsm]全球指數!R91C5</stp>
        <tr r="E91" s="1"/>
      </tp>
      <tp>
        <v>0.1161799</v>
        <stp/>
        <stp>##V3_BDPV12</stp>
        <stp>OBX Index</stp>
        <stp>CHG_PCT_1D</stp>
        <stp>[Index.xlsm]全球指數!R46C5</stp>
        <tr r="E46" s="1"/>
      </tp>
      <tp>
        <v>4.7558639999999999</v>
        <stp/>
        <stp>##V3_BDPV12</stp>
        <stp>BELEXLIN Index</stp>
        <stp>PR064</stp>
        <stp>[Index.xlsm]全球指數!R248C14</stp>
        <tr r="N248" s="1"/>
      </tp>
      <tp>
        <v>29.290085608847587</v>
        <stp/>
        <stp>##V3_BDPV12</stp>
        <stp>BWORLDEU Index</stp>
        <stp>INTERVAL_HIGH</stp>
        <stp>[Index.xlsm]全球指數!R101C16</stp>
        <stp>MARKET_DATA_OVERRIDE=PE_RATIO</stp>
        <stp>CALC_INTERVAL=5y</stp>
        <stp>BEST_FPERIOD_OVERRIDE=BF</stp>
        <tr r="P101" s="1"/>
      </tp>
      <tp>
        <v>22.060449999999999</v>
        <stp/>
        <stp>##V3_BDPV12</stp>
        <stp>TSEREIT Index</stp>
        <stp>CHG_PCT_1YR</stp>
        <stp>[Index.xlsm]全球指數!R309C15</stp>
        <tr r="O309" s="1"/>
      </tp>
      <tp>
        <v>0.34943790000000002</v>
        <stp/>
        <stp>##V3_BDPV12</stp>
        <stp>VNINDEX Index</stp>
        <stp>CHG_PCT_1D</stp>
        <stp>[Index.xlsm]全球指數!R177C5</stp>
        <tr r="E177" s="1"/>
      </tp>
      <tp>
        <v>1528.54</v>
        <stp/>
        <stp>##V3_BDPV12</stp>
        <stp>SLI Index</stp>
        <stp>PX_LAST</stp>
        <stp>[Index.xlsm]全球指數!R118C4</stp>
        <tr r="D118" s="1"/>
      </tp>
      <tp>
        <v>1936.97</v>
        <stp/>
        <stp>##V3_BDPV12</stp>
        <stp>MID Index</stp>
        <stp>PX_LAST</stp>
        <stp>[Index.xlsm]全球指數!R175C4</stp>
        <tr r="D175" s="1"/>
      </tp>
      <tp>
        <v>0.15489330000000001</v>
        <stp/>
        <stp>##V3_BDPV12</stp>
        <stp>CS90 Index</stp>
        <stp>CHG_PCT_1D</stp>
        <stp>[Index.xlsm]全球指數!R38C5</stp>
        <tr r="E38" s="1"/>
      </tp>
      <tp>
        <v>6.1613559999999996</v>
        <stp/>
        <stp>##V3_BDPV12</stp>
        <stp>TWOTCI Index</stp>
        <stp>CHG_PCT_1YR</stp>
        <stp>[Index.xlsm]全球指數!R229C15</stp>
        <tr r="O229" s="1"/>
      </tp>
      <tp>
        <v>3.9935890000000001</v>
        <stp/>
        <stp>##V3_BDPV12</stp>
        <stp>NZSE50FG Index</stp>
        <stp>CHG_PCT_3M</stp>
        <stp>[Index.xlsm]全球指數!R250C12</stp>
        <tr r="L250" s="1"/>
      </tp>
      <tp t="s">
        <v>EC</v>
        <stp/>
        <stp>##V3_BDPV12</stp>
        <stp>SXIP INDEX</stp>
        <stp>DS003</stp>
        <stp>[Index.xlsm]主要產業!R24C3</stp>
        <tr r="C24" s="2"/>
      </tp>
      <tp>
        <v>188.64</v>
        <stp/>
        <stp>##V3_BDPV12</stp>
        <stp>TPNBNK Index</stp>
        <stp>HIGH_52WEEK</stp>
        <stp>[Index.xlsm]主要產業!R41C6</stp>
        <tr r="F41" s="2"/>
      </tp>
      <tp>
        <v>1892.31</v>
        <stp/>
        <stp>##V3_BDPV12</stp>
        <stp>HSCITC Index</stp>
        <stp>HIGH_52WEEK</stp>
        <stp>[Index.xlsm]主要產業!R67C6</stp>
        <tr r="F67" s="2"/>
      </tp>
      <tp>
        <v>3.2319770000000001</v>
        <stp/>
        <stp>##V3_BDPV12</stp>
        <stp>BVPSBVPS Index</stp>
        <stp>CHG_PCT_6M</stp>
        <stp>[Index.xlsm]全球指數!R243C13</stp>
        <tr r="M243" s="1"/>
      </tp>
      <tp>
        <v>-31.060549999999999</v>
        <stp/>
        <stp>##V3_BDPV12</stp>
        <stp>HKSPGEM Index</stp>
        <stp>CHG_PCT_6M</stp>
        <stp>[Index.xlsm]全球指數!R151C13</stp>
        <tr r="M151" s="1"/>
      </tp>
      <tp>
        <v>2777.2759999999998</v>
        <stp/>
        <stp>##V3_BDPV12</stp>
        <stp>SHNCOMP Index</stp>
        <stp>HIGH_52WEEK</stp>
        <stp>[Index.xlsm]全球指數!R31C6</stp>
        <tr r="F31" s="1"/>
      </tp>
      <tp>
        <v>4451.3599999999997</v>
        <stp/>
        <stp>##V3_BDPV12</stp>
        <stp>CHTX Index</stp>
        <stp>LOW_52WEEK</stp>
        <stp>[Index.xlsm]全球指數!R27C8</stp>
        <tr r="H27" s="1"/>
      </tp>
      <tp>
        <v>1.673996</v>
        <stp/>
        <stp>##V3_BDPV12</stp>
        <stp>ATXPRIME Index</stp>
        <stp>PR064</stp>
        <stp>[Index.xlsm]全球指數!R42C14</stp>
        <tr r="N42" s="1"/>
      </tp>
      <tp>
        <v>2.145486</v>
        <stp/>
        <stp>##V3_BDPV12</stp>
        <stp>BWORLDEU Index</stp>
        <stp>CHG_PCT_1M</stp>
        <stp>[Index.xlsm]全球指數!R101C11</stp>
        <tr r="K101" s="1"/>
      </tp>
      <tp>
        <v>-2.257301</v>
        <stp/>
        <stp>##V3_BDPV12</stp>
        <stp>FBMEMAS Index</stp>
        <stp>CHG_PCT_6M</stp>
        <stp>[Index.xlsm]全球指數!R242C13</stp>
        <tr r="M242" s="1"/>
      </tp>
      <tp>
        <v>251.09</v>
        <stp/>
        <stp>##V3_BDPV12</stp>
        <stp>BBREIT Index</stp>
        <stp>LOW_52WEEK</stp>
        <stp>[Index.xlsm]全球指數!R288C8</stp>
        <tr r="H288" s="1"/>
      </tp>
      <tp>
        <v>0.61168169999999999</v>
        <stp/>
        <stp>##V3_BDPV12</stp>
        <stp>MSPE Index</stp>
        <stp>CHG_PCT_1D</stp>
        <stp>[Index.xlsm]全球指數!R207C5</stp>
        <tr r="E207" s="1"/>
      </tp>
      <tp>
        <v>0.4495904</v>
        <stp/>
        <stp>##V3_BDPV12</stp>
        <stp>IMOEX Index</stp>
        <stp>CHG_PCT_1D</stp>
        <stp>[Index.xlsm]全球指數!R159C5</stp>
        <tr r="E159" s="1"/>
      </tp>
      <tp>
        <v>0.34889680000000001</v>
        <stp/>
        <stp>##V3_BDPV12</stp>
        <stp>IGPA Index</stp>
        <stp>CHG_PCT_1D</stp>
        <stp>[Index.xlsm]全球指數!R167C5</stp>
        <tr r="E167" s="1"/>
      </tp>
      <tp>
        <v>1601.43</v>
        <stp/>
        <stp>##V3_BDPV12</stp>
        <stp>COLCAP Index</stp>
        <stp>PX_LAST</stp>
        <stp>[Index.xlsm]全球指數!R265C4</stp>
        <tr r="D265" s="1"/>
      </tp>
      <tp>
        <v>38989.74</v>
        <stp/>
        <stp>##V3_BDPV12</stp>
        <stp>SENSEX Index</stp>
        <stp>PX_LAST</stp>
        <stp>[Index.xlsm]全球指數!R317C4</stp>
        <tr r="D317" s="1"/>
      </tp>
      <tp>
        <v>3.039421E-3</v>
        <stp/>
        <stp>##V3_BDPV12</stp>
        <stp>PCOMP Index</stp>
        <stp>CHG_PCT_1D</stp>
        <stp>[Index.xlsm]全球指數!R231C5</stp>
        <tr r="E231" s="1"/>
      </tp>
      <tp>
        <v>2039.9219068287155</v>
        <stp/>
        <stp>##V3_BDPV12</stp>
        <stp>TSEMOTHR Index</stp>
        <stp>INTERVAL_HIGH</stp>
        <stp>[Index.xlsm]全球指數!R313C16</stp>
        <stp>MARKET_DATA_OVERRIDE=PE_RATIO</stp>
        <stp>CALC_INTERVAL=5y</stp>
        <stp>BEST_FPERIOD_OVERRIDE=BF</stp>
        <tr r="P313" s="1"/>
      </tp>
      <tp t="s">
        <v>道瓊土耳其 Titans 20 指數</v>
        <stp/>
        <stp>##V3_BDPV12</stp>
        <stp>TR20I Index</stp>
        <stp>DS697</stp>
        <stp>[Index.xlsm]全球指數!R296C2</stp>
        <tr r="B296" s="1"/>
      </tp>
      <tp>
        <v>25.682325874614889</v>
        <stp/>
        <stp>##V3_BDPV12</stp>
        <stp>SHNCOMP Index</stp>
        <stp>INTERVAL_HIGH</stp>
        <stp>[Index.xlsm]全球指數!R31C16</stp>
        <stp>MARKET_DATA_OVERRIDE=PE_RATIO</stp>
        <stp>CALC_INTERVAL=5y</stp>
        <stp>BEST_FPERIOD_OVERRIDE=BF</stp>
        <tr r="P31" s="1"/>
      </tp>
      <tp>
        <v>0.67508990000000002</v>
        <stp/>
        <stp>##V3_BDPV12</stp>
        <stp>OMX Index</stp>
        <stp>CHG_PCT_1D</stp>
        <stp>[Index.xlsm]全球指數!R51C5</stp>
        <tr r="E51" s="1"/>
      </tp>
      <tp t="s">
        <v>#N/A N/A</v>
        <stp/>
        <stp>##V3_BDPV12</stp>
        <stp>CHLRGCAP Index</stp>
        <stp>INTERVAL_HIGH</stp>
        <stp>[Index.xlsm]全球指數!R130C16</stp>
        <stp>MARKET_DATA_OVERRIDE=PE_RATIO</stp>
        <stp>CALC_INTERVAL=5y</stp>
        <stp>BEST_FPERIOD_OVERRIDE=BF</stp>
        <tr r="P130" s="1"/>
      </tp>
      <tp>
        <v>-2.1211829999999998</v>
        <stp/>
        <stp>##V3_BDPV12</stp>
        <stp>SHSZ300 Index</stp>
        <stp>CHG_PCT_5D</stp>
        <stp>[Index.xlsm]全球指數!R44C10</stp>
        <tr r="J44" s="1"/>
      </tp>
      <tp>
        <v>1409.982</v>
        <stp/>
        <stp>##V3_BDPV12</stp>
        <stp>ICEXI Index</stp>
        <stp>PX_LAST</stp>
        <stp>[Index.xlsm]全球指數!R218C4</stp>
        <tr r="D218" s="1"/>
      </tp>
      <tp>
        <v>2.611297</v>
        <stp/>
        <stp>##V3_BDPV12</stp>
        <stp>SHSZ300 Index</stp>
        <stp>CHG_PCT_6M</stp>
        <stp>[Index.xlsm]全球指數!R44C13</stp>
        <tr r="M44" s="1"/>
      </tp>
      <tp>
        <v>0.63382799999999995</v>
        <stp/>
        <stp>##V3_BDPV12</stp>
        <stp>SHSZ300 Index</stp>
        <stp>CHG_PCT_1M</stp>
        <stp>[Index.xlsm]全球指數!R44C11</stp>
        <tr r="K44" s="1"/>
      </tp>
      <tp>
        <v>0.92436059999999998</v>
        <stp/>
        <stp>##V3_BDPV12</stp>
        <stp>VHINDEX Index</stp>
        <stp>CHG_PCT_1D</stp>
        <stp>[Index.xlsm]全球指數!R276C5</stp>
        <tr r="E276" s="1"/>
      </tp>
      <tp>
        <v>5069.4189999999999</v>
        <stp/>
        <stp>##V3_BDPV12</stp>
        <stp>ADSMI Index</stp>
        <stp>PX_LAST</stp>
        <stp>[Index.xlsm]全球指數!R120C4</stp>
        <tr r="D120" s="1"/>
      </tp>
      <tp>
        <v>0.16485849999999999</v>
        <stp/>
        <stp>##V3_BDPV12</stp>
        <stp>SHSZ300 Index</stp>
        <stp>CHG_PCT_3M</stp>
        <stp>[Index.xlsm]全球指數!R44C12</stp>
        <tr r="L44" s="1"/>
      </tp>
      <tp t="s">
        <v>EC</v>
        <stp/>
        <stp>##V3_BDPV12</stp>
        <stp>SXEP INDEX</stp>
        <stp>DS003</stp>
        <stp>[Index.xlsm]主要產業!R23C3</stp>
        <tr r="C23" s="2"/>
      </tp>
      <tp t="s">
        <v>EC</v>
        <stp/>
        <stp>##V3_BDPV12</stp>
        <stp>SXFP INDEX</stp>
        <stp>DS003</stp>
        <stp>[Index.xlsm]主要產業!R33C3</stp>
        <tr r="C33" s="2"/>
      </tp>
      <tp>
        <v>3.2330800000000002</v>
        <stp/>
        <stp>##V3_BDPV12</stp>
        <stp>s5tels Index</stp>
        <stp>CHG_PCT_3M</stp>
        <stp>[Index.xlsm]主要產業!R6C12</stp>
        <tr r="L6" s="2"/>
      </tp>
      <tp>
        <v>2.7799779999999998</v>
        <stp/>
        <stp>##V3_BDPV12</stp>
        <stp>s5tels Index</stp>
        <stp>CHG_PCT_1M</stp>
        <stp>[Index.xlsm]主要產業!R6C11</stp>
        <tr r="K6" s="2"/>
      </tp>
      <tp>
        <v>6.4588760000000001</v>
        <stp/>
        <stp>##V3_BDPV12</stp>
        <stp>s5tels Index</stp>
        <stp>CHG_PCT_6M</stp>
        <stp>[Index.xlsm]主要產業!R6C13</stp>
        <tr r="M6" s="2"/>
      </tp>
      <tp>
        <v>-1.8774679999999999</v>
        <stp/>
        <stp>##V3_BDPV12</stp>
        <stp>s5tels Index</stp>
        <stp>CHG_PCT_5D</stp>
        <stp>[Index.xlsm]主要產業!R6C10</stp>
        <tr r="J6" s="2"/>
      </tp>
      <tp>
        <v>2294.71</v>
        <stp/>
        <stp>##V3_BDPV12</stp>
        <stp>TPNCHM Index</stp>
        <stp>HIGH_52WEEK</stp>
        <stp>[Index.xlsm]主要產業!R40C6</stp>
        <tr r="F40" s="2"/>
      </tp>
      <tp>
        <v>3128.08</v>
        <stp/>
        <stp>##V3_BDPV12</stp>
        <stp>TPTRAN Index</stp>
        <stp>HIGH_52WEEK</stp>
        <stp>[Index.xlsm]主要產業!R39C6</stp>
        <tr r="F39" s="2"/>
      </tp>
      <tp>
        <v>15959.59</v>
        <stp/>
        <stp>##V3_BDPV12</stp>
        <stp>NYP Index</stp>
        <stp>PX_LAST</stp>
        <stp>[Index.xlsm]全球指數!R83C4</stp>
        <tr r="D83" s="1"/>
      </tp>
      <tp>
        <v>-0.5528554</v>
        <stp/>
        <stp>##V3_BDPV12</stp>
        <stp>DUAE Index</stp>
        <stp>CHG_PCT_1D</stp>
        <stp>[Index.xlsm]全球指數!R68C5</stp>
        <tr r="E68" s="1"/>
      </tp>
      <tp>
        <v>38.878815875915883</v>
        <stp/>
        <stp>##V3_BDPV12</stp>
        <stp>SPI Index</stp>
        <stp>INTERVAL_HIGH</stp>
        <stp>[Index.xlsm]全球指數!R206C16</stp>
        <stp>MARKET_DATA_OVERRIDE=PE_RATIO</stp>
        <stp>CALC_INTERVAL=5y</stp>
        <stp>BEST_FPERIOD_OVERRIDE=BF</stp>
        <tr r="P206" s="1"/>
      </tp>
      <tp>
        <v>-1.005531</v>
        <stp/>
        <stp>##V3_BDPV12</stp>
        <stp>CHLRGCAP Index</stp>
        <stp>CHG_PCT_5D</stp>
        <stp>[Index.xlsm]全球指數!R130C10</stp>
        <tr r="J130" s="1"/>
      </tp>
      <tp>
        <v>23.698509599311947</v>
        <stp/>
        <stp>##V3_BDPV12</stp>
        <stp>SPR Index</stp>
        <stp>INTERVAL_HIGH</stp>
        <stp>[Index.xlsm]全球指數!R135C16</stp>
        <stp>MARKET_DATA_OVERRIDE=PE_RATIO</stp>
        <stp>CALC_INTERVAL=5y</stp>
        <stp>BEST_FPERIOD_OVERRIDE=BF</stp>
        <tr r="P135" s="1"/>
      </tp>
      <tp>
        <v>3.6129630000000001</v>
        <stp/>
        <stp>##V3_BDPV12</stp>
        <stp>BHSEASI Index</stp>
        <stp>CHG_PCT_3M</stp>
        <stp>[Index.xlsm]全球指數!R304C12</stp>
        <tr r="L304" s="1"/>
      </tp>
      <tp>
        <v>23083.25</v>
        <stp/>
        <stp>##V3_BDPV12</stp>
        <stp>KSE Index</stp>
        <stp>PX_LAST</stp>
        <stp>[Index.xlsm]全球指數!R89C4</stp>
        <tr r="D89" s="1"/>
      </tp>
      <tp>
        <v>19.909813556798234</v>
        <stp/>
        <stp>##V3_BDPV12</stp>
        <stp>TPX Index</stp>
        <stp>INTERVAL_HIGH</stp>
        <stp>[Index.xlsm]全球指數!R289C16</stp>
        <stp>MARKET_DATA_OVERRIDE=PE_RATIO</stp>
        <stp>CALC_INTERVAL=5y</stp>
        <stp>BEST_FPERIOD_OVERRIDE=BF</stp>
        <tr r="P289" s="1"/>
      </tp>
      <tp>
        <v>23.38928730634353</v>
        <stp/>
        <stp>##V3_BDPV12</stp>
        <stp>SPX Index</stp>
        <stp>INTERVAL_HIGH</stp>
        <stp>[Index.xlsm]全球指數!R134C16</stp>
        <stp>MARKET_DATA_OVERRIDE=PE_RATIO</stp>
        <stp>CALC_INTERVAL=5y</stp>
        <stp>BEST_FPERIOD_OVERRIDE=BF</stp>
        <tr r="P134" s="1"/>
      </tp>
      <tp>
        <v>0.73920839999999999</v>
        <stp/>
        <stp>##V3_BDPV12</stp>
        <stp>ITLMS Index</stp>
        <stp>CHG_PCT_1D</stp>
        <stp>[Index.xlsm]全球指數!R150C5</stp>
        <tr r="E150" s="1"/>
      </tp>
      <tp>
        <v>23.172644698070435</v>
        <stp/>
        <stp>##V3_BDPV12</stp>
        <stp>SICOM Index</stp>
        <stp>PE_RATIO</stp>
        <stp>[Index.xlsm]全球指數!R15C18</stp>
        <tr r="R15" s="1"/>
      </tp>
      <tp>
        <v>9.6536577055367996</v>
        <stp/>
        <stp>##V3_BDPV12</stp>
        <stp>XIN0I Index</stp>
        <stp>PE_RATIO</stp>
        <stp>[Index.xlsm]全球指數!R96C18</stp>
        <tr r="R96" s="1"/>
      </tp>
      <tp>
        <v>-0.2330874</v>
        <stp/>
        <stp>##V3_BDPV12</stp>
        <stp>INMEX Index</stp>
        <stp>CHG_PCT_1D</stp>
        <stp>[Index.xlsm]全球指數!R228C5</stp>
        <tr r="E228" s="1"/>
      </tp>
      <tp>
        <v>-1.563407E-2</v>
        <stp/>
        <stp>##V3_BDPV12</stp>
        <stp>TWSE Index</stp>
        <stp>CHG_PCT_1D</stp>
        <stp>[Index.xlsm]全球指數!R225C5</stp>
        <tr r="E225" s="1"/>
      </tp>
      <tp>
        <v>4718.0200000000004</v>
        <stp/>
        <stp>##V3_BDPV12</stp>
        <stp>KWSEMM Index</stp>
        <stp>PX_LAST</stp>
        <stp>[Index.xlsm]全球指數!R291C4</stp>
        <tr r="D291" s="1"/>
      </tp>
      <tp>
        <v>6222.91</v>
        <stp/>
        <stp>##V3_BDPV12</stp>
        <stp>KWSEPM Index</stp>
        <stp>PX_LAST</stp>
        <stp>[Index.xlsm]全球指數!R311C4</stp>
        <tr r="D311" s="1"/>
      </tp>
      <tp>
        <v>5073.2</v>
        <stp/>
        <stp>##V3_BDPV12</stp>
        <stp>VALUA Index</stp>
        <stp>LOW_52WEEK</stp>
        <stp>[Index.xlsm]全球指數!R112C8</stp>
        <tr r="H112" s="1"/>
      </tp>
      <tp>
        <v>-0.37418010000000002</v>
        <stp/>
        <stp>##V3_BDPV12</stp>
        <stp>ADSMI Index</stp>
        <stp>CHG_PCT_1D</stp>
        <stp>[Index.xlsm]全球指數!R120C5</stp>
        <tr r="E120" s="1"/>
      </tp>
      <tp>
        <v>0.69613190000000003</v>
        <stp/>
        <stp>##V3_BDPV12</stp>
        <stp>SSE180 Index</stp>
        <stp>CHG_PCT_1M</stp>
        <stp>[Index.xlsm]全球指數!R74C11</stp>
        <tr r="K74" s="1"/>
      </tp>
      <tp>
        <v>5772.76</v>
        <stp/>
        <stp>##V3_BDPV12</stp>
        <stp>CSEALL Index</stp>
        <stp>PX_LAST</stp>
        <stp>[Index.xlsm]全球指數!R174C4</stp>
        <tr r="D174" s="1"/>
      </tp>
      <tp>
        <v>-1.260359</v>
        <stp/>
        <stp>##V3_BDPV12</stp>
        <stp>SSE180 Index</stp>
        <stp>CHG_PCT_3M</stp>
        <stp>[Index.xlsm]全球指數!R74C12</stp>
        <tr r="L74" s="1"/>
      </tp>
      <tp>
        <v>-1.6508959999999999</v>
        <stp/>
        <stp>##V3_BDPV12</stp>
        <stp>SSE180 Index</stp>
        <stp>CHG_PCT_5D</stp>
        <stp>[Index.xlsm]全球指數!R74C10</stp>
        <tr r="J74" s="1"/>
      </tp>
      <tp>
        <v>681.85</v>
        <stp/>
        <stp>##V3_BDPV12</stp>
        <stp>UTIL Index</stp>
        <stp>LOW_52WEEK</stp>
        <stp>[Index.xlsm]全球指數!R305C8</stp>
        <tr r="H305" s="1"/>
      </tp>
      <tp>
        <v>52.114739139486737</v>
        <stp/>
        <stp>##V3_BDPV12</stp>
        <stp>OMXO20 Index</stp>
        <stp>INTERVAL_HIGH</stp>
        <stp>[Index.xlsm]全球指數!R49C16</stp>
        <stp>MARKET_DATA_OVERRIDE=PE_RATIO</stp>
        <stp>CALC_INTERVAL=5y</stp>
        <stp>BEST_FPERIOD_OVERRIDE=BF</stp>
        <tr r="P49" s="1"/>
      </tp>
      <tp>
        <v>2.9123489999999999</v>
        <stp/>
        <stp>##V3_BDPV12</stp>
        <stp>SSE180 Index</stp>
        <stp>CHG_PCT_6M</stp>
        <stp>[Index.xlsm]全球指數!R74C13</stp>
        <tr r="M74" s="1"/>
      </tp>
      <tp>
        <v>0.37224400000000002</v>
        <stp/>
        <stp>##V3_BDPV12</stp>
        <stp>HSI Index</stp>
        <stp>CHG_PCT_1D</stp>
        <stp>[Index.xlsm]全球指數!R77C5</stp>
        <tr r="E77" s="1"/>
      </tp>
      <tp t="s">
        <v>#N/A N/A</v>
        <stp/>
        <stp>##V3_BDPV12</stp>
        <stp>FTSEM Index</stp>
        <stp>INTERVAL_HIGH</stp>
        <stp>[Index.xlsm]全球指數!R43C16</stp>
        <stp>MARKET_DATA_OVERRIDE=PE_RATIO</stp>
        <stp>CALC_INTERVAL=5y</stp>
        <stp>BEST_FPERIOD_OVERRIDE=BF</stp>
        <tr r="P43" s="1"/>
      </tp>
      <tp>
        <v>-6.4438810000000002</v>
        <stp/>
        <stp>##V3_BDPV12</stp>
        <stp>CYSMMAPA Index</stp>
        <stp>PR064</stp>
        <stp>[Index.xlsm]全球指數!R139C14</stp>
        <tr r="N139" s="1"/>
      </tp>
      <tp>
        <v>24.917093940627446</v>
        <stp/>
        <stp>##V3_BDPV12</stp>
        <stp>SHCOMP Index</stp>
        <stp>INTERVAL_HIGH</stp>
        <stp>[Index.xlsm]全球指數!R32C16</stp>
        <stp>MARKET_DATA_OVERRIDE=PE_RATIO</stp>
        <stp>CALC_INTERVAL=5y</stp>
        <stp>BEST_FPERIOD_OVERRIDE=BF</stp>
        <tr r="P32" s="1"/>
      </tp>
      <tp>
        <v>73.772080269638778</v>
        <stp/>
        <stp>##V3_BDPV12</stp>
        <stp>SZCOMP Index</stp>
        <stp>INTERVAL_HIGH</stp>
        <stp>[Index.xlsm]全球指數!R11C16</stp>
        <stp>MARKET_DATA_OVERRIDE=PE_RATIO</stp>
        <stp>CALC_INTERVAL=5y</stp>
        <stp>BEST_FPERIOD_OVERRIDE=BF</stp>
        <tr r="P11" s="1"/>
      </tp>
      <tp>
        <v>28491.109375</v>
        <stp/>
        <stp>##V3_BDPV12</stp>
        <stp>SPBL25PT Index</stp>
        <stp>HIGH_52WEEK</stp>
        <stp>[Index.xlsm]全球指數!R232C6</stp>
        <tr r="F232" s="1"/>
      </tp>
      <tp>
        <v>-0.18161140000000001</v>
        <stp/>
        <stp>##V3_BDPV12</stp>
        <stp>SWIG80 Index</stp>
        <stp>CHG_PCT_1YR</stp>
        <stp>[Index.xlsm]全球指數!R191C15</stp>
        <tr r="O191" s="1"/>
      </tp>
      <tp>
        <v>866.18</v>
        <stp/>
        <stp>##V3_BDPV12</stp>
        <stp>ASE Index</stp>
        <stp>PX_LAST</stp>
        <stp>[Index.xlsm]全球指數!R142C4</stp>
        <tr r="D142" s="1"/>
      </tp>
      <tp>
        <v>-4.1329469999999997</v>
        <stp/>
        <stp>##V3_BDPV12</stp>
        <stp>SPIEXX Index</stp>
        <stp>CHG_PCT_1YR</stp>
        <stp>[Index.xlsm]全球指數!R180C15</stp>
        <tr r="O180" s="1"/>
      </tp>
      <tp>
        <v>-15.82103</v>
        <stp/>
        <stp>##V3_BDPV12</stp>
        <stp>NGSEINDX Index</stp>
        <stp>CHG_PCT_1YR</stp>
        <stp>[Index.xlsm]全球指數!R219C15</stp>
        <tr r="O219" s="1"/>
      </tp>
    </main>
    <main first="bloomberg.rtd">
      <tp>
        <v>0.1700036</v>
        <stp/>
        <stp>##V3_BDPV12</stp>
        <stp>NZSE50FG Index</stp>
        <stp>CHG_PCT_5D</stp>
        <stp>[Index.xlsm]全球指數!R250C10</stp>
        <tr r="J250" s="1"/>
      </tp>
      <tp>
        <v>2.5702090000000002</v>
        <stp/>
        <stp>##V3_BDPV12</stp>
        <stp>SBITOP Index</stp>
        <stp>CHG_PCT_1YR</stp>
        <stp>[Index.xlsm]全球指數!R176C15</stp>
        <tr r="O176" s="1"/>
      </tp>
      <tp>
        <v>42.89</v>
        <stp/>
        <stp>##V3_BDPV12</stp>
        <stp>TWSEOPE Index</stp>
        <stp>HIGH_52WEEK</stp>
        <stp>[Index.xlsm]主要產業!R78C6</stp>
        <tr r="F78" s="2"/>
      </tp>
      <tp t="s">
        <v>EC</v>
        <stp/>
        <stp>##V3_BDPV12</stp>
        <stp>SX3P INDEX</stp>
        <stp>DS003</stp>
        <stp>[Index.xlsm]主要產業!R22C3</stp>
        <tr r="C22" s="2"/>
      </tp>
      <tp t="s">
        <v>EC</v>
        <stp/>
        <stp>##V3_BDPV12</stp>
        <stp>SXPP INDEX</stp>
        <stp>DS003</stp>
        <stp>[Index.xlsm]主要產業!R32C3</stp>
        <tr r="C32" s="2"/>
      </tp>
      <tp>
        <v>11.370164942445115</v>
        <stp/>
        <stp>##V3_BDPV12</stp>
        <stp>s5finl index</stp>
        <stp>INTERVAL_Low</stp>
        <stp>[Index.xlsm]主要產業!R4C17</stp>
        <stp>MARKET_DATA_OVERRIDE=PE_RATIO</stp>
        <stp>CALC_INTERVAL=5y</stp>
        <stp>BEST_FPERIOD_OVERRIDE=BF</stp>
        <tr r="Q4" s="2"/>
      </tp>
      <tp>
        <v>4116.95</v>
        <stp/>
        <stp>##V3_BDPV12</stp>
        <stp>HSCISV Index</stp>
        <stp>HIGH_52WEEK</stp>
        <stp>[Index.xlsm]主要產業!R66C6</stp>
        <tr r="F66" s="2"/>
      </tp>
      <tp>
        <v>4749.41015625</v>
        <stp/>
        <stp>##V3_BDPV12</stp>
        <stp>HSCIPC Index</stp>
        <stp>HIGH_52WEEK</stp>
        <stp>[Index.xlsm]主要產業!R65C6</stp>
        <tr r="F65" s="2"/>
      </tp>
      <tp>
        <v>2176.1</v>
        <stp/>
        <stp>##V3_BDPV12</stp>
        <stp>DARSDSEI Index</stp>
        <stp>HIGH_52WEEK</stp>
        <stp>[Index.xlsm]全球指數!R253C6</stp>
        <tr r="F253" s="1"/>
      </tp>
      <tp>
        <v>34.978884575887882</v>
        <stp/>
        <stp>##V3_BDPV12</stp>
        <stp>ASE Index</stp>
        <stp>INTERVAL_HIGH</stp>
        <stp>[Index.xlsm]全球指數!R142C16</stp>
        <stp>MARKET_DATA_OVERRIDE=PE_RATIO</stp>
        <stp>CALC_INTERVAL=5y</stp>
        <stp>BEST_FPERIOD_OVERRIDE=BF</stp>
        <tr r="P142" s="1"/>
      </tp>
      <tp>
        <v>-6.557404</v>
        <stp/>
        <stp>##V3_BDPV12</stp>
        <stp>CHLRGCAP Index</stp>
        <stp>CHG_PCT_6M</stp>
        <stp>[Index.xlsm]全球指數!R130C13</stp>
        <tr r="M130" s="1"/>
      </tp>
      <tp>
        <v>19.036800517934353</v>
        <stp/>
        <stp>##V3_BDPV12</stp>
        <stp>DSM Index</stp>
        <stp>INTERVAL_HIGH</stp>
        <stp>[Index.xlsm]全球指數!R143C16</stp>
        <stp>MARKET_DATA_OVERRIDE=PE_RATIO</stp>
        <stp>CALC_INTERVAL=5y</stp>
        <stp>BEST_FPERIOD_OVERRIDE=BF</stp>
        <tr r="P143" s="1"/>
      </tp>
      <tp>
        <v>-2.984613</v>
        <stp/>
        <stp>##V3_BDPV12</stp>
        <stp>BWORLDEU Index</stp>
        <stp>CHG_PCT_3M</stp>
        <stp>[Index.xlsm]全球指數!R101C12</stp>
        <tr r="L101" s="1"/>
      </tp>
      <tp>
        <v>9.9606238018755509</v>
        <stp/>
        <stp>##V3_BDPV12</stp>
        <stp>BSX Index</stp>
        <stp>INTERVAL_HIGH</stp>
        <stp>[Index.xlsm]全球指數!R297C16</stp>
        <stp>MARKET_DATA_OVERRIDE=PE_RATIO</stp>
        <stp>CALC_INTERVAL=5y</stp>
        <stp>BEST_FPERIOD_OVERRIDE=BF</stp>
        <tr r="P297" s="1"/>
      </tp>
      <tp>
        <v>-2.6892330000000002</v>
        <stp/>
        <stp>##V3_BDPV12</stp>
        <stp>OSX Index</stp>
        <stp>CHG_PCT_1D</stp>
        <stp>[Index.xlsm]全球指數!R2C5</stp>
        <tr r="E2" s="1"/>
      </tp>
      <tp>
        <v>58.786456184195991</v>
        <stp/>
        <stp>##V3_BDPV12</stp>
        <stp>ASX Index</stp>
        <stp>INTERVAL_HIGH</stp>
        <stp>[Index.xlsm]全球指數!R209C16</stp>
        <stp>MARKET_DATA_OVERRIDE=PE_RATIO</stp>
        <stp>CALC_INTERVAL=5y</stp>
        <stp>BEST_FPERIOD_OVERRIDE=BF</stp>
        <tr r="P209" s="1"/>
      </tp>
      <tp>
        <v>50.735265535950397</v>
        <stp/>
        <stp>##V3_BDPV12</stp>
        <stp>TOP40 Index</stp>
        <stp>INTERVAL_HIGH</stp>
        <stp>[Index.xlsm]全球指數!R64C16</stp>
        <stp>MARKET_DATA_OVERRIDE=PE_RATIO</stp>
        <stp>CALC_INTERVAL=5y</stp>
        <stp>BEST_FPERIOD_OVERRIDE=BF</stp>
        <tr r="P64" s="1"/>
      </tp>
      <tp>
        <v>0.36456470000000002</v>
        <stp/>
        <stp>##V3_BDPV12</stp>
        <stp>COLIR Index</stp>
        <stp>CHG_PCT_1D</stp>
        <stp>[Index.xlsm]全球指數!R267C5</stp>
        <tr r="E267" s="1"/>
      </tp>
      <tp>
        <v>0.43943840000000001</v>
        <stp/>
        <stp>##V3_BDPV12</stp>
        <stp>NYIID Index</stp>
        <stp>CHG_PCT_1D</stp>
        <stp>[Index.xlsm]全球指數!R227C5</stp>
        <tr r="E227" s="1"/>
      </tp>
      <tp>
        <v>7397.7669999999998</v>
        <stp/>
        <stp>##V3_BDPV12</stp>
        <stp>BGSMDC Index</stp>
        <stp>LOW_52WEEK</stp>
        <stp>[Index.xlsm]全球指數!R257C8</stp>
        <tr r="H257" s="1"/>
      </tp>
      <tp>
        <v>1148.268</v>
        <stp/>
        <stp>##V3_BDPV12</stp>
        <stp>TALSE Index</stp>
        <stp>LOW_52WEEK</stp>
        <stp>[Index.xlsm]全球指數!R247C8</stp>
        <tr r="H247" s="1"/>
      </tp>
      <tp>
        <v>144.5</v>
        <stp/>
        <stp>##V3_BDPV12</stp>
        <stp>NSEASI Index</stp>
        <stp>PX_LAST</stp>
        <stp>[Index.xlsm]全球指數!R252C4</stp>
        <tr r="D252" s="1"/>
      </tp>
      <tp>
        <v>1743.7</v>
        <stp/>
        <stp>##V3_BDPV12</stp>
        <stp>TPXSM Index</stp>
        <stp>LOW_52WEEK</stp>
        <stp>[Index.xlsm]全球指數!R307C8</stp>
        <tr r="H307" s="1"/>
      </tp>
      <tp>
        <v>-6.2847770000000001</v>
        <stp/>
        <stp>##V3_BDPV12</stp>
        <stp>HSCEI Index</stp>
        <stp>PR064</stp>
        <stp>[Index.xlsm]全球指數!R72C14</stp>
        <tr r="N72" s="1"/>
      </tp>
      <tp>
        <v>-6.5940589999999997</v>
        <stp/>
        <stp>##V3_BDPV12</stp>
        <stp>HSCCI Index</stp>
        <stp>PR064</stp>
        <stp>[Index.xlsm]全球指數!R24C14</stp>
        <tr r="N24" s="1"/>
      </tp>
      <tp>
        <v>2.439006</v>
        <stp/>
        <stp>##V3_BDPV12</stp>
        <stp>SICOM Index</stp>
        <stp>PR064</stp>
        <stp>[Index.xlsm]全球指數!R15C14</stp>
        <tr r="N15" s="1"/>
      </tp>
      <tp>
        <v>5989.6809999999996</v>
        <stp/>
        <stp>##V3_BDPV12</stp>
        <stp>SZ399005 Index</stp>
        <stp>PX_LAST</stp>
        <stp>[Index.xlsm]全球指數!R16C4</stp>
        <tr r="D16" s="1"/>
      </tp>
      <tp>
        <v>2971.04</v>
        <stp/>
        <stp>##V3_BDPV12</stp>
        <stp>TDXP Index</stp>
        <stp>HIGH_52WEEK</stp>
        <stp>[Index.xlsm]全球指數!R22C6</stp>
        <tr r="F22" s="1"/>
      </tp>
      <tp>
        <v>3.4014180000000001</v>
        <stp/>
        <stp>##V3_BDPV12</stp>
        <stp>BVPSBVPS Index</stp>
        <stp>PR064</stp>
        <stp>[Index.xlsm]全球指數!R243C14</stp>
        <tr r="N243" s="1"/>
      </tp>
      <tp>
        <v>3608</v>
        <stp/>
        <stp>##V3_BDPV12</stp>
        <stp>FTEFC1 Index</stp>
        <stp>LOW_52WEEK</stp>
        <stp>[Index.xlsm]全球指數!R214C8</stp>
        <tr r="H214" s="1"/>
      </tp>
      <tp>
        <v>-5.882466</v>
        <stp/>
        <stp>##V3_BDPV12</stp>
        <stp>PX Index</stp>
        <stp>CHG_PCT_1YR</stp>
        <stp>[Index.xlsm]全球指數!R84C15</stp>
        <tr r="O84" s="1"/>
      </tp>
      <tp>
        <v>-1.9753050000000001</v>
        <stp/>
        <stp>##V3_BDPV12</stp>
        <stp>NBI Index</stp>
        <stp>CHG_PCT_1D</stp>
        <stp>[Index.xlsm]全球指數!R12C5</stp>
        <tr r="E12" s="1"/>
      </tp>
      <tp>
        <v>1010.91</v>
        <stp/>
        <stp>##V3_BDPV12</stp>
        <stp>S5INFT Index</stp>
        <stp>LOW_52WEEK</stp>
        <stp>[Index.xlsm]主要產業!R2C8</stp>
        <tr r="H2" s="2"/>
      </tp>
      <tp t="s">
        <v>JPX Nikkei Index 400</v>
        <stp/>
        <stp>##V3_BDPV12</stp>
        <stp>JPNK400 Index</stp>
        <stp>DS697</stp>
        <stp>[Index.xlsm]全球指數!R286C2</stp>
        <tr r="B286" s="1"/>
      </tp>
      <tp>
        <v>-10.882479999999999</v>
        <stp/>
        <stp>##V3_BDPV12</stp>
        <stp>CHLRGCAP Index</stp>
        <stp>CHG_PCT_1YR</stp>
        <stp>[Index.xlsm]全球指數!R130C15</stp>
        <tr r="O130" s="1"/>
      </tp>
      <tp t="s">
        <v>紐西蘭NZX流通50總報酬指數</v>
        <stp/>
        <stp>##V3_BDPV12</stp>
        <stp>NZSE50FG Index</stp>
        <stp>DS697</stp>
        <stp>[Index.xlsm]全球指數!R250C2</stp>
        <tr r="B250" s="1"/>
      </tp>
      <tp>
        <v>4968.4690000000001</v>
        <stp/>
        <stp>##V3_BDPV12</stp>
        <stp>DSEX Index</stp>
        <stp>PX_LAST</stp>
        <stp>[Index.xlsm]全球指數!R306C4</stp>
        <tr r="D306" s="1"/>
      </tp>
      <tp>
        <v>9100.4670000000006</v>
        <stp/>
        <stp>##V3_BDPV12</stp>
        <stp>NYYID Index</stp>
        <stp>PX_LAST</stp>
        <stp>[Index.xlsm]全球指數!R190C4</stp>
        <tr r="D190" s="1"/>
      </tp>
      <tp>
        <v>11.84573</v>
        <stp/>
        <stp>##V3_BDPV12</stp>
        <stp>NZSE50FG Index</stp>
        <stp>CHG_PCT_6M</stp>
        <stp>[Index.xlsm]全球指數!R250C13</stp>
        <tr r="M250" s="1"/>
      </tp>
      <tp>
        <v>1709.7</v>
        <stp/>
        <stp>##V3_BDPV12</stp>
        <stp>TSEREIT Index</stp>
        <stp>LOW_52WEEK</stp>
        <stp>[Index.xlsm]全球指數!R309C8</stp>
        <tr r="H309" s="1"/>
      </tp>
      <tp>
        <v>888.81</v>
        <stp/>
        <stp>##V3_BDPV12</stp>
        <stp>COLEQTY Index</stp>
        <stp>LOW_52WEEK</stp>
        <stp>[Index.xlsm]全球指數!R268C8</stp>
        <tr r="H268" s="1"/>
      </tp>
      <tp t="s">
        <v>EC</v>
        <stp/>
        <stp>##V3_BDPV12</stp>
        <stp>SX7P INDEX</stp>
        <stp>DS003</stp>
        <stp>[Index.xlsm]主要產業!R21C3</stp>
        <tr r="C21" s="2"/>
      </tp>
      <tp t="s">
        <v>EC</v>
        <stp/>
        <stp>##V3_BDPV12</stp>
        <stp>SXAP INDEX</stp>
        <stp>DS003</stp>
        <stp>[Index.xlsm]主要產業!R31C3</stp>
        <tr r="C31" s="2"/>
      </tp>
      <tp>
        <v>330.44</v>
        <stp/>
        <stp>##V3_BDPV12</stp>
        <stp>s5util Index</stp>
        <stp>HIGH_52WEEK</stp>
        <stp>[Index.xlsm]主要產業!R14C6</stp>
        <tr r="F14" s="2"/>
      </tp>
      <tp>
        <v>91.11</v>
        <stp/>
        <stp>##V3_BDPV12</stp>
        <stp>JPM US Equity</stp>
        <stp>LOW_52WEEK</stp>
        <stp>[Index.xlsm]主要產業!R5C28</stp>
        <tr r="AB5" s="2"/>
      </tp>
      <tp>
        <v>121</v>
        <stp/>
        <stp>##V3_BDPV12</stp>
        <stp>JNJ US Equity</stp>
        <stp>LOW_52WEEK</stp>
        <stp>[Index.xlsm]主要產業!R6C28</stp>
        <tr r="AB6" s="2"/>
      </tp>
      <tp>
        <v>2557.9299999999998</v>
        <stp/>
        <stp>##V3_BDPV12</stp>
        <stp>TPELMH Index</stp>
        <stp>HIGH_52WEEK</stp>
        <stp>[Index.xlsm]主要產業!R37C6</stp>
        <tr r="F37" s="2"/>
      </tp>
      <tp>
        <v>533.61</v>
        <stp/>
        <stp>##V3_BDPV12</stp>
        <stp>TWSETEXT Index</stp>
        <stp>PX_LAST</stp>
        <stp>[Index.xlsm]主要產業!R84C4</stp>
        <tr r="D84" s="2"/>
      </tp>
      <tp>
        <v>0.47288799999999998</v>
        <stp/>
        <stp>##V3_BDPV12</stp>
        <stp>BVLX Index</stp>
        <stp>CHG_PCT_1D</stp>
        <stp>[Index.xlsm]全球指數!R69C5</stp>
        <tr r="E69" s="1"/>
      </tp>
      <tp>
        <v>-3.0860080000000002E-2</v>
        <stp/>
        <stp>##V3_BDPV12</stp>
        <stp>BVPSBVPS Index</stp>
        <stp>CHG_PCT_5D</stp>
        <stp>[Index.xlsm]全球指數!R243C10</stp>
        <tr r="J243" s="1"/>
      </tp>
      <tp>
        <v>-0.82113040000000004</v>
        <stp/>
        <stp>##V3_BDPV12</stp>
        <stp>HKSPGEM Index</stp>
        <stp>CHG_PCT_5D</stp>
        <stp>[Index.xlsm]全球指數!R151C10</stp>
        <tr r="J151" s="1"/>
      </tp>
      <tp>
        <v>60.788672342228629</v>
        <stp/>
        <stp>##V3_BDPV12</stp>
        <stp>CRO Index</stp>
        <stp>INTERVAL_HIGH</stp>
        <stp>[Index.xlsm]全球指數!R310C16</stp>
        <stp>MARKET_DATA_OVERRIDE=PE_RATIO</stp>
        <stp>CALC_INTERVAL=5y</stp>
        <stp>BEST_FPERIOD_OVERRIDE=BF</stp>
        <tr r="P310" s="1"/>
      </tp>
      <tp>
        <v>32.27182417386026</v>
        <stp/>
        <stp>##V3_BDPV12</stp>
        <stp>IRT Index</stp>
        <stp>INTERVAL_HIGH</stp>
        <stp>[Index.xlsm]全球指數!R237C16</stp>
        <stp>MARKET_DATA_OVERRIDE=PE_RATIO</stp>
        <stp>CALC_INTERVAL=5y</stp>
        <stp>BEST_FPERIOD_OVERRIDE=BF</stp>
        <tr r="P237" s="1"/>
      </tp>
      <tp>
        <v>-1.01816</v>
        <stp/>
        <stp>##V3_BDPV12</stp>
        <stp>BHSEASI Index</stp>
        <stp>CHG_PCT_1M</stp>
        <stp>[Index.xlsm]全球指數!R304C11</stp>
        <tr r="K304" s="1"/>
      </tp>
      <tp>
        <v>-0.10169250000000001</v>
        <stp/>
        <stp>##V3_BDPV12</stp>
        <stp>IBG Index</stp>
        <stp>CHG_PCT_1D</stp>
        <stp>[Index.xlsm]全球指數!R3C5</stp>
        <tr r="E3" s="1"/>
      </tp>
      <tp>
        <v>5039.5680000000002</v>
        <stp/>
        <stp>##V3_BDPV12</stp>
        <stp>CIND Index</stp>
        <stp>LOW_52WEEK</stp>
        <stp>[Index.xlsm]全球指數!R25C8</stp>
        <tr r="H25" s="1"/>
      </tp>
      <tp>
        <v>-4.8151470000000002E-2</v>
        <stp/>
        <stp>##V3_BDPV12</stp>
        <stp>FBMEMAS Index</stp>
        <stp>CHG_PCT_5D</stp>
        <stp>[Index.xlsm]全球指數!R242C10</stp>
        <tr r="J242" s="1"/>
      </tp>
      <tp>
        <v>7.3936330000000001E-3</v>
        <stp/>
        <stp>##V3_BDPV12</stp>
        <stp>CTRN Index</stp>
        <stp>CHG_PCT_1D</stp>
        <stp>[Index.xlsm]全球指數!R136C5</stp>
        <tr r="E136" s="1"/>
      </tp>
      <tp>
        <v>705.68</v>
        <stp/>
        <stp>##V3_BDPV12</stp>
        <stp>COLSC Index</stp>
        <stp>LOW_52WEEK</stp>
        <stp>[Index.xlsm]全球指數!R256C8</stp>
        <tr r="H256" s="1"/>
      </tp>
      <tp>
        <v>1891.81</v>
        <stp/>
        <stp>##V3_BDPV12</stp>
        <stp>KOSPI Index</stp>
        <stp>LOW_52WEEK</stp>
        <stp>[Index.xlsm]全球指數!R155C8</stp>
        <tr r="H155" s="1"/>
      </tp>
      <tp>
        <v>1326.04</v>
        <stp/>
        <stp>##V3_BDPV12</stp>
        <stp>SPEURO Index</stp>
        <stp>LOW_52WEEK</stp>
        <stp>[Index.xlsm]全球指數!R201C8</stp>
        <tr r="H201" s="1"/>
      </tp>
      <tp>
        <v>-0.83014909999999997</v>
        <stp/>
        <stp>##V3_BDPV12</stp>
        <stp>IBVC Index</stp>
        <stp>CHG_PCT_1D</stp>
        <stp>[Index.xlsm]全球指數!R312C5</stp>
        <tr r="E312" s="1"/>
      </tp>
      <tp>
        <v>0.39844259999999998</v>
        <stp/>
        <stp>##V3_BDPV12</stp>
        <stp>IPSA Index</stp>
        <stp>CHG_PCT_1D</stp>
        <stp>[Index.xlsm]全球指數!R147C5</stp>
        <tr r="E147" s="1"/>
      </tp>
      <tp>
        <v>29751.15</v>
        <stp/>
        <stp>##V3_BDPV12</stp>
        <stp>ITSTAR Index</stp>
        <stp>LOW_52WEEK</stp>
        <stp>[Index.xlsm]全球指數!R158C8</stp>
        <tr r="H158" s="1"/>
      </tp>
      <tp>
        <v>33309.890625</v>
        <stp/>
        <stp>##V3_BDPV12</stp>
        <stp>ITMC Index</stp>
        <stp>LOW_52WEEK</stp>
        <stp>[Index.xlsm]全球指數!R163C8</stp>
        <tr r="H163" s="1"/>
      </tp>
      <tp>
        <v>-0.66326549999999995</v>
        <stp/>
        <stp>##V3_BDPV12</stp>
        <stp>KWSEPM Index</stp>
        <stp>CHG_PCT_1D</stp>
        <stp>[Index.xlsm]全球指數!R311C5</stp>
        <tr r="E311" s="1"/>
      </tp>
      <tp>
        <v>-7.4674760000000007E-2</v>
        <stp/>
        <stp>##V3_BDPV12</stp>
        <stp>SBITOP Index</stp>
        <stp>CHG_PCT_1D</stp>
        <stp>[Index.xlsm]全球指數!R176C5</stp>
        <tr r="E176" s="1"/>
      </tp>
      <tp>
        <v>6804.134</v>
        <stp/>
        <stp>##V3_BDPV12</stp>
        <stp>CFIN Index</stp>
        <stp>LOW_52WEEK</stp>
        <stp>[Index.xlsm]全球指數!R137C8</stp>
        <tr r="H137" s="1"/>
      </tp>
      <tp>
        <v>948.48</v>
        <stp/>
        <stp>##V3_BDPV12</stp>
        <stp>OSEBX Index</stp>
        <stp>HIGH_52WEEK</stp>
        <stp>[Index.xlsm]全球指數!R52C6</stp>
        <tr r="F52" s="1"/>
      </tp>
      <tp>
        <v>15.971197980321469</v>
        <stp/>
        <stp>##V3_BDPV12</stp>
        <stp>SH000905 Index</stp>
        <stp>INTERVAL_Low</stp>
        <stp>[Index.xlsm]全球指數!R13C17</stp>
        <stp>MARKET_DATA_OVERRIDE=PE_RATIO</stp>
        <stp>CALC_INTERVAL=5y</stp>
        <stp>BEST_FPERIOD_OVERRIDE=BF</stp>
        <tr r="Q13" s="1"/>
      </tp>
      <tp t="s">
        <v>彭博歐洲500指數</v>
        <stp/>
        <stp>##V3_BDPV12</stp>
        <stp>BE500 Index</stp>
        <stp>DS697</stp>
        <stp>[Index.xlsm]全球指數!R202C2</stp>
        <tr r="B202" s="1"/>
      </tp>
      <tp>
        <v>-0.34530369999999999</v>
        <stp/>
        <stp>##V3_BDPV12</stp>
        <stp>NYP Index</stp>
        <stp>CHG_PCT_1D</stp>
        <stp>[Index.xlsm]全球指數!R83C5</stp>
        <tr r="E83" s="1"/>
      </tp>
      <tp>
        <v>7082.6360000000004</v>
        <stp/>
        <stp>##V3_BDPV12</stp>
        <stp>HEXP Index</stp>
        <stp>HIGH_52WEEK</stp>
        <stp>[Index.xlsm]全球指數!R93C6</stp>
        <tr r="F93" s="1"/>
      </tp>
      <tp>
        <v>0.44432890000000003</v>
        <stp/>
        <stp>##V3_BDPV12</stp>
        <stp>DAX Index</stp>
        <stp>CHG_PCT_1D</stp>
        <stp>[Index.xlsm]全球指數!R99C5</stp>
        <tr r="E99" s="1"/>
      </tp>
      <tp>
        <v>1046.3900000000001</v>
        <stp/>
        <stp>##V3_BDPV12</stp>
        <stp>SE30 Index</stp>
        <stp>LOW_52WEEK</stp>
        <stp>[Index.xlsm]全球指數!R29C8</stp>
        <tr r="H29" s="1"/>
      </tp>
      <tp>
        <v>2798.21</v>
        <stp/>
        <stp>##V3_BDPV12</stp>
        <stp>DFMGI Index</stp>
        <stp>PX_LAST</stp>
        <stp>[Index.xlsm]全球指數!R166C4</stp>
        <tr r="D166" s="1"/>
      </tp>
      <tp>
        <v>573.67999999999995</v>
        <stp/>
        <stp>##V3_BDPV12</stp>
        <stp>SOFIX Index</stp>
        <stp>PX_LAST</stp>
        <stp>[Index.xlsm]全球指數!R110C4</stp>
        <tr r="D110" s="1"/>
      </tp>
      <tp>
        <v>16790.400000000001</v>
        <stp/>
        <stp>##V3_BDPV12</stp>
        <stp>SPTSX Index</stp>
        <stp>PX_LAST</stp>
        <stp>[Index.xlsm]全球指數!R200C4</stp>
        <tr r="D200" s="1"/>
      </tp>
      <tp t="s">
        <v>EC</v>
        <stp/>
        <stp>##V3_BDPV12</stp>
        <stp>SXOP INDEX</stp>
        <stp>DS003</stp>
        <stp>[Index.xlsm]主要產業!R30C3</stp>
        <tr r="C30" s="2"/>
      </tp>
      <tp t="s">
        <v>EC</v>
        <stp/>
        <stp>##V3_BDPV12</stp>
        <stp>SXQP INDEX</stp>
        <stp>DS003</stp>
        <stp>[Index.xlsm]主要產業!R20C3</stp>
        <tr r="C20" s="2"/>
      </tp>
      <tp>
        <v>-1.1824920000000001</v>
        <stp/>
        <stp>##V3_BDPV12</stp>
        <stp>DAX INDEX</stp>
        <stp>CHG_PCT_1YR</stp>
        <stp>[Index.xlsm]主要產業!R9C53</stp>
        <tr r="BA9" s="2"/>
      </tp>
      <tp>
        <v>-0.5325858</v>
        <stp/>
        <stp>##V3_BDPV12</stp>
        <stp>XOM US Equity</stp>
        <stp>CHG_PCT_1D</stp>
        <stp>[Index.xlsm]主要產業!R9C25</stp>
        <tr r="Y9" s="2"/>
      </tp>
      <tp>
        <v>-7.3498679999999998</v>
        <stp/>
        <stp>##V3_BDPV12</stp>
        <stp>XOM US Equity</stp>
        <stp>CHG_PCT_3M</stp>
        <stp>[Index.xlsm]主要產業!R9C32</stp>
        <tr r="AF9" s="2"/>
      </tp>
      <tp>
        <v>4.5983809999999998</v>
        <stp/>
        <stp>##V3_BDPV12</stp>
        <stp>XOM US Equity</stp>
        <stp>CHG_PCT_1M</stp>
        <stp>[Index.xlsm]主要產業!R9C31</stp>
        <tr r="AE9" s="2"/>
      </tp>
      <tp>
        <v>-12.33943</v>
        <stp/>
        <stp>##V3_BDPV12</stp>
        <stp>XOM US Equity</stp>
        <stp>CHG_PCT_6M</stp>
        <stp>[Index.xlsm]主要產業!R9C33</stp>
        <tr r="AG9" s="2"/>
      </tp>
      <tp>
        <v>-1.880271</v>
        <stp/>
        <stp>##V3_BDPV12</stp>
        <stp>XOM US Equity</stp>
        <stp>CHG_PCT_5D</stp>
        <stp>[Index.xlsm]主要產業!R9C30</stp>
        <tr r="AD9" s="2"/>
      </tp>
      <tp>
        <v>618.03060000000005</v>
        <stp/>
        <stp>##V3_BDPV12</stp>
        <stp>SAX Index</stp>
        <stp>PX_LAST</stp>
        <stp>[Index.xlsm]全球指數!R56C4</stp>
        <tr r="D56" s="1"/>
      </tp>
      <tp>
        <v>14.34262</v>
        <stp/>
        <stp>##V3_BDPV12</stp>
        <stp>MBI Index</stp>
        <stp>PR064</stp>
        <stp>[Index.xlsm]全球指數!R314C14</stp>
        <tr r="N314" s="1"/>
      </tp>
      <tp>
        <v>-1.4689859999999999</v>
        <stp/>
        <stp>##V3_BDPV12</stp>
        <stp>CBNK Index</stp>
        <stp>CHG_PCT_1D</stp>
        <stp>[Index.xlsm]全球指數!R92C5</stp>
        <tr r="E92" s="1"/>
      </tp>
      <tp>
        <v>31.404880961538559</v>
        <stp/>
        <stp>##V3_BDPV12</stp>
        <stp>SML Index</stp>
        <stp>INTERVAL_HIGH</stp>
        <stp>[Index.xlsm]全球指數!R104C16</stp>
        <stp>MARKET_DATA_OVERRIDE=PE_RATIO</stp>
        <stp>CALC_INTERVAL=5y</stp>
        <stp>BEST_FPERIOD_OVERRIDE=BF</stp>
        <tr r="P104" s="1"/>
      </tp>
      <tp>
        <v>23.676907488470022</v>
        <stp/>
        <stp>##V3_BDPV12</stp>
        <stp>XMI Index</stp>
        <stp>INTERVAL_HIGH</stp>
        <stp>[Index.xlsm]全球指數!R211C16</stp>
        <stp>MARKET_DATA_OVERRIDE=PE_RATIO</stp>
        <stp>CALC_INTERVAL=5y</stp>
        <stp>BEST_FPERIOD_OVERRIDE=BF</stp>
        <tr r="P211" s="1"/>
      </tp>
      <tp>
        <v>31.941290244206758</v>
        <stp/>
        <stp>##V3_BDPV12</stp>
        <stp>SMI Index</stp>
        <stp>INTERVAL_HIGH</stp>
        <stp>[Index.xlsm]全球指數!R192C16</stp>
        <stp>MARKET_DATA_OVERRIDE=PE_RATIO</stp>
        <stp>CALC_INTERVAL=5y</stp>
        <stp>BEST_FPERIOD_OVERRIDE=BF</stp>
        <tr r="P192" s="1"/>
      </tp>
      <tp t="s">
        <v>#N/A N/A</v>
        <stp/>
        <stp>##V3_BDPV12</stp>
        <stp>QMI Index</stp>
        <stp>INTERVAL_HIGH</stp>
        <stp>[Index.xlsm]全球指數!R103C16</stp>
        <stp>MARKET_DATA_OVERRIDE=PE_RATIO</stp>
        <stp>CALC_INTERVAL=5y</stp>
        <stp>BEST_FPERIOD_OVERRIDE=BF</stp>
        <tr r="P103" s="1"/>
      </tp>
      <tp>
        <v>3269.62</v>
        <stp/>
        <stp>##V3_BDPV12</stp>
        <stp>HSCI Index</stp>
        <stp>LOW_52WEEK</stp>
        <stp>[Index.xlsm]全球指數!R60C8</stp>
        <tr r="H60" s="1"/>
      </tp>
      <tp>
        <v>4.8531779999999998</v>
        <stp/>
        <stp>##V3_BDPV12</stp>
        <stp>TSEMOTHR Index</stp>
        <stp>CHG_PCT_5D</stp>
        <stp>[Index.xlsm]全球指數!R313C10</stp>
        <tr r="J313" s="1"/>
      </tp>
      <tp>
        <v>5.0836420000000002</v>
        <stp/>
        <stp>##V3_BDPV12</stp>
        <stp>IBX Index</stp>
        <stp>PR064</stp>
        <stp>[Index.xlsm]全球指數!R279C14</stp>
        <tr r="N279" s="1"/>
      </tp>
      <tp>
        <v>50.380785682741994</v>
        <stp/>
        <stp>##V3_BDPV12</stp>
        <stp>NMX Index</stp>
        <stp>INTERVAL_HIGH</stp>
        <stp>[Index.xlsm]全球指數!R212C16</stp>
        <stp>MARKET_DATA_OVERRIDE=PE_RATIO</stp>
        <stp>CALC_INTERVAL=5y</stp>
        <stp>BEST_FPERIOD_OVERRIDE=BF</stp>
        <tr r="P212" s="1"/>
      </tp>
      <tp>
        <v>513.11599999999999</v>
        <stp/>
        <stp>##V3_BDPV12</stp>
        <stp>PFTS Index</stp>
        <stp>LOW_52WEEK</stp>
        <stp>[Index.xlsm]全球指數!R295C8</stp>
        <tr r="H295" s="1"/>
      </tp>
      <tp>
        <v>-5.2983799999999999</v>
        <stp/>
        <stp>##V3_BDPV12</stp>
        <stp>EGX30 Index</stp>
        <stp>CHG_PCT_1YR</stp>
        <stp>[Index.xlsm]全球指數!R7C15</stp>
        <tr r="O7" s="1"/>
      </tp>
      <tp>
        <v>12.107977235671687</v>
        <stp/>
        <stp>##V3_BDPV12</stp>
        <stp>XIN0I Index</stp>
        <stp>INTERVAL_HIGH</stp>
        <stp>[Index.xlsm]全球指數!R96C16</stp>
        <stp>MARKET_DATA_OVERRIDE=PE_RATIO</stp>
        <stp>CALC_INTERVAL=5y</stp>
        <stp>BEST_FPERIOD_OVERRIDE=BF</stp>
        <tr r="P96" s="1"/>
      </tp>
      <tp>
        <v>0.32980009999999998</v>
        <stp/>
        <stp>##V3_BDPV12</stp>
        <stp>GGSECI Index</stp>
        <stp>CHG_PCT_1D</stp>
        <stp>[Index.xlsm]全球指數!R111C5</stp>
        <tr r="E111" s="1"/>
      </tp>
      <tp>
        <v>137.03</v>
        <stp/>
        <stp>##V3_BDPV12</stp>
        <stp>NSEASI Index</stp>
        <stp>LOW_52WEEK</stp>
        <stp>[Index.xlsm]全球指數!R252C8</stp>
        <tr r="H252" s="1"/>
      </tp>
      <tp t="s">
        <v>#N/A N/A</v>
        <stp/>
        <stp>##V3_BDPV12</stp>
        <stp>FTSEM Index</stp>
        <stp>PE_RATIO</stp>
        <stp>[Index.xlsm]全球指數!R43C18</stp>
        <tr r="R43" s="1"/>
      </tp>
      <tp>
        <v>0.18687580000000001</v>
        <stp/>
        <stp>##V3_BDPV12</stp>
        <stp>ICEXI Index</stp>
        <stp>CHG_PCT_1D</stp>
        <stp>[Index.xlsm]全球指數!R218C5</stp>
        <tr r="E218" s="1"/>
      </tp>
      <tp t="s">
        <v>台拉維夫35指數</v>
        <stp/>
        <stp>##V3_BDPV12</stp>
        <stp>TA-35 Index</stp>
        <stp>DS697</stp>
        <stp>[Index.xlsm]全球指數!R205C2</stp>
        <tr r="B205" s="1"/>
      </tp>
      <tp>
        <v>0.17127029999999999</v>
        <stp/>
        <stp>##V3_BDPV12</stp>
        <stp>KOSPI2 Index</stp>
        <stp>CHG_PCT_1D</stp>
        <stp>[Index.xlsm]全球指數!R187C5</stp>
        <tr r="E187" s="1"/>
      </tp>
      <tp>
        <v>0.58580489999999996</v>
        <stp/>
        <stp>##V3_BDPV12</stp>
        <stp>PX Index</stp>
        <stp>CHG_PCT_1D</stp>
        <stp>[Index.xlsm]全球指數!R84C5</stp>
        <tr r="E84" s="1"/>
      </tp>
      <tp>
        <v>139.94922309320563</v>
        <stp/>
        <stp>##V3_BDPV12</stp>
        <stp>IBOVIEE Index</stp>
        <stp>INTERVAL_HIGH</stp>
        <stp>[Index.xlsm]全球指數!R37C16</stp>
        <stp>MARKET_DATA_OVERRIDE=PE_RATIO</stp>
        <stp>CALC_INTERVAL=5y</stp>
        <stp>BEST_FPERIOD_OVERRIDE=BF</stp>
        <tr r="P37" s="1"/>
      </tp>
      <tp>
        <v>26404.37</v>
        <stp/>
        <stp>##V3_BDPV12</stp>
        <stp>MDAX Index</stp>
        <stp>HIGH_52WEEK</stp>
        <stp>[Index.xlsm]全球指數!R85C6</stp>
        <tr r="F85" s="1"/>
      </tp>
      <tp t="s">
        <v>標準普爾BSE 200指數</v>
        <stp/>
        <stp>##V3_BDPV12</stp>
        <stp>BSE200 Index</stp>
        <stp>DS697</stp>
        <stp>[Index.xlsm]全球指數!R316C2</stp>
        <tr r="B316" s="1"/>
      </tp>
      <tp>
        <v>8825.0360000000001</v>
        <stp/>
        <stp>##V3_BDPV12</stp>
        <stp>MOSEMDX Index</stp>
        <stp>LOW_52WEEK</stp>
        <stp>[Index.xlsm]全球指數!R186C8</stp>
        <tr r="H186" s="1"/>
      </tp>
      <tp>
        <v>7001.94</v>
        <stp/>
        <stp>##V3_BDPV12</stp>
        <stp>SASEIDX Index</stp>
        <stp>LOW_52WEEK</stp>
        <stp>[Index.xlsm]全球指數!R308C8</stp>
        <tr r="H308" s="1"/>
      </tp>
      <tp>
        <v>831.11030000000005</v>
        <stp/>
        <stp>##V3_BDPV12</stp>
        <stp>UTY Index</stp>
        <stp>PX_LAST</stp>
        <stp>[Index.xlsm]全球指數!R303C4</stp>
        <tr r="D303" s="1"/>
      </tp>
      <tp>
        <v>4090.23</v>
        <stp/>
        <stp>##V3_BDPV12</stp>
        <stp>NMX Index</stp>
        <stp>PX_LAST</stp>
        <stp>[Index.xlsm]全球指數!R212C4</stp>
        <tr r="D212" s="1"/>
      </tp>
      <tp>
        <v>577.72</v>
        <stp/>
        <stp>##V3_BDPV12</stp>
        <stp>AEX Index</stp>
        <stp>PX_LAST</stp>
        <stp>[Index.xlsm]全球指數!R222C4</stp>
        <tr r="D222" s="1"/>
      </tp>
      <tp>
        <v>10871.99</v>
        <stp/>
        <stp>##V3_BDPV12</stp>
        <stp>TWSE Index</stp>
        <stp>PX_LAST</stp>
        <stp>[Index.xlsm]全球指數!R225C4</stp>
        <tr r="D225" s="1"/>
      </tp>
      <tp>
        <v>5.6067289999999996</v>
        <stp/>
        <stp>##V3_BDPV12</stp>
        <stp>BELEXLIN Index</stp>
        <stp>CHG_PCT_1YR</stp>
        <stp>[Index.xlsm]全球指數!R248C15</stp>
        <tr r="O248" s="1"/>
      </tp>
      <tp>
        <v>507971.5</v>
        <stp/>
        <stp>##V3_BDPV12</stp>
        <stp>JMSMX Index</stp>
        <stp>PX_LAST</stp>
        <stp>[Index.xlsm]全球指數!R106C4</stp>
        <tr r="D106" s="1"/>
      </tp>
      <tp>
        <v>37670.300000000003</v>
        <stp/>
        <stp>##V3_BDPV12</stp>
        <stp>ITMC Index</stp>
        <stp>PX_LAST</stp>
        <stp>[Index.xlsm]全球指數!R163C4</stp>
        <tr r="D163" s="1"/>
      </tp>
      <tp>
        <v>799.39</v>
        <stp/>
        <stp>##V3_BDPV12</stp>
        <stp>SX3P INDEX</stp>
        <stp>PX_LAST</stp>
        <stp>[Index.xlsm]主要產業!R22C4</stp>
        <tr r="D22" s="2"/>
      </tp>
      <tp>
        <v>55.22</v>
        <stp/>
        <stp>##V3_BDPV12</stp>
        <stp>TWSEEAW Index</stp>
        <stp>HIGH_52WEEK</stp>
        <stp>[Index.xlsm]主要產業!R94C6</stp>
        <tr r="F94" s="2"/>
      </tp>
      <tp>
        <v>12656.05</v>
        <stp/>
        <stp>##V3_BDPV12</stp>
        <stp>DAX INDEX</stp>
        <stp>HIGH_52WEEK</stp>
        <stp>[Index.xlsm]主要產業!R9C44</stp>
        <tr r="AR9" s="2"/>
      </tp>
      <tp>
        <v>3827.13</v>
        <stp/>
        <stp>##V3_BDPV12</stp>
        <stp>KOSPBMET Index</stp>
        <stp>PX_LAST</stp>
        <stp>[Index.xlsm]主要產業!R47C4</stp>
        <tr r="D47" s="2"/>
      </tp>
      <tp>
        <v>254.49</v>
        <stp/>
        <stp>##V3_BDPV12</stp>
        <stp>TWSEPLAS Index</stp>
        <stp>PX_LAST</stp>
        <stp>[Index.xlsm]主要產業!R73C4</stp>
        <tr r="D73" s="2"/>
      </tp>
      <tp>
        <v>2179.9499999999998</v>
        <stp/>
        <stp>##V3_BDPV12</stp>
        <stp>TSEREIT Index</stp>
        <stp>HIGH_52WEEK</stp>
        <stp>[Index.xlsm]全球指數!R309C6</stp>
        <tr r="F309" s="1"/>
      </tp>
      <tp>
        <v>-1.1985479999999999</v>
        <stp/>
        <stp>##V3_BDPV12</stp>
        <stp>DARSDSEI Index</stp>
        <stp>CHG_PCT_1M</stp>
        <stp>[Index.xlsm]全球指數!R253C11</stp>
        <tr r="K253" s="1"/>
      </tp>
      <tp>
        <v>-5.010567</v>
        <stp/>
        <stp>##V3_BDPV12</stp>
        <stp>SPBLPGPT Index</stp>
        <stp>CHG_PCT_3M</stp>
        <stp>[Index.xlsm]全球指數!R277C12</stp>
        <tr r="L277" s="1"/>
      </tp>
      <tp>
        <v>-1.9263589999999999</v>
        <stp/>
        <stp>##V3_BDPV12</stp>
        <stp>JCI Index</stp>
        <stp>PR064</stp>
        <stp>[Index.xlsm]全球指數!R223C14</stp>
        <tr r="N223" s="1"/>
      </tp>
      <tp>
        <v>-10.540570000000001</v>
        <stp/>
        <stp>##V3_BDPV12</stp>
        <stp>NGSEINDX Index</stp>
        <stp>CHG_PCT_6M</stp>
        <stp>[Index.xlsm]全球指數!R219C13</stp>
        <tr r="M219" s="1"/>
      </tp>
      <tp>
        <v>4.008146</v>
        <stp/>
        <stp>##V3_BDPV12</stp>
        <stp>XCI Index</stp>
        <stp>PR064</stp>
        <stp>[Index.xlsm]全球指數!R124C14</stp>
        <tr r="N124" s="1"/>
      </tp>
      <tp>
        <v>0.52821580000000001</v>
        <stp/>
        <stp>##V3_BDPV12</stp>
        <stp>MDAX Index</stp>
        <stp>CHG_PCT_1D</stp>
        <stp>[Index.xlsm]全球指數!R85C5</stp>
        <tr r="E85" s="1"/>
      </tp>
      <tp t="s">
        <v>深圳創業板價格指數</v>
        <stp/>
        <stp>##V3_BDPV12</stp>
        <stp>SZ399006 Index</stp>
        <stp>DS697</stp>
        <stp>[Index.xlsm]全球指數!R8C2</stp>
        <tr r="B8" s="1"/>
      </tp>
      <tp>
        <v>-7.747573</v>
        <stp/>
        <stp>##V3_BDPV12</stp>
        <stp>CHSMLCAP Index</stp>
        <stp>CHG_PCT_6M</stp>
        <stp>[Index.xlsm]全球指數!R273C13</stp>
        <tr r="M273" s="1"/>
      </tp>
      <tp>
        <v>136.69</v>
        <stp/>
        <stp>##V3_BDPV12</stp>
        <stp>BWORLDEU Index</stp>
        <stp>HIGH_52WEEK</stp>
        <stp>[Index.xlsm]全球指數!R101C6</stp>
        <tr r="F101" s="1"/>
      </tp>
      <tp>
        <v>36.147025185819395</v>
        <stp/>
        <stp>##V3_BDPV12</stp>
        <stp>SLI Index</stp>
        <stp>INTERVAL_HIGH</stp>
        <stp>[Index.xlsm]全球指數!R118C16</stp>
        <stp>MARKET_DATA_OVERRIDE=PE_RATIO</stp>
        <stp>CALC_INTERVAL=5y</stp>
        <stp>BEST_FPERIOD_OVERRIDE=BF</stp>
        <tr r="P118" s="1"/>
      </tp>
      <tp>
        <v>-2.7499639999999999</v>
        <stp/>
        <stp>##V3_BDPV12</stp>
        <stp>MOSENEW Index</stp>
        <stp>CHG_PCT_1M</stp>
        <stp>[Index.xlsm]全球指數!R188C11</stp>
        <tr r="K188" s="1"/>
      </tp>
      <tp>
        <v>2.6102120000000002</v>
        <stp/>
        <stp>##V3_BDPV12</stp>
        <stp>MCX Index</stp>
        <stp>PR064</stp>
        <stp>[Index.xlsm]全球指數!R100C14</stp>
        <tr r="N100" s="1"/>
      </tp>
      <tp>
        <v>0.1357795</v>
        <stp/>
        <stp>##V3_BDPV12</stp>
        <stp>FBMKLCI Index</stp>
        <stp>CHG_PCT_1M</stp>
        <stp>[Index.xlsm]全球指數!R226C11</stp>
        <tr r="K226" s="1"/>
      </tp>
      <tp>
        <v>-6.8186979999999994E-2</v>
        <stp/>
        <stp>##V3_BDPV12</stp>
        <stp>MEXBOL Index</stp>
        <stp>CHG_PCT_1D</stp>
        <stp>[Index.xlsm]全球指數!R236C5</stp>
        <tr r="E236" s="1"/>
      </tp>
      <tp>
        <v>539.36</v>
        <stp/>
        <stp>##V3_BDPV12</stp>
        <stp>BIRS Index</stp>
        <stp>LOW_52WEEK</stp>
        <stp>[Index.xlsm]全球指數!R152C8</stp>
        <tr r="H152" s="1"/>
      </tp>
      <tp>
        <v>17084.66015625</v>
        <stp/>
        <stp>##V3_BDPV12</stp>
        <stp>QETR Index</stp>
        <stp>LOW_52WEEK</stp>
        <stp>[Index.xlsm]全球指數!R144C8</stp>
        <tr r="H144" s="1"/>
      </tp>
      <tp>
        <v>-2.16628</v>
        <stp/>
        <stp>##V3_BDPV12</stp>
        <stp>CS90 Index</stp>
        <stp>CHG_PCT_5D</stp>
        <stp>[Index.xlsm]全球指數!R38C10</stp>
        <tr r="J38" s="1"/>
      </tp>
      <tp>
        <v>109.14</v>
        <stp/>
        <stp>##V3_BDPV12</stp>
        <stp>TWOTCI Index</stp>
        <stp>LOW_52WEEK</stp>
        <stp>[Index.xlsm]全球指數!R229C8</stp>
        <tr r="H229" s="1"/>
      </tp>
      <tp>
        <v>-0.77649360000000001</v>
        <stp/>
        <stp>##V3_BDPV12</stp>
        <stp>CS90 Index</stp>
        <stp>CHG_PCT_6M</stp>
        <stp>[Index.xlsm]全球指數!R38C13</stp>
        <tr r="M38" s="1"/>
      </tp>
      <tp>
        <v>1.036354</v>
        <stp/>
        <stp>##V3_BDPV12</stp>
        <stp>CS90 Index</stp>
        <stp>CHG_PCT_1M</stp>
        <stp>[Index.xlsm]全球指數!R38C11</stp>
        <tr r="K38" s="1"/>
      </tp>
      <tp>
        <v>-3.2779609999999999</v>
        <stp/>
        <stp>##V3_BDPV12</stp>
        <stp>CS90 Index</stp>
        <stp>CHG_PCT_3M</stp>
        <stp>[Index.xlsm]全球指數!R38C12</stp>
        <tr r="L38" s="1"/>
      </tp>
      <tp>
        <v>348464.09375</v>
        <stp/>
        <stp>##V3_BDPV12</stp>
        <stp>JMSMX Index</stp>
        <stp>LOW_52WEEK</stp>
        <stp>[Index.xlsm]全球指數!R106C8</stp>
        <tr r="H106" s="1"/>
      </tp>
      <tp>
        <v>8.8849659999999997E-2</v>
        <stp/>
        <stp>##V3_BDPV12</stp>
        <stp>CINS Index</stp>
        <stp>CHG_PCT_1D</stp>
        <stp>[Index.xlsm]全球指數!R254C5</stp>
        <tr r="E254" s="1"/>
      </tp>
      <tp>
        <v>-0.13242580000000001</v>
        <stp/>
        <stp>##V3_BDPV12</stp>
        <stp>COMP Index</stp>
        <stp>CHG_PCT_1D</stp>
        <stp>[Index.xlsm]全球指數!R217C5</stp>
        <tr r="E217" s="1"/>
      </tp>
      <tp>
        <v>624.55999999999995</v>
        <stp/>
        <stp>##V3_BDPV12</stp>
        <stp>AMX Index</stp>
        <stp>LOW_52WEEK</stp>
        <stp>[Index.xlsm]全球指數!R41C8</stp>
        <tr r="H41" s="1"/>
      </tp>
      <tp>
        <v>16.738804722125042</v>
        <stp/>
        <stp>##V3_BDPV12</stp>
        <stp>OMXO20GI Index</stp>
        <stp>INTERVAL_Low</stp>
        <stp>[Index.xlsm]全球指數!R50C17</stp>
        <stp>MARKET_DATA_OVERRIDE=PE_RATIO</stp>
        <stp>CALC_INTERVAL=5y</stp>
        <stp>BEST_FPERIOD_OVERRIDE=BF</stp>
        <tr r="Q50" s="1"/>
      </tp>
      <tp t="s">
        <v>日經500指數</v>
        <stp/>
        <stp>##V3_BDPV12</stp>
        <stp>NKY500 Index</stp>
        <stp>DS697</stp>
        <stp>[Index.xlsm]全球指數!R280C2</stp>
        <tr r="B280" s="1"/>
      </tp>
      <tp>
        <v>1033.31</v>
        <stp/>
        <stp>##V3_BDPV12</stp>
        <stp>RTSI$ Index</stp>
        <stp>LOW_52WEEK</stp>
        <stp>[Index.xlsm]全球指數!R102C8</stp>
        <tr r="H102" s="1"/>
      </tp>
      <tp>
        <v>25.300264523359978</v>
        <stp/>
        <stp>##V3_BDPV12</stp>
        <stp>SHASHR Index</stp>
        <stp>INTERVAL_HIGH</stp>
        <stp>[Index.xlsm]全球指數!R30C16</stp>
        <stp>MARKET_DATA_OVERRIDE=PE_RATIO</stp>
        <stp>CALC_INTERVAL=5y</stp>
        <stp>BEST_FPERIOD_OVERRIDE=BF</stp>
        <tr r="P30" s="1"/>
      </tp>
      <tp>
        <v>3238.44</v>
        <stp/>
        <stp>##V3_BDPV12</stp>
        <stp>BVLX Index</stp>
        <stp>HIGH_52WEEK</stp>
        <stp>[Index.xlsm]全球指數!R69C6</stp>
        <tr r="F69" s="1"/>
      </tp>
      <tp>
        <v>74.637825541688784</v>
        <stp/>
        <stp>##V3_BDPV12</stp>
        <stp>SZASHR Index</stp>
        <stp>INTERVAL_HIGH</stp>
        <stp>[Index.xlsm]全球指數!R10C16</stp>
        <stp>MARKET_DATA_OVERRIDE=PE_RATIO</stp>
        <stp>CALC_INTERVAL=5y</stp>
        <stp>BEST_FPERIOD_OVERRIDE=BF</stp>
        <tr r="P10" s="1"/>
      </tp>
      <tp>
        <v>1037.0999999999999</v>
        <stp/>
        <stp>##V3_BDPV12</stp>
        <stp>PX Index</stp>
        <stp>PX_LAST</stp>
        <stp>[Index.xlsm]全球指數!R84C4</stp>
        <tr r="D84" s="1"/>
      </tp>
      <tp>
        <v>6198.29</v>
        <stp/>
        <stp>##V3_BDPV12</stp>
        <stp>VALUA Index</stp>
        <stp>PX_LAST</stp>
        <stp>[Index.xlsm]全球指數!R112C4</stp>
        <tr r="D112" s="1"/>
      </tp>
      <tp>
        <v>-6.2139769999999999</v>
        <stp/>
        <stp>##V3_BDPV12</stp>
        <stp>SPBL25PT Index</stp>
        <stp>CHG_PCT_3M</stp>
        <stp>[Index.xlsm]全球指數!R232C12</stp>
        <tr r="L232" s="1"/>
      </tp>
      <tp>
        <v>3532.18</v>
        <stp/>
        <stp>##V3_BDPV12</stp>
        <stp>SX5E Index</stp>
        <stp>PX_LAST</stp>
        <stp>[Index.xlsm]全球指數!R184C4</stp>
        <tr r="D184" s="1"/>
      </tp>
      <tp>
        <v>1744.5309999999999</v>
        <stp/>
        <stp>##V3_BDPV12</stp>
        <stp>RAY Index</stp>
        <stp>PX_LAST</stp>
        <stp>[Index.xlsm]全球指數!R122C4</stp>
        <tr r="D122" s="1"/>
      </tp>
      <tp>
        <v>330.28</v>
        <stp/>
        <stp>##V3_BDPV12</stp>
        <stp>NEY Index</stp>
        <stp>PX_LAST</stp>
        <stp>[Index.xlsm]全球指數!R282C4</stp>
        <tr r="D282" s="1"/>
      </tp>
      <tp>
        <v>-16.964310000000001</v>
        <stp/>
        <stp>##V3_BDPV12</stp>
        <stp>TSEMOTHR Index</stp>
        <stp>CHG_PCT_1YR</stp>
        <stp>[Index.xlsm]全球指數!R313C15</stp>
        <tr r="O313" s="1"/>
      </tp>
      <tp>
        <v>861.85</v>
        <stp/>
        <stp>##V3_BDPV12</stp>
        <stp>VNINDEX Index</stp>
        <stp>LOW_52WEEK</stp>
        <stp>[Index.xlsm]全球指數!R177C8</stp>
        <tr r="H177" s="1"/>
      </tp>
      <tp>
        <v>50027.58</v>
        <stp/>
        <stp>##V3_BDPV12</stp>
        <stp>IBVC Index</stp>
        <stp>PX_LAST</stp>
        <stp>[Index.xlsm]全球指數!R312C4</stp>
        <tr r="D312" s="1"/>
      </tp>
      <tp>
        <v>4.5182589999999996</v>
        <stp/>
        <stp>##V3_BDPV12</stp>
        <stp>SH000905 Index</stp>
        <stp>CHG_PCT_1YR</stp>
        <stp>[Index.xlsm]全球指數!R13C15</stp>
        <tr r="O13" s="1"/>
      </tp>
      <tp>
        <v>373.34</v>
        <stp/>
        <stp>##V3_BDPV12</stp>
        <stp>s5matr Index</stp>
        <stp>HIGH_52WEEK</stp>
        <stp>[Index.xlsm]主要產業!R16C6</stp>
        <tr r="F16" s="2"/>
      </tp>
      <tp>
        <v>941.9</v>
        <stp/>
        <stp>##V3_BDPV12</stp>
        <stp>s5phrm index</stp>
        <stp>HIGH_52WEEK</stp>
        <stp>[Index.xlsm]主要產業!R10C6</stp>
        <tr r="F10" s="2"/>
      </tp>
      <tp>
        <v>65.77</v>
        <stp/>
        <stp>##V3_BDPV12</stp>
        <stp>TWSETRAN Index</stp>
        <stp>PX_LAST</stp>
        <stp>[Index.xlsm]主要產業!R82C4</stp>
        <tr r="D82" s="2"/>
      </tp>
      <tp>
        <v>1633.06</v>
        <stp/>
        <stp>##V3_BDPV12</stp>
        <stp>KOSPTREQ Index</stp>
        <stp>PX_LAST</stp>
        <stp>[Index.xlsm]主要產業!R46C4</stp>
        <tr r="D46" s="2"/>
      </tp>
      <tp>
        <v>5906.48</v>
        <stp/>
        <stp>##V3_BDPV12</stp>
        <stp>HSCIMT Index</stp>
        <stp>HIGH_52WEEK</stp>
        <stp>[Index.xlsm]主要產業!R64C6</stp>
        <tr r="F64" s="2"/>
      </tp>
      <tp>
        <v>226.09</v>
        <stp/>
        <stp>##V3_BDPV12</stp>
        <stp>TWSEPP Index</stp>
        <stp>HIGH_52WEEK</stp>
        <stp>[Index.xlsm]主要產業!R95C6</stp>
        <tr r="F95" s="2"/>
      </tp>
      <tp>
        <v>-0.57844220000000002</v>
        <stp/>
        <stp>##V3_BDPV12</stp>
        <stp>CCMP Index</stp>
        <stp>CHG_PCT_1D</stp>
        <stp>[Index.xlsm]全球指數!R61C5</stp>
        <tr r="E61" s="1"/>
      </tp>
      <tp>
        <v>0.6040181</v>
        <stp/>
        <stp>##V3_BDPV12</stp>
        <stp>CHSMLCAP Index</stp>
        <stp>CHG_PCT_5D</stp>
        <stp>[Index.xlsm]全球指數!R273C10</stp>
        <tr r="J273" s="1"/>
      </tp>
      <tp>
        <v>0.39542880000000002</v>
        <stp/>
        <stp>##V3_BDPV12</stp>
        <stp>HDAX Index</stp>
        <stp>CHG_PCT_1D</stp>
        <stp>[Index.xlsm]全球指數!R86C5</stp>
        <tr r="E86" s="1"/>
      </tp>
      <tp>
        <v>-9.0240150000000003</v>
        <stp/>
        <stp>##V3_BDPV12</stp>
        <stp>JPNK400 Index</stp>
        <stp>CHG_PCT_1YR</stp>
        <stp>[Index.xlsm]全球指數!R286C15</stp>
        <tr r="O286" s="1"/>
      </tp>
      <tp>
        <v>73.88</v>
        <stp/>
        <stp>##V3_BDPV12</stp>
        <stp>CYSMMAPA Index</stp>
        <stp>HIGH_52WEEK</stp>
        <stp>[Index.xlsm]全球指數!R139C6</stp>
        <tr r="F139" s="1"/>
      </tp>
      <tp>
        <v>-0.2398178</v>
        <stp/>
        <stp>##V3_BDPV12</stp>
        <stp>NGSEINDX Index</stp>
        <stp>CHG_PCT_5D</stp>
        <stp>[Index.xlsm]全球指數!R219C10</stp>
        <tr r="J219" s="1"/>
      </tp>
      <tp>
        <v>32.61778451343072</v>
        <stp/>
        <stp>##V3_BDPV12</stp>
        <stp>SOX Index</stp>
        <stp>INTERVAL_HIGH</stp>
        <stp>[Index.xlsm]全球指數!R168C16</stp>
        <stp>MARKET_DATA_OVERRIDE=PE_RATIO</stp>
        <stp>CALC_INTERVAL=5y</stp>
        <stp>BEST_FPERIOD_OVERRIDE=BF</stp>
        <tr r="P168" s="1"/>
      </tp>
      <tp>
        <v>0.1041695</v>
        <stp/>
        <stp>##V3_BDPV12</stp>
        <stp>VILSE Index</stp>
        <stp>CHG_PCT_1D</stp>
        <stp>[Index.xlsm]全球指數!R181C5</stp>
        <tr r="E181" s="1"/>
      </tp>
      <tp>
        <v>253.21979999999999</v>
        <stp/>
        <stp>##V3_BDPV12</stp>
        <stp>SHBSHR Index</stp>
        <stp>LOW_52WEEK</stp>
        <stp>[Index.xlsm]全球指數!R116C8</stp>
        <tr r="H116" s="1"/>
      </tp>
      <tp>
        <v>-3.030014E-2</v>
        <stp/>
        <stp>##V3_BDPV12</stp>
        <stp>KWSEMM Index</stp>
        <stp>CHG_PCT_1D</stp>
        <stp>[Index.xlsm]全球指數!R291C5</stp>
        <tr r="E291" s="1"/>
      </tp>
      <tp>
        <v>0.31822600000000001</v>
        <stp/>
        <stp>##V3_BDPV12</stp>
        <stp>COLCAP Index</stp>
        <stp>CHG_PCT_1D</stp>
        <stp>[Index.xlsm]全球指數!R265C5</stp>
        <tr r="E265" s="1"/>
      </tp>
      <tp>
        <v>0.70130369999999997</v>
        <stp/>
        <stp>##V3_BDPV12</stp>
        <stp>FTASE Index</stp>
        <stp>CHG_PCT_1D</stp>
        <stp>[Index.xlsm]全球指數!R141C5</stp>
        <tr r="E141" s="1"/>
      </tp>
      <tp>
        <v>3035.47</v>
        <stp/>
        <stp>##V3_BDPV12</stp>
        <stp>NKYJQ Index</stp>
        <stp>LOW_52WEEK</stp>
        <stp>[Index.xlsm]全球指數!R292C8</stp>
        <tr r="H292" s="1"/>
      </tp>
      <tp>
        <v>326.76420000000002</v>
        <stp/>
        <stp>##V3_BDPV12</stp>
        <stp>CUTL Index</stp>
        <stp>LOW_52WEEK</stp>
        <stp>[Index.xlsm]全球指數!R107C8</stp>
        <tr r="H107" s="1"/>
      </tp>
      <tp>
        <v>-1.117464</v>
        <stp/>
        <stp>##V3_BDPV12</stp>
        <stp>RTY Index</stp>
        <stp>CHG_PCT_1D</stp>
        <stp>[Index.xlsm]全球指數!R62C5</stp>
        <tr r="E62" s="1"/>
      </tp>
      <tp t="s">
        <v>JN</v>
        <stp/>
        <stp>##V3_BDPV12</stp>
        <stp>TPX100 Index</stp>
        <stp>DS003</stp>
        <stp>[Index.xlsm]全球指數!R271C3</stp>
        <tr r="C271" s="1"/>
      </tp>
      <tp>
        <v>34.443008689872528</v>
        <stp/>
        <stp>##V3_BDPV12</stp>
        <stp>JALSH Index</stp>
        <stp>INTERVAL_HIGH</stp>
        <stp>[Index.xlsm]全球指數!R71C16</stp>
        <stp>MARKET_DATA_OVERRIDE=PE_RATIO</stp>
        <stp>CALC_INTERVAL=5y</stp>
        <stp>BEST_FPERIOD_OVERRIDE=BF</stp>
        <tr r="P71" s="1"/>
      </tp>
      <tp t="s">
        <v>法國CAC全部可交易指數</v>
        <stp/>
        <stp>##V3_BDPV12</stp>
        <stp>SBF250 Index</stp>
        <stp>DS697</stp>
        <stp>[Index.xlsm]全球指數!R164C2</stp>
        <tr r="B164" s="1"/>
      </tp>
      <tp t="s">
        <v>TOPIX500指數</v>
        <stp/>
        <stp>##V3_BDPV12</stp>
        <stp>TPX500 Index</stp>
        <stp>DS697</stp>
        <stp>[Index.xlsm]全球指數!R283C2</stp>
        <tr r="B283" s="1"/>
      </tp>
      <tp t="s">
        <v>IN</v>
        <stp/>
        <stp>##V3_BDPV12</stp>
        <stp>BSE500 Index</stp>
        <stp>DS003</stp>
        <stp>[Index.xlsm]全球指數!R315C3</stp>
        <tr r="C315" s="1"/>
      </tp>
      <tp t="s">
        <v>韓國KRX100指數</v>
        <stp/>
        <stp>##V3_BDPV12</stp>
        <stp>KRX100 Index</stp>
        <stp>DS697</stp>
        <stp>[Index.xlsm]全球指數!R197C2</stp>
        <tr r="B197" s="1"/>
      </tp>
      <tp>
        <v>574.82749999999999</v>
        <stp/>
        <stp>##V3_BDPV12</stp>
        <stp>SPTSXVEN Index</stp>
        <stp>PX_LAST</stp>
        <stp>[Index.xlsm]全球指數!R78C4</stp>
        <tr r="D78" s="1"/>
      </tp>
      <tp t="s">
        <v>TOPIX中型400指數</v>
        <stp/>
        <stp>##V3_BDPV12</stp>
        <stp>TPXM400 Index</stp>
        <stp>DS697</stp>
        <stp>[Index.xlsm]全球指數!R294C2</stp>
        <tr r="B294" s="1"/>
      </tp>
      <tp>
        <v>1233.431</v>
        <stp/>
        <stp>##V3_BDPV12</stp>
        <stp>TALSE Index</stp>
        <stp>PX_LAST</stp>
        <stp>[Index.xlsm]全球指數!R247C4</stp>
        <tr r="D247" s="1"/>
      </tp>
      <tp>
        <v>19818.61</v>
        <stp/>
        <stp>##V3_BDPV12</stp>
        <stp>MCX Index</stp>
        <stp>PX_LAST</stp>
        <stp>[Index.xlsm]全球指數!R100C4</stp>
        <tr r="D100" s="1"/>
      </tp>
      <tp>
        <v>-6.6178470000000003</v>
        <stp/>
        <stp>##V3_BDPV12</stp>
        <stp>OMXO20GI Index</stp>
        <stp>CHG_PCT_1YR</stp>
        <stp>[Index.xlsm]全球指數!R50C15</stp>
        <tr r="O50" s="1"/>
      </tp>
      <tp>
        <v>1037.8800000000001</v>
        <stp/>
        <stp>##V3_BDPV12</stp>
        <stp>COLIR Index</stp>
        <stp>PX_LAST</stp>
        <stp>[Index.xlsm]全球指數!R267C4</stp>
        <tr r="D267" s="1"/>
      </tp>
      <tp>
        <v>11.111986110537007</v>
        <stp/>
        <stp>##V3_BDPV12</stp>
        <stp>DUAE Index</stp>
        <stp>PE_RATIO</stp>
        <stp>[Index.xlsm]全球指數!R68C18</stp>
        <tr r="R68" s="1"/>
      </tp>
      <tp>
        <v>768.91</v>
        <stp/>
        <stp>##V3_BDPV12</stp>
        <stp>FSTAS Index</stp>
        <stp>PX_LAST</stp>
        <stp>[Index.xlsm]全球指數!R133C4</stp>
        <tr r="D133" s="1"/>
      </tp>
      <tp>
        <v>87.24</v>
        <stp/>
        <stp>##V3_BDPV12</stp>
        <stp>HKSPGEM Index</stp>
        <stp>LOW_52WEEK</stp>
        <stp>[Index.xlsm]全球指數!R151C8</stp>
        <tr r="H151" s="1"/>
      </tp>
      <tp>
        <v>-11.43308</v>
        <stp/>
        <stp>##V3_BDPV12</stp>
        <stp>FBMKLCI Index</stp>
        <stp>CHG_PCT_1YR</stp>
        <stp>[Index.xlsm]全球指數!R226C15</stp>
        <tr r="O226" s="1"/>
      </tp>
      <tp>
        <v>1217.673</v>
        <stp/>
        <stp>##V3_BDPV12</stp>
        <stp>MSPE Index</stp>
        <stp>PX_LAST</stp>
        <stp>[Index.xlsm]全球指數!R207C4</stp>
        <tr r="D207" s="1"/>
      </tp>
      <tp t="s">
        <v>EC</v>
        <stp/>
        <stp>##V3_BDPV12</stp>
        <stp>SX86P INDEX</stp>
        <stp>DS003</stp>
        <stp>[Index.xlsm]主要產業!R34C3</stp>
        <tr r="C34" s="2"/>
      </tp>
      <tp>
        <v>945.98</v>
        <stp/>
        <stp>##V3_BDPV12</stp>
        <stp>SX4P INDEX</stp>
        <stp>PX_LAST</stp>
        <stp>[Index.xlsm]主要產業!R27C4</stp>
        <tr r="D27" s="2"/>
      </tp>
      <tp>
        <v>342.75</v>
        <stp/>
        <stp>##V3_BDPV12</stp>
        <stp>SX6P INDEX</stp>
        <stp>PX_LAST</stp>
        <stp>[Index.xlsm]主要產業!R25C4</stp>
        <tr r="D25" s="2"/>
      </tp>
      <tp>
        <v>109.68</v>
        <stp/>
        <stp>##V3_BDPV12</stp>
        <stp>TWSEECI Index</stp>
        <stp>HIGH_52WEEK</stp>
        <stp>[Index.xlsm]主要產業!R74C6</stp>
        <tr r="F74" s="2"/>
      </tp>
      <tp>
        <v>17.179241429427403</v>
        <stp/>
        <stp>##V3_BDPV12</stp>
        <stp>s5cons index</stp>
        <stp>INTERVAL_Low</stp>
        <stp>[Index.xlsm]主要產業!R9C17</stp>
        <stp>MARKET_DATA_OVERRIDE=PE_RATIO</stp>
        <stp>CALC_INTERVAL=5y</stp>
        <stp>BEST_FPERIOD_OVERRIDE=BF</stp>
        <tr r="Q9" s="2"/>
      </tp>
      <tp>
        <v>12507.95</v>
        <stp/>
        <stp>##V3_BDPV12</stp>
        <stp>HSCIIT Index</stp>
        <stp>HIGH_52WEEK</stp>
        <stp>[Index.xlsm]主要產業!R63C6</stp>
        <tr r="F63" s="2"/>
      </tp>
      <tp>
        <v>5.4778585954819441</v>
        <stp/>
        <stp>##V3_BDPV12</stp>
        <stp>s5tels Index</stp>
        <stp>INTERVAL_Low</stp>
        <stp>[Index.xlsm]主要產業!R6C17</stp>
        <stp>MARKET_DATA_OVERRIDE=PE_RATIO</stp>
        <stp>CALC_INTERVAL=5y</stp>
        <stp>BEST_FPERIOD_OVERRIDE=BF</stp>
        <tr r="Q6" s="2"/>
      </tp>
      <tp>
        <v>4461.99</v>
        <stp/>
        <stp>##V3_BDPV12</stp>
        <stp>KOSPCHEM Index</stp>
        <stp>PX_LAST</stp>
        <stp>[Index.xlsm]主要產業!R45C4</stp>
        <tr r="D45" s="2"/>
      </tp>
      <tp>
        <v>2662.63</v>
        <stp/>
        <stp>##V3_BDPV12</stp>
        <stp>HSCICO Index</stp>
        <stp>HIGH_52WEEK</stp>
        <stp>[Index.xlsm]主要產業!R59C6</stp>
        <tr r="F59" s="2"/>
      </tp>
      <tp>
        <v>810.03</v>
        <stp/>
        <stp>##V3_BDPV12</stp>
        <stp>OBX Index</stp>
        <stp>PX_LAST</stp>
        <stp>[Index.xlsm]全球指數!R46C4</stp>
        <tr r="D46" s="1"/>
      </tp>
      <tp>
        <v>9327.4330000000009</v>
        <stp/>
        <stp>##V3_BDPV12</stp>
        <stp>HEX Index</stp>
        <stp>PX_LAST</stp>
        <stp>[Index.xlsm]全球指數!R91C4</stp>
        <tr r="D91" s="1"/>
      </tp>
      <tp>
        <v>2.2445210000000002</v>
        <stp/>
        <stp>##V3_BDPV12</stp>
        <stp>DARSDSEI Index</stp>
        <stp>CHG_PCT_3M</stp>
        <stp>[Index.xlsm]全球指數!R253C12</stp>
        <tr r="L253" s="1"/>
      </tp>
      <tp>
        <v>4.0528469999999999</v>
        <stp/>
        <stp>##V3_BDPV12</stp>
        <stp>SPBLPGPT Index</stp>
        <stp>CHG_PCT_1M</stp>
        <stp>[Index.xlsm]全球指數!R277C11</stp>
        <tr r="K277" s="1"/>
      </tp>
      <tp>
        <v>32.815617978136615</v>
        <stp/>
        <stp>##V3_BDPV12</stp>
        <stp>SZ399006 Index</stp>
        <stp>INTERVAL_Low</stp>
        <stp>[Index.xlsm]全球指數!R8C17</stp>
        <stp>MARKET_DATA_OVERRIDE=PE_RATIO</stp>
        <stp>CALC_INTERVAL=5y</stp>
        <stp>BEST_FPERIOD_OVERRIDE=BF</stp>
        <tr r="Q8" s="1"/>
      </tp>
      <tp>
        <v>2.311048</v>
        <stp/>
        <stp>##V3_BDPV12</stp>
        <stp>CAC Index</stp>
        <stp>PR064</stp>
        <stp>[Index.xlsm]全球指數!R173C14</stp>
        <tr r="N173" s="1"/>
      </tp>
      <tp>
        <v>11.727366568594881</v>
        <stp/>
        <stp>##V3_BDPV12</stp>
        <stp>EGX30 Index</stp>
        <stp>PE_RATIO</stp>
        <stp>[Index.xlsm]全球指數!R7C18</stp>
        <tr r="R7" s="1"/>
      </tp>
      <tp>
        <v>1.2555719999999999</v>
        <stp/>
        <stp>##V3_BDPV12</stp>
        <stp>MOSENEW Index</stp>
        <stp>CHG_PCT_3M</stp>
        <stp>[Index.xlsm]全球指數!R188C12</stp>
        <tr r="L188" s="1"/>
      </tp>
      <tp>
        <v>3.3162750000000001</v>
        <stp/>
        <stp>##V3_BDPV12</stp>
        <stp>KAX Index</stp>
        <stp>PR064</stp>
        <stp>[Index.xlsm]全球指數!R275C14</stp>
        <tr r="N275" s="1"/>
      </tp>
      <tp>
        <v>1.4567730000000001</v>
        <stp/>
        <stp>##V3_BDPV12</stp>
        <stp>RAY Index</stp>
        <stp>PR064</stp>
        <stp>[Index.xlsm]全球指數!R122C14</stp>
        <tr r="N122" s="1"/>
      </tp>
      <tp>
        <v>1.4568209999999999</v>
        <stp/>
        <stp>##V3_BDPV12</stp>
        <stp>PAX Index</stp>
        <stp>PR064</stp>
        <stp>[Index.xlsm]全球指數!R146C14</stp>
        <tr r="N146" s="1"/>
      </tp>
      <tp>
        <v>-4.7647490000000001</v>
        <stp/>
        <stp>##V3_BDPV12</stp>
        <stp>FBMKLCI Index</stp>
        <stp>CHG_PCT_3M</stp>
        <stp>[Index.xlsm]全球指數!R226C12</stp>
        <tr r="L226" s="1"/>
      </tp>
      <tp>
        <v>11.69312</v>
        <stp/>
        <stp>##V3_BDPV12</stp>
        <stp>XAU Index</stp>
        <stp>PR064</stp>
        <stp>[Index.xlsm]全球指數!R251C14</stp>
        <tr r="N251" s="1"/>
      </tp>
      <tp>
        <v>-7.7909110000000004</v>
        <stp/>
        <stp>##V3_BDPV12</stp>
        <stp>TSEMOTHR Index</stp>
        <stp>CHG_PCT_6M</stp>
        <stp>[Index.xlsm]全球指數!R313C13</stp>
        <tr r="M313" s="1"/>
      </tp>
      <tp>
        <v>-5.6038650000000002E-2</v>
        <stp/>
        <stp>##V3_BDPV12</stp>
        <stp>PASISI Index</stp>
        <stp>CHG_PCT_1D</stp>
        <stp>[Index.xlsm]全球指數!R215C5</stp>
        <tr r="E215" s="1"/>
      </tp>
      <tp>
        <v>0.63397289999999995</v>
        <stp/>
        <stp>##V3_BDPV12</stp>
        <stp>T1X Index</stp>
        <stp>CHG_PCT_1D</stp>
        <stp>[Index.xlsm]全球指數!R95C5</stp>
        <tr r="E95" s="1"/>
      </tp>
      <tp>
        <v>-4.8649400000000002E-4</v>
        <stp/>
        <stp>##V3_BDPV12</stp>
        <stp>RIGSE Index</stp>
        <stp>CHG_PCT_1D</stp>
        <stp>[Index.xlsm]全球指數!R260C5</stp>
        <tr r="E260" s="1"/>
      </tp>
      <tp>
        <v>559.92999999999995</v>
        <stp/>
        <stp>##V3_BDPV12</stp>
        <stp>SOFIX Index</stp>
        <stp>LOW_52WEEK</stp>
        <stp>[Index.xlsm]全球指數!R110C8</stp>
        <tr r="H110" s="1"/>
      </tp>
      <tp>
        <v>7580.9319999999998</v>
        <stp/>
        <stp>##V3_BDPV12</stp>
        <stp>NYYID Index</stp>
        <stp>LOW_52WEEK</stp>
        <stp>[Index.xlsm]全球指數!R190C8</stp>
        <tr r="H190" s="1"/>
      </tp>
      <tp>
        <v>3.6403089999999999E-2</v>
        <stp/>
        <stp>##V3_BDPV12</stp>
        <stp>SPTSX Index</stp>
        <stp>CHG_PCT_1D</stp>
        <stp>[Index.xlsm]全球指數!R200C5</stp>
        <tr r="E200" s="1"/>
      </tp>
      <tp>
        <v>0.30837330000000002</v>
        <stp/>
        <stp>##V3_BDPV12</stp>
        <stp>TUSISE Index</stp>
        <stp>CHG_PCT_1D</stp>
        <stp>[Index.xlsm]全球指數!R221C5</stp>
        <tr r="E221" s="1"/>
      </tp>
      <tp>
        <v>0.80244249999999995</v>
        <stp/>
        <stp>##V3_BDPV12</stp>
        <stp>IBOV Index</stp>
        <stp>CHG_PCT_1D</stp>
        <stp>[Index.xlsm]全球指數!R287C5</stp>
        <tr r="E287" s="1"/>
      </tp>
      <tp>
        <v>327.58999999999997</v>
        <stp/>
        <stp>##V3_BDPV12</stp>
        <stp>SKSM Index</stp>
        <stp>LOW_52WEEK</stp>
        <stp>[Index.xlsm]全球指數!R281C8</stp>
        <tr r="H281" s="1"/>
      </tp>
      <tp>
        <v>-3.882418E-2</v>
        <stp/>
        <stp>##V3_BDPV12</stp>
        <stp>QEAS Index</stp>
        <stp>CHG_PCT_1D</stp>
        <stp>[Index.xlsm]全球指數!R149C5</stp>
        <tr r="E149" s="1"/>
      </tp>
      <tp>
        <v>45.865622557983592</v>
        <stp/>
        <stp>##V3_BDPV12</stp>
        <stp>SPBL25PT Index</stp>
        <stp>INTERVAL_HIGH</stp>
        <stp>[Index.xlsm]全球指數!R232C16</stp>
        <stp>MARKET_DATA_OVERRIDE=PE_RATIO</stp>
        <stp>CALC_INTERVAL=5y</stp>
        <stp>BEST_FPERIOD_OVERRIDE=BF</stp>
        <tr r="P232" s="1"/>
      </tp>
      <tp>
        <v>944.05685684437776</v>
        <stp/>
        <stp>##V3_BDPV12</stp>
        <stp>SPBLPGPT Index</stp>
        <stp>INTERVAL_HIGH</stp>
        <stp>[Index.xlsm]全球指數!R277C16</stp>
        <stp>MARKET_DATA_OVERRIDE=PE_RATIO</stp>
        <stp>CALC_INTERVAL=5y</stp>
        <stp>BEST_FPERIOD_OVERRIDE=BF</stp>
        <tr r="P277" s="1"/>
      </tp>
      <tp t="s">
        <v>#N/A N/A</v>
        <stp/>
        <stp>##V3_BDPV12</stp>
        <stp>CHSMLCAP Index</stp>
        <stp>INTERVAL_HIGH</stp>
        <stp>[Index.xlsm]全球指數!R273C16</stp>
        <stp>MARKET_DATA_OVERRIDE=PE_RATIO</stp>
        <stp>CALC_INTERVAL=5y</stp>
        <stp>BEST_FPERIOD_OVERRIDE=BF</stp>
        <tr r="P273" s="1"/>
      </tp>
      <tp>
        <v>156.29419999999999</v>
        <stp/>
        <stp>##V3_BDPV12</stp>
        <stp>OSX Index</stp>
        <stp>HIGH_52WEEK</stp>
        <stp>[Index.xlsm]全球指數!R2C6</stp>
        <tr r="F2" s="1"/>
      </tp>
      <tp>
        <v>-0.98189269999999995</v>
        <stp/>
        <stp>##V3_BDPV12</stp>
        <stp>XAX Index</stp>
        <stp>CHG_PCT_1D</stp>
        <stp>[Index.xlsm]全球指數!R39C5</stp>
        <tr r="E39" s="1"/>
      </tp>
      <tp>
        <v>7045.14</v>
        <stp/>
        <stp>##V3_BDPV12</stp>
        <stp>HDAX Index</stp>
        <stp>HIGH_52WEEK</stp>
        <stp>[Index.xlsm]全球指數!R86C6</stp>
        <tr r="F86" s="1"/>
      </tp>
      <tp>
        <v>21356.2109375</v>
        <stp/>
        <stp>##V3_BDPV12</stp>
        <stp>KSE Index</stp>
        <stp>LOW_52WEEK</stp>
        <stp>[Index.xlsm]全球指數!R89C8</stp>
        <tr r="H89" s="1"/>
      </tp>
      <tp>
        <v>1496.81</v>
        <stp/>
        <stp>##V3_BDPV12</stp>
        <stp>S5SFTW Index</stp>
        <stp>LOW_52WEEK</stp>
        <stp>[Index.xlsm]主要產業!R5C8</stp>
        <tr r="H5" s="2"/>
      </tp>
      <tp>
        <v>3.2027640000000002</v>
        <stp/>
        <stp>##V3_BDPV12</stp>
        <stp>SPBL25PT Index</stp>
        <stp>CHG_PCT_1M</stp>
        <stp>[Index.xlsm]全球指數!R232C11</stp>
        <tr r="K232" s="1"/>
      </tp>
      <tp>
        <v>380.5</v>
        <stp/>
        <stp>##V3_BDPV12</stp>
        <stp>SXXE Index</stp>
        <stp>PX_LAST</stp>
        <stp>[Index.xlsm]全球指數!R156C4</stp>
        <tr r="D156" s="1"/>
      </tp>
      <tp>
        <v>135.93311620225549</v>
        <stp/>
        <stp>##V3_BDPV12</stp>
        <stp>SZ399006 Index</stp>
        <stp>INTERVAL_HIGH</stp>
        <stp>[Index.xlsm]全球指數!R8C16</stp>
        <stp>MARKET_DATA_OVERRIDE=PE_RATIO</stp>
        <stp>CALC_INTERVAL=5y</stp>
        <stp>BEST_FPERIOD_OVERRIDE=BF</stp>
        <tr r="P8" s="1"/>
      </tp>
      <tp>
        <v>1027.7570000000001</v>
        <stp/>
        <stp>##V3_BDPV12</stp>
        <stp>RIGSE Index</stp>
        <stp>PX_LAST</stp>
        <stp>[Index.xlsm]全球指數!R260C4</stp>
        <tr r="D260" s="1"/>
      </tp>
      <tp>
        <v>154.53</v>
        <stp/>
        <stp>##V3_BDPV12</stp>
        <stp>JSDA Index</stp>
        <stp>PX_LAST</stp>
        <stp>[Index.xlsm]全球指數!R302C4</stp>
        <tr r="D302" s="1"/>
      </tp>
      <tp>
        <v>3128839860571</v>
        <stp/>
        <stp>##V3_BDPV12</stp>
        <stp>S5SFTW Index</stp>
        <stp>RR902</stp>
        <stp>[Index.xlsm]主要產業!R5C20</stp>
        <tr r="T5" s="2"/>
      </tp>
      <tp>
        <v>1.9465669999999999</v>
        <stp/>
        <stp>##V3_BDPV12</stp>
        <stp>S5SFTW Index</stp>
        <stp>PR064</stp>
        <stp>[Index.xlsm]主要產業!R5C14</stp>
        <tr r="N5" s="2"/>
      </tp>
      <tp>
        <v>577.35</v>
        <stp/>
        <stp>##V3_BDPV12</stp>
        <stp>s5enrs Index</stp>
        <stp>HIGH_52WEEK</stp>
        <stp>[Index.xlsm]主要產業!R12C6</stp>
        <tr r="F12" s="2"/>
      </tp>
      <tp>
        <v>1490.8</v>
        <stp/>
        <stp>##V3_BDPV12</stp>
        <stp>HSCIIN Index</stp>
        <stp>HIGH_52WEEK</stp>
        <stp>[Index.xlsm]主要產業!R62C6</stp>
        <tr r="F62" s="2"/>
      </tp>
      <tp>
        <v>5489.33</v>
        <stp/>
        <stp>##V3_BDPV12</stp>
        <stp>HSCICG Index</stp>
        <stp>HIGH_52WEEK</stp>
        <stp>[Index.xlsm]主要產業!R58C6</stp>
        <tr r="F58" s="2"/>
      </tp>
      <tp>
        <v>464.78980000000001</v>
        <stp/>
        <stp>##V3_BDPV12</stp>
        <stp>BVPSBVPS Index</stp>
        <stp>HIGH_52WEEK</stp>
        <stp>[Index.xlsm]全球指數!R243C6</stp>
        <tr r="F243" s="1"/>
      </tp>
      <tp>
        <v>43.098386026923841</v>
        <stp/>
        <stp>##V3_BDPV12</stp>
        <stp>WIG Index</stp>
        <stp>INTERVAL_HIGH</stp>
        <stp>[Index.xlsm]全球指數!R115C16</stp>
        <stp>MARKET_DATA_OVERRIDE=PE_RATIO</stp>
        <stp>CALC_INTERVAL=5y</stp>
        <stp>BEST_FPERIOD_OVERRIDE=BF</stp>
        <tr r="P115" s="1"/>
      </tp>
      <tp>
        <v>-6.5078469999999999</v>
        <stp/>
        <stp>##V3_BDPV12</stp>
        <stp>SPBLPGPT Index</stp>
        <stp>CHG_PCT_6M</stp>
        <stp>[Index.xlsm]全球指數!R277C13</stp>
        <tr r="M277" s="1"/>
      </tp>
      <tp>
        <v>26.283905931412235</v>
        <stp/>
        <stp>##V3_BDPV12</stp>
        <stp>MID Index</stp>
        <stp>INTERVAL_HIGH</stp>
        <stp>[Index.xlsm]全球指數!R175C16</stp>
        <stp>MARKET_DATA_OVERRIDE=PE_RATIO</stp>
        <stp>CALC_INTERVAL=5y</stp>
        <stp>BEST_FPERIOD_OVERRIDE=BF</stp>
        <tr r="P175" s="1"/>
      </tp>
      <tp>
        <v>-7.2925959999999996</v>
        <stp/>
        <stp>##V3_BDPV12</stp>
        <stp>NGSEINDX Index</stp>
        <stp>CHG_PCT_3M</stp>
        <stp>[Index.xlsm]全球指數!R219C12</stp>
        <tr r="L219" s="1"/>
      </tp>
      <tp>
        <v>4.9618679999999999</v>
        <stp/>
        <stp>##V3_BDPV12</stp>
        <stp>SHNCOMP Index</stp>
        <stp>CHG_PCT_1YR</stp>
        <stp>[Index.xlsm]全球指數!R31C15</stp>
        <tr r="O31" s="1"/>
      </tp>
      <tp>
        <v>636.59</v>
        <stp/>
        <stp>##V3_BDPV12</stp>
        <stp>LSXC Index</stp>
        <stp>LOW_52WEEK</stp>
        <stp>[Index.xlsm]全球指數!R14C8</stp>
        <tr r="H14" s="1"/>
      </tp>
      <tp>
        <v>0.28267239999999999</v>
        <stp/>
        <stp>##V3_BDPV12</stp>
        <stp>NMDP Index</stp>
        <stp>CHG_PCT_1D</stp>
        <stp>[Index.xlsm]全球指數!R19C5</stp>
        <tr r="E19" s="1"/>
      </tp>
      <tp>
        <v>-6.3045679999999997</v>
        <stp/>
        <stp>##V3_BDPV12</stp>
        <stp>CHSMLCAP Index</stp>
        <stp>CHG_PCT_3M</stp>
        <stp>[Index.xlsm]全球指數!R273C12</stp>
        <tr r="L273" s="1"/>
      </tp>
      <tp>
        <v>23.442185761689121</v>
        <stp/>
        <stp>##V3_BDPV12</stp>
        <stp>XII Index</stp>
        <stp>INTERVAL_HIGH</stp>
        <stp>[Index.xlsm]全球指數!R119C16</stp>
        <stp>MARKET_DATA_OVERRIDE=PE_RATIO</stp>
        <stp>CALC_INTERVAL=5y</stp>
        <stp>BEST_FPERIOD_OVERRIDE=BF</stp>
        <tr r="P119" s="1"/>
      </tp>
      <tp>
        <v>-11.36595</v>
        <stp/>
        <stp>##V3_BDPV12</stp>
        <stp>TPXM400 Index</stp>
        <stp>CHG_PCT_1YR</stp>
        <stp>[Index.xlsm]全球指數!R294C15</stp>
        <tr r="O294" s="1"/>
      </tp>
      <tp>
        <v>4.899756</v>
        <stp/>
        <stp>##V3_BDPV12</stp>
        <stp>KFX Index</stp>
        <stp>PR064</stp>
        <stp>[Index.xlsm]全球指數!R285C14</stp>
        <tr r="N285" s="1"/>
      </tp>
      <tp>
        <v>1117.3699999999999</v>
        <stp/>
        <stp>##V3_BDPV12</stp>
        <stp>COLEQTY Index</stp>
        <stp>HIGH_52WEEK</stp>
        <stp>[Index.xlsm]全球指數!R268C6</stp>
        <tr r="F268" s="1"/>
      </tp>
      <tp>
        <v>3.941919</v>
        <stp/>
        <stp>##V3_BDPV12</stp>
        <stp>TSEMOTHR Index</stp>
        <stp>CHG_PCT_1M</stp>
        <stp>[Index.xlsm]全球指數!R313C11</stp>
        <tr r="K313" s="1"/>
      </tp>
      <tp>
        <v>1621.01</v>
        <stp/>
        <stp>##V3_BDPV12</stp>
        <stp>BELEXLIN Index</stp>
        <stp>HIGH_52WEEK</stp>
        <stp>[Index.xlsm]全球指數!R248C6</stp>
        <tr r="F248" s="1"/>
      </tp>
      <tp>
        <v>24.028400662328071</v>
        <stp/>
        <stp>##V3_BDPV12</stp>
        <stp>RIY Index</stp>
        <stp>INTERVAL_HIGH</stp>
        <stp>[Index.xlsm]全球指數!R129C16</stp>
        <stp>MARKET_DATA_OVERRIDE=PE_RATIO</stp>
        <stp>CALC_INTERVAL=5y</stp>
        <stp>BEST_FPERIOD_OVERRIDE=BF</stp>
        <tr r="P129" s="1"/>
      </tp>
      <tp>
        <v>0.48752479999999998</v>
        <stp/>
        <stp>##V3_BDPV12</stp>
        <stp>TPXSM Index</stp>
        <stp>CHG_PCT_1D</stp>
        <stp>[Index.xlsm]全球指數!R307C5</stp>
        <tr r="E307" s="1"/>
      </tp>
      <tp>
        <v>0.11200839999999999</v>
        <stp/>
        <stp>##V3_BDPV12</stp>
        <stp>TALSE Index</stp>
        <stp>CHG_PCT_1D</stp>
        <stp>[Index.xlsm]全球指數!R247C5</stp>
        <tr r="E247" s="1"/>
      </tp>
      <tp>
        <v>0.16961470000000001</v>
        <stp/>
        <stp>##V3_BDPV12</stp>
        <stp>BGSMDC Index</stp>
        <stp>CHG_PCT_1D</stp>
        <stp>[Index.xlsm]全球指數!R257C5</stp>
        <tr r="E257" s="1"/>
      </tp>
      <tp>
        <v>4682.1009999999997</v>
        <stp/>
        <stp>##V3_BDPV12</stp>
        <stp>NYIID Index</stp>
        <stp>LOW_52WEEK</stp>
        <stp>[Index.xlsm]全球指數!R227C8</stp>
        <tr r="H227" s="1"/>
      </tp>
      <tp>
        <v>12.076278921118963</v>
        <stp/>
        <stp>##V3_BDPV12</stp>
        <stp>HSFML25 Index</stp>
        <stp>INTERVAL_HIGH</stp>
        <stp>[Index.xlsm]全球指數!R81C16</stp>
        <stp>MARKET_DATA_OVERRIDE=PE_RATIO</stp>
        <stp>CALC_INTERVAL=5y</stp>
        <stp>BEST_FPERIOD_OVERRIDE=BF</stp>
        <tr r="P81" s="1"/>
      </tp>
      <tp>
        <v>834.96</v>
        <stp/>
        <stp>##V3_BDPV12</stp>
        <stp>COLIR Index</stp>
        <stp>LOW_52WEEK</stp>
        <stp>[Index.xlsm]全球指數!R267C8</stp>
        <tr r="H267" s="1"/>
      </tp>
      <tp t="s">
        <v>FR</v>
        <stp/>
        <stp>##V3_BDPV12</stp>
        <stp>SBF250 Index</stp>
        <stp>DS003</stp>
        <stp>[Index.xlsm]全球指數!R164C3</stp>
        <tr r="C164" s="1"/>
      </tp>
      <tp>
        <v>841.49419999999998</v>
        <stp/>
        <stp>##V3_BDPV12</stp>
        <stp>OMXO20GI Index</stp>
        <stp>PX_LAST</stp>
        <stp>[Index.xlsm]全球指數!R50C4</stp>
        <tr r="D50" s="1"/>
      </tp>
      <tp t="s">
        <v>JN</v>
        <stp/>
        <stp>##V3_BDPV12</stp>
        <stp>TPX500 Index</stp>
        <stp>DS003</stp>
        <stp>[Index.xlsm]全球指數!R283C3</stp>
        <tr r="C283" s="1"/>
      </tp>
      <tp t="s">
        <v>TOPIX100指數</v>
        <stp/>
        <stp>##V3_BDPV12</stp>
        <stp>TPX100 Index</stp>
        <stp>DS697</stp>
        <stp>[Index.xlsm]全球指數!R271C2</stp>
        <tr r="B271" s="1"/>
      </tp>
      <tp>
        <v>0.70632260000000002</v>
        <stp/>
        <stp>##V3_BDPV12</stp>
        <stp>FTEFC1 Index</stp>
        <stp>CHG_PCT_1D</stp>
        <stp>[Index.xlsm]全球指數!R214C5</stp>
        <tr r="E214" s="1"/>
      </tp>
      <tp>
        <v>31.634821675684446</v>
        <stp/>
        <stp>##V3_BDPV12</stp>
        <stp>JOSMGNFF Index</stp>
        <stp>INTERVAL_HIGH</stp>
        <stp>[Index.xlsm]全球指數!R263C16</stp>
        <stp>MARKET_DATA_OVERRIDE=PE_RATIO</stp>
        <stp>CALC_INTERVAL=5y</stp>
        <stp>BEST_FPERIOD_OVERRIDE=BF</stp>
        <tr r="P263" s="1"/>
      </tp>
      <tp t="s">
        <v>JN</v>
        <stp/>
        <stp>##V3_BDPV12</stp>
        <stp>TPXM400 Index</stp>
        <stp>DS003</stp>
        <stp>[Index.xlsm]全球指數!R294C3</stp>
        <tr r="C294" s="1"/>
      </tp>
      <tp>
        <v>26.301675635556212</v>
        <stp/>
        <stp>##V3_BDPV12</stp>
        <stp>NZSE50FG Index</stp>
        <stp>INTERVAL_HIGH</stp>
        <stp>[Index.xlsm]全球指數!R250C16</stp>
        <stp>MARKET_DATA_OVERRIDE=PE_RATIO</stp>
        <stp>CALC_INTERVAL=5y</stp>
        <stp>BEST_FPERIOD_OVERRIDE=BF</stp>
        <tr r="P250" s="1"/>
      </tp>
      <tp>
        <v>1912998</v>
        <stp/>
        <stp>##V3_BDPV12</stp>
        <stp>IBG Index</stp>
        <stp>HIGH_52WEEK</stp>
        <stp>[Index.xlsm]全球指數!R3C6</stp>
        <tr r="F3" s="1"/>
      </tp>
      <tp>
        <v>2674.71</v>
        <stp/>
        <stp>##V3_BDPV12</stp>
        <stp>ATX Index</stp>
        <stp>LOW_52WEEK</stp>
        <stp>[Index.xlsm]全球指數!R34C8</stp>
        <tr r="H34" s="1"/>
      </tp>
      <tp t="s">
        <v>SK</v>
        <stp/>
        <stp>##V3_BDPV12</stp>
        <stp>KRX100 Index</stp>
        <stp>DS003</stp>
        <stp>[Index.xlsm]全球指數!R197C3</stp>
        <tr r="C197" s="1"/>
      </tp>
      <tp t="s">
        <v>標準普爾BSE-500指數</v>
        <stp/>
        <stp>##V3_BDPV12</stp>
        <stp>BSE500 Index</stp>
        <stp>DS697</stp>
        <stp>[Index.xlsm]全球指數!R315C2</stp>
        <tr r="B315" s="1"/>
      </tp>
      <tp>
        <v>0.33785320000000002</v>
        <stp/>
        <stp>##V3_BDPV12</stp>
        <stp>COLEQTY Index</stp>
        <stp>CHG_PCT_1D</stp>
        <stp>[Index.xlsm]全球指數!R268C5</stp>
        <tr r="E268" s="1"/>
      </tp>
      <tp>
        <v>2579.5509999999999</v>
        <stp/>
        <stp>##V3_BDPV12</stp>
        <stp>SMIM Index</stp>
        <stp>PX_LAST</stp>
        <stp>[Index.xlsm]全球指數!R199C4</stp>
        <tr r="D199" s="1"/>
      </tp>
      <tp>
        <v>-11.91005</v>
        <stp/>
        <stp>##V3_BDPV12</stp>
        <stp>SPBL25PT Index</stp>
        <stp>CHG_PCT_6M</stp>
        <stp>[Index.xlsm]全球指數!R232C13</stp>
        <tr r="M232" s="1"/>
      </tp>
      <tp>
        <v>0.51317270000000004</v>
        <stp/>
        <stp>##V3_BDPV12</stp>
        <stp>TSEREIT Index</stp>
        <stp>CHG_PCT_1D</stp>
        <stp>[Index.xlsm]全球指數!R309C5</stp>
        <tr r="E309" s="1"/>
      </tp>
      <tp>
        <v>6760.91</v>
        <stp/>
        <stp>##V3_BDPV12</stp>
        <stp>PAX Index</stp>
        <stp>PX_LAST</stp>
        <stp>[Index.xlsm]全球指數!R146C4</stp>
        <tr r="D146" s="1"/>
      </tp>
      <tp>
        <v>16.633242231379718</v>
        <stp/>
        <stp>##V3_BDPV12</stp>
        <stp>BVLX Index</stp>
        <stp>PE_RATIO</stp>
        <stp>[Index.xlsm]全球指數!R69C18</stp>
        <tr r="R69" s="1"/>
      </tp>
      <tp>
        <v>-15.621840000000001</v>
        <stp/>
        <stp>##V3_BDPV12</stp>
        <stp>KNSMIDX Index</stp>
        <stp>CHG_PCT_1YR</stp>
        <stp>[Index.xlsm]全球指數!R269C15</stp>
        <tr r="O269" s="1"/>
      </tp>
      <tp>
        <v>794.61770000000001</v>
        <stp/>
        <stp>##V3_BDPV12</stp>
        <stp>BLOM Index</stp>
        <stp>PX_LAST</stp>
        <stp>[Index.xlsm]全球指數!R259C4</stp>
        <tr r="D259" s="1"/>
      </tp>
      <tp>
        <v>13.28716</v>
        <stp/>
        <stp>##V3_BDPV12</stp>
        <stp>PG US Equity</stp>
        <stp>PR064</stp>
        <stp>[Index.xlsm]主要產業!R8C34</stp>
        <tr r="AH8" s="2"/>
      </tp>
      <tp>
        <v>14.487435100796359</v>
        <stp/>
        <stp>##V3_BDPV12</stp>
        <stp>s5indu Index</stp>
        <stp>INTERVAL_Low</stp>
        <stp>[Index.xlsm]主要產業!R8C17</stp>
        <stp>MARKET_DATA_OVERRIDE=PE_RATIO</stp>
        <stp>CALC_INTERVAL=5y</stp>
        <stp>BEST_FPERIOD_OVERRIDE=BF</stp>
        <tr r="Q8" s="2"/>
      </tp>
      <tp>
        <v>28.773963753877116</v>
        <stp/>
        <stp>##V3_BDPV12</stp>
        <stp>PG US Equity</stp>
        <stp>PE_RATIO</stp>
        <stp>[Index.xlsm]主要產業!R8C38</stp>
        <tr r="AL8" s="2"/>
      </tp>
      <tp>
        <v>17846.21</v>
        <stp/>
        <stp>##V3_BDPV12</stp>
        <stp>KOSPELEC Index</stp>
        <stp>PX_LAST</stp>
        <stp>[Index.xlsm]主要產業!R43C4</stp>
        <tr r="D43" s="2"/>
      </tp>
      <tp>
        <v>3009.51</v>
        <stp/>
        <stp>##V3_BDPV12</stp>
        <stp>CHLRGCAP Index</stp>
        <stp>HIGH_52WEEK</stp>
        <stp>[Index.xlsm]全球指數!R130C6</stp>
        <tr r="F130" s="1"/>
      </tp>
      <tp>
        <v>0.23821390000000001</v>
        <stp/>
        <stp>##V3_BDPV12</stp>
        <stp>DARSDSEI Index</stp>
        <stp>CHG_PCT_5D</stp>
        <stp>[Index.xlsm]全球指數!R253C10</stp>
        <tr r="J253" s="1"/>
      </tp>
      <tp t="s">
        <v>CH</v>
        <stp/>
        <stp>##V3_BDPV12</stp>
        <stp>SZ399006 Index</stp>
        <stp>DS003</stp>
        <stp>[Index.xlsm]全球指數!R8C3</stp>
        <tr r="C8" s="1"/>
      </tp>
      <tp>
        <v>-0.20547960000000001</v>
        <stp/>
        <stp>##V3_BDPV12</stp>
        <stp>FBMKLCI Index</stp>
        <stp>CHG_PCT_5D</stp>
        <stp>[Index.xlsm]全球指數!R226C10</stp>
        <tr r="J226" s="1"/>
      </tp>
      <tp>
        <v>0.1170986</v>
        <stp/>
        <stp>##V3_BDPV12</stp>
        <stp>OBXP Index</stp>
        <stp>CHG_PCT_1D</stp>
        <stp>[Index.xlsm]全球指數!R47C5</stp>
        <tr r="E47" s="1"/>
      </tp>
      <tp>
        <v>12572.86</v>
        <stp/>
        <stp>##V3_BDPV12</stp>
        <stp>FBMEMAS Index</stp>
        <stp>HIGH_52WEEK</stp>
        <stp>[Index.xlsm]全球指數!R242C6</stp>
        <tr r="F242" s="1"/>
      </tp>
      <tp t="s">
        <v>CCTV 50 INDEX</v>
        <stp/>
        <stp>##V3_BDPV12</stp>
        <stp>SZ399550 Index</stp>
        <stp>DS697</stp>
        <stp>[Index.xlsm]全球指數!R59C2</stp>
        <tr r="B59" s="1"/>
      </tp>
      <tp>
        <v>-0.55947749999999996</v>
        <stp/>
        <stp>##V3_BDPV12</stp>
        <stp>MOSENEW Index</stp>
        <stp>CHG_PCT_5D</stp>
        <stp>[Index.xlsm]全球指數!R188C10</stp>
        <tr r="J188" s="1"/>
      </tp>
      <tp t="s">
        <v>CH</v>
        <stp/>
        <stp>##V3_BDPV12</stp>
        <stp>SZ399550 Index</stp>
        <stp>DS003</stp>
        <stp>[Index.xlsm]全球指數!R59C3</stp>
        <tr r="C59" s="1"/>
      </tp>
      <tp>
        <v>-0.52190539999999996</v>
        <stp/>
        <stp>##V3_BDPV12</stp>
        <stp>CFIN Index</stp>
        <stp>CHG_PCT_1D</stp>
        <stp>[Index.xlsm]全球指數!R137C5</stp>
        <tr r="E137" s="1"/>
      </tp>
      <tp>
        <v>783.67</v>
        <stp/>
        <stp>##V3_BDPV12</stp>
        <stp>SBITOP Index</stp>
        <stp>LOW_52WEEK</stp>
        <stp>[Index.xlsm]全球指數!R176C8</stp>
        <tr r="H176" s="1"/>
      </tp>
      <tp>
        <v>0.94047800000000004</v>
        <stp/>
        <stp>##V3_BDPV12</stp>
        <stp>ITMC Index</stp>
        <stp>CHG_PCT_1D</stp>
        <stp>[Index.xlsm]全球指數!R163C5</stp>
        <tr r="E163" s="1"/>
      </tp>
      <tp>
        <v>5141.08984375</v>
        <stp/>
        <stp>##V3_BDPV12</stp>
        <stp>KWSEPM Index</stp>
        <stp>LOW_52WEEK</stp>
        <stp>[Index.xlsm]全球指數!R311C8</stp>
        <tr r="H311" s="1"/>
      </tp>
      <tp>
        <v>7458.9179999999997</v>
        <stp/>
        <stp>##V3_BDPV12</stp>
        <stp>BGSMDC Index</stp>
        <stp>PX_LAST</stp>
        <stp>[Index.xlsm]全球指數!R257C4</stp>
        <tr r="D257" s="1"/>
      </tp>
      <tp>
        <v>0.39453700000000003</v>
        <stp/>
        <stp>##V3_BDPV12</stp>
        <stp>ITSTAR Index</stp>
        <stp>CHG_PCT_1D</stp>
        <stp>[Index.xlsm]全球指數!R158C5</stp>
        <tr r="E158" s="1"/>
      </tp>
      <tp>
        <v>4589.45</v>
        <stp/>
        <stp>##V3_BDPV12</stp>
        <stp>IPSA Index</stp>
        <stp>LOW_52WEEK</stp>
        <stp>[Index.xlsm]全球指數!R147C8</stp>
        <tr r="H147" s="1"/>
      </tp>
      <tp>
        <v>310.43509999999998</v>
        <stp/>
        <stp>##V3_BDPV12</stp>
        <stp>IBVC Index</stp>
        <stp>LOW_52WEEK</stp>
        <stp>[Index.xlsm]全球指數!R312C8</stp>
        <tr r="H312" s="1"/>
      </tp>
      <tp>
        <v>0.33340019999999998</v>
        <stp/>
        <stp>##V3_BDPV12</stp>
        <stp>HEX25 Index</stp>
        <stp>PR064</stp>
        <stp>[Index.xlsm]全球指數!R67C14</stp>
        <tr r="N67" s="1"/>
      </tp>
      <tp>
        <v>0.67265430000000004</v>
        <stp/>
        <stp>##V3_BDPV12</stp>
        <stp>SPEURO Index</stp>
        <stp>CHG_PCT_1D</stp>
        <stp>[Index.xlsm]全球指數!R201C5</stp>
        <tr r="E201" s="1"/>
      </tp>
      <tp>
        <v>5.4500119999999999E-2</v>
        <stp/>
        <stp>##V3_BDPV12</stp>
        <stp>KOSPI Index</stp>
        <stp>CHG_PCT_1D</stp>
        <stp>[Index.xlsm]全球指數!R155C5</stp>
        <tr r="E155" s="1"/>
      </tp>
      <tp>
        <v>-7.4877139999999995E-2</v>
        <stp/>
        <stp>##V3_BDPV12</stp>
        <stp>COLSC Index</stp>
        <stp>CHG_PCT_1D</stp>
        <stp>[Index.xlsm]全球指數!R256C5</stp>
        <tr r="E256" s="1"/>
      </tp>
      <tp>
        <v>4348.203125</v>
        <stp/>
        <stp>##V3_BDPV12</stp>
        <stp>CTRN Index</stp>
        <stp>LOW_52WEEK</stp>
        <stp>[Index.xlsm]全球指數!R136C8</stp>
        <tr r="H136" s="1"/>
      </tp>
      <tp>
        <v>211.89</v>
        <stp/>
        <stp>##V3_BDPV12</stp>
        <stp>EUETMP Index</stp>
        <stp>HIGH_52WEEK</stp>
        <stp>[Index.xlsm]全球指數!R97C6</stp>
        <tr r="F97" s="1"/>
      </tp>
      <tp>
        <v>60.856805098859219</v>
        <stp/>
        <stp>##V3_BDPV12</stp>
        <stp>MIDWIG Index</stp>
        <stp>INTERVAL_HIGH</stp>
        <stp>[Index.xlsm]全球指數!R21C16</stp>
        <stp>MARKET_DATA_OVERRIDE=PE_RATIO</stp>
        <stp>CALC_INTERVAL=5y</stp>
        <stp>BEST_FPERIOD_OVERRIDE=BF</stp>
        <tr r="P21" s="1"/>
      </tp>
      <tp>
        <v>5192.0600000000004</v>
        <stp/>
        <stp>##V3_BDPV12</stp>
        <stp>PXAP Index</stp>
        <stp>HIGH_52WEEK</stp>
        <stp>[Index.xlsm]全球指數!R80C6</stp>
        <tr r="F80" s="1"/>
      </tp>
      <tp>
        <v>-9.9955649999999991</v>
        <stp/>
        <stp>##V3_BDPV12</stp>
        <stp>KOSDAQ Index</stp>
        <stp>PR064</stp>
        <stp>[Index.xlsm]全球指數!R18C14</stp>
        <tr r="N18" s="1"/>
      </tp>
      <tp>
        <v>1313.96</v>
        <stp/>
        <stp>##V3_BDPV12</stp>
        <stp>OEX Index</stp>
        <stp>PX_LAST</stp>
        <stp>[Index.xlsm]全球指數!R117C4</stp>
        <tr r="D117" s="1"/>
      </tp>
      <tp>
        <v>2117.14</v>
        <stp/>
        <stp>##V3_BDPV12</stp>
        <stp>BSX Index</stp>
        <stp>PX_LAST</stp>
        <stp>[Index.xlsm]全球指數!R297C4</stp>
        <tr r="D297" s="1"/>
      </tp>
      <tp>
        <v>113.06646096388769</v>
        <stp/>
        <stp>##V3_BDPV12</stp>
        <stp>CS90 Index</stp>
        <stp>PE_RATIO</stp>
        <stp>[Index.xlsm]全球指數!R38C18</stp>
        <tr r="R38" s="1"/>
      </tp>
      <tp>
        <v>-1.580457</v>
        <stp/>
        <stp>##V3_BDPV12</stp>
        <stp>HSFML25 Index</stp>
        <stp>CHG_PCT_5D</stp>
        <stp>[Index.xlsm]全球指數!R81C10</stp>
        <tr r="J81" s="1"/>
      </tp>
      <tp>
        <v>9.7464215691512557</v>
        <stp/>
        <stp>##V3_BDPV12</stp>
        <stp>CHTX Index</stp>
        <stp>PE_RATIO</stp>
        <stp>[Index.xlsm]全球指數!R27C18</stp>
        <tr r="R27" s="1"/>
      </tp>
      <tp>
        <v>-10.706519999999999</v>
        <stp/>
        <stp>##V3_BDPV12</stp>
        <stp>HSFML25 Index</stp>
        <stp>CHG_PCT_6M</stp>
        <stp>[Index.xlsm]全球指數!R81C13</stp>
        <tr r="M81" s="1"/>
      </tp>
      <tp>
        <v>32.065199133267676</v>
        <stp/>
        <stp>##V3_BDPV12</stp>
        <stp>CIND Index</stp>
        <stp>PE_RATIO</stp>
        <stp>[Index.xlsm]全球指數!R25C18</stp>
        <tr r="R25" s="1"/>
      </tp>
      <tp>
        <v>2.8191329999999999</v>
        <stp/>
        <stp>##V3_BDPV12</stp>
        <stp>HSFML25 Index</stp>
        <stp>CHG_PCT_1M</stp>
        <stp>[Index.xlsm]全球指數!R81C11</stp>
        <tr r="K81" s="1"/>
      </tp>
      <tp>
        <v>-7.2267950000000001</v>
        <stp/>
        <stp>##V3_BDPV12</stp>
        <stp>HSFML25 Index</stp>
        <stp>CHG_PCT_3M</stp>
        <stp>[Index.xlsm]全球指數!R81C12</stp>
        <tr r="L81" s="1"/>
      </tp>
      <tp>
        <v>16.162373024210893</v>
        <stp/>
        <stp>##V3_BDPV12</stp>
        <stp>CLXP Index</stp>
        <stp>PE_RATIO</stp>
        <stp>[Index.xlsm]全球指數!R54C18</stp>
        <tr r="R54" s="1"/>
      </tp>
      <tp>
        <v>-10.23108</v>
        <stp/>
        <stp>##V3_BDPV12</stp>
        <stp>CHILE65 Index</stp>
        <stp>CHG_PCT_1YR</stp>
        <stp>[Index.xlsm]全球指數!R165C15</stp>
        <tr r="O165" s="1"/>
      </tp>
      <tp>
        <v>11.895460167377955</v>
        <stp/>
        <stp>##V3_BDPV12</stp>
        <stp>CBNK Index</stp>
        <stp>PE_RATIO</stp>
        <stp>[Index.xlsm]全球指數!R92C18</stp>
        <tr r="R92" s="1"/>
      </tp>
      <tp>
        <v>31.335452395012549</v>
        <stp/>
        <stp>##V3_BDPV12</stp>
        <stp>CCMP Index</stp>
        <stp>PE_RATIO</stp>
        <stp>[Index.xlsm]全球指數!R61C18</stp>
        <tr r="R61" s="1"/>
      </tp>
      <tp>
        <v>11222.31</v>
        <stp/>
        <stp>##V3_BDPV12</stp>
        <stp>NZSE50FG Index</stp>
        <stp>HIGH_52WEEK</stp>
        <stp>[Index.xlsm]全球指數!R250C6</stp>
        <tr r="F250" s="1"/>
      </tp>
      <tp>
        <v>19.498932048706262</v>
        <stp/>
        <stp>##V3_BDPV12</stp>
        <stp>CDAX Index</stp>
        <stp>PE_RATIO</stp>
        <stp>[Index.xlsm]全球指數!R82C18</stp>
        <tr r="R82" s="1"/>
      </tp>
      <tp t="s">
        <v>US</v>
        <stp/>
        <stp>##V3_BDPV12</stp>
        <stp>PG US Equity</stp>
        <stp>DS003</stp>
        <stp>[Index.xlsm]主要產業!R8C23</stp>
        <tr r="W8" s="2"/>
      </tp>
      <tp>
        <v>247.86</v>
        <stp/>
        <stp>##V3_BDPV12</stp>
        <stp>s5rlst Index</stp>
        <stp>HIGH_52WEEK</stp>
        <stp>[Index.xlsm]主要產業!R15C6</stp>
        <tr r="F15" s="2"/>
      </tp>
      <tp>
        <v>92</v>
        <stp/>
        <stp>##V3_BDPV12</stp>
        <stp>TWSEOEI Index</stp>
        <stp>HIGH_52WEEK</stp>
        <stp>[Index.xlsm]主要產業!R75C6</stp>
        <tr r="F75" s="2"/>
      </tp>
      <tp t="s">
        <v>CH</v>
        <stp/>
        <stp>##V3_BDPV12</stp>
        <stp>SH000905 Index</stp>
        <stp>DS003</stp>
        <stp>[Index.xlsm]全球指數!R13C3</stp>
        <tr r="C13" s="1"/>
      </tp>
      <tp>
        <v>7771.9920000000002</v>
        <stp/>
        <stp>##V3_BDPV12</stp>
        <stp>NDX Index</stp>
        <stp>PX_LAST</stp>
        <stp>[Index.xlsm]全球指數!R75C4</stp>
        <tr r="D75" s="1"/>
      </tp>
      <tp>
        <v>-6.5533219999999996</v>
        <stp/>
        <stp>##V3_BDPV12</stp>
        <stp>DARSDSEI Index</stp>
        <stp>CHG_PCT_6M</stp>
        <stp>[Index.xlsm]全球指數!R253C13</stp>
        <tr r="M253" s="1"/>
      </tp>
      <tp>
        <v>183.9</v>
        <stp/>
        <stp>##V3_BDPV12</stp>
        <stp>HKSPGEM Index</stp>
        <stp>HIGH_52WEEK</stp>
        <stp>[Index.xlsm]全球指數!R151C6</stp>
        <tr r="F151" s="1"/>
      </tp>
      <tp>
        <v>-8.3034869999999997E-2</v>
        <stp/>
        <stp>##V3_BDPV12</stp>
        <stp>NGSEINDX Index</stp>
        <stp>CHG_PCT_1M</stp>
        <stp>[Index.xlsm]全球指數!R219C11</stp>
        <tr r="K219" s="1"/>
      </tp>
      <tp t="s">
        <v>CSI Smallcap 500 Index - Sha</v>
        <stp/>
        <stp>##V3_BDPV12</stp>
        <stp>SH000905 Index</stp>
        <stp>DS697</stp>
        <stp>[Index.xlsm]全球指數!R13C2</stp>
        <tr r="B13" s="1"/>
      </tp>
      <tp>
        <v>0.42085240000000002</v>
        <stp/>
        <stp>##V3_BDPV12</stp>
        <stp>CDAX Index</stp>
        <stp>CHG_PCT_1D</stp>
        <stp>[Index.xlsm]全球指數!R82C5</stp>
        <tr r="E82" s="1"/>
      </tp>
      <tp>
        <v>3.6757610000000001</v>
        <stp/>
        <stp>##V3_BDPV12</stp>
        <stp>NDF Index</stp>
        <stp>PR064</stp>
        <stp>[Index.xlsm]全球指數!R125C14</stp>
        <tr r="N125" s="1"/>
      </tp>
      <tp>
        <v>4.0489730000000002</v>
        <stp/>
        <stp>##V3_BDPV12</stp>
        <stp>CHSMLCAP Index</stp>
        <stp>CHG_PCT_1M</stp>
        <stp>[Index.xlsm]全球指數!R273C11</stp>
        <tr r="K273" s="1"/>
      </tp>
      <tp>
        <v>1213.21</v>
        <stp/>
        <stp>##V3_BDPV12</stp>
        <stp>WBI Index</stp>
        <stp>PX_LAST</stp>
        <stp>[Index.xlsm]全球指數!R63C4</stp>
        <tr r="D63" s="1"/>
      </tp>
      <tp>
        <v>0.77091290000000001</v>
        <stp/>
        <stp>##V3_BDPV12</stp>
        <stp>TDXP Index</stp>
        <stp>CHG_PCT_1D</stp>
        <stp>[Index.xlsm]全球指數!R22C5</stp>
        <tr r="E22" s="1"/>
      </tp>
      <tp>
        <v>0.30130960000000001</v>
        <stp/>
        <stp>##V3_BDPV12</stp>
        <stp>HEXP Index</stp>
        <stp>CHG_PCT_1D</stp>
        <stp>[Index.xlsm]全球指數!R93C5</stp>
        <tr r="E93" s="1"/>
      </tp>
      <tp>
        <v>3.4920309999999999</v>
        <stp/>
        <stp>##V3_BDPV12</stp>
        <stp>MOSENEW Index</stp>
        <stp>CHG_PCT_6M</stp>
        <stp>[Index.xlsm]全球指數!R188C13</stp>
        <tr r="M188" s="1"/>
      </tp>
      <tp>
        <v>-3.0272770000000002</v>
        <stp/>
        <stp>##V3_BDPV12</stp>
        <stp>FBMKLCI Index</stp>
        <stp>CHG_PCT_6M</stp>
        <stp>[Index.xlsm]全球指數!R226C13</stp>
        <tr r="M226" s="1"/>
      </tp>
      <tp>
        <v>-0.1622209</v>
        <stp/>
        <stp>##V3_BDPV12</stp>
        <stp>TSEMOTHR Index</stp>
        <stp>CHG_PCT_3M</stp>
        <stp>[Index.xlsm]全球指數!R313C12</stp>
        <tr r="L313" s="1"/>
      </tp>
      <tp>
        <v>24.860578273466032</v>
        <stp/>
        <stp>##V3_BDPV12</stp>
        <stp>NKY Index</stp>
        <stp>INTERVAL_HIGH</stp>
        <stp>[Index.xlsm]全球指數!R264C16</stp>
        <stp>MARKET_DATA_OVERRIDE=PE_RATIO</stp>
        <stp>CALC_INTERVAL=5y</stp>
        <stp>BEST_FPERIOD_OVERRIDE=BF</stp>
        <tr r="P264" s="1"/>
      </tp>
      <tp>
        <v>58.337208792350445</v>
        <stp/>
        <stp>##V3_BDPV12</stp>
        <stp>UKX Index</stp>
        <stp>INTERVAL_HIGH</stp>
        <stp>[Index.xlsm]全球指數!R239C16</stp>
        <stp>MARKET_DATA_OVERRIDE=PE_RATIO</stp>
        <stp>CALC_INTERVAL=5y</stp>
        <stp>BEST_FPERIOD_OVERRIDE=BF</stp>
        <tr r="P239" s="1"/>
      </tp>
      <tp>
        <v>17.204527957319172</v>
        <stp/>
        <stp>##V3_BDPV12</stp>
        <stp>BKX Index</stp>
        <stp>INTERVAL_HIGH</stp>
        <stp>[Index.xlsm]全球指數!R105C16</stp>
        <stp>MARKET_DATA_OVERRIDE=PE_RATIO</stp>
        <stp>CALC_INTERVAL=5y</stp>
        <stp>BEST_FPERIOD_OVERRIDE=BF</stp>
        <tr r="P105" s="1"/>
      </tp>
      <tp>
        <v>6790.58</v>
        <stp/>
        <stp>##V3_BDPV12</stp>
        <stp>PCOMP Index</stp>
        <stp>LOW_52WEEK</stp>
        <stp>[Index.xlsm]全球指數!R231C8</stp>
        <tr r="H231" s="1"/>
      </tp>
      <tp>
        <v>23347.49</v>
        <stp/>
        <stp>##V3_BDPV12</stp>
        <stp>IGPA Index</stp>
        <stp>LOW_52WEEK</stp>
        <stp>[Index.xlsm]全球指數!R167C8</stp>
        <tr r="H167" s="1"/>
      </tp>
      <tp>
        <v>2258.27</v>
        <stp/>
        <stp>##V3_BDPV12</stp>
        <stp>IMOEX Index</stp>
        <stp>LOW_52WEEK</stp>
        <stp>[Index.xlsm]全球指數!R159C8</stp>
        <tr r="H159" s="1"/>
      </tp>
      <tp>
        <v>1028.79</v>
        <stp/>
        <stp>##V3_BDPV12</stp>
        <stp>MSPE Index</stp>
        <stp>LOW_52WEEK</stp>
        <stp>[Index.xlsm]全球指數!R207C8</stp>
        <tr r="H207" s="1"/>
      </tp>
      <tp>
        <v>0.85279939999999999</v>
        <stp/>
        <stp>##V3_BDPV12</stp>
        <stp>BBREIT Index</stp>
        <stp>CHG_PCT_1D</stp>
        <stp>[Index.xlsm]全球指數!R288C5</stp>
        <tr r="E288" s="1"/>
      </tp>
      <tp>
        <v>936.96950000000004</v>
        <stp/>
        <stp>##V3_BDPV12</stp>
        <stp>SZBSHR Index</stp>
        <stp>PX_LAST</stp>
        <stp>[Index.xlsm]全球指數!R128C4</stp>
        <tr r="D128" s="1"/>
      </tp>
      <tp t="s">
        <v>IS</v>
        <stp/>
        <stp>##V3_BDPV12</stp>
        <stp>TA-35 Index</stp>
        <stp>DS003</stp>
        <stp>[Index.xlsm]全球指數!R205C3</stp>
        <tr r="C205" s="1"/>
      </tp>
      <tp>
        <v>144.62196406247784</v>
        <stp/>
        <stp>##V3_BDPV12</stp>
        <stp>MSETOP Index</stp>
        <stp>INTERVAL_HIGH</stp>
        <stp>[Index.xlsm]全球指數!R26C16</stp>
        <stp>MARKET_DATA_OVERRIDE=PE_RATIO</stp>
        <stp>CALC_INTERVAL=5y</stp>
        <stp>BEST_FPERIOD_OVERRIDE=BF</stp>
        <tr r="P26" s="1"/>
      </tp>
      <tp>
        <v>169.03109201159404</v>
        <stp/>
        <stp>##V3_BDPV12</stp>
        <stp>DARSDSEI Index</stp>
        <stp>INTERVAL_HIGH</stp>
        <stp>[Index.xlsm]全球指數!R253C16</stp>
        <stp>MARKET_DATA_OVERRIDE=PE_RATIO</stp>
        <stp>CALC_INTERVAL=5y</stp>
        <stp>BEST_FPERIOD_OVERRIDE=BF</stp>
        <tr r="P253" s="1"/>
      </tp>
      <tp>
        <v>18.945577051218446</v>
        <stp/>
        <stp>##V3_BDPV12</stp>
        <stp>NGSEINDX Index</stp>
        <stp>INTERVAL_HIGH</stp>
        <stp>[Index.xlsm]全球指數!R219C16</stp>
        <stp>MARKET_DATA_OVERRIDE=PE_RATIO</stp>
        <stp>CALC_INTERVAL=5y</stp>
        <stp>BEST_FPERIOD_OVERRIDE=BF</stp>
        <tr r="P219" s="1"/>
      </tp>
      <tp>
        <v>46.331284184660781</v>
        <stp/>
        <stp>##V3_BDPV12</stp>
        <stp>EUETMP Index</stp>
        <stp>INTERVAL_HIGH</stp>
        <stp>[Index.xlsm]全球指數!R97C16</stp>
        <stp>MARKET_DATA_OVERRIDE=PE_RATIO</stp>
        <stp>CALC_INTERVAL=5y</stp>
        <stp>BEST_FPERIOD_OVERRIDE=BF</stp>
        <tr r="P97" s="1"/>
      </tp>
      <tp t="s">
        <v>IN</v>
        <stp/>
        <stp>##V3_BDPV12</stp>
        <stp>BSE200 Index</stp>
        <stp>DS003</stp>
        <stp>[Index.xlsm]全球指數!R316C3</stp>
        <tr r="C316" s="1"/>
      </tp>
      <tp>
        <v>841.56</v>
        <stp/>
        <stp>##V3_BDPV12</stp>
        <stp>AXX Index</stp>
        <stp>LOW_52WEEK</stp>
        <stp>[Index.xlsm]全球指數!R76C8</stp>
        <tr r="H76" s="1"/>
      </tp>
      <tp>
        <v>6.4333609999999999E-2</v>
        <stp/>
        <stp>##V3_BDPV12</stp>
        <stp>WBI Index</stp>
        <stp>CHG_PCT_1D</stp>
        <stp>[Index.xlsm]全球指數!R63C5</stp>
        <tr r="E63" s="1"/>
      </tp>
      <tp>
        <v>-7.4412729999999998</v>
        <stp/>
        <stp>##V3_BDPV12</stp>
        <stp>EUE15P Index</stp>
        <stp>CHG_PCT_6M</stp>
        <stp>[Index.xlsm]全球指數!R57C13</stp>
        <tr r="M57" s="1"/>
      </tp>
      <tp>
        <v>39737.94140625</v>
        <stp/>
        <stp>##V3_BDPV12</stp>
        <stp>MAR Index</stp>
        <stp>HIGH_52WEEK</stp>
        <stp>[Index.xlsm]全球指數!R5C6</stp>
        <tr r="F5" s="1"/>
      </tp>
      <tp>
        <v>-0.32595249999999998</v>
        <stp/>
        <stp>##V3_BDPV12</stp>
        <stp>SMX Index</stp>
        <stp>CHG_PCT_1D</stp>
        <stp>[Index.xlsm]全球指數!R87C5</stp>
        <tr r="E87" s="1"/>
      </tp>
      <tp>
        <v>-1.944674</v>
        <stp/>
        <stp>##V3_BDPV12</stp>
        <stp>EUE15P Index</stp>
        <stp>CHG_PCT_5D</stp>
        <stp>[Index.xlsm]全球指數!R57C10</stp>
        <tr r="J57" s="1"/>
      </tp>
      <tp>
        <v>-7.2240339999999996</v>
        <stp/>
        <stp>##V3_BDPV12</stp>
        <stp>EUE15P Index</stp>
        <stp>CHG_PCT_3M</stp>
        <stp>[Index.xlsm]全球指數!R57C12</stp>
        <tr r="L57" s="1"/>
      </tp>
      <tp>
        <v>-0.1570897</v>
        <stp/>
        <stp>##V3_BDPV12</stp>
        <stp>QIV Index</stp>
        <stp>CHG_PCT_1D</stp>
        <stp>[Index.xlsm]全球指數!R65C5</stp>
        <tr r="E65" s="1"/>
      </tp>
      <tp>
        <v>3.0167890000000002</v>
        <stp/>
        <stp>##V3_BDPV12</stp>
        <stp>EUE15P Index</stp>
        <stp>CHG_PCT_1M</stp>
        <stp>[Index.xlsm]全球指數!R57C11</stp>
        <tr r="K57" s="1"/>
      </tp>
      <tp>
        <v>2977.62</v>
        <stp/>
        <stp>##V3_BDPV12</stp>
        <stp>SPX Index</stp>
        <stp>PX_LAST</stp>
        <stp>[Index.xlsm]全球指數!R134C4</stp>
        <tr r="D134" s="1"/>
      </tp>
      <tp>
        <v>17.334099999999999</v>
        <stp/>
        <stp>##V3_BDPV12</stp>
        <stp>BBREIT Index</stp>
        <stp>CHG_PCT_1YR</stp>
        <stp>[Index.xlsm]全球指數!R288C15</stp>
        <tr r="O288" s="1"/>
      </tp>
      <tp>
        <v>688.24950000000001</v>
        <stp/>
        <stp>##V3_BDPV12</stp>
        <stp>VILSE Index</stp>
        <stp>PX_LAST</stp>
        <stp>[Index.xlsm]全球指數!R181C4</stp>
        <tr r="D181" s="1"/>
      </tp>
      <tp>
        <v>98.705730000000003</v>
        <stp/>
        <stp>##V3_BDPV12</stp>
        <stp>VHINDEX Index</stp>
        <stp>LOW_52WEEK</stp>
        <stp>[Index.xlsm]全球指數!R276C8</stp>
        <tr r="H276" s="1"/>
      </tp>
      <tp>
        <v>25287.35</v>
        <stp/>
        <stp>##V3_BDPV12</stp>
        <stp>IGPA Index</stp>
        <stp>PX_LAST</stp>
        <stp>[Index.xlsm]全球指數!R167C4</stp>
        <tr r="D167" s="1"/>
      </tp>
      <tp>
        <v>5026.1890000000003</v>
        <stp/>
        <stp>##V3_BDPV12</stp>
        <stp>IPSA Index</stp>
        <stp>PX_LAST</stp>
        <stp>[Index.xlsm]全球指數!R147C4</stp>
        <tr r="D147" s="1"/>
      </tp>
      <tp t="s">
        <v>US</v>
        <stp/>
        <stp>##V3_BDPV12</stp>
        <stp>MSFT US Equity</stp>
        <stp>DS003</stp>
        <stp>[Index.xlsm]主要產業!R2C23</stp>
        <tr r="W2" s="2"/>
      </tp>
      <tp>
        <v>18.3445</v>
        <stp/>
        <stp>##V3_BDPV12</stp>
        <stp>MSFT US Equity</stp>
        <stp>CHG_PCT_6M</stp>
        <stp>[Index.xlsm]主要產業!R2C33</stp>
        <tr r="AG2" s="2"/>
      </tp>
      <tp>
        <v>-1.084568</v>
        <stp/>
        <stp>##V3_BDPV12</stp>
        <stp>MSFT US Equity</stp>
        <stp>CHG_PCT_5D</stp>
        <stp>[Index.xlsm]主要產業!R2C30</stp>
        <tr r="AD2" s="2"/>
      </tp>
      <tp>
        <v>3.0195669999999999</v>
        <stp/>
        <stp>##V3_BDPV12</stp>
        <stp>MSFT US Equity</stp>
        <stp>CHG_PCT_1M</stp>
        <stp>[Index.xlsm]主要產業!R2C31</stp>
        <tr r="AE2" s="2"/>
      </tp>
      <tp>
        <v>4.1887610000000004</v>
        <stp/>
        <stp>##V3_BDPV12</stp>
        <stp>MSFT US Equity</stp>
        <stp>CHG_PCT_3M</stp>
        <stp>[Index.xlsm]主要產業!R2C32</stp>
        <tr r="AF2" s="2"/>
      </tp>
      <tp>
        <v>0.1291619</v>
        <stp/>
        <stp>##V3_BDPV12</stp>
        <stp>MSFT US Equity</stp>
        <stp>CHG_PCT_1D</stp>
        <stp>[Index.xlsm]主要產業!R2C25</stp>
        <tr r="Y2" s="2"/>
      </tp>
      <tp t="s">
        <v>CH</v>
        <stp/>
        <stp>##V3_BDPV12</stp>
        <stp>SH000910 Index</stp>
        <stp>DS003</stp>
        <stp>[Index.xlsm]主要產業!R49C3</stp>
        <tr r="C49" s="2"/>
      </tp>
      <tp>
        <v>187.14</v>
        <stp/>
        <stp>##V3_BDPV12</stp>
        <stp>TWSESCI Index</stp>
        <stp>HIGH_52WEEK</stp>
        <stp>[Index.xlsm]主要產業!R70C6</stp>
        <tr r="F70" s="2"/>
      </tp>
      <tp>
        <v>78.489999999999995</v>
        <stp/>
        <stp>##V3_BDPV12</stp>
        <stp>PG US Equity</stp>
        <stp>LOW_52WEEK</stp>
        <stp>[Index.xlsm]主要產業!R8C28</stp>
        <tr r="AB8" s="2"/>
      </tp>
      <tp>
        <v>170.47</v>
        <stp/>
        <stp>##V3_BDPV12</stp>
        <stp>TWSEMACH Index</stp>
        <stp>PX_LAST</stp>
        <stp>[Index.xlsm]主要產業!R87C4</stp>
        <tr r="D87" s="2"/>
      </tp>
      <tp>
        <v>100.06</v>
        <stp/>
        <stp>##V3_BDPV12</stp>
        <stp>TWSESTEE Index</stp>
        <stp>PX_LAST</stp>
        <stp>[Index.xlsm]主要產業!R81C4</stp>
        <tr r="D81" s="2"/>
      </tp>
      <tp>
        <v>26891.119999999999</v>
        <stp/>
        <stp>##V3_BDPV12</stp>
        <stp>INDU INDEX</stp>
        <stp>PX_LAST</stp>
        <stp>[Index.xlsm]主要產業!R2C42</stp>
        <tr r="AP2" s="2"/>
      </tp>
      <tp>
        <v>0.71457630000000005</v>
        <stp/>
        <stp>##V3_BDPV12</stp>
        <stp>SPBLPGPT Index</stp>
        <stp>CHG_PCT_5D</stp>
        <stp>[Index.xlsm]全球指數!R277C10</stp>
        <tr r="J277" s="1"/>
      </tp>
      <tp>
        <v>-0.89954579999999995</v>
        <stp/>
        <stp>##V3_BDPV12</stp>
        <stp>SPTSXVEN Index</stp>
        <stp>PR064</stp>
        <stp>[Index.xlsm]全球指數!R78C14</stp>
        <tr r="N78" s="1"/>
      </tp>
      <tp>
        <v>3143.0050000000001</v>
        <stp/>
        <stp>##V3_BDPV12</stp>
        <stp>NBI Index</stp>
        <stp>PX_LAST</stp>
        <stp>[Index.xlsm]全球指數!R12C4</stp>
        <tr r="D12" s="1"/>
      </tp>
      <tp>
        <v>3.6213190000000002</v>
        <stp/>
        <stp>##V3_BDPV12</stp>
        <stp>AEX Index</stp>
        <stp>PR064</stp>
        <stp>[Index.xlsm]全球指數!R222C14</stp>
        <tr r="N222" s="1"/>
      </tp>
      <tp>
        <v>4.6547749999999999</v>
        <stp/>
        <stp>##V3_BDPV12</stp>
        <stp>NEY Index</stp>
        <stp>PR064</stp>
        <stp>[Index.xlsm]全球指數!R282C14</stp>
        <tr r="N282" s="1"/>
      </tp>
      <tp>
        <v>1551.146</v>
        <stp/>
        <stp>##V3_BDPV12</stp>
        <stp>BHSEASI Index</stp>
        <stp>HIGH_52WEEK</stp>
        <stp>[Index.xlsm]全球指數!R304C6</stp>
        <tr r="F304" s="1"/>
      </tp>
      <tp>
        <v>1.6800120000000001</v>
        <stp/>
        <stp>##V3_BDPV12</stp>
        <stp>OEX Index</stp>
        <stp>PR064</stp>
        <stp>[Index.xlsm]全球指數!R117C14</stp>
        <tr r="N117" s="1"/>
      </tp>
      <tp>
        <v>-5.4797770000000003</v>
        <stp/>
        <stp>##V3_BDPV12</stp>
        <stp>SET Index</stp>
        <stp>PR064</stp>
        <stp>[Index.xlsm]全球指數!R220C14</stp>
        <tr r="N220" s="1"/>
      </tp>
      <tp>
        <v>8.9023900000000005</v>
        <stp/>
        <stp>##V3_BDPV12</stp>
        <stp>BET Index</stp>
        <stp>PR064</stp>
        <stp>[Index.xlsm]全球指數!R300C14</stp>
        <tr r="N300" s="1"/>
      </tp>
      <tp>
        <v>6.6442875266208032</v>
        <stp/>
        <stp>##V3_BDPV12</stp>
        <stp>KSE30 Index</stp>
        <stp>PE_RATIO</stp>
        <stp>[Index.xlsm]全球指數!R17C18</stp>
        <tr r="R17" s="1"/>
      </tp>
      <tp>
        <v>0.52945750000000003</v>
        <stp/>
        <stp>##V3_BDPV12</stp>
        <stp>UTIL Index</stp>
        <stp>CHG_PCT_1D</stp>
        <stp>[Index.xlsm]全球指數!R305C5</stp>
        <tr r="E305" s="1"/>
      </tp>
      <tp>
        <v>17.303867625628794</v>
        <stp/>
        <stp>##V3_BDPV12</stp>
        <stp>OSEBX Index</stp>
        <stp>PE_RATIO</stp>
        <stp>[Index.xlsm]全球指數!R52C18</stp>
        <tr r="R52" s="1"/>
      </tp>
      <tp>
        <v>19.704894342621543</v>
        <stp/>
        <stp>##V3_BDPV12</stp>
        <stp>OSEFX Index</stp>
        <stp>PE_RATIO</stp>
        <stp>[Index.xlsm]全球指數!R53C18</stp>
        <tr r="R53" s="1"/>
      </tp>
      <tp>
        <v>17.592299161047968</v>
        <stp/>
        <stp>##V3_BDPV12</stp>
        <stp>OSEAX Index</stp>
        <stp>PE_RATIO</stp>
        <stp>[Index.xlsm]全球指數!R35C18</stp>
        <tr r="R35" s="1"/>
      </tp>
      <tp t="s">
        <v>#N/A N/A</v>
        <stp/>
        <stp>##V3_BDPV12</stp>
        <stp>OSESX Index</stp>
        <stp>PE_RATIO</stp>
        <stp>[Index.xlsm]全球指數!R36C18</stp>
        <tr r="R36" s="1"/>
      </tp>
      <tp>
        <v>178.02337902317771</v>
        <stp/>
        <stp>##V3_BDPV12</stp>
        <stp>PSI20 Index</stp>
        <stp>INTERVAL_HIGH</stp>
        <stp>[Index.xlsm]全球指數!R23C16</stp>
        <stp>MARKET_DATA_OVERRIDE=PE_RATIO</stp>
        <stp>CALC_INTERVAL=5y</stp>
        <stp>BEST_FPERIOD_OVERRIDE=BF</stp>
        <tr r="P23" s="1"/>
      </tp>
      <tp>
        <v>8.1469821533099758</v>
        <stp/>
        <stp>##V3_BDPV12</stp>
        <stp>HSCEI Index</stp>
        <stp>PE_RATIO</stp>
        <stp>[Index.xlsm]全球指數!R72C18</stp>
        <tr r="R72" s="1"/>
      </tp>
      <tp>
        <v>9.3936833442217917</v>
        <stp/>
        <stp>##V3_BDPV12</stp>
        <stp>HSCCI Index</stp>
        <stp>PE_RATIO</stp>
        <stp>[Index.xlsm]全球指數!R24C18</stp>
        <tr r="R24" s="1"/>
      </tp>
      <tp>
        <v>-0.66476809999999997</v>
        <stp/>
        <stp>##V3_BDPV12</stp>
        <stp>VALUA Index</stp>
        <stp>CHG_PCT_1D</stp>
        <stp>[Index.xlsm]全球指數!R112C5</stp>
        <tr r="E112" s="1"/>
      </tp>
      <tp>
        <v>4670.9669999999996</v>
        <stp/>
        <stp>##V3_BDPV12</stp>
        <stp>ADSMI Index</stp>
        <stp>LOW_52WEEK</stp>
        <stp>[Index.xlsm]全球指數!R120C8</stp>
        <tr r="H120" s="1"/>
      </tp>
      <tp>
        <v>14.295565661105721</v>
        <stp/>
        <stp>##V3_BDPV12</stp>
        <stp>PSI20 Index</stp>
        <stp>PE_RATIO</stp>
        <stp>[Index.xlsm]全球指數!R23C18</stp>
        <tr r="R23" s="1"/>
      </tp>
      <tp>
        <v>2222.37</v>
        <stp/>
        <stp>##V3_BDPV12</stp>
        <stp>INMEX Index</stp>
        <stp>LOW_52WEEK</stp>
        <stp>[Index.xlsm]全球指數!R228C8</stp>
        <tr r="H228" s="1"/>
      </tp>
      <tp>
        <v>9319.2800000000007</v>
        <stp/>
        <stp>##V3_BDPV12</stp>
        <stp>TWSE Index</stp>
        <stp>LOW_52WEEK</stp>
        <stp>[Index.xlsm]全球指數!R225C8</stp>
        <tr r="H225" s="1"/>
      </tp>
      <tp>
        <v>19699.5390625</v>
        <stp/>
        <stp>##V3_BDPV12</stp>
        <stp>ITLMS Index</stp>
        <stp>LOW_52WEEK</stp>
        <stp>[Index.xlsm]全球指數!R150C8</stp>
        <tr r="H150" s="1"/>
      </tp>
      <tp>
        <v>4079.01</v>
        <stp/>
        <stp>##V3_BDPV12</stp>
        <stp>HSCI Index</stp>
        <stp>HIGH_52WEEK</stp>
        <stp>[Index.xlsm]全球指數!R60C6</stp>
        <tr r="F60" s="1"/>
      </tp>
      <tp>
        <v>0.70763980000000004</v>
        <stp/>
        <stp>##V3_BDPV12</stp>
        <stp>SAX Index</stp>
        <stp>CHG_PCT_1D</stp>
        <stp>[Index.xlsm]全球指數!R56C5</stp>
        <tr r="E56" s="1"/>
      </tp>
      <tp>
        <v>28.822089900246286</v>
        <stp/>
        <stp>##V3_BDPV12</stp>
        <stp>MS190 Index</stp>
        <stp>PE_RATIO</stp>
        <stp>[Index.xlsm]全球指數!R79C18</stp>
        <tr r="R79" s="1"/>
      </tp>
      <tp>
        <v>1176.94</v>
        <stp/>
        <stp>##V3_BDPV12</stp>
        <stp>CDAX Index</stp>
        <stp>HIGH_52WEEK</stp>
        <stp>[Index.xlsm]全球指數!R82C6</stp>
        <tr r="F82" s="1"/>
      </tp>
      <tp t="s">
        <v>JN</v>
        <stp/>
        <stp>##V3_BDPV12</stp>
        <stp>NKY500 Index</stp>
        <stp>DS003</stp>
        <stp>[Index.xlsm]全球指數!R280C3</stp>
        <tr r="C280" s="1"/>
      </tp>
      <tp>
        <v>-9.7450650000000003</v>
        <stp/>
        <stp>##V3_BDPV12</stp>
        <stp>VHINDEX Index</stp>
        <stp>CHG_PCT_1YR</stp>
        <stp>[Index.xlsm]全球指數!R276C15</stp>
        <tr r="O276" s="1"/>
      </tp>
      <tp>
        <v>-2.424731</v>
        <stp/>
        <stp>##V3_BDPV12</stp>
        <stp>VNINDEX Index</stp>
        <stp>CHG_PCT_1YR</stp>
        <stp>[Index.xlsm]全球指數!R177C15</stp>
        <tr r="O177" s="1"/>
      </tp>
      <tp>
        <v>16.408760000000001</v>
        <stp/>
        <stp>##V3_BDPV12</stp>
        <stp>KWSEPM Index</stp>
        <stp>CHG_PCT_1YR</stp>
        <stp>[Index.xlsm]全球指數!R311C15</stp>
        <tr r="O311" s="1"/>
      </tp>
      <tp>
        <v>22048.240000000002</v>
        <stp/>
        <stp>##V3_BDPV12</stp>
        <stp>NKY Index</stp>
        <stp>PX_LAST</stp>
        <stp>[Index.xlsm]全球指數!R264C4</stp>
        <tr r="D264" s="1"/>
      </tp>
      <tp>
        <v>869.67570000000001</v>
        <stp/>
        <stp>##V3_BDPV12</stp>
        <stp>KAX Index</stp>
        <stp>PX_LAST</stp>
        <stp>[Index.xlsm]全球指數!R275C4</stp>
        <tr r="D275" s="1"/>
      </tp>
      <tp>
        <v>1045.817</v>
        <stp/>
        <stp>##V3_BDPV12</stp>
        <stp>KFX Index</stp>
        <stp>PX_LAST</stp>
        <stp>[Index.xlsm]全球指數!R285C4</stp>
        <tr r="D285" s="1"/>
      </tp>
      <tp>
        <v>99.749780000000001</v>
        <stp/>
        <stp>##V3_BDPV12</stp>
        <stp>BKX Index</stp>
        <stp>PX_LAST</stp>
        <stp>[Index.xlsm]全球指數!R105C4</stp>
        <tr r="D105" s="1"/>
      </tp>
      <tp>
        <v>13.17013</v>
        <stp/>
        <stp>##V3_BDPV12</stp>
        <stp>NZSE10 Index</stp>
        <stp>CHG_PCT_1YR</stp>
        <stp>[Index.xlsm]全球指數!R249C15</stp>
        <tr r="O249" s="1"/>
      </tp>
      <tp>
        <v>-0.92418080000000002</v>
        <stp/>
        <stp>##V3_BDPV12</stp>
        <stp>KWSEMM Index</stp>
        <stp>CHG_PCT_1YR</stp>
        <stp>[Index.xlsm]全球指數!R291C15</stp>
        <tr r="O291" s="1"/>
      </tp>
      <tp>
        <v>-22.144970000000001</v>
        <stp/>
        <stp>##V3_BDPV12</stp>
        <stp>GGSECI Index</stp>
        <stp>CHG_PCT_1YR</stp>
        <stp>[Index.xlsm]全球指數!R111C15</stp>
        <tr r="O111" s="1"/>
      </tp>
      <tp>
        <v>-9.1489390000000004</v>
        <stp/>
        <stp>##V3_BDPV12</stp>
        <stp>TUSISE Index</stp>
        <stp>CHG_PCT_1YR</stp>
        <stp>[Index.xlsm]全球指數!R221C15</stp>
        <tr r="O221" s="1"/>
      </tp>
      <tp>
        <v>-2.8074789999999998</v>
        <stp/>
        <stp>##V3_BDPV12</stp>
        <stp>PASISI Index</stp>
        <stp>CHG_PCT_1YR</stp>
        <stp>[Index.xlsm]全球指數!R215C15</stp>
        <tr r="O215" s="1"/>
      </tp>
      <tp>
        <v>-0.17674190000000001</v>
        <stp/>
        <stp>##V3_BDPV12</stp>
        <stp>SPBL25PT Index</stp>
        <stp>CHG_PCT_5D</stp>
        <stp>[Index.xlsm]全球指數!R232C10</stp>
        <tr r="J232" s="1"/>
      </tp>
      <tp>
        <v>-8.7010810000000003</v>
        <stp/>
        <stp>##V3_BDPV12</stp>
        <stp>BGSMDC Index</stp>
        <stp>CHG_PCT_1YR</stp>
        <stp>[Index.xlsm]全球指數!R257C15</stp>
        <tr r="O257" s="1"/>
      </tp>
      <tp>
        <v>-9.1542949999999994</v>
        <stp/>
        <stp>##V3_BDPV12</stp>
        <stp>KOSPI2 Index</stp>
        <stp>CHG_PCT_1YR</stp>
        <stp>[Index.xlsm]全球指數!R187C15</stp>
        <tr r="O187" s="1"/>
      </tp>
      <tp>
        <v>1326.2260000000001</v>
        <stp/>
        <stp>##V3_BDPV12</stp>
        <stp>LUXXX Index</stp>
        <stp>PX_LAST</stp>
        <stp>[Index.xlsm]全球指數!R127C4</stp>
        <tr r="D127" s="1"/>
      </tp>
      <tp>
        <v>-7.9185949999999998</v>
        <stp/>
        <stp>##V3_BDPV12</stp>
        <stp>ITSTAR Index</stp>
        <stp>CHG_PCT_1YR</stp>
        <stp>[Index.xlsm]全球指數!R158C15</stp>
        <tr r="O158" s="1"/>
      </tp>
      <tp>
        <v>30479.48</v>
        <stp/>
        <stp>##V3_BDPV12</stp>
        <stp>DWCF Index</stp>
        <stp>PX_LAST</stp>
        <stp>[Index.xlsm]全球指數!R121C4</stp>
        <tr r="D121" s="1"/>
      </tp>
      <tp>
        <v>-6.1035750000000002</v>
        <stp/>
        <stp>##V3_BDPV12</stp>
        <stp>HSML100 Index</stp>
        <stp>CHG_PCT_3M</stp>
        <stp>[Index.xlsm]全球指數!R48C12</stp>
        <tr r="L48" s="1"/>
      </tp>
      <tp>
        <v>30.062740000000002</v>
        <stp/>
        <stp>##V3_BDPV12</stp>
        <stp>SASX10 Index</stp>
        <stp>CHG_PCT_1YR</stp>
        <stp>[Index.xlsm]全球指數!R293C15</stp>
        <tr r="O293" s="1"/>
      </tp>
      <tp>
        <v>1.8201130000000001</v>
        <stp/>
        <stp>##V3_BDPV12</stp>
        <stp>HSML100 Index</stp>
        <stp>CHG_PCT_1M</stp>
        <stp>[Index.xlsm]全球指數!R48C11</stp>
        <tr r="K48" s="1"/>
      </tp>
      <tp>
        <v>-9.4945970000000006</v>
        <stp/>
        <stp>##V3_BDPV12</stp>
        <stp>HSML100 Index</stp>
        <stp>CHG_PCT_6M</stp>
        <stp>[Index.xlsm]全球指數!R48C13</stp>
        <tr r="M48" s="1"/>
      </tp>
      <tp>
        <v>-2.0015309999999999</v>
        <stp/>
        <stp>##V3_BDPV12</stp>
        <stp>HSML100 Index</stp>
        <stp>CHG_PCT_5D</stp>
        <stp>[Index.xlsm]全球指數!R48C10</stp>
        <tr r="J48" s="1"/>
      </tp>
      <tp>
        <v>4.1887610000000004</v>
        <stp/>
        <stp>##V3_BDPV12</stp>
        <stp>MSFT US Equity</stp>
        <stp>PR064</stp>
        <stp>[Index.xlsm]主要產業!R2C34</stp>
        <tr r="AH2" s="2"/>
      </tp>
      <tp>
        <v>142</v>
        <stp/>
        <stp>##V3_BDPV12</stp>
        <stp>AAPL US Equity</stp>
        <stp>LOW_52WEEK</stp>
        <stp>[Index.xlsm]主要產業!R3C28</stp>
        <tr r="AB3" s="2"/>
      </tp>
      <tp>
        <v>130.08000000000001</v>
        <stp/>
        <stp>##V3_BDPV12</stp>
        <stp>SX7P INDEX</stp>
        <stp>PX_LAST</stp>
        <stp>[Index.xlsm]主要產業!R21C4</stp>
        <tr r="D21" s="2"/>
      </tp>
      <tp t="s">
        <v>CH</v>
        <stp/>
        <stp>##V3_BDPV12</stp>
        <stp>SH000914 Index</stp>
        <stp>DS003</stp>
        <stp>[Index.xlsm]主要產業!R48C3</stp>
        <tr r="C48" s="2"/>
      </tp>
      <tp>
        <v>21.806211508092026</v>
        <stp/>
        <stp>##V3_BDPV12</stp>
        <stp>N150 Index</stp>
        <stp>PE_RATIO</stp>
        <stp>[Index.xlsm]全球指數!R45C18</stp>
        <tr r="R45" s="1"/>
      </tp>
      <tp>
        <v>-5.6982049999999997</v>
        <stp/>
        <stp>##V3_BDPV12</stp>
        <stp>HERMES Index</stp>
        <stp>PR064</stp>
        <stp>[Index.xlsm]全球指數!R6C14</stp>
        <tr r="N6" s="1"/>
      </tp>
      <tp>
        <v>1215.296</v>
        <stp/>
        <stp>##V3_BDPV12</stp>
        <stp>XOI Index</stp>
        <stp>PX_LAST</stp>
        <stp>[Index.xlsm]全球指數!R40C4</stp>
        <tr r="D40" s="1"/>
      </tp>
      <tp>
        <v>18.849199804646144</v>
        <stp/>
        <stp>##V3_BDPV12</stp>
        <stp>BET Index</stp>
        <stp>INTERVAL_HIGH</stp>
        <stp>[Index.xlsm]全球指數!R300C16</stp>
        <stp>MARKET_DATA_OVERRIDE=PE_RATIO</stp>
        <stp>CALC_INTERVAL=5y</stp>
        <stp>BEST_FPERIOD_OVERRIDE=BF</stp>
        <tr r="P300" s="1"/>
      </tp>
      <tp>
        <v>3.4615649999999998E-2</v>
        <stp/>
        <stp>##V3_BDPV12</stp>
        <stp>CLXP Index</stp>
        <stp>CHG_PCT_1D</stp>
        <stp>[Index.xlsm]全球指數!R54C5</stp>
        <tr r="E54" s="1"/>
      </tp>
      <tp>
        <v>24.097280737762425</v>
        <stp/>
        <stp>##V3_BDPV12</stp>
        <stp>SET Index</stp>
        <stp>INTERVAL_HIGH</stp>
        <stp>[Index.xlsm]全球指數!R220C16</stp>
        <stp>MARKET_DATA_OVERRIDE=PE_RATIO</stp>
        <stp>CALC_INTERVAL=5y</stp>
        <stp>BEST_FPERIOD_OVERRIDE=BF</stp>
        <tr r="P220" s="1"/>
      </tp>
      <tp>
        <v>-31.51202</v>
        <stp/>
        <stp>##V3_BDPV12</stp>
        <stp>MERVAL Index</stp>
        <stp>PR064</stp>
        <stp>[Index.xlsm]全球指數!R4C14</stp>
        <tr r="N4" s="1"/>
      </tp>
      <tp>
        <v>19.817317328903414</v>
        <stp/>
        <stp>##V3_BDPV12</stp>
        <stp>NEY Index</stp>
        <stp>INTERVAL_HIGH</stp>
        <stp>[Index.xlsm]全球指數!R282C16</stp>
        <stp>MARKET_DATA_OVERRIDE=PE_RATIO</stp>
        <stp>CALC_INTERVAL=5y</stp>
        <stp>BEST_FPERIOD_OVERRIDE=BF</stp>
        <tr r="P282" s="1"/>
      </tp>
      <tp>
        <v>51.391352239315644</v>
        <stp/>
        <stp>##V3_BDPV12</stp>
        <stp>AEX Index</stp>
        <stp>INTERVAL_HIGH</stp>
        <stp>[Index.xlsm]全球指數!R222C16</stp>
        <stp>MARKET_DATA_OVERRIDE=PE_RATIO</stp>
        <stp>CALC_INTERVAL=5y</stp>
        <stp>BEST_FPERIOD_OVERRIDE=BF</stp>
        <tr r="P222" s="1"/>
      </tp>
      <tp>
        <v>22.495271365025193</v>
        <stp/>
        <stp>##V3_BDPV12</stp>
        <stp>OEX Index</stp>
        <stp>INTERVAL_HIGH</stp>
        <stp>[Index.xlsm]全球指數!R117C16</stp>
        <stp>MARKET_DATA_OVERRIDE=PE_RATIO</stp>
        <stp>CALC_INTERVAL=5y</stp>
        <stp>BEST_FPERIOD_OVERRIDE=BF</stp>
        <tr r="P117" s="1"/>
      </tp>
      <tp>
        <v>-1.9615290000000001</v>
        <stp/>
        <stp>##V3_BDPV12</stp>
        <stp>INDI25 Index</stp>
        <stp>PR064</stp>
        <stp>[Index.xlsm]全球指數!R70C14</stp>
        <tr r="N70" s="1"/>
      </tp>
      <tp>
        <v>34884.15</v>
        <stp/>
        <stp>##V3_BDPV12</stp>
        <stp>ITSTAR Index</stp>
        <stp>PX_LAST</stp>
        <stp>[Index.xlsm]全球指數!R158C4</stp>
        <tr r="D158" s="1"/>
      </tp>
      <tp>
        <v>721.92</v>
        <stp/>
        <stp>##V3_BDPV12</stp>
        <stp>FSTAS Index</stp>
        <stp>LOW_52WEEK</stp>
        <stp>[Index.xlsm]全球指數!R133C8</stp>
        <tr r="H133" s="1"/>
      </tp>
      <tp>
        <v>45104.77</v>
        <stp/>
        <stp>##V3_BDPV12</stp>
        <stp>BELSTK Index</stp>
        <stp>PX_LAST</stp>
        <stp>[Index.xlsm]全球指數!R230C4</stp>
        <tr r="D230" s="1"/>
      </tp>
      <tp>
        <v>4075.89</v>
        <stp/>
        <stp>##V3_BDPV12</stp>
        <stp>SAXCME Index</stp>
        <stp>LOW_52WEEK</stp>
        <stp>[Index.xlsm]全球指數!R109C8</stp>
        <tr r="H109" s="1"/>
      </tp>
      <tp>
        <v>0.72067320000000001</v>
        <stp/>
        <stp>##V3_BDPV12</stp>
        <stp>IGCX Index</stp>
        <stp>CHG_PCT_1D</stp>
        <stp>[Index.xlsm]全球指數!R270C5</stp>
        <tr r="E270" s="1"/>
      </tp>
      <tp>
        <v>0.33790160000000002</v>
        <stp/>
        <stp>##V3_BDPV12</stp>
        <stp>DSEX Index</stp>
        <stp>CHG_PCT_1D</stp>
        <stp>[Index.xlsm]全球指數!R306C5</stp>
        <tr r="E306" s="1"/>
      </tp>
      <tp>
        <v>4121.9359999999997</v>
        <stp/>
        <stp>##V3_BDPV12</stp>
        <stp>CBNK Index</stp>
        <stp>HIGH_52WEEK</stp>
        <stp>[Index.xlsm]全球指數!R92C6</stp>
        <tr r="F92" s="1"/>
      </tp>
      <tp>
        <v>8571.921875</v>
        <stp/>
        <stp>##V3_BDPV12</stp>
        <stp>HEX Index</stp>
        <stp>LOW_52WEEK</stp>
        <stp>[Index.xlsm]全球指數!R91C8</stp>
        <tr r="H91" s="1"/>
      </tp>
      <tp>
        <v>726.16</v>
        <stp/>
        <stp>##V3_BDPV12</stp>
        <stp>OBX Index</stp>
        <stp>LOW_52WEEK</stp>
        <stp>[Index.xlsm]全球指數!R46C8</stp>
        <tr r="H46" s="1"/>
      </tp>
      <tp>
        <v>8339.6389999999992</v>
        <stp/>
        <stp>##V3_BDPV12</stp>
        <stp>CCMP Index</stp>
        <stp>HIGH_52WEEK</stp>
        <stp>[Index.xlsm]全球指數!R61C6</stp>
        <tr r="F61" s="1"/>
      </tp>
      <tp>
        <v>15.806526892508847</v>
        <stp/>
        <stp>##V3_BDPV12</stp>
        <stp>MXAPEXA Index</stp>
        <stp>INTERVAL_HIGH</stp>
        <stp>[Index.xlsm]全球指數!R90C16</stp>
        <stp>MARKET_DATA_OVERRIDE=PE_RATIO</stp>
        <stp>CALC_INTERVAL=5y</stp>
        <stp>BEST_FPERIOD_OVERRIDE=BF</stp>
        <tr r="P90" s="1"/>
      </tp>
      <tp>
        <v>834.29</v>
        <stp/>
        <stp>##V3_BDPV12</stp>
        <stp>KOSDAQ Index</stp>
        <stp>HIGH_52WEEK</stp>
        <stp>[Index.xlsm]全球指數!R18C6</stp>
        <tr r="F18" s="1"/>
      </tp>
      <tp>
        <v>9.7353069674717876</v>
        <stp/>
        <stp>##V3_BDPV12</stp>
        <stp>H-FIN Index</stp>
        <stp>INTERVAL_HIGH</stp>
        <stp>[Index.xlsm]全球指數!R55C16</stp>
        <stp>MARKET_DATA_OVERRIDE=PE_RATIO</stp>
        <stp>CALC_INTERVAL=5y</stp>
        <stp>BEST_FPERIOD_OVERRIDE=BF</stp>
        <tr r="P55" s="1"/>
      </tp>
      <tp>
        <v>9379.36</v>
        <stp/>
        <stp>##V3_BDPV12</stp>
        <stp>CS90 Index</stp>
        <stp>LOW_52WEEK</stp>
        <stp>[Index.xlsm]全球指數!R38C8</stp>
        <tr r="H38" s="1"/>
      </tp>
      <tp>
        <v>9.0528220000000006E-2</v>
        <stp/>
        <stp>##V3_BDPV12</stp>
        <stp>BHSEASI Index</stp>
        <stp>CHG_PCT_1D</stp>
        <stp>[Index.xlsm]全球指數!R304C5</stp>
        <tr r="E304" s="1"/>
      </tp>
      <tp>
        <v>5045.2539999999999</v>
        <stp/>
        <stp>##V3_BDPV12</stp>
        <stp>CTRN Index</stp>
        <stp>PX_LAST</stp>
        <stp>[Index.xlsm]全球指數!R136C4</stp>
        <tr r="D136" s="1"/>
      </tp>
      <tp>
        <v>5.0391690000000002</v>
        <stp/>
        <stp>##V3_BDPV12</stp>
        <stp>SZ399005 Index</stp>
        <stp>CHG_PCT_1YR</stp>
        <stp>[Index.xlsm]全球指數!R16C15</stp>
        <tr r="O16" s="1"/>
      </tp>
      <tp>
        <v>53.50394553416556</v>
        <stp/>
        <stp>##V3_BDPV12</stp>
        <stp>NMDP Index</stp>
        <stp>PE_RATIO</stp>
        <stp>[Index.xlsm]全球指數!R19C18</stp>
        <tr r="R19" s="1"/>
      </tp>
      <tp>
        <v>11.687763552344418</v>
        <stp/>
        <stp>##V3_BDPV12</stp>
        <stp>PX Index</stp>
        <stp>PE_RATIO</stp>
        <stp>[Index.xlsm]全球指數!R84C18</stp>
        <tr r="R84" s="1"/>
      </tp>
      <tp>
        <v>172.45</v>
        <stp/>
        <stp>##V3_BDPV12</stp>
        <stp>TWSECEM Index</stp>
        <stp>HIGH_52WEEK</stp>
        <stp>[Index.xlsm]主要產業!R88C6</stp>
        <tr r="F88" s="2"/>
      </tp>
      <tp t="s">
        <v>CH</v>
        <stp/>
        <stp>##V3_BDPV12</stp>
        <stp>SH000916 Index</stp>
        <stp>DS003</stp>
        <stp>[Index.xlsm]主要產業!R57C3</stp>
        <tr r="C57" s="2"/>
      </tp>
      <tp>
        <v>24.415422888884535</v>
        <stp/>
        <stp>##V3_BDPV12</stp>
        <stp>NDF Index</stp>
        <stp>INTERVAL_HIGH</stp>
        <stp>[Index.xlsm]全球指數!R125C16</stp>
        <stp>MARKET_DATA_OVERRIDE=PE_RATIO</stp>
        <stp>CALC_INTERVAL=5y</stp>
        <stp>BEST_FPERIOD_OVERRIDE=BF</stp>
        <tr r="P125" s="1"/>
      </tp>
      <tp>
        <v>19.125519334375944</v>
        <stp/>
        <stp>##V3_BDPV12</stp>
        <stp>N100 Index</stp>
        <stp>PE_RATIO</stp>
        <stp>[Index.xlsm]全球指數!R198C18</stp>
        <tr r="R198" s="1"/>
      </tp>
      <tp>
        <v>18.319931562253995</v>
        <stp/>
        <stp>##V3_BDPV12</stp>
        <stp>E100 Index</stp>
        <stp>PE_RATIO</stp>
        <stp>[Index.xlsm]全球指數!R234C18</stp>
        <tr r="R234" s="1"/>
      </tp>
      <tp t="s">
        <v>SK</v>
        <stp/>
        <stp>##V3_BDPV12</stp>
        <stp>KOSPI100 Index</stp>
        <stp>DS003</stp>
        <stp>[Index.xlsm]全球指數!R195C3</stp>
        <tr r="C195" s="1"/>
      </tp>
      <tp>
        <v>0.51277539999999999</v>
        <stp/>
        <stp>##V3_BDPV12</stp>
        <stp>SZSMEC Index</stp>
        <stp>PR064</stp>
        <stp>[Index.xlsm]全球指數!R9C14</stp>
        <tr r="N9" s="1"/>
      </tp>
      <tp>
        <v>3.7870620000000002</v>
        <stp/>
        <stp>##V3_BDPV12</stp>
        <stp>MOSEMDX Index</stp>
        <stp>CHG_PCT_6M</stp>
        <stp>[Index.xlsm]全球指數!R186C13</stp>
        <tr r="M186" s="1"/>
      </tp>
      <tp>
        <v>-0.69234960000000001</v>
        <stp/>
        <stp>##V3_BDPV12</stp>
        <stp>UKX Index</stp>
        <stp>PR064</stp>
        <stp>[Index.xlsm]全球指數!R239C14</stp>
        <tr r="N239" s="1"/>
      </tp>
      <tp>
        <v>3.3277000000000001</v>
        <stp/>
        <stp>##V3_BDPV12</stp>
        <stp>NKY Index</stp>
        <stp>PR064</stp>
        <stp>[Index.xlsm]全球指數!R264C14</stp>
        <tr r="N264" s="1"/>
      </tp>
      <tp>
        <v>-8.4201730000000001</v>
        <stp/>
        <stp>##V3_BDPV12</stp>
        <stp>SASEIDX Index</stp>
        <stp>CHG_PCT_6M</stp>
        <stp>[Index.xlsm]全球指數!R308C13</stp>
        <tr r="M308" s="1"/>
      </tp>
      <tp>
        <v>3.808192</v>
        <stp/>
        <stp>##V3_BDPV12</stp>
        <stp>BKX Index</stp>
        <stp>PR064</stp>
        <stp>[Index.xlsm]全球指數!R105C14</stp>
        <tr r="N105" s="1"/>
      </tp>
      <tp>
        <v>-14.12073</v>
        <stp/>
        <stp>##V3_BDPV12</stp>
        <stp>KNSMIDX Index</stp>
        <stp>CHG_PCT_6M</stp>
        <stp>[Index.xlsm]全球指數!R269C13</stp>
        <tr r="M269" s="1"/>
      </tp>
      <tp>
        <v>42984.75</v>
        <stp/>
        <stp>##V3_BDPV12</stp>
        <stp>MEXBOL Index</stp>
        <stp>PX_LAST</stp>
        <stp>[Index.xlsm]全球指數!R236C4</stp>
        <tr r="D236" s="1"/>
      </tp>
      <tp>
        <v>-0.32388749999999999</v>
        <stp/>
        <stp>##V3_BDPV12</stp>
        <stp>DWCF Index</stp>
        <stp>CHG_PCT_1D</stp>
        <stp>[Index.xlsm]全球指數!R121C5</stp>
        <tr r="E121" s="1"/>
      </tp>
      <tp>
        <v>2217.7199999999998</v>
        <stp/>
        <stp>##V3_BDPV12</stp>
        <stp>GGSECI Index</stp>
        <stp>PX_LAST</stp>
        <stp>[Index.xlsm]全球指數!R111C4</stp>
        <tr r="D111" s="1"/>
      </tp>
      <tp>
        <v>-3.8467989999999999</v>
        <stp/>
        <stp>##V3_BDPV12</stp>
        <stp>FTN098 Index</stp>
        <stp>CHG_PCT_6M</stp>
        <stp>[Index.xlsm]全球指數!R28C13</stp>
        <tr r="M28" s="1"/>
      </tp>
      <tp>
        <v>-0.35103050000000002</v>
        <stp/>
        <stp>##V3_BDPV12</stp>
        <stp>MALTEX Index</stp>
        <stp>CHG_PCT_1D</stp>
        <stp>[Index.xlsm]全球指數!R284C5</stp>
        <tr r="E284" s="1"/>
      </tp>
      <tp>
        <v>-2.4246979999999998</v>
        <stp/>
        <stp>##V3_BDPV12</stp>
        <stp>FTN098 Index</stp>
        <stp>CHG_PCT_5D</stp>
        <stp>[Index.xlsm]全球指數!R28C10</stp>
        <tr r="J28" s="1"/>
      </tp>
      <tp>
        <v>-8.5029339999999998</v>
        <stp/>
        <stp>##V3_BDPV12</stp>
        <stp>FTN098 Index</stp>
        <stp>CHG_PCT_3M</stp>
        <stp>[Index.xlsm]全球指數!R28C12</stp>
        <tr r="L28" s="1"/>
      </tp>
      <tp>
        <v>7.9784179999999996</v>
        <stp/>
        <stp>##V3_BDPV12</stp>
        <stp>FTN098 Index</stp>
        <stp>CHG_PCT_1M</stp>
        <stp>[Index.xlsm]全球指數!R28C11</stp>
        <tr r="K28" s="1"/>
      </tp>
      <tp>
        <v>37188.73046875</v>
        <stp/>
        <stp>##V3_BDPV12</stp>
        <stp>BELSTK Index</stp>
        <stp>LOW_52WEEK</stp>
        <stp>[Index.xlsm]全球指數!R230C8</stp>
        <tr r="H230" s="1"/>
      </tp>
      <tp>
        <v>2.2445210000000002</v>
        <stp/>
        <stp>##V3_BDPV12</stp>
        <stp>DARSDSEI Index</stp>
        <stp>PR064</stp>
        <stp>[Index.xlsm]全球指數!R253C14</stp>
        <tr r="N253" s="1"/>
      </tp>
      <tp>
        <v>-7.2925959999999996</v>
        <stp/>
        <stp>##V3_BDPV12</stp>
        <stp>NGSEINDX Index</stp>
        <stp>PR064</stp>
        <stp>[Index.xlsm]全球指數!R219C14</stp>
        <tr r="N219" s="1"/>
      </tp>
      <tp>
        <v>3487.08</v>
        <stp/>
        <stp>##V3_BDPV12</stp>
        <stp>NMDP Index</stp>
        <stp>HIGH_52WEEK</stp>
        <stp>[Index.xlsm]全球指數!R19C6</stp>
        <tr r="F19" s="1"/>
      </tp>
      <tp>
        <v>0.70413579999999998</v>
        <stp/>
        <stp>##V3_BDPV12</stp>
        <stp>SBX Index</stp>
        <stp>CHG_PCT_1D</stp>
        <stp>[Index.xlsm]全球指數!R58C5</stp>
        <tr r="E58" s="1"/>
      </tp>
      <tp>
        <v>1085.57</v>
        <stp/>
        <stp>##V3_BDPV12</stp>
        <stp>NTX Index</stp>
        <stp>LOW_52WEEK</stp>
        <stp>[Index.xlsm]全球指數!R66C8</stp>
        <tr r="H66" s="1"/>
      </tp>
      <tp>
        <v>0.73181750000000001</v>
        <stp/>
        <stp>##V3_BDPV12</stp>
        <stp>FTSEMIB Index</stp>
        <stp>CHG_PCT_1D</stp>
        <stp>[Index.xlsm]全球指數!R153C5</stp>
        <tr r="E153" s="1"/>
      </tp>
      <tp>
        <v>60020.25</v>
        <stp/>
        <stp>##V3_BDPV12</stp>
        <stp>IRT Index</stp>
        <stp>PX_LAST</stp>
        <stp>[Index.xlsm]全球指數!R237C4</stp>
        <tr r="D237" s="1"/>
      </tp>
      <tp>
        <v>879.11</v>
        <stp/>
        <stp>##V3_BDPV12</stp>
        <stp>UTIL Index</stp>
        <stp>PX_LAST</stp>
        <stp>[Index.xlsm]全球指數!R305C4</stp>
        <tr r="D305" s="1"/>
      </tp>
      <tp>
        <v>3394.53</v>
        <stp/>
        <stp>##V3_BDPV12</stp>
        <stp>NKYJQ Index</stp>
        <stp>PX_LAST</stp>
        <stp>[Index.xlsm]全球指數!R292C4</stp>
        <tr r="D292" s="1"/>
      </tp>
      <tp>
        <v>9155.741</v>
        <stp/>
        <stp>##V3_BDPV12</stp>
        <stp>CFIN Index</stp>
        <stp>PX_LAST</stp>
        <stp>[Index.xlsm]全球指數!R137C4</stp>
        <tr r="D137" s="1"/>
      </tp>
      <tp>
        <v>16.280784116823035</v>
        <stp/>
        <stp>##V3_BDPV12</stp>
        <stp>OBXP Index</stp>
        <stp>PE_RATIO</stp>
        <stp>[Index.xlsm]全球指數!R47C18</stp>
        <tr r="R47" s="1"/>
      </tp>
      <tp>
        <v>-8.6901919999999997</v>
        <stp/>
        <stp>##V3_BDPV12</stp>
        <stp>HKSPLC25 Index</stp>
        <stp>PR064</stp>
        <stp>[Index.xlsm]全球指數!R94C14</stp>
        <tr r="N94" s="1"/>
      </tp>
      <tp>
        <v>188.57</v>
        <stp/>
        <stp>##V3_BDPV12</stp>
        <stp>TWSEOEG Index</stp>
        <stp>HIGH_52WEEK</stp>
        <stp>[Index.xlsm]主要產業!R79C6</stp>
        <tr r="F79" s="2"/>
      </tp>
      <tp t="s">
        <v>CH</v>
        <stp/>
        <stp>##V3_BDPV12</stp>
        <stp>SH000917 Index</stp>
        <stp>DS003</stp>
        <stp>[Index.xlsm]主要產業!R56C3</stp>
        <tr r="C56" s="2"/>
      </tp>
      <tp>
        <v>0.54523509999999997</v>
        <stp/>
        <stp>##V3_BDPV12</stp>
        <stp>KNSMIDX Index</stp>
        <stp>CHG_PCT_5D</stp>
        <stp>[Index.xlsm]全球指數!R269C10</stp>
        <tr r="J269" s="1"/>
      </tp>
      <tp t="s">
        <v>CH</v>
        <stp/>
        <stp>##V3_BDPV12</stp>
        <stp>SZ399005 Index</stp>
        <stp>DS003</stp>
        <stp>[Index.xlsm]全球指數!R16C3</stp>
        <tr r="C16" s="1"/>
      </tp>
      <tp t="s">
        <v>Shenzhen Stock Exchange Smal</v>
        <stp/>
        <stp>##V3_BDPV12</stp>
        <stp>SZ399005 Index</stp>
        <stp>DS697</stp>
        <stp>[Index.xlsm]全球指數!R16C2</stp>
        <tr r="B16" s="1"/>
      </tp>
      <tp>
        <v>-0.56931670000000001</v>
        <stp/>
        <stp>##V3_BDPV12</stp>
        <stp>MOSEMDX Index</stp>
        <stp>CHG_PCT_5D</stp>
        <stp>[Index.xlsm]全球指數!R186C10</stp>
        <tr r="J186" s="1"/>
      </tp>
      <tp>
        <v>2.646131</v>
        <stp/>
        <stp>##V3_BDPV12</stp>
        <stp>SASEIDX Index</stp>
        <stp>CHG_PCT_5D</stp>
        <stp>[Index.xlsm]全球指數!R308C10</stp>
        <tr r="J308" s="1"/>
      </tp>
      <tp>
        <v>-0.23281180000000001</v>
        <stp/>
        <stp>##V3_BDPV12</stp>
        <stp>TRAN Index</stp>
        <stp>CHG_PCT_1D</stp>
        <stp>[Index.xlsm]全球指數!R140C5</stp>
        <tr r="E140" s="1"/>
      </tp>
      <tp>
        <v>785.39</v>
        <stp/>
        <stp>##V3_BDPV12</stp>
        <stp>FTBIVA Index</stp>
        <stp>LOW_52WEEK</stp>
        <stp>[Index.xlsm]全球指數!R245C8</stp>
        <tr r="H245" s="1"/>
      </tp>
      <tp>
        <v>2132.16</v>
        <stp/>
        <stp>##V3_BDPV12</stp>
        <stp>KZKAK Index</stp>
        <stp>LOW_52WEEK</stp>
        <stp>[Index.xlsm]全球指數!R131C8</stp>
        <tr r="H131" s="1"/>
      </tp>
      <tp>
        <v>-12.141730000000001</v>
        <stp/>
        <stp>##V3_BDPV12</stp>
        <stp>HSHK35 Index</stp>
        <stp>PR064</stp>
        <stp>[Index.xlsm]全球指數!R73C14</stp>
        <tr r="N73" s="1"/>
      </tp>
      <tp>
        <v>-0.21529880000000001</v>
        <stp/>
        <stp>##V3_BDPV12</stp>
        <stp>NYID Index</stp>
        <stp>CHG_PCT_1D</stp>
        <stp>[Index.xlsm]全球指數!R148C5</stp>
        <tr r="E148" s="1"/>
      </tp>
      <tp>
        <v>7147.6171875</v>
        <stp/>
        <stp>##V3_BDPV12</stp>
        <stp>NYLID Index</stp>
        <stp>LOW_52WEEK</stp>
        <stp>[Index.xlsm]全球指數!R179C8</stp>
        <tr r="H179" s="1"/>
      </tp>
      <tp>
        <v>1488.82</v>
        <stp/>
        <stp>##V3_BDPV12</stp>
        <stp>NZSE Index</stp>
        <stp>LOW_52WEEK</stp>
        <stp>[Index.xlsm]全球指數!R238C8</stp>
        <tr r="H238" s="1"/>
      </tp>
      <tp>
        <v>0.53898820000000003</v>
        <stp/>
        <stp>##V3_BDPV12</stp>
        <stp>MSER Index</stp>
        <stp>CHG_PCT_1D</stp>
        <stp>[Index.xlsm]全球指數!R154C5</stp>
        <tr r="E154" s="1"/>
      </tp>
      <tp>
        <v>716.56</v>
        <stp/>
        <stp>##V3_BDPV12</stp>
        <stp>OSESX Index</stp>
        <stp>HIGH_52WEEK</stp>
        <stp>[Index.xlsm]全球指數!R36C6</stp>
        <tr r="F36" s="1"/>
      </tp>
      <tp t="s">
        <v>FR</v>
        <stp/>
        <stp>##V3_BDPV12</stp>
        <stp>SBF120 Index</stp>
        <stp>DS003</stp>
        <stp>[Index.xlsm]全球指數!R169C3</stp>
        <tr r="C169" s="1"/>
      </tp>
      <tp>
        <v>5895.1171875</v>
        <stp/>
        <stp>##V3_BDPV12</stp>
        <stp>NDX Index</stp>
        <stp>LOW_52WEEK</stp>
        <stp>[Index.xlsm]全球指數!R75C8</stp>
        <tr r="H75" s="1"/>
      </tp>
      <tp>
        <v>-1.12897</v>
        <stp/>
        <stp>##V3_BDPV12</stp>
        <stp>XOI Index</stp>
        <stp>CHG_PCT_1D</stp>
        <stp>[Index.xlsm]全球指數!R40C5</stp>
        <tr r="E40" s="1"/>
      </tp>
      <tp>
        <v>1645.2850000000001</v>
        <stp/>
        <stp>##V3_BDPV12</stp>
        <stp>RIY Index</stp>
        <stp>PX_LAST</stp>
        <stp>[Index.xlsm]全球指數!R129C4</stp>
        <tr r="D129" s="1"/>
      </tp>
      <tp>
        <v>1580.095</v>
        <stp/>
        <stp>##V3_BDPV12</stp>
        <stp>SOX Index</stp>
        <stp>PX_LAST</stp>
        <stp>[Index.xlsm]全球指數!R168C4</stp>
        <tr r="D168" s="1"/>
      </tp>
      <tp>
        <v>40534.28</v>
        <stp/>
        <stp>##V3_BDPV12</stp>
        <stp>BUX Index</stp>
        <stp>PX_LAST</stp>
        <stp>[Index.xlsm]全球指數!R138C4</stp>
        <tr r="D138" s="1"/>
      </tp>
      <tp>
        <v>11571.2</v>
        <stp/>
        <stp>##V3_BDPV12</stp>
        <stp>NIFTY Index</stp>
        <stp>PX_LAST</stp>
        <stp>[Index.xlsm]全球指數!R319C4</stp>
        <tr r="D319" s="1"/>
      </tp>
      <tp t="s">
        <v>#N/A N/A</v>
        <stp/>
        <stp>##V3_BDPV12</stp>
        <stp>LSXC Index</stp>
        <stp>PE_RATIO</stp>
        <stp>[Index.xlsm]全球指數!R14C18</stp>
        <tr r="R14" s="1"/>
      </tp>
      <tp t="s">
        <v>US</v>
        <stp/>
        <stp>##V3_BDPV12</stp>
        <stp>S5INFT Index</stp>
        <stp>DS003</stp>
        <stp>[Index.xlsm]主要產業!R2C3</stp>
        <tr r="C2" s="2"/>
      </tp>
      <tp>
        <v>1572.03</v>
        <stp/>
        <stp>##V3_BDPV12</stp>
        <stp>FBMKLCI Index</stp>
        <stp>LOW_52WEEK</stp>
        <stp>[Index.xlsm]全球指數!R226C8</stp>
        <tr r="H226" s="1"/>
      </tp>
      <tp>
        <v>2030.26</v>
        <stp/>
        <stp>##V3_BDPV12</stp>
        <stp>TPXSM Index</stp>
        <stp>PX_LAST</stp>
        <stp>[Index.xlsm]全球指數!R307C4</stp>
        <tr r="D307" s="1"/>
      </tp>
      <tp t="s">
        <v>US</v>
        <stp/>
        <stp>##V3_BDPV12</stp>
        <stp>AAPL US Equity</stp>
        <stp>DS003</stp>
        <stp>[Index.xlsm]主要產業!R3C23</stp>
        <tr r="W3" s="2"/>
      </tp>
      <tp t="s">
        <v>US</v>
        <stp/>
        <stp>##V3_BDPV12</stp>
        <stp>AMZN US Equity</stp>
        <stp>DS003</stp>
        <stp>[Index.xlsm]主要產業!R4C23</stp>
        <tr r="W4" s="2"/>
      </tp>
      <tp>
        <v>69.17</v>
        <stp/>
        <stp>##V3_BDPV12</stp>
        <stp>TWSEBMC Index</stp>
        <stp>HIGH_52WEEK</stp>
        <stp>[Index.xlsm]主要產業!R92C6</stp>
        <tr r="F92" s="2"/>
      </tp>
      <tp t="s">
        <v>CH</v>
        <stp/>
        <stp>##V3_BDPV12</stp>
        <stp>SH000913 Index</stp>
        <stp>DS003</stp>
        <stp>[Index.xlsm]主要產業!R55C3</stp>
        <tr r="C55" s="2"/>
      </tp>
      <tp>
        <v>-9.2988780000000002</v>
        <stp/>
        <stp>##V3_BDPV12</stp>
        <stp>RTY INDEX</stp>
        <stp>CHG_PCT_1YR</stp>
        <stp>[Index.xlsm]主要產業!R7C53</stp>
        <tr r="BA7" s="2"/>
      </tp>
      <tp>
        <v>1.741422</v>
        <stp/>
        <stp>##V3_BDPV12</stp>
        <stp>SX86P INDEX</stp>
        <stp>CHG_PCT_1D</stp>
        <stp>[Index.xlsm]主要產業!R34C5</stp>
        <tr r="E34" s="2"/>
      </tp>
      <tp>
        <v>1063.905</v>
        <stp/>
        <stp>##V3_BDPV12</stp>
        <stp>s5sseqx Index</stp>
        <stp>PX_LAST</stp>
        <stp>[Index.xlsm]主要產業!R13C4</stp>
        <tr r="D13" s="2"/>
      </tp>
      <tp>
        <v>1631.614</v>
        <stp/>
        <stp>##V3_BDPV12</stp>
        <stp>OMX Index</stp>
        <stp>PX_LAST</stp>
        <stp>[Index.xlsm]全球指數!R51C4</stp>
        <tr r="D51" s="1"/>
      </tp>
      <tp>
        <v>822.52</v>
        <stp/>
        <stp>##V3_BDPV12</stp>
        <stp>AMX Index</stp>
        <stp>PX_LAST</stp>
        <stp>[Index.xlsm]全球指數!R41C4</stp>
        <tr r="D41" s="1"/>
      </tp>
      <tp>
        <v>1.5926849999999999</v>
        <stp/>
        <stp>##V3_BDPV12</stp>
        <stp>XII Index</stp>
        <stp>PR064</stp>
        <stp>[Index.xlsm]全球指數!R119C14</stp>
        <tr r="N119" s="1"/>
      </tp>
      <tp>
        <v>18.415646815065323</v>
        <stp/>
        <stp>##V3_BDPV12</stp>
        <stp>E300 Index</stp>
        <stp>PE_RATIO</stp>
        <stp>[Index.xlsm]全球指數!R213C18</stp>
        <tr r="R213" s="1"/>
      </tp>
      <tp>
        <v>-4.8355230000000002</v>
        <stp/>
        <stp>##V3_BDPV12</stp>
        <stp>WIG Index</stp>
        <stp>PR064</stp>
        <stp>[Index.xlsm]全球指數!R115C14</stp>
        <tr r="N115" s="1"/>
      </tp>
      <tp>
        <v>0.7631443</v>
        <stp/>
        <stp>##V3_BDPV12</stp>
        <stp>MID Index</stp>
        <stp>PR064</stp>
        <stp>[Index.xlsm]全球指數!R175C14</stp>
        <tr r="N175" s="1"/>
      </tp>
      <tp>
        <v>7759.7830000000004</v>
        <stp/>
        <stp>##V3_BDPV12</stp>
        <stp>QIV Index</stp>
        <stp>PX_LAST</stp>
        <stp>[Index.xlsm]全球指數!R65C4</stp>
        <tr r="D65" s="1"/>
      </tp>
      <tp>
        <v>4190.97</v>
        <stp/>
        <stp>##V3_BDPV12</stp>
        <stp>PXAP Index</stp>
        <stp>LOW_52WEEK</stp>
        <stp>[Index.xlsm]全球指數!R80C8</stp>
        <tr r="H80" s="1"/>
      </tp>
      <tp>
        <v>1.622279</v>
        <stp/>
        <stp>##V3_BDPV12</stp>
        <stp>RIY Index</stp>
        <stp>PR064</stp>
        <stp>[Index.xlsm]全球指數!R129C14</stp>
        <tr r="N129" s="1"/>
      </tp>
      <tp>
        <v>22357.390625</v>
        <stp/>
        <stp>##V3_BDPV12</stp>
        <stp>FTSEMIB Index</stp>
        <stp>HIGH_52WEEK</stp>
        <stp>[Index.xlsm]全球指數!R153C6</stp>
        <tr r="F153" s="1"/>
      </tp>
      <tp>
        <v>1623.7909999999999</v>
        <stp/>
        <stp>##V3_BDPV12</stp>
        <stp>SZ399006 Index</stp>
        <stp>PX_LAST</stp>
        <stp>[Index.xlsm]全球指數!R8C4</stp>
        <tr r="D8" s="1"/>
      </tp>
      <tp>
        <v>32.684949701576137</v>
        <stp/>
        <stp>##V3_BDPV12</stp>
        <stp>KFX Index</stp>
        <stp>INTERVAL_HIGH</stp>
        <stp>[Index.xlsm]全球指數!R285C16</stp>
        <stp>MARKET_DATA_OVERRIDE=PE_RATIO</stp>
        <stp>CALC_INTERVAL=5y</stp>
        <stp>BEST_FPERIOD_OVERRIDE=BF</stp>
        <tr r="P285" s="1"/>
      </tp>
      <tp>
        <v>-1.2504120000000001</v>
        <stp/>
        <stp>##V3_BDPV12</stp>
        <stp>OMXO20 Index</stp>
        <stp>CHG_PCT_6M</stp>
        <stp>[Index.xlsm]全球指數!R49C13</stp>
        <tr r="M49" s="1"/>
      </tp>
      <tp>
        <v>-1.9965360000000001</v>
        <stp/>
        <stp>##V3_BDPV12</stp>
        <stp>OMXO20 Index</stp>
        <stp>CHG_PCT_5D</stp>
        <stp>[Index.xlsm]全球指數!R49C10</stp>
        <tr r="J49" s="1"/>
      </tp>
      <tp>
        <v>0.69684190000000001</v>
        <stp/>
        <stp>##V3_BDPV12</stp>
        <stp>SMIM Index</stp>
        <stp>CHG_PCT_1D</stp>
        <stp>[Index.xlsm]全球指數!R199C5</stp>
        <tr r="E199" s="1"/>
      </tp>
      <tp>
        <v>1.259684</v>
        <stp/>
        <stp>##V3_BDPV12</stp>
        <stp>OMXO20 Index</stp>
        <stp>CHG_PCT_3M</stp>
        <stp>[Index.xlsm]全球指數!R49C12</stp>
        <tr r="L49" s="1"/>
      </tp>
      <tp>
        <v>0.50243409999999999</v>
        <stp/>
        <stp>##V3_BDPV12</stp>
        <stp>MOEXBC Index</stp>
        <stp>CHG_PCT_1D</stp>
        <stp>[Index.xlsm]全球指數!R171C5</stp>
        <tr r="E171" s="1"/>
      </tp>
      <tp>
        <v>4484.78</v>
        <stp/>
        <stp>##V3_BDPV12</stp>
        <stp>SAXCME Index</stp>
        <stp>PX_LAST</stp>
        <stp>[Index.xlsm]全球指數!R109C4</stp>
        <tr r="D109" s="1"/>
      </tp>
      <tp>
        <v>12.464479278955809</v>
        <stp/>
        <stp>##V3_BDPV12</stp>
        <stp>KSE30 Index</stp>
        <stp>INTERVAL_HIGH</stp>
        <stp>[Index.xlsm]全球指數!R17C16</stp>
        <stp>MARKET_DATA_OVERRIDE=PE_RATIO</stp>
        <stp>CALC_INTERVAL=5y</stp>
        <stp>BEST_FPERIOD_OVERRIDE=BF</stp>
        <tr r="P17" s="1"/>
      </tp>
      <tp>
        <v>5.2368519999999998</v>
        <stp/>
        <stp>##V3_BDPV12</stp>
        <stp>OMXO20 Index</stp>
        <stp>CHG_PCT_1M</stp>
        <stp>[Index.xlsm]全球指數!R49C11</stp>
        <tr r="K49" s="1"/>
      </tp>
      <tp>
        <v>2429.12</v>
        <stp/>
        <stp>##V3_BDPV12</stp>
        <stp>DFMGI Index</stp>
        <stp>LOW_52WEEK</stp>
        <stp>[Index.xlsm]全球指數!R166C8</stp>
        <tr r="H166" s="1"/>
      </tp>
      <tp>
        <v>-2.3765700000000001</v>
        <stp/>
        <stp>##V3_BDPV12</stp>
        <stp>SE30 Index</stp>
        <stp>CHG_PCT_5D</stp>
        <stp>[Index.xlsm]全球指數!R29C10</stp>
        <tr r="J29" s="1"/>
      </tp>
      <tp>
        <v>4.292694</v>
        <stp/>
        <stp>##V3_BDPV12</stp>
        <stp>SE30 Index</stp>
        <stp>CHG_PCT_6M</stp>
        <stp>[Index.xlsm]全球指數!R29C13</stp>
        <tr r="M29" s="1"/>
      </tp>
      <tp>
        <v>6.336741</v>
        <stp/>
        <stp>##V3_BDPV12</stp>
        <stp>SE30 Index</stp>
        <stp>CHG_PCT_1M</stp>
        <stp>[Index.xlsm]全球指數!R29C11</stp>
        <tr r="K29" s="1"/>
      </tp>
      <tp>
        <v>517.21</v>
        <stp/>
        <stp>##V3_BDPV12</stp>
        <stp>PASISI Index</stp>
        <stp>PX_LAST</stp>
        <stp>[Index.xlsm]全球指數!R215C4</stp>
        <tr r="D215" s="1"/>
      </tp>
      <tp>
        <v>8.4433179999999997E-2</v>
        <stp/>
        <stp>##V3_BDPV12</stp>
        <stp>SE30 Index</stp>
        <stp>CHG_PCT_3M</stp>
        <stp>[Index.xlsm]全球指數!R29C12</stp>
        <tr r="L29" s="1"/>
      </tp>
      <tp>
        <v>18790.919999999998</v>
        <stp/>
        <stp>##V3_BDPV12</stp>
        <stp>MOEXBC Index</stp>
        <stp>PX_LAST</stp>
        <stp>[Index.xlsm]全球指數!R171C4</stp>
        <tr r="D171" s="1"/>
      </tp>
      <tp t="s">
        <v>IS</v>
        <stp/>
        <stp>##V3_BDPV12</stp>
        <stp>TA-125 Index</stp>
        <stp>DS003</stp>
        <stp>[Index.xlsm]全球指數!R258C3</stp>
        <tr r="C258" s="1"/>
      </tp>
      <tp>
        <v>169.74375651792329</v>
        <stp/>
        <stp>##V3_BDPV12</stp>
        <stp>OSESX Index</stp>
        <stp>INTERVAL_HIGH</stp>
        <stp>[Index.xlsm]全球指數!R36C16</stp>
        <stp>MARKET_DATA_OVERRIDE=PE_RATIO</stp>
        <stp>CALC_INTERVAL=5y</stp>
        <stp>BEST_FPERIOD_OVERRIDE=BF</stp>
        <tr r="P36" s="1"/>
      </tp>
      <tp>
        <v>32.626110442276861</v>
        <stp/>
        <stp>##V3_BDPV12</stp>
        <stp>OSEFX Index</stp>
        <stp>INTERVAL_HIGH</stp>
        <stp>[Index.xlsm]全球指數!R53C16</stp>
        <stp>MARKET_DATA_OVERRIDE=PE_RATIO</stp>
        <stp>CALC_INTERVAL=5y</stp>
        <stp>BEST_FPERIOD_OVERRIDE=BF</stp>
        <tr r="P53" s="1"/>
      </tp>
      <tp>
        <v>3.9935890000000001</v>
        <stp/>
        <stp>##V3_BDPV12</stp>
        <stp>NZSE50FG Index</stp>
        <stp>PR064</stp>
        <stp>[Index.xlsm]全球指數!R250C14</stp>
        <tr r="N250" s="1"/>
      </tp>
      <tp>
        <v>38.721885132670586</v>
        <stp/>
        <stp>##V3_BDPV12</stp>
        <stp>OSEBX Index</stp>
        <stp>INTERVAL_HIGH</stp>
        <stp>[Index.xlsm]全球指數!R52C16</stp>
        <stp>MARKET_DATA_OVERRIDE=PE_RATIO</stp>
        <stp>CALC_INTERVAL=5y</stp>
        <stp>BEST_FPERIOD_OVERRIDE=BF</stp>
        <tr r="P52" s="1"/>
      </tp>
      <tp t="s">
        <v>IN</v>
        <stp/>
        <stp>##V3_BDPV12</stp>
        <stp>BSE100 Index</stp>
        <stp>DS003</stp>
        <stp>[Index.xlsm]全球指數!R318C3</stp>
        <tr r="C318" s="1"/>
      </tp>
      <tp>
        <v>2318.5174344361321</v>
        <stp/>
        <stp>##V3_BDPV12</stp>
        <stp>OSEAX Index</stp>
        <stp>INTERVAL_HIGH</stp>
        <stp>[Index.xlsm]全球指數!R35C16</stp>
        <stp>MARKET_DATA_OVERRIDE=PE_RATIO</stp>
        <stp>CALC_INTERVAL=5y</stp>
        <stp>BEST_FPERIOD_OVERRIDE=BF</stp>
        <tr r="P35" s="1"/>
      </tp>
      <tp>
        <v>-2.8164419999999999</v>
        <stp/>
        <stp>##V3_BDPV12</stp>
        <stp>JOSMGNFF Index</stp>
        <stp>PR064</stp>
        <stp>[Index.xlsm]全球指數!R263C14</stp>
        <tr r="N263" s="1"/>
      </tp>
      <tp>
        <v>7351.08</v>
        <stp/>
        <stp>##V3_BDPV12</stp>
        <stp>UKX Index</stp>
        <stp>PX_LAST</stp>
        <stp>[Index.xlsm]全球指數!R239C4</stp>
        <tr r="D239" s="1"/>
      </tp>
      <tp>
        <v>1623.27</v>
        <stp/>
        <stp>##V3_BDPV12</stp>
        <stp>TPX Index</stp>
        <stp>PX_LAST</stp>
        <stp>[Index.xlsm]全球指數!R289C4</stp>
        <tr r="D289" s="1"/>
      </tp>
      <tp>
        <v>44171.53</v>
        <stp/>
        <stp>##V3_BDPV12</stp>
        <stp>IBX Index</stp>
        <stp>PX_LAST</stp>
        <stp>[Index.xlsm]全球指數!R279C4</stp>
        <tr r="D279" s="1"/>
      </tp>
      <tp>
        <v>4031.56</v>
        <stp/>
        <stp>##V3_BDPV12</stp>
        <stp>ASX Index</stp>
        <stp>PX_LAST</stp>
        <stp>[Index.xlsm]全球指數!R209C4</stp>
        <tr r="D209" s="1"/>
      </tp>
      <tp>
        <v>390.68150000000003</v>
        <stp/>
        <stp>##V3_BDPV12</stp>
        <stp>CUTL Index</stp>
        <stp>PX_LAST</stp>
        <stp>[Index.xlsm]全球指數!R107C4</stp>
        <tr r="D107" s="1"/>
      </tp>
      <tp>
        <v>16.729658012371086</v>
        <stp/>
        <stp>##V3_BDPV12</stp>
        <stp>MDAX Index</stp>
        <stp>PE_RATIO</stp>
        <stp>[Index.xlsm]全球指數!R85C18</stp>
        <tr r="R85" s="1"/>
      </tp>
      <tp>
        <v>10.05505</v>
        <stp/>
        <stp>##V3_BDPV12</stp>
        <stp>AAPL US Equity</stp>
        <stp>PR064</stp>
        <stp>[Index.xlsm]主要產業!R3C34</stp>
        <tr r="AH3" s="2"/>
      </tp>
      <tp>
        <v>-8.3247689999999999</v>
        <stp/>
        <stp>##V3_BDPV12</stp>
        <stp>AMZN US Equity</stp>
        <stp>PR064</stp>
        <stp>[Index.xlsm]主要產業!R4C34</stp>
        <tr r="AH4" s="2"/>
      </tp>
      <tp>
        <v>1307</v>
        <stp/>
        <stp>##V3_BDPV12</stp>
        <stp>AMZN US Equity</stp>
        <stp>LOW_52WEEK</stp>
        <stp>[Index.xlsm]主要產業!R4C28</stp>
        <tr r="AB4" s="2"/>
      </tp>
      <tp t="s">
        <v>CH</v>
        <stp/>
        <stp>##V3_BDPV12</stp>
        <stp>SH000909 Index</stp>
        <stp>DS003</stp>
        <stp>[Index.xlsm]主要產業!R54C3</stp>
        <tr r="C54" s="2"/>
      </tp>
      <tp>
        <v>27.588631760613087</v>
        <stp/>
        <stp>##V3_BDPV12</stp>
        <stp>CAC Index</stp>
        <stp>INTERVAL_HIGH</stp>
        <stp>[Index.xlsm]全球指數!R173C16</stp>
        <stp>MARKET_DATA_OVERRIDE=PE_RATIO</stp>
        <stp>CALC_INTERVAL=5y</stp>
        <stp>BEST_FPERIOD_OVERRIDE=BF</stp>
        <tr r="P173" s="1"/>
      </tp>
      <tp>
        <v>-0.69462559999999995</v>
        <stp/>
        <stp>##V3_BDPV12</stp>
        <stp>CIND Index</stp>
        <stp>CHG_PCT_1D</stp>
        <stp>[Index.xlsm]全球指數!R25C5</stp>
        <tr r="E25" s="1"/>
      </tp>
      <tp>
        <v>1664.5525072290006</v>
        <stp/>
        <stp>##V3_BDPV12</stp>
        <stp>XAU Index</stp>
        <stp>INTERVAL_HIGH</stp>
        <stp>[Index.xlsm]全球指數!R251C16</stp>
        <stp>MARKET_DATA_OVERRIDE=PE_RATIO</stp>
        <stp>CALC_INTERVAL=5y</stp>
        <stp>BEST_FPERIOD_OVERRIDE=BF</stp>
        <tr r="P251" s="1"/>
      </tp>
      <tp>
        <v>-8.2722759999999997</v>
        <stp/>
        <stp>##V3_BDPV12</stp>
        <stp>TPX100 Index</stp>
        <stp>CHG_PCT_1YR</stp>
        <stp>[Index.xlsm]全球指數!R271C15</stp>
        <tr r="O271" s="1"/>
      </tp>
      <tp>
        <v>-8.4450789999999998</v>
        <stp/>
        <stp>##V3_BDPV12</stp>
        <stp>KRX100 Index</stp>
        <stp>CHG_PCT_1YR</stp>
        <stp>[Index.xlsm]全球指數!R197C15</stp>
        <tr r="O197" s="1"/>
      </tp>
      <tp>
        <v>1.2953460000000001</v>
        <stp/>
        <stp>##V3_BDPV12</stp>
        <stp>MOSEMDX Index</stp>
        <stp>CHG_PCT_3M</stp>
        <stp>[Index.xlsm]全球指數!R186C12</stp>
        <tr r="L186" s="1"/>
      </tp>
      <tp>
        <v>-9.3472190000000008</v>
        <stp/>
        <stp>##V3_BDPV12</stp>
        <stp>TPX500 Index</stp>
        <stp>CHG_PCT_1YR</stp>
        <stp>[Index.xlsm]全球指數!R283C15</stp>
        <tr r="O283" s="1"/>
      </tp>
      <tp>
        <v>-8.7354149999999997</v>
        <stp/>
        <stp>##V3_BDPV12</stp>
        <stp>SASEIDX Index</stp>
        <stp>CHG_PCT_3M</stp>
        <stp>[Index.xlsm]全球指數!R308C12</stp>
        <tr r="L308" s="1"/>
      </tp>
      <tp t="s">
        <v>CH</v>
        <stp/>
        <stp>##V3_BDPV12</stp>
        <stp>SZ399330 Index</stp>
        <stp>DS003</stp>
        <stp>[Index.xlsm]全球指數!R20C3</stp>
        <tr r="C20" s="1"/>
      </tp>
      <tp>
        <v>42.003755106262233</v>
        <stp/>
        <stp>##V3_BDPV12</stp>
        <stp>KAX Index</stp>
        <stp>INTERVAL_HIGH</stp>
        <stp>[Index.xlsm]全球指數!R275C16</stp>
        <stp>MARKET_DATA_OVERRIDE=PE_RATIO</stp>
        <stp>CALC_INTERVAL=5y</stp>
        <stp>BEST_FPERIOD_OVERRIDE=BF</stp>
        <tr r="P275" s="1"/>
      </tp>
      <tp t="s">
        <v>Shenzhen 100 Index</v>
        <stp/>
        <stp>##V3_BDPV12</stp>
        <stp>SZ399330 Index</stp>
        <stp>DS697</stp>
        <stp>[Index.xlsm]全球指數!R20C2</stp>
        <tr r="B20" s="1"/>
      </tp>
      <tp>
        <v>29.751153572083354</v>
        <stp/>
        <stp>##V3_BDPV12</stp>
        <stp>PAX Index</stp>
        <stp>INTERVAL_HIGH</stp>
        <stp>[Index.xlsm]全球指數!R146C16</stp>
        <stp>MARKET_DATA_OVERRIDE=PE_RATIO</stp>
        <stp>CALC_INTERVAL=5y</stp>
        <stp>BEST_FPERIOD_OVERRIDE=BF</stp>
        <tr r="P146" s="1"/>
      </tp>
      <tp>
        <v>2693.99</v>
        <stp/>
        <stp>##V3_BDPV12</stp>
        <stp>BVLX Index</stp>
        <stp>LOW_52WEEK</stp>
        <stp>[Index.xlsm]全球指數!R69C8</stp>
        <tr r="H69" s="1"/>
      </tp>
      <tp>
        <v>-7.9552740000000002</v>
        <stp/>
        <stp>##V3_BDPV12</stp>
        <stp>KNSMIDX Index</stp>
        <stp>CHG_PCT_3M</stp>
        <stp>[Index.xlsm]全球指數!R269C12</stp>
        <tr r="L269" s="1"/>
      </tp>
      <tp>
        <v>26.128604330046301</v>
        <stp/>
        <stp>##V3_BDPV12</stp>
        <stp>RAY Index</stp>
        <stp>INTERVAL_HIGH</stp>
        <stp>[Index.xlsm]全球指數!R122C16</stp>
        <stp>MARKET_DATA_OVERRIDE=PE_RATIO</stp>
        <stp>CALC_INTERVAL=5y</stp>
        <stp>BEST_FPERIOD_OVERRIDE=BF</stp>
        <tr r="P122" s="1"/>
      </tp>
      <tp>
        <v>0.58297710000000003</v>
        <stp/>
        <stp>##V3_BDPV12</stp>
        <stp>SPEU Index</stp>
        <stp>CHG_PCT_1D</stp>
        <stp>[Index.xlsm]全球指數!R162C5</stp>
        <tr r="E162" s="1"/>
      </tp>
      <tp>
        <v>826.66740000000004</v>
        <stp/>
        <stp>##V3_BDPV12</stp>
        <stp>SZBSHR Index</stp>
        <stp>LOW_52WEEK</stp>
        <stp>[Index.xlsm]全球指數!R128C8</stp>
        <tr r="H128" s="1"/>
      </tp>
      <tp>
        <v>0.31350749999999999</v>
        <stp/>
        <stp>##V3_BDPV12</stp>
        <stp>IVBX2 Index</stp>
        <stp>CHG_PCT_1D</stp>
        <stp>[Index.xlsm]全球指數!R274C5</stp>
        <tr r="E274" s="1"/>
      </tp>
      <tp>
        <v>-5.010567</v>
        <stp/>
        <stp>##V3_BDPV12</stp>
        <stp>SPBLPGPT Index</stp>
        <stp>PR064</stp>
        <stp>[Index.xlsm]全球指數!R277C14</stp>
        <tr r="N277" s="1"/>
      </tp>
      <tp>
        <v>-6.2139769999999999</v>
        <stp/>
        <stp>##V3_BDPV12</stp>
        <stp>SPBL25PT Index</stp>
        <stp>PR064</stp>
        <stp>[Index.xlsm]全球指數!R232C14</stp>
        <tr r="N232" s="1"/>
      </tp>
      <tp t="s">
        <v>法國巴黎SBF120指數</v>
        <stp/>
        <stp>##V3_BDPV12</stp>
        <stp>SBF120 Index</stp>
        <stp>DS697</stp>
        <stp>[Index.xlsm]全球指數!R169C2</stp>
        <tr r="B169" s="1"/>
      </tp>
      <tp>
        <v>-6.3045679999999997</v>
        <stp/>
        <stp>##V3_BDPV12</stp>
        <stp>CHSMLCAP Index</stp>
        <stp>PR064</stp>
        <stp>[Index.xlsm]全球指數!R273C14</stp>
        <tr r="N273" s="1"/>
      </tp>
      <tp>
        <v>10279.200000000001</v>
        <stp/>
        <stp>##V3_BDPV12</stp>
        <stp>DAX Index</stp>
        <stp>LOW_52WEEK</stp>
        <stp>[Index.xlsm]全球指數!R99C8</stp>
        <tr r="H99" s="1"/>
      </tp>
      <tp>
        <v>1515.4</v>
        <stp/>
        <stp>##V3_BDPV12</stp>
        <stp>ATXPRIME Index</stp>
        <stp>PX_LAST</stp>
        <stp>[Index.xlsm]全球指數!R42C4</stp>
        <tr r="D42" s="1"/>
      </tp>
      <tp>
        <v>14233.89</v>
        <stp/>
        <stp>##V3_BDPV12</stp>
        <stp>NYP Index</stp>
        <stp>LOW_52WEEK</stp>
        <stp>[Index.xlsm]全球指數!R83C8</stp>
        <tr r="H83" s="1"/>
      </tp>
      <tp>
        <v>-5.8655900000000001</v>
        <stp/>
        <stp>##V3_BDPV12</stp>
        <stp>SAXCME Index</stp>
        <stp>CHG_PCT_1YR</stp>
        <stp>[Index.xlsm]全球指數!R109C15</stp>
        <tr r="O109" s="1"/>
      </tp>
      <tp>
        <v>10.10904</v>
        <stp/>
        <stp>##V3_BDPV12</stp>
        <stp>COLEQTY Index</stp>
        <stp>CHG_PCT_1YR</stp>
        <stp>[Index.xlsm]全球指數!R268C15</stp>
        <tr r="O268" s="1"/>
      </tp>
      <tp>
        <v>339.24</v>
        <stp/>
        <stp>##V3_BDPV12</stp>
        <stp>SKSM Index</stp>
        <stp>PX_LAST</stp>
        <stp>[Index.xlsm]全球指數!R281C4</stp>
        <tr r="D281" s="1"/>
      </tp>
      <tp>
        <v>-13.419079999999999</v>
        <stp/>
        <stp>##V3_BDPV12</stp>
        <stp>MEXBOL Index</stp>
        <stp>CHG_PCT_1YR</stp>
        <stp>[Index.xlsm]全球指數!R236C15</stp>
        <tr r="O236" s="1"/>
      </tp>
      <tp>
        <v>2.6366550000000002</v>
        <stp/>
        <stp>##V3_BDPV12</stp>
        <stp>OMXC25 Index</stp>
        <stp>CHG_PCT_1YR</stp>
        <stp>[Index.xlsm]全球指數!R262C15</stp>
        <tr r="O262" s="1"/>
      </tp>
      <tp>
        <v>-7.4508520000000003</v>
        <stp/>
        <stp>##V3_BDPV12</stp>
        <stp>TPXC30 Index</stp>
        <stp>CHG_PCT_1YR</stp>
        <stp>[Index.xlsm]全球指數!R266C15</stp>
        <tr r="O266" s="1"/>
      </tp>
      <tp>
        <v>4.257225</v>
        <stp/>
        <stp>##V3_BDPV12</stp>
        <stp>BELEX15 Index</stp>
        <stp>CHG_PCT_1YR</stp>
        <stp>[Index.xlsm]全球指數!R244C15</stp>
        <tr r="O244" s="1"/>
      </tp>
      <tp>
        <v>0.75785930000000001</v>
        <stp/>
        <stp>##V3_BDPV12</stp>
        <stp>INTER10 Index</stp>
        <stp>CHG_PCT_1YR</stp>
        <stp>[Index.xlsm]全球指數!R203C15</stp>
        <tr r="O203" s="1"/>
      </tp>
      <tp>
        <v>1.6396379999999999</v>
        <stp/>
        <stp>##V3_BDPV12</stp>
        <stp>SASEIDX Index</stp>
        <stp>CHG_PCT_1YR</stp>
        <stp>[Index.xlsm]全球指數!R308C15</stp>
        <tr r="O308" s="1"/>
      </tp>
      <tp>
        <v>-9.2021049999999995</v>
        <stp/>
        <stp>##V3_BDPV12</stp>
        <stp>TPXL70 Index</stp>
        <stp>CHG_PCT_1YR</stp>
        <stp>[Index.xlsm]全球指數!R278C15</stp>
        <tr r="O278" s="1"/>
      </tp>
      <tp>
        <v>2772.7</v>
        <stp/>
        <stp>##V3_BDPV12</stp>
        <stp>IMOEX Index</stp>
        <stp>PX_LAST</stp>
        <stp>[Index.xlsm]全球指數!R159C4</stp>
        <tr r="D159" s="1"/>
      </tp>
      <tp>
        <v>12.80888</v>
        <stp/>
        <stp>##V3_BDPV12</stp>
        <stp>BHSEASI Index</stp>
        <stp>CHG_PCT_1YR</stp>
        <stp>[Index.xlsm]全球指數!R304C15</stp>
        <tr r="O304" s="1"/>
      </tp>
      <tp>
        <v>0.98034730000000003</v>
        <stp/>
        <stp>##V3_BDPV12</stp>
        <stp>MOSEMDX Index</stp>
        <stp>CHG_PCT_1YR</stp>
        <stp>[Index.xlsm]全球指數!R186C15</stp>
        <tr r="O186" s="1"/>
      </tp>
      <tp>
        <v>0.83069150000000003</v>
        <stp/>
        <stp>##V3_BDPV12</stp>
        <stp>MOSENEW Index</stp>
        <stp>CHG_PCT_1YR</stp>
        <stp>[Index.xlsm]全球指數!R188C15</stp>
        <tr r="O188" s="1"/>
      </tp>
      <tp>
        <v>2250.5509999999999</v>
        <stp/>
        <stp>##V3_BDPV12</stp>
        <stp>LUXXR Index</stp>
        <stp>PX_LAST</stp>
        <stp>[Index.xlsm]全球指數!R126C4</stp>
        <tr r="D126" s="1"/>
      </tp>
      <tp>
        <v>11060.9</v>
        <stp/>
        <stp>##V3_BDPV12</stp>
        <stp>FBMEMAS Index</stp>
        <stp>LOW_52WEEK</stp>
        <stp>[Index.xlsm]全球指數!R242C8</stp>
        <tr r="H242" s="1"/>
      </tp>
      <tp>
        <v>-10.169560000000001</v>
        <stp/>
        <stp>##V3_BDPV12</stp>
        <stp>FBMEMAS Index</stp>
        <stp>CHG_PCT_1YR</stp>
        <stp>[Index.xlsm]全球指數!R242C15</stp>
        <tr r="O242" s="1"/>
      </tp>
      <tp>
        <v>2.0296509999999999</v>
        <stp/>
        <stp>##V3_BDPV12</stp>
        <stp>FTSEMIB Index</stp>
        <stp>CHG_PCT_1YR</stp>
        <stp>[Index.xlsm]全球指數!R153C15</stp>
        <tr r="O153" s="1"/>
      </tp>
      <tp>
        <v>0.65202420000000005</v>
        <stp/>
        <stp>##V3_BDPV12</stp>
        <stp>SE30 Index</stp>
        <stp>CHG_PCT_1D</stp>
        <stp>[Index.xlsm]全球指數!R29C5</stp>
        <tr r="E29" s="1"/>
      </tp>
      <tp>
        <v>10877.66</v>
        <stp/>
        <stp>##V3_BDPV12</stp>
        <stp>NYID Index</stp>
        <stp>PX_LAST</stp>
        <stp>[Index.xlsm]全球指數!R148C4</stp>
        <tr r="D148" s="1"/>
      </tp>
      <tp>
        <v>304.05</v>
        <stp/>
        <stp>##V3_BDPV12</stp>
        <stp>TWSECON Index</stp>
        <stp>HIGH_52WEEK</stp>
        <stp>[Index.xlsm]主要產業!R86C6</stp>
        <tr r="F86" s="2"/>
      </tp>
      <tp t="s">
        <v>CH</v>
        <stp/>
        <stp>##V3_BDPV12</stp>
        <stp>SH000908 Index</stp>
        <stp>DS003</stp>
        <stp>[Index.xlsm]主要產業!R53C3</stp>
        <tr r="C53" s="2"/>
      </tp>
      <tp>
        <v>64.650000000000006</v>
        <stp/>
        <stp>##V3_BDPV12</stp>
        <stp>XOM US Equity</stp>
        <stp>LOW_52WEEK</stp>
        <stp>[Index.xlsm]主要產業!R9C28</stp>
        <tr r="AB9" s="2"/>
      </tp>
      <tp>
        <v>29.879378057067211</v>
        <stp/>
        <stp>##V3_BDPV12</stp>
        <stp>S5SFTW Index</stp>
        <stp>PE_RATIO</stp>
        <stp>[Index.xlsm]主要產業!R5C18</stp>
        <tr r="R5" s="2"/>
      </tp>
      <tp>
        <v>5424.77</v>
        <stp/>
        <stp>##V3_BDPV12</stp>
        <stp>SMX Index</stp>
        <stp>PX_LAST</stp>
        <stp>[Index.xlsm]全球指數!R87C4</stp>
        <tr r="D87" s="1"/>
      </tp>
      <tp>
        <v>1108.104</v>
        <stp/>
        <stp>##V3_BDPV12</stp>
        <stp>SBX Index</stp>
        <stp>PX_LAST</stp>
        <stp>[Index.xlsm]全球指數!R58C4</stp>
        <tr r="D58" s="1"/>
      </tp>
      <tp>
        <v>-5.1335860000000002</v>
        <stp/>
        <stp>##V3_BDPV12</stp>
        <stp>NKY500 Index</stp>
        <stp>CHG_PCT_1YR</stp>
        <stp>[Index.xlsm]全球指數!R280C15</stp>
        <tr r="O280" s="1"/>
      </tp>
      <tp>
        <v>8.4561910000000005</v>
        <stp/>
        <stp>##V3_BDPV12</stp>
        <stp>SOX Index</stp>
        <stp>PR064</stp>
        <stp>[Index.xlsm]全球指數!R168C14</stp>
        <tr r="N168" s="1"/>
      </tp>
      <tp>
        <v>0.81746629999999998</v>
        <stp/>
        <stp>##V3_BDPV12</stp>
        <stp>INDI25 Index</stp>
        <stp>CHG_PCT_1M</stp>
        <stp>[Index.xlsm]全球指數!R70C11</stp>
        <tr r="K70" s="1"/>
      </tp>
      <tp>
        <v>-1.9615290000000001</v>
        <stp/>
        <stp>##V3_BDPV12</stp>
        <stp>INDI25 Index</stp>
        <stp>CHG_PCT_3M</stp>
        <stp>[Index.xlsm]全球指數!R70C12</stp>
        <tr r="L70" s="1"/>
      </tp>
      <tp>
        <v>-6.612643E-2</v>
        <stp/>
        <stp>##V3_BDPV12</stp>
        <stp>BLOM Index</stp>
        <stp>CHG_PCT_1D</stp>
        <stp>[Index.xlsm]全球指數!R259C5</stp>
        <tr r="E259" s="1"/>
      </tp>
      <tp>
        <v>-1.713408</v>
        <stp/>
        <stp>##V3_BDPV12</stp>
        <stp>INDI25 Index</stp>
        <stp>CHG_PCT_5D</stp>
        <stp>[Index.xlsm]全球指數!R70C10</stp>
        <tr r="J70" s="1"/>
      </tp>
      <tp>
        <v>2.6447660000000002</v>
        <stp/>
        <stp>##V3_BDPV12</stp>
        <stp>INDI25 Index</stp>
        <stp>CHG_PCT_6M</stp>
        <stp>[Index.xlsm]全球指數!R70C13</stp>
        <tr r="M70" s="1"/>
      </tp>
      <tp>
        <v>1505.56</v>
        <stp/>
        <stp>##V3_BDPV12</stp>
        <stp>CRTX Index</stp>
        <stp>LOW_52WEEK</stp>
        <stp>[Index.xlsm]全球指數!R108C8</stp>
        <tr r="H108" s="1"/>
      </tp>
      <tp>
        <v>-2.0725709999999999</v>
        <stp/>
        <stp>##V3_BDPV12</stp>
        <stp>N150 Index</stp>
        <stp>CHG_PCT_5D</stp>
        <stp>[Index.xlsm]全球指數!R45C10</stp>
        <tr r="J45" s="1"/>
      </tp>
      <tp>
        <v>4.9464420000000002</v>
        <stp/>
        <stp>##V3_BDPV12</stp>
        <stp>N150 Index</stp>
        <stp>CHG_PCT_6M</stp>
        <stp>[Index.xlsm]全球指數!R45C13</stp>
        <tr r="M45" s="1"/>
      </tp>
      <tp>
        <v>1.1450849999999999</v>
        <stp/>
        <stp>##V3_BDPV12</stp>
        <stp>NIFTY Index</stp>
        <stp>CHG_PCT_1D</stp>
        <stp>[Index.xlsm]全球指數!R319C5</stp>
        <tr r="E319" s="1"/>
      </tp>
      <tp>
        <v>2.6297959999999998</v>
        <stp/>
        <stp>##V3_BDPV12</stp>
        <stp>N150 Index</stp>
        <stp>CHG_PCT_1M</stp>
        <stp>[Index.xlsm]全球指數!R45C11</stp>
        <tr r="K45" s="1"/>
      </tp>
      <tp>
        <v>0.31158710000000001</v>
        <stp/>
        <stp>##V3_BDPV12</stp>
        <stp>JSDA Index</stp>
        <stp>CHG_PCT_1D</stp>
        <stp>[Index.xlsm]全球指數!R302C5</stp>
        <tr r="E302" s="1"/>
      </tp>
      <tp>
        <v>1.6632130000000001</v>
        <stp/>
        <stp>##V3_BDPV12</stp>
        <stp>N150 Index</stp>
        <stp>CHG_PCT_3M</stp>
        <stp>[Index.xlsm]全球指數!R45C12</stp>
        <tr r="L45" s="1"/>
      </tp>
      <tp>
        <v>-5.4032030000000004</v>
        <stp/>
        <stp>##V3_BDPV12</stp>
        <stp>TOP40 Index</stp>
        <stp>PR064</stp>
        <stp>[Index.xlsm]全球指數!R64C14</stp>
        <tr r="N64" s="1"/>
      </tp>
      <tp>
        <v>2.7760180000000001</v>
        <stp/>
        <stp>##V3_BDPV12</stp>
        <stp>KSE100 Index</stp>
        <stp>CHG_PCT_1M</stp>
        <stp>[Index.xlsm]全球指數!R33C11</stp>
        <tr r="K33" s="1"/>
      </tp>
      <tp>
        <v>-1.656522</v>
        <stp/>
        <stp>##V3_BDPV12</stp>
        <stp>HSHK35 Index</stp>
        <stp>CHG_PCT_5D</stp>
        <stp>[Index.xlsm]全球指數!R73C10</stp>
        <tr r="J73" s="1"/>
      </tp>
      <tp>
        <v>-11.32413</v>
        <stp/>
        <stp>##V3_BDPV12</stp>
        <stp>HSHK35 Index</stp>
        <stp>CHG_PCT_6M</stp>
        <stp>[Index.xlsm]全球指數!R73C13</stp>
        <tr r="M73" s="1"/>
      </tp>
      <tp>
        <v>-6.9298929999999999</v>
        <stp/>
        <stp>##V3_BDPV12</stp>
        <stp>KSE100 Index</stp>
        <stp>CHG_PCT_3M</stp>
        <stp>[Index.xlsm]全球指數!R33C12</stp>
        <tr r="L33" s="1"/>
      </tp>
      <tp>
        <v>-2.330781</v>
        <stp/>
        <stp>##V3_BDPV12</stp>
        <stp>KSE100 Index</stp>
        <stp>CHG_PCT_5D</stp>
        <stp>[Index.xlsm]全球指數!R33C10</stp>
        <tr r="J33" s="1"/>
      </tp>
      <tp>
        <v>-0.46287719999999999</v>
        <stp/>
        <stp>##V3_BDPV12</stp>
        <stp>HSHK35 Index</stp>
        <stp>CHG_PCT_1M</stp>
        <stp>[Index.xlsm]全球指數!R73C11</stp>
        <tr r="K73" s="1"/>
      </tp>
      <tp>
        <v>-4.166922E-3</v>
        <stp/>
        <stp>##V3_BDPV12</stp>
        <stp>TXEQ Index</stp>
        <stp>CHG_PCT_1D</stp>
        <stp>[Index.xlsm]全球指數!R193C5</stp>
        <tr r="E193" s="1"/>
      </tp>
      <tp>
        <v>-12.141730000000001</v>
        <stp/>
        <stp>##V3_BDPV12</stp>
        <stp>HSHK35 Index</stp>
        <stp>CHG_PCT_3M</stp>
        <stp>[Index.xlsm]全球指數!R73C12</stp>
        <tr r="L73" s="1"/>
      </tp>
      <tp>
        <v>-19.327909999999999</v>
        <stp/>
        <stp>##V3_BDPV12</stp>
        <stp>KSE100 Index</stp>
        <stp>CHG_PCT_6M</stp>
        <stp>[Index.xlsm]全球指數!R33C13</stp>
        <tr r="M33" s="1"/>
      </tp>
      <tp>
        <v>3419.69</v>
        <stp/>
        <stp>##V3_BDPV12</stp>
        <stp>DUAE Index</stp>
        <stp>HIGH_52WEEK</stp>
        <stp>[Index.xlsm]全球指數!R68C6</stp>
        <tr r="F68" s="1"/>
      </tp>
      <tp t="s">
        <v>台拉維夫125指數</v>
        <stp/>
        <stp>##V3_BDPV12</stp>
        <stp>TA-125 Index</stp>
        <stp>DS697</stp>
        <stp>[Index.xlsm]全球指數!R258C2</stp>
        <tr r="B258" s="1"/>
      </tp>
      <tp>
        <v>2801.1370000000002</v>
        <stp/>
        <stp>##V3_BDPV12</stp>
        <stp>NBI Index</stp>
        <stp>LOW_52WEEK</stp>
        <stp>[Index.xlsm]全球指數!R12C8</stp>
        <tr r="H12" s="1"/>
      </tp>
      <tp>
        <v>10.657841018813665</v>
        <stp/>
        <stp>##V3_BDPV12</stp>
        <stp>HSCEI Index</stp>
        <stp>INTERVAL_HIGH</stp>
        <stp>[Index.xlsm]全球指數!R72C16</stp>
        <stp>MARKET_DATA_OVERRIDE=PE_RATIO</stp>
        <stp>CALC_INTERVAL=5y</stp>
        <stp>BEST_FPERIOD_OVERRIDE=BF</stp>
        <tr r="P72" s="1"/>
      </tp>
      <tp>
        <v>15.922664350263908</v>
        <stp/>
        <stp>##V3_BDPV12</stp>
        <stp>HSCCI Index</stp>
        <stp>INTERVAL_HIGH</stp>
        <stp>[Index.xlsm]全球指數!R24C16</stp>
        <stp>MARKET_DATA_OVERRIDE=PE_RATIO</stp>
        <stp>CALC_INTERVAL=5y</stp>
        <stp>BEST_FPERIOD_OVERRIDE=BF</stp>
        <tr r="P24" s="1"/>
      </tp>
      <tp>
        <v>59544.80078125</v>
        <stp/>
        <stp>##V3_BDPV12</stp>
        <stp>JALSH Index</stp>
        <stp>HIGH_52WEEK</stp>
        <stp>[Index.xlsm]全球指數!R71C6</stp>
        <tr r="F71" s="1"/>
      </tp>
      <tp>
        <v>56.481683793796599</v>
        <stp/>
        <stp>##V3_BDPV12</stp>
        <stp>SICOM Index</stp>
        <stp>INTERVAL_HIGH</stp>
        <stp>[Index.xlsm]全球指數!R15C16</stp>
        <stp>MARKET_DATA_OVERRIDE=PE_RATIO</stp>
        <stp>CALC_INTERVAL=5y</stp>
        <stp>BEST_FPERIOD_OVERRIDE=BF</stp>
        <tr r="P15" s="1"/>
      </tp>
      <tp t="s">
        <v>標準普爾BSE-100指數</v>
        <stp/>
        <stp>##V3_BDPV12</stp>
        <stp>BSE100 Index</stp>
        <stp>DS697</stp>
        <stp>[Index.xlsm]全球指數!R318C2</stp>
        <tr r="B318" s="1"/>
      </tp>
      <tp>
        <v>683.66920000000005</v>
        <stp/>
        <stp>##V3_BDPV12</stp>
        <stp>SPR Index</stp>
        <stp>PX_LAST</stp>
        <stp>[Index.xlsm]全球指數!R135C4</stp>
        <tr r="D135" s="1"/>
      </tp>
      <tp>
        <v>2503.5100000000002</v>
        <stp/>
        <stp>##V3_BDPV12</stp>
        <stp>INMEX Index</stp>
        <stp>PX_LAST</stp>
        <stp>[Index.xlsm]全球指數!R228C4</stp>
        <tr r="D228" s="1"/>
      </tp>
      <tp>
        <v>11.90774</v>
        <stp/>
        <stp>##V3_BDPV12</stp>
        <stp>SZ399550 Index</stp>
        <stp>CHG_PCT_1YR</stp>
        <stp>[Index.xlsm]全球指數!R59C15</stp>
        <tr r="O59" s="1"/>
      </tp>
      <tp>
        <v>19.745699999999999</v>
        <stp/>
        <stp>##V3_BDPV12</stp>
        <stp>SZ399330 Index</stp>
        <stp>CHG_PCT_1YR</stp>
        <stp>[Index.xlsm]全球指數!R20C15</stp>
        <tr r="O20" s="1"/>
      </tp>
      <tp>
        <v>1820.01</v>
        <stp/>
        <stp>##V3_BDPV12</stp>
        <stp>NZSE Index</stp>
        <stp>PX_LAST</stp>
        <stp>[Index.xlsm]全球指數!R238C4</stp>
        <tr r="D238" s="1"/>
      </tp>
      <tp t="s">
        <v>CH</v>
        <stp/>
        <stp>##V3_BDPV12</stp>
        <stp>SH000915 Index</stp>
        <stp>DS003</stp>
        <stp>[Index.xlsm]主要產業!R52C3</stp>
        <tr r="C52" s="2"/>
      </tp>
      <tp>
        <v>114.2</v>
        <stp/>
        <stp>##V3_BDPV12</stp>
        <stp>TWSECHI Index</stp>
        <stp>HIGH_52WEEK</stp>
        <stp>[Index.xlsm]主要產業!R90C6</stp>
        <tr r="F90" s="2"/>
      </tp>
      <tp>
        <v>-0.96841129999999997</v>
        <stp/>
        <stp>##V3_BDPV12</stp>
        <stp>JNJ US Equity</stp>
        <stp>CHG_PCT_5D</stp>
        <stp>[Index.xlsm]主要產業!R6C30</stp>
        <tr r="AD6" s="2"/>
      </tp>
      <tp>
        <v>-7.0145099999999996</v>
        <stp/>
        <stp>##V3_BDPV12</stp>
        <stp>JNJ US Equity</stp>
        <stp>CHG_PCT_6M</stp>
        <stp>[Index.xlsm]主要產業!R6C33</stp>
        <tr r="AG6" s="2"/>
      </tp>
      <tp>
        <v>0.82159380000000004</v>
        <stp/>
        <stp>##V3_BDPV12</stp>
        <stp>JNJ US Equity</stp>
        <stp>CHG_PCT_1M</stp>
        <stp>[Index.xlsm]主要產業!R6C31</stp>
        <tr r="AE6" s="2"/>
      </tp>
      <tp>
        <v>-9.1646140000000003</v>
        <stp/>
        <stp>##V3_BDPV12</stp>
        <stp>JNJ US Equity</stp>
        <stp>CHG_PCT_3M</stp>
        <stp>[Index.xlsm]主要產業!R6C32</stp>
        <tr r="AF6" s="2"/>
      </tp>
      <tp>
        <v>-1.6337120000000001</v>
        <stp/>
        <stp>##V3_BDPV12</stp>
        <stp>JNJ US Equity</stp>
        <stp>CHG_PCT_1D</stp>
        <stp>[Index.xlsm]主要產業!R6C25</stp>
        <tr r="Y6" s="2"/>
      </tp>
      <tp>
        <v>7.881634</v>
        <stp/>
        <stp>##V3_BDPV12</stp>
        <stp>JPM US Equity</stp>
        <stp>CHG_PCT_3M</stp>
        <stp>[Index.xlsm]主要產業!R5C32</stp>
        <tr r="AF5" s="2"/>
      </tp>
      <tp>
        <v>9.5068750000000009</v>
        <stp/>
        <stp>##V3_BDPV12</stp>
        <stp>JPM US Equity</stp>
        <stp>CHG_PCT_1M</stp>
        <stp>[Index.xlsm]主要產業!R5C31</stp>
        <tr r="AE5" s="2"/>
      </tp>
      <tp>
        <v>-1.968504</v>
        <stp/>
        <stp>##V3_BDPV12</stp>
        <stp>JPM US Equity</stp>
        <stp>CHG_PCT_5D</stp>
        <stp>[Index.xlsm]主要產業!R5C30</stp>
        <tr r="AD5" s="2"/>
      </tp>
      <tp>
        <v>17.123699999999999</v>
        <stp/>
        <stp>##V3_BDPV12</stp>
        <stp>JPM US Equity</stp>
        <stp>CHG_PCT_6M</stp>
        <stp>[Index.xlsm]主要產業!R5C33</stp>
        <tr r="AG5" s="2"/>
      </tp>
      <tp>
        <v>-0.82203389999999998</v>
        <stp/>
        <stp>##V3_BDPV12</stp>
        <stp>JPM US Equity</stp>
        <stp>CHG_PCT_1D</stp>
        <stp>[Index.xlsm]主要產業!R5C25</stp>
        <tr r="Y5" s="2"/>
      </tp>
      <tp>
        <v>1783.79</v>
        <stp/>
        <stp>##V3_BDPV12</stp>
        <stp>TWSEFOOD Index</stp>
        <stp>PX_LAST</stp>
        <stp>[Index.xlsm]主要產業!R80C4</stp>
        <tr r="D80" s="2"/>
      </tp>
      <tp>
        <v>10906.08</v>
        <stp/>
        <stp>##V3_BDPV12</stp>
        <stp>HSCIEN Index</stp>
        <stp>HIGH_52WEEK</stp>
        <stp>[Index.xlsm]主要產業!R60C6</stp>
        <tr r="F60" s="2"/>
      </tp>
      <tp>
        <v>282.66000000000003</v>
        <stp/>
        <stp>##V3_BDPV12</stp>
        <stp>TWSEOTHR Index</stp>
        <stp>PX_LAST</stp>
        <stp>[Index.xlsm]主要產業!R77C4</stp>
        <tr r="D77" s="2"/>
      </tp>
      <tp>
        <v>1.1226799999999999</v>
        <stp/>
        <stp>##V3_BDPV12</stp>
        <stp>SLI Index</stp>
        <stp>PR064</stp>
        <stp>[Index.xlsm]全球指數!R118C14</stp>
        <tr r="N118" s="1"/>
      </tp>
      <tp>
        <v>30.525795326342628</v>
        <stp/>
        <stp>##V3_BDPV12</stp>
        <stp>JCI Index</stp>
        <stp>INTERVAL_HIGH</stp>
        <stp>[Index.xlsm]全球指數!R223C16</stp>
        <stp>MARKET_DATA_OVERRIDE=PE_RATIO</stp>
        <stp>CALC_INTERVAL=5y</stp>
        <stp>BEST_FPERIOD_OVERRIDE=BF</stp>
        <tr r="P223" s="1"/>
      </tp>
      <tp>
        <v>23.134869240120324</v>
        <stp/>
        <stp>##V3_BDPV12</stp>
        <stp>XCI Index</stp>
        <stp>INTERVAL_HIGH</stp>
        <stp>[Index.xlsm]全球指數!R124C16</stp>
        <stp>MARKET_DATA_OVERRIDE=PE_RATIO</stp>
        <stp>CALC_INTERVAL=5y</stp>
        <stp>BEST_FPERIOD_OVERRIDE=BF</stp>
        <tr r="P124" s="1"/>
      </tp>
      <tp>
        <v>179.82</v>
        <stp/>
        <stp>##V3_BDPV12</stp>
        <stp>DUAE Index</stp>
        <stp>LOW_52WEEK</stp>
        <stp>[Index.xlsm]全球指數!R68C8</stp>
        <tr r="H68" s="1"/>
      </tp>
      <tp>
        <v>-2.841958</v>
        <stp/>
        <stp>##V3_BDPV12</stp>
        <stp>MOSEMDX Index</stp>
        <stp>CHG_PCT_1M</stp>
        <stp>[Index.xlsm]全球指數!R186C11</stp>
        <tr r="K186" s="1"/>
      </tp>
      <tp>
        <v>-3.1060150000000002</v>
        <stp/>
        <stp>##V3_BDPV12</stp>
        <stp>SASEIDX Index</stp>
        <stp>CHG_PCT_1M</stp>
        <stp>[Index.xlsm]全球指數!R308C11</stp>
        <tr r="K308" s="1"/>
      </tp>
      <tp>
        <v>117.3396</v>
        <stp/>
        <stp>##V3_BDPV12</stp>
        <stp>VHINDEX Index</stp>
        <stp>HIGH_52WEEK</stp>
        <stp>[Index.xlsm]全球指數!R276C6</stp>
        <tr r="F276" s="1"/>
      </tp>
      <tp>
        <v>30.680600193798064</v>
        <stp/>
        <stp>##V3_BDPV12</stp>
        <stp>MCX Index</stp>
        <stp>INTERVAL_HIGH</stp>
        <stp>[Index.xlsm]全球指數!R100C16</stp>
        <stp>MARKET_DATA_OVERRIDE=PE_RATIO</stp>
        <stp>CALC_INTERVAL=5y</stp>
        <stp>BEST_FPERIOD_OVERRIDE=BF</stp>
        <tr r="P100" s="1"/>
      </tp>
      <tp>
        <v>-1.750181</v>
        <stp/>
        <stp>##V3_BDPV12</stp>
        <stp>KNSMIDX Index</stp>
        <stp>CHG_PCT_1M</stp>
        <stp>[Index.xlsm]全球指數!R269C11</stp>
        <tr r="K269" s="1"/>
      </tp>
      <tp>
        <v>0.53650779999999998</v>
        <stp/>
        <stp>##V3_BDPV12</stp>
        <stp>SPIEXX Index</stp>
        <stp>CHG_PCT_1D</stp>
        <stp>[Index.xlsm]全球指數!R180C5</stp>
        <tr r="E180" s="1"/>
      </tp>
      <tp>
        <v>0.67282189999999997</v>
        <stp/>
        <stp>##V3_BDPV12</stp>
        <stp>LUXXR Index</stp>
        <stp>CHG_PCT_1D</stp>
        <stp>[Index.xlsm]全球指數!R126C5</stp>
        <tr r="E126" s="1"/>
      </tp>
      <tp>
        <v>33291.578125</v>
        <stp/>
        <stp>##V3_BDPV12</stp>
        <stp>SENSEX Index</stp>
        <stp>LOW_52WEEK</stp>
        <stp>[Index.xlsm]全球指數!R317C8</stp>
        <tr r="H317" s="1"/>
      </tp>
      <tp>
        <v>1.259684</v>
        <stp/>
        <stp>##V3_BDPV12</stp>
        <stp>OMXO20 Index</stp>
        <stp>PR064</stp>
        <stp>[Index.xlsm]全球指數!R49C14</stp>
        <tr r="N49" s="1"/>
      </tp>
      <tp>
        <v>285.95800000000003</v>
        <stp/>
        <stp>##V3_BDPV12</stp>
        <stp>SPIEXX Index</stp>
        <stp>PX_LAST</stp>
        <stp>[Index.xlsm]全球指數!R180C4</stp>
        <tr r="D180" s="1"/>
      </tp>
      <tp>
        <v>0.17978620000000001</v>
        <stp/>
        <stp>##V3_BDPV12</stp>
        <stp>CSEALL Index</stp>
        <stp>CHG_PCT_1D</stp>
        <stp>[Index.xlsm]全球指數!R174C5</stp>
        <tr r="E174" s="1"/>
      </tp>
      <tp>
        <v>0.48870150000000001</v>
        <stp/>
        <stp>##V3_BDPV12</stp>
        <stp>IBEX Index</stp>
        <stp>CHG_PCT_1D</stp>
        <stp>[Index.xlsm]全球指數!R240C5</stp>
        <tr r="E240" s="1"/>
      </tp>
      <tp>
        <v>0.93080799999999997</v>
        <stp/>
        <stp>##V3_BDPV12</stp>
        <stp>FTSEM Index</stp>
        <stp>PR064</stp>
        <stp>[Index.xlsm]全球指數!R43C14</stp>
        <tr r="N43" s="1"/>
      </tp>
      <tp>
        <v>27344.19921875</v>
        <stp/>
        <stp>##V3_BDPV12</stp>
        <stp>MSETOP Index</stp>
        <stp>HIGH_52WEEK</stp>
        <stp>[Index.xlsm]全球指數!R26C6</stp>
        <tr r="F26" s="1"/>
      </tp>
      <tp>
        <v>-2.259252</v>
        <stp/>
        <stp>##V3_BDPV12</stp>
        <stp>SHCOMP Index</stp>
        <stp>PR064</stp>
        <stp>[Index.xlsm]全球指數!R32C14</stp>
        <tr r="N32" s="1"/>
      </tp>
      <tp>
        <v>1.277989</v>
        <stp/>
        <stp>##V3_BDPV12</stp>
        <stp>SZCOMP Index</stp>
        <stp>PR064</stp>
        <stp>[Index.xlsm]全球指數!R11C14</stp>
        <tr r="N11" s="1"/>
      </tp>
      <tp>
        <v>24540.63</v>
        <stp/>
        <stp>##V3_BDPV12</stp>
        <stp>HSI Index</stp>
        <stp>LOW_52WEEK</stp>
        <stp>[Index.xlsm]全球指數!R77C8</stp>
        <tr r="H77" s="1"/>
      </tp>
      <tp>
        <v>2419.67</v>
        <stp/>
        <stp>##V3_BDPV12</stp>
        <stp>KNSMIDX Index</stp>
        <stp>LOW_52WEEK</stp>
        <stp>[Index.xlsm]全球指數!R269C8</stp>
        <tr r="H269" s="1"/>
      </tp>
      <tp>
        <v>93.168599999999998</v>
        <stp/>
        <stp>##V3_BDPV12</stp>
        <stp>XAU Index</stp>
        <stp>PX_LAST</stp>
        <stp>[Index.xlsm]全球指數!R251C4</stp>
        <tr r="D251" s="1"/>
      </tp>
      <tp>
        <v>1636.75</v>
        <stp/>
        <stp>##V3_BDPV12</stp>
        <stp>SET Index</stp>
        <stp>PX_LAST</stp>
        <stp>[Index.xlsm]全球指數!R220C4</stp>
        <tr r="D220" s="1"/>
      </tp>
      <tp>
        <v>9528.24</v>
        <stp/>
        <stp>##V3_BDPV12</stp>
        <stp>BET Index</stp>
        <stp>PX_LAST</stp>
        <stp>[Index.xlsm]全球指數!R300C4</stp>
        <tr r="D300" s="1"/>
      </tp>
      <tp>
        <v>10409.030000000001</v>
        <stp/>
        <stp>##V3_BDPV12</stp>
        <stp>TRAN Index</stp>
        <stp>PX_LAST</stp>
        <stp>[Index.xlsm]全球指數!R140C4</stp>
        <tr r="D140" s="1"/>
      </tp>
      <tp t="s">
        <v>#N/A N/A</v>
        <stp/>
        <stp>##V3_BDPV12</stp>
        <stp>HSCI Index</stp>
        <stp>PE_RATIO</stp>
        <stp>[Index.xlsm]全球指數!R60C18</stp>
        <tr r="R60" s="1"/>
      </tp>
      <tp t="s">
        <v>US</v>
        <stp/>
        <stp>##V3_BDPV12</stp>
        <stp>S5SFTW Index</stp>
        <stp>DS003</stp>
        <stp>[Index.xlsm]主要產業!R5C3</stp>
        <tr r="C5" s="2"/>
      </tp>
      <tp>
        <v>23891.22</v>
        <stp/>
        <stp>##V3_BDPV12</stp>
        <stp>ITLMS Index</stp>
        <stp>PX_LAST</stp>
        <stp>[Index.xlsm]全球指數!R150C4</stp>
        <tr r="D150" s="1"/>
      </tp>
      <tp>
        <v>19.575253797220451</v>
        <stp/>
        <stp>##V3_BDPV12</stp>
        <stp>HDAX Index</stp>
        <stp>PE_RATIO</stp>
        <stp>[Index.xlsm]全球指數!R86C18</stp>
        <tr r="R86" s="1"/>
      </tp>
      <tp>
        <v>19.189088856447391</v>
        <stp/>
        <stp>##V3_BDPV12</stp>
        <stp>HEXP Index</stp>
        <stp>PE_RATIO</stp>
        <stp>[Index.xlsm]全球指數!R93C18</stp>
        <tr r="R93" s="1"/>
      </tp>
      <tp t="s">
        <v>CH</v>
        <stp/>
        <stp>##V3_BDPV12</stp>
        <stp>SH000911 Index</stp>
        <stp>DS003</stp>
        <stp>[Index.xlsm]主要產業!R51C3</stp>
        <tr r="C51" s="2"/>
      </tp>
      <tp>
        <v>130.69999999999999</v>
        <stp/>
        <stp>##V3_BDPV12</stp>
        <stp>TWSECII Index</stp>
        <stp>HIGH_52WEEK</stp>
        <stp>[Index.xlsm]主要產業!R72C6</stp>
        <tr r="F72" s="2"/>
      </tp>
      <tp>
        <v>43.1</v>
        <stp/>
        <stp>##V3_BDPV12</stp>
        <stp>TWSEGLP Index</stp>
        <stp>HIGH_52WEEK</stp>
        <stp>[Index.xlsm]主要產業!R97C6</stp>
        <tr r="F97" s="2"/>
      </tp>
      <tp>
        <v>1625.1579999999999</v>
        <stp/>
        <stp>##V3_BDPV12</stp>
        <stp>SOX INDEX</stp>
        <stp>HIGH_52WEEK</stp>
        <stp>[Index.xlsm]主要產業!R6C44</stp>
        <tr r="AR6" s="2"/>
      </tp>
      <tp>
        <v>2.1832569999999998</v>
        <stp/>
        <stp>##V3_BDPV12</stp>
        <stp>SPX INDEX</stp>
        <stp>CHG_PCT_1YR</stp>
        <stp>[Index.xlsm]主要產業!R4C53</stp>
        <tr r="BA4" s="2"/>
      </tp>
      <tp>
        <v>456.01</v>
        <stp/>
        <stp>##V3_BDPV12</stp>
        <stp>TWSEELEC Index</stp>
        <stp>PX_LAST</stp>
        <stp>[Index.xlsm]主要產業!R69C4</stp>
        <tr r="D69" s="2"/>
      </tp>
      <tp>
        <v>12288.54</v>
        <stp/>
        <stp>##V3_BDPV12</stp>
        <stp>DAX Index</stp>
        <stp>PX_LAST</stp>
        <stp>[Index.xlsm]全球指數!R99C4</stp>
        <tr r="D99" s="1"/>
      </tp>
      <tp>
        <v>2506.9850000000001</v>
        <stp/>
        <stp>##V3_BDPV12</stp>
        <stp>XAX Index</stp>
        <stp>PX_LAST</stp>
        <stp>[Index.xlsm]全球指數!R39C4</stp>
        <tr r="D39" s="1"/>
      </tp>
      <tp t="s">
        <v>韓國KOSPI100指數</v>
        <stp/>
        <stp>##V3_BDPV12</stp>
        <stp>KOSPI100 Index</stp>
        <stp>DS697</stp>
        <stp>[Index.xlsm]全球指數!R195C2</stp>
        <tr r="B195" s="1"/>
      </tp>
      <tp>
        <v>1.2910170000000001</v>
        <stp/>
        <stp>##V3_BDPV12</stp>
        <stp>SML Index</stp>
        <stp>PR064</stp>
        <stp>[Index.xlsm]全球指數!R104C14</stp>
        <tr r="N104" s="1"/>
      </tp>
      <tp>
        <v>1.377189</v>
        <stp/>
        <stp>##V3_BDPV12</stp>
        <stp>XMI Index</stp>
        <stp>PR064</stp>
        <stp>[Index.xlsm]全球指數!R211C14</stp>
        <tr r="N211" s="1"/>
      </tp>
      <tp>
        <v>1.530972</v>
        <stp/>
        <stp>##V3_BDPV12</stp>
        <stp>SMI Index</stp>
        <stp>PR064</stp>
        <stp>[Index.xlsm]全球指數!R192C14</stp>
        <tr r="N192" s="1"/>
      </tp>
      <tp>
        <v>1.950947</v>
        <stp/>
        <stp>##V3_BDPV12</stp>
        <stp>QMI Index</stp>
        <stp>PR064</stp>
        <stp>[Index.xlsm]全球指數!R103C14</stp>
        <tr r="N103" s="1"/>
      </tp>
      <tp>
        <v>1997.52</v>
        <stp/>
        <stp>##V3_BDPV12</stp>
        <stp>JOSMGNFF Index</stp>
        <stp>HIGH_52WEEK</stp>
        <stp>[Index.xlsm]全球指數!R263C6</stp>
        <tr r="F263" s="1"/>
      </tp>
      <tp>
        <v>13.691937825473449</v>
        <stp/>
        <stp>##V3_BDPV12</stp>
        <stp>MBI Index</stp>
        <stp>INTERVAL_HIGH</stp>
        <stp>[Index.xlsm]全球指數!R314C16</stp>
        <stp>MARKET_DATA_OVERRIDE=PE_RATIO</stp>
        <stp>CALC_INTERVAL=5y</stp>
        <stp>BEST_FPERIOD_OVERRIDE=BF</stp>
        <tr r="P314" s="1"/>
      </tp>
      <tp>
        <v>-0.16645699999999999</v>
        <stp/>
        <stp>##V3_BDPV12</stp>
        <stp>NMX Index</stp>
        <stp>PR064</stp>
        <stp>[Index.xlsm]全球指數!R212C14</stp>
        <tr r="N212" s="1"/>
      </tp>
      <tp>
        <v>72.87870045206104</v>
        <stp/>
        <stp>##V3_BDPV12</stp>
        <stp>ATXPRIME Index</stp>
        <stp>INTERVAL_HIGH</stp>
        <stp>[Index.xlsm]全球指數!R42C16</stp>
        <stp>MARKET_DATA_OVERRIDE=PE_RATIO</stp>
        <stp>CALC_INTERVAL=5y</stp>
        <stp>BEST_FPERIOD_OVERRIDE=BF</stp>
        <tr r="P42" s="1"/>
      </tp>
      <tp>
        <v>1024.68</v>
        <stp/>
        <stp>##V3_BDPV12</stp>
        <stp>VNINDEX Index</stp>
        <stp>HIGH_52WEEK</stp>
        <stp>[Index.xlsm]全球指數!R177C6</stp>
        <tr r="F177" s="1"/>
      </tp>
      <tp>
        <v>-0.52304170000000005</v>
        <stp/>
        <stp>##V3_BDPV12</stp>
        <stp>CHTX Index</stp>
        <stp>CHG_PCT_1D</stp>
        <stp>[Index.xlsm]全球指數!R27C5</stp>
        <tr r="E27" s="1"/>
      </tp>
      <tp>
        <v>218.92355489337587</v>
        <stp/>
        <stp>##V3_BDPV12</stp>
        <stp>IBX Index</stp>
        <stp>INTERVAL_HIGH</stp>
        <stp>[Index.xlsm]全球指數!R279C16</stp>
        <stp>MARKET_DATA_OVERRIDE=PE_RATIO</stp>
        <stp>CALC_INTERVAL=5y</stp>
        <stp>BEST_FPERIOD_OVERRIDE=BF</stp>
        <tr r="P279" s="1"/>
      </tp>
      <tp>
        <v>327.33999999999997</v>
        <stp/>
        <stp>##V3_BDPV12</stp>
        <stp>SXXP Index</stp>
        <stp>LOW_52WEEK</stp>
        <stp>[Index.xlsm]全球指數!R196C8</stp>
        <tr r="H196" s="1"/>
      </tp>
      <tp>
        <v>0.67285989999999996</v>
        <stp/>
        <stp>##V3_BDPV12</stp>
        <stp>LUXXX Index</stp>
        <stp>CHG_PCT_1D</stp>
        <stp>[Index.xlsm]全球指數!R127C5</stp>
        <tr r="E127" s="1"/>
      </tp>
      <tp>
        <v>318.77</v>
        <stp/>
        <stp>##V3_BDPV12</stp>
        <stp>SXXE Index</stp>
        <stp>LOW_52WEEK</stp>
        <stp>[Index.xlsm]全球指數!R156C8</stp>
        <tr r="H156" s="1"/>
      </tp>
      <tp>
        <v>0.43055510000000002</v>
        <stp/>
        <stp>##V3_BDPV12</stp>
        <stp>MADX Index</stp>
        <stp>CHG_PCT_1D</stp>
        <stp>[Index.xlsm]全球指數!R210C5</stp>
        <tr r="E210" s="1"/>
      </tp>
      <tp>
        <v>-0.29509790000000002</v>
        <stp/>
        <stp>##V3_BDPV12</stp>
        <stp>INDU Index</stp>
        <stp>CHG_PCT_1D</stp>
        <stp>[Index.xlsm]全球指數!R170C5</stp>
        <tr r="E170" s="1"/>
      </tp>
      <tp>
        <v>0.58138290000000004</v>
        <stp/>
        <stp>##V3_BDPV12</stp>
        <stp>ISEQ Index</stp>
        <stp>CHG_PCT_1D</stp>
        <stp>[Index.xlsm]全球指數!R241C5</stp>
        <tr r="E241" s="1"/>
      </tp>
      <tp>
        <v>1378.202</v>
        <stp/>
        <stp>##V3_BDPV12</stp>
        <stp>OMX Index</stp>
        <stp>LOW_52WEEK</stp>
        <stp>[Index.xlsm]全球指數!R51C8</stp>
        <tr r="H51" s="1"/>
      </tp>
      <tp>
        <v>6798.9369999999999</v>
        <stp/>
        <stp>##V3_BDPV12</stp>
        <stp>CIND Index</stp>
        <stp>HIGH_52WEEK</stp>
        <stp>[Index.xlsm]全球指數!R25C6</stp>
        <tr r="F25" s="1"/>
      </tp>
      <tp>
        <v>-2.2396759999999998</v>
        <stp/>
        <stp>##V3_BDPV12</stp>
        <stp>SHNCOMP Index</stp>
        <stp>PR064</stp>
        <stp>[Index.xlsm]全球指數!R31C14</stp>
        <tr r="N31" s="1"/>
      </tp>
      <tp>
        <v>4299.3100000000004</v>
        <stp/>
        <stp>##V3_BDPV12</stp>
        <stp>MIDWIG Index</stp>
        <stp>HIGH_52WEEK</stp>
        <stp>[Index.xlsm]全球指數!R21C6</stp>
        <tr r="F21" s="1"/>
      </tp>
      <tp>
        <v>-9.327299E-2</v>
        <stp/>
        <stp>##V3_BDPV12</stp>
        <stp>TSE2 Index</stp>
        <stp>CHG_PCT_1D</stp>
        <stp>[Index.xlsm]全球指數!R261C5</stp>
        <tr r="E261" s="1"/>
      </tp>
      <tp>
        <v>10874.76953125</v>
        <stp/>
        <stp>##V3_BDPV12</stp>
        <stp>MOSENEW Index</stp>
        <stp>LOW_52WEEK</stp>
        <stp>[Index.xlsm]全球指數!R188C8</stp>
        <tr r="H188" s="1"/>
      </tp>
      <tp>
        <v>1028.03</v>
        <stp/>
        <stp>##V3_BDPV12</stp>
        <stp>TR20I Index</stp>
        <stp>PX_LAST</stp>
        <stp>[Index.xlsm]全球指數!R296C4</stp>
        <tr r="D296" s="1"/>
      </tp>
      <tp>
        <v>480.83</v>
        <stp/>
        <stp>##V3_BDPV12</stp>
        <stp>SX8P INDEX</stp>
        <stp>PX_LAST</stp>
        <stp>[Index.xlsm]主要產業!R26C4</stp>
        <tr r="D26" s="2"/>
      </tp>
      <tp t="s">
        <v>CH</v>
        <stp/>
        <stp>##V3_BDPV12</stp>
        <stp>SH000912 Index</stp>
        <stp>DS003</stp>
        <stp>[Index.xlsm]主要產業!R50C3</stp>
        <tr r="C50" s="2"/>
      </tp>
      <tp>
        <v>1319.04</v>
        <stp/>
        <stp>##V3_BDPV12</stp>
        <stp>TWSEBKI Index</stp>
        <stp>HIGH_52WEEK</stp>
        <stp>[Index.xlsm]主要產業!R71C6</stp>
        <tr r="F71" s="2"/>
      </tp>
      <tp>
        <v>8030.6610000000001</v>
        <stp/>
        <stp>##V3_BDPV12</stp>
        <stp>CCMP INDEX</stp>
        <stp>PX_LAST</stp>
        <stp>[Index.xlsm]主要產業!R5C42</stp>
        <tr r="AP5" s="2"/>
      </tp>
      <tp>
        <v>22.707033867206782</v>
        <stp/>
        <stp>##V3_BDPV12</stp>
        <stp>S5INFT Index</stp>
        <stp>PE_RATIO</stp>
        <stp>[Index.xlsm]主要產業!R2C18</stp>
        <tr r="R2" s="2"/>
      </tp>
      <tp>
        <v>4208.33984375</v>
        <stp/>
        <stp>##V3_BDPV12</stp>
        <stp>HSCIFN Index</stp>
        <stp>HIGH_52WEEK</stp>
        <stp>[Index.xlsm]主要產業!R61C6</stp>
        <tr r="F61" s="2"/>
      </tp>
      <tp>
        <v>-4.8218779999999999</v>
        <stp/>
        <stp>##V3_BDPV12</stp>
        <stp>TPELMH Index</stp>
        <stp>CHG_PCT_1YR</stp>
        <stp>[Index.xlsm]主要產業!R37C15</stp>
        <tr r="O37" s="2"/>
      </tp>
      <tp>
        <v>206.5</v>
        <stp/>
        <stp>##V3_BDPV12</stp>
        <stp>2330 TT Equity</stp>
        <stp>LOW_52WEEK</stp>
        <stp>[Index.xlsm]主要產業!R87C28</stp>
        <tr r="AB87" s="2"/>
      </tp>
      <tp>
        <v>-2.7378999999999998</v>
        <stp/>
        <stp>##V3_BDPV12</stp>
        <stp>gbp Curncy</stp>
        <stp>PR064</stp>
        <stp>[Index.xlsm]主要產業!R73C52</stp>
        <tr r="AZ73" s="2"/>
      </tp>
      <tp>
        <v>7.0737030000000001</v>
        <stp/>
        <stp>##V3_BDPV12</stp>
        <stp>SXFP INDEX</stp>
        <stp>CHG_PCT_1M</stp>
        <stp>[Index.xlsm]主要產業!R33C11</stp>
        <tr r="K33" s="2"/>
      </tp>
      <tp>
        <v>8.3903569999999998</v>
        <stp/>
        <stp>##V3_BDPV12</stp>
        <stp>SXFP INDEX</stp>
        <stp>CHG_PCT_3M</stp>
        <stp>[Index.xlsm]主要產業!R33C12</stp>
        <tr r="L33" s="2"/>
      </tp>
      <tp>
        <v>6.06</v>
        <stp/>
        <stp>##V3_BDPV12</stp>
        <stp>600016 CG Equity</stp>
        <stp>PX_LAST</stp>
        <stp>[Index.xlsm]主要產業!R97C24</stp>
        <tr r="X97" s="2"/>
      </tp>
      <tp>
        <v>35.22</v>
        <stp/>
        <stp>##V3_BDPV12</stp>
        <stp>600036 CG Equity</stp>
        <stp>PX_LAST</stp>
        <stp>[Index.xlsm]主要產業!R90C24</stp>
        <tr r="X90" s="2"/>
      </tp>
      <tp>
        <v>17.510000000000002</v>
        <stp/>
        <stp>##V3_BDPV12</stp>
        <stp>601166 CG Equity</stp>
        <stp>PX_LAST</stp>
        <stp>[Index.xlsm]主要產業!R92C24</stp>
        <tr r="X92" s="2"/>
      </tp>
      <tp>
        <v>0.11525009999999999</v>
        <stp/>
        <stp>##V3_BDPV12</stp>
        <stp>SXFP INDEX</stp>
        <stp>CHG_PCT_5D</stp>
        <stp>[Index.xlsm]主要產業!R33C10</stp>
        <tr r="J33" s="2"/>
      </tp>
      <tp>
        <v>13.246</v>
        <stp/>
        <stp>##V3_BDPV12</stp>
        <stp>GE US Equity</stp>
        <stp>HIGH_52WEEK</stp>
        <stp>[Index.xlsm]主要產業!R29C26</stp>
        <tr r="Z29" s="2"/>
      </tp>
      <tp>
        <v>15.20214</v>
        <stp/>
        <stp>##V3_BDPV12</stp>
        <stp>SXFP INDEX</stp>
        <stp>CHG_PCT_6M</stp>
        <stp>[Index.xlsm]主要產業!R33C13</stp>
        <tr r="M33" s="2"/>
      </tp>
      <tp>
        <v>13.216717566498451</v>
        <stp/>
        <stp>##V3_BDPV12</stp>
        <stp>s5matr Index</stp>
        <stp>INTERVAL_Low</stp>
        <stp>[Index.xlsm]主要產業!R16C17</stp>
        <stp>MARKET_DATA_OVERRIDE=PE_RATIO</stp>
        <stp>CALC_INTERVAL=5y</stp>
        <stp>BEST_FPERIOD_OVERRIDE=BF</stp>
        <tr r="Q16" s="2"/>
      </tp>
      <tp>
        <v>14.410502080821546</v>
        <stp/>
        <stp>##V3_BDPV12</stp>
        <stp>MUV2 GR Equity</stp>
        <stp>PE_RATIO</stp>
        <stp>[Index.xlsm]主要產業!R62C38</stp>
        <tr r="AL62" s="2"/>
      </tp>
      <tp>
        <v>2412</v>
        <stp/>
        <stp>##V3_BDPV12</stp>
        <stp>7267 JP Equity</stp>
        <stp>LOW_52WEEK</stp>
        <stp>[Index.xlsm]主要產業!R80C28</stp>
        <tr r="AB80" s="2"/>
      </tp>
      <tp>
        <v>30901</v>
        <stp/>
        <stp>##V3_BDPV12</stp>
        <stp>tw1 elec Index</stp>
        <stp>OPEN_INT</stp>
        <stp>[Index.xlsm]主要產業!R95C44</stp>
        <tr r="AR95" s="2"/>
      </tp>
      <tp>
        <v>35.361954292795829</v>
        <stp/>
        <stp>##V3_BDPV12</stp>
        <stp>TWSEMACH Index</stp>
        <stp>PE_RATIO</stp>
        <stp>[Index.xlsm]主要產業!R87C18</stp>
        <tr r="R87" s="2"/>
      </tp>
      <tp t="s">
        <v>TA</v>
        <stp/>
        <stp>##V3_BDPV12</stp>
        <stp>2330 TT Equity</stp>
        <stp>DS003</stp>
        <stp>[Index.xlsm]主要產業!R87C23</stp>
        <tr r="W87" s="2"/>
      </tp>
      <tp>
        <v>11.43451</v>
        <stp/>
        <stp>##V3_BDPV12</stp>
        <stp>2330 TT Equity</stp>
        <stp>PR064</stp>
        <stp>[Index.xlsm]主要產業!R87C34</stp>
        <tr r="AH87" s="2"/>
      </tp>
      <tp>
        <v>1597.7180000000001</v>
        <stp/>
        <stp>##V3_BDPV12</stp>
        <stp>SZCOMP INDEX</stp>
        <stp>PX_LAST</stp>
        <stp>[Index.xlsm]主要產業!R25C42</stp>
        <tr r="AP25" s="2"/>
      </tp>
      <tp>
        <v>14.299891438493725</v>
        <stp/>
        <stp>##V3_BDPV12</stp>
        <stp>PM US Equity</stp>
        <stp>PE_RATIO</stp>
        <stp>[Index.xlsm]主要產業!R24C38</stp>
        <tr r="AL24" s="2"/>
      </tp>
      <tp>
        <v>14.837186490863569</v>
        <stp/>
        <stp>##V3_BDPV12</stp>
        <stp>GE US Equity</stp>
        <stp>PE_RATIO</stp>
        <stp>[Index.xlsm]主要產業!R29C38</stp>
        <tr r="AL29" s="2"/>
      </tp>
      <tp>
        <v>8.6130136513784983</v>
        <stp/>
        <stp>##V3_BDPV12</stp>
        <stp>GS US Equity</stp>
        <stp>PE_RATIO</stp>
        <stp>[Index.xlsm]主要產業!R30C38</stp>
        <tr r="AL30" s="2"/>
      </tp>
      <tp>
        <v>25.221212802141437</v>
        <stp/>
        <stp>##V3_BDPV12</stp>
        <stp>KO US Equity</stp>
        <stp>PE_RATIO</stp>
        <stp>[Index.xlsm]主要產業!R13C38</stp>
        <tr r="AL13" s="2"/>
      </tp>
      <tp>
        <v>9.2267176766952765</v>
        <stp/>
        <stp>##V3_BDPV12</stp>
        <stp>MS US Equity</stp>
        <stp>PE_RATIO</stp>
        <stp>[Index.xlsm]主要產業!R32C38</stp>
        <tr r="AL32" s="2"/>
      </tp>
      <tp>
        <v>34.595855241447033</v>
        <stp/>
        <stp>##V3_BDPV12</stp>
        <stp>NESN SW Equity</stp>
        <stp>PE_RATIO</stp>
        <stp>[Index.xlsm]主要產業!R67C38</stp>
        <tr r="AL67" s="2"/>
      </tp>
      <tp>
        <v>4507</v>
        <stp/>
        <stp>##V3_BDPV12</stp>
        <stp>6758 JP Equity</stp>
        <stp>LOW_52WEEK</stp>
        <stp>[Index.xlsm]主要產業!R78C28</stp>
        <tr r="AB78" s="2"/>
      </tp>
      <tp>
        <v>20.555483931953432</v>
        <stp/>
        <stp>##V3_BDPV12</stp>
        <stp>RO SW Equity</stp>
        <stp>PE_RATIO</stp>
        <stp>[Index.xlsm]主要產業!R73C38</stp>
        <tr r="AL73" s="2"/>
      </tp>
      <tp>
        <v>29.449360128099499</v>
        <stp/>
        <stp>##V3_BDPV12</stp>
        <stp>NOVN SW Equity</stp>
        <stp>PE_RATIO</stp>
        <stp>[Index.xlsm]主要產業!R68C38</stp>
        <tr r="AL68" s="2"/>
      </tp>
      <tp>
        <v>2687.5</v>
        <stp/>
        <stp>##V3_BDPV12</stp>
        <stp>7751 JP Equity</stp>
        <stp>LOW_52WEEK</stp>
        <stp>[Index.xlsm]主要產業!R81C28</stp>
        <tr r="AB81" s="2"/>
      </tp>
      <tp>
        <v>787.7</v>
        <stp/>
        <stp>##V3_BDPV12</stp>
        <stp>6752 JP Equity</stp>
        <stp>LOW_52WEEK</stp>
        <stp>[Index.xlsm]主要產業!R84C28</stp>
        <tr r="AB84" s="2"/>
      </tp>
      <tp>
        <v>19.316924425080707</v>
        <stp/>
        <stp>##V3_BDPV12</stp>
        <stp>SU FP Equity</stp>
        <stp>PE_RATIO</stp>
        <stp>[Index.xlsm]主要產業!R40C38</stp>
        <tr r="AL40" s="2"/>
      </tp>
      <tp>
        <v>12.745336986833021</v>
        <stp/>
        <stp>##V3_BDPV12</stp>
        <stp>FP FP Equity</stp>
        <stp>PE_RATIO</stp>
        <stp>[Index.xlsm]主要產業!R36C38</stp>
        <tr r="AL36" s="2"/>
      </tp>
      <tp>
        <v>37.365017244430547</v>
        <stp/>
        <stp>##V3_BDPV12</stp>
        <stp>CS FP Equity</stp>
        <stp>PE_RATIO</stp>
        <stp>[Index.xlsm]主要產業!R41C38</stp>
        <tr r="AL41" s="2"/>
      </tp>
      <tp>
        <v>35.638344488023556</v>
        <stp/>
        <stp>##V3_BDPV12</stp>
        <stp>OR FP Equity</stp>
        <stp>PE_RATIO</stp>
        <stp>[Index.xlsm]主要產業!R39C38</stp>
        <tr r="AL39" s="2"/>
      </tp>
      <tp>
        <v>27.44020475126008</v>
        <stp/>
        <stp>##V3_BDPV12</stp>
        <stp>MC FP Equity</stp>
        <stp>PE_RATIO</stp>
        <stp>[Index.xlsm]主要產業!R37C38</stp>
        <tr r="AL37" s="2"/>
      </tp>
      <tp>
        <v>11.15717607932543</v>
        <stp/>
        <stp>##V3_BDPV12</stp>
        <stp>s5sseqx Index</stp>
        <stp>INTERVAL_Low</stp>
        <stp>[Index.xlsm]主要產業!R13C17</stp>
        <stp>MARKET_DATA_OVERRIDE=PE_RATIO</stp>
        <stp>CALC_INTERVAL=5y</stp>
        <stp>BEST_FPERIOD_OVERRIDE=BF</stp>
        <tr r="Q13" s="2"/>
      </tp>
      <tp>
        <v>12.180655136517061</v>
        <stp/>
        <stp>##V3_BDPV12</stp>
        <stp>TPTRAN Index</stp>
        <stp>PE_RATIO</stp>
        <stp>[Index.xlsm]主要產業!R39C18</stp>
        <tr r="R39" s="2"/>
      </tp>
      <tp>
        <v>137.53</v>
        <stp/>
        <stp>##V3_BDPV12</stp>
        <stp>UTX US Equity</stp>
        <stp>PX_LAST</stp>
        <stp>[Index.xlsm]主要產業!R25C24</stp>
        <tr r="X25" s="2"/>
      </tp>
      <tp>
        <v>120.16</v>
        <stp/>
        <stp>##V3_BDPV12</stp>
        <stp>CVX US Equity</stp>
        <stp>PX_LAST</stp>
        <stp>[Index.xlsm]主要產業!R11C24</stp>
        <tr r="X11" s="2"/>
      </tp>
      <tp>
        <v>9731.89</v>
        <stp/>
        <stp>##V3_BDPV12</stp>
        <stp>HSCEI INDEX</stp>
        <stp>LOW_52WEEK</stp>
        <stp>[Index.xlsm]主要產業!R20C46</stp>
        <tr r="AT20" s="2"/>
      </tp>
      <tp>
        <v>1.931182</v>
        <stp/>
        <stp>##V3_BDPV12</stp>
        <stp>SXDP INDEX</stp>
        <stp>CHG_PCT_1M</stp>
        <stp>[Index.xlsm]主要產業!R18C11</stp>
        <tr r="K18" s="2"/>
      </tp>
      <tp>
        <v>6.2863689999999997</v>
        <stp/>
        <stp>##V3_BDPV12</stp>
        <stp>SXDP INDEX</stp>
        <stp>CHG_PCT_3M</stp>
        <stp>[Index.xlsm]主要產業!R18C12</stp>
        <tr r="L18" s="2"/>
      </tp>
      <tp>
        <v>1.3860170000000001</v>
        <stp/>
        <stp>##V3_BDPV12</stp>
        <stp>SXDP INDEX</stp>
        <stp>CHG_PCT_5D</stp>
        <stp>[Index.xlsm]主要產業!R18C10</stp>
        <tr r="J18" s="2"/>
      </tp>
      <tp>
        <v>8.5038959999999992</v>
        <stp/>
        <stp>##V3_BDPV12</stp>
        <stp>SXDP INDEX</stp>
        <stp>CHG_PCT_6M</stp>
        <stp>[Index.xlsm]主要產業!R18C13</stp>
        <tr r="M18" s="2"/>
      </tp>
      <tp>
        <v>-19.747029999999999</v>
        <stp/>
        <stp>##V3_BDPV12</stp>
        <stp>TPNBNK Index</stp>
        <stp>CHG_PCT_1YR</stp>
        <stp>[Index.xlsm]主要產業!R41C15</stp>
        <tr r="O41" s="2"/>
      </tp>
      <tp>
        <v>1636.75</v>
        <stp/>
        <stp>##V3_BDPV12</stp>
        <stp>SET INDEX</stp>
        <stp>PX_LAST</stp>
        <stp>[Index.xlsm]主要產業!R27C42</stp>
        <tr r="AP27" s="2"/>
      </tp>
      <tp>
        <v>14.762208805103784</v>
        <stp/>
        <stp>##V3_BDPV12</stp>
        <stp>TWSEOTHR Index</stp>
        <stp>PE_RATIO</stp>
        <stp>[Index.xlsm]主要產業!R77C18</stp>
        <tr r="R77" s="2"/>
      </tp>
      <tp>
        <v>23891.22</v>
        <stp/>
        <stp>##V3_BDPV12</stp>
        <stp>ITLMS INDEX</stp>
        <stp>PX_LAST</stp>
        <stp>[Index.xlsm]主要產業!R14C42</stp>
        <tr r="AP14" s="2"/>
      </tp>
      <tp>
        <v>46.51</v>
        <stp/>
        <stp>##V3_BDPV12</stp>
        <stp>TSM Equity</stp>
        <stp>HIGH_52WEEK</stp>
        <stp>[Index.xlsm]主要產業!R86C44</stp>
        <tr r="AR86" s="2"/>
      </tp>
      <tp>
        <v>49.97</v>
        <stp/>
        <stp>##V3_BDPV12</stp>
        <stp>BMY US Equity</stp>
        <stp>PX_LAST</stp>
        <stp>[Index.xlsm]主要產業!R28C24</stp>
        <tr r="X28" s="2"/>
      </tp>
      <tp>
        <v>11.154999999999999</v>
        <stp/>
        <stp>##V3_BDPV12</stp>
        <stp>UBSG SW Equity</stp>
        <stp>PX_LAST</stp>
        <stp>[Index.xlsm]主要產業!R70C24</stp>
        <tr r="X70" s="2"/>
      </tp>
      <tp>
        <v>56.51</v>
        <stp/>
        <stp>##V3_BDPV12</stp>
        <stp>EWY US Equity</stp>
        <stp>PX_LAST</stp>
        <stp>[Index.xlsm]主要產業!R88C42</stp>
        <tr r="AP88" s="2"/>
      </tp>
      <tp>
        <v>1.5576840000000001</v>
        <stp/>
        <stp>##V3_BDPV12</stp>
        <stp>LD06TRUU Index</stp>
        <stp>CHG_PCT_3M</stp>
        <stp>[Index.xlsm]主要產業!R37C50</stp>
        <tr r="AX37" s="2"/>
      </tp>
      <tp>
        <v>-0.54721799999999998</v>
        <stp/>
        <stp>##V3_BDPV12</stp>
        <stp>LD06TRUU Index</stp>
        <stp>CHG_PCT_1M</stp>
        <stp>[Index.xlsm]主要產業!R37C49</stp>
        <tr r="AW37" s="2"/>
      </tp>
      <tp>
        <v>-0.40198099999999998</v>
        <stp/>
        <stp>##V3_BDPV12</stp>
        <stp>LD06TRUU Index</stp>
        <stp>CHG_PCT_1D</stp>
        <stp>[Index.xlsm]主要產業!R37C43</stp>
        <tr r="AQ37" s="2"/>
      </tp>
      <tp>
        <v>4.4414049999999996</v>
        <stp/>
        <stp>##V3_BDPV12</stp>
        <stp>LD06TRUU Index</stp>
        <stp>CHG_PCT_6M</stp>
        <stp>[Index.xlsm]主要產業!R37C51</stp>
        <tr r="AY37" s="2"/>
      </tp>
      <tp>
        <v>0.19715440000000001</v>
        <stp/>
        <stp>##V3_BDPV12</stp>
        <stp>LD06TRUU Index</stp>
        <stp>CHG_PCT_5D</stp>
        <stp>[Index.xlsm]主要產業!R37C48</stp>
        <tr r="AV37" s="2"/>
      </tp>
      <tp>
        <v>-6.8957969999999993E-2</v>
        <stp/>
        <stp>##V3_BDPV12</stp>
        <stp>IBEX INDEX</stp>
        <stp>CHG_PCT_5D</stp>
        <stp>[Index.xlsm]主要產業!R13C48</stp>
        <tr r="AV13" s="2"/>
      </tp>
      <tp>
        <v>-1.085604</v>
        <stp/>
        <stp>##V3_BDPV12</stp>
        <stp>IBEX INDEX</stp>
        <stp>CHG_PCT_6M</stp>
        <stp>[Index.xlsm]主要產業!R13C51</stp>
        <tr r="AY13" s="2"/>
      </tp>
      <tp>
        <v>404.46</v>
        <stp/>
        <stp>##V3_BDPV12</stp>
        <stp>TAMSCI INDEX</stp>
        <stp>PX_LAST</stp>
        <stp>[Index.xlsm]主要產業!R95C46</stp>
        <tr r="AT95" s="2"/>
      </tp>
      <tp>
        <v>0.48870150000000001</v>
        <stp/>
        <stp>##V3_BDPV12</stp>
        <stp>IBEX INDEX</stp>
        <stp>CHG_PCT_1D</stp>
        <stp>[Index.xlsm]主要產業!R13C43</stp>
        <tr r="AQ13" s="2"/>
      </tp>
      <tp>
        <v>4.5916410000000001</v>
        <stp/>
        <stp>##V3_BDPV12</stp>
        <stp>IBEX INDEX</stp>
        <stp>CHG_PCT_1M</stp>
        <stp>[Index.xlsm]主要產業!R13C49</stp>
        <tr r="AW13" s="2"/>
      </tp>
      <tp>
        <v>-0.19785749999999999</v>
        <stp/>
        <stp>##V3_BDPV12</stp>
        <stp>IBEX INDEX</stp>
        <stp>CHG_PCT_3M</stp>
        <stp>[Index.xlsm]主要產業!R13C50</stp>
        <tr r="AX13" s="2"/>
      </tp>
      <tp>
        <v>7.0861349999999996</v>
        <stp/>
        <stp>##V3_BDPV12</stp>
        <stp>SXEP INDEX</stp>
        <stp>CHG_PCT_1M</stp>
        <stp>[Index.xlsm]主要產業!R23C11</stp>
        <tr r="K23" s="2"/>
      </tp>
      <tp>
        <v>-3.4662060000000001</v>
        <stp/>
        <stp>##V3_BDPV12</stp>
        <stp>SXEP INDEX</stp>
        <stp>CHG_PCT_3M</stp>
        <stp>[Index.xlsm]主要產業!R23C12</stp>
        <tr r="L23" s="2"/>
      </tp>
      <tp>
        <v>-1.455344</v>
        <stp/>
        <stp>##V3_BDPV12</stp>
        <stp>SXEP INDEX</stp>
        <stp>CHG_PCT_5D</stp>
        <stp>[Index.xlsm]主要產業!R23C10</stp>
        <tr r="J23" s="2"/>
      </tp>
      <tp>
        <v>-6.1284010000000002</v>
        <stp/>
        <stp>##V3_BDPV12</stp>
        <stp>SXEP INDEX</stp>
        <stp>CHG_PCT_6M</stp>
        <stp>[Index.xlsm]主要產業!R23C13</stp>
        <tr r="M23" s="2"/>
      </tp>
      <tp>
        <v>-19.097940000000001</v>
        <stp/>
        <stp>##V3_BDPV12</stp>
        <stp>HSCICO Index</stp>
        <stp>CHG_PCT_1YR</stp>
        <stp>[Index.xlsm]主要產業!R59C15</stp>
        <tr r="O59" s="2"/>
      </tp>
      <tp>
        <v>11.225276691885556</v>
        <stp/>
        <stp>##V3_BDPV12</stp>
        <stp>HSBA LN Equity</stp>
        <stp>PE_RATIO</stp>
        <stp>[Index.xlsm]主要產業!R44C38</stp>
        <tr r="AL44" s="2"/>
      </tp>
      <tp>
        <v>0.62549999999999994</v>
        <stp/>
        <stp>##V3_BDPV12</stp>
        <stp>nzd Curncy</stp>
        <stp>LOW_52WEEK</stp>
        <stp>[Index.xlsm]主要產業!R75C46</stp>
        <tr r="AT75" s="2"/>
      </tp>
      <tp>
        <v>0.66769999999999996</v>
        <stp/>
        <stp>##V3_BDPV12</stp>
        <stp>aud Curncy</stp>
        <stp>LOW_52WEEK</stp>
        <stp>[Index.xlsm]主要產業!R74C46</stp>
        <tr r="AT74" s="2"/>
      </tp>
      <tp>
        <v>1.1651</v>
        <stp/>
        <stp>##V3_BDPV12</stp>
        <stp>EUR Curncy</stp>
        <stp>HIGH_52WEEK</stp>
        <stp>[Index.xlsm]主要產業!R72C44</stp>
        <tr r="AR72" s="2"/>
      </tp>
      <tp>
        <v>7.1875999999999998</v>
        <stp/>
        <stp>##V3_BDPV12</stp>
        <stp>CNY Curncy</stp>
        <stp>HIGH_52WEEK</stp>
        <stp>[Index.xlsm]主要產業!R77C44</stp>
        <tr r="AR77" s="2"/>
      </tp>
      <tp>
        <v>4.1939000000000002</v>
        <stp/>
        <stp>##V3_BDPV12</stp>
        <stp>BRL Curncy</stp>
        <stp>HIGH_52WEEK</stp>
        <stp>[Index.xlsm]主要產業!R78C44</stp>
        <tr r="AR78" s="2"/>
      </tp>
      <tp>
        <v>61.998699999999999</v>
        <stp/>
        <stp>##V3_BDPV12</stp>
        <stp>ARS Curncy</stp>
        <stp>HIGH_52WEEK</stp>
        <stp>[Index.xlsm]主要產業!R81C44</stp>
        <tr r="AR81" s="2"/>
      </tp>
      <tp>
        <v>2130.83</v>
        <stp/>
        <stp>##V3_BDPV12</stp>
        <stp>LF98TRUU Index</stp>
        <stp>PX_LAST</stp>
        <stp>[Index.xlsm]主要產業!R34C42</stp>
        <tr r="AP34" s="2"/>
      </tp>
      <tp>
        <v>1222.75</v>
        <stp/>
        <stp>##V3_BDPV12</stp>
        <stp>KRW Curncy</stp>
        <stp>HIGH_52WEEK</stp>
        <stp>[Index.xlsm]主要產業!R71C44</stp>
        <tr r="AR71" s="2"/>
      </tp>
      <tp>
        <v>114.55</v>
        <stp/>
        <stp>##V3_BDPV12</stp>
        <stp>JPY Curncy</stp>
        <stp>HIGH_52WEEK</stp>
        <stp>[Index.xlsm]主要產業!R70C44</stp>
        <tr r="AR70" s="2"/>
      </tp>
      <tp>
        <v>74.482500000000002</v>
        <stp/>
        <stp>##V3_BDPV12</stp>
        <stp>INR Curncy</stp>
        <stp>HIGH_52WEEK</stp>
        <stp>[Index.xlsm]主要產業!R82C44</stp>
        <tr r="AR82" s="2"/>
      </tp>
      <tp>
        <v>7.8503999999999996</v>
        <stp/>
        <stp>##V3_BDPV12</stp>
        <stp>HKD Curncy</stp>
        <stp>HIGH_52WEEK</stp>
        <stp>[Index.xlsm]主要產業!R76C44</stp>
        <tr r="AR76" s="2"/>
      </tp>
      <tp>
        <v>6.3960999999999997</v>
        <stp/>
        <stp>##V3_BDPV12</stp>
        <stp>TRY Curncy</stp>
        <stp>HIGH_52WEEK</stp>
        <stp>[Index.xlsm]主要產業!R79C44</stp>
        <tr r="AR79" s="2"/>
      </tp>
      <tp>
        <v>0.19821605550048427</v>
        <stp/>
        <stp>##V3_BDPV12</stp>
        <stp>TW1 pit Index</stp>
        <stp>CHG_PCT_1D</stp>
        <stp>[Index.xlsm]主要產業!R97C43</stp>
        <tr r="AQ97" s="2"/>
      </tp>
      <tp>
        <v>69.818100000000001</v>
        <stp/>
        <stp>##V3_BDPV12</stp>
        <stp>RUB Curncy</stp>
        <stp>HIGH_52WEEK</stp>
        <stp>[Index.xlsm]主要產業!R83C44</stp>
        <tr r="AR83" s="2"/>
      </tp>
      <tp>
        <v>15.499499999999999</v>
        <stp/>
        <stp>##V3_BDPV12</stp>
        <stp>ZAR Curncy</stp>
        <stp>HIGH_52WEEK</stp>
        <stp>[Index.xlsm]主要產業!R80C44</stp>
        <tr r="AR80" s="2"/>
      </tp>
      <tp>
        <v>1.3381000000000001</v>
        <stp/>
        <stp>##V3_BDPV12</stp>
        <stp>gbp Curncy</stp>
        <stp>HIGH_52WEEK</stp>
        <stp>[Index.xlsm]主要產業!R73C44</stp>
        <tr r="AR73" s="2"/>
      </tp>
      <tp>
        <v>0.73939999999999995</v>
        <stp/>
        <stp>##V3_BDPV12</stp>
        <stp>aud Curncy</stp>
        <stp>HIGH_52WEEK</stp>
        <stp>[Index.xlsm]主要產業!R74C44</stp>
        <tr r="AR74" s="2"/>
      </tp>
      <tp>
        <v>3941.07</v>
        <stp/>
        <stp>##V3_BDPV12</stp>
        <stp>HSCCI INDEX</stp>
        <stp>LOW_52WEEK</stp>
        <stp>[Index.xlsm]主要產業!R21C46</stp>
        <tr r="AT21" s="2"/>
      </tp>
      <tp>
        <v>0.69699999999999995</v>
        <stp/>
        <stp>##V3_BDPV12</stp>
        <stp>nzd Curncy</stp>
        <stp>HIGH_52WEEK</stp>
        <stp>[Index.xlsm]主要產業!R75C44</stp>
        <tr r="AR75" s="2"/>
      </tp>
      <tp>
        <v>33291.578125</v>
        <stp/>
        <stp>##V3_BDPV12</stp>
        <stp>SENSEX INDEX</stp>
        <stp>LOW_52WEEK</stp>
        <stp>[Index.xlsm]主要產業!R26C46</stp>
        <tr r="AT26" s="2"/>
      </tp>
      <tp>
        <v>26.22</v>
        <stp/>
        <stp>##V3_BDPV12</stp>
        <stp>000002 CS Equity</stp>
        <stp>PX_LAST</stp>
        <stp>[Index.xlsm]主要產業!R95C24</stp>
        <tr r="X95" s="2"/>
      </tp>
      <tp>
        <v>-6.8782680000000003</v>
        <stp/>
        <stp>##V3_BDPV12</stp>
        <stp>HSCIFN Index</stp>
        <stp>CHG_PCT_1YR</stp>
        <stp>[Index.xlsm]主要產業!R61C15</stp>
        <tr r="O61" s="2"/>
      </tp>
      <tp>
        <v>-25.798349999999999</v>
        <stp/>
        <stp>##V3_BDPV12</stp>
        <stp>HSCIEN Index</stp>
        <stp>CHG_PCT_1YR</stp>
        <stp>[Index.xlsm]主要產業!R60C15</stp>
        <tr r="O60" s="2"/>
      </tp>
      <tp>
        <v>-5.2590260000000004</v>
        <stp/>
        <stp>##V3_BDPV12</stp>
        <stp>HSCIIN Index</stp>
        <stp>CHG_PCT_1YR</stp>
        <stp>[Index.xlsm]主要產業!R62C15</stp>
        <tr r="O62" s="2"/>
      </tp>
      <tp>
        <v>-5.9402439999999999</v>
        <stp/>
        <stp>##V3_BDPV12</stp>
        <stp>TPCOMM Index</stp>
        <stp>CHG_PCT_1YR</stp>
        <stp>[Index.xlsm]主要產業!R38C15</stp>
        <tr r="O38" s="2"/>
      </tp>
      <tp>
        <v>-11.04468</v>
        <stp/>
        <stp>##V3_BDPV12</stp>
        <stp>TPNCHM Index</stp>
        <stp>CHG_PCT_1YR</stp>
        <stp>[Index.xlsm]主要產業!R40C15</stp>
        <tr r="O40" s="2"/>
      </tp>
      <tp>
        <v>11.667044303367291</v>
        <stp/>
        <stp>##V3_BDPV12</stp>
        <stp>INTC US Equity</stp>
        <stp>PE_RATIO</stp>
        <stp>[Index.xlsm]主要產業!R10C38</stp>
        <tr r="AL10" s="2"/>
      </tp>
      <tp>
        <v>7.9243700043493961</v>
        <stp/>
        <stp>##V3_BDPV12</stp>
        <stp>INGA NA Equity</stp>
        <stp>PE_RATIO</stp>
        <stp>[Index.xlsm]主要產業!R76C38</stp>
        <tr r="AL76" s="2"/>
      </tp>
      <tp>
        <v>20.40009188401832</v>
        <stp/>
        <stp>##V3_BDPV12</stp>
        <stp>TWSEPP Index</stp>
        <stp>PE_RATIO</stp>
        <stp>[Index.xlsm]主要產業!R95C18</stp>
        <tr r="R95" s="2"/>
      </tp>
      <tp>
        <v>4.6944999999999997</v>
        <stp/>
        <stp>##V3_BDPV12</stp>
        <stp>BBVA SM Equity</stp>
        <stp>PX_LAST</stp>
        <stp>[Index.xlsm]主要產業!R65C24</stp>
        <tr r="X65" s="2"/>
      </tp>
      <tp>
        <v>-0.49299999999999999</v>
        <stp/>
        <stp>##V3_BDPV12</stp>
        <stp>GECU2YR INDEX</stp>
        <stp>HIGH_52WEEK</stp>
        <stp>[Index.xlsm]主要產業!R59C44</stp>
        <tr r="AR59" s="2"/>
      </tp>
      <tp>
        <v>619.20000000000005</v>
        <stp/>
        <stp>##V3_BDPV12</stp>
        <stp>HSBA LN Equity</stp>
        <stp>PX_LAST</stp>
        <stp>[Index.xlsm]主要產業!R44C24</stp>
        <tr r="X44" s="2"/>
      </tp>
      <tp>
        <v>9.43</v>
        <stp/>
        <stp>##V3_BDPV12</stp>
        <stp>INGA NA Equity</stp>
        <stp>PX_LAST</stp>
        <stp>[Index.xlsm]主要產業!R76C24</stp>
        <tr r="X76" s="2"/>
      </tp>
      <tp>
        <v>2363</v>
        <stp/>
        <stp>##V3_BDPV12</stp>
        <stp>RDSA LN Equity</stp>
        <stp>PX_LAST</stp>
        <stp>[Index.xlsm]主要產業!R74C24</stp>
        <tr r="X74" s="2"/>
      </tp>
      <tp>
        <v>43.92</v>
        <stp/>
        <stp>##V3_BDPV12</stp>
        <stp>PHIA NA Equity</stp>
        <stp>PX_LAST</stp>
        <stp>[Index.xlsm]主要產業!R75C24</stp>
        <tr r="X75" s="2"/>
      </tp>
      <tp>
        <v>-11.18289</v>
        <stp/>
        <stp>##V3_BDPV12</stp>
        <stp>TPTRAN Index</stp>
        <stp>CHG_PCT_1YR</stp>
        <stp>[Index.xlsm]主要產業!R39C15</stp>
        <tr r="O39" s="2"/>
      </tp>
      <tp>
        <v>-33.451999999999998</v>
        <stp/>
        <stp>##V3_BDPV12</stp>
        <stp>GECU2YR INDEX</stp>
        <stp>CHG_PCT_6M</stp>
        <stp>[Index.xlsm]主要產業!R59C51</stp>
        <tr r="AY59" s="2"/>
      </tp>
      <tp>
        <v>-3.5910000000000002</v>
        <stp/>
        <stp>##V3_BDPV12</stp>
        <stp>GECU2YR INDEX</stp>
        <stp>CHG_PCT_5D</stp>
        <stp>[Index.xlsm]主要產業!R59C48</stp>
        <tr r="AV59" s="2"/>
      </tp>
      <tp>
        <v>-2.74</v>
        <stp/>
        <stp>##V3_BDPV12</stp>
        <stp>GECU2YR INDEX</stp>
        <stp>CHG_PCT_3M</stp>
        <stp>[Index.xlsm]主要產業!R59C50</stp>
        <tr r="AX59" s="2"/>
      </tp>
      <tp>
        <v>16.201000000000001</v>
        <stp/>
        <stp>##V3_BDPV12</stp>
        <stp>GECU2YR INDEX</stp>
        <stp>CHG_PCT_1M</stp>
        <stp>[Index.xlsm]主要產業!R59C49</stp>
        <tr r="AW59" s="2"/>
      </tp>
      <tp>
        <v>-1.6E-2</v>
        <stp/>
        <stp>##V3_BDPV12</stp>
        <stp>GECU2YR INDEX</stp>
        <stp>CHG_NET_1D</stp>
        <stp>[Index.xlsm]主要產業!R59C43</stp>
        <tr r="AQ59" s="2"/>
      </tp>
      <tp>
        <v>11.97</v>
        <stp/>
        <stp>##V3_BDPV12</stp>
        <stp>600000 CG Equity</stp>
        <stp>PX_LAST</stp>
        <stp>[Index.xlsm]主要產業!R96C24</stp>
        <tr r="X96" s="2"/>
      </tp>
      <tp>
        <v>22.72</v>
        <stp/>
        <stp>##V3_BDPV12</stp>
        <stp>600030 CG Equity</stp>
        <stp>PX_LAST</stp>
        <stp>[Index.xlsm]主要產業!R94C24</stp>
        <tr r="X94" s="2"/>
      </tp>
      <tp>
        <v>392.65</v>
        <stp/>
        <stp>##V3_BDPV12</stp>
        <stp>MC FP Equity</stp>
        <stp>HIGH_52WEEK</stp>
        <stp>[Index.xlsm]主要產業!R37C26</stp>
        <tr r="Z37" s="2"/>
      </tp>
      <tp>
        <v>3888</v>
        <stp/>
        <stp>##V3_BDPV12</stp>
        <stp>5108 JP Equity</stp>
        <stp>LOW_52WEEK</stp>
        <stp>[Index.xlsm]主要產業!R83C28</stp>
        <tr r="AB83" s="2"/>
      </tp>
      <tp>
        <v>480</v>
        <stp/>
        <stp>##V3_BDPV12</stp>
        <stp>8306 JP Equity</stp>
        <stp>LOW_52WEEK</stp>
        <stp>[Index.xlsm]主要產業!R79C28</stp>
        <tr r="AB79" s="2"/>
      </tp>
      <tp>
        <v>635.1</v>
        <stp/>
        <stp>##V3_BDPV12</stp>
        <stp>7201 JP Equity</stp>
        <stp>LOW_52WEEK</stp>
        <stp>[Index.xlsm]主要產業!R85C28</stp>
        <tr r="AB85" s="2"/>
      </tp>
      <tp>
        <v>6045</v>
        <stp/>
        <stp>##V3_BDPV12</stp>
        <stp>7203 JP Equity</stp>
        <stp>LOW_52WEEK</stp>
        <stp>[Index.xlsm]主要產業!R77C28</stp>
        <tr r="AB77" s="2"/>
      </tp>
      <tp>
        <v>12.855510000000001</v>
        <stp/>
        <stp>##V3_BDPV12</stp>
        <stp>SHSZ300 INDEX</stp>
        <stp>CHG_PCT_1YR</stp>
        <stp>[Index.xlsm]主要產業!R24C53</stp>
        <tr r="BA24" s="2"/>
      </tp>
      <tp>
        <v>23.329836161033203</v>
        <stp/>
        <stp>##V3_BDPV12</stp>
        <stp>KOSPTREQ Index</stp>
        <stp>PE_RATIO</stp>
        <stp>[Index.xlsm]主要產業!R46C18</stp>
        <tr r="R46" s="2"/>
      </tp>
      <tp>
        <v>149.13999999999999</v>
        <stp/>
        <stp>##V3_BDPV12</stp>
        <stp>BARC LN Equity</stp>
        <stp>PX_LAST</stp>
        <stp>[Index.xlsm]主要產業!R54C24</stp>
        <tr r="X54" s="2"/>
      </tp>
      <tp>
        <v>34.711280000000002</v>
        <stp/>
        <stp>##V3_BDPV12</stp>
        <stp>BDIY Index</stp>
        <stp>CHG_PCT_1YR</stp>
        <stp>[Index.xlsm]主要產業!R40C53</stp>
        <tr r="BA40" s="2"/>
      </tp>
      <tp>
        <v>50.92</v>
        <stp/>
        <stp>##V3_BDPV12</stp>
        <stp>INTC US Equity</stp>
        <stp>PX_LAST</stp>
        <stp>[Index.xlsm]主要產業!R10C24</stp>
        <tr r="X10" s="2"/>
      </tp>
      <tp>
        <v>6.5443870000000004</v>
        <stp/>
        <stp>##V3_BDPV12</stp>
        <stp>SXAP INDEX</stp>
        <stp>CHG_PCT_1M</stp>
        <stp>[Index.xlsm]主要產業!R31C11</stp>
        <tr r="K31" s="2"/>
      </tp>
      <tp>
        <v>-2.6585230000000002</v>
        <stp/>
        <stp>##V3_BDPV12</stp>
        <stp>SXAP INDEX</stp>
        <stp>CHG_PCT_3M</stp>
        <stp>[Index.xlsm]主要產業!R31C12</stp>
        <tr r="L31" s="2"/>
      </tp>
      <tp>
        <v>57.62</v>
        <stp/>
        <stp>##V3_BDPV12</stp>
        <stp>000651 CS Equity</stp>
        <stp>PX_LAST</stp>
        <stp>[Index.xlsm]主要產業!R91C24</stp>
        <tr r="X91" s="2"/>
      </tp>
      <tp>
        <v>-3.8954970000000002</v>
        <stp/>
        <stp>##V3_BDPV12</stp>
        <stp>SXAP INDEX</stp>
        <stp>CHG_PCT_5D</stp>
        <stp>[Index.xlsm]主要產業!R31C10</stp>
        <tr r="J31" s="2"/>
      </tp>
      <tp>
        <v>-2.123221</v>
        <stp/>
        <stp>##V3_BDPV12</stp>
        <stp>SXAP INDEX</stp>
        <stp>CHG_PCT_6M</stp>
        <stp>[Index.xlsm]主要產業!R31C13</stp>
        <tr r="M31" s="2"/>
      </tp>
      <tp>
        <v>-1.7554879999999999</v>
        <stp/>
        <stp>##V3_BDPV12</stp>
        <stp>HSCIPC Index</stp>
        <stp>CHG_PCT_1YR</stp>
        <stp>[Index.xlsm]主要產業!R65C15</stp>
        <tr r="O65" s="2"/>
      </tp>
      <tp>
        <v>-7.5059849999999999</v>
        <stp/>
        <stp>##V3_BDPV12</stp>
        <stp>HSCITC Index</stp>
        <stp>CHG_PCT_1YR</stp>
        <stp>[Index.xlsm]主要產業!R67C15</stp>
        <tr r="O67" s="2"/>
      </tp>
      <tp>
        <v>12.368926017145965</v>
        <stp/>
        <stp>##V3_BDPV12</stp>
        <stp>SX86P INDEX</stp>
        <stp>INTERVAL_HIGH</stp>
        <stp>[Index.xlsm]主要產業!R34C16</stp>
        <stp>MARKET_DATA_OVERRIDE=PE_RATIO</stp>
        <stp>CALC_INTERVAL=5y</stp>
        <stp>BEST_FPERIOD_OVERRIDE=BF</stp>
        <tr r="P34" s="2"/>
      </tp>
      <tp>
        <v>3.8453620000000002</v>
        <stp/>
        <stp>##V3_BDPV12</stp>
        <stp>s5FDSR index</stp>
        <stp>CHG_PCT_1M</stp>
        <stp>[Index.xlsm]主要產業!R17C11</stp>
        <tr r="K17" s="2"/>
      </tp>
      <tp>
        <v>7.8733510000000004</v>
        <stp/>
        <stp>##V3_BDPV12</stp>
        <stp>s5FDSR index</stp>
        <stp>CHG_PCT_3M</stp>
        <stp>[Index.xlsm]主要產業!R17C12</stp>
        <tr r="L17" s="2"/>
      </tp>
      <tp>
        <v>13712.56</v>
        <stp/>
        <stp>##V3_BDPV12</stp>
        <stp>XIN9I INDEX</stp>
        <stp>PX_LAST</stp>
        <stp>[Index.xlsm]主要產業!R22C42</stp>
        <tr r="AP22" s="2"/>
      </tp>
      <tp>
        <v>13712.56</v>
        <stp/>
        <stp>##V3_BDPV12</stp>
        <stp>XIN9I INDEX</stp>
        <stp>PX_LAST</stp>
        <stp>[Index.xlsm]主要產業!R94C46</stp>
        <tr r="AT94" s="2"/>
      </tp>
      <tp>
        <v>0.42896909999999999</v>
        <stp/>
        <stp>##V3_BDPV12</stp>
        <stp>s5FDSR index</stp>
        <stp>CHG_PCT_5D</stp>
        <stp>[Index.xlsm]主要產業!R17C10</stp>
        <tr r="J17" s="2"/>
      </tp>
      <tp>
        <v>15.27838</v>
        <stp/>
        <stp>##V3_BDPV12</stp>
        <stp>s5FDSR index</stp>
        <stp>CHG_PCT_6M</stp>
        <stp>[Index.xlsm]主要產業!R17C13</stp>
        <tr r="M17" s="2"/>
      </tp>
      <tp>
        <v>4.860270795353407</v>
        <stp/>
        <stp>##V3_BDPV12</stp>
        <stp>000651 CS Equity</stp>
        <stp>INTERVAL_Low</stp>
        <stp>[Index.xlsm]主要產業!R91C37</stp>
        <stp>MARKET_DATA_OVERRIDE=PE_RATIO</stp>
        <stp>CALC_INTERVAL=5y</stp>
        <stp>BEST_FPERIOD_OVERRIDE=BF</stp>
        <tr r="AK91" s="2"/>
      </tp>
      <tp>
        <v>10.627165207409977</v>
        <stp/>
        <stp>##V3_BDPV12</stp>
        <stp>600519 CG Equity</stp>
        <stp>INTERVAL_Low</stp>
        <stp>[Index.xlsm]主要產業!R89C37</stp>
        <stp>MARKET_DATA_OVERRIDE=PE_RATIO</stp>
        <stp>CALC_INTERVAL=5y</stp>
        <stp>BEST_FPERIOD_OVERRIDE=BF</stp>
        <tr r="AK89" s="2"/>
      </tp>
      <tp>
        <v>6.6343354103146472</v>
        <stp/>
        <stp>##V3_BDPV12</stp>
        <stp>600030 CG Equity</stp>
        <stp>INTERVAL_Low</stp>
        <stp>[Index.xlsm]主要產業!R94C37</stp>
        <stp>MARKET_DATA_OVERRIDE=PE_RATIO</stp>
        <stp>CALC_INTERVAL=5y</stp>
        <stp>BEST_FPERIOD_OVERRIDE=BF</stp>
        <tr r="AK94" s="2"/>
      </tp>
      <tp>
        <v>3.7292946804538869</v>
        <stp/>
        <stp>##V3_BDPV12</stp>
        <stp>600036 CG Equity</stp>
        <stp>INTERVAL_Low</stp>
        <stp>[Index.xlsm]主要產業!R90C37</stp>
        <stp>MARKET_DATA_OVERRIDE=PE_RATIO</stp>
        <stp>CALC_INTERVAL=5y</stp>
        <stp>BEST_FPERIOD_OVERRIDE=BF</stp>
        <tr r="AK90" s="2"/>
      </tp>
      <tp>
        <v>4.0276767825217803</v>
        <stp/>
        <stp>##V3_BDPV12</stp>
        <stp>600016 CG Equity</stp>
        <stp>INTERVAL_Low</stp>
        <stp>[Index.xlsm]主要產業!R97C37</stp>
        <stp>MARKET_DATA_OVERRIDE=PE_RATIO</stp>
        <stp>CALC_INTERVAL=5y</stp>
        <stp>BEST_FPERIOD_OVERRIDE=BF</stp>
        <tr r="AK97" s="2"/>
      </tp>
      <tp>
        <v>3.3837206627338423</v>
        <stp/>
        <stp>##V3_BDPV12</stp>
        <stp>600000 CG Equity</stp>
        <stp>INTERVAL_Low</stp>
        <stp>[Index.xlsm]主要產業!R96C37</stp>
        <stp>MARKET_DATA_OVERRIDE=PE_RATIO</stp>
        <stp>CALC_INTERVAL=5y</stp>
        <stp>BEST_FPERIOD_OVERRIDE=BF</stp>
        <tr r="AK96" s="2"/>
      </tp>
      <tp>
        <v>5.2072062391631571</v>
        <stp/>
        <stp>##V3_BDPV12</stp>
        <stp>000002 CS Equity</stp>
        <stp>INTERVAL_Low</stp>
        <stp>[Index.xlsm]主要產業!R95C37</stp>
        <stp>MARKET_DATA_OVERRIDE=PE_RATIO</stp>
        <stp>CALC_INTERVAL=5y</stp>
        <stp>BEST_FPERIOD_OVERRIDE=BF</stp>
        <tr r="AK95" s="2"/>
      </tp>
      <tp>
        <v>19.073343613492174</v>
        <stp/>
        <stp>##V3_BDPV12</stp>
        <stp>TWSEDEPT Index</stp>
        <stp>PE_RATIO</stp>
        <stp>[Index.xlsm]主要產業!R85C18</stp>
        <tr r="R85" s="2"/>
      </tp>
      <tp>
        <v>10.258389889458458</v>
        <stp/>
        <stp>##V3_BDPV12</stp>
        <stp>000858 CS Equity</stp>
        <stp>INTERVAL_Low</stp>
        <stp>[Index.xlsm]主要產業!R93C37</stp>
        <stp>MARKET_DATA_OVERRIDE=PE_RATIO</stp>
        <stp>CALC_INTERVAL=5y</stp>
        <stp>BEST_FPERIOD_OVERRIDE=BF</stp>
        <tr r="AK93" s="2"/>
      </tp>
      <tp>
        <v>1.55078</v>
        <stp/>
        <stp>##V3_BDPV12</stp>
        <stp>V2X Index</stp>
        <stp>CHG_PCT_6M</stp>
        <stp>[Index.xlsm]主要產業!R67C51</stp>
        <tr r="AY67" s="2"/>
      </tp>
      <tp>
        <v>14.385210000000001</v>
        <stp/>
        <stp>##V3_BDPV12</stp>
        <stp>V2X Index</stp>
        <stp>CHG_PCT_5D</stp>
        <stp>[Index.xlsm]主要產業!R67C48</stp>
        <tr r="AV67" s="2"/>
      </tp>
      <tp>
        <v>17.493310000000001</v>
        <stp/>
        <stp>##V3_BDPV12</stp>
        <stp>V2X Index</stp>
        <stp>CHG_PCT_3M</stp>
        <stp>[Index.xlsm]主要產業!R67C50</stp>
        <tr r="AX67" s="2"/>
      </tp>
      <tp>
        <v>-3.7391260000000002</v>
        <stp/>
        <stp>##V3_BDPV12</stp>
        <stp>V2X Index</stp>
        <stp>CHG_PCT_1D</stp>
        <stp>[Index.xlsm]主要產業!R67C43</stp>
        <tr r="AQ67" s="2"/>
      </tp>
      <tp>
        <v>-14.67548</v>
        <stp/>
        <stp>##V3_BDPV12</stp>
        <stp>V2X Index</stp>
        <stp>CHG_PCT_1M</stp>
        <stp>[Index.xlsm]主要產業!R67C49</stp>
        <tr r="AW67" s="2"/>
      </tp>
      <tp>
        <v>64.19</v>
        <stp/>
        <stp>##V3_BDPV12</stp>
        <stp>EMR US Equity</stp>
        <stp>PX_LAST</stp>
        <stp>[Index.xlsm]主要產業!R33C24</stp>
        <tr r="X33" s="2"/>
      </tp>
      <tp>
        <v>22.905481351816768</v>
        <stp/>
        <stp>##V3_BDPV12</stp>
        <stp>7751 JP Equity</stp>
        <stp>INTERVAL_HIGH</stp>
        <stp>[Index.xlsm]主要產業!R81C36</stp>
        <stp>MARKET_DATA_OVERRIDE=PE_RATIO</stp>
        <stp>CALC_INTERVAL=5y</stp>
        <stp>BEST_FPERIOD_OVERRIDE=BF</stp>
        <tr r="AJ81" s="2"/>
      </tp>
      <tp>
        <v>183.72929679286716</v>
        <stp/>
        <stp>##V3_BDPV12</stp>
        <stp>6752 JP Equity</stp>
        <stp>INTERVAL_HIGH</stp>
        <stp>[Index.xlsm]主要產業!R84C36</stp>
        <stp>MARKET_DATA_OVERRIDE=PE_RATIO</stp>
        <stp>CALC_INTERVAL=5y</stp>
        <stp>BEST_FPERIOD_OVERRIDE=BF</stp>
        <tr r="AJ84" s="2"/>
      </tp>
      <tp>
        <v>74.37036031186679</v>
        <stp/>
        <stp>##V3_BDPV12</stp>
        <stp>6758 JP Equity</stp>
        <stp>INTERVAL_HIGH</stp>
        <stp>[Index.xlsm]主要產業!R78C36</stp>
        <stp>MARKET_DATA_OVERRIDE=PE_RATIO</stp>
        <stp>CALC_INTERVAL=5y</stp>
        <stp>BEST_FPERIOD_OVERRIDE=BF</stp>
        <tr r="AJ78" s="2"/>
      </tp>
      <tp>
        <v>4.2914260000000004</v>
        <stp/>
        <stp>##V3_BDPV12</stp>
        <stp>SXNP INDEX</stp>
        <stp>CHG_PCT_1M</stp>
        <stp>[Index.xlsm]主要產業!R19C11</stp>
        <tr r="K19" s="2"/>
      </tp>
      <tp>
        <v>0.23796629999999999</v>
        <stp/>
        <stp>##V3_BDPV12</stp>
        <stp>SXNP INDEX</stp>
        <stp>CHG_PCT_3M</stp>
        <stp>[Index.xlsm]主要產業!R19C12</stp>
        <tr r="L19" s="2"/>
      </tp>
      <tp>
        <v>-2.056559</v>
        <stp/>
        <stp>##V3_BDPV12</stp>
        <stp>SXNP INDEX</stp>
        <stp>CHG_PCT_5D</stp>
        <stp>[Index.xlsm]主要產業!R19C10</stp>
        <tr r="J19" s="2"/>
      </tp>
      <tp>
        <v>92.74</v>
        <stp/>
        <stp>##V3_BDPV12</stp>
        <stp>PM US Equity</stp>
        <stp>HIGH_52WEEK</stp>
        <stp>[Index.xlsm]主要產業!R24C26</stp>
        <tr r="Z24" s="2"/>
      </tp>
      <tp>
        <v>6.7269040000000002</v>
        <stp/>
        <stp>##V3_BDPV12</stp>
        <stp>SXNP INDEX</stp>
        <stp>CHG_PCT_6M</stp>
        <stp>[Index.xlsm]主要產業!R19C13</stp>
        <tr r="M19" s="2"/>
      </tp>
      <tp>
        <v>3.0328226661400692</v>
        <stp/>
        <stp>##V3_BDPV12</stp>
        <stp>DXY Index</stp>
        <stp>PR064</stp>
        <stp>[Index.xlsm]主要產業!R68C52</stp>
        <tr r="AZ68" s="2"/>
      </tp>
      <tp>
        <v>11.975119961841056</v>
        <stp/>
        <stp>##V3_BDPV12</stp>
        <stp>s5enrs Index</stp>
        <stp>INTERVAL_Low</stp>
        <stp>[Index.xlsm]主要產業!R12C17</stp>
        <stp>MARKET_DATA_OVERRIDE=PE_RATIO</stp>
        <stp>CALC_INTERVAL=5y</stp>
        <stp>BEST_FPERIOD_OVERRIDE=BF</stp>
        <tr r="Q12" s="2"/>
      </tp>
      <tp>
        <v>7.5767020242197267</v>
        <stp/>
        <stp>##V3_BDPV12</stp>
        <stp>601318 CG Equity</stp>
        <stp>INTERVAL_Low</stp>
        <stp>[Index.xlsm]主要產業!R88C37</stp>
        <stp>MARKET_DATA_OVERRIDE=PE_RATIO</stp>
        <stp>CALC_INTERVAL=5y</stp>
        <stp>BEST_FPERIOD_OVERRIDE=BF</stp>
        <tr r="AK88" s="2"/>
      </tp>
      <tp>
        <v>18.046386903675959</v>
        <stp/>
        <stp>##V3_BDPV12</stp>
        <stp>TWSEELEC Index</stp>
        <stp>PE_RATIO</stp>
        <stp>[Index.xlsm]主要產業!R69C18</stp>
        <tr r="R69" s="2"/>
      </tp>
      <tp>
        <v>3.4192282398897191</v>
        <stp/>
        <stp>##V3_BDPV12</stp>
        <stp>601166 CG Equity</stp>
        <stp>INTERVAL_Low</stp>
        <stp>[Index.xlsm]主要產業!R92C37</stp>
        <stp>MARKET_DATA_OVERRIDE=PE_RATIO</stp>
        <stp>CALC_INTERVAL=5y</stp>
        <stp>BEST_FPERIOD_OVERRIDE=BF</stp>
        <tr r="AK92" s="2"/>
      </tp>
      <tp>
        <v>62.26</v>
        <stp/>
        <stp>##V3_BDPV12</stp>
        <stp>BAS GR Equity</stp>
        <stp>PX_LAST</stp>
        <stp>[Index.xlsm]主要產業!R59C24</stp>
        <tr r="X59" s="2"/>
      </tp>
      <tp>
        <v>4.5623670000000001</v>
        <stp/>
        <stp>##V3_BDPV12</stp>
        <stp>IBOV INDEX</stp>
        <stp>CHG_PCT_3M</stp>
        <stp>[Index.xlsm]主要產業!R32C50</stp>
        <tr r="AX32" s="2"/>
      </tp>
      <tp>
        <v>5.0730969999999997</v>
        <stp/>
        <stp>##V3_BDPV12</stp>
        <stp>SXOP INDEX</stp>
        <stp>CHG_PCT_1M</stp>
        <stp>[Index.xlsm]主要產業!R30C11</stp>
        <tr r="K30" s="2"/>
      </tp>
      <tp>
        <v>8.2684270000000009</v>
        <stp/>
        <stp>##V3_BDPV12</stp>
        <stp>IBOV INDEX</stp>
        <stp>CHG_PCT_1M</stp>
        <stp>[Index.xlsm]主要產業!R32C49</stp>
        <tr r="AW32" s="2"/>
      </tp>
      <tp>
        <v>0.80244249999999995</v>
        <stp/>
        <stp>##V3_BDPV12</stp>
        <stp>IBOV INDEX</stp>
        <stp>CHG_PCT_1D</stp>
        <stp>[Index.xlsm]主要產業!R32C43</stp>
        <tr r="AQ32" s="2"/>
      </tp>
      <tp>
        <v>4.2699239999999996</v>
        <stp/>
        <stp>##V3_BDPV12</stp>
        <stp>SXOP INDEX</stp>
        <stp>CHG_PCT_3M</stp>
        <stp>[Index.xlsm]主要產業!R30C12</stp>
        <tr r="L30" s="2"/>
      </tp>
      <tp>
        <v>14.597939999999999</v>
        <stp/>
        <stp>##V3_BDPV12</stp>
        <stp>IBOV INDEX</stp>
        <stp>CHG_PCT_6M</stp>
        <stp>[Index.xlsm]主要產業!R32C51</stp>
        <tr r="AY32" s="2"/>
      </tp>
      <tp>
        <v>-1.188995</v>
        <stp/>
        <stp>##V3_BDPV12</stp>
        <stp>SXOP INDEX</stp>
        <stp>CHG_PCT_5D</stp>
        <stp>[Index.xlsm]主要產業!R30C10</stp>
        <tr r="J30" s="2"/>
      </tp>
      <tp>
        <v>0.93947829999999999</v>
        <stp/>
        <stp>##V3_BDPV12</stp>
        <stp>IBOV INDEX</stp>
        <stp>CHG_PCT_5D</stp>
        <stp>[Index.xlsm]主要產業!R32C48</stp>
        <tr r="AV32" s="2"/>
      </tp>
      <tp>
        <v>8.9207579999999993</v>
        <stp/>
        <stp>##V3_BDPV12</stp>
        <stp>SXOP INDEX</stp>
        <stp>CHG_PCT_6M</stp>
        <stp>[Index.xlsm]主要產業!R30C13</stp>
        <tr r="M30" s="2"/>
      </tp>
      <tp>
        <v>-6.5357000000000003</v>
        <stp/>
        <stp>##V3_BDPV12</stp>
        <stp>gbp Curncy</stp>
        <stp>CHG_PCT_6M</stp>
        <stp>[Index.xlsm]主要產業!R73C51</stp>
        <tr r="AY73" s="2"/>
      </tp>
      <tp>
        <v>-1.2101</v>
        <stp/>
        <stp>##V3_BDPV12</stp>
        <stp>gbp Curncy</stp>
        <stp>CHG_PCT_5D</stp>
        <stp>[Index.xlsm]主要產業!R73C48</stp>
        <tr r="AV73" s="2"/>
      </tp>
      <tp>
        <v>-2.7378999999999998</v>
        <stp/>
        <stp>##V3_BDPV12</stp>
        <stp>gbp Curncy</stp>
        <stp>CHG_PCT_3M</stp>
        <stp>[Index.xlsm]主要產業!R73C50</stp>
        <tr r="AX73" s="2"/>
      </tp>
      <tp>
        <v>-8.0999999999999996E-3</v>
        <stp/>
        <stp>##V3_BDPV12</stp>
        <stp>gbp Curncy</stp>
        <stp>CHG_PCT_1D</stp>
        <stp>[Index.xlsm]主要產業!R73C43</stp>
        <tr r="AQ73" s="2"/>
      </tp>
      <tp>
        <v>0.30109999999999998</v>
        <stp/>
        <stp>##V3_BDPV12</stp>
        <stp>gbp Curncy</stp>
        <stp>CHG_PCT_1M</stp>
        <stp>[Index.xlsm]主要產業!R73C49</stp>
        <tr r="AW73" s="2"/>
      </tp>
      <tp>
        <v>19.588322857914875</v>
        <stp/>
        <stp>##V3_BDPV12</stp>
        <stp>TWSEFOOD Index</stp>
        <stp>PE_RATIO</stp>
        <stp>[Index.xlsm]主要產業!R80C18</stp>
        <tr r="R80" s="2"/>
      </tp>
      <tp>
        <v>-139.33799999999999</v>
        <stp/>
        <stp>##V3_BDPV12</stp>
        <stp>GECU30YR INDEX</stp>
        <stp>PR064</stp>
        <stp>[Index.xlsm]主要產業!R61C52</stp>
        <tr r="AZ61" s="2"/>
      </tp>
      <tp>
        <v>-92.078999999999994</v>
        <stp/>
        <stp>##V3_BDPV12</stp>
        <stp>GECU10YR INDEX</stp>
        <stp>PR064</stp>
        <stp>[Index.xlsm]主要產業!R60C52</stp>
        <tr r="AZ60" s="2"/>
      </tp>
      <tp>
        <v>64.900000000000006</v>
        <stp/>
        <stp>##V3_BDPV12</stp>
        <stp>BAYN GR Equity</stp>
        <stp>PX_LAST</stp>
        <stp>[Index.xlsm]主要產業!R58C24</stp>
        <tr r="X58" s="2"/>
      </tp>
      <tp>
        <v>12.19</v>
        <stp/>
        <stp>##V3_BDPV12</stp>
        <stp>CSGN SW Equity</stp>
        <stp>PX_LAST</stp>
        <stp>[Index.xlsm]主要產業!R71C24</stp>
        <tr r="X71" s="2"/>
      </tp>
      <tp>
        <v>2949.6779999999999</v>
        <stp/>
        <stp>##V3_BDPV12</stp>
        <stp>LD06TRUU Index</stp>
        <stp>PX_LAST</stp>
        <stp>[Index.xlsm]主要產業!R37C42</stp>
        <tr r="AP37" s="2"/>
      </tp>
      <tp>
        <v>86.1</v>
        <stp/>
        <stp>##V3_BDPV12</stp>
        <stp>NOVN SW Equity</stp>
        <stp>PX_LAST</stp>
        <stp>[Index.xlsm]主要產業!R68C24</stp>
        <tr r="X68" s="2"/>
      </tp>
      <tp>
        <v>107.94</v>
        <stp/>
        <stp>##V3_BDPV12</stp>
        <stp>NESN SW Equity</stp>
        <stp>PX_LAST</stp>
        <stp>[Index.xlsm]主要產業!R67C24</stp>
        <tr r="X67" s="2"/>
      </tp>
      <tp>
        <v>680.4</v>
        <stp/>
        <stp>##V3_BDPV12</stp>
        <stp>STAN LN Equity</stp>
        <stp>PX_LAST</stp>
        <stp>[Index.xlsm]主要產業!R55C24</stp>
        <tr r="X55" s="2"/>
      </tp>
      <tp>
        <v>135.72</v>
        <stp/>
        <stp>##V3_BDPV12</stp>
        <stp>PEP US Equity</stp>
        <stp>PX_LAST</stp>
        <stp>[Index.xlsm]主要產業!R15C24</stp>
        <tr r="X15" s="2"/>
      </tp>
      <tp>
        <v>36.5</v>
        <stp/>
        <stp>##V3_BDPV12</stp>
        <stp>BHP AU Equity</stp>
        <stp>PX_LAST</stp>
        <stp>[Index.xlsm]主要產業!R35C24</stp>
        <tr r="X35" s="2"/>
      </tp>
      <tp>
        <v>1026</v>
        <stp/>
        <stp>##V3_BDPV12</stp>
        <stp>SMSN LI Equity</stp>
        <stp>PX_LAST</stp>
        <stp>[Index.xlsm]主要產業!R86C24</stp>
        <tr r="X86" s="2"/>
      </tp>
      <tp>
        <v>104.25</v>
        <stp/>
        <stp>##V3_BDPV12</stp>
        <stp>SREN SW Equity</stp>
        <stp>PX_LAST</stp>
        <stp>[Index.xlsm]主要產業!R72C24</stp>
        <tr r="X72" s="2"/>
      </tp>
      <tp>
        <v>-6.4108000000000001</v>
        <stp/>
        <stp>##V3_BDPV12</stp>
        <stp>usgg2yr Index</stp>
        <stp>PR064</stp>
        <stp>[Index.xlsm]主要產業!R56C52</stp>
        <tr r="AZ56" s="2"/>
      </tp>
      <tp>
        <v>15.880599999999999</v>
        <stp/>
        <stp>##V3_BDPV12</stp>
        <stp>VXN Index</stp>
        <stp>CHG_PCT_1YR</stp>
        <stp>[Index.xlsm]主要產業!R66C53</stp>
        <tr r="BA66" s="2"/>
      </tp>
      <tp>
        <v>-0.1417156</v>
        <stp/>
        <stp>##V3_BDPV12</stp>
        <stp>LF98TRUU Index</stp>
        <stp>CHG_PCT_5D</stp>
        <stp>[Index.xlsm]主要產業!R34C48</stp>
        <tr r="AV34" s="2"/>
      </tp>
      <tp>
        <v>4.3063219999999998</v>
        <stp/>
        <stp>##V3_BDPV12</stp>
        <stp>LF98TRUU Index</stp>
        <stp>CHG_PCT_6M</stp>
        <stp>[Index.xlsm]主要產業!R34C51</stp>
        <tr r="AY34" s="2"/>
      </tp>
      <tp>
        <v>0.7967883</v>
        <stp/>
        <stp>##V3_BDPV12</stp>
        <stp>LF98TRUU Index</stp>
        <stp>CHG_PCT_1M</stp>
        <stp>[Index.xlsm]主要產業!R34C49</stp>
        <tr r="AW34" s="2"/>
      </tp>
      <tp>
        <v>-0.14976390000000001</v>
        <stp/>
        <stp>##V3_BDPV12</stp>
        <stp>LF98TRUU Index</stp>
        <stp>CHG_PCT_1D</stp>
        <stp>[Index.xlsm]主要產業!R34C43</stp>
        <tr r="AQ34" s="2"/>
      </tp>
      <tp>
        <v>6790.58</v>
        <stp/>
        <stp>##V3_BDPV12</stp>
        <stp>PCOMP INDEX</stp>
        <stp>LOW_52WEEK</stp>
        <stp>[Index.xlsm]主要產業!R31C46</stp>
        <tr r="AT31" s="2"/>
      </tp>
      <tp>
        <v>1.6342989999999999</v>
        <stp/>
        <stp>##V3_BDPV12</stp>
        <stp>LF98TRUU Index</stp>
        <stp>CHG_PCT_3M</stp>
        <stp>[Index.xlsm]主要產業!R34C50</stp>
        <tr r="AX34" s="2"/>
      </tp>
      <tp>
        <v>-1.729813</v>
        <stp/>
        <stp>##V3_BDPV12</stp>
        <stp>BVLX INDEX</stp>
        <stp>CHG_PCT_5D</stp>
        <stp>[Index.xlsm]主要產業!R12C48</stp>
        <tr r="AV12" s="2"/>
      </tp>
      <tp>
        <v>3.79996</v>
        <stp/>
        <stp>##V3_BDPV12</stp>
        <stp>BVLX INDEX</stp>
        <stp>CHG_PCT_6M</stp>
        <stp>[Index.xlsm]主要產業!R12C51</stp>
        <tr r="AY12" s="2"/>
      </tp>
      <tp>
        <v>4.3242799999999999</v>
        <stp/>
        <stp>##V3_BDPV12</stp>
        <stp>BVLX INDEX</stp>
        <stp>CHG_PCT_1M</stp>
        <stp>[Index.xlsm]主要產業!R12C49</stp>
        <tr r="AW12" s="2"/>
      </tp>
      <tp>
        <v>0.47288799999999998</v>
        <stp/>
        <stp>##V3_BDPV12</stp>
        <stp>BVLX INDEX</stp>
        <stp>CHG_PCT_1D</stp>
        <stp>[Index.xlsm]主要產業!R12C43</stp>
        <tr r="AQ12" s="2"/>
      </tp>
      <tp>
        <v>1.2422359999999999</v>
        <stp/>
        <stp>##V3_BDPV12</stp>
        <stp>BVLX INDEX</stp>
        <stp>CHG_PCT_3M</stp>
        <stp>[Index.xlsm]主要產業!R12C50</stp>
        <tr r="AX12" s="2"/>
      </tp>
      <tp>
        <v>19699.5390625</v>
        <stp/>
        <stp>##V3_BDPV12</stp>
        <stp>ITLMS INDEX</stp>
        <stp>LOW_52WEEK</stp>
        <stp>[Index.xlsm]主要產業!R14C46</stp>
        <tr r="AT14" s="2"/>
      </tp>
      <tp>
        <v>284.60000000000002</v>
        <stp/>
        <stp>##V3_BDPV12</stp>
        <stp>RO SW Equity</stp>
        <stp>HIGH_52WEEK</stp>
        <stp>[Index.xlsm]主要產業!R73C26</stp>
        <tr r="Z73" s="2"/>
      </tp>
      <tp>
        <v>55.92</v>
        <stp/>
        <stp>##V3_BDPV12</stp>
        <stp>KO US Equity</stp>
        <stp>HIGH_52WEEK</stp>
        <stp>[Index.xlsm]主要產業!R13C26</stp>
        <tr r="Z13" s="2"/>
      </tp>
      <tp>
        <v>-8.9581119999999999</v>
        <stp/>
        <stp>##V3_BDPV12</stp>
        <stp>TPELEC Index</stp>
        <stp>CHG_PCT_1YR</stp>
        <stp>[Index.xlsm]主要產業!R42C15</stp>
        <tr r="O42" s="2"/>
      </tp>
      <tp>
        <v>9311</v>
        <stp/>
        <stp>##V3_BDPV12</stp>
        <stp>M1KR2550 Index</stp>
        <stp>PX_LAST</stp>
        <stp>[Index.xlsm]主要產業!R88C48</stp>
        <tr r="AV88" s="2"/>
      </tp>
      <tp>
        <v>5.051374</v>
        <stp/>
        <stp>##V3_BDPV12</stp>
        <stp xml:space="preserve">VNINDEX INDEX </stp>
        <stp>PR064</stp>
        <stp>[Index.xlsm]主要產業!R28C52</stp>
        <tr r="AZ28" s="2"/>
      </tp>
      <tp>
        <v>1.8063370000000001</v>
        <stp/>
        <stp>##V3_BDPV12</stp>
        <stp>SXMP INDEX</stp>
        <stp>CHG_PCT_1M</stp>
        <stp>[Index.xlsm]主要產業!R35C11</stp>
        <tr r="K35" s="2"/>
      </tp>
      <tp>
        <v>2.2092160000000001</v>
        <stp/>
        <stp>##V3_BDPV12</stp>
        <stp>SXMP INDEX</stp>
        <stp>CHG_PCT_3M</stp>
        <stp>[Index.xlsm]主要產業!R35C12</stp>
        <tr r="L35" s="2"/>
      </tp>
      <tp>
        <v>-0.74851619999999996</v>
        <stp/>
        <stp>##V3_BDPV12</stp>
        <stp>SXMP INDEX</stp>
        <stp>CHG_PCT_5D</stp>
        <stp>[Index.xlsm]主要產業!R35C10</stp>
        <tr r="J35" s="2"/>
      </tp>
      <tp>
        <v>5.5395649999999996</v>
        <stp/>
        <stp>##V3_BDPV12</stp>
        <stp>SXMP INDEX</stp>
        <stp>CHG_PCT_6M</stp>
        <stp>[Index.xlsm]主要產業!R35C13</stp>
        <tr r="M35" s="2"/>
      </tp>
      <tp>
        <v>0.72219979999999995</v>
        <stp/>
        <stp>##V3_BDPV12</stp>
        <stp>HSCICG Index</stp>
        <stp>CHG_PCT_1YR</stp>
        <stp>[Index.xlsm]主要產業!R58C15</stp>
        <tr r="O58" s="2"/>
      </tp>
      <tp>
        <v>-6.7569696015120471</v>
        <stp/>
        <stp>##V3_BDPV12</stp>
        <stp>ct1 Comdty</stp>
        <stp>PR064</stp>
        <stp>[Index.xlsm]主要產業!R52C52</stp>
        <tr r="AZ52" s="2"/>
      </tp>
      <tp>
        <v>210.9</v>
        <stp/>
        <stp>##V3_BDPV12</stp>
        <stp>ALV GR Equity</stp>
        <stp>PX_LAST</stp>
        <stp>[Index.xlsm]主要產業!R56C24</stp>
        <tr r="X56" s="2"/>
      </tp>
      <tp>
        <v>11.357071276153155</v>
        <stp/>
        <stp>##V3_BDPV12</stp>
        <stp>8306 JP Equity</stp>
        <stp>INTERVAL_HIGH</stp>
        <stp>[Index.xlsm]主要產業!R79C36</stp>
        <stp>MARKET_DATA_OVERRIDE=PE_RATIO</stp>
        <stp>CALC_INTERVAL=5y</stp>
        <stp>BEST_FPERIOD_OVERRIDE=BF</stp>
        <tr r="AJ79" s="2"/>
      </tp>
      <tp>
        <v>46.2825277103071</v>
        <stp/>
        <stp>##V3_BDPV12</stp>
        <stp>3382 JP Equity</stp>
        <stp>INTERVAL_HIGH</stp>
        <stp>[Index.xlsm]主要產業!R82C36</stp>
        <stp>MARKET_DATA_OVERRIDE=PE_RATIO</stp>
        <stp>CALC_INTERVAL=5y</stp>
        <stp>BEST_FPERIOD_OVERRIDE=BF</stp>
        <tr r="AJ82" s="2"/>
      </tp>
      <tp>
        <v>2440.9059999999999</v>
        <stp/>
        <stp>##V3_BDPV12</stp>
        <stp>SHCOMP INDEX</stp>
        <stp>LOW_52WEEK</stp>
        <stp>[Index.xlsm]主要產業!R23C46</stp>
        <tr r="AT23" s="2"/>
      </tp>
      <tp>
        <v>1212.229</v>
        <stp/>
        <stp>##V3_BDPV12</stp>
        <stp>SZCOMP INDEX</stp>
        <stp>LOW_52WEEK</stp>
        <stp>[Index.xlsm]主要產業!R25C46</stp>
        <tr r="AT25" s="2"/>
      </tp>
      <tp>
        <v>0.16485849999999999</v>
        <stp/>
        <stp>##V3_BDPV12</stp>
        <stp>SHSZ300 INDEX</stp>
        <stp>PR064</stp>
        <stp>[Index.xlsm]主要產業!R24C52</stp>
        <tr r="AZ24" s="2"/>
      </tp>
      <tp>
        <v>19.918773896966115</v>
        <stp/>
        <stp>##V3_BDPV12</stp>
        <stp>TWSEAUTO Index</stp>
        <stp>PE_RATIO</stp>
        <stp>[Index.xlsm]主要產業!R83C18</stp>
        <tr r="R83" s="2"/>
      </tp>
      <tp>
        <v>121989</v>
        <stp/>
        <stp>##V3_BDPV12</stp>
        <stp>xu1 elec Index</stp>
        <stp>OPEN_INT</stp>
        <stp>[Index.xlsm]主要產業!R94C44</stp>
        <tr r="AR94" s="2"/>
      </tp>
      <tp>
        <v>0.57999999999999996</v>
        <stp/>
        <stp>##V3_BDPV12</stp>
        <stp>GECU10YR INDEX</stp>
        <stp>HIGH_52WEEK</stp>
        <stp>[Index.xlsm]主要產業!R60C44</stp>
        <tr r="AR60" s="2"/>
      </tp>
      <tp>
        <v>1.1990000000000001</v>
        <stp/>
        <stp>##V3_BDPV12</stp>
        <stp>GECU30YR INDEX</stp>
        <stp>HIGH_52WEEK</stp>
        <stp>[Index.xlsm]主要產業!R61C44</stp>
        <tr r="AR61" s="2"/>
      </tp>
      <tp>
        <v>14.729969219289245</v>
        <stp/>
        <stp>##V3_BDPV12</stp>
        <stp>7201 JP Equity</stp>
        <stp>INTERVAL_HIGH</stp>
        <stp>[Index.xlsm]主要產業!R85C36</stp>
        <stp>MARKET_DATA_OVERRIDE=PE_RATIO</stp>
        <stp>CALC_INTERVAL=5y</stp>
        <stp>BEST_FPERIOD_OVERRIDE=BF</stp>
        <tr r="AJ85" s="2"/>
      </tp>
      <tp>
        <v>11.811404825045409</v>
        <stp/>
        <stp>##V3_BDPV12</stp>
        <stp>7203 JP Equity</stp>
        <stp>INTERVAL_HIGH</stp>
        <stp>[Index.xlsm]主要產業!R77C36</stp>
        <stp>MARKET_DATA_OVERRIDE=PE_RATIO</stp>
        <stp>CALC_INTERVAL=5y</stp>
        <stp>BEST_FPERIOD_OVERRIDE=BF</stp>
        <tr r="AJ77" s="2"/>
      </tp>
      <tp>
        <v>15.591504833572056</v>
        <stp/>
        <stp>##V3_BDPV12</stp>
        <stp>7267 JP Equity</stp>
        <stp>INTERVAL_HIGH</stp>
        <stp>[Index.xlsm]主要產業!R80C36</stp>
        <stp>MARKET_DATA_OVERRIDE=PE_RATIO</stp>
        <stp>CALC_INTERVAL=5y</stp>
        <stp>BEST_FPERIOD_OVERRIDE=BF</stp>
        <tr r="AJ80" s="2"/>
      </tp>
      <tp>
        <v>6.6363859999999999</v>
        <stp/>
        <stp>##V3_BDPV12</stp>
        <stp>SXKP INDEX</stp>
        <stp>CHG_PCT_1M</stp>
        <stp>[Index.xlsm]主要產業!R29C11</stp>
        <tr r="K29" s="2"/>
      </tp>
      <tp>
        <v>5.5972020000000002</v>
        <stp/>
        <stp>##V3_BDPV12</stp>
        <stp>SXKP INDEX</stp>
        <stp>CHG_PCT_3M</stp>
        <stp>[Index.xlsm]主要產業!R29C12</stp>
        <tr r="L29" s="2"/>
      </tp>
      <tp>
        <v>1.4321159999999999</v>
        <stp/>
        <stp>##V3_BDPV12</stp>
        <stp>SXKP INDEX</stp>
        <stp>CHG_PCT_5D</stp>
        <stp>[Index.xlsm]主要產業!R29C10</stp>
        <tr r="J29" s="2"/>
      </tp>
      <tp>
        <v>0.48745519999999998</v>
        <stp/>
        <stp>##V3_BDPV12</stp>
        <stp>SXKP INDEX</stp>
        <stp>CHG_PCT_6M</stp>
        <stp>[Index.xlsm]主要產業!R29C13</stp>
        <tr r="M29" s="2"/>
      </tp>
      <tp>
        <v>-3.4244889999999999</v>
        <stp/>
        <stp>##V3_BDPV12</stp>
        <stp>CRY Index</stp>
        <stp>PR064</stp>
        <stp>[Index.xlsm]主要產業!R42C52</stp>
        <tr r="AZ42" s="2"/>
      </tp>
      <tp>
        <v>7.378458530819028</v>
        <stp/>
        <stp>##V3_BDPV12</stp>
        <stp>BBVA SM Equity</stp>
        <stp>PE_RATIO</stp>
        <stp>[Index.xlsm]主要產業!R65C38</stp>
        <tr r="AL65" s="2"/>
      </tp>
      <tp>
        <v>99.083971795235001</v>
        <stp/>
        <stp>##V3_BDPV12</stp>
        <stp>BAYN GR Equity</stp>
        <stp>PE_RATIO</stp>
        <stp>[Index.xlsm]主要產業!R58C38</stp>
        <tr r="AL58" s="2"/>
      </tp>
      <tp>
        <v>8.2598124395438894</v>
        <stp/>
        <stp>##V3_BDPV12</stp>
        <stp>BARC LN Equity</stp>
        <stp>PE_RATIO</stp>
        <stp>[Index.xlsm]主要產業!R54C38</stp>
        <tr r="AL54" s="2"/>
      </tp>
      <tp>
        <v>21.026472446031587</v>
        <stp/>
        <stp>##V3_BDPV12</stp>
        <stp>TWSEISI Index</stp>
        <stp>PE_RATIO</stp>
        <stp>[Index.xlsm]主要產業!R96C18</stp>
        <tr r="R96" s="2"/>
      </tp>
      <tp>
        <v>37.737448012654987</v>
        <stp/>
        <stp>##V3_BDPV12</stp>
        <stp>TWSEOPE Index</stp>
        <stp>PE_RATIO</stp>
        <stp>[Index.xlsm]主要產業!R78C18</stp>
        <tr r="R78" s="2"/>
      </tp>
      <tp>
        <v>26.997662200383218</v>
        <stp/>
        <stp>##V3_BDPV12</stp>
        <stp>TWSEOEG Index</stp>
        <stp>PE_RATIO</stp>
        <stp>[Index.xlsm]主要產業!R79C18</stp>
        <tr r="R79" s="2"/>
      </tp>
      <tp>
        <v>9.4630672279300327</v>
        <stp/>
        <stp>##V3_BDPV12</stp>
        <stp>TWSEOEI Index</stp>
        <stp>PE_RATIO</stp>
        <stp>[Index.xlsm]主要產業!R75C18</stp>
        <tr r="R75" s="2"/>
      </tp>
      <tp>
        <v>22048.240000000002</v>
        <stp/>
        <stp>##V3_BDPV12</stp>
        <stp>NKY INDEX</stp>
        <stp>PX_LAST</stp>
        <stp>[Index.xlsm]主要產業!R17C42</stp>
        <tr r="AP17" s="2"/>
      </tp>
      <tp>
        <v>13.302574972989911</v>
        <stp/>
        <stp>##V3_BDPV12</stp>
        <stp>TWSEBKI Index</stp>
        <stp>PE_RATIO</stp>
        <stp>[Index.xlsm]主要產業!R71C18</stp>
        <tr r="R71" s="2"/>
      </tp>
      <tp>
        <v>32.283388855477391</v>
        <stp/>
        <stp>##V3_BDPV12</stp>
        <stp>TWSEBMC Index</stp>
        <stp>PE_RATIO</stp>
        <stp>[Index.xlsm]主要產業!R92C18</stp>
        <tr r="R92" s="2"/>
      </tp>
      <tp>
        <v>14.69364674166081</v>
        <stp/>
        <stp>##V3_BDPV12</stp>
        <stp>TWSECPE Index</stp>
        <stp>PE_RATIO</stp>
        <stp>[Index.xlsm]主要產業!R76C18</stp>
        <tr r="R76" s="2"/>
      </tp>
      <tp>
        <v>33.844021304711333</v>
        <stp/>
        <stp>##V3_BDPV12</stp>
        <stp>TWSECII Index</stp>
        <stp>PE_RATIO</stp>
        <stp>[Index.xlsm]主要產業!R72C18</stp>
        <tr r="R72" s="2"/>
      </tp>
      <tp>
        <v>10.495640357530148</v>
        <stp/>
        <stp>##V3_BDPV12</stp>
        <stp>TWSECEM Index</stp>
        <stp>PE_RATIO</stp>
        <stp>[Index.xlsm]主要產業!R88C18</stp>
        <tr r="R88" s="2"/>
      </tp>
      <tp>
        <v>14.532770226768823</v>
        <stp/>
        <stp>##V3_BDPV12</stp>
        <stp>TWSECON Index</stp>
        <stp>PE_RATIO</stp>
        <stp>[Index.xlsm]主要產業!R86C18</stp>
        <tr r="R86" s="2"/>
      </tp>
      <tp>
        <v>19.203546332625965</v>
        <stp/>
        <stp>##V3_BDPV12</stp>
        <stp>TWSECHI Index</stp>
        <stp>PE_RATIO</stp>
        <stp>[Index.xlsm]主要產業!R90C18</stp>
        <tr r="R90" s="2"/>
      </tp>
      <tp>
        <v>10.461526545122599</v>
        <stp/>
        <stp>##V3_BDPV12</stp>
        <stp>TWSEEPD Index</stp>
        <stp>PE_RATIO</stp>
        <stp>[Index.xlsm]主要產業!R91C18</stp>
        <tr r="R91" s="2"/>
      </tp>
      <tp>
        <v>11.377928937498091</v>
        <stp/>
        <stp>##V3_BDPV12</stp>
        <stp>TWSEEAW Index</stp>
        <stp>PE_RATIO</stp>
        <stp>[Index.xlsm]主要產業!R94C18</stp>
        <tr r="R94" s="2"/>
      </tp>
      <tp>
        <v>11.464688209274971</v>
        <stp/>
        <stp>##V3_BDPV12</stp>
        <stp>TWSEECI Index</stp>
        <stp>PE_RATIO</stp>
        <stp>[Index.xlsm]主要產業!R74C18</stp>
        <tr r="R74" s="2"/>
      </tp>
      <tp t="s">
        <v>#N/A N/A</v>
        <stp/>
        <stp>##V3_BDPV12</stp>
        <stp>TWSEGLP Index</stp>
        <stp>PE_RATIO</stp>
        <stp>[Index.xlsm]主要產業!R97C18</stp>
        <tr r="R97" s="2"/>
      </tp>
      <tp>
        <v>28.892322578174742</v>
        <stp/>
        <stp>##V3_BDPV12</stp>
        <stp>TWSERUB Index</stp>
        <stp>PE_RATIO</stp>
        <stp>[Index.xlsm]主要產業!R89C18</stp>
        <tr r="R89" s="2"/>
      </tp>
      <tp>
        <v>21.352002041677327</v>
        <stp/>
        <stp>##V3_BDPV12</stp>
        <stp>TWSESCI Index</stp>
        <stp>PE_RATIO</stp>
        <stp>[Index.xlsm]主要產業!R70C18</stp>
        <tr r="R70" s="2"/>
      </tp>
      <tp>
        <v>931.25</v>
        <stp/>
        <stp>##V3_BDPV12</stp>
        <stp>S 1 Comdty</stp>
        <stp>HIGH_52WEEK</stp>
        <stp>[Index.xlsm]主要產業!R54C44</stp>
        <tr r="AR54" s="2"/>
      </tp>
      <tp>
        <v>14.24</v>
        <stp/>
        <stp>##V3_BDPV12</stp>
        <stp>SB1 Comdty</stp>
        <stp>HIGH_52WEEK</stp>
        <stp>[Index.xlsm]主要產業!R50C44</stp>
        <tr r="AR50" s="2"/>
      </tp>
      <tp>
        <v>558</v>
        <stp/>
        <stp>##V3_BDPV12</stp>
        <stp>W 1 Comdty</stp>
        <stp>HIGH_52WEEK</stp>
        <stp>[Index.xlsm]主要產業!R55C44</stp>
        <tr r="AR55" s="2"/>
      </tp>
      <tp>
        <v>118.3</v>
        <stp/>
        <stp>##V3_BDPV12</stp>
        <stp>WMT US Equity</stp>
        <stp>PX_LAST</stp>
        <stp>[Index.xlsm]主要產業!R17C24</stp>
        <tr r="X17" s="2"/>
      </tp>
      <tp>
        <v>223</v>
        <stp/>
        <stp>##V3_BDPV12</stp>
        <stp>AMT US Equity</stp>
        <stp>PX_LAST</stp>
        <stp>[Index.xlsm]主要產業!R26C24</stp>
        <tr r="X26" s="2"/>
      </tp>
      <tp>
        <v>126.39</v>
        <stp/>
        <stp>##V3_BDPV12</stp>
        <stp>CAT US Equity</stp>
        <stp>PX_LAST</stp>
        <stp>[Index.xlsm]主要產業!R31C24</stp>
        <tr r="X31" s="2"/>
      </tp>
      <tp>
        <v>82.66</v>
        <stp/>
        <stp>##V3_BDPV12</stp>
        <stp>ABT US Equity</stp>
        <stp>PX_LAST</stp>
        <stp>[Index.xlsm]主要產業!R18C24</stp>
        <tr r="X18" s="2"/>
      </tp>
      <tp>
        <v>464.25</v>
        <stp/>
        <stp>##V3_BDPV12</stp>
        <stp>C 1 Comdty</stp>
        <stp>HIGH_52WEEK</stp>
        <stp>[Index.xlsm]主要產業!R53C44</stp>
        <tr r="AR53" s="2"/>
      </tp>
      <tp>
        <v>76.900000000000006</v>
        <stp/>
        <stp>##V3_BDPV12</stp>
        <stp>CL1 Comdty</stp>
        <stp>HIGH_52WEEK</stp>
        <stp>[Index.xlsm]主要產業!R38C44</stp>
        <tr r="AR38" s="2"/>
      </tp>
      <tp>
        <v>86.74</v>
        <stp/>
        <stp>##V3_BDPV12</stp>
        <stp>CO1 Comdty</stp>
        <stp>HIGH_52WEEK</stp>
        <stp>[Index.xlsm]主要產業!R39C44</stp>
        <tr r="AR39" s="2"/>
      </tp>
      <tp>
        <v>36.43</v>
        <stp/>
        <stp>##V3_BDPV12</stp>
        <stp>EWT US Equity</stp>
        <stp>PX_LAST</stp>
        <stp>[Index.xlsm]主要產業!R87C42</stp>
        <tr r="AP87" s="2"/>
      </tp>
      <tp>
        <v>1559.8</v>
        <stp/>
        <stp>##V3_BDPV12</stp>
        <stp>GC1 Comdty</stp>
        <stp>HIGH_52WEEK</stp>
        <stp>[Index.xlsm]主要產業!R43C44</stp>
        <tr r="AR43" s="2"/>
      </tp>
      <tp>
        <v>14.403489059450566</v>
        <stp/>
        <stp>##V3_BDPV12</stp>
        <stp>5108 JP Equity</stp>
        <stp>INTERVAL_HIGH</stp>
        <stp>[Index.xlsm]主要產業!R83C36</stp>
        <stp>MARKET_DATA_OVERRIDE=PE_RATIO</stp>
        <stp>CALC_INTERVAL=5y</stp>
        <stp>BEST_FPERIOD_OVERRIDE=BF</stp>
        <tr r="AJ83" s="2"/>
      </tp>
      <tp>
        <v>1000.8</v>
        <stp/>
        <stp>##V3_BDPV12</stp>
        <stp>PL1 comdty</stp>
        <stp>HIGH_52WEEK</stp>
        <stp>[Index.xlsm]主要產業!R44C44</stp>
        <tr r="AR44" s="2"/>
      </tp>
      <tp>
        <v>19.54</v>
        <stp/>
        <stp>##V3_BDPV12</stp>
        <stp>SI1 comdty</stp>
        <stp>HIGH_52WEEK</stp>
        <stp>[Index.xlsm]主要產業!R45C44</stp>
        <tr r="AR45" s="2"/>
      </tp>
      <tp>
        <v>80.930000000000007</v>
        <stp/>
        <stp>##V3_BDPV12</stp>
        <stp>ct1 Comdty</stp>
        <stp>HIGH_52WEEK</stp>
        <stp>[Index.xlsm]主要產業!R52C44</stp>
        <tr r="AR52" s="2"/>
      </tp>
      <tp>
        <v>125.5</v>
        <stp/>
        <stp>##V3_BDPV12</stp>
        <stp>kc1 Comdty</stp>
        <stp>HIGH_52WEEK</stp>
        <stp>[Index.xlsm]主要產業!R51C44</stp>
        <tr r="AR51" s="2"/>
      </tp>
      <tp>
        <v>134.1</v>
        <stp/>
        <stp>##V3_BDPV12</stp>
        <stp>000858 CS Equity</stp>
        <stp>PX_LAST</stp>
        <stp>[Index.xlsm]主要產業!R93C24</stp>
        <tr r="X93" s="2"/>
      </tp>
      <tp>
        <v>88.35</v>
        <stp/>
        <stp>##V3_BDPV12</stp>
        <stp>601318 CG Equity</stp>
        <stp>PX_LAST</stp>
        <stp>[Index.xlsm]主要產業!R88C24</stp>
        <tr r="X88" s="2"/>
      </tp>
      <tp>
        <v>3573</v>
        <stp/>
        <stp>##V3_BDPV12</stp>
        <stp>3382 JP Equity</stp>
        <stp>LOW_52WEEK</stp>
        <stp>[Index.xlsm]主要產業!R82C28</stp>
        <tr r="AB82" s="2"/>
      </tp>
      <tp>
        <v>13.093531838425704</v>
        <stp/>
        <stp>##V3_BDPV12</stp>
        <stp>CSGN SW Equity</stp>
        <stp>PE_RATIO</stp>
        <stp>[Index.xlsm]主要產業!R71C38</stp>
        <tr r="AL71" s="2"/>
      </tp>
      <tp>
        <v>7351.08</v>
        <stp/>
        <stp>##V3_BDPV12</stp>
        <stp>UKX INDEX</stp>
        <stp>PX_LAST</stp>
        <stp>[Index.xlsm]主要產業!R10C42</stp>
        <tr r="AP10" s="2"/>
      </tp>
      <tp>
        <v>2977.62</v>
        <stp/>
        <stp>##V3_BDPV12</stp>
        <stp>SPX INDEX</stp>
        <stp>PX_LAST</stp>
        <stp>[Index.xlsm]主要產業!R92C46</stp>
        <tr r="AT92" s="2"/>
      </tp>
      <tp>
        <v>7771.9920000000002</v>
        <stp/>
        <stp>##V3_BDPV12</stp>
        <stp>NDX INDEX</stp>
        <stp>PX_LAST</stp>
        <stp>[Index.xlsm]主要產業!R93C46</stp>
        <tr r="AT93" s="2"/>
      </tp>
      <tp>
        <v>1441.5</v>
        <stp/>
        <stp>##V3_BDPV12</stp>
        <stp>PRU LN Equity</stp>
        <stp>PX_LAST</stp>
        <stp>[Index.xlsm]主要產業!R52C24</stp>
        <tr r="X52" s="2"/>
      </tp>
      <tp>
        <v>6.9560570000000004</v>
        <stp/>
        <stp>##V3_BDPV12</stp>
        <stp>SXIP INDEX</stp>
        <stp>CHG_PCT_1M</stp>
        <stp>[Index.xlsm]主要產業!R24C11</stp>
        <tr r="K24" s="2"/>
      </tp>
      <tp>
        <v>-0.1933713</v>
        <stp/>
        <stp>##V3_BDPV12</stp>
        <stp>SXIP INDEX</stp>
        <stp>CHG_PCT_3M</stp>
        <stp>[Index.xlsm]主要產業!R24C12</stp>
        <tr r="L24" s="2"/>
      </tp>
      <tp>
        <v>15878344</v>
        <stp/>
        <stp>##V3_BDPV12</stp>
        <stp>TSM Equity</stp>
        <stp>PX_VOLUME</stp>
        <stp>[Index.xlsm]主要產業!R86C51</stp>
        <tr r="AY86" s="2"/>
      </tp>
      <tp>
        <v>1167</v>
        <stp/>
        <stp>##V3_BDPV12</stp>
        <stp>600519 CG Equity</stp>
        <stp>PX_LAST</stp>
        <stp>[Index.xlsm]主要產業!R89C24</stp>
        <tr r="X89" s="2"/>
      </tp>
      <tp>
        <v>-0.1800552</v>
        <stp/>
        <stp>##V3_BDPV12</stp>
        <stp>SXIP INDEX</stp>
        <stp>CHG_PCT_5D</stp>
        <stp>[Index.xlsm]主要產業!R24C10</stp>
        <tr r="J24" s="2"/>
      </tp>
      <tp>
        <v>2.7773949999999998</v>
        <stp/>
        <stp>##V3_BDPV12</stp>
        <stp>SXIP INDEX</stp>
        <stp>CHG_PCT_6M</stp>
        <stp>[Index.xlsm]主要產業!R24C13</stp>
        <tr r="M24" s="2"/>
      </tp>
      <tp>
        <v>22.167800102464394</v>
        <stp/>
        <stp>##V3_BDPV12</stp>
        <stp>s5FDSR index</stp>
        <stp>PE_RATIO</stp>
        <stp>[Index.xlsm]主要產業!R17C18</stp>
        <tr r="R17" s="2"/>
      </tp>
      <tp>
        <v>22.090847181653039</v>
        <stp/>
        <stp>##V3_BDPV12</stp>
        <stp>KOSPCHEM Index</stp>
        <stp>PE_RATIO</stp>
        <stp>[Index.xlsm]主要產業!R45C18</stp>
        <tr r="R45" s="2"/>
      </tp>
      <tp>
        <v>1.9468800000000002</v>
        <stp/>
        <stp>##V3_BDPV12</stp>
        <stp>US0001W Index</stp>
        <stp>PX_LAST</stp>
        <stp>[Index.xlsm]主要產業!R63C42</stp>
        <tr r="AP63" s="2"/>
      </tp>
      <tp>
        <v>1.1959</v>
        <stp/>
        <stp>##V3_BDPV12</stp>
        <stp>gbp Curncy</stp>
        <stp>LOW_52WEEK</stp>
        <stp>[Index.xlsm]主要產業!R73C46</stp>
        <tr r="AT73" s="2"/>
      </tp>
      <tp>
        <v>3.7729940000000002</v>
        <stp/>
        <stp>##V3_BDPV12</stp>
        <stp>ITLMS INDEX</stp>
        <stp>CHG_PCT_3M</stp>
        <stp>[Index.xlsm]主要產業!R14C50</stp>
        <tr r="AX14" s="2"/>
      </tp>
      <tp>
        <v>4.4970359999999996</v>
        <stp/>
        <stp>##V3_BDPV12</stp>
        <stp>ITLMS INDEX</stp>
        <stp>CHG_PCT_1M</stp>
        <stp>[Index.xlsm]主要產業!R14C49</stp>
        <tr r="AW14" s="2"/>
      </tp>
      <tp>
        <v>0.73920839999999999</v>
        <stp/>
        <stp>##V3_BDPV12</stp>
        <stp>ITLMS INDEX</stp>
        <stp>CHG_PCT_1D</stp>
        <stp>[Index.xlsm]主要產業!R14C43</stp>
        <tr r="AQ14" s="2"/>
      </tp>
      <tp>
        <v>2.9419520000000001</v>
        <stp/>
        <stp>##V3_BDPV12</stp>
        <stp>ITLMS INDEX</stp>
        <stp>CHG_PCT_6M</stp>
        <stp>[Index.xlsm]主要產業!R14C51</stp>
        <tr r="AY14" s="2"/>
      </tp>
      <tp>
        <v>-0.82152919999999996</v>
        <stp/>
        <stp>##V3_BDPV12</stp>
        <stp>ITLMS INDEX</stp>
        <stp>CHG_PCT_5D</stp>
        <stp>[Index.xlsm]主要產業!R14C48</stp>
        <tr r="AV14" s="2"/>
      </tp>
      <tp>
        <v>2693.99</v>
        <stp/>
        <stp>##V3_BDPV12</stp>
        <stp>BVLX INDEX</stp>
        <stp>LOW_52WEEK</stp>
        <stp>[Index.xlsm]主要產業!R12C46</stp>
        <tr r="AT12" s="2"/>
      </tp>
      <tp>
        <v>1.924523</v>
        <stp/>
        <stp>##V3_BDPV12</stp>
        <stp>PCOMP INDEX</stp>
        <stp>CHG_PCT_1M</stp>
        <stp>[Index.xlsm]主要產業!R31C49</stp>
        <tr r="AW31" s="2"/>
      </tp>
      <tp>
        <v>3.039421E-3</v>
        <stp/>
        <stp>##V3_BDPV12</stp>
        <stp>PCOMP INDEX</stp>
        <stp>CHG_PCT_1D</stp>
        <stp>[Index.xlsm]主要產業!R31C43</stp>
        <tr r="AQ31" s="2"/>
      </tp>
      <tp>
        <v>1896.403</v>
        <stp/>
        <stp>##V3_BDPV12</stp>
        <stp>LF98TRUU Index</stp>
        <stp>LOW_52WEEK</stp>
        <stp>[Index.xlsm]主要產業!R34C46</stp>
        <tr r="AT34" s="2"/>
      </tp>
      <tp>
        <v>-2.0000909999999998</v>
        <stp/>
        <stp>##V3_BDPV12</stp>
        <stp>PCOMP INDEX</stp>
        <stp>CHG_PCT_3M</stp>
        <stp>[Index.xlsm]主要產業!R31C50</stp>
        <tr r="AX31" s="2"/>
      </tp>
      <tp>
        <v>-0.1875771</v>
        <stp/>
        <stp>##V3_BDPV12</stp>
        <stp>PCOMP INDEX</stp>
        <stp>CHG_PCT_5D</stp>
        <stp>[Index.xlsm]主要產業!R31C48</stp>
        <tr r="AV31" s="2"/>
      </tp>
      <tp>
        <v>82.2</v>
        <stp/>
        <stp>##V3_BDPV12</stp>
        <stp>SU FP Equity</stp>
        <stp>HIGH_52WEEK</stp>
        <stp>[Index.xlsm]主要產業!R40C26</stp>
        <tr r="Z40" s="2"/>
      </tp>
      <tp>
        <v>0.45070539999999998</v>
        <stp/>
        <stp>##V3_BDPV12</stp>
        <stp>PCOMP INDEX</stp>
        <stp>CHG_PCT_6M</stp>
        <stp>[Index.xlsm]主要產業!R31C51</stp>
        <tr r="AY31" s="2"/>
      </tp>
      <tp>
        <v>17210</v>
        <stp/>
        <stp>##V3_BDPV12</stp>
        <stp>lmnids03 comdty</stp>
        <stp>PX_LAST</stp>
        <stp>[Index.xlsm]主要產業!R49C42</stp>
        <tr r="AP49" s="2"/>
      </tp>
      <tp>
        <v>1737</v>
        <stp/>
        <stp>##V3_BDPV12</stp>
        <stp>lmahds03 comdty</stp>
        <stp>PX_LAST</stp>
        <stp>[Index.xlsm]主要產業!R46C42</stp>
        <tr r="AP46" s="2"/>
      </tp>
      <tp>
        <v>5722</v>
        <stp/>
        <stp>##V3_BDPV12</stp>
        <stp>lmcads03 comdty</stp>
        <stp>PX_LAST</stp>
        <stp>[Index.xlsm]主要產業!R47C42</stp>
        <tr r="AP47" s="2"/>
      </tp>
      <tp>
        <v>2093</v>
        <stp/>
        <stp>##V3_BDPV12</stp>
        <stp>lmpbds03 comdty</stp>
        <stp>PX_LAST</stp>
        <stp>[Index.xlsm]主要產業!R48C42</stp>
        <tr r="AP48" s="2"/>
      </tp>
      <tp>
        <v>10.56</v>
        <stp/>
        <stp>##V3_BDPV12</stp>
        <stp>F US Equity</stp>
        <stp>HIGH_52WEEK</stp>
        <stp>[Index.xlsm]主要產業!R34C26</stp>
        <tr r="Z34" s="2"/>
      </tp>
      <tp>
        <v>23.989905331414747</v>
        <stp/>
        <stp>##V3_BDPV12</stp>
        <stp>KOSPBMET Index</stp>
        <stp>PE_RATIO</stp>
        <stp>[Index.xlsm]主要產業!R47C18</stp>
        <tr r="R47" s="2"/>
      </tp>
      <tp>
        <v>1711.2</v>
        <stp/>
        <stp>##V3_BDPV12</stp>
        <stp>GSK LN Equity</stp>
        <stp>PX_LAST</stp>
        <stp>[Index.xlsm]主要產業!R47C24</stp>
        <tr r="X47" s="2"/>
      </tp>
      <tp>
        <v>6.78</v>
        <stp/>
        <stp>##V3_BDPV12</stp>
        <stp>DBK GR Equity</stp>
        <stp>PX_LAST</stp>
        <stp>[Index.xlsm]主要產業!R63C24</stp>
        <tr r="X63" s="2"/>
      </tp>
      <tp>
        <v>83.88</v>
        <stp/>
        <stp>##V3_BDPV12</stp>
        <stp>MRK US Equity</stp>
        <stp>PX_LAST</stp>
        <stp>[Index.xlsm]主要產業!R12C24</stp>
        <tr r="X12" s="2"/>
      </tp>
      <tp>
        <v>214150764953.354</v>
        <stp/>
        <stp>##V3_BDPV12</stp>
        <stp>SX86P INDEX</stp>
        <stp>RR902</stp>
        <stp>[Index.xlsm]主要產業!R34C20</stp>
        <tr r="T34" s="2"/>
      </tp>
      <tp>
        <v>6.6621040000000002</v>
        <stp/>
        <stp>##V3_BDPV12</stp>
        <stp>XU100 INDEX</stp>
        <stp>PR064</stp>
        <stp>[Index.xlsm]主要產業!R33C52</stp>
        <tr r="AZ33" s="2"/>
      </tp>
      <tp>
        <v>-8.2553662359714508E-2</v>
        <stp/>
        <stp>##V3_BDPV12</stp>
        <stp>EWT US Equity</stp>
        <stp>FUND_PCT_PREMIUM</stp>
        <stp>[Index.xlsm]主要產業!R87C50</stp>
        <tr r="AX87" s="2"/>
      </tp>
      <tp>
        <v>866.18</v>
        <stp/>
        <stp>##V3_BDPV12</stp>
        <stp>ASE INDEX</stp>
        <stp>PX_LAST</stp>
        <stp>[Index.xlsm]主要產業!R15C42</stp>
        <tr r="AP15" s="2"/>
      </tp>
      <tp>
        <v>10.4748</v>
        <stp/>
        <stp>##V3_BDPV12</stp>
        <stp>V2X Index</stp>
        <stp>LOW_52WEEK</stp>
        <stp>[Index.xlsm]主要產業!R67C46</stp>
        <tr r="AT67" s="2"/>
      </tp>
      <tp>
        <v>21.902820617451958</v>
        <stp/>
        <stp>##V3_BDPV12</stp>
        <stp>2330 TT Equity</stp>
        <stp>INTERVAL_HIGH</stp>
        <stp>[Index.xlsm]主要產業!R87C36</stp>
        <stp>MARKET_DATA_OVERRIDE=PE_RATIO</stp>
        <stp>CALC_INTERVAL=5y</stp>
        <stp>BEST_FPERIOD_OVERRIDE=BF</stp>
        <tr r="AJ87" s="2"/>
      </tp>
      <tp>
        <v>3.7935949999999998</v>
        <stp/>
        <stp>##V3_BDPV12</stp>
        <stp>SXTP INDEX</stp>
        <stp>CHG_PCT_1M</stp>
        <stp>[Index.xlsm]主要產業!R36C11</stp>
        <tr r="K36" s="2"/>
      </tp>
      <tp>
        <v>7.2567750000000002</v>
        <stp/>
        <stp>##V3_BDPV12</stp>
        <stp>SXTP INDEX</stp>
        <stp>CHG_PCT_3M</stp>
        <stp>[Index.xlsm]主要產業!R36C12</stp>
        <tr r="L36" s="2"/>
      </tp>
      <tp>
        <v>7.8975050000000005E-2</v>
        <stp/>
        <stp>##V3_BDPV12</stp>
        <stp>SXTP INDEX</stp>
        <stp>CHG_PCT_5D</stp>
        <stp>[Index.xlsm]主要產業!R36C10</stp>
        <tr r="J36" s="2"/>
      </tp>
      <tp>
        <v>2.4684020000000002</v>
        <stp/>
        <stp>##V3_BDPV12</stp>
        <stp>SXTP INDEX</stp>
        <stp>CHG_PCT_6M</stp>
        <stp>[Index.xlsm]主要產業!R36C13</stp>
        <tr r="M36" s="2"/>
      </tp>
      <tp t="s">
        <v>2019/12/20</v>
        <stp/>
        <stp>##V3_BDPV12</stp>
        <stp>dm1 Index</stp>
        <stp>FUT_LAST_TRADE_DT</stp>
        <stp>[Index.xlsm]主要產業!R91C45</stp>
        <tr r="AS91" s="2"/>
      </tp>
      <tp>
        <v>17.815828677748581</v>
        <stp/>
        <stp>##V3_BDPV12</stp>
        <stp>TPELMH Index</stp>
        <stp>PE_RATIO</stp>
        <stp>[Index.xlsm]主要產業!R37C18</stp>
        <tr r="R37" s="2"/>
      </tp>
      <tp>
        <v>7.5381307180875092</v>
        <stp/>
        <stp>##V3_BDPV12</stp>
        <stp>TPELEC Index</stp>
        <stp>PE_RATIO</stp>
        <stp>[Index.xlsm]主要產業!R42C18</stp>
        <tr r="R42" s="2"/>
      </tp>
      <tp>
        <v>44.96</v>
        <stp/>
        <stp>##V3_BDPV12</stp>
        <stp>DAI GR Equity</stp>
        <stp>PX_LAST</stp>
        <stp>[Index.xlsm]主要產業!R61C24</stp>
        <tr r="X61" s="2"/>
      </tp>
      <tp>
        <v>78090.71875</v>
        <stp/>
        <stp>##V3_BDPV12</stp>
        <stp>IBOV INDEX</stp>
        <stp>LOW_52WEEK</stp>
        <stp>[Index.xlsm]主要產業!R32C46</stp>
        <tr r="AT32" s="2"/>
      </tp>
      <tp>
        <v>2929.087</v>
        <stp/>
        <stp>##V3_BDPV12</stp>
        <stp>SHCOMP INDEX</stp>
        <stp>PX_LAST</stp>
        <stp>[Index.xlsm]主要產業!R23C42</stp>
        <tr r="AP23" s="2"/>
      </tp>
      <tp>
        <v>73.984999999999999</v>
        <stp/>
        <stp>##V3_BDPV12</stp>
        <stp>C US Equity</stp>
        <stp>HIGH_52WEEK</stp>
        <stp>[Index.xlsm]主要產業!R19C26</stp>
        <tr r="Z19" s="2"/>
      </tp>
      <tp>
        <v>5620.57</v>
        <stp/>
        <stp>##V3_BDPV12</stp>
        <stp>CAC INDEX</stp>
        <stp>PX_LAST</stp>
        <stp>[Index.xlsm]主要產業!R11C42</stp>
        <tr r="AP11" s="2"/>
      </tp>
      <tp>
        <v>7379</v>
        <stp/>
        <stp>##V3_BDPV12</stp>
        <stp>AZN LN Equity</stp>
        <stp>PX_LAST</stp>
        <stp>[Index.xlsm]主要產業!R46C24</stp>
        <tr r="X46" s="2"/>
      </tp>
      <tp>
        <v>3.6375000000000002</v>
        <stp/>
        <stp>##V3_BDPV12</stp>
        <stp>SAN SM Equity</stp>
        <stp>PX_LAST</stp>
        <stp>[Index.xlsm]主要產業!R64C24</stp>
        <tr r="X64" s="2"/>
      </tp>
      <tp>
        <v>128.11000000000001</v>
        <stp/>
        <stp>##V3_BDPV12</stp>
        <stp>TXN US Equity</stp>
        <stp>PX_LAST</stp>
        <stp>[Index.xlsm]主要產業!R22C24</stp>
        <tr r="X22" s="2"/>
      </tp>
      <tp>
        <v>167.03</v>
        <stp/>
        <stp>##V3_BDPV12</stp>
        <stp>HON US Equity</stp>
        <stp>PX_LAST</stp>
        <stp>[Index.xlsm]主要產業!R21C24</stp>
        <tr r="X21" s="2"/>
      </tp>
      <tp>
        <v>85.25</v>
        <stp/>
        <stp>##V3_BDPV12</stp>
        <stp>SAN FP Equity</stp>
        <stp>PX_LAST</stp>
        <stp>[Index.xlsm]主要產業!R38C24</stp>
        <tr r="X38" s="2"/>
      </tp>
      <tp>
        <v>194.73</v>
        <stp/>
        <stp>##V3_BDPV12</stp>
        <stp>AON US Equity</stp>
        <stp>PX_LAST</stp>
        <stp>[Index.xlsm]主要產業!R51C24</stp>
        <tr r="X51" s="2"/>
      </tp>
      <tp>
        <v>5.9769180000000004</v>
        <stp/>
        <stp>##V3_BDPV12</stp>
        <stp>SXRP INDEX</stp>
        <stp>CHG_PCT_1M</stp>
        <stp>[Index.xlsm]主要產業!R28C11</stp>
        <tr r="K28" s="2"/>
      </tp>
      <tp>
        <v>4.5301260000000001</v>
        <stp/>
        <stp>##V3_BDPV12</stp>
        <stp>SXRP INDEX</stp>
        <stp>CHG_PCT_3M</stp>
        <stp>[Index.xlsm]主要產業!R28C12</stp>
        <tr r="L28" s="2"/>
      </tp>
      <tp>
        <v>0.76271339999999999</v>
        <stp/>
        <stp>##V3_BDPV12</stp>
        <stp>SXRP INDEX</stp>
        <stp>CHG_PCT_5D</stp>
        <stp>[Index.xlsm]主要產業!R28C10</stp>
        <tr r="J28" s="2"/>
      </tp>
      <tp>
        <v>0.17402580000000001</v>
        <stp/>
        <stp>##V3_BDPV12</stp>
        <stp>SXRP INDEX</stp>
        <stp>CHG_PCT_6M</stp>
        <stp>[Index.xlsm]主要產業!R28C13</stp>
        <tr r="M28" s="2"/>
      </tp>
      <tp>
        <v>12.557510000000001</v>
        <stp/>
        <stp>##V3_BDPV12</stp>
        <stp>3382 JP Equity</stp>
        <stp>CHG_PCT_1M</stp>
        <stp>[Index.xlsm]主要產業!R82C31</stp>
        <tr r="AE82" s="2"/>
      </tp>
      <tp>
        <v>-0.57375089999999995</v>
        <stp/>
        <stp>##V3_BDPV12</stp>
        <stp>3382 JP Equity</stp>
        <stp>CHG_PCT_1D</stp>
        <stp>[Index.xlsm]主要產業!R82C25</stp>
        <tr r="Y82" s="2"/>
      </tp>
      <tp>
        <v>13.324249999999999</v>
        <stp/>
        <stp>##V3_BDPV12</stp>
        <stp>3382 JP Equity</stp>
        <stp>CHG_PCT_3M</stp>
        <stp>[Index.xlsm]主要產業!R82C32</stp>
        <tr r="AF82" s="2"/>
      </tp>
      <tp>
        <v>1.4637720000000001</v>
        <stp/>
        <stp>##V3_BDPV12</stp>
        <stp>3382 JP Equity</stp>
        <stp>CHG_PCT_5D</stp>
        <stp>[Index.xlsm]主要產業!R82C30</stp>
        <tr r="AD82" s="2"/>
      </tp>
      <tp>
        <v>-2.8724889999999998</v>
        <stp/>
        <stp>##V3_BDPV12</stp>
        <stp>3382 JP Equity</stp>
        <stp>CHG_PCT_6M</stp>
        <stp>[Index.xlsm]主要產業!R82C33</stp>
        <tr r="AG82" s="2"/>
      </tp>
      <tp>
        <v>10.947834550591358</v>
        <stp/>
        <stp>##V3_BDPV12</stp>
        <stp>TPCOMM Index</stp>
        <stp>PE_RATIO</stp>
        <stp>[Index.xlsm]主要產業!R38C18</stp>
        <tr r="R38" s="2"/>
      </tp>
      <tp t="s">
        <v>#N/A N/A</v>
        <stp/>
        <stp>##V3_BDPV12</stp>
        <stp>HSCIUT Index</stp>
        <stp>PE_RATIO</stp>
        <stp>[Index.xlsm]主要產業!R68C18</stp>
        <tr r="R68" s="2"/>
      </tp>
      <tp t="s">
        <v>#N/A N/A</v>
        <stp/>
        <stp>##V3_BDPV12</stp>
        <stp>HSCITC Index</stp>
        <stp>PE_RATIO</stp>
        <stp>[Index.xlsm]主要產業!R67C18</stp>
        <tr r="R67" s="2"/>
      </tp>
      <tp t="s">
        <v>#N/A N/A</v>
        <stp/>
        <stp>##V3_BDPV12</stp>
        <stp>HSCIPC Index</stp>
        <stp>PE_RATIO</stp>
        <stp>[Index.xlsm]主要產業!R65C18</stp>
        <tr r="R65" s="2"/>
      </tp>
      <tp t="s">
        <v>#N/A N/A</v>
        <stp/>
        <stp>##V3_BDPV12</stp>
        <stp>HSCISV Index</stp>
        <stp>PE_RATIO</stp>
        <stp>[Index.xlsm]主要產業!R66C18</stp>
        <tr r="R66" s="2"/>
      </tp>
      <tp t="s">
        <v>#N/A N/A</v>
        <stp/>
        <stp>##V3_BDPV12</stp>
        <stp>HSCIEN Index</stp>
        <stp>PE_RATIO</stp>
        <stp>[Index.xlsm]主要產業!R60C18</stp>
        <tr r="R60" s="2"/>
      </tp>
      <tp t="s">
        <v>#N/A N/A</v>
        <stp/>
        <stp>##V3_BDPV12</stp>
        <stp>HSCIFN Index</stp>
        <stp>PE_RATIO</stp>
        <stp>[Index.xlsm]主要產業!R61C18</stp>
        <tr r="R61" s="2"/>
      </tp>
      <tp t="s">
        <v>#N/A N/A</v>
        <stp/>
        <stp>##V3_BDPV12</stp>
        <stp>HSCICG Index</stp>
        <stp>PE_RATIO</stp>
        <stp>[Index.xlsm]主要產業!R58C18</stp>
        <tr r="R58" s="2"/>
      </tp>
      <tp>
        <v>5.1370732161442225</v>
        <stp/>
        <stp>##V3_BDPV12</stp>
        <stp>HSCICO Index</stp>
        <stp>PE_RATIO</stp>
        <stp>[Index.xlsm]主要產業!R59C18</stp>
        <tr r="R59" s="2"/>
      </tp>
      <tp t="s">
        <v>#N/A N/A</v>
        <stp/>
        <stp>##V3_BDPV12</stp>
        <stp>HSCIMT Index</stp>
        <stp>PE_RATIO</stp>
        <stp>[Index.xlsm]主要產業!R64C18</stp>
        <tr r="R64" s="2"/>
      </tp>
      <tp t="s">
        <v>#N/A N/A</v>
        <stp/>
        <stp>##V3_BDPV12</stp>
        <stp>HSCIIT Index</stp>
        <stp>PE_RATIO</stp>
        <stp>[Index.xlsm]主要產業!R63C18</stp>
        <tr r="R63" s="2"/>
      </tp>
      <tp t="s">
        <v>#N/A N/A</v>
        <stp/>
        <stp>##V3_BDPV12</stp>
        <stp>HSCIIN Index</stp>
        <stp>PE_RATIO</stp>
        <stp>[Index.xlsm]主要產業!R62C18</stp>
        <tr r="R62" s="2"/>
      </tp>
      <tp>
        <v>3178.5</v>
        <stp/>
        <stp>##V3_BDPV12</stp>
        <stp>BVLX INDEX</stp>
        <stp>PX_LAST</stp>
        <stp>[Index.xlsm]主要產業!R12C42</stp>
        <tr r="AP12" s="2"/>
      </tp>
      <tp>
        <v>9129.7000000000007</v>
        <stp/>
        <stp>##V3_BDPV12</stp>
        <stp>IBEX INDEX</stp>
        <stp>PX_LAST</stp>
        <stp>[Index.xlsm]主要產業!R13C42</stp>
        <tr r="AP13" s="2"/>
      </tp>
      <tp>
        <v>-2.424731</v>
        <stp/>
        <stp>##V3_BDPV12</stp>
        <stp xml:space="preserve">VNINDEX INDEX </stp>
        <stp>CHG_PCT_1YR</stp>
        <stp>[Index.xlsm]主要產業!R28C53</stp>
        <tr r="BA28" s="2"/>
      </tp>
      <tp>
        <v>4165.5</v>
        <stp/>
        <stp>##V3_BDPV12</stp>
        <stp>RIO LN Equity</stp>
        <stp>PX_LAST</stp>
        <stp>[Index.xlsm]主要產業!R50C24</stp>
        <tr r="X50" s="2"/>
      </tp>
      <tp>
        <v>56.82</v>
        <stp/>
        <stp>##V3_BDPV12</stp>
        <stp>FP FP Equity</stp>
        <stp>HIGH_52WEEK</stp>
        <stp>[Index.xlsm]主要產業!R36C26</stp>
        <tr r="Z36" s="2"/>
      </tp>
      <tp>
        <v>10.202338095357424</v>
        <stp/>
        <stp>##V3_BDPV12</stp>
        <stp>KOSPELEC Index</stp>
        <stp>PE_RATIO</stp>
        <stp>[Index.xlsm]主要產業!R43C18</stp>
        <tr r="R43" s="2"/>
      </tp>
      <tp>
        <v>1840.6</v>
        <stp/>
        <stp>##V3_BDPV12</stp>
        <stp>AAL LN Equity</stp>
        <stp>PX_LAST</stp>
        <stp>[Index.xlsm]主要產業!R53C24</stp>
        <tr r="X53" s="2"/>
      </tp>
      <tp>
        <v>0.1190015</v>
        <stp/>
        <stp>##V3_BDPV12</stp>
        <stp>SZCOMP INDEX</stp>
        <stp>CHG_PCT_1M</stp>
        <stp>[Index.xlsm]主要產業!R25C49</stp>
        <tr r="AW25" s="2"/>
      </tp>
      <tp>
        <v>-2.505109</v>
        <stp/>
        <stp>##V3_BDPV12</stp>
        <stp>SZCOMP INDEX</stp>
        <stp>CHG_PCT_1D</stp>
        <stp>[Index.xlsm]主要產業!R25C43</stp>
        <tr r="AQ25" s="2"/>
      </tp>
      <tp>
        <v>1.277989</v>
        <stp/>
        <stp>##V3_BDPV12</stp>
        <stp>SZCOMP INDEX</stp>
        <stp>CHG_PCT_3M</stp>
        <stp>[Index.xlsm]主要產業!R25C50</stp>
        <tr r="AX25" s="2"/>
      </tp>
      <tp>
        <v>-4.478612</v>
        <stp/>
        <stp>##V3_BDPV12</stp>
        <stp>SZCOMP INDEX</stp>
        <stp>CHG_PCT_5D</stp>
        <stp>[Index.xlsm]主要產業!R25C48</stp>
        <tr r="AV25" s="2"/>
      </tp>
      <tp>
        <v>-3.4430580000000002</v>
        <stp/>
        <stp>##V3_BDPV12</stp>
        <stp>SZCOMP INDEX</stp>
        <stp>CHG_PCT_6M</stp>
        <stp>[Index.xlsm]主要產業!R25C51</stp>
        <tr r="AY25" s="2"/>
      </tp>
      <tp>
        <v>38989.74</v>
        <stp/>
        <stp>##V3_BDPV12</stp>
        <stp>SENSEX INDEX</stp>
        <stp>PX_LAST</stp>
        <stp>[Index.xlsm]主要產業!R26C42</stp>
        <tr r="AP26" s="2"/>
      </tp>
      <tp>
        <v>-2.259252</v>
        <stp/>
        <stp>##V3_BDPV12</stp>
        <stp>SHCOMP INDEX</stp>
        <stp>CHG_PCT_3M</stp>
        <stp>[Index.xlsm]主要產業!R23C50</stp>
        <tr r="AX23" s="2"/>
      </tp>
      <tp>
        <v>0.92667160000000004</v>
        <stp/>
        <stp>##V3_BDPV12</stp>
        <stp>SHCOMP INDEX</stp>
        <stp>CHG_PCT_1M</stp>
        <stp>[Index.xlsm]主要產業!R23C49</stp>
        <tr r="AW23" s="2"/>
      </tp>
      <tp>
        <v>-0.89144299999999999</v>
        <stp/>
        <stp>##V3_BDPV12</stp>
        <stp>SHCOMP INDEX</stp>
        <stp>CHG_PCT_1D</stp>
        <stp>[Index.xlsm]主要產業!R23C43</stp>
        <tr r="AQ23" s="2"/>
      </tp>
      <tp>
        <v>-3.0976110000000001</v>
        <stp/>
        <stp>##V3_BDPV12</stp>
        <stp>SHCOMP INDEX</stp>
        <stp>CHG_PCT_6M</stp>
        <stp>[Index.xlsm]主要產業!R23C51</stp>
        <tr r="AY23" s="2"/>
      </tp>
      <tp>
        <v>-2.34029</v>
        <stp/>
        <stp>##V3_BDPV12</stp>
        <stp>SHCOMP INDEX</stp>
        <stp>CHG_PCT_5D</stp>
        <stp>[Index.xlsm]主要產業!R23C48</stp>
        <tr r="AV23" s="2"/>
      </tp>
      <tp>
        <v>7.6489969999999996</v>
        <stp/>
        <stp>##V3_BDPV12</stp>
        <stp>SXPP INDEX</stp>
        <stp>CHG_PCT_1M</stp>
        <stp>[Index.xlsm]主要產業!R32C11</stp>
        <tr r="K32" s="2"/>
      </tp>
      <tp>
        <v>-9.5173089999999991</v>
        <stp/>
        <stp>##V3_BDPV12</stp>
        <stp>SXPP INDEX</stp>
        <stp>CHG_PCT_3M</stp>
        <stp>[Index.xlsm]主要產業!R32C12</stp>
        <tr r="L32" s="2"/>
      </tp>
      <tp>
        <v>-3.7102080000000002</v>
        <stp/>
        <stp>##V3_BDPV12</stp>
        <stp>SXPP INDEX</stp>
        <stp>CHG_PCT_5D</stp>
        <stp>[Index.xlsm]主要產業!R32C10</stp>
        <tr r="J32" s="2"/>
      </tp>
      <tp>
        <v>23.984999999999999</v>
        <stp/>
        <stp>##V3_BDPV12</stp>
        <stp>CS FP Equity</stp>
        <stp>HIGH_52WEEK</stp>
        <stp>[Index.xlsm]主要產業!R41C26</stp>
        <tr r="Z41" s="2"/>
      </tp>
      <tp>
        <v>48.664999999999999</v>
        <stp/>
        <stp>##V3_BDPV12</stp>
        <stp>MS US Equity</stp>
        <stp>HIGH_52WEEK</stp>
        <stp>[Index.xlsm]主要產業!R32C26</stp>
        <tr r="Z32" s="2"/>
      </tp>
      <tp>
        <v>234.06</v>
        <stp/>
        <stp>##V3_BDPV12</stp>
        <stp>GS US Equity</stp>
        <stp>HIGH_52WEEK</stp>
        <stp>[Index.xlsm]主要產業!R30C26</stp>
        <tr r="Z30" s="2"/>
      </tp>
      <tp>
        <v>-11.19632</v>
        <stp/>
        <stp>##V3_BDPV12</stp>
        <stp>SXPP INDEX</stp>
        <stp>CHG_PCT_6M</stp>
        <stp>[Index.xlsm]主要產業!R32C13</stp>
        <tr r="M32" s="2"/>
      </tp>
      <tp>
        <v>143.55000000000001</v>
        <stp/>
        <stp>##V3_BDPV12</stp>
        <stp>IBM US Equity</stp>
        <stp>PX_LAST</stp>
        <stp>[Index.xlsm]主要產業!R20C24</stp>
        <tr r="X20" s="2"/>
      </tp>
      <tp>
        <v>163.83000000000001</v>
        <stp/>
        <stp>##V3_BDPV12</stp>
        <stp>MMM US Equity</stp>
        <stp>PX_LAST</stp>
        <stp>[Index.xlsm]主要產業!R27C24</stp>
        <tr r="X27" s="2"/>
      </tp>
      <tp>
        <v>41.17</v>
        <stp/>
        <stp>##V3_BDPV12</stp>
        <stp>EEM US Equity</stp>
        <stp>PX_LAST</stp>
        <stp>[Index.xlsm]主要產業!R89C42</stp>
        <tr r="AP89" s="2"/>
      </tp>
      <tp>
        <v>-3.6667000000000001</v>
        <stp/>
        <stp>##V3_BDPV12</stp>
        <stp>aud Curncy</stp>
        <stp>PR064</stp>
        <stp>[Index.xlsm]主要產業!R74C52</stp>
        <tr r="AZ74" s="2"/>
      </tp>
      <tp>
        <v>1.3497170000000001</v>
        <stp/>
        <stp>##V3_BDPV12</stp>
        <stp>SXQP INDEX</stp>
        <stp>CHG_PCT_1M</stp>
        <stp>[Index.xlsm]主要產業!R20C11</stp>
        <tr r="K20" s="2"/>
      </tp>
      <tp>
        <v>2.194534</v>
        <stp/>
        <stp>##V3_BDPV12</stp>
        <stp>SXQP INDEX</stp>
        <stp>CHG_PCT_3M</stp>
        <stp>[Index.xlsm]主要產業!R20C12</stp>
        <tr r="L20" s="2"/>
      </tp>
      <tp>
        <v>-0.59906510000000002</v>
        <stp/>
        <stp>##V3_BDPV12</stp>
        <stp>SXQP INDEX</stp>
        <stp>CHG_PCT_5D</stp>
        <stp>[Index.xlsm]主要產業!R20C10</stp>
        <tr r="J20" s="2"/>
      </tp>
      <tp>
        <v>257.8</v>
        <stp/>
        <stp>##V3_BDPV12</stp>
        <stp>OR FP Equity</stp>
        <stp>HIGH_52WEEK</stp>
        <stp>[Index.xlsm]主要產業!R39C26</stp>
        <tr r="Z39" s="2"/>
      </tp>
      <tp>
        <v>3.0746760000000002</v>
        <stp/>
        <stp>##V3_BDPV12</stp>
        <stp>SXQP INDEX</stp>
        <stp>CHG_PCT_6M</stp>
        <stp>[Index.xlsm]主要產業!R20C13</stp>
        <tr r="M20" s="2"/>
      </tp>
      <tp>
        <v>10.585012536152163</v>
        <stp/>
        <stp>##V3_BDPV12</stp>
        <stp>S5tech Index</stp>
        <stp>INTERVAL_Low</stp>
        <stp>[Index.xlsm]主要產業!R11C17</stp>
        <stp>MARKET_DATA_OVERRIDE=PE_RATIO</stp>
        <stp>CALC_INTERVAL=5y</stp>
        <stp>BEST_FPERIOD_OVERRIDE=BF</stp>
        <tr r="Q11" s="2"/>
      </tp>
      <tp>
        <v>4.0280639999999996</v>
        <stp/>
        <stp>##V3_BDPV12</stp>
        <stp>S5tech Index</stp>
        <stp>CHG_PCT_3M</stp>
        <stp>[Index.xlsm]主要產業!R11C12</stp>
        <tr r="L11" s="2"/>
      </tp>
      <tp>
        <v>11.483309999999999</v>
        <stp/>
        <stp>##V3_BDPV12</stp>
        <stp>6752 JP Equity</stp>
        <stp>CHG_PCT_1M</stp>
        <stp>[Index.xlsm]主要產業!R84C31</stp>
        <tr r="AE84" s="2"/>
      </tp>
      <tp>
        <v>-8.9848680000000005</v>
        <stp/>
        <stp>##V3_BDPV12</stp>
        <stp>7751 JP Equity</stp>
        <stp>CHG_PCT_3M</stp>
        <stp>[Index.xlsm]主要產業!R81C32</stp>
        <tr r="AF81" s="2"/>
      </tp>
      <tp>
        <v>0.70343900000000004</v>
        <stp/>
        <stp>##V3_BDPV12</stp>
        <stp>6752 JP Equity</stp>
        <stp>CHG_PCT_1D</stp>
        <stp>[Index.xlsm]主要產業!R84C25</stp>
        <tr r="Y84" s="2"/>
      </tp>
      <tp>
        <v>7.2445259999999996</v>
        <stp/>
        <stp>##V3_BDPV12</stp>
        <stp>S5tech Index</stp>
        <stp>CHG_PCT_1M</stp>
        <stp>[Index.xlsm]主要產業!R11C11</stp>
        <tr r="K11" s="2"/>
      </tp>
      <tp>
        <v>0.49025069999999998</v>
        <stp/>
        <stp>##V3_BDPV12</stp>
        <stp>6752 JP Equity</stp>
        <stp>CHG_PCT_3M</stp>
        <stp>[Index.xlsm]主要產業!R84C32</stp>
        <tr r="AF84" s="2"/>
      </tp>
      <tp>
        <v>0.41739130000000002</v>
        <stp/>
        <stp>##V3_BDPV12</stp>
        <stp>7751 JP Equity</stp>
        <stp>CHG_PCT_1D</stp>
        <stp>[Index.xlsm]主要產業!R81C25</stp>
        <tr r="Y81" s="2"/>
      </tp>
      <tp>
        <v>5.1538880000000002</v>
        <stp/>
        <stp>##V3_BDPV12</stp>
        <stp>7751 JP Equity</stp>
        <stp>CHG_PCT_1M</stp>
        <stp>[Index.xlsm]主要產業!R81C31</stp>
        <tr r="AE81" s="2"/>
      </tp>
      <tp>
        <v>-11.169230000000001</v>
        <stp/>
        <stp>##V3_BDPV12</stp>
        <stp>7751 JP Equity</stp>
        <stp>CHG_PCT_6M</stp>
        <stp>[Index.xlsm]主要產業!R81C33</stp>
        <tr r="AG81" s="2"/>
      </tp>
      <tp>
        <v>0.12211370000000001</v>
        <stp/>
        <stp>##V3_BDPV12</stp>
        <stp>6752 JP Equity</stp>
        <stp>CHG_PCT_5D</stp>
        <stp>[Index.xlsm]主要產業!R84C30</stp>
        <tr r="AD84" s="2"/>
      </tp>
      <tp>
        <v>9.5476449999999993</v>
        <stp/>
        <stp>##V3_BDPV12</stp>
        <stp>S5tech Index</stp>
        <stp>CHG_PCT_6M</stp>
        <stp>[Index.xlsm]主要產業!R11C13</stp>
        <tr r="M11" s="2"/>
      </tp>
      <tp>
        <v>-0.36778929999999999</v>
        <stp/>
        <stp>##V3_BDPV12</stp>
        <stp>S5tech Index</stp>
        <stp>CHG_PCT_5D</stp>
        <stp>[Index.xlsm]主要產業!R11C10</stp>
        <tr r="J11" s="2"/>
      </tp>
      <tp>
        <v>-6.625947</v>
        <stp/>
        <stp>##V3_BDPV12</stp>
        <stp>6752 JP Equity</stp>
        <stp>CHG_PCT_6M</stp>
        <stp>[Index.xlsm]主要產業!R84C33</stp>
        <tr r="AG84" s="2"/>
      </tp>
      <tp>
        <v>-1.231611</v>
        <stp/>
        <stp>##V3_BDPV12</stp>
        <stp>7751 JP Equity</stp>
        <stp>CHG_PCT_5D</stp>
        <stp>[Index.xlsm]主要產業!R81C30</stp>
        <tr r="AD81" s="2"/>
      </tp>
      <tp>
        <v>13.740729999999999</v>
        <stp/>
        <stp>##V3_BDPV12</stp>
        <stp>6758 JP Equity</stp>
        <stp>CHG_PCT_3M</stp>
        <stp>[Index.xlsm]主要產業!R78C32</stp>
        <tr r="AF78" s="2"/>
      </tp>
      <tp>
        <v>9.4865689999999994</v>
        <stp/>
        <stp>##V3_BDPV12</stp>
        <stp>6758 JP Equity</stp>
        <stp>CHG_PCT_1M</stp>
        <stp>[Index.xlsm]主要產業!R78C31</stp>
        <tr r="AE78" s="2"/>
      </tp>
      <tp>
        <v>-1.348039</v>
        <stp/>
        <stp>##V3_BDPV12</stp>
        <stp>6758 JP Equity</stp>
        <stp>CHG_PCT_1D</stp>
        <stp>[Index.xlsm]主要產業!R78C25</stp>
        <tr r="Y78" s="2"/>
      </tp>
      <tp>
        <v>35.152149999999999</v>
        <stp/>
        <stp>##V3_BDPV12</stp>
        <stp>6758 JP Equity</stp>
        <stp>CHG_PCT_6M</stp>
        <stp>[Index.xlsm]主要產業!R78C33</stp>
        <tr r="AG78" s="2"/>
      </tp>
      <tp>
        <v>0.67219010000000001</v>
        <stp/>
        <stp>##V3_BDPV12</stp>
        <stp>6758 JP Equity</stp>
        <stp>CHG_PCT_5D</stp>
        <stp>[Index.xlsm]主要產業!R78C30</stp>
        <tr r="AD78" s="2"/>
      </tp>
      <tp>
        <v>26.153282209139295</v>
        <stp/>
        <stp>##V3_BDPV12</stp>
        <stp>TWSETRAN Index</stp>
        <stp>PE_RATIO</stp>
        <stp>[Index.xlsm]主要產業!R82C18</stp>
        <tr r="R82" s="2"/>
      </tp>
      <tp>
        <v>9.3642328419040766</v>
        <stp/>
        <stp>##V3_BDPV12</stp>
        <stp>TPNBNK Index</stp>
        <stp>PE_RATIO</stp>
        <stp>[Index.xlsm]主要產業!R41C18</stp>
        <tr r="R41" s="2"/>
      </tp>
      <tp>
        <v>16.069899947378762</v>
        <stp/>
        <stp>##V3_BDPV12</stp>
        <stp>TPNCHM Index</stp>
        <stp>PE_RATIO</stp>
        <stp>[Index.xlsm]主要產業!R40C18</stp>
        <tr r="R40" s="2"/>
      </tp>
      <tp>
        <v>4155.92</v>
        <stp/>
        <stp>##V3_BDPV12</stp>
        <stp>HSCCI INDEX</stp>
        <stp>PX_LAST</stp>
        <stp>[Index.xlsm]主要產業!R21C42</stp>
        <tr r="AP21" s="2"/>
      </tp>
      <tp>
        <v>10212.27</v>
        <stp/>
        <stp>##V3_BDPV12</stp>
        <stp>HSCEI INDEX</stp>
        <stp>PX_LAST</stp>
        <stp>[Index.xlsm]主要產業!R20C42</stp>
        <tr r="AP20" s="2"/>
      </tp>
      <tp>
        <v>19.51518793005069</v>
        <stp/>
        <stp>##V3_BDPV12</stp>
        <stp>TWSETOUR Index</stp>
        <stp>PE_RATIO</stp>
        <stp>[Index.xlsm]主要產業!R93C18</stp>
        <tr r="R93" s="2"/>
      </tp>
      <tp>
        <v>26891.119999999999</v>
        <stp/>
        <stp>##V3_BDPV12</stp>
        <stp>INDU INDEX</stp>
        <stp>PX_LAST</stp>
        <stp>[Index.xlsm]主要產業!R91C46</stp>
        <tr r="AT91" s="2"/>
      </tp>
      <tp>
        <v>18.23229425976929</v>
        <stp/>
        <stp>##V3_BDPV12</stp>
        <stp>TWSETEXT Index</stp>
        <stp>PE_RATIO</stp>
        <stp>[Index.xlsm]主要產業!R84C18</stp>
        <tr r="R84" s="2"/>
      </tp>
      <tp>
        <v>-2.74</v>
        <stp/>
        <stp>##V3_BDPV12</stp>
        <stp>GECU2YR INDEX</stp>
        <stp>PR064</stp>
        <stp>[Index.xlsm]主要產業!R59C52</stp>
        <tr r="AZ59" s="2"/>
      </tp>
      <tp>
        <v>-6.0448000000000004</v>
        <stp/>
        <stp>##V3_BDPV12</stp>
        <stp>nzd Curncy</stp>
        <stp>PR064</stp>
        <stp>[Index.xlsm]主要產業!R75C52</stp>
        <tr r="AZ75" s="2"/>
      </tp>
      <tp>
        <v>2.1616140000000001</v>
        <stp/>
        <stp>##V3_BDPV12</stp>
        <stp>HSCEI INDEX</stp>
        <stp>CHG_PCT_1M</stp>
        <stp>[Index.xlsm]主要產業!R20C49</stp>
        <tr r="AW20" s="2"/>
      </tp>
      <tp>
        <v>0.4276816</v>
        <stp/>
        <stp>##V3_BDPV12</stp>
        <stp>HSCEI INDEX</stp>
        <stp>CHG_PCT_1D</stp>
        <stp>[Index.xlsm]主要產業!R20C43</stp>
        <tr r="AQ20" s="2"/>
      </tp>
      <tp>
        <v>-6.2847770000000001</v>
        <stp/>
        <stp>##V3_BDPV12</stp>
        <stp>HSCEI INDEX</stp>
        <stp>CHG_PCT_3M</stp>
        <stp>[Index.xlsm]主要產業!R20C50</stp>
        <tr r="AX20" s="2"/>
      </tp>
      <tp>
        <v>-1.6665749999999999</v>
        <stp/>
        <stp>##V3_BDPV12</stp>
        <stp>HSCEI INDEX</stp>
        <stp>CHG_PCT_5D</stp>
        <stp>[Index.xlsm]主要產業!R20C48</stp>
        <tr r="AV20" s="2"/>
      </tp>
      <tp>
        <v>-9.6687840000000005</v>
        <stp/>
        <stp>##V3_BDPV12</stp>
        <stp>HSCEI INDEX</stp>
        <stp>CHG_PCT_6M</stp>
        <stp>[Index.xlsm]主要產業!R20C51</stp>
        <tr r="AY20" s="2"/>
      </tp>
      <tp>
        <v>9.2376404830410408</v>
        <stp/>
        <stp>##V3_BDPV12</stp>
        <stp>UBSG SW Equity</stp>
        <stp>PE_RATIO</stp>
        <stp>[Index.xlsm]主要產業!R70C38</stp>
        <tr r="AL70" s="2"/>
      </tp>
      <tp>
        <v>15.146699472961755</v>
        <stp/>
        <stp>##V3_BDPV12</stp>
        <stp>s5util Index</stp>
        <stp>INTERVAL_Low</stp>
        <stp>[Index.xlsm]主要產業!R14C17</stp>
        <stp>MARKET_DATA_OVERRIDE=PE_RATIO</stp>
        <stp>CALC_INTERVAL=5y</stp>
        <stp>BEST_FPERIOD_OVERRIDE=BF</stp>
        <tr r="Q14" s="2"/>
      </tp>
      <tp>
        <v>7896.48</v>
        <stp/>
        <stp>##V3_BDPV12</stp>
        <stp>PCOMP INDEX</stp>
        <stp>PX_LAST</stp>
        <stp>[Index.xlsm]主要產業!R31C42</stp>
        <tr r="AP31" s="2"/>
      </tp>
      <tp>
        <v>8286.2000000000007</v>
        <stp/>
        <stp>##V3_BDPV12</stp>
        <stp>IBEX INDEX</stp>
        <stp>LOW_52WEEK</stp>
        <stp>[Index.xlsm]主要產業!R13C46</stp>
        <tr r="AT13" s="2"/>
      </tp>
      <tp>
        <v>2683.2919999999999</v>
        <stp/>
        <stp>##V3_BDPV12</stp>
        <stp>LD06TRUU Index</stp>
        <stp>LOW_52WEEK</stp>
        <stp>[Index.xlsm]主要產業!R37C46</stp>
        <tr r="AT37" s="2"/>
      </tp>
      <tp>
        <v>11.43451</v>
        <stp/>
        <stp>##V3_BDPV12</stp>
        <stp>2330 TT Equity</stp>
        <stp>CHG_PCT_3M</stp>
        <stp>[Index.xlsm]主要產業!R87C32</stp>
        <tr r="AF87" s="2"/>
      </tp>
      <tp>
        <v>7.2</v>
        <stp/>
        <stp>##V3_BDPV12</stp>
        <stp>2330 TT Equity</stp>
        <stp>CHG_PCT_1M</stp>
        <stp>[Index.xlsm]主要產業!R87C31</stp>
        <tr r="AE87" s="2"/>
      </tp>
      <tp>
        <v>0.75187970000000004</v>
        <stp/>
        <stp>##V3_BDPV12</stp>
        <stp>2330 TT Equity</stp>
        <stp>CHG_PCT_1D</stp>
        <stp>[Index.xlsm]主要產業!R87C25</stp>
        <tr r="Y87" s="2"/>
      </tp>
      <tp>
        <v>10.97308</v>
        <stp/>
        <stp>##V3_BDPV12</stp>
        <stp>2330 TT Equity</stp>
        <stp>CHG_PCT_6M</stp>
        <stp>[Index.xlsm]主要產業!R87C33</stp>
        <tr r="AG87" s="2"/>
      </tp>
      <tp>
        <v>1.1320749999999999</v>
        <stp/>
        <stp>##V3_BDPV12</stp>
        <stp>2330 TT Equity</stp>
        <stp>CHG_PCT_5D</stp>
        <stp>[Index.xlsm]主要產業!R87C30</stp>
        <tr r="AD87" s="2"/>
      </tp>
      <tp>
        <v>21.032800000000002</v>
        <stp/>
        <stp>##V3_BDPV12</stp>
        <stp>XBTUSD BGN Curncy</stp>
        <stp>CHG_PCT_1YR</stp>
        <stp>[Index.xlsm]主要產業!R84C53</stp>
        <tr r="BA84" s="2"/>
      </tp>
      <tp>
        <v>8.6831490000000002</v>
        <stp/>
        <stp>##V3_BDPV12</stp>
        <stp>SX86P INDEX</stp>
        <stp>PR064</stp>
        <stp>[Index.xlsm]主要產業!R34C14</stp>
        <tr r="N34" s="2"/>
      </tp>
      <tp>
        <v>-3.2884899999999999</v>
        <stp/>
        <stp>##V3_BDPV12</stp>
        <stp>VXN Index</stp>
        <stp>PR064</stp>
        <stp>[Index.xlsm]主要產業!R66C52</stp>
        <tr r="AZ66" s="2"/>
      </tp>
      <tp>
        <v>2074.52</v>
        <stp/>
        <stp>##V3_BDPV12</stp>
        <stp>kospi INDEX</stp>
        <stp>PX_LAST</stp>
        <stp>[Index.xlsm]主要產業!R18C42</stp>
        <tr r="AP18" s="2"/>
      </tp>
      <tp>
        <v>5.1777700000000003E-2</v>
        <stp/>
        <stp>##V3_BDPV12</stp>
        <stp>7267 JP Equity</stp>
        <stp>CHG_PCT_5D</stp>
        <stp>[Index.xlsm]主要產業!R80C30</stp>
        <tr r="AD80" s="2"/>
      </tp>
      <tp>
        <v>-4.3714950000000004</v>
        <stp/>
        <stp>##V3_BDPV12</stp>
        <stp>7267 JP Equity</stp>
        <stp>CHG_PCT_6M</stp>
        <stp>[Index.xlsm]主要產業!R80C33</stp>
        <tr r="AG80" s="2"/>
      </tp>
      <tp>
        <v>1.3461540000000001</v>
        <stp/>
        <stp>##V3_BDPV12</stp>
        <stp>7267 JP Equity</stp>
        <stp>CHG_PCT_1D</stp>
        <stp>[Index.xlsm]主要產業!R80C25</stp>
        <tr r="Y80" s="2"/>
      </tp>
      <tp>
        <v>16.686800000000002</v>
        <stp/>
        <stp>##V3_BDPV12</stp>
        <stp>7267 JP Equity</stp>
        <stp>CHG_PCT_1M</stp>
        <stp>[Index.xlsm]主要產業!R80C31</stp>
        <tr r="AE80" s="2"/>
      </tp>
      <tp>
        <v>3.9447730000000001</v>
        <stp/>
        <stp>##V3_BDPV12</stp>
        <stp>7267 JP Equity</stp>
        <stp>CHG_PCT_3M</stp>
        <stp>[Index.xlsm]主要產業!R80C32</stp>
        <tr r="AF80" s="2"/>
      </tp>
      <tp>
        <v>1.5802780000000001</v>
        <stp/>
        <stp>##V3_BDPV12</stp>
        <stp>VIX Index</stp>
        <stp>PR064</stp>
        <stp>[Index.xlsm]主要產業!R65C52</stp>
        <tr r="AZ65" s="2"/>
      </tp>
      <tp>
        <v>6.9107556046207588</v>
        <stp/>
        <stp>##V3_BDPV12</stp>
        <stp>KOSPFIN Index</stp>
        <stp>PE_RATIO</stp>
        <stp>[Index.xlsm]主要產業!R44C18</stp>
        <tr r="R44" s="2"/>
      </tp>
      <tp>
        <v>105319.4</v>
        <stp/>
        <stp>##V3_BDPV12</stp>
        <stp>IBOV INDEX</stp>
        <stp>PX_LAST</stp>
        <stp>[Index.xlsm]主要產業!R32C42</stp>
        <tr r="AP32" s="2"/>
      </tp>
      <tp>
        <v>-3.8608198284080046</v>
        <stp/>
        <stp>##V3_BDPV12</stp>
        <stp>kc1 Comdty</stp>
        <stp>PR064</stp>
        <stp>[Index.xlsm]主要產業!R51C52</stp>
        <tr r="AZ51" s="2"/>
      </tp>
      <tp>
        <v>53.208950000000002</v>
        <stp/>
        <stp>##V3_BDPV12</stp>
        <stp>BDIY Index</stp>
        <stp>PR064</stp>
        <stp>[Index.xlsm]主要產業!R40C52</stp>
        <tr r="AZ40" s="2"/>
      </tp>
      <tp>
        <v>14.295</v>
        <stp/>
        <stp>##V3_BDPV12</stp>
        <stp>ORA FP Equity</stp>
        <stp>PX_LAST</stp>
        <stp>[Index.xlsm]主要產業!R42C24</stp>
        <tr r="X42" s="2"/>
      </tp>
      <tp>
        <v>55.02</v>
        <stp/>
        <stp>##V3_BDPV12</stp>
        <stp>UNA NA Equity</stp>
        <stp>PX_LAST</stp>
        <stp>[Index.xlsm]主要產業!R49C24</stp>
        <tr r="X49" s="2"/>
      </tp>
      <tp>
        <v>17.493310000000001</v>
        <stp/>
        <stp>##V3_BDPV12</stp>
        <stp>V2X Index</stp>
        <stp>PR064</stp>
        <stp>[Index.xlsm]主要產業!R67C52</stp>
        <tr r="AZ67" s="2"/>
      </tp>
      <tp t="s">
        <v>JN</v>
        <stp/>
        <stp>##V3_BDPV12</stp>
        <stp>6758 JP Equity</stp>
        <stp>DS003</stp>
        <stp>[Index.xlsm]主要產業!R78C23</stp>
        <tr r="W78" s="2"/>
      </tp>
      <tp t="s">
        <v>JN</v>
        <stp/>
        <stp>##V3_BDPV12</stp>
        <stp>7751 JP Equity</stp>
        <stp>DS003</stp>
        <stp>[Index.xlsm]主要產業!R81C23</stp>
        <tr r="W81" s="2"/>
      </tp>
      <tp t="s">
        <v>JN</v>
        <stp/>
        <stp>##V3_BDPV12</stp>
        <stp>6752 JP Equity</stp>
        <stp>DS003</stp>
        <stp>[Index.xlsm]主要產業!R84C23</stp>
        <tr r="W84" s="2"/>
      </tp>
      <tp>
        <v>-8.9848680000000005</v>
        <stp/>
        <stp>##V3_BDPV12</stp>
        <stp>7751 JP Equity</stp>
        <stp>PR064</stp>
        <stp>[Index.xlsm]主要產業!R81C34</stp>
        <tr r="AH81" s="2"/>
      </tp>
      <tp>
        <v>0.49025069999999998</v>
        <stp/>
        <stp>##V3_BDPV12</stp>
        <stp>6752 JP Equity</stp>
        <stp>PR064</stp>
        <stp>[Index.xlsm]主要產業!R84C34</stp>
        <tr r="AH84" s="2"/>
      </tp>
      <tp>
        <v>13.740729999999999</v>
        <stp/>
        <stp>##V3_BDPV12</stp>
        <stp>6758 JP Equity</stp>
        <stp>PR064</stp>
        <stp>[Index.xlsm]主要產業!R78C34</stp>
        <tr r="AH78" s="2"/>
      </tp>
      <tp>
        <v>-16.641400000000001</v>
        <stp/>
        <stp>##V3_BDPV12</stp>
        <stp>usgg30yr Index</stp>
        <stp>PR064</stp>
        <stp>[Index.xlsm]主要產業!R58C52</stp>
        <tr r="AZ58" s="2"/>
      </tp>
      <tp>
        <v>-17.329499999999999</v>
        <stp/>
        <stp>##V3_BDPV12</stp>
        <stp>usgg10yr Index</stp>
        <stp>PR064</stp>
        <stp>[Index.xlsm]主要產業!R57C52</stp>
        <tr r="AZ57" s="2"/>
      </tp>
      <tp>
        <v>27.892070744344462</v>
        <stp/>
        <stp>##V3_BDPV12</stp>
        <stp>PHIA NA Equity</stp>
        <stp>PE_RATIO</stp>
        <stp>[Index.xlsm]主要產業!R75C38</stp>
        <tr r="AL75" s="2"/>
      </tp>
      <tp>
        <v>17.161468810650589</v>
        <stp/>
        <stp>##V3_BDPV12</stp>
        <stp>s5phrm index</stp>
        <stp>INTERVAL_Low</stp>
        <stp>[Index.xlsm]主要產業!R10C17</stp>
        <stp>MARKET_DATA_OVERRIDE=PE_RATIO</stp>
        <stp>CALC_INTERVAL=5y</stp>
        <stp>BEST_FPERIOD_OVERRIDE=BF</stp>
        <tr r="Q10" s="2"/>
      </tp>
      <tp>
        <v>15.776807380494599</v>
        <stp/>
        <stp>##V3_BDPV12</stp>
        <stp>TWSEPLAS Index</stp>
        <stp>PE_RATIO</stp>
        <stp>[Index.xlsm]主要產業!R73C18</stp>
        <tr r="R73" s="2"/>
      </tp>
      <tp>
        <v>-2.052</v>
        <stp/>
        <stp>##V3_BDPV12</stp>
        <stp>GECU2YR INDEX</stp>
        <stp>LOW_52WEEK</stp>
        <stp>[Index.xlsm]主要產業!R59C46</stp>
        <tr r="AT59" s="2"/>
      </tp>
      <tp>
        <v>6.944</v>
        <stp/>
        <stp>##V3_BDPV12</stp>
        <stp>TEF SM Equity</stp>
        <stp>PX_LAST</stp>
        <stp>[Index.xlsm]主要產業!R66C24</stp>
        <tr r="X66" s="2"/>
      </tp>
      <tp>
        <v>31.74</v>
        <stp/>
        <stp>##V3_BDPV12</stp>
        <stp>USDTWD TPFT Curncy</stp>
        <stp>HIGH_52WEEK</stp>
        <stp>[Index.xlsm]主要產業!R69C44</stp>
        <tr r="AR69" s="2"/>
      </tp>
      <tp>
        <v>29.492349999999998</v>
        <stp/>
        <stp>##V3_BDPV12</stp>
        <stp>VIX Index</stp>
        <stp>CHG_PCT_1YR</stp>
        <stp>[Index.xlsm]主要產業!R65C53</stp>
        <tr r="BA65" s="2"/>
      </tp>
      <tp>
        <v>25.935770000000002</v>
        <stp/>
        <stp>##V3_BDPV12</stp>
        <stp>V2X Index</stp>
        <stp>CHG_PCT_1YR</stp>
        <stp>[Index.xlsm]主要產業!R67C53</stp>
        <tr r="BA67" s="2"/>
      </tp>
      <tp>
        <v>-0.1419947</v>
        <stp/>
        <stp>##V3_BDPV12</stp>
        <stp>HSCISV Index</stp>
        <stp>CHG_PCT_1YR</stp>
        <stp>[Index.xlsm]主要產業!R66C15</stp>
        <tr r="O66" s="2"/>
      </tp>
      <tp>
        <v>1.144102</v>
        <stp/>
        <stp>##V3_BDPV12</stp>
        <stp>7203 JP Equity</stp>
        <stp>CHG_PCT_1D</stp>
        <stp>[Index.xlsm]主要產業!R77C25</stp>
        <tr r="Y77" s="2"/>
      </tp>
      <tp>
        <v>0.1943463</v>
        <stp/>
        <stp>##V3_BDPV12</stp>
        <stp>8306 JP Equity</stp>
        <stp>CHG_PCT_5D</stp>
        <stp>[Index.xlsm]主要產業!R79C30</stp>
        <tr r="AD79" s="2"/>
      </tp>
      <tp>
        <v>-8.4854699999999994</v>
        <stp/>
        <stp>##V3_BDPV12</stp>
        <stp>7201 JP Equity</stp>
        <stp>CHG_PCT_3M</stp>
        <stp>[Index.xlsm]主要產業!R85C32</stp>
        <tr r="AF85" s="2"/>
      </tp>
      <tp>
        <v>7.3276490000000001</v>
        <stp/>
        <stp>##V3_BDPV12</stp>
        <stp>7203 JP Equity</stp>
        <stp>CHG_PCT_1M</stp>
        <stp>[Index.xlsm]主要產業!R77C31</stp>
        <tr r="AE77" s="2"/>
      </tp>
      <tp>
        <v>0.86438999999999999</v>
        <stp/>
        <stp>##V3_BDPV12</stp>
        <stp>7201 JP Equity</stp>
        <stp>CHG_PCT_1D</stp>
        <stp>[Index.xlsm]主要產業!R85C25</stp>
        <tr r="Y85" s="2"/>
      </tp>
      <tp>
        <v>9.9644700000000004</v>
        <stp/>
        <stp>##V3_BDPV12</stp>
        <stp>7201 JP Equity</stp>
        <stp>CHG_PCT_1M</stp>
        <stp>[Index.xlsm]主要產業!R85C31</stp>
        <tr r="AE85" s="2"/>
      </tp>
      <tp>
        <v>2.4385880000000002</v>
        <stp/>
        <stp>##V3_BDPV12</stp>
        <stp>8306 JP Equity</stp>
        <stp>CHG_PCT_6M</stp>
        <stp>[Index.xlsm]主要產業!R79C33</stp>
        <tr r="AG79" s="2"/>
      </tp>
      <tp>
        <v>11.267609999999999</v>
        <stp/>
        <stp>##V3_BDPV12</stp>
        <stp>7203 JP Equity</stp>
        <stp>CHG_PCT_3M</stp>
        <stp>[Index.xlsm]主要產業!R77C32</stp>
        <tr r="AF77" s="2"/>
      </tp>
      <tp>
        <v>14.058730000000001</v>
        <stp/>
        <stp>##V3_BDPV12</stp>
        <stp>8306 JP Equity</stp>
        <stp>CHG_PCT_1M</stp>
        <stp>[Index.xlsm]主要產業!R79C31</stp>
        <tr r="AE79" s="2"/>
      </tp>
      <tp>
        <v>-23.048649999999999</v>
        <stp/>
        <stp>##V3_BDPV12</stp>
        <stp>7201 JP Equity</stp>
        <stp>CHG_PCT_6M</stp>
        <stp>[Index.xlsm]主要產業!R85C33</stp>
        <tr r="AG85" s="2"/>
      </tp>
      <tp>
        <v>8.0862530000000002E-2</v>
        <stp/>
        <stp>##V3_BDPV12</stp>
        <stp>7203 JP Equity</stp>
        <stp>CHG_PCT_5D</stp>
        <stp>[Index.xlsm]主要產業!R77C30</stp>
        <tr r="AD77" s="2"/>
      </tp>
      <tp>
        <v>0.28293550000000001</v>
        <stp/>
        <stp>##V3_BDPV12</stp>
        <stp>8306 JP Equity</stp>
        <stp>CHG_PCT_1D</stp>
        <stp>[Index.xlsm]主要產業!R79C25</stp>
        <tr r="Y79" s="2"/>
      </tp>
      <tp>
        <v>10.76172</v>
        <stp/>
        <stp>##V3_BDPV12</stp>
        <stp>8306 JP Equity</stp>
        <stp>CHG_PCT_3M</stp>
        <stp>[Index.xlsm]主要產業!R79C32</stp>
        <tr r="AF79" s="2"/>
      </tp>
      <tp>
        <v>12.124409999999999</v>
        <stp/>
        <stp>##V3_BDPV12</stp>
        <stp>7203 JP Equity</stp>
        <stp>CHG_PCT_6M</stp>
        <stp>[Index.xlsm]主要產業!R77C33</stp>
        <tr r="AG77" s="2"/>
      </tp>
      <tp>
        <v>-0.2941588</v>
        <stp/>
        <stp>##V3_BDPV12</stp>
        <stp>7201 JP Equity</stp>
        <stp>CHG_PCT_5D</stp>
        <stp>[Index.xlsm]主要產業!R85C30</stp>
        <tr r="AD85" s="2"/>
      </tp>
      <tp>
        <v>1.393481</v>
        <stp/>
        <stp>##V3_BDPV12</stp>
        <stp>5108 JP Equity</stp>
        <stp>CHG_PCT_3M</stp>
        <stp>[Index.xlsm]主要產業!R83C32</stp>
        <tr r="AF83" s="2"/>
      </tp>
      <tp>
        <v>7.2713640000000002</v>
        <stp/>
        <stp>##V3_BDPV12</stp>
        <stp>5108 JP Equity</stp>
        <stp>CHG_PCT_1M</stp>
        <stp>[Index.xlsm]主要產業!R83C31</stp>
        <tr r="AE83" s="2"/>
      </tp>
      <tp>
        <v>-0.25557619999999998</v>
        <stp/>
        <stp>##V3_BDPV12</stp>
        <stp>5108 JP Equity</stp>
        <stp>CHG_PCT_1D</stp>
        <stp>[Index.xlsm]主要產業!R83C25</stp>
        <tr r="Y83" s="2"/>
      </tp>
      <tp>
        <v>0.37409399999999998</v>
        <stp/>
        <stp>##V3_BDPV12</stp>
        <stp>5108 JP Equity</stp>
        <stp>CHG_PCT_6M</stp>
        <stp>[Index.xlsm]主要產業!R83C33</stp>
        <tr r="AG83" s="2"/>
      </tp>
      <tp>
        <v>0.49157299999999998</v>
        <stp/>
        <stp>##V3_BDPV12</stp>
        <stp>5108 JP Equity</stp>
        <stp>CHG_PCT_5D</stp>
        <stp>[Index.xlsm]主要產業!R83C30</stp>
        <tr r="AD83" s="2"/>
      </tp>
      <tp>
        <v>286.7</v>
        <stp/>
        <stp>##V3_BDPV12</stp>
        <stp>ROG SW Equity</stp>
        <stp>PX_LAST</stp>
        <stp>[Index.xlsm]主要產業!R69C24</stp>
        <tr r="X69" s="2"/>
      </tp>
      <tp>
        <v>-64.754099999999994</v>
        <stp/>
        <stp>##V3_BDPV12</stp>
        <stp>usggt10y Index</stp>
        <stp>PR064</stp>
        <stp>[Index.xlsm]主要產業!R62C52</stp>
        <tr r="AZ62" s="2"/>
      </tp>
      <tp>
        <v>5.2434894312740941</v>
        <stp/>
        <stp>##V3_BDPV12</stp>
        <stp>DXY Index</stp>
        <stp>CHG_PCT_1YR</stp>
        <stp>[Index.xlsm]主要產業!R68C53</stp>
        <tr r="BA68" s="2"/>
      </tp>
      <tp>
        <v>-9.2421830000000007</v>
        <stp/>
        <stp>##V3_BDPV12</stp>
        <stp>CRY Index</stp>
        <stp>CHG_PCT_1YR</stp>
        <stp>[Index.xlsm]主要產業!R42C53</stp>
        <tr r="BA42" s="2"/>
      </tp>
      <tp>
        <v>1.393481</v>
        <stp/>
        <stp>##V3_BDPV12</stp>
        <stp>5108 JP Equity</stp>
        <stp>PR064</stp>
        <stp>[Index.xlsm]主要產業!R83C34</stp>
        <tr r="AH83" s="2"/>
      </tp>
      <tp t="s">
        <v>JN</v>
        <stp/>
        <stp>##V3_BDPV12</stp>
        <stp>5108 JP Equity</stp>
        <stp>DS003</stp>
        <stp>[Index.xlsm]主要產業!R83C23</stp>
        <tr r="W83" s="2"/>
      </tp>
      <tp>
        <v>39.439269053750152</v>
        <stp/>
        <stp>##V3_BDPV12</stp>
        <stp>s5rlst Index</stp>
        <stp>INTERVAL_Low</stp>
        <stp>[Index.xlsm]主要產業!R15C17</stp>
        <stp>MARKET_DATA_OVERRIDE=PE_RATIO</stp>
        <stp>CALC_INTERVAL=5y</stp>
        <stp>BEST_FPERIOD_OVERRIDE=BF</stp>
        <tr r="Q15" s="2"/>
      </tp>
      <tp>
        <v>11.698747991967871</v>
        <stp/>
        <stp>##V3_BDPV12</stp>
        <stp>RDSA LN Equity</stp>
        <stp>PE_RATIO</stp>
        <stp>[Index.xlsm]主要產業!R74C38</stp>
        <tr r="AL74" s="2"/>
      </tp>
      <tp>
        <v>-7.3856000000000002</v>
        <stp/>
        <stp>##V3_BDPV12</stp>
        <stp>nzd Curncy</stp>
        <stp>CHG_PCT_6M</stp>
        <stp>[Index.xlsm]主要產業!R75C51</stp>
        <tr r="AY75" s="2"/>
      </tp>
      <tp>
        <v>-4.6866000000000003</v>
        <stp/>
        <stp>##V3_BDPV12</stp>
        <stp>aud Curncy</stp>
        <stp>CHG_PCT_6M</stp>
        <stp>[Index.xlsm]主要產業!R74C51</stp>
        <tr r="AY74" s="2"/>
      </tp>
      <tp>
        <v>0.59119999999999995</v>
        <stp/>
        <stp>##V3_BDPV12</stp>
        <stp>nzd Curncy</stp>
        <stp>CHG_PCT_5D</stp>
        <stp>[Index.xlsm]主要產業!R75C48</stp>
        <tr r="AV75" s="2"/>
      </tp>
      <tp>
        <v>-0.2069</v>
        <stp/>
        <stp>##V3_BDPV12</stp>
        <stp>aud Curncy</stp>
        <stp>CHG_PCT_5D</stp>
        <stp>[Index.xlsm]主要產業!R74C48</stp>
        <tr r="AV74" s="2"/>
      </tp>
      <tp>
        <v>-6.0448000000000004</v>
        <stp/>
        <stp>##V3_BDPV12</stp>
        <stp>nzd Curncy</stp>
        <stp>CHG_PCT_3M</stp>
        <stp>[Index.xlsm]主要產業!R75C50</stp>
        <tr r="AX75" s="2"/>
      </tp>
      <tp>
        <v>-3.6667000000000001</v>
        <stp/>
        <stp>##V3_BDPV12</stp>
        <stp>aud Curncy</stp>
        <stp>CHG_PCT_3M</stp>
        <stp>[Index.xlsm]主要產業!R74C50</stp>
        <tr r="AX74" s="2"/>
      </tp>
      <tp>
        <v>0</v>
        <stp/>
        <stp>##V3_BDPV12</stp>
        <stp>aud Curncy</stp>
        <stp>CHG_PCT_1M</stp>
        <stp>[Index.xlsm]主要產業!R74C49</stp>
        <tr r="AW74" s="2"/>
      </tp>
      <tp>
        <v>4.4499999999999998E-2</v>
        <stp/>
        <stp>##V3_BDPV12</stp>
        <stp>aud Curncy</stp>
        <stp>CHG_PCT_1D</stp>
        <stp>[Index.xlsm]主要產業!R74C43</stp>
        <tr r="AQ74" s="2"/>
      </tp>
      <tp>
        <v>-4.7600000000000003E-2</v>
        <stp/>
        <stp>##V3_BDPV12</stp>
        <stp>nzd Curncy</stp>
        <stp>CHG_PCT_1D</stp>
        <stp>[Index.xlsm]主要產業!R75C43</stp>
        <tr r="AQ75" s="2"/>
      </tp>
      <tp>
        <v>-1.0530999999999999</v>
        <stp/>
        <stp>##V3_BDPV12</stp>
        <stp>nzd Curncy</stp>
        <stp>CHG_PCT_1M</stp>
        <stp>[Index.xlsm]主要產業!R75C49</stp>
        <tr r="AW75" s="2"/>
      </tp>
      <tp>
        <v>3125.81</v>
        <stp/>
        <stp>##V3_BDPV12</stp>
        <stp>STI INDEX</stp>
        <stp>PX_LAST</stp>
        <stp>[Index.xlsm]主要產業!R29C42</stp>
        <tr r="AP29" s="2"/>
      </tp>
      <tp>
        <v>26041.93</v>
        <stp/>
        <stp>##V3_BDPV12</stp>
        <stp>HSI INDEX</stp>
        <stp>PX_LAST</stp>
        <stp>[Index.xlsm]主要產業!R19C42</stp>
        <tr r="AP19" s="2"/>
      </tp>
      <tp>
        <v>6230.3339999999998</v>
        <stp/>
        <stp>##V3_BDPV12</stp>
        <stp>JCI INDEX</stp>
        <stp>PX_LAST</stp>
        <stp>[Index.xlsm]主要產業!R30C42</stp>
        <tr r="AP30" s="2"/>
      </tp>
      <tp>
        <v>212.6</v>
        <stp/>
        <stp>##V3_BDPV12</stp>
        <stp>MCD US Equity</stp>
        <stp>PX_LAST</stp>
        <stp>[Index.xlsm]主要產業!R16C24</stp>
        <tr r="X16" s="2"/>
      </tp>
      <tp t="s">
        <v>JN</v>
        <stp/>
        <stp>##V3_BDPV12</stp>
        <stp>7267 JP Equity</stp>
        <stp>DS003</stp>
        <stp>[Index.xlsm]主要產業!R80C23</stp>
        <tr r="W80" s="2"/>
      </tp>
      <tp>
        <v>2.247036</v>
        <stp/>
        <stp>##V3_BDPV12</stp>
        <stp>SENSEX INDEX</stp>
        <stp>CHG_PCT_6M</stp>
        <stp>[Index.xlsm]主要產業!R26C51</stp>
        <tr r="AY26" s="2"/>
      </tp>
      <tp>
        <v>11.267609999999999</v>
        <stp/>
        <stp>##V3_BDPV12</stp>
        <stp>7203 JP Equity</stp>
        <stp>PR064</stp>
        <stp>[Index.xlsm]主要產業!R77C34</stp>
        <tr r="AH77" s="2"/>
      </tp>
      <tp>
        <v>-8.4854699999999994</v>
        <stp/>
        <stp>##V3_BDPV12</stp>
        <stp>7201 JP Equity</stp>
        <stp>PR064</stp>
        <stp>[Index.xlsm]主要產業!R85C34</stp>
        <tr r="AH85" s="2"/>
      </tp>
      <tp>
        <v>8.0243640000000003</v>
        <stp/>
        <stp>##V3_BDPV12</stp>
        <stp>SENSEX INDEX</stp>
        <stp>CHG_PCT_5D</stp>
        <stp>[Index.xlsm]主要產業!R26C48</stp>
        <tr r="AV26" s="2"/>
      </tp>
      <tp>
        <v>-1.5072639999999999</v>
        <stp/>
        <stp>##V3_BDPV12</stp>
        <stp>SENSEX INDEX</stp>
        <stp>CHG_PCT_3M</stp>
        <stp>[Index.xlsm]主要產業!R26C50</stp>
        <tr r="AX26" s="2"/>
      </tp>
      <tp t="s">
        <v>JN</v>
        <stp/>
        <stp>##V3_BDPV12</stp>
        <stp>7203 JP Equity</stp>
        <stp>DS003</stp>
        <stp>[Index.xlsm]主要產業!R77C23</stp>
        <tr r="W77" s="2"/>
      </tp>
      <tp t="s">
        <v>JN</v>
        <stp/>
        <stp>##V3_BDPV12</stp>
        <stp>7201 JP Equity</stp>
        <stp>DS003</stp>
        <stp>[Index.xlsm]主要產業!R85C23</stp>
        <tr r="W85" s="2"/>
      </tp>
      <tp>
        <v>3.5824210000000001</v>
        <stp/>
        <stp>##V3_BDPV12</stp>
        <stp>SENSEX INDEX</stp>
        <stp>CHG_PCT_1M</stp>
        <stp>[Index.xlsm]主要產業!R26C49</stp>
        <tr r="AW26" s="2"/>
      </tp>
      <tp>
        <v>1.0266489999999999</v>
        <stp/>
        <stp>##V3_BDPV12</stp>
        <stp>SENSEX INDEX</stp>
        <stp>CHG_PCT_1D</stp>
        <stp>[Index.xlsm]主要產業!R26C43</stp>
        <tr r="AQ26" s="2"/>
      </tp>
      <tp>
        <v>3.9447730000000001</v>
        <stp/>
        <stp>##V3_BDPV12</stp>
        <stp>7267 JP Equity</stp>
        <stp>PR064</stp>
        <stp>[Index.xlsm]主要產業!R80C34</stp>
        <tr r="AH80" s="2"/>
      </tp>
      <tp>
        <v>0.70953080000000002</v>
        <stp/>
        <stp>##V3_BDPV12</stp>
        <stp>HSCCI INDEX</stp>
        <stp>CHG_PCT_1M</stp>
        <stp>[Index.xlsm]主要產業!R21C49</stp>
        <tr r="AW21" s="2"/>
      </tp>
      <tp>
        <v>-8.1984360000000006E-2</v>
        <stp/>
        <stp>##V3_BDPV12</stp>
        <stp>HSCCI INDEX</stp>
        <stp>CHG_PCT_1D</stp>
        <stp>[Index.xlsm]主要產業!R21C43</stp>
        <tr r="AQ21" s="2"/>
      </tp>
      <tp>
        <v>-6.5940589999999997</v>
        <stp/>
        <stp>##V3_BDPV12</stp>
        <stp>HSCCI INDEX</stp>
        <stp>CHG_PCT_3M</stp>
        <stp>[Index.xlsm]主要產業!R21C50</stp>
        <tr r="AX21" s="2"/>
      </tp>
      <tp>
        <v>-2.5305909999999998</v>
        <stp/>
        <stp>##V3_BDPV12</stp>
        <stp>HSCCI INDEX</stp>
        <stp>CHG_PCT_5D</stp>
        <stp>[Index.xlsm]主要產業!R21C48</stp>
        <tr r="AV21" s="2"/>
      </tp>
      <tp>
        <v>-8.4155300000000004</v>
        <stp/>
        <stp>##V3_BDPV12</stp>
        <stp>HSCCI INDEX</stp>
        <stp>CHG_PCT_6M</stp>
        <stp>[Index.xlsm]主要產業!R21C51</stp>
        <tr r="AY21" s="2"/>
      </tp>
      <tp>
        <v>12.684703217946128</v>
        <stp/>
        <stp>##V3_BDPV12</stp>
        <stp>TEF SM Equity</stp>
        <stp>PE_RATIO</stp>
        <stp>[Index.xlsm]主要產業!R66C38</stp>
        <tr r="AL66" s="2"/>
      </tp>
      <tp>
        <v>-3.5587680000000002</v>
        <stp/>
        <stp>##V3_BDPV12</stp>
        <stp>HSCIIT Index</stp>
        <stp>CHG_PCT_1YR</stp>
        <stp>[Index.xlsm]主要產業!R63C15</stp>
        <tr r="O63" s="2"/>
      </tp>
      <tp>
        <v>-24.406169999999999</v>
        <stp/>
        <stp>##V3_BDPV12</stp>
        <stp>HSCIMT Index</stp>
        <stp>CHG_PCT_1YR</stp>
        <stp>[Index.xlsm]主要產業!R64C15</stp>
        <tr r="O64" s="2"/>
      </tp>
      <tp>
        <v>-2.7663060000000002</v>
        <stp/>
        <stp>##V3_BDPV12</stp>
        <stp>HSCIUT Index</stp>
        <stp>CHG_PCT_1YR</stp>
        <stp>[Index.xlsm]主要產業!R68C15</stp>
        <tr r="O68" s="2"/>
      </tp>
      <tp>
        <v>11.514753210903732</v>
        <stp/>
        <stp>##V3_BDPV12</stp>
        <stp>ALV GR Equity</stp>
        <stp>PE_RATIO</stp>
        <stp>[Index.xlsm]主要產業!R56C38</stp>
        <tr r="AL56" s="2"/>
      </tp>
      <tp>
        <v>22.547725896108506</v>
        <stp/>
        <stp>##V3_BDPV12</stp>
        <stp>BAS GR Equity</stp>
        <stp>PE_RATIO</stp>
        <stp>[Index.xlsm]主要產業!R59C38</stp>
        <tr r="AL59" s="2"/>
      </tp>
      <tp>
        <v>24.592253878725529</v>
        <stp/>
        <stp>##V3_BDPV12</stp>
        <stp>PEP US Equity</stp>
        <stp>PE_RATIO</stp>
        <stp>[Index.xlsm]主要產業!R15C38</stp>
        <tr r="AL15" s="2"/>
      </tp>
      <tp>
        <v>20.062553214716917</v>
        <stp/>
        <stp>##V3_BDPV12</stp>
        <stp>PFE US Equity</stp>
        <stp>PE_RATIO</stp>
        <stp>[Index.xlsm]主要產業!R14C38</stp>
        <tr r="AL14" s="2"/>
      </tp>
      <tp t="s">
        <v>#N/A N/A</v>
        <stp/>
        <stp>##V3_BDPV12</stp>
        <stp>DBK GR Equity</stp>
        <stp>PE_RATIO</stp>
        <stp>[Index.xlsm]主要產業!R63C38</stp>
        <tr r="AL63" s="2"/>
      </tp>
      <tp>
        <v>11.960147140796593</v>
        <stp/>
        <stp>##V3_BDPV12</stp>
        <stp>DAI GR Equity</stp>
        <stp>PE_RATIO</stp>
        <stp>[Index.xlsm]主要產業!R61C38</stp>
        <tr r="AL61" s="2"/>
      </tp>
      <tp>
        <v>14.73097594476249</v>
        <stp/>
        <stp>##V3_BDPV12</stp>
        <stp>BHP AU Equity</stp>
        <stp>PE_RATIO</stp>
        <stp>[Index.xlsm]主要產業!R35C38</stp>
        <tr r="AL35" s="2"/>
      </tp>
      <tp>
        <v>29.130770887330719</v>
        <stp/>
        <stp>##V3_BDPV12</stp>
        <stp>DTE GR Equity</stp>
        <stp>PE_RATIO</stp>
        <stp>[Index.xlsm]主要產業!R60C38</stp>
        <tr r="AL60" s="2"/>
      </tp>
      <tp>
        <v>24.19222966293616</v>
        <stp/>
        <stp>##V3_BDPV12</stp>
        <stp>WMT US Equity</stp>
        <stp>PE_RATIO</stp>
        <stp>[Index.xlsm]主要產業!R17C38</stp>
        <tr r="AL17" s="2"/>
      </tp>
      <tp>
        <v>5.854989389194218</v>
        <stp/>
        <stp>##V3_BDPV12</stp>
        <stp>GLE FP Equity</stp>
        <stp>PE_RATIO</stp>
        <stp>[Index.xlsm]主要產業!R43C38</stp>
        <tr r="AL43" s="2"/>
      </tp>
      <tp>
        <v>20.765531175820904</v>
        <stp/>
        <stp>##V3_BDPV12</stp>
        <stp>ROG SW Equity</stp>
        <stp>PE_RATIO</stp>
        <stp>[Index.xlsm]主要產業!R69C38</stp>
        <tr r="AL69" s="2"/>
      </tp>
      <tp>
        <v>23.036830086583947</v>
        <stp/>
        <stp>##V3_BDPV12</stp>
        <stp>TXN US Equity</stp>
        <stp>PE_RATIO</stp>
        <stp>[Index.xlsm]主要產業!R22C38</stp>
        <tr r="AL22" s="2"/>
      </tp>
      <tp>
        <v>17.140552378614263</v>
        <stp/>
        <stp>##V3_BDPV12</stp>
        <stp>UTX US Equity</stp>
        <stp>PE_RATIO</stp>
        <stp>[Index.xlsm]主要產業!R25C38</stp>
        <tr r="AL25" s="2"/>
      </tp>
      <tp>
        <v>8.6401426310777101</v>
        <stp/>
        <stp>##V3_BDPV12</stp>
        <stp>SAN SM Equity</stp>
        <stp>PE_RATIO</stp>
        <stp>[Index.xlsm]主要產業!R64C38</stp>
        <tr r="AL64" s="2"/>
      </tp>
      <tp>
        <v>14.389544029772635</v>
        <stp/>
        <stp>##V3_BDPV12</stp>
        <stp>BP/ LN Equity</stp>
        <stp>PE_RATIO</stp>
        <stp>[Index.xlsm]主要產業!R45C38</stp>
        <tr r="AL45" s="2"/>
      </tp>
      <tp>
        <v>52.886408430232564</v>
        <stp/>
        <stp>##V3_BDPV12</stp>
        <stp>AZN LN Equity</stp>
        <stp>PE_RATIO</stp>
        <stp>[Index.xlsm]主要產業!R46C38</stp>
        <tr r="AL46" s="2"/>
      </tp>
      <tp>
        <v>6.9568223778035456</v>
        <stp/>
        <stp>##V3_BDPV12</stp>
        <stp>AAL LN Equity</stp>
        <stp>PE_RATIO</stp>
        <stp>[Index.xlsm]主要產業!R53C38</stp>
        <tr r="AL53" s="2"/>
      </tp>
      <tp>
        <v>19.055678743562083</v>
        <stp/>
        <stp>##V3_BDPV12</stp>
        <stp>GSK LN Equity</stp>
        <stp>PE_RATIO</stp>
        <stp>[Index.xlsm]主要產業!R47C38</stp>
        <tr r="AL47" s="2"/>
      </tp>
      <tp>
        <v>48.656669418068695</v>
        <stp/>
        <stp>##V3_BDPV12</stp>
        <stp>STAN LN Equity</stp>
        <stp>PE_RATIO</stp>
        <stp>[Index.xlsm]主要產業!R55C38</stp>
        <tr r="AL55" s="2"/>
      </tp>
      <tp>
        <v>19.87929198889422</v>
        <stp/>
        <stp>##V3_BDPV12</stp>
        <stp>ORA FP Equity</stp>
        <stp>PE_RATIO</stp>
        <stp>[Index.xlsm]主要產業!R42C38</stp>
        <tr r="AL42" s="2"/>
      </tp>
      <tp>
        <v>25.177013892617964</v>
        <stp/>
        <stp>##V3_BDPV12</stp>
        <stp>DGE LN Equity</stp>
        <stp>PE_RATIO</stp>
        <stp>[Index.xlsm]主要產業!R48C38</stp>
        <tr r="AL48" s="2"/>
      </tp>
      <tp>
        <v>11.625586158155226</v>
        <stp/>
        <stp>##V3_BDPV12</stp>
        <stp>BMY US Equity</stp>
        <stp>PE_RATIO</stp>
        <stp>[Index.xlsm]主要產業!R28C38</stp>
        <tr r="AL28" s="2"/>
      </tp>
      <tp>
        <v>10.935766358042688</v>
        <stp/>
        <stp>##V3_BDPV12</stp>
        <stp>CAT US Equity</stp>
        <stp>PE_RATIO</stp>
        <stp>[Index.xlsm]主要產業!R31C38</stp>
        <tr r="AL31" s="2"/>
      </tp>
      <tp>
        <v>-18.020589999999999</v>
        <stp/>
        <stp>##V3_BDPV12</stp>
        <stp>TWSEPP Index</stp>
        <stp>CHG_PCT_1YR</stp>
        <stp>[Index.xlsm]主要產業!R95C15</stp>
        <tr r="O95" s="2"/>
      </tp>
      <tp>
        <v>15.43951326243476</v>
        <stp/>
        <stp>##V3_BDPV12</stp>
        <stp>CVX US Equity</stp>
        <stp>PE_RATIO</stp>
        <stp>[Index.xlsm]主要產業!R11C38</stp>
        <tr r="AL11" s="2"/>
      </tp>
      <tp>
        <v>29.614360237762497</v>
        <stp/>
        <stp>##V3_BDPV12</stp>
        <stp>SAN FP Equity</stp>
        <stp>PE_RATIO</stp>
        <stp>[Index.xlsm]主要產業!R38C38</stp>
        <tr r="AL38" s="2"/>
      </tp>
      <tp>
        <v>37.831150084353197</v>
        <stp/>
        <stp>##V3_BDPV12</stp>
        <stp>ABT US Equity</stp>
        <stp>PE_RATIO</stp>
        <stp>[Index.xlsm]主要產業!R18C38</stp>
        <tr r="AL18" s="2"/>
      </tp>
      <tp>
        <v>27.831357338963024</v>
        <stp/>
        <stp>##V3_BDPV12</stp>
        <stp>AON US Equity</stp>
        <stp>PE_RATIO</stp>
        <stp>[Index.xlsm]主要產業!R51C38</stp>
        <tr r="AL51" s="2"/>
      </tp>
      <tp>
        <v>17.598165809561351</v>
        <stp/>
        <stp>##V3_BDPV12</stp>
        <stp>SIE GR Equity</stp>
        <stp>PE_RATIO</stp>
        <stp>[Index.xlsm]主要產業!R57C38</stp>
        <tr r="AL57" s="2"/>
      </tp>
      <tp>
        <v>66.034042769923772</v>
        <stp/>
        <stp>##V3_BDPV12</stp>
        <stp>AMT US Equity</stp>
        <stp>PE_RATIO</stp>
        <stp>[Index.xlsm]主要產業!R26C38</stp>
        <tr r="AL26" s="2"/>
      </tp>
      <tp>
        <v>83.193210579798119</v>
        <stp/>
        <stp>##V3_BDPV12</stp>
        <stp>SREN SW Equity</stp>
        <stp>PE_RATIO</stp>
        <stp>[Index.xlsm]主要產業!R72C38</stp>
        <tr r="AL72" s="2"/>
      </tp>
      <tp t="s">
        <v>#N/A Field Not Applicable</v>
        <stp/>
        <stp>##V3_BDPV12</stp>
        <stp>SMSN LI Equity</stp>
        <stp>PE_RATIO</stp>
        <stp>[Index.xlsm]主要產業!R86C38</stp>
        <tr r="AL86" s="2"/>
      </tp>
      <tp>
        <v>17.944960340606531</v>
        <stp/>
        <stp>##V3_BDPV12</stp>
        <stp>EMR US Equity</stp>
        <stp>PE_RATIO</stp>
        <stp>[Index.xlsm]主要產業!R33C38</stp>
        <tr r="AL33" s="2"/>
      </tp>
      <tp>
        <v>6.4362657083123382</v>
        <stp/>
        <stp>##V3_BDPV12</stp>
        <stp>RIO LN Equity</stp>
        <stp>PE_RATIO</stp>
        <stp>[Index.xlsm]主要產業!R50C38</stp>
        <tr r="AL50" s="2"/>
      </tp>
      <tp>
        <v>18.881331545840712</v>
        <stp/>
        <stp>##V3_BDPV12</stp>
        <stp>HON US Equity</stp>
        <stp>PE_RATIO</stp>
        <stp>[Index.xlsm]主要產業!R21C38</stp>
        <tr r="AL21" s="2"/>
      </tp>
      <tp>
        <v>10.240841549020015</v>
        <stp/>
        <stp>##V3_BDPV12</stp>
        <stp>IBM US Equity</stp>
        <stp>PE_RATIO</stp>
        <stp>[Index.xlsm]主要產業!R20C38</stp>
        <tr r="AL20" s="2"/>
      </tp>
      <tp>
        <v>20.993350285299851</v>
        <stp/>
        <stp>##V3_BDPV12</stp>
        <stp>PRU LN Equity</stp>
        <stp>PE_RATIO</stp>
        <stp>[Index.xlsm]主要產業!R52C38</stp>
        <tr r="AL52" s="2"/>
      </tp>
      <tp>
        <v>34.391790361546754</v>
        <stp/>
        <stp>##V3_BDPV12</stp>
        <stp>NKE US Equity</stp>
        <stp>PE_RATIO</stp>
        <stp>[Index.xlsm]主要產業!R23C38</stp>
        <tr r="AL23" s="2"/>
      </tp>
      <tp>
        <v>15.472697791601062</v>
        <stp/>
        <stp>##V3_BDPV12</stp>
        <stp>UNA NA Equity</stp>
        <stp>PE_RATIO</stp>
        <stp>[Index.xlsm]主要產業!R49C38</stp>
        <tr r="AL49" s="2"/>
      </tp>
      <tp>
        <v>27.734967231191376</v>
        <stp/>
        <stp>##V3_BDPV12</stp>
        <stp>MCD US Equity</stp>
        <stp>PE_RATIO</stp>
        <stp>[Index.xlsm]主要產業!R16C38</stp>
        <tr r="AL16" s="2"/>
      </tp>
      <tp>
        <v>17.232533043595236</v>
        <stp/>
        <stp>##V3_BDPV12</stp>
        <stp>MMM US Equity</stp>
        <stp>PE_RATIO</stp>
        <stp>[Index.xlsm]主要產業!R27C38</stp>
        <tr r="AL27" s="2"/>
      </tp>
      <tp>
        <v>17.360776369767571</v>
        <stp/>
        <stp>##V3_BDPV12</stp>
        <stp>MRK US Equity</stp>
        <stp>PE_RATIO</stp>
        <stp>[Index.xlsm]主要產業!R12C38</stp>
        <tr r="AL12" s="2"/>
      </tp>
      <tp>
        <v>16.771376364095232</v>
        <stp/>
        <stp>##V3_BDPV12</stp>
        <stp>TWSESTEE Index</stp>
        <stp>PE_RATIO</stp>
        <stp>[Index.xlsm]主要產業!R81C18</stp>
        <tr r="R81" s="2"/>
      </tp>
      <tp>
        <v>3282</v>
        <stp/>
        <stp>##V3_BDPV12</stp>
        <stp>DGE LN Equity</stp>
        <stp>PX_LAST</stp>
        <stp>[Index.xlsm]主要產業!R48C24</stp>
        <tr r="X48" s="2"/>
      </tp>
      <tp>
        <v>15.391999999999999</v>
        <stp/>
        <stp>##V3_BDPV12</stp>
        <stp>DTE GR Equity</stp>
        <stp>PX_LAST</stp>
        <stp>[Index.xlsm]主要產業!R60C24</stp>
        <tr r="X60" s="2"/>
      </tp>
      <tp>
        <v>24.93</v>
        <stp/>
        <stp>##V3_BDPV12</stp>
        <stp>GLE FP Equity</stp>
        <stp>PX_LAST</stp>
        <stp>[Index.xlsm]主要產業!R43C24</stp>
        <tr r="X43" s="2"/>
      </tp>
      <tp>
        <v>35.78</v>
        <stp/>
        <stp>##V3_BDPV12</stp>
        <stp>PFE US Equity</stp>
        <stp>PX_LAST</stp>
        <stp>[Index.xlsm]主要產業!R14C24</stp>
        <tr r="X14" s="2"/>
      </tp>
      <tp>
        <v>92.17</v>
        <stp/>
        <stp>##V3_BDPV12</stp>
        <stp>NKE US Equity</stp>
        <stp>PX_LAST</stp>
        <stp>[Index.xlsm]主要產業!R23C24</stp>
        <tr r="X23" s="2"/>
      </tp>
      <tp>
        <v>95.91</v>
        <stp/>
        <stp>##V3_BDPV12</stp>
        <stp>SIE GR Equity</stp>
        <stp>PX_LAST</stp>
        <stp>[Index.xlsm]主要產業!R57C24</stp>
        <tr r="X57" s="2"/>
      </tp>
      <tp>
        <v>10.76172</v>
        <stp/>
        <stp>##V3_BDPV12</stp>
        <stp>8306 JP Equity</stp>
        <stp>PR064</stp>
        <stp>[Index.xlsm]主要產業!R79C34</stp>
        <tr r="AH79" s="2"/>
      </tp>
      <tp t="s">
        <v>JN</v>
        <stp/>
        <stp>##V3_BDPV12</stp>
        <stp>8306 JP Equity</stp>
        <stp>DS003</stp>
        <stp>[Index.xlsm]主要產業!R79C23</stp>
        <tr r="W79" s="2"/>
      </tp>
      <tp>
        <v>13.324249999999999</v>
        <stp/>
        <stp>##V3_BDPV12</stp>
        <stp>3382 JP Equity</stp>
        <stp>PR064</stp>
        <stp>[Index.xlsm]主要產業!R82C34</stp>
        <tr r="AH82" s="2"/>
      </tp>
      <tp t="s">
        <v>JN</v>
        <stp/>
        <stp>##V3_BDPV12</stp>
        <stp>3382 JP Equity</stp>
        <stp>DS003</stp>
        <stp>[Index.xlsm]主要產業!R82C23</stp>
        <tr r="W82" s="2"/>
      </tp>
      <tp>
        <v>-1.1481650000000001</v>
        <stp/>
        <stp>##V3_BDPV12</stp>
        <stp>TWSEBMC Index</stp>
        <stp>CHG_PCT_3M</stp>
        <stp>[Index.xlsm]主要產業!R92C12</stp>
        <tr r="L92" s="2"/>
      </tp>
      <tp>
        <v>1.0775140000000001</v>
        <stp/>
        <stp>##V3_BDPV12</stp>
        <stp>TWSEBMC Index</stp>
        <stp>CHG_PCT_1M</stp>
        <stp>[Index.xlsm]主要產業!R92C11</stp>
        <tr r="K92" s="2"/>
      </tp>
      <tp>
        <v>-0.7736054</v>
        <stp/>
        <stp>##V3_BDPV12</stp>
        <stp>TWSEBMC Index</stp>
        <stp>CHG_PCT_6M</stp>
        <stp>[Index.xlsm]主要產業!R92C13</stp>
        <tr r="M92" s="2"/>
      </tp>
      <tp>
        <v>-0.6795177</v>
        <stp/>
        <stp>##V3_BDPV12</stp>
        <stp>TWSEBMC Index</stp>
        <stp>CHG_PCT_5D</stp>
        <stp>[Index.xlsm]主要產業!R92C10</stp>
        <tr r="J92" s="2"/>
      </tp>
      <tp>
        <v>-18.932559999999999</v>
        <stp/>
        <stp>##V3_BDPV12</stp>
        <stp>DAI GR Equity</stp>
        <stp>CHG_PCT_1YR</stp>
        <stp>[Index.xlsm]主要產業!R61C35</stp>
        <tr r="AI61" s="2"/>
      </tp>
      <tp>
        <v>4.9184479999999997</v>
        <stp/>
        <stp>##V3_BDPV12</stp>
        <stp>SHCOMP INDEX</stp>
        <stp>CHG_PCT_1YR</stp>
        <stp>[Index.xlsm]主要產業!R23C53</stp>
        <tr r="BA23" s="2"/>
      </tp>
      <tp>
        <v>0.23913039999999999</v>
        <stp/>
        <stp>##V3_BDPV12</stp>
        <stp>CS FP Equity</stp>
        <stp>CHG_PCT_3M</stp>
        <stp>[Index.xlsm]主要產業!R41C32</stp>
        <tr r="AF41" s="2"/>
      </tp>
      <tp>
        <v>0.30454639999999999</v>
        <stp/>
        <stp>##V3_BDPV12</stp>
        <stp>CS FP Equity</stp>
        <stp>CHG_PCT_1D</stp>
        <stp>[Index.xlsm]主要產業!R41C25</stp>
        <tr r="Y41" s="2"/>
      </tp>
      <tp>
        <v>8.4686000000000003</v>
        <stp/>
        <stp>##V3_BDPV12</stp>
        <stp>CS FP Equity</stp>
        <stp>CHG_PCT_1M</stp>
        <stp>[Index.xlsm]主要產業!R41C31</stp>
        <tr r="AE41" s="2"/>
      </tp>
      <tp>
        <v>2.5578310000000002</v>
        <stp/>
        <stp>##V3_BDPV12</stp>
        <stp>CS FP Equity</stp>
        <stp>CHG_PCT_6M</stp>
        <stp>[Index.xlsm]主要產業!R41C33</stp>
        <tr r="AG41" s="2"/>
      </tp>
      <tp>
        <v>0.65487879999999998</v>
        <stp/>
        <stp>##V3_BDPV12</stp>
        <stp>CS FP Equity</stp>
        <stp>CHG_PCT_5D</stp>
        <stp>[Index.xlsm]主要產業!R41C30</stp>
        <tr r="AD41" s="2"/>
      </tp>
      <tp>
        <v>84.42</v>
        <stp/>
        <stp>##V3_BDPV12</stp>
        <stp>SIE GR Equity</stp>
        <stp>LOW_52WEEK</stp>
        <stp>[Index.xlsm]主要產業!R57C28</stp>
        <tr r="AB57" s="2"/>
      </tp>
      <tp>
        <v>1.157745</v>
        <stp/>
        <stp>##V3_BDPV12</stp>
        <stp>MRK US Equity</stp>
        <stp>CHG_PCT_6M</stp>
        <stp>[Index.xlsm]主要產業!R12C33</stp>
        <tr r="AG12" s="2"/>
      </tp>
      <tp>
        <v>9.8978288633461045</v>
        <stp/>
        <stp>##V3_BDPV12</stp>
        <stp>lmnids03 comdty</stp>
        <stp>CHG_PCT_1M</stp>
        <stp>[Index.xlsm]主要產業!R49C49</stp>
        <tr r="AW49" s="2"/>
      </tp>
      <tp>
        <v>-0.6637806637806638</v>
        <stp/>
        <stp>##V3_BDPV12</stp>
        <stp>lmnids03 comdty</stp>
        <stp>CHG_PCT_1D</stp>
        <stp>[Index.xlsm]主要產業!R49C43</stp>
        <tr r="AQ49" s="2"/>
      </tp>
      <tp>
        <v>-0.1071811</v>
        <stp/>
        <stp>##V3_BDPV12</stp>
        <stp>MRK US Equity</stp>
        <stp>CHG_PCT_5D</stp>
        <stp>[Index.xlsm]主要產業!R12C30</stp>
        <tr r="AD12" s="2"/>
      </tp>
      <tp>
        <v>37.7902321857486</v>
        <stp/>
        <stp>##V3_BDPV12</stp>
        <stp>lmnids03 comdty</stp>
        <stp>CHG_PCT_3M</stp>
        <stp>[Index.xlsm]主要產業!R49C50</stp>
        <tr r="AX49" s="2"/>
      </tp>
      <tp>
        <v>-0.40509259259259256</v>
        <stp/>
        <stp>##V3_BDPV12</stp>
        <stp>lmnids03 comdty</stp>
        <stp>CHG_PCT_5D</stp>
        <stp>[Index.xlsm]主要產業!R49C48</stp>
        <tr r="AV49" s="2"/>
      </tp>
      <tp>
        <v>0.40698960000000001</v>
        <stp/>
        <stp>##V3_BDPV12</stp>
        <stp>MRK US Equity</stp>
        <stp>CHG_PCT_3M</stp>
        <stp>[Index.xlsm]主要產業!R12C32</stp>
        <tr r="AF12" s="2"/>
      </tp>
      <tp>
        <v>0.93862820000000002</v>
        <stp/>
        <stp>##V3_BDPV12</stp>
        <stp>MRK US Equity</stp>
        <stp>CHG_PCT_1D</stp>
        <stp>[Index.xlsm]主要產業!R12C25</stp>
        <tr r="Y12" s="2"/>
      </tp>
      <tp>
        <v>31.574923547400612</v>
        <stp/>
        <stp>##V3_BDPV12</stp>
        <stp>lmnids03 comdty</stp>
        <stp>CHG_PCT_6M</stp>
        <stp>[Index.xlsm]主要產業!R49C51</stp>
        <tr r="AY49" s="2"/>
      </tp>
      <tp>
        <v>-2.3288280000000001</v>
        <stp/>
        <stp>##V3_BDPV12</stp>
        <stp>MRK US Equity</stp>
        <stp>CHG_PCT_1M</stp>
        <stp>[Index.xlsm]主要產業!R12C31</stp>
        <tr r="AE12" s="2"/>
      </tp>
      <tp>
        <v>0.9897918</v>
        <stp/>
        <stp>##V3_BDPV12</stp>
        <stp>TWSEGLP Index</stp>
        <stp>CHG_PCT_1M</stp>
        <stp>[Index.xlsm]主要產業!R97C11</stp>
        <tr r="K97" s="2"/>
      </tp>
      <tp>
        <v>-3.857472</v>
        <stp/>
        <stp>##V3_BDPV12</stp>
        <stp>TWSEGLP Index</stp>
        <stp>CHG_PCT_3M</stp>
        <stp>[Index.xlsm]主要產業!R97C12</stp>
        <tr r="L97" s="2"/>
      </tp>
      <tp>
        <v>-0.60882340000000001</v>
        <stp/>
        <stp>##V3_BDPV12</stp>
        <stp>TWSEGLP Index</stp>
        <stp>CHG_PCT_5D</stp>
        <stp>[Index.xlsm]主要產業!R97C10</stp>
        <tr r="J97" s="2"/>
      </tp>
      <tp>
        <v>-9.4564609999999991</v>
        <stp/>
        <stp>##V3_BDPV12</stp>
        <stp>TWSEGLP Index</stp>
        <stp>CHG_PCT_6M</stp>
        <stp>[Index.xlsm]主要產業!R97C13</stp>
        <tr r="M97" s="2"/>
      </tp>
      <tp>
        <v>6.4123817375082348</v>
        <stp/>
        <stp>##V3_BDPV12</stp>
        <stp>KOSPFIN Index</stp>
        <stp>INTERVAL_Low</stp>
        <stp>[Index.xlsm]主要產業!R44C17</stp>
        <stp>MARKET_DATA_OVERRIDE=PE_RATIO</stp>
        <stp>CALC_INTERVAL=5y</stp>
        <stp>BEST_FPERIOD_OVERRIDE=BF</stp>
        <tr r="Q44" s="2"/>
      </tp>
      <tp>
        <v>2.9731999999999998</v>
        <stp/>
        <stp>##V3_BDPV12</stp>
        <stp>usgg2yr Index</stp>
        <stp>HIGH_52WEEK</stp>
        <stp>[Index.xlsm]主要產業!R56C44</stp>
        <tr r="AR56" s="2"/>
      </tp>
      <tp>
        <v>-1.8644067796610171</v>
        <stp/>
        <stp>##V3_BDPV12</stp>
        <stp>lmahds03 comdty</stp>
        <stp>CHG_PCT_1M</stp>
        <stp>[Index.xlsm]主要產業!R46C49</stp>
        <tr r="AW46" s="2"/>
      </tp>
      <tp>
        <v>-0.85616438356164382</v>
        <stp/>
        <stp>##V3_BDPV12</stp>
        <stp>lmahds03 comdty</stp>
        <stp>CHG_PCT_1D</stp>
        <stp>[Index.xlsm]主要產業!R46C43</stp>
        <tr r="AQ46" s="2"/>
      </tp>
      <tp>
        <v>-4.5604395604395602</v>
        <stp/>
        <stp>##V3_BDPV12</stp>
        <stp>lmahds03 comdty</stp>
        <stp>CHG_PCT_3M</stp>
        <stp>[Index.xlsm]主要產業!R46C50</stp>
        <tr r="AX46" s="2"/>
      </tp>
      <tp>
        <v>-3.5000000000000004</v>
        <stp/>
        <stp>##V3_BDPV12</stp>
        <stp>lmahds03 comdty</stp>
        <stp>CHG_PCT_5D</stp>
        <stp>[Index.xlsm]主要產業!R46C48</stp>
        <tr r="AV46" s="2"/>
      </tp>
      <tp>
        <v>-7.9978813559322033</v>
        <stp/>
        <stp>##V3_BDPV12</stp>
        <stp>lmahds03 comdty</stp>
        <stp>CHG_PCT_6M</stp>
        <stp>[Index.xlsm]主要產業!R46C51</stp>
        <tr r="AY46" s="2"/>
      </tp>
      <tp>
        <v>22.355630000000001</v>
        <stp/>
        <stp>##V3_BDPV12</stp>
        <stp>ASE INDEX</stp>
        <stp>CHG_PCT_1YR</stp>
        <stp>[Index.xlsm]主要產業!R15C53</stp>
        <tr r="BA15" s="2"/>
      </tp>
      <tp>
        <v>-14.95</v>
        <stp/>
        <stp>##V3_BDPV12</stp>
        <stp>NMCMFUS Index</stp>
        <stp>CHG_PCT_6M</stp>
        <stp>[Index.xlsm]主要產業!R64C51</stp>
        <tr r="AY64" s="2"/>
      </tp>
      <tp>
        <v>-2.41</v>
        <stp/>
        <stp>##V3_BDPV12</stp>
        <stp>NMCMFUS Index</stp>
        <stp>CHG_PCT_5D</stp>
        <stp>[Index.xlsm]主要產業!R64C48</stp>
        <tr r="AV64" s="2"/>
      </tp>
      <tp>
        <v>-5.21</v>
        <stp/>
        <stp>##V3_BDPV12</stp>
        <stp>NMCMFUS Index</stp>
        <stp>CHG_PCT_3M</stp>
        <stp>[Index.xlsm]主要產業!R64C50</stp>
        <tr r="AX64" s="2"/>
      </tp>
      <tp>
        <v>2.54</v>
        <stp/>
        <stp>##V3_BDPV12</stp>
        <stp>NMCMFUS Index</stp>
        <stp>CHG_PCT_1M</stp>
        <stp>[Index.xlsm]主要產業!R64C49</stp>
        <tr r="AW64" s="2"/>
      </tp>
      <tp>
        <v>1.324433</v>
        <stp/>
        <stp>##V3_BDPV12</stp>
        <stp>TWSECON Index</stp>
        <stp>CHG_PCT_6M</stp>
        <stp>[Index.xlsm]主要產業!R86C13</stp>
        <tr r="M86" s="2"/>
      </tp>
      <tp>
        <v>-33.10971</v>
        <stp/>
        <stp>##V3_BDPV12</stp>
        <stp>DBK GR Equity</stp>
        <stp>CHG_PCT_1YR</stp>
        <stp>[Index.xlsm]主要產業!R63C35</stp>
        <tr r="AI63" s="2"/>
      </tp>
      <tp>
        <v>11.21799</v>
        <stp/>
        <stp>##V3_BDPV12</stp>
        <stp>GSK LN Equity</stp>
        <stp>CHG_PCT_1YR</stp>
        <stp>[Index.xlsm]主要產業!R47C35</stp>
        <tr r="AI47" s="2"/>
      </tp>
      <tp>
        <v>19.266310000000001</v>
        <stp/>
        <stp>##V3_BDPV12</stp>
        <stp>MRK US Equity</stp>
        <stp>CHG_PCT_1YR</stp>
        <stp>[Index.xlsm]主要產業!R12C35</stp>
        <tr r="AI12" s="2"/>
      </tp>
      <tp>
        <v>-5.9220219999999997E-2</v>
        <stp/>
        <stp>##V3_BDPV12</stp>
        <stp>TWSECON Index</stp>
        <stp>CHG_PCT_5D</stp>
        <stp>[Index.xlsm]主要產業!R86C10</stp>
        <tr r="J86" s="2"/>
      </tp>
      <tp>
        <v>18.399797746442474</v>
        <stp/>
        <stp>##V3_BDPV12</stp>
        <stp>S5tech Index</stp>
        <stp>PE_RATIO</stp>
        <stp>[Index.xlsm]主要產業!R11C18</stp>
        <tr r="R11" s="2"/>
      </tp>
      <tp>
        <v>-4.7383410000000001</v>
        <stp/>
        <stp>##V3_BDPV12</stp>
        <stp>TWSECON Index</stp>
        <stp>CHG_PCT_3M</stp>
        <stp>[Index.xlsm]主要產業!R86C12</stp>
        <tr r="L86" s="2"/>
      </tp>
      <tp>
        <v>1.918372</v>
        <stp/>
        <stp>##V3_BDPV12</stp>
        <stp>TWSECON Index</stp>
        <stp>CHG_PCT_1M</stp>
        <stp>[Index.xlsm]主要產業!R86C11</stp>
        <tr r="K86" s="2"/>
      </tp>
      <tp>
        <v>12.271949240755569</v>
        <stp/>
        <stp>##V3_BDPV12</stp>
        <stp>TPNCHM Index</stp>
        <stp>INTERVAL_Low</stp>
        <stp>[Index.xlsm]主要產業!R40C17</stp>
        <stp>MARKET_DATA_OVERRIDE=PE_RATIO</stp>
        <stp>CALC_INTERVAL=5y</stp>
        <stp>BEST_FPERIOD_OVERRIDE=BF</stp>
        <tr r="Q40" s="2"/>
      </tp>
      <tp>
        <v>6.3530427362895274</v>
        <stp/>
        <stp>##V3_BDPV12</stp>
        <stp>TPNBNK Index</stp>
        <stp>INTERVAL_Low</stp>
        <stp>[Index.xlsm]主要產業!R41C17</stp>
        <stp>MARKET_DATA_OVERRIDE=PE_RATIO</stp>
        <stp>CALC_INTERVAL=5y</stp>
        <stp>BEST_FPERIOD_OVERRIDE=BF</stp>
        <tr r="Q41" s="2"/>
      </tp>
      <tp>
        <v>12.882763401416449</v>
        <stp/>
        <stp>##V3_BDPV12</stp>
        <stp>TWSETRAN Index</stp>
        <stp>INTERVAL_Low</stp>
        <stp>[Index.xlsm]主要產業!R82C17</stp>
        <stp>MARKET_DATA_OVERRIDE=PE_RATIO</stp>
        <stp>CALC_INTERVAL=5y</stp>
        <stp>BEST_FPERIOD_OVERRIDE=BF</stp>
        <tr r="Q82" s="2"/>
      </tp>
      <tp>
        <v>14.413719473019768</v>
        <stp/>
        <stp>##V3_BDPV12</stp>
        <stp>TWSETEXT Index</stp>
        <stp>INTERVAL_Low</stp>
        <stp>[Index.xlsm]主要產業!R84C17</stp>
        <stp>MARKET_DATA_OVERRIDE=PE_RATIO</stp>
        <stp>CALC_INTERVAL=5y</stp>
        <stp>BEST_FPERIOD_OVERRIDE=BF</stp>
        <tr r="Q84" s="2"/>
      </tp>
      <tp>
        <v>62.499000000000002</v>
        <stp/>
        <stp>##V3_BDPV12</stp>
        <stp>RUB Curncy</stp>
        <stp>LOW_52WEEK</stp>
        <stp>[Index.xlsm]主要產業!R83C46</stp>
        <tr r="AT83" s="2"/>
      </tp>
      <tp>
        <v>17.010047453753256</v>
        <stp/>
        <stp>##V3_BDPV12</stp>
        <stp>TWSETOUR Index</stp>
        <stp>INTERVAL_Low</stp>
        <stp>[Index.xlsm]主要產業!R93C17</stp>
        <stp>MARKET_DATA_OVERRIDE=PE_RATIO</stp>
        <stp>CALC_INTERVAL=5y</stp>
        <stp>BEST_FPERIOD_OVERRIDE=BF</stp>
        <tr r="Q93" s="2"/>
      </tp>
      <tp>
        <v>-8.9143584845590578</v>
        <stp/>
        <stp>##V3_BDPV12</stp>
        <stp>lmcads03 comdty</stp>
        <stp>CHG_PCT_1YR</stp>
        <stp>[Index.xlsm]主要產業!R47C53</stp>
        <tr r="BA47" s="2"/>
      </tp>
      <tp>
        <v>-15.883777239709444</v>
        <stp/>
        <stp>##V3_BDPV12</stp>
        <stp>lmahds03 comdty</stp>
        <stp>CHG_PCT_1YR</stp>
        <stp>[Index.xlsm]主要產業!R46C53</stp>
        <tr r="BA46" s="2"/>
      </tp>
      <tp>
        <v>34.24336973478939</v>
        <stp/>
        <stp>##V3_BDPV12</stp>
        <stp>lmnids03 comdty</stp>
        <stp>CHG_PCT_1YR</stp>
        <stp>[Index.xlsm]主要產業!R49C53</stp>
        <tr r="BA49" s="2"/>
      </tp>
      <tp>
        <v>5.4408060453400502</v>
        <stp/>
        <stp>##V3_BDPV12</stp>
        <stp>lmpbds03 comdty</stp>
        <stp>CHG_PCT_1YR</stp>
        <stp>[Index.xlsm]主要產業!R48C53</stp>
        <tr r="BA48" s="2"/>
      </tp>
      <tp>
        <v>6.731480345227455</v>
        <stp/>
        <stp>##V3_BDPV12</stp>
        <stp>UBSG SW Equity</stp>
        <stp>INTERVAL_Low</stp>
        <stp>[Index.xlsm]主要產業!R70C37</stp>
        <stp>MARKET_DATA_OVERRIDE=PE_RATIO</stp>
        <stp>CALC_INTERVAL=5y</stp>
        <stp>BEST_FPERIOD_OVERRIDE=BF</stp>
        <tr r="AK70" s="2"/>
      </tp>
      <tp>
        <v>21.921225764287104</v>
        <stp/>
        <stp>##V3_BDPV12</stp>
        <stp>s5util Index</stp>
        <stp>PE_RATIO</stp>
        <stp>[Index.xlsm]主要產業!R14C18</stp>
        <tr r="R14" s="2"/>
      </tp>
      <tp>
        <v>2.5234000000000001</v>
        <stp/>
        <stp>##V3_BDPV12</stp>
        <stp>JPY Curncy</stp>
        <stp>CHG_PCT_6M</stp>
        <stp>[Index.xlsm]主要產業!R70C51</stp>
        <tr r="AY70" s="2"/>
      </tp>
      <tp>
        <v>-5.8437000000000001</v>
        <stp/>
        <stp>##V3_BDPV12</stp>
        <stp>CNY Curncy</stp>
        <stp>CHG_PCT_6M</stp>
        <stp>[Index.xlsm]主要產業!R77C51</stp>
        <tr r="AY77" s="2"/>
      </tp>
      <tp>
        <v>-6.0011000000000001</v>
        <stp/>
        <stp>##V3_BDPV12</stp>
        <stp>TRY Curncy</stp>
        <stp>CHG_PCT_6M</stp>
        <stp>[Index.xlsm]主要產業!R79C51</stp>
        <tr r="AY79" s="2"/>
      </tp>
      <tp>
        <v>-0.21340000000000001</v>
        <stp/>
        <stp>##V3_BDPV12</stp>
        <stp>JPY Curncy</stp>
        <stp>CHG_PCT_5D</stp>
        <stp>[Index.xlsm]主要產業!R70C48</stp>
        <tr r="AV70" s="2"/>
      </tp>
      <tp>
        <v>-0.50470000000000004</v>
        <stp/>
        <stp>##V3_BDPV12</stp>
        <stp>CNY Curncy</stp>
        <stp>CHG_PCT_5D</stp>
        <stp>[Index.xlsm]主要產業!R77C48</stp>
        <tr r="AV77" s="2"/>
      </tp>
      <tp>
        <v>1.3052999999999999</v>
        <stp/>
        <stp>##V3_BDPV12</stp>
        <stp>TRY Curncy</stp>
        <stp>CHG_PCT_5D</stp>
        <stp>[Index.xlsm]主要產業!R79C48</stp>
        <tr r="AV79" s="2"/>
      </tp>
      <tp>
        <v>0</v>
        <stp/>
        <stp>##V3_BDPV12</stp>
        <stp>JPY Curncy</stp>
        <stp>CHG_PCT_3M</stp>
        <stp>[Index.xlsm]主要產業!R70C50</stp>
        <tr r="AX70" s="2"/>
      </tp>
      <tp>
        <v>-3.5400999999999998</v>
        <stp/>
        <stp>##V3_BDPV12</stp>
        <stp>CNY Curncy</stp>
        <stp>CHG_PCT_3M</stp>
        <stp>[Index.xlsm]主要產業!R77C50</stp>
        <tr r="AX77" s="2"/>
      </tp>
      <tp>
        <v>1.8150999999999999</v>
        <stp/>
        <stp>##V3_BDPV12</stp>
        <stp>TRY Curncy</stp>
        <stp>CHG_PCT_3M</stp>
        <stp>[Index.xlsm]主要產業!R79C50</stp>
        <tr r="AX79" s="2"/>
      </tp>
      <tp>
        <v>-1.4E-2</v>
        <stp/>
        <stp>##V3_BDPV12</stp>
        <stp>CNY Curncy</stp>
        <stp>CHG_PCT_1D</stp>
        <stp>[Index.xlsm]主要產業!R77C43</stp>
        <tr r="AQ77" s="2"/>
      </tp>
      <tp>
        <v>0.26219999999999999</v>
        <stp/>
        <stp>##V3_BDPV12</stp>
        <stp>CNY Curncy</stp>
        <stp>CHG_PCT_1M</stp>
        <stp>[Index.xlsm]主要產業!R77C49</stp>
        <tr r="AW77" s="2"/>
      </tp>
      <tp>
        <v>3.7100000000000001E-2</v>
        <stp/>
        <stp>##V3_BDPV12</stp>
        <stp>JPY Curncy</stp>
        <stp>CHG_PCT_1D</stp>
        <stp>[Index.xlsm]主要產業!R70C43</stp>
        <tr r="AQ70" s="2"/>
      </tp>
      <tp>
        <v>-1.8926000000000001</v>
        <stp/>
        <stp>##V3_BDPV12</stp>
        <stp>JPY Curncy</stp>
        <stp>CHG_PCT_1M</stp>
        <stp>[Index.xlsm]主要產業!R70C49</stp>
        <tr r="AW70" s="2"/>
      </tp>
      <tp>
        <v>2.8012000000000001</v>
        <stp/>
        <stp>##V3_BDPV12</stp>
        <stp>TRY Curncy</stp>
        <stp>CHG_PCT_1M</stp>
        <stp>[Index.xlsm]主要產業!R79C49</stp>
        <tr r="AW79" s="2"/>
      </tp>
      <tp>
        <v>-3.1800000000000002E-2</v>
        <stp/>
        <stp>##V3_BDPV12</stp>
        <stp>TRY Curncy</stp>
        <stp>CHG_PCT_1D</stp>
        <stp>[Index.xlsm]主要產業!R79C43</stp>
        <tr r="AQ79" s="2"/>
      </tp>
      <tp>
        <v>3.3277000000000001</v>
        <stp/>
        <stp>##V3_BDPV12</stp>
        <stp>NKY INDEX</stp>
        <stp>PR064</stp>
        <stp>[Index.xlsm]主要產業!R17C52</stp>
        <tr r="AZ17" s="2"/>
      </tp>
      <tp>
        <v>-5.7568000000000001</v>
        <stp/>
        <stp>##V3_BDPV12</stp>
        <stp>ZAR Curncy</stp>
        <stp>PR064</stp>
        <stp>[Index.xlsm]主要產業!R80C52</stp>
        <tr r="AZ80" s="2"/>
      </tp>
      <tp>
        <v>-14.09507</v>
        <stp/>
        <stp>##V3_BDPV12</stp>
        <stp>HSCICO Index</stp>
        <stp>CHG_PCT_3M</stp>
        <stp>[Index.xlsm]主要產業!R59C12</stp>
        <tr r="L59" s="2"/>
      </tp>
      <tp>
        <v>3.5789639999999998E-2</v>
        <stp/>
        <stp>##V3_BDPV12</stp>
        <stp>HSCICO Index</stp>
        <stp>CHG_PCT_1M</stp>
        <stp>[Index.xlsm]主要產業!R59C11</stp>
        <tr r="K59" s="2"/>
      </tp>
      <tp>
        <v>-18.098120000000002</v>
        <stp/>
        <stp>##V3_BDPV12</stp>
        <stp>HSCICO Index</stp>
        <stp>CHG_PCT_6M</stp>
        <stp>[Index.xlsm]主要產業!R59C13</stp>
        <tr r="M59" s="2"/>
      </tp>
      <tp>
        <v>-2.3243659999999999</v>
        <stp/>
        <stp>##V3_BDPV12</stp>
        <stp>HSCICO Index</stp>
        <stp>CHG_PCT_5D</stp>
        <stp>[Index.xlsm]主要產業!R59C10</stp>
        <tr r="J59" s="2"/>
      </tp>
      <tp>
        <v>2.683306</v>
        <stp/>
        <stp>##V3_BDPV12</stp>
        <stp>HSCICG Index</stp>
        <stp>CHG_PCT_3M</stp>
        <stp>[Index.xlsm]主要產業!R58C12</stp>
        <tr r="L58" s="2"/>
      </tp>
      <tp>
        <v>2.7401680000000002</v>
        <stp/>
        <stp>##V3_BDPV12</stp>
        <stp>HSCICG Index</stp>
        <stp>CHG_PCT_1M</stp>
        <stp>[Index.xlsm]主要產業!R58C11</stp>
        <tr r="K58" s="2"/>
      </tp>
      <tp>
        <v>1.2007829999999999</v>
        <stp/>
        <stp>##V3_BDPV12</stp>
        <stp>HSCICG Index</stp>
        <stp>CHG_PCT_6M</stp>
        <stp>[Index.xlsm]主要產業!R58C13</stp>
        <tr r="M58" s="2"/>
      </tp>
      <tp>
        <v>0</v>
        <stp/>
        <stp>##V3_BDPV12</stp>
        <stp>HSCICG Index</stp>
        <stp>CHG_PCT_5D</stp>
        <stp>[Index.xlsm]主要產業!R58C10</stp>
        <tr r="J58" s="2"/>
      </tp>
      <tp>
        <v>229.2</v>
        <stp/>
        <stp>##V3_BDPV12</stp>
        <stp>ROG SW Equity</stp>
        <stp>LOW_52WEEK</stp>
        <stp>[Index.xlsm]主要產業!R69C28</stp>
        <tr r="AB69" s="2"/>
      </tp>
      <tp>
        <v>66.53</v>
        <stp/>
        <stp>##V3_BDPV12</stp>
        <stp>NKE US Equity</stp>
        <stp>LOW_52WEEK</stp>
        <stp>[Index.xlsm]主要產業!R23C28</stp>
        <tr r="AB23" s="2"/>
      </tp>
      <tp>
        <v>-10.17357</v>
        <stp/>
        <stp>##V3_BDPV12</stp>
        <stp>US0001W Index</stp>
        <stp>CHG_PCT_1YR</stp>
        <stp>[Index.xlsm]主要產業!R63C53</stp>
        <tr r="BA63" s="2"/>
      </tp>
      <tp>
        <v>1.8525119999999999</v>
        <stp/>
        <stp>##V3_BDPV12</stp>
        <stp>ORA FP Equity</stp>
        <stp>CHG_PCT_5D</stp>
        <stp>[Index.xlsm]主要產業!R42C30</stp>
        <tr r="AD42" s="2"/>
      </tp>
      <tp>
        <v>-0.72916400000000003</v>
        <stp/>
        <stp>##V3_BDPV12</stp>
        <stp>ORA FP Equity</stp>
        <stp>CHG_PCT_6M</stp>
        <stp>[Index.xlsm]主要產業!R42C33</stp>
        <tr r="AG42" s="2"/>
      </tp>
      <tp>
        <v>0.8465608</v>
        <stp/>
        <stp>##V3_BDPV12</stp>
        <stp>ORA FP Equity</stp>
        <stp>CHG_PCT_1D</stp>
        <stp>[Index.xlsm]主要產業!R42C25</stp>
        <tr r="Y42" s="2"/>
      </tp>
      <tp>
        <v>5.7322449999999998</v>
        <stp/>
        <stp>##V3_BDPV12</stp>
        <stp>ORA FP Equity</stp>
        <stp>CHG_PCT_1M</stp>
        <stp>[Index.xlsm]主要產業!R42C31</stp>
        <tr r="AE42" s="2"/>
      </tp>
      <tp>
        <v>3.3622570000000001</v>
        <stp/>
        <stp>##V3_BDPV12</stp>
        <stp>ORA FP Equity</stp>
        <stp>CHG_PCT_3M</stp>
        <stp>[Index.xlsm]主要產業!R42C32</stp>
        <tr r="AF42" s="2"/>
      </tp>
      <tp>
        <v>52.064622966310054</v>
        <stp/>
        <stp>##V3_BDPV12</stp>
        <stp>s5rlst Index</stp>
        <stp>PE_RATIO</stp>
        <stp>[Index.xlsm]主要產業!R15C18</stp>
        <tr r="R15" s="2"/>
      </tp>
      <tp>
        <v>2.5530889999999999</v>
        <stp/>
        <stp>##V3_BDPV12</stp>
        <stp>TWSECII Index</stp>
        <stp>CHG_PCT_1M</stp>
        <stp>[Index.xlsm]主要產業!R72C11</stp>
        <tr r="K72" s="2"/>
      </tp>
      <tp>
        <v>-5.3162719999999997</v>
        <stp/>
        <stp>##V3_BDPV12</stp>
        <stp>IBM US Equity</stp>
        <stp>CHG_PCT_1YR</stp>
        <stp>[Index.xlsm]主要產業!R20C35</stp>
        <tr r="AI20" s="2"/>
      </tp>
      <tp>
        <v>-22.3812</v>
        <stp/>
        <stp>##V3_BDPV12</stp>
        <stp>MMM US Equity</stp>
        <stp>CHG_PCT_1YR</stp>
        <stp>[Index.xlsm]主要產業!R27C35</stp>
        <tr r="AI27" s="2"/>
      </tp>
      <tp>
        <v>-2.5417879999999999</v>
        <stp/>
        <stp>##V3_BDPV12</stp>
        <stp>TWSECII Index</stp>
        <stp>CHG_PCT_3M</stp>
        <stp>[Index.xlsm]主要產業!R72C12</stp>
        <tr r="L72" s="2"/>
      </tp>
      <tp>
        <v>-1.425678</v>
        <stp/>
        <stp>##V3_BDPV12</stp>
        <stp>TWSECII Index</stp>
        <stp>CHG_PCT_5D</stp>
        <stp>[Index.xlsm]主要產業!R72C10</stp>
        <tr r="J72" s="2"/>
      </tp>
      <tp>
        <v>2.2051660000000002</v>
        <stp/>
        <stp>##V3_BDPV12</stp>
        <stp>TWSECII Index</stp>
        <stp>CHG_PCT_6M</stp>
        <stp>[Index.xlsm]主要產業!R72C13</stp>
        <tr r="M72" s="2"/>
      </tp>
      <tp>
        <v>8.1705729263178224</v>
        <stp/>
        <stp>##V3_BDPV12</stp>
        <stp>RDSA LN Equity</stp>
        <stp>INTERVAL_Low</stp>
        <stp>[Index.xlsm]主要產業!R74C37</stp>
        <stp>MARKET_DATA_OVERRIDE=PE_RATIO</stp>
        <stp>CALC_INTERVAL=5y</stp>
        <stp>BEST_FPERIOD_OVERRIDE=BF</stp>
        <tr r="AK74" s="2"/>
      </tp>
      <tp>
        <v>7.7827000000000002</v>
        <stp/>
        <stp>##V3_BDPV12</stp>
        <stp>HKD Curncy</stp>
        <stp>LOW_52WEEK</stp>
        <stp>[Index.xlsm]主要產業!R76C46</stp>
        <tr r="AT76" s="2"/>
      </tp>
      <tp>
        <v>-2.8303410000000002</v>
        <stp/>
        <stp>##V3_BDPV12</stp>
        <stp>CVX US Equity</stp>
        <stp>CHG_PCT_5D</stp>
        <stp>[Index.xlsm]主要產業!R11C30</stp>
        <tr r="AD11" s="2"/>
      </tp>
      <tp>
        <v>-3.198258</v>
        <stp/>
        <stp>##V3_BDPV12</stp>
        <stp>CVX US Equity</stp>
        <stp>CHG_PCT_6M</stp>
        <stp>[Index.xlsm]主要產業!R11C33</stp>
        <tr r="AG11" s="2"/>
      </tp>
      <tp>
        <v>3.8189060000000001</v>
        <stp/>
        <stp>##V3_BDPV12</stp>
        <stp>CVX US Equity</stp>
        <stp>CHG_PCT_1M</stp>
        <stp>[Index.xlsm]主要產業!R11C31</stp>
        <tr r="AE11" s="2"/>
      </tp>
      <tp>
        <v>-2.7123309999999998</v>
        <stp/>
        <stp>##V3_BDPV12</stp>
        <stp>CVX US Equity</stp>
        <stp>CHG_PCT_1D</stp>
        <stp>[Index.xlsm]主要產業!R11C25</stp>
        <tr r="Y11" s="2"/>
      </tp>
      <tp>
        <v>-3.0420400000000001</v>
        <stp/>
        <stp>##V3_BDPV12</stp>
        <stp>CVX US Equity</stp>
        <stp>CHG_PCT_3M</stp>
        <stp>[Index.xlsm]主要產業!R11C32</stp>
        <tr r="AF11" s="2"/>
      </tp>
      <tp>
        <v>4.9399999999999995</v>
        <stp/>
        <stp>##V3_BDPV12</stp>
        <stp>NMCMFUS Index</stp>
        <stp>HIGH_52WEEK</stp>
        <stp>[Index.xlsm]主要產業!R64C44</stp>
        <tr r="AR64" s="2"/>
      </tp>
      <tp>
        <v>7.4475105408753128</v>
        <stp/>
        <stp>##V3_BDPV12</stp>
        <stp>STAN LN Equity</stp>
        <stp>INTERVAL_Low</stp>
        <stp>[Index.xlsm]主要產業!R55C37</stp>
        <stp>MARKET_DATA_OVERRIDE=PE_RATIO</stp>
        <stp>CALC_INTERVAL=5y</stp>
        <stp>BEST_FPERIOD_OVERRIDE=BF</stp>
        <tr r="AK55" s="2"/>
      </tp>
      <tp>
        <v>4.9164696399794883</v>
        <stp/>
        <stp>##V3_BDPV12</stp>
        <stp>GSK LN Equity</stp>
        <stp>INTERVAL_Low</stp>
        <stp>[Index.xlsm]主要產業!R47C37</stp>
        <stp>MARKET_DATA_OVERRIDE=PE_RATIO</stp>
        <stp>CALC_INTERVAL=5y</stp>
        <stp>BEST_FPERIOD_OVERRIDE=BF</stp>
        <tr r="AK47" s="2"/>
      </tp>
      <tp>
        <v>15.609652808256044</v>
        <stp/>
        <stp>##V3_BDPV12</stp>
        <stp>DGE LN Equity</stp>
        <stp>INTERVAL_Low</stp>
        <stp>[Index.xlsm]主要產業!R48C37</stp>
        <stp>MARKET_DATA_OVERRIDE=PE_RATIO</stp>
        <stp>CALC_INTERVAL=5y</stp>
        <stp>BEST_FPERIOD_OVERRIDE=BF</stp>
        <tr r="AK48" s="2"/>
      </tp>
      <tp>
        <v>13.893838062590129</v>
        <stp/>
        <stp>##V3_BDPV12</stp>
        <stp>ORA FP Equity</stp>
        <stp>INTERVAL_Low</stp>
        <stp>[Index.xlsm]主要產業!R42C37</stp>
        <stp>MARKET_DATA_OVERRIDE=PE_RATIO</stp>
        <stp>CALC_INTERVAL=5y</stp>
        <stp>BEST_FPERIOD_OVERRIDE=BF</stp>
        <tr r="AK42" s="2"/>
      </tp>
      <tp>
        <v>8.598080055901292</v>
        <stp/>
        <stp>##V3_BDPV12</stp>
        <stp>BP/ LN Equity</stp>
        <stp>INTERVAL_Low</stp>
        <stp>[Index.xlsm]主要產業!R45C37</stp>
        <stp>MARKET_DATA_OVERRIDE=PE_RATIO</stp>
        <stp>CALC_INTERVAL=5y</stp>
        <stp>BEST_FPERIOD_OVERRIDE=BF</stp>
        <tr r="AK45" s="2"/>
      </tp>
      <tp>
        <v>16.854742435546118</v>
        <stp/>
        <stp>##V3_BDPV12</stp>
        <stp>AZN LN Equity</stp>
        <stp>INTERVAL_Low</stp>
        <stp>[Index.xlsm]主要產業!R46C37</stp>
        <stp>MARKET_DATA_OVERRIDE=PE_RATIO</stp>
        <stp>CALC_INTERVAL=5y</stp>
        <stp>BEST_FPERIOD_OVERRIDE=BF</stp>
        <tr r="AK46" s="2"/>
      </tp>
      <tp>
        <v>3.9715520335996688</v>
        <stp/>
        <stp>##V3_BDPV12</stp>
        <stp>AAL LN Equity</stp>
        <stp>INTERVAL_Low</stp>
        <stp>[Index.xlsm]主要產業!R53C37</stp>
        <stp>MARKET_DATA_OVERRIDE=PE_RATIO</stp>
        <stp>CALC_INTERVAL=5y</stp>
        <stp>BEST_FPERIOD_OVERRIDE=BF</stp>
        <tr r="AK53" s="2"/>
      </tp>
      <tp>
        <v>10.729548340116821</v>
        <stp/>
        <stp>##V3_BDPV12</stp>
        <stp>WMT US Equity</stp>
        <stp>INTERVAL_Low</stp>
        <stp>[Index.xlsm]主要產業!R17C37</stp>
        <stp>MARKET_DATA_OVERRIDE=PE_RATIO</stp>
        <stp>CALC_INTERVAL=5y</stp>
        <stp>BEST_FPERIOD_OVERRIDE=BF</stp>
        <tr r="AK17" s="2"/>
      </tp>
      <tp>
        <v>1.797353</v>
        <stp/>
        <stp>##V3_BDPV12</stp>
        <stp>TWSECHI Index</stp>
        <stp>CHG_PCT_1M</stp>
        <stp>[Index.xlsm]主要產業!R90C11</stp>
        <tr r="K90" s="2"/>
      </tp>
      <tp>
        <v>6.2879647935294409</v>
        <stp/>
        <stp>##V3_BDPV12</stp>
        <stp>BHP AU Equity</stp>
        <stp>INTERVAL_Low</stp>
        <stp>[Index.xlsm]主要產業!R35C37</stp>
        <stp>MARKET_DATA_OVERRIDE=PE_RATIO</stp>
        <stp>CALC_INTERVAL=5y</stp>
        <stp>BEST_FPERIOD_OVERRIDE=BF</stp>
        <tr r="AK35" s="2"/>
      </tp>
      <tp>
        <v>5.1928453691793388</v>
        <stp/>
        <stp>##V3_BDPV12</stp>
        <stp>DAI GR Equity</stp>
        <stp>INTERVAL_Low</stp>
        <stp>[Index.xlsm]主要產業!R61C37</stp>
        <stp>MARKET_DATA_OVERRIDE=PE_RATIO</stp>
        <stp>CALC_INTERVAL=5y</stp>
        <stp>BEST_FPERIOD_OVERRIDE=BF</stp>
        <tr r="AK61" s="2"/>
      </tp>
      <tp>
        <v>6.6890830000000001</v>
        <stp/>
        <stp>##V3_BDPV12</stp>
        <stp>AAL LN Equity</stp>
        <stp>CHG_PCT_1YR</stp>
        <stp>[Index.xlsm]主要產業!R53C35</stp>
        <tr r="AI53" s="2"/>
      </tp>
      <tp>
        <v>15.216718172121396</v>
        <stp/>
        <stp>##V3_BDPV12</stp>
        <stp>DBK GR Equity</stp>
        <stp>INTERVAL_Low</stp>
        <stp>[Index.xlsm]主要產業!R63C37</stp>
        <stp>MARKET_DATA_OVERRIDE=PE_RATIO</stp>
        <stp>CALC_INTERVAL=5y</stp>
        <stp>BEST_FPERIOD_OVERRIDE=BF</stp>
        <tr r="AK63" s="2"/>
      </tp>
      <tp>
        <v>9.9910842292649296</v>
        <stp/>
        <stp>##V3_BDPV12</stp>
        <stp>DTE GR Equity</stp>
        <stp>INTERVAL_Low</stp>
        <stp>[Index.xlsm]主要產業!R60C37</stp>
        <stp>MARKET_DATA_OVERRIDE=PE_RATIO</stp>
        <stp>CALC_INTERVAL=5y</stp>
        <stp>BEST_FPERIOD_OVERRIDE=BF</stp>
        <tr r="AK60" s="2"/>
      </tp>
      <tp>
        <v>4.5909181594788615</v>
        <stp/>
        <stp>##V3_BDPV12</stp>
        <stp>SAN SM Equity</stp>
        <stp>INTERVAL_Low</stp>
        <stp>[Index.xlsm]主要產業!R64C37</stp>
        <stp>MARKET_DATA_OVERRIDE=PE_RATIO</stp>
        <stp>CALC_INTERVAL=5y</stp>
        <stp>BEST_FPERIOD_OVERRIDE=BF</stp>
        <tr r="AK64" s="2"/>
      </tp>
      <tp>
        <v>11.800876674207302</v>
        <stp/>
        <stp>##V3_BDPV12</stp>
        <stp>UTX US Equity</stp>
        <stp>INTERVAL_Low</stp>
        <stp>[Index.xlsm]主要產業!R25C37</stp>
        <stp>MARKET_DATA_OVERRIDE=PE_RATIO</stp>
        <stp>CALC_INTERVAL=5y</stp>
        <stp>BEST_FPERIOD_OVERRIDE=BF</stp>
        <tr r="AK25" s="2"/>
      </tp>
      <tp>
        <v>-5.1963590000000002</v>
        <stp/>
        <stp>##V3_BDPV12</stp>
        <stp>TWSECHI Index</stp>
        <stp>CHG_PCT_3M</stp>
        <stp>[Index.xlsm]主要產業!R90C12</stp>
        <tr r="L90" s="2"/>
      </tp>
      <tp>
        <v>4.3878173575957016</v>
        <stp/>
        <stp>##V3_BDPV12</stp>
        <stp>GLE FP Equity</stp>
        <stp>INTERVAL_Low</stp>
        <stp>[Index.xlsm]主要產業!R43C37</stp>
        <stp>MARKET_DATA_OVERRIDE=PE_RATIO</stp>
        <stp>CALC_INTERVAL=5y</stp>
        <stp>BEST_FPERIOD_OVERRIDE=BF</stp>
        <tr r="AK43" s="2"/>
      </tp>
      <tp>
        <v>17.309194590193069</v>
        <stp/>
        <stp>##V3_BDPV12</stp>
        <stp>ROG SW Equity</stp>
        <stp>INTERVAL_Low</stp>
        <stp>[Index.xlsm]主要產業!R69C37</stp>
        <stp>MARKET_DATA_OVERRIDE=PE_RATIO</stp>
        <stp>CALC_INTERVAL=5y</stp>
        <stp>BEST_FPERIOD_OVERRIDE=BF</stp>
        <tr r="AK69" s="2"/>
      </tp>
      <tp>
        <v>13.344375675128758</v>
        <stp/>
        <stp>##V3_BDPV12</stp>
        <stp>TXN US Equity</stp>
        <stp>INTERVAL_Low</stp>
        <stp>[Index.xlsm]主要產業!R22C37</stp>
        <stp>MARKET_DATA_OVERRIDE=PE_RATIO</stp>
        <stp>CALC_INTERVAL=5y</stp>
        <stp>BEST_FPERIOD_OVERRIDE=BF</stp>
        <tr r="AK22" s="2"/>
      </tp>
      <tp>
        <v>481.35</v>
        <stp/>
        <stp>##V3_BDPV12</stp>
        <stp>BP/ LN Equity</stp>
        <stp>LOW_52WEEK</stp>
        <stp>[Index.xlsm]主要產業!R45C28</stp>
        <tr r="AB45" s="2"/>
      </tp>
      <tp>
        <v>6.8394758116704795</v>
        <stp/>
        <stp>##V3_BDPV12</stp>
        <stp>ALV GR Equity</stp>
        <stp>INTERVAL_Low</stp>
        <stp>[Index.xlsm]主要產業!R56C37</stp>
        <stp>MARKET_DATA_OVERRIDE=PE_RATIO</stp>
        <stp>CALC_INTERVAL=5y</stp>
        <stp>BEST_FPERIOD_OVERRIDE=BF</stp>
        <tr r="AK56" s="2"/>
      </tp>
      <tp>
        <v>-0.36729079999999997</v>
        <stp/>
        <stp>##V3_BDPV12</stp>
        <stp>TWSECHI Index</stp>
        <stp>CHG_PCT_5D</stp>
        <stp>[Index.xlsm]主要產業!R90C10</stp>
        <tr r="J90" s="2"/>
      </tp>
      <tp>
        <v>9.5671863603504974</v>
        <stp/>
        <stp>##V3_BDPV12</stp>
        <stp>TEF SM Equity</stp>
        <stp>INTERVAL_Low</stp>
        <stp>[Index.xlsm]主要產業!R66C37</stp>
        <stp>MARKET_DATA_OVERRIDE=PE_RATIO</stp>
        <stp>CALC_INTERVAL=5y</stp>
        <stp>BEST_FPERIOD_OVERRIDE=BF</stp>
        <tr r="AK66" s="2"/>
      </tp>
      <tp>
        <v>-4.5908910000000001</v>
        <stp/>
        <stp>##V3_BDPV12</stp>
        <stp>TWSECHI Index</stp>
        <stp>CHG_PCT_6M</stp>
        <stp>[Index.xlsm]主要產業!R90C13</stp>
        <tr r="M90" s="2"/>
      </tp>
      <tp>
        <v>12.461413510206155</v>
        <stp/>
        <stp>##V3_BDPV12</stp>
        <stp>PFE US Equity</stp>
        <stp>INTERVAL_Low</stp>
        <stp>[Index.xlsm]主要產業!R14C37</stp>
        <stp>MARKET_DATA_OVERRIDE=PE_RATIO</stp>
        <stp>CALC_INTERVAL=5y</stp>
        <stp>BEST_FPERIOD_OVERRIDE=BF</stp>
        <tr r="AK14" s="2"/>
      </tp>
      <tp>
        <v>16.69001060650902</v>
        <stp/>
        <stp>##V3_BDPV12</stp>
        <stp>PEP US Equity</stp>
        <stp>INTERVAL_Low</stp>
        <stp>[Index.xlsm]主要產業!R15C37</stp>
        <stp>MARKET_DATA_OVERRIDE=PE_RATIO</stp>
        <stp>CALC_INTERVAL=5y</stp>
        <stp>BEST_FPERIOD_OVERRIDE=BF</stp>
        <tr r="AK15" s="2"/>
      </tp>
      <tp>
        <v>9.8857764477456804</v>
        <stp/>
        <stp>##V3_BDPV12</stp>
        <stp>BAS GR Equity</stp>
        <stp>INTERVAL_Low</stp>
        <stp>[Index.xlsm]主要產業!R59C37</stp>
        <stp>MARKET_DATA_OVERRIDE=PE_RATIO</stp>
        <stp>CALC_INTERVAL=5y</stp>
        <stp>BEST_FPERIOD_OVERRIDE=BF</stp>
        <tr r="AK59" s="2"/>
      </tp>
      <tp>
        <v>19.837877968244531</v>
        <stp/>
        <stp>##V3_BDPV12</stp>
        <stp>NKE US Equity</stp>
        <stp>INTERVAL_Low</stp>
        <stp>[Index.xlsm]主要產業!R23C37</stp>
        <stp>MARKET_DATA_OVERRIDE=PE_RATIO</stp>
        <stp>CALC_INTERVAL=5y</stp>
        <stp>BEST_FPERIOD_OVERRIDE=BF</stp>
        <tr r="AK23" s="2"/>
      </tp>
      <tp>
        <v>12.777893608458452</v>
        <stp/>
        <stp>##V3_BDPV12</stp>
        <stp>UNA NA Equity</stp>
        <stp>INTERVAL_Low</stp>
        <stp>[Index.xlsm]主要產業!R49C37</stp>
        <stp>MARKET_DATA_OVERRIDE=PE_RATIO</stp>
        <stp>CALC_INTERVAL=5y</stp>
        <stp>BEST_FPERIOD_OVERRIDE=BF</stp>
        <tr r="AK49" s="2"/>
      </tp>
      <tp>
        <v>15.959108947149133</v>
        <stp/>
        <stp>##V3_BDPV12</stp>
        <stp>MMM US Equity</stp>
        <stp>INTERVAL_Low</stp>
        <stp>[Index.xlsm]主要產業!R27C37</stp>
        <stp>MARKET_DATA_OVERRIDE=PE_RATIO</stp>
        <stp>CALC_INTERVAL=5y</stp>
        <stp>BEST_FPERIOD_OVERRIDE=BF</stp>
        <tr r="AK27" s="2"/>
      </tp>
      <tp>
        <v>14.460632614168746</v>
        <stp/>
        <stp>##V3_BDPV12</stp>
        <stp>MCD US Equity</stp>
        <stp>INTERVAL_Low</stp>
        <stp>[Index.xlsm]主要產業!R16C37</stp>
        <stp>MARKET_DATA_OVERRIDE=PE_RATIO</stp>
        <stp>CALC_INTERVAL=5y</stp>
        <stp>BEST_FPERIOD_OVERRIDE=BF</stp>
        <tr r="AK16" s="2"/>
      </tp>
      <tp>
        <v>12.293424788902355</v>
        <stp/>
        <stp>##V3_BDPV12</stp>
        <stp>MRK US Equity</stp>
        <stp>INTERVAL_Low</stp>
        <stp>[Index.xlsm]主要產業!R12C37</stp>
        <stp>MARKET_DATA_OVERRIDE=PE_RATIO</stp>
        <stp>CALC_INTERVAL=5y</stp>
        <stp>BEST_FPERIOD_OVERRIDE=BF</stp>
        <tr r="AK12" s="2"/>
      </tp>
      <tp>
        <v>5.1456190291979391</v>
        <stp/>
        <stp>##V3_BDPV12</stp>
        <stp>RIO LN Equity</stp>
        <stp>INTERVAL_Low</stp>
        <stp>[Index.xlsm]主要產業!R50C37</stp>
        <stp>MARKET_DATA_OVERRIDE=PE_RATIO</stp>
        <stp>CALC_INTERVAL=5y</stp>
        <stp>BEST_FPERIOD_OVERRIDE=BF</stp>
        <tr r="AK50" s="2"/>
      </tp>
      <tp>
        <v>9.5162630465807361</v>
        <stp/>
        <stp>##V3_BDPV12</stp>
        <stp>PRU LN Equity</stp>
        <stp>INTERVAL_Low</stp>
        <stp>[Index.xlsm]主要產業!R52C37</stp>
        <stp>MARKET_DATA_OVERRIDE=PE_RATIO</stp>
        <stp>CALC_INTERVAL=5y</stp>
        <stp>BEST_FPERIOD_OVERRIDE=BF</stp>
        <tr r="AK52" s="2"/>
      </tp>
      <tp>
        <v>6.6843142114229668</v>
        <stp/>
        <stp>##V3_BDPV12</stp>
        <stp>IBM US Equity</stp>
        <stp>INTERVAL_Low</stp>
        <stp>[Index.xlsm]主要產業!R20C37</stp>
        <stp>MARKET_DATA_OVERRIDE=PE_RATIO</stp>
        <stp>CALC_INTERVAL=5y</stp>
        <stp>BEST_FPERIOD_OVERRIDE=BF</stp>
        <tr r="AK20" s="2"/>
      </tp>
      <tp>
        <v>12.967485101915271</v>
        <stp/>
        <stp>##V3_BDPV12</stp>
        <stp>HON US Equity</stp>
        <stp>INTERVAL_Low</stp>
        <stp>[Index.xlsm]主要產業!R21C37</stp>
        <stp>MARKET_DATA_OVERRIDE=PE_RATIO</stp>
        <stp>CALC_INTERVAL=5y</stp>
        <stp>BEST_FPERIOD_OVERRIDE=BF</stp>
        <tr r="AK21" s="2"/>
      </tp>
      <tp>
        <v>4.4699054083630569</v>
        <stp/>
        <stp>##V3_BDPV12</stp>
        <stp>SREN SW Equity</stp>
        <stp>INTERVAL_Low</stp>
        <stp>[Index.xlsm]主要產業!R72C37</stp>
        <stp>MARKET_DATA_OVERRIDE=PE_RATIO</stp>
        <stp>CALC_INTERVAL=5y</stp>
        <stp>BEST_FPERIOD_OVERRIDE=BF</stp>
        <tr r="AK72" s="2"/>
      </tp>
      <tp t="s">
        <v>#N/A N/A</v>
        <stp/>
        <stp>##V3_BDPV12</stp>
        <stp>SMSN LI Equity</stp>
        <stp>INTERVAL_Low</stp>
        <stp>[Index.xlsm]主要產業!R86C37</stp>
        <stp>MARKET_DATA_OVERRIDE=PE_RATIO</stp>
        <stp>CALC_INTERVAL=5y</stp>
        <stp>BEST_FPERIOD_OVERRIDE=BF</stp>
        <tr r="AK86" s="2"/>
      </tp>
      <tp>
        <v>10.838263980225889</v>
        <stp/>
        <stp>##V3_BDPV12</stp>
        <stp>EMR US Equity</stp>
        <stp>INTERVAL_Low</stp>
        <stp>[Index.xlsm]主要產業!R33C37</stp>
        <stp>MARKET_DATA_OVERRIDE=PE_RATIO</stp>
        <stp>CALC_INTERVAL=5y</stp>
        <stp>BEST_FPERIOD_OVERRIDE=BF</stp>
        <tr r="AK33" s="2"/>
      </tp>
      <tp>
        <v>8.8367030889534366</v>
        <stp/>
        <stp>##V3_BDPV12</stp>
        <stp>CAT US Equity</stp>
        <stp>INTERVAL_Low</stp>
        <stp>[Index.xlsm]主要產業!R31C37</stp>
        <stp>MARKET_DATA_OVERRIDE=PE_RATIO</stp>
        <stp>CALC_INTERVAL=5y</stp>
        <stp>BEST_FPERIOD_OVERRIDE=BF</stp>
        <tr r="AK31" s="2"/>
      </tp>
      <tp>
        <v>7.9141457714400056</v>
        <stp/>
        <stp>##V3_BDPV12</stp>
        <stp>CVX US Equity</stp>
        <stp>INTERVAL_Low</stp>
        <stp>[Index.xlsm]主要產業!R11C37</stp>
        <stp>MARKET_DATA_OVERRIDE=PE_RATIO</stp>
        <stp>CALC_INTERVAL=5y</stp>
        <stp>BEST_FPERIOD_OVERRIDE=BF</stp>
        <tr r="AK11" s="2"/>
      </tp>
      <tp>
        <v>9.9504964546267143</v>
        <stp/>
        <stp>##V3_BDPV12</stp>
        <stp>BMY US Equity</stp>
        <stp>INTERVAL_Low</stp>
        <stp>[Index.xlsm]主要產業!R28C37</stp>
        <stp>MARKET_DATA_OVERRIDE=PE_RATIO</stp>
        <stp>CALC_INTERVAL=5y</stp>
        <stp>BEST_FPERIOD_OVERRIDE=BF</stp>
        <tr r="AK28" s="2"/>
      </tp>
      <tp>
        <v>15.901033402920278</v>
        <stp/>
        <stp>##V3_BDPV12</stp>
        <stp>AON US Equity</stp>
        <stp>INTERVAL_Low</stp>
        <stp>[Index.xlsm]主要產業!R51C37</stp>
        <stp>MARKET_DATA_OVERRIDE=PE_RATIO</stp>
        <stp>CALC_INTERVAL=5y</stp>
        <stp>BEST_FPERIOD_OVERRIDE=BF</stp>
        <tr r="AK51" s="2"/>
      </tp>
      <tp>
        <v>42.422051084682401</v>
        <stp/>
        <stp>##V3_BDPV12</stp>
        <stp>AMT US Equity</stp>
        <stp>INTERVAL_Low</stp>
        <stp>[Index.xlsm]主要產業!R26C37</stp>
        <stp>MARKET_DATA_OVERRIDE=PE_RATIO</stp>
        <stp>CALC_INTERVAL=5y</stp>
        <stp>BEST_FPERIOD_OVERRIDE=BF</stp>
        <tr r="AK26" s="2"/>
      </tp>
      <tp>
        <v>9.9521960500927484</v>
        <stp/>
        <stp>##V3_BDPV12</stp>
        <stp>SIE GR Equity</stp>
        <stp>INTERVAL_Low</stp>
        <stp>[Index.xlsm]主要產業!R57C37</stp>
        <stp>MARKET_DATA_OVERRIDE=PE_RATIO</stp>
        <stp>CALC_INTERVAL=5y</stp>
        <stp>BEST_FPERIOD_OVERRIDE=BF</stp>
        <tr r="AK57" s="2"/>
      </tp>
      <tp>
        <v>17.69465258887848</v>
        <stp/>
        <stp>##V3_BDPV12</stp>
        <stp>ABT US Equity</stp>
        <stp>INTERVAL_Low</stp>
        <stp>[Index.xlsm]主要產業!R18C37</stp>
        <stp>MARKET_DATA_OVERRIDE=PE_RATIO</stp>
        <stp>CALC_INTERVAL=5y</stp>
        <stp>BEST_FPERIOD_OVERRIDE=BF</stp>
        <tr r="AK18" s="2"/>
      </tp>
      <tp>
        <v>16.94158368917665</v>
        <stp/>
        <stp>##V3_BDPV12</stp>
        <stp>SAN FP Equity</stp>
        <stp>INTERVAL_Low</stp>
        <stp>[Index.xlsm]主要產業!R38C37</stp>
        <stp>MARKET_DATA_OVERRIDE=PE_RATIO</stp>
        <stp>CALC_INTERVAL=5y</stp>
        <stp>BEST_FPERIOD_OVERRIDE=BF</stp>
        <tr r="AK38" s="2"/>
      </tp>
      <tp>
        <v>12.582371123200621</v>
        <stp/>
        <stp>##V3_BDPV12</stp>
        <stp>TWSESTEE Index</stp>
        <stp>INTERVAL_Low</stp>
        <stp>[Index.xlsm]主要產業!R81C17</stp>
        <stp>MARKET_DATA_OVERRIDE=PE_RATIO</stp>
        <stp>CALC_INTERVAL=5y</stp>
        <stp>BEST_FPERIOD_OVERRIDE=BF</stp>
        <tr r="Q81" s="2"/>
      </tp>
      <tp>
        <v>-9.0124460000000006</v>
        <stp/>
        <stp>##V3_BDPV12</stp>
        <stp>HSI INDEX</stp>
        <stp>PR064</stp>
        <stp>[Index.xlsm]主要產業!R19C52</stp>
        <tr r="AZ19" s="2"/>
      </tp>
      <tp>
        <v>7.3382709999999998</v>
        <stp/>
        <stp>##V3_BDPV12</stp>
        <stp>SENSEX INDEX</stp>
        <stp>CHG_PCT_1YR</stp>
        <stp>[Index.xlsm]主要產業!R26C53</stp>
        <tr r="BA26" s="2"/>
      </tp>
      <tp>
        <v>7.7675419999999997</v>
        <stp/>
        <stp>##V3_BDPV12</stp>
        <stp>FP FP Equity</stp>
        <stp>CHG_PCT_1M</stp>
        <stp>[Index.xlsm]主要產業!R36C31</stp>
        <tr r="AE36" s="2"/>
      </tp>
      <tp>
        <v>0.40262769999999998</v>
        <stp/>
        <stp>##V3_BDPV12</stp>
        <stp>FP FP Equity</stp>
        <stp>CHG_PCT_1D</stp>
        <stp>[Index.xlsm]主要產業!R36C25</stp>
        <tr r="Y36" s="2"/>
      </tp>
      <tp>
        <v>-3.5521630000000002</v>
        <stp/>
        <stp>##V3_BDPV12</stp>
        <stp>FP FP Equity</stp>
        <stp>CHG_PCT_3M</stp>
        <stp>[Index.xlsm]主要產業!R36C32</stp>
        <tr r="AF36" s="2"/>
      </tp>
      <tp>
        <v>-1.6298140000000001</v>
        <stp/>
        <stp>##V3_BDPV12</stp>
        <stp>FP FP Equity</stp>
        <stp>CHG_PCT_5D</stp>
        <stp>[Index.xlsm]主要產業!R36C30</stp>
        <tr r="AD36" s="2"/>
      </tp>
      <tp>
        <v>-4.0113459999999996</v>
        <stp/>
        <stp>##V3_BDPV12</stp>
        <stp>FP FP Equity</stp>
        <stp>CHG_PCT_6M</stp>
        <stp>[Index.xlsm]主要產業!R36C33</stp>
        <tr r="AG36" s="2"/>
      </tp>
      <tp>
        <v>-8.4547279999999994</v>
        <stp/>
        <stp>##V3_BDPV12</stp>
        <stp>HSCIEN Index</stp>
        <stp>CHG_PCT_3M</stp>
        <stp>[Index.xlsm]主要產業!R60C12</stp>
        <tr r="L60" s="2"/>
      </tp>
      <tp>
        <v>7.7742930000000001</v>
        <stp/>
        <stp>##V3_BDPV12</stp>
        <stp>HSCIEN Index</stp>
        <stp>CHG_PCT_1M</stp>
        <stp>[Index.xlsm]主要產業!R60C11</stp>
        <tr r="K60" s="2"/>
      </tp>
      <tp>
        <v>-17.412949999999999</v>
        <stp/>
        <stp>##V3_BDPV12</stp>
        <stp>HSCIEN Index</stp>
        <stp>CHG_PCT_6M</stp>
        <stp>[Index.xlsm]主要產業!R60C13</stp>
        <tr r="M60" s="2"/>
      </tp>
      <tp>
        <v>-2.8575659999999998</v>
        <stp/>
        <stp>##V3_BDPV12</stp>
        <stp>HSCIEN Index</stp>
        <stp>CHG_PCT_5D</stp>
        <stp>[Index.xlsm]主要產業!R60C10</stp>
        <tr r="J60" s="2"/>
      </tp>
      <tp>
        <v>1.7699119999999999E-2</v>
        <stp/>
        <stp>##V3_BDPV12</stp>
        <stp>EWY US Equity</stp>
        <stp>CHG_PCT_1D</stp>
        <stp>[Index.xlsm]主要產業!R88C43</stp>
        <tr r="AQ88" s="2"/>
      </tp>
      <tp>
        <v>154</v>
        <stp/>
        <stp>##V3_BDPV12</stp>
        <stp>MMM US Equity</stp>
        <stp>LOW_52WEEK</stp>
        <stp>[Index.xlsm]主要產業!R27C28</stp>
        <tr r="AB27" s="2"/>
      </tp>
      <tp>
        <v>0.33048749999999999</v>
        <stp/>
        <stp>##V3_BDPV12</stp>
        <stp>EWT US Equity</stp>
        <stp>CHG_PCT_1D</stp>
        <stp>[Index.xlsm]主要產業!R87C43</stp>
        <tr r="AQ87" s="2"/>
      </tp>
      <tp>
        <v>55.384999999999998</v>
        <stp/>
        <stp>##V3_BDPV12</stp>
        <stp>EMR US Equity</stp>
        <stp>LOW_52WEEK</stp>
        <stp>[Index.xlsm]主要產業!R33C28</stp>
        <tr r="AB33" s="2"/>
      </tp>
      <tp>
        <v>170.46</v>
        <stp/>
        <stp>##V3_BDPV12</stp>
        <stp>ALV GR Equity</stp>
        <stp>LOW_52WEEK</stp>
        <stp>[Index.xlsm]主要產業!R56C28</stp>
        <tr r="AB56" s="2"/>
      </tp>
      <tp>
        <v>85.78</v>
        <stp/>
        <stp>##V3_BDPV12</stp>
        <stp>WMT US Equity</stp>
        <stp>LOW_52WEEK</stp>
        <stp>[Index.xlsm]主要產業!R17C28</stp>
        <tr r="AB17" s="2"/>
      </tp>
      <tp>
        <v>140.39500000000001</v>
        <stp/>
        <stp>##V3_BDPV12</stp>
        <stp>AMT US Equity</stp>
        <stp>LOW_52WEEK</stp>
        <stp>[Index.xlsm]主要產業!R26C28</stp>
        <tr r="AB26" s="2"/>
      </tp>
      <tp>
        <v>42.48</v>
        <stp/>
        <stp>##V3_BDPV12</stp>
        <stp>BMY US Equity</stp>
        <stp>LOW_52WEEK</stp>
        <stp>[Index.xlsm]主要產業!R28C28</stp>
        <tr r="AB28" s="2"/>
      </tp>
      <tp>
        <v>4.114859</v>
        <stp/>
        <stp>##V3_BDPV12</stp>
        <stp>TWSEBKI Index</stp>
        <stp>CHG_PCT_1M</stp>
        <stp>[Index.xlsm]主要產業!R71C11</stp>
        <tr r="K71" s="2"/>
      </tp>
      <tp>
        <v>13.310309999999999</v>
        <stp/>
        <stp>##V3_BDPV12</stp>
        <stp>RIO LN Equity</stp>
        <stp>CHG_PCT_1YR</stp>
        <stp>[Index.xlsm]主要產業!R50C35</stp>
        <tr r="AI50" s="2"/>
      </tp>
      <tp>
        <v>-1.5899460000000001</v>
        <stp/>
        <stp>##V3_BDPV12</stp>
        <stp>TWSEBKI Index</stp>
        <stp>CHG_PCT_3M</stp>
        <stp>[Index.xlsm]主要產業!R71C12</stp>
        <tr r="L71" s="2"/>
      </tp>
      <tp>
        <v>-1.4874210000000001</v>
        <stp/>
        <stp>##V3_BDPV12</stp>
        <stp>TWSEBKI Index</stp>
        <stp>CHG_PCT_5D</stp>
        <stp>[Index.xlsm]主要產業!R71C10</stp>
        <tr r="J71" s="2"/>
      </tp>
      <tp>
        <v>4.621035</v>
        <stp/>
        <stp>##V3_BDPV12</stp>
        <stp>TWSEBKI Index</stp>
        <stp>CHG_PCT_6M</stp>
        <stp>[Index.xlsm]主要產業!R71C13</stp>
        <tr r="M71" s="2"/>
      </tp>
      <tp>
        <v>990.75</v>
        <stp/>
        <stp>##V3_BDPV12</stp>
        <stp xml:space="preserve">VNINDEX INDEX </stp>
        <stp>PX_LAST</stp>
        <stp>[Index.xlsm]主要產業!R28C42</stp>
        <tr r="AP28" s="2"/>
      </tp>
      <tp>
        <v>19.876373049059289</v>
        <stp/>
        <stp>##V3_BDPV12</stp>
        <stp>PHIA NA Equity</stp>
        <stp>INTERVAL_Low</stp>
        <stp>[Index.xlsm]主要產業!R75C37</stp>
        <stp>MARKET_DATA_OVERRIDE=PE_RATIO</stp>
        <stp>CALC_INTERVAL=5y</stp>
        <stp>BEST_FPERIOD_OVERRIDE=BF</stp>
        <tr r="AK75" s="2"/>
      </tp>
      <tp>
        <v>17.954649109310743</v>
        <stp/>
        <stp>##V3_BDPV12</stp>
        <stp>s5phrm index</stp>
        <stp>PE_RATIO</stp>
        <stp>[Index.xlsm]主要產業!R10C18</stp>
        <tr r="R10" s="2"/>
      </tp>
      <tp>
        <v>9.3106706920549431</v>
        <stp/>
        <stp>##V3_BDPV12</stp>
        <stp>TWSEPLAS Index</stp>
        <stp>INTERVAL_Low</stp>
        <stp>[Index.xlsm]主要產業!R73C17</stp>
        <stp>MARKET_DATA_OVERRIDE=PE_RATIO</stp>
        <stp>CALC_INTERVAL=5y</stp>
        <stp>BEST_FPERIOD_OVERRIDE=BF</stp>
        <tr r="Q73" s="2"/>
      </tp>
      <tp>
        <v>-9.3569099999999992</v>
        <stp/>
        <stp>##V3_BDPV12</stp>
        <stp>HSCIFN Index</stp>
        <stp>CHG_PCT_3M</stp>
        <stp>[Index.xlsm]主要產業!R61C12</stp>
        <tr r="L61" s="2"/>
      </tp>
      <tp>
        <v>2.3395440000000001</v>
        <stp/>
        <stp>##V3_BDPV12</stp>
        <stp>HSCIFN Index</stp>
        <stp>CHG_PCT_1M</stp>
        <stp>[Index.xlsm]主要產業!R61C11</stp>
        <tr r="K61" s="2"/>
      </tp>
      <tp>
        <v>0.25566106647187731</v>
        <stp/>
        <stp>##V3_BDPV12</stp>
        <stp>xu1 pit Index</stp>
        <stp>CHG_PCT_1D</stp>
        <stp>[Index.xlsm]主要產業!R96C43</stp>
        <tr r="AQ96" s="2"/>
      </tp>
      <tp>
        <v>-8.2227139999999999</v>
        <stp/>
        <stp>##V3_BDPV12</stp>
        <stp>HSCIFN Index</stp>
        <stp>CHG_PCT_6M</stp>
        <stp>[Index.xlsm]主要產業!R61C13</stp>
        <tr r="M61" s="2"/>
      </tp>
      <tp>
        <v>-1.4311430000000001</v>
        <stp/>
        <stp>##V3_BDPV12</stp>
        <stp>HSCIFN Index</stp>
        <stp>CHG_PCT_5D</stp>
        <stp>[Index.xlsm]主要產業!R61C10</stp>
        <tr r="J61" s="2"/>
      </tp>
      <tp>
        <v>0</v>
        <stp/>
        <stp>##V3_BDPV12</stp>
        <stp>UTX US Equity</stp>
        <stp>CHG_PCT_5D</stp>
        <stp>[Index.xlsm]主要產業!R25C30</stp>
        <tr r="AD25" s="2"/>
      </tp>
      <tp>
        <v>-4.1752799999999999</v>
        <stp/>
        <stp>##V3_BDPV12</stp>
        <stp>IBEX INDEX</stp>
        <stp>CHG_PCT_1YR</stp>
        <stp>[Index.xlsm]主要產業!R13C53</stp>
        <tr r="BA13" s="2"/>
      </tp>
      <tp>
        <v>9.0296500000000002</v>
        <stp/>
        <stp>##V3_BDPV12</stp>
        <stp>UTX US Equity</stp>
        <stp>CHG_PCT_6M</stp>
        <stp>[Index.xlsm]主要產業!R25C33</stp>
        <tr r="AG25" s="2"/>
      </tp>
      <tp>
        <v>9.5943919999999991</v>
        <stp/>
        <stp>##V3_BDPV12</stp>
        <stp>UTX US Equity</stp>
        <stp>CHG_PCT_1M</stp>
        <stp>[Index.xlsm]主要產業!R25C31</stp>
        <tr r="AE25" s="2"/>
      </tp>
      <tp>
        <v>0.51158369999999997</v>
        <stp/>
        <stp>##V3_BDPV12</stp>
        <stp>UTX US Equity</stp>
        <stp>CHG_PCT_1D</stp>
        <stp>[Index.xlsm]主要產業!R25C25</stp>
        <tr r="Y25" s="2"/>
      </tp>
      <tp>
        <v>7.6471489999999998</v>
        <stp/>
        <stp>##V3_BDPV12</stp>
        <stp>UTX US Equity</stp>
        <stp>CHG_PCT_3M</stp>
        <stp>[Index.xlsm]主要產業!R25C32</stp>
        <tr r="AF25" s="2"/>
      </tp>
      <tp>
        <v>1408.8</v>
        <stp/>
        <stp>##V3_BDPV12</stp>
        <stp>GSK LN Equity</stp>
        <stp>LOW_52WEEK</stp>
        <stp>[Index.xlsm]主要產業!R47C28</stp>
        <tr r="AB47" s="2"/>
      </tp>
      <tp>
        <v>-0.48684430000000001</v>
        <stp/>
        <stp>##V3_BDPV12</stp>
        <stp>BVLX INDEX</stp>
        <stp>CHG_PCT_1YR</stp>
        <stp>[Index.xlsm]主要產業!R12C53</stp>
        <tr r="BA12" s="2"/>
      </tp>
      <tp>
        <v>-12.653269999999999</v>
        <stp/>
        <stp>##V3_BDPV12</stp>
        <stp>RIO LN Equity</stp>
        <stp>CHG_PCT_3M</stp>
        <stp>[Index.xlsm]主要產業!R50C32</stp>
        <tr r="AF50" s="2"/>
      </tp>
      <tp>
        <v>-0.26337840000000001</v>
        <stp/>
        <stp>##V3_BDPV12</stp>
        <stp>RIO LN Equity</stp>
        <stp>CHG_PCT_1D</stp>
        <stp>[Index.xlsm]主要產業!R50C25</stp>
        <tr r="Y50" s="2"/>
      </tp>
      <tp>
        <v>6.1409099999999999</v>
        <stp/>
        <stp>##V3_BDPV12</stp>
        <stp>RIO LN Equity</stp>
        <stp>CHG_PCT_1M</stp>
        <stp>[Index.xlsm]主要產業!R50C31</stp>
        <tr r="AE50" s="2"/>
      </tp>
      <tp>
        <v>29.054600000000001</v>
        <stp/>
        <stp>##V3_BDPV12</stp>
        <stp>BHP AU Equity</stp>
        <stp>LOW_52WEEK</stp>
        <stp>[Index.xlsm]主要產業!R35C28</stp>
        <tr r="AB35" s="2"/>
      </tp>
      <tp>
        <v>-2.2121680000000001</v>
        <stp/>
        <stp>##V3_BDPV12</stp>
        <stp>RIO LN Equity</stp>
        <stp>CHG_PCT_6M</stp>
        <stp>[Index.xlsm]主要產業!R50C33</stp>
        <tr r="AG50" s="2"/>
      </tp>
      <tp>
        <v>-1.9767030000000001</v>
        <stp/>
        <stp>##V3_BDPV12</stp>
        <stp>RIO LN Equity</stp>
        <stp>CHG_PCT_5D</stp>
        <stp>[Index.xlsm]主要產業!R50C30</stp>
        <tr r="AD50" s="2"/>
      </tp>
      <tp>
        <v>-18.823920000000001</v>
        <stp/>
        <stp>##V3_BDPV12</stp>
        <stp>SAN SM Equity</stp>
        <stp>CHG_PCT_1YR</stp>
        <stp>[Index.xlsm]主要產業!R64C35</stp>
        <tr r="AI64" s="2"/>
      </tp>
      <tp>
        <v>20.608170000000001</v>
        <stp/>
        <stp>##V3_BDPV12</stp>
        <stp>TXN US Equity</stp>
        <stp>CHG_PCT_1YR</stp>
        <stp>[Index.xlsm]主要產業!R22C35</stp>
        <tr r="AI22" s="2"/>
      </tp>
      <tp>
        <v>26.287870000000002</v>
        <stp/>
        <stp>##V3_BDPV12</stp>
        <stp>AZN LN Equity</stp>
        <stp>CHG_PCT_1YR</stp>
        <stp>[Index.xlsm]主要產業!R46C35</stp>
        <tr r="AI46" s="2"/>
      </tp>
      <tp>
        <v>10.84384</v>
        <stp/>
        <stp>##V3_BDPV12</stp>
        <stp>SAN FP Equity</stp>
        <stp>CHG_PCT_1YR</stp>
        <stp>[Index.xlsm]主要產業!R38C35</stp>
        <tr r="AI38" s="2"/>
      </tp>
      <tp>
        <v>25.92473</v>
        <stp/>
        <stp>##V3_BDPV12</stp>
        <stp>AON US Equity</stp>
        <stp>CHG_PCT_1YR</stp>
        <stp>[Index.xlsm]主要產業!R51C35</stp>
        <tr r="AI51" s="2"/>
      </tp>
      <tp>
        <v>5.2440829999999998</v>
        <stp/>
        <stp>##V3_BDPV12</stp>
        <stp>HON US Equity</stp>
        <stp>CHG_PCT_1YR</stp>
        <stp>[Index.xlsm]主要產業!R21C35</stp>
        <tr r="AI21" s="2"/>
      </tp>
      <tp>
        <v>3446592669077.8604</v>
        <stp/>
        <stp>##V3_BDPV12</stp>
        <stp>SH000910 Index</stp>
        <stp>RR902</stp>
        <stp>[Index.xlsm]主要產業!R49C20</stp>
        <tr r="T49" s="2"/>
      </tp>
      <tp>
        <v>2434763671552.7803</v>
        <stp/>
        <stp>##V3_BDPV12</stp>
        <stp>SH000911 Index</stp>
        <stp>RR902</stp>
        <stp>[Index.xlsm]主要產業!R51C20</stp>
        <tr r="T51" s="2"/>
      </tp>
      <tp>
        <v>1671857395337.75</v>
        <stp/>
        <stp>##V3_BDPV12</stp>
        <stp>SH000913 Index</stp>
        <stp>RR902</stp>
        <stp>[Index.xlsm]主要產業!R55C20</stp>
        <tr r="T55" s="2"/>
      </tp>
      <tp>
        <v>3536704936599.3999</v>
        <stp/>
        <stp>##V3_BDPV12</stp>
        <stp>SH000912 Index</stp>
        <stp>RR902</stp>
        <stp>[Index.xlsm]主要產業!R50C20</stp>
        <tr r="T50" s="2"/>
      </tp>
      <tp>
        <v>12075857482157.4</v>
        <stp/>
        <stp>##V3_BDPV12</stp>
        <stp>SH000914 Index</stp>
        <stp>RR902</stp>
        <stp>[Index.xlsm]主要產業!R48C20</stp>
        <tr r="T48" s="2"/>
      </tp>
      <tp>
        <v>2134457200761.1301</v>
        <stp/>
        <stp>##V3_BDPV12</stp>
        <stp>SH000915 Index</stp>
        <stp>RR902</stp>
        <stp>[Index.xlsm]主要產業!R52C20</stp>
        <tr r="T52" s="2"/>
      </tp>
      <tp>
        <v>869575256674.71802</v>
        <stp/>
        <stp>##V3_BDPV12</stp>
        <stp>SH000917 Index</stp>
        <stp>RR902</stp>
        <stp>[Index.xlsm]主要產業!R56C20</stp>
        <tr r="T56" s="2"/>
      </tp>
      <tp>
        <v>718460881023.78101</v>
        <stp/>
        <stp>##V3_BDPV12</stp>
        <stp>SH000916 Index</stp>
        <stp>RR902</stp>
        <stp>[Index.xlsm]主要產業!R57C20</stp>
        <tr r="T57" s="2"/>
      </tp>
      <tp>
        <v>1672162432743.1201</v>
        <stp/>
        <stp>##V3_BDPV12</stp>
        <stp>SH000909 Index</stp>
        <stp>RR902</stp>
        <stp>[Index.xlsm]主要產業!R54C20</stp>
        <tr r="T54" s="2"/>
      </tp>
      <tp>
        <v>2060401320743.1401</v>
        <stp/>
        <stp>##V3_BDPV12</stp>
        <stp>SH000908 Index</stp>
        <stp>RR902</stp>
        <stp>[Index.xlsm]主要產業!R53C20</stp>
        <tr r="T53" s="2"/>
      </tp>
      <tp>
        <v>-0.1640315</v>
        <stp/>
        <stp>##V3_BDPV12</stp>
        <stp>SX8P INDEX</stp>
        <stp>PR064</stp>
        <stp>[Index.xlsm]主要產業!R26C14</stp>
        <tr r="N26" s="2"/>
      </tp>
      <tp>
        <v>6.012867</v>
        <stp/>
        <stp>##V3_BDPV12</stp>
        <stp>SX3P INDEX</stp>
        <stp>PR064</stp>
        <stp>[Index.xlsm]主要產業!R22C14</stp>
        <tr r="N22" s="2"/>
      </tp>
      <tp>
        <v>0.63509649999999995</v>
        <stp/>
        <stp>##V3_BDPV12</stp>
        <stp>SX4P INDEX</stp>
        <stp>PR064</stp>
        <stp>[Index.xlsm]主要產業!R27C14</stp>
        <tr r="N27" s="2"/>
      </tp>
      <tp>
        <v>7.5226689999999996</v>
        <stp/>
        <stp>##V3_BDPV12</stp>
        <stp>SX6P INDEX</stp>
        <stp>PR064</stp>
        <stp>[Index.xlsm]主要產業!R25C14</stp>
        <tr r="N25" s="2"/>
      </tp>
      <tp>
        <v>-2.180774</v>
        <stp/>
        <stp>##V3_BDPV12</stp>
        <stp>SX7P INDEX</stp>
        <stp>PR064</stp>
        <stp>[Index.xlsm]主要產業!R21C14</stp>
        <tr r="N21" s="2"/>
      </tp>
      <tp>
        <v>-4.2462850000000003</v>
        <stp/>
        <stp>##V3_BDPV12</stp>
        <stp>GE US Equity</stp>
        <stp>CHG_PCT_5D</stp>
        <stp>[Index.xlsm]主要產業!R29C30</stp>
        <tr r="AD29" s="2"/>
      </tp>
      <tp>
        <v>-10.693070000000001</v>
        <stp/>
        <stp>##V3_BDPV12</stp>
        <stp>GE US Equity</stp>
        <stp>CHG_PCT_6M</stp>
        <stp>[Index.xlsm]主要產業!R29C33</stp>
        <tr r="AG29" s="2"/>
      </tp>
      <tp>
        <v>-1.528384</v>
        <stp/>
        <stp>##V3_BDPV12</stp>
        <stp>GE US Equity</stp>
        <stp>CHG_PCT_1D</stp>
        <stp>[Index.xlsm]主要產業!R29C25</stp>
        <tr r="Y29" s="2"/>
      </tp>
      <tp>
        <v>12.04969</v>
        <stp/>
        <stp>##V3_BDPV12</stp>
        <stp>GE US Equity</stp>
        <stp>CHG_PCT_1M</stp>
        <stp>[Index.xlsm]主要產業!R29C31</stp>
        <tr r="AE29" s="2"/>
      </tp>
      <tp>
        <v>-12.171379999999999</v>
        <stp/>
        <stp>##V3_BDPV12</stp>
        <stp>GE US Equity</stp>
        <stp>CHG_PCT_3M</stp>
        <stp>[Index.xlsm]主要產業!R29C32</stp>
        <tr r="AF29" s="2"/>
      </tp>
      <tp>
        <v>5.6900690000000003</v>
        <stp/>
        <stp>##V3_BDPV12</stp>
        <stp>GS US Equity</stp>
        <stp>CHG_PCT_3M</stp>
        <stp>[Index.xlsm]主要產業!R30C32</stp>
        <tr r="AF30" s="2"/>
      </tp>
      <tp>
        <v>-0.86178169999999998</v>
        <stp/>
        <stp>##V3_BDPV12</stp>
        <stp>GS US Equity</stp>
        <stp>CHG_PCT_1D</stp>
        <stp>[Index.xlsm]主要產業!R30C25</stp>
        <tr r="Y30" s="2"/>
      </tp>
      <tp>
        <v>-1.9263589999999999</v>
        <stp/>
        <stp>##V3_BDPV12</stp>
        <stp>JCI INDEX</stp>
        <stp>PR064</stp>
        <stp>[Index.xlsm]主要產業!R30C52</stp>
        <tr r="AZ30" s="2"/>
      </tp>
      <tp>
        <v>4.2925149999999999</v>
        <stp/>
        <stp>##V3_BDPV12</stp>
        <stp>GS US Equity</stp>
        <stp>CHG_PCT_1M</stp>
        <stp>[Index.xlsm]主要產業!R30C31</stp>
        <tr r="AE30" s="2"/>
      </tp>
      <tp>
        <v>9.1929300000000005</v>
        <stp/>
        <stp>##V3_BDPV12</stp>
        <stp>GS US Equity</stp>
        <stp>CHG_PCT_6M</stp>
        <stp>[Index.xlsm]主要產業!R30C33</stp>
        <tr r="AG30" s="2"/>
      </tp>
      <tp>
        <v>-3.2569810000000001</v>
        <stp/>
        <stp>##V3_BDPV12</stp>
        <stp>GS US Equity</stp>
        <stp>CHG_PCT_5D</stp>
        <stp>[Index.xlsm]主要產業!R30C30</stp>
        <tr r="AD30" s="2"/>
      </tp>
      <tp>
        <v>-0.1933713</v>
        <stp/>
        <stp>##V3_BDPV12</stp>
        <stp>SXIP INDEX</stp>
        <stp>PR064</stp>
        <stp>[Index.xlsm]主要產業!R24C14</stp>
        <tr r="N24" s="2"/>
      </tp>
      <tp>
        <v>5.5972020000000002</v>
        <stp/>
        <stp>##V3_BDPV12</stp>
        <stp>SXKP INDEX</stp>
        <stp>PR064</stp>
        <stp>[Index.xlsm]主要產業!R29C14</stp>
        <tr r="N29" s="2"/>
      </tp>
      <tp>
        <v>2.2092160000000001</v>
        <stp/>
        <stp>##V3_BDPV12</stp>
        <stp>SXMP INDEX</stp>
        <stp>PR064</stp>
        <stp>[Index.xlsm]主要產業!R35C14</stp>
        <tr r="N35" s="2"/>
      </tp>
      <tp>
        <v>0.23796629999999999</v>
        <stp/>
        <stp>##V3_BDPV12</stp>
        <stp>SXNP INDEX</stp>
        <stp>PR064</stp>
        <stp>[Index.xlsm]主要產業!R19C14</stp>
        <tr r="N19" s="2"/>
      </tp>
      <tp>
        <v>20.81</v>
        <stp/>
        <stp>##V3_BDPV12</stp>
        <stp>GLE FP Equity</stp>
        <stp>LOW_52WEEK</stp>
        <stp>[Index.xlsm]主要產業!R43C28</stp>
        <tr r="AB43" s="2"/>
      </tp>
      <tp>
        <v>4.2699239999999996</v>
        <stp/>
        <stp>##V3_BDPV12</stp>
        <stp>SXOP INDEX</stp>
        <stp>PR064</stp>
        <stp>[Index.xlsm]主要產業!R30C14</stp>
        <tr r="N30" s="2"/>
      </tp>
      <tp>
        <v>-2.6585230000000002</v>
        <stp/>
        <stp>##V3_BDPV12</stp>
        <stp>SXAP INDEX</stp>
        <stp>PR064</stp>
        <stp>[Index.xlsm]主要產業!R31C14</stp>
        <tr r="N31" s="2"/>
      </tp>
      <tp>
        <v>6.2863689999999997</v>
        <stp/>
        <stp>##V3_BDPV12</stp>
        <stp>SXDP INDEX</stp>
        <stp>PR064</stp>
        <stp>[Index.xlsm]主要產業!R18C14</stp>
        <tr r="N18" s="2"/>
      </tp>
      <tp>
        <v>-3.4662060000000001</v>
        <stp/>
        <stp>##V3_BDPV12</stp>
        <stp>SXEP INDEX</stp>
        <stp>PR064</stp>
        <stp>[Index.xlsm]主要產業!R23C14</stp>
        <tr r="N23" s="2"/>
      </tp>
      <tp>
        <v>135.30000000000001</v>
        <stp/>
        <stp>##V3_BDPV12</stp>
        <stp>AON US Equity</stp>
        <stp>LOW_52WEEK</stp>
        <stp>[Index.xlsm]主要產業!R51C28</stp>
        <tr r="AB51" s="2"/>
      </tp>
      <tp>
        <v>123.48</v>
        <stp/>
        <stp>##V3_BDPV12</stp>
        <stp>HON US Equity</stp>
        <stp>LOW_52WEEK</stp>
        <stp>[Index.xlsm]主要產業!R21C28</stp>
        <tr r="AB21" s="2"/>
      </tp>
      <tp>
        <v>8.3903569999999998</v>
        <stp/>
        <stp>##V3_BDPV12</stp>
        <stp>SXFP INDEX</stp>
        <stp>PR064</stp>
        <stp>[Index.xlsm]主要產業!R33C14</stp>
        <tr r="N33" s="2"/>
      </tp>
      <tp>
        <v>1299.5</v>
        <stp/>
        <stp>##V3_BDPV12</stp>
        <stp>PRU LN Equity</stp>
        <stp>LOW_52WEEK</stp>
        <stp>[Index.xlsm]主要產業!R52C28</stp>
        <tr r="AB52" s="2"/>
      </tp>
      <tp>
        <v>-9.5173089999999991</v>
        <stp/>
        <stp>##V3_BDPV12</stp>
        <stp>SXPP INDEX</stp>
        <stp>PR064</stp>
        <stp>[Index.xlsm]主要產業!R32C14</stp>
        <tr r="N32" s="2"/>
      </tp>
      <tp>
        <v>0.71980109999999997</v>
        <stp/>
        <stp>##V3_BDPV12</stp>
        <stp>DTE GR Equity</stp>
        <stp>CHG_PCT_1D</stp>
        <stp>[Index.xlsm]主要產業!R60C25</stp>
        <tr r="Y60" s="2"/>
      </tp>
      <tp>
        <v>2.194534</v>
        <stp/>
        <stp>##V3_BDPV12</stp>
        <stp>SXQP INDEX</stp>
        <stp>PR064</stp>
        <stp>[Index.xlsm]主要產業!R20C14</stp>
        <tr r="N20" s="2"/>
      </tp>
      <tp>
        <v>3.6917279999999999</v>
        <stp/>
        <stp>##V3_BDPV12</stp>
        <stp>DTE GR Equity</stp>
        <stp>CHG_PCT_1M</stp>
        <stp>[Index.xlsm]主要產業!R60C31</stp>
        <tr r="AE60" s="2"/>
      </tp>
      <tp>
        <v>4.5301260000000001</v>
        <stp/>
        <stp>##V3_BDPV12</stp>
        <stp>SXRP INDEX</stp>
        <stp>PR064</stp>
        <stp>[Index.xlsm]主要產業!R28C14</stp>
        <tr r="N28" s="2"/>
      </tp>
      <tp>
        <v>1.4767920000000001</v>
        <stp/>
        <stp>##V3_BDPV12</stp>
        <stp>DTE GR Equity</stp>
        <stp>CHG_PCT_3M</stp>
        <stp>[Index.xlsm]主要產業!R60C32</stp>
        <tr r="AF60" s="2"/>
      </tp>
      <tp>
        <v>7.2567750000000002</v>
        <stp/>
        <stp>##V3_BDPV12</stp>
        <stp>SXTP INDEX</stp>
        <stp>PR064</stp>
        <stp>[Index.xlsm]主要產業!R36C14</stp>
        <tr r="N36" s="2"/>
      </tp>
      <tp>
        <v>1.0504199999999999</v>
        <stp/>
        <stp>##V3_BDPV12</stp>
        <stp>DTE GR Equity</stp>
        <stp>CHG_PCT_5D</stp>
        <stp>[Index.xlsm]主要產業!R60C30</stp>
        <tr r="AD60" s="2"/>
      </tp>
      <tp>
        <v>-1.3333360000000001</v>
        <stp/>
        <stp>##V3_BDPV12</stp>
        <stp>DTE GR Equity</stp>
        <stp>CHG_PCT_6M</stp>
        <stp>[Index.xlsm]主要產業!R60C33</stp>
        <tr r="AG60" s="2"/>
      </tp>
      <tp>
        <v>1.4468179999999999</v>
        <stp/>
        <stp>##V3_BDPV12</stp>
        <stp>CAC INDEX</stp>
        <stp>CHG_PCT_1YR</stp>
        <stp>[Index.xlsm]主要產業!R11C53</stp>
        <tr r="BA11" s="2"/>
      </tp>
      <tp>
        <v>-12.56146</v>
        <stp/>
        <stp>##V3_BDPV12</stp>
        <stp>TWSEOEG Index</stp>
        <stp>CHG_PCT_6M</stp>
        <stp>[Index.xlsm]主要產業!R79C13</stp>
        <tr r="M79" s="2"/>
      </tp>
      <tp>
        <v>-1.1120699999999999</v>
        <stp/>
        <stp>##V3_BDPV12</stp>
        <stp>TWSEOEG Index</stp>
        <stp>CHG_PCT_5D</stp>
        <stp>[Index.xlsm]主要產業!R79C10</stp>
        <tr r="J79" s="2"/>
      </tp>
      <tp>
        <v>-10.81368</v>
        <stp/>
        <stp>##V3_BDPV12</stp>
        <stp>TWSEOEG Index</stp>
        <stp>CHG_PCT_3M</stp>
        <stp>[Index.xlsm]主要產業!R79C12</stp>
        <tr r="L79" s="2"/>
      </tp>
      <tp>
        <v>3.2376740000000002</v>
        <stp/>
        <stp>##V3_BDPV12</stp>
        <stp>TWSEOEG Index</stp>
        <stp>CHG_PCT_1M</stp>
        <stp>[Index.xlsm]主要產業!R79C11</stp>
        <tr r="K79" s="2"/>
      </tp>
      <tp>
        <v>9.9299759999999999</v>
        <stp/>
        <stp>##V3_BDPV12</stp>
        <stp>s5rlst Index</stp>
        <stp>CHG_PCT_6M</stp>
        <stp>[Index.xlsm]主要產業!R15C13</stp>
        <tr r="M15" s="2"/>
      </tp>
      <tp>
        <v>3.4834740000000002</v>
        <stp/>
        <stp>##V3_BDPV12</stp>
        <stp>TWSEOEI Index</stp>
        <stp>CHG_PCT_1M</stp>
        <stp>[Index.xlsm]主要產業!R75C11</stp>
        <tr r="K75" s="2"/>
      </tp>
      <tp>
        <v>0.13951269999999999</v>
        <stp/>
        <stp>##V3_BDPV12</stp>
        <stp>TWSECEM Index</stp>
        <stp>CHG_PCT_5D</stp>
        <stp>[Index.xlsm]主要產業!R88C10</stp>
        <tr r="J88" s="2"/>
      </tp>
      <tp>
        <v>3.0270269999999999</v>
        <stp/>
        <stp>##V3_BDPV12</stp>
        <stp>ORA FP Equity</stp>
        <stp>CHG_PCT_1YR</stp>
        <stp>[Index.xlsm]主要產業!R42C35</stp>
        <tr r="AI42" s="2"/>
      </tp>
      <tp>
        <v>15.1046</v>
        <stp/>
        <stp>##V3_BDPV12</stp>
        <stp>UNA NA Equity</stp>
        <stp>CHG_PCT_1YR</stp>
        <stp>[Index.xlsm]主要產業!R49C35</stp>
        <tr r="AI49" s="2"/>
      </tp>
      <tp>
        <v>0.62613540000000001</v>
        <stp/>
        <stp>##V3_BDPV12</stp>
        <stp>s5rlst Index</stp>
        <stp>CHG_PCT_5D</stp>
        <stp>[Index.xlsm]主要產業!R15C10</stp>
        <tr r="J15" s="2"/>
      </tp>
      <tp>
        <v>7.2976869999999998</v>
        <stp/>
        <stp>##V3_BDPV12</stp>
        <stp>TWSECEM Index</stp>
        <stp>CHG_PCT_6M</stp>
        <stp>[Index.xlsm]主要產業!R88C13</stp>
        <tr r="M88" s="2"/>
      </tp>
      <tp>
        <v>-1.3618619999999999</v>
        <stp/>
        <stp>##V3_BDPV12</stp>
        <stp>TWSEOEI Index</stp>
        <stp>CHG_PCT_3M</stp>
        <stp>[Index.xlsm]主要產業!R75C12</stp>
        <tr r="L75" s="2"/>
      </tp>
      <tp>
        <v>7.8807099999999997</v>
        <stp/>
        <stp>##V3_BDPV12</stp>
        <stp>s5rlst Index</stp>
        <stp>CHG_PCT_3M</stp>
        <stp>[Index.xlsm]主要產業!R15C12</stp>
        <tr r="L15" s="2"/>
      </tp>
      <tp>
        <v>0.55533880000000002</v>
        <stp/>
        <stp>##V3_BDPV12</stp>
        <stp>TWSEOEI Index</stp>
        <stp>CHG_PCT_5D</stp>
        <stp>[Index.xlsm]主要產業!R75C10</stp>
        <tr r="J75" s="2"/>
      </tp>
      <tp>
        <v>5.2031960000000002</v>
        <stp/>
        <stp>##V3_BDPV12</stp>
        <stp>TWSECEM Index</stp>
        <stp>CHG_PCT_1M</stp>
        <stp>[Index.xlsm]主要產業!R88C11</stp>
        <tr r="K88" s="2"/>
      </tp>
      <tp>
        <v>2.2927819999999999</v>
        <stp/>
        <stp>##V3_BDPV12</stp>
        <stp>s5rlst Index</stp>
        <stp>CHG_PCT_1M</stp>
        <stp>[Index.xlsm]主要產業!R15C11</stp>
        <tr r="K15" s="2"/>
      </tp>
      <tp>
        <v>3.4131109999999998</v>
        <stp/>
        <stp>##V3_BDPV12</stp>
        <stp>TWSEOEI Index</stp>
        <stp>CHG_PCT_6M</stp>
        <stp>[Index.xlsm]主要產業!R75C13</stp>
        <tr r="M75" s="2"/>
      </tp>
      <tp>
        <v>-8.0046549999999996</v>
        <stp/>
        <stp>##V3_BDPV12</stp>
        <stp>TWSECEM Index</stp>
        <stp>CHG_PCT_3M</stp>
        <stp>[Index.xlsm]主要產業!R88C12</stp>
        <tr r="L88" s="2"/>
      </tp>
      <tp>
        <v>-2.8725999999999998</v>
        <stp/>
        <stp>##V3_BDPV12</stp>
        <stp>EUR Curncy</stp>
        <stp>CHG_PCT_6M</stp>
        <stp>[Index.xlsm]主要產業!R72C51</stp>
        <tr r="AY72" s="2"/>
      </tp>
      <tp>
        <v>-2.8515000000000001</v>
        <stp/>
        <stp>##V3_BDPV12</stp>
        <stp>INR Curncy</stp>
        <stp>CHG_PCT_6M</stp>
        <stp>[Index.xlsm]主要產業!R82C51</stp>
        <tr r="AY82" s="2"/>
      </tp>
      <tp>
        <v>-2.8921000000000001</v>
        <stp/>
        <stp>##V3_BDPV12</stp>
        <stp>ZAR Curncy</stp>
        <stp>CHG_PCT_6M</stp>
        <stp>[Index.xlsm]主要產業!R80C51</stp>
        <tr r="AY80" s="2"/>
      </tp>
      <tp>
        <v>-0.87139999999999995</v>
        <stp/>
        <stp>##V3_BDPV12</stp>
        <stp>EUR Curncy</stp>
        <stp>CHG_PCT_5D</stp>
        <stp>[Index.xlsm]主要產業!R72C48</stp>
        <tr r="AV72" s="2"/>
      </tp>
      <tp>
        <v>0.62609999999999999</v>
        <stp/>
        <stp>##V3_BDPV12</stp>
        <stp>INR Curncy</stp>
        <stp>CHG_PCT_5D</stp>
        <stp>[Index.xlsm]主要產業!R82C48</stp>
        <tr r="AV82" s="2"/>
      </tp>
      <tp>
        <v>-0.66049999999999998</v>
        <stp/>
        <stp>##V3_BDPV12</stp>
        <stp>ZAR Curncy</stp>
        <stp>CHG_PCT_5D</stp>
        <stp>[Index.xlsm]主要產業!R80C48</stp>
        <tr r="AV80" s="2"/>
      </tp>
      <tp>
        <v>-3.9405000000000001</v>
        <stp/>
        <stp>##V3_BDPV12</stp>
        <stp>EUR Curncy</stp>
        <stp>CHG_PCT_3M</stp>
        <stp>[Index.xlsm]主要產業!R72C50</stp>
        <tr r="AX72" s="2"/>
      </tp>
      <tp>
        <v>-2.4352999999999998</v>
        <stp/>
        <stp>##V3_BDPV12</stp>
        <stp>INR Curncy</stp>
        <stp>CHG_PCT_3M</stp>
        <stp>[Index.xlsm]主要產業!R82C50</stp>
        <tr r="AX82" s="2"/>
      </tp>
      <tp>
        <v>-5.7568000000000001</v>
        <stp/>
        <stp>##V3_BDPV12</stp>
        <stp>ZAR Curncy</stp>
        <stp>CHG_PCT_3M</stp>
        <stp>[Index.xlsm]主要產業!R80C50</stp>
        <tr r="AX80" s="2"/>
      </tp>
      <tp>
        <v>0.22220000000000001</v>
        <stp/>
        <stp>##V3_BDPV12</stp>
        <stp>INR Curncy</stp>
        <stp>CHG_PCT_1D</stp>
        <stp>[Index.xlsm]主要產業!R82C43</stp>
        <tr r="AQ82" s="2"/>
      </tp>
      <tp>
        <v>-1.5239</v>
        <stp/>
        <stp>##V3_BDPV12</stp>
        <stp>EUR Curncy</stp>
        <stp>CHG_PCT_1M</stp>
        <stp>[Index.xlsm]主要產業!R72C49</stp>
        <tr r="AW72" s="2"/>
      </tp>
      <tp>
        <v>1.6120000000000001</v>
        <stp/>
        <stp>##V3_BDPV12</stp>
        <stp>INR Curncy</stp>
        <stp>CHG_PCT_1M</stp>
        <stp>[Index.xlsm]主要產業!R82C49</stp>
        <tr r="AW82" s="2"/>
      </tp>
      <tp>
        <v>0</v>
        <stp/>
        <stp>##V3_BDPV12</stp>
        <stp>EUR Curncy</stp>
        <stp>CHG_PCT_1D</stp>
        <stp>[Index.xlsm]主要產業!R72C43</stp>
        <tr r="AQ72" s="2"/>
      </tp>
      <tp>
        <v>1.8358000000000001</v>
        <stp/>
        <stp>##V3_BDPV12</stp>
        <stp>ZAR Curncy</stp>
        <stp>CHG_PCT_1M</stp>
        <stp>[Index.xlsm]主要產業!R80C49</stp>
        <tr r="AW80" s="2"/>
      </tp>
      <tp>
        <v>-0.1676</v>
        <stp/>
        <stp>##V3_BDPV12</stp>
        <stp>ZAR Curncy</stp>
        <stp>CHG_PCT_1D</stp>
        <stp>[Index.xlsm]主要產業!R80C43</stp>
        <tr r="AQ80" s="2"/>
      </tp>
      <tp>
        <v>-17.913779999999999</v>
        <stp/>
        <stp>##V3_BDPV12</stp>
        <stp>US0001W Index</stp>
        <stp>PR064</stp>
        <stp>[Index.xlsm]主要產業!R63C52</stp>
        <tr r="AZ63" s="2"/>
      </tp>
      <tp>
        <v>-11.92606</v>
        <stp/>
        <stp>##V3_BDPV12</stp>
        <stp>kospi INDEX</stp>
        <stp>CHG_PCT_1YR</stp>
        <stp>[Index.xlsm]主要產業!R18C53</stp>
        <tr r="BA18" s="2"/>
      </tp>
      <tp>
        <v>31.649100000000001</v>
        <stp/>
        <stp>##V3_BDPV12</stp>
        <stp>IBOV INDEX</stp>
        <stp>CHG_PCT_1YR</stp>
        <stp>[Index.xlsm]主要產業!R32C53</stp>
        <tr r="BA32" s="2"/>
      </tp>
      <tp>
        <v>40.31</v>
        <stp/>
        <stp>##V3_BDPV12</stp>
        <stp>DAI GR Equity</stp>
        <stp>LOW_52WEEK</stp>
        <stp>[Index.xlsm]主要產業!R61C28</stp>
        <tr r="AB61" s="2"/>
      </tp>
      <tp>
        <v>55.64</v>
        <stp/>
        <stp>##V3_BDPV12</stp>
        <stp>BAS GR Equity</stp>
        <stp>LOW_52WEEK</stp>
        <stp>[Index.xlsm]主要產業!R59C28</stp>
        <tr r="AB59" s="2"/>
      </tp>
      <tp>
        <v>1.5799751464583702</v>
        <stp/>
        <stp>##V3_BDPV12</stp>
        <stp>lmcads03 comdty</stp>
        <stp>CHG_PCT_1M</stp>
        <stp>[Index.xlsm]主要產業!R47C49</stp>
        <tr r="AW47" s="2"/>
      </tp>
      <tp>
        <v>-1.1232071885260067</v>
        <stp/>
        <stp>##V3_BDPV12</stp>
        <stp>lmcads03 comdty</stp>
        <stp>CHG_PCT_1D</stp>
        <stp>[Index.xlsm]主要產業!R47C43</stp>
        <tr r="AQ47" s="2"/>
      </tp>
      <tp>
        <v>-4.4422177688710756</v>
        <stp/>
        <stp>##V3_BDPV12</stp>
        <stp>lmcads03 comdty</stp>
        <stp>CHG_PCT_3M</stp>
        <stp>[Index.xlsm]主要產業!R47C50</stp>
        <tr r="AX47" s="2"/>
      </tp>
      <tp>
        <v>-1.1402902557014511</v>
        <stp/>
        <stp>##V3_BDPV12</stp>
        <stp>lmcads03 comdty</stp>
        <stp>CHG_PCT_5D</stp>
        <stp>[Index.xlsm]主要產業!R47C48</stp>
        <tr r="AV47" s="2"/>
      </tp>
      <tp>
        <v>-9.6050552922590828</v>
        <stp/>
        <stp>##V3_BDPV12</stp>
        <stp>lmcads03 comdty</stp>
        <stp>CHG_PCT_6M</stp>
        <stp>[Index.xlsm]主要產業!R47C51</stp>
        <tr r="AY47" s="2"/>
      </tp>
      <tp>
        <v>1.51562</v>
        <stp/>
        <stp>##V3_BDPV12</stp>
        <stp>DGE LN Equity</stp>
        <stp>CHG_PCT_1D</stp>
        <stp>[Index.xlsm]主要產業!R48C25</stp>
        <tr r="Y48" s="2"/>
      </tp>
      <tp>
        <v>-3.9789349999999999</v>
        <stp/>
        <stp>##V3_BDPV12</stp>
        <stp>DGE LN Equity</stp>
        <stp>CHG_PCT_1M</stp>
        <stp>[Index.xlsm]主要產業!R48C31</stp>
        <tr r="AE48" s="2"/>
      </tp>
      <tp>
        <v>-3.1429840000000002</v>
        <stp/>
        <stp>##V3_BDPV12</stp>
        <stp>DGE LN Equity</stp>
        <stp>CHG_PCT_3M</stp>
        <stp>[Index.xlsm]主要產業!R48C32</stp>
        <tr r="AF48" s="2"/>
      </tp>
      <tp>
        <v>0.56687609999999999</v>
        <stp/>
        <stp>##V3_BDPV12</stp>
        <stp>DGE LN Equity</stp>
        <stp>CHG_PCT_5D</stp>
        <stp>[Index.xlsm]主要產業!R48C30</stp>
        <tr r="AD48" s="2"/>
      </tp>
      <tp>
        <v>4.85623</v>
        <stp/>
        <stp>##V3_BDPV12</stp>
        <stp>DGE LN Equity</stp>
        <stp>CHG_PCT_6M</stp>
        <stp>[Index.xlsm]主要產業!R48C33</stp>
        <tr r="AG48" s="2"/>
      </tp>
      <tp>
        <v>7.4356999999999998</v>
        <stp/>
        <stp>##V3_BDPV12</stp>
        <stp>s5enrs Index</stp>
        <stp>CHG_PCT_1M</stp>
        <stp>[Index.xlsm]主要產業!R12C11</stp>
        <tr r="K12" s="2"/>
      </tp>
      <tp>
        <v>-5.4294310000000001</v>
        <stp/>
        <stp>##V3_BDPV12</stp>
        <stp>s5enrs Index</stp>
        <stp>CHG_PCT_3M</stp>
        <stp>[Index.xlsm]主要產業!R12C12</stp>
        <tr r="L12" s="2"/>
      </tp>
      <tp>
        <v>-2.5324309999999999</v>
        <stp/>
        <stp>##V3_BDPV12</stp>
        <stp>s5enrs Index</stp>
        <stp>CHG_PCT_5D</stp>
        <stp>[Index.xlsm]主要產業!R12C10</stp>
        <tr r="J12" s="2"/>
      </tp>
      <tp>
        <v>-9.8162040000000008</v>
        <stp/>
        <stp>##V3_BDPV12</stp>
        <stp>s5enrs Index</stp>
        <stp>CHG_PCT_6M</stp>
        <stp>[Index.xlsm]主要產業!R12C13</stp>
        <tr r="M12" s="2"/>
      </tp>
      <tp>
        <v>-3.7173310000000002</v>
        <stp/>
        <stp>##V3_BDPV12</stp>
        <stp>s5phrm index</stp>
        <stp>CHG_PCT_6M</stp>
        <stp>[Index.xlsm]主要產業!R10C13</stp>
        <tr r="M10" s="2"/>
      </tp>
      <tp>
        <v>-1.1731910000000001</v>
        <stp/>
        <stp>##V3_BDPV12</stp>
        <stp>s5phrm index</stp>
        <stp>CHG_PCT_5D</stp>
        <stp>[Index.xlsm]主要產業!R10C10</stp>
        <tr r="J10" s="2"/>
      </tp>
      <tp>
        <v>-4.0476700000000001</v>
        <stp/>
        <stp>##V3_BDPV12</stp>
        <stp>s5phrm index</stp>
        <stp>CHG_PCT_3M</stp>
        <stp>[Index.xlsm]主要產業!R10C12</stp>
        <tr r="L10" s="2"/>
      </tp>
      <tp>
        <v>1.3857919999999999</v>
        <stp/>
        <stp>##V3_BDPV12</stp>
        <stp>s5phrm index</stp>
        <stp>CHG_PCT_1M</stp>
        <stp>[Index.xlsm]主要產業!R10C11</stp>
        <tr r="K10" s="2"/>
      </tp>
      <tp>
        <v>-25.471299999999999</v>
        <stp/>
        <stp>##V3_BDPV12</stp>
        <stp>ARS Curncy</stp>
        <stp>CHG_PCT_6M</stp>
        <stp>[Index.xlsm]主要產業!R81C51</stp>
        <tr r="AY81" s="2"/>
      </tp>
      <tp>
        <v>-1.1146</v>
        <stp/>
        <stp>##V3_BDPV12</stp>
        <stp>ARS Curncy</stp>
        <stp>CHG_PCT_5D</stp>
        <stp>[Index.xlsm]主要產業!R81C48</stp>
        <tr r="AV81" s="2"/>
      </tp>
      <tp>
        <v>-25.3796</v>
        <stp/>
        <stp>##V3_BDPV12</stp>
        <stp>ARS Curncy</stp>
        <stp>CHG_PCT_3M</stp>
        <stp>[Index.xlsm]主要產業!R81C50</stp>
        <tr r="AX81" s="2"/>
      </tp>
      <tp>
        <v>-0.25969999999999999</v>
        <stp/>
        <stp>##V3_BDPV12</stp>
        <stp>ARS Curncy</stp>
        <stp>CHG_PCT_1D</stp>
        <stp>[Index.xlsm]主要產業!R81C43</stp>
        <tr r="AQ81" s="2"/>
      </tp>
      <tp>
        <v>-3.3458000000000001</v>
        <stp/>
        <stp>##V3_BDPV12</stp>
        <stp>ARS Curncy</stp>
        <stp>CHG_PCT_1M</stp>
        <stp>[Index.xlsm]主要產業!R81C49</stp>
        <tr r="AW81" s="2"/>
      </tp>
      <tp>
        <v>6.3152317568989984</v>
        <stp/>
        <stp>##V3_BDPV12</stp>
        <stp>TPELEC Index</stp>
        <stp>INTERVAL_Low</stp>
        <stp>[Index.xlsm]主要產業!R42C17</stp>
        <stp>MARKET_DATA_OVERRIDE=PE_RATIO</stp>
        <stp>CALC_INTERVAL=5y</stp>
        <stp>BEST_FPERIOD_OVERRIDE=BF</stp>
        <tr r="Q42" s="2"/>
      </tp>
      <tp>
        <v>13.424980223190452</v>
        <stp/>
        <stp>##V3_BDPV12</stp>
        <stp>TPELMH Index</stp>
        <stp>INTERVAL_Low</stp>
        <stp>[Index.xlsm]主要產業!R37C17</stp>
        <stp>MARKET_DATA_OVERRIDE=PE_RATIO</stp>
        <stp>CALC_INTERVAL=5y</stp>
        <stp>BEST_FPERIOD_OVERRIDE=BF</stp>
        <tr r="Q37" s="2"/>
      </tp>
      <tp>
        <v>3.1000899999999998</v>
        <stp/>
        <stp>##V3_BDPV12</stp>
        <stp>HSCIIT Index</stp>
        <stp>CHG_PCT_1M</stp>
        <stp>[Index.xlsm]主要產業!R63C11</stp>
        <tr r="K63" s="2"/>
      </tp>
      <tp>
        <v>-3.5071249999999998</v>
        <stp/>
        <stp>##V3_BDPV12</stp>
        <stp>HSCIIT Index</stp>
        <stp>CHG_PCT_3M</stp>
        <stp>[Index.xlsm]主要產業!R63C12</stp>
        <tr r="L63" s="2"/>
      </tp>
      <tp>
        <v>-1.100671</v>
        <stp/>
        <stp>##V3_BDPV12</stp>
        <stp>HSCIIT Index</stp>
        <stp>CHG_PCT_5D</stp>
        <stp>[Index.xlsm]主要產業!R63C10</stp>
        <tr r="J63" s="2"/>
      </tp>
      <tp>
        <v>-3.9606910000000002</v>
        <stp/>
        <stp>##V3_BDPV12</stp>
        <stp>HSCIIT Index</stp>
        <stp>CHG_PCT_6M</stp>
        <stp>[Index.xlsm]主要產業!R63C13</stp>
        <tr r="M63" s="2"/>
      </tp>
      <tp>
        <v>0.69842210000000005</v>
        <stp/>
        <stp>##V3_BDPV12</stp>
        <stp>HSCIIN Index</stp>
        <stp>CHG_PCT_3M</stp>
        <stp>[Index.xlsm]主要產業!R62C12</stp>
        <tr r="L62" s="2"/>
      </tp>
      <tp>
        <v>5.6418249999999999</v>
        <stp/>
        <stp>##V3_BDPV12</stp>
        <stp>HSCIIN Index</stp>
        <stp>CHG_PCT_1M</stp>
        <stp>[Index.xlsm]主要產業!R62C11</stp>
        <tr r="K62" s="2"/>
      </tp>
      <tp>
        <v>-0.30109999999999998</v>
        <stp/>
        <stp>##V3_BDPV12</stp>
        <stp>HKD Curncy</stp>
        <stp>PR064</stp>
        <stp>[Index.xlsm]主要產業!R76C52</stp>
        <tr r="AZ76" s="2"/>
      </tp>
      <tp>
        <v>-8.8591470000000001</v>
        <stp/>
        <stp>##V3_BDPV12</stp>
        <stp>HSCIIN Index</stp>
        <stp>CHG_PCT_6M</stp>
        <stp>[Index.xlsm]主要產業!R62C13</stp>
        <tr r="M62" s="2"/>
      </tp>
      <tp>
        <v>-3.5558689999999999</v>
        <stp/>
        <stp>##V3_BDPV12</stp>
        <stp>HSCIIN Index</stp>
        <stp>CHG_PCT_5D</stp>
        <stp>[Index.xlsm]主要產業!R62C10</stp>
        <tr r="J62" s="2"/>
      </tp>
      <tp>
        <v>1.2422359999999999</v>
        <stp/>
        <stp>##V3_BDPV12</stp>
        <stp>BVLX INDEX</stp>
        <stp>PR064</stp>
        <stp>[Index.xlsm]主要產業!R12C52</stp>
        <tr r="AZ12" s="2"/>
      </tp>
      <tp>
        <v>1.4798290000000001</v>
        <stp/>
        <stp>##V3_BDPV12</stp>
        <stp>SX86P INDEX</stp>
        <stp>CHG_PCT_1YR</stp>
        <stp>[Index.xlsm]主要產業!R34C15</stp>
        <tr r="O34" s="2"/>
      </tp>
      <tp>
        <v>8102.03</v>
        <stp/>
        <stp>##V3_BDPV12</stp>
        <stp>XBTUSD BGN Curncy</stp>
        <stp>PX_LAST</stp>
        <stp>[Index.xlsm]主要產業!R84C42</stp>
        <tr r="AP84" s="2"/>
      </tp>
      <tp>
        <v>111.75</v>
        <stp/>
        <stp>##V3_BDPV12</stp>
        <stp>CAT US Equity</stp>
        <stp>LOW_52WEEK</stp>
        <stp>[Index.xlsm]主要產業!R31C28</stp>
        <tr r="AB31" s="2"/>
      </tp>
      <tp>
        <v>-3.7427250000000001</v>
        <stp/>
        <stp>##V3_BDPV12</stp>
        <stp>TEF SM Equity</stp>
        <stp>CHG_PCT_3M</stp>
        <stp>[Index.xlsm]主要產業!R66C32</stp>
        <tr r="AF66" s="2"/>
      </tp>
      <tp>
        <v>13.03923</v>
        <stp/>
        <stp>##V3_BDPV12</stp>
        <stp>TEF SM Equity</stp>
        <stp>CHG_PCT_1M</stp>
        <stp>[Index.xlsm]主要產業!R66C31</stp>
        <tr r="AE66" s="2"/>
      </tp>
      <tp>
        <v>0.78374460000000001</v>
        <stp/>
        <stp>##V3_BDPV12</stp>
        <stp>TEF SM Equity</stp>
        <stp>CHG_PCT_1D</stp>
        <stp>[Index.xlsm]主要產業!R66C25</stp>
        <tr r="Y66" s="2"/>
      </tp>
      <tp>
        <v>-8.5112009999999998</v>
        <stp/>
        <stp>##V3_BDPV12</stp>
        <stp>TEF SM Equity</stp>
        <stp>CHG_PCT_6M</stp>
        <stp>[Index.xlsm]主要產業!R66C33</stp>
        <tr r="AG66" s="2"/>
      </tp>
      <tp>
        <v>2.813148</v>
        <stp/>
        <stp>##V3_BDPV12</stp>
        <stp>TEF SM Equity</stp>
        <stp>CHG_PCT_5D</stp>
        <stp>[Index.xlsm]主要產業!R66C30</stp>
        <tr r="AD66" s="2"/>
      </tp>
      <tp>
        <v>16.19999329795057</v>
        <stp/>
        <stp>##V3_BDPV12</stp>
        <stp>s5FDSR index</stp>
        <stp>INTERVAL_Low</stp>
        <stp>[Index.xlsm]主要產業!R17C17</stp>
        <stp>MARKET_DATA_OVERRIDE=PE_RATIO</stp>
        <stp>CALC_INTERVAL=5y</stp>
        <stp>BEST_FPERIOD_OVERRIDE=BF</stp>
        <tr r="Q17" s="2"/>
      </tp>
      <tp>
        <v>1.4258999999999999</v>
        <stp/>
        <stp>##V3_BDPV12</stp>
        <stp>usgg2yr Index</stp>
        <stp>LOW_52WEEK</stp>
        <stp>[Index.xlsm]主要產業!R56C46</stp>
        <tr r="AT56" s="2"/>
      </tp>
      <tp>
        <v>11.352378592710568</v>
        <stp/>
        <stp>##V3_BDPV12</stp>
        <stp>KOSPCHEM Index</stp>
        <stp>INTERVAL_Low</stp>
        <stp>[Index.xlsm]主要產業!R45C17</stp>
        <stp>MARKET_DATA_OVERRIDE=PE_RATIO</stp>
        <stp>CALC_INTERVAL=5y</stp>
        <stp>BEST_FPERIOD_OVERRIDE=BF</stp>
        <tr r="Q45" s="2"/>
      </tp>
      <tp>
        <v>57.54</v>
        <stp/>
        <stp>##V3_BDPV12</stp>
        <stp>SU FP Equity</stp>
        <stp>LOW_52WEEK</stp>
        <stp>[Index.xlsm]主要產業!R40C28</stp>
        <tr r="AB40" s="2"/>
      </tp>
      <tp>
        <v>64.67</v>
        <stp/>
        <stp>##V3_BDPV12</stp>
        <stp>PM US Equity</stp>
        <stp>LOW_52WEEK</stp>
        <stp>[Index.xlsm]主要產業!R24C28</stp>
        <tr r="AB24" s="2"/>
      </tp>
      <tp>
        <v>34.214500000000001</v>
        <stp/>
        <stp>##V3_BDPV12</stp>
        <stp>TSM Equity</stp>
        <stp>LOW_52WEEK</stp>
        <stp>[Index.xlsm]主要產業!R86C46</stp>
        <tr r="AT86" s="2"/>
      </tp>
      <tp>
        <v>406.70000000000005</v>
        <stp/>
        <stp>##V3_BDPV12</stp>
        <stp>tw1 elec Index</stp>
        <stp>PX_LAST</stp>
        <stp>[Index.xlsm]主要產業!R95C42</stp>
        <tr r="AP95" s="2"/>
      </tp>
      <tp>
        <v>13692.5</v>
        <stp/>
        <stp>##V3_BDPV12</stp>
        <stp>xu1 elec Index</stp>
        <stp>PX_LAST</stp>
        <stp>[Index.xlsm]主要產業!R94C42</stp>
        <tr r="AP94" s="2"/>
      </tp>
      <tp>
        <v>71.739999999999995</v>
        <stp/>
        <stp>##V3_BDPV12</stp>
        <stp>SAN FP Equity</stp>
        <stp>LOW_52WEEK</stp>
        <stp>[Index.xlsm]主要產業!R38C28</stp>
        <tr r="AB38" s="2"/>
      </tp>
      <tp>
        <v>105.94</v>
        <stp/>
        <stp>##V3_BDPV12</stp>
        <stp>IBM US Equity</stp>
        <stp>LOW_52WEEK</stp>
        <stp>[Index.xlsm]主要產業!R20C28</stp>
        <tr r="AB20" s="2"/>
      </tp>
      <tp>
        <v>11.95491</v>
        <stp/>
        <stp>##V3_BDPV12</stp>
        <stp>TXN US Equity</stp>
        <stp>CHG_PCT_3M</stp>
        <stp>[Index.xlsm]主要產業!R22C32</stp>
        <tr r="AF22" s="2"/>
      </tp>
      <tp>
        <v>5.2930070000000002</v>
        <stp/>
        <stp>##V3_BDPV12</stp>
        <stp>TXN US Equity</stp>
        <stp>CHG_PCT_1M</stp>
        <stp>[Index.xlsm]主要產業!R22C31</stp>
        <tr r="AE22" s="2"/>
      </tp>
      <tp>
        <v>0.28965089999999999</v>
        <stp/>
        <stp>##V3_BDPV12</stp>
        <stp>TXN US Equity</stp>
        <stp>CHG_PCT_1D</stp>
        <stp>[Index.xlsm]主要產業!R22C25</stp>
        <tr r="Y22" s="2"/>
      </tp>
      <tp>
        <v>18.25902</v>
        <stp/>
        <stp>##V3_BDPV12</stp>
        <stp>TXN US Equity</stp>
        <stp>CHG_PCT_6M</stp>
        <stp>[Index.xlsm]主要產業!R22C33</stp>
        <tr r="AG22" s="2"/>
      </tp>
      <tp>
        <v>-0.55887600000000004</v>
        <stp/>
        <stp>##V3_BDPV12</stp>
        <stp>TXN US Equity</stp>
        <stp>CHG_PCT_5D</stp>
        <stp>[Index.xlsm]主要產業!R22C30</stp>
        <tr r="AD22" s="2"/>
      </tp>
      <tp>
        <v>65.44</v>
        <stp/>
        <stp>##V3_BDPV12</stp>
        <stp>ABT US Equity</stp>
        <stp>LOW_52WEEK</stp>
        <stp>[Index.xlsm]主要產業!R18C28</stp>
        <tr r="AB18" s="2"/>
      </tp>
      <tp>
        <v>7.8667179999999997</v>
        <stp/>
        <stp>##V3_BDPV12</stp>
        <stp>PCOMP INDEX</stp>
        <stp>CHG_PCT_1YR</stp>
        <stp>[Index.xlsm]主要產業!R31C53</stp>
        <tr r="BA31" s="2"/>
      </tp>
      <tp>
        <v>-0.12330000000000001</v>
        <stp/>
        <stp>##V3_BDPV12</stp>
        <stp>usggt10y Index</stp>
        <stp>LOW_52WEEK</stp>
        <stp>[Index.xlsm]主要產業!R62C46</stp>
        <tr r="AT62" s="2"/>
      </tp>
      <tp>
        <v>9.8538237727929889</v>
        <stp/>
        <stp>##V3_BDPV12</stp>
        <stp>KOSPBMET Index</stp>
        <stp>INTERVAL_Low</stp>
        <stp>[Index.xlsm]主要產業!R47C17</stp>
        <stp>MARKET_DATA_OVERRIDE=PE_RATIO</stp>
        <stp>CALC_INTERVAL=5y</stp>
        <stp>BEST_FPERIOD_OVERRIDE=BF</stp>
        <tr r="Q47" s="2"/>
      </tp>
      <tp>
        <v>16.61664</v>
        <stp/>
        <stp>##V3_BDPV12</stp>
        <stp>KO US Equity</stp>
        <stp>CHG_PCT_6M</stp>
        <stp>[Index.xlsm]主要產業!R13C33</stp>
        <tr r="AG13" s="2"/>
      </tp>
      <tp>
        <v>-0.23844460000000001</v>
        <stp/>
        <stp>##V3_BDPV12</stp>
        <stp>KO US Equity</stp>
        <stp>CHG_PCT_5D</stp>
        <stp>[Index.xlsm]主要產業!R13C30</stp>
        <tr r="AD13" s="2"/>
      </tp>
      <tp>
        <v>6.3967159999999996</v>
        <stp/>
        <stp>##V3_BDPV12</stp>
        <stp>KO US Equity</stp>
        <stp>CHG_PCT_3M</stp>
        <stp>[Index.xlsm]主要產業!R13C32</stp>
        <tr r="AF13" s="2"/>
      </tp>
      <tp>
        <v>0.40612890000000001</v>
        <stp/>
        <stp>##V3_BDPV12</stp>
        <stp>KO US Equity</stp>
        <stp>CHG_PCT_1D</stp>
        <stp>[Index.xlsm]主要產業!R13C25</stp>
        <tr r="Y13" s="2"/>
      </tp>
      <tp>
        <v>-0.27502919999999997</v>
        <stp/>
        <stp>##V3_BDPV12</stp>
        <stp>KO US Equity</stp>
        <stp>CHG_PCT_1M</stp>
        <stp>[Index.xlsm]主要產業!R13C31</stp>
        <tr r="AE13" s="2"/>
      </tp>
      <tp>
        <v>161.82</v>
        <stp/>
        <stp>##V3_BDPV12</stp>
        <stp>MCD US Equity</stp>
        <stp>LOW_52WEEK</stp>
        <stp>[Index.xlsm]主要產業!R16C28</stp>
        <tr r="AB16" s="2"/>
      </tp>
      <tp>
        <v>5.7770000000000001</v>
        <stp/>
        <stp>##V3_BDPV12</stp>
        <stp>DBK GR Equity</stp>
        <stp>LOW_52WEEK</stp>
        <stp>[Index.xlsm]主要產業!R63C28</stp>
        <tr r="AB63" s="2"/>
      </tp>
      <tp>
        <v>-5.7276759999999998</v>
        <stp/>
        <stp>##V3_BDPV12</stp>
        <stp>HSCCI INDEX</stp>
        <stp>CHG_PCT_1YR</stp>
        <stp>[Index.xlsm]主要產業!R21C53</stp>
        <tr r="BA21" s="2"/>
      </tp>
      <tp>
        <v>-6.6432229999999999</v>
        <stp/>
        <stp>##V3_BDPV12</stp>
        <stp>HSCEI INDEX</stp>
        <stp>CHG_PCT_1YR</stp>
        <stp>[Index.xlsm]主要產業!R20C53</stp>
        <tr r="BA20" s="2"/>
      </tp>
      <tp>
        <v>1.2088974854932302</v>
        <stp/>
        <stp>##V3_BDPV12</stp>
        <stp>lmpbds03 comdty</stp>
        <stp>CHG_PCT_1M</stp>
        <stp>[Index.xlsm]主要產業!R48C49</stp>
        <tr r="AW48" s="2"/>
      </tp>
      <tp>
        <v>-0.66445182724252494</v>
        <stp/>
        <stp>##V3_BDPV12</stp>
        <stp>lmpbds03 comdty</stp>
        <stp>CHG_PCT_1D</stp>
        <stp>[Index.xlsm]主要產業!R48C43</stp>
        <tr r="AQ48" s="2"/>
      </tp>
      <tp>
        <v>8.5018144116122336</v>
        <stp/>
        <stp>##V3_BDPV12</stp>
        <stp>lmpbds03 comdty</stp>
        <stp>CHG_PCT_3M</stp>
        <stp>[Index.xlsm]主要產業!R48C50</stp>
        <tr r="AX48" s="2"/>
      </tp>
      <tp>
        <v>-0.1431297709923664</v>
        <stp/>
        <stp>##V3_BDPV12</stp>
        <stp>lmpbds03 comdty</stp>
        <stp>CHG_PCT_5D</stp>
        <stp>[Index.xlsm]主要產業!R48C48</stp>
        <tr r="AV48" s="2"/>
      </tp>
      <tp>
        <v>5.0175614651279474</v>
        <stp/>
        <stp>##V3_BDPV12</stp>
        <stp>lmpbds03 comdty</stp>
        <stp>CHG_PCT_6M</stp>
        <stp>[Index.xlsm]主要產業!R48C51</stp>
        <tr r="AY48" s="2"/>
      </tp>
      <tp>
        <v>-18.086079999999999</v>
        <stp/>
        <stp>##V3_BDPV12</stp>
        <stp>PFE US Equity</stp>
        <stp>CHG_PCT_1YR</stp>
        <stp>[Index.xlsm]主要產業!R14C35</stp>
        <tr r="AI14" s="2"/>
      </tp>
      <tp>
        <v>9.5516000000000005</v>
        <stp/>
        <stp>##V3_BDPV12</stp>
        <stp>DTE GR Equity</stp>
        <stp>CHG_PCT_1YR</stp>
        <stp>[Index.xlsm]主要產業!R60C35</stp>
        <tr r="AI60" s="2"/>
      </tp>
      <tp>
        <v>-34.463720000000002</v>
        <stp/>
        <stp>##V3_BDPV12</stp>
        <stp>GLE FP Equity</stp>
        <stp>CHG_PCT_1YR</stp>
        <stp>[Index.xlsm]主要產業!R43C35</stp>
        <tr r="AI43" s="2"/>
      </tp>
      <tp>
        <v>21.668209999999998</v>
        <stp/>
        <stp>##V3_BDPV12</stp>
        <stp>DGE LN Equity</stp>
        <stp>CHG_PCT_1YR</stp>
        <stp>[Index.xlsm]主要產業!R48C35</stp>
        <tr r="AI48" s="2"/>
      </tp>
      <tp>
        <v>-13.718970000000001</v>
        <stp/>
        <stp>##V3_BDPV12</stp>
        <stp>SIE GR Equity</stp>
        <stp>CHG_PCT_1YR</stp>
        <stp>[Index.xlsm]主要產業!R57C35</stp>
        <tr r="AI57" s="2"/>
      </tp>
      <tp>
        <v>10.119479999999999</v>
        <stp/>
        <stp>##V3_BDPV12</stp>
        <stp>NKE US Equity</stp>
        <stp>CHG_PCT_1YR</stp>
        <stp>[Index.xlsm]主要產業!R23C35</stp>
        <tr r="AI23" s="2"/>
      </tp>
      <tp>
        <v>-8.2951149999999991</v>
        <stp/>
        <stp>##V3_BDPV12</stp>
        <stp>TWSEEAW Index</stp>
        <stp>CHG_PCT_6M</stp>
        <stp>[Index.xlsm]主要產業!R94C13</stp>
        <tr r="M94" s="2"/>
      </tp>
      <tp>
        <v>0.152443</v>
        <stp/>
        <stp>##V3_BDPV12</stp>
        <stp>TWSEEAW Index</stp>
        <stp>CHG_PCT_5D</stp>
        <stp>[Index.xlsm]主要產業!R94C10</stp>
        <tr r="J94" s="2"/>
      </tp>
      <tp>
        <v>-0.17364450000000001</v>
        <stp/>
        <stp>##V3_BDPV12</stp>
        <stp>TWSEEAW Index</stp>
        <stp>CHG_PCT_3M</stp>
        <stp>[Index.xlsm]主要產業!R94C12</stp>
        <tr r="L94" s="2"/>
      </tp>
      <tp>
        <v>5.5300589999999996</v>
        <stp/>
        <stp>##V3_BDPV12</stp>
        <stp>TWSEEAW Index</stp>
        <stp>CHG_PCT_1M</stp>
        <stp>[Index.xlsm]主要產業!R94C11</stp>
        <tr r="K94" s="2"/>
      </tp>
      <tp>
        <v>0.16903000000000001</v>
        <stp/>
        <stp>##V3_BDPV12</stp>
        <stp>AS51 INDEX</stp>
        <stp>PR064</stp>
        <stp>[Index.xlsm]主要產業!R16C52</stp>
        <tr r="AZ16" s="2"/>
      </tp>
      <tp>
        <v>5.3724788968288282</v>
        <stp/>
        <stp>##V3_BDPV12</stp>
        <stp>KOSPELEC Index</stp>
        <stp>INTERVAL_Low</stp>
        <stp>[Index.xlsm]主要產業!R43C17</stp>
        <stp>MARKET_DATA_OVERRIDE=PE_RATIO</stp>
        <stp>CALC_INTERVAL=5y</stp>
        <stp>BEST_FPERIOD_OVERRIDE=BF</stp>
        <tr r="Q43" s="2"/>
      </tp>
      <tp>
        <v>0.82177080000000002</v>
        <stp/>
        <stp>##V3_BDPV12</stp>
        <stp>ASE INDEX</stp>
        <stp>PR064</stp>
        <stp>[Index.xlsm]主要產業!R15C52</stp>
        <tr r="AZ15" s="2"/>
      </tp>
      <tp>
        <v>1.25</v>
        <stp/>
        <stp>##V3_BDPV12</stp>
        <stp>OR FP Equity</stp>
        <stp>CHG_PCT_3M</stp>
        <stp>[Index.xlsm]主要產業!R39C32</stp>
        <tr r="AF39" s="2"/>
      </tp>
      <tp>
        <v>229.2</v>
        <stp/>
        <stp>##V3_BDPV12</stp>
        <stp>RO SW Equity</stp>
        <stp>LOW_52WEEK</stp>
        <stp>[Index.xlsm]主要產業!R73C28</stp>
        <tr r="AB73" s="2"/>
      </tp>
      <tp>
        <v>2.8676750000000002</v>
        <stp/>
        <stp>##V3_BDPV12</stp>
        <stp>OR FP Equity</stp>
        <stp>CHG_PCT_1M</stp>
        <stp>[Index.xlsm]主要產業!R39C31</stp>
        <tr r="AE39" s="2"/>
      </tp>
      <tp>
        <v>1.9488430000000001</v>
        <stp/>
        <stp>##V3_BDPV12</stp>
        <stp>OR FP Equity</stp>
        <stp>CHG_PCT_1D</stp>
        <stp>[Index.xlsm]主要產業!R39C25</stp>
        <tr r="Y39" s="2"/>
      </tp>
      <tp>
        <v>5.3271839999999999</v>
        <stp/>
        <stp>##V3_BDPV12</stp>
        <stp>OR FP Equity</stp>
        <stp>CHG_PCT_6M</stp>
        <stp>[Index.xlsm]主要產業!R39C33</stp>
        <tr r="AG39" s="2"/>
      </tp>
      <tp>
        <v>1.5365949999999999</v>
        <stp/>
        <stp>##V3_BDPV12</stp>
        <stp>OR FP Equity</stp>
        <stp>CHG_PCT_5D</stp>
        <stp>[Index.xlsm]主要產業!R39C30</stp>
        <tr r="AD39" s="2"/>
      </tp>
      <tp>
        <v>3.5863999999999998</v>
        <stp/>
        <stp>##V3_BDPV12</stp>
        <stp>BRL Curncy</stp>
        <stp>LOW_52WEEK</stp>
        <stp>[Index.xlsm]主要產業!R78C46</stp>
        <tr r="AT78" s="2"/>
      </tp>
      <tp>
        <v>-2.4352999999999998</v>
        <stp/>
        <stp>##V3_BDPV12</stp>
        <stp>INR Curncy</stp>
        <stp>PR064</stp>
        <stp>[Index.xlsm]主要產業!R82C52</stp>
        <tr r="AZ82" s="2"/>
      </tp>
      <tp>
        <v>2.0581420000000001</v>
        <stp/>
        <stp>##V3_BDPV12</stp>
        <stp>TWSEPP Index</stp>
        <stp>CHG_PCT_1M</stp>
        <stp>[Index.xlsm]主要產業!R95C11</stp>
        <tr r="K95" s="2"/>
      </tp>
      <tp>
        <v>-3.5400999999999998</v>
        <stp/>
        <stp>##V3_BDPV12</stp>
        <stp>CNY Curncy</stp>
        <stp>PR064</stp>
        <stp>[Index.xlsm]主要產業!R77C52</stp>
        <tr r="AZ77" s="2"/>
      </tp>
      <tp>
        <v>-3.7813789999999998</v>
        <stp/>
        <stp>##V3_BDPV12</stp>
        <stp>TWSEPP Index</stp>
        <stp>CHG_PCT_3M</stp>
        <stp>[Index.xlsm]主要產業!R95C12</stp>
        <tr r="L95" s="2"/>
      </tp>
      <tp>
        <v>-1.7621640000000001</v>
        <stp/>
        <stp>##V3_BDPV12</stp>
        <stp>TWSEPP Index</stp>
        <stp>CHG_PCT_5D</stp>
        <stp>[Index.xlsm]主要產業!R95C10</stp>
        <tr r="J95" s="2"/>
      </tp>
      <tp>
        <v>-7.5341810000000002</v>
        <stp/>
        <stp>##V3_BDPV12</stp>
        <stp>TWSEPP Index</stp>
        <stp>CHG_PCT_6M</stp>
        <stp>[Index.xlsm]主要產業!R95C13</stp>
        <tr r="M95" s="2"/>
      </tp>
      <tp>
        <v>1190.425</v>
        <stp/>
        <stp>##V3_BDPV12</stp>
        <stp>EMUSTRUU Index</stp>
        <stp>HIGH_52WEEK</stp>
        <stp>[Index.xlsm]主要產業!R35C44</stp>
        <tr r="AR35" s="2"/>
      </tp>
      <tp>
        <v>28.257729999999999</v>
        <stp/>
        <stp>##V3_BDPV12</stp>
        <stp>MCD US Equity</stp>
        <stp>CHG_PCT_1YR</stp>
        <stp>[Index.xlsm]主要產業!R16C35</stp>
        <tr r="AI16" s="2"/>
      </tp>
      <tp>
        <v>-5.4520999999999997</v>
        <stp/>
        <stp>##V3_BDPV12</stp>
        <stp>KRW Curncy</stp>
        <stp>CHG_PCT_6M</stp>
        <stp>[Index.xlsm]主要產業!R71C51</stp>
        <tr r="AY71" s="2"/>
      </tp>
      <tp>
        <v>-0.4279</v>
        <stp/>
        <stp>##V3_BDPV12</stp>
        <stp>KRW Curncy</stp>
        <stp>CHG_PCT_5D</stp>
        <stp>[Index.xlsm]主要產業!R71C48</stp>
        <tr r="AV71" s="2"/>
      </tp>
      <tp>
        <v>-3.5118</v>
        <stp/>
        <stp>##V3_BDPV12</stp>
        <stp>KRW Curncy</stp>
        <stp>CHG_PCT_3M</stp>
        <stp>[Index.xlsm]主要產業!R71C50</stp>
        <tr r="AX71" s="2"/>
      </tp>
      <tp>
        <v>0</v>
        <stp/>
        <stp>##V3_BDPV12</stp>
        <stp>KRW Curncy</stp>
        <stp>CHG_PCT_1D</stp>
        <stp>[Index.xlsm]主要產業!R71C43</stp>
        <tr r="AQ71" s="2"/>
      </tp>
      <tp>
        <v>1.5815999999999999</v>
        <stp/>
        <stp>##V3_BDPV12</stp>
        <stp>KRW Curncy</stp>
        <stp>CHG_PCT_1M</stp>
        <stp>[Index.xlsm]主要產業!R71C49</stp>
        <tr r="AW71" s="2"/>
      </tp>
      <tp>
        <v>-0.86066909999999996</v>
        <stp/>
        <stp>##V3_BDPV12</stp>
        <stp>MS US Equity</stp>
        <stp>CHG_PCT_3M</stp>
        <stp>[Index.xlsm]主要產業!R32C32</stp>
        <tr r="AF32" s="2"/>
      </tp>
      <tp>
        <v>-0.97583640000000005</v>
        <stp/>
        <stp>##V3_BDPV12</stp>
        <stp>MS US Equity</stp>
        <stp>CHG_PCT_1D</stp>
        <stp>[Index.xlsm]主要產業!R32C25</stp>
        <tr r="Y32" s="2"/>
      </tp>
      <tp>
        <v>6.1254980000000003</v>
        <stp/>
        <stp>##V3_BDPV12</stp>
        <stp>MS US Equity</stp>
        <stp>CHG_PCT_1M</stp>
        <stp>[Index.xlsm]主要產業!R32C31</stp>
        <tr r="AE32" s="2"/>
      </tp>
      <tp>
        <v>1.7669509999999999</v>
        <stp/>
        <stp>##V3_BDPV12</stp>
        <stp>MS US Equity</stp>
        <stp>CHG_PCT_6M</stp>
        <stp>[Index.xlsm]主要產業!R32C33</stp>
        <tr r="AG32" s="2"/>
      </tp>
      <tp>
        <v>-3.1803729999999999</v>
        <stp/>
        <stp>##V3_BDPV12</stp>
        <stp>MS US Equity</stp>
        <stp>CHG_PCT_5D</stp>
        <stp>[Index.xlsm]主要產業!R32C30</stp>
        <tr r="AD32" s="2"/>
      </tp>
      <tp>
        <v>2.307347</v>
        <stp/>
        <stp>##V3_BDPV12</stp>
        <stp>HSCIMT Index</stp>
        <stp>CHG_PCT_1M</stp>
        <stp>[Index.xlsm]主要產業!R64C11</stp>
        <tr r="K64" s="2"/>
      </tp>
      <tp>
        <v>-12.73114</v>
        <stp/>
        <stp>##V3_BDPV12</stp>
        <stp>HSCIMT Index</stp>
        <stp>CHG_PCT_3M</stp>
        <stp>[Index.xlsm]主要產業!R64C12</stp>
        <tr r="L64" s="2"/>
      </tp>
      <tp>
        <v>-3.6371329999999999</v>
        <stp/>
        <stp>##V3_BDPV12</stp>
        <stp>HSCIMT Index</stp>
        <stp>CHG_PCT_5D</stp>
        <stp>[Index.xlsm]主要產業!R64C10</stp>
        <tr r="J64" s="2"/>
      </tp>
      <tp>
        <v>-21.43309</v>
        <stp/>
        <stp>##V3_BDPV12</stp>
        <stp>HSCIMT Index</stp>
        <stp>CHG_PCT_6M</stp>
        <stp>[Index.xlsm]主要產業!R64C13</stp>
        <tr r="M64" s="2"/>
      </tp>
      <tp>
        <v>37.575000000000003</v>
        <stp/>
        <stp>##V3_BDPV12</stp>
        <stp>EEM US Equity</stp>
        <stp>LOW_52WEEK</stp>
        <stp>[Index.xlsm]主要產業!R89C46</stp>
        <tr r="AT89" s="2"/>
      </tp>
      <tp>
        <v>-9.8736320000000006</v>
        <stp/>
        <stp>##V3_BDPV12</stp>
        <stp>SAN SM Equity</stp>
        <stp>CHG_PCT_3M</stp>
        <stp>[Index.xlsm]主要產業!R64C32</stp>
        <tr r="AF64" s="2"/>
      </tp>
      <tp>
        <v>4.9632050000000003</v>
        <stp/>
        <stp>##V3_BDPV12</stp>
        <stp>SAN SM Equity</stp>
        <stp>CHG_PCT_1M</stp>
        <stp>[Index.xlsm]主要產業!R64C31</stp>
        <tr r="AE64" s="2"/>
      </tp>
      <tp>
        <v>-0.15097450000000001</v>
        <stp/>
        <stp>##V3_BDPV12</stp>
        <stp>SAN SM Equity</stp>
        <stp>CHG_PCT_1D</stp>
        <stp>[Index.xlsm]主要產業!R64C25</stp>
        <tr r="Y64" s="2"/>
      </tp>
      <tp>
        <v>104.53</v>
        <stp/>
        <stp>##V3_BDPV12</stp>
        <stp>PEP US Equity</stp>
        <stp>LOW_52WEEK</stp>
        <stp>[Index.xlsm]主要產業!R15C28</stp>
        <tr r="AB15" s="2"/>
      </tp>
      <tp>
        <v>-12.39162</v>
        <stp/>
        <stp>##V3_BDPV12</stp>
        <stp>SAN SM Equity</stp>
        <stp>CHG_PCT_6M</stp>
        <stp>[Index.xlsm]主要產業!R64C33</stp>
        <tr r="AG64" s="2"/>
      </tp>
      <tp>
        <v>-2.3096549999999998</v>
        <stp/>
        <stp>##V3_BDPV12</stp>
        <stp>SAN SM Equity</stp>
        <stp>CHG_PCT_5D</stp>
        <stp>[Index.xlsm]主要產業!R64C30</stp>
        <tr r="AD64" s="2"/>
      </tp>
      <tp>
        <v>-2.801831</v>
        <stp/>
        <stp>##V3_BDPV12</stp>
        <stp>kospi INDEX</stp>
        <stp>CHG_PCT_3M</stp>
        <stp>[Index.xlsm]主要產業!R18C50</stp>
        <tr r="AX18" s="2"/>
      </tp>
      <tp>
        <v>5.4500119999999999E-2</v>
        <stp/>
        <stp>##V3_BDPV12</stp>
        <stp>kospi INDEX</stp>
        <stp>CHG_PCT_1D</stp>
        <stp>[Index.xlsm]主要產業!R18C43</stp>
        <tr r="AQ18" s="2"/>
      </tp>
      <tp>
        <v>7.7896729999999996</v>
        <stp/>
        <stp>##V3_BDPV12</stp>
        <stp>kospi INDEX</stp>
        <stp>CHG_PCT_1M</stp>
        <stp>[Index.xlsm]主要產業!R18C49</stp>
        <tr r="AW18" s="2"/>
      </tp>
      <tp>
        <v>-3.3137319999999999</v>
        <stp/>
        <stp>##V3_BDPV12</stp>
        <stp>kospi INDEX</stp>
        <stp>CHG_PCT_6M</stp>
        <stp>[Index.xlsm]主要產業!R18C51</stp>
        <tr r="AY18" s="2"/>
      </tp>
      <tp>
        <v>-0.8128069</v>
        <stp/>
        <stp>##V3_BDPV12</stp>
        <stp>kospi INDEX</stp>
        <stp>CHG_PCT_5D</stp>
        <stp>[Index.xlsm]主要產業!R18C48</stp>
        <tr r="AV18" s="2"/>
      </tp>
      <tp>
        <v>-3.4128889999999998</v>
        <stp/>
        <stp>##V3_BDPV12</stp>
        <stp>STI INDEX</stp>
        <stp>CHG_PCT_1YR</stp>
        <stp>[Index.xlsm]主要產業!R29C53</stp>
        <tr r="BA29" s="2"/>
      </tp>
      <tp>
        <v>-6.0389670000000004</v>
        <stp/>
        <stp>##V3_BDPV12</stp>
        <stp>HSI INDEX</stp>
        <stp>CHG_PCT_1YR</stp>
        <stp>[Index.xlsm]主要產業!R19C53</stp>
        <tr r="BA19" s="2"/>
      </tp>
      <tp>
        <v>5.0785499999999999</v>
        <stp/>
        <stp>##V3_BDPV12</stp>
        <stp>JCI INDEX</stp>
        <stp>CHG_PCT_1YR</stp>
        <stp>[Index.xlsm]主要產業!R30C53</stp>
        <tr r="BA30" s="2"/>
      </tp>
      <tp>
        <v>99.132000000000005</v>
        <stp/>
        <stp>##V3_BDPV12</stp>
        <stp>DXY Index</stp>
        <stp>PX_LAST</stp>
        <stp>[Index.xlsm]主要產業!R68C42</stp>
        <tr r="AP68" s="2"/>
      </tp>
      <tp>
        <v>176.22800000000001</v>
        <stp/>
        <stp>##V3_BDPV12</stp>
        <stp>CRY Index</stp>
        <stp>PX_LAST</stp>
        <stp>[Index.xlsm]主要產業!R42C42</stp>
        <tr r="AP42" s="2"/>
      </tp>
      <tp>
        <v>-4.9787939999999997</v>
        <stp/>
        <stp>##V3_BDPV12</stp>
        <stp>SH000909 Index</stp>
        <stp>PR064</stp>
        <stp>[Index.xlsm]主要產業!R54C14</stp>
        <tr r="N54" s="2"/>
      </tp>
      <tp>
        <v>-7.0053229999999997</v>
        <stp/>
        <stp>##V3_BDPV12</stp>
        <stp>SH000908 Index</stp>
        <stp>PR064</stp>
        <stp>[Index.xlsm]主要產業!R53C14</stp>
        <tr r="N53" s="2"/>
      </tp>
      <tp>
        <v>7.3757200000000003</v>
        <stp/>
        <stp>##V3_BDPV12</stp>
        <stp>TWSESCI Index</stp>
        <stp>CHG_PCT_1M</stp>
        <stp>[Index.xlsm]主要產業!R70C11</stp>
        <tr r="K70" s="2"/>
      </tp>
      <tp>
        <v>3.4293719999999999</v>
        <stp/>
        <stp>##V3_BDPV12</stp>
        <stp>TWSEECI Index</stp>
        <stp>CHG_PCT_1M</stp>
        <stp>[Index.xlsm]主要產業!R74C11</stp>
        <tr r="K74" s="2"/>
      </tp>
      <tp>
        <v>20.538150000000002</v>
        <stp/>
        <stp>##V3_BDPV12</stp>
        <stp>ROG SW Equity</stp>
        <stp>CHG_PCT_1YR</stp>
        <stp>[Index.xlsm]主要產業!R69C35</stp>
        <tr r="AI69" s="2"/>
      </tp>
      <tp>
        <v>-3.5449310000000001</v>
        <stp/>
        <stp>##V3_BDPV12</stp>
        <stp>SH000910 Index</stp>
        <stp>PR064</stp>
        <stp>[Index.xlsm]主要產業!R49C14</stp>
        <tr r="N49" s="2"/>
      </tp>
      <tp>
        <v>-1.2844309999999999E-2</v>
        <stp/>
        <stp>##V3_BDPV12</stp>
        <stp>SH000911 Index</stp>
        <stp>PR064</stp>
        <stp>[Index.xlsm]主要產業!R51C14</stp>
        <tr r="N51" s="2"/>
      </tp>
      <tp>
        <v>7.2432540000000003</v>
        <stp/>
        <stp>##V3_BDPV12</stp>
        <stp>SH000913 Index</stp>
        <stp>PR064</stp>
        <stp>[Index.xlsm]主要產業!R55C14</stp>
        <tr r="N55" s="2"/>
      </tp>
      <tp>
        <v>4.8594080000000002</v>
        <stp/>
        <stp>##V3_BDPV12</stp>
        <stp>SH000912 Index</stp>
        <stp>PR064</stp>
        <stp>[Index.xlsm]主要產業!R50C14</stp>
        <tr r="N50" s="2"/>
      </tp>
      <tp>
        <v>-2.7121189999999999</v>
        <stp/>
        <stp>##V3_BDPV12</stp>
        <stp>SH000914 Index</stp>
        <stp>PR064</stp>
        <stp>[Index.xlsm]主要產業!R48C14</stp>
        <tr r="N48" s="2"/>
      </tp>
      <tp>
        <v>14.16272</v>
        <stp/>
        <stp>##V3_BDPV12</stp>
        <stp>SH000915 Index</stp>
        <stp>PR064</stp>
        <stp>[Index.xlsm]主要產業!R52C14</stp>
        <tr r="N52" s="2"/>
      </tp>
      <tp>
        <v>1.292206</v>
        <stp/>
        <stp>##V3_BDPV12</stp>
        <stp>SH000917 Index</stp>
        <stp>PR064</stp>
        <stp>[Index.xlsm]主要產業!R56C14</stp>
        <tr r="N56" s="2"/>
      </tp>
      <tp>
        <v>1.780581</v>
        <stp/>
        <stp>##V3_BDPV12</stp>
        <stp>SH000916 Index</stp>
        <stp>PR064</stp>
        <stp>[Index.xlsm]主要產業!R57C14</stp>
        <tr r="N57" s="2"/>
      </tp>
      <tp>
        <v>12.11975</v>
        <stp/>
        <stp>##V3_BDPV12</stp>
        <stp>TWSESCI Index</stp>
        <stp>CHG_PCT_3M</stp>
        <stp>[Index.xlsm]主要產業!R70C12</stp>
        <tr r="L70" s="2"/>
      </tp>
      <tp>
        <v>4.3762559999999997</v>
        <stp/>
        <stp>##V3_BDPV12</stp>
        <stp>TWSEECI Index</stp>
        <stp>CHG_PCT_3M</stp>
        <stp>[Index.xlsm]主要產業!R74C12</stp>
        <tr r="L74" s="2"/>
      </tp>
      <tp>
        <v>0.78671939999999996</v>
        <stp/>
        <stp>##V3_BDPV12</stp>
        <stp>TWSESCI Index</stp>
        <stp>CHG_PCT_5D</stp>
        <stp>[Index.xlsm]主要產業!R70C10</stp>
        <tr r="J70" s="2"/>
      </tp>
      <tp>
        <v>-2.2609530000000002</v>
        <stp/>
        <stp>##V3_BDPV12</stp>
        <stp>TWSEECI Index</stp>
        <stp>CHG_PCT_5D</stp>
        <stp>[Index.xlsm]主要產業!R74C10</stp>
        <tr r="J74" s="2"/>
      </tp>
      <tp>
        <v>12.869120000000001</v>
        <stp/>
        <stp>##V3_BDPV12</stp>
        <stp>TWSESCI Index</stp>
        <stp>CHG_PCT_6M</stp>
        <stp>[Index.xlsm]主要產業!R70C13</stp>
        <tr r="M70" s="2"/>
      </tp>
      <tp>
        <v>1.5961590000000001</v>
        <stp/>
        <stp>##V3_BDPV12</stp>
        <stp>TWSEECI Index</stp>
        <stp>CHG_PCT_6M</stp>
        <stp>[Index.xlsm]主要產業!R74C13</stp>
        <tr r="M74" s="2"/>
      </tp>
      <tp>
        <v>504263377838.05298</v>
        <stp/>
        <stp>##V3_BDPV12</stp>
        <stp>SX8P INDEX</stp>
        <stp>RR902</stp>
        <stp>[Index.xlsm]主要產業!R26C20</stp>
        <tr r="T26" s="2"/>
      </tp>
      <tp>
        <v>389856311029.33698</v>
        <stp/>
        <stp>##V3_BDPV12</stp>
        <stp>SX4P INDEX</stp>
        <stp>RR902</stp>
        <stp>[Index.xlsm]主要產業!R27C20</stp>
        <tr r="T27" s="2"/>
      </tp>
      <tp>
        <v>936355738383.495</v>
        <stp/>
        <stp>##V3_BDPV12</stp>
        <stp>SX7P INDEX</stp>
        <stp>RR902</stp>
        <stp>[Index.xlsm]主要產業!R21C20</stp>
        <tr r="T21" s="2"/>
      </tp>
      <tp>
        <v>519083049434.18103</v>
        <stp/>
        <stp>##V3_BDPV12</stp>
        <stp>SX6P INDEX</stp>
        <stp>RR902</stp>
        <stp>[Index.xlsm]主要產業!R25C20</stp>
        <tr r="T25" s="2"/>
      </tp>
      <tp>
        <v>887279257550.052</v>
        <stp/>
        <stp>##V3_BDPV12</stp>
        <stp>SX3P INDEX</stp>
        <stp>RR902</stp>
        <stp>[Index.xlsm]主要產業!R22C20</stp>
        <tr r="T22" s="2"/>
      </tp>
      <tp>
        <v>-2.022535</v>
        <stp/>
        <stp>##V3_BDPV12</stp>
        <stp>MC FP Equity</stp>
        <stp>CHG_PCT_3M</stp>
        <stp>[Index.xlsm]主要產業!R37C32</stp>
        <tr r="AF37" s="2"/>
      </tp>
      <tp>
        <v>-8.3056480000000002E-2</v>
        <stp/>
        <stp>##V3_BDPV12</stp>
        <stp>MC FP Equity</stp>
        <stp>CHG_PCT_1D</stp>
        <stp>[Index.xlsm]主要產業!R37C25</stp>
        <tr r="Y37" s="2"/>
      </tp>
      <tp>
        <v>0.2917865</v>
        <stp/>
        <stp>##V3_BDPV12</stp>
        <stp>MC FP Equity</stp>
        <stp>CHG_PCT_1M</stp>
        <stp>[Index.xlsm]主要產業!R37C31</stp>
        <tr r="AE37" s="2"/>
      </tp>
      <tp>
        <v>11.76835</v>
        <stp/>
        <stp>##V3_BDPV12</stp>
        <stp>MC FP Equity</stp>
        <stp>CHG_PCT_6M</stp>
        <stp>[Index.xlsm]主要產業!R37C33</stp>
        <tr r="AG37" s="2"/>
      </tp>
      <tp>
        <v>-1.742445</v>
        <stp/>
        <stp>##V3_BDPV12</stp>
        <stp>MC FP Equity</stp>
        <stp>CHG_PCT_5D</stp>
        <stp>[Index.xlsm]主要產業!R37C30</stp>
        <tr r="AD37" s="2"/>
      </tp>
      <tp>
        <v>2.311048</v>
        <stp/>
        <stp>##V3_BDPV12</stp>
        <stp>CAC INDEX</stp>
        <stp>PR064</stp>
        <stp>[Index.xlsm]主要產業!R11C52</stp>
        <tr r="AZ11" s="2"/>
      </tp>
      <tp>
        <v>193774634446.06799</v>
        <stp/>
        <stp>##V3_BDPV12</stp>
        <stp>SXMP INDEX</stp>
        <stp>RR902</stp>
        <stp>[Index.xlsm]主要產業!R35C20</stp>
        <tr r="T35" s="2"/>
      </tp>
      <tp>
        <v>298673498480.88696</v>
        <stp/>
        <stp>##V3_BDPV12</stp>
        <stp>SXOP INDEX</stp>
        <stp>RR902</stp>
        <stp>[Index.xlsm]主要產業!R30C20</stp>
        <tr r="T30" s="2"/>
      </tp>
      <tp>
        <v>1175763427373</v>
        <stp/>
        <stp>##V3_BDPV12</stp>
        <stp>SXNP INDEX</stp>
        <stp>RR902</stp>
        <stp>[Index.xlsm]主要產業!R19C20</stp>
        <tr r="T19" s="2"/>
      </tp>
      <tp>
        <v>584341083554.12097</v>
        <stp/>
        <stp>##V3_BDPV12</stp>
        <stp>SXIP INDEX</stp>
        <stp>RR902</stp>
        <stp>[Index.xlsm]主要產業!R24C20</stp>
        <tr r="T24" s="2"/>
      </tp>
      <tp>
        <v>368059935156.55798</v>
        <stp/>
        <stp>##V3_BDPV12</stp>
        <stp>SXKP INDEX</stp>
        <stp>RR902</stp>
        <stp>[Index.xlsm]主要產業!R29C20</stp>
        <tr r="T29" s="2"/>
      </tp>
      <tp>
        <v>33.97</v>
        <stp/>
        <stp>##V3_BDPV12</stp>
        <stp>PFE US Equity</stp>
        <stp>LOW_52WEEK</stp>
        <stp>[Index.xlsm]主要產業!R14C28</stp>
        <tr r="AB14" s="2"/>
      </tp>
      <tp>
        <v>640512252398.86206</v>
        <stp/>
        <stp>##V3_BDPV12</stp>
        <stp>SXEP INDEX</stp>
        <stp>RR902</stp>
        <stp>[Index.xlsm]主要產業!R23C20</stp>
        <tr r="T23" s="2"/>
      </tp>
      <tp>
        <v>1382363919517.8901</v>
        <stp/>
        <stp>##V3_BDPV12</stp>
        <stp>SXDP INDEX</stp>
        <stp>RR902</stp>
        <stp>[Index.xlsm]主要產業!R18C20</stp>
        <tr r="T18" s="2"/>
      </tp>
      <tp>
        <v>247174658205.26398</v>
        <stp/>
        <stp>##V3_BDPV12</stp>
        <stp>SXFP INDEX</stp>
        <stp>RR902</stp>
        <stp>[Index.xlsm]主要產業!R33C20</stp>
        <tr r="T33" s="2"/>
      </tp>
      <tp>
        <v>276439874367</v>
        <stp/>
        <stp>##V3_BDPV12</stp>
        <stp>SXAP INDEX</stp>
        <stp>RR902</stp>
        <stp>[Index.xlsm]主要產業!R31C20</stp>
        <tr r="T31" s="2"/>
      </tp>
      <tp>
        <v>10.44042</v>
        <stp/>
        <stp>##V3_BDPV12</stp>
        <stp>AAL LN Equity</stp>
        <stp>CHG_PCT_1M</stp>
        <stp>[Index.xlsm]主要產業!R53C31</stp>
        <tr r="AE53" s="2"/>
      </tp>
      <tp>
        <v>-5.4300609999999999E-2</v>
        <stp/>
        <stp>##V3_BDPV12</stp>
        <stp>AAL LN Equity</stp>
        <stp>CHG_PCT_1D</stp>
        <stp>[Index.xlsm]主要產業!R53C25</stp>
        <tr r="Y53" s="2"/>
      </tp>
      <tp>
        <v>-16.16488</v>
        <stp/>
        <stp>##V3_BDPV12</stp>
        <stp>AAL LN Equity</stp>
        <stp>CHG_PCT_3M</stp>
        <stp>[Index.xlsm]主要產業!R53C32</stp>
        <tr r="AF53" s="2"/>
      </tp>
      <tp>
        <v>-2.2724859999999998</v>
        <stp/>
        <stp>##V3_BDPV12</stp>
        <stp>AAL LN Equity</stp>
        <stp>CHG_PCT_5D</stp>
        <stp>[Index.xlsm]主要產業!R53C30</stp>
        <tr r="AD53" s="2"/>
      </tp>
      <tp>
        <v>-7.6745570000000001</v>
        <stp/>
        <stp>##V3_BDPV12</stp>
        <stp>AAL LN Equity</stp>
        <stp>CHG_PCT_6M</stp>
        <stp>[Index.xlsm]主要產業!R53C33</stp>
        <tr r="AG53" s="2"/>
      </tp>
      <tp>
        <v>155215329651.84201</v>
        <stp/>
        <stp>##V3_BDPV12</stp>
        <stp>SXTP INDEX</stp>
        <stp>RR902</stp>
        <stp>[Index.xlsm]主要產業!R36C20</stp>
        <tr r="T36" s="2"/>
      </tp>
      <tp>
        <v>1.00973</v>
        <stp/>
        <stp>##V3_BDPV12</stp>
        <stp>UNA NA Equity</stp>
        <stp>CHG_PCT_5D</stp>
        <stp>[Index.xlsm]主要產業!R49C30</stp>
        <tr r="AD49" s="2"/>
      </tp>
      <tp>
        <v>6.62791</v>
        <stp/>
        <stp>##V3_BDPV12</stp>
        <stp>UNA NA Equity</stp>
        <stp>CHG_PCT_6M</stp>
        <stp>[Index.xlsm]主要產業!R49C33</stp>
        <tr r="AG49" s="2"/>
      </tp>
      <tp>
        <v>1031876384375.84</v>
        <stp/>
        <stp>##V3_BDPV12</stp>
        <stp>SXQP INDEX</stp>
        <stp>RR902</stp>
        <stp>[Index.xlsm]主要產業!R20C20</stp>
        <tr r="T20" s="2"/>
      </tp>
      <tp>
        <v>1.158301</v>
        <stp/>
        <stp>##V3_BDPV12</stp>
        <stp>UNA NA Equity</stp>
        <stp>CHG_PCT_1D</stp>
        <stp>[Index.xlsm]主要產業!R49C25</stp>
        <tr r="Y49" s="2"/>
      </tp>
      <tp>
        <v>265274621943</v>
        <stp/>
        <stp>##V3_BDPV12</stp>
        <stp>SXPP INDEX</stp>
        <stp>RR902</stp>
        <stp>[Index.xlsm]主要產業!R32C20</stp>
        <tr r="T32" s="2"/>
      </tp>
      <tp>
        <v>-0.21762680000000001</v>
        <stp/>
        <stp>##V3_BDPV12</stp>
        <stp>UNA NA Equity</stp>
        <stp>CHG_PCT_1M</stp>
        <stp>[Index.xlsm]主要產業!R49C31</stp>
        <tr r="AE49" s="2"/>
      </tp>
      <tp>
        <v>370490933446.76794</v>
        <stp/>
        <stp>##V3_BDPV12</stp>
        <stp>SXRP INDEX</stp>
        <stp>RR902</stp>
        <stp>[Index.xlsm]主要產業!R28C20</stp>
        <tr r="T28" s="2"/>
      </tp>
      <tp>
        <v>2.649257</v>
        <stp/>
        <stp>##V3_BDPV12</stp>
        <stp>UNA NA Equity</stp>
        <stp>CHG_PCT_3M</stp>
        <stp>[Index.xlsm]主要產業!R49C32</stp>
        <tr r="AF49" s="2"/>
      </tp>
      <tp>
        <v>-12.76717</v>
        <stp/>
        <stp>##V3_BDPV12</stp>
        <stp>SXAP INDEX</stp>
        <stp>CHG_PCT_1YR</stp>
        <stp>[Index.xlsm]主要產業!R31C15</stp>
        <tr r="O31" s="2"/>
      </tp>
      <tp>
        <v>8.630846</v>
        <stp/>
        <stp>##V3_BDPV12</stp>
        <stp>SXFP INDEX</stp>
        <stp>CHG_PCT_1YR</stp>
        <stp>[Index.xlsm]主要產業!R33C15</stp>
        <tr r="O33" s="2"/>
      </tp>
      <tp>
        <v>3.2933409999999999</v>
        <stp/>
        <stp>##V3_BDPV12</stp>
        <stp>SXMP INDEX</stp>
        <stp>CHG_PCT_1YR</stp>
        <stp>[Index.xlsm]主要產業!R35C15</stp>
        <tr r="O35" s="2"/>
      </tp>
      <tp>
        <v>5.5995660000000003</v>
        <stp/>
        <stp>##V3_BDPV12</stp>
        <stp>SXOP INDEX</stp>
        <stp>CHG_PCT_1YR</stp>
        <stp>[Index.xlsm]主要產業!R30C15</stp>
        <tr r="O30" s="2"/>
      </tp>
      <tp>
        <v>-10.49446</v>
        <stp/>
        <stp>##V3_BDPV12</stp>
        <stp>SXPP INDEX</stp>
        <stp>CHG_PCT_1YR</stp>
        <stp>[Index.xlsm]主要產業!R32C15</stp>
        <tr r="O32" s="2"/>
      </tp>
      <tp>
        <v>-4.5699560000000004</v>
        <stp/>
        <stp>##V3_BDPV12</stp>
        <stp>SXTP INDEX</stp>
        <stp>CHG_PCT_1YR</stp>
        <stp>[Index.xlsm]主要產業!R36C15</stp>
        <tr r="O36" s="2"/>
      </tp>
      <tp>
        <v>22.55696</v>
        <stp/>
        <stp>##V3_BDPV12</stp>
        <stp>SX3P INDEX</stp>
        <stp>CHG_PCT_1YR</stp>
        <stp>[Index.xlsm]主要產業!R22C15</stp>
        <tr r="O22" s="2"/>
      </tp>
      <tp>
        <v>-0.9507274</v>
        <stp/>
        <stp>##V3_BDPV12</stp>
        <stp>SX4P INDEX</stp>
        <stp>CHG_PCT_1YR</stp>
        <stp>[Index.xlsm]主要產業!R27C15</stp>
        <tr r="O27" s="2"/>
      </tp>
      <tp>
        <v>19.951709999999999</v>
        <stp/>
        <stp>##V3_BDPV12</stp>
        <stp>SX6P INDEX</stp>
        <stp>CHG_PCT_1YR</stp>
        <stp>[Index.xlsm]主要產業!R25C15</stp>
        <tr r="O25" s="2"/>
      </tp>
      <tp>
        <v>-19.320219999999999</v>
        <stp/>
        <stp>##V3_BDPV12</stp>
        <stp>SX7P INDEX</stp>
        <stp>CHG_PCT_1YR</stp>
        <stp>[Index.xlsm]主要產業!R21C15</stp>
        <tr r="O21" s="2"/>
      </tp>
      <tp>
        <v>2.1998760000000002</v>
        <stp/>
        <stp>##V3_BDPV12</stp>
        <stp>SX8P INDEX</stp>
        <stp>CHG_PCT_1YR</stp>
        <stp>[Index.xlsm]主要產業!R26C15</stp>
        <tr r="O26" s="2"/>
      </tp>
      <tp>
        <v>3.6334650000000002</v>
        <stp/>
        <stp>##V3_BDPV12</stp>
        <stp>SXKP INDEX</stp>
        <stp>CHG_PCT_1YR</stp>
        <stp>[Index.xlsm]主要產業!R29C15</stp>
        <tr r="O29" s="2"/>
      </tp>
      <tp>
        <v>-12.97129</v>
        <stp/>
        <stp>##V3_BDPV12</stp>
        <stp>SXEP INDEX</stp>
        <stp>CHG_PCT_1YR</stp>
        <stp>[Index.xlsm]主要產業!R23C15</stp>
        <tr r="O23" s="2"/>
      </tp>
      <tp>
        <v>1.7020010000000001</v>
        <stp/>
        <stp>##V3_BDPV12</stp>
        <stp>SXIP INDEX</stp>
        <stp>CHG_PCT_1YR</stp>
        <stp>[Index.xlsm]主要產業!R24C15</stp>
        <tr r="O24" s="2"/>
      </tp>
      <tp>
        <v>3.6070660000000001</v>
        <stp/>
        <stp>##V3_BDPV12</stp>
        <stp>SXQP INDEX</stp>
        <stp>CHG_PCT_1YR</stp>
        <stp>[Index.xlsm]主要產業!R20C15</stp>
        <tr r="O20" s="2"/>
      </tp>
      <tp>
        <v>3.3703210000000001</v>
        <stp/>
        <stp>##V3_BDPV12</stp>
        <stp>SXRP INDEX</stp>
        <stp>CHG_PCT_1YR</stp>
        <stp>[Index.xlsm]主要產業!R28C15</stp>
        <tr r="O28" s="2"/>
      </tp>
      <tp>
        <v>-1.8513500000000001</v>
        <stp/>
        <stp>##V3_BDPV12</stp>
        <stp>SXNP INDEX</stp>
        <stp>CHG_PCT_1YR</stp>
        <stp>[Index.xlsm]主要產業!R19C15</stp>
        <tr r="O19" s="2"/>
      </tp>
      <tp>
        <v>11.774150000000001</v>
        <stp/>
        <stp>##V3_BDPV12</stp>
        <stp>SXDP INDEX</stp>
        <stp>CHG_PCT_1YR</stp>
        <stp>[Index.xlsm]主要產業!R18C15</stp>
        <tr r="O18" s="2"/>
      </tp>
      <tp>
        <v>16.587</v>
        <stp/>
        <stp>##V3_BDPV12</stp>
        <stp>V2X Index</stp>
        <stp>PX_LAST</stp>
        <stp>[Index.xlsm]主要產業!R67C42</stp>
        <tr r="AP67" s="2"/>
      </tp>
      <tp>
        <v>16.07</v>
        <stp/>
        <stp>##V3_BDPV12</stp>
        <stp>VIX Index</stp>
        <stp>PX_LAST</stp>
        <stp>[Index.xlsm]主要產業!R65C42</stp>
        <tr r="AP65" s="2"/>
      </tp>
      <tp>
        <v>5.2457409999999998</v>
        <stp/>
        <stp>##V3_BDPV12</stp>
        <stp>s5matr Index</stp>
        <stp>CHG_PCT_1M</stp>
        <stp>[Index.xlsm]主要產業!R16C11</stp>
        <tr r="K16" s="2"/>
      </tp>
      <tp>
        <v>-0.12944149999999999</v>
        <stp/>
        <stp>##V3_BDPV12</stp>
        <stp>TEF SM Equity</stp>
        <stp>CHG_PCT_1YR</stp>
        <stp>[Index.xlsm]主要產業!R66C35</stp>
        <tr r="AI66" s="2"/>
      </tp>
      <tp>
        <v>-0.28882740000000001</v>
        <stp/>
        <stp>##V3_BDPV12</stp>
        <stp>s5matr Index</stp>
        <stp>CHG_PCT_3M</stp>
        <stp>[Index.xlsm]主要產業!R16C12</stp>
        <tr r="L16" s="2"/>
      </tp>
      <tp>
        <v>-1.0223580000000001</v>
        <stp/>
        <stp>##V3_BDPV12</stp>
        <stp>s5matr Index</stp>
        <stp>CHG_PCT_5D</stp>
        <stp>[Index.xlsm]主要產業!R16C10</stp>
        <tr r="J16" s="2"/>
      </tp>
      <tp>
        <v>6.3132229999999998</v>
        <stp/>
        <stp>##V3_BDPV12</stp>
        <stp>s5matr Index</stp>
        <stp>CHG_PCT_6M</stp>
        <stp>[Index.xlsm]主要產業!R16C13</stp>
        <tr r="M16" s="2"/>
      </tp>
      <tp t="s">
        <v>#N/A N/A</v>
        <stp/>
        <stp>##V3_BDPV12</stp>
        <stp>HSCITC Index</stp>
        <stp>INTERVAL_Low</stp>
        <stp>[Index.xlsm]主要產業!R67C17</stp>
        <stp>MARKET_DATA_OVERRIDE=PE_RATIO</stp>
        <stp>CALC_INTERVAL=5y</stp>
        <stp>BEST_FPERIOD_OVERRIDE=BF</stp>
        <tr r="Q67" s="2"/>
      </tp>
      <tp t="s">
        <v>#N/A N/A</v>
        <stp/>
        <stp>##V3_BDPV12</stp>
        <stp>HSCIUT Index</stp>
        <stp>INTERVAL_Low</stp>
        <stp>[Index.xlsm]主要產業!R68C17</stp>
        <stp>MARKET_DATA_OVERRIDE=PE_RATIO</stp>
        <stp>CALC_INTERVAL=5y</stp>
        <stp>BEST_FPERIOD_OVERRIDE=BF</stp>
        <tr r="Q68" s="2"/>
      </tp>
      <tp t="s">
        <v>#N/A N/A</v>
        <stp/>
        <stp>##V3_BDPV12</stp>
        <stp>HSCISV Index</stp>
        <stp>INTERVAL_Low</stp>
        <stp>[Index.xlsm]主要產業!R66C17</stp>
        <stp>MARKET_DATA_OVERRIDE=PE_RATIO</stp>
        <stp>CALC_INTERVAL=5y</stp>
        <stp>BEST_FPERIOD_OVERRIDE=BF</stp>
        <tr r="Q66" s="2"/>
      </tp>
      <tp t="s">
        <v>#N/A N/A</v>
        <stp/>
        <stp>##V3_BDPV12</stp>
        <stp>HSCIPC Index</stp>
        <stp>INTERVAL_Low</stp>
        <stp>[Index.xlsm]主要產業!R65C17</stp>
        <stp>MARKET_DATA_OVERRIDE=PE_RATIO</stp>
        <stp>CALC_INTERVAL=5y</stp>
        <stp>BEST_FPERIOD_OVERRIDE=BF</stp>
        <tr r="Q65" s="2"/>
      </tp>
      <tp t="s">
        <v>#N/A N/A</v>
        <stp/>
        <stp>##V3_BDPV12</stp>
        <stp>HSCIMT Index</stp>
        <stp>INTERVAL_Low</stp>
        <stp>[Index.xlsm]主要產業!R64C17</stp>
        <stp>MARKET_DATA_OVERRIDE=PE_RATIO</stp>
        <stp>CALC_INTERVAL=5y</stp>
        <stp>BEST_FPERIOD_OVERRIDE=BF</stp>
        <tr r="Q64" s="2"/>
      </tp>
      <tp t="s">
        <v>#N/A N/A</v>
        <stp/>
        <stp>##V3_BDPV12</stp>
        <stp>HSCIIN Index</stp>
        <stp>INTERVAL_Low</stp>
        <stp>[Index.xlsm]主要產業!R62C17</stp>
        <stp>MARKET_DATA_OVERRIDE=PE_RATIO</stp>
        <stp>CALC_INTERVAL=5y</stp>
        <stp>BEST_FPERIOD_OVERRIDE=BF</stp>
        <tr r="Q62" s="2"/>
      </tp>
      <tp t="s">
        <v>#N/A N/A</v>
        <stp/>
        <stp>##V3_BDPV12</stp>
        <stp>HSCIIT Index</stp>
        <stp>INTERVAL_Low</stp>
        <stp>[Index.xlsm]主要產業!R63C17</stp>
        <stp>MARKET_DATA_OVERRIDE=PE_RATIO</stp>
        <stp>CALC_INTERVAL=5y</stp>
        <stp>BEST_FPERIOD_OVERRIDE=BF</stp>
        <tr r="Q63" s="2"/>
      </tp>
      <tp t="s">
        <v>#N/A N/A</v>
        <stp/>
        <stp>##V3_BDPV12</stp>
        <stp>HSCIFN Index</stp>
        <stp>INTERVAL_Low</stp>
        <stp>[Index.xlsm]主要產業!R61C17</stp>
        <stp>MARKET_DATA_OVERRIDE=PE_RATIO</stp>
        <stp>CALC_INTERVAL=5y</stp>
        <stp>BEST_FPERIOD_OVERRIDE=BF</stp>
        <tr r="Q61" s="2"/>
      </tp>
      <tp t="s">
        <v>#N/A N/A</v>
        <stp/>
        <stp>##V3_BDPV12</stp>
        <stp>HSCIEN Index</stp>
        <stp>INTERVAL_Low</stp>
        <stp>[Index.xlsm]主要產業!R60C17</stp>
        <stp>MARKET_DATA_OVERRIDE=PE_RATIO</stp>
        <stp>CALC_INTERVAL=5y</stp>
        <stp>BEST_FPERIOD_OVERRIDE=BF</stp>
        <tr r="Q60" s="2"/>
      </tp>
      <tp>
        <v>4.8523985804107204</v>
        <stp/>
        <stp>##V3_BDPV12</stp>
        <stp>HSCICO Index</stp>
        <stp>INTERVAL_Low</stp>
        <stp>[Index.xlsm]主要產業!R59C17</stp>
        <stp>MARKET_DATA_OVERRIDE=PE_RATIO</stp>
        <stp>CALC_INTERVAL=5y</stp>
        <stp>BEST_FPERIOD_OVERRIDE=BF</stp>
        <tr r="Q59" s="2"/>
      </tp>
      <tp t="s">
        <v>#N/A N/A</v>
        <stp/>
        <stp>##V3_BDPV12</stp>
        <stp>HSCICG Index</stp>
        <stp>INTERVAL_Low</stp>
        <stp>[Index.xlsm]主要產業!R58C17</stp>
        <stp>MARKET_DATA_OVERRIDE=PE_RATIO</stp>
        <stp>CALC_INTERVAL=5y</stp>
        <stp>BEST_FPERIOD_OVERRIDE=BF</stp>
        <tr r="Q58" s="2"/>
      </tp>
      <tp>
        <v>7.41</v>
        <stp/>
        <stp>##V3_BDPV12</stp>
        <stp>F US Equity</stp>
        <stp>LOW_52WEEK</stp>
        <stp>[Index.xlsm]主要產業!R34C28</stp>
        <tr r="AB34" s="2"/>
      </tp>
      <tp>
        <v>9.1625474087787726</v>
        <stp/>
        <stp>##V3_BDPV12</stp>
        <stp>TPCOMM Index</stp>
        <stp>INTERVAL_Low</stp>
        <stp>[Index.xlsm]主要產業!R38C17</stp>
        <stp>MARKET_DATA_OVERRIDE=PE_RATIO</stp>
        <stp>CALC_INTERVAL=5y</stp>
        <stp>BEST_FPERIOD_OVERRIDE=BF</stp>
        <tr r="Q38" s="2"/>
      </tp>
      <tp>
        <v>48.42</v>
        <stp/>
        <stp>##V3_BDPV12</stp>
        <stp>C US Equity</stp>
        <stp>LOW_52WEEK</stp>
        <stp>[Index.xlsm]主要產業!R19C28</stp>
        <tr r="AB19" s="2"/>
      </tp>
      <tp>
        <v>-6.3412410000000001</v>
        <stp/>
        <stp>##V3_BDPV12</stp>
        <stp>BDIY Index</stp>
        <stp>CHG_PCT_5D</stp>
        <stp>[Index.xlsm]主要產業!R40C48</stp>
        <tr r="AV40" s="2"/>
      </tp>
      <tp>
        <v>197.53620000000001</v>
        <stp/>
        <stp>##V3_BDPV12</stp>
        <stp>BDIY Index</stp>
        <stp>CHG_PCT_6M</stp>
        <stp>[Index.xlsm]主要產業!R40C51</stp>
        <tr r="AY40" s="2"/>
      </tp>
      <tp>
        <v>-7.2300050000000002</v>
        <stp/>
        <stp>##V3_BDPV12</stp>
        <stp>BDIY Index</stp>
        <stp>CHG_PCT_1M</stp>
        <stp>[Index.xlsm]主要產業!R40C49</stp>
        <tr r="AW40" s="2"/>
      </tp>
      <tp>
        <v>-2.9773160000000001</v>
        <stp/>
        <stp>##V3_BDPV12</stp>
        <stp>BDIY Index</stp>
        <stp>CHG_PCT_1D</stp>
        <stp>[Index.xlsm]主要產業!R40C43</stp>
        <tr r="AQ40" s="2"/>
      </tp>
      <tp>
        <v>53.208950000000002</v>
        <stp/>
        <stp>##V3_BDPV12</stp>
        <stp>BDIY Index</stp>
        <stp>CHG_PCT_3M</stp>
        <stp>[Index.xlsm]主要產業!R40C50</stp>
        <tr r="AX40" s="2"/>
      </tp>
      <tp>
        <v>5312</v>
        <stp/>
        <stp>##V3_BDPV12</stp>
        <stp>AZN LN Equity</stp>
        <stp>LOW_52WEEK</stp>
        <stp>[Index.xlsm]主要產業!R46C28</stp>
        <tr r="AB46" s="2"/>
      </tp>
      <tp>
        <v>-6.4108000000000001</v>
        <stp/>
        <stp>##V3_BDPV12</stp>
        <stp>usgg2yr Index</stp>
        <stp>CHG_PCT_3M</stp>
        <stp>[Index.xlsm]主要產業!R56C50</stp>
        <tr r="AX56" s="2"/>
      </tp>
      <tp>
        <v>7.5629</v>
        <stp/>
        <stp>##V3_BDPV12</stp>
        <stp>usgg2yr Index</stp>
        <stp>CHG_PCT_1M</stp>
        <stp>[Index.xlsm]主要產業!R56C49</stp>
        <tr r="AW56" s="2"/>
      </tp>
      <tp>
        <v>-26.9482</v>
        <stp/>
        <stp>##V3_BDPV12</stp>
        <stp>usgg2yr Index</stp>
        <stp>CHG_PCT_6M</stp>
        <stp>[Index.xlsm]主要產業!R56C51</stp>
        <tr r="AY56" s="2"/>
      </tp>
      <tp>
        <v>-4.7359</v>
        <stp/>
        <stp>##V3_BDPV12</stp>
        <stp>usgg2yr Index</stp>
        <stp>CHG_PCT_5D</stp>
        <stp>[Index.xlsm]主要產業!R56C48</stp>
        <tr r="AV56" s="2"/>
      </tp>
      <tp>
        <v>3502</v>
        <stp/>
        <stp>##V3_BDPV12</stp>
        <stp>7267 JP Equity</stp>
        <stp>HIGH_52WEEK</stp>
        <stp>[Index.xlsm]主要產業!R80C26</stp>
        <tr r="Z80" s="2"/>
      </tp>
      <tp>
        <v>-18.906199999999998</v>
        <stp/>
        <stp>##V3_BDPV12</stp>
        <stp>BMY US Equity</stp>
        <stp>CHG_PCT_1YR</stp>
        <stp>[Index.xlsm]主要產業!R28C35</stp>
        <tr r="AI28" s="2"/>
      </tp>
      <tp>
        <v>-25.67484</v>
        <stp/>
        <stp>##V3_BDPV12</stp>
        <stp>UBSG SW Equity</stp>
        <stp>CHG_PCT_1YR</stp>
        <stp>[Index.xlsm]主要產業!R70C35</stp>
        <tr r="AI70" s="2"/>
      </tp>
      <tp>
        <v>-2.4E-2</v>
        <stp/>
        <stp>##V3_BDPV12</stp>
        <stp>usgg2yr Index</stp>
        <stp>CHG_NET_1D</stp>
        <stp>[Index.xlsm]主要產業!R56C43</stp>
        <tr r="AQ56" s="2"/>
      </tp>
      <tp>
        <v>3.2215060000000002</v>
        <stp/>
        <stp>##V3_BDPV12</stp>
        <stp>TSM Equity</stp>
        <stp>CHG_PCT_1D</stp>
        <stp>[Index.xlsm]主要產業!R86C43</stp>
        <tr r="AQ86" s="2"/>
      </tp>
      <tp>
        <v>4.9923299999999999</v>
        <stp/>
        <stp>##V3_BDPV12</stp>
        <stp>PM US Equity</stp>
        <stp>CHG_PCT_5D</stp>
        <stp>[Index.xlsm]主要產業!R24C30</stp>
        <tr r="AD24" s="2"/>
      </tp>
      <tp>
        <v>-15.012980000000001</v>
        <stp/>
        <stp>##V3_BDPV12</stp>
        <stp>PM US Equity</stp>
        <stp>CHG_PCT_6M</stp>
        <stp>[Index.xlsm]主要產業!R24C33</stp>
        <tr r="AG24" s="2"/>
      </tp>
      <tp>
        <v>1.328374E-2</v>
        <stp/>
        <stp>##V3_BDPV12</stp>
        <stp>PM US Equity</stp>
        <stp>CHG_PCT_1D</stp>
        <stp>[Index.xlsm]主要產業!R24C25</stp>
        <tr r="Y24" s="2"/>
      </tp>
      <tp>
        <v>-3.1390750000000001</v>
        <stp/>
        <stp>##V3_BDPV12</stp>
        <stp>PM US Equity</stp>
        <stp>CHG_PCT_1M</stp>
        <stp>[Index.xlsm]主要產業!R24C31</stp>
        <tr r="AE24" s="2"/>
      </tp>
      <tp>
        <v>-2.7009530000000002</v>
        <stp/>
        <stp>##V3_BDPV12</stp>
        <stp>PM US Equity</stp>
        <stp>CHG_PCT_3M</stp>
        <stp>[Index.xlsm]主要產業!R24C32</stp>
        <tr r="AF24" s="2"/>
      </tp>
      <tp>
        <v>-3.1280790000000001</v>
        <stp/>
        <stp>##V3_BDPV12</stp>
        <stp>SU FP Equity</stp>
        <stp>CHG_PCT_5D</stp>
        <stp>[Index.xlsm]主要產業!R40C30</stp>
        <tr r="AD40" s="2"/>
      </tp>
      <tp>
        <v>14.033049999999999</v>
        <stp/>
        <stp>##V3_BDPV12</stp>
        <stp>SU FP Equity</stp>
        <stp>CHG_PCT_6M</stp>
        <stp>[Index.xlsm]主要產業!R40C33</stp>
        <tr r="AG40" s="2"/>
      </tp>
      <tp>
        <v>1.339861</v>
        <stp/>
        <stp>##V3_BDPV12</stp>
        <stp>SU FP Equity</stp>
        <stp>CHG_PCT_1D</stp>
        <stp>[Index.xlsm]主要產業!R40C25</stp>
        <tr r="Y40" s="2"/>
      </tp>
      <tp>
        <v>6.8459620000000001</v>
        <stp/>
        <stp>##V3_BDPV12</stp>
        <stp>SU FP Equity</stp>
        <stp>CHG_PCT_1M</stp>
        <stp>[Index.xlsm]主要產業!R40C31</stp>
        <tr r="AE40" s="2"/>
      </tp>
      <tp>
        <v>-0.40517009999999998</v>
        <stp/>
        <stp>##V3_BDPV12</stp>
        <stp>SU FP Equity</stp>
        <stp>CHG_PCT_3M</stp>
        <stp>[Index.xlsm]主要產業!R40C32</stp>
        <tr r="AF40" s="2"/>
      </tp>
      <tp>
        <v>10.985440475391437</v>
        <stp/>
        <stp>##V3_BDPV12</stp>
        <stp>TWSEFOOD Index</stp>
        <stp>INTERVAL_Low</stp>
        <stp>[Index.xlsm]主要產業!R80C17</stp>
        <stp>MARKET_DATA_OVERRIDE=PE_RATIO</stp>
        <stp>CALC_INTERVAL=5y</stp>
        <stp>BEST_FPERIOD_OVERRIDE=BF</stp>
        <tr r="Q80" s="2"/>
      </tp>
      <tp>
        <v>-25.3796</v>
        <stp/>
        <stp>##V3_BDPV12</stp>
        <stp>ARS Curncy</stp>
        <stp>PR064</stp>
        <stp>[Index.xlsm]主要產業!R81C52</stp>
        <tr r="AZ81" s="2"/>
      </tp>
      <tp>
        <v>-3.5118</v>
        <stp/>
        <stp>##V3_BDPV12</stp>
        <stp>KRW Curncy</stp>
        <stp>PR064</stp>
        <stp>[Index.xlsm]主要產業!R71C52</stp>
        <tr r="AZ71" s="2"/>
      </tp>
      <tp>
        <v>1.8150999999999999</v>
        <stp/>
        <stp>##V3_BDPV12</stp>
        <stp>TRY Curncy</stp>
        <stp>PR064</stp>
        <stp>[Index.xlsm]主要產業!R79C52</stp>
        <tr r="AZ79" s="2"/>
      </tp>
      <tp>
        <v>-14.13424</v>
        <stp/>
        <stp>##V3_BDPV12</stp>
        <stp>HSCIPC Index</stp>
        <stp>CHG_PCT_6M</stp>
        <stp>[Index.xlsm]主要產業!R65C13</stp>
        <tr r="M65" s="2"/>
      </tp>
      <tp>
        <v>-2.0253899999999998</v>
        <stp/>
        <stp>##V3_BDPV12</stp>
        <stp>HSCIPC Index</stp>
        <stp>CHG_PCT_5D</stp>
        <stp>[Index.xlsm]主要產業!R65C10</stp>
        <tr r="J65" s="2"/>
      </tp>
      <tp>
        <v>-7.7735000000000003</v>
        <stp/>
        <stp>##V3_BDPV12</stp>
        <stp>BRL Curncy</stp>
        <stp>PR064</stp>
        <stp>[Index.xlsm]主要產業!R78C52</stp>
        <tr r="AZ78" s="2"/>
      </tp>
      <tp>
        <v>-12.244149999999999</v>
        <stp/>
        <stp>##V3_BDPV12</stp>
        <stp>HSCIPC Index</stp>
        <stp>CHG_PCT_3M</stp>
        <stp>[Index.xlsm]主要產業!R65C12</stp>
        <tr r="L65" s="2"/>
      </tp>
      <tp>
        <v>-0.70072719999999999</v>
        <stp/>
        <stp>##V3_BDPV12</stp>
        <stp>HSCIPC Index</stp>
        <stp>CHG_PCT_1M</stp>
        <stp>[Index.xlsm]主要產業!R65C11</stp>
        <tr r="K65" s="2"/>
      </tp>
      <tp>
        <v>-0.55342000000000002</v>
        <stp/>
        <stp>##V3_BDPV12</stp>
        <stp>ABT US Equity</stp>
        <stp>CHG_PCT_1M</stp>
        <stp>[Index.xlsm]主要產業!R18C31</stp>
        <tr r="AE18" s="2"/>
      </tp>
      <tp>
        <v>-0.241371</v>
        <stp/>
        <stp>##V3_BDPV12</stp>
        <stp>ABT US Equity</stp>
        <stp>CHG_PCT_1D</stp>
        <stp>[Index.xlsm]主要產業!R18C25</stp>
        <tr r="Y18" s="2"/>
      </tp>
      <tp>
        <v>-0.36161900000000002</v>
        <stp/>
        <stp>##V3_BDPV12</stp>
        <stp>ABT US Equity</stp>
        <stp>CHG_PCT_3M</stp>
        <stp>[Index.xlsm]主要產業!R18C32</stp>
        <tr r="AF18" s="2"/>
      </tp>
      <tp>
        <v>-0.68484920000000005</v>
        <stp/>
        <stp>##V3_BDPV12</stp>
        <stp>ABT US Equity</stp>
        <stp>CHG_PCT_5D</stp>
        <stp>[Index.xlsm]主要產業!R18C30</stp>
        <tr r="AD18" s="2"/>
      </tp>
      <tp>
        <v>87.7</v>
        <stp/>
        <stp>##V3_BDPV12</stp>
        <stp>TXN US Equity</stp>
        <stp>LOW_52WEEK</stp>
        <stp>[Index.xlsm]主要產業!R22C28</stp>
        <tr r="AB22" s="2"/>
      </tp>
      <tp>
        <v>0.59037810000000002</v>
        <stp/>
        <stp>##V3_BDPV12</stp>
        <stp>ITLMS INDEX</stp>
        <stp>CHG_PCT_1YR</stp>
        <stp>[Index.xlsm]主要產業!R14C53</stp>
        <tr r="BA14" s="2"/>
      </tp>
      <tp>
        <v>4.632911</v>
        <stp/>
        <stp>##V3_BDPV12</stp>
        <stp>ABT US Equity</stp>
        <stp>CHG_PCT_6M</stp>
        <stp>[Index.xlsm]主要產業!R18C33</stp>
        <tr r="AG18" s="2"/>
      </tp>
      <tp>
        <v>0.27242250000000001</v>
        <stp/>
        <stp>##V3_BDPV12</stp>
        <stp>IBM US Equity</stp>
        <stp>CHG_PCT_1D</stp>
        <stp>[Index.xlsm]主要產業!R20C25</stp>
        <tr r="Y20" s="2"/>
      </tp>
      <tp>
        <v>12.645350000000001</v>
        <stp/>
        <stp>##V3_BDPV12</stp>
        <stp>SAN FP Equity</stp>
        <stp>CHG_PCT_3M</stp>
        <stp>[Index.xlsm]主要產業!R38C32</stp>
        <tr r="AF38" s="2"/>
      </tp>
      <tp>
        <v>10.431570000000001</v>
        <stp/>
        <stp>##V3_BDPV12</stp>
        <stp>IBM US Equity</stp>
        <stp>CHG_PCT_1M</stp>
        <stp>[Index.xlsm]主要產業!R20C31</stp>
        <tr r="AE20" s="2"/>
      </tp>
      <tp>
        <v>9.4773300000000003</v>
        <stp/>
        <stp>##V3_BDPV12</stp>
        <stp>SAN FP Equity</stp>
        <stp>CHG_PCT_1M</stp>
        <stp>[Index.xlsm]主要產業!R38C31</stp>
        <tr r="AE38" s="2"/>
      </tp>
      <tp>
        <v>0.44774360000000002</v>
        <stp/>
        <stp>##V3_BDPV12</stp>
        <stp>SAN FP Equity</stp>
        <stp>CHG_PCT_1D</stp>
        <stp>[Index.xlsm]主要產業!R38C25</stp>
        <tr r="Y38" s="2"/>
      </tp>
      <tp>
        <v>3.6312410000000002</v>
        <stp/>
        <stp>##V3_BDPV12</stp>
        <stp>IBM US Equity</stp>
        <stp>CHG_PCT_3M</stp>
        <stp>[Index.xlsm]主要產業!R20C32</stp>
        <tr r="AF20" s="2"/>
      </tp>
      <tp>
        <v>0.40567950000000003</v>
        <stp/>
        <stp>##V3_BDPV12</stp>
        <stp>IBM US Equity</stp>
        <stp>CHG_PCT_5D</stp>
        <stp>[Index.xlsm]主要產業!R20C30</stp>
        <tr r="AD20" s="2"/>
      </tp>
      <tp>
        <v>9.7309789999999996</v>
        <stp/>
        <stp>##V3_BDPV12</stp>
        <stp>SAN FP Equity</stp>
        <stp>CHG_PCT_6M</stp>
        <stp>[Index.xlsm]主要產業!R38C33</stp>
        <tr r="AG38" s="2"/>
      </tp>
      <tp>
        <v>4.7040040000000003</v>
        <stp/>
        <stp>##V3_BDPV12</stp>
        <stp>SAN FP Equity</stp>
        <stp>CHG_PCT_5D</stp>
        <stp>[Index.xlsm]主要產業!R38C30</stp>
        <tr r="AD38" s="2"/>
      </tp>
      <tp>
        <v>2.3748390000000001</v>
        <stp/>
        <stp>##V3_BDPV12</stp>
        <stp>IBM US Equity</stp>
        <stp>CHG_PCT_6M</stp>
        <stp>[Index.xlsm]主要產業!R20C33</stp>
        <tr r="AG20" s="2"/>
      </tp>
      <tp>
        <v>-6.6288229999999997</v>
        <stp/>
        <stp>##V3_BDPV12</stp>
        <stp>SET INDEX</stp>
        <stp>CHG_PCT_1YR</stp>
        <stp>[Index.xlsm]主要產業!R27C53</stp>
        <tr r="BA27" s="2"/>
      </tp>
      <tp>
        <v>-1.67E-2</v>
        <stp/>
        <stp>##V3_BDPV12</stp>
        <stp>usggt10y Index</stp>
        <stp>CHG_NET_1D</stp>
        <stp>[Index.xlsm]主要產業!R62C43</stp>
        <tr r="AQ62" s="2"/>
      </tp>
      <tp>
        <v>740.9</v>
        <stp/>
        <stp>##V3_BDPV12</stp>
        <stp>8306 JP Equity</stp>
        <stp>HIGH_52WEEK</stp>
        <stp>[Index.xlsm]主要產業!R79C26</stp>
        <tr r="Z79" s="2"/>
      </tp>
      <tp>
        <v>-1.4545699999999999</v>
        <stp/>
        <stp>##V3_BDPV12</stp>
        <stp>UTX US Equity</stp>
        <stp>CHG_PCT_1YR</stp>
        <stp>[Index.xlsm]主要產業!R25C35</stp>
        <tr r="AI25" s="2"/>
      </tp>
      <tp>
        <v>-1.4678119999999999</v>
        <stp/>
        <stp>##V3_BDPV12</stp>
        <stp>CVX US Equity</stp>
        <stp>CHG_PCT_1YR</stp>
        <stp>[Index.xlsm]主要產業!R11C35</stp>
        <tr r="AI11" s="2"/>
      </tp>
      <tp>
        <v>-79.118700000000004</v>
        <stp/>
        <stp>##V3_BDPV12</stp>
        <stp>usggt10y Index</stp>
        <stp>CHG_PCT_6M</stp>
        <stp>[Index.xlsm]主要產業!R62C51</stp>
        <tr r="AY62" s="2"/>
      </tp>
      <tp>
        <v>-28.200399999999998</v>
        <stp/>
        <stp>##V3_BDPV12</stp>
        <stp>usggt10y Index</stp>
        <stp>CHG_PCT_5D</stp>
        <stp>[Index.xlsm]主要產業!R62C48</stp>
        <tr r="AV62" s="2"/>
      </tp>
      <tp>
        <v>-64.754099999999994</v>
        <stp/>
        <stp>##V3_BDPV12</stp>
        <stp>usggt10y Index</stp>
        <stp>CHG_PCT_3M</stp>
        <stp>[Index.xlsm]主要產業!R62C50</stp>
        <tr r="AX62" s="2"/>
      </tp>
      <tp>
        <v>853.89610000000005</v>
        <stp/>
        <stp>##V3_BDPV12</stp>
        <stp>usggt10y Index</stp>
        <stp>CHG_PCT_1M</stp>
        <stp>[Index.xlsm]主要產業!R62C49</stp>
        <tr r="AW62" s="2"/>
      </tp>
      <tp>
        <v>44.25</v>
        <stp/>
        <stp>##V3_BDPV12</stp>
        <stp>KO US Equity</stp>
        <stp>LOW_52WEEK</stp>
        <stp>[Index.xlsm]主要產業!R13C28</stp>
        <tr r="AB13" s="2"/>
      </tp>
      <tp>
        <v>17.658664912857617</v>
        <stp/>
        <stp>##V3_BDPV12</stp>
        <stp>SI1 comdty</stp>
        <stp>PR064</stp>
        <stp>[Index.xlsm]主要產業!R45C52</stp>
        <tr r="AZ45" s="2"/>
      </tp>
      <tp>
        <v>6.5028889999999997</v>
        <stp/>
        <stp>##V3_BDPV12</stp>
        <stp>TPELMH Index</stp>
        <stp>CHG_PCT_6M</stp>
        <stp>[Index.xlsm]主要產業!R37C13</stp>
        <tr r="M37" s="2"/>
      </tp>
      <tp>
        <v>1.6841699999999999</v>
        <stp/>
        <stp>##V3_BDPV12</stp>
        <stp>TPCOMM Index</stp>
        <stp>CHG_PCT_3M</stp>
        <stp>[Index.xlsm]主要產業!R38C12</stp>
        <tr r="L38" s="2"/>
      </tp>
      <tp>
        <v>3.3035809999999999</v>
        <stp/>
        <stp>##V3_BDPV12</stp>
        <stp>TPCOMM Index</stp>
        <stp>CHG_PCT_1M</stp>
        <stp>[Index.xlsm]主要產業!R38C11</stp>
        <tr r="K38" s="2"/>
      </tp>
      <tp>
        <v>0.1745015</v>
        <stp/>
        <stp>##V3_BDPV12</stp>
        <stp>TPELMH Index</stp>
        <stp>CHG_PCT_5D</stp>
        <stp>[Index.xlsm]主要產業!R37C10</stp>
        <tr r="J37" s="2"/>
      </tp>
      <tp>
        <v>5.9000940000000002</v>
        <stp/>
        <stp>##V3_BDPV12</stp>
        <stp>TPELMH Index</stp>
        <stp>CHG_PCT_3M</stp>
        <stp>[Index.xlsm]主要產業!R37C12</stp>
        <tr r="L37" s="2"/>
      </tp>
      <tp>
        <v>5.2475189999999996</v>
        <stp/>
        <stp>##V3_BDPV12</stp>
        <stp>TPCOMM Index</stp>
        <stp>CHG_PCT_6M</stp>
        <stp>[Index.xlsm]主要產業!R38C13</stp>
        <tr r="M38" s="2"/>
      </tp>
      <tp>
        <v>0.5259414</v>
        <stp/>
        <stp>##V3_BDPV12</stp>
        <stp>TPCOMM Index</stp>
        <stp>CHG_PCT_5D</stp>
        <stp>[Index.xlsm]主要產業!R38C10</stp>
        <tr r="J38" s="2"/>
      </tp>
      <tp>
        <v>10.839779999999999</v>
        <stp/>
        <stp>##V3_BDPV12</stp>
        <stp>TPELMH Index</stp>
        <stp>CHG_PCT_1M</stp>
        <stp>[Index.xlsm]主要產業!R37C11</stp>
        <tr r="K37" s="2"/>
      </tp>
      <tp>
        <v>1773.5</v>
        <stp/>
        <stp>##V3_BDPV12</stp>
        <stp>lmpbds03 comdty</stp>
        <stp>LOW_52WEEK</stp>
        <stp>[Index.xlsm]主要產業!R48C46</stp>
        <tr r="AT48" s="2"/>
      </tp>
      <tp>
        <v>-9.6361430000000006</v>
        <stp/>
        <stp>##V3_BDPV12</stp>
        <stp>DBK GR Equity</stp>
        <stp>CHG_PCT_6M</stp>
        <stp>[Index.xlsm]主要產業!R63C33</stp>
        <tr r="AG63" s="2"/>
      </tp>
      <tp>
        <v>-7.2883909999999998</v>
        <stp/>
        <stp>##V3_BDPV12</stp>
        <stp>DBK GR Equity</stp>
        <stp>CHG_PCT_5D</stp>
        <stp>[Index.xlsm]主要產業!R63C30</stp>
        <tr r="AD63" s="2"/>
      </tp>
      <tp>
        <v>2.5718589999999999</v>
        <stp/>
        <stp>##V3_BDPV12</stp>
        <stp>DBK GR Equity</stp>
        <stp>CHG_PCT_3M</stp>
        <stp>[Index.xlsm]主要產業!R63C32</stp>
        <tr r="AF63" s="2"/>
      </tp>
      <tp>
        <v>-1.895529</v>
        <stp/>
        <stp>##V3_BDPV12</stp>
        <stp>DBK GR Equity</stp>
        <stp>CHG_PCT_1D</stp>
        <stp>[Index.xlsm]主要產業!R63C25</stp>
        <tr r="Y63" s="2"/>
      </tp>
      <tp>
        <v>5.459638</v>
        <stp/>
        <stp>##V3_BDPV12</stp>
        <stp>DBK GR Equity</stp>
        <stp>CHG_PCT_1M</stp>
        <stp>[Index.xlsm]主要產業!R63C31</stp>
        <tr r="AE63" s="2"/>
      </tp>
      <tp>
        <v>-1.987001</v>
        <stp/>
        <stp>##V3_BDPV12</stp>
        <stp>MCD US Equity</stp>
        <stp>CHG_PCT_1M</stp>
        <stp>[Index.xlsm]主要產業!R16C31</stp>
        <tr r="AE16" s="2"/>
      </tp>
      <tp>
        <v>-1.410902E-2</v>
        <stp/>
        <stp>##V3_BDPV12</stp>
        <stp>MCD US Equity</stp>
        <stp>CHG_PCT_1D</stp>
        <stp>[Index.xlsm]主要產業!R16C25</stp>
        <tr r="Y16" s="2"/>
      </tp>
      <tp>
        <v>3.935467</v>
        <stp/>
        <stp>##V3_BDPV12</stp>
        <stp>MCD US Equity</stp>
        <stp>CHG_PCT_3M</stp>
        <stp>[Index.xlsm]主要產業!R16C32</stp>
        <tr r="AF16" s="2"/>
      </tp>
      <tp>
        <v>0.98802959999999995</v>
        <stp/>
        <stp>##V3_BDPV12</stp>
        <stp>MCD US Equity</stp>
        <stp>CHG_PCT_5D</stp>
        <stp>[Index.xlsm]主要產業!R16C30</stp>
        <tr r="AD16" s="2"/>
      </tp>
      <tp>
        <v>13.398770000000001</v>
        <stp/>
        <stp>##V3_BDPV12</stp>
        <stp>MCD US Equity</stp>
        <stp>CHG_PCT_6M</stp>
        <stp>[Index.xlsm]主要產業!R16C33</stp>
        <tr r="AG16" s="2"/>
      </tp>
      <tp>
        <v>105930.203125</v>
        <stp/>
        <stp>##V3_BDPV12</stp>
        <stp>XU100 INDEX</stp>
        <stp>HIGH_52WEEK</stp>
        <stp>[Index.xlsm]主要產業!R33C44</stp>
        <tr r="AR33" s="2"/>
      </tp>
      <tp t="s">
        <v>2019/9/27</v>
        <stp/>
        <stp>##V3_BDPV12</stp>
        <stp>tW1  Index</stp>
        <stp>FUT_LAST_TRADE_DT</stp>
        <stp>[Index.xlsm]主要產業!R97C45</stp>
        <tr r="AS97" s="2"/>
      </tp>
      <tp>
        <v>10.88406</v>
        <stp/>
        <stp>##V3_BDPV12</stp>
        <stp>s5util Index</stp>
        <stp>CHG_PCT_6M</stp>
        <stp>[Index.xlsm]主要產業!R14C13</stp>
        <tr r="M14" s="2"/>
      </tp>
      <tp>
        <v>2.0242550000000001</v>
        <stp/>
        <stp>##V3_BDPV12</stp>
        <stp>s5util Index</stp>
        <stp>CHG_PCT_5D</stp>
        <stp>[Index.xlsm]主要產業!R14C10</stp>
        <tr r="J14" s="2"/>
      </tp>
      <tp>
        <v>9.2711190000000006</v>
        <stp/>
        <stp>##V3_BDPV12</stp>
        <stp>s5util Index</stp>
        <stp>CHG_PCT_3M</stp>
        <stp>[Index.xlsm]主要產業!R14C12</stp>
        <tr r="L14" s="2"/>
      </tp>
      <tp>
        <v>4.7035179999999999</v>
        <stp/>
        <stp>##V3_BDPV12</stp>
        <stp>s5util Index</stp>
        <stp>CHG_PCT_1M</stp>
        <stp>[Index.xlsm]主要產業!R14C11</stp>
        <tr r="K14" s="2"/>
      </tp>
      <tp>
        <v>13725</v>
        <stp/>
        <stp>##V3_BDPV12</stp>
        <stp>xu1 pit Index</stp>
        <stp>PX_LAST</stp>
        <stp>[Index.xlsm]主要產業!R96C42</stp>
        <tr r="AP96" s="2"/>
      </tp>
      <tp>
        <v>404.40000000000003</v>
        <stp/>
        <stp>##V3_BDPV12</stp>
        <stp>tw1 pit Index</stp>
        <stp>PX_LAST</stp>
        <stp>[Index.xlsm]主要產業!R97C42</stp>
        <tr r="AP97" s="2"/>
      </tp>
      <tp>
        <v>11.75924</v>
        <stp/>
        <stp>##V3_BDPV12</stp>
        <stp>SZCOMP INDEX</stp>
        <stp>CHG_PCT_1YR</stp>
        <stp>[Index.xlsm]主要產業!R25C53</stp>
        <tr r="BA25" s="2"/>
      </tp>
      <tp t="s">
        <v>2019/12/20</v>
        <stp/>
        <stp>##V3_BDPV12</stp>
        <stp>ES1 Index</stp>
        <stp>FUT_LAST_TRADE_DT</stp>
        <stp>[Index.xlsm]主要產業!R92C45</stp>
        <tr r="AS92" s="2"/>
      </tp>
      <tp>
        <v>6.2744757486186273</v>
        <stp/>
        <stp>##V3_BDPV12</stp>
        <stp>TWSEDEPT Index</stp>
        <stp>INTERVAL_Low</stp>
        <stp>[Index.xlsm]主要產業!R85C17</stp>
        <stp>MARKET_DATA_OVERRIDE=PE_RATIO</stp>
        <stp>CALC_INTERVAL=5y</stp>
        <stp>BEST_FPERIOD_OVERRIDE=BF</stp>
        <tr r="Q85" s="2"/>
      </tp>
      <tp>
        <v>33.34940855249787</v>
        <stp/>
        <stp>##V3_BDPV12</stp>
        <stp>000858 CS Equity</stp>
        <stp>PE_RATIO</stp>
        <stp>[Index.xlsm]主要產業!R93C38</stp>
        <tr r="AL93" s="2"/>
      </tp>
      <tp>
        <v>13.2362</v>
        <stp/>
        <stp>##V3_BDPV12</stp>
        <stp>ZAR Curncy</stp>
        <stp>LOW_52WEEK</stp>
        <stp>[Index.xlsm]主要產業!R80C46</stp>
        <tr r="AT80" s="2"/>
      </tp>
      <tp>
        <v>68.290000000000006</v>
        <stp/>
        <stp>##V3_BDPV12</stp>
        <stp>INR Curncy</stp>
        <stp>LOW_52WEEK</stp>
        <stp>[Index.xlsm]主要產業!R82C46</stp>
        <tr r="AT82" s="2"/>
      </tp>
      <tp>
        <v>1.0909</v>
        <stp/>
        <stp>##V3_BDPV12</stp>
        <stp>EUR Curncy</stp>
        <stp>LOW_52WEEK</stp>
        <stp>[Index.xlsm]主要產業!R72C46</stp>
        <tr r="AT72" s="2"/>
      </tp>
      <tp>
        <v>6.0905555517823444</v>
        <stp/>
        <stp>##V3_BDPV12</stp>
        <stp>600000 CG Equity</stp>
        <stp>PE_RATIO</stp>
        <stp>[Index.xlsm]主要產業!R96C38</stp>
        <tr r="AL96" s="2"/>
      </tp>
      <tp>
        <v>5.1090348500081282</v>
        <stp/>
        <stp>##V3_BDPV12</stp>
        <stp>600016 CG Equity</stp>
        <stp>PE_RATIO</stp>
        <stp>[Index.xlsm]主要產業!R97C38</stp>
        <tr r="AL97" s="2"/>
      </tp>
      <tp>
        <v>26.988179976663886</v>
        <stp/>
        <stp>##V3_BDPV12</stp>
        <stp>600030 CG Equity</stp>
        <stp>PE_RATIO</stp>
        <stp>[Index.xlsm]主要產業!R94C38</stp>
        <tr r="AL94" s="2"/>
      </tp>
      <tp>
        <v>10.332603387844941</v>
        <stp/>
        <stp>##V3_BDPV12</stp>
        <stp>600036 CG Equity</stp>
        <stp>PE_RATIO</stp>
        <stp>[Index.xlsm]主要產業!R90C38</stp>
        <tr r="AL90" s="2"/>
      </tp>
      <tp>
        <v>7.9682871018757053</v>
        <stp/>
        <stp>##V3_BDPV12</stp>
        <stp>000002 CS Equity</stp>
        <stp>PE_RATIO</stp>
        <stp>[Index.xlsm]主要產業!R95C38</stp>
        <tr r="AL95" s="2"/>
      </tp>
      <tp>
        <v>12.768479656054284</v>
        <stp/>
        <stp>##V3_BDPV12</stp>
        <stp>000651 CS Equity</stp>
        <stp>PE_RATIO</stp>
        <stp>[Index.xlsm]主要產業!R91C38</stp>
        <tr r="AL91" s="2"/>
      </tp>
      <tp>
        <v>37.220188383269836</v>
        <stp/>
        <stp>##V3_BDPV12</stp>
        <stp>600519 CG Equity</stp>
        <stp>PE_RATIO</stp>
        <stp>[Index.xlsm]主要產業!R89C38</stp>
        <tr r="AL89" s="2"/>
      </tp>
      <tp>
        <v>0</v>
        <stp/>
        <stp>##V3_BDPV12</stp>
        <stp>JPY Curncy</stp>
        <stp>PR064</stp>
        <stp>[Index.xlsm]主要產業!R70C52</stp>
        <tr r="AZ70" s="2"/>
      </tp>
      <tp>
        <v>1.454272</v>
        <stp/>
        <stp>##V3_BDPV12</stp>
        <stp>TPNBNK Index</stp>
        <stp>CHG_PCT_5D</stp>
        <stp>[Index.xlsm]主要產業!R41C10</stp>
        <tr r="J41" s="2"/>
      </tp>
      <tp>
        <v>-2.1861980000000001</v>
        <stp/>
        <stp>##V3_BDPV12</stp>
        <stp>TPNBNK Index</stp>
        <stp>CHG_PCT_6M</stp>
        <stp>[Index.xlsm]主要產業!R41C13</stp>
        <tr r="M41" s="2"/>
      </tp>
      <tp>
        <v>13.90544</v>
        <stp/>
        <stp>##V3_BDPV12</stp>
        <stp>TPNBNK Index</stp>
        <stp>CHG_PCT_1M</stp>
        <stp>[Index.xlsm]主要產業!R41C11</stp>
        <tr r="K41" s="2"/>
      </tp>
      <tp>
        <v>5.8611969999999998</v>
        <stp/>
        <stp>##V3_BDPV12</stp>
        <stp>TPNBNK Index</stp>
        <stp>CHG_PCT_3M</stp>
        <stp>[Index.xlsm]主要產業!R41C12</stp>
        <tr r="L41" s="2"/>
      </tp>
      <tp>
        <v>2513</v>
        <stp/>
        <stp>##V3_BDPV12</stp>
        <stp>DGE LN Equity</stp>
        <stp>LOW_52WEEK</stp>
        <stp>[Index.xlsm]主要產業!R48C28</stp>
        <tr r="AB48" s="2"/>
      </tp>
      <tp>
        <v>-4.4065669999999999</v>
        <stp/>
        <stp>##V3_BDPV12</stp>
        <stp>BAS GR Equity</stp>
        <stp>CHG_PCT_6M</stp>
        <stp>[Index.xlsm]主要產業!R59C33</stp>
        <tr r="AG59" s="2"/>
      </tp>
      <tp>
        <v>-2.3831920000000002</v>
        <stp/>
        <stp>##V3_BDPV12</stp>
        <stp>BAS GR Equity</stp>
        <stp>CHG_PCT_5D</stp>
        <stp>[Index.xlsm]主要產業!R59C30</stp>
        <tr r="AD59" s="2"/>
      </tp>
      <tp>
        <v>-1.6429689999999999</v>
        <stp/>
        <stp>##V3_BDPV12</stp>
        <stp>BAS GR Equity</stp>
        <stp>CHG_PCT_3M</stp>
        <stp>[Index.xlsm]主要產業!R59C32</stp>
        <tr r="AF59" s="2"/>
      </tp>
      <tp>
        <v>5518</v>
        <stp/>
        <stp>##V3_BDPV12</stp>
        <stp>lmcads03 comdty</stp>
        <stp>LOW_52WEEK</stp>
        <stp>[Index.xlsm]主要產業!R47C46</stp>
        <tr r="AT47" s="2"/>
      </tp>
      <tp>
        <v>0.79326529999999995</v>
        <stp/>
        <stp>##V3_BDPV12</stp>
        <stp>BAS GR Equity</stp>
        <stp>CHG_PCT_1D</stp>
        <stp>[Index.xlsm]主要產業!R59C25</stp>
        <tr r="Y59" s="2"/>
      </tp>
      <tp>
        <v>6.9208319999999999</v>
        <stp/>
        <stp>##V3_BDPV12</stp>
        <stp>BAS GR Equity</stp>
        <stp>CHG_PCT_1M</stp>
        <stp>[Index.xlsm]主要產業!R59C31</stp>
        <tr r="AE59" s="2"/>
      </tp>
      <tp>
        <v>-4.685181</v>
        <stp/>
        <stp>##V3_BDPV12</stp>
        <stp>DAI GR Equity</stp>
        <stp>CHG_PCT_5D</stp>
        <stp>[Index.xlsm]主要產業!R61C30</stp>
        <tr r="AD61" s="2"/>
      </tp>
      <tp>
        <v>-12.580209999999999</v>
        <stp/>
        <stp>##V3_BDPV12</stp>
        <stp>DAI GR Equity</stp>
        <stp>CHG_PCT_6M</stp>
        <stp>[Index.xlsm]主要產業!R61C33</stp>
        <tr r="AG61" s="2"/>
      </tp>
      <tp>
        <v>-1.208526</v>
        <stp/>
        <stp>##V3_BDPV12</stp>
        <stp>DAI GR Equity</stp>
        <stp>CHG_PCT_1D</stp>
        <stp>[Index.xlsm]主要產業!R61C25</stp>
        <tr r="Y61" s="2"/>
      </tp>
      <tp>
        <v>8.5859229999999993</v>
        <stp/>
        <stp>##V3_BDPV12</stp>
        <stp>DAI GR Equity</stp>
        <stp>CHG_PCT_1M</stp>
        <stp>[Index.xlsm]主要產業!R61C31</stp>
        <tr r="AE61" s="2"/>
      </tp>
      <tp>
        <v>-6.9151119999999997</v>
        <stp/>
        <stp>##V3_BDPV12</stp>
        <stp>DAI GR Equity</stp>
        <stp>CHG_PCT_3M</stp>
        <stp>[Index.xlsm]主要產業!R61C32</stp>
        <tr r="AF61" s="2"/>
      </tp>
      <tp>
        <v>15.777045482294316</v>
        <stp/>
        <stp>##V3_BDPV12</stp>
        <stp>s5enrs Index</stp>
        <stp>PE_RATIO</stp>
        <stp>[Index.xlsm]主要產業!R12C18</stp>
        <tr r="R12" s="2"/>
      </tp>
      <tp>
        <v>0.32219999999999999</v>
        <stp/>
        <stp>##V3_BDPV12</stp>
        <stp>USDTWD TPFT Curncy</stp>
        <stp>PR064</stp>
        <stp>[Index.xlsm]主要產業!R69C52</stp>
        <tr r="AZ69" s="2"/>
      </tp>
      <tp>
        <v>-3.3492820000000001</v>
        <stp/>
        <stp>##V3_BDPV12</stp>
        <stp>600016 CG Equity</stp>
        <stp>CHG_PCT_1YR</stp>
        <stp>[Index.xlsm]主要產業!R97C35</stp>
        <tr r="AI97" s="2"/>
      </tp>
      <tp>
        <v>15.74104</v>
        <stp/>
        <stp>##V3_BDPV12</stp>
        <stp>600036 CG Equity</stp>
        <stp>CHG_PCT_1YR</stp>
        <stp>[Index.xlsm]主要產業!R90C35</stp>
        <tr r="AI90" s="2"/>
      </tp>
      <tp>
        <v>11.956519999999999</v>
        <stp/>
        <stp>##V3_BDPV12</stp>
        <stp>601166 CG Equity</stp>
        <stp>CHG_PCT_1YR</stp>
        <stp>[Index.xlsm]主要產業!R92C35</stp>
        <tr r="AI92" s="2"/>
      </tp>
      <tp>
        <v>10.349918342904367</v>
        <stp/>
        <stp>##V3_BDPV12</stp>
        <stp>TWSEELEC Index</stp>
        <stp>INTERVAL_Low</stp>
        <stp>[Index.xlsm]主要產業!R69C17</stp>
        <stp>MARKET_DATA_OVERRIDE=PE_RATIO</stp>
        <stp>CALC_INTERVAL=5y</stp>
        <stp>BEST_FPERIOD_OVERRIDE=BF</stp>
        <tr r="Q69" s="2"/>
      </tp>
      <tp>
        <v>35.353400000000001</v>
        <stp/>
        <stp>##V3_BDPV12</stp>
        <stp>ARS Curncy</stp>
        <stp>LOW_52WEEK</stp>
        <stp>[Index.xlsm]主要產業!R81C46</stp>
        <tr r="AT81" s="2"/>
      </tp>
      <tp>
        <v>10.709242600667316</v>
        <stp/>
        <stp>##V3_BDPV12</stp>
        <stp>601318 CG Equity</stp>
        <stp>PE_RATIO</stp>
        <stp>[Index.xlsm]主要產業!R88C38</stp>
        <tr r="AL88" s="2"/>
      </tp>
      <tp>
        <v>5.9320159906557492</v>
        <stp/>
        <stp>##V3_BDPV12</stp>
        <stp>601166 CG Equity</stp>
        <stp>PE_RATIO</stp>
        <stp>[Index.xlsm]主要產業!R92C38</stp>
        <tr r="AL92" s="2"/>
      </tp>
      <tp>
        <v>-2.3696060000000001</v>
        <stp/>
        <stp>##V3_BDPV12</stp>
        <stp>HSCISV Index</stp>
        <stp>CHG_PCT_3M</stp>
        <stp>[Index.xlsm]主要產業!R66C12</stp>
        <tr r="L66" s="2"/>
      </tp>
      <tp>
        <v>4.0804809999999998</v>
        <stp/>
        <stp>##V3_BDPV12</stp>
        <stp>HSCISV Index</stp>
        <stp>CHG_PCT_1M</stp>
        <stp>[Index.xlsm]主要產業!R66C11</stp>
        <tr r="K66" s="2"/>
      </tp>
      <tp>
        <v>-4.6431519999999997</v>
        <stp/>
        <stp>##V3_BDPV12</stp>
        <stp>HSCISV Index</stp>
        <stp>CHG_PCT_6M</stp>
        <stp>[Index.xlsm]主要產業!R66C13</stp>
        <tr r="M66" s="2"/>
      </tp>
      <tp>
        <v>0</v>
        <stp/>
        <stp>##V3_BDPV12</stp>
        <stp>HSCISV Index</stp>
        <stp>CHG_PCT_5D</stp>
        <stp>[Index.xlsm]主要產業!R66C10</stp>
        <tr r="J66" s="2"/>
      </tp>
      <tp>
        <v>5.8609999999999998</v>
        <stp/>
        <stp>##V3_BDPV12</stp>
        <stp>TEF SM Equity</stp>
        <stp>LOW_52WEEK</stp>
        <stp>[Index.xlsm]主要產業!R66C28</stp>
        <tr r="AB66" s="2"/>
      </tp>
      <tp>
        <v>10.461460000000001</v>
        <stp/>
        <stp>##V3_BDPV12</stp>
        <stp>CAT US Equity</stp>
        <stp>CHG_PCT_1M</stp>
        <stp>[Index.xlsm]主要產業!R31C31</stp>
        <tr r="AE31" s="2"/>
      </tp>
      <tp>
        <v>-0.1737619</v>
        <stp/>
        <stp>##V3_BDPV12</stp>
        <stp>CAT US Equity</stp>
        <stp>CHG_PCT_1D</stp>
        <stp>[Index.xlsm]主要產業!R31C25</stp>
        <tr r="Y31" s="2"/>
      </tp>
      <tp>
        <v>-6.4816830000000003</v>
        <stp/>
        <stp>##V3_BDPV12</stp>
        <stp>CAT US Equity</stp>
        <stp>CHG_PCT_3M</stp>
        <stp>[Index.xlsm]主要產業!R31C32</stp>
        <tr r="AF31" s="2"/>
      </tp>
      <tp>
        <v>-2.8665850000000002</v>
        <stp/>
        <stp>##V3_BDPV12</stp>
        <stp>CAT US Equity</stp>
        <stp>CHG_PCT_5D</stp>
        <stp>[Index.xlsm]主要產業!R31C30</stp>
        <tr r="AD31" s="2"/>
      </tp>
      <tp>
        <v>-4.1337960000000002</v>
        <stp/>
        <stp>##V3_BDPV12</stp>
        <stp>CAT US Equity</stp>
        <stp>CHG_PCT_6M</stp>
        <stp>[Index.xlsm]主要產業!R31C33</stp>
        <tr r="AG31" s="2"/>
      </tp>
      <tp>
        <v>891.32</v>
        <stp/>
        <stp>##V3_BDPV12</stp>
        <stp>SHSPCCFI Index</stp>
        <stp>HIGH_52WEEK</stp>
        <stp>[Index.xlsm]主要產業!R41C44</stp>
        <tr r="AR41" s="2"/>
      </tp>
      <tp>
        <v>53.792115282320026</v>
        <stp/>
        <stp>##V3_BDPV12</stp>
        <stp>SX8P INDEX</stp>
        <stp>INTERVAL_HIGH</stp>
        <stp>[Index.xlsm]主要產業!R26C16</stp>
        <stp>MARKET_DATA_OVERRIDE=PE_RATIO</stp>
        <stp>CALC_INTERVAL=5y</stp>
        <stp>BEST_FPERIOD_OVERRIDE=BF</stp>
        <tr r="P26" s="2"/>
      </tp>
      <tp>
        <v>7494</v>
        <stp/>
        <stp>##V3_BDPV12</stp>
        <stp>7203 JP Equity</stp>
        <stp>HIGH_52WEEK</stp>
        <stp>[Index.xlsm]主要產業!R77C26</stp>
        <tr r="Z77" s="2"/>
      </tp>
      <tp>
        <v>6.61224310170312</v>
        <stp/>
        <stp>##V3_BDPV12</stp>
        <stp>BBVA SM Equity</stp>
        <stp>INTERVAL_Low</stp>
        <stp>[Index.xlsm]主要產業!R65C37</stp>
        <stp>MARKET_DATA_OVERRIDE=PE_RATIO</stp>
        <stp>CALC_INTERVAL=5y</stp>
        <stp>BEST_FPERIOD_OVERRIDE=BF</stp>
        <tr r="AK65" s="2"/>
      </tp>
      <tp>
        <v>29.759375700386876</v>
        <stp/>
        <stp>##V3_BDPV12</stp>
        <stp>SX3P INDEX</stp>
        <stp>INTERVAL_HIGH</stp>
        <stp>[Index.xlsm]主要產業!R22C16</stp>
        <stp>MARKET_DATA_OVERRIDE=PE_RATIO</stp>
        <stp>CALC_INTERVAL=5y</stp>
        <stp>BEST_FPERIOD_OVERRIDE=BF</stp>
        <tr r="P22" s="2"/>
      </tp>
      <tp>
        <v>26.930972065962727</v>
        <stp/>
        <stp>##V3_BDPV12</stp>
        <stp>SX4P INDEX</stp>
        <stp>INTERVAL_HIGH</stp>
        <stp>[Index.xlsm]主要產業!R27C16</stp>
        <stp>MARKET_DATA_OVERRIDE=PE_RATIO</stp>
        <stp>CALC_INTERVAL=5y</stp>
        <stp>BEST_FPERIOD_OVERRIDE=BF</stp>
        <tr r="P27" s="2"/>
      </tp>
      <tp>
        <v>62.993153998526623</v>
        <stp/>
        <stp>##V3_BDPV12</stp>
        <stp>SX7P INDEX</stp>
        <stp>INTERVAL_HIGH</stp>
        <stp>[Index.xlsm]主要產業!R21C16</stp>
        <stp>MARKET_DATA_OVERRIDE=PE_RATIO</stp>
        <stp>CALC_INTERVAL=5y</stp>
        <stp>BEST_FPERIOD_OVERRIDE=BF</stp>
        <tr r="P21" s="2"/>
      </tp>
      <tp>
        <v>77.096862364401844</v>
        <stp/>
        <stp>##V3_BDPV12</stp>
        <stp>SX6P INDEX</stp>
        <stp>INTERVAL_HIGH</stp>
        <stp>[Index.xlsm]主要產業!R25C16</stp>
        <stp>MARKET_DATA_OVERRIDE=PE_RATIO</stp>
        <stp>CALC_INTERVAL=5y</stp>
        <stp>BEST_FPERIOD_OVERRIDE=BF</stp>
        <tr r="P25" s="2"/>
      </tp>
      <tp>
        <v>2053</v>
        <stp/>
        <stp>##V3_BDPV12</stp>
        <stp>BDIY Index</stp>
        <stp>PX_LAST</stp>
        <stp>[Index.xlsm]主要產業!R40C42</stp>
        <tr r="AP40" s="2"/>
      </tp>
      <tp>
        <v>11.422319999999999</v>
        <stp/>
        <stp>##V3_BDPV12</stp>
        <stp>INTC US Equity</stp>
        <stp>CHG_PCT_1YR</stp>
        <stp>[Index.xlsm]主要產業!R10C35</stp>
        <tr r="AI10" s="2"/>
      </tp>
      <tp>
        <v>7.4736321918768613</v>
        <stp/>
        <stp>##V3_BDPV12</stp>
        <stp>BARC LN Equity</stp>
        <stp>INTERVAL_Low</stp>
        <stp>[Index.xlsm]主要產業!R54C37</stp>
        <stp>MARKET_DATA_OVERRIDE=PE_RATIO</stp>
        <stp>CALC_INTERVAL=5y</stp>
        <stp>BEST_FPERIOD_OVERRIDE=BF</stp>
        <tr r="AK54" s="2"/>
      </tp>
      <tp>
        <v>-15.068339999999999</v>
        <stp/>
        <stp>##V3_BDPV12</stp>
        <stp>BARC LN Equity</stp>
        <stp>CHG_PCT_1YR</stp>
        <stp>[Index.xlsm]主要產業!R54C35</stp>
        <tr r="AI54" s="2"/>
      </tp>
      <tp>
        <v>9.5500465891557749</v>
        <stp/>
        <stp>##V3_BDPV12</stp>
        <stp>BAYN GR Equity</stp>
        <stp>INTERVAL_Low</stp>
        <stp>[Index.xlsm]主要產業!R58C37</stp>
        <stp>MARKET_DATA_OVERRIDE=PE_RATIO</stp>
        <stp>CALC_INTERVAL=5y</stp>
        <stp>BEST_FPERIOD_OVERRIDE=BF</stp>
        <tr r="AK58" s="2"/>
      </tp>
      <tp>
        <v>8.2795517106297574</v>
        <stp/>
        <stp>##V3_BDPV12</stp>
        <stp>TWSEEPD Index</stp>
        <stp>INTERVAL_Low</stp>
        <stp>[Index.xlsm]主要產業!R91C17</stp>
        <stp>MARKET_DATA_OVERRIDE=PE_RATIO</stp>
        <stp>CALC_INTERVAL=5y</stp>
        <stp>BEST_FPERIOD_OVERRIDE=BF</stp>
        <tr r="Q91" s="2"/>
      </tp>
      <tp>
        <v>3.4170021935997989E-2</v>
        <stp/>
        <stp>##V3_BDPV12</stp>
        <stp>TWSEECI Index</stp>
        <stp>INTERVAL_Low</stp>
        <stp>[Index.xlsm]主要產業!R74C17</stp>
        <stp>MARKET_DATA_OVERRIDE=PE_RATIO</stp>
        <stp>CALC_INTERVAL=5y</stp>
        <stp>BEST_FPERIOD_OVERRIDE=BF</stp>
        <tr r="Q74" s="2"/>
      </tp>
      <tp>
        <v>6.4405724378755638</v>
        <stp/>
        <stp>##V3_BDPV12</stp>
        <stp>TWSEEAW Index</stp>
        <stp>INTERVAL_Low</stp>
        <stp>[Index.xlsm]主要產業!R94C17</stp>
        <stp>MARKET_DATA_OVERRIDE=PE_RATIO</stp>
        <stp>CALC_INTERVAL=5y</stp>
        <stp>BEST_FPERIOD_OVERRIDE=BF</stp>
        <tr r="Q94" s="2"/>
      </tp>
      <tp>
        <v>18.524415781457467</v>
        <stp/>
        <stp>##V3_BDPV12</stp>
        <stp>TWSEGLP Index</stp>
        <stp>INTERVAL_Low</stp>
        <stp>[Index.xlsm]主要產業!R97C17</stp>
        <stp>MARKET_DATA_OVERRIDE=PE_RATIO</stp>
        <stp>CALC_INTERVAL=5y</stp>
        <stp>BEST_FPERIOD_OVERRIDE=BF</stp>
        <tr r="Q97" s="2"/>
      </tp>
      <tp>
        <v>45.799590000000002</v>
        <stp/>
        <stp>##V3_BDPV12</stp>
        <stp>000651 CS Equity</stp>
        <stp>CHG_PCT_1YR</stp>
        <stp>[Index.xlsm]主要產業!R91C35</stp>
        <tr r="AI91" s="2"/>
      </tp>
      <tp>
        <v>10.350866381081849</v>
        <stp/>
        <stp>##V3_BDPV12</stp>
        <stp>TWSECPE Index</stp>
        <stp>INTERVAL_Low</stp>
        <stp>[Index.xlsm]主要產業!R76C17</stp>
        <stp>MARKET_DATA_OVERRIDE=PE_RATIO</stp>
        <stp>CALC_INTERVAL=5y</stp>
        <stp>BEST_FPERIOD_OVERRIDE=BF</stp>
        <tr r="Q76" s="2"/>
      </tp>
      <tp>
        <v>6.0684002467502953</v>
        <stp/>
        <stp>##V3_BDPV12</stp>
        <stp>TWSECON Index</stp>
        <stp>INTERVAL_Low</stp>
        <stp>[Index.xlsm]主要產業!R86C17</stp>
        <stp>MARKET_DATA_OVERRIDE=PE_RATIO</stp>
        <stp>CALC_INTERVAL=5y</stp>
        <stp>BEST_FPERIOD_OVERRIDE=BF</stp>
        <tr r="Q86" s="2"/>
      </tp>
      <tp>
        <v>10.267243081807322</v>
        <stp/>
        <stp>##V3_BDPV12</stp>
        <stp>TWSECHI Index</stp>
        <stp>INTERVAL_Low</stp>
        <stp>[Index.xlsm]主要產業!R90C17</stp>
        <stp>MARKET_DATA_OVERRIDE=PE_RATIO</stp>
        <stp>CALC_INTERVAL=5y</stp>
        <stp>BEST_FPERIOD_OVERRIDE=BF</stp>
        <tr r="Q90" s="2"/>
      </tp>
      <tp>
        <v>9.012971332743744</v>
        <stp/>
        <stp>##V3_BDPV12</stp>
        <stp>TWSECEM Index</stp>
        <stp>INTERVAL_Low</stp>
        <stp>[Index.xlsm]主要產業!R88C17</stp>
        <stp>MARKET_DATA_OVERRIDE=PE_RATIO</stp>
        <stp>CALC_INTERVAL=5y</stp>
        <stp>BEST_FPERIOD_OVERRIDE=BF</stp>
        <tr r="Q88" s="2"/>
      </tp>
      <tp>
        <v>19.616566892770603</v>
        <stp/>
        <stp>##V3_BDPV12</stp>
        <stp>TWSECII Index</stp>
        <stp>INTERVAL_Low</stp>
        <stp>[Index.xlsm]主要產業!R72C17</stp>
        <stp>MARKET_DATA_OVERRIDE=PE_RATIO</stp>
        <stp>CALC_INTERVAL=5y</stp>
        <stp>BEST_FPERIOD_OVERRIDE=BF</stp>
        <tr r="Q72" s="2"/>
      </tp>
      <tp>
        <v>23.322916618352391</v>
        <stp/>
        <stp>##V3_BDPV12</stp>
        <stp>TWSEBMC Index</stp>
        <stp>INTERVAL_Low</stp>
        <stp>[Index.xlsm]主要產業!R92C17</stp>
        <stp>MARKET_DATA_OVERRIDE=PE_RATIO</stp>
        <stp>CALC_INTERVAL=5y</stp>
        <stp>BEST_FPERIOD_OVERRIDE=BF</stp>
        <tr r="Q92" s="2"/>
      </tp>
      <tp>
        <v>8.0078214509402539</v>
        <stp/>
        <stp>##V3_BDPV12</stp>
        <stp>TWSEBKI Index</stp>
        <stp>INTERVAL_Low</stp>
        <stp>[Index.xlsm]主要產業!R71C17</stp>
        <stp>MARKET_DATA_OVERRIDE=PE_RATIO</stp>
        <stp>CALC_INTERVAL=5y</stp>
        <stp>BEST_FPERIOD_OVERRIDE=BF</stp>
        <tr r="Q71" s="2"/>
      </tp>
      <tp>
        <v>11.244277597708177</v>
        <stp/>
        <stp>##V3_BDPV12</stp>
        <stp>TWSEOPE Index</stp>
        <stp>INTERVAL_Low</stp>
        <stp>[Index.xlsm]主要產業!R78C17</stp>
        <stp>MARKET_DATA_OVERRIDE=PE_RATIO</stp>
        <stp>CALC_INTERVAL=5y</stp>
        <stp>BEST_FPERIOD_OVERRIDE=BF</stp>
        <tr r="Q78" s="2"/>
      </tp>
      <tp>
        <v>11.255553564082204</v>
        <stp/>
        <stp>##V3_BDPV12</stp>
        <stp>TWSEOEG Index</stp>
        <stp>INTERVAL_Low</stp>
        <stp>[Index.xlsm]主要產業!R79C17</stp>
        <stp>MARKET_DATA_OVERRIDE=PE_RATIO</stp>
        <stp>CALC_INTERVAL=5y</stp>
        <stp>BEST_FPERIOD_OVERRIDE=BF</stp>
        <tr r="Q79" s="2"/>
      </tp>
      <tp>
        <v>7.4175553103370095</v>
        <stp/>
        <stp>##V3_BDPV12</stp>
        <stp>TWSEOEI Index</stp>
        <stp>INTERVAL_Low</stp>
        <stp>[Index.xlsm]主要產業!R75C17</stp>
        <stp>MARKET_DATA_OVERRIDE=PE_RATIO</stp>
        <stp>CALC_INTERVAL=5y</stp>
        <stp>BEST_FPERIOD_OVERRIDE=BF</stp>
        <tr r="Q75" s="2"/>
      </tp>
      <tp>
        <v>15.027741538710721</v>
        <stp/>
        <stp>##V3_BDPV12</stp>
        <stp>TWSEISI Index</stp>
        <stp>INTERVAL_Low</stp>
        <stp>[Index.xlsm]主要產業!R96C17</stp>
        <stp>MARKET_DATA_OVERRIDE=PE_RATIO</stp>
        <stp>CALC_INTERVAL=5y</stp>
        <stp>BEST_FPERIOD_OVERRIDE=BF</stp>
        <tr r="Q96" s="2"/>
      </tp>
      <tp>
        <v>8.9553696689578288</v>
        <stp/>
        <stp>##V3_BDPV12</stp>
        <stp>TWSESCI Index</stp>
        <stp>INTERVAL_Low</stp>
        <stp>[Index.xlsm]主要產業!R70C17</stp>
        <stp>MARKET_DATA_OVERRIDE=PE_RATIO</stp>
        <stp>CALC_INTERVAL=5y</stp>
        <stp>BEST_FPERIOD_OVERRIDE=BF</stp>
        <tr r="Q70" s="2"/>
      </tp>
      <tp>
        <v>10.486098112803656</v>
        <stp/>
        <stp>##V3_BDPV12</stp>
        <stp>TWSERUB Index</stp>
        <stp>INTERVAL_Low</stp>
        <stp>[Index.xlsm]主要產業!R89C17</stp>
        <stp>MARKET_DATA_OVERRIDE=PE_RATIO</stp>
        <stp>CALC_INTERVAL=5y</stp>
        <stp>BEST_FPERIOD_OVERRIDE=BF</stp>
        <tr r="Q89" s="2"/>
      </tp>
      <tp>
        <v>242.3</v>
        <stp/>
        <stp>##V3_BDPV12</stp>
        <stp>MC FP Equity</stp>
        <stp>LOW_52WEEK</stp>
        <stp>[Index.xlsm]主要產業!R37C28</stp>
        <tr r="AB37" s="2"/>
      </tp>
      <tp>
        <v>14.668963819837563</v>
        <stp/>
        <stp>##V3_BDPV12</stp>
        <stp>PL1 comdty</stp>
        <stp>PR064</stp>
        <stp>[Index.xlsm]主要產業!R44C52</stp>
        <tr r="AZ44" s="2"/>
      </tp>
      <tp>
        <v>-5.1993942453306357</v>
        <stp/>
        <stp>##V3_BDPV12</stp>
        <stp>CL1 Comdty</stp>
        <stp>PR064</stp>
        <stp>[Index.xlsm]主要產業!R38C52</stp>
        <tr r="AZ38" s="2"/>
      </tp>
      <tp>
        <v>3.0106250000000001</v>
        <stp/>
        <stp>##V3_BDPV12</stp>
        <stp>TPNCHM Index</stp>
        <stp>CHG_PCT_3M</stp>
        <stp>[Index.xlsm]主要產業!R40C12</stp>
        <tr r="L40" s="2"/>
      </tp>
      <tp>
        <v>9.5824870000000004</v>
        <stp/>
        <stp>##V3_BDPV12</stp>
        <stp>TPNCHM Index</stp>
        <stp>CHG_PCT_1M</stp>
        <stp>[Index.xlsm]主要產業!R40C11</stp>
        <tr r="K40" s="2"/>
      </tp>
      <tp>
        <v>-0.17179759999999999</v>
        <stp/>
        <stp>##V3_BDPV12</stp>
        <stp>TPNCHM Index</stp>
        <stp>CHG_PCT_6M</stp>
        <stp>[Index.xlsm]主要產業!R40C13</stp>
        <tr r="M40" s="2"/>
      </tp>
      <tp>
        <v>1.4571130000000001</v>
        <stp/>
        <stp>##V3_BDPV12</stp>
        <stp>TPNCHM Index</stp>
        <stp>CHG_PCT_5D</stp>
        <stp>[Index.xlsm]主要產業!R40C10</stp>
        <tr r="J40" s="2"/>
      </tp>
      <tp>
        <v>-16.536180000000002</v>
        <stp/>
        <stp>##V3_BDPV12</stp>
        <stp>HSCITC Index</stp>
        <stp>CHG_PCT_6M</stp>
        <stp>[Index.xlsm]主要產業!R67C13</stp>
        <tr r="M67" s="2"/>
      </tp>
      <tp>
        <v>-1.4969440000000001</v>
        <stp/>
        <stp>##V3_BDPV12</stp>
        <stp>HSCITC Index</stp>
        <stp>CHG_PCT_5D</stp>
        <stp>[Index.xlsm]主要產業!R67C10</stp>
        <tr r="J67" s="2"/>
      </tp>
      <tp>
        <v>-9.2379990000000003</v>
        <stp/>
        <stp>##V3_BDPV12</stp>
        <stp>HSCITC Index</stp>
        <stp>CHG_PCT_3M</stp>
        <stp>[Index.xlsm]主要產業!R67C12</stp>
        <tr r="L67" s="2"/>
      </tp>
      <tp>
        <v>-0.694268</v>
        <stp/>
        <stp>##V3_BDPV12</stp>
        <stp>HSCITC Index</stp>
        <stp>CHG_PCT_1M</stp>
        <stp>[Index.xlsm]主要產業!R67C11</stp>
        <tr r="K67" s="2"/>
      </tp>
      <tp>
        <v>45.3</v>
        <stp/>
        <stp>##V3_BDPV12</stp>
        <stp>UNA NA Equity</stp>
        <stp>LOW_52WEEK</stp>
        <stp>[Index.xlsm]主要產業!R49C28</stp>
        <tr r="AB49" s="2"/>
      </tp>
      <tp>
        <v>1.17</v>
        <stp/>
        <stp>##V3_BDPV12</stp>
        <stp>usggt10y Index</stp>
        <stp>HIGH_52WEEK</stp>
        <stp>[Index.xlsm]主要產業!R62C44</stp>
        <tr r="AR62" s="2"/>
      </tp>
      <tp>
        <v>26.250371623972274</v>
        <stp/>
        <stp>##V3_BDPV12</stp>
        <stp>SXQP INDEX</stp>
        <stp>INTERVAL_HIGH</stp>
        <stp>[Index.xlsm]主要產業!R20C16</stp>
        <stp>MARKET_DATA_OVERRIDE=PE_RATIO</stp>
        <stp>CALC_INTERVAL=5y</stp>
        <stp>BEST_FPERIOD_OVERRIDE=BF</stp>
        <tr r="P20" s="2"/>
      </tp>
      <tp>
        <v>49.421204021941158</v>
        <stp/>
        <stp>##V3_BDPV12</stp>
        <stp>SXPP INDEX</stp>
        <stp>INTERVAL_HIGH</stp>
        <stp>[Index.xlsm]主要產業!R32C16</stp>
        <stp>MARKET_DATA_OVERRIDE=PE_RATIO</stp>
        <stp>CALC_INTERVAL=5y</stp>
        <stp>BEST_FPERIOD_OVERRIDE=BF</stp>
        <tr r="P32" s="2"/>
      </tp>
      <tp>
        <v>4430.2695331557579</v>
        <stp/>
        <stp>##V3_BDPV12</stp>
        <stp>SXRP INDEX</stp>
        <stp>INTERVAL_HIGH</stp>
        <stp>[Index.xlsm]主要產業!R28C16</stp>
        <stp>MARKET_DATA_OVERRIDE=PE_RATIO</stp>
        <stp>CALC_INTERVAL=5y</stp>
        <stp>BEST_FPERIOD_OVERRIDE=BF</stp>
        <tr r="P28" s="2"/>
      </tp>
      <tp>
        <v>42.86296578136961</v>
        <stp/>
        <stp>##V3_BDPV12</stp>
        <stp>SXTP INDEX</stp>
        <stp>INTERVAL_HIGH</stp>
        <stp>[Index.xlsm]主要產業!R36C16</stp>
        <stp>MARKET_DATA_OVERRIDE=PE_RATIO</stp>
        <stp>CALC_INTERVAL=5y</stp>
        <stp>BEST_FPERIOD_OVERRIDE=BF</stp>
        <tr r="P36" s="2"/>
      </tp>
      <tp>
        <v>1529.8</v>
        <stp/>
        <stp>##V3_BDPV12</stp>
        <stp>AAL LN Equity</stp>
        <stp>LOW_52WEEK</stp>
        <stp>[Index.xlsm]主要產業!R53C28</stp>
        <tr r="AB53" s="2"/>
      </tp>
      <tp>
        <v>14.73818767999342</v>
        <stp/>
        <stp>##V3_BDPV12</stp>
        <stp>SXIP INDEX</stp>
        <stp>INTERVAL_HIGH</stp>
        <stp>[Index.xlsm]主要產業!R24C16</stp>
        <stp>MARKET_DATA_OVERRIDE=PE_RATIO</stp>
        <stp>CALC_INTERVAL=5y</stp>
        <stp>BEST_FPERIOD_OVERRIDE=BF</stp>
        <tr r="P24" s="2"/>
      </tp>
      <tp>
        <v>60.1365756714684</v>
        <stp/>
        <stp>##V3_BDPV12</stp>
        <stp>SXKP INDEX</stp>
        <stp>INTERVAL_HIGH</stp>
        <stp>[Index.xlsm]主要產業!R29C16</stp>
        <stp>MARKET_DATA_OVERRIDE=PE_RATIO</stp>
        <stp>CALC_INTERVAL=5y</stp>
        <stp>BEST_FPERIOD_OVERRIDE=BF</stp>
        <tr r="P29" s="2"/>
      </tp>
      <tp>
        <v>45.403133911514047</v>
        <stp/>
        <stp>##V3_BDPV12</stp>
        <stp>SXMP INDEX</stp>
        <stp>INTERVAL_HIGH</stp>
        <stp>[Index.xlsm]主要產業!R35C16</stp>
        <stp>MARKET_DATA_OVERRIDE=PE_RATIO</stp>
        <stp>CALC_INTERVAL=5y</stp>
        <stp>BEST_FPERIOD_OVERRIDE=BF</stp>
        <tr r="P35" s="2"/>
      </tp>
      <tp>
        <v>36.024878949996648</v>
        <stp/>
        <stp>##V3_BDPV12</stp>
        <stp>SXOP INDEX</stp>
        <stp>INTERVAL_HIGH</stp>
        <stp>[Index.xlsm]主要產業!R30C16</stp>
        <stp>MARKET_DATA_OVERRIDE=PE_RATIO</stp>
        <stp>CALC_INTERVAL=5y</stp>
        <stp>BEST_FPERIOD_OVERRIDE=BF</stp>
        <tr r="P30" s="2"/>
      </tp>
      <tp>
        <v>29.986823886730086</v>
        <stp/>
        <stp>##V3_BDPV12</stp>
        <stp>SXNP INDEX</stp>
        <stp>INTERVAL_HIGH</stp>
        <stp>[Index.xlsm]主要產業!R19C16</stp>
        <stp>MARKET_DATA_OVERRIDE=PE_RATIO</stp>
        <stp>CALC_INTERVAL=5y</stp>
        <stp>BEST_FPERIOD_OVERRIDE=BF</stp>
        <tr r="P19" s="2"/>
      </tp>
      <tp>
        <v>-0.3342618</v>
        <stp/>
        <stp>##V3_BDPV12</stp>
        <stp>PFE US Equity</stp>
        <stp>CHG_PCT_1D</stp>
        <stp>[Index.xlsm]主要產業!R14C25</stp>
        <tr r="Y14" s="2"/>
      </tp>
      <tp>
        <v>15.797608879342523</v>
        <stp/>
        <stp>##V3_BDPV12</stp>
        <stp>SXAP INDEX</stp>
        <stp>INTERVAL_HIGH</stp>
        <stp>[Index.xlsm]主要產業!R31C16</stp>
        <stp>MARKET_DATA_OVERRIDE=PE_RATIO</stp>
        <stp>CALC_INTERVAL=5y</stp>
        <stp>BEST_FPERIOD_OVERRIDE=BF</stp>
        <tr r="P31" s="2"/>
      </tp>
      <tp>
        <v>2.698048</v>
        <stp/>
        <stp>##V3_BDPV12</stp>
        <stp>PFE US Equity</stp>
        <stp>CHG_PCT_1M</stp>
        <stp>[Index.xlsm]主要產業!R14C31</stp>
        <tr r="AE14" s="2"/>
      </tp>
      <tp>
        <v>3841.1390000000001</v>
        <stp/>
        <stp>##V3_BDPV12</stp>
        <stp>SHSZ300 INDEX</stp>
        <stp>PX_LAST</stp>
        <stp>[Index.xlsm]主要產業!R24C42</stp>
        <tr r="AP24" s="2"/>
      </tp>
      <tp>
        <v>-16.771350000000002</v>
        <stp/>
        <stp>##V3_BDPV12</stp>
        <stp>PFE US Equity</stp>
        <stp>CHG_PCT_3M</stp>
        <stp>[Index.xlsm]主要產業!R14C32</stp>
        <tr r="AF14" s="2"/>
      </tp>
      <tp>
        <v>3115.0923954449272</v>
        <stp/>
        <stp>##V3_BDPV12</stp>
        <stp>SXEP INDEX</stp>
        <stp>INTERVAL_HIGH</stp>
        <stp>[Index.xlsm]主要產業!R23C16</stp>
        <stp>MARKET_DATA_OVERRIDE=PE_RATIO</stp>
        <stp>CALC_INTERVAL=5y</stp>
        <stp>BEST_FPERIOD_OVERRIDE=BF</stp>
        <tr r="P23" s="2"/>
      </tp>
      <tp>
        <v>31.619946711500912</v>
        <stp/>
        <stp>##V3_BDPV12</stp>
        <stp>SXDP INDEX</stp>
        <stp>INTERVAL_HIGH</stp>
        <stp>[Index.xlsm]主要產業!R18C16</stp>
        <stp>MARKET_DATA_OVERRIDE=PE_RATIO</stp>
        <stp>CALC_INTERVAL=5y</stp>
        <stp>BEST_FPERIOD_OVERRIDE=BF</stp>
        <tr r="P18" s="2"/>
      </tp>
      <tp>
        <v>-1.999452</v>
        <stp/>
        <stp>##V3_BDPV12</stp>
        <stp>PFE US Equity</stp>
        <stp>CHG_PCT_5D</stp>
        <stp>[Index.xlsm]主要產業!R14C30</stp>
        <tr r="AD14" s="2"/>
      </tp>
      <tp>
        <v>-15.652990000000001</v>
        <stp/>
        <stp>##V3_BDPV12</stp>
        <stp>PFE US Equity</stp>
        <stp>CHG_PCT_6M</stp>
        <stp>[Index.xlsm]主要產業!R14C33</stp>
        <tr r="AG14" s="2"/>
      </tp>
      <tp>
        <v>50.971592119809344</v>
        <stp/>
        <stp>##V3_BDPV12</stp>
        <stp>SXFP INDEX</stp>
        <stp>INTERVAL_HIGH</stp>
        <stp>[Index.xlsm]主要產業!R33C16</stp>
        <stp>MARKET_DATA_OVERRIDE=PE_RATIO</stp>
        <stp>CALC_INTERVAL=5y</stp>
        <stp>BEST_FPERIOD_OVERRIDE=BF</stp>
        <tr r="P33" s="2"/>
      </tp>
      <tp>
        <v>5203</v>
        <stp/>
        <stp>##V3_BDPV12</stp>
        <stp>3382 JP Equity</stp>
        <stp>HIGH_52WEEK</stp>
        <stp>[Index.xlsm]主要產業!R82C26</stp>
        <tr r="Z82" s="2"/>
      </tp>
      <tp>
        <v>1386</v>
        <stp/>
        <stp>##V3_BDPV12</stp>
        <stp>6752 JP Equity</stp>
        <stp>HIGH_52WEEK</stp>
        <stp>[Index.xlsm]主要產業!R84C26</stp>
        <tr r="Z84" s="2"/>
      </tp>
      <tp>
        <v>8.4207318311338977</v>
        <stp/>
        <stp>##V3_BDPV12</stp>
        <stp>CSGN SW Equity</stp>
        <stp>INTERVAL_Low</stp>
        <stp>[Index.xlsm]主要產業!R71C37</stp>
        <stp>MARKET_DATA_OVERRIDE=PE_RATIO</stp>
        <stp>CALC_INTERVAL=5y</stp>
        <stp>BEST_FPERIOD_OVERRIDE=BF</stp>
        <tr r="AK71" s="2"/>
      </tp>
      <tp>
        <v>14.217560000000001</v>
        <stp/>
        <stp>##V3_BDPV12</stp>
        <stp>600000 CG Equity</stp>
        <stp>CHG_PCT_1YR</stp>
        <stp>[Index.xlsm]主要產業!R96C35</stp>
        <tr r="AI96" s="2"/>
      </tp>
      <tp>
        <v>37.44706</v>
        <stp/>
        <stp>##V3_BDPV12</stp>
        <stp>600030 CG Equity</stp>
        <stp>CHG_PCT_1YR</stp>
        <stp>[Index.xlsm]主要產業!R94C35</stp>
        <tr r="AI94" s="2"/>
      </tp>
      <tp>
        <v>-0.38916109999999998</v>
        <stp/>
        <stp>##V3_BDPV12</stp>
        <stp>C US Equity</stp>
        <stp>CHG_PCT_1D</stp>
        <stp>[Index.xlsm]主要產業!R19C25</stp>
        <tr r="Y19" s="2"/>
      </tp>
      <tp>
        <v>0.43956040000000002</v>
        <stp/>
        <stp>##V3_BDPV12</stp>
        <stp>F US Equity</stp>
        <stp>CHG_PCT_5D</stp>
        <stp>[Index.xlsm]主要產業!R34C30</stp>
        <tr r="AD34" s="2"/>
      </tp>
      <tp>
        <v>10.188140000000001</v>
        <stp/>
        <stp>##V3_BDPV12</stp>
        <stp>C US Equity</stp>
        <stp>CHG_PCT_1M</stp>
        <stp>[Index.xlsm]主要產業!R19C31</stp>
        <tr r="AE19" s="2"/>
      </tp>
      <tp>
        <v>4.3378969999999999</v>
        <stp/>
        <stp>##V3_BDPV12</stp>
        <stp>F US Equity</stp>
        <stp>CHG_PCT_6M</stp>
        <stp>[Index.xlsm]主要產業!R34C33</stp>
        <tr r="AG34" s="2"/>
      </tp>
      <tp>
        <v>2.811661</v>
        <stp/>
        <stp>##V3_BDPV12</stp>
        <stp>C US Equity</stp>
        <stp>CHG_PCT_3M</stp>
        <stp>[Index.xlsm]主要產業!R19C32</stp>
        <tr r="AF19" s="2"/>
      </tp>
      <tp>
        <v>3.6281210000000002</v>
        <stp/>
        <stp>##V3_BDPV12</stp>
        <stp>F US Equity</stp>
        <stp>CHG_PCT_1M</stp>
        <stp>[Index.xlsm]主要產業!R34C31</stp>
        <tr r="AE34" s="2"/>
      </tp>
      <tp>
        <v>-0.65217389999999997</v>
        <stp/>
        <stp>##V3_BDPV12</stp>
        <stp>F US Equity</stp>
        <stp>CHG_PCT_1D</stp>
        <stp>[Index.xlsm]主要產業!R34C25</stp>
        <tr r="Y34" s="2"/>
      </tp>
      <tp>
        <v>-0.88914380000000004</v>
        <stp/>
        <stp>##V3_BDPV12</stp>
        <stp>C US Equity</stp>
        <stp>CHG_PCT_5D</stp>
        <stp>[Index.xlsm]主要產業!R19C30</stp>
        <tr r="AD19" s="2"/>
      </tp>
      <tp>
        <v>-7.7699280000000002</v>
        <stp/>
        <stp>##V3_BDPV12</stp>
        <stp>F US Equity</stp>
        <stp>CHG_PCT_3M</stp>
        <stp>[Index.xlsm]主要產業!R34C32</stp>
        <tr r="AF34" s="2"/>
      </tp>
      <tp>
        <v>12.88794</v>
        <stp/>
        <stp>##V3_BDPV12</stp>
        <stp>C US Equity</stp>
        <stp>CHG_PCT_6M</stp>
        <stp>[Index.xlsm]主要產業!R19C33</stp>
        <tr r="AG19" s="2"/>
      </tp>
      <tp>
        <v>-0.16789950000000001</v>
        <stp/>
        <stp>##V3_BDPV12</stp>
        <stp>HSCIUT Index</stp>
        <stp>CHG_PCT_1M</stp>
        <stp>[Index.xlsm]主要產業!R68C11</stp>
        <tr r="K68" s="2"/>
      </tp>
      <tp>
        <v>-6.8357060000000001</v>
        <stp/>
        <stp>##V3_BDPV12</stp>
        <stp>HSCIUT Index</stp>
        <stp>CHG_PCT_3M</stp>
        <stp>[Index.xlsm]主要產業!R68C12</stp>
        <tr r="L68" s="2"/>
      </tp>
      <tp>
        <v>595</v>
        <stp/>
        <stp>##V3_BDPV12</stp>
        <stp>BDIY Index</stp>
        <stp>LOW_52WEEK</stp>
        <stp>[Index.xlsm]主要產業!R40C46</stp>
        <tr r="AT40" s="2"/>
      </tp>
      <tp>
        <v>-1.335075</v>
        <stp/>
        <stp>##V3_BDPV12</stp>
        <stp>HSCIUT Index</stp>
        <stp>CHG_PCT_5D</stp>
        <stp>[Index.xlsm]主要產業!R68C10</stp>
        <tr r="J68" s="2"/>
      </tp>
      <tp>
        <v>-6.5625499999999999</v>
        <stp/>
        <stp>##V3_BDPV12</stp>
        <stp>HSCIUT Index</stp>
        <stp>CHG_PCT_6M</stp>
        <stp>[Index.xlsm]主要產業!R68C13</stp>
        <tr r="M68" s="2"/>
      </tp>
      <tp>
        <v>15.930870000000001</v>
        <stp/>
        <stp>##V3_BDPV12</stp>
        <stp>AZN LN Equity</stp>
        <stp>CHG_PCT_3M</stp>
        <stp>[Index.xlsm]主要產業!R46C32</stp>
        <tr r="AF46" s="2"/>
      </tp>
      <tp>
        <v>0.90250240000000004</v>
        <stp/>
        <stp>##V3_BDPV12</stp>
        <stp>AZN LN Equity</stp>
        <stp>CHG_PCT_1M</stp>
        <stp>[Index.xlsm]主要產業!R46C31</stp>
        <tr r="AE46" s="2"/>
      </tp>
      <tp>
        <v>0.69596069999999999</v>
        <stp/>
        <stp>##V3_BDPV12</stp>
        <stp>AZN LN Equity</stp>
        <stp>CHG_PCT_1D</stp>
        <stp>[Index.xlsm]主要產業!R46C25</stp>
        <tr r="Y46" s="2"/>
      </tp>
      <tp>
        <v>15.081099999999999</v>
        <stp/>
        <stp>##V3_BDPV12</stp>
        <stp>AZN LN Equity</stp>
        <stp>CHG_PCT_6M</stp>
        <stp>[Index.xlsm]主要產業!R46C33</stp>
        <tr r="AG46" s="2"/>
      </tp>
      <tp>
        <v>3.5358499999999999</v>
        <stp/>
        <stp>##V3_BDPV12</stp>
        <stp>AZN LN Equity</stp>
        <stp>CHG_PCT_5D</stp>
        <stp>[Index.xlsm]主要產業!R46C30</stp>
        <tr r="AD46" s="2"/>
      </tp>
      <tp>
        <v>236.8</v>
        <stp/>
        <stp>##V3_BDPV12</stp>
        <stp>MUV2 GR Equity</stp>
        <stp>HIGH_52WEEK</stp>
        <stp>[Index.xlsm]主要產業!R62C26</stp>
        <tr r="Z62" s="2"/>
      </tp>
      <tp>
        <v>1063.5</v>
        <stp/>
        <stp>##V3_BDPV12</stp>
        <stp>7201 JP Equity</stp>
        <stp>HIGH_52WEEK</stp>
        <stp>[Index.xlsm]主要產業!R85C26</stp>
        <tr r="Z85" s="2"/>
      </tp>
      <tp>
        <v>3679</v>
        <stp/>
        <stp>##V3_BDPV12</stp>
        <stp>7751 JP Equity</stp>
        <stp>HIGH_52WEEK</stp>
        <stp>[Index.xlsm]主要產業!R81C26</stp>
        <tr r="Z81" s="2"/>
      </tp>
      <tp>
        <v>-10.25446</v>
        <stp/>
        <stp>##V3_BDPV12</stp>
        <stp>RDSA LN Equity</stp>
        <stp>CHG_PCT_1YR</stp>
        <stp>[Index.xlsm]主要產業!R74C35</stp>
        <tr r="AI74" s="2"/>
      </tp>
      <tp>
        <v>10.574009999999999</v>
        <stp/>
        <stp>##V3_BDPV12</stp>
        <stp>PHIA NA Equity</stp>
        <stp>CHG_PCT_1YR</stp>
        <stp>[Index.xlsm]主要產業!R75C35</stp>
        <tr r="AI75" s="2"/>
      </tp>
      <tp>
        <v>-9.1149260000000005</v>
        <stp/>
        <stp>##V3_BDPV12</stp>
        <stp>HSBA LN Equity</stp>
        <stp>CHG_PCT_1YR</stp>
        <stp>[Index.xlsm]主要產業!R44C35</stp>
        <tr r="AI44" s="2"/>
      </tp>
      <tp>
        <v>-18.916599999999999</v>
        <stp/>
        <stp>##V3_BDPV12</stp>
        <stp>INGA NA Equity</stp>
        <stp>CHG_PCT_1YR</stp>
        <stp>[Index.xlsm]主要產業!R76C35</stp>
        <tr r="AI76" s="2"/>
      </tp>
      <tp>
        <v>-16.30416</v>
        <stp/>
        <stp>##V3_BDPV12</stp>
        <stp>BBVA SM Equity</stp>
        <stp>CHG_PCT_1YR</stp>
        <stp>[Index.xlsm]主要產業!R65C35</stp>
        <tr r="AI65" s="2"/>
      </tp>
      <tp>
        <v>-7.0803000000000003</v>
        <stp/>
        <stp>##V3_BDPV12</stp>
        <stp>BRL Curncy</stp>
        <stp>CHG_PCT_6M</stp>
        <stp>[Index.xlsm]主要產業!R78C51</stp>
        <tr r="AY78" s="2"/>
      </tp>
      <tp>
        <v>-4.3200000000000002E-2</v>
        <stp/>
        <stp>##V3_BDPV12</stp>
        <stp>BRL Curncy</stp>
        <stp>CHG_PCT_5D</stp>
        <stp>[Index.xlsm]主要產業!R78C48</stp>
        <tr r="AV78" s="2"/>
      </tp>
      <tp>
        <v>-7.7735000000000003</v>
        <stp/>
        <stp>##V3_BDPV12</stp>
        <stp>BRL Curncy</stp>
        <stp>CHG_PCT_3M</stp>
        <stp>[Index.xlsm]主要產業!R78C50</stp>
        <tr r="AX78" s="2"/>
      </tp>
      <tp>
        <v>-0.51090000000000002</v>
        <stp/>
        <stp>##V3_BDPV12</stp>
        <stp>BRL Curncy</stp>
        <stp>CHG_PCT_1D</stp>
        <stp>[Index.xlsm]主要產業!R78C43</stp>
        <tr r="AQ78" s="2"/>
      </tp>
      <tp>
        <v>-0.30940000000000001</v>
        <stp/>
        <stp>##V3_BDPV12</stp>
        <stp>BRL Curncy</stp>
        <stp>CHG_PCT_1M</stp>
        <stp>[Index.xlsm]主要產業!R78C49</stp>
        <tr r="AW78" s="2"/>
      </tp>
      <tp>
        <v>5.7377070000000003</v>
        <stp/>
        <stp>##V3_BDPV12</stp>
        <stp>RO SW Equity</stp>
        <stp>CHG_PCT_6M</stp>
        <stp>[Index.xlsm]主要產業!R73C33</stp>
        <tr r="AG73" s="2"/>
      </tp>
      <tp>
        <v>0.99644129999999997</v>
        <stp/>
        <stp>##V3_BDPV12</stp>
        <stp>RO SW Equity</stp>
        <stp>CHG_PCT_5D</stp>
        <stp>[Index.xlsm]主要產業!R73C30</stp>
        <tr r="AD73" s="2"/>
      </tp>
      <tp>
        <v>3.8039529999999999</v>
        <stp/>
        <stp>##V3_BDPV12</stp>
        <stp>RO SW Equity</stp>
        <stp>CHG_PCT_3M</stp>
        <stp>[Index.xlsm]主要產業!R73C32</stp>
        <tr r="AF73" s="2"/>
      </tp>
      <tp>
        <v>182</v>
        <stp/>
        <stp>##V3_BDPV12</stp>
        <stp>OR FP Equity</stp>
        <stp>LOW_52WEEK</stp>
        <stp>[Index.xlsm]主要產業!R39C28</stp>
        <tr r="AB39" s="2"/>
      </tp>
      <tp>
        <v>0.78125</v>
        <stp/>
        <stp>##V3_BDPV12</stp>
        <stp>RO SW Equity</stp>
        <stp>CHG_PCT_1D</stp>
        <stp>[Index.xlsm]主要產業!R73C25</stp>
        <tr r="Y73" s="2"/>
      </tp>
      <tp>
        <v>5.1111110000000002</v>
        <stp/>
        <stp>##V3_BDPV12</stp>
        <stp>RO SW Equity</stp>
        <stp>CHG_PCT_1M</stp>
        <stp>[Index.xlsm]主要產業!R73C31</stp>
        <tr r="AE73" s="2"/>
      </tp>
      <tp>
        <v>603.20000000000005</v>
        <stp/>
        <stp>##V3_BDPV12</stp>
        <stp>BP/ LN Equity</stp>
        <stp>HIGH_52WEEK</stp>
        <stp>[Index.xlsm]主要產業!R45C26</stp>
        <tr r="Z45" s="2"/>
      </tp>
      <tp>
        <v>270</v>
        <stp/>
        <stp>##V3_BDPV12</stp>
        <stp>2330 TT Equity</stp>
        <stp>HIGH_52WEEK</stp>
        <stp>[Index.xlsm]主要產業!R87C26</stp>
        <tr r="Z87" s="2"/>
      </tp>
      <tp>
        <v>6.6372660000000003</v>
        <stp/>
        <stp>##V3_BDPV12</stp>
        <stp>LF98TRUU Index</stp>
        <stp>CHG_PCT_1YR</stp>
        <stp>[Index.xlsm]主要產業!R34C53</stp>
        <tr r="BA34" s="2"/>
      </tp>
      <tp>
        <v>10.5966445423448</v>
        <stp/>
        <stp>##V3_BDPV12</stp>
        <stp>TWSEAUTO Index</stp>
        <stp>INTERVAL_Low</stp>
        <stp>[Index.xlsm]主要產業!R83C17</stp>
        <stp>MARKET_DATA_OVERRIDE=PE_RATIO</stp>
        <stp>CALC_INTERVAL=5y</stp>
        <stp>BEST_FPERIOD_OVERRIDE=BF</stp>
        <tr r="Q83" s="2"/>
      </tp>
      <tp>
        <v>7.2392599999999998</v>
        <stp/>
        <stp>##V3_BDPV12</stp>
        <stp>000002 CS Equity</stp>
        <stp>CHG_PCT_1YR</stp>
        <stp>[Index.xlsm]主要產業!R95C35</stp>
        <tr r="AI95" s="2"/>
      </tp>
      <tp>
        <v>36.74</v>
        <stp/>
        <stp>##V3_BDPV12</stp>
        <stp>MS US Equity</stp>
        <stp>LOW_52WEEK</stp>
        <stp>[Index.xlsm]主要產業!R32C28</stp>
        <tr r="AB32" s="2"/>
      </tp>
      <tp>
        <v>1105.02</v>
        <stp/>
        <stp>##V3_BDPV12</stp>
        <stp>KRW Curncy</stp>
        <stp>LOW_52WEEK</stp>
        <stp>[Index.xlsm]主要產業!R71C46</stp>
        <tr r="AT71" s="2"/>
      </tp>
      <tp>
        <v>-5.6399458565197671</v>
        <stp/>
        <stp>##V3_BDPV12</stp>
        <stp>CO1 Comdty</stp>
        <stp>PR064</stp>
        <stp>[Index.xlsm]主要產業!R39C52</stp>
        <tr r="AZ39" s="2"/>
      </tp>
      <tp>
        <v>-3.9405000000000001</v>
        <stp/>
        <stp>##V3_BDPV12</stp>
        <stp>EUR Curncy</stp>
        <stp>PR064</stp>
        <stp>[Index.xlsm]主要產業!R72C52</stp>
        <tr r="AZ72" s="2"/>
      </tp>
      <tp>
        <v>-1.8331999999999999</v>
        <stp/>
        <stp>##V3_BDPV12</stp>
        <stp>RUB Curncy</stp>
        <stp>PR064</stp>
        <stp>[Index.xlsm]主要產業!R83C52</stp>
        <tr r="AZ83" s="2"/>
      </tp>
      <tp>
        <v>1891.81</v>
        <stp/>
        <stp>##V3_BDPV12</stp>
        <stp>kospi INDEX</stp>
        <stp>LOW_52WEEK</stp>
        <stp>[Index.xlsm]主要產業!R18C46</stp>
        <tr r="AT18" s="2"/>
      </tp>
      <tp>
        <v>0.1771479</v>
        <stp/>
        <stp>##V3_BDPV12</stp>
        <stp>PEP US Equity</stp>
        <stp>CHG_PCT_5D</stp>
        <stp>[Index.xlsm]主要產業!R15C30</stp>
        <tr r="AD15" s="2"/>
      </tp>
      <tp>
        <v>11.22767</v>
        <stp/>
        <stp>##V3_BDPV12</stp>
        <stp>PEP US Equity</stp>
        <stp>CHG_PCT_6M</stp>
        <stp>[Index.xlsm]主要產業!R15C33</stp>
        <tr r="AG15" s="2"/>
      </tp>
      <tp>
        <v>1.48048</v>
        <stp/>
        <stp>##V3_BDPV12</stp>
        <stp>PEP US Equity</stp>
        <stp>CHG_PCT_1M</stp>
        <stp>[Index.xlsm]主要產業!R15C31</stp>
        <tr r="AE15" s="2"/>
      </tp>
      <tp>
        <v>0.46635579999999999</v>
        <stp/>
        <stp>##V3_BDPV12</stp>
        <stp>PEP US Equity</stp>
        <stp>CHG_PCT_1D</stp>
        <stp>[Index.xlsm]主要產業!R15C25</stp>
        <tr r="Y15" s="2"/>
      </tp>
      <tp>
        <v>3.3855</v>
        <stp/>
        <stp>##V3_BDPV12</stp>
        <stp>SAN SM Equity</stp>
        <stp>LOW_52WEEK</stp>
        <stp>[Index.xlsm]主要產業!R64C28</stp>
        <tr r="AB64" s="2"/>
      </tp>
      <tp>
        <v>2.5695229999999998</v>
        <stp/>
        <stp>##V3_BDPV12</stp>
        <stp>PEP US Equity</stp>
        <stp>CHG_PCT_3M</stp>
        <stp>[Index.xlsm]主要產業!R15C32</stp>
        <tr r="AF15" s="2"/>
      </tp>
      <tp>
        <v>-2.428363E-2</v>
        <stp/>
        <stp>##V3_BDPV12</stp>
        <stp>EEM US Equity</stp>
        <stp>CHG_PCT_1D</stp>
        <stp>[Index.xlsm]主要產業!R89C43</stp>
        <tr r="AQ89" s="2"/>
      </tp>
      <tp>
        <v>7.0566550000000001</v>
        <stp/>
        <stp>##V3_BDPV12</stp>
        <stp>TWSERUB Index</stp>
        <stp>CHG_PCT_3M</stp>
        <stp>[Index.xlsm]主要產業!R89C12</stp>
        <tr r="L89" s="2"/>
      </tp>
      <tp>
        <v>5.5462959999999999</v>
        <stp/>
        <stp>##V3_BDPV12</stp>
        <stp>TWSERUB Index</stp>
        <stp>CHG_PCT_1M</stp>
        <stp>[Index.xlsm]主要產業!R89C11</stp>
        <tr r="K89" s="2"/>
      </tp>
      <tp>
        <v>10.73889663864715</v>
        <stp/>
        <stp>##V3_BDPV12</stp>
        <stp>NOVN SW Equity</stp>
        <stp>INTERVAL_Low</stp>
        <stp>[Index.xlsm]主要產業!R68C37</stp>
        <stp>MARKET_DATA_OVERRIDE=PE_RATIO</stp>
        <stp>CALC_INTERVAL=5y</stp>
        <stp>BEST_FPERIOD_OVERRIDE=BF</stp>
        <tr r="AK68" s="2"/>
      </tp>
      <tp>
        <v>6.0849219999999997</v>
        <stp/>
        <stp>##V3_BDPV12</stp>
        <stp>TWSERUB Index</stp>
        <stp>CHG_PCT_6M</stp>
        <stp>[Index.xlsm]主要產業!R89C13</stp>
        <tr r="M89" s="2"/>
      </tp>
      <tp>
        <v>1.596773</v>
        <stp/>
        <stp>##V3_BDPV12</stp>
        <stp>TWSERUB Index</stp>
        <stp>CHG_PCT_5D</stp>
        <stp>[Index.xlsm]主要產業!R89C10</stp>
        <tr r="J89" s="2"/>
      </tp>
      <tp>
        <v>16.792526427119387</v>
        <stp/>
        <stp>##V3_BDPV12</stp>
        <stp>RO SW Equity</stp>
        <stp>INTERVAL_Low</stp>
        <stp>[Index.xlsm]主要產業!R73C37</stp>
        <stp>MARKET_DATA_OVERRIDE=PE_RATIO</stp>
        <stp>CALC_INTERVAL=5y</stp>
        <stp>BEST_FPERIOD_OVERRIDE=BF</stp>
        <tr r="AK73" s="2"/>
      </tp>
      <tp>
        <v>11.336444846240973</v>
        <stp/>
        <stp>##V3_BDPV12</stp>
        <stp>PM US Equity</stp>
        <stp>INTERVAL_Low</stp>
        <stp>[Index.xlsm]主要產業!R24C37</stp>
        <stp>MARKET_DATA_OVERRIDE=PE_RATIO</stp>
        <stp>CALC_INTERVAL=5y</stp>
        <stp>BEST_FPERIOD_OVERRIDE=BF</stp>
        <tr r="AK24" s="2"/>
      </tp>
      <tp>
        <v>15.719764327116904</v>
        <stp/>
        <stp>##V3_BDPV12</stp>
        <stp>KO US Equity</stp>
        <stp>INTERVAL_Low</stp>
        <stp>[Index.xlsm]主要產業!R13C37</stp>
        <stp>MARKET_DATA_OVERRIDE=PE_RATIO</stp>
        <stp>CALC_INTERVAL=5y</stp>
        <stp>BEST_FPERIOD_OVERRIDE=BF</stp>
        <tr r="AK13" s="2"/>
      </tp>
      <tp>
        <v>7.231540814178202</v>
        <stp/>
        <stp>##V3_BDPV12</stp>
        <stp>MS US Equity</stp>
        <stp>INTERVAL_Low</stp>
        <stp>[Index.xlsm]主要產業!R32C37</stp>
        <stp>MARKET_DATA_OVERRIDE=PE_RATIO</stp>
        <stp>CALC_INTERVAL=5y</stp>
        <stp>BEST_FPERIOD_OVERRIDE=BF</stp>
        <tr r="AK32" s="2"/>
      </tp>
      <tp>
        <v>6.0027753212509483</v>
        <stp/>
        <stp>##V3_BDPV12</stp>
        <stp>GS US Equity</stp>
        <stp>INTERVAL_Low</stp>
        <stp>[Index.xlsm]主要產業!R30C37</stp>
        <stp>MARKET_DATA_OVERRIDE=PE_RATIO</stp>
        <stp>CALC_INTERVAL=5y</stp>
        <stp>BEST_FPERIOD_OVERRIDE=BF</stp>
        <tr r="AK30" s="2"/>
      </tp>
      <tp>
        <v>13.030135595757418</v>
        <stp/>
        <stp>##V3_BDPV12</stp>
        <stp>GE US Equity</stp>
        <stp>INTERVAL_Low</stp>
        <stp>[Index.xlsm]主要產業!R29C37</stp>
        <stp>MARKET_DATA_OVERRIDE=PE_RATIO</stp>
        <stp>CALC_INTERVAL=5y</stp>
        <stp>BEST_FPERIOD_OVERRIDE=BF</stp>
        <tr r="AK29" s="2"/>
      </tp>
      <tp>
        <v>12.320356977775166</v>
        <stp/>
        <stp>##V3_BDPV12</stp>
        <stp>NESN SW Equity</stp>
        <stp>INTERVAL_Low</stp>
        <stp>[Index.xlsm]主要產業!R67C37</stp>
        <stp>MARKET_DATA_OVERRIDE=PE_RATIO</stp>
        <stp>CALC_INTERVAL=5y</stp>
        <stp>BEST_FPERIOD_OVERRIDE=BF</stp>
        <tr r="AK67" s="2"/>
      </tp>
      <tp>
        <v>3.49</v>
        <stp/>
        <stp>##V3_BDPV12</stp>
        <stp>NMCMFUS Index</stp>
        <stp>LOW_52WEEK</stp>
        <stp>[Index.xlsm]主要產業!R64C46</stp>
        <tr r="AT64" s="2"/>
      </tp>
      <tp>
        <v>13.110823516672513</v>
        <stp/>
        <stp>##V3_BDPV12</stp>
        <stp>SU FP Equity</stp>
        <stp>INTERVAL_Low</stp>
        <stp>[Index.xlsm]主要產業!R40C37</stp>
        <stp>MARKET_DATA_OVERRIDE=PE_RATIO</stp>
        <stp>CALC_INTERVAL=5y</stp>
        <stp>BEST_FPERIOD_OVERRIDE=BF</stp>
        <tr r="AK40" s="2"/>
      </tp>
      <tp>
        <v>10.148077330949947</v>
        <stp/>
        <stp>##V3_BDPV12</stp>
        <stp>MC FP Equity</stp>
        <stp>INTERVAL_Low</stp>
        <stp>[Index.xlsm]主要產業!R37C37</stp>
        <stp>MARKET_DATA_OVERRIDE=PE_RATIO</stp>
        <stp>CALC_INTERVAL=5y</stp>
        <stp>BEST_FPERIOD_OVERRIDE=BF</stp>
        <tr r="AK37" s="2"/>
      </tp>
      <tp>
        <v>22.637863557451713</v>
        <stp/>
        <stp>##V3_BDPV12</stp>
        <stp>OR FP Equity</stp>
        <stp>INTERVAL_Low</stp>
        <stp>[Index.xlsm]主要產業!R39C37</stp>
        <stp>MARKET_DATA_OVERRIDE=PE_RATIO</stp>
        <stp>CALC_INTERVAL=5y</stp>
        <stp>BEST_FPERIOD_OVERRIDE=BF</stp>
        <tr r="AK39" s="2"/>
      </tp>
      <tp>
        <v>5.7765731230847965</v>
        <stp/>
        <stp>##V3_BDPV12</stp>
        <stp>CS FP Equity</stp>
        <stp>INTERVAL_Low</stp>
        <stp>[Index.xlsm]主要產業!R41C37</stp>
        <stp>MARKET_DATA_OVERRIDE=PE_RATIO</stp>
        <stp>CALC_INTERVAL=5y</stp>
        <stp>BEST_FPERIOD_OVERRIDE=BF</stp>
        <tr r="AK41" s="2"/>
      </tp>
      <tp>
        <v>7.2250926664140422</v>
        <stp/>
        <stp>##V3_BDPV12</stp>
        <stp>FP FP Equity</stp>
        <stp>INTERVAL_Low</stp>
        <stp>[Index.xlsm]主要產業!R36C37</stp>
        <stp>MARKET_DATA_OVERRIDE=PE_RATIO</stp>
        <stp>CALC_INTERVAL=5y</stp>
        <stp>BEST_FPERIOD_OVERRIDE=BF</stp>
        <tr r="AK36" s="2"/>
      </tp>
      <tp>
        <v>0.94889999999999997</v>
        <stp/>
        <stp>##V3_BDPV12</stp>
        <stp>RUB Curncy</stp>
        <stp>CHG_PCT_6M</stp>
        <stp>[Index.xlsm]主要產業!R83C51</stp>
        <tr r="AY83" s="2"/>
      </tp>
      <tp>
        <v>-0.39650000000000002</v>
        <stp/>
        <stp>##V3_BDPV12</stp>
        <stp>RUB Curncy</stp>
        <stp>CHG_PCT_5D</stp>
        <stp>[Index.xlsm]主要產業!R83C48</stp>
        <tr r="AV83" s="2"/>
      </tp>
      <tp>
        <v>-1.8331999999999999</v>
        <stp/>
        <stp>##V3_BDPV12</stp>
        <stp>RUB Curncy</stp>
        <stp>CHG_PCT_3M</stp>
        <stp>[Index.xlsm]主要產業!R83C50</stp>
        <tr r="AX83" s="2"/>
      </tp>
      <tp>
        <v>3.4565999999999999</v>
        <stp/>
        <stp>##V3_BDPV12</stp>
        <stp>RUB Curncy</stp>
        <stp>CHG_PCT_1M</stp>
        <stp>[Index.xlsm]主要產業!R83C49</stp>
        <tr r="AW83" s="2"/>
      </tp>
      <tp>
        <v>6.1000000000000004E-3</v>
        <stp/>
        <stp>##V3_BDPV12</stp>
        <stp>RUB Curncy</stp>
        <stp>CHG_PCT_1D</stp>
        <stp>[Index.xlsm]主要產業!R83C43</stp>
        <tr r="AQ83" s="2"/>
      </tp>
      <tp>
        <v>16.206695956791041</v>
        <stp/>
        <stp>##V3_BDPV12</stp>
        <stp>s5sseqx Index</stp>
        <stp>PE_RATIO</stp>
        <stp>[Index.xlsm]主要產業!R13C18</stp>
        <tr r="R13" s="2"/>
      </tp>
      <tp>
        <v>7.0064074438881496</v>
        <stp/>
        <stp>##V3_BDPV12</stp>
        <stp>TPTRAN Index</stp>
        <stp>INTERVAL_Low</stp>
        <stp>[Index.xlsm]主要產業!R39C17</stp>
        <stp>MARKET_DATA_OVERRIDE=PE_RATIO</stp>
        <stp>CALC_INTERVAL=5y</stp>
        <stp>BEST_FPERIOD_OVERRIDE=BF</stp>
        <tr r="Q39" s="2"/>
      </tp>
      <tp>
        <v>-0.69234960000000001</v>
        <stp/>
        <stp>##V3_BDPV12</stp>
        <stp>UKX INDEX</stp>
        <stp>PR064</stp>
        <stp>[Index.xlsm]主要產業!R10C52</stp>
        <tr r="AZ10" s="2"/>
      </tp>
      <tp>
        <v>19.41</v>
        <stp/>
        <stp>##V3_BDPV12</stp>
        <stp>VXN Index</stp>
        <stp>PX_LAST</stp>
        <stp>[Index.xlsm]主要產業!R66C42</stp>
        <tr r="AP66" s="2"/>
      </tp>
      <tp>
        <v>21.721969999999999</v>
        <stp/>
        <stp>##V3_BDPV12</stp>
        <stp>PEP US Equity</stp>
        <stp>CHG_PCT_1YR</stp>
        <stp>[Index.xlsm]主要產業!R15C35</stp>
        <tr r="AI15" s="2"/>
      </tp>
      <tp>
        <v>10.432270000000001</v>
        <stp/>
        <stp>##V3_BDPV12</stp>
        <stp>BHP AU Equity</stp>
        <stp>CHG_PCT_1YR</stp>
        <stp>[Index.xlsm]主要產業!R35C35</stp>
        <tr r="AI35" s="2"/>
      </tp>
      <tp>
        <v>6.8970929999999999</v>
        <stp/>
        <stp>##V3_BDPV12</stp>
        <stp>STAN LN Equity</stp>
        <stp>CHG_PCT_1YR</stp>
        <stp>[Index.xlsm]主要產業!R55C35</stp>
        <tr r="AI55" s="2"/>
      </tp>
      <tp>
        <v>14.484959999999999</v>
        <stp/>
        <stp>##V3_BDPV12</stp>
        <stp>SREN SW Equity</stp>
        <stp>CHG_PCT_1YR</stp>
        <stp>[Index.xlsm]主要產業!R72C35</stp>
        <tr r="AI72" s="2"/>
      </tp>
      <tp>
        <v>-3.661972</v>
        <stp/>
        <stp>##V3_BDPV12</stp>
        <stp>SMSN LI Equity</stp>
        <stp>CHG_PCT_1YR</stp>
        <stp>[Index.xlsm]主要產業!R86C35</stp>
        <tr r="AI86" s="2"/>
      </tp>
      <tp>
        <v>9.3185529999999996</v>
        <stp/>
        <stp>##V3_BDPV12</stp>
        <stp>LD06TRUU Index</stp>
        <stp>CHG_PCT_1YR</stp>
        <stp>[Index.xlsm]主要產業!R37C53</stp>
        <tr r="BA37" s="2"/>
      </tp>
      <tp>
        <v>32.865589999999997</v>
        <stp/>
        <stp>##V3_BDPV12</stp>
        <stp>NESN SW Equity</stp>
        <stp>CHG_PCT_1YR</stp>
        <stp>[Index.xlsm]主要產業!R67C35</stp>
        <tr r="AI67" s="2"/>
      </tp>
      <tp>
        <v>15.429270000000001</v>
        <stp/>
        <stp>##V3_BDPV12</stp>
        <stp>NOVN SW Equity</stp>
        <stp>CHG_PCT_1YR</stp>
        <stp>[Index.xlsm]主要產業!R68C35</stp>
        <tr r="AI68" s="2"/>
      </tp>
      <tp>
        <v>-16.398299999999999</v>
        <stp/>
        <stp>##V3_BDPV12</stp>
        <stp>BAYN GR Equity</stp>
        <stp>CHG_PCT_1YR</stp>
        <stp>[Index.xlsm]主要產業!R58C35</stp>
        <tr r="AI58" s="2"/>
      </tp>
      <tp>
        <v>-17.8918</v>
        <stp/>
        <stp>##V3_BDPV12</stp>
        <stp>CSGN SW Equity</stp>
        <stp>CHG_PCT_1YR</stp>
        <stp>[Index.xlsm]主要產業!R71C35</stp>
        <tr r="AI71" s="2"/>
      </tp>
      <tp>
        <v>10.17836155433236</v>
        <stp/>
        <stp>##V3_BDPV12</stp>
        <stp>TWSEOTHR Index</stp>
        <stp>INTERVAL_Low</stp>
        <stp>[Index.xlsm]主要產業!R77C17</stp>
        <stp>MARKET_DATA_OVERRIDE=PE_RATIO</stp>
        <stp>CALC_INTERVAL=5y</stp>
        <stp>BEST_FPERIOD_OVERRIDE=BF</stp>
        <tr r="Q77" s="2"/>
      </tp>
      <tp t="s">
        <v>2019/12/20</v>
        <stp/>
        <stp>##V3_BDPV12</stp>
        <stp>NQ1 Index</stp>
        <stp>FUT_LAST_TRADE_DT</stp>
        <stp>[Index.xlsm]主要產業!R93C45</stp>
        <tr r="AS93" s="2"/>
      </tp>
      <tp>
        <v>5.1344000000000003</v>
        <stp/>
        <stp>##V3_BDPV12</stp>
        <stp>TRY Curncy</stp>
        <stp>LOW_52WEEK</stp>
        <stp>[Index.xlsm]主要產業!R79C46</stp>
        <tr r="AT79" s="2"/>
      </tp>
      <tp>
        <v>104.46</v>
        <stp/>
        <stp>##V3_BDPV12</stp>
        <stp>JPY Curncy</stp>
        <stp>LOW_52WEEK</stp>
        <stp>[Index.xlsm]主要產業!R70C46</stp>
        <tr r="AT70" s="2"/>
      </tp>
      <tp>
        <v>6.6546000000000003</v>
        <stp/>
        <stp>##V3_BDPV12</stp>
        <stp>CNY Curncy</stp>
        <stp>LOW_52WEEK</stp>
        <stp>[Index.xlsm]主要產業!R77C46</stp>
        <tr r="AT77" s="2"/>
      </tp>
      <tp>
        <v>2.3855240000000002</v>
        <stp/>
        <stp>##V3_BDPV12</stp>
        <stp>TPELEC Index</stp>
        <stp>CHG_PCT_5D</stp>
        <stp>[Index.xlsm]主要產業!R42C10</stp>
        <tr r="J42" s="2"/>
      </tp>
      <tp>
        <v>-11.971830000000001</v>
        <stp/>
        <stp>##V3_BDPV12</stp>
        <stp>TPELEC Index</stp>
        <stp>CHG_PCT_6M</stp>
        <stp>[Index.xlsm]主要產業!R42C13</stp>
        <tr r="M42" s="2"/>
      </tp>
      <tp>
        <v>10.605639999999999</v>
        <stp/>
        <stp>##V3_BDPV12</stp>
        <stp>TPELEC Index</stp>
        <stp>CHG_PCT_1M</stp>
        <stp>[Index.xlsm]主要產業!R42C11</stp>
        <tr r="K42" s="2"/>
      </tp>
      <tp>
        <v>9.2295960000000008</v>
        <stp/>
        <stp>##V3_BDPV12</stp>
        <stp>TPELEC Index</stp>
        <stp>CHG_PCT_3M</stp>
        <stp>[Index.xlsm]主要產業!R42C12</stp>
        <tr r="L42" s="2"/>
      </tp>
      <tp>
        <v>13.08</v>
        <stp/>
        <stp>##V3_BDPV12</stp>
        <stp>ORA FP Equity</stp>
        <stp>LOW_52WEEK</stp>
        <stp>[Index.xlsm]主要產業!R42C28</stp>
        <tr r="AB42" s="2"/>
      </tp>
      <tp>
        <v>1.4976320000000001</v>
        <stp/>
        <stp>##V3_BDPV12</stp>
        <stp>NKE US Equity</stp>
        <stp>CHG_PCT_1D</stp>
        <stp>[Index.xlsm]主要產業!R23C25</stp>
        <tr r="Y23" s="2"/>
      </tp>
      <tp>
        <v>4.8071700000000002</v>
        <stp/>
        <stp>##V3_BDPV12</stp>
        <stp>ROG SW Equity</stp>
        <stp>CHG_PCT_3M</stp>
        <stp>[Index.xlsm]主要產業!R69C32</stp>
        <tr r="AF69" s="2"/>
      </tp>
      <tp>
        <v>12.060790000000001</v>
        <stp/>
        <stp>##V3_BDPV12</stp>
        <stp>NKE US Equity</stp>
        <stp>CHG_PCT_1M</stp>
        <stp>[Index.xlsm]主要產業!R23C31</stp>
        <tr r="AE23" s="2"/>
      </tp>
      <tp>
        <v>1.486726</v>
        <stp/>
        <stp>##V3_BDPV12</stp>
        <stp>ROG SW Equity</stp>
        <stp>CHG_PCT_1D</stp>
        <stp>[Index.xlsm]主要產業!R69C25</stp>
        <tr r="Y69" s="2"/>
      </tp>
      <tp>
        <v>5.4819769999999997</v>
        <stp/>
        <stp>##V3_BDPV12</stp>
        <stp>ROG SW Equity</stp>
        <stp>CHG_PCT_1M</stp>
        <stp>[Index.xlsm]主要產業!R69C31</stp>
        <tr r="AE69" s="2"/>
      </tp>
      <tp>
        <v>11.65354</v>
        <stp/>
        <stp>##V3_BDPV12</stp>
        <stp>NKE US Equity</stp>
        <stp>CHG_PCT_3M</stp>
        <stp>[Index.xlsm]主要產業!R23C32</stp>
        <tr r="AF23" s="2"/>
      </tp>
      <tp>
        <v>5.656898</v>
        <stp/>
        <stp>##V3_BDPV12</stp>
        <stp>ROG SW Equity</stp>
        <stp>CHG_PCT_6M</stp>
        <stp>[Index.xlsm]主要產業!R69C33</stp>
        <tr r="AG69" s="2"/>
      </tp>
      <tp>
        <v>5.096921</v>
        <stp/>
        <stp>##V3_BDPV12</stp>
        <stp>NKE US Equity</stp>
        <stp>CHG_PCT_5D</stp>
        <stp>[Index.xlsm]主要產業!R23C30</stp>
        <tr r="AD23" s="2"/>
      </tp>
      <tp>
        <v>10.5421</v>
        <stp/>
        <stp>##V3_BDPV12</stp>
        <stp>NKE US Equity</stp>
        <stp>CHG_PCT_6M</stp>
        <stp>[Index.xlsm]主要產業!R23C33</stp>
        <tr r="AG23" s="2"/>
      </tp>
      <tp>
        <v>1.30742</v>
        <stp/>
        <stp>##V3_BDPV12</stp>
        <stp>ROG SW Equity</stp>
        <stp>CHG_PCT_5D</stp>
        <stp>[Index.xlsm]主要產業!R69C30</stp>
        <tr r="AD69" s="2"/>
      </tp>
      <tp>
        <v>-20.536049999999999</v>
        <stp/>
        <stp>##V3_BDPV12</stp>
        <stp>BAS GR Equity</stp>
        <stp>CHG_PCT_1YR</stp>
        <stp>[Index.xlsm]主要產業!R59C35</stp>
        <tr r="AI59" s="2"/>
      </tp>
      <tp>
        <v>18.398</v>
        <stp/>
        <stp>##V3_BDPV12</stp>
        <stp>CS FP Equity</stp>
        <stp>LOW_52WEEK</stp>
        <stp>[Index.xlsm]主要產業!R41C28</stp>
        <tr r="AB41" s="2"/>
      </tp>
      <tp>
        <v>-3.3250207813798718</v>
        <stp/>
        <stp>##V3_BDPV12</stp>
        <stp>SB1 Comdty</stp>
        <stp>PR064</stp>
        <stp>[Index.xlsm]主要產業!R50C52</stp>
        <tr r="AZ50" s="2"/>
      </tp>
      <tp>
        <v>66.099999999999994</v>
        <stp/>
        <stp>##V3_BDPV12</stp>
        <stp>MRK US Equity</stp>
        <stp>LOW_52WEEK</stp>
        <stp>[Index.xlsm]主要產業!R12C28</stp>
        <tr r="AB12" s="2"/>
      </tp>
      <tp>
        <v>10525</v>
        <stp/>
        <stp>##V3_BDPV12</stp>
        <stp>lmnids03 comdty</stp>
        <stp>LOW_52WEEK</stp>
        <stp>[Index.xlsm]主要產業!R49C46</stp>
        <tr r="AT49" s="2"/>
      </tp>
      <tp>
        <v>-0.17693590000000001</v>
        <stp/>
        <stp>##V3_BDPV12</stp>
        <stp>SIE GR Equity</stp>
        <stp>CHG_PCT_1D</stp>
        <stp>[Index.xlsm]主要產業!R57C25</stp>
        <tr r="Y57" s="2"/>
      </tp>
      <tp>
        <v>7.9216800000000003</v>
        <stp/>
        <stp>##V3_BDPV12</stp>
        <stp>SIE GR Equity</stp>
        <stp>CHG_PCT_1M</stp>
        <stp>[Index.xlsm]主要產業!R57C31</stp>
        <tr r="AE57" s="2"/>
      </tp>
      <tp>
        <v>-7.4763679999999999</v>
        <stp/>
        <stp>##V3_BDPV12</stp>
        <stp>SIE GR Equity</stp>
        <stp>CHG_PCT_3M</stp>
        <stp>[Index.xlsm]主要產業!R57C32</stp>
        <tr r="AF57" s="2"/>
      </tp>
      <tp>
        <v>-1.317008</v>
        <stp/>
        <stp>##V3_BDPV12</stp>
        <stp>SIE GR Equity</stp>
        <stp>CHG_PCT_5D</stp>
        <stp>[Index.xlsm]主要產業!R57C30</stp>
        <tr r="AD57" s="2"/>
      </tp>
      <tp>
        <v>0.21943889999999999</v>
        <stp/>
        <stp>##V3_BDPV12</stp>
        <stp>SIE GR Equity</stp>
        <stp>CHG_PCT_6M</stp>
        <stp>[Index.xlsm]主要產業!R57C33</stp>
        <tr r="AG57" s="2"/>
      </tp>
      <tp>
        <v>-16.255710000000001</v>
        <stp/>
        <stp>##V3_BDPV12</stp>
        <stp>EMR US Equity</stp>
        <stp>CHG_PCT_1YR</stp>
        <stp>[Index.xlsm]主要產業!R33C35</stp>
        <tr r="AI33" s="2"/>
      </tp>
      <tp>
        <v>5.5609974180003023</v>
        <stp/>
        <stp>##V3_BDPV12</stp>
        <stp>MUV2 GR Equity</stp>
        <stp>INTERVAL_Low</stp>
        <stp>[Index.xlsm]主要產業!R62C37</stp>
        <stp>MARKET_DATA_OVERRIDE=PE_RATIO</stp>
        <stp>CALC_INTERVAL=5y</stp>
        <stp>BEST_FPERIOD_OVERRIDE=BF</stp>
        <tr r="AK62" s="2"/>
      </tp>
      <tp>
        <v>16.590958354096806</v>
        <stp/>
        <stp>##V3_BDPV12</stp>
        <stp>s5matr Index</stp>
        <stp>PE_RATIO</stp>
        <stp>[Index.xlsm]主要產業!R16C18</stp>
        <tr r="R16" s="2"/>
      </tp>
      <tp>
        <v>15.300060221431234</v>
        <stp/>
        <stp>##V3_BDPV12</stp>
        <stp>TWSEMACH Index</stp>
        <stp>INTERVAL_Low</stp>
        <stp>[Index.xlsm]主要產業!R87C17</stp>
        <stp>MARKET_DATA_OVERRIDE=PE_RATIO</stp>
        <stp>CALC_INTERVAL=5y</stp>
        <stp>BEST_FPERIOD_OVERRIDE=BF</stp>
        <tr r="Q87" s="2"/>
      </tp>
      <tp>
        <v>6.5155807365439093</v>
        <stp/>
        <stp>##V3_BDPV12</stp>
        <stp>GC1 Comdty</stp>
        <stp>PR064</stp>
        <stp>[Index.xlsm]主要產業!R43C52</stp>
        <tr r="AZ43" s="2"/>
      </tp>
      <tp>
        <v>34128103</v>
        <stp/>
        <stp>##V3_BDPV12</stp>
        <stp>2330 TT Equity</stp>
        <stp>PX_VOLUME</stp>
        <stp>[Index.xlsm]主要產業!R86C51</stp>
        <tr r="AY86" s="2"/>
      </tp>
      <tp>
        <v>1734</v>
        <stp/>
        <stp>##V3_BDPV12</stp>
        <stp>lmahds03 comdty</stp>
        <stp>LOW_52WEEK</stp>
        <stp>[Index.xlsm]主要產業!R46C46</stp>
        <tr r="AT46" s="2"/>
      </tp>
      <tp>
        <v>16.852509999999999</v>
        <stp/>
        <stp>##V3_BDPV12</stp>
        <stp>XIN9I INDEX</stp>
        <stp>CHG_PCT_1YR</stp>
        <stp>[Index.xlsm]主要產業!R22C53</stp>
        <tr r="BA22" s="2"/>
      </tp>
      <tp>
        <v>-24.181899999999999</v>
        <stp/>
        <stp>##V3_BDPV12</stp>
        <stp>XBTUSD BGN Curncy</stp>
        <stp>PR064</stp>
        <stp>[Index.xlsm]主要產業!R84C52</stp>
        <tr r="AZ84" s="2"/>
      </tp>
      <tp>
        <v>-10.539260000000001</v>
        <stp/>
        <stp>##V3_BDPV12</stp>
        <stp>KOSPFIN Index</stp>
        <stp>CHG_PCT_6M</stp>
        <stp>[Index.xlsm]主要產業!R44C13</stp>
        <tr r="M44" s="2"/>
      </tp>
      <tp>
        <v>-20.138500000000001</v>
        <stp/>
        <stp>##V3_BDPV12</stp>
        <stp>PRU LN Equity</stp>
        <stp>CHG_PCT_1YR</stp>
        <stp>[Index.xlsm]主要產業!R52C35</stp>
        <tr r="AI52" s="2"/>
      </tp>
      <tp>
        <v>-1.1587050000000001</v>
        <stp/>
        <stp>##V3_BDPV12</stp>
        <stp>KOSPFIN Index</stp>
        <stp>CHG_PCT_5D</stp>
        <stp>[Index.xlsm]主要產業!R44C10</stp>
        <tr r="J44" s="2"/>
      </tp>
      <tp>
        <v>-10.15832</v>
        <stp/>
        <stp>##V3_BDPV12</stp>
        <stp>KOSPFIN Index</stp>
        <stp>CHG_PCT_3M</stp>
        <stp>[Index.xlsm]主要產業!R44C12</stp>
        <tr r="L44" s="2"/>
      </tp>
      <tp>
        <v>7.7529089999999998</v>
        <stp/>
        <stp>##V3_BDPV12</stp>
        <stp>KOSPFIN Index</stp>
        <stp>CHG_PCT_1M</stp>
        <stp>[Index.xlsm]主要產業!R44C11</stp>
        <tr r="K44" s="2"/>
      </tp>
      <tp>
        <v>61.187849999999997</v>
        <stp/>
        <stp>##V3_BDPV12</stp>
        <stp>600519 CG Equity</stp>
        <stp>CHG_PCT_1YR</stp>
        <stp>[Index.xlsm]主要產業!R89C35</stp>
        <tr r="AI89" s="2"/>
      </tp>
      <tp>
        <v>-3.1316350000000002</v>
        <stp/>
        <stp>##V3_BDPV12</stp>
        <stp>BHP AU Equity</stp>
        <stp>CHG_PCT_5D</stp>
        <stp>[Index.xlsm]主要產業!R35C30</stp>
        <tr r="AD35" s="2"/>
      </tp>
      <tp>
        <v>-3.6939350000000002</v>
        <stp/>
        <stp>##V3_BDPV12</stp>
        <stp>BHP AU Equity</stp>
        <stp>CHG_PCT_6M</stp>
        <stp>[Index.xlsm]主要產業!R35C33</stp>
        <tr r="AG35" s="2"/>
      </tp>
      <tp>
        <v>4.4349049999999997</v>
        <stp/>
        <stp>##V3_BDPV12</stp>
        <stp>BHP AU Equity</stp>
        <stp>CHG_PCT_1M</stp>
        <stp>[Index.xlsm]主要產業!R35C31</stp>
        <tr r="AE35" s="2"/>
      </tp>
      <tp>
        <v>3300.623</v>
        <stp/>
        <stp>##V3_BDPV12</stp>
        <stp>RIO LN Equity</stp>
        <stp>LOW_52WEEK</stp>
        <stp>[Index.xlsm]主要產業!R50C28</stp>
        <tr r="AB50" s="2"/>
      </tp>
      <tp>
        <v>-8.2124279999999994E-2</v>
        <stp/>
        <stp>##V3_BDPV12</stp>
        <stp>BHP AU Equity</stp>
        <stp>CHG_PCT_1D</stp>
        <stp>[Index.xlsm]主要產業!R35C25</stp>
        <tr r="Y35" s="2"/>
      </tp>
      <tp>
        <v>-12.99166</v>
        <stp/>
        <stp>##V3_BDPV12</stp>
        <stp>BHP AU Equity</stp>
        <stp>CHG_PCT_3M</stp>
        <stp>[Index.xlsm]主要產業!R35C32</stp>
        <tr r="AF35" s="2"/>
      </tp>
      <tp>
        <v>9.5799199999999995</v>
        <stp/>
        <stp>##V3_BDPV12</stp>
        <stp>GSK LN Equity</stp>
        <stp>CHG_PCT_6M</stp>
        <stp>[Index.xlsm]主要產業!R47C33</stp>
        <tr r="AG47" s="2"/>
      </tp>
      <tp>
        <v>3.221136</v>
        <stp/>
        <stp>##V3_BDPV12</stp>
        <stp>GSK LN Equity</stp>
        <stp>CHG_PCT_5D</stp>
        <stp>[Index.xlsm]主要產業!R47C30</stp>
        <tr r="AD47" s="2"/>
      </tp>
      <tp>
        <v>140.96530000000001</v>
        <stp/>
        <stp>##V3_BDPV12</stp>
        <stp>EMLCTRUU Index</stp>
        <stp>HIGH_52WEEK</stp>
        <stp>[Index.xlsm]主要產業!R36C44</stp>
        <tr r="AR36" s="2"/>
      </tp>
      <tp>
        <v>7.8125030000000004</v>
        <stp/>
        <stp>##V3_BDPV12</stp>
        <stp>GSK LN Equity</stp>
        <stp>CHG_PCT_3M</stp>
        <stp>[Index.xlsm]主要產業!R47C32</stp>
        <tr r="AF47" s="2"/>
      </tp>
      <tp>
        <v>1.857143</v>
        <stp/>
        <stp>##V3_BDPV12</stp>
        <stp>GSK LN Equity</stp>
        <stp>CHG_PCT_1D</stp>
        <stp>[Index.xlsm]主要產業!R47C25</stp>
        <tr r="Y47" s="2"/>
      </tp>
      <tp>
        <v>1.1825950000000001</v>
        <stp/>
        <stp>##V3_BDPV12</stp>
        <stp>GSK LN Equity</stp>
        <stp>CHG_PCT_1M</stp>
        <stp>[Index.xlsm]主要產業!R47C31</stp>
        <tr r="AE47" s="2"/>
      </tp>
      <tp>
        <v>100.48</v>
        <stp/>
        <stp>##V3_BDPV12</stp>
        <stp>UTX US Equity</stp>
        <stp>LOW_52WEEK</stp>
        <stp>[Index.xlsm]主要產業!R25C28</stp>
        <tr r="AB25" s="2"/>
      </tp>
      <tp>
        <v>-2.5758589999999999</v>
        <stp/>
        <stp>##V3_BDPV12</stp>
        <stp>UKX INDEX</stp>
        <stp>CHG_PCT_1YR</stp>
        <stp>[Index.xlsm]主要產業!R10C53</stp>
        <tr r="BA10" s="2"/>
      </tp>
      <tp>
        <v>-0.86715200000000003</v>
        <stp/>
        <stp>##V3_BDPV12</stp>
        <stp>TWSEEPD Index</stp>
        <stp>CHG_PCT_5D</stp>
        <stp>[Index.xlsm]主要產業!R91C10</stp>
        <tr r="J91" s="2"/>
      </tp>
      <tp>
        <v>1.170712</v>
        <stp/>
        <stp>##V3_BDPV12</stp>
        <stp>TWSECPE Index</stp>
        <stp>CHG_PCT_5D</stp>
        <stp>[Index.xlsm]主要產業!R76C10</stp>
        <tr r="J76" s="2"/>
      </tp>
      <tp>
        <v>0.23778479999999999</v>
        <stp/>
        <stp>##V3_BDPV12</stp>
        <stp>TWSEOPE Index</stp>
        <stp>CHG_PCT_5D</stp>
        <stp>[Index.xlsm]主要產業!R78C10</stp>
        <tr r="J78" s="2"/>
      </tp>
      <tp>
        <v>3.13551</v>
        <stp/>
        <stp>##V3_BDPV12</stp>
        <stp>TWSECPE Index</stp>
        <stp>CHG_PCT_6M</stp>
        <stp>[Index.xlsm]主要產業!R76C13</stp>
        <tr r="M76" s="2"/>
      </tp>
      <tp>
        <v>-7.4182550000000003</v>
        <stp/>
        <stp>##V3_BDPV12</stp>
        <stp>TWSEOPE Index</stp>
        <stp>CHG_PCT_6M</stp>
        <stp>[Index.xlsm]主要產業!R78C13</stp>
        <tr r="M78" s="2"/>
      </tp>
      <tp>
        <v>-0.53941430000000001</v>
        <stp/>
        <stp>##V3_BDPV12</stp>
        <stp>TWSEEPD Index</stp>
        <stp>CHG_PCT_6M</stp>
        <stp>[Index.xlsm]主要產業!R91C13</stp>
        <tr r="M91" s="2"/>
      </tp>
      <tp>
        <v>0.90917000000000003</v>
        <stp/>
        <stp>##V3_BDPV12</stp>
        <stp>TWSEEPD Index</stp>
        <stp>CHG_PCT_1M</stp>
        <stp>[Index.xlsm]主要產業!R91C11</stp>
        <tr r="K91" s="2"/>
      </tp>
      <tp>
        <v>4.1867599999999996</v>
        <stp/>
        <stp>##V3_BDPV12</stp>
        <stp>TWSECPE Index</stp>
        <stp>CHG_PCT_1M</stp>
        <stp>[Index.xlsm]主要產業!R76C11</stp>
        <tr r="K76" s="2"/>
      </tp>
      <tp>
        <v>8.5240270000000002</v>
        <stp/>
        <stp>##V3_BDPV12</stp>
        <stp>TWSEOPE Index</stp>
        <stp>CHG_PCT_1M</stp>
        <stp>[Index.xlsm]主要產業!R78C11</stp>
        <tr r="K78" s="2"/>
      </tp>
      <tp>
        <v>-2.5737139999999998</v>
        <stp/>
        <stp>##V3_BDPV12</stp>
        <stp>TWSEEPD Index</stp>
        <stp>CHG_PCT_3M</stp>
        <stp>[Index.xlsm]主要產業!R91C12</stp>
        <tr r="L91" s="2"/>
      </tp>
      <tp>
        <v>0.48625699999999999</v>
        <stp/>
        <stp>##V3_BDPV12</stp>
        <stp>TWSECPE Index</stp>
        <stp>CHG_PCT_3M</stp>
        <stp>[Index.xlsm]主要產業!R76C12</stp>
        <tr r="L76" s="2"/>
      </tp>
      <tp>
        <v>5.7118950000000002</v>
        <stp/>
        <stp>##V3_BDPV12</stp>
        <stp>TWSEOPE Index</stp>
        <stp>CHG_PCT_3M</stp>
        <stp>[Index.xlsm]主要產業!R78C12</stp>
        <tr r="L78" s="2"/>
      </tp>
      <tp>
        <v>25.066079999999999</v>
        <stp/>
        <stp>##V3_BDPV12</stp>
        <stp>WMT US Equity</stp>
        <stp>CHG_PCT_1YR</stp>
        <stp>[Index.xlsm]主要產業!R17C35</stp>
        <tr r="AI17" s="2"/>
      </tp>
      <tp>
        <v>-17.483840000000001</v>
        <stp/>
        <stp>##V3_BDPV12</stp>
        <stp>CAT US Equity</stp>
        <stp>CHG_PCT_1YR</stp>
        <stp>[Index.xlsm]主要產業!R31C35</stp>
        <tr r="AI31" s="2"/>
      </tp>
      <tp>
        <v>13.48161</v>
        <stp/>
        <stp>##V3_BDPV12</stp>
        <stp>ABT US Equity</stp>
        <stp>CHG_PCT_1YR</stp>
        <stp>[Index.xlsm]主要產業!R18C35</stp>
        <tr r="AI18" s="2"/>
      </tp>
      <tp>
        <v>54.914900000000003</v>
        <stp/>
        <stp>##V3_BDPV12</stp>
        <stp>AMT US Equity</stp>
        <stp>CHG_PCT_1YR</stp>
        <stp>[Index.xlsm]主要產業!R26C35</stp>
        <tr r="AI26" s="2"/>
      </tp>
      <tp>
        <v>26.834318258538033</v>
        <stp/>
        <stp>##V3_BDPV12</stp>
        <stp>SH000911 Index</stp>
        <stp>INTERVAL_HIGH</stp>
        <stp>[Index.xlsm]主要產業!R51C16</stp>
        <stp>MARKET_DATA_OVERRIDE=PE_RATIO</stp>
        <stp>CALC_INTERVAL=5y</stp>
        <stp>BEST_FPERIOD_OVERRIDE=BF</stp>
        <tr r="P51" s="2"/>
      </tp>
      <tp>
        <v>38.525969030286866</v>
        <stp/>
        <stp>##V3_BDPV12</stp>
        <stp>SH000910 Index</stp>
        <stp>INTERVAL_HIGH</stp>
        <stp>[Index.xlsm]主要產業!R49C16</stp>
        <stp>MARKET_DATA_OVERRIDE=PE_RATIO</stp>
        <stp>CALC_INTERVAL=5y</stp>
        <stp>BEST_FPERIOD_OVERRIDE=BF</stp>
        <tr r="P49" s="2"/>
      </tp>
      <tp>
        <v>38.740015492997692</v>
        <stp/>
        <stp>##V3_BDPV12</stp>
        <stp>SH000912 Index</stp>
        <stp>INTERVAL_HIGH</stp>
        <stp>[Index.xlsm]主要產業!R50C16</stp>
        <stp>MARKET_DATA_OVERRIDE=PE_RATIO</stp>
        <stp>CALC_INTERVAL=5y</stp>
        <stp>BEST_FPERIOD_OVERRIDE=BF</stp>
        <tr r="P50" s="2"/>
      </tp>
      <tp>
        <v>48.45656743288091</v>
        <stp/>
        <stp>##V3_BDPV12</stp>
        <stp>SH000913 Index</stp>
        <stp>INTERVAL_HIGH</stp>
        <stp>[Index.xlsm]主要產業!R55C16</stp>
        <stp>MARKET_DATA_OVERRIDE=PE_RATIO</stp>
        <stp>CALC_INTERVAL=5y</stp>
        <stp>BEST_FPERIOD_OVERRIDE=BF</stp>
        <tr r="P55" s="2"/>
      </tp>
      <tp>
        <v>91.086189947215772</v>
        <stp/>
        <stp>##V3_BDPV12</stp>
        <stp>SH000915 Index</stp>
        <stp>INTERVAL_HIGH</stp>
        <stp>[Index.xlsm]主要產業!R52C16</stp>
        <stp>MARKET_DATA_OVERRIDE=PE_RATIO</stp>
        <stp>CALC_INTERVAL=5y</stp>
        <stp>BEST_FPERIOD_OVERRIDE=BF</stp>
        <tr r="P52" s="2"/>
      </tp>
      <tp>
        <v>13.054245130951692</v>
        <stp/>
        <stp>##V3_BDPV12</stp>
        <stp>SH000914 Index</stp>
        <stp>INTERVAL_HIGH</stp>
        <stp>[Index.xlsm]主要產業!R48C16</stp>
        <stp>MARKET_DATA_OVERRIDE=PE_RATIO</stp>
        <stp>CALC_INTERVAL=5y</stp>
        <stp>BEST_FPERIOD_OVERRIDE=BF</stp>
        <tr r="P48" s="2"/>
      </tp>
      <tp>
        <v>617.37979765578598</v>
        <stp/>
        <stp>##V3_BDPV12</stp>
        <stp>SH000916 Index</stp>
        <stp>INTERVAL_HIGH</stp>
        <stp>[Index.xlsm]主要產業!R57C16</stp>
        <stp>MARKET_DATA_OVERRIDE=PE_RATIO</stp>
        <stp>CALC_INTERVAL=5y</stp>
        <stp>BEST_FPERIOD_OVERRIDE=BF</stp>
        <tr r="P57" s="2"/>
      </tp>
      <tp>
        <v>21.531872230690254</v>
        <stp/>
        <stp>##V3_BDPV12</stp>
        <stp>SH000917 Index</stp>
        <stp>INTERVAL_HIGH</stp>
        <stp>[Index.xlsm]主要產業!R56C16</stp>
        <stp>MARKET_DATA_OVERRIDE=PE_RATIO</stp>
        <stp>CALC_INTERVAL=5y</stp>
        <stp>BEST_FPERIOD_OVERRIDE=BF</stp>
        <tr r="P56" s="2"/>
      </tp>
      <tp>
        <v>50.327015445234451</v>
        <stp/>
        <stp>##V3_BDPV12</stp>
        <stp>SH000908 Index</stp>
        <stp>INTERVAL_HIGH</stp>
        <stp>[Index.xlsm]主要產業!R53C16</stp>
        <stp>MARKET_DATA_OVERRIDE=PE_RATIO</stp>
        <stp>CALC_INTERVAL=5y</stp>
        <stp>BEST_FPERIOD_OVERRIDE=BF</stp>
        <tr r="P53" s="2"/>
      </tp>
      <tp>
        <v>1197.5762106383679</v>
        <stp/>
        <stp>##V3_BDPV12</stp>
        <stp>SH000909 Index</stp>
        <stp>INTERVAL_HIGH</stp>
        <stp>[Index.xlsm]主要產業!R54C16</stp>
        <stp>MARKET_DATA_OVERRIDE=PE_RATIO</stp>
        <stp>CALC_INTERVAL=5y</stp>
        <stp>BEST_FPERIOD_OVERRIDE=BF</stp>
        <tr r="P54" s="2"/>
      </tp>
      <tp>
        <v>99.05001</v>
        <stp/>
        <stp>##V3_BDPV12</stp>
        <stp>000858 CS Equity</stp>
        <stp>CHG_PCT_1YR</stp>
        <stp>[Index.xlsm]主要產業!R93C35</stp>
        <tr r="AI93" s="2"/>
      </tp>
      <tp>
        <v>31.473220000000001</v>
        <stp/>
        <stp>##V3_BDPV12</stp>
        <stp>601318 CG Equity</stp>
        <stp>CHG_PCT_1YR</stp>
        <stp>[Index.xlsm]主要產業!R88C35</stp>
        <tr r="AI88" s="2"/>
      </tp>
      <tp>
        <v>151.69999999999999</v>
        <stp/>
        <stp>##V3_BDPV12</stp>
        <stp>GS US Equity</stp>
        <stp>LOW_52WEEK</stp>
        <stp>[Index.xlsm]主要產業!R30C28</stp>
        <tr r="AB30" s="2"/>
      </tp>
      <tp>
        <v>6.4019000000000004</v>
        <stp/>
        <stp>##V3_BDPV12</stp>
        <stp>GE US Equity</stp>
        <stp>LOW_52WEEK</stp>
        <stp>[Index.xlsm]主要產業!R29C28</stp>
        <tr r="AB29" s="2"/>
      </tp>
      <tp>
        <v>6.2555922421880119</v>
        <stp/>
        <stp>##V3_BDPV12</stp>
        <stp>KOSPTREQ Index</stp>
        <stp>INTERVAL_Low</stp>
        <stp>[Index.xlsm]主要產業!R46C17</stp>
        <stp>MARKET_DATA_OVERRIDE=PE_RATIO</stp>
        <stp>CALC_INTERVAL=5y</stp>
        <stp>BEST_FPERIOD_OVERRIDE=BF</stp>
        <tr r="Q46" s="2"/>
      </tp>
      <tp>
        <v>10.169700000000001</v>
        <stp/>
        <stp>##V3_BDPV12</stp>
        <stp>TPTRAN Index</stp>
        <stp>CHG_PCT_1M</stp>
        <stp>[Index.xlsm]主要產業!R39C11</stp>
        <tr r="K39" s="2"/>
      </tp>
      <tp>
        <v>5.7347070000000002</v>
        <stp/>
        <stp>##V3_BDPV12</stp>
        <stp>TPTRAN Index</stp>
        <stp>CHG_PCT_3M</stp>
        <stp>[Index.xlsm]主要產業!R39C12</stp>
        <tr r="L39" s="2"/>
      </tp>
      <tp>
        <v>0.57293519999999998</v>
        <stp/>
        <stp>##V3_BDPV12</stp>
        <stp>TPTRAN Index</stp>
        <stp>CHG_PCT_5D</stp>
        <stp>[Index.xlsm]主要產業!R39C10</stp>
        <tr r="J39" s="2"/>
      </tp>
      <tp>
        <v>1.929308</v>
        <stp/>
        <stp>##V3_BDPV12</stp>
        <stp>TPTRAN Index</stp>
        <stp>CHG_PCT_6M</stp>
        <stp>[Index.xlsm]主要產業!R39C13</stp>
        <tr r="M39" s="2"/>
      </tp>
      <tp>
        <v>4.5623670000000001</v>
        <stp/>
        <stp>##V3_BDPV12</stp>
        <stp>IBOV INDEX</stp>
        <stp>PR064</stp>
        <stp>[Index.xlsm]主要產業!R32C52</stp>
        <tr r="AZ32" s="2"/>
      </tp>
      <tp>
        <v>13.755000000000001</v>
        <stp/>
        <stp>##V3_BDPV12</stp>
        <stp>DTE GR Equity</stp>
        <stp>LOW_52WEEK</stp>
        <stp>[Index.xlsm]主要產業!R60C28</stp>
        <tr r="AB60" s="2"/>
      </tp>
      <tp>
        <v>1.6214310000000001</v>
        <stp/>
        <stp>##V3_BDPV12</stp>
        <stp>PRU LN Equity</stp>
        <stp>CHG_PCT_1D</stp>
        <stp>[Index.xlsm]主要產業!R52C25</stp>
        <tr r="Y52" s="2"/>
      </tp>
      <tp>
        <v>-0.19785749999999999</v>
        <stp/>
        <stp>##V3_BDPV12</stp>
        <stp>IBEX INDEX</stp>
        <stp>PR064</stp>
        <stp>[Index.xlsm]主要產業!R13C52</stp>
        <tr r="AZ13" s="2"/>
      </tp>
      <tp>
        <v>5.798165</v>
        <stp/>
        <stp>##V3_BDPV12</stp>
        <stp>PRU LN Equity</stp>
        <stp>CHG_PCT_1M</stp>
        <stp>[Index.xlsm]主要產業!R52C31</stp>
        <tr r="AE52" s="2"/>
      </tp>
      <tp>
        <v>-14.14532</v>
        <stp/>
        <stp>##V3_BDPV12</stp>
        <stp>PRU LN Equity</stp>
        <stp>CHG_PCT_3M</stp>
        <stp>[Index.xlsm]主要產業!R52C32</stp>
        <tr r="AF52" s="2"/>
      </tp>
      <tp>
        <v>-1.90541</v>
        <stp/>
        <stp>##V3_BDPV12</stp>
        <stp>PRU LN Equity</stp>
        <stp>CHG_PCT_5D</stp>
        <stp>[Index.xlsm]主要產業!R52C30</stp>
        <tr r="AD52" s="2"/>
      </tp>
      <tp>
        <v>-6.759379</v>
        <stp/>
        <stp>##V3_BDPV12</stp>
        <stp>PRU LN Equity</stp>
        <stp>CHG_PCT_6M</stp>
        <stp>[Index.xlsm]主要產業!R52C33</stp>
        <tr r="AG52" s="2"/>
      </tp>
      <tp>
        <v>2.5488439999999999</v>
        <stp/>
        <stp>##V3_BDPV12</stp>
        <stp>AON US Equity</stp>
        <stp>CHG_PCT_3M</stp>
        <stp>[Index.xlsm]主要產業!R51C32</stp>
        <tr r="AF51" s="2"/>
      </tp>
      <tp>
        <v>-3.7790170000000001</v>
        <stp/>
        <stp>##V3_BDPV12</stp>
        <stp>HON US Equity</stp>
        <stp>CHG_PCT_3M</stp>
        <stp>[Index.xlsm]主要產業!R21C32</stp>
        <tr r="AF21" s="2"/>
      </tp>
      <tp>
        <v>1.6760630000000001</v>
        <stp/>
        <stp>##V3_BDPV12</stp>
        <stp>AON US Equity</stp>
        <stp>CHG_PCT_1M</stp>
        <stp>[Index.xlsm]主要產業!R51C31</stp>
        <tr r="AE51" s="2"/>
      </tp>
      <tp>
        <v>6.4495550000000001</v>
        <stp/>
        <stp>##V3_BDPV12</stp>
        <stp>HON US Equity</stp>
        <stp>CHG_PCT_1M</stp>
        <stp>[Index.xlsm]主要產業!R21C31</stp>
        <tr r="AE21" s="2"/>
      </tp>
      <tp>
        <v>5.9905350000000003E-2</v>
        <stp/>
        <stp>##V3_BDPV12</stp>
        <stp>HON US Equity</stp>
        <stp>CHG_PCT_1D</stp>
        <stp>[Index.xlsm]主要產業!R21C25</stp>
        <tr r="Y21" s="2"/>
      </tp>
      <tp>
        <v>0.16460060000000001</v>
        <stp/>
        <stp>##V3_BDPV12</stp>
        <stp>AON US Equity</stp>
        <stp>CHG_PCT_1D</stp>
        <stp>[Index.xlsm]主要產業!R51C25</stp>
        <tr r="Y51" s="2"/>
      </tp>
      <tp>
        <v>16.076540000000001</v>
        <stp/>
        <stp>##V3_BDPV12</stp>
        <stp>AON US Equity</stp>
        <stp>CHG_PCT_6M</stp>
        <stp>[Index.xlsm]主要產業!R51C33</stp>
        <tr r="AG51" s="2"/>
      </tp>
      <tp>
        <v>6.0642649999999998</v>
        <stp/>
        <stp>##V3_BDPV12</stp>
        <stp>HON US Equity</stp>
        <stp>CHG_PCT_6M</stp>
        <stp>[Index.xlsm]主要產業!R21C33</stp>
        <tr r="AG21" s="2"/>
      </tp>
      <tp>
        <v>0.26258880000000001</v>
        <stp/>
        <stp>##V3_BDPV12</stp>
        <stp>AON US Equity</stp>
        <stp>CHG_PCT_5D</stp>
        <stp>[Index.xlsm]主要產業!R51C30</stp>
        <tr r="AD51" s="2"/>
      </tp>
      <tp>
        <v>0.15590329999999999</v>
        <stp/>
        <stp>##V3_BDPV12</stp>
        <stp>HON US Equity</stp>
        <stp>CHG_PCT_5D</stp>
        <stp>[Index.xlsm]主要產業!R21C30</stp>
        <tr r="AD21" s="2"/>
      </tp>
      <tp>
        <v>6.02047E-2</v>
        <stp/>
        <stp>##V3_BDPV12</stp>
        <stp>GLE FP Equity</stp>
        <stp>CHG_PCT_1D</stp>
        <stp>[Index.xlsm]主要產業!R43C25</stp>
        <tr r="Y43" s="2"/>
      </tp>
      <tp>
        <v>11.17057</v>
        <stp/>
        <stp>##V3_BDPV12</stp>
        <stp>GLE FP Equity</stp>
        <stp>CHG_PCT_1M</stp>
        <stp>[Index.xlsm]主要產業!R43C31</stp>
        <tr r="AE43" s="2"/>
      </tp>
      <tp>
        <v>13.36971</v>
        <stp/>
        <stp>##V3_BDPV12</stp>
        <stp>GLE FP Equity</stp>
        <stp>CHG_PCT_3M</stp>
        <stp>[Index.xlsm]主要產業!R43C32</stp>
        <tr r="AF43" s="2"/>
      </tp>
      <tp>
        <v>-4.0969420000000003</v>
        <stp/>
        <stp>##V3_BDPV12</stp>
        <stp>GLE FP Equity</stp>
        <stp>CHG_PCT_5D</stp>
        <stp>[Index.xlsm]主要產業!R43C30</stp>
        <tr r="AD43" s="2"/>
      </tp>
      <tp>
        <v>-4.0046179999999998</v>
        <stp/>
        <stp>##V3_BDPV12</stp>
        <stp>GLE FP Equity</stp>
        <stp>CHG_PCT_6M</stp>
        <stp>[Index.xlsm]主要產業!R43C33</stp>
        <tr r="AG43" s="2"/>
      </tp>
      <tp>
        <v>-7.347645</v>
        <stp/>
        <stp>##V3_BDPV12</stp>
        <stp>NKY INDEX</stp>
        <stp>CHG_PCT_1YR</stp>
        <stp>[Index.xlsm]主要產業!R17C53</stp>
        <tr r="BA17" s="2"/>
      </tp>
      <tp>
        <v>6.9829748821107938</v>
        <stp/>
        <stp>##V3_BDPV12</stp>
        <stp>HSBA LN Equity</stp>
        <stp>INTERVAL_Low</stp>
        <stp>[Index.xlsm]主要產業!R44C37</stp>
        <stp>MARKET_DATA_OVERRIDE=PE_RATIO</stp>
        <stp>CALC_INTERVAL=5y</stp>
        <stp>BEST_FPERIOD_OVERRIDE=BF</stp>
        <tr r="AK44" s="2"/>
      </tp>
      <tp>
        <v>2.5252089999999998</v>
        <stp/>
        <stp>##V3_BDPV12</stp>
        <stp>TWSEISI Index</stp>
        <stp>CHG_PCT_1M</stp>
        <stp>[Index.xlsm]主要產業!R96C11</stp>
        <tr r="K96" s="2"/>
      </tp>
      <tp>
        <v>6.9207229999999997</v>
        <stp/>
        <stp>##V3_BDPV12</stp>
        <stp>TWSEISI Index</stp>
        <stp>CHG_PCT_3M</stp>
        <stp>[Index.xlsm]主要產業!R96C12</stp>
        <tr r="L96" s="2"/>
      </tp>
      <tp>
        <v>-0.18459500000000001</v>
        <stp/>
        <stp>##V3_BDPV12</stp>
        <stp>TWSEISI Index</stp>
        <stp>CHG_PCT_5D</stp>
        <stp>[Index.xlsm]主要產業!R96C10</stp>
        <tr r="J96" s="2"/>
      </tp>
      <tp>
        <v>14.81517</v>
        <stp/>
        <stp>##V3_BDPV12</stp>
        <stp>TWSEISI Index</stp>
        <stp>CHG_PCT_6M</stp>
        <stp>[Index.xlsm]主要產業!R96C13</stp>
        <tr r="M96" s="2"/>
      </tp>
      <tp>
        <v>0.1263</v>
        <stp/>
        <stp>##V3_BDPV12</stp>
        <stp>HKD Curncy</stp>
        <stp>CHG_PCT_6M</stp>
        <stp>[Index.xlsm]主要產業!R76C51</stp>
        <tr r="AY76" s="2"/>
      </tp>
      <tp>
        <v>-2.6800000000000001E-2</v>
        <stp/>
        <stp>##V3_BDPV12</stp>
        <stp>HKD Curncy</stp>
        <stp>CHG_PCT_5D</stp>
        <stp>[Index.xlsm]主要產業!R76C48</stp>
        <tr r="AV76" s="2"/>
      </tp>
      <tp>
        <v>-6.092352</v>
        <stp/>
        <stp>##V3_BDPV12</stp>
        <stp>STI INDEX</stp>
        <stp>PR064</stp>
        <stp>[Index.xlsm]主要產業!R29C52</stp>
        <tr r="AZ29" s="2"/>
      </tp>
      <tp>
        <v>-0.30109999999999998</v>
        <stp/>
        <stp>##V3_BDPV12</stp>
        <stp>HKD Curncy</stp>
        <stp>CHG_PCT_3M</stp>
        <stp>[Index.xlsm]主要產業!R76C50</stp>
        <tr r="AX76" s="2"/>
      </tp>
      <tp>
        <v>0.1084</v>
        <stp/>
        <stp>##V3_BDPV12</stp>
        <stp>HKD Curncy</stp>
        <stp>CHG_PCT_1M</stp>
        <stp>[Index.xlsm]主要產業!R76C49</stp>
        <tr r="AW76" s="2"/>
      </tp>
      <tp>
        <v>-7.7000000000000002E-3</v>
        <stp/>
        <stp>##V3_BDPV12</stp>
        <stp>HKD Curncy</stp>
        <stp>CHG_PCT_1D</stp>
        <stp>[Index.xlsm]主要產業!R76C43</stp>
        <tr r="AQ76" s="2"/>
      </tp>
      <tp>
        <v>-5.4797770000000003</v>
        <stp/>
        <stp>##V3_BDPV12</stp>
        <stp>SET INDEX</stp>
        <stp>PR064</stp>
        <stp>[Index.xlsm]主要產業!R27C52</stp>
        <tr r="AZ27" s="2"/>
      </tp>
      <tp>
        <v>100.22</v>
        <stp/>
        <stp>##V3_BDPV12</stp>
        <stp>CVX US Equity</stp>
        <stp>LOW_52WEEK</stp>
        <stp>[Index.xlsm]主要產業!R11C28</stp>
        <tr r="AB11" s="2"/>
      </tp>
      <tp>
        <v>9.0009265392172875</v>
        <stp/>
        <stp>##V3_BDPV12</stp>
        <stp>INTC US Equity</stp>
        <stp>INTERVAL_Low</stp>
        <stp>[Index.xlsm]主要產業!R10C37</stp>
        <stp>MARKET_DATA_OVERRIDE=PE_RATIO</stp>
        <stp>CALC_INTERVAL=5y</stp>
        <stp>BEST_FPERIOD_OVERRIDE=BF</stp>
        <tr r="AK10" s="2"/>
      </tp>
      <tp>
        <v>6875.5</v>
        <stp/>
        <stp>##V3_BDPV12</stp>
        <stp>AS51 INDEX</stp>
        <stp>HIGH_52WEEK</stp>
        <stp>[Index.xlsm]主要產業!R16C44</stp>
        <tr r="AR16" s="2"/>
      </tp>
      <tp>
        <v>4661</v>
        <stp/>
        <stp>##V3_BDPV12</stp>
        <stp>5108 JP Equity</stp>
        <stp>HIGH_52WEEK</stp>
        <stp>[Index.xlsm]主要產業!R83C26</stp>
        <tr r="Z83" s="2"/>
      </tp>
      <tp>
        <v>6973</v>
        <stp/>
        <stp>##V3_BDPV12</stp>
        <stp>6758 JP Equity</stp>
        <stp>HIGH_52WEEK</stp>
        <stp>[Index.xlsm]主要產業!R78C26</stp>
        <tr r="Z78" s="2"/>
      </tp>
      <tp>
        <v>7.2300219999999999</v>
        <stp/>
        <stp>##V3_BDPV12</stp>
        <stp>ALV GR Equity</stp>
        <stp>CHG_PCT_1YR</stp>
        <stp>[Index.xlsm]主要產業!R56C35</stp>
        <tr r="AI56" s="2"/>
      </tp>
      <tp>
        <v>-7.2497749999999996</v>
        <stp/>
        <stp>##V3_BDPV12</stp>
        <stp>BP/ LN Equity</stp>
        <stp>CHG_PCT_3M</stp>
        <stp>[Index.xlsm]主要產業!R45C32</stp>
        <tr r="AF45" s="2"/>
      </tp>
      <tp>
        <v>1.1008450000000001</v>
        <stp/>
        <stp>##V3_BDPV12</stp>
        <stp>BP/ LN Equity</stp>
        <stp>CHG_PCT_1D</stp>
        <stp>[Index.xlsm]主要產業!R45C25</stp>
        <tr r="Y45" s="2"/>
      </tp>
      <tp>
        <v>5.3893440000000004</v>
        <stp/>
        <stp>##V3_BDPV12</stp>
        <stp>BP/ LN Equity</stp>
        <stp>CHG_PCT_1M</stp>
        <stp>[Index.xlsm]主要產業!R45C31</stp>
        <tr r="AE45" s="2"/>
      </tp>
      <tp>
        <v>-6.5928040000000001</v>
        <stp/>
        <stp>##V3_BDPV12</stp>
        <stp>BP/ LN Equity</stp>
        <stp>CHG_PCT_6M</stp>
        <stp>[Index.xlsm]主要產業!R45C33</stp>
        <tr r="AG45" s="2"/>
      </tp>
      <tp>
        <v>-0.50299859999999996</v>
        <stp/>
        <stp>##V3_BDPV12</stp>
        <stp>BP/ LN Equity</stp>
        <stp>CHG_PCT_5D</stp>
        <stp>[Index.xlsm]主要產業!R45C30</stp>
        <tr r="AD45" s="2"/>
      </tp>
      <tp>
        <v>6.5126493455575085</v>
        <stp/>
        <stp>##V3_BDPV12</stp>
        <stp>INGA NA Equity</stp>
        <stp>INTERVAL_Low</stp>
        <stp>[Index.xlsm]主要產業!R76C37</stp>
        <stp>MARKET_DATA_OVERRIDE=PE_RATIO</stp>
        <stp>CALC_INTERVAL=5y</stp>
        <stp>BEST_FPERIOD_OVERRIDE=BF</stp>
        <tr r="AK76" s="2"/>
      </tp>
      <tp>
        <v>3.4647000000000001</v>
        <stp/>
        <stp>##V3_BDPV12</stp>
        <stp>usgg30yr Index</stp>
        <stp>HIGH_52WEEK</stp>
        <stp>[Index.xlsm]主要產業!R58C44</stp>
        <tr r="AR58" s="2"/>
      </tp>
      <tp>
        <v>3.2593999999999999</v>
        <stp/>
        <stp>##V3_BDPV12</stp>
        <stp>usgg10yr Index</stp>
        <stp>HIGH_52WEEK</stp>
        <stp>[Index.xlsm]主要產業!R57C44</stp>
        <tr r="AR57" s="2"/>
      </tp>
      <tp>
        <v>9.8142311309716188</v>
        <stp/>
        <stp>##V3_BDPV12</stp>
        <stp>TWSEPP Index</stp>
        <stp>INTERVAL_Low</stp>
        <stp>[Index.xlsm]主要產業!R95C17</stp>
        <stp>MARKET_DATA_OVERRIDE=PE_RATIO</stp>
        <stp>CALC_INTERVAL=5y</stp>
        <stp>BEST_FPERIOD_OVERRIDE=BF</stp>
        <tr r="Q95" s="2"/>
      </tp>
      <tp>
        <v>42.65</v>
        <stp/>
        <stp>##V3_BDPV12</stp>
        <stp>FP FP Equity</stp>
        <stp>LOW_52WEEK</stp>
        <stp>[Index.xlsm]主要產業!R36C28</stp>
        <tr r="AB36" s="2"/>
      </tp>
      <tp>
        <v>-0.19972039999999999</v>
        <stp/>
        <stp>##V3_BDPV12</stp>
        <stp>BMY US Equity</stp>
        <stp>CHG_PCT_5D</stp>
        <stp>[Index.xlsm]主要產業!R28C30</stp>
        <tr r="AD28" s="2"/>
      </tp>
      <tp>
        <v>3.3719480000000002</v>
        <stp/>
        <stp>##V3_BDPV12</stp>
        <stp>BMY US Equity</stp>
        <stp>CHG_PCT_6M</stp>
        <stp>[Index.xlsm]主要產業!R28C33</stp>
        <tr r="AG28" s="2"/>
      </tp>
      <tp>
        <v>0.26083469999999997</v>
        <stp/>
        <stp>##V3_BDPV12</stp>
        <stp>BMY US Equity</stp>
        <stp>CHG_PCT_1D</stp>
        <stp>[Index.xlsm]主要產業!R28C25</stp>
        <tr r="Y28" s="2"/>
      </tp>
      <tp>
        <v>3.866139</v>
        <stp/>
        <stp>##V3_BDPV12</stp>
        <stp>BMY US Equity</stp>
        <stp>CHG_PCT_1M</stp>
        <stp>[Index.xlsm]主要產業!R28C31</stp>
        <tr r="AE28" s="2"/>
      </tp>
      <tp>
        <v>11.24221</v>
        <stp/>
        <stp>##V3_BDPV12</stp>
        <stp>BMY US Equity</stp>
        <stp>CHG_PCT_3M</stp>
        <stp>[Index.xlsm]主要產業!R28C32</stp>
        <tr r="AF28" s="2"/>
      </tp>
      <tp>
        <v>-7.1074650000000003E-2</v>
        <stp/>
        <stp>##V3_BDPV12</stp>
        <stp>ALV GR Equity</stp>
        <stp>CHG_PCT_3M</stp>
        <stp>[Index.xlsm]主要產業!R56C32</stp>
        <tr r="AF56" s="2"/>
      </tp>
      <tp>
        <v>5.6344339999999997</v>
        <stp/>
        <stp>##V3_BDPV12</stp>
        <stp>WMT US Equity</stp>
        <stp>CHG_PCT_1M</stp>
        <stp>[Index.xlsm]主要產業!R17C31</stp>
        <tr r="AE17" s="2"/>
      </tp>
      <tp>
        <v>-3.072981</v>
        <stp/>
        <stp>##V3_BDPV12</stp>
        <stp>AMT US Equity</stp>
        <stp>CHG_PCT_1M</stp>
        <stp>[Index.xlsm]主要產業!R26C31</stp>
        <tr r="AE26" s="2"/>
      </tp>
      <tp>
        <v>-0.14349619999999999</v>
        <stp/>
        <stp>##V3_BDPV12</stp>
        <stp>WMT US Equity</stp>
        <stp>CHG_PCT_1D</stp>
        <stp>[Index.xlsm]主要產業!R17C25</stp>
        <tr r="Y17" s="2"/>
      </tp>
      <tp>
        <v>0.86390160000000005</v>
        <stp/>
        <stp>##V3_BDPV12</stp>
        <stp>AMT US Equity</stp>
        <stp>CHG_PCT_1D</stp>
        <stp>[Index.xlsm]主要產業!R26C25</stp>
        <tr r="Y26" s="2"/>
      </tp>
      <tp>
        <v>-4.5927449999999999</v>
        <stp/>
        <stp>##V3_BDPV12</stp>
        <stp>EMR US Equity</stp>
        <stp>CHG_PCT_6M</stp>
        <stp>[Index.xlsm]主要產業!R33C33</stp>
        <tr r="AG33" s="2"/>
      </tp>
      <tp>
        <v>-1.5037590000000001</v>
        <stp/>
        <stp>##V3_BDPV12</stp>
        <stp>EMR US Equity</stp>
        <stp>CHG_PCT_5D</stp>
        <stp>[Index.xlsm]主要產業!R33C30</stp>
        <tr r="AD33" s="2"/>
      </tp>
      <tp>
        <v>6.1399109999999997</v>
        <stp/>
        <stp>##V3_BDPV12</stp>
        <stp>ALV GR Equity</stp>
        <stp>CHG_PCT_1M</stp>
        <stp>[Index.xlsm]主要產業!R56C31</stp>
        <tr r="AE56" s="2"/>
      </tp>
      <tp>
        <v>8.3576270000000008</v>
        <stp/>
        <stp>##V3_BDPV12</stp>
        <stp>AMT US Equity</stp>
        <stp>CHG_PCT_3M</stp>
        <stp>[Index.xlsm]主要產業!R26C32</stp>
        <tr r="AF26" s="2"/>
      </tp>
      <tp>
        <v>7.3892480000000003</v>
        <stp/>
        <stp>##V3_BDPV12</stp>
        <stp>WMT US Equity</stp>
        <stp>CHG_PCT_3M</stp>
        <stp>[Index.xlsm]主要產業!R17C32</stp>
        <tr r="AF17" s="2"/>
      </tp>
      <tp>
        <v>0.95739589999999997</v>
        <stp/>
        <stp>##V3_BDPV12</stp>
        <stp>ALV GR Equity</stp>
        <stp>CHG_PCT_1D</stp>
        <stp>[Index.xlsm]主要產業!R56C25</stp>
        <tr r="Y56" s="2"/>
      </tp>
      <tp>
        <v>1.0161389999999999</v>
        <stp/>
        <stp>##V3_BDPV12</stp>
        <stp>WMT US Equity</stp>
        <stp>CHG_PCT_5D</stp>
        <stp>[Index.xlsm]主要產業!R17C30</stp>
        <tr r="AD17" s="2"/>
      </tp>
      <tp>
        <v>-1.7923990000000001</v>
        <stp/>
        <stp>##V3_BDPV12</stp>
        <stp>AMT US Equity</stp>
        <stp>CHG_PCT_5D</stp>
        <stp>[Index.xlsm]主要產業!R26C30</stp>
        <tr r="AD26" s="2"/>
      </tp>
      <tp>
        <v>-2.5208789999999999</v>
        <stp/>
        <stp>##V3_BDPV12</stp>
        <stp>EMR US Equity</stp>
        <stp>CHG_PCT_3M</stp>
        <stp>[Index.xlsm]主要產業!R33C32</stp>
        <tr r="AF33" s="2"/>
      </tp>
      <tp>
        <v>6.1933499999999997</v>
        <stp/>
        <stp>##V3_BDPV12</stp>
        <stp>ALV GR Equity</stp>
        <stp>CHG_PCT_6M</stp>
        <stp>[Index.xlsm]主要產業!R56C33</stp>
        <tr r="AG56" s="2"/>
      </tp>
      <tp>
        <v>-2.3702299999999999E-2</v>
        <stp/>
        <stp>##V3_BDPV12</stp>
        <stp>ALV GR Equity</stp>
        <stp>CHG_PCT_5D</stp>
        <stp>[Index.xlsm]主要產業!R56C30</stp>
        <tr r="AD56" s="2"/>
      </tp>
      <tp>
        <v>12.063549999999999</v>
        <stp/>
        <stp>##V3_BDPV12</stp>
        <stp>EMR US Equity</stp>
        <stp>CHG_PCT_1M</stp>
        <stp>[Index.xlsm]主要產業!R33C31</stp>
        <tr r="AE33" s="2"/>
      </tp>
      <tp>
        <v>-0.41886440000000003</v>
        <stp/>
        <stp>##V3_BDPV12</stp>
        <stp>EMR US Equity</stp>
        <stp>CHG_PCT_1D</stp>
        <stp>[Index.xlsm]主要產業!R33C25</stp>
        <tr r="Y33" s="2"/>
      </tp>
      <tp>
        <v>14.329660000000001</v>
        <stp/>
        <stp>##V3_BDPV12</stp>
        <stp>AMT US Equity</stp>
        <stp>CHG_PCT_6M</stp>
        <stp>[Index.xlsm]主要產業!R26C33</stp>
        <tr r="AG26" s="2"/>
      </tp>
      <tp>
        <v>20.321400000000001</v>
        <stp/>
        <stp>##V3_BDPV12</stp>
        <stp>WMT US Equity</stp>
        <stp>CHG_PCT_6M</stp>
        <stp>[Index.xlsm]主要產業!R17C33</stp>
        <tr r="AG17" s="2"/>
      </tp>
      <tp>
        <v>-0.1036585</v>
        <stp/>
        <stp>##V3_BDPV12</stp>
        <stp>MMM US Equity</stp>
        <stp>CHG_PCT_1D</stp>
        <stp>[Index.xlsm]主要產業!R27C25</stp>
        <tr r="Y27" s="2"/>
      </tp>
      <tp>
        <v>4.9385120000000002</v>
        <stp/>
        <stp>##V3_BDPV12</stp>
        <stp>MMM US Equity</stp>
        <stp>CHG_PCT_1M</stp>
        <stp>[Index.xlsm]主要產業!R27C31</stp>
        <tr r="AE27" s="2"/>
      </tp>
      <tp>
        <v>30.22</v>
        <stp/>
        <stp>##V3_BDPV12</stp>
        <stp>EWT US Equity</stp>
        <stp>LOW_52WEEK</stp>
        <stp>[Index.xlsm]主要產業!R87C46</stp>
        <tr r="AT87" s="2"/>
      </tp>
      <tp>
        <v>-4.683503</v>
        <stp/>
        <stp>##V3_BDPV12</stp>
        <stp>MMM US Equity</stp>
        <stp>CHG_PCT_3M</stp>
        <stp>[Index.xlsm]主要產業!R27C32</stp>
        <tr r="AF27" s="2"/>
      </tp>
      <tp>
        <v>-1.9393069999999999</v>
        <stp/>
        <stp>##V3_BDPV12</stp>
        <stp>MMM US Equity</stp>
        <stp>CHG_PCT_5D</stp>
        <stp>[Index.xlsm]主要產業!R27C30</stp>
        <tr r="AD27" s="2"/>
      </tp>
      <tp>
        <v>-20.946729999999999</v>
        <stp/>
        <stp>##V3_BDPV12</stp>
        <stp>MMM US Equity</stp>
        <stp>CHG_PCT_6M</stp>
        <stp>[Index.xlsm]主要產業!R27C33</stp>
        <tr r="AG27" s="2"/>
      </tp>
      <tp>
        <v>50.72</v>
        <stp/>
        <stp>##V3_BDPV12</stp>
        <stp>EWY US Equity</stp>
        <stp>LOW_52WEEK</stp>
        <stp>[Index.xlsm]主要產業!R88C46</stp>
        <tr r="AT88" s="2"/>
      </tp>
      <tp>
        <v>24308.69921875</v>
        <stp/>
        <stp>##V3_BDPV12</stp>
        <stp>ITLMS INDEX</stp>
        <stp>HIGH_52WEEK</stp>
        <stp>[Index.xlsm]主要產業!R14C44</stp>
        <tr r="AR14" s="2"/>
      </tp>
      <tp>
        <v>1.2280450000000001</v>
        <stp/>
        <stp>##V3_BDPV12</stp>
        <stp>EMUSTRUU Index</stp>
        <stp>PR064</stp>
        <stp>[Index.xlsm]主要產業!R35C52</stp>
        <tr r="AZ35" s="2"/>
      </tp>
      <tp>
        <v>1765.06</v>
        <stp/>
        <stp>##V3_BDPV12</stp>
        <stp>SET INDEX</stp>
        <stp>HIGH_52WEEK</stp>
        <stp>[Index.xlsm]主要產業!R27C44</stp>
        <tr r="AR27" s="2"/>
      </tp>
      <tp>
        <v>-0.13901240000000001</v>
        <stp/>
        <stp>##V3_BDPV12</stp>
        <stp>EMLCTRUU Index</stp>
        <stp>PR064</stp>
        <stp>[Index.xlsm]主要產業!R36C52</stp>
        <tr r="AZ36" s="2"/>
      </tp>
      <tp>
        <v>-14.88062</v>
        <stp/>
        <stp>##V3_BDPV12</stp>
        <stp>TWSEEAW Index</stp>
        <stp>CHG_PCT_1YR</stp>
        <stp>[Index.xlsm]主要產業!R94C15</stp>
        <tr r="O94" s="2"/>
      </tp>
      <tp>
        <v>482918666062.81195</v>
        <stp/>
        <stp>##V3_BDPV12</stp>
        <stp>TWSEMACH Index</stp>
        <stp>RR902</stp>
        <stp>[Index.xlsm]主要產業!R87C20</stp>
        <tr r="T87" s="2"/>
      </tp>
      <tp>
        <v>-7.048603</v>
        <stp/>
        <stp>##V3_BDPV12</stp>
        <stp>s5phrm index</stp>
        <stp>CHG_PCT_1YR</stp>
        <stp>[Index.xlsm]主要產業!R10C15</stp>
        <tr r="O10" s="2"/>
      </tp>
      <tp>
        <v>35.555853306622609</v>
        <stp/>
        <stp>##V3_BDPV12</stp>
        <stp>TPELEC Index</stp>
        <stp>INTERVAL_HIGH</stp>
        <stp>[Index.xlsm]主要產業!R42C16</stp>
        <stp>MARKET_DATA_OVERRIDE=PE_RATIO</stp>
        <stp>CALC_INTERVAL=5y</stp>
        <stp>BEST_FPERIOD_OVERRIDE=BF</stp>
        <tr r="P42" s="2"/>
      </tp>
      <tp>
        <v>34.814087213964264</v>
        <stp/>
        <stp>##V3_BDPV12</stp>
        <stp>TPELMH Index</stp>
        <stp>INTERVAL_HIGH</stp>
        <stp>[Index.xlsm]主要產業!R37C16</stp>
        <stp>MARKET_DATA_OVERRIDE=PE_RATIO</stp>
        <stp>CALC_INTERVAL=5y</stp>
        <stp>BEST_FPERIOD_OVERRIDE=BF</stp>
        <tr r="P37" s="2"/>
      </tp>
      <tp>
        <v>-10.15832</v>
        <stp/>
        <stp>##V3_BDPV12</stp>
        <stp>KOSPFIN Index</stp>
        <stp>PR064</stp>
        <stp>[Index.xlsm]主要產業!R44C14</stp>
        <tr r="N44" s="2"/>
      </tp>
      <tp>
        <v>63.69</v>
        <stp/>
        <stp>##V3_BDPV12</stp>
        <stp>BMY US Equity</stp>
        <stp>HIGH_52WEEK</stp>
        <stp>[Index.xlsm]主要產業!R28C26</stp>
        <tr r="Z28" s="2"/>
      </tp>
      <tp>
        <v>68.86</v>
        <stp/>
        <stp>##V3_BDPV12</stp>
        <stp>EWY US Equity</stp>
        <stp>HIGH_52WEEK</stp>
        <stp>[Index.xlsm]主要產業!R88C44</stp>
        <tr r="AR88" s="2"/>
      </tp>
      <tp>
        <v>15.065</v>
        <stp/>
        <stp>##V3_BDPV12</stp>
        <stp>UBSG SW Equity</stp>
        <stp>HIGH_52WEEK</stp>
        <stp>[Index.xlsm]主要產業!R70C26</stp>
        <tr r="Z70" s="2"/>
      </tp>
      <tp>
        <v>6.407414642516156</v>
        <stp/>
        <stp>##V3_BDPV12</stp>
        <stp>6758 JP Equity</stp>
        <stp>INTERVAL_Low</stp>
        <stp>[Index.xlsm]主要產業!R78C37</stp>
        <stp>MARKET_DATA_OVERRIDE=PE_RATIO</stp>
        <stp>CALC_INTERVAL=5y</stp>
        <stp>BEST_FPERIOD_OVERRIDE=BF</stp>
        <tr r="AK78" s="2"/>
      </tp>
      <tp>
        <v>6.6425887038286389</v>
        <stp/>
        <stp>##V3_BDPV12</stp>
        <stp>6752 JP Equity</stp>
        <stp>INTERVAL_Low</stp>
        <stp>[Index.xlsm]主要產業!R84C37</stp>
        <stp>MARKET_DATA_OVERRIDE=PE_RATIO</stp>
        <stp>CALC_INTERVAL=5y</stp>
        <stp>BEST_FPERIOD_OVERRIDE=BF</stp>
        <tr r="AK84" s="2"/>
      </tp>
      <tp>
        <v>-14.92515</v>
        <stp/>
        <stp>##V3_BDPV12</stp>
        <stp>7267 JP Equity</stp>
        <stp>CHG_PCT_1YR</stp>
        <stp>[Index.xlsm]主要產業!R80C35</stp>
        <tr r="AI80" s="2"/>
      </tp>
      <tp>
        <v>46.46</v>
        <stp/>
        <stp>##V3_BDPV12</stp>
        <stp>TSM Equity</stp>
        <stp>PX_LAST</stp>
        <stp>[Index.xlsm]主要產業!R86C42</stp>
        <tr r="AP86" s="2"/>
      </tp>
      <tp>
        <v>14.32225</v>
        <stp/>
        <stp>##V3_BDPV12</stp>
        <stp>000858 CS Equity</stp>
        <stp>PR064</stp>
        <stp>[Index.xlsm]主要產業!R93C34</stp>
        <tr r="AH93" s="2"/>
      </tp>
      <tp t="s">
        <v>CH</v>
        <stp/>
        <stp>##V3_BDPV12</stp>
        <stp>000858 CS Equity</stp>
        <stp>DS003</stp>
        <stp>[Index.xlsm]主要產業!R93C23</stp>
        <tr r="W93" s="2"/>
      </tp>
      <tp>
        <v>25.104659999999999</v>
        <stp/>
        <stp>##V3_BDPV12</stp>
        <stp>s5util Index</stp>
        <stp>CHG_PCT_1YR</stp>
        <stp>[Index.xlsm]主要產業!R14C15</stp>
        <tr r="O14" s="2"/>
      </tp>
      <tp>
        <v>25.368932891776915</v>
        <stp/>
        <stp>##V3_BDPV12</stp>
        <stp>SH000915 Index</stp>
        <stp>INTERVAL_Low</stp>
        <stp>[Index.xlsm]主要產業!R52C17</stp>
        <stp>MARKET_DATA_OVERRIDE=PE_RATIO</stp>
        <stp>CALC_INTERVAL=5y</stp>
        <stp>BEST_FPERIOD_OVERRIDE=BF</stp>
        <tr r="Q52" s="2"/>
      </tp>
      <tp>
        <v>25.243294915483464</v>
        <stp/>
        <stp>##V3_BDPV12</stp>
        <stp>SH000913 Index</stp>
        <stp>INTERVAL_Low</stp>
        <stp>[Index.xlsm]主要產業!R55C17</stp>
        <stp>MARKET_DATA_OVERRIDE=PE_RATIO</stp>
        <stp>CALC_INTERVAL=5y</stp>
        <stp>BEST_FPERIOD_OVERRIDE=BF</stp>
        <tr r="Q55" s="2"/>
      </tp>
      <tp>
        <v>17.620651925166577</v>
        <stp/>
        <stp>##V3_BDPV12</stp>
        <stp>SH000912 Index</stp>
        <stp>INTERVAL_Low</stp>
        <stp>[Index.xlsm]主要產業!R50C17</stp>
        <stp>MARKET_DATA_OVERRIDE=PE_RATIO</stp>
        <stp>CALC_INTERVAL=5y</stp>
        <stp>BEST_FPERIOD_OVERRIDE=BF</stp>
        <tr r="Q50" s="2"/>
      </tp>
      <tp>
        <v>19.705728548159485</v>
        <stp/>
        <stp>##V3_BDPV12</stp>
        <stp>SH000916 Index</stp>
        <stp>INTERVAL_Low</stp>
        <stp>[Index.xlsm]主要產業!R57C17</stp>
        <stp>MARKET_DATA_OVERRIDE=PE_RATIO</stp>
        <stp>CALC_INTERVAL=5y</stp>
        <stp>BEST_FPERIOD_OVERRIDE=BF</stp>
        <tr r="Q57" s="2"/>
      </tp>
      <tp>
        <v>10.152247215712965</v>
        <stp/>
        <stp>##V3_BDPV12</stp>
        <stp>SH000917 Index</stp>
        <stp>INTERVAL_Low</stp>
        <stp>[Index.xlsm]主要產業!R56C17</stp>
        <stp>MARKET_DATA_OVERRIDE=PE_RATIO</stp>
        <stp>CALC_INTERVAL=5y</stp>
        <stp>BEST_FPERIOD_OVERRIDE=BF</stp>
        <tr r="Q56" s="2"/>
      </tp>
      <tp>
        <v>11.046416747643955</v>
        <stp/>
        <stp>##V3_BDPV12</stp>
        <stp>SH000911 Index</stp>
        <stp>INTERVAL_Low</stp>
        <stp>[Index.xlsm]主要產業!R51C17</stp>
        <stp>MARKET_DATA_OVERRIDE=PE_RATIO</stp>
        <stp>CALC_INTERVAL=5y</stp>
        <stp>BEST_FPERIOD_OVERRIDE=BF</stp>
        <tr r="Q51" s="2"/>
      </tp>
      <tp>
        <v>10.287160741855857</v>
        <stp/>
        <stp>##V3_BDPV12</stp>
        <stp>SH000909 Index</stp>
        <stp>INTERVAL_Low</stp>
        <stp>[Index.xlsm]主要產業!R54C17</stp>
        <stp>MARKET_DATA_OVERRIDE=PE_RATIO</stp>
        <stp>CALC_INTERVAL=5y</stp>
        <stp>BEST_FPERIOD_OVERRIDE=BF</stp>
        <tr r="Q54" s="2"/>
      </tp>
      <tp>
        <v>6.4800359995363674</v>
        <stp/>
        <stp>##V3_BDPV12</stp>
        <stp>SH000914 Index</stp>
        <stp>INTERVAL_Low</stp>
        <stp>[Index.xlsm]主要產業!R48C17</stp>
        <stp>MARKET_DATA_OVERRIDE=PE_RATIO</stp>
        <stp>CALC_INTERVAL=5y</stp>
        <stp>BEST_FPERIOD_OVERRIDE=BF</stp>
        <tr r="Q48" s="2"/>
      </tp>
      <tp>
        <v>10.925960633194416</v>
        <stp/>
        <stp>##V3_BDPV12</stp>
        <stp>SH000908 Index</stp>
        <stp>INTERVAL_Low</stp>
        <stp>[Index.xlsm]主要產業!R53C17</stp>
        <stp>MARKET_DATA_OVERRIDE=PE_RATIO</stp>
        <stp>CALC_INTERVAL=5y</stp>
        <stp>BEST_FPERIOD_OVERRIDE=BF</stp>
        <tr r="Q53" s="2"/>
      </tp>
      <tp>
        <v>12.326479254161317</v>
        <stp/>
        <stp>##V3_BDPV12</stp>
        <stp>SH000910 Index</stp>
        <stp>INTERVAL_Low</stp>
        <stp>[Index.xlsm]主要產業!R49C17</stp>
        <stp>MARKET_DATA_OVERRIDE=PE_RATIO</stp>
        <stp>CALC_INTERVAL=5y</stp>
        <stp>BEST_FPERIOD_OVERRIDE=BF</stp>
        <tr r="Q49" s="2"/>
      </tp>
      <tp>
        <v>6.0863799752964836</v>
        <stp/>
        <stp>##V3_BDPV12</stp>
        <stp>7203 JP Equity</stp>
        <stp>INTERVAL_Low</stp>
        <stp>[Index.xlsm]主要產業!R77C37</stp>
        <stp>MARKET_DATA_OVERRIDE=PE_RATIO</stp>
        <stp>CALC_INTERVAL=5y</stp>
        <stp>BEST_FPERIOD_OVERRIDE=BF</stp>
        <tr r="AK77" s="2"/>
      </tp>
      <tp>
        <v>4.1630522807231394</v>
        <stp/>
        <stp>##V3_BDPV12</stp>
        <stp>7267 JP Equity</stp>
        <stp>INTERVAL_Low</stp>
        <stp>[Index.xlsm]主要產業!R80C37</stp>
        <stp>MARKET_DATA_OVERRIDE=PE_RATIO</stp>
        <stp>CALC_INTERVAL=5y</stp>
        <stp>BEST_FPERIOD_OVERRIDE=BF</stp>
        <tr r="AK80" s="2"/>
      </tp>
      <tp>
        <v>4.4376892809587218</v>
        <stp/>
        <stp>##V3_BDPV12</stp>
        <stp>7201 JP Equity</stp>
        <stp>INTERVAL_Low</stp>
        <stp>[Index.xlsm]主要產業!R85C37</stp>
        <stp>MARKET_DATA_OVERRIDE=PE_RATIO</stp>
        <stp>CALC_INTERVAL=5y</stp>
        <stp>BEST_FPERIOD_OVERRIDE=BF</stp>
        <tr r="AK85" s="2"/>
      </tp>
      <tp>
        <v>-19.583100000000002</v>
        <stp/>
        <stp>##V3_BDPV12</stp>
        <stp>8306 JP Equity</stp>
        <stp>CHG_PCT_1YR</stp>
        <stp>[Index.xlsm]主要產業!R79C35</stp>
        <tr r="AI79" s="2"/>
      </tp>
      <tp>
        <v>127.6</v>
        <stp/>
        <stp>##V3_BDPV12</stp>
        <stp>CVX US Equity</stp>
        <stp>HIGH_52WEEK</stp>
        <stp>[Index.xlsm]主要產業!R11C26</stp>
        <tr r="Z11" s="2"/>
      </tp>
      <tp>
        <v>144.4</v>
        <stp/>
        <stp>##V3_BDPV12</stp>
        <stp>UTX US Equity</stp>
        <stp>HIGH_52WEEK</stp>
        <stp>[Index.xlsm]主要產業!R25C26</stp>
        <tr r="Z25" s="2"/>
      </tp>
      <tp>
        <v>11.390478661200531</v>
        <stp/>
        <stp>##V3_BDPV12</stp>
        <stp>7751 JP Equity</stp>
        <stp>INTERVAL_Low</stp>
        <stp>[Index.xlsm]主要產業!R81C37</stp>
        <stp>MARKET_DATA_OVERRIDE=PE_RATIO</stp>
        <stp>CALC_INTERVAL=5y</stp>
        <stp>BEST_FPERIOD_OVERRIDE=BF</stp>
        <tr r="AK81" s="2"/>
      </tp>
      <tp>
        <v>4555.99</v>
        <stp/>
        <stp>##V3_BDPV12</stp>
        <stp>CAC INDEX</stp>
        <stp>LOW_52WEEK</stp>
        <stp>[Index.xlsm]主要產業!R11C46</stp>
        <tr r="AT11" s="2"/>
      </tp>
      <tp>
        <v>0.50652079999999999</v>
        <stp/>
        <stp>##V3_BDPV12</stp>
        <stp>KOSPTREQ Index</stp>
        <stp>PR064</stp>
        <stp>[Index.xlsm]主要產業!R46C14</stp>
        <tr r="N46" s="2"/>
      </tp>
      <tp>
        <v>1799.096</v>
        <stp/>
        <stp>##V3_BDPV12</stp>
        <stp>SZCOMP INDEX</stp>
        <stp>HIGH_52WEEK</stp>
        <stp>[Index.xlsm]主要產業!R25C44</stp>
        <tr r="AR25" s="2"/>
      </tp>
      <tp>
        <v>308158263367.065</v>
        <stp/>
        <stp>##V3_BDPV12</stp>
        <stp>TWSERUB Index</stp>
        <stp>RR902</stp>
        <stp>[Index.xlsm]主要產業!R89C20</stp>
        <tr r="T89" s="2"/>
      </tp>
      <tp>
        <v>1.6367050000000001</v>
        <stp/>
        <stp>##V3_BDPV12</stp>
        <stp>XU100 INDEX</stp>
        <stp>CHG_PCT_1YR</stp>
        <stp>[Index.xlsm]主要產業!R33C53</stp>
        <tr r="BA33" s="2"/>
      </tp>
      <tp>
        <v>1.9161299999999999</v>
        <stp/>
        <stp>##V3_BDPV12</stp>
        <stp>US0001W Index</stp>
        <stp>LOW_52WEEK</stp>
        <stp>[Index.xlsm]主要產業!R63C46</stp>
        <tr r="AT63" s="2"/>
      </tp>
      <tp>
        <v>-4.55</v>
        <stp/>
        <stp>##V3_BDPV12</stp>
        <stp>SHSPCCFI Index</stp>
        <stp>CHG_PCT_1YR</stp>
        <stp>[Index.xlsm]主要產業!R41C53</stp>
        <tr r="BA41" s="2"/>
      </tp>
      <tp>
        <v>22.225123987742048</v>
        <stp/>
        <stp>##V3_BDPV12</stp>
        <stp>TWSEISI Index</stp>
        <stp>INTERVAL_HIGH</stp>
        <stp>[Index.xlsm]主要產業!R96C16</stp>
        <stp>MARKET_DATA_OVERRIDE=PE_RATIO</stp>
        <stp>CALC_INTERVAL=5y</stp>
        <stp>BEST_FPERIOD_OVERRIDE=BF</stp>
        <tr r="P96" s="2"/>
      </tp>
      <tp>
        <v>9426486475000.6602</v>
        <stp/>
        <stp>##V3_BDPV12</stp>
        <stp>TWSESCI Index</stp>
        <stp>RR902</stp>
        <stp>[Index.xlsm]主要產業!R70C20</stp>
        <tr r="T70" s="2"/>
      </tp>
      <tp>
        <v>9.02</v>
        <stp/>
        <stp>##V3_BDPV12</stp>
        <stp>GE US Equity</stp>
        <stp>PX_LAST</stp>
        <stp>[Index.xlsm]主要產業!R29C24</stp>
        <tr r="X29" s="2"/>
      </tp>
      <tp>
        <v>18.864905426695699</v>
        <stp/>
        <stp>##V3_BDPV12</stp>
        <stp>TPCOMM Index</stp>
        <stp>INTERVAL_HIGH</stp>
        <stp>[Index.xlsm]主要產業!R38C16</stp>
        <stp>MARKET_DATA_OVERRIDE=PE_RATIO</stp>
        <stp>CALC_INTERVAL=5y</stp>
        <stp>BEST_FPERIOD_OVERRIDE=BF</stp>
        <tr r="P38" s="2"/>
      </tp>
      <tp>
        <v>38.5</v>
        <stp/>
        <stp>##V3_BDPV12</stp>
        <stp>600036 CG Equity</stp>
        <stp>HIGH_52WEEK</stp>
        <stp>[Index.xlsm]主要產業!R90C26</stp>
        <tr r="Z90" s="2"/>
      </tp>
      <tp>
        <v>6.92</v>
        <stp/>
        <stp>##V3_BDPV12</stp>
        <stp>600016 CG Equity</stp>
        <stp>HIGH_52WEEK</stp>
        <stp>[Index.xlsm]主要產業!R97C26</stp>
        <tr r="Z97" s="2"/>
      </tp>
      <tp>
        <v>20.66</v>
        <stp/>
        <stp>##V3_BDPV12</stp>
        <stp>601166 CG Equity</stp>
        <stp>HIGH_52WEEK</stp>
        <stp>[Index.xlsm]主要產業!R92C26</stp>
        <tr r="Z92" s="2"/>
      </tp>
      <tp>
        <v>5623.8429999999998</v>
        <stp/>
        <stp>##V3_BDPV12</stp>
        <stp>JCI INDEX</stp>
        <stp>LOW_52WEEK</stp>
        <stp>[Index.xlsm]主要產業!R30C46</stp>
        <tr r="AT30" s="2"/>
      </tp>
      <tp>
        <v>8.1663877218244405</v>
        <stp/>
        <stp>##V3_BDPV12</stp>
        <stp>5108 JP Equity</stp>
        <stp>INTERVAL_Low</stp>
        <stp>[Index.xlsm]主要產業!R83C37</stp>
        <stp>MARKET_DATA_OVERRIDE=PE_RATIO</stp>
        <stp>CALC_INTERVAL=5y</stp>
        <stp>BEST_FPERIOD_OVERRIDE=BF</stp>
        <tr r="AK83" s="2"/>
      </tp>
      <tp>
        <v>532914599877.005</v>
        <stp/>
        <stp>##V3_BDPV12</stp>
        <stp>TWSETEXT Index</stp>
        <stp>RR902</stp>
        <stp>[Index.xlsm]主要產業!R84C20</stp>
        <tr r="T84" s="2"/>
      </tp>
      <tp>
        <v>-87.066900000000004</v>
        <stp/>
        <stp>##V3_BDPV12</stp>
        <stp>usggt10y Index</stp>
        <stp>CHG_PCT_1YR</stp>
        <stp>[Index.xlsm]主要產業!R62C53</stp>
        <tr r="BA62" s="2"/>
      </tp>
      <tp>
        <v>504124396094.86597</v>
        <stp/>
        <stp>##V3_BDPV12</stp>
        <stp>TWSEDEPT Index</stp>
        <stp>RR902</stp>
        <stp>[Index.xlsm]主要產業!R85C20</stp>
        <tr r="T85" s="2"/>
      </tp>
      <tp>
        <v>-13.246969999999999</v>
        <stp/>
        <stp>##V3_BDPV12</stp>
        <stp>TWSEPLAS Index</stp>
        <stp>PR064</stp>
        <stp>[Index.xlsm]主要產業!R73C14</stp>
        <tr r="N73" s="2"/>
      </tp>
      <tp>
        <v>6.5244869999999997</v>
        <stp/>
        <stp>##V3_BDPV12</stp>
        <stp>TWSEELEC Index</stp>
        <stp>PR064</stp>
        <stp>[Index.xlsm]主要產業!R69C14</stp>
        <tr r="N69" s="2"/>
      </tp>
      <tp>
        <v>65.400000000000006</v>
        <stp/>
        <stp>##V3_BDPV12</stp>
        <stp>000651 CS Equity</stp>
        <stp>HIGH_52WEEK</stp>
        <stp>[Index.xlsm]主要產業!R91C26</stp>
        <tr r="Z91" s="2"/>
      </tp>
      <tp>
        <v>53106942014734</v>
        <stp/>
        <stp>##V3_BDPV12</stp>
        <stp>TPTRAN Index</stp>
        <stp>RR902</stp>
        <stp>[Index.xlsm]主要產業!R39C20</stp>
        <tr r="T39" s="2"/>
      </tp>
      <tp>
        <v>25.781075632924711</v>
        <stp/>
        <stp>##V3_BDPV12</stp>
        <stp>s5phrm index</stp>
        <stp>INTERVAL_HIGH</stp>
        <stp>[Index.xlsm]主要產業!R10C16</stp>
        <stp>MARKET_DATA_OVERRIDE=PE_RATIO</stp>
        <stp>CALC_INTERVAL=5y</stp>
        <stp>BEST_FPERIOD_OVERRIDE=BF</stp>
        <tr r="P10" s="2"/>
      </tp>
      <tp>
        <v>5.9646119999999998</v>
        <stp/>
        <stp>##V3_BDPV12</stp>
        <stp>7203 JP Equity</stp>
        <stp>CHG_PCT_1YR</stp>
        <stp>[Index.xlsm]主要產業!R77C35</stp>
        <tr r="AI77" s="2"/>
      </tp>
      <tp>
        <v>181</v>
        <stp/>
        <stp>##V3_BDPV12</stp>
        <stp>BARC LN Equity</stp>
        <stp>HIGH_52WEEK</stp>
        <stp>[Index.xlsm]主要產業!R54C26</stp>
        <tr r="Z54" s="2"/>
      </tp>
      <tp>
        <v>59.59</v>
        <stp/>
        <stp>##V3_BDPV12</stp>
        <stp>INTC US Equity</stp>
        <stp>HIGH_52WEEK</stp>
        <stp>[Index.xlsm]主要產業!R10C26</stp>
        <tr r="Z10" s="2"/>
      </tp>
      <tp>
        <v>8.1789630900333581</v>
        <stp/>
        <stp>##V3_BDPV12</stp>
        <stp>2330 TT Equity</stp>
        <stp>INTERVAL_Low</stp>
        <stp>[Index.xlsm]主要產業!R87C37</stp>
        <stp>MARKET_DATA_OVERRIDE=PE_RATIO</stp>
        <stp>CALC_INTERVAL=5y</stp>
        <stp>BEST_FPERIOD_OVERRIDE=BF</stp>
        <tr r="AK87" s="2"/>
      </tp>
      <tp>
        <v>22.501950000000001</v>
        <stp/>
        <stp>##V3_BDPV12</stp>
        <stp>MUV2 GR Equity</stp>
        <stp>CHG_PCT_1YR</stp>
        <stp>[Index.xlsm]主要產業!R62C35</stp>
        <tr r="AI62" s="2"/>
      </tp>
      <tp>
        <v>-2.3229470000000001</v>
        <stp/>
        <stp>##V3_BDPV12</stp>
        <stp>S5tech Index</stp>
        <stp>CHG_PCT_1YR</stp>
        <stp>[Index.xlsm]主要產業!R11C15</stp>
        <tr r="O11" s="2"/>
      </tp>
      <tp>
        <v>119.02605297831853</v>
        <stp/>
        <stp>##V3_BDPV12</stp>
        <stp>TWSEOPE Index</stp>
        <stp>INTERVAL_HIGH</stp>
        <stp>[Index.xlsm]主要產業!R78C16</stp>
        <stp>MARKET_DATA_OVERRIDE=PE_RATIO</stp>
        <stp>CALC_INTERVAL=5y</stp>
        <stp>BEST_FPERIOD_OVERRIDE=BF</stp>
        <tr r="P78" s="2"/>
      </tp>
      <tp>
        <v>-5.21</v>
        <stp/>
        <stp>##V3_BDPV12</stp>
        <stp>NMCMFUS Index</stp>
        <stp>PR064</stp>
        <stp>[Index.xlsm]主要產業!R64C52</stp>
        <tr r="AZ64" s="2"/>
      </tp>
      <tp t="s">
        <v>#N/A N/A</v>
        <stp/>
        <stp>##V3_BDPV12</stp>
        <stp>HSCIUT Index</stp>
        <stp>INTERVAL_HIGH</stp>
        <stp>[Index.xlsm]主要產業!R68C16</stp>
        <stp>MARKET_DATA_OVERRIDE=PE_RATIO</stp>
        <stp>CALC_INTERVAL=5y</stp>
        <stp>BEST_FPERIOD_OVERRIDE=BF</stp>
        <tr r="P68" s="2"/>
      </tp>
      <tp t="s">
        <v>#N/A N/A</v>
        <stp/>
        <stp>##V3_BDPV12</stp>
        <stp>HSCITC Index</stp>
        <stp>INTERVAL_HIGH</stp>
        <stp>[Index.xlsm]主要產業!R67C16</stp>
        <stp>MARKET_DATA_OVERRIDE=PE_RATIO</stp>
        <stp>CALC_INTERVAL=5y</stp>
        <stp>BEST_FPERIOD_OVERRIDE=BF</stp>
        <tr r="P67" s="2"/>
      </tp>
      <tp t="s">
        <v>#N/A N/A</v>
        <stp/>
        <stp>##V3_BDPV12</stp>
        <stp>HSCISV Index</stp>
        <stp>INTERVAL_HIGH</stp>
        <stp>[Index.xlsm]主要產業!R66C16</stp>
        <stp>MARKET_DATA_OVERRIDE=PE_RATIO</stp>
        <stp>CALC_INTERVAL=5y</stp>
        <stp>BEST_FPERIOD_OVERRIDE=BF</stp>
        <tr r="P66" s="2"/>
      </tp>
      <tp>
        <v>360.9</v>
        <stp/>
        <stp>##V3_BDPV12</stp>
        <stp>MC FP Equity</stp>
        <stp>PX_LAST</stp>
        <stp>[Index.xlsm]主要產業!R37C24</stp>
        <tr r="X37" s="2"/>
      </tp>
      <tp>
        <v>27.88</v>
        <stp/>
        <stp>##V3_BDPV12</stp>
        <stp>600030 CG Equity</stp>
        <stp>HIGH_52WEEK</stp>
        <stp>[Index.xlsm]主要產業!R94C26</stp>
        <tr r="Z94" s="2"/>
      </tp>
      <tp>
        <v>12.38</v>
        <stp/>
        <stp>##V3_BDPV12</stp>
        <stp>600000 CG Equity</stp>
        <stp>HIGH_52WEEK</stp>
        <stp>[Index.xlsm]主要產業!R96C26</stp>
        <tr r="Z96" s="2"/>
      </tp>
      <tp t="s">
        <v>#N/A N/A</v>
        <stp/>
        <stp>##V3_BDPV12</stp>
        <stp>HSCIPC Index</stp>
        <stp>INTERVAL_HIGH</stp>
        <stp>[Index.xlsm]主要產業!R65C16</stp>
        <stp>MARKET_DATA_OVERRIDE=PE_RATIO</stp>
        <stp>CALC_INTERVAL=5y</stp>
        <stp>BEST_FPERIOD_OVERRIDE=BF</stp>
        <tr r="P65" s="2"/>
      </tp>
      <tp t="s">
        <v>#N/A N/A</v>
        <stp/>
        <stp>##V3_BDPV12</stp>
        <stp>HSCIMT Index</stp>
        <stp>INTERVAL_HIGH</stp>
        <stp>[Index.xlsm]主要產業!R64C16</stp>
        <stp>MARKET_DATA_OVERRIDE=PE_RATIO</stp>
        <stp>CALC_INTERVAL=5y</stp>
        <stp>BEST_FPERIOD_OVERRIDE=BF</stp>
        <tr r="P64" s="2"/>
      </tp>
      <tp t="s">
        <v>#N/A N/A</v>
        <stp/>
        <stp>##V3_BDPV12</stp>
        <stp>HSCIIN Index</stp>
        <stp>INTERVAL_HIGH</stp>
        <stp>[Index.xlsm]主要產業!R62C16</stp>
        <stp>MARKET_DATA_OVERRIDE=PE_RATIO</stp>
        <stp>CALC_INTERVAL=5y</stp>
        <stp>BEST_FPERIOD_OVERRIDE=BF</stp>
        <tr r="P62" s="2"/>
      </tp>
      <tp t="s">
        <v>#N/A N/A</v>
        <stp/>
        <stp>##V3_BDPV12</stp>
        <stp>HSCIIT Index</stp>
        <stp>INTERVAL_HIGH</stp>
        <stp>[Index.xlsm]主要產業!R63C16</stp>
        <stp>MARKET_DATA_OVERRIDE=PE_RATIO</stp>
        <stp>CALC_INTERVAL=5y</stp>
        <stp>BEST_FPERIOD_OVERRIDE=BF</stp>
        <tr r="P63" s="2"/>
      </tp>
      <tp>
        <v>15.840639030939622</v>
        <stp/>
        <stp>##V3_BDPV12</stp>
        <stp>TWSEOEI Index</stp>
        <stp>INTERVAL_HIGH</stp>
        <stp>[Index.xlsm]主要產業!R75C16</stp>
        <stp>MARKET_DATA_OVERRIDE=PE_RATIO</stp>
        <stp>CALC_INTERVAL=5y</stp>
        <stp>BEST_FPERIOD_OVERRIDE=BF</stp>
        <tr r="P75" s="2"/>
      </tp>
      <tp>
        <v>177.90342258365945</v>
        <stp/>
        <stp>##V3_BDPV12</stp>
        <stp>TWSEOEG Index</stp>
        <stp>INTERVAL_HIGH</stp>
        <stp>[Index.xlsm]主要產業!R79C16</stp>
        <stp>MARKET_DATA_OVERRIDE=PE_RATIO</stp>
        <stp>CALC_INTERVAL=5y</stp>
        <stp>BEST_FPERIOD_OVERRIDE=BF</stp>
        <tr r="P79" s="2"/>
      </tp>
      <tp t="s">
        <v>#N/A N/A</v>
        <stp/>
        <stp>##V3_BDPV12</stp>
        <stp>HSCIFN Index</stp>
        <stp>INTERVAL_HIGH</stp>
        <stp>[Index.xlsm]主要產業!R61C16</stp>
        <stp>MARKET_DATA_OVERRIDE=PE_RATIO</stp>
        <stp>CALC_INTERVAL=5y</stp>
        <stp>BEST_FPERIOD_OVERRIDE=BF</stp>
        <tr r="P61" s="2"/>
      </tp>
      <tp t="s">
        <v>#N/A N/A</v>
        <stp/>
        <stp>##V3_BDPV12</stp>
        <stp>HSCIEN Index</stp>
        <stp>INTERVAL_HIGH</stp>
        <stp>[Index.xlsm]主要產業!R60C16</stp>
        <stp>MARKET_DATA_OVERRIDE=PE_RATIO</stp>
        <stp>CALC_INTERVAL=5y</stp>
        <stp>BEST_FPERIOD_OVERRIDE=BF</stp>
        <tr r="P60" s="2"/>
      </tp>
      <tp t="s">
        <v>#N/A N/A</v>
        <stp/>
        <stp>##V3_BDPV12</stp>
        <stp>HSCICG Index</stp>
        <stp>INTERVAL_HIGH</stp>
        <stp>[Index.xlsm]主要產業!R58C16</stp>
        <stp>MARKET_DATA_OVERRIDE=PE_RATIO</stp>
        <stp>CALC_INTERVAL=5y</stp>
        <stp>BEST_FPERIOD_OVERRIDE=BF</stp>
        <tr r="P58" s="2"/>
      </tp>
      <tp>
        <v>17.303727512183549</v>
        <stp/>
        <stp>##V3_BDPV12</stp>
        <stp>HSCICO Index</stp>
        <stp>INTERVAL_HIGH</stp>
        <stp>[Index.xlsm]主要產業!R59C16</stp>
        <stp>MARKET_DATA_OVERRIDE=PE_RATIO</stp>
        <stp>CALC_INTERVAL=5y</stp>
        <stp>BEST_FPERIOD_OVERRIDE=BF</stp>
        <tr r="P59" s="2"/>
      </tp>
      <tp>
        <v>14.775067749062108</v>
        <stp/>
        <stp>##V3_BDPV12</stp>
        <stp>3382 JP Equity</stp>
        <stp>INTERVAL_Low</stp>
        <stp>[Index.xlsm]主要產業!R82C37</stp>
        <stp>MARKET_DATA_OVERRIDE=PE_RATIO</stp>
        <stp>CALC_INTERVAL=5y</stp>
        <stp>BEST_FPERIOD_OVERRIDE=BF</stp>
        <tr r="AK82" s="2"/>
      </tp>
      <tp>
        <v>-18.24258</v>
        <stp/>
        <stp>##V3_BDPV12</stp>
        <stp>3382 JP Equity</stp>
        <stp>CHG_PCT_1YR</stp>
        <stp>[Index.xlsm]主要產業!R82C35</stp>
        <tr r="AI82" s="2"/>
      </tp>
      <tp>
        <v>-32.543010000000002</v>
        <stp/>
        <stp>##V3_BDPV12</stp>
        <stp>6752 JP Equity</stp>
        <stp>CHG_PCT_1YR</stp>
        <stp>[Index.xlsm]主要產業!R84C35</stp>
        <tr r="AI84" s="2"/>
      </tp>
      <tp>
        <v>1546.62</v>
        <stp/>
        <stp>##V3_BDPV12</stp>
        <stp>SET INDEX</stp>
        <stp>LOW_52WEEK</stp>
        <stp>[Index.xlsm]主要產業!R27C46</stp>
        <tr r="AT27" s="2"/>
      </tp>
      <tp>
        <v>7787</v>
        <stp/>
        <stp>##V3_BDPV12</stp>
        <stp>NQ1 Index</stp>
        <stp>PX_LAST</stp>
        <stp>[Index.xlsm]主要產業!R93C42</stp>
        <tr r="AP93" s="2"/>
      </tp>
      <tp>
        <v>2981</v>
        <stp/>
        <stp>##V3_BDPV12</stp>
        <stp>ES1 Index</stp>
        <stp>PX_LAST</stp>
        <stp>[Index.xlsm]主要產業!R92C42</stp>
        <tr r="AP92" s="2"/>
      </tp>
      <tp>
        <v>26894</v>
        <stp/>
        <stp>##V3_BDPV12</stp>
        <stp>dm1 Index</stp>
        <stp>PX_LAST</stp>
        <stp>[Index.xlsm]主要產業!R91C42</stp>
        <tr r="AP91" s="2"/>
      </tp>
      <tp>
        <v>-12.23549</v>
        <stp/>
        <stp>##V3_BDPV12</stp>
        <stp>BP/ LN Equity</stp>
        <stp>CHG_PCT_1YR</stp>
        <stp>[Index.xlsm]主要產業!R45C35</stp>
        <tr r="AI45" s="2"/>
      </tp>
      <tp>
        <v>-0.74199999999999999</v>
        <stp/>
        <stp>##V3_BDPV12</stp>
        <stp>GECU10YR INDEX</stp>
        <stp>LOW_52WEEK</stp>
        <stp>[Index.xlsm]主要產業!R60C46</stp>
        <tr r="AT60" s="2"/>
      </tp>
      <tp>
        <v>-0.311</v>
        <stp/>
        <stp>##V3_BDPV12</stp>
        <stp>GECU30YR INDEX</stp>
        <stp>LOW_52WEEK</stp>
        <stp>[Index.xlsm]主要產業!R61C46</stp>
        <tr r="AT61" s="2"/>
      </tp>
      <tp>
        <v>44.594999999999999</v>
        <stp/>
        <stp>##V3_BDPV12</stp>
        <stp>PHIA NA Equity</stp>
        <stp>HIGH_52WEEK</stp>
        <stp>[Index.xlsm]主要產業!R75C26</stp>
        <tr r="Z75" s="2"/>
      </tp>
      <tp>
        <v>2687</v>
        <stp/>
        <stp>##V3_BDPV12</stp>
        <stp>RDSA LN Equity</stp>
        <stp>HIGH_52WEEK</stp>
        <stp>[Index.xlsm]主要產業!R74C26</stp>
        <tr r="Z74" s="2"/>
      </tp>
      <tp>
        <v>-19.222159999999999</v>
        <stp/>
        <stp>##V3_BDPV12</stp>
        <stp>7751 JP Equity</stp>
        <stp>CHG_PCT_1YR</stp>
        <stp>[Index.xlsm]主要產業!R81C35</stp>
        <tr r="AI81" s="2"/>
      </tp>
      <tp>
        <v>-32.434739999999998</v>
        <stp/>
        <stp>##V3_BDPV12</stp>
        <stp>7201 JP Equity</stp>
        <stp>CHG_PCT_1YR</stp>
        <stp>[Index.xlsm]主要產業!R85C35</stp>
        <tr r="AI85" s="2"/>
      </tp>
      <tp>
        <v>5.6790000000000003</v>
        <stp/>
        <stp>##V3_BDPV12</stp>
        <stp>BBVA SM Equity</stp>
        <stp>HIGH_52WEEK</stp>
        <stp>[Index.xlsm]主要產業!R65C26</stp>
        <tr r="Z65" s="2"/>
      </tp>
      <tp>
        <v>-0.75</v>
        <stp/>
        <stp>##V3_BDPV12</stp>
        <stp>GECU2YR INDEX</stp>
        <stp>PX_LAST</stp>
        <stp>[Index.xlsm]主要產業!R59C42</stp>
        <tr r="AP59" s="2"/>
      </tp>
      <tp>
        <v>687.7</v>
        <stp/>
        <stp>##V3_BDPV12</stp>
        <stp>HSBA LN Equity</stp>
        <stp>HIGH_52WEEK</stp>
        <stp>[Index.xlsm]主要產業!R44C26</stp>
        <tr r="Z44" s="2"/>
      </tp>
      <tp>
        <v>12.14</v>
        <stp/>
        <stp>##V3_BDPV12</stp>
        <stp>INGA NA Equity</stp>
        <stp>HIGH_52WEEK</stp>
        <stp>[Index.xlsm]主要產業!R76C26</stp>
        <tr r="Z76" s="2"/>
      </tp>
      <tp>
        <v>-20.044329999999999</v>
        <stp/>
        <stp>##V3_BDPV12</stp>
        <stp>KOSPCHEM Index</stp>
        <stp>CHG_PCT_1YR</stp>
        <stp>[Index.xlsm]主要產業!R45C15</stp>
        <tr r="O45" s="2"/>
      </tp>
      <tp>
        <v>-5.9782089999999997</v>
        <stp/>
        <stp>##V3_BDPV12</stp>
        <stp>TWSETOUR Index</stp>
        <stp>PR064</stp>
        <stp>[Index.xlsm]主要產業!R93C14</stp>
        <tr r="N93" s="2"/>
      </tp>
      <tp>
        <v>-7.133928</v>
        <stp/>
        <stp>##V3_BDPV12</stp>
        <stp>TWSEFOOD Index</stp>
        <stp>PR064</stp>
        <stp>[Index.xlsm]主要產業!R80C14</stp>
        <tr r="N80" s="2"/>
      </tp>
      <tp>
        <v>-23.892769999999999</v>
        <stp/>
        <stp>##V3_BDPV12</stp>
        <stp>TWSEGLP Index</stp>
        <stp>CHG_PCT_1YR</stp>
        <stp>[Index.xlsm]主要產業!R97C15</stp>
        <tr r="O97" s="2"/>
      </tp>
      <tp>
        <v>104644</v>
        <stp/>
        <stp>##V3_BDPV12</stp>
        <stp>dm1 Index</stp>
        <stp>OPEN_INT</stp>
        <stp>[Index.xlsm]主要產業!R91C44</stp>
        <tr r="AR91" s="2"/>
      </tp>
      <tp>
        <v>33.6</v>
        <stp/>
        <stp>##V3_BDPV12</stp>
        <stp>000002 CS Equity</stp>
        <stp>HIGH_52WEEK</stp>
        <stp>[Index.xlsm]主要產業!R95C26</stp>
        <tr r="Z95" s="2"/>
      </tp>
      <tp>
        <v>1.2326999999999999</v>
        <stp/>
        <stp>##V3_BDPV12</stp>
        <stp>gbp Curncy</stp>
        <stp>PX_LAST</stp>
        <stp>[Index.xlsm]主要產業!R73C42</stp>
        <tr r="AP73" s="2"/>
      </tp>
      <tp>
        <v>0.67520000000000002</v>
        <stp/>
        <stp>##V3_BDPV12</stp>
        <stp>aud Curncy</stp>
        <stp>PX_LAST</stp>
        <stp>[Index.xlsm]主要產業!R74C42</stp>
        <tr r="AP74" s="2"/>
      </tp>
      <tp>
        <v>861.85</v>
        <stp/>
        <stp>##V3_BDPV12</stp>
        <stp xml:space="preserve">VNINDEX INDEX </stp>
        <stp>LOW_52WEEK</stp>
        <stp>[Index.xlsm]主要產業!R28C46</stp>
        <tr r="AT28" s="2"/>
      </tp>
      <tp>
        <v>0.62949999999999995</v>
        <stp/>
        <stp>##V3_BDPV12</stp>
        <stp>nzd Curncy</stp>
        <stp>PX_LAST</stp>
        <stp>[Index.xlsm]主要產業!R75C42</stp>
        <tr r="AP75" s="2"/>
      </tp>
      <tp>
        <v>2454854</v>
        <stp/>
        <stp>##V3_BDPV12</stp>
        <stp>ES1 Index</stp>
        <stp>OPEN_INT</stp>
        <stp>[Index.xlsm]主要產業!R92C44</stp>
        <tr r="AR92" s="2"/>
      </tp>
      <tp>
        <v>5.6689999999999996</v>
        <stp/>
        <stp>##V3_BDPV12</stp>
        <stp>TRY Curncy</stp>
        <stp>PX_LAST</stp>
        <stp>[Index.xlsm]主要產業!R79C42</stp>
        <tr r="AP79" s="2"/>
      </tp>
      <tp>
        <v>64.241600000000005</v>
        <stp/>
        <stp>##V3_BDPV12</stp>
        <stp>RUB Curncy</stp>
        <stp>PX_LAST</stp>
        <stp>[Index.xlsm]主要產業!R83C42</stp>
        <tr r="AP83" s="2"/>
      </tp>
      <tp>
        <v>1.1320749999999999</v>
        <stp/>
        <stp>##V3_BDPV12</stp>
        <stp>2330 TT Equity</stp>
        <stp>CHG_PCT_1YR</stp>
        <stp>[Index.xlsm]主要產業!R87C35</stp>
        <tr r="AI87" s="2"/>
      </tp>
      <tp>
        <v>202601</v>
        <stp/>
        <stp>##V3_BDPV12</stp>
        <stp>NQ1 Index</stp>
        <stp>OPEN_INT</stp>
        <stp>[Index.xlsm]主要產業!R93C44</stp>
        <tr r="AR93" s="2"/>
      </tp>
      <tp>
        <v>15.0343</v>
        <stp/>
        <stp>##V3_BDPV12</stp>
        <stp>ZAR Curncy</stp>
        <stp>PX_LAST</stp>
        <stp>[Index.xlsm]主要產業!R80C42</stp>
        <tr r="AP80" s="2"/>
      </tp>
      <tp>
        <v>1.0921000000000001</v>
        <stp/>
        <stp>##V3_BDPV12</stp>
        <stp>EUR Curncy</stp>
        <stp>PX_LAST</stp>
        <stp>[Index.xlsm]主要產業!R72C42</stp>
        <tr r="AP72" s="2"/>
      </tp>
      <tp>
        <v>57.212200000000003</v>
        <stp/>
        <stp>##V3_BDPV12</stp>
        <stp>ARS Curncy</stp>
        <stp>PX_LAST</stp>
        <stp>[Index.xlsm]主要產業!R81C42</stp>
        <tr r="AP81" s="2"/>
      </tp>
      <tp>
        <v>7.1325000000000003</v>
        <stp/>
        <stp>##V3_BDPV12</stp>
        <stp>CNY Curncy</stp>
        <stp>PX_LAST</stp>
        <stp>[Index.xlsm]主要產業!R77C42</stp>
        <tr r="AP77" s="2"/>
      </tp>
      <tp>
        <v>4.1692999999999998</v>
        <stp/>
        <stp>##V3_BDPV12</stp>
        <stp>BRL Curncy</stp>
        <stp>PX_LAST</stp>
        <stp>[Index.xlsm]主要產業!R78C42</stp>
        <tr r="AP78" s="2"/>
      </tp>
      <tp>
        <v>2134.828</v>
        <stp/>
        <stp>##V3_BDPV12</stp>
        <stp>LF98TRUU Index</stp>
        <stp>HIGH_52WEEK</stp>
        <stp>[Index.xlsm]主要產業!R34C44</stp>
        <tr r="AR34" s="2"/>
      </tp>
      <tp>
        <v>70.881200000000007</v>
        <stp/>
        <stp>##V3_BDPV12</stp>
        <stp>INR Curncy</stp>
        <stp>PX_LAST</stp>
        <stp>[Index.xlsm]主要產業!R82C42</stp>
        <tr r="AP82" s="2"/>
      </tp>
      <tp>
        <v>7.8388</v>
        <stp/>
        <stp>##V3_BDPV12</stp>
        <stp>HKD Curncy</stp>
        <stp>PX_LAST</stp>
        <stp>[Index.xlsm]主要產業!R76C42</stp>
        <tr r="AP76" s="2"/>
      </tp>
      <tp>
        <v>1198.8</v>
        <stp/>
        <stp>##V3_BDPV12</stp>
        <stp>KRW Curncy</stp>
        <stp>PX_LAST</stp>
        <stp>[Index.xlsm]主要產業!R71C42</stp>
        <tr r="AP71" s="2"/>
      </tp>
      <tp>
        <v>107.79</v>
        <stp/>
        <stp>##V3_BDPV12</stp>
        <stp>JPY Curncy</stp>
        <stp>PX_LAST</stp>
        <stp>[Index.xlsm]主要產業!R70C42</stp>
        <tr r="AP70" s="2"/>
      </tp>
      <tp>
        <v>23.217343136267498</v>
        <stp/>
        <stp>##V3_BDPV12</stp>
        <stp>s5sseqx Index</stp>
        <stp>INTERVAL_HIGH</stp>
        <stp>[Index.xlsm]主要產業!R13C16</stp>
        <stp>MARKET_DATA_OVERRIDE=PE_RATIO</stp>
        <stp>CALC_INTERVAL=5y</stp>
        <stp>BEST_FPERIOD_OVERRIDE=BF</stp>
        <tr r="P13" s="2"/>
      </tp>
      <tp>
        <v>-4.5256280000000002</v>
        <stp/>
        <stp>##V3_BDPV12</stp>
        <stp>601166 CG Equity</stp>
        <stp>PR064</stp>
        <stp>[Index.xlsm]主要產業!R92C34</stp>
        <tr r="AH92" s="2"/>
      </tp>
      <tp t="s">
        <v>CH</v>
        <stp/>
        <stp>##V3_BDPV12</stp>
        <stp>601166 CG Equity</stp>
        <stp>DS003</stp>
        <stp>[Index.xlsm]主要產業!R92C23</stp>
        <tr r="W92" s="2"/>
      </tp>
      <tp>
        <v>13.949852378898083</v>
        <stp/>
        <stp>##V3_BDPV12</stp>
        <stp>TWSEBKI Index</stp>
        <stp>INTERVAL_HIGH</stp>
        <stp>[Index.xlsm]主要產業!R71C16</stp>
        <stp>MARKET_DATA_OVERRIDE=PE_RATIO</stp>
        <stp>CALC_INTERVAL=5y</stp>
        <stp>BEST_FPERIOD_OVERRIDE=BF</stp>
        <tr r="P71" s="2"/>
      </tp>
      <tp>
        <v>58.552287764321292</v>
        <stp/>
        <stp>##V3_BDPV12</stp>
        <stp>TWSEBMC Index</stp>
        <stp>INTERVAL_HIGH</stp>
        <stp>[Index.xlsm]主要產業!R92C16</stp>
        <stp>MARKET_DATA_OVERRIDE=PE_RATIO</stp>
        <stp>CALC_INTERVAL=5y</stp>
        <stp>BEST_FPERIOD_OVERRIDE=BF</stp>
        <tr r="P92" s="2"/>
      </tp>
      <tp>
        <v>7.4339353731182882</v>
        <stp/>
        <stp>##V3_BDPV12</stp>
        <stp>SX86P INDEX</stp>
        <stp>INTERVAL_Low</stp>
        <stp>[Index.xlsm]主要產業!R34C17</stp>
        <stp>MARKET_DATA_OVERRIDE=PE_RATIO</stp>
        <stp>CALC_INTERVAL=5y</stp>
        <stp>BEST_FPERIOD_OVERRIDE=BF</stp>
        <tr r="Q34" s="2"/>
      </tp>
      <tp>
        <v>0.5177446</v>
        <stp/>
        <stp>##V3_BDPV12</stp>
        <stp>KOSPELEC Index</stp>
        <stp>CHG_PCT_1YR</stp>
        <stp>[Index.xlsm]主要產業!R43C15</stp>
        <tr r="O43" s="2"/>
      </tp>
      <tp t="s">
        <v>CH</v>
        <stp/>
        <stp>##V3_BDPV12</stp>
        <stp>000002 CS Equity</stp>
        <stp>DS003</stp>
        <stp>[Index.xlsm]主要產業!R95C23</stp>
        <tr r="W95" s="2"/>
      </tp>
      <tp>
        <v>121.90336424603748</v>
        <stp/>
        <stp>##V3_BDPV12</stp>
        <stp>TWSETRAN Index</stp>
        <stp>INTERVAL_HIGH</stp>
        <stp>[Index.xlsm]主要產業!R82C16</stp>
        <stp>MARKET_DATA_OVERRIDE=PE_RATIO</stp>
        <stp>CALC_INTERVAL=5y</stp>
        <stp>BEST_FPERIOD_OVERRIDE=BF</stp>
        <tr r="P82" s="2"/>
      </tp>
      <tp>
        <v>-5.8189659999999996</v>
        <stp/>
        <stp>##V3_BDPV12</stp>
        <stp>000002 CS Equity</stp>
        <stp>PR064</stp>
        <stp>[Index.xlsm]主要產業!R95C34</stp>
        <tr r="AH95" s="2"/>
      </tp>
      <tp t="s">
        <v>CH</v>
        <stp/>
        <stp>##V3_BDPV12</stp>
        <stp>600016 CG Equity</stp>
        <stp>DS003</stp>
        <stp>[Index.xlsm]主要產業!R97C23</stp>
        <tr r="W97" s="2"/>
      </tp>
      <tp>
        <v>0.90564619999999996</v>
        <stp/>
        <stp>##V3_BDPV12</stp>
        <stp>TWSEMACH Index</stp>
        <stp>PR064</stp>
        <stp>[Index.xlsm]主要產業!R87C14</stp>
        <tr r="N87" s="2"/>
      </tp>
      <tp t="s">
        <v>CH</v>
        <stp/>
        <stp>##V3_BDPV12</stp>
        <stp>600000 CG Equity</stp>
        <stp>DS003</stp>
        <stp>[Index.xlsm]主要產業!R96C23</stp>
        <tr r="W96" s="2"/>
      </tp>
      <tp t="s">
        <v>CH</v>
        <stp/>
        <stp>##V3_BDPV12</stp>
        <stp>600036 CG Equity</stp>
        <stp>DS003</stp>
        <stp>[Index.xlsm]主要產業!R90C23</stp>
        <tr r="W90" s="2"/>
      </tp>
      <tp t="s">
        <v>CH</v>
        <stp/>
        <stp>##V3_BDPV12</stp>
        <stp>600030 CG Equity</stp>
        <stp>DS003</stp>
        <stp>[Index.xlsm]主要產業!R94C23</stp>
        <tr r="W94" s="2"/>
      </tp>
      <tp>
        <v>-5.0167229999999998</v>
        <stp/>
        <stp>##V3_BDPV12</stp>
        <stp>600030 CG Equity</stp>
        <stp>PR064</stp>
        <stp>[Index.xlsm]主要產業!R94C34</stp>
        <tr r="AH94" s="2"/>
      </tp>
      <tp>
        <v>-3.3744879999999999</v>
        <stp/>
        <stp>##V3_BDPV12</stp>
        <stp>600036 CG Equity</stp>
        <stp>PR064</stp>
        <stp>[Index.xlsm]主要產業!R90C34</stp>
        <tr r="AH90" s="2"/>
      </tp>
      <tp>
        <v>2.8350490000000002</v>
        <stp/>
        <stp>##V3_BDPV12</stp>
        <stp>600000 CG Equity</stp>
        <stp>PR064</stp>
        <stp>[Index.xlsm]主要產業!R96C34</stp>
        <tr r="AH96" s="2"/>
      </tp>
      <tp>
        <v>-4.7169829999999999</v>
        <stp/>
        <stp>##V3_BDPV12</stp>
        <stp>600016 CG Equity</stp>
        <stp>PR064</stp>
        <stp>[Index.xlsm]主要產業!R97C34</stp>
        <tr r="AH97" s="2"/>
      </tp>
      <tp>
        <v>19.463182984287673</v>
        <stp/>
        <stp>##V3_BDPV12</stp>
        <stp>TWSECPE Index</stp>
        <stp>INTERVAL_HIGH</stp>
        <stp>[Index.xlsm]主要產業!R76C16</stp>
        <stp>MARKET_DATA_OVERRIDE=PE_RATIO</stp>
        <stp>CALC_INTERVAL=5y</stp>
        <stp>BEST_FPERIOD_OVERRIDE=BF</stp>
        <tr r="P76" s="2"/>
      </tp>
      <tp>
        <v>54.39</v>
        <stp/>
        <stp>##V3_BDPV12</stp>
        <stp>KO US Equity</stp>
        <stp>PX_LAST</stp>
        <stp>[Index.xlsm]主要產業!R13C24</stp>
        <tr r="X13" s="2"/>
      </tp>
      <tp>
        <v>283.8</v>
        <stp/>
        <stp>##V3_BDPV12</stp>
        <stp>RO SW Equity</stp>
        <stp>PX_LAST</stp>
        <stp>[Index.xlsm]主要產業!R73C24</stp>
        <tr r="X73" s="2"/>
      </tp>
      <tp>
        <v>79.077492365581321</v>
        <stp/>
        <stp>##V3_BDPV12</stp>
        <stp>TWSEPP Index</stp>
        <stp>INTERVAL_HIGH</stp>
        <stp>[Index.xlsm]主要產業!R95C16</stp>
        <stp>MARKET_DATA_OVERRIDE=PE_RATIO</stp>
        <stp>CALC_INTERVAL=5y</stp>
        <stp>BEST_FPERIOD_OVERRIDE=BF</stp>
        <tr r="P95" s="2"/>
      </tp>
      <tp>
        <v>30.420736494767642</v>
        <stp/>
        <stp>##V3_BDPV12</stp>
        <stp>TWSECEM Index</stp>
        <stp>INTERVAL_HIGH</stp>
        <stp>[Index.xlsm]主要產業!R88C16</stp>
        <stp>MARKET_DATA_OVERRIDE=PE_RATIO</stp>
        <stp>CALC_INTERVAL=5y</stp>
        <stp>BEST_FPERIOD_OVERRIDE=BF</stp>
        <tr r="P88" s="2"/>
      </tp>
      <tp>
        <v>205775237528138</v>
        <stp/>
        <stp>##V3_BDPV12</stp>
        <stp>KOSPFIN Index</stp>
        <stp>RR902</stp>
        <stp>[Index.xlsm]主要產業!R44C20</stp>
        <tr r="T44" s="2"/>
      </tp>
      <tp>
        <v>144.09576524899694</v>
        <stp/>
        <stp>##V3_BDPV12</stp>
        <stp>TWSECHI Index</stp>
        <stp>INTERVAL_HIGH</stp>
        <stp>[Index.xlsm]主要產業!R90C16</stp>
        <stp>MARKET_DATA_OVERRIDE=PE_RATIO</stp>
        <stp>CALC_INTERVAL=5y</stp>
        <stp>BEST_FPERIOD_OVERRIDE=BF</stp>
        <tr r="P90" s="2"/>
      </tp>
      <tp>
        <v>35.043502741125607</v>
        <stp/>
        <stp>##V3_BDPV12</stp>
        <stp>TWSECII Index</stp>
        <stp>INTERVAL_HIGH</stp>
        <stp>[Index.xlsm]主要產業!R72C16</stp>
        <stp>MARKET_DATA_OVERRIDE=PE_RATIO</stp>
        <stp>CALC_INTERVAL=5y</stp>
        <stp>BEST_FPERIOD_OVERRIDE=BF</stp>
        <tr r="P72" s="2"/>
      </tp>
      <tp>
        <v>18.123170365825892</v>
        <stp/>
        <stp>##V3_BDPV12</stp>
        <stp>TWSECON Index</stp>
        <stp>INTERVAL_HIGH</stp>
        <stp>[Index.xlsm]主要產業!R86C16</stp>
        <stp>MARKET_DATA_OVERRIDE=PE_RATIO</stp>
        <stp>CALC_INTERVAL=5y</stp>
        <stp>BEST_FPERIOD_OVERRIDE=BF</stp>
        <tr r="P86" s="2"/>
      </tp>
      <tp>
        <v>1072</v>
        <stp/>
        <stp>##V3_BDPV12</stp>
        <stp>SMSN LI Equity</stp>
        <stp>HIGH_52WEEK</stp>
        <stp>[Index.xlsm]主要產業!R86C26</stp>
        <tr r="Z86" s="2"/>
      </tp>
      <tp>
        <v>104.25</v>
        <stp/>
        <stp>##V3_BDPV12</stp>
        <stp>SREN SW Equity</stp>
        <stp>HIGH_52WEEK</stp>
        <stp>[Index.xlsm]主要產業!R72C26</stp>
        <tr r="Z72" s="2"/>
      </tp>
      <tp>
        <v>742.6</v>
        <stp/>
        <stp>##V3_BDPV12</stp>
        <stp>STAN LN Equity</stp>
        <stp>HIGH_52WEEK</stp>
        <stp>[Index.xlsm]主要產業!R55C26</stp>
        <tr r="Z55" s="2"/>
      </tp>
      <tp>
        <v>42.33</v>
        <stp/>
        <stp>##V3_BDPV12</stp>
        <stp>BHP AU Equity</stp>
        <stp>HIGH_52WEEK</stp>
        <stp>[Index.xlsm]主要產業!R35C26</stp>
        <tr r="Z35" s="2"/>
      </tp>
      <tp>
        <v>139.18</v>
        <stp/>
        <stp>##V3_BDPV12</stp>
        <stp>PEP US Equity</stp>
        <stp>HIGH_52WEEK</stp>
        <stp>[Index.xlsm]主要產業!R15C26</stp>
        <tr r="Z15" s="2"/>
      </tp>
      <tp>
        <v>1.5576840000000001</v>
        <stp/>
        <stp>##V3_BDPV12</stp>
        <stp>LD06TRUU Index</stp>
        <stp>PR064</stp>
        <stp>[Index.xlsm]主要產業!R37C52</stp>
        <tr r="AZ37" s="2"/>
      </tp>
      <tp>
        <v>0.82177080000000002</v>
        <stp/>
        <stp>##V3_BDPV12</stp>
        <stp>ASE INDEX</stp>
        <stp>CHG_PCT_3M</stp>
        <stp>[Index.xlsm]主要產業!R15C50</stp>
        <tr r="AX15" s="2"/>
      </tp>
      <tp>
        <v>79.95</v>
        <stp/>
        <stp>##V3_BDPV12</stp>
        <stp>BAYN GR Equity</stp>
        <stp>HIGH_52WEEK</stp>
        <stp>[Index.xlsm]主要產業!R58C26</stp>
        <tr r="Z58" s="2"/>
      </tp>
      <tp>
        <v>14.9002</v>
        <stp/>
        <stp>##V3_BDPV12</stp>
        <stp>CSGN SW Equity</stp>
        <stp>HIGH_52WEEK</stp>
        <stp>[Index.xlsm]主要產業!R71C26</stp>
        <tr r="Z71" s="2"/>
      </tp>
      <tp>
        <v>4.1532369999999998</v>
        <stp/>
        <stp>##V3_BDPV12</stp>
        <stp>ASE INDEX</stp>
        <stp>CHG_PCT_1M</stp>
        <stp>[Index.xlsm]主要產業!R15C49</stp>
        <tr r="AW15" s="2"/>
      </tp>
      <tp>
        <v>0.47442839999999997</v>
        <stp/>
        <stp>##V3_BDPV12</stp>
        <stp>ASE INDEX</stp>
        <stp>CHG_PCT_1D</stp>
        <stp>[Index.xlsm]主要產業!R15C43</stp>
        <tr r="AQ15" s="2"/>
      </tp>
      <tp>
        <v>21.35962</v>
        <stp/>
        <stp>##V3_BDPV12</stp>
        <stp>ASE INDEX</stp>
        <stp>CHG_PCT_6M</stp>
        <stp>[Index.xlsm]主要產業!R15C51</stp>
        <tr r="AY15" s="2"/>
      </tp>
      <tp>
        <v>-0.88679790000000003</v>
        <stp/>
        <stp>##V3_BDPV12</stp>
        <stp>ASE INDEX</stp>
        <stp>CHG_PCT_5D</stp>
        <stp>[Index.xlsm]主要產業!R15C48</stp>
        <tr r="AV15" s="2"/>
      </tp>
      <tp>
        <v>-9.350797</v>
        <stp/>
        <stp>##V3_BDPV12</stp>
        <stp>HSI INDEX</stp>
        <stp>CHG_PCT_6M</stp>
        <stp>[Index.xlsm]主要產業!R19C51</stp>
        <tr r="AY19" s="2"/>
      </tp>
      <tp>
        <v>2972.3649999999998</v>
        <stp/>
        <stp>##V3_BDPV12</stp>
        <stp>LD06TRUU Index</stp>
        <stp>HIGH_52WEEK</stp>
        <stp>[Index.xlsm]主要產業!R37C44</stp>
        <tr r="AR37" s="2"/>
      </tp>
      <tp>
        <v>-1.6132839999999999</v>
        <stp/>
        <stp>##V3_BDPV12</stp>
        <stp>HSI INDEX</stp>
        <stp>CHG_PCT_5D</stp>
        <stp>[Index.xlsm]主要產業!R19C48</stp>
        <tr r="AV19" s="2"/>
      </tp>
      <tp>
        <v>-9.0124460000000006</v>
        <stp/>
        <stp>##V3_BDPV12</stp>
        <stp>HSI INDEX</stp>
        <stp>CHG_PCT_3M</stp>
        <stp>[Index.xlsm]主要產業!R19C50</stp>
        <tr r="AX19" s="2"/>
      </tp>
      <tp>
        <v>94.4</v>
        <stp/>
        <stp>##V3_BDPV12</stp>
        <stp>NOVN SW Equity</stp>
        <stp>HIGH_52WEEK</stp>
        <stp>[Index.xlsm]主要產業!R68C26</stp>
        <tr r="Z68" s="2"/>
      </tp>
      <tp>
        <v>113.2</v>
        <stp/>
        <stp>##V3_BDPV12</stp>
        <stp>NESN SW Equity</stp>
        <stp>HIGH_52WEEK</stp>
        <stp>[Index.xlsm]主要產業!R67C26</stp>
        <tr r="Z67" s="2"/>
      </tp>
      <tp>
        <v>1.4723280000000001</v>
        <stp/>
        <stp>##V3_BDPV12</stp>
        <stp>HSI INDEX</stp>
        <stp>CHG_PCT_1M</stp>
        <stp>[Index.xlsm]主要產業!R19C49</stp>
        <tr r="AW19" s="2"/>
      </tp>
      <tp>
        <v>0.37224400000000002</v>
        <stp/>
        <stp>##V3_BDPV12</stp>
        <stp>HSI INDEX</stp>
        <stp>CHG_PCT_1D</stp>
        <stp>[Index.xlsm]主要產業!R19C43</stp>
        <tr r="AQ19" s="2"/>
      </tp>
      <tp t="s">
        <v>CH</v>
        <stp/>
        <stp>##V3_BDPV12</stp>
        <stp>601318 CG Equity</stp>
        <stp>DS003</stp>
        <stp>[Index.xlsm]主要產業!R88C23</stp>
        <tr r="W88" s="2"/>
      </tp>
      <tp>
        <v>0.34071200000000001</v>
        <stp/>
        <stp>##V3_BDPV12</stp>
        <stp>601318 CG Equity</stp>
        <stp>PR064</stp>
        <stp>[Index.xlsm]主要產業!R88C34</stp>
        <tr r="AH88" s="2"/>
      </tp>
      <tp>
        <v>-0.66039999999999999</v>
        <stp/>
        <stp>##V3_BDPV12</stp>
        <stp>USDTWD TPFT Curncy</stp>
        <stp>CHG_PCT_6M</stp>
        <stp>[Index.xlsm]主要產業!R69C51</stp>
        <tr r="AY69" s="2"/>
      </tp>
      <tp>
        <v>-0.1095</v>
        <stp/>
        <stp>##V3_BDPV12</stp>
        <stp>USDTWD TPFT Curncy</stp>
        <stp>CHG_PCT_5D</stp>
        <stp>[Index.xlsm]主要產業!R69C48</stp>
        <tr r="AV69" s="2"/>
      </tp>
      <tp>
        <v>0.32219999999999999</v>
        <stp/>
        <stp>##V3_BDPV12</stp>
        <stp>USDTWD TPFT Curncy</stp>
        <stp>CHG_PCT_3M</stp>
        <stp>[Index.xlsm]主要產業!R69C50</stp>
        <tr r="AX69" s="2"/>
      </tp>
      <tp>
        <v>-1.9300000000000001E-2</v>
        <stp/>
        <stp>##V3_BDPV12</stp>
        <stp>USDTWD TPFT Curncy</stp>
        <stp>CHG_PCT_1D</stp>
        <stp>[Index.xlsm]主要產業!R69C43</stp>
        <tr r="AQ69" s="2"/>
      </tp>
      <tp>
        <v>1.3241000000000001</v>
        <stp/>
        <stp>##V3_BDPV12</stp>
        <stp>USDTWD TPFT Curncy</stp>
        <stp>CHG_PCT_1M</stp>
        <stp>[Index.xlsm]主要產業!R69C49</stp>
        <tr r="AW69" s="2"/>
      </tp>
      <tp>
        <v>12.11975</v>
        <stp/>
        <stp>##V3_BDPV12</stp>
        <stp>TWSESCI Index</stp>
        <stp>PR064</stp>
        <stp>[Index.xlsm]主要產業!R70C14</stp>
        <tr r="N70" s="2"/>
      </tp>
      <tp>
        <v>78.849999999999994</v>
        <stp/>
        <stp>##V3_BDPV12</stp>
        <stp>BAS GR Equity</stp>
        <stp>HIGH_52WEEK</stp>
        <stp>[Index.xlsm]主要產業!R59C26</stp>
        <tr r="Z59" s="2"/>
      </tp>
      <tp>
        <v>-7.3625970000000001</v>
        <stp/>
        <stp>##V3_BDPV12</stp>
        <stp>TWSETEXT Index</stp>
        <stp>CHG_PCT_1YR</stp>
        <stp>[Index.xlsm]主要產業!R84C15</stp>
        <tr r="O84" s="2"/>
      </tp>
      <tp>
        <v>37.124955157497112</v>
        <stp/>
        <stp>##V3_BDPV12</stp>
        <stp>KOSPCHEM Index</stp>
        <stp>INTERVAL_HIGH</stp>
        <stp>[Index.xlsm]主要產業!R45C16</stp>
        <stp>MARKET_DATA_OVERRIDE=PE_RATIO</stp>
        <stp>CALC_INTERVAL=5y</stp>
        <stp>BEST_FPERIOD_OVERRIDE=BF</stp>
        <tr r="P45" s="2"/>
      </tp>
      <tp>
        <v>14179.36</v>
        <stp/>
        <stp>##V3_BDPV12</stp>
        <stp>XIN9I INDEX</stp>
        <stp>HIGH_52WEEK</stp>
        <stp>[Index.xlsm]主要產業!R22C44</stp>
        <tr r="AR22" s="2"/>
      </tp>
      <tp>
        <v>106303115732142</v>
        <stp/>
        <stp>##V3_BDPV12</stp>
        <stp>KOSPTREQ Index</stp>
        <stp>RR902</stp>
        <stp>[Index.xlsm]主要產業!R46C20</stp>
        <tr r="T46" s="2"/>
      </tp>
      <tp>
        <v>-13.57596</v>
        <stp/>
        <stp>##V3_BDPV12</stp>
        <stp>TWSEDEPT Index</stp>
        <stp>CHG_PCT_1YR</stp>
        <stp>[Index.xlsm]主要產業!R85C15</stp>
        <tr r="O85" s="2"/>
      </tp>
      <tp>
        <v>75.290000000000006</v>
        <stp/>
        <stp>##V3_BDPV12</stp>
        <stp>PM US Equity</stp>
        <stp>PX_LAST</stp>
        <stp>[Index.xlsm]主要產業!R24C24</stp>
        <tr r="X24" s="2"/>
      </tp>
      <tp>
        <v>7.0566550000000001</v>
        <stp/>
        <stp>##V3_BDPV12</stp>
        <stp>TWSERUB Index</stp>
        <stp>PR064</stp>
        <stp>[Index.xlsm]主要產業!R89C14</stp>
        <tr r="N89" s="2"/>
      </tp>
      <tp>
        <v>1.6342989999999999</v>
        <stp/>
        <stp>##V3_BDPV12</stp>
        <stp>LF98TRUU Index</stp>
        <stp>PR064</stp>
        <stp>[Index.xlsm]主要產業!R34C52</stp>
        <tr r="AZ34" s="2"/>
      </tp>
      <tp>
        <v>79.7</v>
        <stp/>
        <stp>##V3_BDPV12</stp>
        <stp>EMR US Equity</stp>
        <stp>HIGH_52WEEK</stp>
        <stp>[Index.xlsm]主要產業!R33C26</stp>
        <tr r="Z33" s="2"/>
      </tp>
      <tp>
        <v>6536.53</v>
        <stp/>
        <stp>##V3_BDPV12</stp>
        <stp>UKX INDEX</stp>
        <stp>LOW_52WEEK</stp>
        <stp>[Index.xlsm]主要產業!R10C46</stp>
        <tr r="AT10" s="2"/>
      </tp>
      <tp>
        <v>18948.580000000002</v>
        <stp/>
        <stp>##V3_BDPV12</stp>
        <stp>NKY INDEX</stp>
        <stp>LOW_52WEEK</stp>
        <stp>[Index.xlsm]主要產業!R17C46</stp>
        <tr r="AT17" s="2"/>
      </tp>
      <tp>
        <v>-21.782019999999999</v>
        <stp/>
        <stp>##V3_BDPV12</stp>
        <stp>TWSEPLAS Index</stp>
        <stp>CHG_PCT_1YR</stp>
        <stp>[Index.xlsm]主要產業!R73C15</stp>
        <tr r="O73" s="2"/>
      </tp>
      <tp>
        <v>7727.49</v>
        <stp/>
        <stp>##V3_BDPV12</stp>
        <stp>UKX INDEX</stp>
        <stp>HIGH_52WEEK</stp>
        <stp>[Index.xlsm]主要產業!R10C44</stp>
        <tr r="AR10" s="2"/>
      </tp>
      <tp t="s">
        <v>CH</v>
        <stp/>
        <stp>##V3_BDPV12</stp>
        <stp>600519 CG Equity</stp>
        <stp>DS003</stp>
        <stp>[Index.xlsm]主要產業!R89C23</stp>
        <tr r="W89" s="2"/>
      </tp>
      <tp>
        <v>7.9935919999999996</v>
        <stp/>
        <stp>##V3_BDPV12</stp>
        <stp>EMLCTRUU Index</stp>
        <stp>CHG_PCT_1YR</stp>
        <stp>[Index.xlsm]主要產業!R36C53</stp>
        <tr r="BA36" s="2"/>
      </tp>
      <tp>
        <v>17.127520000000001</v>
        <stp/>
        <stp>##V3_BDPV12</stp>
        <stp>600519 CG Equity</stp>
        <stp>PR064</stp>
        <stp>[Index.xlsm]主要產業!R89C34</stp>
        <tr r="AH89" s="2"/>
      </tp>
      <tp>
        <v>1188.8699999999999</v>
        <stp/>
        <stp>##V3_BDPV12</stp>
        <stp>600519 CG Equity</stp>
        <stp>HIGH_52WEEK</stp>
        <stp>[Index.xlsm]主要產業!R89C26</stp>
        <tr r="Z89" s="2"/>
      </tp>
      <tp>
        <v>1814</v>
        <stp/>
        <stp>##V3_BDPV12</stp>
        <stp>PRU LN Equity</stp>
        <stp>HIGH_52WEEK</stp>
        <stp>[Index.xlsm]主要產業!R52C26</stp>
        <tr r="Z52" s="2"/>
      </tp>
      <tp>
        <v>-9.5392309999999991</v>
        <stp/>
        <stp>##V3_BDPV12</stp>
        <stp>TWSETEXT Index</stp>
        <stp>PR064</stp>
        <stp>[Index.xlsm]主要產業!R84C14</stp>
        <tr r="N84" s="2"/>
      </tp>
      <tp>
        <v>-2.5049869999999999</v>
        <stp/>
        <stp>##V3_BDPV12</stp>
        <stp>TWSEDEPT Index</stp>
        <stp>PR064</stp>
        <stp>[Index.xlsm]主要產業!R85C14</stp>
        <tr r="N85" s="2"/>
      </tp>
      <tp>
        <v>-7.7899529999999997</v>
        <stp/>
        <stp>##V3_BDPV12</stp>
        <stp>TWSETOUR Index</stp>
        <stp>CHG_PCT_1YR</stp>
        <stp>[Index.xlsm]主要產業!R93C15</stp>
        <tr r="O93" s="2"/>
      </tp>
      <tp>
        <v>24448.0703125</v>
        <stp/>
        <stp>##V3_BDPV12</stp>
        <stp>NKY INDEX</stp>
        <stp>HIGH_52WEEK</stp>
        <stp>[Index.xlsm]主要產業!R17C44</stp>
        <tr r="AR17" s="2"/>
      </tp>
      <tp>
        <v>13.874790000000001</v>
        <stp/>
        <stp>##V3_BDPV12</stp>
        <stp>TWSEOTHR Index</stp>
        <stp>CHG_PCT_1YR</stp>
        <stp>[Index.xlsm]主要產業!R77C15</stp>
        <tr r="O77" s="2"/>
      </tp>
      <tp>
        <v>17774315489253</v>
        <stp/>
        <stp>##V3_BDPV12</stp>
        <stp>TWSEELEC Index</stp>
        <stp>RR902</stp>
        <stp>[Index.xlsm]主要產業!R69C20</stp>
        <tr r="T69" s="2"/>
      </tp>
      <tp>
        <v>1837172806722.03</v>
        <stp/>
        <stp>##V3_BDPV12</stp>
        <stp>TWSEPLAS Index</stp>
        <stp>RR902</stp>
        <stp>[Index.xlsm]主要產業!R73C20</stp>
        <tr r="T73" s="2"/>
      </tp>
      <tp>
        <v>59.2</v>
        <stp/>
        <stp>##V3_BDPV12</stp>
        <stp>ct1 Comdty</stp>
        <stp>PX_LAST</stp>
        <stp>[Index.xlsm]主要產業!R52C42</stp>
        <tr r="AP52" s="2"/>
      </tp>
      <tp>
        <v>100.85000000000001</v>
        <stp/>
        <stp>##V3_BDPV12</stp>
        <stp>kc1 Comdty</stp>
        <stp>PX_LAST</stp>
        <stp>[Index.xlsm]主要產業!R51C42</stp>
        <tr r="AP51" s="2"/>
      </tp>
      <tp>
        <v>143.1</v>
        <stp/>
        <stp>##V3_BDPV12</stp>
        <stp>000858 CS Equity</stp>
        <stp>HIGH_52WEEK</stp>
        <stp>[Index.xlsm]主要產業!R93C26</stp>
        <tr r="Z93" s="2"/>
      </tp>
      <tp>
        <v>92.5</v>
        <stp/>
        <stp>##V3_BDPV12</stp>
        <stp>601318 CG Equity</stp>
        <stp>HIGH_52WEEK</stp>
        <stp>[Index.xlsm]主要產業!R88C26</stp>
        <tr r="Z88" s="2"/>
      </tp>
      <tp>
        <v>17.89</v>
        <stp/>
        <stp>##V3_BDPV12</stp>
        <stp>SI1 comdty</stp>
        <stp>PX_LAST</stp>
        <stp>[Index.xlsm]主要產業!R45C42</stp>
        <tr r="AP45" s="2"/>
      </tp>
      <tp>
        <v>931.80000000000007</v>
        <stp/>
        <stp>##V3_BDPV12</stp>
        <stp>PL1 comdty</stp>
        <stp>PX_LAST</stp>
        <stp>[Index.xlsm]主要產業!R44C42</stp>
        <tr r="AP44" s="2"/>
      </tp>
      <tp>
        <v>5.7347070000000002</v>
        <stp/>
        <stp>##V3_BDPV12</stp>
        <stp>TPTRAN Index</stp>
        <stp>PR064</stp>
        <stp>[Index.xlsm]主要產業!R39C14</stp>
        <tr r="N39" s="2"/>
      </tp>
      <tp>
        <v>420.62638128689446</v>
        <stp/>
        <stp>##V3_BDPV12</stp>
        <stp>TWSEGLP Index</stp>
        <stp>INTERVAL_HIGH</stp>
        <stp>[Index.xlsm]主要產業!R97C16</stp>
        <stp>MARKET_DATA_OVERRIDE=PE_RATIO</stp>
        <stp>CALC_INTERVAL=5y</stp>
        <stp>BEST_FPERIOD_OVERRIDE=BF</stp>
        <tr r="P97" s="2"/>
      </tp>
      <tp>
        <v>372.5</v>
        <stp/>
        <stp>##V3_BDPV12</stp>
        <stp>C 1 Comdty</stp>
        <stp>PX_LAST</stp>
        <stp>[Index.xlsm]主要產業!R53C42</stp>
        <tr r="AP53" s="2"/>
      </tp>
      <tp>
        <v>62.74</v>
        <stp/>
        <stp>##V3_BDPV12</stp>
        <stp>CO1 Comdty</stp>
        <stp>PX_LAST</stp>
        <stp>[Index.xlsm]主要產業!R39C42</stp>
        <tr r="AP39" s="2"/>
      </tp>
      <tp>
        <v>56.34</v>
        <stp/>
        <stp>##V3_BDPV12</stp>
        <stp>CL1 Comdty</stp>
        <stp>PX_LAST</stp>
        <stp>[Index.xlsm]主要產業!R38C42</stp>
        <tr r="AP38" s="2"/>
      </tp>
      <tp>
        <v>88.76</v>
        <stp/>
        <stp>##V3_BDPV12</stp>
        <stp>ABT US Equity</stp>
        <stp>HIGH_52WEEK</stp>
        <stp>[Index.xlsm]主要產業!R18C26</stp>
        <tr r="Z18" s="2"/>
      </tp>
      <tp>
        <v>159.37</v>
        <stp/>
        <stp>##V3_BDPV12</stp>
        <stp>CAT US Equity</stp>
        <stp>HIGH_52WEEK</stp>
        <stp>[Index.xlsm]主要產業!R31C26</stp>
        <tr r="Z31" s="2"/>
      </tp>
      <tp>
        <v>242</v>
        <stp/>
        <stp>##V3_BDPV12</stp>
        <stp>AMT US Equity</stp>
        <stp>HIGH_52WEEK</stp>
        <stp>[Index.xlsm]主要產業!R26C26</stp>
        <tr r="Z26" s="2"/>
      </tp>
      <tp>
        <v>119.86</v>
        <stp/>
        <stp>##V3_BDPV12</stp>
        <stp>WMT US Equity</stp>
        <stp>HIGH_52WEEK</stp>
        <stp>[Index.xlsm]主要產業!R17C26</stp>
        <tr r="Z17" s="2"/>
      </tp>
      <tp>
        <v>37.94</v>
        <stp/>
        <stp>##V3_BDPV12</stp>
        <stp>EWT US Equity</stp>
        <stp>HIGH_52WEEK</stp>
        <stp>[Index.xlsm]主要產業!R87C44</stp>
        <tr r="AR87" s="2"/>
      </tp>
      <tp>
        <v>1504</v>
        <stp/>
        <stp>##V3_BDPV12</stp>
        <stp>GC1 Comdty</stp>
        <stp>PX_LAST</stp>
        <stp>[Index.xlsm]主要產業!R43C42</stp>
        <tr r="AP43" s="2"/>
      </tp>
      <tp>
        <v>888.5</v>
        <stp/>
        <stp>##V3_BDPV12</stp>
        <stp>S 1 Comdty</stp>
        <stp>PX_LAST</stp>
        <stp>[Index.xlsm]主要產業!R54C42</stp>
        <tr r="AP54" s="2"/>
      </tp>
      <tp>
        <v>11.63</v>
        <stp/>
        <stp>##V3_BDPV12</stp>
        <stp>SB1 Comdty</stp>
        <stp>PX_LAST</stp>
        <stp>[Index.xlsm]主要產業!R50C42</stp>
        <tr r="AP50" s="2"/>
      </tp>
      <tp>
        <v>484.25</v>
        <stp/>
        <stp>##V3_BDPV12</stp>
        <stp>W 1 Comdty</stp>
        <stp>PX_LAST</stp>
        <stp>[Index.xlsm]主要產業!R55C42</stp>
        <tr r="AP55" s="2"/>
      </tp>
      <tp>
        <v>-0.107</v>
        <stp/>
        <stp>##V3_BDPV12</stp>
        <stp>GECU30YR INDEX</stp>
        <stp>PX_LAST</stp>
        <stp>[Index.xlsm]主要產業!R61C42</stp>
        <tr r="AP61" s="2"/>
      </tp>
      <tp>
        <v>-0.58199999999999996</v>
        <stp/>
        <stp>##V3_BDPV12</stp>
        <stp>GECU10YR INDEX</stp>
        <stp>PX_LAST</stp>
        <stp>[Index.xlsm]主要產業!R60C42</stp>
        <tr r="AP60" s="2"/>
      </tp>
      <tp>
        <v>129288871430.20599</v>
        <stp/>
        <stp>##V3_BDPV12</stp>
        <stp>TWSETOUR Index</stp>
        <stp>RR902</stp>
        <stp>[Index.xlsm]主要產業!R93C20</stp>
        <tr r="T93" s="2"/>
      </tp>
      <tp>
        <v>93.292243562674344</v>
        <stp/>
        <stp>##V3_BDPV12</stp>
        <stp>KOSPBMET Index</stp>
        <stp>INTERVAL_HIGH</stp>
        <stp>[Index.xlsm]主要產業!R47C16</stp>
        <stp>MARKET_DATA_OVERRIDE=PE_RATIO</stp>
        <stp>CALC_INTERVAL=5y</stp>
        <stp>BEST_FPERIOD_OVERRIDE=BF</stp>
        <tr r="P47" s="2"/>
      </tp>
      <tp>
        <v>699461721992.16492</v>
        <stp/>
        <stp>##V3_BDPV12</stp>
        <stp>TWSEFOOD Index</stp>
        <stp>RR902</stp>
        <stp>[Index.xlsm]主要產業!R80C20</stp>
        <tr r="T80" s="2"/>
      </tp>
      <tp>
        <v>25.236183241697976</v>
        <stp/>
        <stp>##V3_BDPV12</stp>
        <stp>TWSEAUTO Index</stp>
        <stp>INTERVAL_HIGH</stp>
        <stp>[Index.xlsm]主要產業!R83C16</stp>
        <stp>MARKET_DATA_OVERRIDE=PE_RATIO</stp>
        <stp>CALC_INTERVAL=5y</stp>
        <stp>BEST_FPERIOD_OVERRIDE=BF</stp>
        <tr r="P83" s="2"/>
      </tp>
      <tp>
        <v>86.35</v>
        <stp/>
        <stp>##V3_BDPV12</stp>
        <stp>kc1 Comdty</stp>
        <stp>LOW_52WEEK</stp>
        <stp>[Index.xlsm]主要產業!R51C46</stp>
        <tr r="AT51" s="2"/>
      </tp>
      <tp>
        <v>56.19</v>
        <stp/>
        <stp>##V3_BDPV12</stp>
        <stp>ct1 Comdty</stp>
        <stp>LOW_52WEEK</stp>
        <stp>[Index.xlsm]主要產業!R52C46</stp>
        <tr r="AT52" s="2"/>
      </tp>
      <tp>
        <v>13.86</v>
        <stp/>
        <stp>##V3_BDPV12</stp>
        <stp>SI1 comdty</stp>
        <stp>LOW_52WEEK</stp>
        <stp>[Index.xlsm]主要產業!R45C46</stp>
        <tr r="AT45" s="2"/>
      </tp>
      <tp>
        <v>778.6</v>
        <stp/>
        <stp>##V3_BDPV12</stp>
        <stp>PL1 comdty</stp>
        <stp>LOW_52WEEK</stp>
        <stp>[Index.xlsm]主要產業!R44C46</stp>
        <tr r="AT44" s="2"/>
      </tp>
      <tp>
        <v>335.5</v>
        <stp/>
        <stp>##V3_BDPV12</stp>
        <stp>C 1 Comdty</stp>
        <stp>LOW_52WEEK</stp>
        <stp>[Index.xlsm]主要產業!R53C46</stp>
        <tr r="AT53" s="2"/>
      </tp>
      <tp>
        <v>1180</v>
        <stp/>
        <stp>##V3_BDPV12</stp>
        <stp>GC1 Comdty</stp>
        <stp>LOW_52WEEK</stp>
        <stp>[Index.xlsm]主要產業!R43C46</stp>
        <tr r="AT43" s="2"/>
      </tp>
      <tp>
        <v>49.93</v>
        <stp/>
        <stp>##V3_BDPV12</stp>
        <stp>CO1 Comdty</stp>
        <stp>LOW_52WEEK</stp>
        <stp>[Index.xlsm]主要產業!R39C46</stp>
        <tr r="AT39" s="2"/>
      </tp>
      <tp>
        <v>42.36</v>
        <stp/>
        <stp>##V3_BDPV12</stp>
        <stp>CL1 Comdty</stp>
        <stp>LOW_52WEEK</stp>
        <stp>[Index.xlsm]主要產業!R38C46</stp>
        <tr r="AT38" s="2"/>
      </tp>
      <tp>
        <v>780.5</v>
        <stp/>
        <stp>##V3_BDPV12</stp>
        <stp>S 1 Comdty</stp>
        <stp>LOW_52WEEK</stp>
        <stp>[Index.xlsm]主要產業!R54C46</stp>
        <tr r="AT54" s="2"/>
      </tp>
      <tp>
        <v>9.83</v>
        <stp/>
        <stp>##V3_BDPV12</stp>
        <stp>SB1 Comdty</stp>
        <stp>LOW_52WEEK</stp>
        <stp>[Index.xlsm]主要產業!R50C46</stp>
        <tr r="AT50" s="2"/>
      </tp>
      <tp>
        <v>416.25</v>
        <stp/>
        <stp>##V3_BDPV12</stp>
        <stp>W 1 Comdty</stp>
        <stp>LOW_52WEEK</stp>
        <stp>[Index.xlsm]主要產業!R55C46</stp>
        <tr r="AT55" s="2"/>
      </tp>
      <tp>
        <v>11.914053421749841</v>
        <stp/>
        <stp>##V3_BDPV12</stp>
        <stp>TPNBNK Index</stp>
        <stp>INTERVAL_HIGH</stp>
        <stp>[Index.xlsm]主要產業!R41C16</stp>
        <stp>MARKET_DATA_OVERRIDE=PE_RATIO</stp>
        <stp>CALC_INTERVAL=5y</stp>
        <stp>BEST_FPERIOD_OVERRIDE=BF</stp>
        <tr r="P41" s="2"/>
      </tp>
      <tp>
        <v>5.6876746841712027</v>
        <stp/>
        <stp>##V3_BDPV12</stp>
        <stp>8306 JP Equity</stp>
        <stp>INTERVAL_Low</stp>
        <stp>[Index.xlsm]主要產業!R79C37</stp>
        <stp>MARKET_DATA_OVERRIDE=PE_RATIO</stp>
        <stp>CALC_INTERVAL=5y</stp>
        <stp>BEST_FPERIOD_OVERRIDE=BF</stp>
        <tr r="AK79" s="2"/>
      </tp>
      <tp>
        <v>-2.2692619999999999</v>
        <stp/>
        <stp>##V3_BDPV12</stp>
        <stp>STI INDEX</stp>
        <stp>CHG_PCT_6M</stp>
        <stp>[Index.xlsm]主要產業!R29C51</stp>
        <tr r="AY29" s="2"/>
      </tp>
      <tp>
        <v>-1.0443849999999999</v>
        <stp/>
        <stp>##V3_BDPV12</stp>
        <stp>STI INDEX</stp>
        <stp>CHG_PCT_5D</stp>
        <stp>[Index.xlsm]主要產業!R29C48</stp>
        <tr r="AV29" s="2"/>
      </tp>
      <tp>
        <v>-6.092352</v>
        <stp/>
        <stp>##V3_BDPV12</stp>
        <stp>STI INDEX</stp>
        <stp>CHG_PCT_3M</stp>
        <stp>[Index.xlsm]主要產業!R29C50</stp>
        <tr r="AX29" s="2"/>
      </tp>
      <tp>
        <v>-3.1991609999999998E-4</v>
        <stp/>
        <stp>##V3_BDPV12</stp>
        <stp>STI INDEX</stp>
        <stp>CHG_PCT_1D</stp>
        <stp>[Index.xlsm]主要產業!R29C43</stp>
        <tr r="AQ29" s="2"/>
      </tp>
      <tp>
        <v>1.9002330000000001</v>
        <stp/>
        <stp>##V3_BDPV12</stp>
        <stp>STI INDEX</stp>
        <stp>CHG_PCT_1M</stp>
        <stp>[Index.xlsm]主要產業!R29C49</stp>
        <tr r="AW29" s="2"/>
      </tp>
      <tp>
        <v>18.250603993045466</v>
        <stp/>
        <stp>##V3_BDPV12</stp>
        <stp>TWSEOTHR Index</stp>
        <stp>INTERVAL_HIGH</stp>
        <stp>[Index.xlsm]主要產業!R77C16</stp>
        <stp>MARKET_DATA_OVERRIDE=PE_RATIO</stp>
        <stp>CALC_INTERVAL=5y</stp>
        <stp>BEST_FPERIOD_OVERRIDE=BF</stp>
        <tr r="P77" s="2"/>
      </tp>
      <tp>
        <v>4.7826849999999999</v>
        <stp/>
        <stp>##V3_BDPV12</stp>
        <stp>000651 CS Equity</stp>
        <stp>PR064</stp>
        <stp>[Index.xlsm]主要產業!R91C34</stp>
        <tr r="AH91" s="2"/>
      </tp>
      <tp t="s">
        <v>CH</v>
        <stp/>
        <stp>##V3_BDPV12</stp>
        <stp>000651 CS Equity</stp>
        <stp>DS003</stp>
        <stp>[Index.xlsm]主要產業!R91C23</stp>
        <tr r="W91" s="2"/>
      </tp>
      <tp>
        <v>16.47510501841132</v>
        <stp/>
        <stp>##V3_BDPV12</stp>
        <stp>KOSPELEC Index</stp>
        <stp>INTERVAL_HIGH</stp>
        <stp>[Index.xlsm]主要產業!R43C16</stp>
        <stp>MARKET_DATA_OVERRIDE=PE_RATIO</stp>
        <stp>CALC_INTERVAL=5y</stp>
        <stp>BEST_FPERIOD_OVERRIDE=BF</stp>
        <tr r="P43" s="2"/>
      </tp>
      <tp>
        <v>91.753318948073684</v>
        <stp/>
        <stp>##V3_BDPV12</stp>
        <stp>TWSESTEE Index</stp>
        <stp>INTERVAL_HIGH</stp>
        <stp>[Index.xlsm]主要產業!R81C16</stp>
        <stp>MARKET_DATA_OVERRIDE=PE_RATIO</stp>
        <stp>CALC_INTERVAL=5y</stp>
        <stp>BEST_FPERIOD_OVERRIDE=BF</stp>
        <tr r="P81" s="2"/>
      </tp>
      <tp>
        <v>6.3106669999999996</v>
        <stp/>
        <stp>##V3_BDPV12</stp>
        <stp>s5sseqx Index</stp>
        <stp>CHG_PCT_1YR</stp>
        <stp>[Index.xlsm]主要產業!R13C15</stp>
        <tr r="O13" s="2"/>
      </tp>
      <tp>
        <v>13.427589275797292</v>
        <stp/>
        <stp>##V3_BDPV12</stp>
        <stp>TWSEEPD Index</stp>
        <stp>INTERVAL_HIGH</stp>
        <stp>[Index.xlsm]主要產業!R91C16</stp>
        <stp>MARKET_DATA_OVERRIDE=PE_RATIO</stp>
        <stp>CALC_INTERVAL=5y</stp>
        <stp>BEST_FPERIOD_OVERRIDE=BF</stp>
        <tr r="P91" s="2"/>
      </tp>
      <tp>
        <v>23.293117280172535</v>
        <stp/>
        <stp>##V3_BDPV12</stp>
        <stp>TPNCHM Index</stp>
        <stp>INTERVAL_HIGH</stp>
        <stp>[Index.xlsm]主要產業!R40C16</stp>
        <stp>MARKET_DATA_OVERRIDE=PE_RATIO</stp>
        <stp>CALC_INTERVAL=5y</stp>
        <stp>BEST_FPERIOD_OVERRIDE=BF</stp>
        <tr r="P40" s="2"/>
      </tp>
      <tp>
        <v>-44.484900000000003</v>
        <stp/>
        <stp>##V3_BDPV12</stp>
        <stp>usgg10yr Index</stp>
        <stp>CHG_PCT_1YR</stp>
        <stp>[Index.xlsm]主要產業!R57C53</stp>
        <tr r="BA57" s="2"/>
      </tp>
      <tp>
        <v>-32.674300000000002</v>
        <stp/>
        <stp>##V3_BDPV12</stp>
        <stp>usgg30yr Index</stp>
        <stp>CHG_PCT_1YR</stp>
        <stp>[Index.xlsm]主要產業!R58C53</stp>
        <tr r="BA58" s="2"/>
      </tp>
      <tp>
        <v>24.10994246420741</v>
        <stp/>
        <stp>##V3_BDPV12</stp>
        <stp>TWSEECI Index</stp>
        <stp>INTERVAL_HIGH</stp>
        <stp>[Index.xlsm]主要產業!R74C16</stp>
        <stp>MARKET_DATA_OVERRIDE=PE_RATIO</stp>
        <stp>CALC_INTERVAL=5y</stp>
        <stp>BEST_FPERIOD_OVERRIDE=BF</stp>
        <tr r="P74" s="2"/>
      </tp>
      <tp>
        <v>51.866206373208911</v>
        <stp/>
        <stp>##V3_BDPV12</stp>
        <stp>TWSEEAW Index</stp>
        <stp>INTERVAL_HIGH</stp>
        <stp>[Index.xlsm]主要產業!R94C16</stp>
        <stp>MARKET_DATA_OVERRIDE=PE_RATIO</stp>
        <stp>CALC_INTERVAL=5y</stp>
        <stp>BEST_FPERIOD_OVERRIDE=BF</stp>
        <tr r="P94" s="2"/>
      </tp>
      <tp>
        <v>219.05</v>
        <stp/>
        <stp>##V3_BDPV12</stp>
        <stp>ALV GR Equity</stp>
        <stp>HIGH_52WEEK</stp>
        <stp>[Index.xlsm]主要產業!R56C26</stp>
        <tr r="Z56" s="2"/>
      </tp>
      <tp>
        <v>8.0302369999999996</v>
        <stp/>
        <stp>##V3_BDPV12</stp>
        <stp>AS51 INDEX</stp>
        <stp>CHG_PCT_1YR</stp>
        <stp>[Index.xlsm]主要產業!R16C53</stp>
        <tr r="BA16" s="2"/>
      </tp>
      <tp>
        <v>-3.3758439999999998</v>
        <stp/>
        <stp>##V3_BDPV12</stp>
        <stp>6758 JP Equity</stp>
        <stp>CHG_PCT_1YR</stp>
        <stp>[Index.xlsm]主要產業!R78C35</stp>
        <tr r="AI78" s="2"/>
      </tp>
      <tp>
        <v>0.139958</v>
        <stp/>
        <stp>##V3_BDPV12</stp>
        <stp>5108 JP Equity</stp>
        <stp>CHG_PCT_1YR</stp>
        <stp>[Index.xlsm]主要產業!R83C35</stp>
        <tr r="AI83" s="2"/>
      </tp>
      <tp>
        <v>38.871729999999999</v>
        <stp/>
        <stp>##V3_BDPV12</stp>
        <stp>TWSEAUTO Index</stp>
        <stp>CHG_PCT_1YR</stp>
        <stp>[Index.xlsm]主要產業!R83C15</stp>
        <tr r="O83" s="2"/>
      </tp>
      <tp>
        <v>-31.738569999999999</v>
        <stp/>
        <stp>##V3_BDPV12</stp>
        <stp>TWSEOEG Index</stp>
        <stp>CHG_PCT_1YR</stp>
        <stp>[Index.xlsm]主要產業!R79C15</stp>
        <tr r="O79" s="2"/>
      </tp>
      <tp>
        <v>30.635000000000002</v>
        <stp/>
        <stp>##V3_BDPV12</stp>
        <stp>USDTWD TPFT Curncy</stp>
        <stp>LOW_52WEEK</stp>
        <stp>[Index.xlsm]主要產業!R69C46</stp>
        <tr r="AT69" s="2"/>
      </tp>
      <tp>
        <v>-2.801831</v>
        <stp/>
        <stp>##V3_BDPV12</stp>
        <stp>kospi INDEX</stp>
        <stp>PR064</stp>
        <stp>[Index.xlsm]主要產業!R18C52</stp>
        <tr r="AZ18" s="2"/>
      </tp>
      <tp>
        <v>3288.453</v>
        <stp/>
        <stp>##V3_BDPV12</stp>
        <stp>SHCOMP INDEX</stp>
        <stp>HIGH_52WEEK</stp>
        <stp>[Index.xlsm]主要產業!R23C44</stp>
        <tr r="AR23" s="2"/>
      </tp>
      <tp>
        <v>6.9207229999999997</v>
        <stp/>
        <stp>##V3_BDPV12</stp>
        <stp>TWSEISI Index</stp>
        <stp>PR064</stp>
        <stp>[Index.xlsm]主要產業!R96C14</stp>
        <tr r="N96" s="2"/>
      </tp>
      <tp>
        <v>1.6841699999999999</v>
        <stp/>
        <stp>##V3_BDPV12</stp>
        <stp>TPCOMM Index</stp>
        <stp>PR064</stp>
        <stp>[Index.xlsm]主要產業!R38C14</stp>
        <tr r="N38" s="2"/>
      </tp>
      <tp>
        <v>60</v>
        <stp/>
        <stp>##V3_BDPV12</stp>
        <stp>DAI GR Equity</stp>
        <stp>HIGH_52WEEK</stp>
        <stp>[Index.xlsm]主要產業!R61C26</stp>
        <tr r="Z61" s="2"/>
      </tp>
      <tp>
        <v>2.3020619999999998</v>
        <stp/>
        <stp>##V3_BDPV12</stp>
        <stp>TWSETRAN Index</stp>
        <stp>CHG_PCT_1YR</stp>
        <stp>[Index.xlsm]主要產業!R82C15</stp>
        <tr r="O82" s="2"/>
      </tp>
      <tp>
        <v>88.833433363722804</v>
        <stp/>
        <stp>##V3_BDPV12</stp>
        <stp>KOSPTREQ Index</stp>
        <stp>INTERVAL_HIGH</stp>
        <stp>[Index.xlsm]主要產業!R46C16</stp>
        <stp>MARKET_DATA_OVERRIDE=PE_RATIO</stp>
        <stp>CALC_INTERVAL=5y</stp>
        <stp>BEST_FPERIOD_OVERRIDE=BF</stp>
        <tr r="P46" s="2"/>
      </tp>
      <tp>
        <v>901.57</v>
        <stp/>
        <stp>##V3_BDPV12</stp>
        <stp>ASE INDEX</stp>
        <stp>HIGH_52WEEK</stp>
        <stp>[Index.xlsm]主要產業!R15C44</stp>
        <tr r="AR15" s="2"/>
      </tp>
      <tp>
        <v>140306864263969.98</v>
        <stp/>
        <stp>##V3_BDPV12</stp>
        <stp>KOSPCHEM Index</stp>
        <stp>RR902</stp>
        <stp>[Index.xlsm]主要產業!R45C20</stp>
        <tr r="T45" s="2"/>
      </tp>
      <tp>
        <v>-41.185899999999997</v>
        <stp/>
        <stp>##V3_BDPV12</stp>
        <stp>usgg2yr Index</stp>
        <stp>CHG_PCT_1YR</stp>
        <stp>[Index.xlsm]主要產業!R56C53</stp>
        <tr r="BA56" s="2"/>
      </tp>
      <tp>
        <v>21.117622264253495</v>
        <stp/>
        <stp>##V3_BDPV12</stp>
        <stp>SX8P INDEX</stp>
        <stp>INTERVAL_Low</stp>
        <stp>[Index.xlsm]主要產業!R26C17</stp>
        <stp>MARKET_DATA_OVERRIDE=PE_RATIO</stp>
        <stp>CALC_INTERVAL=5y</stp>
        <stp>BEST_FPERIOD_OVERRIDE=BF</stp>
        <tr r="Q26" s="2"/>
      </tp>
      <tp>
        <v>15.369697176746328</v>
        <stp/>
        <stp>##V3_BDPV12</stp>
        <stp>SX4P INDEX</stp>
        <stp>INTERVAL_Low</stp>
        <stp>[Index.xlsm]主要產業!R27C17</stp>
        <stp>MARKET_DATA_OVERRIDE=PE_RATIO</stp>
        <stp>CALC_INTERVAL=5y</stp>
        <stp>BEST_FPERIOD_OVERRIDE=BF</stp>
        <tr r="Q27" s="2"/>
      </tp>
      <tp>
        <v>11.850181806744468</v>
        <stp/>
        <stp>##V3_BDPV12</stp>
        <stp>SX6P INDEX</stp>
        <stp>INTERVAL_Low</stp>
        <stp>[Index.xlsm]主要產業!R25C17</stp>
        <stp>MARKET_DATA_OVERRIDE=PE_RATIO</stp>
        <stp>CALC_INTERVAL=5y</stp>
        <stp>BEST_FPERIOD_OVERRIDE=BF</stp>
        <tr r="Q25" s="2"/>
      </tp>
      <tp>
        <v>8.93381186951747</v>
        <stp/>
        <stp>##V3_BDPV12</stp>
        <stp>SX7P INDEX</stp>
        <stp>INTERVAL_Low</stp>
        <stp>[Index.xlsm]主要產業!R21C17</stp>
        <stp>MARKET_DATA_OVERRIDE=PE_RATIO</stp>
        <stp>CALC_INTERVAL=5y</stp>
        <stp>BEST_FPERIOD_OVERRIDE=BF</stp>
        <tr r="Q21" s="2"/>
      </tp>
      <tp>
        <v>20.197411354635438</v>
        <stp/>
        <stp>##V3_BDPV12</stp>
        <stp>SX3P INDEX</stp>
        <stp>INTERVAL_Low</stp>
        <stp>[Index.xlsm]主要產業!R22C17</stp>
        <stp>MARKET_DATA_OVERRIDE=PE_RATIO</stp>
        <stp>CALC_INTERVAL=5y</stp>
        <stp>BEST_FPERIOD_OVERRIDE=BF</stp>
        <tr r="Q22" s="2"/>
      </tp>
      <tp>
        <v>13.423537070281744</v>
        <stp/>
        <stp>##V3_BDPV12</stp>
        <stp>SXTP INDEX</stp>
        <stp>INTERVAL_Low</stp>
        <stp>[Index.xlsm]主要產業!R36C17</stp>
        <stp>MARKET_DATA_OVERRIDE=PE_RATIO</stp>
        <stp>CALC_INTERVAL=5y</stp>
        <stp>BEST_FPERIOD_OVERRIDE=BF</stp>
        <tr r="Q36" s="2"/>
      </tp>
      <tp>
        <v>8.2200452622690587</v>
        <stp/>
        <stp>##V3_BDPV12</stp>
        <stp>SXPP INDEX</stp>
        <stp>INTERVAL_Low</stp>
        <stp>[Index.xlsm]主要產業!R32C17</stp>
        <stp>MARKET_DATA_OVERRIDE=PE_RATIO</stp>
        <stp>CALC_INTERVAL=5y</stp>
        <stp>BEST_FPERIOD_OVERRIDE=BF</stp>
        <tr r="Q32" s="2"/>
      </tp>
      <tp>
        <v>15.890880296670547</v>
        <stp/>
        <stp>##V3_BDPV12</stp>
        <stp>SXQP INDEX</stp>
        <stp>INTERVAL_Low</stp>
        <stp>[Index.xlsm]主要產業!R20C17</stp>
        <stp>MARKET_DATA_OVERRIDE=PE_RATIO</stp>
        <stp>CALC_INTERVAL=5y</stp>
        <stp>BEST_FPERIOD_OVERRIDE=BF</stp>
        <tr r="Q20" s="2"/>
      </tp>
      <tp>
        <v>20.148051685729833</v>
        <stp/>
        <stp>##V3_BDPV12</stp>
        <stp>SXRP INDEX</stp>
        <stp>INTERVAL_Low</stp>
        <stp>[Index.xlsm]主要產業!R28C17</stp>
        <stp>MARKET_DATA_OVERRIDE=PE_RATIO</stp>
        <stp>CALC_INTERVAL=5y</stp>
        <stp>BEST_FPERIOD_OVERRIDE=BF</stp>
        <tr r="Q28" s="2"/>
      </tp>
      <tp>
        <v>13.853808292976497</v>
        <stp/>
        <stp>##V3_BDPV12</stp>
        <stp>SXMP INDEX</stp>
        <stp>INTERVAL_Low</stp>
        <stp>[Index.xlsm]主要產業!R35C17</stp>
        <stp>MARKET_DATA_OVERRIDE=PE_RATIO</stp>
        <stp>CALC_INTERVAL=5y</stp>
        <stp>BEST_FPERIOD_OVERRIDE=BF</stp>
        <tr r="Q35" s="2"/>
      </tp>
      <tp>
        <v>17.609555612836282</v>
        <stp/>
        <stp>##V3_BDPV12</stp>
        <stp>SXNP INDEX</stp>
        <stp>INTERVAL_Low</stp>
        <stp>[Index.xlsm]主要產業!R19C17</stp>
        <stp>MARKET_DATA_OVERRIDE=PE_RATIO</stp>
        <stp>CALC_INTERVAL=5y</stp>
        <stp>BEST_FPERIOD_OVERRIDE=BF</stp>
        <tr r="Q19" s="2"/>
      </tp>
      <tp>
        <v>18.578050798859273</v>
        <stp/>
        <stp>##V3_BDPV12</stp>
        <stp>SXOP INDEX</stp>
        <stp>INTERVAL_Low</stp>
        <stp>[Index.xlsm]主要產業!R30C17</stp>
        <stp>MARKET_DATA_OVERRIDE=PE_RATIO</stp>
        <stp>CALC_INTERVAL=5y</stp>
        <stp>BEST_FPERIOD_OVERRIDE=BF</stp>
        <tr r="Q30" s="2"/>
      </tp>
      <tp>
        <v>9.8746989664675464</v>
        <stp/>
        <stp>##V3_BDPV12</stp>
        <stp>SXIP INDEX</stp>
        <stp>INTERVAL_Low</stp>
        <stp>[Index.xlsm]主要產業!R24C17</stp>
        <stp>MARKET_DATA_OVERRIDE=PE_RATIO</stp>
        <stp>CALC_INTERVAL=5y</stp>
        <stp>BEST_FPERIOD_OVERRIDE=BF</stp>
        <tr r="Q24" s="2"/>
      </tp>
      <tp>
        <v>11.960092664549858</v>
        <stp/>
        <stp>##V3_BDPV12</stp>
        <stp>SXKP INDEX</stp>
        <stp>INTERVAL_Low</stp>
        <stp>[Index.xlsm]主要產業!R29C17</stp>
        <stp>MARKET_DATA_OVERRIDE=PE_RATIO</stp>
        <stp>CALC_INTERVAL=5y</stp>
        <stp>BEST_FPERIOD_OVERRIDE=BF</stp>
        <tr r="Q29" s="2"/>
      </tp>
      <tp>
        <v>11.637749913806138</v>
        <stp/>
        <stp>##V3_BDPV12</stp>
        <stp>SXEP INDEX</stp>
        <stp>INTERVAL_Low</stp>
        <stp>[Index.xlsm]主要產業!R23C17</stp>
        <stp>MARKET_DATA_OVERRIDE=PE_RATIO</stp>
        <stp>CALC_INTERVAL=5y</stp>
        <stp>BEST_FPERIOD_OVERRIDE=BF</stp>
        <tr r="Q23" s="2"/>
      </tp>
      <tp>
        <v>9.3903938531853335</v>
        <stp/>
        <stp>##V3_BDPV12</stp>
        <stp>SXFP INDEX</stp>
        <stp>INTERVAL_Low</stp>
        <stp>[Index.xlsm]主要產業!R33C17</stp>
        <stp>MARKET_DATA_OVERRIDE=PE_RATIO</stp>
        <stp>CALC_INTERVAL=5y</stp>
        <stp>BEST_FPERIOD_OVERRIDE=BF</stp>
        <tr r="Q33" s="2"/>
      </tp>
      <tp>
        <v>19.379483925341315</v>
        <stp/>
        <stp>##V3_BDPV12</stp>
        <stp>SXDP INDEX</stp>
        <stp>INTERVAL_Low</stp>
        <stp>[Index.xlsm]主要產業!R18C17</stp>
        <stp>MARKET_DATA_OVERRIDE=PE_RATIO</stp>
        <stp>CALC_INTERVAL=5y</stp>
        <stp>BEST_FPERIOD_OVERRIDE=BF</stp>
        <tr r="Q18" s="2"/>
      </tp>
      <tp>
        <v>6.0215535064076544</v>
        <stp/>
        <stp>##V3_BDPV12</stp>
        <stp>SXAP INDEX</stp>
        <stp>INTERVAL_Low</stp>
        <stp>[Index.xlsm]主要產業!R31C17</stp>
        <stp>MARKET_DATA_OVERRIDE=PE_RATIO</stp>
        <stp>CALC_INTERVAL=5y</stp>
        <stp>BEST_FPERIOD_OVERRIDE=BF</stp>
        <tr r="Q31" s="2"/>
      </tp>
      <tp>
        <v>2.1807889999999999</v>
        <stp/>
        <stp>##V3_BDPV12</stp>
        <stp>UKX INDEX</stp>
        <stp>CHG_PCT_6M</stp>
        <stp>[Index.xlsm]主要產業!R10C51</stp>
        <tr r="AY10" s="2"/>
      </tp>
      <tp>
        <v>3.1316630000000001</v>
        <stp/>
        <stp>##V3_BDPV12</stp>
        <stp>NKY INDEX</stp>
        <stp>CHG_PCT_6M</stp>
        <stp>[Index.xlsm]主要產業!R17C51</stp>
        <tr r="AY17" s="2"/>
      </tp>
      <tp>
        <v>-7.2588600000000003E-2</v>
        <stp/>
        <stp>##V3_BDPV12</stp>
        <stp>UKX INDEX</stp>
        <stp>CHG_PCT_5D</stp>
        <stp>[Index.xlsm]主要產業!R10C48</stp>
        <tr r="AV10" s="2"/>
      </tp>
      <tp>
        <v>0.39857120000000001</v>
        <stp/>
        <stp>##V3_BDPV12</stp>
        <stp>NKY INDEX</stp>
        <stp>CHG_PCT_5D</stp>
        <stp>[Index.xlsm]主要產業!R17C48</stp>
        <tr r="AV17" s="2"/>
      </tp>
      <tp>
        <v>3.3277000000000001</v>
        <stp/>
        <stp>##V3_BDPV12</stp>
        <stp>NKY INDEX</stp>
        <stp>CHG_PCT_3M</stp>
        <stp>[Index.xlsm]主要產業!R17C50</stp>
        <tr r="AX17" s="2"/>
      </tp>
      <tp>
        <v>-0.69234960000000001</v>
        <stp/>
        <stp>##V3_BDPV12</stp>
        <stp>UKX INDEX</stp>
        <stp>CHG_PCT_3M</stp>
        <stp>[Index.xlsm]主要產業!R10C50</stp>
        <tr r="AX10" s="2"/>
      </tp>
      <tp>
        <v>3.6885119999999998</v>
        <stp/>
        <stp>##V3_BDPV12</stp>
        <stp>UKX INDEX</stp>
        <stp>CHG_PCT_1M</stp>
        <stp>[Index.xlsm]主要產業!R10C49</stp>
        <tr r="AW10" s="2"/>
      </tp>
      <tp>
        <v>0.83799840000000003</v>
        <stp/>
        <stp>##V3_BDPV12</stp>
        <stp>UKX INDEX</stp>
        <stp>CHG_PCT_1D</stp>
        <stp>[Index.xlsm]主要產業!R10C43</stp>
        <tr r="AQ10" s="2"/>
      </tp>
      <tp>
        <v>7.7833100000000002</v>
        <stp/>
        <stp>##V3_BDPV12</stp>
        <stp>NKY INDEX</stp>
        <stp>CHG_PCT_1M</stp>
        <stp>[Index.xlsm]主要產業!R17C49</stp>
        <tr r="AW17" s="2"/>
      </tp>
      <tp>
        <v>0.12756500000000001</v>
        <stp/>
        <stp>##V3_BDPV12</stp>
        <stp>NKY INDEX</stp>
        <stp>CHG_PCT_1D</stp>
        <stp>[Index.xlsm]主要產業!R17C43</stp>
        <tr r="AQ17" s="2"/>
      </tp>
      <tp>
        <v>9.14</v>
        <stp/>
        <stp>##V3_BDPV12</stp>
        <stp>F US Equity</stp>
        <stp>PX_LAST</stp>
        <stp>[Index.xlsm]主要產業!R34C24</stp>
        <tr r="X34" s="2"/>
      </tp>
      <tp>
        <v>979360097941</v>
        <stp/>
        <stp>##V3_BDPV12</stp>
        <stp>s5sseqx Index</stp>
        <stp>RR902</stp>
        <stp>[Index.xlsm]主要產業!R13C20</stp>
        <tr r="T13" s="2"/>
      </tp>
      <tp>
        <v>35.286706667717802</v>
        <stp/>
        <stp>##V3_BDPV12</stp>
        <stp>000858 CS Equity</stp>
        <stp>INTERVAL_HIGH</stp>
        <stp>[Index.xlsm]主要產業!R93C36</stp>
        <stp>MARKET_DATA_OVERRIDE=PE_RATIO</stp>
        <stp>CALC_INTERVAL=5y</stp>
        <stp>BEST_FPERIOD_OVERRIDE=BF</stp>
        <tr r="AJ93" s="2"/>
      </tp>
      <tp>
        <v>1.8523449999999999</v>
        <stp/>
        <stp>##V3_BDPV12</stp>
        <stp>TWSEOPE Index</stp>
        <stp>CHG_PCT_1YR</stp>
        <stp>[Index.xlsm]主要產業!R78C15</stp>
        <tr r="O78" s="2"/>
      </tp>
      <tp>
        <v>2.8899210000000002</v>
        <stp/>
        <stp>##V3_BDPV12</stp>
        <stp>TWSECPE Index</stp>
        <stp>CHG_PCT_1YR</stp>
        <stp>[Index.xlsm]主要產業!R76C15</stp>
        <tr r="O76" s="2"/>
      </tp>
      <tp>
        <v>2179.5</v>
        <stp/>
        <stp>##V3_BDPV12</stp>
        <stp>lmpbds03 comdty</stp>
        <stp>HIGH_52WEEK</stp>
        <stp>[Index.xlsm]主要產業!R48C44</stp>
        <tr r="AR48" s="2"/>
      </tp>
      <tp>
        <v>18850</v>
        <stp/>
        <stp>##V3_BDPV12</stp>
        <stp>lmnids03 comdty</stp>
        <stp>HIGH_52WEEK</stp>
        <stp>[Index.xlsm]主要產業!R49C44</stp>
        <tr r="AR49" s="2"/>
      </tp>
      <tp>
        <v>6608.5</v>
        <stp/>
        <stp>##V3_BDPV12</stp>
        <stp>lmcads03 comdty</stp>
        <stp>HIGH_52WEEK</stp>
        <stp>[Index.xlsm]主要產業!R47C44</stp>
        <tr r="AR47" s="2"/>
      </tp>
      <tp>
        <v>2267</v>
        <stp/>
        <stp>##V3_BDPV12</stp>
        <stp>lmahds03 comdty</stp>
        <stp>HIGH_52WEEK</stp>
        <stp>[Index.xlsm]主要產業!R46C44</stp>
        <tr r="AR46" s="2"/>
      </tp>
      <tp>
        <v>242287680447.543</v>
        <stp/>
        <stp>##V3_BDPV12</stp>
        <stp>TWSEBMC Index</stp>
        <stp>RR902</stp>
        <stp>[Index.xlsm]主要產業!R92C20</stp>
        <tr r="T92" s="2"/>
      </tp>
      <tp>
        <v>4631879245713</v>
        <stp/>
        <stp>##V3_BDPV12</stp>
        <stp>TWSEBKI Index</stp>
        <stp>RR902</stp>
        <stp>[Index.xlsm]主要產業!R71C20</stp>
        <tr r="T71" s="2"/>
      </tp>
      <tp>
        <v>87.35</v>
        <stp/>
        <stp>##V3_BDPV12</stp>
        <stp>MRK US Equity</stp>
        <stp>HIGH_52WEEK</stp>
        <stp>[Index.xlsm]主要產業!R12C26</stp>
        <tr r="Z12" s="2"/>
      </tp>
      <tp>
        <v>1767</v>
        <stp/>
        <stp>##V3_BDPV12</stp>
        <stp>GSK LN Equity</stp>
        <stp>HIGH_52WEEK</stp>
        <stp>[Index.xlsm]主要產業!R47C26</stp>
        <tr r="Z47" s="2"/>
      </tp>
      <tp>
        <v>10.244</v>
        <stp/>
        <stp>##V3_BDPV12</stp>
        <stp>DBK GR Equity</stp>
        <stp>HIGH_52WEEK</stp>
        <stp>[Index.xlsm]主要產業!R63C26</stp>
        <tr r="Z63" s="2"/>
      </tp>
      <tp>
        <v>-19.166979999999999</v>
        <stp/>
        <stp>##V3_BDPV12</stp>
        <stp>SH000908 Index</stp>
        <stp>CHG_PCT_1YR</stp>
        <stp>[Index.xlsm]主要產業!R53C15</stp>
        <tr r="O53" s="2"/>
      </tp>
      <tp>
        <v>2.4308800000000002</v>
        <stp/>
        <stp>##V3_BDPV12</stp>
        <stp>US0001W Index</stp>
        <stp>HIGH_52WEEK</stp>
        <stp>[Index.xlsm]主要產業!R63C44</stp>
        <tr r="AR63" s="2"/>
      </tp>
      <tp>
        <v>-0.6517771</v>
        <stp/>
        <stp>##V3_BDPV12</stp>
        <stp>TWSEEPD Index</stp>
        <stp>CHG_PCT_1YR</stp>
        <stp>[Index.xlsm]主要產業!R91C15</stp>
        <tr r="O91" s="2"/>
      </tp>
      <tp>
        <v>599336210995.09802</v>
        <stp/>
        <stp>##V3_BDPV12</stp>
        <stp>TWSETRAN Index</stp>
        <stp>RR902</stp>
        <stp>[Index.xlsm]主要產業!R82C20</stp>
        <tr r="T82" s="2"/>
      </tp>
      <tp>
        <v>14.162290381265485</v>
        <stp/>
        <stp>##V3_BDPV12</stp>
        <stp>KOSPFIN Index</stp>
        <stp>INTERVAL_HIGH</stp>
        <stp>[Index.xlsm]主要產業!R44C16</stp>
        <stp>MARKET_DATA_OVERRIDE=PE_RATIO</stp>
        <stp>CALC_INTERVAL=5y</stp>
        <stp>BEST_FPERIOD_OVERRIDE=BF</stp>
        <tr r="P44" s="2"/>
      </tp>
      <tp>
        <v>409029929426.96198</v>
        <stp/>
        <stp>##V3_BDPV12</stp>
        <stp>TWSECEM Index</stp>
        <stp>RR902</stp>
        <stp>[Index.xlsm]主要產業!R88C20</stp>
        <tr r="T88" s="2"/>
      </tp>
      <tp>
        <v>84942479390.143509</v>
        <stp/>
        <stp>##V3_BDPV12</stp>
        <stp>TWSEPP Index</stp>
        <stp>RR902</stp>
        <stp>[Index.xlsm]主要產業!R95C20</stp>
        <tr r="T95" s="2"/>
      </tp>
      <tp>
        <v>498671947374.79303</v>
        <stp/>
        <stp>##V3_BDPV12</stp>
        <stp>TWSECON Index</stp>
        <stp>RR902</stp>
        <stp>[Index.xlsm]主要產業!R86C20</stp>
        <tr r="T86" s="2"/>
      </tp>
      <tp>
        <v>78.66</v>
        <stp/>
        <stp>##V3_BDPV12</stp>
        <stp>SU FP Equity</stp>
        <stp>PX_LAST</stp>
        <stp>[Index.xlsm]主要產業!R40C24</stp>
        <tr r="X40" s="2"/>
      </tp>
      <tp>
        <v>275858796437.63501</v>
        <stp/>
        <stp>##V3_BDPV12</stp>
        <stp>TWSECHI Index</stp>
        <stp>RR902</stp>
        <stp>[Index.xlsm]主要產業!R90C20</stp>
        <tr r="T90" s="2"/>
      </tp>
      <tp>
        <v>1858519178878.8701</v>
        <stp/>
        <stp>##V3_BDPV12</stp>
        <stp>TWSECII Index</stp>
        <stp>RR902</stp>
        <stp>[Index.xlsm]主要產業!R72C20</stp>
        <tr r="T72" s="2"/>
      </tp>
      <tp>
        <v>1660019387940.05</v>
        <stp/>
        <stp>##V3_BDPV12</stp>
        <stp>TWSECPE Index</stp>
        <stp>RR902</stp>
        <stp>[Index.xlsm]主要產業!R76C20</stp>
        <tr r="T76" s="2"/>
      </tp>
      <tp>
        <v>9.2295960000000008</v>
        <stp/>
        <stp>##V3_BDPV12</stp>
        <stp>TPELEC Index</stp>
        <stp>PR064</stp>
        <stp>[Index.xlsm]主要產業!R42C14</stp>
        <tr r="N42" s="2"/>
      </tp>
      <tp>
        <v>5.9000940000000002</v>
        <stp/>
        <stp>##V3_BDPV12</stp>
        <stp>TPELMH Index</stp>
        <stp>PR064</stp>
        <stp>[Index.xlsm]主要產業!R37C14</stp>
        <tr r="N37" s="2"/>
      </tp>
      <tp>
        <v>24540.63</v>
        <stp/>
        <stp>##V3_BDPV12</stp>
        <stp>HSI INDEX</stp>
        <stp>LOW_52WEEK</stp>
        <stp>[Index.xlsm]主要產業!R19C46</stp>
        <tr r="AT19" s="2"/>
      </tp>
      <tp>
        <v>592.70000000000005</v>
        <stp/>
        <stp>##V3_BDPV12</stp>
        <stp>ASE INDEX</stp>
        <stp>LOW_52WEEK</stp>
        <stp>[Index.xlsm]主要產業!R15C46</stp>
        <tr r="AT15" s="2"/>
      </tp>
      <tp>
        <v>-9.194604</v>
        <stp/>
        <stp>##V3_BDPV12</stp>
        <stp>SH000909 Index</stp>
        <stp>CHG_PCT_1YR</stp>
        <stp>[Index.xlsm]主要產業!R54C15</stp>
        <tr r="O54" s="2"/>
      </tp>
      <tp>
        <v>26.814044953543636</v>
        <stp/>
        <stp>##V3_BDPV12</stp>
        <stp>TWSEFOOD Index</stp>
        <stp>INTERVAL_HIGH</stp>
        <stp>[Index.xlsm]主要產業!R80C16</stp>
        <stp>MARKET_DATA_OVERRIDE=PE_RATIO</stp>
        <stp>CALC_INTERVAL=5y</stp>
        <stp>BEST_FPERIOD_OVERRIDE=BF</stp>
        <tr r="P80" s="2"/>
      </tp>
      <tp>
        <v>576398671355.80103</v>
        <stp/>
        <stp>##V3_BDPV12</stp>
        <stp>TWSEAUTO Index</stp>
        <stp>RR902</stp>
        <stp>[Index.xlsm]主要產業!R83C20</stp>
        <tr r="T83" s="2"/>
      </tp>
      <tp>
        <v>-22.88</v>
        <stp/>
        <stp>##V3_BDPV12</stp>
        <stp>NMCMFUS Index</stp>
        <stp>CHG_PCT_1YR</stp>
        <stp>[Index.xlsm]主要產業!R64C53</stp>
        <tr r="BA64" s="2"/>
      </tp>
      <tp>
        <v>0.85</v>
        <stp/>
        <stp>##V3_BDPV12</stp>
        <stp>SHSPCCFI Index</stp>
        <stp>PR064</stp>
        <stp>[Index.xlsm]主要產業!R41C52</stp>
        <tr r="AZ41" s="2"/>
      </tp>
      <tp>
        <v>-6.8613</v>
        <stp/>
        <stp>##V3_BDPV12</stp>
        <stp>TWSEBMC Index</stp>
        <stp>CHG_PCT_1YR</stp>
        <stp>[Index.xlsm]主要產業!R92C15</stp>
        <tr r="O92" s="2"/>
      </tp>
      <tp>
        <v>42959780607310</v>
        <stp/>
        <stp>##V3_BDPV12</stp>
        <stp>KOSPBMET Index</stp>
        <stp>RR902</stp>
        <stp>[Index.xlsm]主要產業!R47C20</stp>
        <tr r="T47" s="2"/>
      </tp>
      <tp>
        <v>33.698015082546384</v>
        <stp/>
        <stp>##V3_BDPV12</stp>
        <stp>TWSETOUR Index</stp>
        <stp>INTERVAL_HIGH</stp>
        <stp>[Index.xlsm]主要產業!R93C16</stp>
        <stp>MARKET_DATA_OVERRIDE=PE_RATIO</stp>
        <stp>CALC_INTERVAL=5y</stp>
        <stp>BEST_FPERIOD_OVERRIDE=BF</stp>
        <tr r="P93" s="2"/>
      </tp>
      <tp>
        <v>-0.76844262295081966</v>
        <stp/>
        <stp>##V3_BDPV12</stp>
        <stp>W 1 Comdty</stp>
        <stp>CHG_PCT_5D</stp>
        <stp>[Index.xlsm]主要產業!R55C48</stp>
        <tr r="AV55" s="2"/>
      </tp>
      <tp>
        <v>-0.50391937290033595</v>
        <stp/>
        <stp>##V3_BDPV12</stp>
        <stp>S 1 Comdty</stp>
        <stp>CHG_PCT_5D</stp>
        <stp>[Index.xlsm]主要產業!R54C48</stp>
        <tr r="AV54" s="2"/>
      </tp>
      <tp>
        <v>5.8234758871701597</v>
        <stp/>
        <stp>##V3_BDPV12</stp>
        <stp>SB1 Comdty</stp>
        <stp>CHG_PCT_5D</stp>
        <stp>[Index.xlsm]主要產業!R50C48</stp>
        <tr r="AV50" s="2"/>
      </tp>
      <tp>
        <v>-3.0125667068342228</v>
        <stp/>
        <stp>##V3_BDPV12</stp>
        <stp>CL1 Comdty</stp>
        <stp>CHG_PCT_5D</stp>
        <stp>[Index.xlsm]主要產業!R38C48</stp>
        <tr r="AV38" s="2"/>
      </tp>
      <tp>
        <v>-2.5776397515528005</v>
        <stp/>
        <stp>##V3_BDPV12</stp>
        <stp>CO1 Comdty</stp>
        <stp>CHG_PCT_5D</stp>
        <stp>[Index.xlsm]主要產業!R39C48</stp>
        <tr r="AV39" s="2"/>
      </tp>
      <tp>
        <v>-0.2652519893899204</v>
        <stp/>
        <stp>##V3_BDPV12</stp>
        <stp>GC1 Comdty</stp>
        <stp>CHG_PCT_5D</stp>
        <stp>[Index.xlsm]主要產業!R43C48</stp>
        <tr r="AV43" s="2"/>
      </tp>
      <tp>
        <v>-6.70690811535882E-2</v>
        <stp/>
        <stp>##V3_BDPV12</stp>
        <stp>C 1 Comdty</stp>
        <stp>CHG_PCT_5D</stp>
        <stp>[Index.xlsm]主要產業!R53C48</stp>
        <tr r="AV53" s="2"/>
      </tp>
      <tp>
        <v>-1.1457670273710963</v>
        <stp/>
        <stp>##V3_BDPV12</stp>
        <stp>PL1 comdty</stp>
        <stp>CHG_PCT_5D</stp>
        <stp>[Index.xlsm]主要產業!R44C48</stp>
        <tr r="AV44" s="2"/>
      </tp>
      <tp>
        <v>0.85691735257639545</v>
        <stp/>
        <stp>##V3_BDPV12</stp>
        <stp>SI1 comdty</stp>
        <stp>CHG_PCT_5D</stp>
        <stp>[Index.xlsm]主要產業!R45C48</stp>
        <tr r="AV45" s="2"/>
      </tp>
      <tp>
        <v>2.5419420437214031</v>
        <stp/>
        <stp>##V3_BDPV12</stp>
        <stp>kc1 Comdty</stp>
        <stp>CHG_PCT_5D</stp>
        <stp>[Index.xlsm]主要產業!R51C48</stp>
        <tr r="AV51" s="2"/>
      </tp>
      <tp>
        <v>0.35599254110866396</v>
        <stp/>
        <stp>##V3_BDPV12</stp>
        <stp>ct1 Comdty</stp>
        <stp>CHG_PCT_5D</stp>
        <stp>[Index.xlsm]主要產業!R52C48</stp>
        <tr r="AV52" s="2"/>
      </tp>
      <tp>
        <v>3.1965903036760785</v>
        <stp/>
        <stp>##V3_BDPV12</stp>
        <stp>W 1 Comdty</stp>
        <stp>CHG_PCT_6M</stp>
        <stp>[Index.xlsm]主要產業!R55C51</stp>
        <tr r="AY55" s="2"/>
      </tp>
      <tp>
        <v>-1.359977796280877</v>
        <stp/>
        <stp>##V3_BDPV12</stp>
        <stp>S 1 Comdty</stp>
        <stp>CHG_PCT_6M</stp>
        <stp>[Index.xlsm]主要產業!R54C51</stp>
        <tr r="AY54" s="2"/>
      </tp>
      <tp>
        <v>-7.6250992851469341</v>
        <stp/>
        <stp>##V3_BDPV12</stp>
        <stp>SB1 Comdty</stp>
        <stp>CHG_PCT_6M</stp>
        <stp>[Index.xlsm]主要產業!R50C51</stp>
        <tr r="AY50" s="2"/>
      </tp>
      <tp>
        <v>-5.167480222184806</v>
        <stp/>
        <stp>##V3_BDPV12</stp>
        <stp>CL1 Comdty</stp>
        <stp>CHG_PCT_6M</stp>
        <stp>[Index.xlsm]主要產業!R38C51</stp>
        <tr r="AY38" s="2"/>
      </tp>
      <tp>
        <v>-7.6945711343239616</v>
        <stp/>
        <stp>##V3_BDPV12</stp>
        <stp>CO1 Comdty</stp>
        <stp>CHG_PCT_6M</stp>
        <stp>[Index.xlsm]主要產業!R39C51</stp>
        <tr r="AY39" s="2"/>
      </tp>
      <tp>
        <v>14.774114774114766</v>
        <stp/>
        <stp>##V3_BDPV12</stp>
        <stp>GC1 Comdty</stp>
        <stp>CHG_PCT_6M</stp>
        <stp>[Index.xlsm]主要產業!R43C51</stp>
        <tr r="AY43" s="2"/>
      </tp>
      <tp>
        <v>-1.2591119946984757</v>
        <stp/>
        <stp>##V3_BDPV12</stp>
        <stp>C 1 Comdty</stp>
        <stp>CHG_PCT_6M</stp>
        <stp>[Index.xlsm]主要產業!R53C51</stp>
        <tr r="AY53" s="2"/>
      </tp>
      <tp>
        <v>8.7915936952714624</v>
        <stp/>
        <stp>##V3_BDPV12</stp>
        <stp>PL1 comdty</stp>
        <stp>CHG_PCT_6M</stp>
        <stp>[Index.xlsm]主要產業!R44C51</stp>
        <tr r="AY44" s="2"/>
      </tp>
      <tp>
        <v>17.396154603320426</v>
        <stp/>
        <stp>##V3_BDPV12</stp>
        <stp>SI1 comdty</stp>
        <stp>CHG_PCT_6M</stp>
        <stp>[Index.xlsm]主要產業!R45C51</stp>
        <tr r="AY45" s="2"/>
      </tp>
      <tp>
        <v>5.7682223387519818</v>
        <stp/>
        <stp>##V3_BDPV12</stp>
        <stp>kc1 Comdty</stp>
        <stp>CHG_PCT_6M</stp>
        <stp>[Index.xlsm]主要產業!R51C51</stp>
        <tr r="AY51" s="2"/>
      </tp>
      <tp>
        <v>-23.995378097316724</v>
        <stp/>
        <stp>##V3_BDPV12</stp>
        <stp>ct1 Comdty</stp>
        <stp>CHG_PCT_6M</stp>
        <stp>[Index.xlsm]主要產業!R52C51</stp>
        <tr r="AY52" s="2"/>
      </tp>
      <tp>
        <v>1.4667365112624411</v>
        <stp/>
        <stp>##V3_BDPV12</stp>
        <stp>W 1 Comdty</stp>
        <stp>CHG_PCT_1D</stp>
        <stp>[Index.xlsm]主要產業!R55C43</stp>
        <tr r="AQ55" s="2"/>
      </tp>
      <tp>
        <v>2.3784355179704018</v>
        <stp/>
        <stp>##V3_BDPV12</stp>
        <stp>W 1 Comdty</stp>
        <stp>CHG_PCT_1M</stp>
        <stp>[Index.xlsm]主要產業!R55C49</stp>
        <tr r="AW55" s="2"/>
      </tp>
      <tp>
        <v>-8.4340736575766087E-2</v>
        <stp/>
        <stp>##V3_BDPV12</stp>
        <stp>S 1 Comdty</stp>
        <stp>CHG_PCT_1D</stp>
        <stp>[Index.xlsm]主要產業!R54C43</stp>
        <tr r="AQ54" s="2"/>
      </tp>
      <tp>
        <v>-1.4406779661016942</v>
        <stp/>
        <stp>##V3_BDPV12</stp>
        <stp>SB1 Comdty</stp>
        <stp>CHG_PCT_1D</stp>
        <stp>[Index.xlsm]主要產業!R50C43</stp>
        <tr r="AQ50" s="2"/>
      </tp>
      <tp>
        <v>4.0702781844802338</v>
        <stp/>
        <stp>##V3_BDPV12</stp>
        <stp>S 1 Comdty</stp>
        <stp>CHG_PCT_1M</stp>
        <stp>[Index.xlsm]主要產業!R54C49</stp>
        <tr r="AW54" s="2"/>
      </tp>
      <tp>
        <v>1.7497812773403418</v>
        <stp/>
        <stp>##V3_BDPV12</stp>
        <stp>SB1 Comdty</stp>
        <stp>CHG_PCT_1M</stp>
        <stp>[Index.xlsm]主要產業!R50C49</stp>
        <tr r="AW50" s="2"/>
      </tp>
      <tp>
        <v>2.5669033315128416</v>
        <stp/>
        <stp>##V3_BDPV12</stp>
        <stp>CL1 Comdty</stp>
        <stp>CHG_PCT_1M</stp>
        <stp>[Index.xlsm]主要產業!R38C49</stp>
        <tr r="AW38" s="2"/>
      </tp>
      <tp>
        <v>6.8824531516183969</v>
        <stp/>
        <stp>##V3_BDPV12</stp>
        <stp>CO1 Comdty</stp>
        <stp>CHG_PCT_1M</stp>
        <stp>[Index.xlsm]主要產業!R39C49</stp>
        <tr r="AW39" s="2"/>
      </tp>
      <tp>
        <v>-0.25863784070562312</v>
        <stp/>
        <stp>##V3_BDPV12</stp>
        <stp>GC1 Comdty</stp>
        <stp>CHG_PCT_1D</stp>
        <stp>[Index.xlsm]主要產業!R43C43</stp>
        <tr r="AQ43" s="2"/>
      </tp>
      <tp>
        <v>-0.12409147314304766</v>
        <stp/>
        <stp>##V3_BDPV12</stp>
        <stp>CL1 Comdty</stp>
        <stp>CHG_PCT_1D</stp>
        <stp>[Index.xlsm]主要產業!R38C43</stp>
        <tr r="AQ38" s="2"/>
      </tp>
      <tp>
        <v>0.56098733771437959</v>
        <stp/>
        <stp>##V3_BDPV12</stp>
        <stp>CO1 Comdty</stp>
        <stp>CHG_PCT_1D</stp>
        <stp>[Index.xlsm]主要產業!R39C43</stp>
        <tr r="AQ39" s="2"/>
      </tp>
      <tp>
        <v>-2.4010382868267359</v>
        <stp/>
        <stp>##V3_BDPV12</stp>
        <stp>GC1 Comdty</stp>
        <stp>CHG_PCT_1M</stp>
        <stp>[Index.xlsm]主要產業!R43C49</stp>
        <tr r="AW43" s="2"/>
      </tp>
      <tp>
        <v>-0.46760187040748163</v>
        <stp/>
        <stp>##V3_BDPV12</stp>
        <stp>C 1 Comdty</stp>
        <stp>CHG_PCT_1D</stp>
        <stp>[Index.xlsm]主要產業!R53C43</stp>
        <tr r="AQ53" s="2"/>
      </tp>
      <tp>
        <v>3.905160390516039</v>
        <stp/>
        <stp>##V3_BDPV12</stp>
        <stp>C 1 Comdty</stp>
        <stp>CHG_PCT_1M</stp>
        <stp>[Index.xlsm]主要產業!R53C49</stp>
        <tr r="AW53" s="2"/>
      </tp>
      <tp>
        <v>-0.12282268870030406</v>
        <stp/>
        <stp>##V3_BDPV12</stp>
        <stp>SI1 comdty</stp>
        <stp>CHG_PCT_1D</stp>
        <stp>[Index.xlsm]主要產業!R45C43</stp>
        <tr r="AQ45" s="2"/>
      </tp>
      <tp>
        <v>7.3255010366275073</v>
        <stp/>
        <stp>##V3_BDPV12</stp>
        <stp>PL1 comdty</stp>
        <stp>CHG_PCT_1M</stp>
        <stp>[Index.xlsm]主要產業!R44C49</stp>
        <tr r="AW44" s="2"/>
      </tp>
      <tp>
        <v>-1.4487963422023806</v>
        <stp/>
        <stp>##V3_BDPV12</stp>
        <stp>SI1 comdty</stp>
        <stp>CHG_PCT_1M</stp>
        <stp>[Index.xlsm]主要產業!R45C49</stp>
        <tr r="AW45" s="2"/>
      </tp>
      <tp>
        <v>-0.45935263326568399</v>
        <stp/>
        <stp>##V3_BDPV12</stp>
        <stp>PL1 comdty</stp>
        <stp>CHG_PCT_1D</stp>
        <stp>[Index.xlsm]主要產業!R44C43</stp>
        <tr r="AQ44" s="2"/>
      </tp>
      <tp>
        <v>-0.28633990230755368</v>
        <stp/>
        <stp>##V3_BDPV12</stp>
        <stp>ct1 Comdty</stp>
        <stp>CHG_PCT_1D</stp>
        <stp>[Index.xlsm]主要產業!R52C43</stp>
        <tr r="AQ52" s="2"/>
      </tp>
      <tp>
        <v>2.6708289975719843</v>
        <stp/>
        <stp>##V3_BDPV12</stp>
        <stp>ct1 Comdty</stp>
        <stp>CHG_PCT_1M</stp>
        <stp>[Index.xlsm]主要產業!R52C49</stp>
        <tr r="AW52" s="2"/>
      </tp>
      <tp>
        <v>-9.9058940069349705E-2</v>
        <stp/>
        <stp>##V3_BDPV12</stp>
        <stp>kc1 Comdty</stp>
        <stp>CHG_PCT_1D</stp>
        <stp>[Index.xlsm]主要產業!R51C43</stp>
        <tr r="AQ51" s="2"/>
      </tp>
      <tp>
        <v>7.1163037705788659</v>
        <stp/>
        <stp>##V3_BDPV12</stp>
        <stp>kc1 Comdty</stp>
        <stp>CHG_PCT_1M</stp>
        <stp>[Index.xlsm]主要產業!R51C49</stp>
        <tr r="AW51" s="2"/>
      </tp>
      <tp>
        <v>-10.942528735632184</v>
        <stp/>
        <stp>##V3_BDPV12</stp>
        <stp>W 1 Comdty</stp>
        <stp>CHG_PCT_3M</stp>
        <stp>[Index.xlsm]主要產業!R55C50</stp>
        <tr r="AX55" s="2"/>
      </tp>
      <tp>
        <v>-0.64299692479731618</v>
        <stp/>
        <stp>##V3_BDPV12</stp>
        <stp>S 1 Comdty</stp>
        <stp>CHG_PCT_3M</stp>
        <stp>[Index.xlsm]主要產業!R54C50</stp>
        <tr r="AX54" s="2"/>
      </tp>
      <tp>
        <v>-3.3250207813798718</v>
        <stp/>
        <stp>##V3_BDPV12</stp>
        <stp>SB1 Comdty</stp>
        <stp>CHG_PCT_3M</stp>
        <stp>[Index.xlsm]主要產業!R50C50</stp>
        <tr r="AX50" s="2"/>
      </tp>
      <tp>
        <v>-5.1993942453306357</v>
        <stp/>
        <stp>##V3_BDPV12</stp>
        <stp>CL1 Comdty</stp>
        <stp>CHG_PCT_3M</stp>
        <stp>[Index.xlsm]主要產業!R38C50</stp>
        <tr r="AX38" s="2"/>
      </tp>
      <tp>
        <v>-5.6399458565197671</v>
        <stp/>
        <stp>##V3_BDPV12</stp>
        <stp>CO1 Comdty</stp>
        <stp>CHG_PCT_3M</stp>
        <stp>[Index.xlsm]主要產業!R39C50</stp>
        <tr r="AX39" s="2"/>
      </tp>
      <tp>
        <v>6.5155807365439093</v>
        <stp/>
        <stp>##V3_BDPV12</stp>
        <stp>GC1 Comdty</stp>
        <stp>CHG_PCT_3M</stp>
        <stp>[Index.xlsm]主要產業!R43C50</stp>
        <tr r="AX43" s="2"/>
      </tp>
      <tp>
        <v>-15.961646926113932</v>
        <stp/>
        <stp>##V3_BDPV12</stp>
        <stp>C 1 Comdty</stp>
        <stp>CHG_PCT_3M</stp>
        <stp>[Index.xlsm]主要產業!R53C50</stp>
        <tr r="AX53" s="2"/>
      </tp>
      <tp>
        <v>14.668963819837563</v>
        <stp/>
        <stp>##V3_BDPV12</stp>
        <stp>PL1 comdty</stp>
        <stp>CHG_PCT_3M</stp>
        <stp>[Index.xlsm]主要產業!R44C50</stp>
        <tr r="AX44" s="2"/>
      </tp>
      <tp>
        <v>17.658664912857617</v>
        <stp/>
        <stp>##V3_BDPV12</stp>
        <stp>SI1 comdty</stp>
        <stp>CHG_PCT_3M</stp>
        <stp>[Index.xlsm]主要產業!R45C50</stp>
        <tr r="AX45" s="2"/>
      </tp>
      <tp>
        <v>-3.8608198284080046</v>
        <stp/>
        <stp>##V3_BDPV12</stp>
        <stp>kc1 Comdty</stp>
        <stp>CHG_PCT_3M</stp>
        <stp>[Index.xlsm]主要產業!R51C50</stp>
        <tr r="AX51" s="2"/>
      </tp>
      <tp>
        <v>-6.7569696015120471</v>
        <stp/>
        <stp>##V3_BDPV12</stp>
        <stp>ct1 Comdty</stp>
        <stp>CHG_PCT_3M</stp>
        <stp>[Index.xlsm]主要產業!R52C50</stp>
        <tr r="AX52" s="2"/>
      </tp>
      <tp>
        <v>251.1</v>
        <stp/>
        <stp>##V3_BDPV12</stp>
        <stp>OR FP Equity</stp>
        <stp>PX_LAST</stp>
        <stp>[Index.xlsm]主要產業!R39C24</stp>
        <tr r="X39" s="2"/>
      </tp>
      <tp>
        <v>33437033067795</v>
        <stp/>
        <stp>##V3_BDPV12</stp>
        <stp>TPNBNK Index</stp>
        <stp>RR902</stp>
        <stp>[Index.xlsm]主要產業!R41C20</stp>
        <tr r="T41" s="2"/>
      </tp>
      <tp>
        <v>2955.68</v>
        <stp/>
        <stp>##V3_BDPV12</stp>
        <stp>STI INDEX</stp>
        <stp>LOW_52WEEK</stp>
        <stp>[Index.xlsm]主要產業!R29C46</stp>
        <tr r="AT29" s="2"/>
      </tp>
      <tp>
        <v>219.75</v>
        <stp/>
        <stp>##V3_BDPV12</stp>
        <stp>MMM US Equity</stp>
        <stp>HIGH_52WEEK</stp>
        <stp>[Index.xlsm]主要產業!R27C26</stp>
        <tr r="Z27" s="2"/>
      </tp>
      <tp>
        <v>154.36000000000001</v>
        <stp/>
        <stp>##V3_BDPV12</stp>
        <stp>IBM US Equity</stp>
        <stp>HIGH_52WEEK</stp>
        <stp>[Index.xlsm]主要產業!R20C26</stp>
        <tr r="Z20" s="2"/>
      </tp>
      <tp>
        <v>44.84</v>
        <stp/>
        <stp>##V3_BDPV12</stp>
        <stp>EEM US Equity</stp>
        <stp>HIGH_52WEEK</stp>
        <stp>[Index.xlsm]主要產業!R89C44</stp>
        <tr r="AR89" s="2"/>
      </tp>
      <tp>
        <v>1247634447283.26</v>
        <stp/>
        <stp>##V3_BDPV12</stp>
        <stp>TWSEOTHR Index</stp>
        <stp>RR902</stp>
        <stp>[Index.xlsm]主要產業!R77C20</stp>
        <tr r="T77" s="2"/>
      </tp>
      <tp>
        <v>-0.4641942</v>
        <stp/>
        <stp>##V3_BDPV12</stp>
        <stp>TWSERUB Index</stp>
        <stp>CHG_PCT_1YR</stp>
        <stp>[Index.xlsm]主要產業!R89C15</stp>
        <tr r="O89" s="2"/>
      </tp>
      <tp>
        <v>409014606465429</v>
        <stp/>
        <stp>##V3_BDPV12</stp>
        <stp>KOSPELEC Index</stp>
        <stp>RR902</stp>
        <stp>[Index.xlsm]主要產業!R43C20</stp>
        <tr r="T43" s="2"/>
      </tp>
      <tp>
        <v>607252324552.34998</v>
        <stp/>
        <stp>##V3_BDPV12</stp>
        <stp>TWSESTEE Index</stp>
        <stp>RR902</stp>
        <stp>[Index.xlsm]主要產業!R81C20</stp>
        <tr r="T81" s="2"/>
      </tp>
      <tp>
        <v>40312.0703125</v>
        <stp/>
        <stp>##V3_BDPV12</stp>
        <stp>SENSEX INDEX</stp>
        <stp>HIGH_52WEEK</stp>
        <stp>[Index.xlsm]主要產業!R26C44</stp>
        <tr r="AR26" s="2"/>
      </tp>
      <tp>
        <v>1639804464143.52</v>
        <stp/>
        <stp>##V3_BDPV12</stp>
        <stp>TWSEECI Index</stp>
        <stp>RR902</stp>
        <stp>[Index.xlsm]主要產業!R74C20</stp>
        <tr r="T74" s="2"/>
      </tp>
      <tp>
        <v>102285600141.099</v>
        <stp/>
        <stp>##V3_BDPV12</stp>
        <stp>TWSEEAW Index</stp>
        <stp>RR902</stp>
        <stp>[Index.xlsm]主要產業!R94C20</stp>
        <tr r="T94" s="2"/>
      </tp>
      <tp>
        <v>208.22</v>
        <stp/>
        <stp>##V3_BDPV12</stp>
        <stp>GS US Equity</stp>
        <stp>PX_LAST</stp>
        <stp>[Index.xlsm]主要產業!R30C24</stp>
        <tr r="X30" s="2"/>
      </tp>
      <tp>
        <v>42.62</v>
        <stp/>
        <stp>##V3_BDPV12</stp>
        <stp>MS US Equity</stp>
        <stp>PX_LAST</stp>
        <stp>[Index.xlsm]主要產業!R32C24</stp>
        <tr r="X32" s="2"/>
      </tp>
      <tp>
        <v>23.055</v>
        <stp/>
        <stp>##V3_BDPV12</stp>
        <stp>CS FP Equity</stp>
        <stp>PX_LAST</stp>
        <stp>[Index.xlsm]主要產業!R41C24</stp>
        <tr r="X41" s="2"/>
      </tp>
      <tp>
        <v>250101565787.647</v>
        <stp/>
        <stp>##V3_BDPV12</stp>
        <stp>TWSEEPD Index</stp>
        <stp>RR902</stp>
        <stp>[Index.xlsm]主要產業!R91C20</stp>
        <tr r="T91" s="2"/>
      </tp>
      <tp>
        <v>42768823792583.195</v>
        <stp/>
        <stp>##V3_BDPV12</stp>
        <stp>TPNCHM Index</stp>
        <stp>RR902</stp>
        <stp>[Index.xlsm]主要產業!R40C20</stp>
        <tr r="T40" s="2"/>
      </tp>
      <tp>
        <v>2294</v>
        <stp/>
        <stp>##V3_BDPV12</stp>
        <stp>AAL LN Equity</stp>
        <stp>HIGH_52WEEK</stp>
        <stp>[Index.xlsm]主要產業!R53C26</stp>
        <tr r="Z53" s="2"/>
      </tp>
      <tp>
        <v>3238.44</v>
        <stp/>
        <stp>##V3_BDPV12</stp>
        <stp>BVLX INDEX</stp>
        <stp>HIGH_52WEEK</stp>
        <stp>[Index.xlsm]主要產業!R12C44</stp>
        <tr r="AR12" s="2"/>
      </tp>
      <tp>
        <v>9587.6</v>
        <stp/>
        <stp>##V3_BDPV12</stp>
        <stp>IBEX INDEX</stp>
        <stp>HIGH_52WEEK</stp>
        <stp>[Index.xlsm]主要產業!R13C44</stp>
        <tr r="AR13" s="2"/>
      </tp>
      <tp>
        <v>-12.73114</v>
        <stp/>
        <stp>##V3_BDPV12</stp>
        <stp>HSCIMT Index</stp>
        <stp>PR064</stp>
        <stp>[Index.xlsm]主要產業!R64C14</stp>
        <tr r="N64" s="2"/>
      </tp>
      <tp>
        <v>-10.81368</v>
        <stp/>
        <stp>##V3_BDPV12</stp>
        <stp>TWSEOEG Index</stp>
        <stp>PR064</stp>
        <stp>[Index.xlsm]主要產業!R79C14</stp>
        <tr r="N79" s="2"/>
      </tp>
      <tp>
        <v>-1.3618619999999999</v>
        <stp/>
        <stp>##V3_BDPV12</stp>
        <stp>TWSEOEI Index</stp>
        <stp>PR064</stp>
        <stp>[Index.xlsm]主要產業!R75C14</stp>
        <tr r="N75" s="2"/>
      </tp>
      <tp>
        <v>0.69842210000000005</v>
        <stp/>
        <stp>##V3_BDPV12</stp>
        <stp>HSCIIN Index</stp>
        <stp>PR064</stp>
        <stp>[Index.xlsm]主要產業!R62C14</stp>
        <tr r="N62" s="2"/>
      </tp>
      <tp>
        <v>-3.5071249999999998</v>
        <stp/>
        <stp>##V3_BDPV12</stp>
        <stp>HSCIIT Index</stp>
        <stp>PR064</stp>
        <stp>[Index.xlsm]主要產業!R63C14</stp>
        <tr r="N63" s="2"/>
      </tp>
      <tp>
        <v>-9.3569099999999992</v>
        <stp/>
        <stp>##V3_BDPV12</stp>
        <stp>HSCIFN Index</stp>
        <stp>PR064</stp>
        <stp>[Index.xlsm]主要產業!R61C14</stp>
        <tr r="N61" s="2"/>
      </tp>
      <tp>
        <v>-8.4547279999999994</v>
        <stp/>
        <stp>##V3_BDPV12</stp>
        <stp>HSCIEN Index</stp>
        <stp>PR064</stp>
        <stp>[Index.xlsm]主要產業!R60C14</stp>
        <tr r="N60" s="2"/>
      </tp>
      <tp>
        <v>47.38</v>
        <stp/>
        <stp>##V3_BDPV12</stp>
        <stp>FP FP Equity</stp>
        <stp>PX_LAST</stp>
        <stp>[Index.xlsm]主要產業!R36C24</stp>
        <tr r="X36" s="2"/>
      </tp>
      <tp>
        <v>-14.09507</v>
        <stp/>
        <stp>##V3_BDPV12</stp>
        <stp>HSCICO Index</stp>
        <stp>PR064</stp>
        <stp>[Index.xlsm]主要產業!R59C14</stp>
        <tr r="N59" s="2"/>
      </tp>
      <tp>
        <v>2.683306</v>
        <stp/>
        <stp>##V3_BDPV12</stp>
        <stp>HSCICG Index</stp>
        <stp>PR064</stp>
        <stp>[Index.xlsm]主要產業!R58C14</stp>
        <tr r="N58" s="2"/>
      </tp>
      <tp>
        <v>5.7118950000000002</v>
        <stp/>
        <stp>##V3_BDPV12</stp>
        <stp>TWSEOPE Index</stp>
        <stp>PR064</stp>
        <stp>[Index.xlsm]主要產業!R78C14</stp>
        <tr r="N78" s="2"/>
      </tp>
      <tp>
        <v>-9.2379990000000003</v>
        <stp/>
        <stp>##V3_BDPV12</stp>
        <stp>HSCITC Index</stp>
        <stp>PR064</stp>
        <stp>[Index.xlsm]主要產業!R67C14</stp>
        <tr r="N67" s="2"/>
      </tp>
      <tp>
        <v>-6.8357060000000001</v>
        <stp/>
        <stp>##V3_BDPV12</stp>
        <stp>HSCIUT Index</stp>
        <stp>PR064</stp>
        <stp>[Index.xlsm]主要產業!R68C14</stp>
        <tr r="N68" s="2"/>
      </tp>
      <tp>
        <v>-2.3696060000000001</v>
        <stp/>
        <stp>##V3_BDPV12</stp>
        <stp>HSCISV Index</stp>
        <stp>PR064</stp>
        <stp>[Index.xlsm]主要產業!R66C14</stp>
        <tr r="N66" s="2"/>
      </tp>
      <tp>
        <v>-12.244149999999999</v>
        <stp/>
        <stp>##V3_BDPV12</stp>
        <stp>HSCIPC Index</stp>
        <stp>PR064</stp>
        <stp>[Index.xlsm]主要產業!R65C14</stp>
        <tr r="N65" s="2"/>
      </tp>
      <tp>
        <v>4977.3429999999998</v>
        <stp/>
        <stp>##V3_BDPV12</stp>
        <stp>RIO LN Equity</stp>
        <stp>HIGH_52WEEK</stp>
        <stp>[Index.xlsm]主要產業!R50C26</stp>
        <tr r="Z50" s="2"/>
      </tp>
      <tp>
        <v>31.25315093794174</v>
        <stp/>
        <stp>##V3_BDPV12</stp>
        <stp>TWSEPLAS Index</stp>
        <stp>INTERVAL_HIGH</stp>
        <stp>[Index.xlsm]主要產業!R73C16</stp>
        <stp>MARKET_DATA_OVERRIDE=PE_RATIO</stp>
        <stp>CALC_INTERVAL=5y</stp>
        <stp>BEST_FPERIOD_OVERRIDE=BF</stp>
        <tr r="P73" s="2"/>
      </tp>
      <tp>
        <v>18.075830977271867</v>
        <stp/>
        <stp>##V3_BDPV12</stp>
        <stp>TWSEELEC Index</stp>
        <stp>INTERVAL_HIGH</stp>
        <stp>[Index.xlsm]主要產業!R69C16</stp>
        <stp>MARKET_DATA_OVERRIDE=PE_RATIO</stp>
        <stp>CALC_INTERVAL=5y</stp>
        <stp>BEST_FPERIOD_OVERRIDE=BF</stp>
        <tr r="P69" s="2"/>
      </tp>
      <tp>
        <v>69.11</v>
        <stp/>
        <stp>##V3_BDPV12</stp>
        <stp>C US Equity</stp>
        <stp>PX_LAST</stp>
        <stp>[Index.xlsm]主要產業!R19C24</stp>
        <tr r="X19" s="2"/>
      </tp>
      <tp>
        <v>5696.25</v>
        <stp/>
        <stp>##V3_BDPV12</stp>
        <stp>CAC INDEX</stp>
        <stp>HIGH_52WEEK</stp>
        <stp>[Index.xlsm]主要產業!R11C44</stp>
        <tr r="AR11" s="2"/>
      </tp>
      <tp>
        <v>-4.364655</v>
        <stp/>
        <stp>##V3_BDPV12</stp>
        <stp>TWSEMACH Index</stp>
        <stp>CHG_PCT_1YR</stp>
        <stp>[Index.xlsm]主要產業!R87C15</stp>
        <tr r="O87" s="2"/>
      </tp>
      <tp>
        <v>7.4371560315335417E-3</v>
        <stp/>
        <stp>##V3_BDPV12</stp>
        <stp>dm1 Index</stp>
        <stp>CHG_PCT_1D</stp>
        <stp>[Index.xlsm]主要產業!R91C43</stp>
        <tr r="AQ91" s="2"/>
      </tp>
      <tp>
        <v>-4.0476700000000001</v>
        <stp/>
        <stp>##V3_BDPV12</stp>
        <stp>s5phrm index</stp>
        <stp>PR064</stp>
        <stp>[Index.xlsm]主要產業!R10C14</stp>
        <tr r="N10" s="2"/>
      </tp>
      <tp>
        <v>44968068417.421394</v>
        <stp/>
        <stp>##V3_BDPV12</stp>
        <stp>TWSEGLP Index</stp>
        <stp>RR902</stp>
        <stp>[Index.xlsm]主要產業!R97C20</stp>
        <tr r="T97" s="2"/>
      </tp>
      <tp>
        <v>178.47</v>
        <stp/>
        <stp>##V3_BDPV12</stp>
        <stp>HON US Equity</stp>
        <stp>HIGH_52WEEK</stp>
        <stp>[Index.xlsm]主要產業!R21C26</stp>
        <tr r="Z21" s="2"/>
      </tp>
      <tp>
        <v>198.61</v>
        <stp/>
        <stp>##V3_BDPV12</stp>
        <stp>AON US Equity</stp>
        <stp>HIGH_52WEEK</stp>
        <stp>[Index.xlsm]主要產業!R51C26</stp>
        <tr r="Z51" s="2"/>
      </tp>
      <tp>
        <v>85.9</v>
        <stp/>
        <stp>##V3_BDPV12</stp>
        <stp>SAN FP Equity</stp>
        <stp>HIGH_52WEEK</stp>
        <stp>[Index.xlsm]主要產業!R38C26</stp>
        <tr r="Z38" s="2"/>
      </tp>
      <tp>
        <v>7583</v>
        <stp/>
        <stp>##V3_BDPV12</stp>
        <stp>AZN LN Equity</stp>
        <stp>HIGH_52WEEK</stp>
        <stp>[Index.xlsm]主要產業!R46C26</stp>
        <tr r="Z46" s="2"/>
      </tp>
      <tp>
        <v>130.91999999999999</v>
        <stp/>
        <stp>##V3_BDPV12</stp>
        <stp>TXN US Equity</stp>
        <stp>HIGH_52WEEK</stp>
        <stp>[Index.xlsm]主要產業!R22C26</stp>
        <tr r="Z22" s="2"/>
      </tp>
      <tp>
        <v>4.6820000000000004</v>
        <stp/>
        <stp>##V3_BDPV12</stp>
        <stp>SAN SM Equity</stp>
        <stp>HIGH_52WEEK</stp>
        <stp>[Index.xlsm]主要產業!R64C26</stp>
        <tr r="Z64" s="2"/>
      </tp>
      <tp>
        <v>106650.1015625</v>
        <stp/>
        <stp>##V3_BDPV12</stp>
        <stp>IBOV INDEX</stp>
        <stp>HIGH_52WEEK</stp>
        <stp>[Index.xlsm]主要產業!R32C44</stp>
        <tr r="AR32" s="2"/>
      </tp>
      <tp>
        <v>-5.8951589999999996</v>
        <stp/>
        <stp>##V3_BDPV12</stp>
        <stp>KOSPCHEM Index</stp>
        <stp>PR064</stp>
        <stp>[Index.xlsm]主要產業!R45C14</stp>
        <tr r="N45" s="2"/>
      </tp>
      <tp>
        <v>-15.961646926113932</v>
        <stp/>
        <stp>##V3_BDPV12</stp>
        <stp>C 1 Comdty</stp>
        <stp>PR064</stp>
        <stp>[Index.xlsm]主要產業!R53C52</stp>
        <tr r="AZ53" s="2"/>
      </tp>
      <tp>
        <v>-0.64299692479731618</v>
        <stp/>
        <stp>##V3_BDPV12</stp>
        <stp>S 1 Comdty</stp>
        <stp>PR064</stp>
        <stp>[Index.xlsm]主要產業!R54C52</stp>
        <tr r="AZ54" s="2"/>
      </tp>
      <tp>
        <v>-10.942528735632184</v>
        <stp/>
        <stp>##V3_BDPV12</stp>
        <stp>W 1 Comdty</stp>
        <stp>PR064</stp>
        <stp>[Index.xlsm]主要產業!R55C52</stp>
        <tr r="AZ55" s="2"/>
      </tp>
      <tp>
        <v>2356.62</v>
        <stp/>
        <stp>##V3_BDPV12</stp>
        <stp>kospi INDEX</stp>
        <stp>HIGH_52WEEK</stp>
        <stp>[Index.xlsm]主要產業!R18C44</stp>
        <tr r="AR18" s="2"/>
      </tp>
      <tp>
        <v>33.46374097222381</v>
        <stp/>
        <stp>##V3_BDPV12</stp>
        <stp>TWSERUB Index</stp>
        <stp>INTERVAL_HIGH</stp>
        <stp>[Index.xlsm]主要產業!R89C16</stp>
        <stp>MARKET_DATA_OVERRIDE=PE_RATIO</stp>
        <stp>CALC_INTERVAL=5y</stp>
        <stp>BEST_FPERIOD_OVERRIDE=BF</stp>
        <tr r="P89" s="2"/>
      </tp>
      <tp>
        <v>57.77</v>
        <stp/>
        <stp>##V3_BDPV12</stp>
        <stp>UNA NA Equity</stp>
        <stp>HIGH_52WEEK</stp>
        <stp>[Index.xlsm]主要產業!R49C26</stp>
        <tr r="Z49" s="2"/>
      </tp>
      <tp>
        <v>15.25</v>
        <stp/>
        <stp>##V3_BDPV12</stp>
        <stp>ORA FP Equity</stp>
        <stp>HIGH_52WEEK</stp>
        <stp>[Index.xlsm]主要產業!R42C26</stp>
        <tr r="Z42" s="2"/>
      </tp>
      <tp>
        <v>46.465679999999999</v>
        <stp/>
        <stp>##V3_BDPV12</stp>
        <stp>SH000912 Index</stp>
        <stp>CHG_PCT_1YR</stp>
        <stp>[Index.xlsm]主要產業!R50C15</stp>
        <tr r="O50" s="2"/>
      </tp>
      <tp>
        <v>3.075E-2</v>
        <stp/>
        <stp>##V3_BDPV12</stp>
        <stp>US0001W Index</stp>
        <stp>CHG_NET_1D</stp>
        <stp>[Index.xlsm]主要產業!R63C43</stp>
        <tr r="AQ63" s="2"/>
      </tp>
      <tp>
        <v>-8.7685099999999991</v>
        <stp/>
        <stp>##V3_BDPV12</stp>
        <stp>US0001W Index</stp>
        <stp>CHG_PCT_1M</stp>
        <stp>[Index.xlsm]主要產業!R63C49</stp>
        <tr r="AW63" s="2"/>
      </tp>
      <tp>
        <v>-17.913779999999999</v>
        <stp/>
        <stp>##V3_BDPV12</stp>
        <stp>US0001W Index</stp>
        <stp>CHG_PCT_3M</stp>
        <stp>[Index.xlsm]主要產業!R63C50</stp>
        <tr r="AX63" s="2"/>
      </tp>
      <tp>
        <v>-1.40533</v>
        <stp/>
        <stp>##V3_BDPV12</stp>
        <stp>US0001W Index</stp>
        <stp>CHG_PCT_5D</stp>
        <stp>[Index.xlsm]主要產業!R63C48</stp>
        <tr r="AV63" s="2"/>
      </tp>
      <tp>
        <v>-19.296299999999999</v>
        <stp/>
        <stp>##V3_BDPV12</stp>
        <stp>US0001W Index</stp>
        <stp>CHG_PCT_6M</stp>
        <stp>[Index.xlsm]主要產業!R63C51</stp>
        <tr r="AY63" s="2"/>
      </tp>
      <tp>
        <v>18.383979457747369</v>
        <stp/>
        <stp>##V3_BDPV12</stp>
        <stp>601318 CG Equity</stp>
        <stp>INTERVAL_HIGH</stp>
        <stp>[Index.xlsm]主要產業!R88C36</stp>
        <stp>MARKET_DATA_OVERRIDE=PE_RATIO</stp>
        <stp>CALC_INTERVAL=5y</stp>
        <stp>BEST_FPERIOD_OVERRIDE=BF</stp>
        <tr r="AJ88" s="2"/>
      </tp>
      <tp>
        <v>-18.182379999999998</v>
        <stp/>
        <stp>##V3_BDPV12</stp>
        <stp>KOSPFIN Index</stp>
        <stp>CHG_PCT_1YR</stp>
        <stp>[Index.xlsm]主要產業!R44C15</stp>
        <tr r="O44" s="2"/>
      </tp>
      <tp>
        <v>5.1881000000000004</v>
        <stp/>
        <stp>##V3_BDPV12</stp>
        <stp>TWSECON Index</stp>
        <stp>CHG_PCT_1YR</stp>
        <stp>[Index.xlsm]主要產業!R86C15</stp>
        <tr r="O86" s="2"/>
      </tp>
      <tp>
        <v>23.031600000000001</v>
        <stp/>
        <stp>##V3_BDPV12</stp>
        <stp>s5rlst Index</stp>
        <stp>CHG_PCT_1YR</stp>
        <stp>[Index.xlsm]主要產業!R15C15</stp>
        <tr r="O15" s="2"/>
      </tp>
      <tp>
        <v>21.352002041677327</v>
        <stp/>
        <stp>##V3_BDPV12</stp>
        <stp>TWSESCI Index</stp>
        <stp>INTERVAL_HIGH</stp>
        <stp>[Index.xlsm]主要產業!R70C16</stp>
        <stp>MARKET_DATA_OVERRIDE=PE_RATIO</stp>
        <stp>CALC_INTERVAL=5y</stp>
        <stp>BEST_FPERIOD_OVERRIDE=BF</stp>
        <tr r="P70" s="2"/>
      </tp>
      <tp>
        <v>69871862195.224991</v>
        <stp/>
        <stp>##V3_BDPV12</stp>
        <stp>TWSEISI Index</stp>
        <stp>RR902</stp>
        <stp>[Index.xlsm]主要產業!R96C20</stp>
        <tr r="T96" s="2"/>
      </tp>
      <tp>
        <v>72114527632174</v>
        <stp/>
        <stp>##V3_BDPV12</stp>
        <stp>TPCOMM Index</stp>
        <stp>RR902</stp>
        <stp>[Index.xlsm]主要產業!R38C20</stp>
        <tr r="T38" s="2"/>
      </tp>
      <tp>
        <v>1.538044</v>
        <stp/>
        <stp>##V3_BDPV12</stp>
        <stp>SH000913 Index</stp>
        <stp>CHG_PCT_1YR</stp>
        <stp>[Index.xlsm]主要產業!R55C15</stp>
        <tr r="O55" s="2"/>
      </tp>
      <tp>
        <v>-3.3268040000000001</v>
        <stp/>
        <stp>##V3_BDPV12</stp>
        <stp>JCI INDEX</stp>
        <stp>CHG_PCT_6M</stp>
        <stp>[Index.xlsm]主要產業!R30C51</stp>
        <tr r="AY30" s="2"/>
      </tp>
      <tp>
        <v>-0.22637969999999999</v>
        <stp/>
        <stp>##V3_BDPV12</stp>
        <stp>JCI INDEX</stp>
        <stp>CHG_PCT_5D</stp>
        <stp>[Index.xlsm]主要產業!R30C48</stp>
        <tr r="AV30" s="2"/>
      </tp>
      <tp>
        <v>-1.9263589999999999</v>
        <stp/>
        <stp>##V3_BDPV12</stp>
        <stp>JCI INDEX</stp>
        <stp>CHG_PCT_3M</stp>
        <stp>[Index.xlsm]主要產業!R30C50</stp>
        <tr r="AX30" s="2"/>
      </tp>
      <tp>
        <v>1.3655139999999999</v>
        <stp/>
        <stp>##V3_BDPV12</stp>
        <stp>JCI INDEX</stp>
        <stp>CHG_PCT_1D</stp>
        <stp>[Index.xlsm]主要產業!R30C43</stp>
        <tr r="AQ30" s="2"/>
      </tp>
      <tp>
        <v>-0.76195619999999997</v>
        <stp/>
        <stp>##V3_BDPV12</stp>
        <stp>JCI INDEX</stp>
        <stp>CHG_PCT_1M</stp>
        <stp>[Index.xlsm]主要產業!R30C49</stp>
        <tr r="AW30" s="2"/>
      </tp>
      <tp>
        <v>36.387525932818207</v>
        <stp/>
        <stp>##V3_BDPV12</stp>
        <stp>TWSEMACH Index</stp>
        <stp>INTERVAL_HIGH</stp>
        <stp>[Index.xlsm]主要產業!R87C16</stp>
        <stp>MARKET_DATA_OVERRIDE=PE_RATIO</stp>
        <stp>CALC_INTERVAL=5y</stp>
        <stp>BEST_FPERIOD_OVERRIDE=BF</stp>
        <tr r="P87" s="2"/>
      </tp>
      <tp>
        <v>-13.4504</v>
        <stp/>
        <stp>##V3_BDPV12</stp>
        <stp>TWSESTEE Index</stp>
        <stp>CHG_PCT_1YR</stp>
        <stp>[Index.xlsm]主要產業!R81C15</stp>
        <tr r="O81" s="2"/>
      </tp>
      <tp>
        <v>41.85208932261154</v>
        <stp/>
        <stp>##V3_BDPV12</stp>
        <stp>600030 CG Equity</stp>
        <stp>INTERVAL_HIGH</stp>
        <stp>[Index.xlsm]主要產業!R94C36</stp>
        <stp>MARKET_DATA_OVERRIDE=PE_RATIO</stp>
        <stp>CALC_INTERVAL=5y</stp>
        <stp>BEST_FPERIOD_OVERRIDE=BF</stp>
        <tr r="AJ94" s="2"/>
      </tp>
      <tp>
        <v>11.817119562972172</v>
        <stp/>
        <stp>##V3_BDPV12</stp>
        <stp>600036 CG Equity</stp>
        <stp>INTERVAL_HIGH</stp>
        <stp>[Index.xlsm]主要產業!R90C36</stp>
        <stp>MARKET_DATA_OVERRIDE=PE_RATIO</stp>
        <stp>CALC_INTERVAL=5y</stp>
        <stp>BEST_FPERIOD_OVERRIDE=BF</stp>
        <tr r="AJ90" s="2"/>
      </tp>
      <tp>
        <v>7.4761300232089942</v>
        <stp/>
        <stp>##V3_BDPV12</stp>
        <stp>600016 CG Equity</stp>
        <stp>INTERVAL_HIGH</stp>
        <stp>[Index.xlsm]主要產業!R97C36</stp>
        <stp>MARKET_DATA_OVERRIDE=PE_RATIO</stp>
        <stp>CALC_INTERVAL=5y</stp>
        <stp>BEST_FPERIOD_OVERRIDE=BF</stp>
        <tr r="AJ97" s="2"/>
      </tp>
      <tp>
        <v>7.4524533897791336</v>
        <stp/>
        <stp>##V3_BDPV12</stp>
        <stp>600000 CG Equity</stp>
        <stp>INTERVAL_HIGH</stp>
        <stp>[Index.xlsm]主要產業!R96C36</stp>
        <stp>MARKET_DATA_OVERRIDE=PE_RATIO</stp>
        <stp>CALC_INTERVAL=5y</stp>
        <stp>BEST_FPERIOD_OVERRIDE=BF</stp>
        <tr r="AJ96" s="2"/>
      </tp>
      <tp>
        <v>8419.58984375</v>
        <stp/>
        <stp>##V3_BDPV12</stp>
        <stp>PCOMP INDEX</stp>
        <stp>HIGH_52WEEK</stp>
        <stp>[Index.xlsm]主要產業!R31C44</stp>
        <tr r="AR31" s="2"/>
      </tp>
      <tp>
        <v>6.8258669999999997</v>
        <stp/>
        <stp>##V3_BDPV12</stp>
        <stp>TWSECEM Index</stp>
        <stp>CHG_PCT_1YR</stp>
        <stp>[Index.xlsm]主要產業!R88C15</stp>
        <tr r="O88" s="2"/>
      </tp>
      <tp>
        <v>-6.9336380000000002</v>
        <stp/>
        <stp>##V3_BDPV12</stp>
        <stp>TWSETRAN Index</stp>
        <stp>PR064</stp>
        <stp>[Index.xlsm]主要產業!R82C14</stp>
        <tr r="N82" s="2"/>
      </tp>
      <tp>
        <v>14.977686169053737</v>
        <stp/>
        <stp>##V3_BDPV12</stp>
        <stp>000002 CS Equity</stp>
        <stp>INTERVAL_HIGH</stp>
        <stp>[Index.xlsm]主要產業!R95C36</stp>
        <stp>MARKET_DATA_OVERRIDE=PE_RATIO</stp>
        <stp>CALC_INTERVAL=5y</stp>
        <stp>BEST_FPERIOD_OVERRIDE=BF</stp>
        <tr r="AJ95" s="2"/>
      </tp>
      <tp>
        <v>-3.7813789999999998</v>
        <stp/>
        <stp>##V3_BDPV12</stp>
        <stp>TWSEPP Index</stp>
        <stp>PR064</stp>
        <stp>[Index.xlsm]主要產業!R95C14</stp>
        <tr r="N95" s="2"/>
      </tp>
      <tp>
        <v>-8.0046549999999996</v>
        <stp/>
        <stp>##V3_BDPV12</stp>
        <stp>TWSECEM Index</stp>
        <stp>PR064</stp>
        <stp>[Index.xlsm]主要產業!R88C14</stp>
        <tr r="N88" s="2"/>
      </tp>
      <tp>
        <v>-2.5417879999999999</v>
        <stp/>
        <stp>##V3_BDPV12</stp>
        <stp>TWSECII Index</stp>
        <stp>PR064</stp>
        <stp>[Index.xlsm]主要產業!R72C14</stp>
        <tr r="N72" s="2"/>
      </tp>
      <tp>
        <v>-5.1963590000000002</v>
        <stp/>
        <stp>##V3_BDPV12</stp>
        <stp>TWSECHI Index</stp>
        <stp>PR064</stp>
        <stp>[Index.xlsm]主要產業!R90C14</stp>
        <tr r="N90" s="2"/>
      </tp>
      <tp>
        <v>-4.7383410000000001</v>
        <stp/>
        <stp>##V3_BDPV12</stp>
        <stp>TWSECON Index</stp>
        <stp>PR064</stp>
        <stp>[Index.xlsm]主要產業!R86C14</stp>
        <tr r="N86" s="2"/>
      </tp>
      <tp>
        <v>9272561759448</v>
        <stp/>
        <stp>##V3_BDPV12</stp>
        <stp>TPELEC Index</stp>
        <stp>RR902</stp>
        <stp>[Index.xlsm]主要產業!R42C20</stp>
        <tr r="T42" s="2"/>
      </tp>
      <tp>
        <v>0.48625699999999999</v>
        <stp/>
        <stp>##V3_BDPV12</stp>
        <stp>TWSECPE Index</stp>
        <stp>PR064</stp>
        <stp>[Index.xlsm]主要產業!R76C14</stp>
        <tr r="N76" s="2"/>
      </tp>
      <tp>
        <v>75519694955558.297</v>
        <stp/>
        <stp>##V3_BDPV12</stp>
        <stp>TPELMH Index</stp>
        <stp>RR902</stp>
        <stp>[Index.xlsm]主要產業!R37C20</stp>
        <tr r="T37" s="2"/>
      </tp>
      <tp>
        <v>5.6774800000000001</v>
        <stp/>
        <stp>##V3_BDPV12</stp>
        <stp>SH000910 Index</stp>
        <stp>CHG_PCT_1YR</stp>
        <stp>[Index.xlsm]主要產業!R49C15</stp>
        <tr r="O49" s="2"/>
      </tp>
      <tp>
        <v>11881.6796875</v>
        <stp/>
        <stp>##V3_BDPV12</stp>
        <stp>HSCEI INDEX</stp>
        <stp>HIGH_52WEEK</stp>
        <stp>[Index.xlsm]主要產業!R20C44</stp>
        <tr r="AR20" s="2"/>
      </tp>
      <tp>
        <v>4788.57</v>
        <stp/>
        <stp>##V3_BDPV12</stp>
        <stp>HSCCI INDEX</stp>
        <stp>HIGH_52WEEK</stp>
        <stp>[Index.xlsm]主要產業!R21C44</stp>
        <tr r="AR21" s="2"/>
      </tp>
      <tp>
        <v>6.9339805487872956</v>
        <stp/>
        <stp>##V3_BDPV12</stp>
        <stp>601166 CG Equity</stp>
        <stp>INTERVAL_HIGH</stp>
        <stp>[Index.xlsm]主要產業!R92C36</stp>
        <stp>MARKET_DATA_OVERRIDE=PE_RATIO</stp>
        <stp>CALC_INTERVAL=5y</stp>
        <stp>BEST_FPERIOD_OVERRIDE=BF</stp>
        <tr r="AJ92" s="2"/>
      </tp>
      <tp>
        <v>7.0548719999999996</v>
        <stp/>
        <stp>##V3_BDPV12</stp>
        <stp>s5sseqx Index</stp>
        <stp>PR064</stp>
        <stp>[Index.xlsm]主要產業!R13C14</stp>
        <tr r="N13" s="2"/>
      </tp>
      <tp>
        <v>3.5371269999999999</v>
        <stp/>
        <stp>##V3_BDPV12</stp>
        <stp>KOSPTREQ Index</stp>
        <stp>CHG_PCT_1YR</stp>
        <stp>[Index.xlsm]主要產業!R46C15</stp>
        <tr r="O46" s="2"/>
      </tp>
      <tp>
        <v>-0.6886911</v>
        <stp/>
        <stp>##V3_BDPV12</stp>
        <stp>TWSEFOOD Index</stp>
        <stp>CHG_PCT_1YR</stp>
        <stp>[Index.xlsm]主要產業!R80C15</stp>
        <tr r="O80" s="2"/>
      </tp>
      <tp>
        <v>-1.5899460000000001</v>
        <stp/>
        <stp>##V3_BDPV12</stp>
        <stp>TWSEBKI Index</stp>
        <stp>PR064</stp>
        <stp>[Index.xlsm]主要產業!R71C14</stp>
        <tr r="N71" s="2"/>
      </tp>
      <tp>
        <v>-1.1481650000000001</v>
        <stp/>
        <stp>##V3_BDPV12</stp>
        <stp>TWSEBMC Index</stp>
        <stp>PR064</stp>
        <stp>[Index.xlsm]主要產業!R92C14</stp>
        <tr r="N92" s="2"/>
      </tp>
      <tp>
        <v>9.2183609999999998</v>
        <stp/>
        <stp>##V3_BDPV12</stp>
        <stp>SH000911 Index</stp>
        <stp>CHG_PCT_1YR</stp>
        <stp>[Index.xlsm]主要產業!R51C15</stp>
        <tr r="O51" s="2"/>
      </tp>
      <tp>
        <v>-0.68050069999999996</v>
        <stp/>
        <stp>##V3_BDPV12</stp>
        <stp>CAC INDEX</stp>
        <stp>CHG_PCT_5D</stp>
        <stp>[Index.xlsm]主要產業!R11C48</stp>
        <tr r="AV11" s="2"/>
      </tp>
      <tp>
        <v>6.0236770000000002</v>
        <stp/>
        <stp>##V3_BDPV12</stp>
        <stp>CAC INDEX</stp>
        <stp>CHG_PCT_6M</stp>
        <stp>[Index.xlsm]主要產業!R11C51</stp>
        <tr r="AY11" s="2"/>
      </tp>
      <tp>
        <v>4.3340649999999998</v>
        <stp/>
        <stp>##V3_BDPV12</stp>
        <stp>CAC INDEX</stp>
        <stp>CHG_PCT_1M</stp>
        <stp>[Index.xlsm]主要產業!R11C49</stp>
        <tr r="AW11" s="2"/>
      </tp>
      <tp>
        <v>0.65851210000000004</v>
        <stp/>
        <stp>##V3_BDPV12</stp>
        <stp>CAC INDEX</stp>
        <stp>CHG_PCT_1D</stp>
        <stp>[Index.xlsm]主要產業!R11C43</stp>
        <tr r="AQ11" s="2"/>
      </tp>
      <tp>
        <v>2.311048</v>
        <stp/>
        <stp>##V3_BDPV12</stp>
        <stp>CAC INDEX</stp>
        <stp>CHG_PCT_3M</stp>
        <stp>[Index.xlsm]主要產業!R11C50</stp>
        <tr r="AX11" s="2"/>
      </tp>
      <tp>
        <v>-0.92187059999999998</v>
        <stp/>
        <stp>##V3_BDPV12</stp>
        <stp>TWSEOTHR Index</stp>
        <stp>PR064</stp>
        <stp>[Index.xlsm]主要產業!R77C14</stp>
        <tr r="N77" s="2"/>
      </tp>
      <tp>
        <v>14.768067398836882</v>
        <stp/>
        <stp>##V3_BDPV12</stp>
        <stp>000651 CS Equity</stp>
        <stp>INTERVAL_HIGH</stp>
        <stp>[Index.xlsm]主要產業!R91C36</stp>
        <stp>MARKET_DATA_OVERRIDE=PE_RATIO</stp>
        <stp>CALC_INTERVAL=5y</stp>
        <stp>BEST_FPERIOD_OVERRIDE=BF</stp>
        <tr r="AJ91" s="2"/>
      </tp>
      <tp>
        <v>10.294650000000001</v>
        <stp/>
        <stp>##V3_BDPV12</stp>
        <stp>EMUSTRUU Index</stp>
        <stp>CHG_PCT_1YR</stp>
        <stp>[Index.xlsm]主要產業!R35C53</stp>
        <tr r="BA35" s="2"/>
      </tp>
      <tp>
        <v>3.4130120000000002</v>
        <stp/>
        <stp>##V3_BDPV12</stp>
        <stp>TWSEELEC Index</stp>
        <stp>CHG_PCT_1YR</stp>
        <stp>[Index.xlsm]主要產業!R69C15</stp>
        <tr r="O69" s="2"/>
      </tp>
      <tp>
        <v>5.1531279999999997</v>
        <stp/>
        <stp>##V3_BDPV12</stp>
        <stp>KOSPELEC Index</stp>
        <stp>PR064</stp>
        <stp>[Index.xlsm]主要產業!R43C14</stp>
        <tr r="N43" s="2"/>
      </tp>
      <tp>
        <v>-8.0330929999999992</v>
        <stp/>
        <stp>##V3_BDPV12</stp>
        <stp>TWSESTEE Index</stp>
        <stp>PR064</stp>
        <stp>[Index.xlsm]主要產業!R81C14</stp>
        <tr r="N81" s="2"/>
      </tp>
      <tp>
        <v>-118.35299999999999</v>
        <stp/>
        <stp>##V3_BDPV12</stp>
        <stp>GECU30YR INDEX</stp>
        <stp>CHG_PCT_6M</stp>
        <stp>[Index.xlsm]主要產業!R61C51</stp>
        <tr r="AY61" s="2"/>
      </tp>
      <tp>
        <v>-3780</v>
        <stp/>
        <stp>##V3_BDPV12</stp>
        <stp>GECU10YR INDEX</stp>
        <stp>CHG_PCT_6M</stp>
        <stp>[Index.xlsm]主要產業!R60C51</stp>
        <tr r="AY60" s="2"/>
      </tp>
      <tp>
        <v>-991.66700000000003</v>
        <stp/>
        <stp>##V3_BDPV12</stp>
        <stp>GECU30YR INDEX</stp>
        <stp>CHG_PCT_5D</stp>
        <stp>[Index.xlsm]主要產業!R61C48</stp>
        <tr r="AV61" s="2"/>
      </tp>
      <tp>
        <v>-14.792999999999999</v>
        <stp/>
        <stp>##V3_BDPV12</stp>
        <stp>GECU10YR INDEX</stp>
        <stp>CHG_PCT_5D</stp>
        <stp>[Index.xlsm]主要產業!R60C48</stp>
        <tr r="AV60" s="2"/>
      </tp>
      <tp>
        <v>-139.33799999999999</v>
        <stp/>
        <stp>##V3_BDPV12</stp>
        <stp>GECU30YR INDEX</stp>
        <stp>CHG_PCT_3M</stp>
        <stp>[Index.xlsm]主要產業!R61C50</stp>
        <tr r="AX61" s="2"/>
      </tp>
      <tp>
        <v>-92.078999999999994</v>
        <stp/>
        <stp>##V3_BDPV12</stp>
        <stp>GECU10YR INDEX</stp>
        <stp>CHG_PCT_3M</stp>
        <stp>[Index.xlsm]主要產業!R60C50</stp>
        <tr r="AX60" s="2"/>
      </tp>
      <tp>
        <v>16.405999999999999</v>
        <stp/>
        <stp>##V3_BDPV12</stp>
        <stp>GECU30YR INDEX</stp>
        <stp>CHG_PCT_1M</stp>
        <stp>[Index.xlsm]主要產業!R61C49</stp>
        <tr r="AW61" s="2"/>
      </tp>
      <tp>
        <v>12.613</v>
        <stp/>
        <stp>##V3_BDPV12</stp>
        <stp>GECU10YR INDEX</stp>
        <stp>CHG_PCT_1M</stp>
        <stp>[Index.xlsm]主要產業!R60C49</stp>
        <tr r="AW60" s="2"/>
      </tp>
      <tp>
        <v>-1.4999999999999999E-2</v>
        <stp/>
        <stp>##V3_BDPV12</stp>
        <stp>GECU30YR INDEX</stp>
        <stp>CHG_NET_1D</stp>
        <stp>[Index.xlsm]主要產業!R61C43</stp>
        <tr r="AQ61" s="2"/>
      </tp>
      <tp>
        <v>-7.0000000000000001E-3</v>
        <stp/>
        <stp>##V3_BDPV12</stp>
        <stp>GECU10YR INDEX</stp>
        <stp>CHG_NET_1D</stp>
        <stp>[Index.xlsm]主要產業!R60C43</stp>
        <tr r="AQ60" s="2"/>
      </tp>
      <tp>
        <v>4.3762559999999997</v>
        <stp/>
        <stp>##V3_BDPV12</stp>
        <stp>TWSEECI Index</stp>
        <stp>PR064</stp>
        <stp>[Index.xlsm]主要產業!R74C14</stp>
        <tr r="N74" s="2"/>
      </tp>
      <tp>
        <v>-0.17364450000000001</v>
        <stp/>
        <stp>##V3_BDPV12</stp>
        <stp>TWSEEAW Index</stp>
        <stp>PR064</stp>
        <stp>[Index.xlsm]主要產業!R94C14</stp>
        <tr r="N94" s="2"/>
      </tp>
      <tp>
        <v>-2.5737139999999998</v>
        <stp/>
        <stp>##V3_BDPV12</stp>
        <stp>TWSEEPD Index</stp>
        <stp>PR064</stp>
        <stp>[Index.xlsm]主要產業!R91C14</stp>
        <tr r="N91" s="2"/>
      </tp>
      <tp>
        <v>3.0106250000000001</v>
        <stp/>
        <stp>##V3_BDPV12</stp>
        <stp>TPNCHM Index</stp>
        <stp>PR064</stp>
        <stp>[Index.xlsm]主要產業!R40C14</stp>
        <tr r="N40" s="2"/>
      </tp>
      <tp>
        <v>92.79</v>
        <stp/>
        <stp>##V3_BDPV12</stp>
        <stp>NKE US Equity</stp>
        <stp>HIGH_52WEEK</stp>
        <stp>[Index.xlsm]主要產業!R23C26</stp>
        <tr r="Z23" s="2"/>
      </tp>
      <tp>
        <v>111.8</v>
        <stp/>
        <stp>##V3_BDPV12</stp>
        <stp>SIE GR Equity</stp>
        <stp>HIGH_52WEEK</stp>
        <stp>[Index.xlsm]主要產業!R57C26</stp>
        <tr r="Z57" s="2"/>
      </tp>
      <tp>
        <v>3633.5</v>
        <stp/>
        <stp>##V3_BDPV12</stp>
        <stp>DGE LN Equity</stp>
        <stp>HIGH_52WEEK</stp>
        <stp>[Index.xlsm]主要產業!R48C26</stp>
        <tr r="Z48" s="2"/>
      </tp>
      <tp>
        <v>46.47</v>
        <stp/>
        <stp>##V3_BDPV12</stp>
        <stp>PFE US Equity</stp>
        <stp>HIGH_52WEEK</stp>
        <stp>[Index.xlsm]主要產業!R14C26</stp>
        <tr r="Z14" s="2"/>
      </tp>
      <tp>
        <v>38.04</v>
        <stp/>
        <stp>##V3_BDPV12</stp>
        <stp>GLE FP Equity</stp>
        <stp>HIGH_52WEEK</stp>
        <stp>[Index.xlsm]主要產業!R43C26</stp>
        <tr r="Z43" s="2"/>
      </tp>
      <tp>
        <v>15.88</v>
        <stp/>
        <stp>##V3_BDPV12</stp>
        <stp>DTE GR Equity</stp>
        <stp>HIGH_52WEEK</stp>
        <stp>[Index.xlsm]主要產業!R60C26</stp>
        <tr r="Z60" s="2"/>
      </tp>
      <tp>
        <v>15.24488</v>
        <stp/>
        <stp>##V3_BDPV12</stp>
        <stp>SH000916 Index</stp>
        <stp>CHG_PCT_1YR</stp>
        <stp>[Index.xlsm]主要產業!R57C15</stp>
        <tr r="O57" s="2"/>
      </tp>
      <tp>
        <v>-4.7153169999999998</v>
        <stp/>
        <stp>##V3_BDPV12</stp>
        <stp>TWSEAUTO Index</stp>
        <stp>PR064</stp>
        <stp>[Index.xlsm]主要產業!R83C14</stp>
        <tr r="N83" s="2"/>
      </tp>
      <tp>
        <v>6636.33203125</v>
        <stp/>
        <stp>##V3_BDPV12</stp>
        <stp>JCI INDEX</stp>
        <stp>HIGH_52WEEK</stp>
        <stp>[Index.xlsm]主要產業!R30C44</stp>
        <tr r="AR30" s="2"/>
      </tp>
      <tp>
        <v>30280.12</v>
        <stp/>
        <stp>##V3_BDPV12</stp>
        <stp>HSI INDEX</stp>
        <stp>HIGH_52WEEK</stp>
        <stp>[Index.xlsm]主要產業!R19C44</stp>
        <tr r="AR19" s="2"/>
      </tp>
      <tp>
        <v>3415.18</v>
        <stp/>
        <stp>##V3_BDPV12</stp>
        <stp>STI INDEX</stp>
        <stp>HIGH_52WEEK</stp>
        <stp>[Index.xlsm]主要產業!R29C44</stp>
        <tr r="AR29" s="2"/>
      </tp>
      <tp>
        <v>-7.7150720000000002</v>
        <stp/>
        <stp>##V3_BDPV12</stp>
        <stp>KOSPBMET Index</stp>
        <stp>PR064</stp>
        <stp>[Index.xlsm]主要產業!R47C14</stp>
        <tr r="N47" s="2"/>
      </tp>
      <tp>
        <v>1.520635</v>
        <stp/>
        <stp>##V3_BDPV12</stp>
        <stp xml:space="preserve">VNINDEX INDEX </stp>
        <stp>CHG_PCT_6M</stp>
        <stp>[Index.xlsm]主要產業!R28C51</stp>
        <tr r="AY28" s="2"/>
      </tp>
      <tp>
        <v>-0.63684439999999998</v>
        <stp/>
        <stp>##V3_BDPV12</stp>
        <stp xml:space="preserve">VNINDEX INDEX </stp>
        <stp>CHG_PCT_5D</stp>
        <stp>[Index.xlsm]主要產業!R28C48</stp>
        <tr r="AV28" s="2"/>
      </tp>
      <tp>
        <v>5.051374</v>
        <stp/>
        <stp>##V3_BDPV12</stp>
        <stp xml:space="preserve">VNINDEX INDEX </stp>
        <stp>CHG_PCT_3M</stp>
        <stp>[Index.xlsm]主要產業!R28C50</stp>
        <tr r="AX28" s="2"/>
      </tp>
      <tp>
        <v>0.34943790000000002</v>
        <stp/>
        <stp>##V3_BDPV12</stp>
        <stp xml:space="preserve">VNINDEX INDEX </stp>
        <stp>CHG_PCT_1D</stp>
        <stp>[Index.xlsm]主要產業!R28C43</stp>
        <tr r="AQ28" s="2"/>
      </tp>
      <tp>
        <v>1.429173</v>
        <stp/>
        <stp>##V3_BDPV12</stp>
        <stp xml:space="preserve">VNINDEX INDEX </stp>
        <stp>CHG_PCT_1M</stp>
        <stp>[Index.xlsm]主要產業!R28C49</stp>
        <tr r="AW28" s="2"/>
      </tp>
      <tp>
        <v>5.8611969999999998</v>
        <stp/>
        <stp>##V3_BDPV12</stp>
        <stp>TPNBNK Index</stp>
        <stp>PR064</stp>
        <stp>[Index.xlsm]主要產業!R41C14</stp>
        <tr r="N41" s="2"/>
      </tp>
      <tp>
        <v>221.93</v>
        <stp/>
        <stp>##V3_BDPV12</stp>
        <stp>MCD US Equity</stp>
        <stp>HIGH_52WEEK</stp>
        <stp>[Index.xlsm]主要產業!R16C26</stp>
        <tr r="Z16" s="2"/>
      </tp>
      <tp>
        <v>1.041318</v>
        <stp/>
        <stp>##V3_BDPV12</stp>
        <stp>SH000917 Index</stp>
        <stp>CHG_PCT_1YR</stp>
        <stp>[Index.xlsm]主要產業!R56C15</stp>
        <tr r="O56" s="2"/>
      </tp>
      <tp>
        <v>-20.72429</v>
        <stp/>
        <stp>##V3_BDPV12</stp>
        <stp>KOSPBMET Index</stp>
        <stp>CHG_PCT_1YR</stp>
        <stp>[Index.xlsm]主要產業!R47C15</stp>
        <tr r="O47" s="2"/>
      </tp>
      <tp>
        <v>28.06568909388951</v>
        <stp/>
        <stp>##V3_BDPV12</stp>
        <stp>TWSETEXT Index</stp>
        <stp>INTERVAL_HIGH</stp>
        <stp>[Index.xlsm]主要產業!R84C16</stp>
        <stp>MARKET_DATA_OVERRIDE=PE_RATIO</stp>
        <stp>CALC_INTERVAL=5y</stp>
        <stp>BEST_FPERIOD_OVERRIDE=BF</stp>
        <tr r="P84" s="2"/>
      </tp>
      <tp>
        <v>-13.165100000000001</v>
        <stp/>
        <stp>##V3_BDPV12</stp>
        <stp>TWSEOEI Index</stp>
        <stp>CHG_PCT_1YR</stp>
        <stp>[Index.xlsm]主要產業!R75C15</stp>
        <tr r="O75" s="2"/>
      </tp>
      <tp>
        <v>-7.9067259999999999</v>
        <stp/>
        <stp>##V3_BDPV12</stp>
        <stp>TWSECHI Index</stp>
        <stp>CHG_PCT_1YR</stp>
        <stp>[Index.xlsm]主要產業!R90C15</stp>
        <tr r="O90" s="2"/>
      </tp>
      <tp>
        <v>28.898040000000002</v>
        <stp/>
        <stp>##V3_BDPV12</stp>
        <stp>TWSEISI Index</stp>
        <stp>CHG_PCT_1YR</stp>
        <stp>[Index.xlsm]主要產業!R96C15</stp>
        <tr r="O96" s="2"/>
      </tp>
      <tp>
        <v>9.9745650000000001</v>
        <stp/>
        <stp>##V3_BDPV12</stp>
        <stp>TWSEECI Index</stp>
        <stp>CHG_PCT_1YR</stp>
        <stp>[Index.xlsm]主要產業!R74C15</stp>
        <tr r="O74" s="2"/>
      </tp>
      <tp>
        <v>23.64633869949224</v>
        <stp/>
        <stp>##V3_BDPV12</stp>
        <stp>TWSEDEPT Index</stp>
        <stp>INTERVAL_HIGH</stp>
        <stp>[Index.xlsm]主要產業!R85C16</stp>
        <stp>MARKET_DATA_OVERRIDE=PE_RATIO</stp>
        <stp>CALC_INTERVAL=5y</stp>
        <stp>BEST_FPERIOD_OVERRIDE=BF</stp>
        <tr r="P85" s="2"/>
      </tp>
      <tp>
        <v>-1.135575</v>
        <stp/>
        <stp>##V3_BDPV12</stp>
        <stp>TWSEBKI Index</stp>
        <stp>CHG_PCT_1YR</stp>
        <stp>[Index.xlsm]主要產業!R71C15</stp>
        <tr r="O71" s="2"/>
      </tp>
      <tp>
        <v>4.8735989999999996</v>
        <stp/>
        <stp>##V3_BDPV12</stp>
        <stp>TWSECII Index</stp>
        <stp>CHG_PCT_1YR</stp>
        <stp>[Index.xlsm]主要產業!R72C15</stp>
        <tr r="O72" s="2"/>
      </tp>
      <tp>
        <v>5.2703090000000001</v>
        <stp/>
        <stp>##V3_BDPV12</stp>
        <stp>TWSESCI Index</stp>
        <stp>CHG_PCT_1YR</stp>
        <stp>[Index.xlsm]主要產業!R70C15</stp>
        <tr r="O70" s="2"/>
      </tp>
      <tp>
        <v>7.1419588058416803</v>
        <stp/>
        <stp>##V3_BDPV12</stp>
        <stp>F US Equity</stp>
        <stp>PE_RATIO</stp>
        <stp>[Index.xlsm]主要產業!R34C38</stp>
        <tr r="AL34" s="2"/>
      </tp>
      <tp>
        <v>9.0967438383219399</v>
        <stp/>
        <stp>##V3_BDPV12</stp>
        <stp>C US Equity</stp>
        <stp>PE_RATIO</stp>
        <stp>[Index.xlsm]主要產業!R19C38</stp>
        <tr r="AL19" s="2"/>
      </tp>
      <tp>
        <v>-21.679749999999999</v>
        <stp/>
        <stp>##V3_BDPV12</stp>
        <stp>s5enrs Index</stp>
        <stp>CHG_PCT_1YR</stp>
        <stp>[Index.xlsm]主要產業!R12C15</stp>
        <tr r="O12" s="2"/>
      </tp>
      <tp>
        <v>14.20750078304394</v>
        <stp/>
        <stp>##V3_BDPV12</stp>
        <stp>TPTRAN Index</stp>
        <stp>INTERVAL_HIGH</stp>
        <stp>[Index.xlsm]主要產業!R39C16</stp>
        <stp>MARKET_DATA_OVERRIDE=PE_RATIO</stp>
        <stp>CALC_INTERVAL=5y</stp>
        <stp>BEST_FPERIOD_OVERRIDE=BF</stp>
        <tr r="P39" s="2"/>
      </tp>
      <tp>
        <v>1866273326746</v>
        <stp/>
        <stp>##V3_BDPV12</stp>
        <stp>s5phrm index</stp>
        <stp>RR902</stp>
        <stp>[Index.xlsm]主要產業!R10C20</stp>
        <tr r="T10" s="2"/>
      </tp>
      <tp>
        <v>-3.857472</v>
        <stp/>
        <stp>##V3_BDPV12</stp>
        <stp>TWSEGLP Index</stp>
        <stp>PR064</stp>
        <stp>[Index.xlsm]主要產業!R97C14</stp>
        <tr r="N97" s="2"/>
      </tp>
      <tp>
        <v>287.32</v>
        <stp/>
        <stp>##V3_BDPV12</stp>
        <stp>ROG SW Equity</stp>
        <stp>HIGH_52WEEK</stp>
        <stp>[Index.xlsm]主要產業!R69C26</stp>
        <tr r="Z69" s="2"/>
      </tp>
      <tp>
        <v>15.47597</v>
        <stp/>
        <stp>##V3_BDPV12</stp>
        <stp>SH000914 Index</stp>
        <stp>CHG_PCT_1YR</stp>
        <stp>[Index.xlsm]主要產業!R48C15</stp>
        <tr r="O48" s="2"/>
      </tp>
      <tp>
        <v>37.762384786453715</v>
        <stp/>
        <stp>##V3_BDPV12</stp>
        <stp>600519 CG Equity</stp>
        <stp>INTERVAL_HIGH</stp>
        <stp>[Index.xlsm]主要產業!R89C36</stp>
        <stp>MARKET_DATA_OVERRIDE=PE_RATIO</stp>
        <stp>CALC_INTERVAL=5y</stp>
        <stp>BEST_FPERIOD_OVERRIDE=BF</stp>
        <tr r="AJ89" s="2"/>
      </tp>
      <tp>
        <v>-0.71873830000000005</v>
        <stp/>
        <stp>##V3_BDPV12</stp>
        <stp>s5matr Index</stp>
        <stp>CHG_PCT_1YR</stp>
        <stp>[Index.xlsm]主要產業!R16C15</stp>
        <tr r="O16" s="2"/>
      </tp>
      <tp t="s">
        <v>2019/9/27</v>
        <stp/>
        <stp>##V3_BDPV12</stp>
        <stp>xu1 PIT Index</stp>
        <stp>FUT_LAST_TRADE_DT</stp>
        <stp>[Index.xlsm]主要產業!R96C45</stp>
        <tr r="AS96" s="2"/>
      </tp>
      <tp t="s">
        <v>#N/A N/A</v>
        <stp/>
        <stp>##V3_BDPV12</stp>
        <stp>HSCIIN Index</stp>
        <stp>RR902</stp>
        <stp>[Index.xlsm]主要產業!R62C20</stp>
        <tr r="T62" s="2"/>
      </tp>
      <tp t="s">
        <v>#N/A N/A</v>
        <stp/>
        <stp>##V3_BDPV12</stp>
        <stp>HSCIIT Index</stp>
        <stp>RR902</stp>
        <stp>[Index.xlsm]主要產業!R63C20</stp>
        <tr r="T63" s="2"/>
      </tp>
      <tp>
        <v>1005913407294.33</v>
        <stp/>
        <stp>##V3_BDPV12</stp>
        <stp>TWSEOEG Index</stp>
        <stp>RR902</stp>
        <stp>[Index.xlsm]主要產業!R79C20</stp>
        <tr r="T79" s="2"/>
      </tp>
      <tp>
        <v>1633444526764.8201</v>
        <stp/>
        <stp>##V3_BDPV12</stp>
        <stp>TWSEOEI Index</stp>
        <stp>RR902</stp>
        <stp>[Index.xlsm]主要產業!R75C20</stp>
        <tr r="T75" s="2"/>
      </tp>
      <tp t="s">
        <v>#N/A N/A</v>
        <stp/>
        <stp>##V3_BDPV12</stp>
        <stp>HSCIMT Index</stp>
        <stp>RR902</stp>
        <stp>[Index.xlsm]主要產業!R64C20</stp>
        <tr r="T64" s="2"/>
      </tp>
      <tp>
        <v>807816659141.30505</v>
        <stp/>
        <stp>##V3_BDPV12</stp>
        <stp>HSCICO Index</stp>
        <stp>RR902</stp>
        <stp>[Index.xlsm]主要產業!R59C20</stp>
        <tr r="T59" s="2"/>
      </tp>
      <tp t="s">
        <v>#N/A N/A</v>
        <stp/>
        <stp>##V3_BDPV12</stp>
        <stp>HSCICG Index</stp>
        <stp>RR902</stp>
        <stp>[Index.xlsm]主要產業!R58C20</stp>
        <tr r="T58" s="2"/>
      </tp>
      <tp t="s">
        <v>#N/A N/A</v>
        <stp/>
        <stp>##V3_BDPV12</stp>
        <stp>HSCIFN Index</stp>
        <stp>RR902</stp>
        <stp>[Index.xlsm]主要產業!R61C20</stp>
        <tr r="T61" s="2"/>
      </tp>
      <tp t="s">
        <v>#N/A N/A</v>
        <stp/>
        <stp>##V3_BDPV12</stp>
        <stp>HSCIEN Index</stp>
        <stp>RR902</stp>
        <stp>[Index.xlsm]主要產業!R60C20</stp>
        <tr r="T60" s="2"/>
      </tp>
      <tp>
        <v>1236068028541.95</v>
        <stp/>
        <stp>##V3_BDPV12</stp>
        <stp>TWSEOPE Index</stp>
        <stp>RR902</stp>
        <stp>[Index.xlsm]主要產業!R78C20</stp>
        <tr r="T78" s="2"/>
      </tp>
      <tp t="s">
        <v>#N/A N/A</v>
        <stp/>
        <stp>##V3_BDPV12</stp>
        <stp>HSCISV Index</stp>
        <stp>RR902</stp>
        <stp>[Index.xlsm]主要產業!R66C20</stp>
        <tr r="T66" s="2"/>
      </tp>
      <tp t="s">
        <v>#N/A N/A</v>
        <stp/>
        <stp>##V3_BDPV12</stp>
        <stp>HSCIPC Index</stp>
        <stp>RR902</stp>
        <stp>[Index.xlsm]主要產業!R65C20</stp>
        <tr r="T65" s="2"/>
      </tp>
      <tp t="s">
        <v>#N/A N/A</v>
        <stp/>
        <stp>##V3_BDPV12</stp>
        <stp>HSCIUT Index</stp>
        <stp>RR902</stp>
        <stp>[Index.xlsm]主要產業!R68C20</stp>
        <tr r="T68" s="2"/>
      </tp>
      <tp t="s">
        <v>#N/A N/A</v>
        <stp/>
        <stp>##V3_BDPV12</stp>
        <stp>HSCITC Index</stp>
        <stp>RR902</stp>
        <stp>[Index.xlsm]主要產業!R67C20</stp>
        <tr r="T67" s="2"/>
      </tp>
      <tp>
        <v>-5.4797770000000003</v>
        <stp/>
        <stp>##V3_BDPV12</stp>
        <stp>SET INDEX</stp>
        <stp>CHG_PCT_3M</stp>
        <stp>[Index.xlsm]主要產業!R27C50</stp>
        <tr r="AX27" s="2"/>
      </tp>
      <tp>
        <v>0.51400780000000001</v>
        <stp/>
        <stp>##V3_BDPV12</stp>
        <stp>SET INDEX</stp>
        <stp>CHG_PCT_1D</stp>
        <stp>[Index.xlsm]主要產業!R27C43</stp>
        <tr r="AQ27" s="2"/>
      </tp>
      <tp>
        <v>1.317266</v>
        <stp/>
        <stp>##V3_BDPV12</stp>
        <stp>SET INDEX</stp>
        <stp>CHG_PCT_1M</stp>
        <stp>[Index.xlsm]主要產業!R27C49</stp>
        <tr r="AW27" s="2"/>
      </tp>
      <tp>
        <v>8.0589999999999993</v>
        <stp/>
        <stp>##V3_BDPV12</stp>
        <stp>TEF SM Equity</stp>
        <stp>HIGH_52WEEK</stp>
        <stp>[Index.xlsm]主要產業!R66C26</stp>
        <tr r="Z66" s="2"/>
      </tp>
      <tp>
        <v>0.45108480000000001</v>
        <stp/>
        <stp>##V3_BDPV12</stp>
        <stp>SET INDEX</stp>
        <stp>CHG_PCT_6M</stp>
        <stp>[Index.xlsm]主要產業!R27C51</stp>
        <tr r="AY27" s="2"/>
      </tp>
      <tp>
        <v>-0.2383208</v>
        <stp/>
        <stp>##V3_BDPV12</stp>
        <stp>SET INDEX</stp>
        <stp>CHG_PCT_5D</stp>
        <stp>[Index.xlsm]主要產業!R27C48</stp>
        <tr r="AV27" s="2"/>
      </tp>
      <tp>
        <v>31.04</v>
        <stp/>
        <stp>##V3_BDPV12</stp>
        <stp>USDTWD TPFT Curncy</stp>
        <stp>PX_LAST</stp>
        <stp>[Index.xlsm]主要產業!R69C42</stp>
        <tr r="AP69" s="2"/>
      </tp>
      <tp>
        <v>23.026250000000001</v>
        <stp/>
        <stp>##V3_BDPV12</stp>
        <stp>SH000915 Index</stp>
        <stp>CHG_PCT_1YR</stp>
        <stp>[Index.xlsm]主要產業!R52C15</stp>
        <tr r="O52" s="2"/>
      </tp>
      <tp>
        <v>12.115159999999999</v>
        <stp/>
        <stp>##V3_BDPV12</stp>
        <stp>SU FP Equity</stp>
        <stp>CHG_PCT_1YR</stp>
        <stp>[Index.xlsm]主要產業!R40C35</stp>
        <tr r="AI40" s="2"/>
      </tp>
      <tp>
        <v>-5.9782089999999997</v>
        <stp/>
        <stp>##V3_BDPV12</stp>
        <stp>TWSETOUR Index</stp>
        <stp>CHG_PCT_3M</stp>
        <stp>[Index.xlsm]主要產業!R93C12</stp>
        <tr r="L93" s="2"/>
      </tp>
      <tp>
        <v>15.578950000000001</v>
        <stp/>
        <stp>##V3_BDPV12</stp>
        <stp>PHIA NA Equity</stp>
        <stp>PR064</stp>
        <stp>[Index.xlsm]主要產業!R75C34</stp>
        <tr r="AH75" s="2"/>
      </tp>
      <tp>
        <v>6.3934430000000004</v>
        <stp/>
        <stp>##V3_BDPV12</stp>
        <stp>BAYN GR Equity</stp>
        <stp>PR064</stp>
        <stp>[Index.xlsm]主要產業!R58C34</stp>
        <tr r="AH58" s="2"/>
      </tp>
      <tp>
        <v>3.2307570000000001</v>
        <stp/>
        <stp>##V3_BDPV12</stp>
        <stp>TWSETOUR Index</stp>
        <stp>CHG_PCT_1M</stp>
        <stp>[Index.xlsm]主要產業!R93C11</stp>
        <tr r="K93" s="2"/>
      </tp>
      <tp t="s">
        <v>GE</v>
        <stp/>
        <stp>##V3_BDPV12</stp>
        <stp>BAYN GR Equity</stp>
        <stp>DS003</stp>
        <stp>[Index.xlsm]主要產業!R58C23</stp>
        <tr r="W58" s="2"/>
      </tp>
      <tp>
        <v>-1.2711410000000001</v>
        <stp/>
        <stp>##V3_BDPV12</stp>
        <stp>TWSETOUR Index</stp>
        <stp>CHG_PCT_6M</stp>
        <stp>[Index.xlsm]主要產業!R93C13</stp>
        <tr r="M93" s="2"/>
      </tp>
      <tp t="s">
        <v>NE</v>
        <stp/>
        <stp>##V3_BDPV12</stp>
        <stp>PHIA NA Equity</stp>
        <stp>DS003</stp>
        <stp>[Index.xlsm]主要產業!R75C23</stp>
        <tr r="W75" s="2"/>
      </tp>
      <tp>
        <v>1.5488280000000001</v>
        <stp/>
        <stp>##V3_BDPV12</stp>
        <stp>TWSETOUR Index</stp>
        <stp>CHG_PCT_5D</stp>
        <stp>[Index.xlsm]主要產業!R93C10</stp>
        <tr r="J93" s="2"/>
      </tp>
      <tp>
        <v>1.25</v>
        <stp/>
        <stp>##V3_BDPV12</stp>
        <stp>OR FP Equity</stp>
        <stp>PR064</stp>
        <stp>[Index.xlsm]主要產業!R39C34</stp>
        <tr r="AH39" s="2"/>
      </tp>
      <tp>
        <v>-2.022535</v>
        <stp/>
        <stp>##V3_BDPV12</stp>
        <stp>MC FP Equity</stp>
        <stp>PR064</stp>
        <stp>[Index.xlsm]主要產業!R37C34</stp>
        <tr r="AH37" s="2"/>
      </tp>
      <tp t="s">
        <v>FR</v>
        <stp/>
        <stp>##V3_BDPV12</stp>
        <stp>MC FP Equity</stp>
        <stp>DS003</stp>
        <stp>[Index.xlsm]主要產業!R37C23</stp>
        <tr r="W37" s="2"/>
      </tp>
      <tp t="s">
        <v>FR</v>
        <stp/>
        <stp>##V3_BDPV12</stp>
        <stp>OR FP Equity</stp>
        <stp>DS003</stp>
        <stp>[Index.xlsm]主要產業!R39C23</stp>
        <tr r="W39" s="2"/>
      </tp>
      <tp>
        <v>-3.5521630000000002</v>
        <stp/>
        <stp>##V3_BDPV12</stp>
        <stp>FP FP Equity</stp>
        <stp>PR064</stp>
        <stp>[Index.xlsm]主要產業!R36C34</stp>
        <tr r="AH36" s="2"/>
      </tp>
      <tp t="s">
        <v>FR</v>
        <stp/>
        <stp>##V3_BDPV12</stp>
        <stp>CS FP Equity</stp>
        <stp>DS003</stp>
        <stp>[Index.xlsm]主要產業!R41C23</stp>
        <tr r="W41" s="2"/>
      </tp>
      <tp>
        <v>0.23913039999999999</v>
        <stp/>
        <stp>##V3_BDPV12</stp>
        <stp>CS FP Equity</stp>
        <stp>PR064</stp>
        <stp>[Index.xlsm]主要產業!R41C34</stp>
        <tr r="AH41" s="2"/>
      </tp>
      <tp>
        <v>23.976970202551726</v>
        <stp/>
        <stp>##V3_BDPV12</stp>
        <stp>PM US Equity</stp>
        <stp>INTERVAL_HIGH</stp>
        <stp>[Index.xlsm]主要產業!R24C36</stp>
        <stp>MARKET_DATA_OVERRIDE=PE_RATIO</stp>
        <stp>CALC_INTERVAL=5y</stp>
        <stp>BEST_FPERIOD_OVERRIDE=BF</stp>
        <tr r="AJ24" s="2"/>
      </tp>
      <tp t="s">
        <v>FR</v>
        <stp/>
        <stp>##V3_BDPV12</stp>
        <stp>FP FP Equity</stp>
        <stp>DS003</stp>
        <stp>[Index.xlsm]主要產業!R36C23</stp>
        <tr r="W36" s="2"/>
      </tp>
      <tp>
        <v>17.743075986241042</v>
        <stp/>
        <stp>##V3_BDPV12</stp>
        <stp>MS US Equity</stp>
        <stp>INTERVAL_HIGH</stp>
        <stp>[Index.xlsm]主要產業!R32C36</stp>
        <stp>MARKET_DATA_OVERRIDE=PE_RATIO</stp>
        <stp>CALC_INTERVAL=5y</stp>
        <stp>BEST_FPERIOD_OVERRIDE=BF</stp>
        <tr r="AJ32" s="2"/>
      </tp>
      <tp>
        <v>2.5488439999999999</v>
        <stp/>
        <stp>##V3_BDPV12</stp>
        <stp>AON US Equity</stp>
        <stp>PR064</stp>
        <stp>[Index.xlsm]主要產業!R51C34</stp>
        <tr r="AH51" s="2"/>
      </tp>
      <tp t="s">
        <v>GE</v>
        <stp/>
        <stp>##V3_BDPV12</stp>
        <stp>SIE GR Equity</stp>
        <stp>DS003</stp>
        <stp>[Index.xlsm]主要產業!R57C23</stp>
        <tr r="W57" s="2"/>
      </tp>
      <tp>
        <v>8.3576270000000008</v>
        <stp/>
        <stp>##V3_BDPV12</stp>
        <stp>AMT US Equity</stp>
        <stp>PR064</stp>
        <stp>[Index.xlsm]主要產業!R26C34</stp>
        <tr r="AH26" s="2"/>
      </tp>
      <tp t="s">
        <v>US</v>
        <stp/>
        <stp>##V3_BDPV12</stp>
        <stp>AMT US Equity</stp>
        <stp>DS003</stp>
        <stp>[Index.xlsm]主要產業!R26C23</stp>
        <tr r="W26" s="2"/>
      </tp>
      <tp>
        <v>54.664727201426999</v>
        <stp/>
        <stp>##V3_BDPV12</stp>
        <stp>TEF SM Equity</stp>
        <stp>INTERVAL_HIGH</stp>
        <stp>[Index.xlsm]主要產業!R66C36</stp>
        <stp>MARKET_DATA_OVERRIDE=PE_RATIO</stp>
        <stp>CALC_INTERVAL=5y</stp>
        <stp>BEST_FPERIOD_OVERRIDE=BF</stp>
        <tr r="AJ66" s="2"/>
      </tp>
      <tp>
        <v>-7.4763679999999999</v>
        <stp/>
        <stp>##V3_BDPV12</stp>
        <stp>SIE GR Equity</stp>
        <stp>PR064</stp>
        <stp>[Index.xlsm]主要產業!R57C34</stp>
        <tr r="AH57" s="2"/>
      </tp>
      <tp t="s">
        <v>GB</v>
        <stp/>
        <stp>##V3_BDPV12</stp>
        <stp>AON US Equity</stp>
        <stp>DS003</stp>
        <stp>[Index.xlsm]主要產業!R51C23</stp>
        <tr r="W51" s="2"/>
      </tp>
      <tp>
        <v>25.673428270016764</v>
        <stp/>
        <stp>##V3_BDPV12</stp>
        <stp>KO US Equity</stp>
        <stp>INTERVAL_HIGH</stp>
        <stp>[Index.xlsm]主要產業!R13C36</stp>
        <stp>MARKET_DATA_OVERRIDE=PE_RATIO</stp>
        <stp>CALC_INTERVAL=5y</stp>
        <stp>BEST_FPERIOD_OVERRIDE=BF</stp>
        <tr r="AJ13" s="2"/>
      </tp>
      <tp>
        <v>52.811442950265686</v>
        <stp/>
        <stp>##V3_BDPV12</stp>
        <stp>s5rlst Index</stp>
        <stp>INTERVAL_HIGH</stp>
        <stp>[Index.xlsm]主要產業!R15C16</stp>
        <stp>MARKET_DATA_OVERRIDE=PE_RATIO</stp>
        <stp>CALC_INTERVAL=5y</stp>
        <stp>BEST_FPERIOD_OVERRIDE=BF</stp>
        <tr r="P15" s="2"/>
      </tp>
      <tp>
        <v>14.715084861798699</v>
        <stp/>
        <stp>##V3_BDPV12</stp>
        <stp>GS US Equity</stp>
        <stp>INTERVAL_HIGH</stp>
        <stp>[Index.xlsm]主要產業!R30C36</stp>
        <stp>MARKET_DATA_OVERRIDE=PE_RATIO</stp>
        <stp>CALC_INTERVAL=5y</stp>
        <stp>BEST_FPERIOD_OVERRIDE=BF</stp>
        <tr r="AJ30" s="2"/>
      </tp>
      <tp>
        <v>784.53475420287282</v>
        <stp/>
        <stp>##V3_BDPV12</stp>
        <stp>GE US Equity</stp>
        <stp>INTERVAL_HIGH</stp>
        <stp>[Index.xlsm]主要產業!R29C36</stp>
        <stp>MARKET_DATA_OVERRIDE=PE_RATIO</stp>
        <stp>CALC_INTERVAL=5y</stp>
        <stp>BEST_FPERIOD_OVERRIDE=BF</stp>
        <tr r="AJ29" s="2"/>
      </tp>
      <tp t="s">
        <v>US</v>
        <stp/>
        <stp>##V3_BDPV12</stp>
        <stp>ABT US Equity</stp>
        <stp>DS003</stp>
        <stp>[Index.xlsm]主要產業!R18C23</stp>
        <tr r="W18" s="2"/>
      </tp>
      <tp t="s">
        <v>FR</v>
        <stp/>
        <stp>##V3_BDPV12</stp>
        <stp>SU FP Equity</stp>
        <stp>DS003</stp>
        <stp>[Index.xlsm]主要產業!R40C23</stp>
        <tr r="W40" s="2"/>
      </tp>
      <tp>
        <v>-0.36161900000000002</v>
        <stp/>
        <stp>##V3_BDPV12</stp>
        <stp>ABT US Equity</stp>
        <stp>PR064</stp>
        <stp>[Index.xlsm]主要產業!R18C34</stp>
        <tr r="AH18" s="2"/>
      </tp>
      <tp>
        <v>-0.40517009999999998</v>
        <stp/>
        <stp>##V3_BDPV12</stp>
        <stp>SU FP Equity</stp>
        <stp>PR064</stp>
        <stp>[Index.xlsm]主要產業!R40C34</stp>
        <tr r="AH40" s="2"/>
      </tp>
      <tp>
        <v>-5.8189659999999996</v>
        <stp/>
        <stp>##V3_BDPV12</stp>
        <stp>000002 CS Equity</stp>
        <stp>CHG_PCT_3M</stp>
        <stp>[Index.xlsm]主要產業!R95C32</stp>
        <tr r="AF95" s="2"/>
      </tp>
      <tp>
        <v>-9.5329250000000005</v>
        <stp/>
        <stp>##V3_BDPV12</stp>
        <stp>RDSA LN Equity</stp>
        <stp>CHG_PCT_3M</stp>
        <stp>[Index.xlsm]主要產業!R74C32</stp>
        <tr r="AF74" s="2"/>
      </tp>
      <tp>
        <v>-1.1312230000000001</v>
        <stp/>
        <stp>##V3_BDPV12</stp>
        <stp>000002 CS Equity</stp>
        <stp>CHG_PCT_1M</stp>
        <stp>[Index.xlsm]主要產業!R95C31</stp>
        <tr r="AE95" s="2"/>
      </tp>
      <tp>
        <v>1.0476799999999999</v>
        <stp/>
        <stp>##V3_BDPV12</stp>
        <stp>RDSA LN Equity</stp>
        <stp>CHG_PCT_1D</stp>
        <stp>[Index.xlsm]主要產業!R74C25</stp>
        <tr r="Y74" s="2"/>
      </tp>
      <tp>
        <v>0.76863950000000003</v>
        <stp/>
        <stp>##V3_BDPV12</stp>
        <stp>000002 CS Equity</stp>
        <stp>CHG_PCT_1D</stp>
        <stp>[Index.xlsm]主要產業!R95C25</stp>
        <tr r="Y95" s="2"/>
      </tp>
      <tp>
        <v>4.2576660000000004</v>
        <stp/>
        <stp>##V3_BDPV12</stp>
        <stp>RDSA LN Equity</stp>
        <stp>CHG_PCT_1M</stp>
        <stp>[Index.xlsm]主要產業!R74C31</stp>
        <tr r="AE74" s="2"/>
      </tp>
      <tp>
        <v>-1.212375</v>
        <stp/>
        <stp>##V3_BDPV12</stp>
        <stp>RDSA LN Equity</stp>
        <stp>CHG_PCT_6M</stp>
        <stp>[Index.xlsm]主要產業!R74C33</stp>
        <tr r="AG74" s="2"/>
      </tp>
      <tp>
        <v>-9.4300540000000002</v>
        <stp/>
        <stp>##V3_BDPV12</stp>
        <stp>000002 CS Equity</stp>
        <stp>CHG_PCT_6M</stp>
        <stp>[Index.xlsm]主要產業!R95C33</stp>
        <tr r="AG95" s="2"/>
      </tp>
      <tp>
        <v>-1.907969</v>
        <stp/>
        <stp>##V3_BDPV12</stp>
        <stp>000002 CS Equity</stp>
        <stp>CHG_PCT_5D</stp>
        <stp>[Index.xlsm]主要產業!R95C30</stp>
        <tr r="AD95" s="2"/>
      </tp>
      <tp>
        <v>0.85360650000000005</v>
        <stp/>
        <stp>##V3_BDPV12</stp>
        <stp>RDSA LN Equity</stp>
        <stp>CHG_PCT_5D</stp>
        <stp>[Index.xlsm]主要產業!R74C30</stp>
        <tr r="AD74" s="2"/>
      </tp>
      <tp>
        <v>-6.2847770000000001</v>
        <stp/>
        <stp>##V3_BDPV12</stp>
        <stp>HSCEI INDEX</stp>
        <stp>PR064</stp>
        <stp>[Index.xlsm]主要產業!R20C52</stp>
        <tr r="AZ20" s="2"/>
      </tp>
      <tp>
        <v>-6.5940589999999997</v>
        <stp/>
        <stp>##V3_BDPV12</stp>
        <stp>HSCCI INDEX</stp>
        <stp>PR064</stp>
        <stp>[Index.xlsm]主要產業!R21C52</stp>
        <tr r="AZ21" s="2"/>
      </tp>
      <tp>
        <v>42.36</v>
        <stp/>
        <stp>##V3_BDPV12</stp>
        <stp>INTC US Equity</stp>
        <stp>LOW_52WEEK</stp>
        <stp>[Index.xlsm]主要產業!R10C28</stp>
        <tr r="AB10" s="2"/>
      </tp>
      <tp>
        <v>19.221520000000002</v>
        <stp/>
        <stp>##V3_BDPV12</stp>
        <stp>TWSEAUTO Index</stp>
        <stp>CHG_PCT_6M</stp>
        <stp>[Index.xlsm]主要產業!R83C13</stp>
        <tr r="M83" s="2"/>
      </tp>
      <tp>
        <v>2.5227149999999998</v>
        <stp/>
        <stp>##V3_BDPV12</stp>
        <stp>TWSEAUTO Index</stp>
        <stp>CHG_PCT_5D</stp>
        <stp>[Index.xlsm]主要產業!R83C10</stp>
        <tr r="J83" s="2"/>
      </tp>
      <tp>
        <v>-4.7153169999999998</v>
        <stp/>
        <stp>##V3_BDPV12</stp>
        <stp>TWSEAUTO Index</stp>
        <stp>CHG_PCT_3M</stp>
        <stp>[Index.xlsm]主要產業!R83C12</stp>
        <tr r="L83" s="2"/>
      </tp>
      <tp>
        <v>5.5140359999999999</v>
        <stp/>
        <stp>##V3_BDPV12</stp>
        <stp>TWSEAUTO Index</stp>
        <stp>CHG_PCT_1M</stp>
        <stp>[Index.xlsm]主要產業!R83C11</stp>
        <tr r="K83" s="2"/>
      </tp>
      <tp>
        <v>12.396133538605168</v>
        <stp/>
        <stp>##V3_BDPV12</stp>
        <stp>ALV GR Equity</stp>
        <stp>INTERVAL_HIGH</stp>
        <stp>[Index.xlsm]主要產業!R56C36</stp>
        <stp>MARKET_DATA_OVERRIDE=PE_RATIO</stp>
        <stp>CALC_INTERVAL=5y</stp>
        <stp>BEST_FPERIOD_OVERRIDE=BF</stp>
        <tr r="AJ56" s="2"/>
      </tp>
      <tp>
        <v>-1.4023779999999999</v>
        <stp/>
        <stp>##V3_BDPV12</stp>
        <stp>F US Equity</stp>
        <stp>CHG_PCT_1YR</stp>
        <stp>[Index.xlsm]主要產業!R34C35</stp>
        <tr r="AI34" s="2"/>
      </tp>
      <tp t="s">
        <v>FR</v>
        <stp/>
        <stp>##V3_BDPV12</stp>
        <stp>SAN FP Equity</stp>
        <stp>DS003</stp>
        <stp>[Index.xlsm]主要產業!R38C23</stp>
        <tr r="W38" s="2"/>
      </tp>
      <tp>
        <v>12.645350000000001</v>
        <stp/>
        <stp>##V3_BDPV12</stp>
        <stp>SAN FP Equity</stp>
        <stp>PR064</stp>
        <stp>[Index.xlsm]主要產業!R38C34</stp>
        <tr r="AH38" s="2"/>
      </tp>
      <tp>
        <v>0.68863079999999999</v>
        <stp/>
        <stp>##V3_BDPV12</stp>
        <stp>BARC LN Equity</stp>
        <stp>CHG_PCT_1D</stp>
        <stp>[Index.xlsm]主要產業!R54C25</stp>
        <tr r="Y54" s="2"/>
      </tp>
      <tp>
        <v>8.0411529999999996</v>
        <stp/>
        <stp>##V3_BDPV12</stp>
        <stp>BARC LN Equity</stp>
        <stp>CHG_PCT_1M</stp>
        <stp>[Index.xlsm]主要產業!R54C31</stp>
        <tr r="AE54" s="2"/>
      </tp>
      <tp>
        <v>-0.10716879999999999</v>
        <stp/>
        <stp>##V3_BDPV12</stp>
        <stp>BARC LN Equity</stp>
        <stp>CHG_PCT_3M</stp>
        <stp>[Index.xlsm]主要產業!R54C32</stp>
        <tr r="AF54" s="2"/>
      </tp>
      <tp>
        <v>-0.89048380000000005</v>
        <stp/>
        <stp>##V3_BDPV12</stp>
        <stp>BARC LN Equity</stp>
        <stp>CHG_PCT_5D</stp>
        <stp>[Index.xlsm]主要產業!R54C30</stp>
        <tr r="AD54" s="2"/>
      </tp>
      <tp>
        <v>-2.713635</v>
        <stp/>
        <stp>##V3_BDPV12</stp>
        <stp>BARC LN Equity</stp>
        <stp>CHG_PCT_6M</stp>
        <stp>[Index.xlsm]主要產業!R54C33</stp>
        <tr r="AG54" s="2"/>
      </tp>
      <tp>
        <v>8.1969999999999992</v>
        <stp/>
        <stp>##V3_BDPV12</stp>
        <stp>INGA NA Equity</stp>
        <stp>LOW_52WEEK</stp>
        <stp>[Index.xlsm]主要產業!R76C28</stp>
        <tr r="AB76" s="2"/>
      </tp>
      <tp>
        <v>1.4272</v>
        <stp/>
        <stp>##V3_BDPV12</stp>
        <stp>usgg10yr Index</stp>
        <stp>LOW_52WEEK</stp>
        <stp>[Index.xlsm]主要產業!R57C46</stp>
        <tr r="AT57" s="2"/>
      </tp>
      <tp>
        <v>1.9039000000000001</v>
        <stp/>
        <stp>##V3_BDPV12</stp>
        <stp>usgg30yr Index</stp>
        <stp>LOW_52WEEK</stp>
        <stp>[Index.xlsm]主要產業!R58C46</stp>
        <tr r="AT58" s="2"/>
      </tp>
      <tp>
        <v>-3.0420400000000001</v>
        <stp/>
        <stp>##V3_BDPV12</stp>
        <stp>CVX US Equity</stp>
        <stp>PR064</stp>
        <stp>[Index.xlsm]主要產業!R11C34</stp>
        <tr r="AH11" s="2"/>
      </tp>
      <tp>
        <v>26.357689202190624</v>
        <stp/>
        <stp>##V3_BDPV12</stp>
        <stp>PFE US Equity</stp>
        <stp>INTERVAL_HIGH</stp>
        <stp>[Index.xlsm]主要產業!R14C36</stp>
        <stp>MARKET_DATA_OVERRIDE=PE_RATIO</stp>
        <stp>CALC_INTERVAL=5y</stp>
        <stp>BEST_FPERIOD_OVERRIDE=BF</stp>
        <tr r="AJ14" s="2"/>
      </tp>
      <tp>
        <v>2.4768336010550898</v>
        <stp/>
        <stp>##V3_BDPV12</stp>
        <stp>DXY Index</stp>
        <stp>CHG_PCT_6M</stp>
        <stp>[Index.xlsm]主要產業!R68C51</stp>
        <tr r="AY68" s="2"/>
      </tp>
      <tp>
        <v>25.040719755577786</v>
        <stp/>
        <stp>##V3_BDPV12</stp>
        <stp>PEP US Equity</stp>
        <stp>INTERVAL_HIGH</stp>
        <stp>[Index.xlsm]主要產業!R15C36</stp>
        <stp>MARKET_DATA_OVERRIDE=PE_RATIO</stp>
        <stp>CALC_INTERVAL=5y</stp>
        <stp>BEST_FPERIOD_OVERRIDE=BF</stp>
        <tr r="AJ15" s="2"/>
      </tp>
      <tp>
        <v>0.87512211006186857</v>
        <stp/>
        <stp>##V3_BDPV12</stp>
        <stp>DXY Index</stp>
        <stp>CHG_PCT_5D</stp>
        <stp>[Index.xlsm]主要產業!R68C48</stp>
        <tr r="AV68" s="2"/>
      </tp>
      <tp>
        <v>3.0328226661400692</v>
        <stp/>
        <stp>##V3_BDPV12</stp>
        <stp>DXY Index</stp>
        <stp>CHG_PCT_3M</stp>
        <stp>[Index.xlsm]主要產業!R68C50</stp>
        <tr r="AX68" s="2"/>
      </tp>
      <tp t="s">
        <v>US</v>
        <stp/>
        <stp>##V3_BDPV12</stp>
        <stp>CVX US Equity</stp>
        <stp>DS003</stp>
        <stp>[Index.xlsm]主要產業!R11C23</stp>
        <tr r="W11" s="2"/>
      </tp>
      <tp>
        <v>23.721106424834513</v>
        <stp/>
        <stp>##V3_BDPV12</stp>
        <stp>BAS GR Equity</stp>
        <stp>INTERVAL_HIGH</stp>
        <stp>[Index.xlsm]主要產業!R59C36</stp>
        <stp>MARKET_DATA_OVERRIDE=PE_RATIO</stp>
        <stp>CALC_INTERVAL=5y</stp>
        <stp>BEST_FPERIOD_OVERRIDE=BF</stp>
        <tr r="AJ59" s="2"/>
      </tp>
      <tp>
        <v>9.5923745670808747E-2</v>
        <stp/>
        <stp>##V3_BDPV12</stp>
        <stp>DXY Index</stp>
        <stp>CHG_PCT_1D</stp>
        <stp>[Index.xlsm]主要產業!R68C43</stp>
        <tr r="AQ68" s="2"/>
      </tp>
      <tp>
        <v>1.0715632997216606</v>
        <stp/>
        <stp>##V3_BDPV12</stp>
        <stp>DXY Index</stp>
        <stp>CHG_PCT_1M</stp>
        <stp>[Index.xlsm]主要產業!R68C49</stp>
        <tr r="AW68" s="2"/>
      </tp>
      <tp>
        <v>-2.1211829999999998</v>
        <stp/>
        <stp>##V3_BDPV12</stp>
        <stp>SHSZ300 INDEX</stp>
        <stp>CHG_PCT_5D</stp>
        <stp>[Index.xlsm]主要產業!R24C48</stp>
        <tr r="AV24" s="2"/>
      </tp>
      <tp>
        <v>2.611297</v>
        <stp/>
        <stp>##V3_BDPV12</stp>
        <stp>SHSZ300 INDEX</stp>
        <stp>CHG_PCT_6M</stp>
        <stp>[Index.xlsm]主要產業!R24C51</stp>
        <tr r="AY24" s="2"/>
      </tp>
      <tp>
        <v>0.63382799999999995</v>
        <stp/>
        <stp>##V3_BDPV12</stp>
        <stp>SHSZ300 INDEX</stp>
        <stp>CHG_PCT_1M</stp>
        <stp>[Index.xlsm]主要產業!R24C49</stp>
        <tr r="AW24" s="2"/>
      </tp>
      <tp>
        <v>-0.77099260000000003</v>
        <stp/>
        <stp>##V3_BDPV12</stp>
        <stp>SHSZ300 INDEX</stp>
        <stp>CHG_PCT_1D</stp>
        <stp>[Index.xlsm]主要產業!R24C43</stp>
        <tr r="AQ24" s="2"/>
      </tp>
      <tp>
        <v>0.16485849999999999</v>
        <stp/>
        <stp>##V3_BDPV12</stp>
        <stp>SHSZ300 INDEX</stp>
        <stp>CHG_PCT_3M</stp>
        <stp>[Index.xlsm]主要產業!R24C50</stp>
        <tr r="AX24" s="2"/>
      </tp>
      <tp>
        <v>142.41445942595749</v>
        <stp/>
        <stp>##V3_BDPV12</stp>
        <stp>s5enrs Index</stp>
        <stp>INTERVAL_HIGH</stp>
        <stp>[Index.xlsm]主要產業!R12C16</stp>
        <stp>MARKET_DATA_OVERRIDE=PE_RATIO</stp>
        <stp>CALC_INTERVAL=5y</stp>
        <stp>BEST_FPERIOD_OVERRIDE=BF</stp>
        <tr r="P12" s="2"/>
      </tp>
      <tp t="s">
        <v>US</v>
        <stp/>
        <stp>##V3_BDPV12</stp>
        <stp>CAT US Equity</stp>
        <stp>DS003</stp>
        <stp>[Index.xlsm]主要產業!R31C23</stp>
        <tr r="W31" s="2"/>
      </tp>
      <tp>
        <v>1.410658</v>
        <stp/>
        <stp>##V3_BDPV12</stp>
        <stp>VXN Index</stp>
        <stp>CHG_PCT_1D</stp>
        <stp>[Index.xlsm]主要產業!R66C43</stp>
        <tr r="AQ66" s="2"/>
      </tp>
      <tp>
        <v>-19.49399</v>
        <stp/>
        <stp>##V3_BDPV12</stp>
        <stp>VXN Index</stp>
        <stp>CHG_PCT_1M</stp>
        <stp>[Index.xlsm]主要產業!R66C49</stp>
        <tr r="AW66" s="2"/>
      </tp>
      <tp>
        <v>883748865532</v>
        <stp/>
        <stp>##V3_BDPV12</stp>
        <stp>s5util Index</stp>
        <stp>RR902</stp>
        <stp>[Index.xlsm]主要產業!R14C20</stp>
        <tr r="T14" s="2"/>
      </tp>
      <tp>
        <v>-3.2884899999999999</v>
        <stp/>
        <stp>##V3_BDPV12</stp>
        <stp>VXN Index</stp>
        <stp>CHG_PCT_3M</stp>
        <stp>[Index.xlsm]主要產業!R66C50</stp>
        <tr r="AX66" s="2"/>
      </tp>
      <tp>
        <v>10.5983</v>
        <stp/>
        <stp>##V3_BDPV12</stp>
        <stp>VXN Index</stp>
        <stp>CHG_PCT_5D</stp>
        <stp>[Index.xlsm]主要產業!R66C48</stp>
        <tr r="AV66" s="2"/>
      </tp>
      <tp>
        <v>3.57524</v>
        <stp/>
        <stp>##V3_BDPV12</stp>
        <stp>VXN Index</stp>
        <stp>CHG_PCT_6M</stp>
        <stp>[Index.xlsm]主要產業!R66C51</stp>
        <tr r="AY66" s="2"/>
      </tp>
      <tp>
        <v>-6.4816830000000003</v>
        <stp/>
        <stp>##V3_BDPV12</stp>
        <stp>CAT US Equity</stp>
        <stp>PR064</stp>
        <stp>[Index.xlsm]主要產業!R31C34</stp>
        <tr r="AH31" s="2"/>
      </tp>
      <tp>
        <v>1.6555</v>
        <stp/>
        <stp>##V3_BDPV12</stp>
        <stp>usgg2yr Index</stp>
        <stp>PX_LAST</stp>
        <stp>[Index.xlsm]主要產業!R56C42</stp>
        <tr r="AP56" s="2"/>
      </tp>
      <tp>
        <v>36.281737305478451</v>
        <stp/>
        <stp>##V3_BDPV12</stp>
        <stp>NESN SW Equity</stp>
        <stp>INTERVAL_HIGH</stp>
        <stp>[Index.xlsm]主要產業!R67C36</stp>
        <stp>MARKET_DATA_OVERRIDE=PE_RATIO</stp>
        <stp>CALC_INTERVAL=5y</stp>
        <stp>BEST_FPERIOD_OVERRIDE=BF</stp>
        <tr r="AJ67" s="2"/>
      </tp>
      <tp>
        <v>181.2</v>
        <stp/>
        <stp>##V3_BDPV12</stp>
        <stp>MUV2 GR Equity</stp>
        <stp>LOW_52WEEK</stp>
        <stp>[Index.xlsm]主要產業!R62C28</stp>
        <tr r="AB62" s="2"/>
      </tp>
      <tp>
        <v>121989</v>
        <stp/>
        <stp>##V3_BDPV12</stp>
        <stp>xu1 pit Index</stp>
        <stp>OPEN_INT</stp>
        <stp>[Index.xlsm]主要產業!R96C44</stp>
        <tr r="AR96" s="2"/>
      </tp>
      <tp>
        <v>11.24221</v>
        <stp/>
        <stp>##V3_BDPV12</stp>
        <stp>BMY US Equity</stp>
        <stp>PR064</stp>
        <stp>[Index.xlsm]主要產業!R28C34</stp>
        <tr r="AH28" s="2"/>
      </tp>
      <tp t="s">
        <v>US</v>
        <stp/>
        <stp>##V3_BDPV12</stp>
        <stp>BMY US Equity</stp>
        <stp>DS003</stp>
        <stp>[Index.xlsm]主要產業!R28C23</stp>
        <tr r="W28" s="2"/>
      </tp>
      <tp>
        <v>77.739999999999995</v>
        <stp/>
        <stp>##V3_BDPV12</stp>
        <stp>NESN SW Equity</stp>
        <stp>LOW_52WEEK</stp>
        <stp>[Index.xlsm]主要產業!R67C28</stp>
        <tr r="AB67" s="2"/>
      </tp>
      <tp>
        <v>9.86</v>
        <stp/>
        <stp>##V3_BDPV12</stp>
        <stp>UBSG SW Equity</stp>
        <stp>LOW_52WEEK</stp>
        <stp>[Index.xlsm]主要產業!R70C28</stp>
        <tr r="AB70" s="2"/>
      </tp>
      <tp>
        <v>65.853164848507944</v>
        <stp/>
        <stp>##V3_BDPV12</stp>
        <stp>UBSG SW Equity</stp>
        <stp>INTERVAL_HIGH</stp>
        <stp>[Index.xlsm]主要產業!R70C36</stp>
        <stp>MARKET_DATA_OVERRIDE=PE_RATIO</stp>
        <stp>CALC_INTERVAL=5y</stp>
        <stp>BEST_FPERIOD_OVERRIDE=BF</stp>
        <tr r="AJ70" s="2"/>
      </tp>
      <tp>
        <v>5.6542363165566654</v>
        <stp/>
        <stp>##V3_BDPV12</stp>
        <stp>C US Equity</stp>
        <stp>INTERVAL_Low</stp>
        <stp>[Index.xlsm]主要產業!R19C37</stp>
        <stp>MARKET_DATA_OVERRIDE=PE_RATIO</stp>
        <stp>CALC_INTERVAL=5y</stp>
        <stp>BEST_FPERIOD_OVERRIDE=BF</stp>
        <tr r="AK19" s="2"/>
      </tp>
      <tp>
        <v>4.428517911897969</v>
        <stp/>
        <stp>##V3_BDPV12</stp>
        <stp>F US Equity</stp>
        <stp>INTERVAL_Low</stp>
        <stp>[Index.xlsm]主要產業!R34C37</stp>
        <stp>MARKET_DATA_OVERRIDE=PE_RATIO</stp>
        <stp>CALC_INTERVAL=5y</stp>
        <stp>BEST_FPERIOD_OVERRIDE=BF</stp>
        <tr r="AK34" s="2"/>
      </tp>
      <tp>
        <v>22.660460589270944</v>
        <stp/>
        <stp>##V3_BDPV12</stp>
        <stp>BBVA SM Equity</stp>
        <stp>INTERVAL_HIGH</stp>
        <stp>[Index.xlsm]主要產業!R65C36</stp>
        <stp>MARKET_DATA_OVERRIDE=PE_RATIO</stp>
        <stp>CALC_INTERVAL=5y</stp>
        <stp>BEST_FPERIOD_OVERRIDE=BF</stp>
        <tr r="AJ65" s="2"/>
      </tp>
      <tp>
        <v>8.5018144116122336</v>
        <stp/>
        <stp>##V3_BDPV12</stp>
        <stp>lmpbds03 comdty</stp>
        <stp>PR064</stp>
        <stp>[Index.xlsm]主要產業!R48C52</stp>
        <tr r="AZ48" s="2"/>
      </tp>
      <tp>
        <v>30901</v>
        <stp/>
        <stp>##V3_BDPV12</stp>
        <stp>tw1  Index</stp>
        <stp>OPEN_INT</stp>
        <stp>[Index.xlsm]主要產業!R97C44</stp>
        <tr r="AR97" s="2"/>
      </tp>
      <tp>
        <v>24.979431632831275</v>
        <stp/>
        <stp>##V3_BDPV12</stp>
        <stp>BHP AU Equity</stp>
        <stp>INTERVAL_HIGH</stp>
        <stp>[Index.xlsm]主要產業!R35C36</stp>
        <stp>MARKET_DATA_OVERRIDE=PE_RATIO</stp>
        <stp>CALC_INTERVAL=5y</stp>
        <stp>BEST_FPERIOD_OVERRIDE=BF</stp>
        <tr r="AJ35" s="2"/>
      </tp>
      <tp>
        <v>475.47399999999999</v>
        <stp/>
        <stp>##V3_BDPV12</stp>
        <stp>NDUEEGF Index</stp>
        <stp>PX_LAST</stp>
        <stp>[Index.xlsm]主要產業!R89C48</stp>
        <tr r="AV89" s="2"/>
      </tp>
      <tp>
        <v>-0.31757232546806335</v>
        <stp/>
        <stp>##V3_BDPV12</stp>
        <stp>EWY US Equity</stp>
        <stp>FD018</stp>
        <stp>[Index.xlsm]主要產業!R88C50</stp>
        <tr r="AX88" s="2"/>
      </tp>
      <tp>
        <v>-4.6100719999999997</v>
        <stp/>
        <stp>##V3_BDPV12</stp>
        <stp>C US Equity</stp>
        <stp>CHG_PCT_1YR</stp>
        <stp>[Index.xlsm]主要產業!R19C35</stp>
        <tr r="AI19" s="2"/>
      </tp>
      <tp>
        <v>963.17606359910371</v>
        <stp/>
        <stp>##V3_BDPV12</stp>
        <stp>DBK GR Equity</stp>
        <stp>INTERVAL_HIGH</stp>
        <stp>[Index.xlsm]主要產業!R63C36</stp>
        <stp>MARKET_DATA_OVERRIDE=PE_RATIO</stp>
        <stp>CALC_INTERVAL=5y</stp>
        <stp>BEST_FPERIOD_OVERRIDE=BF</stp>
        <tr r="AJ63" s="2"/>
      </tp>
      <tp>
        <v>13.157226192829178</v>
        <stp/>
        <stp>##V3_BDPV12</stp>
        <stp>DAI GR Equity</stp>
        <stp>INTERVAL_HIGH</stp>
        <stp>[Index.xlsm]主要產業!R61C36</stp>
        <stp>MARKET_DATA_OVERRIDE=PE_RATIO</stp>
        <stp>CALC_INTERVAL=5y</stp>
        <stp>BEST_FPERIOD_OVERRIDE=BF</stp>
        <tr r="AJ61" s="2"/>
      </tp>
      <tp>
        <v>-2.5208789999999999</v>
        <stp/>
        <stp>##V3_BDPV12</stp>
        <stp>EMR US Equity</stp>
        <stp>PR064</stp>
        <stp>[Index.xlsm]主要產業!R33C34</stp>
        <tr r="AH33" s="2"/>
      </tp>
      <tp t="s">
        <v>US</v>
        <stp/>
        <stp>##V3_BDPV12</stp>
        <stp>EMR US Equity</stp>
        <stp>DS003</stp>
        <stp>[Index.xlsm]主要產業!R33C23</stp>
        <tr r="W33" s="2"/>
      </tp>
      <tp>
        <v>264.49661857175067</v>
        <stp/>
        <stp>##V3_BDPV12</stp>
        <stp>DTE GR Equity</stp>
        <stp>INTERVAL_HIGH</stp>
        <stp>[Index.xlsm]主要產業!R60C36</stp>
        <stp>MARKET_DATA_OVERRIDE=PE_RATIO</stp>
        <stp>CALC_INTERVAL=5y</stp>
        <stp>BEST_FPERIOD_OVERRIDE=BF</stp>
        <tr r="AJ60" s="2"/>
      </tp>
      <tp>
        <v>7.4658840000000004E-2</v>
        <stp/>
        <stp>##V3_BDPV12</stp>
        <stp>XIN9I INDEX</stp>
        <stp>CHG_PCT_1D</stp>
        <stp>[Index.xlsm]主要產業!R22C43</stp>
        <tr r="AQ22" s="2"/>
      </tp>
      <tp>
        <v>1.4745459999999999</v>
        <stp/>
        <stp>##V3_BDPV12</stp>
        <stp>XIN9I INDEX</stp>
        <stp>CHG_PCT_1M</stp>
        <stp>[Index.xlsm]主要產業!R22C49</stp>
        <tr r="AW22" s="2"/>
      </tp>
      <tp>
        <v>0.71663169999999998</v>
        <stp/>
        <stp>##V3_BDPV12</stp>
        <stp>XIN9I INDEX</stp>
        <stp>CHG_PCT_3M</stp>
        <stp>[Index.xlsm]主要產業!R22C50</stp>
        <tr r="AX22" s="2"/>
      </tp>
      <tp>
        <v>-0.68148600000000004</v>
        <stp/>
        <stp>##V3_BDPV12</stp>
        <stp>XIN9I INDEX</stp>
        <stp>CHG_PCT_5D</stp>
        <stp>[Index.xlsm]主要產業!R22C48</stp>
        <tr r="AV22" s="2"/>
      </tp>
      <tp>
        <v>8.6295590000000004</v>
        <stp/>
        <stp>##V3_BDPV12</stp>
        <stp>XIN9I INDEX</stp>
        <stp>CHG_PCT_6M</stp>
        <stp>[Index.xlsm]主要產業!R22C51</stp>
        <tr r="AY22" s="2"/>
      </tp>
      <tp>
        <v>126.6435</v>
        <stp/>
        <stp>##V3_BDPV12</stp>
        <stp>EMLCTRUU Index</stp>
        <stp>LOW_52WEEK</stp>
        <stp>[Index.xlsm]主要產業!R36C46</stp>
        <tr r="AT36" s="2"/>
      </tp>
      <tp>
        <v>-15.42306</v>
        <stp/>
        <stp>##V3_BDPV12</stp>
        <stp>FP FP Equity</stp>
        <stp>CHG_PCT_1YR</stp>
        <stp>[Index.xlsm]主要產業!R36C35</stp>
        <tr r="AI36" s="2"/>
      </tp>
      <tp>
        <v>-1.3517969999999999</v>
        <stp/>
        <stp>##V3_BDPV12</stp>
        <stp>TWSEDEPT Index</stp>
        <stp>CHG_PCT_5D</stp>
        <stp>[Index.xlsm]主要產業!R85C10</stp>
        <tr r="J85" s="2"/>
      </tp>
      <tp>
        <v>-0.1959727</v>
        <stp/>
        <stp>##V3_BDPV12</stp>
        <stp>TWSEDEPT Index</stp>
        <stp>CHG_PCT_6M</stp>
        <stp>[Index.xlsm]主要產業!R85C13</stp>
        <tr r="M85" s="2"/>
      </tp>
      <tp>
        <v>2.2774869999999998</v>
        <stp/>
        <stp>##V3_BDPV12</stp>
        <stp>TWSEDEPT Index</stp>
        <stp>CHG_PCT_1M</stp>
        <stp>[Index.xlsm]主要產業!R85C11</stp>
        <tr r="K85" s="2"/>
      </tp>
      <tp>
        <v>-2.5049869999999999</v>
        <stp/>
        <stp>##V3_BDPV12</stp>
        <stp>TWSEDEPT Index</stp>
        <stp>CHG_PCT_3M</stp>
        <stp>[Index.xlsm]主要產業!R85C12</stp>
        <tr r="L85" s="2"/>
      </tp>
      <tp>
        <v>1024.68</v>
        <stp/>
        <stp>##V3_BDPV12</stp>
        <stp xml:space="preserve">VNINDEX INDEX </stp>
        <stp>HIGH_52WEEK</stp>
        <stp>[Index.xlsm]主要產業!R28C44</stp>
        <tr r="AR28" s="2"/>
      </tp>
      <tp>
        <v>24.226993865030675</v>
        <stp/>
        <stp>##V3_BDPV12</stp>
        <stp>WMT US Equity</stp>
        <stp>INTERVAL_HIGH</stp>
        <stp>[Index.xlsm]主要產業!R17C36</stp>
        <stp>MARKET_DATA_OVERRIDE=PE_RATIO</stp>
        <stp>CALC_INTERVAL=5y</stp>
        <stp>BEST_FPERIOD_OVERRIDE=BF</stp>
        <tr r="AJ17" s="2"/>
      </tp>
      <tp>
        <v>320.81659999999999</v>
        <stp/>
        <stp>##V3_BDPV12</stp>
        <stp>NDEUSTW Index</stp>
        <stp>PX_LAST</stp>
        <stp>[Index.xlsm]主要產業!R87C48</stp>
        <tr r="AV87" s="2"/>
      </tp>
      <tp>
        <v>-0.34590110000000002</v>
        <stp/>
        <stp>##V3_BDPV12</stp>
        <stp>000651 CS Equity</stp>
        <stp>CHG_PCT_1D</stp>
        <stp>[Index.xlsm]主要產業!R91C25</stp>
        <tr r="Y91" s="2"/>
      </tp>
      <tp>
        <v>4.1011769999999999</v>
        <stp/>
        <stp>##V3_BDPV12</stp>
        <stp>000651 CS Equity</stp>
        <stp>CHG_PCT_1M</stp>
        <stp>[Index.xlsm]主要產業!R91C31</stp>
        <tr r="AE91" s="2"/>
      </tp>
      <tp>
        <v>4.7826849999999999</v>
        <stp/>
        <stp>##V3_BDPV12</stp>
        <stp>000651 CS Equity</stp>
        <stp>CHG_PCT_3M</stp>
        <stp>[Index.xlsm]主要產業!R91C32</stp>
        <tr r="AF91" s="2"/>
      </tp>
      <tp>
        <v>-1.4874339999999999</v>
        <stp/>
        <stp>##V3_BDPV12</stp>
        <stp>000651 CS Equity</stp>
        <stp>CHG_PCT_5D</stp>
        <stp>[Index.xlsm]主要產業!R91C30</stp>
        <tr r="AD91" s="2"/>
      </tp>
      <tp>
        <v>26.359649999999998</v>
        <stp/>
        <stp>##V3_BDPV12</stp>
        <stp>000651 CS Equity</stp>
        <stp>CHG_PCT_6M</stp>
        <stp>[Index.xlsm]主要產業!R91C33</stp>
        <tr r="AG91" s="2"/>
      </tp>
      <tp>
        <v>1.2992859999999999</v>
        <stp/>
        <stp>##V3_BDPV12</stp>
        <stp>000858 CS Equity</stp>
        <stp>CHG_PCT_1M</stp>
        <stp>[Index.xlsm]主要產業!R93C31</stp>
        <tr r="AE93" s="2"/>
      </tp>
      <tp>
        <v>-1.7870220000000001</v>
        <stp/>
        <stp>##V3_BDPV12</stp>
        <stp>000858 CS Equity</stp>
        <stp>CHG_PCT_1D</stp>
        <stp>[Index.xlsm]主要產業!R93C25</stp>
        <tr r="Y93" s="2"/>
      </tp>
      <tp>
        <v>14.32225</v>
        <stp/>
        <stp>##V3_BDPV12</stp>
        <stp>000858 CS Equity</stp>
        <stp>CHG_PCT_3M</stp>
        <stp>[Index.xlsm]主要產業!R93C32</stp>
        <tr r="AF93" s="2"/>
      </tp>
      <tp>
        <v>-0.60776759999999996</v>
        <stp/>
        <stp>##V3_BDPV12</stp>
        <stp>000858 CS Equity</stp>
        <stp>CHG_PCT_5D</stp>
        <stp>[Index.xlsm]主要產業!R93C30</stp>
        <tr r="AD93" s="2"/>
      </tp>
      <tp>
        <v>52.420999999999999</v>
        <stp/>
        <stp>##V3_BDPV12</stp>
        <stp>000858 CS Equity</stp>
        <stp>CHG_PCT_6M</stp>
        <stp>[Index.xlsm]主要產業!R93C33</stp>
        <tr r="AG93" s="2"/>
      </tp>
      <tp>
        <v>-3.165448</v>
        <stp/>
        <stp>##V3_BDPV12</stp>
        <stp>SH000909 Index</stp>
        <stp>CHG_PCT_5D</stp>
        <stp>[Index.xlsm]主要產業!R54C10</stp>
        <tr r="J54" s="2"/>
      </tp>
      <tp>
        <v>3.7446809999999999</v>
        <stp/>
        <stp>##V3_BDPV12</stp>
        <stp>CSGN SW Equity</stp>
        <stp>PR064</stp>
        <stp>[Index.xlsm]主要產業!R71C34</stp>
        <tr r="AH71" s="2"/>
      </tp>
      <tp>
        <v>-2.2330990000000002</v>
        <stp/>
        <stp>##V3_BDPV12</stp>
        <stp>SH000908 Index</stp>
        <stp>CHG_PCT_5D</stp>
        <stp>[Index.xlsm]主要產業!R53C10</stp>
        <tr r="J53" s="2"/>
      </tp>
      <tp>
        <v>-9.7770630000000001</v>
        <stp/>
        <stp>##V3_BDPV12</stp>
        <stp>SH000908 Index</stp>
        <stp>CHG_PCT_6M</stp>
        <stp>[Index.xlsm]主要產業!R53C13</stp>
        <tr r="M53" s="2"/>
      </tp>
      <tp>
        <v>-9.2966339999999992</v>
        <stp/>
        <stp>##V3_BDPV12</stp>
        <stp>SH000909 Index</stp>
        <stp>CHG_PCT_6M</stp>
        <stp>[Index.xlsm]主要產業!R54C13</stp>
        <tr r="M54" s="2"/>
      </tp>
      <tp>
        <v>-7.4038389999999996E-2</v>
        <stp/>
        <stp>##V3_BDPV12</stp>
        <stp>SH000909 Index</stp>
        <stp>CHG_PCT_1M</stp>
        <stp>[Index.xlsm]主要產業!R54C11</stp>
        <tr r="K54" s="2"/>
      </tp>
      <tp>
        <v>1.5288930000000001</v>
        <stp/>
        <stp>##V3_BDPV12</stp>
        <stp>SH000908 Index</stp>
        <stp>CHG_PCT_1M</stp>
        <stp>[Index.xlsm]主要產業!R53C11</stp>
        <tr r="K53" s="2"/>
      </tp>
      <tp t="s">
        <v>SZ</v>
        <stp/>
        <stp>##V3_BDPV12</stp>
        <stp>CSGN SW Equity</stp>
        <stp>DS003</stp>
        <stp>[Index.xlsm]主要產業!R71C23</stp>
        <tr r="W71" s="2"/>
      </tp>
      <tp>
        <v>-4.9787939999999997</v>
        <stp/>
        <stp>##V3_BDPV12</stp>
        <stp>SH000909 Index</stp>
        <stp>CHG_PCT_3M</stp>
        <stp>[Index.xlsm]主要產業!R54C12</stp>
        <tr r="L54" s="2"/>
      </tp>
      <tp>
        <v>-7.0053229999999997</v>
        <stp/>
        <stp>##V3_BDPV12</stp>
        <stp>SH000908 Index</stp>
        <stp>CHG_PCT_3M</stp>
        <stp>[Index.xlsm]主要產業!R53C12</stp>
        <tr r="L53" s="2"/>
      </tp>
      <tp>
        <v>4.9312560000000003</v>
        <stp/>
        <stp>##V3_BDPV12</stp>
        <stp>EMUSTRUU Index</stp>
        <stp>CHG_PCT_6M</stp>
        <stp>[Index.xlsm]主要產業!R35C51</stp>
        <tr r="AY35" s="2"/>
      </tp>
      <tp>
        <v>-0.1749319</v>
        <stp/>
        <stp>##V3_BDPV12</stp>
        <stp>EMUSTRUU Index</stp>
        <stp>CHG_PCT_5D</stp>
        <stp>[Index.xlsm]主要產業!R35C48</stp>
        <tr r="AV35" s="2"/>
      </tp>
      <tp>
        <v>1.2280450000000001</v>
        <stp/>
        <stp>##V3_BDPV12</stp>
        <stp>EMUSTRUU Index</stp>
        <stp>CHG_PCT_3M</stp>
        <stp>[Index.xlsm]主要產業!R35C50</stp>
        <tr r="AX35" s="2"/>
      </tp>
      <tp>
        <v>-7.1024340000000005E-2</v>
        <stp/>
        <stp>##V3_BDPV12</stp>
        <stp>EMUSTRUU Index</stp>
        <stp>CHG_PCT_1M</stp>
        <stp>[Index.xlsm]主要產業!R35C49</stp>
        <tr r="AW35" s="2"/>
      </tp>
      <tp>
        <v>-0.36219509999999999</v>
        <stp/>
        <stp>##V3_BDPV12</stp>
        <stp>EMUSTRUU Index</stp>
        <stp>CHG_PCT_1D</stp>
        <stp>[Index.xlsm]主要產業!R35C43</stp>
        <tr r="AQ35" s="2"/>
      </tp>
      <tp t="s">
        <v>NE</v>
        <stp/>
        <stp>##V3_BDPV12</stp>
        <stp>INGA NA Equity</stp>
        <stp>DS003</stp>
        <stp>[Index.xlsm]主要產業!R76C23</stp>
        <tr r="W76" s="2"/>
      </tp>
      <tp>
        <v>-9.0265660000000008</v>
        <stp/>
        <stp>##V3_BDPV12</stp>
        <stp>GS US Equity</stp>
        <stp>CHG_PCT_1YR</stp>
        <stp>[Index.xlsm]主要產業!R30C35</stp>
        <tr r="AI30" s="2"/>
      </tp>
      <tp>
        <v>-10.649900000000001</v>
        <stp/>
        <stp>##V3_BDPV12</stp>
        <stp>MS US Equity</stp>
        <stp>CHG_PCT_1YR</stp>
        <stp>[Index.xlsm]主要產業!R32C35</stp>
        <tr r="AI32" s="2"/>
      </tp>
      <tp>
        <v>-2.2471869999999998</v>
        <stp/>
        <stp>##V3_BDPV12</stp>
        <stp>CS FP Equity</stp>
        <stp>CHG_PCT_1YR</stp>
        <stp>[Index.xlsm]主要產業!R41C35</stp>
        <tr r="AI41" s="2"/>
      </tp>
      <tp>
        <v>-7.421951</v>
        <stp/>
        <stp>##V3_BDPV12</stp>
        <stp>INGA NA Equity</stp>
        <stp>PR064</stp>
        <stp>[Index.xlsm]主要產業!R76C34</stp>
        <tr r="AH76" s="2"/>
      </tp>
      <tp>
        <v>12.745826277933627</v>
        <stp/>
        <stp>##V3_BDPV12</stp>
        <stp>GLE FP Equity</stp>
        <stp>INTERVAL_HIGH</stp>
        <stp>[Index.xlsm]主要產業!R43C36</stp>
        <stp>MARKET_DATA_OVERRIDE=PE_RATIO</stp>
        <stp>CALC_INTERVAL=5y</stp>
        <stp>BEST_FPERIOD_OVERRIDE=BF</stp>
        <tr r="AJ43" s="2"/>
      </tp>
      <tp>
        <v>23.510922479412269</v>
        <stp/>
        <stp>##V3_BDPV12</stp>
        <stp>ROG SW Equity</stp>
        <stp>INTERVAL_HIGH</stp>
        <stp>[Index.xlsm]主要產業!R69C36</stp>
        <stp>MARKET_DATA_OVERRIDE=PE_RATIO</stp>
        <stp>CALC_INTERVAL=5y</stp>
        <stp>BEST_FPERIOD_OVERRIDE=BF</stp>
        <tr r="AJ69" s="2"/>
      </tp>
      <tp>
        <v>23.463946594496257</v>
        <stp/>
        <stp>##V3_BDPV12</stp>
        <stp>RO SW Equity</stp>
        <stp>INTERVAL_HIGH</stp>
        <stp>[Index.xlsm]主要產業!R73C36</stp>
        <stp>MARKET_DATA_OVERRIDE=PE_RATIO</stp>
        <stp>CALC_INTERVAL=5y</stp>
        <stp>BEST_FPERIOD_OVERRIDE=BF</stp>
        <tr r="AJ73" s="2"/>
      </tp>
      <tp>
        <v>26.341144608288094</v>
        <stp/>
        <stp>##V3_BDPV12</stp>
        <stp>TXN US Equity</stp>
        <stp>INTERVAL_HIGH</stp>
        <stp>[Index.xlsm]主要產業!R22C36</stp>
        <stp>MARKET_DATA_OVERRIDE=PE_RATIO</stp>
        <stp>CALC_INTERVAL=5y</stp>
        <stp>BEST_FPERIOD_OVERRIDE=BF</stp>
        <tr r="AJ22" s="2"/>
      </tp>
      <tp>
        <v>-4.2524959999999998</v>
        <stp/>
        <stp>##V3_BDPV12</stp>
        <stp>BBVA SM Equity</stp>
        <stp>CHG_PCT_3M</stp>
        <stp>[Index.xlsm]主要產業!R65C32</stp>
        <tr r="AF65" s="2"/>
      </tp>
      <tp>
        <v>0.39563730000000003</v>
        <stp/>
        <stp>##V3_BDPV12</stp>
        <stp>BBVA SM Equity</stp>
        <stp>CHG_PCT_1D</stp>
        <stp>[Index.xlsm]主要產業!R65C25</stp>
        <tr r="Y65" s="2"/>
      </tp>
      <tp>
        <v>9.4161479999999997</v>
        <stp/>
        <stp>##V3_BDPV12</stp>
        <stp>BBVA SM Equity</stp>
        <stp>CHG_PCT_1M</stp>
        <stp>[Index.xlsm]主要產業!R65C31</stp>
        <tr r="AE65" s="2"/>
      </tp>
      <tp>
        <v>-8.2388619999999992</v>
        <stp/>
        <stp>##V3_BDPV12</stp>
        <stp>BBVA SM Equity</stp>
        <stp>CHG_PCT_6M</stp>
        <stp>[Index.xlsm]主要產業!R65C33</stp>
        <tr r="AG65" s="2"/>
      </tp>
      <tp>
        <v>-1.8810739999999999</v>
        <stp/>
        <stp>##V3_BDPV12</stp>
        <stp>BBVA SM Equity</stp>
        <stp>CHG_PCT_5D</stp>
        <stp>[Index.xlsm]主要產業!R65C30</stp>
        <tr r="AD65" s="2"/>
      </tp>
      <tp>
        <v>71.691640000000007</v>
        <stp/>
        <stp>##V3_BDPV12</stp>
        <stp>NOVN SW Equity</stp>
        <stp>LOW_52WEEK</stp>
        <stp>[Index.xlsm]主要產業!R68C28</stp>
        <tr r="AB68" s="2"/>
      </tp>
      <tp>
        <v>5.8590540000000004</v>
        <stp/>
        <stp>##V3_BDPV12</stp>
        <stp>SREN SW Equity</stp>
        <stp>PR064</stp>
        <stp>[Index.xlsm]主要產業!R72C34</stp>
        <tr r="AH72" s="2"/>
      </tp>
      <tp t="s">
        <v>SZ</v>
        <stp/>
        <stp>##V3_BDPV12</stp>
        <stp>SREN SW Equity</stp>
        <stp>DS003</stp>
        <stp>[Index.xlsm]主要產業!R72C23</stp>
        <tr r="W72" s="2"/>
      </tp>
      <tp>
        <v>89.753912487984195</v>
        <stp/>
        <stp>##V3_BDPV12</stp>
        <stp>MUV2 GR Equity</stp>
        <stp>INTERVAL_HIGH</stp>
        <stp>[Index.xlsm]主要產業!R62C36</stp>
        <stp>MARKET_DATA_OVERRIDE=PE_RATIO</stp>
        <stp>CALC_INTERVAL=5y</stp>
        <stp>BEST_FPERIOD_OVERRIDE=BF</stp>
        <tr r="AJ62" s="2"/>
      </tp>
      <tp>
        <v>-2.9439820000000001</v>
        <stp/>
        <stp>##V3_BDPV12</stp>
        <stp>SH000911 Index</stp>
        <stp>CHG_PCT_5D</stp>
        <stp>[Index.xlsm]主要產業!R51C10</stp>
        <tr r="J51" s="2"/>
      </tp>
      <tp>
        <v>3.9078870000000001</v>
        <stp/>
        <stp>##V3_BDPV12</stp>
        <stp>SH000915 Index</stp>
        <stp>CHG_PCT_1M</stp>
        <stp>[Index.xlsm]主要產業!R52C11</stp>
        <tr r="K52" s="2"/>
      </tp>
      <tp>
        <v>27.28716</v>
        <stp/>
        <stp>##V3_BDPV12</stp>
        <stp>SH000912 Index</stp>
        <stp>CHG_PCT_6M</stp>
        <stp>[Index.xlsm]主要產業!R50C13</stp>
        <tr r="M50" s="2"/>
      </tp>
      <tp>
        <v>1.292206</v>
        <stp/>
        <stp>##V3_BDPV12</stp>
        <stp>SH000917 Index</stp>
        <stp>CHG_PCT_3M</stp>
        <stp>[Index.xlsm]主要產業!R56C12</stp>
        <tr r="L56" s="2"/>
      </tp>
      <tp>
        <v>-3.0079410000000002</v>
        <stp/>
        <stp>##V3_BDPV12</stp>
        <stp>SH000910 Index</stp>
        <stp>CHG_PCT_5D</stp>
        <stp>[Index.xlsm]主要產業!R49C10</stp>
        <tr r="J49" s="2"/>
      </tp>
      <tp>
        <v>1.2760210000000001</v>
        <stp/>
        <stp>##V3_BDPV12</stp>
        <stp>SH000914 Index</stp>
        <stp>CHG_PCT_1M</stp>
        <stp>[Index.xlsm]主要產業!R48C11</stp>
        <tr r="K48" s="2"/>
      </tp>
      <tp>
        <v>2.384811</v>
        <stp/>
        <stp>##V3_BDPV12</stp>
        <stp>SH000913 Index</stp>
        <stp>CHG_PCT_6M</stp>
        <stp>[Index.xlsm]主要產業!R55C13</stp>
        <tr r="M55" s="2"/>
      </tp>
      <tp>
        <v>1.780581</v>
        <stp/>
        <stp>##V3_BDPV12</stp>
        <stp>SH000916 Index</stp>
        <stp>CHG_PCT_3M</stp>
        <stp>[Index.xlsm]主要產業!R57C12</stp>
        <tr r="L57" s="2"/>
      </tp>
      <tp>
        <v>-1.5968009999999999</v>
        <stp/>
        <stp>##V3_BDPV12</stp>
        <stp>SH000913 Index</stp>
        <stp>CHG_PCT_5D</stp>
        <stp>[Index.xlsm]主要產業!R55C10</stp>
        <tr r="J55" s="2"/>
      </tp>
      <tp>
        <v>-4.492305</v>
        <stp/>
        <stp>##V3_BDPV12</stp>
        <stp>SH000917 Index</stp>
        <stp>CHG_PCT_1M</stp>
        <stp>[Index.xlsm]主要產業!R56C11</stp>
        <tr r="K56" s="2"/>
      </tp>
      <tp>
        <v>-5.7839650000000002</v>
        <stp/>
        <stp>##V3_BDPV12</stp>
        <stp>SH000910 Index</stp>
        <stp>CHG_PCT_6M</stp>
        <stp>[Index.xlsm]主要產業!R49C13</stp>
        <tr r="M49" s="2"/>
      </tp>
      <tp>
        <v>14.16272</v>
        <stp/>
        <stp>##V3_BDPV12</stp>
        <stp>SH000915 Index</stp>
        <stp>CHG_PCT_3M</stp>
        <stp>[Index.xlsm]主要產業!R52C12</stp>
        <tr r="L52" s="2"/>
      </tp>
      <tp>
        <v>4.2682929999999999</v>
        <stp/>
        <stp>##V3_BDPV12</stp>
        <stp>SMSN LI Equity</stp>
        <stp>PR064</stp>
        <stp>[Index.xlsm]主要產業!R86C34</stp>
        <tr r="AH86" s="2"/>
      </tp>
      <tp>
        <v>-1.9662729999999999</v>
        <stp/>
        <stp>##V3_BDPV12</stp>
        <stp>SH000912 Index</stp>
        <stp>CHG_PCT_5D</stp>
        <stp>[Index.xlsm]主要產業!R50C10</stp>
        <tr r="J50" s="2"/>
      </tp>
      <tp>
        <v>4.4557729999999998</v>
        <stp/>
        <stp>##V3_BDPV12</stp>
        <stp>SH000916 Index</stp>
        <stp>CHG_PCT_1M</stp>
        <stp>[Index.xlsm]主要產業!R57C11</stp>
        <tr r="K57" s="2"/>
      </tp>
      <tp>
        <v>-2.7121189999999999</v>
        <stp/>
        <stp>##V3_BDPV12</stp>
        <stp>SH000914 Index</stp>
        <stp>CHG_PCT_3M</stp>
        <stp>[Index.xlsm]主要產業!R48C12</stp>
        <tr r="L48" s="2"/>
      </tp>
      <tp>
        <v>2.9158930000000001</v>
        <stp/>
        <stp>##V3_BDPV12</stp>
        <stp>SH000911 Index</stp>
        <stp>CHG_PCT_6M</stp>
        <stp>[Index.xlsm]主要產業!R51C13</stp>
        <tr r="M51" s="2"/>
      </tp>
      <tp t="s">
        <v>SK</v>
        <stp/>
        <stp>##V3_BDPV12</stp>
        <stp>SMSN LI Equity</stp>
        <stp>DS003</stp>
        <stp>[Index.xlsm]主要產業!R86C23</stp>
        <tr r="W86" s="2"/>
      </tp>
      <tp>
        <v>-4.5360389999999997</v>
        <stp/>
        <stp>##V3_BDPV12</stp>
        <stp>SH000915 Index</stp>
        <stp>CHG_PCT_5D</stp>
        <stp>[Index.xlsm]主要產業!R52C10</stp>
        <tr r="J52" s="2"/>
      </tp>
      <tp>
        <v>-3.072103E-2</v>
        <stp/>
        <stp>##V3_BDPV12</stp>
        <stp>SH000911 Index</stp>
        <stp>CHG_PCT_1M</stp>
        <stp>[Index.xlsm]主要產業!R51C11</stp>
        <tr r="K51" s="2"/>
      </tp>
      <tp>
        <v>1.14009</v>
        <stp/>
        <stp>##V3_BDPV12</stp>
        <stp>SH000916 Index</stp>
        <stp>CHG_PCT_6M</stp>
        <stp>[Index.xlsm]主要產業!R57C13</stp>
        <tr r="M57" s="2"/>
      </tp>
      <tp>
        <v>7.2432540000000003</v>
        <stp/>
        <stp>##V3_BDPV12</stp>
        <stp>SH000913 Index</stp>
        <stp>CHG_PCT_3M</stp>
        <stp>[Index.xlsm]主要產業!R55C12</stp>
        <tr r="L55" s="2"/>
      </tp>
      <tp>
        <v>-0.96873100000000001</v>
        <stp/>
        <stp>##V3_BDPV12</stp>
        <stp>SH000914 Index</stp>
        <stp>CHG_PCT_5D</stp>
        <stp>[Index.xlsm]主要產業!R48C10</stp>
        <tr r="J48" s="2"/>
      </tp>
      <tp>
        <v>0.1034823</v>
        <stp/>
        <stp>##V3_BDPV12</stp>
        <stp>SH000910 Index</stp>
        <stp>CHG_PCT_1M</stp>
        <stp>[Index.xlsm]主要產業!R49C11</stp>
        <tr r="K49" s="2"/>
      </tp>
      <tp>
        <v>0.42037950000000002</v>
        <stp/>
        <stp>##V3_BDPV12</stp>
        <stp>SH000917 Index</stp>
        <stp>CHG_PCT_6M</stp>
        <stp>[Index.xlsm]主要產業!R56C13</stp>
        <tr r="M56" s="2"/>
      </tp>
      <tp>
        <v>4.8594080000000002</v>
        <stp/>
        <stp>##V3_BDPV12</stp>
        <stp>SH000912 Index</stp>
        <stp>CHG_PCT_3M</stp>
        <stp>[Index.xlsm]主要產業!R50C12</stp>
        <tr r="L50" s="2"/>
      </tp>
      <tp>
        <v>-1.2404500000000001</v>
        <stp/>
        <stp>##V3_BDPV12</stp>
        <stp>SH000917 Index</stp>
        <stp>CHG_PCT_5D</stp>
        <stp>[Index.xlsm]主要產業!R56C10</stp>
        <tr r="J56" s="2"/>
      </tp>
      <tp>
        <v>-0.58712120000000001</v>
        <stp/>
        <stp>##V3_BDPV12</stp>
        <stp>SH000913 Index</stp>
        <stp>CHG_PCT_1M</stp>
        <stp>[Index.xlsm]主要產業!R55C11</stp>
        <tr r="K55" s="2"/>
      </tp>
      <tp>
        <v>2.1462850000000002</v>
        <stp/>
        <stp>##V3_BDPV12</stp>
        <stp>SH000914 Index</stp>
        <stp>CHG_PCT_6M</stp>
        <stp>[Index.xlsm]主要產業!R48C13</stp>
        <tr r="M48" s="2"/>
      </tp>
      <tp>
        <v>-1.2844309999999999E-2</v>
        <stp/>
        <stp>##V3_BDPV12</stp>
        <stp>SH000911 Index</stp>
        <stp>CHG_PCT_3M</stp>
        <stp>[Index.xlsm]主要產業!R51C12</stp>
        <tr r="L51" s="2"/>
      </tp>
      <tp>
        <v>-4.9847460000000003</v>
        <stp/>
        <stp>##V3_BDPV12</stp>
        <stp>SH000916 Index</stp>
        <stp>CHG_PCT_5D</stp>
        <stp>[Index.xlsm]主要產業!R57C10</stp>
        <tr r="J57" s="2"/>
      </tp>
      <tp>
        <v>-1.0112540000000001</v>
        <stp/>
        <stp>##V3_BDPV12</stp>
        <stp>SH000912 Index</stp>
        <stp>CHG_PCT_1M</stp>
        <stp>[Index.xlsm]主要產業!R50C11</stp>
        <tr r="K50" s="2"/>
      </tp>
      <tp>
        <v>-3.5449310000000001</v>
        <stp/>
        <stp>##V3_BDPV12</stp>
        <stp>SH000910 Index</stp>
        <stp>CHG_PCT_3M</stp>
        <stp>[Index.xlsm]主要產業!R49C12</stp>
        <tr r="L49" s="2"/>
      </tp>
      <tp>
        <v>2.4960710000000002</v>
        <stp/>
        <stp>##V3_BDPV12</stp>
        <stp>SH000915 Index</stp>
        <stp>CHG_PCT_6M</stp>
        <stp>[Index.xlsm]主要產業!R52C13</stp>
        <tr r="M52" s="2"/>
      </tp>
      <tp>
        <v>20.721150000000002</v>
        <stp/>
        <stp>##V3_BDPV12</stp>
        <stp>OR FP Equity</stp>
        <stp>CHG_PCT_1YR</stp>
        <stp>[Index.xlsm]主要產業!R39C35</stp>
        <tr r="AI39" s="2"/>
      </tp>
      <tp>
        <v>3.64</v>
        <stp/>
        <stp>##V3_BDPV12</stp>
        <stp>NMCMFUS Index</stp>
        <stp>PX_LAST</stp>
        <stp>[Index.xlsm]主要產業!R64C42</stp>
        <tr r="AP64" s="2"/>
      </tp>
      <tp>
        <v>14.185556825167863</v>
        <stp/>
        <stp>##V3_BDPV12</stp>
        <stp>SAN SM Equity</stp>
        <stp>INTERVAL_HIGH</stp>
        <stp>[Index.xlsm]主要產業!R64C36</stp>
        <stp>MARKET_DATA_OVERRIDE=PE_RATIO</stp>
        <stp>CALC_INTERVAL=5y</stp>
        <stp>BEST_FPERIOD_OVERRIDE=BF</stp>
        <tr r="AJ64" s="2"/>
      </tp>
      <tp>
        <v>19.56581294515308</v>
        <stp/>
        <stp>##V3_BDPV12</stp>
        <stp>UTX US Equity</stp>
        <stp>INTERVAL_HIGH</stp>
        <stp>[Index.xlsm]主要產業!R25C36</stp>
        <stp>MARKET_DATA_OVERRIDE=PE_RATIO</stp>
        <stp>CALC_INTERVAL=5y</stp>
        <stp>BEST_FPERIOD_OVERRIDE=BF</stp>
        <tr r="AJ25" s="2"/>
      </tp>
      <tp>
        <v>-0.38834950000000001</v>
        <stp/>
        <stp>##V3_BDPV12</stp>
        <stp>SMSN LI Equity</stp>
        <stp>CHG_PCT_5D</stp>
        <stp>[Index.xlsm]主要產業!R86C30</stp>
        <tr r="AD86" s="2"/>
      </tp>
      <tp>
        <v>3.951368</v>
        <stp/>
        <stp>##V3_BDPV12</stp>
        <stp>SMSN LI Equity</stp>
        <stp>CHG_PCT_6M</stp>
        <stp>[Index.xlsm]主要產業!R86C33</stp>
        <tr r="AG86" s="2"/>
      </tp>
      <tp>
        <v>14.829319999999999</v>
        <stp/>
        <stp>##V3_BDPV12</stp>
        <stp>SMSN LI Equity</stp>
        <stp>CHG_PCT_1M</stp>
        <stp>[Index.xlsm]主要產業!R86C31</stp>
        <tr r="AE86" s="2"/>
      </tp>
      <tp>
        <v>0.686948</v>
        <stp/>
        <stp>##V3_BDPV12</stp>
        <stp>SMSN LI Equity</stp>
        <stp>CHG_PCT_1D</stp>
        <stp>[Index.xlsm]主要產業!R86C25</stp>
        <tr r="Y86" s="2"/>
      </tp>
      <tp>
        <v>4.2682929999999999</v>
        <stp/>
        <stp>##V3_BDPV12</stp>
        <stp>SMSN LI Equity</stp>
        <stp>CHG_PCT_3M</stp>
        <stp>[Index.xlsm]主要產業!R86C32</stp>
        <tr r="AF86" s="2"/>
      </tp>
      <tp>
        <v>-4.1948119999999998</v>
        <stp/>
        <stp>##V3_BDPV12</stp>
        <stp>CRY Index</stp>
        <stp>CHG_PCT_6M</stp>
        <stp>[Index.xlsm]主要產業!R42C51</stp>
        <tr r="AY42" s="2"/>
      </tp>
      <tp>
        <v>-0.86462430000000001</v>
        <stp/>
        <stp>##V3_BDPV12</stp>
        <stp>CRY Index</stp>
        <stp>CHG_PCT_5D</stp>
        <stp>[Index.xlsm]主要產業!R42C48</stp>
        <tr r="AV42" s="2"/>
      </tp>
      <tp>
        <v>-3.4244889999999999</v>
        <stp/>
        <stp>##V3_BDPV12</stp>
        <stp>CRY Index</stp>
        <stp>CHG_PCT_3M</stp>
        <stp>[Index.xlsm]主要產業!R42C50</stp>
        <tr r="AX42" s="2"/>
      </tp>
      <tp>
        <v>3.8465449999999999</v>
        <stp/>
        <stp>##V3_BDPV12</stp>
        <stp>CRY Index</stp>
        <stp>CHG_PCT_1M</stp>
        <stp>[Index.xlsm]主要產業!R42C49</stp>
        <tr r="AW42" s="2"/>
      </tp>
      <tp>
        <v>-0.23115289999999999</v>
        <stp/>
        <stp>##V3_BDPV12</stp>
        <stp>CRY Index</stp>
        <stp>CHG_PCT_1D</stp>
        <stp>[Index.xlsm]主要產業!R42C43</stp>
        <tr r="AQ42" s="2"/>
      </tp>
      <tp>
        <v>-14.14532</v>
        <stp/>
        <stp>##V3_BDPV12</stp>
        <stp>PRU LN Equity</stp>
        <stp>PR064</stp>
        <stp>[Index.xlsm]主要產業!R52C34</stp>
        <tr r="AH52" s="2"/>
      </tp>
      <tp t="s">
        <v>GB</v>
        <stp/>
        <stp>##V3_BDPV12</stp>
        <stp>PRU LN Equity</stp>
        <stp>DS003</stp>
        <stp>[Index.xlsm]主要產業!R52C23</stp>
        <tr r="W52" s="2"/>
      </tp>
      <tp t="s">
        <v>US</v>
        <stp/>
        <stp>##V3_BDPV12</stp>
        <stp>IBM US Equity</stp>
        <stp>DS003</stp>
        <stp>[Index.xlsm]主要產業!R20C23</stp>
        <tr r="W20" s="2"/>
      </tp>
      <tp>
        <v>3.6312410000000002</v>
        <stp/>
        <stp>##V3_BDPV12</stp>
        <stp>IBM US Equity</stp>
        <stp>PR064</stp>
        <stp>[Index.xlsm]主要產業!R20C34</stp>
        <tr r="AH20" s="2"/>
      </tp>
      <tp>
        <v>514.20000000000005</v>
        <stp/>
        <stp>##V3_BDPV12</stp>
        <stp>STAN LN Equity</stp>
        <stp>LOW_52WEEK</stp>
        <stp>[Index.xlsm]主要產業!R55C28</stp>
        <tr r="AB55" s="2"/>
      </tp>
      <tp>
        <v>22.268468909885872</v>
        <stp/>
        <stp>##V3_BDPV12</stp>
        <stp>s5FDSR index</stp>
        <stp>INTERVAL_HIGH</stp>
        <stp>[Index.xlsm]主要產業!R17C16</stp>
        <stp>MARKET_DATA_OVERRIDE=PE_RATIO</stp>
        <stp>CALC_INTERVAL=5y</stp>
        <stp>BEST_FPERIOD_OVERRIDE=BF</stp>
        <tr r="P17" s="2"/>
      </tp>
      <tp>
        <v>9.58</v>
        <stp/>
        <stp>##V3_BDPV12</stp>
        <stp>600000 CG Equity</stp>
        <stp>LOW_52WEEK</stp>
        <stp>[Index.xlsm]主要產業!R96C28</stp>
        <tr r="AB96" s="2"/>
      </tp>
      <tp>
        <v>32.090501314155219</v>
        <stp/>
        <stp>##V3_BDPV12</stp>
        <stp>NOVN SW Equity</stp>
        <stp>INTERVAL_HIGH</stp>
        <stp>[Index.xlsm]主要產業!R68C36</stp>
        <stp>MARKET_DATA_OVERRIDE=PE_RATIO</stp>
        <stp>CALC_INTERVAL=5y</stp>
        <stp>BEST_FPERIOD_OVERRIDE=BF</stp>
        <tr r="AJ68" s="2"/>
      </tp>
      <tp>
        <v>5410.2</v>
        <stp/>
        <stp>##V3_BDPV12</stp>
        <stp>AS51 INDEX</stp>
        <stp>LOW_52WEEK</stp>
        <stp>[Index.xlsm]主要產業!R16C46</stp>
        <tr r="AT16" s="2"/>
      </tp>
      <tp>
        <v>792.15</v>
        <stp/>
        <stp>##V3_BDPV12</stp>
        <stp>SHSPCCFI Index</stp>
        <stp>LOW_52WEEK</stp>
        <stp>[Index.xlsm]主要產業!R41C46</stp>
        <tr r="AT41" s="2"/>
      </tp>
      <tp>
        <v>1.6775708773695688E-2</v>
        <stp/>
        <stp>##V3_BDPV12</stp>
        <stp>ES1 Index</stp>
        <stp>CHG_PCT_1D</stp>
        <stp>[Index.xlsm]主要產業!R92C43</stp>
        <tr r="AQ92" s="2"/>
      </tp>
      <tp>
        <v>1154.757711715592</v>
        <stp/>
        <stp>##V3_BDPV12</stp>
        <stp>BP/ LN Equity</stp>
        <stp>INTERVAL_HIGH</stp>
        <stp>[Index.xlsm]主要產業!R45C36</stp>
        <stp>MARKET_DATA_OVERRIDE=PE_RATIO</stp>
        <stp>CALC_INTERVAL=5y</stp>
        <stp>BEST_FPERIOD_OVERRIDE=BF</stp>
        <tr r="AJ45" s="2"/>
      </tp>
      <tp>
        <v>11.03</v>
        <stp/>
        <stp>##V3_BDPV12</stp>
        <stp>VIX Index</stp>
        <stp>LOW_52WEEK</stp>
        <stp>[Index.xlsm]主要產業!R65C46</stp>
        <tr r="AT65" s="2"/>
      </tp>
      <tp>
        <v>-3.7790170000000001</v>
        <stp/>
        <stp>##V3_BDPV12</stp>
        <stp>HON US Equity</stp>
        <stp>PR064</stp>
        <stp>[Index.xlsm]主要產業!R21C34</stp>
        <tr r="AH21" s="2"/>
      </tp>
      <tp t="s">
        <v>US</v>
        <stp/>
        <stp>##V3_BDPV12</stp>
        <stp>HON US Equity</stp>
        <stp>DS003</stp>
        <stp>[Index.xlsm]主要產業!R21C23</stp>
        <tr r="W21" s="2"/>
      </tp>
      <tp>
        <v>26.792828132359226</v>
        <stp/>
        <stp>##V3_BDPV12</stp>
        <stp>S5tech Index</stp>
        <stp>INTERVAL_HIGH</stp>
        <stp>[Index.xlsm]主要產業!R11C16</stp>
        <stp>MARKET_DATA_OVERRIDE=PE_RATIO</stp>
        <stp>CALC_INTERVAL=5y</stp>
        <stp>BEST_FPERIOD_OVERRIDE=BF</stp>
        <tr r="P11" s="2"/>
      </tp>
      <tp>
        <v>509.02</v>
        <stp/>
        <stp>##V3_BDPV12</stp>
        <stp>600519 CG Equity</stp>
        <stp>LOW_52WEEK</stp>
        <stp>[Index.xlsm]主要產業!R89C28</stp>
        <tr r="AB89" s="2"/>
      </tp>
      <tp>
        <v>54.94</v>
        <stp/>
        <stp>##V3_BDPV12</stp>
        <stp>601318 CG Equity</stp>
        <stp>LOW_52WEEK</stp>
        <stp>[Index.xlsm]主要產業!R88C28</stp>
        <tr r="AB88" s="2"/>
      </tp>
      <tp>
        <v>5.58</v>
        <stp/>
        <stp>##V3_BDPV12</stp>
        <stp>600016 CG Equity</stp>
        <stp>LOW_52WEEK</stp>
        <stp>[Index.xlsm]主要產業!R97C28</stp>
        <tr r="AB97" s="2"/>
      </tp>
      <tp>
        <v>197.31251377012006</v>
        <stp/>
        <stp>##V3_BDPV12</stp>
        <stp>HSBA LN Equity</stp>
        <stp>INTERVAL_HIGH</stp>
        <stp>[Index.xlsm]主要產業!R44C36</stp>
        <stp>MARKET_DATA_OVERRIDE=PE_RATIO</stp>
        <stp>CALC_INTERVAL=5y</stp>
        <stp>BEST_FPERIOD_OVERRIDE=BF</stp>
        <tr r="AJ44" s="2"/>
      </tp>
      <tp>
        <v>74.912006932067385</v>
        <stp/>
        <stp>##V3_BDPV12</stp>
        <stp>AZN LN Equity</stp>
        <stp>INTERVAL_HIGH</stp>
        <stp>[Index.xlsm]主要產業!R46C36</stp>
        <stp>MARKET_DATA_OVERRIDE=PE_RATIO</stp>
        <stp>CALC_INTERVAL=5y</stp>
        <stp>BEST_FPERIOD_OVERRIDE=BF</stp>
        <tr r="AJ46" s="2"/>
      </tp>
      <tp>
        <v>-12.653269999999999</v>
        <stp/>
        <stp>##V3_BDPV12</stp>
        <stp>RIO LN Equity</stp>
        <stp>PR064</stp>
        <stp>[Index.xlsm]主要產業!R50C34</stp>
        <tr r="AH50" s="2"/>
      </tp>
      <tp t="s">
        <v>GB</v>
        <stp/>
        <stp>##V3_BDPV12</stp>
        <stp>RIO LN Equity</stp>
        <stp>DS003</stp>
        <stp>[Index.xlsm]主要產業!R50C23</stp>
        <tr r="W50" s="2"/>
      </tp>
      <tp>
        <v>250.48154645486721</v>
        <stp/>
        <stp>##V3_BDPV12</stp>
        <stp>AAL LN Equity</stp>
        <stp>INTERVAL_HIGH</stp>
        <stp>[Index.xlsm]主要產業!R53C36</stp>
        <stp>MARKET_DATA_OVERRIDE=PE_RATIO</stp>
        <stp>CALC_INTERVAL=5y</stp>
        <stp>BEST_FPERIOD_OVERRIDE=BF</stp>
        <tr r="AJ53" s="2"/>
      </tp>
      <tp>
        <v>13851.6</v>
        <stp/>
        <stp>##V3_BDPV12</stp>
        <stp>XBTUSD BGN Curncy</stp>
        <stp>HIGH_52WEEK</stp>
        <stp>[Index.xlsm]主要產業!R84C44</stp>
        <tr r="AR84" s="2"/>
      </tp>
      <tp t="s">
        <v>GB</v>
        <stp/>
        <stp>##V3_BDPV12</stp>
        <stp>BARC LN Equity</stp>
        <stp>DS003</stp>
        <stp>[Index.xlsm]主要產業!R54C23</stp>
        <tr r="W54" s="2"/>
      </tp>
      <tp>
        <v>-0.10716879999999999</v>
        <stp/>
        <stp>##V3_BDPV12</stp>
        <stp>BARC LN Equity</stp>
        <stp>PR064</stp>
        <stp>[Index.xlsm]主要產業!R54C34</stp>
        <tr r="AH54" s="2"/>
      </tp>
      <tp>
        <v>-3.2103759350219909E-3</v>
        <stp/>
        <stp>##V3_BDPV12</stp>
        <stp>NQ1 Index</stp>
        <stp>CHG_PCT_1D</stp>
        <stp>[Index.xlsm]主要產業!R93C43</stp>
        <tr r="AQ93" s="2"/>
      </tp>
      <tp>
        <v>9.920067732011562</v>
        <stp/>
        <stp>##V3_BDPV12</stp>
        <stp>SX7P INDEX</stp>
        <stp>PE_RATIO</stp>
        <stp>[Index.xlsm]主要產業!R21C18</stp>
        <tr r="R21" s="2"/>
      </tp>
      <tp>
        <v>20.02380959593641</v>
        <stp/>
        <stp>##V3_BDPV12</stp>
        <stp>SX6P INDEX</stp>
        <stp>PE_RATIO</stp>
        <stp>[Index.xlsm]主要產業!R25C18</stp>
        <tr r="R25" s="2"/>
      </tp>
      <tp>
        <v>20.361374377780894</v>
        <stp/>
        <stp>##V3_BDPV12</stp>
        <stp>SX4P INDEX</stp>
        <stp>PE_RATIO</stp>
        <stp>[Index.xlsm]主要產業!R27C18</stp>
        <tr r="R27" s="2"/>
      </tp>
      <tp>
        <v>28.255007432473789</v>
        <stp/>
        <stp>##V3_BDPV12</stp>
        <stp>SX3P INDEX</stp>
        <stp>PE_RATIO</stp>
        <stp>[Index.xlsm]主要產業!R22C18</stp>
        <tr r="R22" s="2"/>
      </tp>
      <tp>
        <v>37.682466474156108</v>
        <stp/>
        <stp>##V3_BDPV12</stp>
        <stp>SX8P INDEX</stp>
        <stp>PE_RATIO</stp>
        <stp>[Index.xlsm]主要產業!R26C18</stp>
        <tr r="R26" s="2"/>
      </tp>
      <tp>
        <v>18.985643789239006</v>
        <stp/>
        <stp>##V3_BDPV12</stp>
        <stp>SXTP INDEX</stp>
        <stp>PE_RATIO</stp>
        <stp>[Index.xlsm]主要產業!R36C18</stp>
        <tr r="R36" s="2"/>
      </tp>
      <tp>
        <v>26.744238923952896</v>
        <stp/>
        <stp>##V3_BDPV12</stp>
        <stp>SXRP INDEX</stp>
        <stp>PE_RATIO</stp>
        <stp>[Index.xlsm]主要產業!R28C18</stp>
        <tr r="R28" s="2"/>
      </tp>
      <tp>
        <v>10.069555754923991</v>
        <stp/>
        <stp>##V3_BDPV12</stp>
        <stp>SXPP INDEX</stp>
        <stp>PE_RATIO</stp>
        <stp>[Index.xlsm]主要產業!R32C18</stp>
        <tr r="R32" s="2"/>
      </tp>
      <tp>
        <v>20.85091658436987</v>
        <stp/>
        <stp>##V3_BDPV12</stp>
        <stp>SXQP INDEX</stp>
        <stp>PE_RATIO</stp>
        <stp>[Index.xlsm]主要產業!R20C18</stp>
        <tr r="R20" s="2"/>
      </tp>
      <tp>
        <v>29.350412324515819</v>
        <stp/>
        <stp>##V3_BDPV12</stp>
        <stp>SXDP INDEX</stp>
        <stp>PE_RATIO</stp>
        <stp>[Index.xlsm]主要產業!R18C18</stp>
        <tr r="R18" s="2"/>
      </tp>
      <tp>
        <v>25.863630928908176</v>
        <stp/>
        <stp>##V3_BDPV12</stp>
        <stp>SXFP INDEX</stp>
        <stp>PE_RATIO</stp>
        <stp>[Index.xlsm]主要產業!R33C18</stp>
        <tr r="R33" s="2"/>
      </tp>
      <tp>
        <v>14.056072612607036</v>
        <stp/>
        <stp>##V3_BDPV12</stp>
        <stp>SXEP INDEX</stp>
        <stp>PE_RATIO</stp>
        <stp>[Index.xlsm]主要產業!R23C18</stp>
        <tr r="R23" s="2"/>
      </tp>
      <tp>
        <v>8.4088490847134008</v>
        <stp/>
        <stp>##V3_BDPV12</stp>
        <stp>SXAP INDEX</stp>
        <stp>PE_RATIO</stp>
        <stp>[Index.xlsm]主要產業!R31C18</stp>
        <tr r="R31" s="2"/>
      </tp>
      <tp>
        <v>20.934329146577156</v>
        <stp/>
        <stp>##V3_BDPV12</stp>
        <stp>SXOP INDEX</stp>
        <stp>PE_RATIO</stp>
        <stp>[Index.xlsm]主要產業!R30C18</stp>
        <tr r="R30" s="2"/>
      </tp>
      <tp>
        <v>24.641626217295261</v>
        <stp/>
        <stp>##V3_BDPV12</stp>
        <stp>SXNP INDEX</stp>
        <stp>PE_RATIO</stp>
        <stp>[Index.xlsm]主要產業!R19C18</stp>
        <tr r="R19" s="2"/>
      </tp>
      <tp>
        <v>22.256817391820213</v>
        <stp/>
        <stp>##V3_BDPV12</stp>
        <stp>SXMP INDEX</stp>
        <stp>PE_RATIO</stp>
        <stp>[Index.xlsm]主要產業!R35C18</stp>
        <tr r="R35" s="2"/>
      </tp>
      <tp>
        <v>34.770226148011794</v>
        <stp/>
        <stp>##V3_BDPV12</stp>
        <stp>SXKP INDEX</stp>
        <stp>PE_RATIO</stp>
        <stp>[Index.xlsm]主要產業!R29C18</stp>
        <tr r="R29" s="2"/>
      </tp>
      <tp>
        <v>13.607721824252053</v>
        <stp/>
        <stp>##V3_BDPV12</stp>
        <stp>SXIP INDEX</stp>
        <stp>PE_RATIO</stp>
        <stp>[Index.xlsm]主要產業!R24C18</stp>
        <tr r="R24" s="2"/>
      </tp>
      <tp>
        <v>9.2711190000000006</v>
        <stp/>
        <stp>##V3_BDPV12</stp>
        <stp>s5util Index</stp>
        <stp>PR064</stp>
        <stp>[Index.xlsm]主要產業!R14C14</stp>
        <tr r="N14" s="2"/>
      </tp>
      <tp>
        <v>-0.2303133</v>
        <stp/>
        <stp>##V3_BDPV12</stp>
        <stp>SX86P INDEX</stp>
        <stp>CHG_PCT_6M</stp>
        <stp>[Index.xlsm]主要產業!R34C13</stp>
        <tr r="M34" s="2"/>
      </tp>
      <tp>
        <v>24.38</v>
        <stp/>
        <stp>##V3_BDPV12</stp>
        <stp>600036 CG Equity</stp>
        <stp>LOW_52WEEK</stp>
        <stp>[Index.xlsm]主要產業!R90C28</stp>
        <tr r="AB90" s="2"/>
      </tp>
      <tp>
        <v>2.457452</v>
        <stp/>
        <stp>##V3_BDPV12</stp>
        <stp>SX86P INDEX</stp>
        <stp>CHG_PCT_5D</stp>
        <stp>[Index.xlsm]主要產業!R34C10</stp>
        <tr r="J34" s="2"/>
      </tp>
      <tp>
        <v>8.6831490000000002</v>
        <stp/>
        <stp>##V3_BDPV12</stp>
        <stp>SX86P INDEX</stp>
        <stp>CHG_PCT_3M</stp>
        <stp>[Index.xlsm]主要產業!R34C12</stp>
        <tr r="L34" s="2"/>
      </tp>
      <tp>
        <v>578.20000000000005</v>
        <stp/>
        <stp>##V3_BDPV12</stp>
        <stp>HSBA LN Equity</stp>
        <stp>LOW_52WEEK</stp>
        <stp>[Index.xlsm]主要產業!R44C28</stp>
        <tr r="AB44" s="2"/>
      </tp>
      <tp>
        <v>4.9518440000000004</v>
        <stp/>
        <stp>##V3_BDPV12</stp>
        <stp>SX86P INDEX</stp>
        <stp>CHG_PCT_1M</stp>
        <stp>[Index.xlsm]主要產業!R34C11</stp>
        <tr r="K34" s="2"/>
      </tp>
      <tp>
        <v>14.72</v>
        <stp/>
        <stp>##V3_BDPV12</stp>
        <stp>600030 CG Equity</stp>
        <stp>LOW_52WEEK</stp>
        <stp>[Index.xlsm]主要產業!R94C28</stp>
        <tr r="AB94" s="2"/>
      </tp>
      <tp>
        <v>36.200000000000003</v>
        <stp/>
        <stp>##V3_BDPV12</stp>
        <stp>VIX Index</stp>
        <stp>HIGH_52WEEK</stp>
        <stp>[Index.xlsm]主要產業!R65C44</stp>
        <tr r="AR65" s="2"/>
      </tp>
      <tp>
        <v>26.8813</v>
        <stp/>
        <stp>##V3_BDPV12</stp>
        <stp>V2X Index</stp>
        <stp>HIGH_52WEEK</stp>
        <stp>[Index.xlsm]主要產業!R67C44</stp>
        <tr r="AR67" s="2"/>
      </tp>
      <tp>
        <v>-1.105</v>
        <stp/>
        <stp>##V3_BDPV12</stp>
        <stp>USDTWD TPFT Curncy</stp>
        <stp>CHG_PCT_1YR</stp>
        <stp>[Index.xlsm]主要產業!R69C53</stp>
        <tr r="BA69" s="2"/>
      </tp>
      <tp>
        <v>2437.012674464489</v>
        <stp/>
        <stp>##V3_BDPV12</stp>
        <stp>GSK LN Equity</stp>
        <stp>INTERVAL_HIGH</stp>
        <stp>[Index.xlsm]主要產業!R47C36</stp>
        <stp>MARKET_DATA_OVERRIDE=PE_RATIO</stp>
        <stp>CALC_INTERVAL=5y</stp>
        <stp>BEST_FPERIOD_OVERRIDE=BF</stp>
        <tr r="AJ47" s="2"/>
      </tp>
      <tp t="s">
        <v>US</v>
        <stp/>
        <stp>##V3_BDPV12</stp>
        <stp>MRK US Equity</stp>
        <stp>DS003</stp>
        <stp>[Index.xlsm]主要產業!R12C23</stp>
        <tr r="W12" s="2"/>
      </tp>
      <tp>
        <v>0.40698960000000001</v>
        <stp/>
        <stp>##V3_BDPV12</stp>
        <stp>MRK US Equity</stp>
        <stp>PR064</stp>
        <stp>[Index.xlsm]主要產業!R12C34</stp>
        <tr r="AH12" s="2"/>
      </tp>
      <tp>
        <v>-4.683503</v>
        <stp/>
        <stp>##V3_BDPV12</stp>
        <stp>MMM US Equity</stp>
        <stp>PR064</stp>
        <stp>[Index.xlsm]主要產業!R27C34</stp>
        <tr r="AH27" s="2"/>
      </tp>
      <tp t="s">
        <v>US</v>
        <stp/>
        <stp>##V3_BDPV12</stp>
        <stp>MMM US Equity</stp>
        <stp>DS003</stp>
        <stp>[Index.xlsm]主要產業!R27C23</stp>
        <tr r="W27" s="2"/>
      </tp>
      <tp t="s">
        <v>US</v>
        <stp/>
        <stp>##V3_BDPV12</stp>
        <stp>MCD US Equity</stp>
        <stp>DS003</stp>
        <stp>[Index.xlsm]主要產業!R16C23</stp>
        <tr r="W16" s="2"/>
      </tp>
      <tp>
        <v>3.935467</v>
        <stp/>
        <stp>##V3_BDPV12</stp>
        <stp>MCD US Equity</stp>
        <stp>PR064</stp>
        <stp>[Index.xlsm]主要產業!R16C34</stp>
        <tr r="AH16" s="2"/>
      </tp>
      <tp>
        <v>51.9</v>
        <stp/>
        <stp>##V3_BDPV12</stp>
        <stp>BAYN GR Equity</stp>
        <stp>LOW_52WEEK</stp>
        <stp>[Index.xlsm]主要產業!R58C28</stp>
        <tr r="AB58" s="2"/>
      </tp>
      <tp>
        <v>-1.5072639999999999</v>
        <stp/>
        <stp>##V3_BDPV12</stp>
        <stp>SENSEX INDEX</stp>
        <stp>PR064</stp>
        <stp>[Index.xlsm]主要產業!R26C52</stp>
        <tr r="AZ26" s="2"/>
      </tp>
      <tp t="s">
        <v>2019/10/16</v>
        <stp/>
        <stp>##V3_BDPV12</stp>
        <stp>te1 elec Index</stp>
        <stp>FUT_LAST_TRADE_DT</stp>
        <stp>[Index.xlsm]主要產業!R95C45</stp>
        <tr r="AS95" s="2"/>
      </tp>
      <tp>
        <v>-2.0000909999999998</v>
        <stp/>
        <stp>##V3_BDPV12</stp>
        <stp>PCOMP INDEX</stp>
        <stp>PR064</stp>
        <stp>[Index.xlsm]主要產業!R31C52</stp>
        <tr r="AZ31" s="2"/>
      </tp>
      <tp>
        <v>0.71663169999999998</v>
        <stp/>
        <stp>##V3_BDPV12</stp>
        <stp>XIN9I INDEX</stp>
        <stp>PR064</stp>
        <stp>[Index.xlsm]主要產業!R22C52</stp>
        <tr r="AZ22" s="2"/>
      </tp>
      <tp>
        <v>351.70068720953878</v>
        <stp/>
        <stp>##V3_BDPV12</stp>
        <stp>STAN LN Equity</stp>
        <stp>INTERVAL_HIGH</stp>
        <stp>[Index.xlsm]主要產業!R55C36</stp>
        <stp>MARKET_DATA_OVERRIDE=PE_RATIO</stp>
        <stp>CALC_INTERVAL=5y</stp>
        <stp>BEST_FPERIOD_OVERRIDE=BF</stp>
        <tr r="AJ55" s="2"/>
      </tp>
      <tp>
        <v>-0.66079770000000004</v>
        <stp/>
        <stp>##V3_BDPV12</stp>
        <stp>XU100 INDEX</stp>
        <stp>CHG_PCT_1D</stp>
        <stp>[Index.xlsm]主要產業!R33C43</stp>
        <tr r="AQ33" s="2"/>
      </tp>
      <tp>
        <v>6.1541180000000004</v>
        <stp/>
        <stp>##V3_BDPV12</stp>
        <stp>XU100 INDEX</stp>
        <stp>CHG_PCT_1M</stp>
        <stp>[Index.xlsm]主要產業!R33C49</stp>
        <tr r="AW33" s="2"/>
      </tp>
      <tp>
        <v>6.6621040000000002</v>
        <stp/>
        <stp>##V3_BDPV12</stp>
        <stp>XU100 INDEX</stp>
        <stp>CHG_PCT_3M</stp>
        <stp>[Index.xlsm]主要產業!R33C50</stp>
        <tr r="AX33" s="2"/>
      </tp>
      <tp>
        <v>1.5961190000000001</v>
        <stp/>
        <stp>##V3_BDPV12</stp>
        <stp>XU100 INDEX</stp>
        <stp>CHG_PCT_5D</stp>
        <stp>[Index.xlsm]主要產業!R33C48</stp>
        <tr r="AV33" s="2"/>
      </tp>
      <tp>
        <v>10.97941</v>
        <stp/>
        <stp>##V3_BDPV12</stp>
        <stp>XU100 INDEX</stp>
        <stp>CHG_PCT_6M</stp>
        <stp>[Index.xlsm]主要產業!R33C51</stp>
        <tr r="AY33" s="2"/>
      </tp>
      <tp>
        <v>0.13699049999999999</v>
        <stp/>
        <stp>##V3_BDPV12</stp>
        <stp>TWSETEXT Index</stp>
        <stp>CHG_PCT_5D</stp>
        <stp>[Index.xlsm]主要產業!R84C10</stp>
        <tr r="J84" s="2"/>
      </tp>
      <tp>
        <v>-5.5022330000000004</v>
        <stp/>
        <stp>##V3_BDPV12</stp>
        <stp>TWSETEXT Index</stp>
        <stp>CHG_PCT_6M</stp>
        <stp>[Index.xlsm]主要產業!R84C13</stp>
        <tr r="M84" s="2"/>
      </tp>
      <tp>
        <v>1.8398030000000001</v>
        <stp/>
        <stp>##V3_BDPV12</stp>
        <stp>TWSETEXT Index</stp>
        <stp>CHG_PCT_1M</stp>
        <stp>[Index.xlsm]主要產業!R84C11</stp>
        <tr r="K84" s="2"/>
      </tp>
      <tp>
        <v>-9.5392309999999991</v>
        <stp/>
        <stp>##V3_BDPV12</stp>
        <stp>TWSETEXT Index</stp>
        <stp>CHG_PCT_3M</stp>
        <stp>[Index.xlsm]主要產業!R84C12</stp>
        <tr r="L84" s="2"/>
      </tp>
      <tp>
        <v>99.37</v>
        <stp/>
        <stp>##V3_BDPV12</stp>
        <stp>DXY Index</stp>
        <stp>HIGH_52WEEK</stp>
        <stp>[Index.xlsm]主要產業!R68C44</stp>
        <tr r="AR68" s="2"/>
      </tp>
      <tp>
        <v>201.72049999999999</v>
        <stp/>
        <stp>##V3_BDPV12</stp>
        <stp>CRY Index</stp>
        <stp>HIGH_52WEEK</stp>
        <stp>[Index.xlsm]主要產業!R42C44</stp>
        <tr r="AR42" s="2"/>
      </tp>
      <tp>
        <v>24.220362675059519</v>
        <stp/>
        <stp>##V3_BDPV12</stp>
        <stp>s5matr Index</stp>
        <stp>INTERVAL_HIGH</stp>
        <stp>[Index.xlsm]主要產業!R16C16</stp>
        <stp>MARKET_DATA_OVERRIDE=PE_RATIO</stp>
        <stp>CALC_INTERVAL=5y</stp>
        <stp>BEST_FPERIOD_OVERRIDE=BF</stp>
        <tr r="P16" s="2"/>
      </tp>
      <tp>
        <v>-5.503876</v>
        <stp/>
        <stp>##V3_BDPV12</stp>
        <stp>CSGN SW Equity</stp>
        <stp>CHG_PCT_5D</stp>
        <stp>[Index.xlsm]主要產業!R71C30</stp>
        <tr r="AD71" s="2"/>
      </tp>
      <tp>
        <v>8.4272220000000004</v>
        <stp/>
        <stp>##V3_BDPV12</stp>
        <stp>CSGN SW Equity</stp>
        <stp>CHG_PCT_6M</stp>
        <stp>[Index.xlsm]主要產業!R71C33</stp>
        <tr r="AG71" s="2"/>
      </tp>
      <tp>
        <v>8.9365550000000002</v>
        <stp/>
        <stp>##V3_BDPV12</stp>
        <stp>CSGN SW Equity</stp>
        <stp>CHG_PCT_1M</stp>
        <stp>[Index.xlsm]主要產業!R71C31</stp>
        <tr r="AE71" s="2"/>
      </tp>
      <tp>
        <v>0.49464140000000001</v>
        <stp/>
        <stp>##V3_BDPV12</stp>
        <stp>CSGN SW Equity</stp>
        <stp>CHG_PCT_1D</stp>
        <stp>[Index.xlsm]主要產業!R71C25</stp>
        <tr r="Y71" s="2"/>
      </tp>
      <tp>
        <v>3.7446809999999999</v>
        <stp/>
        <stp>##V3_BDPV12</stp>
        <stp>CSGN SW Equity</stp>
        <stp>CHG_PCT_3M</stp>
        <stp>[Index.xlsm]主要產業!R71C32</stp>
        <tr r="AF71" s="2"/>
      </tp>
      <tp>
        <v>17.778017143492281</v>
        <stp/>
        <stp>##V3_BDPV12</stp>
        <stp>INTC US Equity</stp>
        <stp>INTERVAL_HIGH</stp>
        <stp>[Index.xlsm]主要產業!R10C36</stp>
        <stp>MARKET_DATA_OVERRIDE=PE_RATIO</stp>
        <stp>CALC_INTERVAL=5y</stp>
        <stp>BEST_FPERIOD_OVERRIDE=BF</stp>
        <tr r="AJ10" s="2"/>
      </tp>
      <tp t="s">
        <v>NE</v>
        <stp/>
        <stp>##V3_BDPV12</stp>
        <stp>RDSA LN Equity</stp>
        <stp>DS003</stp>
        <stp>[Index.xlsm]主要產業!R74C23</stp>
        <tr r="W74" s="2"/>
      </tp>
      <tp>
        <v>-9.5329250000000005</v>
        <stp/>
        <stp>##V3_BDPV12</stp>
        <stp>RDSA LN Equity</stp>
        <stp>PR064</stp>
        <stp>[Index.xlsm]主要產業!R74C34</stp>
        <tr r="AH74" s="2"/>
      </tp>
      <tp>
        <v>9.7699999999999995E-2</v>
        <stp/>
        <stp>##V3_BDPV12</stp>
        <stp>XBTUSD BGN Curncy</stp>
        <stp>CHG_PCT_1D</stp>
        <stp>[Index.xlsm]主要產業!R84C43</stp>
        <tr r="AQ84" s="2"/>
      </tp>
      <tp>
        <v>-20.122599999999998</v>
        <stp/>
        <stp>##V3_BDPV12</stp>
        <stp>XBTUSD BGN Curncy</stp>
        <stp>CHG_PCT_1M</stp>
        <stp>[Index.xlsm]主要產業!R84C49</stp>
        <tr r="AW84" s="2"/>
      </tp>
      <tp>
        <v>-24.181899999999999</v>
        <stp/>
        <stp>##V3_BDPV12</stp>
        <stp>XBTUSD BGN Curncy</stp>
        <stp>CHG_PCT_3M</stp>
        <stp>[Index.xlsm]主要產業!R84C50</stp>
        <tr r="AX84" s="2"/>
      </tp>
      <tp>
        <v>-20.066299999999998</v>
        <stp/>
        <stp>##V3_BDPV12</stp>
        <stp>XBTUSD BGN Curncy</stp>
        <stp>CHG_PCT_5D</stp>
        <stp>[Index.xlsm]主要產業!R84C48</stp>
        <tr r="AV84" s="2"/>
      </tp>
      <tp>
        <v>102.09699999999999</v>
        <stp/>
        <stp>##V3_BDPV12</stp>
        <stp>XBTUSD BGN Curncy</stp>
        <stp>CHG_PCT_6M</stp>
        <stp>[Index.xlsm]主要產業!R84C51</stp>
        <tr r="AY84" s="2"/>
      </tp>
      <tp>
        <v>217.90925079513622</v>
        <stp/>
        <stp>##V3_BDPV12</stp>
        <stp>ORA FP Equity</stp>
        <stp>INTERVAL_HIGH</stp>
        <stp>[Index.xlsm]主要產業!R42C36</stp>
        <stp>MARKET_DATA_OVERRIDE=PE_RATIO</stp>
        <stp>CALC_INTERVAL=5y</stp>
        <stp>BEST_FPERIOD_OVERRIDE=BF</stp>
        <tr r="AJ42" s="2"/>
      </tp>
      <tp>
        <v>14.6</v>
        <stp/>
        <stp>##V3_BDPV12</stp>
        <stp>601166 CG Equity</stp>
        <stp>LOW_52WEEK</stp>
        <stp>[Index.xlsm]主要產業!R92C28</stp>
        <tr r="AB92" s="2"/>
      </tp>
      <tp>
        <v>1181.8050000000001</v>
        <stp/>
        <stp>##V3_BDPV12</stp>
        <stp>EMUSTRUU Index</stp>
        <stp>PX_LAST</stp>
        <stp>[Index.xlsm]主要產業!R35C42</stp>
        <tr r="AP35" s="2"/>
      </tp>
      <tp>
        <v>2.649257</v>
        <stp/>
        <stp>##V3_BDPV12</stp>
        <stp>UNA NA Equity</stp>
        <stp>PR064</stp>
        <stp>[Index.xlsm]主要產業!R49C34</stp>
        <tr r="AH49" s="2"/>
      </tp>
      <tp t="s">
        <v>GB</v>
        <stp/>
        <stp>##V3_BDPV12</stp>
        <stp>UNA NA Equity</stp>
        <stp>DS003</stp>
        <stp>[Index.xlsm]主要產業!R49C23</stp>
        <tr r="W49" s="2"/>
      </tp>
      <tp t="s">
        <v>US</v>
        <stp/>
        <stp>##V3_BDPV12</stp>
        <stp>NKE US Equity</stp>
        <stp>DS003</stp>
        <stp>[Index.xlsm]主要產業!R23C23</stp>
        <tr r="W23" s="2"/>
      </tp>
      <tp>
        <v>11.65354</v>
        <stp/>
        <stp>##V3_BDPV12</stp>
        <stp>NKE US Equity</stp>
        <stp>PR064</stp>
        <stp>[Index.xlsm]主要產業!R23C34</stp>
        <tr r="AH23" s="2"/>
      </tp>
      <tp>
        <v>28.227173623971478</v>
        <stp/>
        <stp>##V3_BDPV12</stp>
        <stp>DGE LN Equity</stp>
        <stp>INTERVAL_HIGH</stp>
        <stp>[Index.xlsm]主要產業!R48C36</stp>
        <stp>MARKET_DATA_OVERRIDE=PE_RATIO</stp>
        <stp>CALC_INTERVAL=5y</stp>
        <stp>BEST_FPERIOD_OVERRIDE=BF</stp>
        <tr r="AJ48" s="2"/>
      </tp>
      <tp>
        <v>2.811661</v>
        <stp/>
        <stp>##V3_BDPV12</stp>
        <stp>C US Equity</stp>
        <stp>PR064</stp>
        <stp>[Index.xlsm]主要產業!R19C34</stp>
        <tr r="AH19" s="2"/>
      </tp>
      <tp>
        <v>-7.7699280000000002</v>
        <stp/>
        <stp>##V3_BDPV12</stp>
        <stp>F US Equity</stp>
        <stp>PR064</stp>
        <stp>[Index.xlsm]主要產業!R34C34</stp>
        <tr r="AH34" s="2"/>
      </tp>
      <tp t="s">
        <v>US</v>
        <stp/>
        <stp>##V3_BDPV12</stp>
        <stp>F US Equity</stp>
        <stp>DS003</stp>
        <stp>[Index.xlsm]主要產業!R34C23</stp>
        <tr r="W34" s="2"/>
      </tp>
      <tp t="s">
        <v>US</v>
        <stp/>
        <stp>##V3_BDPV12</stp>
        <stp>C US Equity</stp>
        <stp>DS003</stp>
        <stp>[Index.xlsm]主要產業!R19C23</stp>
        <tr r="W19" s="2"/>
      </tp>
      <tp>
        <v>1.608187</v>
        <stp/>
        <stp>##V3_BDPV12</stp>
        <stp>SREN SW Equity</stp>
        <stp>CHG_PCT_5D</stp>
        <stp>[Index.xlsm]主要產業!R72C30</stp>
        <tr r="AD72" s="2"/>
      </tp>
      <tp>
        <v>7.6740349999999999</v>
        <stp/>
        <stp>##V3_BDPV12</stp>
        <stp>SREN SW Equity</stp>
        <stp>CHG_PCT_6M</stp>
        <stp>[Index.xlsm]主要產業!R72C33</stp>
        <tr r="AG72" s="2"/>
      </tp>
      <tp>
        <v>5.7516720000000001</v>
        <stp/>
        <stp>##V3_BDPV12</stp>
        <stp>SREN SW Equity</stp>
        <stp>CHG_PCT_1M</stp>
        <stp>[Index.xlsm]主要產業!R72C31</stp>
        <tr r="AE72" s="2"/>
      </tp>
      <tp>
        <v>1.756955</v>
        <stp/>
        <stp>##V3_BDPV12</stp>
        <stp>SREN SW Equity</stp>
        <stp>CHG_PCT_1D</stp>
        <stp>[Index.xlsm]主要產業!R72C25</stp>
        <tr r="Y72" s="2"/>
      </tp>
      <tp>
        <v>5.8590540000000004</v>
        <stp/>
        <stp>##V3_BDPV12</stp>
        <stp>SREN SW Equity</stp>
        <stp>CHG_PCT_3M</stp>
        <stp>[Index.xlsm]主要產業!R72C32</stp>
        <tr r="AF72" s="2"/>
      </tp>
      <tp>
        <v>3.7729940000000002</v>
        <stp/>
        <stp>##V3_BDPV12</stp>
        <stp>ITLMS INDEX</stp>
        <stp>PR064</stp>
        <stp>[Index.xlsm]主要產業!R14C52</stp>
        <tr r="AZ14" s="2"/>
      </tp>
      <tp>
        <v>29.045000000000002</v>
        <stp/>
        <stp>##V3_BDPV12</stp>
        <stp>PHIA NA Equity</stp>
        <stp>LOW_52WEEK</stp>
        <stp>[Index.xlsm]主要產業!R75C28</stp>
        <tr r="AB75" s="2"/>
      </tp>
      <tp>
        <v>0.75517659999999998</v>
        <stp/>
        <stp>##V3_BDPV12</stp>
        <stp>KOSPTREQ Index</stp>
        <stp>CHG_PCT_5D</stp>
        <stp>[Index.xlsm]主要產業!R46C10</stp>
        <tr r="J46" s="2"/>
      </tp>
      <tp>
        <v>7.9816789999999997</v>
        <stp/>
        <stp>##V3_BDPV12</stp>
        <stp>KOSPBMET Index</stp>
        <stp>CHG_PCT_1M</stp>
        <stp>[Index.xlsm]主要產業!R47C11</stp>
        <tr r="K47" s="2"/>
      </tp>
      <tp>
        <v>-1.5060500000000001</v>
        <stp/>
        <stp>##V3_BDPV12</stp>
        <stp>TWSESTEE Index</stp>
        <stp>CHG_PCT_5D</stp>
        <stp>[Index.xlsm]主要產業!R81C10</stp>
        <tr r="J81" s="2"/>
      </tp>
      <tp>
        <v>6.5244869999999997</v>
        <stp/>
        <stp>##V3_BDPV12</stp>
        <stp>TWSEELEC Index</stp>
        <stp>CHG_PCT_3M</stp>
        <stp>[Index.xlsm]主要產業!R69C12</stp>
        <tr r="L69" s="2"/>
      </tp>
      <tp>
        <v>-8.5374809999999997</v>
        <stp/>
        <stp>##V3_BDPV12</stp>
        <stp>TWSESTEE Index</stp>
        <stp>CHG_PCT_6M</stp>
        <stp>[Index.xlsm]主要產業!R81C13</stp>
        <tr r="M81" s="2"/>
      </tp>
      <tp>
        <v>-7.7150720000000002</v>
        <stp/>
        <stp>##V3_BDPV12</stp>
        <stp>KOSPBMET Index</stp>
        <stp>CHG_PCT_3M</stp>
        <stp>[Index.xlsm]主要產業!R47C12</stp>
        <tr r="L47" s="2"/>
      </tp>
      <tp>
        <v>12.57592</v>
        <stp/>
        <stp>##V3_BDPV12</stp>
        <stp>KOSPTREQ Index</stp>
        <stp>CHG_PCT_6M</stp>
        <stp>[Index.xlsm]主要產業!R46C13</stp>
        <tr r="M46" s="2"/>
      </tp>
      <tp>
        <v>5.7757940000000003</v>
        <stp/>
        <stp>##V3_BDPV12</stp>
        <stp>TWSEELEC Index</stp>
        <stp>CHG_PCT_1M</stp>
        <stp>[Index.xlsm]主要產業!R69C11</stp>
        <tr r="K69" s="2"/>
      </tp>
      <tp>
        <v>7.9452210000000001</v>
        <stp/>
        <stp>##V3_BDPV12</stp>
        <stp>KOSPTREQ Index</stp>
        <stp>CHG_PCT_1M</stp>
        <stp>[Index.xlsm]主要產業!R46C11</stp>
        <tr r="K46" s="2"/>
      </tp>
      <tp>
        <v>6.9341540000000004</v>
        <stp/>
        <stp>##V3_BDPV12</stp>
        <stp>TWSEELEC Index</stp>
        <stp>CHG_PCT_6M</stp>
        <stp>[Index.xlsm]主要產業!R69C13</stp>
        <tr r="M69" s="2"/>
      </tp>
      <tp>
        <v>0.39129069999999999</v>
        <stp/>
        <stp>##V3_BDPV12</stp>
        <stp>TWSESTEE Index</stp>
        <stp>CHG_PCT_1M</stp>
        <stp>[Index.xlsm]主要產業!R81C11</stp>
        <tr r="K81" s="2"/>
      </tp>
      <tp>
        <v>-1.4441649999999999</v>
        <stp/>
        <stp>##V3_BDPV12</stp>
        <stp>KOSPBMET Index</stp>
        <stp>CHG_PCT_5D</stp>
        <stp>[Index.xlsm]主要產業!R47C10</stp>
        <tr r="J47" s="2"/>
      </tp>
      <tp>
        <v>-9.1913660000000004</v>
        <stp/>
        <stp>##V3_BDPV12</stp>
        <stp>KOSPBMET Index</stp>
        <stp>CHG_PCT_6M</stp>
        <stp>[Index.xlsm]主要產業!R47C13</stp>
        <tr r="M47" s="2"/>
      </tp>
      <tp>
        <v>0.50652079999999999</v>
        <stp/>
        <stp>##V3_BDPV12</stp>
        <stp>KOSPTREQ Index</stp>
        <stp>CHG_PCT_3M</stp>
        <stp>[Index.xlsm]主要產業!R46C12</stp>
        <tr r="L46" s="2"/>
      </tp>
      <tp>
        <v>-8.0330929999999992</v>
        <stp/>
        <stp>##V3_BDPV12</stp>
        <stp>TWSESTEE Index</stp>
        <stp>CHG_PCT_3M</stp>
        <stp>[Index.xlsm]主要產業!R81C12</stp>
        <tr r="L81" s="2"/>
      </tp>
      <tp>
        <v>0.2109685</v>
        <stp/>
        <stp>##V3_BDPV12</stp>
        <stp>TWSEELEC Index</stp>
        <stp>CHG_PCT_5D</stp>
        <stp>[Index.xlsm]主要產業!R69C10</stp>
        <tr r="J69" s="2"/>
      </tp>
      <tp>
        <v>5.8864219999999996</v>
        <stp/>
        <stp>##V3_BDPV12</stp>
        <stp>KOSPCHEM Index</stp>
        <stp>CHG_PCT_1M</stp>
        <stp>[Index.xlsm]主要產業!R45C11</stp>
        <tr r="K45" s="2"/>
      </tp>
      <tp t="s">
        <v>SZ</v>
        <stp/>
        <stp>##V3_BDPV12</stp>
        <stp>NESN SW Equity</stp>
        <stp>DS003</stp>
        <stp>[Index.xlsm]主要產業!R67C23</stp>
        <tr r="W67" s="2"/>
      </tp>
      <tp>
        <v>-5.8951589999999996</v>
        <stp/>
        <stp>##V3_BDPV12</stp>
        <stp>KOSPCHEM Index</stp>
        <stp>CHG_PCT_3M</stp>
        <stp>[Index.xlsm]主要產業!R45C12</stp>
        <tr r="L45" s="2"/>
      </tp>
      <tp>
        <v>-2.5655749999999999</v>
        <stp/>
        <stp>##V3_BDPV12</stp>
        <stp>KOSPCHEM Index</stp>
        <stp>CHG_PCT_5D</stp>
        <stp>[Index.xlsm]主要產業!R45C10</stp>
        <tr r="J45" s="2"/>
      </tp>
      <tp>
        <v>-17.61544</v>
        <stp/>
        <stp>##V3_BDPV12</stp>
        <stp>GE US Equity</stp>
        <stp>CHG_PCT_1YR</stp>
        <stp>[Index.xlsm]主要產業!R29C35</stp>
        <tr r="AI29" s="2"/>
      </tp>
      <tp>
        <v>7.3389049999999996</v>
        <stp/>
        <stp>##V3_BDPV12</stp>
        <stp>NESN SW Equity</stp>
        <stp>PR064</stp>
        <stp>[Index.xlsm]主要產業!R67C34</stp>
        <tr r="AH67" s="2"/>
      </tp>
      <tp>
        <v>-12.46125</v>
        <stp/>
        <stp>##V3_BDPV12</stp>
        <stp>KOSPCHEM Index</stp>
        <stp>CHG_PCT_6M</stp>
        <stp>[Index.xlsm]主要產業!R45C13</stp>
        <tr r="M45" s="2"/>
      </tp>
      <tp>
        <v>6.6143720000000004</v>
        <stp/>
        <stp>##V3_BDPV12</stp>
        <stp>KOSPELEC Index</stp>
        <stp>CHG_PCT_6M</stp>
        <stp>[Index.xlsm]主要產業!R43C13</stp>
        <tr r="M43" s="2"/>
      </tp>
      <tp>
        <v>-6.7419820000000005E-2</v>
        <stp/>
        <stp>##V3_BDPV12</stp>
        <stp>KOSPELEC Index</stp>
        <stp>CHG_PCT_5D</stp>
        <stp>[Index.xlsm]主要產業!R43C10</stp>
        <tr r="J43" s="2"/>
      </tp>
      <tp>
        <v>5.1531279999999997</v>
        <stp/>
        <stp>##V3_BDPV12</stp>
        <stp>KOSPELEC Index</stp>
        <stp>CHG_PCT_3M</stp>
        <stp>[Index.xlsm]主要產業!R43C12</stp>
        <tr r="L43" s="2"/>
      </tp>
      <tp>
        <v>10.96471</v>
        <stp/>
        <stp>##V3_BDPV12</stp>
        <stp>KOSPELEC Index</stp>
        <stp>CHG_PCT_1M</stp>
        <stp>[Index.xlsm]主要產業!R43C11</stp>
        <tr r="K43" s="2"/>
      </tp>
      <tp>
        <v>818.33</v>
        <stp/>
        <stp>##V3_BDPV12</stp>
        <stp>SHSPCCFI Index</stp>
        <stp>PX_LAST</stp>
        <stp>[Index.xlsm]主要產業!R41C42</stp>
        <tr r="AP41" s="2"/>
      </tp>
      <tp>
        <v>43.889309220016536</v>
        <stp/>
        <stp>##V3_BDPV12</stp>
        <stp>BMY US Equity</stp>
        <stp>INTERVAL_HIGH</stp>
        <stp>[Index.xlsm]主要產業!R28C36</stp>
        <stp>MARKET_DATA_OVERRIDE=PE_RATIO</stp>
        <stp>CALC_INTERVAL=5y</stp>
        <stp>BEST_FPERIOD_OVERRIDE=BF</stp>
        <tr r="AJ28" s="2"/>
      </tp>
      <tp>
        <v>4.7012510000000001</v>
        <stp/>
        <stp>##V3_BDPV12</stp>
        <stp>SX6P INDEX</stp>
        <stp>CHG_PCT_1M</stp>
        <stp>[Index.xlsm]主要產業!R25C11</stp>
        <tr r="K25" s="2"/>
      </tp>
      <tp>
        <v>7.5226689999999996</v>
        <stp/>
        <stp>##V3_BDPV12</stp>
        <stp>SX6P INDEX</stp>
        <stp>CHG_PCT_3M</stp>
        <stp>[Index.xlsm]主要產業!R25C12</stp>
        <tr r="L25" s="2"/>
      </tp>
      <tp>
        <v>-2.259252</v>
        <stp/>
        <stp>##V3_BDPV12</stp>
        <stp>SHCOMP INDEX</stp>
        <stp>PR064</stp>
        <stp>[Index.xlsm]主要產業!R23C52</stp>
        <tr r="AZ23" s="2"/>
      </tp>
      <tp>
        <v>1.277989</v>
        <stp/>
        <stp>##V3_BDPV12</stp>
        <stp>SZCOMP INDEX</stp>
        <stp>PR064</stp>
        <stp>[Index.xlsm]主要產業!R25C52</stp>
        <tr r="AZ25" s="2"/>
      </tp>
      <tp>
        <v>1.742459</v>
        <stp/>
        <stp>##V3_BDPV12</stp>
        <stp>SX6P INDEX</stp>
        <stp>CHG_PCT_5D</stp>
        <stp>[Index.xlsm]主要產業!R25C10</stp>
        <tr r="J25" s="2"/>
      </tp>
      <tp>
        <v>7.0224159999999998</v>
        <stp/>
        <stp>##V3_BDPV12</stp>
        <stp>SX6P INDEX</stp>
        <stp>CHG_PCT_6M</stp>
        <stp>[Index.xlsm]主要產業!R25C13</stp>
        <tr r="M25" s="2"/>
      </tp>
      <tp>
        <v>101940.3</v>
        <stp/>
        <stp>##V3_BDPV12</stp>
        <stp>XU100 INDEX</stp>
        <stp>PX_LAST</stp>
        <stp>[Index.xlsm]主要產業!R33C42</stp>
        <tr r="AP33" s="2"/>
      </tp>
      <tp>
        <v>-5.4294310000000001</v>
        <stp/>
        <stp>##V3_BDPV12</stp>
        <stp>s5enrs Index</stp>
        <stp>PR064</stp>
        <stp>[Index.xlsm]主要產業!R12C14</stp>
        <tr r="N12" s="2"/>
      </tp>
      <tp>
        <v>28.118591479822204</v>
        <stp/>
        <stp>##V3_BDPV12</stp>
        <stp>CAT US Equity</stp>
        <stp>INTERVAL_HIGH</stp>
        <stp>[Index.xlsm]主要產業!R31C36</stp>
        <stp>MARKET_DATA_OVERRIDE=PE_RATIO</stp>
        <stp>CALC_INTERVAL=5y</stp>
        <stp>BEST_FPERIOD_OVERRIDE=BF</stp>
        <tr r="AJ31" s="2"/>
      </tp>
      <tp>
        <v>-16.771350000000002</v>
        <stp/>
        <stp>##V3_BDPV12</stp>
        <stp>PFE US Equity</stp>
        <stp>PR064</stp>
        <stp>[Index.xlsm]主要產業!R14C34</stp>
        <tr r="AH14" s="2"/>
      </tp>
      <tp t="s">
        <v>GE</v>
        <stp/>
        <stp>##V3_BDPV12</stp>
        <stp>BAS GR Equity</stp>
        <stp>DS003</stp>
        <stp>[Index.xlsm]主要產業!R59C23</stp>
        <tr r="W59" s="2"/>
      </tp>
      <tp>
        <v>104.97562443767117</v>
        <stp/>
        <stp>##V3_BDPV12</stp>
        <stp>CVX US Equity</stp>
        <stp>INTERVAL_HIGH</stp>
        <stp>[Index.xlsm]主要產業!R11C36</stp>
        <stp>MARKET_DATA_OVERRIDE=PE_RATIO</stp>
        <stp>CALC_INTERVAL=5y</stp>
        <stp>BEST_FPERIOD_OVERRIDE=BF</stp>
        <tr r="AJ11" s="2"/>
      </tp>
      <tp>
        <v>2.5695229999999998</v>
        <stp/>
        <stp>##V3_BDPV12</stp>
        <stp>PEP US Equity</stp>
        <stp>PR064</stp>
        <stp>[Index.xlsm]主要產業!R15C34</stp>
        <tr r="AH15" s="2"/>
      </tp>
      <tp t="s">
        <v>US</v>
        <stp/>
        <stp>##V3_BDPV12</stp>
        <stp>PEP US Equity</stp>
        <stp>DS003</stp>
        <stp>[Index.xlsm]主要產業!R15C23</stp>
        <tr r="W15" s="2"/>
      </tp>
      <tp>
        <v>-1.6429689999999999</v>
        <stp/>
        <stp>##V3_BDPV12</stp>
        <stp>BAS GR Equity</stp>
        <stp>PR064</stp>
        <stp>[Index.xlsm]主要產業!R59C34</stp>
        <tr r="AH59" s="2"/>
      </tp>
      <tp t="s">
        <v>US</v>
        <stp/>
        <stp>##V3_BDPV12</stp>
        <stp>PFE US Equity</stp>
        <stp>DS003</stp>
        <stp>[Index.xlsm]主要產業!R14C23</stp>
        <tr r="W14" s="2"/>
      </tp>
      <tp>
        <v>-0.21958920000000001</v>
        <stp/>
        <stp>##V3_BDPV12</stp>
        <stp>600030 CG Equity</stp>
        <stp>CHG_PCT_1M</stp>
        <stp>[Index.xlsm]主要產業!R94C31</stp>
        <tr r="AE94" s="2"/>
      </tp>
      <tp>
        <v>-0.61242339999999995</v>
        <stp/>
        <stp>##V3_BDPV12</stp>
        <stp>600030 CG Equity</stp>
        <stp>CHG_PCT_1D</stp>
        <stp>[Index.xlsm]主要產業!R94C25</stp>
        <tr r="Y94" s="2"/>
      </tp>
      <tp>
        <v>8.7036990000000003</v>
        <stp/>
        <stp>##V3_BDPV12</stp>
        <stp>600036 CG Equity</stp>
        <stp>CHG_PCT_6M</stp>
        <stp>[Index.xlsm]主要產業!R90C33</stp>
        <tr r="AG90" s="2"/>
      </tp>
      <tp>
        <v>-4.6944759999999999</v>
        <stp/>
        <stp>##V3_BDPV12</stp>
        <stp>HSBA LN Equity</stp>
        <stp>CHG_PCT_3M</stp>
        <stp>[Index.xlsm]主要產業!R44C32</stp>
        <tr r="AF44" s="2"/>
      </tp>
      <tp>
        <v>2.057375</v>
        <stp/>
        <stp>##V3_BDPV12</stp>
        <stp>600036 CG Equity</stp>
        <stp>CHG_PCT_5D</stp>
        <stp>[Index.xlsm]主要產業!R90C30</stp>
        <tr r="AD90" s="2"/>
      </tp>
      <tp>
        <v>-5.0167229999999998</v>
        <stp/>
        <stp>##V3_BDPV12</stp>
        <stp>600030 CG Equity</stp>
        <stp>CHG_PCT_3M</stp>
        <stp>[Index.xlsm]主要產業!R94C32</stp>
        <tr r="AF94" s="2"/>
      </tp>
      <tp>
        <v>0.55212729999999999</v>
        <stp/>
        <stp>##V3_BDPV12</stp>
        <stp>HSBA LN Equity</stp>
        <stp>CHG_PCT_1D</stp>
        <stp>[Index.xlsm]主要產業!R44C25</stp>
        <tr r="Y44" s="2"/>
      </tp>
      <tp>
        <v>5.5934470000000003</v>
        <stp/>
        <stp>##V3_BDPV12</stp>
        <stp>HSBA LN Equity</stp>
        <stp>CHG_PCT_1M</stp>
        <stp>[Index.xlsm]主要產業!R44C31</stp>
        <tr r="AE44" s="2"/>
      </tp>
      <tp>
        <v>-3.6880030000000001</v>
        <stp/>
        <stp>##V3_BDPV12</stp>
        <stp>600030 CG Equity</stp>
        <stp>CHG_PCT_5D</stp>
        <stp>[Index.xlsm]主要產業!R94C30</stp>
        <tr r="AD94" s="2"/>
      </tp>
      <tp>
        <v>-3.3744879999999999</v>
        <stp/>
        <stp>##V3_BDPV12</stp>
        <stp>600036 CG Equity</stp>
        <stp>CHG_PCT_3M</stp>
        <stp>[Index.xlsm]主要產業!R90C32</stp>
        <tr r="AF90" s="2"/>
      </tp>
      <tp>
        <v>1.1103810000000001</v>
        <stp/>
        <stp>##V3_BDPV12</stp>
        <stp>HSBA LN Equity</stp>
        <stp>CHG_PCT_6M</stp>
        <stp>[Index.xlsm]主要產業!R44C33</stp>
        <tr r="AG44" s="2"/>
      </tp>
      <tp>
        <v>1.3525180000000001</v>
        <stp/>
        <stp>##V3_BDPV12</stp>
        <stp>600036 CG Equity</stp>
        <stp>CHG_PCT_1M</stp>
        <stp>[Index.xlsm]主要產業!R90C31</stp>
        <tr r="AE90" s="2"/>
      </tp>
      <tp>
        <v>2.5327510000000002</v>
        <stp/>
        <stp>##V3_BDPV12</stp>
        <stp>600036 CG Equity</stp>
        <stp>CHG_PCT_1D</stp>
        <stp>[Index.xlsm]主要產業!R90C25</stp>
        <tr r="Y90" s="2"/>
      </tp>
      <tp>
        <v>-1.088373</v>
        <stp/>
        <stp>##V3_BDPV12</stp>
        <stp>600030 CG Equity</stp>
        <stp>CHG_PCT_6M</stp>
        <stp>[Index.xlsm]主要產業!R94C33</stp>
        <tr r="AG94" s="2"/>
      </tp>
      <tp>
        <v>0.51948050000000001</v>
        <stp/>
        <stp>##V3_BDPV12</stp>
        <stp>HSBA LN Equity</stp>
        <stp>CHG_PCT_5D</stp>
        <stp>[Index.xlsm]主要產業!R44C30</stp>
        <tr r="AD44" s="2"/>
      </tp>
      <tp>
        <v>8.9538510000000002</v>
        <stp/>
        <stp>##V3_BDPV12</stp>
        <stp>SX7P INDEX</stp>
        <stp>CHG_PCT_1M</stp>
        <stp>[Index.xlsm]主要產業!R21C11</stp>
        <tr r="K21" s="2"/>
      </tp>
      <tp>
        <v>-2.180774</v>
        <stp/>
        <stp>##V3_BDPV12</stp>
        <stp>SX7P INDEX</stp>
        <stp>CHG_PCT_3M</stp>
        <stp>[Index.xlsm]主要產業!R21C12</stp>
        <tr r="L21" s="2"/>
      </tp>
      <tp>
        <v>-1.9226460000000001</v>
        <stp/>
        <stp>##V3_BDPV12</stp>
        <stp>SX7P INDEX</stp>
        <stp>CHG_PCT_5D</stp>
        <stp>[Index.xlsm]主要產業!R21C10</stp>
        <tr r="J21" s="2"/>
      </tp>
      <tp>
        <v>-6.9061719999999998</v>
        <stp/>
        <stp>##V3_BDPV12</stp>
        <stp>SX7P INDEX</stp>
        <stp>CHG_PCT_6M</stp>
        <stp>[Index.xlsm]主要產業!R21C13</stp>
        <tr r="M21" s="2"/>
      </tp>
      <tp>
        <v>567.1</v>
        <stp/>
        <stp>##V3_BDPV12</stp>
        <stp>8306 JP Equity</stp>
        <stp>PX_LAST</stp>
        <stp>[Index.xlsm]主要產業!R79C24</stp>
        <tr r="X79" s="2"/>
      </tp>
      <tp>
        <v>29.738136173054876</v>
        <stp/>
        <stp>##V3_BDPV12</stp>
        <stp>SAN FP Equity</stp>
        <stp>INTERVAL_HIGH</stp>
        <stp>[Index.xlsm]主要產業!R38C36</stp>
        <stp>MARKET_DATA_OVERRIDE=PE_RATIO</stp>
        <stp>CALC_INTERVAL=5y</stp>
        <stp>BEST_FPERIOD_OVERRIDE=BF</stp>
        <tr r="AJ38" s="2"/>
      </tp>
      <tp>
        <v>167.37909999999999</v>
        <stp/>
        <stp>##V3_BDPV12</stp>
        <stp>CRY Index</stp>
        <stp>LOW_52WEEK</stp>
        <stp>[Index.xlsm]主要產業!R42C46</stp>
        <tr r="AT42" s="2"/>
      </tp>
      <tp>
        <v>-7.1074650000000003E-2</v>
        <stp/>
        <stp>##V3_BDPV12</stp>
        <stp>ALV GR Equity</stp>
        <stp>PR064</stp>
        <stp>[Index.xlsm]主要產業!R56C34</stp>
        <tr r="AH56" s="2"/>
      </tp>
      <tp t="s">
        <v>GE</v>
        <stp/>
        <stp>##V3_BDPV12</stp>
        <stp>ALV GR Equity</stp>
        <stp>DS003</stp>
        <stp>[Index.xlsm]主要產業!R56C23</stp>
        <tr r="W56" s="2"/>
      </tp>
      <tp>
        <v>5.9292020000000001</v>
        <stp/>
        <stp>##V3_BDPV12</stp>
        <stp>600000 CG Equity</stp>
        <stp>CHG_PCT_1M</stp>
        <stp>[Index.xlsm]主要產業!R96C31</stp>
        <tr r="AE96" s="2"/>
      </tp>
      <tp>
        <v>1.354784</v>
        <stp/>
        <stp>##V3_BDPV12</stp>
        <stp>600000 CG Equity</stp>
        <stp>CHG_PCT_1D</stp>
        <stp>[Index.xlsm]主要產業!R96C25</stp>
        <tr r="Y96" s="2"/>
      </tp>
      <tp>
        <v>2.8350490000000002</v>
        <stp/>
        <stp>##V3_BDPV12</stp>
        <stp>600000 CG Equity</stp>
        <stp>CHG_PCT_3M</stp>
        <stp>[Index.xlsm]主要產業!R96C32</stp>
        <tr r="AF96" s="2"/>
      </tp>
      <tp>
        <v>573198606405.26904</v>
        <stp/>
        <stp>##V3_BDPV12</stp>
        <stp>s5FDSR index</stp>
        <stp>RR902</stp>
        <stp>[Index.xlsm]主要產業!R17C20</stp>
        <tr r="T17" s="2"/>
      </tp>
      <tp>
        <v>0.25125629999999999</v>
        <stp/>
        <stp>##V3_BDPV12</stp>
        <stp>600000 CG Equity</stp>
        <stp>CHG_PCT_5D</stp>
        <stp>[Index.xlsm]主要產業!R96C30</stp>
        <tr r="AD96" s="2"/>
      </tp>
      <tp>
        <v>8.0324919999999995</v>
        <stp/>
        <stp>##V3_BDPV12</stp>
        <stp>600000 CG Equity</stp>
        <stp>CHG_PCT_6M</stp>
        <stp>[Index.xlsm]主要產業!R96C33</stp>
        <tr r="AG96" s="2"/>
      </tp>
      <tp>
        <v>-1.476977</v>
        <stp/>
        <stp>##V3_BDPV12</stp>
        <stp>STAN LN Equity</stp>
        <stp>CHG_PCT_5D</stp>
        <stp>[Index.xlsm]主要產業!R55C30</stp>
        <tr r="AD55" s="2"/>
      </tp>
      <tp>
        <v>12.238120871700483</v>
        <stp/>
        <stp>##V3_BDPV12</stp>
        <stp>SX86P INDEX</stp>
        <stp>PE_RATIO</stp>
        <stp>[Index.xlsm]主要產業!R34C18</stp>
        <tr r="R34" s="2"/>
      </tp>
      <tp>
        <v>18.18655</v>
        <stp/>
        <stp>##V3_BDPV12</stp>
        <stp>STAN LN Equity</stp>
        <stp>CHG_PCT_6M</stp>
        <stp>[Index.xlsm]主要產業!R55C33</stp>
        <tr r="AG55" s="2"/>
      </tp>
      <tp>
        <v>10.742179999999999</v>
        <stp/>
        <stp>##V3_BDPV12</stp>
        <stp>STAN LN Equity</stp>
        <stp>CHG_PCT_1M</stp>
        <stp>[Index.xlsm]主要產業!R55C31</stp>
        <tr r="AE55" s="2"/>
      </tp>
      <tp>
        <v>0.8</v>
        <stp/>
        <stp>##V3_BDPV12</stp>
        <stp>STAN LN Equity</stp>
        <stp>CHG_PCT_1D</stp>
        <stp>[Index.xlsm]主要產業!R55C25</stp>
        <tr r="Y55" s="2"/>
      </tp>
      <tp>
        <v>-3.8167970000000002</v>
        <stp/>
        <stp>##V3_BDPV12</stp>
        <stp>STAN LN Equity</stp>
        <stp>CHG_PCT_3M</stp>
        <stp>[Index.xlsm]主要產業!R55C32</stp>
        <tr r="AF55" s="2"/>
      </tp>
      <tp>
        <v>5.2949109999999999</v>
        <stp/>
        <stp>##V3_BDPV12</stp>
        <stp>SX4P INDEX</stp>
        <stp>CHG_PCT_1M</stp>
        <stp>[Index.xlsm]主要產業!R27C11</stp>
        <tr r="K27" s="2"/>
      </tp>
      <tp>
        <v>0.63509649999999995</v>
        <stp/>
        <stp>##V3_BDPV12</stp>
        <stp>SX4P INDEX</stp>
        <stp>CHG_PCT_3M</stp>
        <stp>[Index.xlsm]主要產業!R27C12</stp>
        <tr r="L27" s="2"/>
      </tp>
      <tp>
        <v>-1.371035</v>
        <stp/>
        <stp>##V3_BDPV12</stp>
        <stp>SX4P INDEX</stp>
        <stp>CHG_PCT_5D</stp>
        <stp>[Index.xlsm]主要產業!R27C10</stp>
        <tr r="J27" s="2"/>
      </tp>
      <tp>
        <v>6.4297969999999998</v>
        <stp/>
        <stp>##V3_BDPV12</stp>
        <stp>SX4P INDEX</stp>
        <stp>CHG_PCT_6M</stp>
        <stp>[Index.xlsm]主要產業!R27C13</stp>
        <tr r="M27" s="2"/>
      </tp>
      <tp>
        <v>138.63533486305616</v>
        <stp/>
        <stp>##V3_BDPV12</stp>
        <stp>PHIA NA Equity</stp>
        <stp>INTERVAL_HIGH</stp>
        <stp>[Index.xlsm]主要產業!R75C36</stp>
        <stp>MARKET_DATA_OVERRIDE=PE_RATIO</stp>
        <stp>CALC_INTERVAL=5y</stp>
        <stp>BEST_FPERIOD_OVERRIDE=BF</stp>
        <tr r="AJ75" s="2"/>
      </tp>
      <tp>
        <v>105.49618320610689</v>
        <stp/>
        <stp>##V3_BDPV12</stp>
        <stp>BAYN GR Equity</stp>
        <stp>INTERVAL_HIGH</stp>
        <stp>[Index.xlsm]主要產業!R58C36</stp>
        <stp>MARKET_DATA_OVERRIDE=PE_RATIO</stp>
        <stp>CALC_INTERVAL=5y</stp>
        <stp>BEST_FPERIOD_OVERRIDE=BF</stp>
        <tr r="AJ58" s="2"/>
      </tp>
      <tp>
        <v>-0.67</v>
        <stp/>
        <stp>##V3_BDPV12</stp>
        <stp>SHSPCCFI Index</stp>
        <stp>CHG_PCT_1D</stp>
        <stp>[Index.xlsm]主要產業!R41C43</stp>
        <tr r="AQ41" s="2"/>
      </tp>
      <tp>
        <v>-1.43</v>
        <stp/>
        <stp>##V3_BDPV12</stp>
        <stp>SHSPCCFI Index</stp>
        <stp>CHG_PCT_1M</stp>
        <stp>[Index.xlsm]主要產業!R41C49</stp>
        <tr r="AW41" s="2"/>
      </tp>
      <tp>
        <v>0.85</v>
        <stp/>
        <stp>##V3_BDPV12</stp>
        <stp>SHSPCCFI Index</stp>
        <stp>CHG_PCT_3M</stp>
        <stp>[Index.xlsm]主要產業!R41C50</stp>
        <tr r="AX41" s="2"/>
      </tp>
      <tp>
        <v>-0.67</v>
        <stp/>
        <stp>##V3_BDPV12</stp>
        <stp>SHSPCCFI Index</stp>
        <stp>CHG_PCT_5D</stp>
        <stp>[Index.xlsm]主要產業!R41C48</stp>
        <tr r="AV41" s="2"/>
      </tp>
      <tp>
        <v>-0.33</v>
        <stp/>
        <stp>##V3_BDPV12</stp>
        <stp>SHSPCCFI Index</stp>
        <stp>CHG_PCT_6M</stp>
        <stp>[Index.xlsm]主要產業!R41C51</stp>
        <tr r="AY41" s="2"/>
      </tp>
      <tp>
        <v>-0.59389979999999998</v>
        <stp/>
        <stp>##V3_BDPV12</stp>
        <stp>AS51 INDEX</stp>
        <stp>CHG_PCT_5D</stp>
        <stp>[Index.xlsm]主要產業!R16C48</stp>
        <tr r="AV16" s="2"/>
      </tp>
      <tp>
        <v>8.8267989999999994</v>
        <stp/>
        <stp>##V3_BDPV12</stp>
        <stp>AS51 INDEX</stp>
        <stp>CHG_PCT_6M</stp>
        <stp>[Index.xlsm]主要產業!R16C51</stp>
        <tr r="AY16" s="2"/>
      </tp>
      <tp>
        <v>-0.48645179999999999</v>
        <stp/>
        <stp>##V3_BDPV12</stp>
        <stp>AS51 INDEX</stp>
        <stp>CHG_PCT_1D</stp>
        <stp>[Index.xlsm]主要產業!R16C43</stp>
        <tr r="AQ16" s="2"/>
      </tp>
      <tp>
        <v>3.1889720000000001</v>
        <stp/>
        <stp>##V3_BDPV12</stp>
        <stp>AS51 INDEX</stp>
        <stp>CHG_PCT_1M</stp>
        <stp>[Index.xlsm]主要產業!R16C49</stp>
        <tr r="AW16" s="2"/>
      </tp>
      <tp>
        <v>0.16903000000000001</v>
        <stp/>
        <stp>##V3_BDPV12</stp>
        <stp>AS51 INDEX</stp>
        <stp>CHG_PCT_3M</stp>
        <stp>[Index.xlsm]主要產業!R16C50</stp>
        <tr r="AX16" s="2"/>
      </tp>
      <tp>
        <v>2898.5</v>
        <stp/>
        <stp>##V3_BDPV12</stp>
        <stp>7267 JP Equity</stp>
        <stp>PX_LAST</stp>
        <stp>[Index.xlsm]主要產業!R80C24</stp>
        <tr r="X80" s="2"/>
      </tp>
      <tp>
        <v>33.598759379373313</v>
        <stp/>
        <stp>##V3_BDPV12</stp>
        <stp>AON US Equity</stp>
        <stp>INTERVAL_HIGH</stp>
        <stp>[Index.xlsm]主要產業!R51C36</stp>
        <stp>MARKET_DATA_OVERRIDE=PE_RATIO</stp>
        <stp>CALC_INTERVAL=5y</stp>
        <stp>BEST_FPERIOD_OVERRIDE=BF</stp>
        <tr r="AJ51" s="2"/>
      </tp>
      <tp t="s">
        <v>US</v>
        <stp/>
        <stp>##V3_BDPV12</stp>
        <stp>KO US Equity</stp>
        <stp>DS003</stp>
        <stp>[Index.xlsm]主要產業!R13C23</stp>
        <tr r="W13" s="2"/>
      </tp>
      <tp>
        <v>-0.86066909999999996</v>
        <stp/>
        <stp>##V3_BDPV12</stp>
        <stp>MS US Equity</stp>
        <stp>PR064</stp>
        <stp>[Index.xlsm]主要產業!R32C34</stp>
        <tr r="AH32" s="2"/>
      </tp>
      <tp t="s">
        <v>SP</v>
        <stp/>
        <stp>##V3_BDPV12</stp>
        <stp>TEF SM Equity</stp>
        <stp>DS003</stp>
        <stp>[Index.xlsm]主要產業!R66C23</stp>
        <tr r="W66" s="2"/>
      </tp>
      <tp>
        <v>71.079452872421641</v>
        <stp/>
        <stp>##V3_BDPV12</stp>
        <stp>AMT US Equity</stp>
        <stp>INTERVAL_HIGH</stp>
        <stp>[Index.xlsm]主要產業!R26C36</stp>
        <stp>MARKET_DATA_OVERRIDE=PE_RATIO</stp>
        <stp>CALC_INTERVAL=5y</stp>
        <stp>BEST_FPERIOD_OVERRIDE=BF</stp>
        <tr r="AJ26" s="2"/>
      </tp>
      <tp>
        <v>-3.7427250000000001</v>
        <stp/>
        <stp>##V3_BDPV12</stp>
        <stp>TEF SM Equity</stp>
        <stp>PR064</stp>
        <stp>[Index.xlsm]主要產業!R66C34</stp>
        <tr r="AH66" s="2"/>
      </tp>
      <tp t="s">
        <v>US</v>
        <stp/>
        <stp>##V3_BDPV12</stp>
        <stp>MS US Equity</stp>
        <stp>DS003</stp>
        <stp>[Index.xlsm]主要產業!R32C23</stp>
        <tr r="W32" s="2"/>
      </tp>
      <tp>
        <v>7.8807099999999997</v>
        <stp/>
        <stp>##V3_BDPV12</stp>
        <stp>s5rlst Index</stp>
        <stp>PR064</stp>
        <stp>[Index.xlsm]主要產業!R15C14</stp>
        <tr r="N15" s="2"/>
      </tp>
      <tp>
        <v>19.700182815356492</v>
        <stp/>
        <stp>##V3_BDPV12</stp>
        <stp>SIE GR Equity</stp>
        <stp>INTERVAL_HIGH</stp>
        <stp>[Index.xlsm]主要產業!R57C36</stp>
        <stp>MARKET_DATA_OVERRIDE=PE_RATIO</stp>
        <stp>CALC_INTERVAL=5y</stp>
        <stp>BEST_FPERIOD_OVERRIDE=BF</stp>
        <tr r="AJ57" s="2"/>
      </tp>
      <tp>
        <v>6.3967159999999996</v>
        <stp/>
        <stp>##V3_BDPV12</stp>
        <stp>KO US Equity</stp>
        <stp>PR064</stp>
        <stp>[Index.xlsm]主要產業!R13C34</stp>
        <tr r="AH13" s="2"/>
      </tp>
      <tp>
        <v>6.0726079999999998</v>
        <stp/>
        <stp>##V3_BDPV12</stp>
        <stp>VIX Index</stp>
        <stp>CHG_PCT_6M</stp>
        <stp>[Index.xlsm]主要產業!R65C51</stp>
        <tr r="AY65" s="2"/>
      </tp>
      <tp>
        <v>14.377219999999999</v>
        <stp/>
        <stp>##V3_BDPV12</stp>
        <stp>VIX Index</stp>
        <stp>CHG_PCT_5D</stp>
        <stp>[Index.xlsm]主要產業!R65C48</stp>
        <tr r="AV65" s="2"/>
      </tp>
      <tp>
        <v>5.6900690000000003</v>
        <stp/>
        <stp>##V3_BDPV12</stp>
        <stp>GS US Equity</stp>
        <stp>PR064</stp>
        <stp>[Index.xlsm]主要產業!R30C34</stp>
        <tr r="AH30" s="2"/>
      </tp>
      <tp>
        <v>-12.171379999999999</v>
        <stp/>
        <stp>##V3_BDPV12</stp>
        <stp>GE US Equity</stp>
        <stp>PR064</stp>
        <stp>[Index.xlsm]主要產業!R29C34</stp>
        <tr r="AH29" s="2"/>
      </tp>
      <tp t="s">
        <v>US</v>
        <stp/>
        <stp>##V3_BDPV12</stp>
        <stp>GE US Equity</stp>
        <stp>DS003</stp>
        <stp>[Index.xlsm]主要產業!R29C23</stp>
        <tr r="W29" s="2"/>
      </tp>
      <tp t="s">
        <v>US</v>
        <stp/>
        <stp>##V3_BDPV12</stp>
        <stp>GS US Equity</stp>
        <stp>DS003</stp>
        <stp>[Index.xlsm]主要產業!R30C23</stp>
        <tr r="W30" s="2"/>
      </tp>
      <tp>
        <v>41.313635111210615</v>
        <stp/>
        <stp>##V3_BDPV12</stp>
        <stp>ABT US Equity</stp>
        <stp>INTERVAL_HIGH</stp>
        <stp>[Index.xlsm]主要產業!R18C36</stp>
        <stp>MARKET_DATA_OVERRIDE=PE_RATIO</stp>
        <stp>CALC_INTERVAL=5y</stp>
        <stp>BEST_FPERIOD_OVERRIDE=BF</stp>
        <tr r="AJ18" s="2"/>
      </tp>
      <tp>
        <v>22.655480176554857</v>
        <stp/>
        <stp>##V3_BDPV12</stp>
        <stp>SU FP Equity</stp>
        <stp>INTERVAL_HIGH</stp>
        <stp>[Index.xlsm]主要產業!R40C36</stp>
        <stp>MARKET_DATA_OVERRIDE=PE_RATIO</stp>
        <stp>CALC_INTERVAL=5y</stp>
        <stp>BEST_FPERIOD_OVERRIDE=BF</stp>
        <tr r="AJ40" s="2"/>
      </tp>
      <tp>
        <v>1.5802780000000001</v>
        <stp/>
        <stp>##V3_BDPV12</stp>
        <stp>VIX Index</stp>
        <stp>CHG_PCT_3M</stp>
        <stp>[Index.xlsm]主要產業!R65C50</stp>
        <tr r="AX65" s="2"/>
      </tp>
      <tp>
        <v>0.68922309999999998</v>
        <stp/>
        <stp>##V3_BDPV12</stp>
        <stp>VIX Index</stp>
        <stp>CHG_PCT_1D</stp>
        <stp>[Index.xlsm]主要產業!R65C43</stp>
        <tr r="AQ65" s="2"/>
      </tp>
      <tp>
        <v>-20.87642</v>
        <stp/>
        <stp>##V3_BDPV12</stp>
        <stp>VIX Index</stp>
        <stp>CHG_PCT_1M</stp>
        <stp>[Index.xlsm]主要產業!R65C49</stp>
        <tr r="AW65" s="2"/>
      </tp>
      <tp>
        <v>36.693654782765229</v>
        <stp/>
        <stp>##V3_BDPV12</stp>
        <stp>OR FP Equity</stp>
        <stp>INTERVAL_HIGH</stp>
        <stp>[Index.xlsm]主要產業!R39C36</stp>
        <stp>MARKET_DATA_OVERRIDE=PE_RATIO</stp>
        <stp>CALC_INTERVAL=5y</stp>
        <stp>BEST_FPERIOD_OVERRIDE=BF</stp>
        <tr r="AJ39" s="2"/>
      </tp>
      <tp>
        <v>29.424724082850268</v>
        <stp/>
        <stp>##V3_BDPV12</stp>
        <stp>MC FP Equity</stp>
        <stp>INTERVAL_HIGH</stp>
        <stp>[Index.xlsm]主要產業!R37C36</stp>
        <stp>MARKET_DATA_OVERRIDE=PE_RATIO</stp>
        <stp>CALC_INTERVAL=5y</stp>
        <stp>BEST_FPERIOD_OVERRIDE=BF</stp>
        <tr r="AJ37" s="2"/>
      </tp>
      <tp>
        <v>99.647383808422305</v>
        <stp/>
        <stp>##V3_BDPV12</stp>
        <stp>FP FP Equity</stp>
        <stp>INTERVAL_HIGH</stp>
        <stp>[Index.xlsm]主要產業!R36C36</stp>
        <stp>MARKET_DATA_OVERRIDE=PE_RATIO</stp>
        <stp>CALC_INTERVAL=5y</stp>
        <stp>BEST_FPERIOD_OVERRIDE=BF</stp>
        <tr r="AJ36" s="2"/>
      </tp>
      <tp t="s">
        <v>US</v>
        <stp/>
        <stp>##V3_BDPV12</stp>
        <stp>PM US Equity</stp>
        <stp>DS003</stp>
        <stp>[Index.xlsm]主要產業!R24C23</stp>
        <tr r="W24" s="2"/>
      </tp>
      <tp>
        <v>-2.7009530000000002</v>
        <stp/>
        <stp>##V3_BDPV12</stp>
        <stp>PM US Equity</stp>
        <stp>PR064</stp>
        <stp>[Index.xlsm]主要產業!R24C34</stp>
        <tr r="AH24" s="2"/>
      </tp>
      <tp>
        <v>38.702086314728341</v>
        <stp/>
        <stp>##V3_BDPV12</stp>
        <stp>CS FP Equity</stp>
        <stp>INTERVAL_HIGH</stp>
        <stp>[Index.xlsm]主要產業!R41C36</stp>
        <stp>MARKET_DATA_OVERRIDE=PE_RATIO</stp>
        <stp>CALC_INTERVAL=5y</stp>
        <stp>BEST_FPERIOD_OVERRIDE=BF</stp>
        <tr r="AJ41" s="2"/>
      </tp>
      <tp>
        <v>-3.04</v>
        <stp/>
        <stp>##V3_BDPV12</stp>
        <stp>600016 CG Equity</stp>
        <stp>CHG_PCT_6M</stp>
        <stp>[Index.xlsm]主要產業!R97C33</stp>
        <tr r="AG97" s="2"/>
      </tp>
      <tp>
        <v>-0.3289474</v>
        <stp/>
        <stp>##V3_BDPV12</stp>
        <stp>600016 CG Equity</stp>
        <stp>CHG_PCT_5D</stp>
        <stp>[Index.xlsm]主要產業!R97C30</stp>
        <tr r="AD97" s="2"/>
      </tp>
      <tp>
        <v>-4.7169829999999999</v>
        <stp/>
        <stp>##V3_BDPV12</stp>
        <stp>600016 CG Equity</stp>
        <stp>CHG_PCT_3M</stp>
        <stp>[Index.xlsm]主要產業!R97C32</stp>
        <tr r="AF97" s="2"/>
      </tp>
      <tp>
        <v>4.1237079999999997</v>
        <stp/>
        <stp>##V3_BDPV12</stp>
        <stp>600016 CG Equity</stp>
        <stp>CHG_PCT_1M</stp>
        <stp>[Index.xlsm]主要產業!R97C31</stp>
        <tr r="AE97" s="2"/>
      </tp>
      <tp>
        <v>0.49751240000000002</v>
        <stp/>
        <stp>##V3_BDPV12</stp>
        <stp>600016 CG Equity</stp>
        <stp>CHG_PCT_1D</stp>
        <stp>[Index.xlsm]主要產業!R97C25</stp>
        <tr r="Y97" s="2"/>
      </tp>
      <tp>
        <v>-0.59625209999999995</v>
        <stp/>
        <stp>##V3_BDPV12</stp>
        <stp>600519 CG Equity</stp>
        <stp>CHG_PCT_1D</stp>
        <stp>[Index.xlsm]主要產業!R89C25</stp>
        <tr r="Y89" s="2"/>
      </tp>
      <tp>
        <v>0.76414199999999999</v>
        <stp/>
        <stp>##V3_BDPV12</stp>
        <stp>601318 CG Equity</stp>
        <stp>CHG_PCT_1M</stp>
        <stp>[Index.xlsm]主要產業!R88C31</stp>
        <tr r="AE88" s="2"/>
      </tp>
      <tp>
        <v>-0.48434329999999998</v>
        <stp/>
        <stp>##V3_BDPV12</stp>
        <stp>601318 CG Equity</stp>
        <stp>CHG_PCT_1D</stp>
        <stp>[Index.xlsm]主要產業!R88C25</stp>
        <tr r="Y88" s="2"/>
      </tp>
      <tp>
        <v>5.2299369999999996</v>
        <stp/>
        <stp>##V3_BDPV12</stp>
        <stp>600519 CG Equity</stp>
        <stp>CHG_PCT_1M</stp>
        <stp>[Index.xlsm]主要產業!R89C31</stp>
        <tr r="AE89" s="2"/>
      </tp>
      <tp>
        <v>0.34071200000000001</v>
        <stp/>
        <stp>##V3_BDPV12</stp>
        <stp>601318 CG Equity</stp>
        <stp>CHG_PCT_3M</stp>
        <stp>[Index.xlsm]主要產業!R88C32</stp>
        <tr r="AF88" s="2"/>
      </tp>
      <tp>
        <v>17.127520000000001</v>
        <stp/>
        <stp>##V3_BDPV12</stp>
        <stp>600519 CG Equity</stp>
        <stp>CHG_PCT_3M</stp>
        <stp>[Index.xlsm]主要產業!R89C32</stp>
        <tr r="AF89" s="2"/>
      </tp>
      <tp>
        <v>-1.395089</v>
        <stp/>
        <stp>##V3_BDPV12</stp>
        <stp>601318 CG Equity</stp>
        <stp>CHG_PCT_5D</stp>
        <stp>[Index.xlsm]主要產業!R88C30</stp>
        <tr r="AD88" s="2"/>
      </tp>
      <tp>
        <v>1.921397</v>
        <stp/>
        <stp>##V3_BDPV12</stp>
        <stp>600519 CG Equity</stp>
        <stp>CHG_PCT_5D</stp>
        <stp>[Index.xlsm]主要產業!R89C30</stp>
        <tr r="AD89" s="2"/>
      </tp>
      <tp>
        <v>48.002540000000003</v>
        <stp/>
        <stp>##V3_BDPV12</stp>
        <stp>600519 CG Equity</stp>
        <stp>CHG_PCT_6M</stp>
        <stp>[Index.xlsm]主要產業!R89C33</stp>
        <tr r="AG89" s="2"/>
      </tp>
      <tp>
        <v>19.037990000000001</v>
        <stp/>
        <stp>##V3_BDPV12</stp>
        <stp>601318 CG Equity</stp>
        <stp>CHG_PCT_6M</stp>
        <stp>[Index.xlsm]主要產業!R88C33</stp>
        <tr r="AG88" s="2"/>
      </tp>
      <tp>
        <v>1504003752886</v>
        <stp/>
        <stp>##V3_BDPV12</stp>
        <stp>S5tech Index</stp>
        <stp>RR902</stp>
        <stp>[Index.xlsm]主要產業!R11C20</stp>
        <tr r="T11" s="2"/>
      </tp>
      <tp>
        <v>1.496904</v>
        <stp/>
        <stp>##V3_BDPV12</stp>
        <stp>TWSETRAN Index</stp>
        <stp>CHG_PCT_6M</stp>
        <stp>[Index.xlsm]主要產業!R82C13</stp>
        <tr r="M82" s="2"/>
      </tp>
      <tp>
        <v>-1.2758970000000001</v>
        <stp/>
        <stp>##V3_BDPV12</stp>
        <stp>TWSETRAN Index</stp>
        <stp>CHG_PCT_5D</stp>
        <stp>[Index.xlsm]主要產業!R82C10</stp>
        <tr r="J82" s="2"/>
      </tp>
      <tp>
        <v>-4.8806000000000003</v>
        <stp/>
        <stp>##V3_BDPV12</stp>
        <stp>nzd Curncy</stp>
        <stp>CHG_PCT_1YR</stp>
        <stp>[Index.xlsm]主要產業!R75C53</stp>
        <tr r="BA75" s="2"/>
      </tp>
      <tp>
        <v>-6.9336380000000002</v>
        <stp/>
        <stp>##V3_BDPV12</stp>
        <stp>TWSETRAN Index</stp>
        <stp>CHG_PCT_3M</stp>
        <stp>[Index.xlsm]主要產業!R82C12</stp>
        <tr r="L82" s="2"/>
      </tp>
      <tp>
        <v>0.1522742</v>
        <stp/>
        <stp>##V3_BDPV12</stp>
        <stp>TWSETRAN Index</stp>
        <stp>CHG_PCT_1M</stp>
        <stp>[Index.xlsm]主要產業!R82C11</stp>
        <tr r="K82" s="2"/>
      </tp>
      <tp>
        <v>-5.7496999999999998</v>
        <stp/>
        <stp>##V3_BDPV12</stp>
        <stp>gbp Curncy</stp>
        <stp>CHG_PCT_1YR</stp>
        <stp>[Index.xlsm]主要產業!R73C53</stp>
        <tr r="BA73" s="2"/>
      </tp>
      <tp>
        <v>-6.3262999999999998</v>
        <stp/>
        <stp>##V3_BDPV12</stp>
        <stp>aud Curncy</stp>
        <stp>CHG_PCT_1YR</stp>
        <stp>[Index.xlsm]主要產業!R74C53</stp>
        <tr r="BA74" s="2"/>
      </tp>
      <tp>
        <v>181.57892739177541</v>
        <stp/>
        <stp>##V3_BDPV12</stp>
        <stp>SREN SW Equity</stp>
        <stp>INTERVAL_HIGH</stp>
        <stp>[Index.xlsm]主要產業!R72C36</stp>
        <stp>MARKET_DATA_OVERRIDE=PE_RATIO</stp>
        <stp>CALC_INTERVAL=5y</stp>
        <stp>BEST_FPERIOD_OVERRIDE=BF</stp>
        <tr r="AJ72" s="2"/>
      </tp>
      <tp t="s">
        <v>GE</v>
        <stp/>
        <stp>##V3_BDPV12</stp>
        <stp>MUV2 GR Equity</stp>
        <stp>DS003</stp>
        <stp>[Index.xlsm]主要產業!R62C23</stp>
        <tr r="W62" s="2"/>
      </tp>
      <tp>
        <v>6.8356750000000002</v>
        <stp/>
        <stp>##V3_BDPV12</stp>
        <stp>MUV2 GR Equity</stp>
        <stp>PR064</stp>
        <stp>[Index.xlsm]主要產業!R62C34</stp>
        <tr r="AH62" s="2"/>
      </tp>
      <tp>
        <v>-13.246969999999999</v>
        <stp/>
        <stp>##V3_BDPV12</stp>
        <stp>TWSEPLAS Index</stp>
        <stp>CHG_PCT_3M</stp>
        <stp>[Index.xlsm]主要產業!R73C12</stp>
        <tr r="L73" s="2"/>
      </tp>
      <tp t="s">
        <v>#N/A N/A</v>
        <stp/>
        <stp>##V3_BDPV12</stp>
        <stp>SMSN LI Equity</stp>
        <stp>INTERVAL_HIGH</stp>
        <stp>[Index.xlsm]主要產業!R86C36</stp>
        <stp>MARKET_DATA_OVERRIDE=PE_RATIO</stp>
        <stp>CALC_INTERVAL=5y</stp>
        <stp>BEST_FPERIOD_OVERRIDE=BF</stp>
        <tr r="AJ86" s="2"/>
      </tp>
      <tp>
        <v>4.6767070000000004</v>
        <stp/>
        <stp>##V3_BDPV12</stp>
        <stp>TWSEPLAS Index</stp>
        <stp>CHG_PCT_1M</stp>
        <stp>[Index.xlsm]主要產業!R73C11</stp>
        <tr r="K73" s="2"/>
      </tp>
      <tp>
        <v>-13.009740000000001</v>
        <stp/>
        <stp>##V3_BDPV12</stp>
        <stp>TWSEPLAS Index</stp>
        <stp>CHG_PCT_6M</stp>
        <stp>[Index.xlsm]主要產業!R73C13</stp>
        <tr r="M73" s="2"/>
      </tp>
      <tp>
        <v>-0.93810590000000005</v>
        <stp/>
        <stp>##V3_BDPV12</stp>
        <stp>TWSEPLAS Index</stp>
        <stp>CHG_PCT_5D</stp>
        <stp>[Index.xlsm]主要產業!R73C10</stp>
        <tr r="J73" s="2"/>
      </tp>
      <tp>
        <v>2.4478</v>
        <stp/>
        <stp>##V3_BDPV12</stp>
        <stp>INR Curncy</stp>
        <stp>CHG_PCT_1YR</stp>
        <stp>[Index.xlsm]主要產業!R82C53</stp>
        <tr r="BA82" s="2"/>
      </tp>
      <tp>
        <v>-0.29599999999999999</v>
        <stp/>
        <stp>##V3_BDPV12</stp>
        <stp>HKD Curncy</stp>
        <stp>CHG_PCT_1YR</stp>
        <stp>[Index.xlsm]主要產業!R76C53</stp>
        <tr r="BA76" s="2"/>
      </tp>
      <tp>
        <v>-6.7767999999999997</v>
        <stp/>
        <stp>##V3_BDPV12</stp>
        <stp>KRW Curncy</stp>
        <stp>CHG_PCT_1YR</stp>
        <stp>[Index.xlsm]主要產業!R71C53</stp>
        <tr r="BA71" s="2"/>
      </tp>
      <tp>
        <v>5.1859999999999999</v>
        <stp/>
        <stp>##V3_BDPV12</stp>
        <stp>JPY Curncy</stp>
        <stp>CHG_PCT_1YR</stp>
        <stp>[Index.xlsm]主要產業!R70C53</stp>
        <tr r="BA70" s="2"/>
      </tp>
      <tp>
        <v>-6.1849999999999996</v>
        <stp/>
        <stp>##V3_BDPV12</stp>
        <stp>EUR Curncy</stp>
        <stp>CHG_PCT_1YR</stp>
        <stp>[Index.xlsm]主要產業!R72C53</stp>
        <tr r="BA72" s="2"/>
      </tp>
      <tp>
        <v>-32.651299999999999</v>
        <stp/>
        <stp>##V3_BDPV12</stp>
        <stp>ARS Curncy</stp>
        <stp>CHG_PCT_1YR</stp>
        <stp>[Index.xlsm]主要產業!R81C53</stp>
        <tr r="BA81" s="2"/>
      </tp>
      <tp>
        <v>-3.5598000000000001</v>
        <stp/>
        <stp>##V3_BDPV12</stp>
        <stp>CNY Curncy</stp>
        <stp>CHG_PCT_1YR</stp>
        <stp>[Index.xlsm]主要產業!R77C53</stp>
        <tr r="BA77" s="2"/>
      </tp>
      <tp>
        <v>-3.2643</v>
        <stp/>
        <stp>##V3_BDPV12</stp>
        <stp>BRL Curncy</stp>
        <stp>CHG_PCT_1YR</stp>
        <stp>[Index.xlsm]主要產業!R78C53</stp>
        <tr r="BA78" s="2"/>
      </tp>
      <tp>
        <v>268</v>
        <stp/>
        <stp>##V3_BDPV12</stp>
        <stp>2330 TT Equity</stp>
        <stp>PX_LAST</stp>
        <stp>[Index.xlsm]主要產業!R87C24</stp>
        <tr r="X87" s="2"/>
      </tp>
      <tp>
        <v>-6.0461999999999998</v>
        <stp/>
        <stp>##V3_BDPV12</stp>
        <stp>ZAR Curncy</stp>
        <stp>CHG_PCT_1YR</stp>
        <stp>[Index.xlsm]主要產業!R80C53</stp>
        <tr r="BA80" s="2"/>
      </tp>
      <tp>
        <v>6.0221999999999998</v>
        <stp/>
        <stp>##V3_BDPV12</stp>
        <stp>TRY Curncy</stp>
        <stp>CHG_PCT_1YR</stp>
        <stp>[Index.xlsm]主要產業!R79C53</stp>
        <tr r="BA79" s="2"/>
      </tp>
      <tp>
        <v>2.1417999999999999</v>
        <stp/>
        <stp>##V3_BDPV12</stp>
        <stp>RUB Curncy</stp>
        <stp>CHG_PCT_1YR</stp>
        <stp>[Index.xlsm]主要產業!R83C53</stp>
        <tr r="BA83" s="2"/>
      </tp>
      <tp>
        <v>-9.8736320000000006</v>
        <stp/>
        <stp>##V3_BDPV12</stp>
        <stp>SAN SM Equity</stp>
        <stp>PR064</stp>
        <stp>[Index.xlsm]主要產業!R64C34</stp>
        <tr r="AH64" s="2"/>
      </tp>
      <tp t="s">
        <v>SP</v>
        <stp/>
        <stp>##V3_BDPV12</stp>
        <stp>SAN SM Equity</stp>
        <stp>DS003</stp>
        <stp>[Index.xlsm]主要產業!R64C23</stp>
        <tr r="W64" s="2"/>
      </tp>
      <tp>
        <v>7.6471489999999998</v>
        <stp/>
        <stp>##V3_BDPV12</stp>
        <stp>UTX US Equity</stp>
        <stp>PR064</stp>
        <stp>[Index.xlsm]主要產業!R25C34</stp>
        <tr r="AH25" s="2"/>
      </tp>
      <tp t="s">
        <v>US</v>
        <stp/>
        <stp>##V3_BDPV12</stp>
        <stp>UTX US Equity</stp>
        <stp>DS003</stp>
        <stp>[Index.xlsm]主要產業!R25C23</stp>
        <tr r="W25" s="2"/>
      </tp>
      <tp>
        <v>3136.04</v>
        <stp/>
        <stp>##V3_BDPV12</stp>
        <stp>XBTUSD BGN Curncy</stp>
        <stp>LOW_52WEEK</stp>
        <stp>[Index.xlsm]主要產業!R84C46</stp>
        <tr r="AT84" s="2"/>
      </tp>
      <tp>
        <v>-0.68065319999999996</v>
        <stp/>
        <stp>##V3_BDPV12</stp>
        <stp>601166 CG Equity</stp>
        <stp>CHG_PCT_6M</stp>
        <stp>[Index.xlsm]主要產業!R92C33</stp>
        <tr r="AG92" s="2"/>
      </tp>
      <tp>
        <v>0.28636879999999998</v>
        <stp/>
        <stp>##V3_BDPV12</stp>
        <stp>601166 CG Equity</stp>
        <stp>CHG_PCT_5D</stp>
        <stp>[Index.xlsm]主要產業!R92C30</stp>
        <tr r="AD92" s="2"/>
      </tp>
      <tp>
        <v>-4.5256280000000002</v>
        <stp/>
        <stp>##V3_BDPV12</stp>
        <stp>601166 CG Equity</stp>
        <stp>CHG_PCT_3M</stp>
        <stp>[Index.xlsm]主要產業!R92C32</stp>
        <tr r="AF92" s="2"/>
      </tp>
      <tp>
        <v>-4.1598269999999999</v>
        <stp/>
        <stp>##V3_BDPV12</stp>
        <stp>601166 CG Equity</stp>
        <stp>CHG_PCT_1M</stp>
        <stp>[Index.xlsm]主要產業!R92C31</stp>
        <tr r="AE92" s="2"/>
      </tp>
      <tp>
        <v>1.0969979999999999</v>
        <stp/>
        <stp>##V3_BDPV12</stp>
        <stp>601166 CG Equity</stp>
        <stp>CHG_PCT_1D</stp>
        <stp>[Index.xlsm]主要產業!R92C25</stp>
        <tr r="Y92" s="2"/>
      </tp>
      <tp>
        <v>7.7738173486763191</v>
        <stp/>
        <stp>##V3_BDPV12</stp>
        <stp>8306 JP Equity</stp>
        <stp>PE_RATIO</stp>
        <stp>[Index.xlsm]主要產業!R79C38</stp>
        <tr r="AL79" s="2"/>
      </tp>
      <tp>
        <v>21.447740345401058</v>
        <stp/>
        <stp>##V3_BDPV12</stp>
        <stp>INGA NA Equity</stp>
        <stp>INTERVAL_HIGH</stp>
        <stp>[Index.xlsm]主要產業!R76C36</stp>
        <stp>MARKET_DATA_OVERRIDE=PE_RATIO</stp>
        <stp>CALC_INTERVAL=5y</stp>
        <stp>BEST_FPERIOD_OVERRIDE=BF</stp>
        <tr r="AJ76" s="2"/>
      </tp>
      <tp>
        <v>113.36863281398429</v>
        <stp/>
        <stp>##V3_BDPV12</stp>
        <stp>CSGN SW Equity</stp>
        <stp>INTERVAL_HIGH</stp>
        <stp>[Index.xlsm]主要產業!R71C36</stp>
        <stp>MARKET_DATA_OVERRIDE=PE_RATIO</stp>
        <stp>CALC_INTERVAL=5y</stp>
        <stp>BEST_FPERIOD_OVERRIDE=BF</stp>
        <tr r="AJ71" s="2"/>
      </tp>
      <tp>
        <v>-50</v>
        <stp/>
        <stp>##V3_BDPV12</stp>
        <stp>GECU2YR INDEX</stp>
        <stp>CHG_PCT_1YR</stp>
        <stp>[Index.xlsm]主要產業!R59C53</stp>
        <tr r="BA59" s="2"/>
      </tp>
      <tp>
        <v>2887</v>
        <stp/>
        <stp>##V3_BDPV12</stp>
        <stp>7751 JP Equity</stp>
        <stp>PX_LAST</stp>
        <stp>[Index.xlsm]主要產業!R81C24</stp>
        <tr r="X81" s="2"/>
      </tp>
      <tp>
        <v>711.8</v>
        <stp/>
        <stp>##V3_BDPV12</stp>
        <stp>7201 JP Equity</stp>
        <stp>PX_LAST</stp>
        <stp>[Index.xlsm]主要產業!R85C24</stp>
        <tr r="X85" s="2"/>
      </tp>
      <tp t="s">
        <v>US</v>
        <stp/>
        <stp>##V3_BDPV12</stp>
        <stp>TXN US Equity</stp>
        <stp>DS003</stp>
        <stp>[Index.xlsm]主要產業!R22C23</stp>
        <tr r="W22" s="2"/>
      </tp>
      <tp>
        <v>11.95491</v>
        <stp/>
        <stp>##V3_BDPV12</stp>
        <stp>TXN US Equity</stp>
        <stp>PR064</stp>
        <stp>[Index.xlsm]主要產業!R22C34</stp>
        <tr r="AH22" s="2"/>
      </tp>
      <tp>
        <v>-4.5604395604395602</v>
        <stp/>
        <stp>##V3_BDPV12</stp>
        <stp>lmahds03 comdty</stp>
        <stp>PR064</stp>
        <stp>[Index.xlsm]主要產業!R46C52</stp>
        <tr r="AZ46" s="2"/>
      </tp>
      <tp>
        <v>13.36971</v>
        <stp/>
        <stp>##V3_BDPV12</stp>
        <stp>GLE FP Equity</stp>
        <stp>PR064</stp>
        <stp>[Index.xlsm]主要產業!R43C34</stp>
        <tr r="AH43" s="2"/>
      </tp>
      <tp>
        <v>514.29999999999995</v>
        <stp/>
        <stp>##V3_BDPV12</stp>
        <stp>BP/ LN Equity</stp>
        <stp>PX_LAST</stp>
        <stp>[Index.xlsm]主要產業!R45C24</stp>
        <tr r="X45" s="2"/>
      </tp>
      <tp t="s">
        <v>SZ</v>
        <stp/>
        <stp>##V3_BDPV12</stp>
        <stp>ROG SW Equity</stp>
        <stp>DS003</stp>
        <stp>[Index.xlsm]主要產業!R69C23</stp>
        <tr r="W69" s="2"/>
      </tp>
      <tp>
        <v>4.8071700000000002</v>
        <stp/>
        <stp>##V3_BDPV12</stp>
        <stp>ROG SW Equity</stp>
        <stp>PR064</stp>
        <stp>[Index.xlsm]主要產業!R69C34</stp>
        <tr r="AH69" s="2"/>
      </tp>
      <tp t="s">
        <v>FR</v>
        <stp/>
        <stp>##V3_BDPV12</stp>
        <stp>GLE FP Equity</stp>
        <stp>DS003</stp>
        <stp>[Index.xlsm]主要產業!R43C23</stp>
        <tr r="W43" s="2"/>
      </tp>
      <tp>
        <v>3.8039529999999999</v>
        <stp/>
        <stp>##V3_BDPV12</stp>
        <stp>RO SW Equity</stp>
        <stp>PR064</stp>
        <stp>[Index.xlsm]主要產業!R73C34</stp>
        <tr r="AH73" s="2"/>
      </tp>
      <tp t="s">
        <v>SZ</v>
        <stp/>
        <stp>##V3_BDPV12</stp>
        <stp>RO SW Equity</stp>
        <stp>DS003</stp>
        <stp>[Index.xlsm]主要產業!R73C23</stp>
        <tr r="W73" s="2"/>
      </tp>
      <tp>
        <v>15.578950000000001</v>
        <stp/>
        <stp>##V3_BDPV12</stp>
        <stp>PHIA NA Equity</stp>
        <stp>CHG_PCT_3M</stp>
        <stp>[Index.xlsm]主要產業!R75C32</stp>
        <tr r="AF75" s="2"/>
      </tp>
      <tp>
        <v>-0.93605499999999997</v>
        <stp/>
        <stp>##V3_BDPV12</stp>
        <stp>PHIA NA Equity</stp>
        <stp>CHG_PCT_1D</stp>
        <stp>[Index.xlsm]主要產業!R75C25</stp>
        <tr r="Y75" s="2"/>
      </tp>
      <tp>
        <v>4.7460040000000001</v>
        <stp/>
        <stp>##V3_BDPV12</stp>
        <stp>PHIA NA Equity</stp>
        <stp>CHG_PCT_1M</stp>
        <stp>[Index.xlsm]主要產業!R75C31</stp>
        <tr r="AE75" s="2"/>
      </tp>
      <tp>
        <v>22.271719999999998</v>
        <stp/>
        <stp>##V3_BDPV12</stp>
        <stp>PHIA NA Equity</stp>
        <stp>CHG_PCT_6M</stp>
        <stp>[Index.xlsm]主要產業!R75C33</stp>
        <tr r="AG75" s="2"/>
      </tp>
      <tp>
        <v>-0.1931599</v>
        <stp/>
        <stp>##V3_BDPV12</stp>
        <stp>PHIA NA Equity</stp>
        <stp>CHG_PCT_5D</stp>
        <stp>[Index.xlsm]主要產業!R75C30</stp>
        <tr r="AD75" s="2"/>
      </tp>
      <tp>
        <v>85.88</v>
        <stp/>
        <stp>##V3_BDPV12</stp>
        <stp>SREN SW Equity</stp>
        <stp>LOW_52WEEK</stp>
        <stp>[Index.xlsm]主要產業!R72C28</stp>
        <tr r="AB72" s="2"/>
      </tp>
      <tp>
        <v>-0.14614559999999999</v>
        <stp/>
        <stp>##V3_BDPV12</stp>
        <stp>SX3P INDEX</stp>
        <stp>CHG_PCT_1M</stp>
        <stp>[Index.xlsm]主要產業!R22C11</stp>
        <tr r="K22" s="2"/>
      </tp>
      <tp>
        <v>6.012867</v>
        <stp/>
        <stp>##V3_BDPV12</stp>
        <stp>SX3P INDEX</stp>
        <stp>CHG_PCT_3M</stp>
        <stp>[Index.xlsm]主要產業!R22C12</stp>
        <tr r="L22" s="2"/>
      </tp>
      <tp>
        <v>0.99684139999999999</v>
        <stp/>
        <stp>##V3_BDPV12</stp>
        <stp>SX3P INDEX</stp>
        <stp>CHG_PCT_5D</stp>
        <stp>[Index.xlsm]主要產業!R22C10</stp>
        <tr r="J22" s="2"/>
      </tp>
      <tp>
        <v>11.102</v>
        <stp/>
        <stp>##V3_BDPV12</stp>
        <stp>SX3P INDEX</stp>
        <stp>CHG_PCT_6M</stp>
        <stp>[Index.xlsm]主要產業!R22C13</stp>
        <tr r="M22" s="2"/>
      </tp>
      <tp>
        <v>4.756348</v>
        <stp/>
        <stp>##V3_BDPV12</stp>
        <stp>TWSEMACH Index</stp>
        <stp>CHG_PCT_1M</stp>
        <stp>[Index.xlsm]主要產業!R87C11</stp>
        <tr r="K87" s="2"/>
      </tp>
      <tp>
        <v>0.90564619999999996</v>
        <stp/>
        <stp>##V3_BDPV12</stp>
        <stp>TWSEMACH Index</stp>
        <stp>CHG_PCT_3M</stp>
        <stp>[Index.xlsm]主要產業!R87C12</stp>
        <tr r="L87" s="2"/>
      </tp>
      <tp>
        <v>0.43598910000000002</v>
        <stp/>
        <stp>##V3_BDPV12</stp>
        <stp>TWSEMACH Index</stp>
        <stp>CHG_PCT_5D</stp>
        <stp>[Index.xlsm]主要產業!R87C10</stp>
        <tr r="J87" s="2"/>
      </tp>
      <tp>
        <v>-4.6214930000000001</v>
        <stp/>
        <stp>##V3_BDPV12</stp>
        <stp>TWSEMACH Index</stp>
        <stp>CHG_PCT_6M</stp>
        <stp>[Index.xlsm]主要產業!R87C13</stp>
        <tr r="M87" s="2"/>
      </tp>
      <tp>
        <v>17.308630000000001</v>
        <stp/>
        <stp>##V3_BDPV12</stp>
        <stp>MC FP Equity</stp>
        <stp>CHG_PCT_1YR</stp>
        <stp>[Index.xlsm]主要產業!R37C35</stp>
        <tr r="AI37" s="2"/>
      </tp>
      <tp>
        <v>4159</v>
        <stp/>
        <stp>##V3_BDPV12</stp>
        <stp>3382 JP Equity</stp>
        <stp>PX_LAST</stp>
        <stp>[Index.xlsm]主要產業!R82C24</stp>
        <tr r="X82" s="2"/>
      </tp>
      <tp>
        <v>901.9</v>
        <stp/>
        <stp>##V3_BDPV12</stp>
        <stp>6752 JP Equity</stp>
        <stp>PX_LAST</stp>
        <stp>[Index.xlsm]主要產業!R84C24</stp>
        <tr r="X84" s="2"/>
      </tp>
      <tp>
        <v>236</v>
        <stp/>
        <stp>##V3_BDPV12</stp>
        <stp>MUV2 GR Equity</stp>
        <stp>PX_LAST</stp>
        <stp>[Index.xlsm]主要產業!R62C24</stp>
        <tr r="X62" s="2"/>
      </tp>
      <tp>
        <v>7.3892480000000003</v>
        <stp/>
        <stp>##V3_BDPV12</stp>
        <stp>WMT US Equity</stp>
        <stp>PR064</stp>
        <stp>[Index.xlsm]主要產業!R17C34</stp>
        <tr r="AH17" s="2"/>
      </tp>
      <tp t="s">
        <v>US</v>
        <stp/>
        <stp>##V3_BDPV12</stp>
        <stp>WMT US Equity</stp>
        <stp>DS003</stp>
        <stp>[Index.xlsm]主要產業!R17C23</stp>
        <tr r="W17" s="2"/>
      </tp>
      <tp>
        <v>-2.6986509999999999</v>
        <stp/>
        <stp>##V3_BDPV12</stp>
        <stp>BAYN GR Equity</stp>
        <stp>CHG_PCT_5D</stp>
        <stp>[Index.xlsm]主要產業!R58C30</stp>
        <tr r="AD58" s="2"/>
      </tp>
      <tp>
        <v>14.765700000000001</v>
        <stp/>
        <stp>##V3_BDPV12</stp>
        <stp>BAYN GR Equity</stp>
        <stp>CHG_PCT_6M</stp>
        <stp>[Index.xlsm]主要產業!R58C33</stp>
        <tr r="AG58" s="2"/>
      </tp>
      <tp>
        <v>-2.7715360000000002</v>
        <stp/>
        <stp>##V3_BDPV12</stp>
        <stp>BAYN GR Equity</stp>
        <stp>CHG_PCT_1M</stp>
        <stp>[Index.xlsm]主要產業!R58C31</stp>
        <tr r="AE58" s="2"/>
      </tp>
      <tp>
        <v>-1.8599730000000001</v>
        <stp/>
        <stp>##V3_BDPV12</stp>
        <stp>BAYN GR Equity</stp>
        <stp>CHG_PCT_1D</stp>
        <stp>[Index.xlsm]主要產業!R58C25</stp>
        <tr r="Y58" s="2"/>
      </tp>
      <tp>
        <v>6.3934430000000004</v>
        <stp/>
        <stp>##V3_BDPV12</stp>
        <stp>BAYN GR Equity</stp>
        <stp>CHG_PCT_3M</stp>
        <stp>[Index.xlsm]主要產業!R58C32</stp>
        <tr r="AF58" s="2"/>
      </tp>
      <tp>
        <v>-4.2524959999999998</v>
        <stp/>
        <stp>##V3_BDPV12</stp>
        <stp>BBVA SM Equity</stp>
        <stp>PR064</stp>
        <stp>[Index.xlsm]主要產業!R65C34</stp>
        <tr r="AH65" s="2"/>
      </tp>
      <tp t="s">
        <v>SP</v>
        <stp/>
        <stp>##V3_BDPV12</stp>
        <stp>BBVA SM Equity</stp>
        <stp>DS003</stp>
        <stp>[Index.xlsm]主要產業!R65C23</stp>
        <tr r="W65" s="2"/>
      </tp>
      <tp>
        <v>83535.3203125</v>
        <stp/>
        <stp>##V3_BDPV12</stp>
        <stp>XU100 INDEX</stp>
        <stp>LOW_52WEEK</stp>
        <stp>[Index.xlsm]主要產業!R33C46</stp>
        <tr r="AT33" s="2"/>
      </tp>
      <tp t="s">
        <v>SZ</v>
        <stp/>
        <stp>##V3_BDPV12</stp>
        <stp>UBSG SW Equity</stp>
        <stp>DS003</stp>
        <stp>[Index.xlsm]主要產業!R70C23</stp>
        <tr r="W70" s="2"/>
      </tp>
      <tp>
        <v>-3.6285080000000001</v>
        <stp/>
        <stp>##V3_BDPV12</stp>
        <stp>UBSG SW Equity</stp>
        <stp>PR064</stp>
        <stp>[Index.xlsm]主要產業!R70C34</stp>
        <tr r="AH70" s="2"/>
      </tp>
      <tp>
        <v>2518</v>
        <stp/>
        <stp>##V3_BDPV12</stp>
        <stp>BDIY Index</stp>
        <stp>HIGH_52WEEK</stp>
        <stp>[Index.xlsm]主要產業!R40C44</stp>
        <tr r="AR40" s="2"/>
      </tp>
      <tp>
        <v>7426</v>
        <stp/>
        <stp>##V3_BDPV12</stp>
        <stp>7203 JP Equity</stp>
        <stp>PX_LAST</stp>
        <stp>[Index.xlsm]主要產業!R77C24</stp>
        <tr r="X77" s="2"/>
      </tp>
      <tp>
        <v>-4.4422177688710756</v>
        <stp/>
        <stp>##V3_BDPV12</stp>
        <stp>lmcads03 comdty</stp>
        <stp>PR064</stp>
        <stp>[Index.xlsm]主要產業!R47C52</stp>
        <tr r="AZ47" s="2"/>
      </tp>
      <tp>
        <v>26.533525891404306</v>
        <stp/>
        <stp>##V3_BDPV12</stp>
        <stp>EMR US Equity</stp>
        <stp>INTERVAL_HIGH</stp>
        <stp>[Index.xlsm]主要產業!R33C36</stp>
        <stp>MARKET_DATA_OVERRIDE=PE_RATIO</stp>
        <stp>CALC_INTERVAL=5y</stp>
        <stp>BEST_FPERIOD_OVERRIDE=BF</stp>
        <tr r="AJ33" s="2"/>
      </tp>
      <tp>
        <v>691954998024</v>
        <stp/>
        <stp>##V3_BDPV12</stp>
        <stp>s5matr Index</stp>
        <stp>RR902</stp>
        <stp>[Index.xlsm]主要產業!R16C20</stp>
        <tr r="T16" s="2"/>
      </tp>
      <tp>
        <v>1.4767920000000001</v>
        <stp/>
        <stp>##V3_BDPV12</stp>
        <stp>DTE GR Equity</stp>
        <stp>PR064</stp>
        <stp>[Index.xlsm]主要產業!R60C34</stp>
        <tr r="AH60" s="2"/>
      </tp>
      <tp>
        <v>4126.0910000000003</v>
        <stp/>
        <stp>##V3_BDPV12</stp>
        <stp>SHSZ300 INDEX</stp>
        <stp>HIGH_52WEEK</stp>
        <stp>[Index.xlsm]主要產業!R24C44</stp>
        <tr r="AR24" s="2"/>
      </tp>
      <tp t="s">
        <v>GE</v>
        <stp/>
        <stp>##V3_BDPV12</stp>
        <stp>DTE GR Equity</stp>
        <stp>DS003</stp>
        <stp>[Index.xlsm]主要產業!R60C23</stp>
        <tr r="W60" s="2"/>
      </tp>
      <tp>
        <v>-12.99166</v>
        <stp/>
        <stp>##V3_BDPV12</stp>
        <stp>BHP AU Equity</stp>
        <stp>PR064</stp>
        <stp>[Index.xlsm]主要產業!R35C34</stp>
        <tr r="AH35" s="2"/>
      </tp>
      <tp>
        <v>0.11609999999999999</v>
        <stp/>
        <stp>##V3_BDPV12</stp>
        <stp>usggt10y Index</stp>
        <stp>PX_LAST</stp>
        <stp>[Index.xlsm]主要產業!R62C42</stp>
        <tr r="AP62" s="2"/>
      </tp>
      <tp t="s">
        <v>AU</v>
        <stp/>
        <stp>##V3_BDPV12</stp>
        <stp>BHP AU Equity</stp>
        <stp>DS003</stp>
        <stp>[Index.xlsm]主要產業!R35C23</stp>
        <tr r="W35" s="2"/>
      </tp>
      <tp t="s">
        <v>GE</v>
        <stp/>
        <stp>##V3_BDPV12</stp>
        <stp>DAI GR Equity</stp>
        <stp>DS003</stp>
        <stp>[Index.xlsm]主要產業!R61C23</stp>
        <tr r="W61" s="2"/>
      </tp>
      <tp t="s">
        <v>GE</v>
        <stp/>
        <stp>##V3_BDPV12</stp>
        <stp>DBK GR Equity</stp>
        <stp>DS003</stp>
        <stp>[Index.xlsm]主要產業!R63C23</stp>
        <tr r="W63" s="2"/>
      </tp>
      <tp>
        <v>2.5718589999999999</v>
        <stp/>
        <stp>##V3_BDPV12</stp>
        <stp>DBK GR Equity</stp>
        <stp>PR064</stp>
        <stp>[Index.xlsm]主要產業!R63C34</stp>
        <tr r="AH63" s="2"/>
      </tp>
      <tp>
        <v>-6.9151119999999997</v>
        <stp/>
        <stp>##V3_BDPV12</stp>
        <stp>DAI GR Equity</stp>
        <stp>PR064</stp>
        <stp>[Index.xlsm]主要產業!R61C34</stp>
        <tr r="AH61" s="2"/>
      </tp>
      <tp>
        <v>10.159000000000001</v>
        <stp/>
        <stp>##V3_BDPV12</stp>
        <stp>CSGN SW Equity</stp>
        <stp>LOW_52WEEK</stp>
        <stp>[Index.xlsm]主要產業!R71C28</stp>
        <tr r="AB71" s="2"/>
      </tp>
      <tp>
        <v>-4.4400000000000002E-2</v>
        <stp/>
        <stp>##V3_BDPV12</stp>
        <stp>usgg30yr Index</stp>
        <stp>CHG_NET_1D</stp>
        <stp>[Index.xlsm]主要產業!R58C43</stp>
        <tr r="AQ58" s="2"/>
      </tp>
      <tp>
        <v>-4.5100000000000001E-2</v>
        <stp/>
        <stp>##V3_BDPV12</stp>
        <stp>usgg10yr Index</stp>
        <stp>CHG_NET_1D</stp>
        <stp>[Index.xlsm]主要產業!R57C43</stp>
        <tr r="AQ57" s="2"/>
      </tp>
      <tp>
        <v>-6.4720500000000003</v>
        <stp/>
        <stp>##V3_BDPV12</stp>
        <stp>PM US Equity</stp>
        <stp>CHG_PCT_1YR</stp>
        <stp>[Index.xlsm]主要產業!R24C35</stp>
        <tr r="AI24" s="2"/>
      </tp>
      <tp>
        <v>-3.8515000000000001</v>
        <stp/>
        <stp>##V3_BDPV12</stp>
        <stp>usgg30yr Index</stp>
        <stp>CHG_PCT_5D</stp>
        <stp>[Index.xlsm]主要產業!R58C48</stp>
        <tr r="AV58" s="2"/>
      </tp>
      <tp>
        <v>-5.1513</v>
        <stp/>
        <stp>##V3_BDPV12</stp>
        <stp>usgg10yr Index</stp>
        <stp>CHG_PCT_5D</stp>
        <stp>[Index.xlsm]主要產業!R57C48</stp>
        <tr r="AV57" s="2"/>
      </tp>
      <tp>
        <v>-25.4499</v>
        <stp/>
        <stp>##V3_BDPV12</stp>
        <stp>usgg30yr Index</stp>
        <stp>CHG_PCT_6M</stp>
        <stp>[Index.xlsm]主要產業!R58C51</stp>
        <tr r="AY58" s="2"/>
      </tp>
      <tp>
        <v>-30.165099999999999</v>
        <stp/>
        <stp>##V3_BDPV12</stp>
        <stp>usgg10yr Index</stp>
        <stp>CHG_PCT_6M</stp>
        <stp>[Index.xlsm]主要產業!R57C51</stp>
        <tr r="AY57" s="2"/>
      </tp>
      <tp>
        <v>92.752418571346354</v>
        <stp/>
        <stp>##V3_BDPV12</stp>
        <stp>BARC LN Equity</stp>
        <stp>INTERVAL_HIGH</stp>
        <stp>[Index.xlsm]主要產業!R54C36</stp>
        <stp>MARKET_DATA_OVERRIDE=PE_RATIO</stp>
        <stp>CALC_INTERVAL=5y</stp>
        <stp>BEST_FPERIOD_OVERRIDE=BF</stp>
        <tr r="AJ54" s="2"/>
      </tp>
      <tp>
        <v>5.2324000000000002</v>
        <stp/>
        <stp>##V3_BDPV12</stp>
        <stp>usgg30yr Index</stp>
        <stp>CHG_PCT_1M</stp>
        <stp>[Index.xlsm]主要產業!R58C49</stp>
        <tr r="AW58" s="2"/>
      </tp>
      <tp>
        <v>10.2273</v>
        <stp/>
        <stp>##V3_BDPV12</stp>
        <stp>usgg10yr Index</stp>
        <stp>CHG_PCT_1M</stp>
        <stp>[Index.xlsm]主要產業!R57C49</stp>
        <tr r="AW57" s="2"/>
      </tp>
      <tp>
        <v>-16.641400000000001</v>
        <stp/>
        <stp>##V3_BDPV12</stp>
        <stp>usgg30yr Index</stp>
        <stp>CHG_PCT_3M</stp>
        <stp>[Index.xlsm]主要產業!R58C50</stp>
        <tr r="AX58" s="2"/>
      </tp>
      <tp>
        <v>-17.329499999999999</v>
        <stp/>
        <stp>##V3_BDPV12</stp>
        <stp>usgg10yr Index</stp>
        <stp>CHG_PCT_3M</stp>
        <stp>[Index.xlsm]主要產業!R57C50</stp>
        <tr r="AX57" s="2"/>
      </tp>
      <tp>
        <v>1152268474997</v>
        <stp/>
        <stp>##V3_BDPV12</stp>
        <stp>s5enrs Index</stp>
        <stp>RR902</stp>
        <stp>[Index.xlsm]主要產業!R12C20</stp>
        <tr r="T12" s="2"/>
      </tp>
      <tp>
        <v>14.55</v>
        <stp/>
        <stp>##V3_BDPV12</stp>
        <stp>VXN Index</stp>
        <stp>LOW_52WEEK</stp>
        <stp>[Index.xlsm]主要產業!R66C46</stp>
        <tr r="AT66" s="2"/>
      </tp>
      <tp>
        <v>2935.83</v>
        <stp/>
        <stp>##V3_BDPV12</stp>
        <stp>SHSZ300 INDEX</stp>
        <stp>LOW_52WEEK</stp>
        <stp>[Index.xlsm]主要產業!R24C46</stp>
        <tr r="AT24" s="2"/>
      </tp>
      <tp>
        <v>21.921225764287104</v>
        <stp/>
        <stp>##V3_BDPV12</stp>
        <stp>s5util Index</stp>
        <stp>INTERVAL_HIGH</stp>
        <stp>[Index.xlsm]主要產業!R14C16</stp>
        <stp>MARKET_DATA_OVERRIDE=PE_RATIO</stp>
        <stp>CALC_INTERVAL=5y</stp>
        <stp>BEST_FPERIOD_OVERRIDE=BF</stp>
        <tr r="P14" s="2"/>
      </tp>
      <tp>
        <v>94.210999999999999</v>
        <stp/>
        <stp>##V3_BDPV12</stp>
        <stp>DXY Index</stp>
        <stp>LOW_52WEEK</stp>
        <stp>[Index.xlsm]主要產業!R68C46</stp>
        <tr r="AT68" s="2"/>
      </tp>
      <tp>
        <v>8.7557600000000004</v>
        <stp/>
        <stp>##V3_BDPV12</stp>
        <stp>MUV2 GR Equity</stp>
        <stp>CHG_PCT_1M</stp>
        <stp>[Index.xlsm]主要產業!R62C31</stp>
        <tr r="AE62" s="2"/>
      </tp>
      <tp>
        <v>1.331043</v>
        <stp/>
        <stp>##V3_BDPV12</stp>
        <stp>MUV2 GR Equity</stp>
        <stp>CHG_PCT_1D</stp>
        <stp>[Index.xlsm]主要產業!R62C25</stp>
        <tr r="Y62" s="2"/>
      </tp>
      <tp>
        <v>6.8356750000000002</v>
        <stp/>
        <stp>##V3_BDPV12</stp>
        <stp>MUV2 GR Equity</stp>
        <stp>CHG_PCT_3M</stp>
        <stp>[Index.xlsm]主要產業!R62C32</stp>
        <tr r="AF62" s="2"/>
      </tp>
      <tp>
        <v>2.2973560000000002</v>
        <stp/>
        <stp>##V3_BDPV12</stp>
        <stp>MUV2 GR Equity</stp>
        <stp>CHG_PCT_5D</stp>
        <stp>[Index.xlsm]主要產業!R62C30</stp>
        <tr r="AD62" s="2"/>
      </tp>
      <tp>
        <v>13.189450000000001</v>
        <stp/>
        <stp>##V3_BDPV12</stp>
        <stp>MUV2 GR Equity</stp>
        <stp>CHG_PCT_6M</stp>
        <stp>[Index.xlsm]主要產業!R62C33</stp>
        <tr r="AG62" s="2"/>
      </tp>
      <tp t="s">
        <v>GB</v>
        <stp/>
        <stp>##V3_BDPV12</stp>
        <stp>HSBA LN Equity</stp>
        <stp>DS003</stp>
        <stp>[Index.xlsm]主要產業!R44C23</stp>
        <tr r="W44" s="2"/>
      </tp>
      <tp>
        <v>-4.6944759999999999</v>
        <stp/>
        <stp>##V3_BDPV12</stp>
        <stp>HSBA LN Equity</stp>
        <stp>PR064</stp>
        <stp>[Index.xlsm]主要產業!R44C34</stp>
        <tr r="AH44" s="2"/>
      </tp>
      <tp>
        <v>-16.16488</v>
        <stp/>
        <stp>##V3_BDPV12</stp>
        <stp>AAL LN Equity</stp>
        <stp>PR064</stp>
        <stp>[Index.xlsm]主要產業!R53C34</stp>
        <tr r="AH53" s="2"/>
      </tp>
      <tp t="s">
        <v>GB</v>
        <stp/>
        <stp>##V3_BDPV12</stp>
        <stp>AAL LN Equity</stp>
        <stp>DS003</stp>
        <stp>[Index.xlsm]主要產業!R53C23</stp>
        <tr r="W53" s="2"/>
      </tp>
      <tp>
        <v>15.930870000000001</v>
        <stp/>
        <stp>##V3_BDPV12</stp>
        <stp>AZN LN Equity</stp>
        <stp>PR064</stp>
        <stp>[Index.xlsm]主要產業!R46C34</stp>
        <tr r="AH46" s="2"/>
      </tp>
      <tp>
        <v>1119.5825616814698</v>
        <stp/>
        <stp>##V3_BDPV12</stp>
        <stp>RIO LN Equity</stp>
        <stp>INTERVAL_HIGH</stp>
        <stp>[Index.xlsm]主要產業!R50C36</stp>
        <stp>MARKET_DATA_OVERRIDE=PE_RATIO</stp>
        <stp>CALC_INTERVAL=5y</stp>
        <stp>BEST_FPERIOD_OVERRIDE=BF</stp>
        <tr r="AJ50" s="2"/>
      </tp>
      <tp t="s">
        <v>GB</v>
        <stp/>
        <stp>##V3_BDPV12</stp>
        <stp>AZN LN Equity</stp>
        <stp>DS003</stp>
        <stp>[Index.xlsm]主要產業!R46C23</stp>
        <tr r="W46" s="2"/>
      </tp>
      <tp>
        <v>-3</v>
        <stp/>
        <stp>##V3_BDPV12</stp>
        <stp>UBSG SW Equity</stp>
        <stp>CHG_PCT_5D</stp>
        <stp>[Index.xlsm]主要產業!R70C30</stp>
        <tr r="AD70" s="2"/>
      </tp>
      <tp>
        <v>-1.573585</v>
        <stp/>
        <stp>##V3_BDPV12</stp>
        <stp>UBSG SW Equity</stp>
        <stp>CHG_PCT_6M</stp>
        <stp>[Index.xlsm]主要產業!R70C33</stp>
        <tr r="AG70" s="2"/>
      </tp>
      <tp>
        <v>0.54078409999999999</v>
        <stp/>
        <stp>##V3_BDPV12</stp>
        <stp>UBSG SW Equity</stp>
        <stp>CHG_PCT_1D</stp>
        <stp>[Index.xlsm]主要產業!R70C25</stp>
        <tr r="Y70" s="2"/>
      </tp>
      <tp>
        <v>8.0910879999999992</v>
        <stp/>
        <stp>##V3_BDPV12</stp>
        <stp>UBSG SW Equity</stp>
        <stp>CHG_PCT_1M</stp>
        <stp>[Index.xlsm]主要產業!R70C31</stp>
        <tr r="AE70" s="2"/>
      </tp>
      <tp>
        <v>-3.6285080000000001</v>
        <stp/>
        <stp>##V3_BDPV12</stp>
        <stp>UBSG SW Equity</stp>
        <stp>CHG_PCT_3M</stp>
        <stp>[Index.xlsm]主要產業!R70C32</stp>
        <tr r="AF70" s="2"/>
      </tp>
      <tp>
        <v>0.67151649999999996</v>
        <stp/>
        <stp>##V3_BDPV12</stp>
        <stp>NESN SW Equity</stp>
        <stp>CHG_PCT_5D</stp>
        <stp>[Index.xlsm]主要產業!R67C30</stp>
        <tr r="AD67" s="2"/>
      </tp>
      <tp>
        <v>13.26338</v>
        <stp/>
        <stp>##V3_BDPV12</stp>
        <stp>NESN SW Equity</stp>
        <stp>CHG_PCT_6M</stp>
        <stp>[Index.xlsm]主要產業!R67C33</stp>
        <tr r="AG67" s="2"/>
      </tp>
      <tp>
        <v>-1.0269550000000001</v>
        <stp/>
        <stp>##V3_BDPV12</stp>
        <stp>NESN SW Equity</stp>
        <stp>CHG_PCT_1M</stp>
        <stp>[Index.xlsm]主要產業!R67C31</stp>
        <tr r="AE67" s="2"/>
      </tp>
      <tp>
        <v>1.105283</v>
        <stp/>
        <stp>##V3_BDPV12</stp>
        <stp>NESN SW Equity</stp>
        <stp>CHG_PCT_1D</stp>
        <stp>[Index.xlsm]主要產業!R67C25</stp>
        <tr r="Y67" s="2"/>
      </tp>
      <tp>
        <v>7.3389049999999996</v>
        <stp/>
        <stp>##V3_BDPV12</stp>
        <stp>NESN SW Equity</stp>
        <stp>CHG_PCT_3M</stp>
        <stp>[Index.xlsm]主要產業!R67C32</stp>
        <tr r="AF67" s="2"/>
      </tp>
      <tp>
        <v>11.596121120445151</v>
        <stp/>
        <stp>##V3_BDPV12</stp>
        <stp>5108 JP Equity</stp>
        <stp>PE_RATIO</stp>
        <stp>[Index.xlsm]主要產業!R83C38</stp>
        <tr r="AL83" s="2"/>
      </tp>
      <tp>
        <v>-0.90165770000000001</v>
        <stp/>
        <stp>##V3_BDPV12</stp>
        <stp>TWSEFOOD Index</stp>
        <stp>CHG_PCT_5D</stp>
        <stp>[Index.xlsm]主要產業!R80C10</stp>
        <tr r="J80" s="2"/>
      </tp>
      <tp>
        <v>4.0080460000000002</v>
        <stp/>
        <stp>##V3_BDPV12</stp>
        <stp>TWSEFOOD Index</stp>
        <stp>CHG_PCT_6M</stp>
        <stp>[Index.xlsm]主要產業!R80C13</stp>
        <tr r="M80" s="2"/>
      </tp>
      <tp>
        <v>0.63638729999999999</v>
        <stp/>
        <stp>##V3_BDPV12</stp>
        <stp>TWSEFOOD Index</stp>
        <stp>CHG_PCT_1M</stp>
        <stp>[Index.xlsm]主要產業!R80C11</stp>
        <tr r="K80" s="2"/>
      </tp>
      <tp>
        <v>-7.133928</v>
        <stp/>
        <stp>##V3_BDPV12</stp>
        <stp>TWSEFOOD Index</stp>
        <stp>CHG_PCT_3M</stp>
        <stp>[Index.xlsm]主要產業!R80C12</stp>
        <tr r="L80" s="2"/>
      </tp>
      <tp>
        <v>-3.4861550000000001</v>
        <stp/>
        <stp>##V3_BDPV12</stp>
        <stp>NOVN SW Equity</stp>
        <stp>PR064</stp>
        <stp>[Index.xlsm]主要產業!R68C34</stp>
        <tr r="AH68" s="2"/>
      </tp>
      <tp>
        <v>18.625959999999999</v>
        <stp/>
        <stp>##V3_BDPV12</stp>
        <stp>KO US Equity</stp>
        <stp>CHG_PCT_1YR</stp>
        <stp>[Index.xlsm]主要產業!R13C35</stp>
        <tr r="AI13" s="2"/>
      </tp>
      <tp>
        <v>18.84422</v>
        <stp/>
        <stp>##V3_BDPV12</stp>
        <stp>RO SW Equity</stp>
        <stp>CHG_PCT_1YR</stp>
        <stp>[Index.xlsm]主要產業!R73C35</stp>
        <tr r="AI73" s="2"/>
      </tp>
      <tp t="s">
        <v>SZ</v>
        <stp/>
        <stp>##V3_BDPV12</stp>
        <stp>NOVN SW Equity</stp>
        <stp>DS003</stp>
        <stp>[Index.xlsm]主要產業!R68C23</stp>
        <tr r="W68" s="2"/>
      </tp>
      <tp>
        <v>38.700000000000003</v>
        <stp/>
        <stp>##V3_BDPV12</stp>
        <stp>VXN Index</stp>
        <stp>HIGH_52WEEK</stp>
        <stp>[Index.xlsm]主要產業!R66C44</stp>
        <tr r="AR66" s="2"/>
      </tp>
      <tp>
        <v>53.511993622980867</v>
        <stp/>
        <stp>##V3_BDPV12</stp>
        <stp>HON US Equity</stp>
        <stp>INTERVAL_HIGH</stp>
        <stp>[Index.xlsm]主要產業!R21C36</stp>
        <stp>MARKET_DATA_OVERRIDE=PE_RATIO</stp>
        <stp>CALC_INTERVAL=5y</stp>
        <stp>BEST_FPERIOD_OVERRIDE=BF</stp>
        <tr r="AJ21" s="2"/>
      </tp>
      <tp>
        <v>814038281410.31494</v>
        <stp/>
        <stp>##V3_BDPV12</stp>
        <stp>s5rlst Index</stp>
        <stp>RR902</stp>
        <stp>[Index.xlsm]主要產業!R15C20</stp>
        <tr r="T15" s="2"/>
      </tp>
      <tp>
        <v>37.7902321857486</v>
        <stp/>
        <stp>##V3_BDPV12</stp>
        <stp>lmnids03 comdty</stp>
        <stp>PR064</stp>
        <stp>[Index.xlsm]主要產業!R49C52</stp>
        <tr r="AZ49" s="2"/>
      </tp>
      <tp>
        <v>-7.2497749999999996</v>
        <stp/>
        <stp>##V3_BDPV12</stp>
        <stp>BP/ LN Equity</stp>
        <stp>PR064</stp>
        <stp>[Index.xlsm]主要產業!R45C34</stp>
        <tr r="AH45" s="2"/>
      </tp>
      <tp t="s">
        <v>GB</v>
        <stp/>
        <stp>##V3_BDPV12</stp>
        <stp>BP/ LN Equity</stp>
        <stp>DS003</stp>
        <stp>[Index.xlsm]主要產業!R45C23</stp>
        <tr r="W45" s="2"/>
      </tp>
      <tp>
        <v>-0.1960016</v>
        <stp/>
        <stp>##V3_BDPV12</stp>
        <stp>INTC US Equity</stp>
        <stp>CHG_PCT_1D</stp>
        <stp>[Index.xlsm]主要產業!R10C25</stp>
        <tr r="Y10" s="2"/>
      </tp>
      <tp>
        <v>11.764699999999999</v>
        <stp/>
        <stp>##V3_BDPV12</stp>
        <stp>INTC US Equity</stp>
        <stp>CHG_PCT_1M</stp>
        <stp>[Index.xlsm]主要產業!R10C31</stp>
        <tr r="AE10" s="2"/>
      </tp>
      <tp>
        <v>5.6650790000000004</v>
        <stp/>
        <stp>##V3_BDPV12</stp>
        <stp>INTC US Equity</stp>
        <stp>CHG_PCT_3M</stp>
        <stp>[Index.xlsm]主要產業!R10C32</stp>
        <tr r="AF10" s="2"/>
      </tp>
      <tp>
        <v>-1.2604230000000001</v>
        <stp/>
        <stp>##V3_BDPV12</stp>
        <stp>INTC US Equity</stp>
        <stp>CHG_PCT_5D</stp>
        <stp>[Index.xlsm]主要產業!R10C30</stp>
        <tr r="AD10" s="2"/>
      </tp>
      <tp>
        <v>-4.7155659999999999</v>
        <stp/>
        <stp>##V3_BDPV12</stp>
        <stp>INTC US Equity</stp>
        <stp>CHG_PCT_6M</stp>
        <stp>[Index.xlsm]主要產業!R10C33</stp>
        <tr r="AG10" s="2"/>
      </tp>
      <tp>
        <v>7.6058359286056882</v>
        <stp/>
        <stp>##V3_BDPV12</stp>
        <stp>6752 JP Equity</stp>
        <stp>PE_RATIO</stp>
        <stp>[Index.xlsm]主要產業!R84C38</stp>
        <tr r="AL84" s="2"/>
      </tp>
      <tp>
        <v>9.6724290713566923</v>
        <stp/>
        <stp>##V3_BDPV12</stp>
        <stp>6758 JP Equity</stp>
        <stp>PE_RATIO</stp>
        <stp>[Index.xlsm]主要產業!R78C38</stp>
        <tr r="AL78" s="2"/>
      </tp>
      <tp>
        <v>4.0280639999999996</v>
        <stp/>
        <stp>##V3_BDPV12</stp>
        <stp>S5tech Index</stp>
        <stp>PR064</stp>
        <stp>[Index.xlsm]主要產業!R11C14</stp>
        <tr r="N11" s="2"/>
      </tp>
      <tp>
        <v>2209.5</v>
        <stp/>
        <stp>##V3_BDPV12</stp>
        <stp>RDSA LN Equity</stp>
        <stp>LOW_52WEEK</stp>
        <stp>[Index.xlsm]主要產業!R74C28</stp>
        <tr r="AB74" s="2"/>
      </tp>
      <tp>
        <v>20.399999999999999</v>
        <stp/>
        <stp>##V3_BDPV12</stp>
        <stp>000002 CS Equity</stp>
        <stp>LOW_52WEEK</stp>
        <stp>[Index.xlsm]主要產業!R95C28</stp>
        <tr r="AB95" s="2"/>
      </tp>
      <tp>
        <v>25.766006807000988</v>
        <stp/>
        <stp>##V3_BDPV12</stp>
        <stp>PRU LN Equity</stp>
        <stp>INTERVAL_HIGH</stp>
        <stp>[Index.xlsm]主要產業!R52C36</stp>
        <stp>MARKET_DATA_OVERRIDE=PE_RATIO</stp>
        <stp>CALC_INTERVAL=5y</stp>
        <stp>BEST_FPERIOD_OVERRIDE=BF</stp>
        <tr r="AJ52" s="2"/>
      </tp>
      <tp>
        <v>11.857260352451069</v>
        <stp/>
        <stp>##V3_BDPV12</stp>
        <stp>IBM US Equity</stp>
        <stp>INTERVAL_HIGH</stp>
        <stp>[Index.xlsm]主要產業!R20C36</stp>
        <stp>MARKET_DATA_OVERRIDE=PE_RATIO</stp>
        <stp>CALC_INTERVAL=5y</stp>
        <stp>BEST_FPERIOD_OVERRIDE=BF</stp>
        <tr r="AJ20" s="2"/>
      </tp>
      <tp>
        <v>9.1278724565641109</v>
        <stp/>
        <stp>##V3_BDPV12</stp>
        <stp>SH000914 Index</stp>
        <stp>PE_RATIO</stp>
        <stp>[Index.xlsm]主要產業!R48C18</stp>
        <tr r="R48" s="2"/>
      </tp>
      <tp>
        <v>14.526502306704122</v>
        <stp/>
        <stp>##V3_BDPV12</stp>
        <stp>SH000909 Index</stp>
        <stp>PE_RATIO</stp>
        <stp>[Index.xlsm]主要產業!R54C18</stp>
        <tr r="R54" s="2"/>
      </tp>
      <tp>
        <v>11.805323154287713</v>
        <stp/>
        <stp>##V3_BDPV12</stp>
        <stp>SH000908 Index</stp>
        <stp>PE_RATIO</stp>
        <stp>[Index.xlsm]主要產業!R53C18</stp>
        <tr r="R53" s="2"/>
      </tp>
      <tp>
        <v>14.240435643604926</v>
        <stp/>
        <stp>##V3_BDPV12</stp>
        <stp>SH000910 Index</stp>
        <stp>PE_RATIO</stp>
        <stp>[Index.xlsm]主要產業!R49C18</stp>
        <tr r="R49" s="2"/>
      </tp>
      <tp>
        <v>35.088897685434461</v>
        <stp/>
        <stp>##V3_BDPV12</stp>
        <stp>SH000913 Index</stp>
        <stp>PE_RATIO</stp>
        <stp>[Index.xlsm]主要產業!R55C18</stp>
        <tr r="R55" s="2"/>
      </tp>
      <tp>
        <v>45.828700226106015</v>
        <stp/>
        <stp>##V3_BDPV12</stp>
        <stp>SH000915 Index</stp>
        <stp>PE_RATIO</stp>
        <stp>[Index.xlsm]主要產業!R52C18</stp>
        <tr r="R52" s="2"/>
      </tp>
      <tp>
        <v>33.10122418206489</v>
        <stp/>
        <stp>##V3_BDPV12</stp>
        <stp>SH000912 Index</stp>
        <stp>PE_RATIO</stp>
        <stp>[Index.xlsm]主要產業!R50C18</stp>
        <tr r="R50" s="2"/>
      </tp>
      <tp>
        <v>15.263435553452741</v>
        <stp/>
        <stp>##V3_BDPV12</stp>
        <stp>SH000911 Index</stp>
        <stp>PE_RATIO</stp>
        <stp>[Index.xlsm]主要產業!R51C18</stp>
        <tr r="R51" s="2"/>
      </tp>
      <tp>
        <v>58.579860544629568</v>
        <stp/>
        <stp>##V3_BDPV12</stp>
        <stp>SH000916 Index</stp>
        <stp>PE_RATIO</stp>
        <stp>[Index.xlsm]主要產業!R57C18</stp>
        <tr r="R57" s="2"/>
      </tp>
      <tp>
        <v>17.236265888751017</v>
        <stp/>
        <stp>##V3_BDPV12</stp>
        <stp>SH000917 Index</stp>
        <stp>PE_RATIO</stp>
        <stp>[Index.xlsm]主要產業!R56C18</stp>
        <tr r="R56" s="2"/>
      </tp>
      <tp>
        <v>-7.421951</v>
        <stp/>
        <stp>##V3_BDPV12</stp>
        <stp>INGA NA Equity</stp>
        <stp>CHG_PCT_3M</stp>
        <stp>[Index.xlsm]主要產業!R76C32</stp>
        <tr r="AF76" s="2"/>
      </tp>
      <tp>
        <v>-0.15881419999999999</v>
        <stp/>
        <stp>##V3_BDPV12</stp>
        <stp>INGA NA Equity</stp>
        <stp>CHG_PCT_1D</stp>
        <stp>[Index.xlsm]主要產業!R76C25</stp>
        <tr r="Y76" s="2"/>
      </tp>
      <tp>
        <v>11.00648</v>
        <stp/>
        <stp>##V3_BDPV12</stp>
        <stp>INGA NA Equity</stp>
        <stp>CHG_PCT_1M</stp>
        <stp>[Index.xlsm]主要產業!R76C31</stp>
        <tr r="AE76" s="2"/>
      </tp>
      <tp>
        <v>-12.26275</v>
        <stp/>
        <stp>##V3_BDPV12</stp>
        <stp>INGA NA Equity</stp>
        <stp>CHG_PCT_6M</stp>
        <stp>[Index.xlsm]主要產業!R76C33</stp>
        <tr r="AG76" s="2"/>
      </tp>
      <tp>
        <v>7.8733510000000004</v>
        <stp/>
        <stp>##V3_BDPV12</stp>
        <stp>s5FDSR index</stp>
        <stp>PR064</stp>
        <stp>[Index.xlsm]主要產業!R17C14</stp>
        <tr r="N17" s="2"/>
      </tp>
      <tp>
        <v>-2.0565020000000001</v>
        <stp/>
        <stp>##V3_BDPV12</stp>
        <stp>INGA NA Equity</stp>
        <stp>CHG_PCT_5D</stp>
        <stp>[Index.xlsm]主要產業!R76C30</stp>
        <tr r="AD76" s="2"/>
      </tp>
      <tp>
        <v>16.935829222078173</v>
        <stp/>
        <stp>##V3_BDPV12</stp>
        <stp>7751 JP Equity</stp>
        <stp>PE_RATIO</stp>
        <stp>[Index.xlsm]主要產業!R81C38</stp>
        <tr r="AL81" s="2"/>
      </tp>
      <tp>
        <v>9.4787272311063155</v>
        <stp/>
        <stp>##V3_BDPV12</stp>
        <stp>7267 JP Equity</stp>
        <stp>PE_RATIO</stp>
        <stp>[Index.xlsm]主要產業!R80C38</stp>
        <tr r="AL80" s="2"/>
      </tp>
      <tp>
        <v>13.278611842047733</v>
        <stp/>
        <stp>##V3_BDPV12</stp>
        <stp>7201 JP Equity</stp>
        <stp>PE_RATIO</stp>
        <stp>[Index.xlsm]主要產業!R85C38</stp>
        <tr r="AL85" s="2"/>
      </tp>
      <tp>
        <v>11.176497147931309</v>
        <stp/>
        <stp>##V3_BDPV12</stp>
        <stp>7203 JP Equity</stp>
        <stp>PE_RATIO</stp>
        <stp>[Index.xlsm]主要產業!R77C38</stp>
        <tr r="AL77" s="2"/>
      </tp>
      <tp>
        <v>134.69999999999999</v>
        <stp/>
        <stp>##V3_BDPV12</stp>
        <stp>BARC LN Equity</stp>
        <stp>LOW_52WEEK</stp>
        <stp>[Index.xlsm]主要產業!R54C28</stp>
        <tr r="AB54" s="2"/>
      </tp>
      <tp>
        <v>1048.404</v>
        <stp/>
        <stp>##V3_BDPV12</stp>
        <stp>EMUSTRUU Index</stp>
        <stp>LOW_52WEEK</stp>
        <stp>[Index.xlsm]主要產業!R35C46</stp>
        <tr r="AT35" s="2"/>
      </tp>
      <tp>
        <v>1.6920999999999999</v>
        <stp/>
        <stp>##V3_BDPV12</stp>
        <stp>usgg10yr Index</stp>
        <stp>PX_LAST</stp>
        <stp>[Index.xlsm]主要產業!R57C42</stp>
        <tr r="AP57" s="2"/>
      </tp>
      <tp>
        <v>2.1419000000000001</v>
        <stp/>
        <stp>##V3_BDPV12</stp>
        <stp>usgg30yr Index</stp>
        <stp>PX_LAST</stp>
        <stp>[Index.xlsm]主要產業!R58C42</stp>
        <tr r="AP58" s="2"/>
      </tp>
      <tp>
        <v>6677.5810000000001</v>
        <stp/>
        <stp>##V3_BDPV12</stp>
        <stp>AS51 INDEX</stp>
        <stp>PX_LAST</stp>
        <stp>[Index.xlsm]主要產業!R16C42</stp>
        <tr r="AP16" s="2"/>
      </tp>
      <tp>
        <v>6440</v>
        <stp/>
        <stp>##V3_BDPV12</stp>
        <stp>6758 JP Equity</stp>
        <stp>PX_LAST</stp>
        <stp>[Index.xlsm]主要產業!R78C24</stp>
        <tr r="X78" s="2"/>
      </tp>
      <tp>
        <v>4293</v>
        <stp/>
        <stp>##V3_BDPV12</stp>
        <stp>5108 JP Equity</stp>
        <stp>PX_LAST</stp>
        <stp>[Index.xlsm]主要產業!R83C24</stp>
        <tr r="X83" s="2"/>
      </tp>
      <tp t="s">
        <v>GB</v>
        <stp/>
        <stp>##V3_BDPV12</stp>
        <stp>DGE LN Equity</stp>
        <stp>DS003</stp>
        <stp>[Index.xlsm]主要產業!R48C23</stp>
        <tr r="W48" s="2"/>
      </tp>
      <tp>
        <v>-3.1429840000000002</v>
        <stp/>
        <stp>##V3_BDPV12</stp>
        <stp>DGE LN Equity</stp>
        <stp>PR064</stp>
        <stp>[Index.xlsm]主要產業!R48C34</stp>
        <tr r="AH48" s="2"/>
      </tp>
      <tp>
        <v>35.843147342971889</v>
        <stp/>
        <stp>##V3_BDPV12</stp>
        <stp>NKE US Equity</stp>
        <stp>INTERVAL_HIGH</stp>
        <stp>[Index.xlsm]主要產業!R23C36</stp>
        <stp>MARKET_DATA_OVERRIDE=PE_RATIO</stp>
        <stp>CALC_INTERVAL=5y</stp>
        <stp>BEST_FPERIOD_OVERRIDE=BF</stp>
        <tr r="AJ23" s="2"/>
      </tp>
      <tp>
        <v>14.191071255257791</v>
        <stp/>
        <stp>##V3_BDPV12</stp>
        <stp>C US Equity</stp>
        <stp>INTERVAL_HIGH</stp>
        <stp>[Index.xlsm]主要產業!R19C36</stp>
        <stp>MARKET_DATA_OVERRIDE=PE_RATIO</stp>
        <stp>CALC_INTERVAL=5y</stp>
        <stp>BEST_FPERIOD_OVERRIDE=BF</stp>
        <tr r="AJ19" s="2"/>
      </tp>
      <tp>
        <v>8.6446222986009538</v>
        <stp/>
        <stp>##V3_BDPV12</stp>
        <stp>F US Equity</stp>
        <stp>INTERVAL_HIGH</stp>
        <stp>[Index.xlsm]主要產業!R34C36</stp>
        <stp>MARKET_DATA_OVERRIDE=PE_RATIO</stp>
        <stp>CALC_INTERVAL=5y</stp>
        <stp>BEST_FPERIOD_OVERRIDE=BF</stp>
        <tr r="AJ34" s="2"/>
      </tp>
      <tp>
        <v>26.01925813823037</v>
        <stp/>
        <stp>##V3_BDPV12</stp>
        <stp>UNA NA Equity</stp>
        <stp>INTERVAL_HIGH</stp>
        <stp>[Index.xlsm]主要產業!R49C36</stp>
        <stp>MARKET_DATA_OVERRIDE=PE_RATIO</stp>
        <stp>CALC_INTERVAL=5y</stp>
        <stp>BEST_FPERIOD_OVERRIDE=BF</stp>
        <tr r="AJ49" s="2"/>
      </tp>
      <tp>
        <v>0.25617139999999999</v>
        <stp/>
        <stp>##V3_BDPV12</stp>
        <stp>NOVN SW Equity</stp>
        <stp>CHG_PCT_5D</stp>
        <stp>[Index.xlsm]主要產業!R68C30</stp>
        <tr r="AD68" s="2"/>
      </tp>
      <tp>
        <v>3.155281</v>
        <stp/>
        <stp>##V3_BDPV12</stp>
        <stp>NOVN SW Equity</stp>
        <stp>CHG_PCT_6M</stp>
        <stp>[Index.xlsm]主要產業!R68C33</stp>
        <tr r="AG68" s="2"/>
      </tp>
      <tp>
        <v>-2.3920180000000002</v>
        <stp/>
        <stp>##V3_BDPV12</stp>
        <stp>NOVN SW Equity</stp>
        <stp>CHG_PCT_1M</stp>
        <stp>[Index.xlsm]主要產業!R68C31</stp>
        <tr r="AE68" s="2"/>
      </tp>
      <tp>
        <v>1.377605</v>
        <stp/>
        <stp>##V3_BDPV12</stp>
        <stp>NOVN SW Equity</stp>
        <stp>CHG_PCT_1D</stp>
        <stp>[Index.xlsm]主要產業!R68C25</stp>
        <tr r="Y68" s="2"/>
      </tp>
      <tp>
        <v>-3.4861550000000001</v>
        <stp/>
        <stp>##V3_BDPV12</stp>
        <stp>NOVN SW Equity</stp>
        <stp>CHG_PCT_3M</stp>
        <stp>[Index.xlsm]主要產業!R68C32</stp>
        <tr r="AF68" s="2"/>
      </tp>
      <tp t="s">
        <v>2019/9/27</v>
        <stp/>
        <stp>##V3_BDPV12</stp>
        <stp>xu1 elec Index</stp>
        <stp>FUT_LAST_TRADE_DT</stp>
        <stp>[Index.xlsm]主要產業!R94C45</stp>
        <tr r="AS94" s="2"/>
      </tp>
      <tp>
        <v>4.1870000000000003</v>
        <stp/>
        <stp>##V3_BDPV12</stp>
        <stp>BBVA SM Equity</stp>
        <stp>LOW_52WEEK</stp>
        <stp>[Index.xlsm]主要產業!R65C28</stp>
        <tr r="AB65" s="2"/>
      </tp>
      <tp t="s">
        <v>US</v>
        <stp/>
        <stp>##V3_BDPV12</stp>
        <stp>INTC US Equity</stp>
        <stp>DS003</stp>
        <stp>[Index.xlsm]主要產業!R10C23</stp>
        <tr r="W10" s="2"/>
      </tp>
      <tp>
        <v>5.6650790000000004</v>
        <stp/>
        <stp>##V3_BDPV12</stp>
        <stp>INTC US Equity</stp>
        <stp>PR064</stp>
        <stp>[Index.xlsm]主要產業!R10C34</stp>
        <tr r="AH10" s="2"/>
      </tp>
      <tp>
        <v>-0.92187059999999998</v>
        <stp/>
        <stp>##V3_BDPV12</stp>
        <stp>TWSEOTHR Index</stp>
        <stp>CHG_PCT_3M</stp>
        <stp>[Index.xlsm]主要產業!R77C12</stp>
        <tr r="L77" s="2"/>
      </tp>
      <tp>
        <v>2.950177</v>
        <stp/>
        <stp>##V3_BDPV12</stp>
        <stp>TWSEOTHR Index</stp>
        <stp>CHG_PCT_1M</stp>
        <stp>[Index.xlsm]主要產業!R77C11</stp>
        <tr r="K77" s="2"/>
      </tp>
      <tp>
        <v>4.1296710000000001</v>
        <stp/>
        <stp>##V3_BDPV12</stp>
        <stp>TWSEOTHR Index</stp>
        <stp>CHG_PCT_6M</stp>
        <stp>[Index.xlsm]主要產業!R77C13</stp>
        <tr r="M77" s="2"/>
      </tp>
      <tp>
        <v>75.796402948167881</v>
        <stp/>
        <stp>##V3_BDPV12</stp>
        <stp>RDSA LN Equity</stp>
        <stp>INTERVAL_HIGH</stp>
        <stp>[Index.xlsm]主要產業!R74C36</stp>
        <stp>MARKET_DATA_OVERRIDE=PE_RATIO</stp>
        <stp>CALC_INTERVAL=5y</stp>
        <stp>BEST_FPERIOD_OVERRIDE=BF</stp>
        <tr r="AJ74" s="2"/>
      </tp>
      <tp>
        <v>0.17364940000000001</v>
        <stp/>
        <stp>##V3_BDPV12</stp>
        <stp>TWSEOTHR Index</stp>
        <stp>CHG_PCT_5D</stp>
        <stp>[Index.xlsm]主要產業!R77C10</stp>
        <tr r="J77" s="2"/>
      </tp>
      <tp t="s">
        <v>FR</v>
        <stp/>
        <stp>##V3_BDPV12</stp>
        <stp>ORA FP Equity</stp>
        <stp>DS003</stp>
        <stp>[Index.xlsm]主要產業!R42C23</stp>
        <tr r="W42" s="2"/>
      </tp>
      <tp>
        <v>3.3622570000000001</v>
        <stp/>
        <stp>##V3_BDPV12</stp>
        <stp>ORA FP Equity</stp>
        <stp>PR064</stp>
        <stp>[Index.xlsm]主要產業!R42C34</stp>
        <tr r="AH42" s="2"/>
      </tp>
      <tp>
        <v>-109.386</v>
        <stp/>
        <stp>##V3_BDPV12</stp>
        <stp>GECU30YR INDEX</stp>
        <stp>CHG_PCT_1YR</stp>
        <stp>[Index.xlsm]主要產業!R61C53</stp>
        <tr r="BA61" s="2"/>
      </tp>
      <tp>
        <v>-210.64599999999999</v>
        <stp/>
        <stp>##V3_BDPV12</stp>
        <stp>GECU10YR INDEX</stp>
        <stp>CHG_PCT_1YR</stp>
        <stp>[Index.xlsm]主要產業!R60C53</stp>
        <tr r="BA60" s="2"/>
      </tp>
      <tp>
        <v>832</v>
        <stp/>
        <stp>##V3_BDPV12</stp>
        <stp>SMSN LI Equity</stp>
        <stp>LOW_52WEEK</stp>
        <stp>[Index.xlsm]主要產業!R86C28</stp>
        <tr r="AB86" s="2"/>
      </tp>
      <tp>
        <v>25.192442267319816</v>
        <stp/>
        <stp>##V3_BDPV12</stp>
        <stp>SI1 comdty</stp>
        <stp>CHG_PCT_1YR</stp>
        <stp>[Index.xlsm]主要產業!R45C53</stp>
        <tr r="BA45" s="2"/>
      </tp>
      <tp>
        <v>14.99444650129583</v>
        <stp/>
        <stp>##V3_BDPV12</stp>
        <stp>PL1 comdty</stp>
        <stp>CHG_PCT_1YR</stp>
        <stp>[Index.xlsm]主要產業!R44C53</stp>
        <tr r="BA44" s="2"/>
      </tp>
      <tp>
        <v>3.1713554987212365</v>
        <stp/>
        <stp>##V3_BDPV12</stp>
        <stp>kc1 Comdty</stp>
        <stp>CHG_PCT_1YR</stp>
        <stp>[Index.xlsm]主要產業!R51C53</stp>
        <tr r="BA51" s="2"/>
      </tp>
      <tp>
        <v>7.8523350000000001</v>
        <stp/>
        <stp>##V3_BDPV12</stp>
        <stp>s5sseqx Index</stp>
        <stp>CHG_PCT_1M</stp>
        <stp>[Index.xlsm]主要產業!R13C11</stp>
        <tr r="K13" s="2"/>
      </tp>
      <tp t="s">
        <v>GB</v>
        <stp/>
        <stp>##V3_BDPV12</stp>
        <stp>STAN LN Equity</stp>
        <stp>DS003</stp>
        <stp>[Index.xlsm]主要產業!R55C23</stp>
        <tr r="W55" s="2"/>
      </tp>
      <tp>
        <v>-25.063291139240501</v>
        <stp/>
        <stp>##V3_BDPV12</stp>
        <stp>ct1 Comdty</stp>
        <stp>CHG_PCT_1YR</stp>
        <stp>[Index.xlsm]主要產業!R52C53</stp>
        <tr r="BA52" s="2"/>
      </tp>
      <tp>
        <v>7.0548719999999996</v>
        <stp/>
        <stp>##V3_BDPV12</stp>
        <stp>s5sseqx Index</stp>
        <stp>CHG_PCT_3M</stp>
        <stp>[Index.xlsm]主要產業!R13C12</stp>
        <tr r="L13" s="2"/>
      </tp>
      <tp>
        <v>-1.26816</v>
        <stp/>
        <stp>##V3_BDPV12</stp>
        <stp>s5sseqx Index</stp>
        <stp>CHG_PCT_5D</stp>
        <stp>[Index.xlsm]主要產業!R13C10</stp>
        <tr r="J13" s="2"/>
      </tp>
      <tp>
        <v>-3.8167970000000002</v>
        <stp/>
        <stp>##V3_BDPV12</stp>
        <stp>STAN LN Equity</stp>
        <stp>PR064</stp>
        <stp>[Index.xlsm]主要產業!R55C34</stp>
        <tr r="AH55" s="2"/>
      </tp>
      <tp>
        <v>7.9845810000000004</v>
        <stp/>
        <stp>##V3_BDPV12</stp>
        <stp>s5sseqx Index</stp>
        <stp>CHG_PCT_6M</stp>
        <stp>[Index.xlsm]主要產業!R13C13</stp>
        <tr r="M13" s="2"/>
      </tp>
      <tp>
        <v>17.474747474747478</v>
        <stp/>
        <stp>##V3_BDPV12</stp>
        <stp>SB1 Comdty</stp>
        <stp>CHG_PCT_1YR</stp>
        <stp>[Index.xlsm]主要產業!R50C53</stp>
        <tr r="BA50" s="2"/>
      </tp>
      <tp>
        <v>4.5294117647058822</v>
        <stp/>
        <stp>##V3_BDPV12</stp>
        <stp>S 1 Comdty</stp>
        <stp>CHG_PCT_1YR</stp>
        <stp>[Index.xlsm]主要產業!R54C53</stp>
        <tr r="BA54" s="2"/>
      </tp>
      <tp>
        <v>-6.42512077294686</v>
        <stp/>
        <stp>##V3_BDPV12</stp>
        <stp>W 1 Comdty</stp>
        <stp>CHG_PCT_1YR</stp>
        <stp>[Index.xlsm]主要產業!R55C53</stp>
        <tr r="BA55" s="2"/>
      </tp>
      <tp>
        <v>-21.880199667221298</v>
        <stp/>
        <stp>##V3_BDPV12</stp>
        <stp>CL1 Comdty</stp>
        <stp>CHG_PCT_1YR</stp>
        <stp>[Index.xlsm]主要產業!R38C53</stp>
        <tr r="BA38" s="2"/>
      </tp>
      <tp>
        <v>-22.866978116547827</v>
        <stp/>
        <stp>##V3_BDPV12</stp>
        <stp>CO1 Comdty</stp>
        <stp>CHG_PCT_1YR</stp>
        <stp>[Index.xlsm]主要產業!R39C53</stp>
        <tr r="BA39" s="2"/>
      </tp>
      <tp>
        <v>2.6170798898071626</v>
        <stp/>
        <stp>##V3_BDPV12</stp>
        <stp>C 1 Comdty</stp>
        <stp>CHG_PCT_1YR</stp>
        <stp>[Index.xlsm]主要產業!R53C53</stp>
        <tr r="BA53" s="2"/>
      </tp>
      <tp>
        <v>27.209676055146755</v>
        <stp/>
        <stp>##V3_BDPV12</stp>
        <stp>GC1 Comdty</stp>
        <stp>CHG_PCT_1YR</stp>
        <stp>[Index.xlsm]主要產業!R43C53</stp>
        <tr r="BA43" s="2"/>
      </tp>
      <tp>
        <v>-0.28882740000000001</v>
        <stp/>
        <stp>##V3_BDPV12</stp>
        <stp>s5matr Index</stp>
        <stp>PR064</stp>
        <stp>[Index.xlsm]主要產業!R16C14</stp>
        <tr r="N16" s="2"/>
      </tp>
      <tp>
        <v>21.902820617451958</v>
        <stp/>
        <stp>##V3_BDPV12</stp>
        <stp>2330 TT Equity</stp>
        <stp>PE_RATIO</stp>
        <stp>[Index.xlsm]主要產業!R87C38</stp>
        <tr r="AL87" s="2"/>
      </tp>
      <tp>
        <v>10192.290000000001</v>
        <stp/>
        <stp>##V3_BDPV12</stp>
        <stp>XIN9I INDEX</stp>
        <stp>LOW_52WEEK</stp>
        <stp>[Index.xlsm]主要產業!R22C46</stp>
        <tr r="AT22" s="2"/>
      </tp>
      <tp>
        <v>3.2267070000000002</v>
        <stp/>
        <stp>##V3_BDPV12</stp>
        <stp>SX8P INDEX</stp>
        <stp>CHG_PCT_1M</stp>
        <stp>[Index.xlsm]主要產業!R26C11</stp>
        <tr r="K26" s="2"/>
      </tp>
      <tp>
        <v>-0.1640315</v>
        <stp/>
        <stp>##V3_BDPV12</stp>
        <stp>SX8P INDEX</stp>
        <stp>CHG_PCT_3M</stp>
        <stp>[Index.xlsm]主要產業!R26C12</stp>
        <tr r="L26" s="2"/>
      </tp>
      <tp>
        <v>-1.6948799999999999</v>
        <stp/>
        <stp>##V3_BDPV12</stp>
        <stp>SX8P INDEX</stp>
        <stp>CHG_PCT_5D</stp>
        <stp>[Index.xlsm]主要產業!R26C10</stp>
        <tr r="J26" s="2"/>
      </tp>
      <tp>
        <v>7.2156409999999997</v>
        <stp/>
        <stp>##V3_BDPV12</stp>
        <stp>SX8P INDEX</stp>
        <stp>CHG_PCT_6M</stp>
        <stp>[Index.xlsm]主要產業!R26C13</stp>
        <tr r="M26" s="2"/>
      </tp>
      <tp>
        <v>12.13785</v>
        <stp/>
        <stp>##V3_BDPV12</stp>
        <stp>s5FDSR index</stp>
        <stp>CHG_PCT_1YR</stp>
        <stp>[Index.xlsm]主要產業!R17C15</stp>
        <tr r="O17" s="2"/>
      </tp>
      <tp>
        <v>3.1481520000000001</v>
        <stp/>
        <stp>##V3_BDPV12</stp>
        <stp>EMLCTRUU Index</stp>
        <stp>CHG_PCT_6M</stp>
        <stp>[Index.xlsm]主要產業!R36C51</stp>
        <tr r="AY36" s="2"/>
      </tp>
      <tp>
        <v>-0.47504249999999998</v>
        <stp/>
        <stp>##V3_BDPV12</stp>
        <stp>EMLCTRUU Index</stp>
        <stp>CHG_PCT_5D</stp>
        <stp>[Index.xlsm]主要產業!R36C48</stp>
        <tr r="AV36" s="2"/>
      </tp>
      <tp>
        <v>-0.13901240000000001</v>
        <stp/>
        <stp>##V3_BDPV12</stp>
        <stp>EMLCTRUU Index</stp>
        <stp>CHG_PCT_3M</stp>
        <stp>[Index.xlsm]主要產業!R36C50</stp>
        <tr r="AX36" s="2"/>
      </tp>
      <tp>
        <v>0.64515359999999999</v>
        <stp/>
        <stp>##V3_BDPV12</stp>
        <stp>EMLCTRUU Index</stp>
        <stp>CHG_PCT_1M</stp>
        <stp>[Index.xlsm]主要產業!R36C49</stp>
        <tr r="AW36" s="2"/>
      </tp>
      <tp>
        <v>-2.320761E-2</v>
        <stp/>
        <stp>##V3_BDPV12</stp>
        <stp>EMLCTRUU Index</stp>
        <stp>CHG_PCT_1D</stp>
        <stp>[Index.xlsm]主要產業!R36C43</stp>
        <tr r="AQ36" s="2"/>
      </tp>
      <tp>
        <v>138.71539999999999</v>
        <stp/>
        <stp>##V3_BDPV12</stp>
        <stp>EMLCTRUU Index</stp>
        <stp>PX_LAST</stp>
        <stp>[Index.xlsm]主要產業!R36C42</stp>
        <tr r="AP36" s="2"/>
      </tp>
      <tp>
        <v>28.957854969317175</v>
        <stp/>
        <stp>##V3_BDPV12</stp>
        <stp>MMM US Equity</stp>
        <stp>INTERVAL_HIGH</stp>
        <stp>[Index.xlsm]主要產業!R27C36</stp>
        <stp>MARKET_DATA_OVERRIDE=PE_RATIO</stp>
        <stp>CALC_INTERVAL=5y</stp>
        <stp>BEST_FPERIOD_OVERRIDE=BF</stp>
        <tr r="AJ27" s="2"/>
      </tp>
      <tp>
        <v>28.704255243095805</v>
        <stp/>
        <stp>##V3_BDPV12</stp>
        <stp>MCD US Equity</stp>
        <stp>INTERVAL_HIGH</stp>
        <stp>[Index.xlsm]主要產業!R16C36</stp>
        <stp>MARKET_DATA_OVERRIDE=PE_RATIO</stp>
        <stp>CALC_INTERVAL=5y</stp>
        <stp>BEST_FPERIOD_OVERRIDE=BF</stp>
        <tr r="AJ16" s="2"/>
      </tp>
      <tp>
        <v>7.8125030000000004</v>
        <stp/>
        <stp>##V3_BDPV12</stp>
        <stp>GSK LN Equity</stp>
        <stp>PR064</stp>
        <stp>[Index.xlsm]主要產業!R47C34</stp>
        <tr r="AH47" s="2"/>
      </tp>
      <tp t="s">
        <v>GB</v>
        <stp/>
        <stp>##V3_BDPV12</stp>
        <stp>GSK LN Equity</stp>
        <stp>DS003</stp>
        <stp>[Index.xlsm]主要產業!R47C23</stp>
        <tr r="W47" s="2"/>
      </tp>
      <tp>
        <v>29.414208742524025</v>
        <stp/>
        <stp>##V3_BDPV12</stp>
        <stp>MRK US Equity</stp>
        <stp>INTERVAL_HIGH</stp>
        <stp>[Index.xlsm]主要產業!R12C36</stp>
        <stp>MARKET_DATA_OVERRIDE=PE_RATIO</stp>
        <stp>CALC_INTERVAL=5y</stp>
        <stp>BEST_FPERIOD_OVERRIDE=BF</stp>
        <tr r="AJ12" s="2"/>
      </tp>
      <tp>
        <v>17.336390162567735</v>
        <stp/>
        <stp>##V3_BDPV12</stp>
        <stp>3382 JP Equity</stp>
        <stp>PE_RATIO</stp>
        <stp>[Index.xlsm]主要產業!R82C38</stp>
        <tr r="AL82" s="2"/>
      </tp>
      <tp>
        <v>46.06</v>
        <stp/>
        <stp>##V3_BDPV12</stp>
        <stp>000858 CS Equity</stp>
        <stp>LOW_52WEEK</stp>
        <stp>[Index.xlsm]主要產業!R93C28</stp>
        <tr r="AB93" s="2"/>
      </tp>
      <tp>
        <v>35.35</v>
        <stp/>
        <stp>##V3_BDPV12</stp>
        <stp>000651 CS Equity</stp>
        <stp>LOW_52WEEK</stp>
        <stp>[Index.xlsm]主要產業!R91C28</stp>
        <tr r="AB91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S320"/>
  <sheetViews>
    <sheetView zoomScale="80" zoomScaleNormal="80" workbookViewId="0">
      <selection sqref="A1:S80"/>
    </sheetView>
  </sheetViews>
  <sheetFormatPr defaultRowHeight="16.5" x14ac:dyDescent="0.25"/>
  <cols>
    <col min="1" max="1" width="18.75" bestFit="1" customWidth="1"/>
    <col min="2" max="2" width="33.375" bestFit="1" customWidth="1"/>
    <col min="3" max="3" width="7.125" bestFit="1" customWidth="1"/>
    <col min="4" max="4" width="11.75" bestFit="1" customWidth="1"/>
    <col min="6" max="6" width="12.375" bestFit="1" customWidth="1"/>
    <col min="8" max="8" width="12.375" bestFit="1" customWidth="1"/>
    <col min="16" max="18" width="9" customWidth="1"/>
  </cols>
  <sheetData>
    <row r="1" spans="1:19" x14ac:dyDescent="0.25">
      <c r="A1" t="s">
        <v>333</v>
      </c>
      <c r="B1" t="s">
        <v>334</v>
      </c>
      <c r="C1" t="s">
        <v>335</v>
      </c>
      <c r="D1" s="1" t="s">
        <v>319</v>
      </c>
      <c r="E1" s="2" t="s">
        <v>320</v>
      </c>
      <c r="F1" s="1" t="s">
        <v>321</v>
      </c>
      <c r="G1" s="1" t="s">
        <v>322</v>
      </c>
      <c r="H1" s="1" t="s">
        <v>323</v>
      </c>
      <c r="I1" s="1" t="s">
        <v>322</v>
      </c>
      <c r="J1" s="1" t="s">
        <v>324</v>
      </c>
      <c r="K1" s="1" t="s">
        <v>325</v>
      </c>
      <c r="L1" s="1" t="s">
        <v>326</v>
      </c>
      <c r="M1" s="1" t="s">
        <v>327</v>
      </c>
      <c r="N1" s="4" t="s">
        <v>336</v>
      </c>
      <c r="O1" s="1" t="s">
        <v>328</v>
      </c>
      <c r="P1" s="1" t="s">
        <v>329</v>
      </c>
      <c r="Q1" s="1" t="s">
        <v>330</v>
      </c>
      <c r="R1" s="1" t="s">
        <v>331</v>
      </c>
      <c r="S1" s="1" t="s">
        <v>332</v>
      </c>
    </row>
    <row r="2" spans="1:19" x14ac:dyDescent="0.25">
      <c r="A2" t="s">
        <v>37</v>
      </c>
      <c r="B2" t="str">
        <f>_xll.BDP(A2,"DS697")</f>
        <v>費城石油服務類指數</v>
      </c>
      <c r="C2" t="str">
        <f>_xll.BDP(A2,"DS003")</f>
        <v>US</v>
      </c>
      <c r="D2" s="2">
        <f>_xll.BDP(A2,"PX_LAST")</f>
        <v>66.619339999999994</v>
      </c>
      <c r="E2" s="2">
        <f>_xll.BDP(A2,"CHG_PCT_1D")</f>
        <v>-2.6892330000000002</v>
      </c>
      <c r="F2" s="2">
        <f>_xll.BDP(A2,"HIGH_52WEEK")</f>
        <v>156.29419999999999</v>
      </c>
      <c r="G2" s="2">
        <f>LN(F2/D2)*100</f>
        <v>85.274520283190228</v>
      </c>
      <c r="H2" s="2">
        <f>_xll.BDP(A2,"LOW_52WEEK")</f>
        <v>59.287210000000002</v>
      </c>
      <c r="I2" s="2">
        <f>LN(H2/D2)*100</f>
        <v>-11.660132600880111</v>
      </c>
      <c r="J2" s="2">
        <f>_xll.BDP(A2,"CHG_PCT_5D")</f>
        <v>-8.3390109999999993</v>
      </c>
      <c r="K2" s="2">
        <f>_xll.BDP(A2,"CHG_PCT_1M")</f>
        <v>11.66549</v>
      </c>
      <c r="L2" s="2">
        <f>_xll.BDP(A2,"CHG_PCT_3M")</f>
        <v>-15.980259999999999</v>
      </c>
      <c r="M2" s="2">
        <f>_xll.BDP(A2,"CHG_PCT_6M")</f>
        <v>-28.687069999999999</v>
      </c>
      <c r="N2" s="2">
        <f>_xll.BDP(A2,"PR064")</f>
        <v>-15.980259999999999</v>
      </c>
      <c r="O2" s="2">
        <f>_xll.BDP(A2,"CHG_PCT_1YR")</f>
        <v>-55.275649999999999</v>
      </c>
      <c r="P2" s="2">
        <f>_xll.BDP(A2,"INTERVAL_HIGH", "MARKET_DATA_OVERRIDE=PE_RATIO", "CALC_INTERVAL=5y", "BEST_FPERIOD_OVERRIDE=BF")</f>
        <v>145.98632805927761</v>
      </c>
      <c r="Q2" s="2">
        <f>_xll.BDP(A2,"INTERVAL_Low", "MARKET_DATA_OVERRIDE=PE_RATIO", "CALC_INTERVAL=5y", "BEST_FPERIOD_OVERRIDE=BF")</f>
        <v>10.539487024988267</v>
      </c>
      <c r="R2" s="2" t="str">
        <f>_xll.BDP(A2,"PE_RATIO")</f>
        <v>#N/A N/A</v>
      </c>
      <c r="S2" s="3" t="str">
        <f>IF(ISERROR((R2-Q2)/(P2-Q2)),"",(R2-Q2)/(P2-Q2))</f>
        <v/>
      </c>
    </row>
    <row r="3" spans="1:19" x14ac:dyDescent="0.25">
      <c r="A3" t="s">
        <v>57</v>
      </c>
      <c r="B3" t="str">
        <f>_xll.BDP(A3,"DS697")</f>
        <v>阿根廷 IBG 綜合指數</v>
      </c>
      <c r="C3" t="str">
        <f>_xll.BDP(A3,"DS003")</f>
        <v>AR</v>
      </c>
      <c r="D3" s="2">
        <f>_xll.BDP(A3,"PX_LAST")</f>
        <v>1206334</v>
      </c>
      <c r="E3" s="2">
        <f>_xll.BDP(A3,"CHG_PCT_1D")</f>
        <v>-0.10169250000000001</v>
      </c>
      <c r="F3" s="2">
        <f>_xll.BDP(A3,"HIGH_52WEEK")</f>
        <v>1912998</v>
      </c>
      <c r="G3" s="2">
        <f>LN(F3/D3)*100</f>
        <v>46.108563642706947</v>
      </c>
      <c r="H3" s="2">
        <f>_xll.BDP(A3,"LOW_52WEEK")</f>
        <v>971926.375</v>
      </c>
      <c r="I3" s="2">
        <f>LN(H3/D3)*100</f>
        <v>-21.60612318275296</v>
      </c>
      <c r="J3" s="2">
        <f>_xll.BDP(A3,"CHG_PCT_5D")</f>
        <v>-7.4709560000000002</v>
      </c>
      <c r="K3" s="2">
        <f>_xll.BDP(A3,"CHG_PCT_1M")</f>
        <v>13.42235</v>
      </c>
      <c r="L3" s="2">
        <f>_xll.BDP(A3,"CHG_PCT_3M")</f>
        <v>-31.427790000000002</v>
      </c>
      <c r="M3" s="2">
        <f>_xll.BDP(A3,"CHG_PCT_6M")</f>
        <v>-13.703530000000001</v>
      </c>
      <c r="N3" s="2">
        <f>_xll.BDP(A3,"PR064")</f>
        <v>-31.427790000000002</v>
      </c>
      <c r="O3" s="2">
        <f>_xll.BDP(A3,"CHG_PCT_1YR")</f>
        <v>-20.707750000000001</v>
      </c>
      <c r="P3" s="2">
        <f>_xll.BDP(A3,"INTERVAL_HIGH", "MARKET_DATA_OVERRIDE=PE_RATIO", "CALC_INTERVAL=5y", "BEST_FPERIOD_OVERRIDE=BF")</f>
        <v>38.68367039811713</v>
      </c>
      <c r="Q3" s="2">
        <f>_xll.BDP(A3,"INTERVAL_Low", "MARKET_DATA_OVERRIDE=PE_RATIO", "CALC_INTERVAL=5y", "BEST_FPERIOD_OVERRIDE=BF")</f>
        <v>4.2046109838184318</v>
      </c>
      <c r="R3" s="2">
        <f>_xll.BDP(A3,"PE_RATIO")</f>
        <v>5.0925043910030361</v>
      </c>
      <c r="S3" s="3">
        <f>IF(ISERROR((R3-Q3)/(P3-Q3)),"",(R3-Q3)/(P3-Q3))</f>
        <v>2.5751671370025511E-2</v>
      </c>
    </row>
    <row r="4" spans="1:19" x14ac:dyDescent="0.25">
      <c r="A4" t="s">
        <v>55</v>
      </c>
      <c r="B4" t="str">
        <f>_xll.BDP(A4,"DS697")</f>
        <v>阿根廷 MERVAL 指數</v>
      </c>
      <c r="C4" t="str">
        <f>_xll.BDP(A4,"DS003")</f>
        <v>AR</v>
      </c>
      <c r="D4" s="2">
        <f>_xll.BDP(A4,"PX_LAST")</f>
        <v>28168.02</v>
      </c>
      <c r="E4" s="2">
        <f>_xll.BDP(A4,"CHG_PCT_1D")</f>
        <v>-0.15734210000000001</v>
      </c>
      <c r="F4" s="2">
        <f>_xll.BDP(A4,"HIGH_52WEEK")</f>
        <v>44470.76171875</v>
      </c>
      <c r="G4" s="2">
        <f>LN(F4/D4)*100</f>
        <v>45.664464132065007</v>
      </c>
      <c r="H4" s="2">
        <f>_xll.BDP(A4,"LOW_52WEEK")</f>
        <v>22484.400000000001</v>
      </c>
      <c r="I4" s="2">
        <f>LN(H4/D4)*100</f>
        <v>-22.536555646773007</v>
      </c>
      <c r="J4" s="2">
        <f>_xll.BDP(A4,"CHG_PCT_5D")</f>
        <v>-7.38591</v>
      </c>
      <c r="K4" s="2">
        <f>_xll.BDP(A4,"CHG_PCT_1M")</f>
        <v>14.399649999999999</v>
      </c>
      <c r="L4" s="2">
        <f>_xll.BDP(A4,"CHG_PCT_3M")</f>
        <v>-31.51202</v>
      </c>
      <c r="M4" s="2">
        <f>_xll.BDP(A4,"CHG_PCT_6M")</f>
        <v>-12.45284</v>
      </c>
      <c r="N4" s="2">
        <f>_xll.BDP(A4,"PR064")</f>
        <v>-31.51202</v>
      </c>
      <c r="O4" s="2">
        <f>_xll.BDP(A4,"CHG_PCT_1YR")</f>
        <v>-16.29448</v>
      </c>
      <c r="P4" s="2">
        <f>_xll.BDP(A4,"INTERVAL_HIGH", "MARKET_DATA_OVERRIDE=PE_RATIO", "CALC_INTERVAL=5y", "BEST_FPERIOD_OVERRIDE=BF")</f>
        <v>263.26679566112466</v>
      </c>
      <c r="Q4" s="2">
        <f>_xll.BDP(A4,"INTERVAL_Low", "MARKET_DATA_OVERRIDE=PE_RATIO", "CALC_INTERVAL=5y", "BEST_FPERIOD_OVERRIDE=BF")</f>
        <v>3.7169773465656961</v>
      </c>
      <c r="R4" s="2">
        <f>_xll.BDP(A4,"PE_RATIO")</f>
        <v>4.4225980381988794</v>
      </c>
      <c r="S4" s="3">
        <f>IF(ISERROR((R4-Q4)/(P4-Q4)),"",(R4-Q4)/(P4-Q4))</f>
        <v>2.7186329630869278E-3</v>
      </c>
    </row>
    <row r="5" spans="1:19" x14ac:dyDescent="0.25">
      <c r="A5" t="s">
        <v>56</v>
      </c>
      <c r="B5" t="str">
        <f>_xll.BDP(A5,"DS697")</f>
        <v>阿根廷 M.AR 指數</v>
      </c>
      <c r="C5" t="str">
        <f>_xll.BDP(A5,"DS003")</f>
        <v>AR</v>
      </c>
      <c r="D5" s="2">
        <f>_xll.BDP(A5,"PX_LAST")</f>
        <v>24643.45</v>
      </c>
      <c r="E5" s="2">
        <f>_xll.BDP(A5,"CHG_PCT_1D")</f>
        <v>-5.8439779999999997E-2</v>
      </c>
      <c r="F5" s="2">
        <f>_xll.BDP(A5,"HIGH_52WEEK")</f>
        <v>39737.94140625</v>
      </c>
      <c r="G5" s="2">
        <f>LN(F5/D5)*100</f>
        <v>47.77952891303466</v>
      </c>
      <c r="H5" s="2">
        <f>_xll.BDP(A5,"LOW_52WEEK")</f>
        <v>19555.63</v>
      </c>
      <c r="I5" s="2">
        <f>LN(H5/D5)*100</f>
        <v>-23.124792058485902</v>
      </c>
      <c r="J5" s="2">
        <f>_xll.BDP(A5,"CHG_PCT_5D")</f>
        <v>-7.202858</v>
      </c>
      <c r="K5" s="2">
        <f>_xll.BDP(A5,"CHG_PCT_1M")</f>
        <v>14.49879</v>
      </c>
      <c r="L5" s="2">
        <f>_xll.BDP(A5,"CHG_PCT_3M")</f>
        <v>-32.416580000000003</v>
      </c>
      <c r="M5" s="2">
        <f>_xll.BDP(A5,"CHG_PCT_6M")</f>
        <v>-13.71683</v>
      </c>
      <c r="N5" s="2">
        <f>_xll.BDP(A5,"PR064")</f>
        <v>-32.416580000000003</v>
      </c>
      <c r="O5" s="2">
        <f>_xll.BDP(A5,"CHG_PCT_1YR")</f>
        <v>-19.884</v>
      </c>
      <c r="P5" s="2">
        <f>_xll.BDP(A5,"INTERVAL_HIGH", "MARKET_DATA_OVERRIDE=PE_RATIO", "CALC_INTERVAL=5y", "BEST_FPERIOD_OVERRIDE=BF")</f>
        <v>223.62623931235223</v>
      </c>
      <c r="Q5" s="2">
        <f>_xll.BDP(A5,"INTERVAL_Low", "MARKET_DATA_OVERRIDE=PE_RATIO", "CALC_INTERVAL=5y", "BEST_FPERIOD_OVERRIDE=BF")</f>
        <v>3.4826930011240882</v>
      </c>
      <c r="R5" s="2">
        <f>_xll.BDP(A5,"PE_RATIO")</f>
        <v>4.1936271166858665</v>
      </c>
      <c r="S5" s="3">
        <f>IF(ISERROR((R5-Q5)/(P5-Q5)),"",(R5-Q5)/(P5-Q5))</f>
        <v>3.2294115701974502E-3</v>
      </c>
    </row>
    <row r="6" spans="1:19" x14ac:dyDescent="0.25">
      <c r="A6" t="s">
        <v>204</v>
      </c>
      <c r="B6" t="str">
        <f>_xll.BDP(A6,"DS697")</f>
        <v>埃及 HERMES 指數</v>
      </c>
      <c r="C6" t="str">
        <f>_xll.BDP(A6,"DS003")</f>
        <v>EG</v>
      </c>
      <c r="D6" s="2">
        <f>_xll.BDP(A6,"PX_LAST")</f>
        <v>1270.0160000000001</v>
      </c>
      <c r="E6" s="2">
        <f>_xll.BDP(A6,"CHG_PCT_1D")</f>
        <v>1.447567</v>
      </c>
      <c r="F6" s="2">
        <f>_xll.BDP(A6,"HIGH_52WEEK")</f>
        <v>1467.13</v>
      </c>
      <c r="G6" s="2">
        <f>LN(F6/D6)*100</f>
        <v>14.427861264190737</v>
      </c>
      <c r="H6" s="2">
        <f>_xll.BDP(A6,"LOW_52WEEK")</f>
        <v>1186.7190000000001</v>
      </c>
      <c r="I6" s="2">
        <f>LN(H6/D6)*100</f>
        <v>-6.7837142469338367</v>
      </c>
      <c r="J6" s="2">
        <f>_xll.BDP(A6,"CHG_PCT_5D")</f>
        <v>-6.3478490000000001</v>
      </c>
      <c r="K6" s="2">
        <f>_xll.BDP(A6,"CHG_PCT_1M")</f>
        <v>-5.0260740000000004</v>
      </c>
      <c r="L6" s="2">
        <f>_xll.BDP(A6,"CHG_PCT_3M")</f>
        <v>-5.6982049999999997</v>
      </c>
      <c r="M6" s="2">
        <f>_xll.BDP(A6,"CHG_PCT_6M")</f>
        <v>-10.13705</v>
      </c>
      <c r="N6" s="2">
        <f>_xll.BDP(A6,"PR064")</f>
        <v>-5.6982049999999997</v>
      </c>
      <c r="O6" s="2">
        <f>_xll.BDP(A6,"CHG_PCT_1YR")</f>
        <v>-8.4119989999999998</v>
      </c>
      <c r="P6" s="2">
        <f>_xll.BDP(A6,"INTERVAL_HIGH", "MARKET_DATA_OVERRIDE=PE_RATIO", "CALC_INTERVAL=5y", "BEST_FPERIOD_OVERRIDE=BF")</f>
        <v>35.692548087362262</v>
      </c>
      <c r="Q6" s="2">
        <f>_xll.BDP(A6,"INTERVAL_Low", "MARKET_DATA_OVERRIDE=PE_RATIO", "CALC_INTERVAL=5y", "BEST_FPERIOD_OVERRIDE=BF")</f>
        <v>10.273782508219641</v>
      </c>
      <c r="R6" s="2">
        <f>_xll.BDP(A6,"PE_RATIO")</f>
        <v>12.014525936911884</v>
      </c>
      <c r="S6" s="3">
        <f>IF(ISERROR((R6-Q6)/(P6-Q6)),"",(R6-Q6)/(P6-Q6))</f>
        <v>6.8482610741750979E-2</v>
      </c>
    </row>
    <row r="7" spans="1:19" x14ac:dyDescent="0.25">
      <c r="A7" t="s">
        <v>205</v>
      </c>
      <c r="B7" t="str">
        <f>_xll.BDP(A7,"DS697")</f>
        <v>Egyptian Exchange EGX 30 Pri</v>
      </c>
      <c r="C7" t="str">
        <f>_xll.BDP(A7,"DS003")</f>
        <v>EG</v>
      </c>
      <c r="D7" s="2">
        <f>_xll.BDP(A7,"PX_LAST")</f>
        <v>13857.12</v>
      </c>
      <c r="E7" s="2">
        <f>_xll.BDP(A7,"CHG_PCT_1D")</f>
        <v>1.9309860000000001</v>
      </c>
      <c r="F7" s="2">
        <f>_xll.BDP(A7,"HIGH_52WEEK")</f>
        <v>15321.23046875</v>
      </c>
      <c r="G7" s="2">
        <f>LN(F7/D7)*100</f>
        <v>10.044029892849496</v>
      </c>
      <c r="H7" s="2">
        <f>_xll.BDP(A7,"LOW_52WEEK")</f>
        <v>12076.83</v>
      </c>
      <c r="I7" s="2">
        <f>LN(H7/D7)*100</f>
        <v>-13.751043911147029</v>
      </c>
      <c r="J7" s="2">
        <f>_xll.BDP(A7,"CHG_PCT_5D")</f>
        <v>-6.0028899999999998</v>
      </c>
      <c r="K7" s="2">
        <f>_xll.BDP(A7,"CHG_PCT_1M")</f>
        <v>-2.9851220000000001</v>
      </c>
      <c r="L7" s="2">
        <f>_xll.BDP(A7,"CHG_PCT_3M")</f>
        <v>-1.7277119999999999</v>
      </c>
      <c r="M7" s="2">
        <f>_xll.BDP(A7,"CHG_PCT_6M")</f>
        <v>-4.7925550000000001</v>
      </c>
      <c r="N7" s="2">
        <f>_xll.BDP(A7,"PR064")</f>
        <v>-1.7277119999999999</v>
      </c>
      <c r="O7" s="2">
        <f>_xll.BDP(A7,"CHG_PCT_1YR")</f>
        <v>-5.2983799999999999</v>
      </c>
      <c r="P7" s="2">
        <f>_xll.BDP(A7,"INTERVAL_HIGH", "MARKET_DATA_OVERRIDE=PE_RATIO", "CALC_INTERVAL=5y", "BEST_FPERIOD_OVERRIDE=BF")</f>
        <v>50.105007952907876</v>
      </c>
      <c r="Q7" s="2">
        <f>_xll.BDP(A7,"INTERVAL_Low", "MARKET_DATA_OVERRIDE=PE_RATIO", "CALC_INTERVAL=5y", "BEST_FPERIOD_OVERRIDE=BF")</f>
        <v>11.146335445248754</v>
      </c>
      <c r="R7" s="2">
        <f>_xll.BDP(A7,"PE_RATIO")</f>
        <v>11.727366568594881</v>
      </c>
      <c r="S7" s="3">
        <f>IF(ISERROR((R7-Q7)/(P7-Q7)),"",(R7-Q7)/(P7-Q7))</f>
        <v>1.49140380291936E-2</v>
      </c>
    </row>
    <row r="8" spans="1:19" x14ac:dyDescent="0.25">
      <c r="A8" t="s">
        <v>289</v>
      </c>
      <c r="B8" t="str">
        <f>_xll.BDP(A8,"DS697")</f>
        <v>深圳創業板價格指數</v>
      </c>
      <c r="C8" t="str">
        <f>_xll.BDP(A8,"DS003")</f>
        <v>CH</v>
      </c>
      <c r="D8" s="2">
        <f>_xll.BDP(A8,"PX_LAST")</f>
        <v>1623.7909999999999</v>
      </c>
      <c r="E8" s="2">
        <f>_xll.BDP(A8,"CHG_PCT_1D")</f>
        <v>-2.9208210000000001</v>
      </c>
      <c r="F8" s="2">
        <f>_xll.BDP(A8,"HIGH_52WEEK")</f>
        <v>1792.028</v>
      </c>
      <c r="G8" s="2">
        <f>LN(F8/D8)*100</f>
        <v>9.8584400554322578</v>
      </c>
      <c r="H8" s="2">
        <f>_xll.BDP(A8,"LOW_52WEEK")</f>
        <v>1184.9069999999999</v>
      </c>
      <c r="I8" s="2">
        <f>LN(H8/D8)*100</f>
        <v>-31.509924838170676</v>
      </c>
      <c r="J8" s="2">
        <f>_xll.BDP(A8,"CHG_PCT_5D")</f>
        <v>-4.7964450000000003</v>
      </c>
      <c r="K8" s="2">
        <f>_xll.BDP(A8,"CHG_PCT_1M")</f>
        <v>-0.26594810000000002</v>
      </c>
      <c r="L8" s="2">
        <f>_xll.BDP(A8,"CHG_PCT_3M")</f>
        <v>6.4610640000000004</v>
      </c>
      <c r="M8" s="2">
        <f>_xll.BDP(A8,"CHG_PCT_6M")</f>
        <v>-0.85371620000000004</v>
      </c>
      <c r="N8" s="2">
        <f>_xll.BDP(A8,"PR064")</f>
        <v>6.4610640000000004</v>
      </c>
      <c r="O8" s="2">
        <f>_xll.BDP(A8,"CHG_PCT_1YR")</f>
        <v>15.95534</v>
      </c>
      <c r="P8" s="2">
        <f>_xll.BDP(A8,"INTERVAL_HIGH", "MARKET_DATA_OVERRIDE=PE_RATIO", "CALC_INTERVAL=5y", "BEST_FPERIOD_OVERRIDE=BF")</f>
        <v>135.93311620225549</v>
      </c>
      <c r="Q8" s="2">
        <f>_xll.BDP(A8,"INTERVAL_Low", "MARKET_DATA_OVERRIDE=PE_RATIO", "CALC_INTERVAL=5y", "BEST_FPERIOD_OVERRIDE=BF")</f>
        <v>32.815617978136615</v>
      </c>
      <c r="R8" s="2">
        <f>_xll.BDP(A8,"PE_RATIO")</f>
        <v>68.392174751941027</v>
      </c>
      <c r="S8" s="3">
        <f>IF(ISERROR((R8-Q8)/(P8-Q8)),"",(R8-Q8)/(P8-Q8))</f>
        <v>0.34500989052780534</v>
      </c>
    </row>
    <row r="9" spans="1:19" x14ac:dyDescent="0.25">
      <c r="A9" t="s">
        <v>291</v>
      </c>
      <c r="B9" t="str">
        <f>_xll.BDP(A9,"DS697")</f>
        <v>China Shenzhen Small Medium</v>
      </c>
      <c r="C9" t="str">
        <f>_xll.BDP(A9,"DS003")</f>
        <v>CH</v>
      </c>
      <c r="D9" s="2">
        <f>_xll.BDP(A9,"PX_LAST")</f>
        <v>8936.7739999999994</v>
      </c>
      <c r="E9" s="2">
        <f>_xll.BDP(A9,"CHG_PCT_1D")</f>
        <v>-2.395899</v>
      </c>
      <c r="F9" s="2">
        <f>_xll.BDP(A9,"HIGH_52WEEK")</f>
        <v>10428.959999999999</v>
      </c>
      <c r="G9" s="2">
        <f>LN(F9/D9)*100</f>
        <v>15.441187772140594</v>
      </c>
      <c r="H9" s="2">
        <f>_xll.BDP(A9,"LOW_52WEEK")</f>
        <v>7112.15</v>
      </c>
      <c r="I9" s="2">
        <f>LN(H9/D9)*100</f>
        <v>-22.837008484869777</v>
      </c>
      <c r="J9" s="2">
        <f>_xll.BDP(A9,"CHG_PCT_5D")</f>
        <v>-4.5109149999999998</v>
      </c>
      <c r="K9" s="2">
        <f>_xll.BDP(A9,"CHG_PCT_1M")</f>
        <v>9.6826670000000007E-3</v>
      </c>
      <c r="L9" s="2">
        <f>_xll.BDP(A9,"CHG_PCT_3M")</f>
        <v>0.51277539999999999</v>
      </c>
      <c r="M9" s="2">
        <f>_xll.BDP(A9,"CHG_PCT_6M")</f>
        <v>-6.919441</v>
      </c>
      <c r="N9" s="2">
        <f>_xll.BDP(A9,"PR064")</f>
        <v>0.51277539999999999</v>
      </c>
      <c r="O9" s="2">
        <f>_xll.BDP(A9,"CHG_PCT_1YR")</f>
        <v>5.8979730000000004</v>
      </c>
      <c r="P9" s="2" t="str">
        <f>_xll.BDP(A9,"INTERVAL_HIGH", "MARKET_DATA_OVERRIDE=PE_RATIO", "CALC_INTERVAL=5y", "BEST_FPERIOD_OVERRIDE=BF")</f>
        <v>#N/A N/A</v>
      </c>
      <c r="Q9" s="2" t="str">
        <f>_xll.BDP(A9,"INTERVAL_Low", "MARKET_DATA_OVERRIDE=PE_RATIO", "CALC_INTERVAL=5y", "BEST_FPERIOD_OVERRIDE=BF")</f>
        <v>#N/A N/A</v>
      </c>
      <c r="R9" s="2" t="str">
        <f>_xll.BDP(A9,"PE_RATIO")</f>
        <v>#N/A N/A</v>
      </c>
      <c r="S9" s="3" t="str">
        <f>IF(ISERROR((R9-Q9)/(P9-Q9)),"",(R9-Q9)/(P9-Q9))</f>
        <v/>
      </c>
    </row>
    <row r="10" spans="1:19" x14ac:dyDescent="0.25">
      <c r="A10" t="s">
        <v>283</v>
      </c>
      <c r="B10" t="str">
        <f>_xll.BDP(A10,"DS697")</f>
        <v>深圳證券交易所A股指數</v>
      </c>
      <c r="C10" t="str">
        <f>_xll.BDP(A10,"DS003")</f>
        <v>CH</v>
      </c>
      <c r="D10" s="2">
        <f>_xll.BDP(A10,"PX_LAST")</f>
        <v>1671.1030000000001</v>
      </c>
      <c r="E10" s="2">
        <f>_xll.BDP(A10,"CHG_PCT_1D")</f>
        <v>-2.5107620000000002</v>
      </c>
      <c r="F10" s="2">
        <f>_xll.BDP(A10,"HIGH_52WEEK")</f>
        <v>1881.65</v>
      </c>
      <c r="G10" s="2">
        <f>LN(F10/D10)*100</f>
        <v>11.866516404807225</v>
      </c>
      <c r="H10" s="2">
        <f>_xll.BDP(A10,"LOW_52WEEK")</f>
        <v>1267.2739999999999</v>
      </c>
      <c r="I10" s="2">
        <f>LN(H10/D10)*100</f>
        <v>-27.661575061262724</v>
      </c>
      <c r="J10" s="2">
        <f>_xll.BDP(A10,"CHG_PCT_5D")</f>
        <v>-4.4865740000000001</v>
      </c>
      <c r="K10" s="2">
        <f>_xll.BDP(A10,"CHG_PCT_1M")</f>
        <v>0.1220435</v>
      </c>
      <c r="L10" s="2">
        <f>_xll.BDP(A10,"CHG_PCT_3M")</f>
        <v>1.2884279999999999</v>
      </c>
      <c r="M10" s="2">
        <f>_xll.BDP(A10,"CHG_PCT_6M")</f>
        <v>-3.432134</v>
      </c>
      <c r="N10" s="2">
        <f>_xll.BDP(A10,"PR064")</f>
        <v>1.2884279999999999</v>
      </c>
      <c r="O10" s="2">
        <f>_xll.BDP(A10,"CHG_PCT_1YR")</f>
        <v>11.806839999999999</v>
      </c>
      <c r="P10" s="2">
        <f>_xll.BDP(A10,"INTERVAL_HIGH", "MARKET_DATA_OVERRIDE=PE_RATIO", "CALC_INTERVAL=5y", "BEST_FPERIOD_OVERRIDE=BF")</f>
        <v>74.637825541688784</v>
      </c>
      <c r="Q10" s="2">
        <f>_xll.BDP(A10,"INTERVAL_Low", "MARKET_DATA_OVERRIDE=PE_RATIO", "CALC_INTERVAL=5y", "BEST_FPERIOD_OVERRIDE=BF")</f>
        <v>20.045125117181318</v>
      </c>
      <c r="R10" s="2">
        <f>_xll.BDP(A10,"PE_RATIO")</f>
        <v>34.642594829553808</v>
      </c>
      <c r="S10" s="3">
        <f>IF(ISERROR((R10-Q10)/(P10-Q10)),"",(R10-Q10)/(P10-Q10))</f>
        <v>0.26738867282372919</v>
      </c>
    </row>
    <row r="11" spans="1:19" x14ac:dyDescent="0.25">
      <c r="A11" t="s">
        <v>238</v>
      </c>
      <c r="B11" t="str">
        <f>_xll.BDP(A11,"DS697")</f>
        <v>深圳證交所綜合指數</v>
      </c>
      <c r="C11" t="str">
        <f>_xll.BDP(A11,"DS003")</f>
        <v>CH</v>
      </c>
      <c r="D11" s="2">
        <f>_xll.BDP(A11,"PX_LAST")</f>
        <v>1597.7180000000001</v>
      </c>
      <c r="E11" s="2">
        <f>_xll.BDP(A11,"CHG_PCT_1D")</f>
        <v>-2.505109</v>
      </c>
      <c r="F11" s="2">
        <f>_xll.BDP(A11,"HIGH_52WEEK")</f>
        <v>1799.096</v>
      </c>
      <c r="G11" s="2">
        <f>LN(F11/D11)*100</f>
        <v>11.870795534099459</v>
      </c>
      <c r="H11" s="2">
        <f>_xll.BDP(A11,"LOW_52WEEK")</f>
        <v>1212.229</v>
      </c>
      <c r="I11" s="2">
        <f>LN(H11/D11)*100</f>
        <v>-27.611554748921868</v>
      </c>
      <c r="J11" s="2">
        <f>_xll.BDP(A11,"CHG_PCT_5D")</f>
        <v>-4.478612</v>
      </c>
      <c r="K11" s="2">
        <f>_xll.BDP(A11,"CHG_PCT_1M")</f>
        <v>0.1190015</v>
      </c>
      <c r="L11" s="2">
        <f>_xll.BDP(A11,"CHG_PCT_3M")</f>
        <v>1.277989</v>
      </c>
      <c r="M11" s="2">
        <f>_xll.BDP(A11,"CHG_PCT_6M")</f>
        <v>-3.4430580000000002</v>
      </c>
      <c r="N11" s="2">
        <f>_xll.BDP(A11,"PR064")</f>
        <v>1.277989</v>
      </c>
      <c r="O11" s="2">
        <f>_xll.BDP(A11,"CHG_PCT_1YR")</f>
        <v>11.75924</v>
      </c>
      <c r="P11" s="2">
        <f>_xll.BDP(A11,"INTERVAL_HIGH", "MARKET_DATA_OVERRIDE=PE_RATIO", "CALC_INTERVAL=5y", "BEST_FPERIOD_OVERRIDE=BF")</f>
        <v>73.772080269638778</v>
      </c>
      <c r="Q11" s="2">
        <f>_xll.BDP(A11,"INTERVAL_Low", "MARKET_DATA_OVERRIDE=PE_RATIO", "CALC_INTERVAL=5y", "BEST_FPERIOD_OVERRIDE=BF")</f>
        <v>20.300427061563415</v>
      </c>
      <c r="R11" s="2">
        <f>_xll.BDP(A11,"PE_RATIO")</f>
        <v>34.537977555604286</v>
      </c>
      <c r="S11" s="3">
        <f>IF(ISERROR((R11-Q11)/(P11-Q11)),"",(R11-Q11)/(P11-Q11))</f>
        <v>0.26626351795479358</v>
      </c>
    </row>
    <row r="12" spans="1:19" x14ac:dyDescent="0.25">
      <c r="A12" t="s">
        <v>28</v>
      </c>
      <c r="B12" t="str">
        <f>_xll.BDP(A12,"DS697")</f>
        <v>那斯達克生物科技類指數</v>
      </c>
      <c r="C12" t="str">
        <f>_xll.BDP(A12,"DS003")</f>
        <v>US</v>
      </c>
      <c r="D12" s="2">
        <f>_xll.BDP(A12,"PX_LAST")</f>
        <v>3143.0050000000001</v>
      </c>
      <c r="E12" s="2">
        <f>_xll.BDP(A12,"CHG_PCT_1D")</f>
        <v>-1.9753050000000001</v>
      </c>
      <c r="F12" s="2">
        <f>_xll.BDP(A12,"HIGH_52WEEK")</f>
        <v>3865.8829999999998</v>
      </c>
      <c r="G12" s="2">
        <f>LN(F12/D12)*100</f>
        <v>20.70107678386416</v>
      </c>
      <c r="H12" s="2">
        <f>_xll.BDP(A12,"LOW_52WEEK")</f>
        <v>2801.1370000000002</v>
      </c>
      <c r="I12" s="2">
        <f>LN(H12/D12)*100</f>
        <v>-11.515394246590533</v>
      </c>
      <c r="J12" s="2">
        <f>_xll.BDP(A12,"CHG_PCT_5D")</f>
        <v>-4.3709049999999996</v>
      </c>
      <c r="K12" s="2">
        <f>_xll.BDP(A12,"CHG_PCT_1M")</f>
        <v>-2.076641</v>
      </c>
      <c r="L12" s="2">
        <f>_xll.BDP(A12,"CHG_PCT_3M")</f>
        <v>-6.8050040000000003</v>
      </c>
      <c r="M12" s="2">
        <f>_xll.BDP(A12,"CHG_PCT_6M")</f>
        <v>-8.0316700000000001</v>
      </c>
      <c r="N12" s="2">
        <f>_xll.BDP(A12,"PR064")</f>
        <v>-6.8050040000000003</v>
      </c>
      <c r="O12" s="2">
        <f>_xll.BDP(A12,"CHG_PCT_1YR")</f>
        <v>-17.934190000000001</v>
      </c>
      <c r="P12" s="2">
        <f>_xll.BDP(A12,"INTERVAL_HIGH", "MARKET_DATA_OVERRIDE=PE_RATIO", "CALC_INTERVAL=5y", "BEST_FPERIOD_OVERRIDE=BF")</f>
        <v>69141.109566536077</v>
      </c>
      <c r="Q12" s="2">
        <f>_xll.BDP(A12,"INTERVAL_Low", "MARKET_DATA_OVERRIDE=PE_RATIO", "CALC_INTERVAL=5y", "BEST_FPERIOD_OVERRIDE=BF")</f>
        <v>61.077178076076009</v>
      </c>
      <c r="R12" s="2">
        <f>_xll.BDP(A12,"PE_RATIO")</f>
        <v>502.17572652995193</v>
      </c>
      <c r="S12" s="3">
        <f>IF(ISERROR((R12-Q12)/(P12-Q12)),"",(R12-Q12)/(P12-Q12))</f>
        <v>6.3853263121451944E-3</v>
      </c>
    </row>
    <row r="13" spans="1:19" x14ac:dyDescent="0.25">
      <c r="A13" t="s">
        <v>295</v>
      </c>
      <c r="B13" t="str">
        <f>_xll.BDP(A13,"DS697")</f>
        <v>CSI Smallcap 500 Index - Sha</v>
      </c>
      <c r="C13" t="str">
        <f>_xll.BDP(A13,"DS003")</f>
        <v>CH</v>
      </c>
      <c r="D13" s="2">
        <f>_xll.BDP(A13,"PX_LAST")</f>
        <v>4970.24</v>
      </c>
      <c r="E13" s="2">
        <f>_xll.BDP(A13,"CHG_PCT_1D")</f>
        <v>-2.2954349999999999</v>
      </c>
      <c r="F13" s="2">
        <f>_xll.BDP(A13,"HIGH_52WEEK")</f>
        <v>5939.4979999999996</v>
      </c>
      <c r="G13" s="2">
        <f>LN(F13/D13)*100</f>
        <v>17.815648933766361</v>
      </c>
      <c r="H13" s="2">
        <f>_xll.BDP(A13,"LOW_52WEEK")</f>
        <v>3948.5590000000002</v>
      </c>
      <c r="I13" s="2">
        <f>LN(H13/D13)*100</f>
        <v>-23.011742645401021</v>
      </c>
      <c r="J13" s="2">
        <f>_xll.BDP(A13,"CHG_PCT_5D")</f>
        <v>-4.2650730000000001</v>
      </c>
      <c r="K13" s="2">
        <f>_xll.BDP(A13,"CHG_PCT_1M")</f>
        <v>0.69115389999999999</v>
      </c>
      <c r="L13" s="2">
        <f>_xll.BDP(A13,"CHG_PCT_3M")</f>
        <v>-0.74374039999999997</v>
      </c>
      <c r="M13" s="2">
        <f>_xll.BDP(A13,"CHG_PCT_6M")</f>
        <v>-8.7674249999999994</v>
      </c>
      <c r="N13" s="2">
        <f>_xll.BDP(A13,"PR064")</f>
        <v>-0.74374039999999997</v>
      </c>
      <c r="O13" s="2">
        <f>_xll.BDP(A13,"CHG_PCT_1YR")</f>
        <v>4.5182589999999996</v>
      </c>
      <c r="P13" s="2">
        <f>_xll.BDP(A13,"INTERVAL_HIGH", "MARKET_DATA_OVERRIDE=PE_RATIO", "CALC_INTERVAL=5y", "BEST_FPERIOD_OVERRIDE=BF")</f>
        <v>83.514821200206015</v>
      </c>
      <c r="Q13" s="2">
        <f>_xll.BDP(A13,"INTERVAL_Low", "MARKET_DATA_OVERRIDE=PE_RATIO", "CALC_INTERVAL=5y", "BEST_FPERIOD_OVERRIDE=BF")</f>
        <v>15.971197980321469</v>
      </c>
      <c r="R13" s="2">
        <f>_xll.BDP(A13,"PE_RATIO")</f>
        <v>27.114234988098108</v>
      </c>
      <c r="S13" s="3">
        <f>IF(ISERROR((R13-Q13)/(P13-Q13)),"",(R13-Q13)/(P13-Q13))</f>
        <v>0.1649754110984111</v>
      </c>
    </row>
    <row r="14" spans="1:19" x14ac:dyDescent="0.25">
      <c r="A14" t="s">
        <v>256</v>
      </c>
      <c r="B14" t="str">
        <f>_xll.BDP(A14,"DS697")</f>
        <v>寮國證券交易所綜合指數</v>
      </c>
      <c r="C14" t="str">
        <f>_xll.BDP(A14,"DS003")</f>
        <v>LO</v>
      </c>
      <c r="D14" s="2">
        <f>_xll.BDP(A14,"PX_LAST")</f>
        <v>713.8</v>
      </c>
      <c r="E14" s="2">
        <f>_xll.BDP(A14,"CHG_PCT_1D")</f>
        <v>-0.77980570000000005</v>
      </c>
      <c r="F14" s="2">
        <f>_xll.BDP(A14,"HIGH_52WEEK")</f>
        <v>879.22</v>
      </c>
      <c r="G14" s="2">
        <f>LN(F14/D14)*100</f>
        <v>20.843233972730527</v>
      </c>
      <c r="H14" s="2">
        <f>_xll.BDP(A14,"LOW_52WEEK")</f>
        <v>636.59</v>
      </c>
      <c r="I14" s="2">
        <f>LN(H14/D14)*100</f>
        <v>-11.447700478259318</v>
      </c>
      <c r="J14" s="2">
        <f>_xll.BDP(A14,"CHG_PCT_5D")</f>
        <v>-4.0294739999999996</v>
      </c>
      <c r="K14" s="2">
        <f>_xll.BDP(A14,"CHG_PCT_1M")</f>
        <v>-6.6317870000000001</v>
      </c>
      <c r="L14" s="2">
        <f>_xll.BDP(A14,"CHG_PCT_3M")</f>
        <v>-10.103020000000001</v>
      </c>
      <c r="M14" s="2">
        <f>_xll.BDP(A14,"CHG_PCT_6M")</f>
        <v>-14.725350000000001</v>
      </c>
      <c r="N14" s="2">
        <f>_xll.BDP(A14,"PR064")</f>
        <v>-10.103020000000001</v>
      </c>
      <c r="O14" s="2">
        <f>_xll.BDP(A14,"CHG_PCT_1YR")</f>
        <v>-17.95214</v>
      </c>
      <c r="P14" s="2">
        <f>_xll.BDP(A14,"INTERVAL_HIGH", "MARKET_DATA_OVERRIDE=PE_RATIO", "CALC_INTERVAL=5y", "BEST_FPERIOD_OVERRIDE=BF")</f>
        <v>13.732568442669878</v>
      </c>
      <c r="Q14" s="2">
        <f>_xll.BDP(A14,"INTERVAL_Low", "MARKET_DATA_OVERRIDE=PE_RATIO", "CALC_INTERVAL=5y", "BEST_FPERIOD_OVERRIDE=BF")</f>
        <v>4.6329314721320349</v>
      </c>
      <c r="R14" s="2" t="str">
        <f>_xll.BDP(A14,"PE_RATIO")</f>
        <v>#N/A N/A</v>
      </c>
      <c r="S14" s="3" t="str">
        <f>IF(ISERROR((R14-Q14)/(P14-Q14)),"",(R14-Q14)/(P14-Q14))</f>
        <v/>
      </c>
    </row>
    <row r="15" spans="1:19" x14ac:dyDescent="0.25">
      <c r="A15" t="s">
        <v>288</v>
      </c>
      <c r="B15" t="str">
        <f>_xll.BDP(A15,"DS697")</f>
        <v>深圳證券交易所成份指數</v>
      </c>
      <c r="C15" t="str">
        <f>_xll.BDP(A15,"DS003")</f>
        <v>CH</v>
      </c>
      <c r="D15" s="2">
        <f>_xll.BDP(A15,"PX_LAST")</f>
        <v>9464.8359999999993</v>
      </c>
      <c r="E15" s="2">
        <f>_xll.BDP(A15,"CHG_PCT_1D")</f>
        <v>-2.1323620000000001</v>
      </c>
      <c r="F15" s="2">
        <f>_xll.BDP(A15,"HIGH_52WEEK")</f>
        <v>10541.1796875</v>
      </c>
      <c r="G15" s="2">
        <f>LN(F15/D15)*100</f>
        <v>10.770600414336579</v>
      </c>
      <c r="H15" s="2">
        <f>_xll.BDP(A15,"LOW_52WEEK")</f>
        <v>7011.328125</v>
      </c>
      <c r="I15" s="2">
        <f>LN(H15/D15)*100</f>
        <v>-30.005631293244949</v>
      </c>
      <c r="J15" s="2">
        <f>_xll.BDP(A15,"CHG_PCT_5D")</f>
        <v>-3.9317150000000001</v>
      </c>
      <c r="K15" s="2">
        <f>_xll.BDP(A15,"CHG_PCT_1M")</f>
        <v>0.22937360000000001</v>
      </c>
      <c r="L15" s="2">
        <f>_xll.BDP(A15,"CHG_PCT_3M")</f>
        <v>2.439006</v>
      </c>
      <c r="M15" s="2">
        <f>_xll.BDP(A15,"CHG_PCT_6M")</f>
        <v>-1.504767</v>
      </c>
      <c r="N15" s="2">
        <f>_xll.BDP(A15,"PR064")</f>
        <v>2.439006</v>
      </c>
      <c r="O15" s="2">
        <f>_xll.BDP(A15,"CHG_PCT_1YR")</f>
        <v>13.55871</v>
      </c>
      <c r="P15" s="2">
        <f>_xll.BDP(A15,"INTERVAL_HIGH", "MARKET_DATA_OVERRIDE=PE_RATIO", "CALC_INTERVAL=5y", "BEST_FPERIOD_OVERRIDE=BF")</f>
        <v>56.481683793796599</v>
      </c>
      <c r="Q15" s="2">
        <f>_xll.BDP(A15,"INTERVAL_Low", "MARKET_DATA_OVERRIDE=PE_RATIO", "CALC_INTERVAL=5y", "BEST_FPERIOD_OVERRIDE=BF")</f>
        <v>13.056044388332204</v>
      </c>
      <c r="R15" s="2">
        <f>_xll.BDP(A15,"PE_RATIO")</f>
        <v>23.172644698070435</v>
      </c>
      <c r="S15" s="3">
        <f>IF(ISERROR((R15-Q15)/(P15-Q15)),"",(R15-Q15)/(P15-Q15))</f>
        <v>0.23296376169109961</v>
      </c>
    </row>
    <row r="16" spans="1:19" x14ac:dyDescent="0.25">
      <c r="A16" t="s">
        <v>294</v>
      </c>
      <c r="B16" t="str">
        <f>_xll.BDP(A16,"DS697")</f>
        <v>Shenzhen Stock Exchange Smal</v>
      </c>
      <c r="C16" t="str">
        <f>_xll.BDP(A16,"DS003")</f>
        <v>CH</v>
      </c>
      <c r="D16" s="2">
        <f>_xll.BDP(A16,"PX_LAST")</f>
        <v>5989.6809999999996</v>
      </c>
      <c r="E16" s="2">
        <f>_xll.BDP(A16,"CHG_PCT_1D")</f>
        <v>-1.969616</v>
      </c>
      <c r="F16" s="2">
        <f>_xll.BDP(A16,"HIGH_52WEEK")</f>
        <v>6739.69</v>
      </c>
      <c r="G16" s="2">
        <f>LN(F16/D16)*100</f>
        <v>11.797577451764644</v>
      </c>
      <c r="H16" s="2">
        <f>_xll.BDP(A16,"LOW_52WEEK")</f>
        <v>4527.9539999999997</v>
      </c>
      <c r="I16" s="2">
        <f>LN(H16/D16)*100</f>
        <v>-27.976797344484993</v>
      </c>
      <c r="J16" s="2">
        <f>_xll.BDP(A16,"CHG_PCT_5D")</f>
        <v>-3.7995800000000002</v>
      </c>
      <c r="K16" s="2">
        <f>_xll.BDP(A16,"CHG_PCT_1M")</f>
        <v>0.9513412</v>
      </c>
      <c r="L16" s="2">
        <f>_xll.BDP(A16,"CHG_PCT_3M")</f>
        <v>4.7970430000000004</v>
      </c>
      <c r="M16" s="2">
        <f>_xll.BDP(A16,"CHG_PCT_6M")</f>
        <v>-3.0096430000000001</v>
      </c>
      <c r="N16" s="2">
        <f>_xll.BDP(A16,"PR064")</f>
        <v>4.7970430000000004</v>
      </c>
      <c r="O16" s="2">
        <f>_xll.BDP(A16,"CHG_PCT_1YR")</f>
        <v>5.0391690000000002</v>
      </c>
      <c r="P16" s="2">
        <f>_xll.BDP(A16,"INTERVAL_HIGH", "MARKET_DATA_OVERRIDE=PE_RATIO", "CALC_INTERVAL=5y", "BEST_FPERIOD_OVERRIDE=BF")</f>
        <v>63.076008419155855</v>
      </c>
      <c r="Q16" s="2">
        <f>_xll.BDP(A16,"INTERVAL_Low", "MARKET_DATA_OVERRIDE=PE_RATIO", "CALC_INTERVAL=5y", "BEST_FPERIOD_OVERRIDE=BF")</f>
        <v>18.033973067966009</v>
      </c>
      <c r="R16" s="2">
        <f>_xll.BDP(A16,"PE_RATIO")</f>
        <v>24.238806764719662</v>
      </c>
      <c r="S16" s="3">
        <f>IF(ISERROR((R16-Q16)/(P16-Q16)),"",(R16-Q16)/(P16-Q16))</f>
        <v>0.13775651229734545</v>
      </c>
    </row>
    <row r="17" spans="1:19" x14ac:dyDescent="0.25">
      <c r="A17" t="s">
        <v>307</v>
      </c>
      <c r="B17" t="str">
        <f>_xll.BDP(A17,"DS697")</f>
        <v>喀拉蚩30指數</v>
      </c>
      <c r="C17" t="str">
        <f>_xll.BDP(A17,"DS003")</f>
        <v>PK</v>
      </c>
      <c r="D17" s="2">
        <f>_xll.BDP(A17,"PX_LAST")</f>
        <v>14659.21</v>
      </c>
      <c r="E17" s="2">
        <f>_xll.BDP(A17,"CHG_PCT_1D")</f>
        <v>-0.71756759999999997</v>
      </c>
      <c r="F17" s="2">
        <f>_xll.BDP(A17,"HIGH_52WEEK")</f>
        <v>20404.62</v>
      </c>
      <c r="G17" s="2">
        <f>LN(F17/D17)*100</f>
        <v>33.069253892229419</v>
      </c>
      <c r="H17" s="2">
        <f>_xll.BDP(A17,"LOW_52WEEK")</f>
        <v>13347.08984375</v>
      </c>
      <c r="I17" s="2">
        <f>LN(H17/D17)*100</f>
        <v>-9.3770435024576617</v>
      </c>
      <c r="J17" s="2">
        <f>_xll.BDP(A17,"CHG_PCT_5D")</f>
        <v>-3.21814</v>
      </c>
      <c r="K17" s="2">
        <f>_xll.BDP(A17,"CHG_PCT_1M")</f>
        <v>1.5490200000000001</v>
      </c>
      <c r="L17" s="2">
        <f>_xll.BDP(A17,"CHG_PCT_3M")</f>
        <v>-7.6868970000000001</v>
      </c>
      <c r="M17" s="2">
        <f>_xll.BDP(A17,"CHG_PCT_6M")</f>
        <v>-20.55847</v>
      </c>
      <c r="N17" s="2">
        <f>_xll.BDP(A17,"PR064")</f>
        <v>-7.6868970000000001</v>
      </c>
      <c r="O17" s="2">
        <f>_xll.BDP(A17,"CHG_PCT_1YR")</f>
        <v>-26.269500000000001</v>
      </c>
      <c r="P17" s="2">
        <f>_xll.BDP(A17,"INTERVAL_HIGH", "MARKET_DATA_OVERRIDE=PE_RATIO", "CALC_INTERVAL=5y", "BEST_FPERIOD_OVERRIDE=BF")</f>
        <v>12.464479278955809</v>
      </c>
      <c r="Q17" s="2">
        <f>_xll.BDP(A17,"INTERVAL_Low", "MARKET_DATA_OVERRIDE=PE_RATIO", "CALC_INTERVAL=5y", "BEST_FPERIOD_OVERRIDE=BF")</f>
        <v>6.2469932138469257</v>
      </c>
      <c r="R17" s="2">
        <f>_xll.BDP(A17,"PE_RATIO")</f>
        <v>6.6442875266208032</v>
      </c>
      <c r="S17" s="3">
        <f>IF(ISERROR((R17-Q17)/(P17-Q17)),"",(R17-Q17)/(P17-Q17))</f>
        <v>6.3899509964871939E-2</v>
      </c>
    </row>
    <row r="18" spans="1:19" x14ac:dyDescent="0.25">
      <c r="A18" t="s">
        <v>242</v>
      </c>
      <c r="B18" t="str">
        <f>_xll.BDP(A18,"DS697")</f>
        <v>韓國KOSDAQ指數</v>
      </c>
      <c r="C18" t="str">
        <f>_xll.BDP(A18,"DS003")</f>
        <v>SK</v>
      </c>
      <c r="D18" s="2">
        <f>_xll.BDP(A18,"PX_LAST")</f>
        <v>628.41999999999996</v>
      </c>
      <c r="E18" s="2">
        <f>_xll.BDP(A18,"CHG_PCT_1D")</f>
        <v>0.26485419999999998</v>
      </c>
      <c r="F18" s="2">
        <f>_xll.BDP(A18,"HIGH_52WEEK")</f>
        <v>834.29</v>
      </c>
      <c r="G18" s="2">
        <f>LN(F18/D18)*100</f>
        <v>28.337233100319281</v>
      </c>
      <c r="H18" s="2">
        <f>_xll.BDP(A18,"LOW_52WEEK")</f>
        <v>540.83000000000004</v>
      </c>
      <c r="I18" s="2">
        <f>LN(H18/D18)*100</f>
        <v>-15.010373617392879</v>
      </c>
      <c r="J18" s="2">
        <f>_xll.BDP(A18,"CHG_PCT_5D")</f>
        <v>-3.181476</v>
      </c>
      <c r="K18" s="2">
        <f>_xll.BDP(A18,"CHG_PCT_1M")</f>
        <v>6.816014</v>
      </c>
      <c r="L18" s="2">
        <f>_xll.BDP(A18,"CHG_PCT_3M")</f>
        <v>-9.9955649999999991</v>
      </c>
      <c r="M18" s="2">
        <f>_xll.BDP(A18,"CHG_PCT_6M")</f>
        <v>-13.7319</v>
      </c>
      <c r="N18" s="2">
        <f>_xll.BDP(A18,"PR064")</f>
        <v>-9.9955649999999991</v>
      </c>
      <c r="O18" s="2">
        <f>_xll.BDP(A18,"CHG_PCT_1YR")</f>
        <v>-24.56033</v>
      </c>
      <c r="P18" s="2">
        <f>_xll.BDP(A18,"INTERVAL_HIGH", "MARKET_DATA_OVERRIDE=PE_RATIO", "CALC_INTERVAL=5y", "BEST_FPERIOD_OVERRIDE=BF")</f>
        <v>179.7911197052828</v>
      </c>
      <c r="Q18" s="2">
        <f>_xll.BDP(A18,"INTERVAL_Low", "MARKET_DATA_OVERRIDE=PE_RATIO", "CALC_INTERVAL=5y", "BEST_FPERIOD_OVERRIDE=BF")</f>
        <v>7.3313242960340936</v>
      </c>
      <c r="R18" s="2">
        <f>_xll.BDP(A18,"PE_RATIO")</f>
        <v>78.343391694643032</v>
      </c>
      <c r="S18" s="3">
        <f>IF(ISERROR((R18-Q18)/(P18-Q18)),"",(R18-Q18)/(P18-Q18))</f>
        <v>0.41176012780310123</v>
      </c>
    </row>
    <row r="19" spans="1:19" x14ac:dyDescent="0.25">
      <c r="A19" t="s">
        <v>111</v>
      </c>
      <c r="B19" t="str">
        <f>_xll.BDP(A19,"DS697")</f>
        <v>法蘭克福科技股表現指數</v>
      </c>
      <c r="C19" t="str">
        <f>_xll.BDP(A19,"DS003")</f>
        <v>GE</v>
      </c>
      <c r="D19" s="2">
        <f>_xll.BDP(A19,"PX_LAST")</f>
        <v>3295.78</v>
      </c>
      <c r="E19" s="2">
        <f>_xll.BDP(A19,"CHG_PCT_1D")</f>
        <v>0.28267239999999999</v>
      </c>
      <c r="F19" s="2">
        <f>_xll.BDP(A19,"HIGH_52WEEK")</f>
        <v>3487.08</v>
      </c>
      <c r="G19" s="2">
        <f>LN(F19/D19)*100</f>
        <v>5.6421847540978085</v>
      </c>
      <c r="H19" s="2">
        <f>_xll.BDP(A19,"LOW_52WEEK")</f>
        <v>2727.92</v>
      </c>
      <c r="I19" s="2">
        <f>LN(H19/D19)*100</f>
        <v>-18.910344820867351</v>
      </c>
      <c r="J19" s="2">
        <f>_xll.BDP(A19,"CHG_PCT_5D")</f>
        <v>-3.1294</v>
      </c>
      <c r="K19" s="2">
        <f>_xll.BDP(A19,"CHG_PCT_1M")</f>
        <v>1.7589779999999999</v>
      </c>
      <c r="L19" s="2">
        <f>_xll.BDP(A19,"CHG_PCT_3M")</f>
        <v>-0.73788960000000003</v>
      </c>
      <c r="M19" s="2">
        <f>_xll.BDP(A19,"CHG_PCT_6M")</f>
        <v>3.4109690000000001</v>
      </c>
      <c r="N19" s="2">
        <f>_xll.BDP(A19,"PR064")</f>
        <v>-0.73788960000000003</v>
      </c>
      <c r="O19" s="2">
        <f>_xll.BDP(A19,"CHG_PCT_1YR")</f>
        <v>0.54209770000000002</v>
      </c>
      <c r="P19" s="2">
        <f>_xll.BDP(A19,"INTERVAL_HIGH", "MARKET_DATA_OVERRIDE=PE_RATIO", "CALC_INTERVAL=5y", "BEST_FPERIOD_OVERRIDE=BF")</f>
        <v>1738.5696777241008</v>
      </c>
      <c r="Q19" s="2">
        <f>_xll.BDP(A19,"INTERVAL_Low", "MARKET_DATA_OVERRIDE=PE_RATIO", "CALC_INTERVAL=5y", "BEST_FPERIOD_OVERRIDE=BF")</f>
        <v>31.032425164024872</v>
      </c>
      <c r="R19" s="2">
        <f>_xll.BDP(A19,"PE_RATIO")</f>
        <v>53.50394553416556</v>
      </c>
      <c r="S19" s="3">
        <f>IF(ISERROR((R19-Q19)/(P19-Q19)),"",(R19-Q19)/(P19-Q19))</f>
        <v>1.316019333484502E-2</v>
      </c>
    </row>
    <row r="20" spans="1:19" x14ac:dyDescent="0.25">
      <c r="A20" t="s">
        <v>293</v>
      </c>
      <c r="B20" t="str">
        <f>_xll.BDP(A20,"DS697")</f>
        <v>Shenzhen 100 Index</v>
      </c>
      <c r="C20" t="str">
        <f>_xll.BDP(A20,"DS003")</f>
        <v>CH</v>
      </c>
      <c r="D20" s="2">
        <f>_xll.BDP(A20,"PX_LAST")</f>
        <v>4180.6769999999997</v>
      </c>
      <c r="E20" s="2">
        <f>_xll.BDP(A20,"CHG_PCT_1D")</f>
        <v>-1.604806</v>
      </c>
      <c r="F20" s="2">
        <f>_xll.BDP(A20,"HIGH_52WEEK")</f>
        <v>4466.4609375</v>
      </c>
      <c r="G20" s="2">
        <f>LN(F20/D20)*100</f>
        <v>6.6123163314592528</v>
      </c>
      <c r="H20" s="2">
        <f>_xll.BDP(A20,"LOW_52WEEK")</f>
        <v>2902.3220000000001</v>
      </c>
      <c r="I20" s="2">
        <f>LN(H20/D20)*100</f>
        <v>-36.49620888781245</v>
      </c>
      <c r="J20" s="2">
        <f>_xll.BDP(A20,"CHG_PCT_5D")</f>
        <v>-3.0132129999999999</v>
      </c>
      <c r="K20" s="2">
        <f>_xll.BDP(A20,"CHG_PCT_1M")</f>
        <v>0.44498569999999998</v>
      </c>
      <c r="L20" s="2">
        <f>_xll.BDP(A20,"CHG_PCT_3M")</f>
        <v>4.1306180000000001</v>
      </c>
      <c r="M20" s="2">
        <f>_xll.BDP(A20,"CHG_PCT_6M")</f>
        <v>3.9173390000000001</v>
      </c>
      <c r="N20" s="2">
        <f>_xll.BDP(A20,"PR064")</f>
        <v>4.1306180000000001</v>
      </c>
      <c r="O20" s="2">
        <f>_xll.BDP(A20,"CHG_PCT_1YR")</f>
        <v>19.745699999999999</v>
      </c>
      <c r="P20" s="2">
        <f>_xll.BDP(A20,"INTERVAL_HIGH", "MARKET_DATA_OVERRIDE=PE_RATIO", "CALC_INTERVAL=5y", "BEST_FPERIOD_OVERRIDE=BF")</f>
        <v>35.115021495038818</v>
      </c>
      <c r="Q20" s="2">
        <f>_xll.BDP(A20,"INTERVAL_Low", "MARKET_DATA_OVERRIDE=PE_RATIO", "CALC_INTERVAL=5y", "BEST_FPERIOD_OVERRIDE=BF")</f>
        <v>15.001031825549374</v>
      </c>
      <c r="R20" s="2">
        <f>_xll.BDP(A20,"PE_RATIO")</f>
        <v>21.032603169187887</v>
      </c>
      <c r="S20" s="3">
        <f>IF(ISERROR((R20-Q20)/(P20-Q20)),"",(R20-Q20)/(P20-Q20))</f>
        <v>0.29986946611530269</v>
      </c>
    </row>
    <row r="21" spans="1:19" x14ac:dyDescent="0.25">
      <c r="A21" t="s">
        <v>172</v>
      </c>
      <c r="B21" t="str">
        <f>_xll.BDP(A21,"DS697")</f>
        <v>Warsaw Stock Exchange mWIG40</v>
      </c>
      <c r="C21" t="str">
        <f>_xll.BDP(A21,"DS003")</f>
        <v>PD</v>
      </c>
      <c r="D21" s="2">
        <f>_xll.BDP(A21,"PX_LAST")</f>
        <v>3720.27</v>
      </c>
      <c r="E21" s="2">
        <f>_xll.BDP(A21,"CHG_PCT_1D")</f>
        <v>0.38153009999999998</v>
      </c>
      <c r="F21" s="2">
        <f>_xll.BDP(A21,"HIGH_52WEEK")</f>
        <v>4299.3100000000004</v>
      </c>
      <c r="G21" s="2">
        <f>LN(F21/D21)*100</f>
        <v>14.465829841096472</v>
      </c>
      <c r="H21" s="2">
        <f>_xll.BDP(A21,"LOW_52WEEK")</f>
        <v>3640.17</v>
      </c>
      <c r="I21" s="2">
        <f>LN(H21/D21)*100</f>
        <v>-2.1765862441581305</v>
      </c>
      <c r="J21" s="2">
        <f>_xll.BDP(A21,"CHG_PCT_5D")</f>
        <v>-2.709549</v>
      </c>
      <c r="K21" s="2">
        <f>_xll.BDP(A21,"CHG_PCT_1M")</f>
        <v>-0.70780639999999995</v>
      </c>
      <c r="L21" s="2">
        <f>_xll.BDP(A21,"CHG_PCT_3M")</f>
        <v>-9.2169790000000003</v>
      </c>
      <c r="M21" s="2">
        <f>_xll.BDP(A21,"CHG_PCT_6M")</f>
        <v>-11.26877</v>
      </c>
      <c r="N21" s="2">
        <f>_xll.BDP(A21,"PR064")</f>
        <v>-9.2169790000000003</v>
      </c>
      <c r="O21" s="2">
        <f>_xll.BDP(A21,"CHG_PCT_1YR")</f>
        <v>-11.179790000000001</v>
      </c>
      <c r="P21" s="2">
        <f>_xll.BDP(A21,"INTERVAL_HIGH", "MARKET_DATA_OVERRIDE=PE_RATIO", "CALC_INTERVAL=5y", "BEST_FPERIOD_OVERRIDE=BF")</f>
        <v>60.856805098859219</v>
      </c>
      <c r="Q21" s="2">
        <f>_xll.BDP(A21,"INTERVAL_Low", "MARKET_DATA_OVERRIDE=PE_RATIO", "CALC_INTERVAL=5y", "BEST_FPERIOD_OVERRIDE=BF")</f>
        <v>12.342325176466705</v>
      </c>
      <c r="R21" s="2">
        <f>_xll.BDP(A21,"PE_RATIO")</f>
        <v>13.093419420212953</v>
      </c>
      <c r="S21" s="3">
        <f>IF(ISERROR((R21-Q21)/(P21-Q21)),"",(R21-Q21)/(P21-Q21))</f>
        <v>1.5481857065102135E-2</v>
      </c>
    </row>
    <row r="22" spans="1:19" x14ac:dyDescent="0.25">
      <c r="A22" t="s">
        <v>109</v>
      </c>
      <c r="B22" t="str">
        <f>_xll.BDP(A22,"DS697")</f>
        <v>德國法蘭克福TECDAX表現指數</v>
      </c>
      <c r="C22" t="str">
        <f>_xll.BDP(A22,"DS003")</f>
        <v>GE</v>
      </c>
      <c r="D22" s="2">
        <f>_xll.BDP(A22,"PX_LAST")</f>
        <v>2815.63</v>
      </c>
      <c r="E22" s="2">
        <f>_xll.BDP(A22,"CHG_PCT_1D")</f>
        <v>0.77091290000000001</v>
      </c>
      <c r="F22" s="2">
        <f>_xll.BDP(A22,"HIGH_52WEEK")</f>
        <v>2971.04</v>
      </c>
      <c r="G22" s="2">
        <f>LN(F22/D22)*100</f>
        <v>5.3726022252497847</v>
      </c>
      <c r="H22" s="2">
        <f>_xll.BDP(A22,"LOW_52WEEK")</f>
        <v>2375.59</v>
      </c>
      <c r="I22" s="2">
        <f>LN(H22/D22)*100</f>
        <v>-16.994020992981472</v>
      </c>
      <c r="J22" s="2">
        <f>_xll.BDP(A22,"CHG_PCT_5D")</f>
        <v>-2.706671</v>
      </c>
      <c r="K22" s="2">
        <f>_xll.BDP(A22,"CHG_PCT_1M")</f>
        <v>2.543898</v>
      </c>
      <c r="L22" s="2">
        <f>_xll.BDP(A22,"CHG_PCT_3M")</f>
        <v>-0.7305239</v>
      </c>
      <c r="M22" s="2">
        <f>_xll.BDP(A22,"CHG_PCT_6M")</f>
        <v>4.7816640000000001</v>
      </c>
      <c r="N22" s="2">
        <f>_xll.BDP(A22,"PR064")</f>
        <v>-0.7305239</v>
      </c>
      <c r="O22" s="2">
        <f>_xll.BDP(A22,"CHG_PCT_1YR")</f>
        <v>-0.60962340000000004</v>
      </c>
      <c r="P22" s="2">
        <f>_xll.BDP(A22,"INTERVAL_HIGH", "MARKET_DATA_OVERRIDE=PE_RATIO", "CALC_INTERVAL=5y", "BEST_FPERIOD_OVERRIDE=BF")</f>
        <v>51.058563954047258</v>
      </c>
      <c r="Q22" s="2">
        <f>_xll.BDP(A22,"INTERVAL_Low", "MARKET_DATA_OVERRIDE=PE_RATIO", "CALC_INTERVAL=5y", "BEST_FPERIOD_OVERRIDE=BF")</f>
        <v>26.405020094841976</v>
      </c>
      <c r="R22" s="2">
        <f>_xll.BDP(A22,"PE_RATIO")</f>
        <v>30.146850444144714</v>
      </c>
      <c r="S22" s="3">
        <f>IF(ISERROR((R22-Q22)/(P22-Q22)),"",(R22-Q22)/(P22-Q22))</f>
        <v>0.15177657097381528</v>
      </c>
    </row>
    <row r="23" spans="1:19" x14ac:dyDescent="0.25">
      <c r="A23" t="s">
        <v>136</v>
      </c>
      <c r="B23" t="str">
        <f>_xll.BDP(A23,"DS697")</f>
        <v>葡萄牙 PSI20指數</v>
      </c>
      <c r="C23" t="str">
        <f>_xll.BDP(A23,"DS003")</f>
        <v>PO</v>
      </c>
      <c r="D23" s="2">
        <f>_xll.BDP(A23,"PX_LAST")</f>
        <v>4906.45</v>
      </c>
      <c r="E23" s="2">
        <f>_xll.BDP(A23,"CHG_PCT_1D")</f>
        <v>0.63604519999999998</v>
      </c>
      <c r="F23" s="2">
        <f>_xll.BDP(A23,"HIGH_52WEEK")</f>
        <v>5429.32</v>
      </c>
      <c r="G23" s="2">
        <f>LN(F23/D23)*100</f>
        <v>10.126322985236031</v>
      </c>
      <c r="H23" s="2">
        <f>_xll.BDP(A23,"LOW_52WEEK")</f>
        <v>4551.83984375</v>
      </c>
      <c r="I23" s="2">
        <f>LN(H23/D23)*100</f>
        <v>-7.5019153554337246</v>
      </c>
      <c r="J23" s="2">
        <f>_xll.BDP(A23,"CHG_PCT_5D")</f>
        <v>-2.6482549999999998</v>
      </c>
      <c r="K23" s="2">
        <f>_xll.BDP(A23,"CHG_PCT_1M")</f>
        <v>2.0754459999999999</v>
      </c>
      <c r="L23" s="2">
        <f>_xll.BDP(A23,"CHG_PCT_3M")</f>
        <v>-3.8469410000000002</v>
      </c>
      <c r="M23" s="2">
        <f>_xll.BDP(A23,"CHG_PCT_6M")</f>
        <v>-5.0754590000000004</v>
      </c>
      <c r="N23" s="2">
        <f>_xll.BDP(A23,"PR064")</f>
        <v>-3.8469410000000002</v>
      </c>
      <c r="O23" s="2">
        <f>_xll.BDP(A23,"CHG_PCT_1YR")</f>
        <v>-9.5463500000000003</v>
      </c>
      <c r="P23" s="2">
        <f>_xll.BDP(A23,"INTERVAL_HIGH", "MARKET_DATA_OVERRIDE=PE_RATIO", "CALC_INTERVAL=5y", "BEST_FPERIOD_OVERRIDE=BF")</f>
        <v>178.02337902317771</v>
      </c>
      <c r="Q23" s="2">
        <f>_xll.BDP(A23,"INTERVAL_Low", "MARKET_DATA_OVERRIDE=PE_RATIO", "CALC_INTERVAL=5y", "BEST_FPERIOD_OVERRIDE=BF")</f>
        <v>11.992741938111015</v>
      </c>
      <c r="R23" s="2">
        <f>_xll.BDP(A23,"PE_RATIO")</f>
        <v>14.295565661105721</v>
      </c>
      <c r="S23" s="3">
        <f>IF(ISERROR((R23-Q23)/(P23-Q23)),"",(R23-Q23)/(P23-Q23))</f>
        <v>1.3869872232164246E-2</v>
      </c>
    </row>
    <row r="24" spans="1:19" x14ac:dyDescent="0.25">
      <c r="A24" t="s">
        <v>276</v>
      </c>
      <c r="B24" t="str">
        <f>_xll.BDP(A24,"DS697")</f>
        <v>恆生香港中資企業指數</v>
      </c>
      <c r="C24" t="str">
        <f>_xll.BDP(A24,"DS003")</f>
        <v>HK</v>
      </c>
      <c r="D24" s="2">
        <f>_xll.BDP(A24,"PX_LAST")</f>
        <v>4155.92</v>
      </c>
      <c r="E24" s="2">
        <f>_xll.BDP(A24,"CHG_PCT_1D")</f>
        <v>-8.1984360000000006E-2</v>
      </c>
      <c r="F24" s="2">
        <f>_xll.BDP(A24,"HIGH_52WEEK")</f>
        <v>4788.57</v>
      </c>
      <c r="G24" s="2">
        <f>LN(F24/D24)*100</f>
        <v>14.16980044556097</v>
      </c>
      <c r="H24" s="2">
        <f>_xll.BDP(A24,"LOW_52WEEK")</f>
        <v>3941.07</v>
      </c>
      <c r="I24" s="2">
        <f>LN(H24/D24)*100</f>
        <v>-5.3081563729091998</v>
      </c>
      <c r="J24" s="2">
        <f>_xll.BDP(A24,"CHG_PCT_5D")</f>
        <v>-2.5305909999999998</v>
      </c>
      <c r="K24" s="2">
        <f>_xll.BDP(A24,"CHG_PCT_1M")</f>
        <v>0.70953080000000002</v>
      </c>
      <c r="L24" s="2">
        <f>_xll.BDP(A24,"CHG_PCT_3M")</f>
        <v>-6.5940589999999997</v>
      </c>
      <c r="M24" s="2">
        <f>_xll.BDP(A24,"CHG_PCT_6M")</f>
        <v>-8.4155300000000004</v>
      </c>
      <c r="N24" s="2">
        <f>_xll.BDP(A24,"PR064")</f>
        <v>-6.5940589999999997</v>
      </c>
      <c r="O24" s="2">
        <f>_xll.BDP(A24,"CHG_PCT_1YR")</f>
        <v>-5.7276759999999998</v>
      </c>
      <c r="P24" s="2">
        <f>_xll.BDP(A24,"INTERVAL_HIGH", "MARKET_DATA_OVERRIDE=PE_RATIO", "CALC_INTERVAL=5y", "BEST_FPERIOD_OVERRIDE=BF")</f>
        <v>15.922664350263908</v>
      </c>
      <c r="Q24" s="2">
        <f>_xll.BDP(A24,"INTERVAL_Low", "MARKET_DATA_OVERRIDE=PE_RATIO", "CALC_INTERVAL=5y", "BEST_FPERIOD_OVERRIDE=BF")</f>
        <v>8.749214284603271</v>
      </c>
      <c r="R24" s="2">
        <f>_xll.BDP(A24,"PE_RATIO")</f>
        <v>9.3936833442217917</v>
      </c>
      <c r="S24" s="3">
        <f>IF(ISERROR((R24-Q24)/(P24-Q24)),"",(R24-Q24)/(P24-Q24))</f>
        <v>8.9840879035821178E-2</v>
      </c>
    </row>
    <row r="25" spans="1:19" x14ac:dyDescent="0.25">
      <c r="A25" t="s">
        <v>20</v>
      </c>
      <c r="B25" t="str">
        <f>_xll.BDP(A25,"DS697")</f>
        <v>那斯達克工業指數</v>
      </c>
      <c r="C25" t="str">
        <f>_xll.BDP(A25,"DS003")</f>
        <v>US</v>
      </c>
      <c r="D25" s="2">
        <f>_xll.BDP(A25,"PX_LAST")</f>
        <v>6380.2709999999997</v>
      </c>
      <c r="E25" s="2">
        <f>_xll.BDP(A25,"CHG_PCT_1D")</f>
        <v>-0.69462559999999995</v>
      </c>
      <c r="F25" s="2">
        <f>_xll.BDP(A25,"HIGH_52WEEK")</f>
        <v>6798.9369999999999</v>
      </c>
      <c r="G25" s="2">
        <f>LN(F25/D25)*100</f>
        <v>6.3555703489226554</v>
      </c>
      <c r="H25" s="2">
        <f>_xll.BDP(A25,"LOW_52WEEK")</f>
        <v>5039.5680000000002</v>
      </c>
      <c r="I25" s="2">
        <f>LN(H25/D25)*100</f>
        <v>-23.58902088197425</v>
      </c>
      <c r="J25" s="2">
        <f>_xll.BDP(A25,"CHG_PCT_5D")</f>
        <v>-2.5271430000000001</v>
      </c>
      <c r="K25" s="2">
        <f>_xll.BDP(A25,"CHG_PCT_1M")</f>
        <v>0.75108419999999998</v>
      </c>
      <c r="L25" s="2">
        <f>_xll.BDP(A25,"CHG_PCT_3M")</f>
        <v>-2.4152439999999999</v>
      </c>
      <c r="M25" s="2">
        <f>_xll.BDP(A25,"CHG_PCT_6M")</f>
        <v>2.8560859999999999</v>
      </c>
      <c r="N25" s="2">
        <f>_xll.BDP(A25,"PR064")</f>
        <v>-2.4152439999999999</v>
      </c>
      <c r="O25" s="2">
        <f>_xll.BDP(A25,"CHG_PCT_1YR")</f>
        <v>-1.978054</v>
      </c>
      <c r="P25" s="2">
        <f>_xll.BDP(A25,"INTERVAL_HIGH", "MARKET_DATA_OVERRIDE=PE_RATIO", "CALC_INTERVAL=5y", "BEST_FPERIOD_OVERRIDE=BF")</f>
        <v>576.94867221981133</v>
      </c>
      <c r="Q25" s="2">
        <f>_xll.BDP(A25,"INTERVAL_Low", "MARKET_DATA_OVERRIDE=PE_RATIO", "CALC_INTERVAL=5y", "BEST_FPERIOD_OVERRIDE=BF")</f>
        <v>2.0842595521344922</v>
      </c>
      <c r="R25" s="2">
        <f>_xll.BDP(A25,"PE_RATIO")</f>
        <v>32.065199133267676</v>
      </c>
      <c r="S25" s="3">
        <f>IF(ISERROR((R25-Q25)/(P25-Q25)),"",(R25-Q25)/(P25-Q25))</f>
        <v>5.2153062392583445E-2</v>
      </c>
    </row>
    <row r="26" spans="1:19" x14ac:dyDescent="0.25">
      <c r="A26" t="s">
        <v>257</v>
      </c>
      <c r="B26" t="str">
        <f>_xll.BDP(A26,"DS697")</f>
        <v>蒙古20指數</v>
      </c>
      <c r="C26" t="str">
        <f>_xll.BDP(A26,"DS003")</f>
        <v>MJ</v>
      </c>
      <c r="D26" s="2">
        <f>_xll.BDP(A26,"PX_LAST")</f>
        <v>18663.740000000002</v>
      </c>
      <c r="E26" s="2">
        <f>_xll.BDP(A26,"CHG_PCT_1D")</f>
        <v>-1.765395</v>
      </c>
      <c r="F26" s="2">
        <f>_xll.BDP(A26,"HIGH_52WEEK")</f>
        <v>27344.19921875</v>
      </c>
      <c r="G26" s="2">
        <f>LN(F26/D26)*100</f>
        <v>38.192180793378007</v>
      </c>
      <c r="H26" s="2">
        <f>_xll.BDP(A26,"LOW_52WEEK")</f>
        <v>18546.609375</v>
      </c>
      <c r="I26" s="2">
        <f>LN(H26/D26)*100</f>
        <v>-0.62956147328645928</v>
      </c>
      <c r="J26" s="2">
        <f>_xll.BDP(A26,"CHG_PCT_5D")</f>
        <v>-2.5220069999999999</v>
      </c>
      <c r="K26" s="2">
        <f>_xll.BDP(A26,"CHG_PCT_1M")</f>
        <v>-3.802988</v>
      </c>
      <c r="L26" s="2">
        <f>_xll.BDP(A26,"CHG_PCT_3M")</f>
        <v>-8.4896820000000002</v>
      </c>
      <c r="M26" s="2">
        <f>_xll.BDP(A26,"CHG_PCT_6M")</f>
        <v>-10.39842</v>
      </c>
      <c r="N26" s="2">
        <f>_xll.BDP(A26,"PR064")</f>
        <v>-8.4896820000000002</v>
      </c>
      <c r="O26" s="2">
        <f>_xll.BDP(A26,"CHG_PCT_1YR")</f>
        <v>-7.5011599999999996</v>
      </c>
      <c r="P26" s="2">
        <f>_xll.BDP(A26,"INTERVAL_HIGH", "MARKET_DATA_OVERRIDE=PE_RATIO", "CALC_INTERVAL=5y", "BEST_FPERIOD_OVERRIDE=BF")</f>
        <v>144.62196406247784</v>
      </c>
      <c r="Q26" s="2">
        <f>_xll.BDP(A26,"INTERVAL_Low", "MARKET_DATA_OVERRIDE=PE_RATIO", "CALC_INTERVAL=5y", "BEST_FPERIOD_OVERRIDE=BF")</f>
        <v>7.8428010494263365</v>
      </c>
      <c r="R26" s="2">
        <f>_xll.BDP(A26,"PE_RATIO")</f>
        <v>8.9730366861570818</v>
      </c>
      <c r="S26" s="3">
        <f>IF(ISERROR((R26-Q26)/(P26-Q26)),"",(R26-Q26)/(P26-Q26))</f>
        <v>8.2632150382649875E-3</v>
      </c>
    </row>
    <row r="27" spans="1:19" x14ac:dyDescent="0.25">
      <c r="A27" t="s">
        <v>180</v>
      </c>
      <c r="B27" t="str">
        <f>_xll.BDP(A27,"DS697")</f>
        <v>匈牙利交易指數</v>
      </c>
      <c r="C27" t="str">
        <f>_xll.BDP(A27,"DS003")</f>
        <v>HU</v>
      </c>
      <c r="D27" s="2">
        <f>_xll.BDP(A27,"PX_LAST")</f>
        <v>4539.82</v>
      </c>
      <c r="E27" s="2">
        <f>_xll.BDP(A27,"CHG_PCT_1D")</f>
        <v>-0.52304170000000005</v>
      </c>
      <c r="F27" s="2">
        <f>_xll.BDP(A27,"HIGH_52WEEK")</f>
        <v>5493.33</v>
      </c>
      <c r="G27" s="2">
        <f>LN(F27/D27)*100</f>
        <v>19.064726532673735</v>
      </c>
      <c r="H27" s="2">
        <f>_xll.BDP(A27,"LOW_52WEEK")</f>
        <v>4451.3599999999997</v>
      </c>
      <c r="I27" s="2">
        <f>LN(H27/D27)*100</f>
        <v>-1.9677696226162376</v>
      </c>
      <c r="J27" s="2">
        <f>_xll.BDP(A27,"CHG_PCT_5D")</f>
        <v>-2.4718119999999999</v>
      </c>
      <c r="K27" s="2">
        <f>_xll.BDP(A27,"CHG_PCT_1M")</f>
        <v>9.766938E-2</v>
      </c>
      <c r="L27" s="2">
        <f>_xll.BDP(A27,"CHG_PCT_3M")</f>
        <v>-8.421519</v>
      </c>
      <c r="M27" s="2">
        <f>_xll.BDP(A27,"CHG_PCT_6M")</f>
        <v>-13.00544</v>
      </c>
      <c r="N27" s="2">
        <f>_xll.BDP(A27,"PR064")</f>
        <v>-8.421519</v>
      </c>
      <c r="O27" s="2">
        <f>_xll.BDP(A27,"CHG_PCT_1YR")</f>
        <v>-6.6754379999999998</v>
      </c>
      <c r="P27" s="2">
        <f>_xll.BDP(A27,"INTERVAL_HIGH", "MARKET_DATA_OVERRIDE=PE_RATIO", "CALC_INTERVAL=5y", "BEST_FPERIOD_OVERRIDE=BF")</f>
        <v>22407.499069679201</v>
      </c>
      <c r="Q27" s="2">
        <f>_xll.BDP(A27,"INTERVAL_Low", "MARKET_DATA_OVERRIDE=PE_RATIO", "CALC_INTERVAL=5y", "BEST_FPERIOD_OVERRIDE=BF")</f>
        <v>9.4539356321995456</v>
      </c>
      <c r="R27" s="2">
        <f>_xll.BDP(A27,"PE_RATIO")</f>
        <v>9.7464215691512557</v>
      </c>
      <c r="S27" s="3">
        <f>IF(ISERROR((R27-Q27)/(P27-Q27)),"",(R27-Q27)/(P27-Q27))</f>
        <v>1.3058547529538892E-5</v>
      </c>
    </row>
    <row r="28" spans="1:19" x14ac:dyDescent="0.25">
      <c r="A28" t="s">
        <v>209</v>
      </c>
      <c r="B28" t="str">
        <f>_xll.BDP(A28,"DS697")</f>
        <v>富時JSE納米比亞綜合指數</v>
      </c>
      <c r="C28" t="str">
        <f>_xll.BDP(A28,"DS003")</f>
        <v>NA</v>
      </c>
      <c r="D28" s="2">
        <f>_xll.BDP(A28,"PX_LAST")</f>
        <v>1258.78</v>
      </c>
      <c r="E28" s="2">
        <f>_xll.BDP(A28,"CHG_PCT_1D")</f>
        <v>1.4376199999999999</v>
      </c>
      <c r="F28" s="2">
        <f>_xll.BDP(A28,"HIGH_52WEEK")</f>
        <v>1410.31</v>
      </c>
      <c r="G28" s="2">
        <f>LN(F28/D28)*100</f>
        <v>11.366654044638787</v>
      </c>
      <c r="H28" s="2">
        <f>_xll.BDP(A28,"LOW_52WEEK")</f>
        <v>1160.49</v>
      </c>
      <c r="I28" s="2">
        <f>LN(H28/D28)*100</f>
        <v>-8.1300668214668015</v>
      </c>
      <c r="J28" s="2">
        <f>_xll.BDP(A28,"CHG_PCT_5D")</f>
        <v>-2.4246979999999998</v>
      </c>
      <c r="K28" s="2">
        <f>_xll.BDP(A28,"CHG_PCT_1M")</f>
        <v>7.9784179999999996</v>
      </c>
      <c r="L28" s="2">
        <f>_xll.BDP(A28,"CHG_PCT_3M")</f>
        <v>-8.5029339999999998</v>
      </c>
      <c r="M28" s="2">
        <f>_xll.BDP(A28,"CHG_PCT_6M")</f>
        <v>-3.8467989999999999</v>
      </c>
      <c r="N28" s="2">
        <f>_xll.BDP(A28,"PR064")</f>
        <v>-8.5029339999999998</v>
      </c>
      <c r="O28" s="2">
        <f>_xll.BDP(A28,"CHG_PCT_1YR")</f>
        <v>-4.2323170000000001</v>
      </c>
      <c r="P28" s="2">
        <f>_xll.BDP(A28,"INTERVAL_HIGH", "MARKET_DATA_OVERRIDE=PE_RATIO", "CALC_INTERVAL=5y", "BEST_FPERIOD_OVERRIDE=BF")</f>
        <v>74.598773117321585</v>
      </c>
      <c r="Q28" s="2">
        <f>_xll.BDP(A28,"INTERVAL_Low", "MARKET_DATA_OVERRIDE=PE_RATIO", "CALC_INTERVAL=5y", "BEST_FPERIOD_OVERRIDE=BF")</f>
        <v>8.3139225391248832</v>
      </c>
      <c r="R28" s="2">
        <f>_xll.BDP(A28,"PE_RATIO")</f>
        <v>8.8894797301239681</v>
      </c>
      <c r="S28" s="3">
        <f>IF(ISERROR((R28-Q28)/(P28-Q28)),"",(R28-Q28)/(P28-Q28))</f>
        <v>8.6830880054575375E-3</v>
      </c>
    </row>
    <row r="29" spans="1:19" x14ac:dyDescent="0.25">
      <c r="A29" t="s">
        <v>162</v>
      </c>
      <c r="B29" t="str">
        <f>_xll.BDP(A29,"DS697")</f>
        <v>道瓊瑞典 Titans 30 指數</v>
      </c>
      <c r="C29" t="str">
        <f>_xll.BDP(A29,"DS003")</f>
        <v>SW</v>
      </c>
      <c r="D29" s="2">
        <f>_xll.BDP(A29,"PX_LAST")</f>
        <v>1256.56</v>
      </c>
      <c r="E29" s="2">
        <f>_xll.BDP(A29,"CHG_PCT_1D")</f>
        <v>0.65202420000000005</v>
      </c>
      <c r="F29" s="2">
        <f>_xll.BDP(A29,"HIGH_52WEEK")</f>
        <v>1317.58</v>
      </c>
      <c r="G29" s="2">
        <f>LN(F29/D29)*100</f>
        <v>4.7418892099909922</v>
      </c>
      <c r="H29" s="2">
        <f>_xll.BDP(A29,"LOW_52WEEK")</f>
        <v>1046.3900000000001</v>
      </c>
      <c r="I29" s="2">
        <f>LN(H29/D29)*100</f>
        <v>-18.303168345243037</v>
      </c>
      <c r="J29" s="2">
        <f>_xll.BDP(A29,"CHG_PCT_5D")</f>
        <v>-2.3765700000000001</v>
      </c>
      <c r="K29" s="2">
        <f>_xll.BDP(A29,"CHG_PCT_1M")</f>
        <v>6.336741</v>
      </c>
      <c r="L29" s="2">
        <f>_xll.BDP(A29,"CHG_PCT_3M")</f>
        <v>8.4433179999999997E-2</v>
      </c>
      <c r="M29" s="2">
        <f>_xll.BDP(A29,"CHG_PCT_6M")</f>
        <v>4.292694</v>
      </c>
      <c r="N29" s="2">
        <f>_xll.BDP(A29,"PR064")</f>
        <v>8.4433179999999997E-2</v>
      </c>
      <c r="O29" s="2">
        <f>_xll.BDP(A29,"CHG_PCT_1YR")</f>
        <v>-1.9339059999999999</v>
      </c>
      <c r="P29" s="2">
        <f>_xll.BDP(A29,"INTERVAL_HIGH", "MARKET_DATA_OVERRIDE=PE_RATIO", "CALC_INTERVAL=5y", "BEST_FPERIOD_OVERRIDE=BF")</f>
        <v>23.022336551552222</v>
      </c>
      <c r="Q29" s="2">
        <f>_xll.BDP(A29,"INTERVAL_Low", "MARKET_DATA_OVERRIDE=PE_RATIO", "CALC_INTERVAL=5y", "BEST_FPERIOD_OVERRIDE=BF")</f>
        <v>2.3547444516866487</v>
      </c>
      <c r="R29" s="2">
        <f>_xll.BDP(A29,"PE_RATIO")</f>
        <v>16.629577345301122</v>
      </c>
      <c r="S29" s="3">
        <f>IF(ISERROR((R29-Q29)/(P29-Q29)),"",(R29-Q29)/(P29-Q29))</f>
        <v>0.6906867923771014</v>
      </c>
    </row>
    <row r="30" spans="1:19" x14ac:dyDescent="0.25">
      <c r="A30" t="s">
        <v>281</v>
      </c>
      <c r="B30" t="str">
        <f>_xll.BDP(A30,"DS697")</f>
        <v>上海證券交易所A股指數</v>
      </c>
      <c r="C30" t="str">
        <f>_xll.BDP(A30,"DS003")</f>
        <v>CH</v>
      </c>
      <c r="D30" s="2">
        <f>_xll.BDP(A30,"PX_LAST")</f>
        <v>3068.4949999999999</v>
      </c>
      <c r="E30" s="2">
        <f>_xll.BDP(A30,"CHG_PCT_1D")</f>
        <v>-0.89090130000000001</v>
      </c>
      <c r="F30" s="2">
        <f>_xll.BDP(A30,"HIGH_52WEEK")</f>
        <v>3444.4430000000002</v>
      </c>
      <c r="G30" s="2">
        <f>LN(F30/D30)*100</f>
        <v>11.557499440896169</v>
      </c>
      <c r="H30" s="2">
        <f>_xll.BDP(A30,"LOW_52WEEK")</f>
        <v>2555.8389999999999</v>
      </c>
      <c r="I30" s="2">
        <f>LN(H30/D30)*100</f>
        <v>-18.280666789902682</v>
      </c>
      <c r="J30" s="2">
        <f>_xll.BDP(A30,"CHG_PCT_5D")</f>
        <v>-2.3432879999999998</v>
      </c>
      <c r="K30" s="2">
        <f>_xll.BDP(A30,"CHG_PCT_1M")</f>
        <v>0.92329329999999998</v>
      </c>
      <c r="L30" s="2">
        <f>_xll.BDP(A30,"CHG_PCT_3M")</f>
        <v>-2.2398660000000001</v>
      </c>
      <c r="M30" s="2">
        <f>_xll.BDP(A30,"CHG_PCT_6M")</f>
        <v>-3.0761099999999999</v>
      </c>
      <c r="N30" s="2">
        <f>_xll.BDP(A30,"PR064")</f>
        <v>-2.2398660000000001</v>
      </c>
      <c r="O30" s="2">
        <f>_xll.BDP(A30,"CHG_PCT_1YR")</f>
        <v>4.9512450000000001</v>
      </c>
      <c r="P30" s="2">
        <f>_xll.BDP(A30,"INTERVAL_HIGH", "MARKET_DATA_OVERRIDE=PE_RATIO", "CALC_INTERVAL=5y", "BEST_FPERIOD_OVERRIDE=BF")</f>
        <v>25.300264523359978</v>
      </c>
      <c r="Q30" s="2">
        <f>_xll.BDP(A30,"INTERVAL_Low", "MARKET_DATA_OVERRIDE=PE_RATIO", "CALC_INTERVAL=5y", "BEST_FPERIOD_OVERRIDE=BF")</f>
        <v>10.735728182311069</v>
      </c>
      <c r="R30" s="2">
        <f>_xll.BDP(A30,"PE_RATIO")</f>
        <v>14.233918298307685</v>
      </c>
      <c r="S30" s="3">
        <f>IF(ISERROR((R30-Q30)/(P30-Q30)),"",(R30-Q30)/(P30-Q30))</f>
        <v>0.24018547752442104</v>
      </c>
    </row>
    <row r="31" spans="1:19" x14ac:dyDescent="0.25">
      <c r="A31" t="s">
        <v>287</v>
      </c>
      <c r="B31" t="str">
        <f>_xll.BDP(A31,"DS697")</f>
        <v>新上海證交所綜合指數</v>
      </c>
      <c r="C31" t="str">
        <f>_xll.BDP(A31,"DS003")</f>
        <v>CH</v>
      </c>
      <c r="D31" s="2">
        <f>_xll.BDP(A31,"PX_LAST")</f>
        <v>2474.136</v>
      </c>
      <c r="E31" s="2">
        <f>_xll.BDP(A31,"CHG_PCT_1D")</f>
        <v>-0.89093109999999998</v>
      </c>
      <c r="F31" s="2">
        <f>_xll.BDP(A31,"HIGH_52WEEK")</f>
        <v>2777.2759999999998</v>
      </c>
      <c r="G31" s="2">
        <f>LN(F31/D31)*100</f>
        <v>11.557934704946447</v>
      </c>
      <c r="H31" s="2">
        <f>_xll.BDP(A31,"LOW_52WEEK")</f>
        <v>2060.759</v>
      </c>
      <c r="I31" s="2">
        <f>LN(H31/D31)*100</f>
        <v>-18.281688262149682</v>
      </c>
      <c r="J31" s="2">
        <f>_xll.BDP(A31,"CHG_PCT_5D")</f>
        <v>-2.3430200000000001</v>
      </c>
      <c r="K31" s="2">
        <f>_xll.BDP(A31,"CHG_PCT_1M")</f>
        <v>0.92315139999999996</v>
      </c>
      <c r="L31" s="2">
        <f>_xll.BDP(A31,"CHG_PCT_3M")</f>
        <v>-2.2396759999999998</v>
      </c>
      <c r="M31" s="2">
        <f>_xll.BDP(A31,"CHG_PCT_6M")</f>
        <v>-3.0764670000000001</v>
      </c>
      <c r="N31" s="2">
        <f>_xll.BDP(A31,"PR064")</f>
        <v>-2.2396759999999998</v>
      </c>
      <c r="O31" s="2">
        <f>_xll.BDP(A31,"CHG_PCT_1YR")</f>
        <v>4.9618679999999999</v>
      </c>
      <c r="P31" s="2">
        <f>_xll.BDP(A31,"INTERVAL_HIGH", "MARKET_DATA_OVERRIDE=PE_RATIO", "CALC_INTERVAL=5y", "BEST_FPERIOD_OVERRIDE=BF")</f>
        <v>25.682325874614889</v>
      </c>
      <c r="Q31" s="2">
        <f>_xll.BDP(A31,"INTERVAL_Low", "MARKET_DATA_OVERRIDE=PE_RATIO", "CALC_INTERVAL=5y", "BEST_FPERIOD_OVERRIDE=BF")</f>
        <v>10.70509543154361</v>
      </c>
      <c r="R31" s="2">
        <f>_xll.BDP(A31,"PE_RATIO")</f>
        <v>12.921433759936905</v>
      </c>
      <c r="S31" s="3">
        <f>IF(ISERROR((R31-Q31)/(P31-Q31)),"",(R31-Q31)/(P31-Q31))</f>
        <v>0.14798051861575054</v>
      </c>
    </row>
    <row r="32" spans="1:19" x14ac:dyDescent="0.25">
      <c r="A32" t="s">
        <v>237</v>
      </c>
      <c r="B32" t="str">
        <f>_xll.BDP(A32,"DS697")</f>
        <v>上海證券交易所綜合指數</v>
      </c>
      <c r="C32" t="str">
        <f>_xll.BDP(A32,"DS003")</f>
        <v>CH</v>
      </c>
      <c r="D32" s="2">
        <f>_xll.BDP(A32,"PX_LAST")</f>
        <v>2929.087</v>
      </c>
      <c r="E32" s="2">
        <f>_xll.BDP(A32,"CHG_PCT_1D")</f>
        <v>-0.89144299999999999</v>
      </c>
      <c r="F32" s="2">
        <f>_xll.BDP(A32,"HIGH_52WEEK")</f>
        <v>3288.453</v>
      </c>
      <c r="G32" s="2">
        <f>LN(F32/D32)*100</f>
        <v>11.572647105186446</v>
      </c>
      <c r="H32" s="2">
        <f>_xll.BDP(A32,"LOW_52WEEK")</f>
        <v>2440.9059999999999</v>
      </c>
      <c r="I32" s="2">
        <f>LN(H32/D32)*100</f>
        <v>-18.232148851329473</v>
      </c>
      <c r="J32" s="2">
        <f>_xll.BDP(A32,"CHG_PCT_5D")</f>
        <v>-2.34029</v>
      </c>
      <c r="K32" s="2">
        <f>_xll.BDP(A32,"CHG_PCT_1M")</f>
        <v>0.92667160000000004</v>
      </c>
      <c r="L32" s="2">
        <f>_xll.BDP(A32,"CHG_PCT_3M")</f>
        <v>-2.259252</v>
      </c>
      <c r="M32" s="2">
        <f>_xll.BDP(A32,"CHG_PCT_6M")</f>
        <v>-3.0976110000000001</v>
      </c>
      <c r="N32" s="2">
        <f>_xll.BDP(A32,"PR064")</f>
        <v>-2.259252</v>
      </c>
      <c r="O32" s="2">
        <f>_xll.BDP(A32,"CHG_PCT_1YR")</f>
        <v>4.9184479999999997</v>
      </c>
      <c r="P32" s="2">
        <f>_xll.BDP(A32,"INTERVAL_HIGH", "MARKET_DATA_OVERRIDE=PE_RATIO", "CALC_INTERVAL=5y", "BEST_FPERIOD_OVERRIDE=BF")</f>
        <v>24.917093940627446</v>
      </c>
      <c r="Q32" s="2">
        <f>_xll.BDP(A32,"INTERVAL_Low", "MARKET_DATA_OVERRIDE=PE_RATIO", "CALC_INTERVAL=5y", "BEST_FPERIOD_OVERRIDE=BF")</f>
        <v>10.470142014793455</v>
      </c>
      <c r="R32" s="2">
        <f>_xll.BDP(A32,"PE_RATIO")</f>
        <v>14.220972807608177</v>
      </c>
      <c r="S32" s="3">
        <f>IF(ISERROR((R32-Q32)/(P32-Q32)),"",(R32-Q32)/(P32-Q32))</f>
        <v>0.25962783098263792</v>
      </c>
    </row>
    <row r="33" spans="1:19" x14ac:dyDescent="0.25">
      <c r="A33" t="s">
        <v>253</v>
      </c>
      <c r="B33" t="str">
        <f>_xll.BDP(A33,"DS697")</f>
        <v>喀拉蚩100指數</v>
      </c>
      <c r="C33" t="str">
        <f>_xll.BDP(A33,"DS003")</f>
        <v>PK</v>
      </c>
      <c r="D33" s="2">
        <f>_xll.BDP(A33,"PX_LAST")</f>
        <v>31433.89</v>
      </c>
      <c r="E33" s="2">
        <f>_xll.BDP(A33,"CHG_PCT_1D")</f>
        <v>-0.4160276</v>
      </c>
      <c r="F33" s="2">
        <f>_xll.BDP(A33,"HIGH_52WEEK")</f>
        <v>42243.828125</v>
      </c>
      <c r="G33" s="2">
        <f>LN(F33/D33)*100</f>
        <v>29.557165299836512</v>
      </c>
      <c r="H33" s="2">
        <f>_xll.BDP(A33,"LOW_52WEEK")</f>
        <v>28670.98046875</v>
      </c>
      <c r="I33" s="2">
        <f>LN(H33/D33)*100</f>
        <v>-9.2001132520234847</v>
      </c>
      <c r="J33" s="2">
        <f>_xll.BDP(A33,"CHG_PCT_5D")</f>
        <v>-2.330781</v>
      </c>
      <c r="K33" s="2">
        <f>_xll.BDP(A33,"CHG_PCT_1M")</f>
        <v>2.7760180000000001</v>
      </c>
      <c r="L33" s="2">
        <f>_xll.BDP(A33,"CHG_PCT_3M")</f>
        <v>-6.9298929999999999</v>
      </c>
      <c r="M33" s="2">
        <f>_xll.BDP(A33,"CHG_PCT_6M")</f>
        <v>-19.327909999999999</v>
      </c>
      <c r="N33" s="2">
        <f>_xll.BDP(A33,"PR064")</f>
        <v>-6.9298929999999999</v>
      </c>
      <c r="O33" s="2">
        <f>_xll.BDP(A33,"CHG_PCT_1YR")</f>
        <v>-23.053840000000001</v>
      </c>
      <c r="P33" s="2">
        <f>_xll.BDP(A33,"INTERVAL_HIGH", "MARKET_DATA_OVERRIDE=PE_RATIO", "CALC_INTERVAL=5y", "BEST_FPERIOD_OVERRIDE=BF")</f>
        <v>12.351463295156593</v>
      </c>
      <c r="Q33" s="2">
        <f>_xll.BDP(A33,"INTERVAL_Low", "MARKET_DATA_OVERRIDE=PE_RATIO", "CALC_INTERVAL=5y", "BEST_FPERIOD_OVERRIDE=BF")</f>
        <v>7.0876980219374648</v>
      </c>
      <c r="R33" s="2">
        <f>_xll.BDP(A33,"PE_RATIO")</f>
        <v>7.6747383688278257</v>
      </c>
      <c r="S33" s="3">
        <f>IF(ISERROR((R33-Q33)/(P33-Q33)),"",(R33-Q33)/(P33-Q33))</f>
        <v>0.11152479573454617</v>
      </c>
    </row>
    <row r="34" spans="1:19" x14ac:dyDescent="0.25">
      <c r="A34" t="s">
        <v>163</v>
      </c>
      <c r="B34" t="str">
        <f>_xll.BDP(A34,"DS697")</f>
        <v>奧地利維也納ATX指數</v>
      </c>
      <c r="C34" t="str">
        <f>_xll.BDP(A34,"DS003")</f>
        <v>AS</v>
      </c>
      <c r="D34" s="2">
        <f>_xll.BDP(A34,"PX_LAST")</f>
        <v>2997.89</v>
      </c>
      <c r="E34" s="2">
        <f>_xll.BDP(A34,"CHG_PCT_1D")</f>
        <v>-4.3361950000000002E-3</v>
      </c>
      <c r="F34" s="2">
        <f>_xll.BDP(A34,"HIGH_52WEEK")</f>
        <v>3419.93</v>
      </c>
      <c r="G34" s="2">
        <f>LN(F34/D34)*100</f>
        <v>13.171137514893566</v>
      </c>
      <c r="H34" s="2">
        <f>_xll.BDP(A34,"LOW_52WEEK")</f>
        <v>2674.71</v>
      </c>
      <c r="I34" s="2">
        <f>LN(H34/D34)*100</f>
        <v>-11.406774462375564</v>
      </c>
      <c r="J34" s="2">
        <f>_xll.BDP(A34,"CHG_PCT_5D")</f>
        <v>-2.3170410000000001</v>
      </c>
      <c r="K34" s="2">
        <f>_xll.BDP(A34,"CHG_PCT_1M")</f>
        <v>3.5115080000000001</v>
      </c>
      <c r="L34" s="2">
        <f>_xll.BDP(A34,"CHG_PCT_3M")</f>
        <v>1.776221</v>
      </c>
      <c r="M34" s="2">
        <f>_xll.BDP(A34,"CHG_PCT_6M")</f>
        <v>-1.320605</v>
      </c>
      <c r="N34" s="2">
        <f>_xll.BDP(A34,"PR064")</f>
        <v>1.776221</v>
      </c>
      <c r="O34" s="2">
        <f>_xll.BDP(A34,"CHG_PCT_1YR")</f>
        <v>-11.173109999999999</v>
      </c>
      <c r="P34" s="2">
        <f>_xll.BDP(A34,"INTERVAL_HIGH", "MARKET_DATA_OVERRIDE=PE_RATIO", "CALC_INTERVAL=5y", "BEST_FPERIOD_OVERRIDE=BF")</f>
        <v>103.22951142447286</v>
      </c>
      <c r="Q34" s="2">
        <f>_xll.BDP(A34,"INTERVAL_Low", "MARKET_DATA_OVERRIDE=PE_RATIO", "CALC_INTERVAL=5y", "BEST_FPERIOD_OVERRIDE=BF")</f>
        <v>8.5455492131175426</v>
      </c>
      <c r="R34" s="2">
        <f>_xll.BDP(A34,"PE_RATIO")</f>
        <v>9.958429446236492</v>
      </c>
      <c r="S34" s="3">
        <f>IF(ISERROR((R34-Q34)/(P34-Q34)),"",(R34-Q34)/(P34-Q34))</f>
        <v>1.4922064942372094E-2</v>
      </c>
    </row>
    <row r="35" spans="1:19" x14ac:dyDescent="0.25">
      <c r="A35" t="s">
        <v>153</v>
      </c>
      <c r="B35" t="str">
        <f>_xll.BDP(A35,"DS697")</f>
        <v>奧斯陸綜合股票指數</v>
      </c>
      <c r="C35" t="str">
        <f>_xll.BDP(A35,"DS003")</f>
        <v>NO</v>
      </c>
      <c r="D35" s="2">
        <f>_xll.BDP(A35,"PX_LAST")</f>
        <v>982.13</v>
      </c>
      <c r="E35" s="2">
        <f>_xll.BDP(A35,"CHG_PCT_1D")</f>
        <v>6.8265649999999997E-2</v>
      </c>
      <c r="F35" s="2">
        <f>_xll.BDP(A35,"HIGH_52WEEK")</f>
        <v>1079.29</v>
      </c>
      <c r="G35" s="2">
        <f>LN(F35/D35)*100</f>
        <v>9.4335014039173348</v>
      </c>
      <c r="H35" s="2">
        <f>_xll.BDP(A35,"LOW_52WEEK")</f>
        <v>884.35</v>
      </c>
      <c r="I35" s="2">
        <f>LN(H35/D35)*100</f>
        <v>-10.487077060387845</v>
      </c>
      <c r="J35" s="2">
        <f>_xll.BDP(A35,"CHG_PCT_5D")</f>
        <v>-2.3028439999999999</v>
      </c>
      <c r="K35" s="2">
        <f>_xll.BDP(A35,"CHG_PCT_1M")</f>
        <v>5.3911930000000003</v>
      </c>
      <c r="L35" s="2">
        <f>_xll.BDP(A35,"CHG_PCT_3M")</f>
        <v>1.5425800000000001</v>
      </c>
      <c r="M35" s="2">
        <f>_xll.BDP(A35,"CHG_PCT_6M")</f>
        <v>0.13050200000000001</v>
      </c>
      <c r="N35" s="2">
        <f>_xll.BDP(A35,"PR064")</f>
        <v>1.5425800000000001</v>
      </c>
      <c r="O35" s="2">
        <f>_xll.BDP(A35,"CHG_PCT_1YR")</f>
        <v>-8.4081759999999992</v>
      </c>
      <c r="P35" s="2">
        <f>_xll.BDP(A35,"INTERVAL_HIGH", "MARKET_DATA_OVERRIDE=PE_RATIO", "CALC_INTERVAL=5y", "BEST_FPERIOD_OVERRIDE=BF")</f>
        <v>2318.5174344361321</v>
      </c>
      <c r="Q35" s="2">
        <f>_xll.BDP(A35,"INTERVAL_Low", "MARKET_DATA_OVERRIDE=PE_RATIO", "CALC_INTERVAL=5y", "BEST_FPERIOD_OVERRIDE=BF")</f>
        <v>4.8103315352401728</v>
      </c>
      <c r="R35" s="2">
        <f>_xll.BDP(A35,"PE_RATIO")</f>
        <v>17.592299161047968</v>
      </c>
      <c r="S35" s="3">
        <f>IF(ISERROR((R35-Q35)/(P35-Q35)),"",(R35-Q35)/(P35-Q35))</f>
        <v>5.5244536396944757E-3</v>
      </c>
    </row>
    <row r="36" spans="1:19" x14ac:dyDescent="0.25">
      <c r="A36" t="s">
        <v>156</v>
      </c>
      <c r="B36" t="str">
        <f>_xll.BDP(A36,"DS697")</f>
        <v>奧斯陸小型股指數</v>
      </c>
      <c r="C36" t="str">
        <f>_xll.BDP(A36,"DS003")</f>
        <v>NO</v>
      </c>
      <c r="D36" s="2">
        <f>_xll.BDP(A36,"PX_LAST")</f>
        <v>610.77</v>
      </c>
      <c r="E36" s="2">
        <f>_xll.BDP(A36,"CHG_PCT_1D")</f>
        <v>3.1117949999999998E-2</v>
      </c>
      <c r="F36" s="2">
        <f>_xll.BDP(A36,"HIGH_52WEEK")</f>
        <v>716.56</v>
      </c>
      <c r="G36" s="2">
        <f>LN(F36/D36)*100</f>
        <v>15.974152794224446</v>
      </c>
      <c r="H36" s="2">
        <f>_xll.BDP(A36,"LOW_52WEEK")</f>
        <v>557.17999999999995</v>
      </c>
      <c r="I36" s="2">
        <f>LN(H36/D36)*100</f>
        <v>-9.1832108717727756</v>
      </c>
      <c r="J36" s="2">
        <f>_xll.BDP(A36,"CHG_PCT_5D")</f>
        <v>-2.2799299999999998</v>
      </c>
      <c r="K36" s="2">
        <f>_xll.BDP(A36,"CHG_PCT_1M")</f>
        <v>4.0228210000000004</v>
      </c>
      <c r="L36" s="2">
        <f>_xll.BDP(A36,"CHG_PCT_3M")</f>
        <v>-1.7153940000000001</v>
      </c>
      <c r="M36" s="2">
        <f>_xll.BDP(A36,"CHG_PCT_6M")</f>
        <v>-0.96477349999999995</v>
      </c>
      <c r="N36" s="2">
        <f>_xll.BDP(A36,"PR064")</f>
        <v>-1.7153940000000001</v>
      </c>
      <c r="O36" s="2">
        <f>_xll.BDP(A36,"CHG_PCT_1YR")</f>
        <v>-14.196</v>
      </c>
      <c r="P36" s="2">
        <f>_xll.BDP(A36,"INTERVAL_HIGH", "MARKET_DATA_OVERRIDE=PE_RATIO", "CALC_INTERVAL=5y", "BEST_FPERIOD_OVERRIDE=BF")</f>
        <v>169.74375651792329</v>
      </c>
      <c r="Q36" s="2">
        <f>_xll.BDP(A36,"INTERVAL_Low", "MARKET_DATA_OVERRIDE=PE_RATIO", "CALC_INTERVAL=5y", "BEST_FPERIOD_OVERRIDE=BF")</f>
        <v>1.0504435297005188</v>
      </c>
      <c r="R36" s="2" t="str">
        <f>_xll.BDP(A36,"PE_RATIO")</f>
        <v>#N/A N/A</v>
      </c>
      <c r="S36" s="3" t="str">
        <f>IF(ISERROR((R36-Q36)/(P36-Q36)),"",(R36-Q36)/(P36-Q36))</f>
        <v/>
      </c>
    </row>
    <row r="37" spans="1:19" x14ac:dyDescent="0.25">
      <c r="A37" t="s">
        <v>60</v>
      </c>
      <c r="B37" t="str">
        <f>_xll.BDP(A37,"DS697")</f>
        <v>巴西電力類指數</v>
      </c>
      <c r="C37" t="str">
        <f>_xll.BDP(A37,"DS003")</f>
        <v>BZ</v>
      </c>
      <c r="D37" s="2">
        <f>_xll.BDP(A37,"PX_LAST")</f>
        <v>67479.23</v>
      </c>
      <c r="E37" s="2">
        <f>_xll.BDP(A37,"CHG_PCT_1D")</f>
        <v>0.63354520000000003</v>
      </c>
      <c r="F37" s="2">
        <f>_xll.BDP(A37,"HIGH_52WEEK")</f>
        <v>69308.8984375</v>
      </c>
      <c r="G37" s="2">
        <f>LN(F37/D37)*100</f>
        <v>2.6753455709942182</v>
      </c>
      <c r="H37" s="2">
        <f>_xll.BDP(A37,"LOW_52WEEK")</f>
        <v>38557.390625</v>
      </c>
      <c r="I37" s="2">
        <f>LN(H37/D37)*100</f>
        <v>-55.96720498851753</v>
      </c>
      <c r="J37" s="2">
        <f>_xll.BDP(A37,"CHG_PCT_5D")</f>
        <v>-2.1919659999999999</v>
      </c>
      <c r="K37" s="2">
        <f>_xll.BDP(A37,"CHG_PCT_1M")</f>
        <v>2.4090370000000001</v>
      </c>
      <c r="L37" s="2">
        <f>_xll.BDP(A37,"CHG_PCT_3M")</f>
        <v>7.0196449999999997</v>
      </c>
      <c r="M37" s="2">
        <f>_xll.BDP(A37,"CHG_PCT_6M")</f>
        <v>20.539739999999998</v>
      </c>
      <c r="N37" s="2">
        <f>_xll.BDP(A37,"PR064")</f>
        <v>7.0196449999999997</v>
      </c>
      <c r="O37" s="2">
        <f>_xll.BDP(A37,"CHG_PCT_1YR")</f>
        <v>71.692989999999995</v>
      </c>
      <c r="P37" s="2">
        <f>_xll.BDP(A37,"INTERVAL_HIGH", "MARKET_DATA_OVERRIDE=PE_RATIO", "CALC_INTERVAL=5y", "BEST_FPERIOD_OVERRIDE=BF")</f>
        <v>139.94922309320563</v>
      </c>
      <c r="Q37" s="2">
        <f>_xll.BDP(A37,"INTERVAL_Low", "MARKET_DATA_OVERRIDE=PE_RATIO", "CALC_INTERVAL=5y", "BEST_FPERIOD_OVERRIDE=BF")</f>
        <v>8.500444860396744</v>
      </c>
      <c r="R37" s="2" t="str">
        <f>_xll.BDP(A37,"PE_RATIO")</f>
        <v>#N/A N/A</v>
      </c>
      <c r="S37" s="3" t="str">
        <f>IF(ISERROR((R37-Q37)/(P37-Q37)),"",(R37-Q37)/(P37-Q37))</f>
        <v/>
      </c>
    </row>
    <row r="38" spans="1:19" x14ac:dyDescent="0.25">
      <c r="A38" t="s">
        <v>118</v>
      </c>
      <c r="B38" t="str">
        <f>_xll.BDP(A38,"DS697")</f>
        <v>法國CAC 90小型股指數</v>
      </c>
      <c r="C38" t="str">
        <f>_xll.BDP(A38,"DS003")</f>
        <v>FR</v>
      </c>
      <c r="D38" s="2">
        <f>_xll.BDP(A38,"PX_LAST")</f>
        <v>10429.75</v>
      </c>
      <c r="E38" s="2">
        <f>_xll.BDP(A38,"CHG_PCT_1D")</f>
        <v>0.15489330000000001</v>
      </c>
      <c r="F38" s="2">
        <f>_xll.BDP(A38,"HIGH_52WEEK")</f>
        <v>12539.38</v>
      </c>
      <c r="G38" s="2">
        <f>LN(F38/D38)*100</f>
        <v>18.421179279006417</v>
      </c>
      <c r="H38" s="2">
        <f>_xll.BDP(A38,"LOW_52WEEK")</f>
        <v>9379.36</v>
      </c>
      <c r="I38" s="2">
        <f>LN(H38/D38)*100</f>
        <v>-10.615076899298444</v>
      </c>
      <c r="J38" s="2">
        <f>_xll.BDP(A38,"CHG_PCT_5D")</f>
        <v>-2.16628</v>
      </c>
      <c r="K38" s="2">
        <f>_xll.BDP(A38,"CHG_PCT_1M")</f>
        <v>1.036354</v>
      </c>
      <c r="L38" s="2">
        <f>_xll.BDP(A38,"CHG_PCT_3M")</f>
        <v>-3.2779609999999999</v>
      </c>
      <c r="M38" s="2">
        <f>_xll.BDP(A38,"CHG_PCT_6M")</f>
        <v>-0.77649360000000001</v>
      </c>
      <c r="N38" s="2">
        <f>_xll.BDP(A38,"PR064")</f>
        <v>-3.2779609999999999</v>
      </c>
      <c r="O38" s="2">
        <f>_xll.BDP(A38,"CHG_PCT_1YR")</f>
        <v>-16.811299999999999</v>
      </c>
      <c r="P38" s="2">
        <f>_xll.BDP(A38,"INTERVAL_HIGH", "MARKET_DATA_OVERRIDE=PE_RATIO", "CALC_INTERVAL=5y", "BEST_FPERIOD_OVERRIDE=BF")</f>
        <v>514.70279850736108</v>
      </c>
      <c r="Q38" s="2">
        <f>_xll.BDP(A38,"INTERVAL_Low", "MARKET_DATA_OVERRIDE=PE_RATIO", "CALC_INTERVAL=5y", "BEST_FPERIOD_OVERRIDE=BF")</f>
        <v>13.021137611857018</v>
      </c>
      <c r="R38" s="2">
        <f>_xll.BDP(A38,"PE_RATIO")</f>
        <v>113.06646096388769</v>
      </c>
      <c r="S38" s="3">
        <f>IF(ISERROR((R38-Q38)/(P38-Q38)),"",(R38-Q38)/(P38-Q38))</f>
        <v>0.19941993329684268</v>
      </c>
    </row>
    <row r="39" spans="1:19" x14ac:dyDescent="0.25">
      <c r="A39" t="s">
        <v>32</v>
      </c>
      <c r="B39" t="str">
        <f>_xll.BDP(A39,"DS697")</f>
        <v>紐約證交所Amex綜合指數</v>
      </c>
      <c r="C39" t="str">
        <f>_xll.BDP(A39,"DS003")</f>
        <v>US</v>
      </c>
      <c r="D39" s="2">
        <f>_xll.BDP(A39,"PX_LAST")</f>
        <v>2506.9850000000001</v>
      </c>
      <c r="E39" s="2">
        <f>_xll.BDP(A39,"CHG_PCT_1D")</f>
        <v>-0.98189269999999995</v>
      </c>
      <c r="F39" s="2">
        <f>_xll.BDP(A39,"HIGH_52WEEK")</f>
        <v>2765.5509999999999</v>
      </c>
      <c r="G39" s="2">
        <f>LN(F39/D39)*100</f>
        <v>9.8159055882685777</v>
      </c>
      <c r="H39" s="2">
        <f>_xll.BDP(A39,"LOW_52WEEK")</f>
        <v>2192.24609375</v>
      </c>
      <c r="I39" s="2">
        <f>LN(H39/D39)*100</f>
        <v>-13.415420408074381</v>
      </c>
      <c r="J39" s="2">
        <f>_xll.BDP(A39,"CHG_PCT_5D")</f>
        <v>-2.1652650000000002</v>
      </c>
      <c r="K39" s="2">
        <f>_xll.BDP(A39,"CHG_PCT_1M")</f>
        <v>5.5687819999999997</v>
      </c>
      <c r="L39" s="2">
        <f>_xll.BDP(A39,"CHG_PCT_3M")</f>
        <v>-1.8162720000000001</v>
      </c>
      <c r="M39" s="2">
        <f>_xll.BDP(A39,"CHG_PCT_6M")</f>
        <v>-9.6988099999999994E-2</v>
      </c>
      <c r="N39" s="2">
        <f>_xll.BDP(A39,"PR064")</f>
        <v>-1.8162720000000001</v>
      </c>
      <c r="O39" s="2">
        <f>_xll.BDP(A39,"CHG_PCT_1YR")</f>
        <v>-7.8991509999999998</v>
      </c>
      <c r="P39" s="2">
        <f>_xll.BDP(A39,"INTERVAL_HIGH", "MARKET_DATA_OVERRIDE=PE_RATIO", "CALC_INTERVAL=5y", "BEST_FPERIOD_OVERRIDE=BF")</f>
        <v>555.04433258450172</v>
      </c>
      <c r="Q39" s="2">
        <f>_xll.BDP(A39,"INTERVAL_Low", "MARKET_DATA_OVERRIDE=PE_RATIO", "CALC_INTERVAL=5y", "BEST_FPERIOD_OVERRIDE=BF")</f>
        <v>20.010223243328312</v>
      </c>
      <c r="R39" s="2">
        <f>_xll.BDP(A39,"PE_RATIO")</f>
        <v>23.571851509165818</v>
      </c>
      <c r="S39" s="3">
        <f>IF(ISERROR((R39-Q39)/(P39-Q39)),"",(R39-Q39)/(P39-Q39))</f>
        <v>6.6568246839873411E-3</v>
      </c>
    </row>
    <row r="40" spans="1:19" x14ac:dyDescent="0.25">
      <c r="A40" t="s">
        <v>35</v>
      </c>
      <c r="B40" t="str">
        <f>_xll.BDP(A40,"DS697")</f>
        <v>紐約證交所Arca石油類指數</v>
      </c>
      <c r="C40" t="str">
        <f>_xll.BDP(A40,"DS003")</f>
        <v>US</v>
      </c>
      <c r="D40" s="2">
        <f>_xll.BDP(A40,"PX_LAST")</f>
        <v>1215.296</v>
      </c>
      <c r="E40" s="2">
        <f>_xll.BDP(A40,"CHG_PCT_1D")</f>
        <v>-1.12897</v>
      </c>
      <c r="F40" s="2">
        <f>_xll.BDP(A40,"HIGH_52WEEK")</f>
        <v>1603.0840000000001</v>
      </c>
      <c r="G40" s="2">
        <f>LN(F40/D40)*100</f>
        <v>27.694160548040276</v>
      </c>
      <c r="H40" s="2">
        <f>_xll.BDP(A40,"LOW_52WEEK")</f>
        <v>1078.7339999999999</v>
      </c>
      <c r="I40" s="2">
        <f>LN(H40/D40)*100</f>
        <v>-11.919953719676894</v>
      </c>
      <c r="J40" s="2">
        <f>_xll.BDP(A40,"CHG_PCT_5D")</f>
        <v>-2.157899</v>
      </c>
      <c r="K40" s="2">
        <f>_xll.BDP(A40,"CHG_PCT_1M")</f>
        <v>7.9745860000000004</v>
      </c>
      <c r="L40" s="2">
        <f>_xll.BDP(A40,"CHG_PCT_3M")</f>
        <v>-3.9471690000000001</v>
      </c>
      <c r="M40" s="2">
        <f>_xll.BDP(A40,"CHG_PCT_6M")</f>
        <v>-6.9646189999999999</v>
      </c>
      <c r="N40" s="2">
        <f>_xll.BDP(A40,"PR064")</f>
        <v>-3.9471690000000001</v>
      </c>
      <c r="O40" s="2">
        <f>_xll.BDP(A40,"CHG_PCT_1YR")</f>
        <v>-22.142520000000001</v>
      </c>
      <c r="P40" s="2">
        <f>_xll.BDP(A40,"INTERVAL_HIGH", "MARKET_DATA_OVERRIDE=PE_RATIO", "CALC_INTERVAL=5y", "BEST_FPERIOD_OVERRIDE=BF")</f>
        <v>4805.0879483303561</v>
      </c>
      <c r="Q40" s="2">
        <f>_xll.BDP(A40,"INTERVAL_Low", "MARKET_DATA_OVERRIDE=PE_RATIO", "CALC_INTERVAL=5y", "BEST_FPERIOD_OVERRIDE=BF")</f>
        <v>10.517044653934583</v>
      </c>
      <c r="R40" s="2">
        <f>_xll.BDP(A40,"PE_RATIO")</f>
        <v>13.61173991281259</v>
      </c>
      <c r="S40" s="3">
        <f>IF(ISERROR((R40-Q40)/(P40-Q40)),"",(R40-Q40)/(P40-Q40))</f>
        <v>6.4545823204012476E-4</v>
      </c>
    </row>
    <row r="41" spans="1:19" x14ac:dyDescent="0.25">
      <c r="A41" t="s">
        <v>140</v>
      </c>
      <c r="B41" t="str">
        <f>_xll.BDP(A41,"DS697")</f>
        <v>阿姆斯特丹中型股指數</v>
      </c>
      <c r="C41" t="str">
        <f>_xll.BDP(A41,"DS003")</f>
        <v>NE</v>
      </c>
      <c r="D41" s="2">
        <f>_xll.BDP(A41,"PX_LAST")</f>
        <v>822.52</v>
      </c>
      <c r="E41" s="2">
        <f>_xll.BDP(A41,"CHG_PCT_1D")</f>
        <v>0.40527340000000001</v>
      </c>
      <c r="F41" s="2">
        <f>_xll.BDP(A41,"HIGH_52WEEK")</f>
        <v>843.09</v>
      </c>
      <c r="G41" s="2">
        <f>LN(F41/D41)*100</f>
        <v>2.4700915415763753</v>
      </c>
      <c r="H41" s="2">
        <f>_xll.BDP(A41,"LOW_52WEEK")</f>
        <v>624.55999999999995</v>
      </c>
      <c r="I41" s="2">
        <f>LN(H41/D41)*100</f>
        <v>-27.532539664128226</v>
      </c>
      <c r="J41" s="2">
        <f>_xll.BDP(A41,"CHG_PCT_5D")</f>
        <v>-2.1392030000000002</v>
      </c>
      <c r="K41" s="2">
        <f>_xll.BDP(A41,"CHG_PCT_1M")</f>
        <v>3.3070020000000002</v>
      </c>
      <c r="L41" s="2">
        <f>_xll.BDP(A41,"CHG_PCT_3M")</f>
        <v>4.8570970000000004</v>
      </c>
      <c r="M41" s="2">
        <f>_xll.BDP(A41,"CHG_PCT_6M")</f>
        <v>9.3500340000000008</v>
      </c>
      <c r="N41" s="2">
        <f>_xll.BDP(A41,"PR064")</f>
        <v>4.8570970000000004</v>
      </c>
      <c r="O41" s="2">
        <f>_xll.BDP(A41,"CHG_PCT_1YR")</f>
        <v>4.678274</v>
      </c>
      <c r="P41" s="2">
        <f>_xll.BDP(A41,"INTERVAL_HIGH", "MARKET_DATA_OVERRIDE=PE_RATIO", "CALC_INTERVAL=5y", "BEST_FPERIOD_OVERRIDE=BF")</f>
        <v>176.60851022257557</v>
      </c>
      <c r="Q41" s="2">
        <f>_xll.BDP(A41,"INTERVAL_Low", "MARKET_DATA_OVERRIDE=PE_RATIO", "CALC_INTERVAL=5y", "BEST_FPERIOD_OVERRIDE=BF")</f>
        <v>0.45743595698663647</v>
      </c>
      <c r="R41" s="2">
        <f>_xll.BDP(A41,"PE_RATIO")</f>
        <v>16.221849455892968</v>
      </c>
      <c r="S41" s="3">
        <f>IF(ISERROR((R41-Q41)/(P41-Q41)),"",(R41-Q41)/(P41-Q41))</f>
        <v>8.949371194374775E-2</v>
      </c>
    </row>
    <row r="42" spans="1:19" x14ac:dyDescent="0.25">
      <c r="A42" t="s">
        <v>165</v>
      </c>
      <c r="B42" t="str">
        <f>_xll.BDP(A42,"DS697")</f>
        <v>維也納 ATX 主要指數</v>
      </c>
      <c r="C42" t="str">
        <f>_xll.BDP(A42,"DS003")</f>
        <v>AS</v>
      </c>
      <c r="D42" s="2">
        <f>_xll.BDP(A42,"PX_LAST")</f>
        <v>1515.4</v>
      </c>
      <c r="E42" s="2">
        <f>_xll.BDP(A42,"CHG_PCT_1D")</f>
        <v>2.9043670000000001E-2</v>
      </c>
      <c r="F42" s="2">
        <f>_xll.BDP(A42,"HIGH_52WEEK")</f>
        <v>1722.54</v>
      </c>
      <c r="G42" s="2">
        <f>LN(F42/D42)*100</f>
        <v>12.812051518187054</v>
      </c>
      <c r="H42" s="2">
        <f>_xll.BDP(A42,"LOW_52WEEK")</f>
        <v>1353.06</v>
      </c>
      <c r="I42" s="2">
        <f>LN(H42/D42)*100</f>
        <v>-11.331073641173091</v>
      </c>
      <c r="J42" s="2">
        <f>_xll.BDP(A42,"CHG_PCT_5D")</f>
        <v>-2.1299679999999999</v>
      </c>
      <c r="K42" s="2">
        <f>_xll.BDP(A42,"CHG_PCT_1M")</f>
        <v>3.4374479999999998</v>
      </c>
      <c r="L42" s="2">
        <f>_xll.BDP(A42,"CHG_PCT_3M")</f>
        <v>1.673996</v>
      </c>
      <c r="M42" s="2">
        <f>_xll.BDP(A42,"CHG_PCT_6M")</f>
        <v>-1.0467360000000001</v>
      </c>
      <c r="N42" s="2">
        <f>_xll.BDP(A42,"PR064")</f>
        <v>1.673996</v>
      </c>
      <c r="O42" s="2">
        <f>_xll.BDP(A42,"CHG_PCT_1YR")</f>
        <v>-11.02474</v>
      </c>
      <c r="P42" s="2">
        <f>_xll.BDP(A42,"INTERVAL_HIGH", "MARKET_DATA_OVERRIDE=PE_RATIO", "CALC_INTERVAL=5y", "BEST_FPERIOD_OVERRIDE=BF")</f>
        <v>72.87870045206104</v>
      </c>
      <c r="Q42" s="2">
        <f>_xll.BDP(A42,"INTERVAL_Low", "MARKET_DATA_OVERRIDE=PE_RATIO", "CALC_INTERVAL=5y", "BEST_FPERIOD_OVERRIDE=BF")</f>
        <v>8.9755283112744628</v>
      </c>
      <c r="R42" s="2">
        <f>_xll.BDP(A42,"PE_RATIO")</f>
        <v>10.295697851409223</v>
      </c>
      <c r="S42" s="3">
        <f>IF(ISERROR((R42-Q42)/(P42-Q42)),"",(R42-Q42)/(P42-Q42))</f>
        <v>2.0658904650715359E-2</v>
      </c>
    </row>
    <row r="43" spans="1:19" x14ac:dyDescent="0.25">
      <c r="A43" t="s">
        <v>168</v>
      </c>
      <c r="B43" t="str">
        <f>_xll.BDP(A43,"DS697")</f>
        <v>富時/雅典中型股40指數</v>
      </c>
      <c r="C43" t="str">
        <f>_xll.BDP(A43,"DS003")</f>
        <v>GR</v>
      </c>
      <c r="D43" s="2">
        <f>_xll.BDP(A43,"PX_LAST")</f>
        <v>1326.14</v>
      </c>
      <c r="E43" s="2">
        <f>_xll.BDP(A43,"CHG_PCT_1D")</f>
        <v>0.18357499999999999</v>
      </c>
      <c r="F43" s="2">
        <f>_xll.BDP(A43,"HIGH_52WEEK")</f>
        <v>1467.88</v>
      </c>
      <c r="G43" s="2">
        <f>LN(F43/D43)*100</f>
        <v>10.154671609766432</v>
      </c>
      <c r="H43" s="2">
        <f>_xll.BDP(A43,"LOW_52WEEK")</f>
        <v>911.71</v>
      </c>
      <c r="I43" s="2">
        <f>LN(H43/D43)*100</f>
        <v>-37.470578881532475</v>
      </c>
      <c r="J43" s="2">
        <f>_xll.BDP(A43,"CHG_PCT_5D")</f>
        <v>-2.1291660000000001</v>
      </c>
      <c r="K43" s="2">
        <f>_xll.BDP(A43,"CHG_PCT_1M")</f>
        <v>-0.58771240000000002</v>
      </c>
      <c r="L43" s="2">
        <f>_xll.BDP(A43,"CHG_PCT_3M")</f>
        <v>0.93080799999999997</v>
      </c>
      <c r="M43" s="2">
        <f>_xll.BDP(A43,"CHG_PCT_6M")</f>
        <v>16.682210000000001</v>
      </c>
      <c r="N43" s="2">
        <f>_xll.BDP(A43,"PR064")</f>
        <v>0.93080799999999997</v>
      </c>
      <c r="O43" s="2">
        <f>_xll.BDP(A43,"CHG_PCT_1YR")</f>
        <v>17.889589999999998</v>
      </c>
      <c r="P43" s="2" t="str">
        <f>_xll.BDP(A43,"INTERVAL_HIGH", "MARKET_DATA_OVERRIDE=PE_RATIO", "CALC_INTERVAL=5y", "BEST_FPERIOD_OVERRIDE=BF")</f>
        <v>#N/A N/A</v>
      </c>
      <c r="Q43" s="2" t="str">
        <f>_xll.BDP(A43,"INTERVAL_Low", "MARKET_DATA_OVERRIDE=PE_RATIO", "CALC_INTERVAL=5y", "BEST_FPERIOD_OVERRIDE=BF")</f>
        <v>#N/A N/A</v>
      </c>
      <c r="R43" s="2" t="str">
        <f>_xll.BDP(A43,"PE_RATIO")</f>
        <v>#N/A N/A</v>
      </c>
      <c r="S43" s="3" t="str">
        <f>IF(ISERROR((R43-Q43)/(P43-Q43)),"",(R43-Q43)/(P43-Q43))</f>
        <v/>
      </c>
    </row>
    <row r="44" spans="1:19" x14ac:dyDescent="0.25">
      <c r="A44" t="s">
        <v>236</v>
      </c>
      <c r="B44" t="str">
        <f>_xll.BDP(A44,"DS697")</f>
        <v>上海深圳滬深300指數</v>
      </c>
      <c r="C44" t="str">
        <f>_xll.BDP(A44,"DS003")</f>
        <v>CH</v>
      </c>
      <c r="D44" s="2">
        <f>_xll.BDP(A44,"PX_LAST")</f>
        <v>3841.1390000000001</v>
      </c>
      <c r="E44" s="2">
        <f>_xll.BDP(A44,"CHG_PCT_1D")</f>
        <v>-0.77099260000000003</v>
      </c>
      <c r="F44" s="2">
        <f>_xll.BDP(A44,"HIGH_52WEEK")</f>
        <v>4126.0910000000003</v>
      </c>
      <c r="G44" s="2">
        <f>LN(F44/D44)*100</f>
        <v>7.1561532463617548</v>
      </c>
      <c r="H44" s="2">
        <f>_xll.BDP(A44,"LOW_52WEEK")</f>
        <v>2935.83</v>
      </c>
      <c r="I44" s="2">
        <f>LN(H44/D44)*100</f>
        <v>-26.877873003302817</v>
      </c>
      <c r="J44" s="2">
        <f>_xll.BDP(A44,"CHG_PCT_5D")</f>
        <v>-2.1211829999999998</v>
      </c>
      <c r="K44" s="2">
        <f>_xll.BDP(A44,"CHG_PCT_1M")</f>
        <v>0.63382799999999995</v>
      </c>
      <c r="L44" s="2">
        <f>_xll.BDP(A44,"CHG_PCT_3M")</f>
        <v>0.16485849999999999</v>
      </c>
      <c r="M44" s="2">
        <f>_xll.BDP(A44,"CHG_PCT_6M")</f>
        <v>2.611297</v>
      </c>
      <c r="N44" s="2">
        <f>_xll.BDP(A44,"PR064")</f>
        <v>0.16485849999999999</v>
      </c>
      <c r="O44" s="2">
        <f>_xll.BDP(A44,"CHG_PCT_1YR")</f>
        <v>12.855510000000001</v>
      </c>
      <c r="P44" s="2">
        <f>_xll.BDP(A44,"INTERVAL_HIGH", "MARKET_DATA_OVERRIDE=PE_RATIO", "CALC_INTERVAL=5y", "BEST_FPERIOD_OVERRIDE=BF")</f>
        <v>22.480890130467674</v>
      </c>
      <c r="Q44" s="2">
        <f>_xll.BDP(A44,"INTERVAL_Low", "MARKET_DATA_OVERRIDE=PE_RATIO", "CALC_INTERVAL=5y", "BEST_FPERIOD_OVERRIDE=BF")</f>
        <v>10.395819609863606</v>
      </c>
      <c r="R44" s="2">
        <f>_xll.BDP(A44,"PE_RATIO")</f>
        <v>13.922925654024613</v>
      </c>
      <c r="S44" s="3">
        <f>IF(ISERROR((R44-Q44)/(P44-Q44)),"",(R44-Q44)/(P44-Q44))</f>
        <v>0.29185647184661245</v>
      </c>
    </row>
    <row r="45" spans="1:19" x14ac:dyDescent="0.25">
      <c r="A45" t="s">
        <v>94</v>
      </c>
      <c r="B45" t="str">
        <f>_xll.BDP(A45,"DS697")</f>
        <v>泛歐證券交易所 150 指數</v>
      </c>
      <c r="C45" t="str">
        <f>_xll.BDP(A45,"DS003")</f>
        <v>EC</v>
      </c>
      <c r="D45" s="2">
        <f>_xll.BDP(A45,"PX_LAST")</f>
        <v>2670.53</v>
      </c>
      <c r="E45" s="2">
        <f>_xll.BDP(A45,"CHG_PCT_1D")</f>
        <v>0.29180250000000002</v>
      </c>
      <c r="F45" s="2">
        <f>_xll.BDP(A45,"HIGH_52WEEK")</f>
        <v>2774.11</v>
      </c>
      <c r="G45" s="2">
        <f>LN(F45/D45)*100</f>
        <v>3.8053020449859996</v>
      </c>
      <c r="H45" s="2">
        <f>_xll.BDP(A45,"LOW_52WEEK")</f>
        <v>2220.06</v>
      </c>
      <c r="I45" s="2">
        <f>LN(H45/D45)*100</f>
        <v>-18.474273203993594</v>
      </c>
      <c r="J45" s="2">
        <f>_xll.BDP(A45,"CHG_PCT_5D")</f>
        <v>-2.0725709999999999</v>
      </c>
      <c r="K45" s="2">
        <f>_xll.BDP(A45,"CHG_PCT_1M")</f>
        <v>2.6297959999999998</v>
      </c>
      <c r="L45" s="2">
        <f>_xll.BDP(A45,"CHG_PCT_3M")</f>
        <v>1.6632130000000001</v>
      </c>
      <c r="M45" s="2">
        <f>_xll.BDP(A45,"CHG_PCT_6M")</f>
        <v>4.9464420000000002</v>
      </c>
      <c r="N45" s="2">
        <f>_xll.BDP(A45,"PR064")</f>
        <v>1.6632130000000001</v>
      </c>
      <c r="O45" s="2">
        <f>_xll.BDP(A45,"CHG_PCT_1YR")</f>
        <v>-2.2653789999999998</v>
      </c>
      <c r="P45" s="2">
        <f>_xll.BDP(A45,"INTERVAL_HIGH", "MARKET_DATA_OVERRIDE=PE_RATIO", "CALC_INTERVAL=5y", "BEST_FPERIOD_OVERRIDE=BF")</f>
        <v>357.96339387756819</v>
      </c>
      <c r="Q45" s="2">
        <f>_xll.BDP(A45,"INTERVAL_Low", "MARKET_DATA_OVERRIDE=PE_RATIO", "CALC_INTERVAL=5y", "BEST_FPERIOD_OVERRIDE=BF")</f>
        <v>17.830302077589224</v>
      </c>
      <c r="R45" s="2">
        <f>_xll.BDP(A45,"PE_RATIO")</f>
        <v>21.806211508092026</v>
      </c>
      <c r="S45" s="3">
        <f>IF(ISERROR((R45-Q45)/(P45-Q45)),"",(R45-Q45)/(P45-Q45))</f>
        <v>1.1689275540531363E-2</v>
      </c>
    </row>
    <row r="46" spans="1:19" x14ac:dyDescent="0.25">
      <c r="A46" t="s">
        <v>151</v>
      </c>
      <c r="B46" t="str">
        <f>_xll.BDP(A46,"DS697")</f>
        <v>挪威奧斯陸OBX指數</v>
      </c>
      <c r="C46" t="str">
        <f>_xll.BDP(A46,"DS003")</f>
        <v>NO</v>
      </c>
      <c r="D46" s="2">
        <f>_xll.BDP(A46,"PX_LAST")</f>
        <v>810.03</v>
      </c>
      <c r="E46" s="2">
        <f>_xll.BDP(A46,"CHG_PCT_1D")</f>
        <v>0.1161799</v>
      </c>
      <c r="F46" s="2">
        <f>_xll.BDP(A46,"HIGH_52WEEK")</f>
        <v>881.06</v>
      </c>
      <c r="G46" s="2">
        <f>LN(F46/D46)*100</f>
        <v>8.4054444026298683</v>
      </c>
      <c r="H46" s="2">
        <f>_xll.BDP(A46,"LOW_52WEEK")</f>
        <v>726.16</v>
      </c>
      <c r="I46" s="2">
        <f>LN(H46/D46)*100</f>
        <v>-10.930090779929559</v>
      </c>
      <c r="J46" s="2">
        <f>_xll.BDP(A46,"CHG_PCT_5D")</f>
        <v>-2.0069680000000001</v>
      </c>
      <c r="K46" s="2">
        <f>_xll.BDP(A46,"CHG_PCT_1M")</f>
        <v>4.9465640000000004</v>
      </c>
      <c r="L46" s="2">
        <f>_xll.BDP(A46,"CHG_PCT_3M")</f>
        <v>1.408398</v>
      </c>
      <c r="M46" s="2">
        <f>_xll.BDP(A46,"CHG_PCT_6M")</f>
        <v>1.388093</v>
      </c>
      <c r="N46" s="2">
        <f>_xll.BDP(A46,"PR064")</f>
        <v>1.408398</v>
      </c>
      <c r="O46" s="2">
        <f>_xll.BDP(A46,"CHG_PCT_1YR")</f>
        <v>-7.3679740000000002</v>
      </c>
      <c r="P46" s="2">
        <f>_xll.BDP(A46,"INTERVAL_HIGH", "MARKET_DATA_OVERRIDE=PE_RATIO", "CALC_INTERVAL=5y", "BEST_FPERIOD_OVERRIDE=BF")</f>
        <v>47.664397775266885</v>
      </c>
      <c r="Q46" s="2">
        <f>_xll.BDP(A46,"INTERVAL_Low", "MARKET_DATA_OVERRIDE=PE_RATIO", "CALC_INTERVAL=5y", "BEST_FPERIOD_OVERRIDE=BF")</f>
        <v>11.818292714356573</v>
      </c>
      <c r="R46" s="2">
        <f>_xll.BDP(A46,"PE_RATIO")</f>
        <v>16.280547257931556</v>
      </c>
      <c r="S46" s="3">
        <f>IF(ISERROR((R46-Q46)/(P46-Q46)),"",(R46-Q46)/(P46-Q46))</f>
        <v>0.1244836652683086</v>
      </c>
    </row>
    <row r="47" spans="1:19" x14ac:dyDescent="0.25">
      <c r="A47" t="s">
        <v>152</v>
      </c>
      <c r="B47" t="str">
        <f>_xll.BDP(A47,"DS697")</f>
        <v>挪威奧斯陸OBX價格指數</v>
      </c>
      <c r="C47" t="str">
        <f>_xll.BDP(A47,"DS003")</f>
        <v>NO</v>
      </c>
      <c r="D47" s="2">
        <f>_xll.BDP(A47,"PX_LAST")</f>
        <v>461.69</v>
      </c>
      <c r="E47" s="2">
        <f>_xll.BDP(A47,"CHG_PCT_1D")</f>
        <v>0.1170986</v>
      </c>
      <c r="F47" s="2">
        <f>_xll.BDP(A47,"HIGH_52WEEK")</f>
        <v>523.1</v>
      </c>
      <c r="G47" s="2">
        <f>LN(F47/D47)*100</f>
        <v>12.487898018417011</v>
      </c>
      <c r="H47" s="2">
        <f>_xll.BDP(A47,"LOW_52WEEK")</f>
        <v>425.29</v>
      </c>
      <c r="I47" s="2">
        <f>LN(H47/D47)*100</f>
        <v>-8.2122381023721864</v>
      </c>
      <c r="J47" s="2">
        <f>_xll.BDP(A47,"CHG_PCT_5D")</f>
        <v>-2.005776</v>
      </c>
      <c r="K47" s="2">
        <f>_xll.BDP(A47,"CHG_PCT_1M")</f>
        <v>4.8175819999999998</v>
      </c>
      <c r="L47" s="2">
        <f>_xll.BDP(A47,"CHG_PCT_3M")</f>
        <v>0.94011409999999995</v>
      </c>
      <c r="M47" s="2">
        <f>_xll.BDP(A47,"CHG_PCT_6M")</f>
        <v>-1.6425209999999999</v>
      </c>
      <c r="N47" s="2">
        <f>_xll.BDP(A47,"PR064")</f>
        <v>0.94011409999999995</v>
      </c>
      <c r="O47" s="2">
        <f>_xll.BDP(A47,"CHG_PCT_1YR")</f>
        <v>-11.073230000000001</v>
      </c>
      <c r="P47" s="2">
        <f>_xll.BDP(A47,"INTERVAL_HIGH", "MARKET_DATA_OVERRIDE=PE_RATIO", "CALC_INTERVAL=5y", "BEST_FPERIOD_OVERRIDE=BF")</f>
        <v>45.803963874636729</v>
      </c>
      <c r="Q47" s="2">
        <f>_xll.BDP(A47,"INTERVAL_Low", "MARKET_DATA_OVERRIDE=PE_RATIO", "CALC_INTERVAL=5y", "BEST_FPERIOD_OVERRIDE=BF")</f>
        <v>11.818344072734781</v>
      </c>
      <c r="R47" s="2">
        <f>_xll.BDP(A47,"PE_RATIO")</f>
        <v>16.280784116823035</v>
      </c>
      <c r="S47" s="3">
        <f>IF(ISERROR((R47-Q47)/(P47-Q47)),"",(R47-Q47)/(P47-Q47))</f>
        <v>0.13130377112729663</v>
      </c>
    </row>
    <row r="48" spans="1:19" x14ac:dyDescent="0.25">
      <c r="A48" t="s">
        <v>279</v>
      </c>
      <c r="B48" t="str">
        <f>_xll.BDP(A48,"DS697")</f>
        <v>恆生中國(香港上市)100指數</v>
      </c>
      <c r="C48" t="str">
        <f>_xll.BDP(A48,"DS003")</f>
        <v>HK</v>
      </c>
      <c r="D48" s="2">
        <f>_xll.BDP(A48,"PX_LAST")</f>
        <v>7703.15</v>
      </c>
      <c r="E48" s="2">
        <f>_xll.BDP(A48,"CHG_PCT_1D")</f>
        <v>0.40693800000000002</v>
      </c>
      <c r="F48" s="2">
        <f>_xll.BDP(A48,"HIGH_52WEEK")</f>
        <v>8978.1200000000008</v>
      </c>
      <c r="G48" s="2">
        <f>LN(F48/D48)*100</f>
        <v>15.316117016235081</v>
      </c>
      <c r="H48" s="2">
        <f>_xll.BDP(A48,"LOW_52WEEK")</f>
        <v>7249.03</v>
      </c>
      <c r="I48" s="2">
        <f>LN(H48/D48)*100</f>
        <v>-6.0761669301817847</v>
      </c>
      <c r="J48" s="2">
        <f>_xll.BDP(A48,"CHG_PCT_5D")</f>
        <v>-2.0015309999999999</v>
      </c>
      <c r="K48" s="2">
        <f>_xll.BDP(A48,"CHG_PCT_1M")</f>
        <v>1.8201130000000001</v>
      </c>
      <c r="L48" s="2">
        <f>_xll.BDP(A48,"CHG_PCT_3M")</f>
        <v>-6.1035750000000002</v>
      </c>
      <c r="M48" s="2">
        <f>_xll.BDP(A48,"CHG_PCT_6M")</f>
        <v>-9.4945970000000006</v>
      </c>
      <c r="N48" s="2">
        <f>_xll.BDP(A48,"PR064")</f>
        <v>-6.1035750000000002</v>
      </c>
      <c r="O48" s="2">
        <f>_xll.BDP(A48,"CHG_PCT_1YR")</f>
        <v>-6.5738989999999999</v>
      </c>
      <c r="P48" s="2">
        <f>_xll.BDP(A48,"INTERVAL_HIGH", "MARKET_DATA_OVERRIDE=PE_RATIO", "CALC_INTERVAL=5y", "BEST_FPERIOD_OVERRIDE=BF")</f>
        <v>12.950524122763415</v>
      </c>
      <c r="Q48" s="2">
        <f>_xll.BDP(A48,"INTERVAL_Low", "MARKET_DATA_OVERRIDE=PE_RATIO", "CALC_INTERVAL=5y", "BEST_FPERIOD_OVERRIDE=BF")</f>
        <v>7.7714086908008477</v>
      </c>
      <c r="R48" s="2">
        <f>_xll.BDP(A48,"PE_RATIO")</f>
        <v>8.5600715954856099</v>
      </c>
      <c r="S48" s="3">
        <f>IF(ISERROR((R48-Q48)/(P48-Q48)),"",(R48-Q48)/(P48-Q48))</f>
        <v>0.1522775298302064</v>
      </c>
    </row>
    <row r="49" spans="1:19" x14ac:dyDescent="0.25">
      <c r="A49" t="s">
        <v>158</v>
      </c>
      <c r="B49" t="str">
        <f>_xll.BDP(A49,"DS697")</f>
        <v>OMX Oslo 20 Index</v>
      </c>
      <c r="C49" t="str">
        <f>_xll.BDP(A49,"DS003")</f>
        <v>NO</v>
      </c>
      <c r="D49" s="2">
        <f>_xll.BDP(A49,"PX_LAST")</f>
        <v>582.03560000000004</v>
      </c>
      <c r="E49" s="2">
        <f>_xll.BDP(A49,"CHG_PCT_1D")</f>
        <v>0.1009375</v>
      </c>
      <c r="F49" s="2">
        <f>_xll.BDP(A49,"HIGH_52WEEK")</f>
        <v>654.25199999999995</v>
      </c>
      <c r="G49" s="2">
        <f>LN(F49/D49)*100</f>
        <v>11.696098409539671</v>
      </c>
      <c r="H49" s="2">
        <f>_xll.BDP(A49,"LOW_52WEEK")</f>
        <v>534.22429999999997</v>
      </c>
      <c r="I49" s="2">
        <f>LN(H49/D49)*100</f>
        <v>-8.5715826023266199</v>
      </c>
      <c r="J49" s="2">
        <f>_xll.BDP(A49,"CHG_PCT_5D")</f>
        <v>-1.9965360000000001</v>
      </c>
      <c r="K49" s="2">
        <f>_xll.BDP(A49,"CHG_PCT_1M")</f>
        <v>5.2368519999999998</v>
      </c>
      <c r="L49" s="2">
        <f>_xll.BDP(A49,"CHG_PCT_3M")</f>
        <v>1.259684</v>
      </c>
      <c r="M49" s="2">
        <f>_xll.BDP(A49,"CHG_PCT_6M")</f>
        <v>-1.2504120000000001</v>
      </c>
      <c r="N49" s="2">
        <f>_xll.BDP(A49,"PR064")</f>
        <v>1.259684</v>
      </c>
      <c r="O49" s="2">
        <f>_xll.BDP(A49,"CHG_PCT_1YR")</f>
        <v>-10.40413</v>
      </c>
      <c r="P49" s="2">
        <f>_xll.BDP(A49,"INTERVAL_HIGH", "MARKET_DATA_OVERRIDE=PE_RATIO", "CALC_INTERVAL=5y", "BEST_FPERIOD_OVERRIDE=BF")</f>
        <v>52.114739139486737</v>
      </c>
      <c r="Q49" s="2">
        <f>_xll.BDP(A49,"INTERVAL_Low", "MARKET_DATA_OVERRIDE=PE_RATIO", "CALC_INTERVAL=5y", "BEST_FPERIOD_OVERRIDE=BF")</f>
        <v>14.379675547349658</v>
      </c>
      <c r="R49" s="2">
        <f>_xll.BDP(A49,"PE_RATIO")</f>
        <v>15.828187203277862</v>
      </c>
      <c r="S49" s="3">
        <f>IF(ISERROR((R49-Q49)/(P49-Q49)),"",(R49-Q49)/(P49-Q49))</f>
        <v>3.8386357886780742E-2</v>
      </c>
    </row>
    <row r="50" spans="1:19" x14ac:dyDescent="0.25">
      <c r="A50" t="s">
        <v>157</v>
      </c>
      <c r="B50" t="str">
        <f>_xll.BDP(A50,"DS697")</f>
        <v>OMX Oslo 20 GI Index</v>
      </c>
      <c r="C50" t="str">
        <f>_xll.BDP(A50,"DS003")</f>
        <v>NO</v>
      </c>
      <c r="D50" s="2">
        <f>_xll.BDP(A50,"PX_LAST")</f>
        <v>841.49419999999998</v>
      </c>
      <c r="E50" s="2">
        <f>_xll.BDP(A50,"CHG_PCT_1D")</f>
        <v>0.1009462</v>
      </c>
      <c r="F50" s="2">
        <f>_xll.BDP(A50,"HIGH_52WEEK")</f>
        <v>907.55039999999997</v>
      </c>
      <c r="G50" s="2">
        <f>LN(F50/D50)*100</f>
        <v>7.5569980633799521</v>
      </c>
      <c r="H50" s="2">
        <f>_xll.BDP(A50,"LOW_52WEEK")</f>
        <v>753.81510000000003</v>
      </c>
      <c r="I50" s="2">
        <f>LN(H50/D50)*100</f>
        <v>-11.003200868207177</v>
      </c>
      <c r="J50" s="2">
        <f>_xll.BDP(A50,"CHG_PCT_5D")</f>
        <v>-1.9965299999999999</v>
      </c>
      <c r="K50" s="2">
        <f>_xll.BDP(A50,"CHG_PCT_1M")</f>
        <v>5.3698249999999996</v>
      </c>
      <c r="L50" s="2">
        <f>_xll.BDP(A50,"CHG_PCT_3M")</f>
        <v>1.776165</v>
      </c>
      <c r="M50" s="2">
        <f>_xll.BDP(A50,"CHG_PCT_6M")</f>
        <v>1.786286</v>
      </c>
      <c r="N50" s="2">
        <f>_xll.BDP(A50,"PR064")</f>
        <v>1.776165</v>
      </c>
      <c r="O50" s="2">
        <f>_xll.BDP(A50,"CHG_PCT_1YR")</f>
        <v>-6.6178470000000003</v>
      </c>
      <c r="P50" s="2">
        <f>_xll.BDP(A50,"INTERVAL_HIGH", "MARKET_DATA_OVERRIDE=PE_RATIO", "CALC_INTERVAL=5y", "BEST_FPERIOD_OVERRIDE=BF")</f>
        <v>36.140133785368029</v>
      </c>
      <c r="Q50" s="2">
        <f>_xll.BDP(A50,"INTERVAL_Low", "MARKET_DATA_OVERRIDE=PE_RATIO", "CALC_INTERVAL=5y", "BEST_FPERIOD_OVERRIDE=BF")</f>
        <v>16.738804722125042</v>
      </c>
      <c r="R50" s="2">
        <f>_xll.BDP(A50,"PE_RATIO")</f>
        <v>19.07639618475628</v>
      </c>
      <c r="S50" s="3">
        <f>IF(ISERROR((R50-Q50)/(P50-Q50)),"",(R50-Q50)/(P50-Q50))</f>
        <v>0.12048615097508701</v>
      </c>
    </row>
    <row r="51" spans="1:19" x14ac:dyDescent="0.25">
      <c r="A51" t="s">
        <v>159</v>
      </c>
      <c r="B51" t="str">
        <f>_xll.BDP(A51,"DS697")</f>
        <v>OMX斯德哥爾摩30指數</v>
      </c>
      <c r="C51" t="str">
        <f>_xll.BDP(A51,"DS003")</f>
        <v>SW</v>
      </c>
      <c r="D51" s="2">
        <f>_xll.BDP(A51,"PX_LAST")</f>
        <v>1631.614</v>
      </c>
      <c r="E51" s="2">
        <f>_xll.BDP(A51,"CHG_PCT_1D")</f>
        <v>0.67508990000000002</v>
      </c>
      <c r="F51" s="2">
        <f>_xll.BDP(A51,"HIGH_52WEEK")</f>
        <v>1700.35</v>
      </c>
      <c r="G51" s="2">
        <f>LN(F51/D51)*100</f>
        <v>4.1264403265349854</v>
      </c>
      <c r="H51" s="2">
        <f>_xll.BDP(A51,"LOW_52WEEK")</f>
        <v>1378.202</v>
      </c>
      <c r="I51" s="2">
        <f>LN(H51/D51)*100</f>
        <v>-16.878995785079052</v>
      </c>
      <c r="J51" s="2">
        <f>_xll.BDP(A51,"CHG_PCT_5D")</f>
        <v>-1.9839089999999999</v>
      </c>
      <c r="K51" s="2">
        <f>_xll.BDP(A51,"CHG_PCT_1M")</f>
        <v>6.5847350000000002</v>
      </c>
      <c r="L51" s="2">
        <f>_xll.BDP(A51,"CHG_PCT_3M")</f>
        <v>0.90776500000000004</v>
      </c>
      <c r="M51" s="2">
        <f>_xll.BDP(A51,"CHG_PCT_6M")</f>
        <v>4.1999589999999998</v>
      </c>
      <c r="N51" s="2">
        <f>_xll.BDP(A51,"PR064")</f>
        <v>0.90776500000000004</v>
      </c>
      <c r="O51" s="2">
        <f>_xll.BDP(A51,"CHG_PCT_1YR")</f>
        <v>-2.6700490000000001</v>
      </c>
      <c r="P51" s="2">
        <f>_xll.BDP(A51,"INTERVAL_HIGH", "MARKET_DATA_OVERRIDE=PE_RATIO", "CALC_INTERVAL=5y", "BEST_FPERIOD_OVERRIDE=BF")</f>
        <v>23.425352018099943</v>
      </c>
      <c r="Q51" s="2">
        <f>_xll.BDP(A51,"INTERVAL_Low", "MARKET_DATA_OVERRIDE=PE_RATIO", "CALC_INTERVAL=5y", "BEST_FPERIOD_OVERRIDE=BF")</f>
        <v>14.109565821007928</v>
      </c>
      <c r="R51" s="2">
        <f>_xll.BDP(A51,"PE_RATIO")</f>
        <v>17.272167358090059</v>
      </c>
      <c r="S51" s="3">
        <f>IF(ISERROR((R51-Q51)/(P51-Q51)),"",(R51-Q51)/(P51-Q51))</f>
        <v>0.33948841999716112</v>
      </c>
    </row>
    <row r="52" spans="1:19" x14ac:dyDescent="0.25">
      <c r="A52" t="s">
        <v>154</v>
      </c>
      <c r="B52" t="str">
        <f>_xll.BDP(A52,"DS697")</f>
        <v>挪威奧斯陸基準指數</v>
      </c>
      <c r="C52" t="str">
        <f>_xll.BDP(A52,"DS003")</f>
        <v>NO</v>
      </c>
      <c r="D52" s="2">
        <f>_xll.BDP(A52,"PX_LAST")</f>
        <v>880.7</v>
      </c>
      <c r="E52" s="2">
        <f>_xll.BDP(A52,"CHG_PCT_1D")</f>
        <v>6.1352480000000001E-2</v>
      </c>
      <c r="F52" s="2">
        <f>_xll.BDP(A52,"HIGH_52WEEK")</f>
        <v>948.48</v>
      </c>
      <c r="G52" s="2">
        <f>LN(F52/D52)*100</f>
        <v>7.4143657416198758</v>
      </c>
      <c r="H52" s="2">
        <f>_xll.BDP(A52,"LOW_52WEEK")</f>
        <v>783.58</v>
      </c>
      <c r="I52" s="2">
        <f>LN(H52/D52)*100</f>
        <v>-11.684388329288701</v>
      </c>
      <c r="J52" s="2">
        <f>_xll.BDP(A52,"CHG_PCT_5D")</f>
        <v>-1.982172</v>
      </c>
      <c r="K52" s="2">
        <f>_xll.BDP(A52,"CHG_PCT_1M")</f>
        <v>4.6981640000000002</v>
      </c>
      <c r="L52" s="2">
        <f>_xll.BDP(A52,"CHG_PCT_3M")</f>
        <v>1.9092800000000001</v>
      </c>
      <c r="M52" s="2">
        <f>_xll.BDP(A52,"CHG_PCT_6M")</f>
        <v>1.5555619999999999</v>
      </c>
      <c r="N52" s="2">
        <f>_xll.BDP(A52,"PR064")</f>
        <v>1.9092800000000001</v>
      </c>
      <c r="O52" s="2">
        <f>_xll.BDP(A52,"CHG_PCT_1YR")</f>
        <v>-6.4677100000000003</v>
      </c>
      <c r="P52" s="2">
        <f>_xll.BDP(A52,"INTERVAL_HIGH", "MARKET_DATA_OVERRIDE=PE_RATIO", "CALC_INTERVAL=5y", "BEST_FPERIOD_OVERRIDE=BF")</f>
        <v>38.721885132670586</v>
      </c>
      <c r="Q52" s="2">
        <f>_xll.BDP(A52,"INTERVAL_Low", "MARKET_DATA_OVERRIDE=PE_RATIO", "CALC_INTERVAL=5y", "BEST_FPERIOD_OVERRIDE=BF")</f>
        <v>12.04630630335153</v>
      </c>
      <c r="R52" s="2">
        <f>_xll.BDP(A52,"PE_RATIO")</f>
        <v>17.303867625628794</v>
      </c>
      <c r="S52" s="3">
        <f>IF(ISERROR((R52-Q52)/(P52-Q52)),"",(R52-Q52)/(P52-Q52))</f>
        <v>0.19709268000957833</v>
      </c>
    </row>
    <row r="53" spans="1:19" x14ac:dyDescent="0.25">
      <c r="A53" t="s">
        <v>155</v>
      </c>
      <c r="B53" t="str">
        <f>_xll.BDP(A53,"DS697")</f>
        <v>奧斯陸共同基金指數</v>
      </c>
      <c r="C53" t="str">
        <f>_xll.BDP(A53,"DS003")</f>
        <v>NO</v>
      </c>
      <c r="D53" s="2">
        <f>_xll.BDP(A53,"PX_LAST")</f>
        <v>864.01</v>
      </c>
      <c r="E53" s="2">
        <f>_xll.BDP(A53,"CHG_PCT_1D")</f>
        <v>2.1995319999999999E-2</v>
      </c>
      <c r="F53" s="2">
        <f>_xll.BDP(A53,"HIGH_52WEEK")</f>
        <v>916.09</v>
      </c>
      <c r="G53" s="2">
        <f>LN(F53/D53)*100</f>
        <v>5.8530270311551948</v>
      </c>
      <c r="H53" s="2">
        <f>_xll.BDP(A53,"LOW_52WEEK")</f>
        <v>759.47</v>
      </c>
      <c r="I53" s="2">
        <f>LN(H53/D53)*100</f>
        <v>-12.896352122629159</v>
      </c>
      <c r="J53" s="2">
        <f>_xll.BDP(A53,"CHG_PCT_5D")</f>
        <v>-1.981892</v>
      </c>
      <c r="K53" s="2">
        <f>_xll.BDP(A53,"CHG_PCT_1M")</f>
        <v>4.0950810000000004</v>
      </c>
      <c r="L53" s="2">
        <f>_xll.BDP(A53,"CHG_PCT_3M")</f>
        <v>2.1638609999999998</v>
      </c>
      <c r="M53" s="2">
        <f>_xll.BDP(A53,"CHG_PCT_6M")</f>
        <v>2.324783</v>
      </c>
      <c r="N53" s="2">
        <f>_xll.BDP(A53,"PR064")</f>
        <v>2.1638609999999998</v>
      </c>
      <c r="O53" s="2">
        <f>_xll.BDP(A53,"CHG_PCT_1YR")</f>
        <v>-4.8069730000000002</v>
      </c>
      <c r="P53" s="2">
        <f>_xll.BDP(A53,"INTERVAL_HIGH", "MARKET_DATA_OVERRIDE=PE_RATIO", "CALC_INTERVAL=5y", "BEST_FPERIOD_OVERRIDE=BF")</f>
        <v>32.626110442276861</v>
      </c>
      <c r="Q53" s="2">
        <f>_xll.BDP(A53,"INTERVAL_Low", "MARKET_DATA_OVERRIDE=PE_RATIO", "CALC_INTERVAL=5y", "BEST_FPERIOD_OVERRIDE=BF")</f>
        <v>11.661586825444445</v>
      </c>
      <c r="R53" s="2">
        <f>_xll.BDP(A53,"PE_RATIO")</f>
        <v>19.704894342621543</v>
      </c>
      <c r="S53" s="3">
        <f>IF(ISERROR((R53-Q53)/(P53-Q53)),"",(R53-Q53)/(P53-Q53))</f>
        <v>0.3836627850069117</v>
      </c>
    </row>
    <row r="54" spans="1:19" x14ac:dyDescent="0.25">
      <c r="A54" t="s">
        <v>112</v>
      </c>
      <c r="B54" t="str">
        <f>_xll.BDP(A54,"DS697")</f>
        <v>法蘭克福傳統股表現指數</v>
      </c>
      <c r="C54" t="str">
        <f>_xll.BDP(A54,"DS003")</f>
        <v>GE</v>
      </c>
      <c r="D54" s="2">
        <f>_xll.BDP(A54,"PX_LAST")</f>
        <v>8698.5</v>
      </c>
      <c r="E54" s="2">
        <f>_xll.BDP(A54,"CHG_PCT_1D")</f>
        <v>3.4615649999999998E-2</v>
      </c>
      <c r="F54" s="2">
        <f>_xll.BDP(A54,"HIGH_52WEEK")</f>
        <v>9026.8799999999992</v>
      </c>
      <c r="G54" s="2">
        <f>LN(F54/D54)*100</f>
        <v>3.7056195772216789</v>
      </c>
      <c r="H54" s="2">
        <f>_xll.BDP(A54,"LOW_52WEEK")</f>
        <v>7113.91015625</v>
      </c>
      <c r="I54" s="2">
        <f>LN(H54/D54)*100</f>
        <v>-20.109855270270565</v>
      </c>
      <c r="J54" s="2">
        <f>_xll.BDP(A54,"CHG_PCT_5D")</f>
        <v>-1.975034</v>
      </c>
      <c r="K54" s="2">
        <f>_xll.BDP(A54,"CHG_PCT_1M")</f>
        <v>1.600419</v>
      </c>
      <c r="L54" s="2">
        <f>_xll.BDP(A54,"CHG_PCT_3M")</f>
        <v>0.21740689999999999</v>
      </c>
      <c r="M54" s="2">
        <f>_xll.BDP(A54,"CHG_PCT_6M")</f>
        <v>3.3967499999999999</v>
      </c>
      <c r="N54" s="2">
        <f>_xll.BDP(A54,"PR064")</f>
        <v>0.21740689999999999</v>
      </c>
      <c r="O54" s="2">
        <f>_xll.BDP(A54,"CHG_PCT_1YR")</f>
        <v>-2.8008289999999998</v>
      </c>
      <c r="P54" s="2">
        <f>_xll.BDP(A54,"INTERVAL_HIGH", "MARKET_DATA_OVERRIDE=PE_RATIO", "CALC_INTERVAL=5y", "BEST_FPERIOD_OVERRIDE=BF")</f>
        <v>30.182000300832041</v>
      </c>
      <c r="Q54" s="2">
        <f>_xll.BDP(A54,"INTERVAL_Low", "MARKET_DATA_OVERRIDE=PE_RATIO", "CALC_INTERVAL=5y", "BEST_FPERIOD_OVERRIDE=BF")</f>
        <v>14.034340024267941</v>
      </c>
      <c r="R54" s="2">
        <f>_xll.BDP(A54,"PE_RATIO")</f>
        <v>16.162373024210893</v>
      </c>
      <c r="S54" s="3">
        <f>IF(ISERROR((R54-Q54)/(P54-Q54)),"",(R54-Q54)/(P54-Q54))</f>
        <v>0.13178584163251642</v>
      </c>
    </row>
    <row r="55" spans="1:19" x14ac:dyDescent="0.25">
      <c r="A55" t="s">
        <v>278</v>
      </c>
      <c r="B55" t="str">
        <f>_xll.BDP(A55,"DS697")</f>
        <v>恆生中國H股金融行業指數</v>
      </c>
      <c r="C55" t="str">
        <f>_xll.BDP(A55,"DS003")</f>
        <v>HK</v>
      </c>
      <c r="D55" s="2">
        <f>_xll.BDP(A55,"PX_LAST")</f>
        <v>15726.29</v>
      </c>
      <c r="E55" s="2">
        <f>_xll.BDP(A55,"CHG_PCT_1D")</f>
        <v>0.54388340000000002</v>
      </c>
      <c r="F55" s="2">
        <f>_xll.BDP(A55,"HIGH_52WEEK")</f>
        <v>18717.859375</v>
      </c>
      <c r="G55" s="2">
        <f>LN(F55/D55)*100</f>
        <v>17.414428068698847</v>
      </c>
      <c r="H55" s="2">
        <f>_xll.BDP(A55,"LOW_52WEEK")</f>
        <v>14846.53</v>
      </c>
      <c r="I55" s="2">
        <f>LN(H55/D55)*100</f>
        <v>-5.7567666288029624</v>
      </c>
      <c r="J55" s="2">
        <f>_xll.BDP(A55,"CHG_PCT_5D")</f>
        <v>-1.971381</v>
      </c>
      <c r="K55" s="2">
        <f>_xll.BDP(A55,"CHG_PCT_1M")</f>
        <v>2.6744729999999999</v>
      </c>
      <c r="L55" s="2">
        <f>_xll.BDP(A55,"CHG_PCT_3M")</f>
        <v>-6.4238869999999997</v>
      </c>
      <c r="M55" s="2">
        <f>_xll.BDP(A55,"CHG_PCT_6M")</f>
        <v>-9.59544</v>
      </c>
      <c r="N55" s="2">
        <f>_xll.BDP(A55,"PR064")</f>
        <v>-6.4238869999999997</v>
      </c>
      <c r="O55" s="2">
        <f>_xll.BDP(A55,"CHG_PCT_1YR")</f>
        <v>-4.0282210000000003</v>
      </c>
      <c r="P55" s="2">
        <f>_xll.BDP(A55,"INTERVAL_HIGH", "MARKET_DATA_OVERRIDE=PE_RATIO", "CALC_INTERVAL=5y", "BEST_FPERIOD_OVERRIDE=BF")</f>
        <v>9.7353069674717876</v>
      </c>
      <c r="Q55" s="2">
        <f>_xll.BDP(A55,"INTERVAL_Low", "MARKET_DATA_OVERRIDE=PE_RATIO", "CALC_INTERVAL=5y", "BEST_FPERIOD_OVERRIDE=BF")</f>
        <v>4.8988329821816539</v>
      </c>
      <c r="R55" s="2">
        <f>_xll.BDP(A55,"PE_RATIO")</f>
        <v>6.4218006964622729</v>
      </c>
      <c r="S55" s="3">
        <f>IF(ISERROR((R55-Q55)/(P55-Q55)),"",(R55-Q55)/(P55-Q55))</f>
        <v>0.31489215467976062</v>
      </c>
    </row>
    <row r="56" spans="1:19" x14ac:dyDescent="0.25">
      <c r="A56" t="s">
        <v>161</v>
      </c>
      <c r="B56" t="str">
        <f>_xll.BDP(A56,"DS697")</f>
        <v>OMX斯德哥爾摩全股指數</v>
      </c>
      <c r="C56" t="str">
        <f>_xll.BDP(A56,"DS003")</f>
        <v>SW</v>
      </c>
      <c r="D56" s="2">
        <f>_xll.BDP(A56,"PX_LAST")</f>
        <v>618.03060000000005</v>
      </c>
      <c r="E56" s="2">
        <f>_xll.BDP(A56,"CHG_PCT_1D")</f>
        <v>0.70763980000000004</v>
      </c>
      <c r="F56" s="2">
        <f>_xll.BDP(A56,"HIGH_52WEEK")</f>
        <v>632.15660000000003</v>
      </c>
      <c r="G56" s="2">
        <f>LN(F56/D56)*100</f>
        <v>2.2599177468406095</v>
      </c>
      <c r="H56" s="2">
        <f>_xll.BDP(A56,"LOW_52WEEK")</f>
        <v>513.36249999999995</v>
      </c>
      <c r="I56" s="2">
        <f>LN(H56/D56)*100</f>
        <v>-18.555574748770056</v>
      </c>
      <c r="J56" s="2">
        <f>_xll.BDP(A56,"CHG_PCT_5D")</f>
        <v>-1.9632369999999999</v>
      </c>
      <c r="K56" s="2">
        <f>_xll.BDP(A56,"CHG_PCT_1M")</f>
        <v>4.6018749999999997</v>
      </c>
      <c r="L56" s="2">
        <f>_xll.BDP(A56,"CHG_PCT_3M")</f>
        <v>1.0935699999999999</v>
      </c>
      <c r="M56" s="2">
        <f>_xll.BDP(A56,"CHG_PCT_6M")</f>
        <v>5.33094</v>
      </c>
      <c r="N56" s="2">
        <f>_xll.BDP(A56,"PR064")</f>
        <v>1.0935699999999999</v>
      </c>
      <c r="O56" s="2">
        <f>_xll.BDP(A56,"CHG_PCT_1YR")</f>
        <v>0.2466315</v>
      </c>
      <c r="P56" s="2">
        <f>_xll.BDP(A56,"INTERVAL_HIGH", "MARKET_DATA_OVERRIDE=PE_RATIO", "CALC_INTERVAL=5y", "BEST_FPERIOD_OVERRIDE=BF")</f>
        <v>22.964951469395778</v>
      </c>
      <c r="Q56" s="2">
        <f>_xll.BDP(A56,"INTERVAL_Low", "MARKET_DATA_OVERRIDE=PE_RATIO", "CALC_INTERVAL=5y", "BEST_FPERIOD_OVERRIDE=BF")</f>
        <v>11.312193547962334</v>
      </c>
      <c r="R56" s="2">
        <f>_xll.BDP(A56,"PE_RATIO")</f>
        <v>17.265624144989687</v>
      </c>
      <c r="S56" s="3">
        <f>IF(ISERROR((R56-Q56)/(P56-Q56)),"",(R56-Q56)/(P56-Q56))</f>
        <v>0.5109031387391082</v>
      </c>
    </row>
    <row r="57" spans="1:19" x14ac:dyDescent="0.25">
      <c r="A57" t="s">
        <v>84</v>
      </c>
      <c r="B57" t="str">
        <f>_xll.BDP(A57,"DS697")</f>
        <v>道瓊STOXX歐盟15大型股指數</v>
      </c>
      <c r="C57" t="str">
        <f>_xll.BDP(A57,"DS003")</f>
        <v>EC</v>
      </c>
      <c r="D57" s="2">
        <f>_xll.BDP(A57,"PX_LAST")</f>
        <v>1529.82</v>
      </c>
      <c r="E57" s="2">
        <f>_xll.BDP(A57,"CHG_PCT_1D")</f>
        <v>0.13156090000000001</v>
      </c>
      <c r="F57" s="2">
        <f>_xll.BDP(A57,"HIGH_52WEEK")</f>
        <v>1709.35</v>
      </c>
      <c r="G57" s="2">
        <f>LN(F57/D57)*100</f>
        <v>11.096309986817761</v>
      </c>
      <c r="H57" s="2">
        <f>_xll.BDP(A57,"LOW_52WEEK")</f>
        <v>1454.79</v>
      </c>
      <c r="I57" s="2">
        <f>LN(H57/D57)*100</f>
        <v>-5.0288521114575788</v>
      </c>
      <c r="J57" s="2">
        <f>_xll.BDP(A57,"CHG_PCT_5D")</f>
        <v>-1.944674</v>
      </c>
      <c r="K57" s="2">
        <f>_xll.BDP(A57,"CHG_PCT_1M")</f>
        <v>3.0167890000000002</v>
      </c>
      <c r="L57" s="2">
        <f>_xll.BDP(A57,"CHG_PCT_3M")</f>
        <v>-7.2240339999999996</v>
      </c>
      <c r="M57" s="2">
        <f>_xll.BDP(A57,"CHG_PCT_6M")</f>
        <v>-7.4412729999999998</v>
      </c>
      <c r="N57" s="2">
        <f>_xll.BDP(A57,"PR064")</f>
        <v>-7.2240339999999996</v>
      </c>
      <c r="O57" s="2">
        <f>_xll.BDP(A57,"CHG_PCT_1YR")</f>
        <v>-4.8696349999999997</v>
      </c>
      <c r="P57" s="2">
        <f>_xll.BDP(A57,"INTERVAL_HIGH", "MARKET_DATA_OVERRIDE=PE_RATIO", "CALC_INTERVAL=5y", "BEST_FPERIOD_OVERRIDE=BF")</f>
        <v>185.5476434622386</v>
      </c>
      <c r="Q57" s="2">
        <f>_xll.BDP(A57,"INTERVAL_Low", "MARKET_DATA_OVERRIDE=PE_RATIO", "CALC_INTERVAL=5y", "BEST_FPERIOD_OVERRIDE=BF")</f>
        <v>9.3763901419560902</v>
      </c>
      <c r="R57" s="2">
        <f>_xll.BDP(A57,"PE_RATIO")</f>
        <v>9.8140566765934736</v>
      </c>
      <c r="S57" s="3">
        <f>IF(ISERROR((R57-Q57)/(P57-Q57)),"",(R57-Q57)/(P57-Q57))</f>
        <v>2.4843243513838079E-3</v>
      </c>
    </row>
    <row r="58" spans="1:19" x14ac:dyDescent="0.25">
      <c r="A58" t="s">
        <v>160</v>
      </c>
      <c r="B58" t="str">
        <f>_xll.BDP(A58,"DS697")</f>
        <v>OMX斯德哥爾摩基準指數</v>
      </c>
      <c r="C58" t="str">
        <f>_xll.BDP(A58,"DS003")</f>
        <v>SW</v>
      </c>
      <c r="D58" s="2">
        <f>_xll.BDP(A58,"PX_LAST")</f>
        <v>1108.104</v>
      </c>
      <c r="E58" s="2">
        <f>_xll.BDP(A58,"CHG_PCT_1D")</f>
        <v>0.70413579999999998</v>
      </c>
      <c r="F58" s="2">
        <f>_xll.BDP(A58,"HIGH_52WEEK")</f>
        <v>1136.163</v>
      </c>
      <c r="G58" s="2">
        <f>LN(F58/D58)*100</f>
        <v>2.5006349185195043</v>
      </c>
      <c r="H58" s="2">
        <f>_xll.BDP(A58,"LOW_52WEEK")</f>
        <v>902.69889999999998</v>
      </c>
      <c r="I58" s="2">
        <f>LN(H58/D58)*100</f>
        <v>-20.501667198143107</v>
      </c>
      <c r="J58" s="2">
        <f>_xll.BDP(A58,"CHG_PCT_5D")</f>
        <v>-1.906047</v>
      </c>
      <c r="K58" s="2">
        <f>_xll.BDP(A58,"CHG_PCT_1M")</f>
        <v>5.4169559999999999</v>
      </c>
      <c r="L58" s="2">
        <f>_xll.BDP(A58,"CHG_PCT_3M")</f>
        <v>1.1759250000000001</v>
      </c>
      <c r="M58" s="2">
        <f>_xll.BDP(A58,"CHG_PCT_6M")</f>
        <v>6.845269</v>
      </c>
      <c r="N58" s="2">
        <f>_xll.BDP(A58,"PR064")</f>
        <v>1.1759250000000001</v>
      </c>
      <c r="O58" s="2">
        <f>_xll.BDP(A58,"CHG_PCT_1YR")</f>
        <v>2.3086540000000002</v>
      </c>
      <c r="P58" s="2">
        <f>_xll.BDP(A58,"INTERVAL_HIGH", "MARKET_DATA_OVERRIDE=PE_RATIO", "CALC_INTERVAL=5y", "BEST_FPERIOD_OVERRIDE=BF")</f>
        <v>24.436249591988407</v>
      </c>
      <c r="Q58" s="2">
        <f>_xll.BDP(A58,"INTERVAL_Low", "MARKET_DATA_OVERRIDE=PE_RATIO", "CALC_INTERVAL=5y", "BEST_FPERIOD_OVERRIDE=BF")</f>
        <v>13.688657452690132</v>
      </c>
      <c r="R58" s="2">
        <f>_xll.BDP(A58,"PE_RATIO")</f>
        <v>19.817605674472958</v>
      </c>
      <c r="S58" s="3">
        <f>IF(ISERROR((R58-Q58)/(P58-Q58)),"",(R58-Q58)/(P58-Q58))</f>
        <v>0.57026244970466411</v>
      </c>
    </row>
    <row r="59" spans="1:19" x14ac:dyDescent="0.25">
      <c r="A59" t="s">
        <v>292</v>
      </c>
      <c r="B59" t="str">
        <f>_xll.BDP(A59,"DS697")</f>
        <v>CCTV 50 INDEX</v>
      </c>
      <c r="C59" t="str">
        <f>_xll.BDP(A59,"DS003")</f>
        <v>CH</v>
      </c>
      <c r="D59" s="2">
        <f>_xll.BDP(A59,"PX_LAST")</f>
        <v>6812.7830000000004</v>
      </c>
      <c r="E59" s="2">
        <f>_xll.BDP(A59,"CHG_PCT_1D")</f>
        <v>-0.6120584</v>
      </c>
      <c r="F59" s="2">
        <f>_xll.BDP(A59,"HIGH_52WEEK")</f>
        <v>7301.7259999999997</v>
      </c>
      <c r="G59" s="2">
        <f>LN(F59/D59)*100</f>
        <v>6.9310058152415852</v>
      </c>
      <c r="H59" s="2">
        <f>_xll.BDP(A59,"LOW_52WEEK")</f>
        <v>5177.9589999999998</v>
      </c>
      <c r="I59" s="2">
        <f>LN(H59/D59)*100</f>
        <v>-27.438973722805589</v>
      </c>
      <c r="J59" s="2">
        <f>_xll.BDP(A59,"CHG_PCT_5D")</f>
        <v>-1.903662</v>
      </c>
      <c r="K59" s="2">
        <f>_xll.BDP(A59,"CHG_PCT_1M")</f>
        <v>1.055234</v>
      </c>
      <c r="L59" s="2">
        <f>_xll.BDP(A59,"CHG_PCT_3M")</f>
        <v>1.702758</v>
      </c>
      <c r="M59" s="2">
        <f>_xll.BDP(A59,"CHG_PCT_6M")</f>
        <v>3.849383</v>
      </c>
      <c r="N59" s="2">
        <f>_xll.BDP(A59,"PR064")</f>
        <v>1.702758</v>
      </c>
      <c r="O59" s="2">
        <f>_xll.BDP(A59,"CHG_PCT_1YR")</f>
        <v>11.90774</v>
      </c>
      <c r="P59" s="2" t="str">
        <f>_xll.BDP(A59,"INTERVAL_HIGH", "MARKET_DATA_OVERRIDE=PE_RATIO", "CALC_INTERVAL=5y", "BEST_FPERIOD_OVERRIDE=BF")</f>
        <v>#N/A N/A</v>
      </c>
      <c r="Q59" s="2" t="str">
        <f>_xll.BDP(A59,"INTERVAL_Low", "MARKET_DATA_OVERRIDE=PE_RATIO", "CALC_INTERVAL=5y", "BEST_FPERIOD_OVERRIDE=BF")</f>
        <v>#N/A N/A</v>
      </c>
      <c r="R59" s="2" t="str">
        <f>_xll.BDP(A59,"PE_RATIO")</f>
        <v>#N/A N/A</v>
      </c>
      <c r="S59" s="3" t="str">
        <f>IF(ISERROR((R59-Q59)/(P59-Q59)),"",(R59-Q59)/(P59-Q59))</f>
        <v/>
      </c>
    </row>
    <row r="60" spans="1:19" x14ac:dyDescent="0.25">
      <c r="A60" t="s">
        <v>273</v>
      </c>
      <c r="B60" t="str">
        <f>_xll.BDP(A60,"DS697")</f>
        <v>恆生綜合指數</v>
      </c>
      <c r="C60" t="str">
        <f>_xll.BDP(A60,"DS003")</f>
        <v>HK</v>
      </c>
      <c r="D60" s="2">
        <f>_xll.BDP(A60,"PX_LAST")</f>
        <v>3505.13</v>
      </c>
      <c r="E60" s="2">
        <f>_xll.BDP(A60,"CHG_PCT_1D")</f>
        <v>0.3133782</v>
      </c>
      <c r="F60" s="2">
        <f>_xll.BDP(A60,"HIGH_52WEEK")</f>
        <v>4079.01</v>
      </c>
      <c r="G60" s="2">
        <f>LN(F60/D60)*100</f>
        <v>15.162670224333317</v>
      </c>
      <c r="H60" s="2">
        <f>_xll.BDP(A60,"LOW_52WEEK")</f>
        <v>3269.62</v>
      </c>
      <c r="I60" s="2">
        <f>LN(H60/D60)*100</f>
        <v>-6.9553839464928577</v>
      </c>
      <c r="J60" s="2">
        <f>_xll.BDP(A60,"CHG_PCT_5D")</f>
        <v>-1.877003</v>
      </c>
      <c r="K60" s="2">
        <f>_xll.BDP(A60,"CHG_PCT_1M")</f>
        <v>1.445066</v>
      </c>
      <c r="L60" s="2">
        <f>_xll.BDP(A60,"CHG_PCT_3M")</f>
        <v>-7.7067940000000004</v>
      </c>
      <c r="M60" s="2">
        <f>_xll.BDP(A60,"CHG_PCT_6M")</f>
        <v>-9.0132049999999992</v>
      </c>
      <c r="N60" s="2">
        <f>_xll.BDP(A60,"PR064")</f>
        <v>-7.7067940000000004</v>
      </c>
      <c r="O60" s="2">
        <f>_xll.BDP(A60,"CHG_PCT_1YR")</f>
        <v>-6.5248860000000004</v>
      </c>
      <c r="P60" s="2" t="str">
        <f>_xll.BDP(A60,"INTERVAL_HIGH", "MARKET_DATA_OVERRIDE=PE_RATIO", "CALC_INTERVAL=5y", "BEST_FPERIOD_OVERRIDE=BF")</f>
        <v>#N/A N/A</v>
      </c>
      <c r="Q60" s="2" t="str">
        <f>_xll.BDP(A60,"INTERVAL_Low", "MARKET_DATA_OVERRIDE=PE_RATIO", "CALC_INTERVAL=5y", "BEST_FPERIOD_OVERRIDE=BF")</f>
        <v>#N/A N/A</v>
      </c>
      <c r="R60" s="2" t="str">
        <f>_xll.BDP(A60,"PE_RATIO")</f>
        <v>#N/A N/A</v>
      </c>
      <c r="S60" s="3" t="str">
        <f>IF(ISERROR((R60-Q60)/(P60-Q60)),"",(R60-Q60)/(P60-Q60))</f>
        <v/>
      </c>
    </row>
    <row r="61" spans="1:19" x14ac:dyDescent="0.25">
      <c r="A61" t="s">
        <v>16</v>
      </c>
      <c r="B61" t="str">
        <f>_xll.BDP(A61,"DS697")</f>
        <v>那斯達克綜合指數</v>
      </c>
      <c r="C61" t="str">
        <f>_xll.BDP(A61,"DS003")</f>
        <v>US</v>
      </c>
      <c r="D61" s="2">
        <f>_xll.BDP(A61,"PX_LAST")</f>
        <v>8030.6610000000001</v>
      </c>
      <c r="E61" s="2">
        <f>_xll.BDP(A61,"CHG_PCT_1D")</f>
        <v>-0.57844220000000002</v>
      </c>
      <c r="F61" s="2">
        <f>_xll.BDP(A61,"HIGH_52WEEK")</f>
        <v>8339.6389999999992</v>
      </c>
      <c r="G61" s="2">
        <f>LN(F61/D61)*100</f>
        <v>3.7753089177422297</v>
      </c>
      <c r="H61" s="2">
        <f>_xll.BDP(A61,"LOW_52WEEK")</f>
        <v>6190.1660000000002</v>
      </c>
      <c r="I61" s="2">
        <f>LN(H61/D61)*100</f>
        <v>-26.030493710027219</v>
      </c>
      <c r="J61" s="2">
        <f>_xll.BDP(A61,"CHG_PCT_5D")</f>
        <v>-1.860206</v>
      </c>
      <c r="K61" s="2">
        <f>_xll.BDP(A61,"CHG_PCT_1M")</f>
        <v>2.6027439999999999</v>
      </c>
      <c r="L61" s="2">
        <f>_xll.BDP(A61,"CHG_PCT_3M")</f>
        <v>0.78947330000000004</v>
      </c>
      <c r="M61" s="2">
        <f>_xll.BDP(A61,"CHG_PCT_6M")</f>
        <v>5.0669250000000003</v>
      </c>
      <c r="N61" s="2">
        <f>_xll.BDP(A61,"PR064")</f>
        <v>0.78947330000000004</v>
      </c>
      <c r="O61" s="2">
        <f>_xll.BDP(A61,"CHG_PCT_1YR")</f>
        <v>-0.14059550000000001</v>
      </c>
      <c r="P61" s="2">
        <f>_xll.BDP(A61,"INTERVAL_HIGH", "MARKET_DATA_OVERRIDE=PE_RATIO", "CALC_INTERVAL=5y", "BEST_FPERIOD_OVERRIDE=BF")</f>
        <v>45.673606367226448</v>
      </c>
      <c r="Q61" s="2">
        <f>_xll.BDP(A61,"INTERVAL_Low", "MARKET_DATA_OVERRIDE=PE_RATIO", "CALC_INTERVAL=5y", "BEST_FPERIOD_OVERRIDE=BF")</f>
        <v>24.954221858697238</v>
      </c>
      <c r="R61" s="2">
        <f>_xll.BDP(A61,"PE_RATIO")</f>
        <v>31.335452395012549</v>
      </c>
      <c r="S61" s="3">
        <f>IF(ISERROR((R61-Q61)/(P61-Q61)),"",(R61-Q61)/(P61-Q61))</f>
        <v>0.30798359544360276</v>
      </c>
    </row>
    <row r="62" spans="1:19" x14ac:dyDescent="0.25">
      <c r="A62" t="s">
        <v>39</v>
      </c>
      <c r="B62" t="str">
        <f>_xll.BDP(A62,"DS697")</f>
        <v>羅素2000指數</v>
      </c>
      <c r="C62" t="str">
        <f>_xll.BDP(A62,"DS003")</f>
        <v>US</v>
      </c>
      <c r="D62" s="2">
        <f>_xll.BDP(A62,"PX_LAST")</f>
        <v>1533.326</v>
      </c>
      <c r="E62" s="2">
        <f>_xll.BDP(A62,"CHG_PCT_1D")</f>
        <v>-1.117464</v>
      </c>
      <c r="F62" s="2">
        <f>_xll.BDP(A62,"HIGH_52WEEK")</f>
        <v>1703.809</v>
      </c>
      <c r="G62" s="2">
        <f>LN(F62/D62)*100</f>
        <v>10.542710071597464</v>
      </c>
      <c r="H62" s="2">
        <f>_xll.BDP(A62,"LOW_52WEEK")</f>
        <v>1266.925</v>
      </c>
      <c r="I62" s="2">
        <f>LN(H62/D62)*100</f>
        <v>-19.084652756859317</v>
      </c>
      <c r="J62" s="2">
        <f>_xll.BDP(A62,"CHG_PCT_5D")</f>
        <v>-1.8026789999999999</v>
      </c>
      <c r="K62" s="2">
        <f>_xll.BDP(A62,"CHG_PCT_1M")</f>
        <v>5.308039</v>
      </c>
      <c r="L62" s="2">
        <f>_xll.BDP(A62,"CHG_PCT_3M")</f>
        <v>-0.85506439999999995</v>
      </c>
      <c r="M62" s="2">
        <f>_xll.BDP(A62,"CHG_PCT_6M")</f>
        <v>0.72887049999999998</v>
      </c>
      <c r="N62" s="2">
        <f>_xll.BDP(A62,"PR064")</f>
        <v>-0.85506439999999995</v>
      </c>
      <c r="O62" s="2">
        <f>_xll.BDP(A62,"CHG_PCT_1YR")</f>
        <v>-9.2988780000000002</v>
      </c>
      <c r="P62" s="2">
        <f>_xll.BDP(A62,"INTERVAL_HIGH", "MARKET_DATA_OVERRIDE=PE_RATIO", "CALC_INTERVAL=5y", "BEST_FPERIOD_OVERRIDE=BF")</f>
        <v>84.567466001106126</v>
      </c>
      <c r="Q62" s="2">
        <f>_xll.BDP(A62,"INTERVAL_Low", "MARKET_DATA_OVERRIDE=PE_RATIO", "CALC_INTERVAL=5y", "BEST_FPERIOD_OVERRIDE=BF")</f>
        <v>30.046516697966592</v>
      </c>
      <c r="R62" s="2">
        <f>_xll.BDP(A62,"PE_RATIO")</f>
        <v>41.235304104337075</v>
      </c>
      <c r="S62" s="3">
        <f>IF(ISERROR((R62-Q62)/(P62-Q62)),"",(R62-Q62)/(P62-Q62))</f>
        <v>0.2052199668087252</v>
      </c>
    </row>
    <row r="63" spans="1:19" x14ac:dyDescent="0.25">
      <c r="A63" t="s">
        <v>164</v>
      </c>
      <c r="B63" t="str">
        <f>_xll.BDP(A63,"DS697")</f>
        <v>維也納綜合指數</v>
      </c>
      <c r="C63" t="str">
        <f>_xll.BDP(A63,"DS003")</f>
        <v>AS</v>
      </c>
      <c r="D63" s="2">
        <f>_xll.BDP(A63,"PX_LAST")</f>
        <v>1213.21</v>
      </c>
      <c r="E63" s="2">
        <f>_xll.BDP(A63,"CHG_PCT_1D")</f>
        <v>6.4333609999999999E-2</v>
      </c>
      <c r="F63" s="2">
        <f>_xll.BDP(A63,"HIGH_52WEEK")</f>
        <v>1340.77</v>
      </c>
      <c r="G63" s="2">
        <f>LN(F63/D63)*100</f>
        <v>9.9974336331346088</v>
      </c>
      <c r="H63" s="2">
        <f>_xll.BDP(A63,"LOW_52WEEK")</f>
        <v>1086.19</v>
      </c>
      <c r="I63" s="2">
        <f>LN(H63/D63)*100</f>
        <v>-11.059357929377855</v>
      </c>
      <c r="J63" s="2">
        <f>_xll.BDP(A63,"CHG_PCT_5D")</f>
        <v>-1.8009459999999999</v>
      </c>
      <c r="K63" s="2">
        <f>_xll.BDP(A63,"CHG_PCT_1M")</f>
        <v>2.5354749999999999</v>
      </c>
      <c r="L63" s="2">
        <f>_xll.BDP(A63,"CHG_PCT_3M")</f>
        <v>1.7904610000000001</v>
      </c>
      <c r="M63" s="2">
        <f>_xll.BDP(A63,"CHG_PCT_6M")</f>
        <v>-0.46763690000000002</v>
      </c>
      <c r="N63" s="2">
        <f>_xll.BDP(A63,"PR064")</f>
        <v>1.7904610000000001</v>
      </c>
      <c r="O63" s="2">
        <f>_xll.BDP(A63,"CHG_PCT_1YR")</f>
        <v>-9.1146799999999999</v>
      </c>
      <c r="P63" s="2">
        <f>_xll.BDP(A63,"INTERVAL_HIGH", "MARKET_DATA_OVERRIDE=PE_RATIO", "CALC_INTERVAL=5y", "BEST_FPERIOD_OVERRIDE=BF")</f>
        <v>1013.2065440917089</v>
      </c>
      <c r="Q63" s="2">
        <f>_xll.BDP(A63,"INTERVAL_Low", "MARKET_DATA_OVERRIDE=PE_RATIO", "CALC_INTERVAL=5y", "BEST_FPERIOD_OVERRIDE=BF")</f>
        <v>9.8696656410297301</v>
      </c>
      <c r="R63" s="2">
        <f>_xll.BDP(A63,"PE_RATIO")</f>
        <v>11.095324168890951</v>
      </c>
      <c r="S63" s="3">
        <f>IF(ISERROR((R63-Q63)/(P63-Q63)),"",(R63-Q63)/(P63-Q63))</f>
        <v>1.2215822563542602E-3</v>
      </c>
    </row>
    <row r="64" spans="1:19" x14ac:dyDescent="0.25">
      <c r="A64" t="s">
        <v>201</v>
      </c>
      <c r="B64" t="str">
        <f>_xll.BDP(A64,"DS697")</f>
        <v>FTSE/JSE 南非 40 指數</v>
      </c>
      <c r="C64" t="str">
        <f>_xll.BDP(A64,"DS003")</f>
        <v>SA</v>
      </c>
      <c r="D64" s="2">
        <f>_xll.BDP(A64,"PX_LAST")</f>
        <v>49243.65</v>
      </c>
      <c r="E64" s="2">
        <f>_xll.BDP(A64,"CHG_PCT_1D")</f>
        <v>0.77476630000000002</v>
      </c>
      <c r="F64" s="2">
        <f>_xll.BDP(A64,"HIGH_52WEEK")</f>
        <v>53234.08984375</v>
      </c>
      <c r="G64" s="2">
        <f>LN(F64/D64)*100</f>
        <v>7.791855237298023</v>
      </c>
      <c r="H64" s="2">
        <f>_xll.BDP(A64,"LOW_52WEEK")</f>
        <v>43771.0390625</v>
      </c>
      <c r="I64" s="2">
        <f>LN(H64/D64)*100</f>
        <v>-11.780803522638863</v>
      </c>
      <c r="J64" s="2">
        <f>_xll.BDP(A64,"CHG_PCT_5D")</f>
        <v>-1.776392</v>
      </c>
      <c r="K64" s="2">
        <f>_xll.BDP(A64,"CHG_PCT_1M")</f>
        <v>2.2759</v>
      </c>
      <c r="L64" s="2">
        <f>_xll.BDP(A64,"CHG_PCT_3M")</f>
        <v>-5.4032030000000004</v>
      </c>
      <c r="M64" s="2">
        <f>_xll.BDP(A64,"CHG_PCT_6M")</f>
        <v>-1.3100339999999999</v>
      </c>
      <c r="N64" s="2">
        <f>_xll.BDP(A64,"PR064")</f>
        <v>-5.4032030000000004</v>
      </c>
      <c r="O64" s="2">
        <f>_xll.BDP(A64,"CHG_PCT_1YR")</f>
        <v>-1.1187229999999999</v>
      </c>
      <c r="P64" s="2">
        <f>_xll.BDP(A64,"INTERVAL_HIGH", "MARKET_DATA_OVERRIDE=PE_RATIO", "CALC_INTERVAL=5y", "BEST_FPERIOD_OVERRIDE=BF")</f>
        <v>50.735265535950397</v>
      </c>
      <c r="Q64" s="2">
        <f>_xll.BDP(A64,"INTERVAL_Low", "MARKET_DATA_OVERRIDE=PE_RATIO", "CALC_INTERVAL=5y", "BEST_FPERIOD_OVERRIDE=BF")</f>
        <v>13.028613934705954</v>
      </c>
      <c r="R64" s="2">
        <f>_xll.BDP(A64,"PE_RATIO")</f>
        <v>13.135864616662122</v>
      </c>
      <c r="S64" s="3">
        <f>IF(ISERROR((R64-Q64)/(P64-Q64)),"",(R64-Q64)/(P64-Q64))</f>
        <v>2.8443438332940935E-3</v>
      </c>
    </row>
    <row r="65" spans="1:19" x14ac:dyDescent="0.25">
      <c r="A65" t="s">
        <v>30</v>
      </c>
      <c r="B65" t="str">
        <f>_xll.BDP(A65,"DS697")</f>
        <v>那斯達克收盤後市場指數</v>
      </c>
      <c r="C65" t="str">
        <f>_xll.BDP(A65,"DS003")</f>
        <v>US</v>
      </c>
      <c r="D65" s="2">
        <f>_xll.BDP(A65,"PX_LAST")</f>
        <v>7759.7830000000004</v>
      </c>
      <c r="E65" s="2">
        <f>_xll.BDP(A65,"CHG_PCT_1D")</f>
        <v>-0.1570897</v>
      </c>
      <c r="F65" s="2">
        <f>_xll.BDP(A65,"HIGH_52WEEK")</f>
        <v>8037.2870000000003</v>
      </c>
      <c r="G65" s="2">
        <f>LN(F65/D65)*100</f>
        <v>3.5137218548376898</v>
      </c>
      <c r="H65" s="2">
        <f>_xll.BDP(A65,"LOW_52WEEK")</f>
        <v>5880.8149999999996</v>
      </c>
      <c r="I65" s="2">
        <f>LN(H65/D65)*100</f>
        <v>-27.72590121387384</v>
      </c>
      <c r="J65" s="2">
        <f>_xll.BDP(A65,"CHG_PCT_5D")</f>
        <v>-1.7658579999999999</v>
      </c>
      <c r="K65" s="2">
        <f>_xll.BDP(A65,"CHG_PCT_1M")</f>
        <v>2.6116320000000002</v>
      </c>
      <c r="L65" s="2">
        <f>_xll.BDP(A65,"CHG_PCT_3M")</f>
        <v>1.332166</v>
      </c>
      <c r="M65" s="2">
        <f>_xll.BDP(A65,"CHG_PCT_6M")</f>
        <v>6.2675939999999999</v>
      </c>
      <c r="N65" s="2">
        <f>_xll.BDP(A65,"PR064")</f>
        <v>1.332166</v>
      </c>
      <c r="O65" s="2">
        <f>_xll.BDP(A65,"CHG_PCT_1YR")</f>
        <v>1.7828550000000001</v>
      </c>
      <c r="P65" s="2" t="str">
        <f>_xll.BDP(A65,"INTERVAL_HIGH", "MARKET_DATA_OVERRIDE=PE_RATIO", "CALC_INTERVAL=5y", "BEST_FPERIOD_OVERRIDE=BF")</f>
        <v>#N/A N/A</v>
      </c>
      <c r="Q65" s="2" t="str">
        <f>_xll.BDP(A65,"INTERVAL_Low", "MARKET_DATA_OVERRIDE=PE_RATIO", "CALC_INTERVAL=5y", "BEST_FPERIOD_OVERRIDE=BF")</f>
        <v>#N/A N/A</v>
      </c>
      <c r="R65" s="2" t="str">
        <f>_xll.BDP(A65,"PE_RATIO")</f>
        <v>#N/A N/A</v>
      </c>
      <c r="S65" s="3" t="str">
        <f>IF(ISERROR((R65-Q65)/(P65-Q65)),"",(R65-Q65)/(P65-Q65))</f>
        <v/>
      </c>
    </row>
    <row r="66" spans="1:19" x14ac:dyDescent="0.25">
      <c r="A66" t="s">
        <v>97</v>
      </c>
      <c r="B66" t="str">
        <f>_xll.BDP(A66,"DS697")</f>
        <v>維也納新歐洲藍籌股指數</v>
      </c>
      <c r="C66" t="str">
        <f>_xll.BDP(A66,"DS003")</f>
        <v>EC</v>
      </c>
      <c r="D66" s="2">
        <f>_xll.BDP(A66,"PX_LAST")</f>
        <v>1144.8399999999999</v>
      </c>
      <c r="E66" s="2">
        <f>_xll.BDP(A66,"CHG_PCT_1D")</f>
        <v>0.12681590000000001</v>
      </c>
      <c r="F66" s="2">
        <f>_xll.BDP(A66,"HIGH_52WEEK")</f>
        <v>1256.07</v>
      </c>
      <c r="G66" s="2">
        <f>LN(F66/D66)*100</f>
        <v>9.2722909726412261</v>
      </c>
      <c r="H66" s="2">
        <f>_xll.BDP(A66,"LOW_52WEEK")</f>
        <v>1085.57</v>
      </c>
      <c r="I66" s="2">
        <f>LN(H66/D66)*100</f>
        <v>-5.3159694581831811</v>
      </c>
      <c r="J66" s="2">
        <f>_xll.BDP(A66,"CHG_PCT_5D")</f>
        <v>-1.749023</v>
      </c>
      <c r="K66" s="2">
        <f>_xll.BDP(A66,"CHG_PCT_1M")</f>
        <v>3.5314049999999999</v>
      </c>
      <c r="L66" s="2">
        <f>_xll.BDP(A66,"CHG_PCT_3M")</f>
        <v>-2.9500570000000002</v>
      </c>
      <c r="M66" s="2">
        <f>_xll.BDP(A66,"CHG_PCT_6M")</f>
        <v>-4.1894770000000001</v>
      </c>
      <c r="N66" s="2">
        <f>_xll.BDP(A66,"PR064")</f>
        <v>-2.9500570000000002</v>
      </c>
      <c r="O66" s="2">
        <f>_xll.BDP(A66,"CHG_PCT_1YR")</f>
        <v>-6.6891679999999996</v>
      </c>
      <c r="P66" s="2">
        <f>_xll.BDP(A66,"INTERVAL_HIGH", "MARKET_DATA_OVERRIDE=PE_RATIO", "CALC_INTERVAL=5y", "BEST_FPERIOD_OVERRIDE=BF")</f>
        <v>66.760241186121434</v>
      </c>
      <c r="Q66" s="2">
        <f>_xll.BDP(A66,"INTERVAL_Low", "MARKET_DATA_OVERRIDE=PE_RATIO", "CALC_INTERVAL=5y", "BEST_FPERIOD_OVERRIDE=BF")</f>
        <v>9.8113545853836346</v>
      </c>
      <c r="R66" s="2">
        <f>_xll.BDP(A66,"PE_RATIO")</f>
        <v>10.25437391957195</v>
      </c>
      <c r="S66" s="3">
        <f>IF(ISERROR((R66-Q66)/(P66-Q66)),"",(R66-Q66)/(P66-Q66))</f>
        <v>7.7792448743427443E-3</v>
      </c>
    </row>
    <row r="67" spans="1:19" x14ac:dyDescent="0.25">
      <c r="A67" t="s">
        <v>149</v>
      </c>
      <c r="B67" t="str">
        <f>_xll.BDP(A67,"DS697")</f>
        <v>OMX赫爾辛基25指數</v>
      </c>
      <c r="C67" t="str">
        <f>_xll.BDP(A67,"DS003")</f>
        <v>FI</v>
      </c>
      <c r="D67" s="2">
        <f>_xll.BDP(A67,"PX_LAST")</f>
        <v>3967.0279999999998</v>
      </c>
      <c r="E67" s="2">
        <f>_xll.BDP(A67,"CHG_PCT_1D")</f>
        <v>0.27993249999999997</v>
      </c>
      <c r="F67" s="2">
        <f>_xll.BDP(A67,"HIGH_52WEEK")</f>
        <v>4387.44921875</v>
      </c>
      <c r="G67" s="2">
        <f>LN(F67/D67)*100</f>
        <v>10.073081491324533</v>
      </c>
      <c r="H67" s="2">
        <f>_xll.BDP(A67,"LOW_52WEEK")</f>
        <v>3629.49</v>
      </c>
      <c r="I67" s="2">
        <f>LN(H67/D67)*100</f>
        <v>-8.8925057199162847</v>
      </c>
      <c r="J67" s="2">
        <f>_xll.BDP(A67,"CHG_PCT_5D")</f>
        <v>-1.735549</v>
      </c>
      <c r="K67" s="2">
        <f>_xll.BDP(A67,"CHG_PCT_1M")</f>
        <v>4.5304039999999999</v>
      </c>
      <c r="L67" s="2">
        <f>_xll.BDP(A67,"CHG_PCT_3M")</f>
        <v>0.33340019999999998</v>
      </c>
      <c r="M67" s="2">
        <f>_xll.BDP(A67,"CHG_PCT_6M")</f>
        <v>-3.1876329999999999</v>
      </c>
      <c r="N67" s="2">
        <f>_xll.BDP(A67,"PR064")</f>
        <v>0.33340019999999998</v>
      </c>
      <c r="O67" s="2">
        <f>_xll.BDP(A67,"CHG_PCT_1YR")</f>
        <v>-9.4402640000000009</v>
      </c>
      <c r="P67" s="2">
        <f>_xll.BDP(A67,"INTERVAL_HIGH", "MARKET_DATA_OVERRIDE=PE_RATIO", "CALC_INTERVAL=5y", "BEST_FPERIOD_OVERRIDE=BF")</f>
        <v>26.18938883805507</v>
      </c>
      <c r="Q67" s="2">
        <f>_xll.BDP(A67,"INTERVAL_Low", "MARKET_DATA_OVERRIDE=PE_RATIO", "CALC_INTERVAL=5y", "BEST_FPERIOD_OVERRIDE=BF")</f>
        <v>14.284915622146739</v>
      </c>
      <c r="R67" s="2">
        <f>_xll.BDP(A67,"PE_RATIO")</f>
        <v>17.768532358057868</v>
      </c>
      <c r="S67" s="3">
        <f>IF(ISERROR((R67-Q67)/(P67-Q67)),"",(R67-Q67)/(P67-Q67))</f>
        <v>0.29263090207602466</v>
      </c>
    </row>
    <row r="68" spans="1:19" x14ac:dyDescent="0.25">
      <c r="A68" t="s">
        <v>231</v>
      </c>
      <c r="B68" t="str">
        <f>_xll.BDP(A68,"DS697")</f>
        <v>富時那斯達克杜拜UAE 20指數</v>
      </c>
      <c r="C68" t="str">
        <f>_xll.BDP(A68,"DS003")</f>
        <v>UA</v>
      </c>
      <c r="D68" s="2">
        <f>_xll.BDP(A68,"PX_LAST")</f>
        <v>3169.47</v>
      </c>
      <c r="E68" s="2">
        <f>_xll.BDP(A68,"CHG_PCT_1D")</f>
        <v>-0.5528554</v>
      </c>
      <c r="F68" s="2">
        <f>_xll.BDP(A68,"HIGH_52WEEK")</f>
        <v>3419.69</v>
      </c>
      <c r="G68" s="2">
        <f>LN(F68/D68)*100</f>
        <v>7.5985522209355141</v>
      </c>
      <c r="H68" s="2">
        <f>_xll.BDP(A68,"LOW_52WEEK")</f>
        <v>179.82</v>
      </c>
      <c r="I68" s="2">
        <f>LN(H68/D68)*100</f>
        <v>-286.93633099074651</v>
      </c>
      <c r="J68" s="2">
        <f>_xll.BDP(A68,"CHG_PCT_5D")</f>
        <v>-1.7316130000000001</v>
      </c>
      <c r="K68" s="2">
        <f>_xll.BDP(A68,"CHG_PCT_1M")</f>
        <v>-1.6163099999999999</v>
      </c>
      <c r="L68" s="2">
        <f>_xll.BDP(A68,"CHG_PCT_3M")</f>
        <v>1.141786</v>
      </c>
      <c r="M68" s="2">
        <f>_xll.BDP(A68,"CHG_PCT_6M")</f>
        <v>-1.3167249999999999</v>
      </c>
      <c r="N68" s="2">
        <f>_xll.BDP(A68,"PR064")</f>
        <v>1.141786</v>
      </c>
      <c r="O68" s="2">
        <f>_xll.BDP(A68,"CHG_PCT_1YR")</f>
        <v>-2.579161</v>
      </c>
      <c r="P68" s="2">
        <f>_xll.BDP(A68,"INTERVAL_HIGH", "MARKET_DATA_OVERRIDE=PE_RATIO", "CALC_INTERVAL=5y", "BEST_FPERIOD_OVERRIDE=BF")</f>
        <v>29.181804074301894</v>
      </c>
      <c r="Q68" s="2">
        <f>_xll.BDP(A68,"INTERVAL_Low", "MARKET_DATA_OVERRIDE=PE_RATIO", "CALC_INTERVAL=5y", "BEST_FPERIOD_OVERRIDE=BF")</f>
        <v>8.0897789057352014</v>
      </c>
      <c r="R68" s="2">
        <f>_xll.BDP(A68,"PE_RATIO")</f>
        <v>11.111986110537007</v>
      </c>
      <c r="S68" s="3">
        <f>IF(ISERROR((R68-Q68)/(P68-Q68)),"",(R68-Q68)/(P68-Q68))</f>
        <v>0.14328672475252785</v>
      </c>
    </row>
    <row r="69" spans="1:19" x14ac:dyDescent="0.25">
      <c r="A69" t="s">
        <v>135</v>
      </c>
      <c r="B69" t="str">
        <f>_xll.BDP(A69,"DS697")</f>
        <v>葡萄牙PSI全股指數總報酬</v>
      </c>
      <c r="C69" t="str">
        <f>_xll.BDP(A69,"DS003")</f>
        <v>PO</v>
      </c>
      <c r="D69" s="2">
        <f>_xll.BDP(A69,"PX_LAST")</f>
        <v>3178.5</v>
      </c>
      <c r="E69" s="2">
        <f>_xll.BDP(A69,"CHG_PCT_1D")</f>
        <v>0.47288799999999998</v>
      </c>
      <c r="F69" s="2">
        <f>_xll.BDP(A69,"HIGH_52WEEK")</f>
        <v>3238.44</v>
      </c>
      <c r="G69" s="2">
        <f>LN(F69/D69)*100</f>
        <v>1.8682344979001755</v>
      </c>
      <c r="H69" s="2">
        <f>_xll.BDP(A69,"LOW_52WEEK")</f>
        <v>2693.99</v>
      </c>
      <c r="I69" s="2">
        <f>LN(H69/D69)*100</f>
        <v>-16.53860213655306</v>
      </c>
      <c r="J69" s="2">
        <f>_xll.BDP(A69,"CHG_PCT_5D")</f>
        <v>-1.729813</v>
      </c>
      <c r="K69" s="2">
        <f>_xll.BDP(A69,"CHG_PCT_1M")</f>
        <v>4.3242799999999999</v>
      </c>
      <c r="L69" s="2">
        <f>_xll.BDP(A69,"CHG_PCT_3M")</f>
        <v>1.2422359999999999</v>
      </c>
      <c r="M69" s="2">
        <f>_xll.BDP(A69,"CHG_PCT_6M")</f>
        <v>3.79996</v>
      </c>
      <c r="N69" s="2">
        <f>_xll.BDP(A69,"PR064")</f>
        <v>1.2422359999999999</v>
      </c>
      <c r="O69" s="2">
        <f>_xll.BDP(A69,"CHG_PCT_1YR")</f>
        <v>-0.48684430000000001</v>
      </c>
      <c r="P69" s="2">
        <f>_xll.BDP(A69,"INTERVAL_HIGH", "MARKET_DATA_OVERRIDE=PE_RATIO", "CALC_INTERVAL=5y", "BEST_FPERIOD_OVERRIDE=BF")</f>
        <v>1399.7962799603306</v>
      </c>
      <c r="Q69" s="2">
        <f>_xll.BDP(A69,"INTERVAL_Low", "MARKET_DATA_OVERRIDE=PE_RATIO", "CALC_INTERVAL=5y", "BEST_FPERIOD_OVERRIDE=BF")</f>
        <v>13.610129999428297</v>
      </c>
      <c r="R69" s="2">
        <f>_xll.BDP(A69,"PE_RATIO")</f>
        <v>16.633242231379718</v>
      </c>
      <c r="S69" s="3">
        <f>IF(ISERROR((R69-Q69)/(P69-Q69)),"",(R69-Q69)/(P69-Q69))</f>
        <v>2.1808847477207075E-3</v>
      </c>
    </row>
    <row r="70" spans="1:19" x14ac:dyDescent="0.25">
      <c r="A70" t="s">
        <v>203</v>
      </c>
      <c r="B70" t="str">
        <f>_xll.BDP(A70,"DS697")</f>
        <v>FTSE/JSE 南非工業 25 指數</v>
      </c>
      <c r="C70" t="str">
        <f>_xll.BDP(A70,"DS003")</f>
        <v>SA</v>
      </c>
      <c r="D70" s="2">
        <f>_xll.BDP(A70,"PX_LAST")</f>
        <v>70005.7</v>
      </c>
      <c r="E70" s="2">
        <f>_xll.BDP(A70,"CHG_PCT_1D")</f>
        <v>0.49965799999999999</v>
      </c>
      <c r="F70" s="2">
        <f>_xll.BDP(A70,"HIGH_52WEEK")</f>
        <v>74743.5625</v>
      </c>
      <c r="G70" s="2">
        <f>LN(F70/D70)*100</f>
        <v>6.5486420855221867</v>
      </c>
      <c r="H70" s="2">
        <f>_xll.BDP(A70,"LOW_52WEEK")</f>
        <v>59860.66015625</v>
      </c>
      <c r="I70" s="2">
        <f>LN(H70/D70)*100</f>
        <v>-15.655713660496723</v>
      </c>
      <c r="J70" s="2">
        <f>_xll.BDP(A70,"CHG_PCT_5D")</f>
        <v>-1.713408</v>
      </c>
      <c r="K70" s="2">
        <f>_xll.BDP(A70,"CHG_PCT_1M")</f>
        <v>0.81746629999999998</v>
      </c>
      <c r="L70" s="2">
        <f>_xll.BDP(A70,"CHG_PCT_3M")</f>
        <v>-1.9615290000000001</v>
      </c>
      <c r="M70" s="2">
        <f>_xll.BDP(A70,"CHG_PCT_6M")</f>
        <v>2.6447660000000002</v>
      </c>
      <c r="N70" s="2">
        <f>_xll.BDP(A70,"PR064")</f>
        <v>-1.9615290000000001</v>
      </c>
      <c r="O70" s="2">
        <f>_xll.BDP(A70,"CHG_PCT_1YR")</f>
        <v>1.4486619999999999</v>
      </c>
      <c r="P70" s="2">
        <f>_xll.BDP(A70,"INTERVAL_HIGH", "MARKET_DATA_OVERRIDE=PE_RATIO", "CALC_INTERVAL=5y", "BEST_FPERIOD_OVERRIDE=BF")</f>
        <v>33.5194945805423</v>
      </c>
      <c r="Q70" s="2">
        <f>_xll.BDP(A70,"INTERVAL_Low", "MARKET_DATA_OVERRIDE=PE_RATIO", "CALC_INTERVAL=5y", "BEST_FPERIOD_OVERRIDE=BF")</f>
        <v>13.012269467730261</v>
      </c>
      <c r="R70" s="2">
        <f>_xll.BDP(A70,"PE_RATIO")</f>
        <v>18.972107797680316</v>
      </c>
      <c r="S70" s="3">
        <f>IF(ISERROR((R70-Q70)/(P70-Q70)),"",(R70-Q70)/(P70-Q70))</f>
        <v>0.29062139305364149</v>
      </c>
    </row>
    <row r="71" spans="1:19" x14ac:dyDescent="0.25">
      <c r="A71" t="s">
        <v>202</v>
      </c>
      <c r="B71" t="str">
        <f>_xll.BDP(A71,"DS697")</f>
        <v>FTSE/JSE南非綜合指數</v>
      </c>
      <c r="C71" t="str">
        <f>_xll.BDP(A71,"DS003")</f>
        <v>SA</v>
      </c>
      <c r="D71" s="2">
        <f>_xll.BDP(A71,"PX_LAST")</f>
        <v>55271.38</v>
      </c>
      <c r="E71" s="2">
        <f>_xll.BDP(A71,"CHG_PCT_1D")</f>
        <v>0.71897370000000005</v>
      </c>
      <c r="F71" s="2">
        <f>_xll.BDP(A71,"HIGH_52WEEK")</f>
        <v>59544.80078125</v>
      </c>
      <c r="G71" s="2">
        <f>LN(F71/D71)*100</f>
        <v>7.4473749659704431</v>
      </c>
      <c r="H71" s="2">
        <f>_xll.BDP(A71,"LOW_52WEEK")</f>
        <v>50032.73828125</v>
      </c>
      <c r="I71" s="2">
        <f>LN(H71/D71)*100</f>
        <v>-9.9577677083063065</v>
      </c>
      <c r="J71" s="2">
        <f>_xll.BDP(A71,"CHG_PCT_5D")</f>
        <v>-1.688053</v>
      </c>
      <c r="K71" s="2">
        <f>_xll.BDP(A71,"CHG_PCT_1M")</f>
        <v>2.5523880000000001</v>
      </c>
      <c r="L71" s="2">
        <f>_xll.BDP(A71,"CHG_PCT_3M")</f>
        <v>-4.8138990000000002</v>
      </c>
      <c r="M71" s="2">
        <f>_xll.BDP(A71,"CHG_PCT_6M")</f>
        <v>-1.5635490000000001</v>
      </c>
      <c r="N71" s="2">
        <f>_xll.BDP(A71,"PR064")</f>
        <v>-4.8138990000000002</v>
      </c>
      <c r="O71" s="2">
        <f>_xll.BDP(A71,"CHG_PCT_1YR")</f>
        <v>-1.2809600000000001</v>
      </c>
      <c r="P71" s="2">
        <f>_xll.BDP(A71,"INTERVAL_HIGH", "MARKET_DATA_OVERRIDE=PE_RATIO", "CALC_INTERVAL=5y", "BEST_FPERIOD_OVERRIDE=BF")</f>
        <v>34.443008689872528</v>
      </c>
      <c r="Q71" s="2">
        <f>_xll.BDP(A71,"INTERVAL_Low", "MARKET_DATA_OVERRIDE=PE_RATIO", "CALC_INTERVAL=5y", "BEST_FPERIOD_OVERRIDE=BF")</f>
        <v>14.388279137944595</v>
      </c>
      <c r="R71" s="2">
        <f>_xll.BDP(A71,"PE_RATIO")</f>
        <v>14.497485108481404</v>
      </c>
      <c r="S71" s="3">
        <f>IF(ISERROR((R71-Q71)/(P71-Q71)),"",(R71-Q71)/(P71-Q71))</f>
        <v>5.4453973190733453E-3</v>
      </c>
    </row>
    <row r="72" spans="1:19" x14ac:dyDescent="0.25">
      <c r="A72" t="s">
        <v>239</v>
      </c>
      <c r="B72" t="str">
        <f>_xll.BDP(A72,"DS697")</f>
        <v>恆生中國企業指數</v>
      </c>
      <c r="C72" t="str">
        <f>_xll.BDP(A72,"DS003")</f>
        <v>HK</v>
      </c>
      <c r="D72" s="2">
        <f>_xll.BDP(A72,"PX_LAST")</f>
        <v>10212.27</v>
      </c>
      <c r="E72" s="2">
        <f>_xll.BDP(A72,"CHG_PCT_1D")</f>
        <v>0.4276816</v>
      </c>
      <c r="F72" s="2">
        <f>_xll.BDP(A72,"HIGH_52WEEK")</f>
        <v>11881.6796875</v>
      </c>
      <c r="G72" s="2">
        <f>LN(F72/D72)*100</f>
        <v>15.140775326419934</v>
      </c>
      <c r="H72" s="2">
        <f>_xll.BDP(A72,"LOW_52WEEK")</f>
        <v>9731.89</v>
      </c>
      <c r="I72" s="2">
        <f>LN(H72/D72)*100</f>
        <v>-4.8181816573491991</v>
      </c>
      <c r="J72" s="2">
        <f>_xll.BDP(A72,"CHG_PCT_5D")</f>
        <v>-1.6665749999999999</v>
      </c>
      <c r="K72" s="2">
        <f>_xll.BDP(A72,"CHG_PCT_1M")</f>
        <v>2.1616140000000001</v>
      </c>
      <c r="L72" s="2">
        <f>_xll.BDP(A72,"CHG_PCT_3M")</f>
        <v>-6.2847770000000001</v>
      </c>
      <c r="M72" s="2">
        <f>_xll.BDP(A72,"CHG_PCT_6M")</f>
        <v>-9.6687840000000005</v>
      </c>
      <c r="N72" s="2">
        <f>_xll.BDP(A72,"PR064")</f>
        <v>-6.2847770000000001</v>
      </c>
      <c r="O72" s="2">
        <f>_xll.BDP(A72,"CHG_PCT_1YR")</f>
        <v>-6.6432229999999999</v>
      </c>
      <c r="P72" s="2">
        <f>_xll.BDP(A72,"INTERVAL_HIGH", "MARKET_DATA_OVERRIDE=PE_RATIO", "CALC_INTERVAL=5y", "BEST_FPERIOD_OVERRIDE=BF")</f>
        <v>10.657841018813665</v>
      </c>
      <c r="Q72" s="2">
        <f>_xll.BDP(A72,"INTERVAL_Low", "MARKET_DATA_OVERRIDE=PE_RATIO", "CALC_INTERVAL=5y", "BEST_FPERIOD_OVERRIDE=BF")</f>
        <v>5.6292568922183577</v>
      </c>
      <c r="R72" s="2">
        <f>_xll.BDP(A72,"PE_RATIO")</f>
        <v>8.1469821533099758</v>
      </c>
      <c r="S72" s="3">
        <f>IF(ISERROR((R72-Q72)/(P72-Q72)),"",(R72-Q72)/(P72-Q72))</f>
        <v>0.50068273647363415</v>
      </c>
    </row>
    <row r="73" spans="1:19" x14ac:dyDescent="0.25">
      <c r="A73" t="s">
        <v>280</v>
      </c>
      <c r="B73" t="str">
        <f>_xll.BDP(A73,"DS697")</f>
        <v>恆生香港35指數</v>
      </c>
      <c r="C73" t="str">
        <f>_xll.BDP(A73,"DS003")</f>
        <v>HK</v>
      </c>
      <c r="D73" s="2">
        <f>_xll.BDP(A73,"PX_LAST")</f>
        <v>2965.41</v>
      </c>
      <c r="E73" s="2">
        <f>_xll.BDP(A73,"CHG_PCT_1D")</f>
        <v>0.22645000000000001</v>
      </c>
      <c r="F73" s="2">
        <f>_xll.BDP(A73,"HIGH_52WEEK")</f>
        <v>3526.11</v>
      </c>
      <c r="G73" s="2">
        <f>LN(F73/D73)*100</f>
        <v>17.317997749021742</v>
      </c>
      <c r="H73" s="2">
        <f>_xll.BDP(A73,"LOW_52WEEK")</f>
        <v>2775.26</v>
      </c>
      <c r="I73" s="2">
        <f>LN(H73/D73)*100</f>
        <v>-6.6270866319334818</v>
      </c>
      <c r="J73" s="2">
        <f>_xll.BDP(A73,"CHG_PCT_5D")</f>
        <v>-1.656522</v>
      </c>
      <c r="K73" s="2">
        <f>_xll.BDP(A73,"CHG_PCT_1M")</f>
        <v>-0.46287719999999999</v>
      </c>
      <c r="L73" s="2">
        <f>_xll.BDP(A73,"CHG_PCT_3M")</f>
        <v>-12.141730000000001</v>
      </c>
      <c r="M73" s="2">
        <f>_xll.BDP(A73,"CHG_PCT_6M")</f>
        <v>-11.32413</v>
      </c>
      <c r="N73" s="2">
        <f>_xll.BDP(A73,"PR064")</f>
        <v>-12.141730000000001</v>
      </c>
      <c r="O73" s="2">
        <f>_xll.BDP(A73,"CHG_PCT_1YR")</f>
        <v>-5.7115369999999999</v>
      </c>
      <c r="P73" s="2">
        <f>_xll.BDP(A73,"INTERVAL_HIGH", "MARKET_DATA_OVERRIDE=PE_RATIO", "CALC_INTERVAL=5y", "BEST_FPERIOD_OVERRIDE=BF")</f>
        <v>16.829540738685676</v>
      </c>
      <c r="Q73" s="2">
        <f>_xll.BDP(A73,"INTERVAL_Low", "MARKET_DATA_OVERRIDE=PE_RATIO", "CALC_INTERVAL=5y", "BEST_FPERIOD_OVERRIDE=BF")</f>
        <v>9.1163605088815594</v>
      </c>
      <c r="R73" s="2">
        <f>_xll.BDP(A73,"PE_RATIO")</f>
        <v>12.429390592655205</v>
      </c>
      <c r="S73" s="3">
        <f>IF(ISERROR((R73-Q73)/(P73-Q73)),"",(R73-Q73)/(P73-Q73))</f>
        <v>0.42952841565557232</v>
      </c>
    </row>
    <row r="74" spans="1:19" x14ac:dyDescent="0.25">
      <c r="A74" t="s">
        <v>285</v>
      </c>
      <c r="B74" t="str">
        <f>_xll.BDP(A74,"DS697")</f>
        <v>上海證交所180指數</v>
      </c>
      <c r="C74" t="str">
        <f>_xll.BDP(A74,"DS003")</f>
        <v>CH</v>
      </c>
      <c r="D74" s="2">
        <f>_xll.BDP(A74,"PX_LAST")</f>
        <v>8491.7450000000008</v>
      </c>
      <c r="E74" s="2">
        <f>_xll.BDP(A74,"CHG_PCT_1D")</f>
        <v>-0.41887010000000002</v>
      </c>
      <c r="F74" s="2">
        <f>_xll.BDP(A74,"HIGH_52WEEK")</f>
        <v>9119.2710000000006</v>
      </c>
      <c r="G74" s="2">
        <f>LN(F74/D74)*100</f>
        <v>7.1295351552545556</v>
      </c>
      <c r="H74" s="2">
        <f>_xll.BDP(A74,"LOW_52WEEK")</f>
        <v>6661.6260000000002</v>
      </c>
      <c r="I74" s="2">
        <f>LN(H74/D74)*100</f>
        <v>-24.27309162301486</v>
      </c>
      <c r="J74" s="2">
        <f>_xll.BDP(A74,"CHG_PCT_5D")</f>
        <v>-1.6508959999999999</v>
      </c>
      <c r="K74" s="2">
        <f>_xll.BDP(A74,"CHG_PCT_1M")</f>
        <v>0.69613190000000003</v>
      </c>
      <c r="L74" s="2">
        <f>_xll.BDP(A74,"CHG_PCT_3M")</f>
        <v>-1.260359</v>
      </c>
      <c r="M74" s="2">
        <f>_xll.BDP(A74,"CHG_PCT_6M")</f>
        <v>2.9123489999999999</v>
      </c>
      <c r="N74" s="2">
        <f>_xll.BDP(A74,"PR064")</f>
        <v>-1.260359</v>
      </c>
      <c r="O74" s="2">
        <f>_xll.BDP(A74,"CHG_PCT_1YR")</f>
        <v>11.51887</v>
      </c>
      <c r="P74" s="2">
        <f>_xll.BDP(A74,"INTERVAL_HIGH", "MARKET_DATA_OVERRIDE=PE_RATIO", "CALC_INTERVAL=5y", "BEST_FPERIOD_OVERRIDE=BF")</f>
        <v>19.567390684634812</v>
      </c>
      <c r="Q74" s="2">
        <f>_xll.BDP(A74,"INTERVAL_Low", "MARKET_DATA_OVERRIDE=PE_RATIO", "CALC_INTERVAL=5y", "BEST_FPERIOD_OVERRIDE=BF")</f>
        <v>9.1130806144050585</v>
      </c>
      <c r="R74" s="2">
        <f>_xll.BDP(A74,"PE_RATIO")</f>
        <v>12.073459722394988</v>
      </c>
      <c r="S74" s="3">
        <f>IF(ISERROR((R74-Q74)/(P74-Q74)),"",(R74-Q74)/(P74-Q74))</f>
        <v>0.2831730729338191</v>
      </c>
    </row>
    <row r="75" spans="1:19" x14ac:dyDescent="0.25">
      <c r="A75" t="s">
        <v>25</v>
      </c>
      <c r="B75" t="str">
        <f>_xll.BDP(A75,"DS697")</f>
        <v>那斯達克100指數</v>
      </c>
      <c r="C75" t="str">
        <f>_xll.BDP(A75,"DS003")</f>
        <v>US</v>
      </c>
      <c r="D75" s="2">
        <f>_xll.BDP(A75,"PX_LAST")</f>
        <v>7771.9920000000002</v>
      </c>
      <c r="E75" s="2">
        <f>_xll.BDP(A75,"CHG_PCT_1D")</f>
        <v>-0.40430359999999999</v>
      </c>
      <c r="F75" s="2">
        <f>_xll.BDP(A75,"HIGH_52WEEK")</f>
        <v>8027.1790000000001</v>
      </c>
      <c r="G75" s="2">
        <f>LN(F75/D75)*100</f>
        <v>3.230665646060165</v>
      </c>
      <c r="H75" s="2">
        <f>_xll.BDP(A75,"LOW_52WEEK")</f>
        <v>5895.1171875</v>
      </c>
      <c r="I75" s="2">
        <f>LN(H75/D75)*100</f>
        <v>-27.640208925197875</v>
      </c>
      <c r="J75" s="2">
        <f>_xll.BDP(A75,"CHG_PCT_5D")</f>
        <v>-1.642665</v>
      </c>
      <c r="K75" s="2">
        <f>_xll.BDP(A75,"CHG_PCT_1M")</f>
        <v>2.7222390000000001</v>
      </c>
      <c r="L75" s="2">
        <f>_xll.BDP(A75,"CHG_PCT_3M")</f>
        <v>1.5011570000000001</v>
      </c>
      <c r="M75" s="2">
        <f>_xll.BDP(A75,"CHG_PCT_6M")</f>
        <v>6.3462930000000002</v>
      </c>
      <c r="N75" s="2">
        <f>_xll.BDP(A75,"PR064")</f>
        <v>1.5011570000000001</v>
      </c>
      <c r="O75" s="2">
        <f>_xll.BDP(A75,"CHG_PCT_1YR")</f>
        <v>1.86669</v>
      </c>
      <c r="P75" s="2">
        <f>_xll.BDP(A75,"INTERVAL_HIGH", "MARKET_DATA_OVERRIDE=PE_RATIO", "CALC_INTERVAL=5y", "BEST_FPERIOD_OVERRIDE=BF")</f>
        <v>28.055002993568507</v>
      </c>
      <c r="Q75" s="2">
        <f>_xll.BDP(A75,"INTERVAL_Low", "MARKET_DATA_OVERRIDE=PE_RATIO", "CALC_INTERVAL=5y", "BEST_FPERIOD_OVERRIDE=BF")</f>
        <v>19.370205174142974</v>
      </c>
      <c r="R75" s="2">
        <f>_xll.BDP(A75,"PE_RATIO")</f>
        <v>24.199639666318145</v>
      </c>
      <c r="S75" s="3">
        <f>IF(ISERROR((R75-Q75)/(P75-Q75)),"",(R75-Q75)/(P75-Q75))</f>
        <v>0.5560790927536664</v>
      </c>
    </row>
    <row r="76" spans="1:19" x14ac:dyDescent="0.25">
      <c r="A76" t="s">
        <v>104</v>
      </c>
      <c r="B76" t="str">
        <f>_xll.BDP(A76,"DS697")</f>
        <v>富時另類投資指數</v>
      </c>
      <c r="C76" t="str">
        <f>_xll.BDP(A76,"DS003")</f>
        <v>GB</v>
      </c>
      <c r="D76" s="2">
        <f>_xll.BDP(A76,"PX_LAST")</f>
        <v>871.23</v>
      </c>
      <c r="E76" s="2">
        <f>_xll.BDP(A76,"CHG_PCT_1D")</f>
        <v>-0.3955687</v>
      </c>
      <c r="F76" s="2">
        <f>_xll.BDP(A76,"HIGH_52WEEK")</f>
        <v>1103.01</v>
      </c>
      <c r="G76" s="2">
        <f>LN(F76/D76)*100</f>
        <v>23.589207910796304</v>
      </c>
      <c r="H76" s="2">
        <f>_xll.BDP(A76,"LOW_52WEEK")</f>
        <v>841.56</v>
      </c>
      <c r="I76" s="2">
        <f>LN(H76/D76)*100</f>
        <v>-3.4648693950759446</v>
      </c>
      <c r="J76" s="2">
        <f>_xll.BDP(A76,"CHG_PCT_5D")</f>
        <v>-1.6404000000000001</v>
      </c>
      <c r="K76" s="2">
        <f>_xll.BDP(A76,"CHG_PCT_1M")</f>
        <v>0.1195116</v>
      </c>
      <c r="L76" s="2">
        <f>_xll.BDP(A76,"CHG_PCT_3M")</f>
        <v>-5.6712259999999999</v>
      </c>
      <c r="M76" s="2">
        <f>_xll.BDP(A76,"CHG_PCT_6M")</f>
        <v>-4.2888409999999997</v>
      </c>
      <c r="N76" s="2">
        <f>_xll.BDP(A76,"PR064")</f>
        <v>-5.6712259999999999</v>
      </c>
      <c r="O76" s="2">
        <f>_xll.BDP(A76,"CHG_PCT_1YR")</f>
        <v>-20.523440000000001</v>
      </c>
      <c r="P76" s="2">
        <f>_xll.BDP(A76,"INTERVAL_HIGH", "MARKET_DATA_OVERRIDE=PE_RATIO", "CALC_INTERVAL=5y", "BEST_FPERIOD_OVERRIDE=BF")</f>
        <v>6777.7406044384961</v>
      </c>
      <c r="Q76" s="2">
        <f>_xll.BDP(A76,"INTERVAL_Low", "MARKET_DATA_OVERRIDE=PE_RATIO", "CALC_INTERVAL=5y", "BEST_FPERIOD_OVERRIDE=BF")</f>
        <v>5.0988914291295941</v>
      </c>
      <c r="R76" s="2" t="str">
        <f>_xll.BDP(A76,"PE_RATIO")</f>
        <v>#N/A N/A</v>
      </c>
      <c r="S76" s="3" t="str">
        <f>IF(ISERROR((R76-Q76)/(P76-Q76)),"",(R76-Q76)/(P76-Q76))</f>
        <v/>
      </c>
    </row>
    <row r="77" spans="1:19" x14ac:dyDescent="0.25">
      <c r="A77" t="s">
        <v>235</v>
      </c>
      <c r="B77" t="str">
        <f>_xll.BDP(A77,"DS697")</f>
        <v>香港恆生指數</v>
      </c>
      <c r="C77" t="str">
        <f>_xll.BDP(A77,"DS003")</f>
        <v>HK</v>
      </c>
      <c r="D77" s="2">
        <f>_xll.BDP(A77,"PX_LAST")</f>
        <v>26041.93</v>
      </c>
      <c r="E77" s="2">
        <f>_xll.BDP(A77,"CHG_PCT_1D")</f>
        <v>0.37224400000000002</v>
      </c>
      <c r="F77" s="2">
        <f>_xll.BDP(A77,"HIGH_52WEEK")</f>
        <v>30280.12</v>
      </c>
      <c r="G77" s="2">
        <f>LN(F77/D77)*100</f>
        <v>15.078346023595426</v>
      </c>
      <c r="H77" s="2">
        <f>_xll.BDP(A77,"LOW_52WEEK")</f>
        <v>24540.63</v>
      </c>
      <c r="I77" s="2">
        <f>LN(H77/D77)*100</f>
        <v>-5.9377820012456084</v>
      </c>
      <c r="J77" s="2">
        <f>_xll.BDP(A77,"CHG_PCT_5D")</f>
        <v>-1.6132839999999999</v>
      </c>
      <c r="K77" s="2">
        <f>_xll.BDP(A77,"CHG_PCT_1M")</f>
        <v>1.4723280000000001</v>
      </c>
      <c r="L77" s="2">
        <f>_xll.BDP(A77,"CHG_PCT_3M")</f>
        <v>-9.0124460000000006</v>
      </c>
      <c r="M77" s="2">
        <f>_xll.BDP(A77,"CHG_PCT_6M")</f>
        <v>-9.350797</v>
      </c>
      <c r="N77" s="2">
        <f>_xll.BDP(A77,"PR064")</f>
        <v>-9.0124460000000006</v>
      </c>
      <c r="O77" s="2">
        <f>_xll.BDP(A77,"CHG_PCT_1YR")</f>
        <v>-6.0389670000000004</v>
      </c>
      <c r="P77" s="2">
        <f>_xll.BDP(A77,"INTERVAL_HIGH", "MARKET_DATA_OVERRIDE=PE_RATIO", "CALC_INTERVAL=5y", "BEST_FPERIOD_OVERRIDE=BF")</f>
        <v>14.18282045003129</v>
      </c>
      <c r="Q77" s="2">
        <f>_xll.BDP(A77,"INTERVAL_Low", "MARKET_DATA_OVERRIDE=PE_RATIO", "CALC_INTERVAL=5y", "BEST_FPERIOD_OVERRIDE=BF")</f>
        <v>8.9401353446496312</v>
      </c>
      <c r="R77" s="2">
        <f>_xll.BDP(A77,"PE_RATIO")</f>
        <v>10.141857800545433</v>
      </c>
      <c r="S77" s="3">
        <f>IF(ISERROR((R77-Q77)/(P77-Q77)),"",(R77-Q77)/(P77-Q77))</f>
        <v>0.2292188891265324</v>
      </c>
    </row>
    <row r="78" spans="1:19" x14ac:dyDescent="0.25">
      <c r="A78" t="s">
        <v>48</v>
      </c>
      <c r="B78" t="str">
        <f>_xll.BDP(A78,"DS697")</f>
        <v>標準普爾/多倫多創投指數</v>
      </c>
      <c r="C78" t="str">
        <f>_xll.BDP(A78,"DS003")</f>
        <v>CA</v>
      </c>
      <c r="D78" s="2">
        <f>_xll.BDP(A78,"PX_LAST")</f>
        <v>574.82749999999999</v>
      </c>
      <c r="E78" s="2">
        <f>_xll.BDP(A78,"CHG_PCT_1D")</f>
        <v>-0.61387190000000003</v>
      </c>
      <c r="F78" s="2">
        <f>_xll.BDP(A78,"HIGH_52WEEK")</f>
        <v>717.5</v>
      </c>
      <c r="G78" s="2">
        <f>LN(F78/D78)*100</f>
        <v>22.17029518454277</v>
      </c>
      <c r="H78" s="2">
        <f>_xll.BDP(A78,"LOW_52WEEK")</f>
        <v>528.53</v>
      </c>
      <c r="I78" s="2">
        <f>LN(H78/D78)*100</f>
        <v>-8.397042766146992</v>
      </c>
      <c r="J78" s="2">
        <f>_xll.BDP(A78,"CHG_PCT_5D")</f>
        <v>-1.606954</v>
      </c>
      <c r="K78" s="2">
        <f>_xll.BDP(A78,"CHG_PCT_1M")</f>
        <v>-1.509447</v>
      </c>
      <c r="L78" s="2">
        <f>_xll.BDP(A78,"CHG_PCT_3M")</f>
        <v>-0.89954579999999995</v>
      </c>
      <c r="M78" s="2">
        <f>_xll.BDP(A78,"CHG_PCT_6M")</f>
        <v>-8.2191010000000002</v>
      </c>
      <c r="N78" s="2">
        <f>_xll.BDP(A78,"PR064")</f>
        <v>-0.89954579999999995</v>
      </c>
      <c r="O78" s="2">
        <f>_xll.BDP(A78,"CHG_PCT_1YR")</f>
        <v>-17.696390000000001</v>
      </c>
      <c r="P78" s="2">
        <f>_xll.BDP(A78,"INTERVAL_HIGH", "MARKET_DATA_OVERRIDE=PE_RATIO", "CALC_INTERVAL=5y", "BEST_FPERIOD_OVERRIDE=BF")</f>
        <v>568.60706618941629</v>
      </c>
      <c r="Q78" s="2">
        <f>_xll.BDP(A78,"INTERVAL_Low", "MARKET_DATA_OVERRIDE=PE_RATIO", "CALC_INTERVAL=5y", "BEST_FPERIOD_OVERRIDE=BF")</f>
        <v>50.394978948290735</v>
      </c>
      <c r="R78" s="2" t="str">
        <f>_xll.BDP(A78,"PE_RATIO")</f>
        <v>#N/A N/A</v>
      </c>
      <c r="S78" s="3" t="str">
        <f>IF(ISERROR((R78-Q78)/(P78-Q78)),"",(R78-Q78)/(P78-Q78))</f>
        <v/>
      </c>
    </row>
    <row r="79" spans="1:19" x14ac:dyDescent="0.25">
      <c r="A79" t="s">
        <v>117</v>
      </c>
      <c r="B79" t="str">
        <f>_xll.BDP(A79,"DS697")</f>
        <v>法國CAC 190中小型股指數</v>
      </c>
      <c r="C79" t="str">
        <f>_xll.BDP(A79,"DS003")</f>
        <v>FR</v>
      </c>
      <c r="D79" s="2">
        <f>_xll.BDP(A79,"PX_LAST")</f>
        <v>12772.2</v>
      </c>
      <c r="E79" s="2">
        <f>_xll.BDP(A79,"CHG_PCT_1D")</f>
        <v>0.2564459</v>
      </c>
      <c r="F79" s="2">
        <f>_xll.BDP(A79,"HIGH_52WEEK")</f>
        <v>14044.37</v>
      </c>
      <c r="G79" s="2">
        <f>LN(F79/D79)*100</f>
        <v>9.4950669745027678</v>
      </c>
      <c r="H79" s="2">
        <f>_xll.BDP(A79,"LOW_52WEEK")</f>
        <v>10877.03</v>
      </c>
      <c r="I79" s="2">
        <f>LN(H79/D79)*100</f>
        <v>-16.061770776319015</v>
      </c>
      <c r="J79" s="2">
        <f>_xll.BDP(A79,"CHG_PCT_5D")</f>
        <v>-1.597815</v>
      </c>
      <c r="K79" s="2">
        <f>_xll.BDP(A79,"CHG_PCT_1M")</f>
        <v>2.0127470000000001</v>
      </c>
      <c r="L79" s="2">
        <f>_xll.BDP(A79,"CHG_PCT_3M")</f>
        <v>-0.62067939999999999</v>
      </c>
      <c r="M79" s="2">
        <f>_xll.BDP(A79,"CHG_PCT_6M")</f>
        <v>2.6708310000000002</v>
      </c>
      <c r="N79" s="2">
        <f>_xll.BDP(A79,"PR064")</f>
        <v>-0.62067939999999999</v>
      </c>
      <c r="O79" s="2">
        <f>_xll.BDP(A79,"CHG_PCT_1YR")</f>
        <v>-8.8468900000000001</v>
      </c>
      <c r="P79" s="2">
        <f>_xll.BDP(A79,"INTERVAL_HIGH", "MARKET_DATA_OVERRIDE=PE_RATIO", "CALC_INTERVAL=5y", "BEST_FPERIOD_OVERRIDE=BF")</f>
        <v>94.035353216890513</v>
      </c>
      <c r="Q79" s="2">
        <f>_xll.BDP(A79,"INTERVAL_Low", "MARKET_DATA_OVERRIDE=PE_RATIO", "CALC_INTERVAL=5y", "BEST_FPERIOD_OVERRIDE=BF")</f>
        <v>16.006341367119006</v>
      </c>
      <c r="R79" s="2">
        <f>_xll.BDP(A79,"PE_RATIO")</f>
        <v>28.822089900246286</v>
      </c>
      <c r="S79" s="3">
        <f>IF(ISERROR((R79-Q79)/(P79-Q79)),"",(R79-Q79)/(P79-Q79))</f>
        <v>0.16424337857566768</v>
      </c>
    </row>
    <row r="80" spans="1:19" x14ac:dyDescent="0.25">
      <c r="A80" t="s">
        <v>110</v>
      </c>
      <c r="B80" t="str">
        <f>_xll.BDP(A80,"DS697")</f>
        <v>法蘭克福標準股表現指數</v>
      </c>
      <c r="C80" t="str">
        <f>_xll.BDP(A80,"DS003")</f>
        <v>GE</v>
      </c>
      <c r="D80" s="2">
        <f>_xll.BDP(A80,"PX_LAST")</f>
        <v>5032.71</v>
      </c>
      <c r="E80" s="2">
        <f>_xll.BDP(A80,"CHG_PCT_1D")</f>
        <v>0.34833829999999999</v>
      </c>
      <c r="F80" s="2">
        <f>_xll.BDP(A80,"HIGH_52WEEK")</f>
        <v>5192.0600000000004</v>
      </c>
      <c r="G80" s="2">
        <f>LN(F80/D80)*100</f>
        <v>3.1171929151156688</v>
      </c>
      <c r="H80" s="2">
        <f>_xll.BDP(A80,"LOW_52WEEK")</f>
        <v>4190.97</v>
      </c>
      <c r="I80" s="2">
        <f>LN(H80/D80)*100</f>
        <v>-18.302639570304919</v>
      </c>
      <c r="J80" s="2">
        <f>_xll.BDP(A80,"CHG_PCT_5D")</f>
        <v>-1.5899430000000001</v>
      </c>
      <c r="K80" s="2">
        <f>_xll.BDP(A80,"CHG_PCT_1M")</f>
        <v>3.766788</v>
      </c>
      <c r="L80" s="2">
        <f>_xll.BDP(A80,"CHG_PCT_3M")</f>
        <v>-6.4138580000000001E-2</v>
      </c>
      <c r="M80" s="2">
        <f>_xll.BDP(A80,"CHG_PCT_6M")</f>
        <v>6.300675</v>
      </c>
      <c r="N80" s="2">
        <f>_xll.BDP(A80,"PR064")</f>
        <v>-6.4138580000000001E-2</v>
      </c>
      <c r="O80" s="2">
        <f>_xll.BDP(A80,"CHG_PCT_1YR")</f>
        <v>-1.6274580000000001</v>
      </c>
      <c r="P80" s="2">
        <f>_xll.BDP(A80,"INTERVAL_HIGH", "MARKET_DATA_OVERRIDE=PE_RATIO", "CALC_INTERVAL=5y", "BEST_FPERIOD_OVERRIDE=BF")</f>
        <v>24.343782843633168</v>
      </c>
      <c r="Q80" s="2">
        <f>_xll.BDP(A80,"INTERVAL_Low", "MARKET_DATA_OVERRIDE=PE_RATIO", "CALC_INTERVAL=5y", "BEST_FPERIOD_OVERRIDE=BF")</f>
        <v>11.55897974273304</v>
      </c>
      <c r="R80" s="2">
        <f>_xll.BDP(A80,"PE_RATIO")</f>
        <v>19.729169963381562</v>
      </c>
      <c r="S80" s="3">
        <f>IF(ISERROR((R80-Q80)/(P80-Q80)),"",(R80-Q80)/(P80-Q80))</f>
        <v>0.63905483378725569</v>
      </c>
    </row>
    <row r="81" spans="1:19" x14ac:dyDescent="0.25">
      <c r="A81" t="s">
        <v>277</v>
      </c>
      <c r="B81" t="str">
        <f>_xll.BDP(A81,"DS697")</f>
        <v>恆生中國(香港上市)25指數</v>
      </c>
      <c r="C81" t="str">
        <f>_xll.BDP(A81,"DS003")</f>
        <v>HK</v>
      </c>
      <c r="D81" s="2">
        <f>_xll.BDP(A81,"PX_LAST")</f>
        <v>8928.67</v>
      </c>
      <c r="E81" s="2">
        <f>_xll.BDP(A81,"CHG_PCT_1D")</f>
        <v>0.47736669999999998</v>
      </c>
      <c r="F81" s="2">
        <f>_xll.BDP(A81,"HIGH_52WEEK")</f>
        <v>10561.46</v>
      </c>
      <c r="G81" s="2">
        <f>LN(F81/D81)*100</f>
        <v>16.794407867107299</v>
      </c>
      <c r="H81" s="2">
        <f>_xll.BDP(A81,"LOW_52WEEK")</f>
        <v>8431.91015625</v>
      </c>
      <c r="I81" s="2">
        <f>LN(H81/D81)*100</f>
        <v>-5.7244110977552269</v>
      </c>
      <c r="J81" s="2">
        <f>_xll.BDP(A81,"CHG_PCT_5D")</f>
        <v>-1.580457</v>
      </c>
      <c r="K81" s="2">
        <f>_xll.BDP(A81,"CHG_PCT_1M")</f>
        <v>2.8191329999999999</v>
      </c>
      <c r="L81" s="2">
        <f>_xll.BDP(A81,"CHG_PCT_3M")</f>
        <v>-7.2267950000000001</v>
      </c>
      <c r="M81" s="2">
        <f>_xll.BDP(A81,"CHG_PCT_6M")</f>
        <v>-10.706519999999999</v>
      </c>
      <c r="N81" s="2">
        <f>_xll.BDP(A81,"PR064")</f>
        <v>-7.2267950000000001</v>
      </c>
      <c r="O81" s="2">
        <f>_xll.BDP(A81,"CHG_PCT_1YR")</f>
        <v>-7.9542289999999998</v>
      </c>
      <c r="P81" s="2">
        <f>_xll.BDP(A81,"INTERVAL_HIGH", "MARKET_DATA_OVERRIDE=PE_RATIO", "CALC_INTERVAL=5y", "BEST_FPERIOD_OVERRIDE=BF")</f>
        <v>12.076278921118963</v>
      </c>
      <c r="Q81" s="2">
        <f>_xll.BDP(A81,"INTERVAL_Low", "MARKET_DATA_OVERRIDE=PE_RATIO", "CALC_INTERVAL=5y", "BEST_FPERIOD_OVERRIDE=BF")</f>
        <v>7.3101534325587947</v>
      </c>
      <c r="R81" s="2">
        <f>_xll.BDP(A81,"PE_RATIO")</f>
        <v>7.9209920496516757</v>
      </c>
      <c r="S81" s="3">
        <f>IF(ISERROR((R81-Q81)/(P81-Q81)),"",(R81-Q81)/(P81-Q81))</f>
        <v>0.12816251241370766</v>
      </c>
    </row>
    <row r="82" spans="1:19" x14ac:dyDescent="0.25">
      <c r="A82" t="s">
        <v>106</v>
      </c>
      <c r="B82" t="str">
        <f>_xll.BDP(A82,"DS697")</f>
        <v>德國法蘭克福CDAX綜合指數</v>
      </c>
      <c r="C82" t="str">
        <f>_xll.BDP(A82,"DS003")</f>
        <v>GE</v>
      </c>
      <c r="D82" s="2">
        <f>_xll.BDP(A82,"PX_LAST")</f>
        <v>1140.57</v>
      </c>
      <c r="E82" s="2">
        <f>_xll.BDP(A82,"CHG_PCT_1D")</f>
        <v>0.42085240000000002</v>
      </c>
      <c r="F82" s="2">
        <f>_xll.BDP(A82,"HIGH_52WEEK")</f>
        <v>1176.94</v>
      </c>
      <c r="G82" s="2">
        <f>LN(F82/D82)*100</f>
        <v>3.1389712470387297</v>
      </c>
      <c r="H82" s="2">
        <f>_xll.BDP(A82,"LOW_52WEEK")</f>
        <v>967.14</v>
      </c>
      <c r="I82" s="2">
        <f>LN(H82/D82)*100</f>
        <v>-16.494015379329735</v>
      </c>
      <c r="J82" s="2">
        <f>_xll.BDP(A82,"CHG_PCT_5D")</f>
        <v>-1.551944</v>
      </c>
      <c r="K82" s="2">
        <f>_xll.BDP(A82,"CHG_PCT_1M")</f>
        <v>4.1102930000000004</v>
      </c>
      <c r="L82" s="2">
        <f>_xll.BDP(A82,"CHG_PCT_3M")</f>
        <v>0.16510250000000001</v>
      </c>
      <c r="M82" s="2">
        <f>_xll.BDP(A82,"CHG_PCT_6M")</f>
        <v>5.8848000000000003</v>
      </c>
      <c r="N82" s="2">
        <f>_xll.BDP(A82,"PR064")</f>
        <v>0.16510250000000001</v>
      </c>
      <c r="O82" s="2">
        <f>_xll.BDP(A82,"CHG_PCT_1YR")</f>
        <v>-2.9632529999999999</v>
      </c>
      <c r="P82" s="2">
        <f>_xll.BDP(A82,"INTERVAL_HIGH", "MARKET_DATA_OVERRIDE=PE_RATIO", "CALC_INTERVAL=5y", "BEST_FPERIOD_OVERRIDE=BF")</f>
        <v>24.409749576261074</v>
      </c>
      <c r="Q82" s="2">
        <f>_xll.BDP(A82,"INTERVAL_Low", "MARKET_DATA_OVERRIDE=PE_RATIO", "CALC_INTERVAL=5y", "BEST_FPERIOD_OVERRIDE=BF")</f>
        <v>11.977994038067958</v>
      </c>
      <c r="R82" s="2">
        <f>_xll.BDP(A82,"PE_RATIO")</f>
        <v>19.498932048706262</v>
      </c>
      <c r="S82" s="3">
        <f>IF(ISERROR((R82-Q82)/(P82-Q82)),"",(R82-Q82)/(P82-Q82))</f>
        <v>0.60497795243256758</v>
      </c>
    </row>
    <row r="83" spans="1:19" x14ac:dyDescent="0.25">
      <c r="A83" t="s">
        <v>18</v>
      </c>
      <c r="B83" t="str">
        <f>_xll.BDP(A83,"DS697")</f>
        <v>紐約證交所保健類指數</v>
      </c>
      <c r="C83" t="str">
        <f>_xll.BDP(A83,"DS003")</f>
        <v>US</v>
      </c>
      <c r="D83" s="2">
        <f>_xll.BDP(A83,"PX_LAST")</f>
        <v>15959.59</v>
      </c>
      <c r="E83" s="2">
        <f>_xll.BDP(A83,"CHG_PCT_1D")</f>
        <v>-0.34530369999999999</v>
      </c>
      <c r="F83" s="2">
        <f>_xll.BDP(A83,"HIGH_52WEEK")</f>
        <v>16647.2109375</v>
      </c>
      <c r="G83" s="2">
        <f>LN(F83/D83)*100</f>
        <v>4.2182788664981983</v>
      </c>
      <c r="H83" s="2">
        <f>_xll.BDP(A83,"LOW_52WEEK")</f>
        <v>14233.89</v>
      </c>
      <c r="I83" s="2">
        <f>LN(H83/D83)*100</f>
        <v>-11.443416159668345</v>
      </c>
      <c r="J83" s="2">
        <f>_xll.BDP(A83,"CHG_PCT_5D")</f>
        <v>-1.5452969999999999</v>
      </c>
      <c r="K83" s="2">
        <f>_xll.BDP(A83,"CHG_PCT_1M")</f>
        <v>0.62203260000000005</v>
      </c>
      <c r="L83" s="2">
        <f>_xll.BDP(A83,"CHG_PCT_3M")</f>
        <v>-2.0327519999999999</v>
      </c>
      <c r="M83" s="2">
        <f>_xll.BDP(A83,"CHG_PCT_6M")</f>
        <v>-0.54366020000000004</v>
      </c>
      <c r="N83" s="2">
        <f>_xll.BDP(A83,"PR064")</f>
        <v>-2.0327519999999999</v>
      </c>
      <c r="O83" s="2">
        <f>_xll.BDP(A83,"CHG_PCT_1YR")</f>
        <v>-1.830578</v>
      </c>
      <c r="P83" s="2">
        <f>_xll.BDP(A83,"INTERVAL_HIGH", "MARKET_DATA_OVERRIDE=PE_RATIO", "CALC_INTERVAL=5y", "BEST_FPERIOD_OVERRIDE=BF")</f>
        <v>28.330169501863619</v>
      </c>
      <c r="Q83" s="2">
        <f>_xll.BDP(A83,"INTERVAL_Low", "MARKET_DATA_OVERRIDE=PE_RATIO", "CALC_INTERVAL=5y", "BEST_FPERIOD_OVERRIDE=BF")</f>
        <v>0.10861542426355854</v>
      </c>
      <c r="R83" s="2">
        <f>_xll.BDP(A83,"PE_RATIO")</f>
        <v>22.945513361365123</v>
      </c>
      <c r="S83" s="3">
        <f>IF(ISERROR((R83-Q83)/(P83-Q83)),"",(R83-Q83)/(P83-Q83))</f>
        <v>0.80920058031912601</v>
      </c>
    </row>
    <row r="84" spans="1:19" x14ac:dyDescent="0.25">
      <c r="A84" t="s">
        <v>173</v>
      </c>
      <c r="B84" t="str">
        <f>_xll.BDP(A84,"DS697")</f>
        <v>布拉格證券交易所指數</v>
      </c>
      <c r="C84" t="str">
        <f>_xll.BDP(A84,"DS003")</f>
        <v>CZ</v>
      </c>
      <c r="D84" s="2">
        <f>_xll.BDP(A84,"PX_LAST")</f>
        <v>1037.0999999999999</v>
      </c>
      <c r="E84" s="2">
        <f>_xll.BDP(A84,"CHG_PCT_1D")</f>
        <v>0.58580489999999996</v>
      </c>
      <c r="F84" s="2">
        <f>_xll.BDP(A84,"HIGH_52WEEK")</f>
        <v>1113.68</v>
      </c>
      <c r="G84" s="2">
        <f>LN(F84/D84)*100</f>
        <v>7.1241490484623418</v>
      </c>
      <c r="H84" s="2">
        <f>_xll.BDP(A84,"LOW_52WEEK")</f>
        <v>975.31</v>
      </c>
      <c r="I84" s="2">
        <f>LN(H84/D84)*100</f>
        <v>-6.1428266414874884</v>
      </c>
      <c r="J84" s="2">
        <f>_xll.BDP(A84,"CHG_PCT_5D")</f>
        <v>-1.5436300000000001</v>
      </c>
      <c r="K84" s="2">
        <f>_xll.BDP(A84,"CHG_PCT_1M")</f>
        <v>0.28719509999999998</v>
      </c>
      <c r="L84" s="2">
        <f>_xll.BDP(A84,"CHG_PCT_3M")</f>
        <v>-8.0926250000000005E-2</v>
      </c>
      <c r="M84" s="2">
        <f>_xll.BDP(A84,"CHG_PCT_6M")</f>
        <v>-3.7011579999999999</v>
      </c>
      <c r="N84" s="2">
        <f>_xll.BDP(A84,"PR064")</f>
        <v>-8.0926250000000005E-2</v>
      </c>
      <c r="O84" s="2">
        <f>_xll.BDP(A84,"CHG_PCT_1YR")</f>
        <v>-5.882466</v>
      </c>
      <c r="P84" s="2">
        <f>_xll.BDP(A84,"INTERVAL_HIGH", "MARKET_DATA_OVERRIDE=PE_RATIO", "CALC_INTERVAL=5y", "BEST_FPERIOD_OVERRIDE=BF")</f>
        <v>114.33998199076478</v>
      </c>
      <c r="Q84" s="2">
        <f>_xll.BDP(A84,"INTERVAL_Low", "MARKET_DATA_OVERRIDE=PE_RATIO", "CALC_INTERVAL=5y", "BEST_FPERIOD_OVERRIDE=BF")</f>
        <v>11.102458037283428</v>
      </c>
      <c r="R84" s="2">
        <f>_xll.BDP(A84,"PE_RATIO")</f>
        <v>11.687763552344418</v>
      </c>
      <c r="S84" s="3">
        <f>IF(ISERROR((R84-Q84)/(P84-Q84)),"",(R84-Q84)/(P84-Q84))</f>
        <v>5.6695036130925318E-3</v>
      </c>
    </row>
    <row r="85" spans="1:19" x14ac:dyDescent="0.25">
      <c r="A85" t="s">
        <v>108</v>
      </c>
      <c r="B85" t="str">
        <f>_xll.BDP(A85,"DS697")</f>
        <v>德國法蘭克福DAX中型股指數</v>
      </c>
      <c r="C85" t="str">
        <f>_xll.BDP(A85,"DS003")</f>
        <v>GE</v>
      </c>
      <c r="D85" s="2">
        <f>_xll.BDP(A85,"PX_LAST")</f>
        <v>25700.35</v>
      </c>
      <c r="E85" s="2">
        <f>_xll.BDP(A85,"CHG_PCT_1D")</f>
        <v>0.52821580000000001</v>
      </c>
      <c r="F85" s="2">
        <f>_xll.BDP(A85,"HIGH_52WEEK")</f>
        <v>26404.37</v>
      </c>
      <c r="G85" s="2">
        <f>LN(F85/D85)*100</f>
        <v>2.7024916271188206</v>
      </c>
      <c r="H85" s="2">
        <f>_xll.BDP(A85,"LOW_52WEEK")</f>
        <v>21160.7109375</v>
      </c>
      <c r="I85" s="2">
        <f>LN(H85/D85)*100</f>
        <v>-19.43584058792618</v>
      </c>
      <c r="J85" s="2">
        <f>_xll.BDP(A85,"CHG_PCT_5D")</f>
        <v>-1.5026200000000001</v>
      </c>
      <c r="K85" s="2">
        <f>_xll.BDP(A85,"CHG_PCT_1M")</f>
        <v>2.0586980000000001</v>
      </c>
      <c r="L85" s="2">
        <f>_xll.BDP(A85,"CHG_PCT_3M")</f>
        <v>1.4173370000000001</v>
      </c>
      <c r="M85" s="2">
        <f>_xll.BDP(A85,"CHG_PCT_6M")</f>
        <v>3.993242</v>
      </c>
      <c r="N85" s="2">
        <f>_xll.BDP(A85,"PR064")</f>
        <v>1.4173370000000001</v>
      </c>
      <c r="O85" s="2">
        <f>_xll.BDP(A85,"CHG_PCT_1YR")</f>
        <v>-1.713074</v>
      </c>
      <c r="P85" s="2">
        <f>_xll.BDP(A85,"INTERVAL_HIGH", "MARKET_DATA_OVERRIDE=PE_RATIO", "CALC_INTERVAL=5y", "BEST_FPERIOD_OVERRIDE=BF")</f>
        <v>24.441609805915174</v>
      </c>
      <c r="Q85" s="2">
        <f>_xll.BDP(A85,"INTERVAL_Low", "MARKET_DATA_OVERRIDE=PE_RATIO", "CALC_INTERVAL=5y", "BEST_FPERIOD_OVERRIDE=BF")</f>
        <v>15.161549502444776</v>
      </c>
      <c r="R85" s="2">
        <f>_xll.BDP(A85,"PE_RATIO")</f>
        <v>16.729658012371086</v>
      </c>
      <c r="S85" s="3">
        <f>IF(ISERROR((R85-Q85)/(P85-Q85)),"",(R85-Q85)/(P85-Q85))</f>
        <v>0.16897611207762253</v>
      </c>
    </row>
    <row r="86" spans="1:19" x14ac:dyDescent="0.25">
      <c r="A86" t="s">
        <v>107</v>
      </c>
      <c r="B86" t="str">
        <f>_xll.BDP(A86,"DS697")</f>
        <v>德國法蘭克福HDAX指數</v>
      </c>
      <c r="C86" t="str">
        <f>_xll.BDP(A86,"DS003")</f>
        <v>GE</v>
      </c>
      <c r="D86" s="2">
        <f>_xll.BDP(A86,"PX_LAST")</f>
        <v>6832.18</v>
      </c>
      <c r="E86" s="2">
        <f>_xll.BDP(A86,"CHG_PCT_1D")</f>
        <v>0.39542880000000002</v>
      </c>
      <c r="F86" s="2">
        <f>_xll.BDP(A86,"HIGH_52WEEK")</f>
        <v>7045.14</v>
      </c>
      <c r="G86" s="2">
        <f>LN(F86/D86)*100</f>
        <v>3.0694214659597114</v>
      </c>
      <c r="H86" s="2">
        <f>_xll.BDP(A86,"LOW_52WEEK")</f>
        <v>5667.62</v>
      </c>
      <c r="I86" s="2">
        <f>LN(H86/D86)*100</f>
        <v>-18.68745262111646</v>
      </c>
      <c r="J86" s="2">
        <f>_xll.BDP(A86,"CHG_PCT_5D")</f>
        <v>-1.5006630000000001</v>
      </c>
      <c r="K86" s="2">
        <f>_xll.BDP(A86,"CHG_PCT_1M")</f>
        <v>3.8462580000000002</v>
      </c>
      <c r="L86" s="2">
        <f>_xll.BDP(A86,"CHG_PCT_3M")</f>
        <v>-1.434154E-2</v>
      </c>
      <c r="M86" s="2">
        <f>_xll.BDP(A86,"CHG_PCT_6M")</f>
        <v>6.6305259999999997</v>
      </c>
      <c r="N86" s="2">
        <f>_xll.BDP(A86,"PR064")</f>
        <v>-1.434154E-2</v>
      </c>
      <c r="O86" s="2">
        <f>_xll.BDP(A86,"CHG_PCT_1YR")</f>
        <v>-1.0951329999999999</v>
      </c>
      <c r="P86" s="2">
        <f>_xll.BDP(A86,"INTERVAL_HIGH", "MARKET_DATA_OVERRIDE=PE_RATIO", "CALC_INTERVAL=5y", "BEST_FPERIOD_OVERRIDE=BF")</f>
        <v>24.298568740103033</v>
      </c>
      <c r="Q86" s="2">
        <f>_xll.BDP(A86,"INTERVAL_Low", "MARKET_DATA_OVERRIDE=PE_RATIO", "CALC_INTERVAL=5y", "BEST_FPERIOD_OVERRIDE=BF")</f>
        <v>12.399891377740767</v>
      </c>
      <c r="R86" s="2">
        <f>_xll.BDP(A86,"PE_RATIO")</f>
        <v>19.575253797220451</v>
      </c>
      <c r="S86" s="3">
        <f>IF(ISERROR((R86-Q86)/(P86-Q86)),"",(R86-Q86)/(P86-Q86))</f>
        <v>0.6030386572356935</v>
      </c>
    </row>
    <row r="87" spans="1:19" x14ac:dyDescent="0.25">
      <c r="A87" t="s">
        <v>101</v>
      </c>
      <c r="B87" t="str">
        <f>_xll.BDP(A87,"DS697")</f>
        <v>富時小型股指數</v>
      </c>
      <c r="C87" t="str">
        <f>_xll.BDP(A87,"DS003")</f>
        <v>GB</v>
      </c>
      <c r="D87" s="2">
        <f>_xll.BDP(A87,"PX_LAST")</f>
        <v>5424.77</v>
      </c>
      <c r="E87" s="2">
        <f>_xll.BDP(A87,"CHG_PCT_1D")</f>
        <v>-0.32595249999999998</v>
      </c>
      <c r="F87" s="2">
        <f>_xll.BDP(A87,"HIGH_52WEEK")</f>
        <v>5853.79</v>
      </c>
      <c r="G87" s="2">
        <f>LN(F87/D87)*100</f>
        <v>7.6113812504421965</v>
      </c>
      <c r="H87" s="2">
        <f>_xll.BDP(A87,"LOW_52WEEK")</f>
        <v>5074.67</v>
      </c>
      <c r="I87" s="2">
        <f>LN(H87/D87)*100</f>
        <v>-6.6714004031293932</v>
      </c>
      <c r="J87" s="2">
        <f>_xll.BDP(A87,"CHG_PCT_5D")</f>
        <v>-1.4981949999999999</v>
      </c>
      <c r="K87" s="2">
        <f>_xll.BDP(A87,"CHG_PCT_1M")</f>
        <v>0.81229280000000004</v>
      </c>
      <c r="L87" s="2">
        <f>_xll.BDP(A87,"CHG_PCT_3M")</f>
        <v>-2.563107</v>
      </c>
      <c r="M87" s="2">
        <f>_xll.BDP(A87,"CHG_PCT_6M")</f>
        <v>-0.1097451</v>
      </c>
      <c r="N87" s="2">
        <f>_xll.BDP(A87,"PR064")</f>
        <v>-2.563107</v>
      </c>
      <c r="O87" s="2">
        <f>_xll.BDP(A87,"CHG_PCT_1YR")</f>
        <v>-6.9617820000000004</v>
      </c>
      <c r="P87" s="2">
        <f>_xll.BDP(A87,"INTERVAL_HIGH", "MARKET_DATA_OVERRIDE=PE_RATIO", "CALC_INTERVAL=5y", "BEST_FPERIOD_OVERRIDE=BF")</f>
        <v>4051.3854796352234</v>
      </c>
      <c r="Q87" s="2">
        <f>_xll.BDP(A87,"INTERVAL_Low", "MARKET_DATA_OVERRIDE=PE_RATIO", "CALC_INTERVAL=5y", "BEST_FPERIOD_OVERRIDE=BF")</f>
        <v>21.738826741635169</v>
      </c>
      <c r="R87" s="2">
        <f>_xll.BDP(A87,"PE_RATIO")</f>
        <v>130.7701148217817</v>
      </c>
      <c r="S87" s="3">
        <f>IF(ISERROR((R87-Q87)/(P87-Q87)),"",(R87-Q87)/(P87-Q87))</f>
        <v>2.7057282554006044E-2</v>
      </c>
    </row>
    <row r="88" spans="1:19" x14ac:dyDescent="0.25">
      <c r="A88" t="s">
        <v>116</v>
      </c>
      <c r="B88" t="str">
        <f>_xll.BDP(A88,"DS697")</f>
        <v>法國CAC 100中型股指數</v>
      </c>
      <c r="C88" t="str">
        <f>_xll.BDP(A88,"DS003")</f>
        <v>FR</v>
      </c>
      <c r="D88" s="2">
        <f>_xll.BDP(A88,"PX_LAST")</f>
        <v>13183.6</v>
      </c>
      <c r="E88" s="2">
        <f>_xll.BDP(A88,"CHG_PCT_1D")</f>
        <v>0.27450059999999998</v>
      </c>
      <c r="F88" s="2">
        <f>_xll.BDP(A88,"HIGH_52WEEK")</f>
        <v>14266.87</v>
      </c>
      <c r="G88" s="2">
        <f>LN(F88/D88)*100</f>
        <v>7.8966433253497073</v>
      </c>
      <c r="H88" s="2">
        <f>_xll.BDP(A88,"LOW_52WEEK")</f>
        <v>11116.6</v>
      </c>
      <c r="I88" s="2">
        <f>LN(H88/D88)*100</f>
        <v>-17.053414622698778</v>
      </c>
      <c r="J88" s="2">
        <f>_xll.BDP(A88,"CHG_PCT_5D")</f>
        <v>-1.4960599999999999</v>
      </c>
      <c r="K88" s="2">
        <f>_xll.BDP(A88,"CHG_PCT_1M")</f>
        <v>2.1890170000000002</v>
      </c>
      <c r="L88" s="2">
        <f>_xll.BDP(A88,"CHG_PCT_3M")</f>
        <v>-0.12772549999999999</v>
      </c>
      <c r="M88" s="2">
        <f>_xll.BDP(A88,"CHG_PCT_6M")</f>
        <v>3.3161010000000002</v>
      </c>
      <c r="N88" s="2">
        <f>_xll.BDP(A88,"PR064")</f>
        <v>-0.12772549999999999</v>
      </c>
      <c r="O88" s="2">
        <f>_xll.BDP(A88,"CHG_PCT_1YR")</f>
        <v>-7.263414</v>
      </c>
      <c r="P88" s="2">
        <f>_xll.BDP(A88,"INTERVAL_HIGH", "MARKET_DATA_OVERRIDE=PE_RATIO", "CALC_INTERVAL=5y", "BEST_FPERIOD_OVERRIDE=BF")</f>
        <v>70.920052651358958</v>
      </c>
      <c r="Q88" s="2">
        <f>_xll.BDP(A88,"INTERVAL_Low", "MARKET_DATA_OVERRIDE=PE_RATIO", "CALC_INTERVAL=5y", "BEST_FPERIOD_OVERRIDE=BF")</f>
        <v>16.414697986885386</v>
      </c>
      <c r="R88" s="2">
        <f>_xll.BDP(A88,"PE_RATIO")</f>
        <v>25.457835065253771</v>
      </c>
      <c r="S88" s="3">
        <f>IF(ISERROR((R88-Q88)/(P88-Q88)),"",(R88-Q88)/(P88-Q88))</f>
        <v>0.16591281964930824</v>
      </c>
    </row>
    <row r="89" spans="1:19" x14ac:dyDescent="0.25">
      <c r="A89" t="s">
        <v>308</v>
      </c>
      <c r="B89" t="str">
        <f>_xll.BDP(A89,"DS697")</f>
        <v>喀拉蚩綜合指數</v>
      </c>
      <c r="C89" t="str">
        <f>_xll.BDP(A89,"DS003")</f>
        <v>PK</v>
      </c>
      <c r="D89" s="2">
        <f>_xll.BDP(A89,"PX_LAST")</f>
        <v>23083.25</v>
      </c>
      <c r="E89" s="2">
        <f>_xll.BDP(A89,"CHG_PCT_1D")</f>
        <v>-0.10866199999999999</v>
      </c>
      <c r="F89" s="2">
        <f>_xll.BDP(A89,"HIGH_52WEEK")</f>
        <v>30547.05078125</v>
      </c>
      <c r="G89" s="2">
        <f>LN(F89/D89)*100</f>
        <v>28.016089723442228</v>
      </c>
      <c r="H89" s="2">
        <f>_xll.BDP(A89,"LOW_52WEEK")</f>
        <v>21356.2109375</v>
      </c>
      <c r="I89" s="2">
        <f>LN(H89/D89)*100</f>
        <v>-7.776463849457123</v>
      </c>
      <c r="J89" s="2">
        <f>_xll.BDP(A89,"CHG_PCT_5D")</f>
        <v>-1.4771639999999999</v>
      </c>
      <c r="K89" s="2">
        <f>_xll.BDP(A89,"CHG_PCT_1M")</f>
        <v>2.4662120000000001</v>
      </c>
      <c r="L89" s="2">
        <f>_xll.BDP(A89,"CHG_PCT_3M")</f>
        <v>-7.2088000000000001</v>
      </c>
      <c r="M89" s="2">
        <f>_xll.BDP(A89,"CHG_PCT_6M")</f>
        <v>-18.74596</v>
      </c>
      <c r="N89" s="2">
        <f>_xll.BDP(A89,"PR064")</f>
        <v>-7.2088000000000001</v>
      </c>
      <c r="O89" s="2">
        <f>_xll.BDP(A89,"CHG_PCT_1YR")</f>
        <v>-22.463509999999999</v>
      </c>
      <c r="P89" s="2">
        <f>_xll.BDP(A89,"INTERVAL_HIGH", "MARKET_DATA_OVERRIDE=PE_RATIO", "CALC_INTERVAL=5y", "BEST_FPERIOD_OVERRIDE=BF")</f>
        <v>16.090979668023159</v>
      </c>
      <c r="Q89" s="2">
        <f>_xll.BDP(A89,"INTERVAL_Low", "MARKET_DATA_OVERRIDE=PE_RATIO", "CALC_INTERVAL=5y", "BEST_FPERIOD_OVERRIDE=BF")</f>
        <v>6.6597880253550779</v>
      </c>
      <c r="R89" s="2">
        <f>_xll.BDP(A89,"PE_RATIO")</f>
        <v>10.569797170298358</v>
      </c>
      <c r="S89" s="3">
        <f>IF(ISERROR((R89-Q89)/(P89-Q89)),"",(R89-Q89)/(P89-Q89))</f>
        <v>0.41458272645567185</v>
      </c>
    </row>
    <row r="90" spans="1:19" x14ac:dyDescent="0.25">
      <c r="A90" t="s">
        <v>259</v>
      </c>
      <c r="B90" t="str">
        <f>_xll.BDP(A90,"DS697")</f>
        <v>MSCI亞洲APEX50指數</v>
      </c>
      <c r="C90" t="str">
        <f>_xll.BDP(A90,"DS003")</f>
        <v>MULT</v>
      </c>
      <c r="D90" s="2">
        <f>_xll.BDP(A90,"PX_LAST")</f>
        <v>1177.96</v>
      </c>
      <c r="E90" s="2">
        <f>_xll.BDP(A90,"CHG_PCT_1D")</f>
        <v>0.22291420000000001</v>
      </c>
      <c r="F90" s="2">
        <f>_xll.BDP(A90,"HIGH_52WEEK")</f>
        <v>1310.5</v>
      </c>
      <c r="G90" s="2">
        <f>LN(F90/D90)*100</f>
        <v>10.662461498582759</v>
      </c>
      <c r="H90" s="2">
        <f>_xll.BDP(A90,"LOW_52WEEK")</f>
        <v>1050.92</v>
      </c>
      <c r="I90" s="2">
        <f>LN(H90/D90)*100</f>
        <v>-11.411815778067641</v>
      </c>
      <c r="J90" s="2">
        <f>_xll.BDP(A90,"CHG_PCT_5D")</f>
        <v>-1.462218</v>
      </c>
      <c r="K90" s="2">
        <f>_xll.BDP(A90,"CHG_PCT_1M")</f>
        <v>4.6034139999999999</v>
      </c>
      <c r="L90" s="2">
        <f>_xll.BDP(A90,"CHG_PCT_3M")</f>
        <v>-3.7944559999999998</v>
      </c>
      <c r="M90" s="2">
        <f>_xll.BDP(A90,"CHG_PCT_6M")</f>
        <v>-4.3902510000000001</v>
      </c>
      <c r="N90" s="2">
        <f>_xll.BDP(A90,"PR064")</f>
        <v>-3.7944559999999998</v>
      </c>
      <c r="O90" s="2">
        <f>_xll.BDP(A90,"CHG_PCT_1YR")</f>
        <v>-5.5145140000000001</v>
      </c>
      <c r="P90" s="2">
        <f>_xll.BDP(A90,"INTERVAL_HIGH", "MARKET_DATA_OVERRIDE=PE_RATIO", "CALC_INTERVAL=5y", "BEST_FPERIOD_OVERRIDE=BF")</f>
        <v>15.806526892508847</v>
      </c>
      <c r="Q90" s="2">
        <f>_xll.BDP(A90,"INTERVAL_Low", "MARKET_DATA_OVERRIDE=PE_RATIO", "CALC_INTERVAL=5y", "BEST_FPERIOD_OVERRIDE=BF")</f>
        <v>8.9299917860238107</v>
      </c>
      <c r="R90" s="2">
        <f>_xll.BDP(A90,"PE_RATIO")</f>
        <v>13.043179562602017</v>
      </c>
      <c r="S90" s="3">
        <f>IF(ISERROR((R90-Q90)/(P90-Q90)),"",(R90-Q90)/(P90-Q90))</f>
        <v>0.59814829894479749</v>
      </c>
    </row>
    <row r="91" spans="1:19" x14ac:dyDescent="0.25">
      <c r="A91" t="s">
        <v>148</v>
      </c>
      <c r="B91" t="str">
        <f>_xll.BDP(A91,"DS697")</f>
        <v>OMX赫爾辛基指數</v>
      </c>
      <c r="C91" t="str">
        <f>_xll.BDP(A91,"DS003")</f>
        <v>FI</v>
      </c>
      <c r="D91" s="2">
        <f>_xll.BDP(A91,"PX_LAST")</f>
        <v>9327.4330000000009</v>
      </c>
      <c r="E91" s="2">
        <f>_xll.BDP(A91,"CHG_PCT_1D")</f>
        <v>0.29079430000000001</v>
      </c>
      <c r="F91" s="2">
        <f>_xll.BDP(A91,"HIGH_52WEEK")</f>
        <v>10329.19</v>
      </c>
      <c r="G91" s="2">
        <f>LN(F91/D91)*100</f>
        <v>10.20140246395051</v>
      </c>
      <c r="H91" s="2">
        <f>_xll.BDP(A91,"LOW_52WEEK")</f>
        <v>8571.921875</v>
      </c>
      <c r="I91" s="2">
        <f>LN(H91/D91)*100</f>
        <v>-8.4467879432472905</v>
      </c>
      <c r="J91" s="2">
        <f>_xll.BDP(A91,"CHG_PCT_5D")</f>
        <v>-1.4594469999999999</v>
      </c>
      <c r="K91" s="2">
        <f>_xll.BDP(A91,"CHG_PCT_1M")</f>
        <v>4.1970799999999997</v>
      </c>
      <c r="L91" s="2">
        <f>_xll.BDP(A91,"CHG_PCT_3M")</f>
        <v>-0.13576559999999999</v>
      </c>
      <c r="M91" s="2">
        <f>_xll.BDP(A91,"CHG_PCT_6M")</f>
        <v>-3.3629889999999998</v>
      </c>
      <c r="N91" s="2">
        <f>_xll.BDP(A91,"PR064")</f>
        <v>-0.13576559999999999</v>
      </c>
      <c r="O91" s="2">
        <f>_xll.BDP(A91,"CHG_PCT_1YR")</f>
        <v>-9.5840800000000002</v>
      </c>
      <c r="P91" s="2">
        <f>_xll.BDP(A91,"INTERVAL_HIGH", "MARKET_DATA_OVERRIDE=PE_RATIO", "CALC_INTERVAL=5y", "BEST_FPERIOD_OVERRIDE=BF")</f>
        <v>30.12097827459398</v>
      </c>
      <c r="Q91" s="2">
        <f>_xll.BDP(A91,"INTERVAL_Low", "MARKET_DATA_OVERRIDE=PE_RATIO", "CALC_INTERVAL=5y", "BEST_FPERIOD_OVERRIDE=BF")</f>
        <v>16.010878899592626</v>
      </c>
      <c r="R91" s="2">
        <f>_xll.BDP(A91,"PE_RATIO")</f>
        <v>19.281603378696925</v>
      </c>
      <c r="S91" s="3">
        <f>IF(ISERROR((R91-Q91)/(P91-Q91)),"",(R91-Q91)/(P91-Q91))</f>
        <v>0.23180024407900279</v>
      </c>
    </row>
    <row r="92" spans="1:19" x14ac:dyDescent="0.25">
      <c r="A92" t="s">
        <v>24</v>
      </c>
      <c r="B92" t="str">
        <f>_xll.BDP(A92,"DS697")</f>
        <v>那斯達克銀行類指數</v>
      </c>
      <c r="C92" t="str">
        <f>_xll.BDP(A92,"DS003")</f>
        <v>US</v>
      </c>
      <c r="D92" s="2">
        <f>_xll.BDP(A92,"PX_LAST")</f>
        <v>3628.1080000000002</v>
      </c>
      <c r="E92" s="2">
        <f>_xll.BDP(A92,"CHG_PCT_1D")</f>
        <v>-1.4689859999999999</v>
      </c>
      <c r="F92" s="2">
        <f>_xll.BDP(A92,"HIGH_52WEEK")</f>
        <v>4121.9359999999997</v>
      </c>
      <c r="G92" s="2">
        <f>LN(F92/D92)*100</f>
        <v>12.761165562696331</v>
      </c>
      <c r="H92" s="2">
        <f>_xll.BDP(A92,"LOW_52WEEK")</f>
        <v>3103.4769999999999</v>
      </c>
      <c r="I92" s="2">
        <f>LN(H92/D92)*100</f>
        <v>-15.618820442077922</v>
      </c>
      <c r="J92" s="2">
        <f>_xll.BDP(A92,"CHG_PCT_5D")</f>
        <v>-1.4549639999999999</v>
      </c>
      <c r="K92" s="2">
        <f>_xll.BDP(A92,"CHG_PCT_1M")</f>
        <v>8.6068999999999996</v>
      </c>
      <c r="L92" s="2">
        <f>_xll.BDP(A92,"CHG_PCT_3M")</f>
        <v>0.177844</v>
      </c>
      <c r="M92" s="2">
        <f>_xll.BDP(A92,"CHG_PCT_6M")</f>
        <v>3.6443210000000001</v>
      </c>
      <c r="N92" s="2">
        <f>_xll.BDP(A92,"PR064")</f>
        <v>0.177844</v>
      </c>
      <c r="O92" s="2">
        <f>_xll.BDP(A92,"CHG_PCT_1YR")</f>
        <v>-10.28274</v>
      </c>
      <c r="P92" s="2">
        <f>_xll.BDP(A92,"INTERVAL_HIGH", "MARKET_DATA_OVERRIDE=PE_RATIO", "CALC_INTERVAL=5y", "BEST_FPERIOD_OVERRIDE=BF")</f>
        <v>21.704704215693255</v>
      </c>
      <c r="Q92" s="2">
        <f>_xll.BDP(A92,"INTERVAL_Low", "MARKET_DATA_OVERRIDE=PE_RATIO", "CALC_INTERVAL=5y", "BEST_FPERIOD_OVERRIDE=BF")</f>
        <v>10.948847405962928</v>
      </c>
      <c r="R92" s="2">
        <f>_xll.BDP(A92,"PE_RATIO")</f>
        <v>11.895460167377955</v>
      </c>
      <c r="S92" s="3">
        <f>IF(ISERROR((R92-Q92)/(P92-Q92)),"",(R92-Q92)/(P92-Q92))</f>
        <v>8.8009052013287334E-2</v>
      </c>
    </row>
    <row r="93" spans="1:19" x14ac:dyDescent="0.25">
      <c r="A93" t="s">
        <v>150</v>
      </c>
      <c r="B93" t="str">
        <f>_xll.BDP(A93,"DS697")</f>
        <v>OMX赫爾辛基Cap指數</v>
      </c>
      <c r="C93" t="str">
        <f>_xll.BDP(A93,"DS003")</f>
        <v>FI</v>
      </c>
      <c r="D93" s="2">
        <f>_xll.BDP(A93,"PX_LAST")</f>
        <v>6478.2669999999998</v>
      </c>
      <c r="E93" s="2">
        <f>_xll.BDP(A93,"CHG_PCT_1D")</f>
        <v>0.30130960000000001</v>
      </c>
      <c r="F93" s="2">
        <f>_xll.BDP(A93,"HIGH_52WEEK")</f>
        <v>7082.6360000000004</v>
      </c>
      <c r="G93" s="2">
        <f>LN(F93/D93)*100</f>
        <v>8.9193118472676485</v>
      </c>
      <c r="H93" s="2">
        <f>_xll.BDP(A93,"LOW_52WEEK")</f>
        <v>5892.4780000000001</v>
      </c>
      <c r="I93" s="2">
        <f>LN(H93/D93)*100</f>
        <v>-9.4776414063016734</v>
      </c>
      <c r="J93" s="2">
        <f>_xll.BDP(A93,"CHG_PCT_5D")</f>
        <v>-1.4462079999999999</v>
      </c>
      <c r="K93" s="2">
        <f>_xll.BDP(A93,"CHG_PCT_1M")</f>
        <v>4.232621</v>
      </c>
      <c r="L93" s="2">
        <f>_xll.BDP(A93,"CHG_PCT_3M")</f>
        <v>-4.0624180000000003E-2</v>
      </c>
      <c r="M93" s="2">
        <f>_xll.BDP(A93,"CHG_PCT_6M")</f>
        <v>-2.6709520000000002</v>
      </c>
      <c r="N93" s="2">
        <f>_xll.BDP(A93,"PR064")</f>
        <v>-4.0624180000000003E-2</v>
      </c>
      <c r="O93" s="2">
        <f>_xll.BDP(A93,"CHG_PCT_1YR")</f>
        <v>-8.4158360000000005</v>
      </c>
      <c r="P93" s="2">
        <f>_xll.BDP(A93,"INTERVAL_HIGH", "MARKET_DATA_OVERRIDE=PE_RATIO", "CALC_INTERVAL=5y", "BEST_FPERIOD_OVERRIDE=BF")</f>
        <v>29.834740361124414</v>
      </c>
      <c r="Q93" s="2">
        <f>_xll.BDP(A93,"INTERVAL_Low", "MARKET_DATA_OVERRIDE=PE_RATIO", "CALC_INTERVAL=5y", "BEST_FPERIOD_OVERRIDE=BF")</f>
        <v>13.065850282702787</v>
      </c>
      <c r="R93" s="2">
        <f>_xll.BDP(A93,"PE_RATIO")</f>
        <v>19.189088856447391</v>
      </c>
      <c r="S93" s="3">
        <f>IF(ISERROR((R93-Q93)/(P93-Q93)),"",(R93-Q93)/(P93-Q93))</f>
        <v>0.36515467303492244</v>
      </c>
    </row>
    <row r="94" spans="1:19" x14ac:dyDescent="0.25">
      <c r="A94" t="s">
        <v>274</v>
      </c>
      <c r="B94" t="str">
        <f>_xll.BDP(A94,"DS697")</f>
        <v>標普/香港交易所大型股指數</v>
      </c>
      <c r="C94" t="str">
        <f>_xll.BDP(A94,"DS003")</f>
        <v>HK</v>
      </c>
      <c r="D94" s="2">
        <f>_xll.BDP(A94,"PX_LAST")</f>
        <v>33700.449999999997</v>
      </c>
      <c r="E94" s="2">
        <f>_xll.BDP(A94,"CHG_PCT_1D")</f>
        <v>0.30227189999999998</v>
      </c>
      <c r="F94" s="2">
        <f>_xll.BDP(A94,"HIGH_52WEEK")</f>
        <v>38786.5390625</v>
      </c>
      <c r="G94" s="2">
        <f>LN(F94/D94)*100</f>
        <v>14.056206467085739</v>
      </c>
      <c r="H94" s="2">
        <f>_xll.BDP(A94,"LOW_52WEEK")</f>
        <v>31599.9296875</v>
      </c>
      <c r="I94" s="2">
        <f>LN(H94/D94)*100</f>
        <v>-6.4356294873613828</v>
      </c>
      <c r="J94" s="2">
        <f>_xll.BDP(A94,"CHG_PCT_5D")</f>
        <v>-1.4150130000000001</v>
      </c>
      <c r="K94" s="2">
        <f>_xll.BDP(A94,"CHG_PCT_1M")</f>
        <v>1.2486090000000001</v>
      </c>
      <c r="L94" s="2">
        <f>_xll.BDP(A94,"CHG_PCT_3M")</f>
        <v>-8.6901919999999997</v>
      </c>
      <c r="M94" s="2">
        <f>_xll.BDP(A94,"CHG_PCT_6M")</f>
        <v>-8.3653720000000007</v>
      </c>
      <c r="N94" s="2">
        <f>_xll.BDP(A94,"PR064")</f>
        <v>-8.6901919999999997</v>
      </c>
      <c r="O94" s="2">
        <f>_xll.BDP(A94,"CHG_PCT_1YR")</f>
        <v>-6.4506259999999997</v>
      </c>
      <c r="P94" s="2">
        <f>_xll.BDP(A94,"INTERVAL_HIGH", "MARKET_DATA_OVERRIDE=PE_RATIO", "CALC_INTERVAL=5y", "BEST_FPERIOD_OVERRIDE=BF")</f>
        <v>16.392208822043923</v>
      </c>
      <c r="Q94" s="2">
        <f>_xll.BDP(A94,"INTERVAL_Low", "MARKET_DATA_OVERRIDE=PE_RATIO", "CALC_INTERVAL=5y", "BEST_FPERIOD_OVERRIDE=BF")</f>
        <v>9.3790916487931018</v>
      </c>
      <c r="R94" s="2">
        <f>_xll.BDP(A94,"PE_RATIO")</f>
        <v>12.418106484055754</v>
      </c>
      <c r="S94" s="3">
        <f>IF(ISERROR((R94-Q94)/(P94-Q94)),"",(R94-Q94)/(P94-Q94))</f>
        <v>0.43333296167558027</v>
      </c>
    </row>
    <row r="95" spans="1:19" x14ac:dyDescent="0.25">
      <c r="A95" t="s">
        <v>103</v>
      </c>
      <c r="B95" t="str">
        <f>_xll.BDP(A95,"DS697")</f>
        <v>富時科技指數</v>
      </c>
      <c r="C95" t="str">
        <f>_xll.BDP(A95,"DS003")</f>
        <v>GB</v>
      </c>
      <c r="D95" s="2">
        <f>_xll.BDP(A95,"PX_LAST")</f>
        <v>5322.4</v>
      </c>
      <c r="E95" s="2">
        <f>_xll.BDP(A95,"CHG_PCT_1D")</f>
        <v>0.63397289999999995</v>
      </c>
      <c r="F95" s="2">
        <f>_xll.BDP(A95,"HIGH_52WEEK")</f>
        <v>5421.12</v>
      </c>
      <c r="G95" s="2">
        <f>LN(F95/D95)*100</f>
        <v>1.8378106724903871</v>
      </c>
      <c r="H95" s="2">
        <f>_xll.BDP(A95,"LOW_52WEEK")</f>
        <v>4200.08</v>
      </c>
      <c r="I95" s="2">
        <f>LN(H95/D95)*100</f>
        <v>-23.682075671857394</v>
      </c>
      <c r="J95" s="2">
        <f>_xll.BDP(A95,"CHG_PCT_5D")</f>
        <v>-1.4134850000000001</v>
      </c>
      <c r="K95" s="2">
        <f>_xll.BDP(A95,"CHG_PCT_1M")</f>
        <v>-8.542023E-2</v>
      </c>
      <c r="L95" s="2">
        <f>_xll.BDP(A95,"CHG_PCT_3M")</f>
        <v>3.6048740000000001</v>
      </c>
      <c r="M95" s="2">
        <f>_xll.BDP(A95,"CHG_PCT_6M")</f>
        <v>12.67057</v>
      </c>
      <c r="N95" s="2">
        <f>_xll.BDP(A95,"PR064")</f>
        <v>3.6048740000000001</v>
      </c>
      <c r="O95" s="2">
        <f>_xll.BDP(A95,"CHG_PCT_1YR")</f>
        <v>13.00764</v>
      </c>
      <c r="P95" s="2">
        <f>_xll.BDP(A95,"INTERVAL_HIGH", "MARKET_DATA_OVERRIDE=PE_RATIO", "CALC_INTERVAL=5y", "BEST_FPERIOD_OVERRIDE=BF")</f>
        <v>178.09074367803041</v>
      </c>
      <c r="Q95" s="2">
        <f>_xll.BDP(A95,"INTERVAL_Low", "MARKET_DATA_OVERRIDE=PE_RATIO", "CALC_INTERVAL=5y", "BEST_FPERIOD_OVERRIDE=BF")</f>
        <v>19.418896160381973</v>
      </c>
      <c r="R95" s="2">
        <f>_xll.BDP(A95,"PE_RATIO")</f>
        <v>51.308638497654279</v>
      </c>
      <c r="S95" s="3">
        <f>IF(ISERROR((R95-Q95)/(P95-Q95)),"",(R95-Q95)/(P95-Q95))</f>
        <v>0.20097920857526624</v>
      </c>
    </row>
    <row r="96" spans="1:19" x14ac:dyDescent="0.25">
      <c r="A96" t="s">
        <v>296</v>
      </c>
      <c r="B96" t="str">
        <f>_xll.BDP(A96,"DS697")</f>
        <v>FTSE China 50 Index HKD</v>
      </c>
      <c r="C96" t="str">
        <f>_xll.BDP(A96,"DS003")</f>
        <v>HK</v>
      </c>
      <c r="D96" s="2">
        <f>_xll.BDP(A96,"PX_LAST")</f>
        <v>17802.96</v>
      </c>
      <c r="E96" s="2">
        <f>_xll.BDP(A96,"CHG_PCT_1D")</f>
        <v>0.36786029999999997</v>
      </c>
      <c r="F96" s="2">
        <f>_xll.BDP(A96,"HIGH_52WEEK")</f>
        <v>20804.4609375</v>
      </c>
      <c r="G96" s="2">
        <f>LN(F96/D96)*100</f>
        <v>15.580269625343854</v>
      </c>
      <c r="H96" s="2">
        <f>_xll.BDP(A96,"LOW_52WEEK")</f>
        <v>16844.099999999999</v>
      </c>
      <c r="I96" s="2">
        <f>LN(H96/D96)*100</f>
        <v>-5.5364288493701759</v>
      </c>
      <c r="J96" s="2">
        <f>_xll.BDP(A96,"CHG_PCT_5D")</f>
        <v>-1.396671</v>
      </c>
      <c r="K96" s="2">
        <f>_xll.BDP(A96,"CHG_PCT_1M")</f>
        <v>2.7709579999999998</v>
      </c>
      <c r="L96" s="2">
        <f>_xll.BDP(A96,"CHG_PCT_3M")</f>
        <v>-6.746791</v>
      </c>
      <c r="M96" s="2">
        <f>_xll.BDP(A96,"CHG_PCT_6M")</f>
        <v>-10.20148</v>
      </c>
      <c r="N96" s="2">
        <f>_xll.BDP(A96,"PR064")</f>
        <v>-6.746791</v>
      </c>
      <c r="O96" s="2">
        <f>_xll.BDP(A96,"CHG_PCT_1YR")</f>
        <v>-6.6045280000000002</v>
      </c>
      <c r="P96" s="2">
        <f>_xll.BDP(A96,"INTERVAL_HIGH", "MARKET_DATA_OVERRIDE=PE_RATIO", "CALC_INTERVAL=5y", "BEST_FPERIOD_OVERRIDE=BF")</f>
        <v>12.107977235671687</v>
      </c>
      <c r="Q96" s="2">
        <f>_xll.BDP(A96,"INTERVAL_Low", "MARKET_DATA_OVERRIDE=PE_RATIO", "CALC_INTERVAL=5y", "BEST_FPERIOD_OVERRIDE=BF")</f>
        <v>6.8730907332608489</v>
      </c>
      <c r="R96" s="2">
        <f>_xll.BDP(A96,"PE_RATIO")</f>
        <v>9.6536577055367996</v>
      </c>
      <c r="S96" s="3">
        <f>IF(ISERROR((R96-Q96)/(P96-Q96)),"",(R96-Q96)/(P96-Q96))</f>
        <v>0.53116088973379039</v>
      </c>
    </row>
    <row r="97" spans="1:19" x14ac:dyDescent="0.25">
      <c r="A97" t="s">
        <v>85</v>
      </c>
      <c r="B97" t="str">
        <f>_xll.BDP(A97,"DS697")</f>
        <v>道瓊STOXX歐盟全市場指數</v>
      </c>
      <c r="C97" t="str">
        <f>_xll.BDP(A97,"DS003")</f>
        <v>EC</v>
      </c>
      <c r="D97" s="2">
        <f>_xll.BDP(A97,"PX_LAST")</f>
        <v>193.16</v>
      </c>
      <c r="E97" s="2">
        <f>_xll.BDP(A97,"CHG_PCT_1D")</f>
        <v>0.29075800000000002</v>
      </c>
      <c r="F97" s="2">
        <f>_xll.BDP(A97,"HIGH_52WEEK")</f>
        <v>211.89</v>
      </c>
      <c r="G97" s="2">
        <f>LN(F97/D97)*100</f>
        <v>9.2548411083599298</v>
      </c>
      <c r="H97" s="2">
        <f>_xll.BDP(A97,"LOW_52WEEK")</f>
        <v>185.87</v>
      </c>
      <c r="I97" s="2">
        <f>LN(H97/D97)*100</f>
        <v>-3.8471356385079583</v>
      </c>
      <c r="J97" s="2">
        <f>_xll.BDP(A97,"CHG_PCT_5D")</f>
        <v>-1.3936390000000001</v>
      </c>
      <c r="K97" s="2">
        <f>_xll.BDP(A97,"CHG_PCT_1M")</f>
        <v>2.0444870000000002</v>
      </c>
      <c r="L97" s="2">
        <f>_xll.BDP(A97,"CHG_PCT_3M")</f>
        <v>-6.2466609999999996</v>
      </c>
      <c r="M97" s="2">
        <f>_xll.BDP(A97,"CHG_PCT_6M")</f>
        <v>-6.2239009999999997</v>
      </c>
      <c r="N97" s="2">
        <f>_xll.BDP(A97,"PR064")</f>
        <v>-6.2466609999999996</v>
      </c>
      <c r="O97" s="2">
        <f>_xll.BDP(A97,"CHG_PCT_1YR")</f>
        <v>-4.9456239999999996</v>
      </c>
      <c r="P97" s="2">
        <f>_xll.BDP(A97,"INTERVAL_HIGH", "MARKET_DATA_OVERRIDE=PE_RATIO", "CALC_INTERVAL=5y", "BEST_FPERIOD_OVERRIDE=BF")</f>
        <v>46.331284184660781</v>
      </c>
      <c r="Q97" s="2">
        <f>_xll.BDP(A97,"INTERVAL_Low", "MARKET_DATA_OVERRIDE=PE_RATIO", "CALC_INTERVAL=5y", "BEST_FPERIOD_OVERRIDE=BF")</f>
        <v>6.0612826885987658</v>
      </c>
      <c r="R97" s="2">
        <f>_xll.BDP(A97,"PE_RATIO")</f>
        <v>10.698569312456268</v>
      </c>
      <c r="S97" s="3">
        <f>IF(ISERROR((R97-Q97)/(P97-Q97)),"",(R97-Q97)/(P97-Q97))</f>
        <v>0.11515486594434272</v>
      </c>
    </row>
    <row r="98" spans="1:19" x14ac:dyDescent="0.25">
      <c r="A98" t="s">
        <v>290</v>
      </c>
      <c r="B98" t="str">
        <f>_xll.BDP(A98,"DS697")</f>
        <v>CSI 100 Index - Shanghai</v>
      </c>
      <c r="C98" t="str">
        <f>_xll.BDP(A98,"DS003")</f>
        <v>CH</v>
      </c>
      <c r="D98" s="2">
        <f>_xll.BDP(A98,"PX_LAST")</f>
        <v>4110.7539999999999</v>
      </c>
      <c r="E98" s="2">
        <f>_xll.BDP(A98,"CHG_PCT_1D")</f>
        <v>-0.3165521</v>
      </c>
      <c r="F98" s="2">
        <f>_xll.BDP(A98,"HIGH_52WEEK")</f>
        <v>4338.74609375</v>
      </c>
      <c r="G98" s="2">
        <f>LN(F98/D98)*100</f>
        <v>5.3978921206372839</v>
      </c>
      <c r="H98" s="2">
        <f>_xll.BDP(A98,"LOW_52WEEK")</f>
        <v>3114.04</v>
      </c>
      <c r="I98" s="2">
        <f>LN(H98/D98)*100</f>
        <v>-27.768554812570446</v>
      </c>
      <c r="J98" s="2">
        <f>_xll.BDP(A98,"CHG_PCT_5D")</f>
        <v>-1.3697900000000001</v>
      </c>
      <c r="K98" s="2">
        <f>_xll.BDP(A98,"CHG_PCT_1M")</f>
        <v>0.93327769999999999</v>
      </c>
      <c r="L98" s="2">
        <f>_xll.BDP(A98,"CHG_PCT_3M")</f>
        <v>2.2806559999999998E-3</v>
      </c>
      <c r="M98" s="2">
        <f>_xll.BDP(A98,"CHG_PCT_6M")</f>
        <v>5.8602319999999999</v>
      </c>
      <c r="N98" s="2">
        <f>_xll.BDP(A98,"PR064")</f>
        <v>2.2806559999999998E-3</v>
      </c>
      <c r="O98" s="2">
        <f>_xll.BDP(A98,"CHG_PCT_1YR")</f>
        <v>14.108879999999999</v>
      </c>
      <c r="P98" s="2">
        <f>_xll.BDP(A98,"INTERVAL_HIGH", "MARKET_DATA_OVERRIDE=PE_RATIO", "CALC_INTERVAL=5y", "BEST_FPERIOD_OVERRIDE=BF")</f>
        <v>16.692454569625671</v>
      </c>
      <c r="Q98" s="2">
        <f>_xll.BDP(A98,"INTERVAL_Low", "MARKET_DATA_OVERRIDE=PE_RATIO", "CALC_INTERVAL=5y", "BEST_FPERIOD_OVERRIDE=BF")</f>
        <v>7.9080581920110982</v>
      </c>
      <c r="R98" s="2">
        <f>_xll.BDP(A98,"PE_RATIO")</f>
        <v>12.198781211068276</v>
      </c>
      <c r="S98" s="3">
        <f>IF(ISERROR((R98-Q98)/(P98-Q98)),"",(R98-Q98)/(P98-Q98))</f>
        <v>0.48844824784902696</v>
      </c>
    </row>
    <row r="99" spans="1:19" x14ac:dyDescent="0.25">
      <c r="A99" t="s">
        <v>105</v>
      </c>
      <c r="B99" t="str">
        <f>_xll.BDP(A99,"DS697")</f>
        <v>德國法蘭克福DAX指數</v>
      </c>
      <c r="C99" t="str">
        <f>_xll.BDP(A99,"DS003")</f>
        <v>GE</v>
      </c>
      <c r="D99" s="2">
        <f>_xll.BDP(A99,"PX_LAST")</f>
        <v>12288.54</v>
      </c>
      <c r="E99" s="2">
        <f>_xll.BDP(A99,"CHG_PCT_1D")</f>
        <v>0.44432890000000003</v>
      </c>
      <c r="F99" s="2">
        <f>_xll.BDP(A99,"HIGH_52WEEK")</f>
        <v>12656.05</v>
      </c>
      <c r="G99" s="2">
        <f>LN(F99/D99)*100</f>
        <v>2.9468240960567016</v>
      </c>
      <c r="H99" s="2">
        <f>_xll.BDP(A99,"LOW_52WEEK")</f>
        <v>10279.200000000001</v>
      </c>
      <c r="I99" s="2">
        <f>LN(H99/D99)*100</f>
        <v>-17.854468476511549</v>
      </c>
      <c r="J99" s="2">
        <f>_xll.BDP(A99,"CHG_PCT_5D")</f>
        <v>-1.357877</v>
      </c>
      <c r="K99" s="2">
        <f>_xll.BDP(A99,"CHG_PCT_1M")</f>
        <v>4.761463</v>
      </c>
      <c r="L99" s="2">
        <f>_xll.BDP(A99,"CHG_PCT_3M")</f>
        <v>0.14269190000000001</v>
      </c>
      <c r="M99" s="2">
        <f>_xll.BDP(A99,"CHG_PCT_6M")</f>
        <v>7.6144749999999997</v>
      </c>
      <c r="N99" s="2">
        <f>_xll.BDP(A99,"PR064")</f>
        <v>0.14269190000000001</v>
      </c>
      <c r="O99" s="2">
        <f>_xll.BDP(A99,"CHG_PCT_1YR")</f>
        <v>-1.1824920000000001</v>
      </c>
      <c r="P99" s="2">
        <f>_xll.BDP(A99,"INTERVAL_HIGH", "MARKET_DATA_OVERRIDE=PE_RATIO", "CALC_INTERVAL=5y", "BEST_FPERIOD_OVERRIDE=BF")</f>
        <v>22.751587151989405</v>
      </c>
      <c r="Q99" s="2">
        <f>_xll.BDP(A99,"INTERVAL_Low", "MARKET_DATA_OVERRIDE=PE_RATIO", "CALC_INTERVAL=5y", "BEST_FPERIOD_OVERRIDE=BF")</f>
        <v>12.291734458951369</v>
      </c>
      <c r="R99" s="2">
        <f>_xll.BDP(A99,"PE_RATIO")</f>
        <v>19.98208488233622</v>
      </c>
      <c r="S99" s="3">
        <f>IF(ISERROR((R99-Q99)/(P99-Q99)),"",(R99-Q99)/(P99-Q99))</f>
        <v>0.73522549973418505</v>
      </c>
    </row>
    <row r="100" spans="1:19" x14ac:dyDescent="0.25">
      <c r="A100" t="s">
        <v>99</v>
      </c>
      <c r="B100" t="str">
        <f>_xll.BDP(A100,"DS697")</f>
        <v>富時250指數</v>
      </c>
      <c r="C100" t="str">
        <f>_xll.BDP(A100,"DS003")</f>
        <v>GB</v>
      </c>
      <c r="D100" s="2">
        <f>_xll.BDP(A100,"PX_LAST")</f>
        <v>19818.61</v>
      </c>
      <c r="E100" s="2">
        <f>_xll.BDP(A100,"CHG_PCT_1D")</f>
        <v>0.22093640000000001</v>
      </c>
      <c r="F100" s="2">
        <f>_xll.BDP(A100,"HIGH_52WEEK")</f>
        <v>20475.16015625</v>
      </c>
      <c r="G100" s="2">
        <f>LN(F100/D100)*100</f>
        <v>3.2591056485703152</v>
      </c>
      <c r="H100" s="2">
        <f>_xll.BDP(A100,"LOW_52WEEK")</f>
        <v>17054.72</v>
      </c>
      <c r="I100" s="2">
        <f>LN(H100/D100)*100</f>
        <v>-15.019439699895095</v>
      </c>
      <c r="J100" s="2">
        <f>_xll.BDP(A100,"CHG_PCT_5D")</f>
        <v>-1.3482240000000001</v>
      </c>
      <c r="K100" s="2">
        <f>_xll.BDP(A100,"CHG_PCT_1M")</f>
        <v>2.496543</v>
      </c>
      <c r="L100" s="2">
        <f>_xll.BDP(A100,"CHG_PCT_3M")</f>
        <v>2.6102120000000002</v>
      </c>
      <c r="M100" s="2">
        <f>_xll.BDP(A100,"CHG_PCT_6M")</f>
        <v>4.8951089999999997</v>
      </c>
      <c r="N100" s="2">
        <f>_xll.BDP(A100,"PR064")</f>
        <v>2.6102120000000002</v>
      </c>
      <c r="O100" s="2">
        <f>_xll.BDP(A100,"CHG_PCT_1YR")</f>
        <v>-2.726985</v>
      </c>
      <c r="P100" s="2">
        <f>_xll.BDP(A100,"INTERVAL_HIGH", "MARKET_DATA_OVERRIDE=PE_RATIO", "CALC_INTERVAL=5y", "BEST_FPERIOD_OVERRIDE=BF")</f>
        <v>30.680600193798064</v>
      </c>
      <c r="Q100" s="2">
        <f>_xll.BDP(A100,"INTERVAL_Low", "MARKET_DATA_OVERRIDE=PE_RATIO", "CALC_INTERVAL=5y", "BEST_FPERIOD_OVERRIDE=BF")</f>
        <v>14.757471161957751</v>
      </c>
      <c r="R100" s="2">
        <f>_xll.BDP(A100,"PE_RATIO")</f>
        <v>23.071481016414985</v>
      </c>
      <c r="S100" s="3">
        <f>IF(ISERROR((R100-Q100)/(P100-Q100)),"",(R100-Q100)/(P100-Q100))</f>
        <v>0.52213417587914523</v>
      </c>
    </row>
    <row r="101" spans="1:19" x14ac:dyDescent="0.25">
      <c r="A101" t="s">
        <v>92</v>
      </c>
      <c r="B101" t="str">
        <f>_xll.BDP(A101,"DS697")</f>
        <v>Bloomberg EMEA -World Index</v>
      </c>
      <c r="C101" t="str">
        <f>_xll.BDP(A101,"DS003")</f>
        <v>MULT</v>
      </c>
      <c r="D101" s="2">
        <f>_xll.BDP(A101,"PX_LAST")</f>
        <v>128.07</v>
      </c>
      <c r="E101" s="2">
        <f>_xll.BDP(A101,"CHG_PCT_1D")</f>
        <v>0.49435030000000002</v>
      </c>
      <c r="F101" s="2">
        <f>_xll.BDP(A101,"HIGH_52WEEK")</f>
        <v>136.69</v>
      </c>
      <c r="G101" s="2">
        <f>LN(F101/D101)*100</f>
        <v>6.5138598726581289</v>
      </c>
      <c r="H101" s="2">
        <f>_xll.BDP(A101,"LOW_52WEEK")</f>
        <v>114.1</v>
      </c>
      <c r="I101" s="2">
        <f>LN(H101/D101)*100</f>
        <v>-11.550173256995041</v>
      </c>
      <c r="J101" s="2">
        <f>_xll.BDP(A101,"CHG_PCT_5D")</f>
        <v>-1.340419</v>
      </c>
      <c r="K101" s="2">
        <f>_xll.BDP(A101,"CHG_PCT_1M")</f>
        <v>2.145486</v>
      </c>
      <c r="L101" s="2">
        <f>_xll.BDP(A101,"CHG_PCT_3M")</f>
        <v>-2.984613</v>
      </c>
      <c r="M101" s="2">
        <f>_xll.BDP(A101,"CHG_PCT_6M")</f>
        <v>-0.23368990000000001</v>
      </c>
      <c r="N101" s="2">
        <f>_xll.BDP(A101,"PR064")</f>
        <v>-2.984613</v>
      </c>
      <c r="O101" s="2">
        <f>_xll.BDP(A101,"CHG_PCT_1YR")</f>
        <v>-6.113918</v>
      </c>
      <c r="P101" s="2">
        <f>_xll.BDP(A101,"INTERVAL_HIGH", "MARKET_DATA_OVERRIDE=PE_RATIO", "CALC_INTERVAL=5y", "BEST_FPERIOD_OVERRIDE=BF")</f>
        <v>29.290085608847587</v>
      </c>
      <c r="Q101" s="2">
        <f>_xll.BDP(A101,"INTERVAL_Low", "MARKET_DATA_OVERRIDE=PE_RATIO", "CALC_INTERVAL=5y", "BEST_FPERIOD_OVERRIDE=BF")</f>
        <v>13.599399923959067</v>
      </c>
      <c r="R101" s="2">
        <f>_xll.BDP(A101,"PE_RATIO")</f>
        <v>15.644398735624181</v>
      </c>
      <c r="S101" s="3">
        <f>IF(ISERROR((R101-Q101)/(P101-Q101)),"",(R101-Q101)/(P101-Q101))</f>
        <v>0.1303320232610754</v>
      </c>
    </row>
    <row r="102" spans="1:19" x14ac:dyDescent="0.25">
      <c r="A102" t="s">
        <v>176</v>
      </c>
      <c r="B102" t="str">
        <f>_xll.BDP(A102,"DS697")</f>
        <v>俄羅斯RTS指數</v>
      </c>
      <c r="C102" t="str">
        <f>_xll.BDP(A102,"DS003")</f>
        <v>RU</v>
      </c>
      <c r="D102" s="2">
        <f>_xll.BDP(A102,"PX_LAST")</f>
        <v>1359.59</v>
      </c>
      <c r="E102" s="2">
        <f>_xll.BDP(A102,"CHG_PCT_1D")</f>
        <v>0.41210920000000001</v>
      </c>
      <c r="F102" s="2">
        <f>_xll.BDP(A102,"HIGH_52WEEK")</f>
        <v>1413.82</v>
      </c>
      <c r="G102" s="2">
        <f>LN(F102/D102)*100</f>
        <v>3.9112077218783825</v>
      </c>
      <c r="H102" s="2">
        <f>_xll.BDP(A102,"LOW_52WEEK")</f>
        <v>1033.31</v>
      </c>
      <c r="I102" s="2">
        <f>LN(H102/D102)*100</f>
        <v>-27.441594178544946</v>
      </c>
      <c r="J102" s="2">
        <f>_xll.BDP(A102,"CHG_PCT_5D")</f>
        <v>-1.3402940000000001</v>
      </c>
      <c r="K102" s="2">
        <f>_xll.BDP(A102,"CHG_PCT_1M")</f>
        <v>8.0239940000000001</v>
      </c>
      <c r="L102" s="2">
        <f>_xll.BDP(A102,"CHG_PCT_3M")</f>
        <v>-2.0517690000000002</v>
      </c>
      <c r="M102" s="2">
        <f>_xll.BDP(A102,"CHG_PCT_6M")</f>
        <v>12.62063</v>
      </c>
      <c r="N102" s="2">
        <f>_xll.BDP(A102,"PR064")</f>
        <v>-2.0517690000000002</v>
      </c>
      <c r="O102" s="2">
        <f>_xll.BDP(A102,"CHG_PCT_1YR")</f>
        <v>14.455159999999999</v>
      </c>
      <c r="P102" s="2">
        <f>_xll.BDP(A102,"INTERVAL_HIGH", "MARKET_DATA_OVERRIDE=PE_RATIO", "CALC_INTERVAL=5y", "BEST_FPERIOD_OVERRIDE=BF")</f>
        <v>10.358925115268477</v>
      </c>
      <c r="Q102" s="2">
        <f>_xll.BDP(A102,"INTERVAL_Low", "MARKET_DATA_OVERRIDE=PE_RATIO", "CALC_INTERVAL=5y", "BEST_FPERIOD_OVERRIDE=BF")</f>
        <v>3.2663366151584183</v>
      </c>
      <c r="R102" s="2">
        <f>_xll.BDP(A102,"PE_RATIO")</f>
        <v>5.83026385294131</v>
      </c>
      <c r="S102" s="3">
        <f>IF(ISERROR((R102-Q102)/(P102-Q102)),"",(R102-Q102)/(P102-Q102))</f>
        <v>0.36149386613125889</v>
      </c>
    </row>
    <row r="103" spans="1:19" x14ac:dyDescent="0.25">
      <c r="A103" t="s">
        <v>29</v>
      </c>
      <c r="B103" t="str">
        <f>_xll.BDP(A103,"DS697")</f>
        <v>那斯達克開盤前市場指數</v>
      </c>
      <c r="C103" t="str">
        <f>_xll.BDP(A103,"DS003")</f>
        <v>US</v>
      </c>
      <c r="D103" s="2">
        <f>_xll.BDP(A103,"PX_LAST")</f>
        <v>7796.7280000000001</v>
      </c>
      <c r="E103" s="2">
        <f>_xll.BDP(A103,"CHG_PCT_1D")</f>
        <v>1.0853870000000001</v>
      </c>
      <c r="F103" s="2">
        <f>_xll.BDP(A103,"HIGH_52WEEK")</f>
        <v>8016.5209999999997</v>
      </c>
      <c r="G103" s="2">
        <f>LN(F103/D103)*100</f>
        <v>2.7800378733706297</v>
      </c>
      <c r="H103" s="2">
        <f>_xll.BDP(A103,"LOW_52WEEK")</f>
        <v>5921.2780000000002</v>
      </c>
      <c r="I103" s="2">
        <f>LN(H103/D103)*100</f>
        <v>-27.515185453078999</v>
      </c>
      <c r="J103" s="2">
        <f>_xll.BDP(A103,"CHG_PCT_5D")</f>
        <v>-1.33806</v>
      </c>
      <c r="K103" s="2">
        <f>_xll.BDP(A103,"CHG_PCT_1M")</f>
        <v>2.3741340000000002</v>
      </c>
      <c r="L103" s="2">
        <f>_xll.BDP(A103,"CHG_PCT_3M")</f>
        <v>1.950947</v>
      </c>
      <c r="M103" s="2">
        <f>_xll.BDP(A103,"CHG_PCT_6M")</f>
        <v>5.908925</v>
      </c>
      <c r="N103" s="2">
        <f>_xll.BDP(A103,"PR064")</f>
        <v>1.950947</v>
      </c>
      <c r="O103" s="2">
        <f>_xll.BDP(A103,"CHG_PCT_1YR")</f>
        <v>2.6216240000000002</v>
      </c>
      <c r="P103" s="2" t="str">
        <f>_xll.BDP(A103,"INTERVAL_HIGH", "MARKET_DATA_OVERRIDE=PE_RATIO", "CALC_INTERVAL=5y", "BEST_FPERIOD_OVERRIDE=BF")</f>
        <v>#N/A N/A</v>
      </c>
      <c r="Q103" s="2" t="str">
        <f>_xll.BDP(A103,"INTERVAL_Low", "MARKET_DATA_OVERRIDE=PE_RATIO", "CALC_INTERVAL=5y", "BEST_FPERIOD_OVERRIDE=BF")</f>
        <v>#N/A N/A</v>
      </c>
      <c r="R103" s="2" t="str">
        <f>_xll.BDP(A103,"PE_RATIO")</f>
        <v>#N/A N/A</v>
      </c>
      <c r="S103" s="3" t="str">
        <f>IF(ISERROR((R103-Q103)/(P103-Q103)),"",(R103-Q103)/(P103-Q103))</f>
        <v/>
      </c>
    </row>
    <row r="104" spans="1:19" x14ac:dyDescent="0.25">
      <c r="A104" t="s">
        <v>8</v>
      </c>
      <c r="B104" t="str">
        <f>_xll.BDP(A104,"DS697")</f>
        <v>標準普爾小型股600指數</v>
      </c>
      <c r="C104" t="str">
        <f>_xll.BDP(A104,"DS003")</f>
        <v>US</v>
      </c>
      <c r="D104" s="2">
        <f>_xll.BDP(A104,"PX_LAST")</f>
        <v>952.48</v>
      </c>
      <c r="E104" s="2">
        <f>_xll.BDP(A104,"CHG_PCT_1D")</f>
        <v>-1.0677639999999999</v>
      </c>
      <c r="F104" s="2">
        <f>_xll.BDP(A104,"HIGH_52WEEK")</f>
        <v>1066.58</v>
      </c>
      <c r="G104" s="2">
        <f>LN(F104/D104)*100</f>
        <v>11.314343741366805</v>
      </c>
      <c r="H104" s="2">
        <f>_xll.BDP(A104,"LOW_52WEEK")</f>
        <v>793.86</v>
      </c>
      <c r="I104" s="2">
        <f>LN(H104/D104)*100</f>
        <v>-18.216198612270535</v>
      </c>
      <c r="J104" s="2">
        <f>_xll.BDP(A104,"CHG_PCT_5D")</f>
        <v>-1.332176</v>
      </c>
      <c r="K104" s="2">
        <f>_xll.BDP(A104,"CHG_PCT_1M")</f>
        <v>6.3961940000000004</v>
      </c>
      <c r="L104" s="2">
        <f>_xll.BDP(A104,"CHG_PCT_3M")</f>
        <v>1.2910170000000001</v>
      </c>
      <c r="M104" s="2">
        <f>_xll.BDP(A104,"CHG_PCT_6M")</f>
        <v>2.4039890000000002</v>
      </c>
      <c r="N104" s="2">
        <f>_xll.BDP(A104,"PR064")</f>
        <v>1.2910170000000001</v>
      </c>
      <c r="O104" s="2">
        <f>_xll.BDP(A104,"CHG_PCT_1YR")</f>
        <v>-9.9411909999999999</v>
      </c>
      <c r="P104" s="2">
        <f>_xll.BDP(A104,"INTERVAL_HIGH", "MARKET_DATA_OVERRIDE=PE_RATIO", "CALC_INTERVAL=5y", "BEST_FPERIOD_OVERRIDE=BF")</f>
        <v>31.404880961538559</v>
      </c>
      <c r="Q104" s="2">
        <f>_xll.BDP(A104,"INTERVAL_Low", "MARKET_DATA_OVERRIDE=PE_RATIO", "CALC_INTERVAL=5y", "BEST_FPERIOD_OVERRIDE=BF")</f>
        <v>17.762101413262389</v>
      </c>
      <c r="R104" s="2">
        <f>_xll.BDP(A104,"PE_RATIO")</f>
        <v>23.373650651737336</v>
      </c>
      <c r="S104" s="3">
        <f>IF(ISERROR((R104-Q104)/(P104-Q104)),"",(R104-Q104)/(P104-Q104))</f>
        <v>0.41132008463656455</v>
      </c>
    </row>
    <row r="105" spans="1:19" x14ac:dyDescent="0.25">
      <c r="A105" t="s">
        <v>43</v>
      </c>
      <c r="B105" t="str">
        <f>_xll.BDP(A105,"DS697")</f>
        <v>費城KBW銀行指數</v>
      </c>
      <c r="C105" t="str">
        <f>_xll.BDP(A105,"DS003")</f>
        <v>US</v>
      </c>
      <c r="D105" s="2">
        <f>_xll.BDP(A105,"PX_LAST")</f>
        <v>99.749780000000001</v>
      </c>
      <c r="E105" s="2">
        <f>_xll.BDP(A105,"CHG_PCT_1D")</f>
        <v>-0.68759179999999998</v>
      </c>
      <c r="F105" s="2">
        <f>_xll.BDP(A105,"HIGH_52WEEK")</f>
        <v>108.34829999999999</v>
      </c>
      <c r="G105" s="2">
        <f>LN(F105/D105)*100</f>
        <v>8.2686187711661709</v>
      </c>
      <c r="H105" s="2">
        <f>_xll.BDP(A105,"LOW_52WEEK")</f>
        <v>79.853210000000004</v>
      </c>
      <c r="I105" s="2">
        <f>LN(H105/D105)*100</f>
        <v>-22.247477602504379</v>
      </c>
      <c r="J105" s="2">
        <f>_xll.BDP(A105,"CHG_PCT_5D")</f>
        <v>-1.310273</v>
      </c>
      <c r="K105" s="2">
        <f>_xll.BDP(A105,"CHG_PCT_1M")</f>
        <v>11.367979999999999</v>
      </c>
      <c r="L105" s="2">
        <f>_xll.BDP(A105,"CHG_PCT_3M")</f>
        <v>3.808192</v>
      </c>
      <c r="M105" s="2">
        <f>_xll.BDP(A105,"CHG_PCT_6M")</f>
        <v>7.8845200000000002</v>
      </c>
      <c r="N105" s="2">
        <f>_xll.BDP(A105,"PR064")</f>
        <v>3.808192</v>
      </c>
      <c r="O105" s="2">
        <f>_xll.BDP(A105,"CHG_PCT_1YR")</f>
        <v>-5.7383220000000001</v>
      </c>
      <c r="P105" s="2">
        <f>_xll.BDP(A105,"INTERVAL_HIGH", "MARKET_DATA_OVERRIDE=PE_RATIO", "CALC_INTERVAL=5y", "BEST_FPERIOD_OVERRIDE=BF")</f>
        <v>17.204527957319172</v>
      </c>
      <c r="Q105" s="2">
        <f>_xll.BDP(A105,"INTERVAL_Low", "MARKET_DATA_OVERRIDE=PE_RATIO", "CALC_INTERVAL=5y", "BEST_FPERIOD_OVERRIDE=BF")</f>
        <v>9.671922031584872</v>
      </c>
      <c r="R105" s="2">
        <f>_xll.BDP(A105,"PE_RATIO")</f>
        <v>10.984432986447501</v>
      </c>
      <c r="S105" s="3">
        <f>IF(ISERROR((R105-Q105)/(P105-Q105)),"",(R105-Q105)/(P105-Q105))</f>
        <v>0.17424394264122905</v>
      </c>
    </row>
    <row r="106" spans="1:19" x14ac:dyDescent="0.25">
      <c r="A106" t="s">
        <v>78</v>
      </c>
      <c r="B106" t="str">
        <f>_xll.BDP(A106,"DS697")</f>
        <v>牙買加證交所指數</v>
      </c>
      <c r="C106" t="str">
        <f>_xll.BDP(A106,"DS003")</f>
        <v>JM</v>
      </c>
      <c r="D106" s="2">
        <f>_xll.BDP(A106,"PX_LAST")</f>
        <v>507971.5</v>
      </c>
      <c r="E106" s="2">
        <f>_xll.BDP(A106,"CHG_PCT_1D")</f>
        <v>-0.44679940000000001</v>
      </c>
      <c r="F106" s="2">
        <f>_xll.BDP(A106,"HIGH_52WEEK")</f>
        <v>540072.875</v>
      </c>
      <c r="G106" s="2">
        <f>LN(F106/D106)*100</f>
        <v>6.1278740514111103</v>
      </c>
      <c r="H106" s="2">
        <f>_xll.BDP(A106,"LOW_52WEEK")</f>
        <v>348464.09375</v>
      </c>
      <c r="I106" s="2">
        <f>LN(H106/D106)*100</f>
        <v>-37.689014959642947</v>
      </c>
      <c r="J106" s="2">
        <f>_xll.BDP(A106,"CHG_PCT_5D")</f>
        <v>-1.255725</v>
      </c>
      <c r="K106" s="2">
        <f>_xll.BDP(A106,"CHG_PCT_1M")</f>
        <v>-2.7874409999999998</v>
      </c>
      <c r="L106" s="2">
        <f>_xll.BDP(A106,"CHG_PCT_3M")</f>
        <v>10.50839</v>
      </c>
      <c r="M106" s="2">
        <f>_xll.BDP(A106,"CHG_PCT_6M")</f>
        <v>31.343969999999999</v>
      </c>
      <c r="N106" s="2">
        <f>_xll.BDP(A106,"PR064")</f>
        <v>10.50839</v>
      </c>
      <c r="O106" s="2">
        <f>_xll.BDP(A106,"CHG_PCT_1YR")</f>
        <v>43.696480000000001</v>
      </c>
      <c r="P106" s="2">
        <f>_xll.BDP(A106,"INTERVAL_HIGH", "MARKET_DATA_OVERRIDE=PE_RATIO", "CALC_INTERVAL=5y", "BEST_FPERIOD_OVERRIDE=BF")</f>
        <v>20.545233794252987</v>
      </c>
      <c r="Q106" s="2">
        <f>_xll.BDP(A106,"INTERVAL_Low", "MARKET_DATA_OVERRIDE=PE_RATIO", "CALC_INTERVAL=5y", "BEST_FPERIOD_OVERRIDE=BF")</f>
        <v>8.0772199504496651</v>
      </c>
      <c r="R106" s="2">
        <f>_xll.BDP(A106,"PE_RATIO")</f>
        <v>19.601523456539812</v>
      </c>
      <c r="S106" s="3">
        <f>IF(ISERROR((R106-Q106)/(P106-Q106)),"",(R106-Q106)/(P106-Q106))</f>
        <v>0.92430948910261246</v>
      </c>
    </row>
    <row r="107" spans="1:19" x14ac:dyDescent="0.25">
      <c r="A107" t="s">
        <v>22</v>
      </c>
      <c r="B107" t="str">
        <f>_xll.BDP(A107,"DS697")</f>
        <v>那斯達克電信類指數</v>
      </c>
      <c r="C107" t="str">
        <f>_xll.BDP(A107,"DS003")</f>
        <v>US</v>
      </c>
      <c r="D107" s="2">
        <f>_xll.BDP(A107,"PX_LAST")</f>
        <v>390.68150000000003</v>
      </c>
      <c r="E107" s="2">
        <f>_xll.BDP(A107,"CHG_PCT_1D")</f>
        <v>-1.28637</v>
      </c>
      <c r="F107" s="2">
        <f>_xll.BDP(A107,"HIGH_52WEEK")</f>
        <v>440.46600000000001</v>
      </c>
      <c r="G107" s="2">
        <f>LN(F107/D107)*100</f>
        <v>11.994060734898156</v>
      </c>
      <c r="H107" s="2">
        <f>_xll.BDP(A107,"LOW_52WEEK")</f>
        <v>326.76420000000002</v>
      </c>
      <c r="I107" s="2">
        <f>LN(H107/D107)*100</f>
        <v>-17.865384016980933</v>
      </c>
      <c r="J107" s="2">
        <f>_xll.BDP(A107,"CHG_PCT_5D")</f>
        <v>-1.214459</v>
      </c>
      <c r="K107" s="2">
        <f>_xll.BDP(A107,"CHG_PCT_1M")</f>
        <v>3.964731</v>
      </c>
      <c r="L107" s="2">
        <f>_xll.BDP(A107,"CHG_PCT_3M")</f>
        <v>-6.748672</v>
      </c>
      <c r="M107" s="2">
        <f>_xll.BDP(A107,"CHG_PCT_6M")</f>
        <v>-4.7388050000000002</v>
      </c>
      <c r="N107" s="2">
        <f>_xll.BDP(A107,"PR064")</f>
        <v>-6.748672</v>
      </c>
      <c r="O107" s="2">
        <f>_xll.BDP(A107,"CHG_PCT_1YR")</f>
        <v>-0.59321740000000001</v>
      </c>
      <c r="P107" s="2">
        <f>_xll.BDP(A107,"INTERVAL_HIGH", "MARKET_DATA_OVERRIDE=PE_RATIO", "CALC_INTERVAL=5y", "BEST_FPERIOD_OVERRIDE=BF")</f>
        <v>33.75058241463784</v>
      </c>
      <c r="Q107" s="2">
        <f>_xll.BDP(A107,"INTERVAL_Low", "MARKET_DATA_OVERRIDE=PE_RATIO", "CALC_INTERVAL=5y", "BEST_FPERIOD_OVERRIDE=BF")</f>
        <v>19.750596516232818</v>
      </c>
      <c r="R107" s="2">
        <f>_xll.BDP(A107,"PE_RATIO")</f>
        <v>20.841366183719359</v>
      </c>
      <c r="S107" s="3">
        <f>IF(ISERROR((R107-Q107)/(P107-Q107)),"",(R107-Q107)/(P107-Q107))</f>
        <v>7.7912197583771048E-2</v>
      </c>
    </row>
    <row r="108" spans="1:19" x14ac:dyDescent="0.25">
      <c r="A108" t="s">
        <v>178</v>
      </c>
      <c r="B108" t="str">
        <f>_xll.BDP(A108,"DS697")</f>
        <v>俄羅斯 RTX 藍籌股指數</v>
      </c>
      <c r="C108" t="str">
        <f>_xll.BDP(A108,"DS003")</f>
        <v>RU</v>
      </c>
      <c r="D108" s="2">
        <f>_xll.BDP(A108,"PX_LAST")</f>
        <v>1988.57</v>
      </c>
      <c r="E108" s="2">
        <f>_xll.BDP(A108,"CHG_PCT_1D")</f>
        <v>0.2904968</v>
      </c>
      <c r="F108" s="2">
        <f>_xll.BDP(A108,"HIGH_52WEEK")</f>
        <v>2092.6</v>
      </c>
      <c r="G108" s="2">
        <f>LN(F108/D108)*100</f>
        <v>5.0991524504912187</v>
      </c>
      <c r="H108" s="2">
        <f>_xll.BDP(A108,"LOW_52WEEK")</f>
        <v>1505.56</v>
      </c>
      <c r="I108" s="2">
        <f>LN(H108/D108)*100</f>
        <v>-27.825086544524403</v>
      </c>
      <c r="J108" s="2">
        <f>_xll.BDP(A108,"CHG_PCT_5D")</f>
        <v>-1.2072309999999999</v>
      </c>
      <c r="K108" s="2">
        <f>_xll.BDP(A108,"CHG_PCT_1M")</f>
        <v>7.636304</v>
      </c>
      <c r="L108" s="2">
        <f>_xll.BDP(A108,"CHG_PCT_3M")</f>
        <v>-3.1789000000000001</v>
      </c>
      <c r="M108" s="2">
        <f>_xll.BDP(A108,"CHG_PCT_6M")</f>
        <v>12.250920000000001</v>
      </c>
      <c r="N108" s="2">
        <f>_xll.BDP(A108,"PR064")</f>
        <v>-3.1789000000000001</v>
      </c>
      <c r="O108" s="2">
        <f>_xll.BDP(A108,"CHG_PCT_1YR")</f>
        <v>13.68779</v>
      </c>
      <c r="P108" s="2">
        <f>_xll.BDP(A108,"INTERVAL_HIGH", "MARKET_DATA_OVERRIDE=PE_RATIO", "CALC_INTERVAL=5y", "BEST_FPERIOD_OVERRIDE=BF")</f>
        <v>11.196728787778104</v>
      </c>
      <c r="Q108" s="2">
        <f>_xll.BDP(A108,"INTERVAL_Low", "MARKET_DATA_OVERRIDE=PE_RATIO", "CALC_INTERVAL=5y", "BEST_FPERIOD_OVERRIDE=BF")</f>
        <v>3.0484158954592382</v>
      </c>
      <c r="R108" s="2">
        <f>_xll.BDP(A108,"PE_RATIO")</f>
        <v>5.4387033262756272</v>
      </c>
      <c r="S108" s="3">
        <f>IF(ISERROR((R108-Q108)/(P108-Q108)),"",(R108-Q108)/(P108-Q108))</f>
        <v>0.29334752634126637</v>
      </c>
    </row>
    <row r="109" spans="1:19" x14ac:dyDescent="0.25">
      <c r="A109" t="s">
        <v>258</v>
      </c>
      <c r="B109" t="str">
        <f>_xll.BDP(A109,"DS697")</f>
        <v>標準普爾亞洲50 CME</v>
      </c>
      <c r="C109" t="str">
        <f>_xll.BDP(A109,"DS003")</f>
        <v>HK</v>
      </c>
      <c r="D109" s="2">
        <f>_xll.BDP(A109,"PX_LAST")</f>
        <v>4484.78</v>
      </c>
      <c r="E109" s="2">
        <f>_xll.BDP(A109,"CHG_PCT_1D")</f>
        <v>0.39533299999999999</v>
      </c>
      <c r="F109" s="2">
        <f>_xll.BDP(A109,"HIGH_52WEEK")</f>
        <v>4940.12</v>
      </c>
      <c r="G109" s="2">
        <f>LN(F109/D109)*100</f>
        <v>9.6700180492000332</v>
      </c>
      <c r="H109" s="2">
        <f>_xll.BDP(A109,"LOW_52WEEK")</f>
        <v>4075.89</v>
      </c>
      <c r="I109" s="2">
        <f>LN(H109/D109)*100</f>
        <v>-9.5600314156851098</v>
      </c>
      <c r="J109" s="2">
        <f>_xll.BDP(A109,"CHG_PCT_5D")</f>
        <v>-1.2041120000000001</v>
      </c>
      <c r="K109" s="2">
        <f>_xll.BDP(A109,"CHG_PCT_1M")</f>
        <v>4.7669449999999998</v>
      </c>
      <c r="L109" s="2">
        <f>_xll.BDP(A109,"CHG_PCT_3M")</f>
        <v>-4.4111659999999997</v>
      </c>
      <c r="M109" s="2">
        <f>_xll.BDP(A109,"CHG_PCT_6M")</f>
        <v>-3.7307570000000001</v>
      </c>
      <c r="N109" s="2">
        <f>_xll.BDP(A109,"PR064")</f>
        <v>-4.4111659999999997</v>
      </c>
      <c r="O109" s="2">
        <f>_xll.BDP(A109,"CHG_PCT_1YR")</f>
        <v>-5.8655900000000001</v>
      </c>
      <c r="P109" s="2">
        <f>_xll.BDP(A109,"INTERVAL_HIGH", "MARKET_DATA_OVERRIDE=PE_RATIO", "CALC_INTERVAL=5y", "BEST_FPERIOD_OVERRIDE=BF")</f>
        <v>13.816440671652686</v>
      </c>
      <c r="Q109" s="2">
        <f>_xll.BDP(A109,"INTERVAL_Low", "MARKET_DATA_OVERRIDE=PE_RATIO", "CALC_INTERVAL=5y", "BEST_FPERIOD_OVERRIDE=BF")</f>
        <v>8.7013214935419967</v>
      </c>
      <c r="R109" s="2">
        <f>_xll.BDP(A109,"PE_RATIO")</f>
        <v>12.722545231543764</v>
      </c>
      <c r="S109" s="3">
        <f>IF(ISERROR((R109-Q109)/(P109-Q109)),"",(R109-Q109)/(P109-Q109))</f>
        <v>0.78614468167426732</v>
      </c>
    </row>
    <row r="110" spans="1:19" x14ac:dyDescent="0.25">
      <c r="A110" t="s">
        <v>195</v>
      </c>
      <c r="B110" t="str">
        <f>_xll.BDP(A110,"DS697")</f>
        <v>保加利亞SOFIX指數</v>
      </c>
      <c r="C110" t="str">
        <f>_xll.BDP(A110,"DS003")</f>
        <v>BP</v>
      </c>
      <c r="D110" s="2">
        <f>_xll.BDP(A110,"PX_LAST")</f>
        <v>573.67999999999995</v>
      </c>
      <c r="E110" s="2">
        <f>_xll.BDP(A110,"CHG_PCT_1D")</f>
        <v>6.9730139999999996E-3</v>
      </c>
      <c r="F110" s="2">
        <f>_xll.BDP(A110,"HIGH_52WEEK")</f>
        <v>628.88</v>
      </c>
      <c r="G110" s="2">
        <f>LN(F110/D110)*100</f>
        <v>9.1868709911181643</v>
      </c>
      <c r="H110" s="2">
        <f>_xll.BDP(A110,"LOW_52WEEK")</f>
        <v>559.92999999999995</v>
      </c>
      <c r="I110" s="2">
        <f>LN(H110/D110)*100</f>
        <v>-2.4259973658275618</v>
      </c>
      <c r="J110" s="2">
        <f>_xll.BDP(A110,"CHG_PCT_5D")</f>
        <v>-1.200383</v>
      </c>
      <c r="K110" s="2">
        <f>_xll.BDP(A110,"CHG_PCT_1M")</f>
        <v>0.14139289999999999</v>
      </c>
      <c r="L110" s="2">
        <f>_xll.BDP(A110,"CHG_PCT_3M")</f>
        <v>-1.419392</v>
      </c>
      <c r="M110" s="2">
        <f>_xll.BDP(A110,"CHG_PCT_6M")</f>
        <v>-0.87945580000000001</v>
      </c>
      <c r="N110" s="2">
        <f>_xll.BDP(A110,"PR064")</f>
        <v>-1.419392</v>
      </c>
      <c r="O110" s="2">
        <f>_xll.BDP(A110,"CHG_PCT_1YR")</f>
        <v>-8.0095589999999994</v>
      </c>
      <c r="P110" s="2">
        <f>_xll.BDP(A110,"INTERVAL_HIGH", "MARKET_DATA_OVERRIDE=PE_RATIO", "CALC_INTERVAL=5y", "BEST_FPERIOD_OVERRIDE=BF")</f>
        <v>22.702261395912561</v>
      </c>
      <c r="Q110" s="2">
        <f>_xll.BDP(A110,"INTERVAL_Low", "MARKET_DATA_OVERRIDE=PE_RATIO", "CALC_INTERVAL=5y", "BEST_FPERIOD_OVERRIDE=BF")</f>
        <v>8.1311227779990745</v>
      </c>
      <c r="R110" s="2">
        <f>_xll.BDP(A110,"PE_RATIO")</f>
        <v>9.2552491329052184</v>
      </c>
      <c r="S110" s="3">
        <f>IF(ISERROR((R110-Q110)/(P110-Q110)),"",(R110-Q110)/(P110-Q110))</f>
        <v>7.714746145672953E-2</v>
      </c>
    </row>
    <row r="111" spans="1:19" x14ac:dyDescent="0.25">
      <c r="A111" t="s">
        <v>215</v>
      </c>
      <c r="B111" t="str">
        <f>_xll.BDP(A111,"DS697")</f>
        <v>迦納證券交易所綜合指數</v>
      </c>
      <c r="C111" t="str">
        <f>_xll.BDP(A111,"DS003")</f>
        <v>GH</v>
      </c>
      <c r="D111" s="2">
        <f>_xll.BDP(A111,"PX_LAST")</f>
        <v>2217.7199999999998</v>
      </c>
      <c r="E111" s="2">
        <f>_xll.BDP(A111,"CHG_PCT_1D")</f>
        <v>0.32980009999999998</v>
      </c>
      <c r="F111" s="2">
        <f>_xll.BDP(A111,"HIGH_52WEEK")</f>
        <v>2973.4490000000001</v>
      </c>
      <c r="G111" s="2">
        <f>LN(F111/D111)*100</f>
        <v>29.324291740893404</v>
      </c>
      <c r="H111" s="2">
        <f>_xll.BDP(A111,"LOW_52WEEK")</f>
        <v>2210.4299999999998</v>
      </c>
      <c r="I111" s="2">
        <f>LN(H111/D111)*100</f>
        <v>-0.32925743644340377</v>
      </c>
      <c r="J111" s="2">
        <f>_xll.BDP(A111,"CHG_PCT_5D")</f>
        <v>-1.1992970000000001</v>
      </c>
      <c r="K111" s="2">
        <f>_xll.BDP(A111,"CHG_PCT_1M")</f>
        <v>-3.9673720000000001</v>
      </c>
      <c r="L111" s="2">
        <f>_xll.BDP(A111,"CHG_PCT_3M")</f>
        <v>-6.5432230000000002</v>
      </c>
      <c r="M111" s="2">
        <f>_xll.BDP(A111,"CHG_PCT_6M")</f>
        <v>-8.0629629999999999</v>
      </c>
      <c r="N111" s="2">
        <f>_xll.BDP(A111,"PR064")</f>
        <v>-6.5432230000000002</v>
      </c>
      <c r="O111" s="2">
        <f>_xll.BDP(A111,"CHG_PCT_1YR")</f>
        <v>-22.144970000000001</v>
      </c>
      <c r="P111" s="2">
        <f>_xll.BDP(A111,"INTERVAL_HIGH", "MARKET_DATA_OVERRIDE=PE_RATIO", "CALC_INTERVAL=5y", "BEST_FPERIOD_OVERRIDE=BF")</f>
        <v>379.95021940427159</v>
      </c>
      <c r="Q111" s="2">
        <f>_xll.BDP(A111,"INTERVAL_Low", "MARKET_DATA_OVERRIDE=PE_RATIO", "CALC_INTERVAL=5y", "BEST_FPERIOD_OVERRIDE=BF")</f>
        <v>15.300627669638352</v>
      </c>
      <c r="R111" s="2">
        <f>_xll.BDP(A111,"PE_RATIO")</f>
        <v>15.351148784270489</v>
      </c>
      <c r="S111" s="3">
        <f>IF(ISERROR((R111-Q111)/(P111-Q111)),"",(R111-Q111)/(P111-Q111))</f>
        <v>1.3854702096828965E-4</v>
      </c>
    </row>
    <row r="112" spans="1:19" x14ac:dyDescent="0.25">
      <c r="A112" t="s">
        <v>15</v>
      </c>
      <c r="B112" t="str">
        <f>_xll.BDP(A112,"DS697")</f>
        <v>Value Line Arithmetic</v>
      </c>
      <c r="C112" t="str">
        <f>_xll.BDP(A112,"DS003")</f>
        <v>US</v>
      </c>
      <c r="D112" s="2">
        <f>_xll.BDP(A112,"PX_LAST")</f>
        <v>6198.29</v>
      </c>
      <c r="E112" s="2">
        <f>_xll.BDP(A112,"CHG_PCT_1D")</f>
        <v>-0.66476809999999997</v>
      </c>
      <c r="F112" s="2">
        <f>_xll.BDP(A112,"HIGH_52WEEK")</f>
        <v>6557.62</v>
      </c>
      <c r="G112" s="2">
        <f>LN(F112/D112)*100</f>
        <v>5.6354284690497742</v>
      </c>
      <c r="H112" s="2">
        <f>_xll.BDP(A112,"LOW_52WEEK")</f>
        <v>5073.2</v>
      </c>
      <c r="I112" s="2">
        <f>LN(H112/D112)*100</f>
        <v>-20.030166534670123</v>
      </c>
      <c r="J112" s="2">
        <f>_xll.BDP(A112,"CHG_PCT_5D")</f>
        <v>-1.1946000000000001</v>
      </c>
      <c r="K112" s="2">
        <f>_xll.BDP(A112,"CHG_PCT_1M")</f>
        <v>6.9513360000000004</v>
      </c>
      <c r="L112" s="2">
        <f>_xll.BDP(A112,"CHG_PCT_3M")</f>
        <v>0.62763760000000002</v>
      </c>
      <c r="M112" s="2">
        <f>_xll.BDP(A112,"CHG_PCT_6M")</f>
        <v>1.7292149999999999</v>
      </c>
      <c r="N112" s="2">
        <f>_xll.BDP(A112,"PR064")</f>
        <v>0.62763760000000002</v>
      </c>
      <c r="O112" s="2">
        <f>_xll.BDP(A112,"CHG_PCT_1YR")</f>
        <v>-4.9132020000000001</v>
      </c>
      <c r="P112" s="2" t="str">
        <f>_xll.BDP(A112,"INTERVAL_HIGH", "MARKET_DATA_OVERRIDE=PE_RATIO", "CALC_INTERVAL=5y", "BEST_FPERIOD_OVERRIDE=BF")</f>
        <v>#N/A N/A</v>
      </c>
      <c r="Q112" s="2" t="str">
        <f>_xll.BDP(A112,"INTERVAL_Low", "MARKET_DATA_OVERRIDE=PE_RATIO", "CALC_INTERVAL=5y", "BEST_FPERIOD_OVERRIDE=BF")</f>
        <v>#N/A N/A</v>
      </c>
      <c r="R112" s="2" t="str">
        <f>_xll.BDP(A112,"PE_RATIO")</f>
        <v>#N/A N/A</v>
      </c>
      <c r="S112" s="3" t="str">
        <f>IF(ISERROR((R112-Q112)/(P112-Q112)),"",(R112-Q112)/(P112-Q112))</f>
        <v/>
      </c>
    </row>
    <row r="113" spans="1:19" x14ac:dyDescent="0.25">
      <c r="A113" t="s">
        <v>27</v>
      </c>
      <c r="B113" t="str">
        <f>_xll.BDP(A113,"DS697")</f>
        <v>那斯達克電腦類指數</v>
      </c>
      <c r="C113" t="str">
        <f>_xll.BDP(A113,"DS003")</f>
        <v>US</v>
      </c>
      <c r="D113" s="2">
        <f>_xll.BDP(A113,"PX_LAST")</f>
        <v>5063.5439999999999</v>
      </c>
      <c r="E113" s="2">
        <f>_xll.BDP(A113,"CHG_PCT_1D")</f>
        <v>-0.1450236</v>
      </c>
      <c r="F113" s="2">
        <f>_xll.BDP(A113,"HIGH_52WEEK")</f>
        <v>5183.5810000000001</v>
      </c>
      <c r="G113" s="2">
        <f>LN(F113/D113)*100</f>
        <v>2.3429496772123208</v>
      </c>
      <c r="H113" s="2">
        <f>_xll.BDP(A113,"LOW_52WEEK")</f>
        <v>3644.2040000000002</v>
      </c>
      <c r="I113" s="2">
        <f>LN(H113/D113)*100</f>
        <v>-32.892867312636383</v>
      </c>
      <c r="J113" s="2">
        <f>_xll.BDP(A113,"CHG_PCT_5D")</f>
        <v>-1.1916389999999999</v>
      </c>
      <c r="K113" s="2">
        <f>_xll.BDP(A113,"CHG_PCT_1M")</f>
        <v>4.3681669999999997</v>
      </c>
      <c r="L113" s="2">
        <f>_xll.BDP(A113,"CHG_PCT_3M")</f>
        <v>5.3120219999999998</v>
      </c>
      <c r="M113" s="2">
        <f>_xll.BDP(A113,"CHG_PCT_6M")</f>
        <v>10.19797</v>
      </c>
      <c r="N113" s="2">
        <f>_xll.BDP(A113,"PR064")</f>
        <v>5.3120219999999998</v>
      </c>
      <c r="O113" s="2">
        <f>_xll.BDP(A113,"CHG_PCT_1YR")</f>
        <v>5.6911750000000003</v>
      </c>
      <c r="P113" s="2">
        <f>_xll.BDP(A113,"INTERVAL_HIGH", "MARKET_DATA_OVERRIDE=PE_RATIO", "CALC_INTERVAL=5y", "BEST_FPERIOD_OVERRIDE=BF")</f>
        <v>29.221895438515563</v>
      </c>
      <c r="Q113" s="2">
        <f>_xll.BDP(A113,"INTERVAL_Low", "MARKET_DATA_OVERRIDE=PE_RATIO", "CALC_INTERVAL=5y", "BEST_FPERIOD_OVERRIDE=BF")</f>
        <v>17.996580309792257</v>
      </c>
      <c r="R113" s="2">
        <f>_xll.BDP(A113,"PE_RATIO")</f>
        <v>24.90065585393349</v>
      </c>
      <c r="S113" s="3">
        <f>IF(ISERROR((R113-Q113)/(P113-Q113)),"",(R113-Q113)/(P113-Q113))</f>
        <v>0.61504514260585008</v>
      </c>
    </row>
    <row r="114" spans="1:19" x14ac:dyDescent="0.25">
      <c r="A114" t="s">
        <v>134</v>
      </c>
      <c r="B114" t="str">
        <f>_xll.BDP(A114,"DS697")</f>
        <v>道瓊義大利 Titans 30 指數</v>
      </c>
      <c r="C114" t="str">
        <f>_xll.BDP(A114,"DS003")</f>
        <v>IT</v>
      </c>
      <c r="D114" s="2">
        <f>_xll.BDP(A114,"PX_LAST")</f>
        <v>2258.7399999999998</v>
      </c>
      <c r="E114" s="2">
        <f>_xll.BDP(A114,"CHG_PCT_1D")</f>
        <v>0.63757839999999999</v>
      </c>
      <c r="F114" s="2">
        <f>_xll.BDP(A114,"HIGH_52WEEK")</f>
        <v>2314.98</v>
      </c>
      <c r="G114" s="2">
        <f>LN(F114/D114)*100</f>
        <v>2.4593912504971045</v>
      </c>
      <c r="H114" s="2">
        <f>_xll.BDP(A114,"LOW_52WEEK")</f>
        <v>1853.39</v>
      </c>
      <c r="I114" s="2">
        <f>LN(H114/D114)*100</f>
        <v>-19.779074102052462</v>
      </c>
      <c r="J114" s="2">
        <f>_xll.BDP(A114,"CHG_PCT_5D")</f>
        <v>-1.166531</v>
      </c>
      <c r="K114" s="2">
        <f>_xll.BDP(A114,"CHG_PCT_1M")</f>
        <v>4.8124599999999997</v>
      </c>
      <c r="L114" s="2">
        <f>_xll.BDP(A114,"CHG_PCT_3M")</f>
        <v>3.4595859999999998</v>
      </c>
      <c r="M114" s="2">
        <f>_xll.BDP(A114,"CHG_PCT_6M")</f>
        <v>2.900118</v>
      </c>
      <c r="N114" s="2">
        <f>_xll.BDP(A114,"PR064")</f>
        <v>3.4595859999999998</v>
      </c>
      <c r="O114" s="2">
        <f>_xll.BDP(A114,"CHG_PCT_1YR")</f>
        <v>0.72554019999999997</v>
      </c>
      <c r="P114" s="2">
        <f>_xll.BDP(A114,"INTERVAL_HIGH", "MARKET_DATA_OVERRIDE=PE_RATIO", "CALC_INTERVAL=5y", "BEST_FPERIOD_OVERRIDE=BF")</f>
        <v>647.03727312391584</v>
      </c>
      <c r="Q114" s="2">
        <f>_xll.BDP(A114,"INTERVAL_Low", "MARKET_DATA_OVERRIDE=PE_RATIO", "CALC_INTERVAL=5y", "BEST_FPERIOD_OVERRIDE=BF")</f>
        <v>10.853505322267505</v>
      </c>
      <c r="R114" s="2">
        <f>_xll.BDP(A114,"PE_RATIO")</f>
        <v>13.529983872610275</v>
      </c>
      <c r="S114" s="3">
        <f>IF(ISERROR((R114-Q114)/(P114-Q114)),"",(R114-Q114)/(P114-Q114))</f>
        <v>4.2070839996302019E-3</v>
      </c>
    </row>
    <row r="115" spans="1:19" x14ac:dyDescent="0.25">
      <c r="A115" t="s">
        <v>169</v>
      </c>
      <c r="B115" t="str">
        <f>_xll.BDP(A115,"DS697")</f>
        <v>華沙WIG指數</v>
      </c>
      <c r="C115" t="str">
        <f>_xll.BDP(A115,"DS003")</f>
        <v>PD</v>
      </c>
      <c r="D115" s="2">
        <f>_xll.BDP(A115,"PX_LAST")</f>
        <v>57377.87</v>
      </c>
      <c r="E115" s="2">
        <f>_xll.BDP(A115,"CHG_PCT_1D")</f>
        <v>0.51295389999999996</v>
      </c>
      <c r="F115" s="2">
        <f>_xll.BDP(A115,"HIGH_52WEEK")</f>
        <v>62009.8984375</v>
      </c>
      <c r="G115" s="2">
        <f>LN(F115/D115)*100</f>
        <v>7.7635335603620597</v>
      </c>
      <c r="H115" s="2">
        <f>_xll.BDP(A115,"LOW_52WEEK")</f>
        <v>54027.3203125</v>
      </c>
      <c r="I115" s="2">
        <f>LN(H115/D115)*100</f>
        <v>-6.0168838579214636</v>
      </c>
      <c r="J115" s="2">
        <f>_xll.BDP(A115,"CHG_PCT_5D")</f>
        <v>-1.163001</v>
      </c>
      <c r="K115" s="2">
        <f>_xll.BDP(A115,"CHG_PCT_1M")</f>
        <v>2.6768749999999999</v>
      </c>
      <c r="L115" s="2">
        <f>_xll.BDP(A115,"CHG_PCT_3M")</f>
        <v>-4.8355230000000002</v>
      </c>
      <c r="M115" s="2">
        <f>_xll.BDP(A115,"CHG_PCT_6M")</f>
        <v>-4.128558</v>
      </c>
      <c r="N115" s="2">
        <f>_xll.BDP(A115,"PR064")</f>
        <v>-4.8355230000000002</v>
      </c>
      <c r="O115" s="2">
        <f>_xll.BDP(A115,"CHG_PCT_1YR")</f>
        <v>-3.754677</v>
      </c>
      <c r="P115" s="2">
        <f>_xll.BDP(A115,"INTERVAL_HIGH", "MARKET_DATA_OVERRIDE=PE_RATIO", "CALC_INTERVAL=5y", "BEST_FPERIOD_OVERRIDE=BF")</f>
        <v>43.098386026923841</v>
      </c>
      <c r="Q115" s="2">
        <f>_xll.BDP(A115,"INTERVAL_Low", "MARKET_DATA_OVERRIDE=PE_RATIO", "CALC_INTERVAL=5y", "BEST_FPERIOD_OVERRIDE=BF")</f>
        <v>11.58650788740864</v>
      </c>
      <c r="R115" s="2">
        <f>_xll.BDP(A115,"PE_RATIO")</f>
        <v>13.004080731163302</v>
      </c>
      <c r="S115" s="3">
        <f>IF(ISERROR((R115-Q115)/(P115-Q115)),"",(R115-Q115)/(P115-Q115))</f>
        <v>4.4985349253970915E-2</v>
      </c>
    </row>
    <row r="116" spans="1:19" x14ac:dyDescent="0.25">
      <c r="A116" t="s">
        <v>282</v>
      </c>
      <c r="B116" t="str">
        <f>_xll.BDP(A116,"DS697")</f>
        <v>上海證券交易所B股指數</v>
      </c>
      <c r="C116" t="str">
        <f>_xll.BDP(A116,"DS003")</f>
        <v>CH</v>
      </c>
      <c r="D116" s="2">
        <f>_xll.BDP(A116,"PX_LAST")</f>
        <v>269.24770000000001</v>
      </c>
      <c r="E116" s="2">
        <f>_xll.BDP(A116,"CHG_PCT_1D")</f>
        <v>-1.083626</v>
      </c>
      <c r="F116" s="2">
        <f>_xll.BDP(A116,"HIGH_52WEEK")</f>
        <v>320.99790000000002</v>
      </c>
      <c r="G116" s="2">
        <f>LN(F116/D116)*100</f>
        <v>17.580280729951138</v>
      </c>
      <c r="H116" s="2">
        <f>_xll.BDP(A116,"LOW_52WEEK")</f>
        <v>253.21979999999999</v>
      </c>
      <c r="I116" s="2">
        <f>LN(H116/D116)*100</f>
        <v>-6.1373887488263144</v>
      </c>
      <c r="J116" s="2">
        <f>_xll.BDP(A116,"CHG_PCT_5D")</f>
        <v>-1.154838</v>
      </c>
      <c r="K116" s="2">
        <f>_xll.BDP(A116,"CHG_PCT_1M")</f>
        <v>2.2648890000000002</v>
      </c>
      <c r="L116" s="2">
        <f>_xll.BDP(A116,"CHG_PCT_3M")</f>
        <v>-9.3661460000000005</v>
      </c>
      <c r="M116" s="2">
        <f>_xll.BDP(A116,"CHG_PCT_6M")</f>
        <v>-10.86617</v>
      </c>
      <c r="N116" s="2">
        <f>_xll.BDP(A116,"PR064")</f>
        <v>-9.3661460000000005</v>
      </c>
      <c r="O116" s="2">
        <f>_xll.BDP(A116,"CHG_PCT_1YR")</f>
        <v>-6.7403490000000001</v>
      </c>
      <c r="P116" s="2">
        <f>_xll.BDP(A116,"INTERVAL_HIGH", "MARKET_DATA_OVERRIDE=PE_RATIO", "CALC_INTERVAL=5y", "BEST_FPERIOD_OVERRIDE=BF")</f>
        <v>40.062091012011862</v>
      </c>
      <c r="Q116" s="2">
        <f>_xll.BDP(A116,"INTERVAL_Low", "MARKET_DATA_OVERRIDE=PE_RATIO", "CALC_INTERVAL=5y", "BEST_FPERIOD_OVERRIDE=BF")</f>
        <v>9.253142481668819</v>
      </c>
      <c r="R116" s="2">
        <f>_xll.BDP(A116,"PE_RATIO")</f>
        <v>10.073854612588981</v>
      </c>
      <c r="S116" s="3">
        <f>IF(ISERROR((R116-Q116)/(P116-Q116)),"",(R116-Q116)/(P116-Q116))</f>
        <v>2.6638758220257373E-2</v>
      </c>
    </row>
    <row r="117" spans="1:19" x14ac:dyDescent="0.25">
      <c r="A117" t="s">
        <v>5</v>
      </c>
      <c r="B117" t="str">
        <f>_xll.BDP(A117,"DS697")</f>
        <v>標準普爾100指數</v>
      </c>
      <c r="C117" t="str">
        <f>_xll.BDP(A117,"DS003")</f>
        <v>US</v>
      </c>
      <c r="D117" s="2">
        <f>_xll.BDP(A117,"PX_LAST")</f>
        <v>1313.96</v>
      </c>
      <c r="E117" s="2">
        <f>_xll.BDP(A117,"CHG_PCT_1D")</f>
        <v>-0.35339979999999999</v>
      </c>
      <c r="F117" s="2">
        <f>_xll.BDP(A117,"HIGH_52WEEK")</f>
        <v>1340.99</v>
      </c>
      <c r="G117" s="2">
        <f>LN(F117/D117)*100</f>
        <v>2.0362668951420462</v>
      </c>
      <c r="H117" s="2">
        <f>_xll.BDP(A117,"LOW_52WEEK")</f>
        <v>1041.6600000000001</v>
      </c>
      <c r="I117" s="2">
        <f>LN(H117/D117)*100</f>
        <v>-23.222988369899035</v>
      </c>
      <c r="J117" s="2">
        <f>_xll.BDP(A117,"CHG_PCT_5D")</f>
        <v>-1.1063799999999999</v>
      </c>
      <c r="K117" s="2">
        <f>_xll.BDP(A117,"CHG_PCT_1M")</f>
        <v>3.6196950000000001</v>
      </c>
      <c r="L117" s="2">
        <f>_xll.BDP(A117,"CHG_PCT_3M")</f>
        <v>1.6800120000000001</v>
      </c>
      <c r="M117" s="2">
        <f>_xll.BDP(A117,"CHG_PCT_6M")</f>
        <v>5.9602360000000001</v>
      </c>
      <c r="N117" s="2">
        <f>_xll.BDP(A117,"PR064")</f>
        <v>1.6800120000000001</v>
      </c>
      <c r="O117" s="2">
        <f>_xll.BDP(A117,"CHG_PCT_1YR")</f>
        <v>1.439028</v>
      </c>
      <c r="P117" s="2">
        <f>_xll.BDP(A117,"INTERVAL_HIGH", "MARKET_DATA_OVERRIDE=PE_RATIO", "CALC_INTERVAL=5y", "BEST_FPERIOD_OVERRIDE=BF")</f>
        <v>22.495271365025193</v>
      </c>
      <c r="Q117" s="2">
        <f>_xll.BDP(A117,"INTERVAL_Low", "MARKET_DATA_OVERRIDE=PE_RATIO", "CALC_INTERVAL=5y", "BEST_FPERIOD_OVERRIDE=BF")</f>
        <v>15.246439956928006</v>
      </c>
      <c r="R117" s="2">
        <f>_xll.BDP(A117,"PE_RATIO")</f>
        <v>19.178524619415104</v>
      </c>
      <c r="S117" s="3">
        <f>IF(ISERROR((R117-Q117)/(P117-Q117)),"",(R117-Q117)/(P117-Q117))</f>
        <v>0.54244393904579258</v>
      </c>
    </row>
    <row r="118" spans="1:19" x14ac:dyDescent="0.25">
      <c r="A118" t="s">
        <v>129</v>
      </c>
      <c r="B118" t="str">
        <f>_xll.BDP(A118,"DS697")</f>
        <v>SLI瑞士領先指數</v>
      </c>
      <c r="C118" t="str">
        <f>_xll.BDP(A118,"DS003")</f>
        <v>SZ</v>
      </c>
      <c r="D118" s="2">
        <f>_xll.BDP(A118,"PX_LAST")</f>
        <v>1528.54</v>
      </c>
      <c r="E118" s="2">
        <f>_xll.BDP(A118,"CHG_PCT_1D")</f>
        <v>0.78130670000000002</v>
      </c>
      <c r="F118" s="2">
        <f>_xll.BDP(A118,"HIGH_52WEEK")</f>
        <v>1554.71</v>
      </c>
      <c r="G118" s="2">
        <f>LN(F118/D118)*100</f>
        <v>1.6976001608452067</v>
      </c>
      <c r="H118" s="2">
        <f>_xll.BDP(A118,"LOW_52WEEK")</f>
        <v>1251.69</v>
      </c>
      <c r="I118" s="2">
        <f>LN(H118/D118)*100</f>
        <v>-19.981839326835772</v>
      </c>
      <c r="J118" s="2">
        <f>_xll.BDP(A118,"CHG_PCT_5D")</f>
        <v>-1.086497</v>
      </c>
      <c r="K118" s="2">
        <f>_xll.BDP(A118,"CHG_PCT_1M")</f>
        <v>3.1918790000000001</v>
      </c>
      <c r="L118" s="2">
        <f>_xll.BDP(A118,"CHG_PCT_3M")</f>
        <v>1.1226799999999999</v>
      </c>
      <c r="M118" s="2">
        <f>_xll.BDP(A118,"CHG_PCT_6M")</f>
        <v>6.6470390000000004</v>
      </c>
      <c r="N118" s="2">
        <f>_xll.BDP(A118,"PR064")</f>
        <v>1.1226799999999999</v>
      </c>
      <c r="O118" s="2">
        <f>_xll.BDP(A118,"CHG_PCT_1YR")</f>
        <v>2.5301580000000001</v>
      </c>
      <c r="P118" s="2">
        <f>_xll.BDP(A118,"INTERVAL_HIGH", "MARKET_DATA_OVERRIDE=PE_RATIO", "CALC_INTERVAL=5y", "BEST_FPERIOD_OVERRIDE=BF")</f>
        <v>36.147025185819395</v>
      </c>
      <c r="Q118" s="2">
        <f>_xll.BDP(A118,"INTERVAL_Low", "MARKET_DATA_OVERRIDE=PE_RATIO", "CALC_INTERVAL=5y", "BEST_FPERIOD_OVERRIDE=BF")</f>
        <v>15.372935451261103</v>
      </c>
      <c r="R118" s="2">
        <f>_xll.BDP(A118,"PE_RATIO")</f>
        <v>21.453805131640927</v>
      </c>
      <c r="S118" s="3">
        <f>IF(ISERROR((R118-Q118)/(P118-Q118)),"",(R118-Q118)/(P118-Q118))</f>
        <v>0.29271413371552563</v>
      </c>
    </row>
    <row r="119" spans="1:19" x14ac:dyDescent="0.25">
      <c r="A119" t="s">
        <v>33</v>
      </c>
      <c r="B119" t="str">
        <f>_xll.BDP(A119,"DS697")</f>
        <v>紐約證交所Arca機構指數</v>
      </c>
      <c r="C119" t="str">
        <f>_xll.BDP(A119,"DS003")</f>
        <v>US</v>
      </c>
      <c r="D119" s="2">
        <f>_xll.BDP(A119,"PX_LAST")</f>
        <v>1368.6110000000001</v>
      </c>
      <c r="E119" s="2">
        <f>_xll.BDP(A119,"CHG_PCT_1D")</f>
        <v>-0.29083429999999999</v>
      </c>
      <c r="F119" s="2">
        <f>_xll.BDP(A119,"HIGH_52WEEK")</f>
        <v>1395.8969999999999</v>
      </c>
      <c r="G119" s="2">
        <f>LN(F119/D119)*100</f>
        <v>1.9740862468727693</v>
      </c>
      <c r="H119" s="2">
        <f>_xll.BDP(A119,"LOW_52WEEK")</f>
        <v>1074.222</v>
      </c>
      <c r="I119" s="2">
        <f>LN(H119/D119)*100</f>
        <v>-24.219967827747549</v>
      </c>
      <c r="J119" s="2">
        <f>_xll.BDP(A119,"CHG_PCT_5D")</f>
        <v>-1.0839859999999999</v>
      </c>
      <c r="K119" s="2">
        <f>_xll.BDP(A119,"CHG_PCT_1M")</f>
        <v>3.1632380000000002</v>
      </c>
      <c r="L119" s="2">
        <f>_xll.BDP(A119,"CHG_PCT_3M")</f>
        <v>1.5926849999999999</v>
      </c>
      <c r="M119" s="2">
        <f>_xll.BDP(A119,"CHG_PCT_6M")</f>
        <v>6.28139</v>
      </c>
      <c r="N119" s="2">
        <f>_xll.BDP(A119,"PR064")</f>
        <v>1.5926849999999999</v>
      </c>
      <c r="O119" s="2">
        <f>_xll.BDP(A119,"CHG_PCT_1YR")</f>
        <v>2.3955639999999998</v>
      </c>
      <c r="P119" s="2">
        <f>_xll.BDP(A119,"INTERVAL_HIGH", "MARKET_DATA_OVERRIDE=PE_RATIO", "CALC_INTERVAL=5y", "BEST_FPERIOD_OVERRIDE=BF")</f>
        <v>23.442185761689121</v>
      </c>
      <c r="Q119" s="2">
        <f>_xll.BDP(A119,"INTERVAL_Low", "MARKET_DATA_OVERRIDE=PE_RATIO", "CALC_INTERVAL=5y", "BEST_FPERIOD_OVERRIDE=BF")</f>
        <v>16.072187731893003</v>
      </c>
      <c r="R119" s="2">
        <f>_xll.BDP(A119,"PE_RATIO")</f>
        <v>20.972502189693369</v>
      </c>
      <c r="S119" s="3">
        <f>IF(ISERROR((R119-Q119)/(P119-Q119)),"",(R119-Q119)/(P119-Q119))</f>
        <v>0.66490037554812309</v>
      </c>
    </row>
    <row r="120" spans="1:19" x14ac:dyDescent="0.25">
      <c r="A120" t="s">
        <v>230</v>
      </c>
      <c r="B120" t="str">
        <f>_xll.BDP(A120,"DS697")</f>
        <v>阿布達比證券市場一般指數</v>
      </c>
      <c r="C120" t="str">
        <f>_xll.BDP(A120,"DS003")</f>
        <v>UA</v>
      </c>
      <c r="D120" s="2">
        <f>_xll.BDP(A120,"PX_LAST")</f>
        <v>5069.4189999999999</v>
      </c>
      <c r="E120" s="2">
        <f>_xll.BDP(A120,"CHG_PCT_1D")</f>
        <v>-0.37418010000000002</v>
      </c>
      <c r="F120" s="2">
        <f>_xll.BDP(A120,"HIGH_52WEEK")</f>
        <v>5426.24609375</v>
      </c>
      <c r="G120" s="2">
        <f>LN(F120/D120)*100</f>
        <v>6.8021352375437258</v>
      </c>
      <c r="H120" s="2">
        <f>_xll.BDP(A120,"LOW_52WEEK")</f>
        <v>4670.9669999999996</v>
      </c>
      <c r="I120" s="2">
        <f>LN(H120/D120)*100</f>
        <v>-8.1860098749079793</v>
      </c>
      <c r="J120" s="2">
        <f>_xll.BDP(A120,"CHG_PCT_5D")</f>
        <v>-1.079145</v>
      </c>
      <c r="K120" s="2">
        <f>_xll.BDP(A120,"CHG_PCT_1M")</f>
        <v>-1.195419</v>
      </c>
      <c r="L120" s="2">
        <f>_xll.BDP(A120,"CHG_PCT_3M")</f>
        <v>1.557188</v>
      </c>
      <c r="M120" s="2">
        <f>_xll.BDP(A120,"CHG_PCT_6M")</f>
        <v>-0.78286789999999995</v>
      </c>
      <c r="N120" s="2">
        <f>_xll.BDP(A120,"PR064")</f>
        <v>1.557188</v>
      </c>
      <c r="O120" s="2">
        <f>_xll.BDP(A120,"CHG_PCT_1YR")</f>
        <v>2.4555980000000002</v>
      </c>
      <c r="P120" s="2">
        <f>_xll.BDP(A120,"INTERVAL_HIGH", "MARKET_DATA_OVERRIDE=PE_RATIO", "CALC_INTERVAL=5y", "BEST_FPERIOD_OVERRIDE=BF")</f>
        <v>17.739530047525058</v>
      </c>
      <c r="Q120" s="2">
        <f>_xll.BDP(A120,"INTERVAL_Low", "MARKET_DATA_OVERRIDE=PE_RATIO", "CALC_INTERVAL=5y", "BEST_FPERIOD_OVERRIDE=BF")</f>
        <v>9.6458886449791112</v>
      </c>
      <c r="R120" s="2">
        <f>_xll.BDP(A120,"PE_RATIO")</f>
        <v>15.187541265647198</v>
      </c>
      <c r="S120" s="3">
        <f>IF(ISERROR((R120-Q120)/(P120-Q120)),"",(R120-Q120)/(P120-Q120))</f>
        <v>0.6846921360915369</v>
      </c>
    </row>
    <row r="121" spans="1:19" x14ac:dyDescent="0.25">
      <c r="A121" t="s">
        <v>4</v>
      </c>
      <c r="B121" t="str">
        <f>_xll.BDP(A121,"DS697")</f>
        <v>道瓊美國整體股票市場指數</v>
      </c>
      <c r="C121" t="str">
        <f>_xll.BDP(A121,"DS003")</f>
        <v>US</v>
      </c>
      <c r="D121" s="2">
        <f>_xll.BDP(A121,"PX_LAST")</f>
        <v>30479.48</v>
      </c>
      <c r="E121" s="2">
        <f>_xll.BDP(A121,"CHG_PCT_1D")</f>
        <v>-0.32388749999999999</v>
      </c>
      <c r="F121" s="2">
        <f>_xll.BDP(A121,"HIGH_52WEEK")</f>
        <v>31115.97</v>
      </c>
      <c r="G121" s="2">
        <f>LN(F121/D121)*100</f>
        <v>2.0667521904393653</v>
      </c>
      <c r="H121" s="2">
        <f>_xll.BDP(A121,"LOW_52WEEK")</f>
        <v>24091.5390625</v>
      </c>
      <c r="I121" s="2">
        <f>LN(H121/D121)*100</f>
        <v>-23.519296769535828</v>
      </c>
      <c r="J121" s="2">
        <f>_xll.BDP(A121,"CHG_PCT_5D")</f>
        <v>-1.070103</v>
      </c>
      <c r="K121" s="2">
        <f>_xll.BDP(A121,"CHG_PCT_1M")</f>
        <v>3.7605339999999998</v>
      </c>
      <c r="L121" s="2">
        <f>_xll.BDP(A121,"CHG_PCT_3M")</f>
        <v>1.4604509999999999</v>
      </c>
      <c r="M121" s="2">
        <f>_xll.BDP(A121,"CHG_PCT_6M")</f>
        <v>5.5187860000000004</v>
      </c>
      <c r="N121" s="2">
        <f>_xll.BDP(A121,"PR064")</f>
        <v>1.4604509999999999</v>
      </c>
      <c r="O121" s="2">
        <f>_xll.BDP(A121,"CHG_PCT_1YR")</f>
        <v>0.99686350000000001</v>
      </c>
      <c r="P121" s="2">
        <f>_xll.BDP(A121,"INTERVAL_HIGH", "MARKET_DATA_OVERRIDE=PE_RATIO", "CALC_INTERVAL=5y", "BEST_FPERIOD_OVERRIDE=BF")</f>
        <v>962.82590494603801</v>
      </c>
      <c r="Q121" s="2">
        <f>_xll.BDP(A121,"INTERVAL_Low", "MARKET_DATA_OVERRIDE=PE_RATIO", "CALC_INTERVAL=5y", "BEST_FPERIOD_OVERRIDE=BF")</f>
        <v>13.039537506446434</v>
      </c>
      <c r="R121" s="2">
        <f>_xll.BDP(A121,"PE_RATIO")</f>
        <v>21.028956347947908</v>
      </c>
      <c r="S121" s="3">
        <f>IF(ISERROR((R121-Q121)/(P121-Q121)),"",(R121-Q121)/(P121-Q121))</f>
        <v>8.4118061865207996E-3</v>
      </c>
    </row>
    <row r="122" spans="1:19" x14ac:dyDescent="0.25">
      <c r="A122" t="s">
        <v>40</v>
      </c>
      <c r="B122" t="str">
        <f>_xll.BDP(A122,"DS697")</f>
        <v>羅素3000指數</v>
      </c>
      <c r="C122" t="str">
        <f>_xll.BDP(A122,"DS003")</f>
        <v>US</v>
      </c>
      <c r="D122" s="2">
        <f>_xll.BDP(A122,"PX_LAST")</f>
        <v>1744.5309999999999</v>
      </c>
      <c r="E122" s="2">
        <f>_xll.BDP(A122,"CHG_PCT_1D")</f>
        <v>-0.32345020000000002</v>
      </c>
      <c r="F122" s="2">
        <f>_xll.BDP(A122,"HIGH_52WEEK")</f>
        <v>1780.809</v>
      </c>
      <c r="G122" s="2">
        <f>LN(F122/D122)*100</f>
        <v>2.058200381321424</v>
      </c>
      <c r="H122" s="2">
        <f>_xll.BDP(A122,"LOW_52WEEK")</f>
        <v>1379.0139999999999</v>
      </c>
      <c r="I122" s="2">
        <f>LN(H122/D122)*100</f>
        <v>-23.511700057761935</v>
      </c>
      <c r="J122" s="2">
        <f>_xll.BDP(A122,"CHG_PCT_5D")</f>
        <v>-1.063126</v>
      </c>
      <c r="K122" s="2">
        <f>_xll.BDP(A122,"CHG_PCT_1M")</f>
        <v>3.7690489999999999</v>
      </c>
      <c r="L122" s="2">
        <f>_xll.BDP(A122,"CHG_PCT_3M")</f>
        <v>1.4567730000000001</v>
      </c>
      <c r="M122" s="2">
        <f>_xll.BDP(A122,"CHG_PCT_6M")</f>
        <v>5.5399469999999997</v>
      </c>
      <c r="N122" s="2">
        <f>_xll.BDP(A122,"PR064")</f>
        <v>1.4567730000000001</v>
      </c>
      <c r="O122" s="2">
        <f>_xll.BDP(A122,"CHG_PCT_1YR")</f>
        <v>1.0833619999999999</v>
      </c>
      <c r="P122" s="2">
        <f>_xll.BDP(A122,"INTERVAL_HIGH", "MARKET_DATA_OVERRIDE=PE_RATIO", "CALC_INTERVAL=5y", "BEST_FPERIOD_OVERRIDE=BF")</f>
        <v>26.128604330046301</v>
      </c>
      <c r="Q122" s="2">
        <f>_xll.BDP(A122,"INTERVAL_Low", "MARKET_DATA_OVERRIDE=PE_RATIO", "CALC_INTERVAL=5y", "BEST_FPERIOD_OVERRIDE=BF")</f>
        <v>16.596676911560124</v>
      </c>
      <c r="R122" s="2">
        <f>_xll.BDP(A122,"PE_RATIO")</f>
        <v>20.893535417877477</v>
      </c>
      <c r="S122" s="3">
        <f>IF(ISERROR((R122-Q122)/(P122-Q122)),"",(R122-Q122)/(P122-Q122))</f>
        <v>0.45078590275289393</v>
      </c>
    </row>
    <row r="123" spans="1:19" x14ac:dyDescent="0.25">
      <c r="A123" t="s">
        <v>247</v>
      </c>
      <c r="B123" t="str">
        <f>_xll.BDP(A123,"DS697")</f>
        <v>海峽時報指數</v>
      </c>
      <c r="C123" t="str">
        <f>_xll.BDP(A123,"DS003")</f>
        <v>SI</v>
      </c>
      <c r="D123" s="2">
        <f>_xll.BDP(A123,"PX_LAST")</f>
        <v>3125.81</v>
      </c>
      <c r="E123" s="2">
        <f>_xll.BDP(A123,"CHG_PCT_1D")</f>
        <v>-3.1991609999999998E-4</v>
      </c>
      <c r="F123" s="2">
        <f>_xll.BDP(A123,"HIGH_52WEEK")</f>
        <v>3415.18</v>
      </c>
      <c r="G123" s="2">
        <f>LN(F123/D123)*100</f>
        <v>8.85367506702136</v>
      </c>
      <c r="H123" s="2">
        <f>_xll.BDP(A123,"LOW_52WEEK")</f>
        <v>2955.68</v>
      </c>
      <c r="I123" s="2">
        <f>LN(H123/D123)*100</f>
        <v>-5.5964706773658257</v>
      </c>
      <c r="J123" s="2">
        <f>_xll.BDP(A123,"CHG_PCT_5D")</f>
        <v>-1.0443849999999999</v>
      </c>
      <c r="K123" s="2">
        <f>_xll.BDP(A123,"CHG_PCT_1M")</f>
        <v>1.9002330000000001</v>
      </c>
      <c r="L123" s="2">
        <f>_xll.BDP(A123,"CHG_PCT_3M")</f>
        <v>-6.092352</v>
      </c>
      <c r="M123" s="2">
        <f>_xll.BDP(A123,"CHG_PCT_6M")</f>
        <v>-2.2692619999999999</v>
      </c>
      <c r="N123" s="2">
        <f>_xll.BDP(A123,"PR064")</f>
        <v>-6.092352</v>
      </c>
      <c r="O123" s="2">
        <f>_xll.BDP(A123,"CHG_PCT_1YR")</f>
        <v>-3.4128889999999998</v>
      </c>
      <c r="P123" s="2">
        <f>_xll.BDP(A123,"INTERVAL_HIGH", "MARKET_DATA_OVERRIDE=PE_RATIO", "CALC_INTERVAL=5y", "BEST_FPERIOD_OVERRIDE=BF")</f>
        <v>16.036042647415897</v>
      </c>
      <c r="Q123" s="2">
        <f>_xll.BDP(A123,"INTERVAL_Low", "MARKET_DATA_OVERRIDE=PE_RATIO", "CALC_INTERVAL=5y", "BEST_FPERIOD_OVERRIDE=BF")</f>
        <v>10.241475082037731</v>
      </c>
      <c r="R123" s="2">
        <f>_xll.BDP(A123,"PE_RATIO")</f>
        <v>11.624740419759739</v>
      </c>
      <c r="S123" s="3">
        <f>IF(ISERROR((R123-Q123)/(P123-Q123)),"",(R123-Q123)/(P123-Q123))</f>
        <v>0.2387176130254913</v>
      </c>
    </row>
    <row r="124" spans="1:19" x14ac:dyDescent="0.25">
      <c r="A124" t="s">
        <v>34</v>
      </c>
      <c r="B124" t="str">
        <f>_xll.BDP(A124,"DS697")</f>
        <v>紐約證交所Arca電腦科技指數</v>
      </c>
      <c r="C124" t="str">
        <f>_xll.BDP(A124,"DS003")</f>
        <v>US</v>
      </c>
      <c r="D124" s="2">
        <f>_xll.BDP(A124,"PX_LAST")</f>
        <v>3242.0650000000001</v>
      </c>
      <c r="E124" s="2">
        <f>_xll.BDP(A124,"CHG_PCT_1D")</f>
        <v>-0.26781339999999998</v>
      </c>
      <c r="F124" s="2">
        <f>_xll.BDP(A124,"HIGH_52WEEK")</f>
        <v>3334.1489999999999</v>
      </c>
      <c r="G124" s="2">
        <f>LN(F124/D124)*100</f>
        <v>2.8007001927023585</v>
      </c>
      <c r="H124" s="2">
        <f>_xll.BDP(A124,"LOW_52WEEK")</f>
        <v>2331.36</v>
      </c>
      <c r="I124" s="2">
        <f>LN(H124/D124)*100</f>
        <v>-32.975868418134318</v>
      </c>
      <c r="J124" s="2">
        <f>_xll.BDP(A124,"CHG_PCT_5D")</f>
        <v>-1.0389870000000001</v>
      </c>
      <c r="K124" s="2">
        <f>_xll.BDP(A124,"CHG_PCT_1M")</f>
        <v>4.8032320000000004</v>
      </c>
      <c r="L124" s="2">
        <f>_xll.BDP(A124,"CHG_PCT_3M")</f>
        <v>4.008146</v>
      </c>
      <c r="M124" s="2">
        <f>_xll.BDP(A124,"CHG_PCT_6M")</f>
        <v>9.711468</v>
      </c>
      <c r="N124" s="2">
        <f>_xll.BDP(A124,"PR064")</f>
        <v>4.008146</v>
      </c>
      <c r="O124" s="2">
        <f>_xll.BDP(A124,"CHG_PCT_1YR")</f>
        <v>5.4920460000000002</v>
      </c>
      <c r="P124" s="2">
        <f>_xll.BDP(A124,"INTERVAL_HIGH", "MARKET_DATA_OVERRIDE=PE_RATIO", "CALC_INTERVAL=5y", "BEST_FPERIOD_OVERRIDE=BF")</f>
        <v>23.134869240120324</v>
      </c>
      <c r="Q124" s="2">
        <f>_xll.BDP(A124,"INTERVAL_Low", "MARKET_DATA_OVERRIDE=PE_RATIO", "CALC_INTERVAL=5y", "BEST_FPERIOD_OVERRIDE=BF")</f>
        <v>14.992337093814504</v>
      </c>
      <c r="R124" s="2">
        <f>_xll.BDP(A124,"PE_RATIO")</f>
        <v>21.386407028812712</v>
      </c>
      <c r="S124" s="3">
        <f>IF(ISERROR((R124-Q124)/(P124-Q124)),"",(R124-Q124)/(P124-Q124))</f>
        <v>0.78526800018826204</v>
      </c>
    </row>
    <row r="125" spans="1:19" x14ac:dyDescent="0.25">
      <c r="A125" t="s">
        <v>26</v>
      </c>
      <c r="B125" t="str">
        <f>_xll.BDP(A125,"DS697")</f>
        <v>那斯達克金融類指數</v>
      </c>
      <c r="C125" t="str">
        <f>_xll.BDP(A125,"DS003")</f>
        <v>US</v>
      </c>
      <c r="D125" s="2">
        <f>_xll.BDP(A125,"PX_LAST")</f>
        <v>4918.7449999999999</v>
      </c>
      <c r="E125" s="2">
        <f>_xll.BDP(A125,"CHG_PCT_1D")</f>
        <v>-0.78676800000000002</v>
      </c>
      <c r="F125" s="2">
        <f>_xll.BDP(A125,"HIGH_52WEEK")</f>
        <v>5014.0730000000003</v>
      </c>
      <c r="G125" s="2">
        <f>LN(F125/D125)*100</f>
        <v>1.9195142199626158</v>
      </c>
      <c r="H125" s="2">
        <f>_xll.BDP(A125,"LOW_52WEEK")</f>
        <v>3789.308</v>
      </c>
      <c r="I125" s="2">
        <f>LN(H125/D125)*100</f>
        <v>-26.086999999308691</v>
      </c>
      <c r="J125" s="2">
        <f>_xll.BDP(A125,"CHG_PCT_5D")</f>
        <v>-1.0353319999999999</v>
      </c>
      <c r="K125" s="2">
        <f>_xll.BDP(A125,"CHG_PCT_1M")</f>
        <v>5.0324960000000001</v>
      </c>
      <c r="L125" s="2">
        <f>_xll.BDP(A125,"CHG_PCT_3M")</f>
        <v>3.6757610000000001</v>
      </c>
      <c r="M125" s="2">
        <f>_xll.BDP(A125,"CHG_PCT_6M")</f>
        <v>12.238770000000001</v>
      </c>
      <c r="N125" s="2">
        <f>_xll.BDP(A125,"PR064")</f>
        <v>3.6757610000000001</v>
      </c>
      <c r="O125" s="2">
        <f>_xll.BDP(A125,"CHG_PCT_1YR")</f>
        <v>5.6054069999999996</v>
      </c>
      <c r="P125" s="2">
        <f>_xll.BDP(A125,"INTERVAL_HIGH", "MARKET_DATA_OVERRIDE=PE_RATIO", "CALC_INTERVAL=5y", "BEST_FPERIOD_OVERRIDE=BF")</f>
        <v>24.415422888884535</v>
      </c>
      <c r="Q125" s="2">
        <f>_xll.BDP(A125,"INTERVAL_Low", "MARKET_DATA_OVERRIDE=PE_RATIO", "CALC_INTERVAL=5y", "BEST_FPERIOD_OVERRIDE=BF")</f>
        <v>12.924693533511526</v>
      </c>
      <c r="R125" s="2">
        <f>_xll.BDP(A125,"PE_RATIO")</f>
        <v>18.236980584742941</v>
      </c>
      <c r="S125" s="3">
        <f>IF(ISERROR((R125-Q125)/(P125-Q125)),"",(R125-Q125)/(P125-Q125))</f>
        <v>0.46231069298898902</v>
      </c>
    </row>
    <row r="126" spans="1:19" x14ac:dyDescent="0.25">
      <c r="A126" t="s">
        <v>144</v>
      </c>
      <c r="B126" t="str">
        <f>_xll.BDP(A126,"DS697")</f>
        <v>盧森堡 LUXX 報酬指數</v>
      </c>
      <c r="C126" t="str">
        <f>_xll.BDP(A126,"DS003")</f>
        <v>LX</v>
      </c>
      <c r="D126" s="2">
        <f>_xll.BDP(A126,"PX_LAST")</f>
        <v>2250.5509999999999</v>
      </c>
      <c r="E126" s="2">
        <f>_xll.BDP(A126,"CHG_PCT_1D")</f>
        <v>0.67282189999999997</v>
      </c>
      <c r="F126" s="2">
        <f>_xll.BDP(A126,"HIGH_52WEEK")</f>
        <v>2850.279</v>
      </c>
      <c r="G126" s="2">
        <f>LN(F126/D126)*100</f>
        <v>23.624180910119616</v>
      </c>
      <c r="H126" s="2">
        <f>_xll.BDP(A126,"LOW_52WEEK")</f>
        <v>1935.348</v>
      </c>
      <c r="I126" s="2">
        <f>LN(H126/D126)*100</f>
        <v>-15.088791985200912</v>
      </c>
      <c r="J126" s="2">
        <f>_xll.BDP(A126,"CHG_PCT_5D")</f>
        <v>-1.0276190000000001</v>
      </c>
      <c r="K126" s="2">
        <f>_xll.BDP(A126,"CHG_PCT_1M")</f>
        <v>8.4154649999999993</v>
      </c>
      <c r="L126" s="2">
        <f>_xll.BDP(A126,"CHG_PCT_3M")</f>
        <v>2.5565889999999998</v>
      </c>
      <c r="M126" s="2">
        <f>_xll.BDP(A126,"CHG_PCT_6M")</f>
        <v>-0.18538489999999999</v>
      </c>
      <c r="N126" s="2">
        <f>_xll.BDP(A126,"PR064")</f>
        <v>2.5565889999999998</v>
      </c>
      <c r="O126" s="2">
        <f>_xll.BDP(A126,"CHG_PCT_1YR")</f>
        <v>-19.434229999999999</v>
      </c>
      <c r="P126" s="2" t="str">
        <f>_xll.BDP(A126,"INTERVAL_HIGH", "MARKET_DATA_OVERRIDE=PE_RATIO", "CALC_INTERVAL=5y", "BEST_FPERIOD_OVERRIDE=BF")</f>
        <v>#N/A N/A</v>
      </c>
      <c r="Q126" s="2" t="str">
        <f>_xll.BDP(A126,"INTERVAL_Low", "MARKET_DATA_OVERRIDE=PE_RATIO", "CALC_INTERVAL=5y", "BEST_FPERIOD_OVERRIDE=BF")</f>
        <v>#N/A N/A</v>
      </c>
      <c r="R126" s="2" t="str">
        <f>_xll.BDP(A126,"PE_RATIO")</f>
        <v>#N/A N/A</v>
      </c>
      <c r="S126" s="3" t="str">
        <f>IF(ISERROR((R126-Q126)/(P126-Q126)),"",(R126-Q126)/(P126-Q126))</f>
        <v/>
      </c>
    </row>
    <row r="127" spans="1:19" x14ac:dyDescent="0.25">
      <c r="A127" t="s">
        <v>143</v>
      </c>
      <c r="B127" t="str">
        <f>_xll.BDP(A127,"DS697")</f>
        <v>盧森堡 LUXX 指數</v>
      </c>
      <c r="C127" t="str">
        <f>_xll.BDP(A127,"DS003")</f>
        <v>LX</v>
      </c>
      <c r="D127" s="2">
        <f>_xll.BDP(A127,"PX_LAST")</f>
        <v>1326.2260000000001</v>
      </c>
      <c r="E127" s="2">
        <f>_xll.BDP(A127,"CHG_PCT_1D")</f>
        <v>0.67285989999999996</v>
      </c>
      <c r="F127" s="2">
        <f>_xll.BDP(A127,"HIGH_52WEEK")</f>
        <v>1733.9960000000001</v>
      </c>
      <c r="G127" s="2">
        <f>LN(F127/D127)*100</f>
        <v>26.809125690401657</v>
      </c>
      <c r="H127" s="2">
        <f>_xll.BDP(A127,"LOW_52WEEK")</f>
        <v>1146.0830000000001</v>
      </c>
      <c r="I127" s="2">
        <f>LN(H127/D127)*100</f>
        <v>-14.59872731477034</v>
      </c>
      <c r="J127" s="2">
        <f>_xll.BDP(A127,"CHG_PCT_5D")</f>
        <v>-1.027604</v>
      </c>
      <c r="K127" s="2">
        <f>_xll.BDP(A127,"CHG_PCT_1M")</f>
        <v>8.1157769999999996</v>
      </c>
      <c r="L127" s="2">
        <f>_xll.BDP(A127,"CHG_PCT_3M")</f>
        <v>2.0552239999999999</v>
      </c>
      <c r="M127" s="2">
        <f>_xll.BDP(A127,"CHG_PCT_6M")</f>
        <v>-2.9927450000000002</v>
      </c>
      <c r="N127" s="2">
        <f>_xll.BDP(A127,"PR064")</f>
        <v>2.0552239999999999</v>
      </c>
      <c r="O127" s="2">
        <f>_xll.BDP(A127,"CHG_PCT_1YR")</f>
        <v>-21.959759999999999</v>
      </c>
      <c r="P127" s="2" t="str">
        <f>_xll.BDP(A127,"INTERVAL_HIGH", "MARKET_DATA_OVERRIDE=PE_RATIO", "CALC_INTERVAL=5y", "BEST_FPERIOD_OVERRIDE=BF")</f>
        <v>#N/A N/A</v>
      </c>
      <c r="Q127" s="2" t="str">
        <f>_xll.BDP(A127,"INTERVAL_Low", "MARKET_DATA_OVERRIDE=PE_RATIO", "CALC_INTERVAL=5y", "BEST_FPERIOD_OVERRIDE=BF")</f>
        <v>#N/A N/A</v>
      </c>
      <c r="R127" s="2" t="str">
        <f>_xll.BDP(A127,"PE_RATIO")</f>
        <v>#N/A N/A</v>
      </c>
      <c r="S127" s="3" t="str">
        <f>IF(ISERROR((R127-Q127)/(P127-Q127)),"",(R127-Q127)/(P127-Q127))</f>
        <v/>
      </c>
    </row>
    <row r="128" spans="1:19" x14ac:dyDescent="0.25">
      <c r="A128" t="s">
        <v>284</v>
      </c>
      <c r="B128" t="str">
        <f>_xll.BDP(A128,"DS697")</f>
        <v>深圳證券交易所B股指數</v>
      </c>
      <c r="C128" t="str">
        <f>_xll.BDP(A128,"DS003")</f>
        <v>CH</v>
      </c>
      <c r="D128" s="2">
        <f>_xll.BDP(A128,"PX_LAST")</f>
        <v>936.96950000000004</v>
      </c>
      <c r="E128" s="2">
        <f>_xll.BDP(A128,"CHG_PCT_1D")</f>
        <v>-8.4754769999999993E-2</v>
      </c>
      <c r="F128" s="2">
        <f>_xll.BDP(A128,"HIGH_52WEEK")</f>
        <v>1084.395</v>
      </c>
      <c r="G128" s="2">
        <f>LN(F128/D128)*100</f>
        <v>14.612677575424001</v>
      </c>
      <c r="H128" s="2">
        <f>_xll.BDP(A128,"LOW_52WEEK")</f>
        <v>826.66740000000004</v>
      </c>
      <c r="I128" s="2">
        <f>LN(H128/D128)*100</f>
        <v>-12.524829342763466</v>
      </c>
      <c r="J128" s="2">
        <f>_xll.BDP(A128,"CHG_PCT_5D")</f>
        <v>-1.0136540000000001</v>
      </c>
      <c r="K128" s="2">
        <f>_xll.BDP(A128,"CHG_PCT_1M")</f>
        <v>-1.1080300000000001</v>
      </c>
      <c r="L128" s="2">
        <f>_xll.BDP(A128,"CHG_PCT_3M")</f>
        <v>-2.8428599999999999</v>
      </c>
      <c r="M128" s="2">
        <f>_xll.BDP(A128,"CHG_PCT_6M")</f>
        <v>-7.890015</v>
      </c>
      <c r="N128" s="2">
        <f>_xll.BDP(A128,"PR064")</f>
        <v>-2.8428599999999999</v>
      </c>
      <c r="O128" s="2">
        <f>_xll.BDP(A128,"CHG_PCT_1YR")</f>
        <v>-3.3077580000000002</v>
      </c>
      <c r="P128" s="2">
        <f>_xll.BDP(A128,"INTERVAL_HIGH", "MARKET_DATA_OVERRIDE=PE_RATIO", "CALC_INTERVAL=5y", "BEST_FPERIOD_OVERRIDE=BF")</f>
        <v>27.569658955476314</v>
      </c>
      <c r="Q128" s="2">
        <f>_xll.BDP(A128,"INTERVAL_Low", "MARKET_DATA_OVERRIDE=PE_RATIO", "CALC_INTERVAL=5y", "BEST_FPERIOD_OVERRIDE=BF")</f>
        <v>6.5205482809982804</v>
      </c>
      <c r="R128" s="2">
        <f>_xll.BDP(A128,"PE_RATIO")</f>
        <v>15.117342225997362</v>
      </c>
      <c r="S128" s="3">
        <f>IF(ISERROR((R128-Q128)/(P128-Q128)),"",(R128-Q128)/(P128-Q128))</f>
        <v>0.40841601709200293</v>
      </c>
    </row>
    <row r="129" spans="1:19" x14ac:dyDescent="0.25">
      <c r="A129" t="s">
        <v>38</v>
      </c>
      <c r="B129" t="str">
        <f>_xll.BDP(A129,"DS697")</f>
        <v>羅素1000指數</v>
      </c>
      <c r="C129" t="str">
        <f>_xll.BDP(A129,"DS003")</f>
        <v>US</v>
      </c>
      <c r="D129" s="2">
        <f>_xll.BDP(A129,"PX_LAST")</f>
        <v>1645.2850000000001</v>
      </c>
      <c r="E129" s="2">
        <f>_xll.BDP(A129,"CHG_PCT_1D")</f>
        <v>-0.26726169999999999</v>
      </c>
      <c r="F129" s="2">
        <f>_xll.BDP(A129,"HIGH_52WEEK")</f>
        <v>1678.277</v>
      </c>
      <c r="G129" s="2">
        <f>LN(F129/D129)*100</f>
        <v>1.9854050403882515</v>
      </c>
      <c r="H129" s="2">
        <f>_xll.BDP(A129,"LOW_52WEEK")</f>
        <v>1296.2260000000001</v>
      </c>
      <c r="I129" s="2">
        <f>LN(H129/D129)*100</f>
        <v>-23.845665604729358</v>
      </c>
      <c r="J129" s="2">
        <f>_xll.BDP(A129,"CHG_PCT_5D")</f>
        <v>-1.010507</v>
      </c>
      <c r="K129" s="2">
        <f>_xll.BDP(A129,"CHG_PCT_1M")</f>
        <v>3.663964</v>
      </c>
      <c r="L129" s="2">
        <f>_xll.BDP(A129,"CHG_PCT_3M")</f>
        <v>1.622279</v>
      </c>
      <c r="M129" s="2">
        <f>_xll.BDP(A129,"CHG_PCT_6M")</f>
        <v>5.8990710000000002</v>
      </c>
      <c r="N129" s="2">
        <f>_xll.BDP(A129,"PR064")</f>
        <v>1.622279</v>
      </c>
      <c r="O129" s="2">
        <f>_xll.BDP(A129,"CHG_PCT_1YR")</f>
        <v>1.9183969999999999</v>
      </c>
      <c r="P129" s="2">
        <f>_xll.BDP(A129,"INTERVAL_HIGH", "MARKET_DATA_OVERRIDE=PE_RATIO", "CALC_INTERVAL=5y", "BEST_FPERIOD_OVERRIDE=BF")</f>
        <v>24.028400662328071</v>
      </c>
      <c r="Q129" s="2">
        <f>_xll.BDP(A129,"INTERVAL_Low", "MARKET_DATA_OVERRIDE=PE_RATIO", "CALC_INTERVAL=5y", "BEST_FPERIOD_OVERRIDE=BF")</f>
        <v>15.898765297667872</v>
      </c>
      <c r="R129" s="2">
        <f>_xll.BDP(A129,"PE_RATIO")</f>
        <v>20.19550527152542</v>
      </c>
      <c r="S129" s="3">
        <f>IF(ISERROR((R129-Q129)/(P129-Q129)),"",(R129-Q129)/(P129-Q129))</f>
        <v>0.52852800662322719</v>
      </c>
    </row>
    <row r="130" spans="1:19" x14ac:dyDescent="0.25">
      <c r="A130" t="s">
        <v>68</v>
      </c>
      <c r="B130" t="str">
        <f>_xll.BDP(A130,"DS697")</f>
        <v>智利大型股指數</v>
      </c>
      <c r="C130" t="str">
        <f>_xll.BDP(A130,"DS003")</f>
        <v>CL</v>
      </c>
      <c r="D130" s="2">
        <f>_xll.BDP(A130,"PX_LAST")</f>
        <v>2623.7</v>
      </c>
      <c r="E130" s="2">
        <f>_xll.BDP(A130,"CHG_PCT_1D")</f>
        <v>0.84676379999999996</v>
      </c>
      <c r="F130" s="2">
        <f>_xll.BDP(A130,"HIGH_52WEEK")</f>
        <v>3009.51</v>
      </c>
      <c r="G130" s="2">
        <f>LN(F130/D130)*100</f>
        <v>13.719173953380526</v>
      </c>
      <c r="H130" s="2">
        <f>_xll.BDP(A130,"LOW_52WEEK")</f>
        <v>2398.23</v>
      </c>
      <c r="I130" s="2">
        <f>LN(H130/D130)*100</f>
        <v>-8.9854570010470241</v>
      </c>
      <c r="J130" s="2">
        <f>_xll.BDP(A130,"CHG_PCT_5D")</f>
        <v>-1.005531</v>
      </c>
      <c r="K130" s="2">
        <f>_xll.BDP(A130,"CHG_PCT_1M")</f>
        <v>9.0586350000000007</v>
      </c>
      <c r="L130" s="2">
        <f>_xll.BDP(A130,"CHG_PCT_3M")</f>
        <v>-1.8484149999999999</v>
      </c>
      <c r="M130" s="2">
        <f>_xll.BDP(A130,"CHG_PCT_6M")</f>
        <v>-6.557404</v>
      </c>
      <c r="N130" s="2">
        <f>_xll.BDP(A130,"PR064")</f>
        <v>-1.8484149999999999</v>
      </c>
      <c r="O130" s="2">
        <f>_xll.BDP(A130,"CHG_PCT_1YR")</f>
        <v>-10.882479999999999</v>
      </c>
      <c r="P130" s="2" t="str">
        <f>_xll.BDP(A130,"INTERVAL_HIGH", "MARKET_DATA_OVERRIDE=PE_RATIO", "CALC_INTERVAL=5y", "BEST_FPERIOD_OVERRIDE=BF")</f>
        <v>#N/A N/A</v>
      </c>
      <c r="Q130" s="2" t="str">
        <f>_xll.BDP(A130,"INTERVAL_Low", "MARKET_DATA_OVERRIDE=PE_RATIO", "CALC_INTERVAL=5y", "BEST_FPERIOD_OVERRIDE=BF")</f>
        <v>#N/A N/A</v>
      </c>
      <c r="R130" s="2" t="str">
        <f>_xll.BDP(A130,"PE_RATIO")</f>
        <v>#N/A N/A</v>
      </c>
      <c r="S130" s="3" t="str">
        <f>IF(ISERROR((R130-Q130)/(P130-Q130)),"",(R130-Q130)/(P130-Q130))</f>
        <v/>
      </c>
    </row>
    <row r="131" spans="1:19" x14ac:dyDescent="0.25">
      <c r="A131" t="s">
        <v>183</v>
      </c>
      <c r="B131" t="str">
        <f>_xll.BDP(A131,"DS697")</f>
        <v>哈薩克KASE股票指數</v>
      </c>
      <c r="C131" t="str">
        <f>_xll.BDP(A131,"DS003")</f>
        <v>KZ</v>
      </c>
      <c r="D131" s="2">
        <f>_xll.BDP(A131,"PX_LAST")</f>
        <v>2165.42</v>
      </c>
      <c r="E131" s="2">
        <f>_xll.BDP(A131,"CHG_PCT_1D")</f>
        <v>-9.5963090000000001E-2</v>
      </c>
      <c r="F131" s="2">
        <f>_xll.BDP(A131,"HIGH_52WEEK")</f>
        <v>2518.62</v>
      </c>
      <c r="G131" s="2">
        <f>LN(F131/D131)*100</f>
        <v>15.109679445679349</v>
      </c>
      <c r="H131" s="2">
        <f>_xll.BDP(A131,"LOW_52WEEK")</f>
        <v>2132.16</v>
      </c>
      <c r="I131" s="2">
        <f>LN(H131/D131)*100</f>
        <v>-1.5478787628809676</v>
      </c>
      <c r="J131" s="2">
        <f>_xll.BDP(A131,"CHG_PCT_5D")</f>
        <v>-0.98266109999999995</v>
      </c>
      <c r="K131" s="2">
        <f>_xll.BDP(A131,"CHG_PCT_1M")</f>
        <v>0.66757149999999998</v>
      </c>
      <c r="L131" s="2">
        <f>_xll.BDP(A131,"CHG_PCT_3M")</f>
        <v>-4.771077</v>
      </c>
      <c r="M131" s="2">
        <f>_xll.BDP(A131,"CHG_PCT_6M")</f>
        <v>-9.495495</v>
      </c>
      <c r="N131" s="2">
        <f>_xll.BDP(A131,"PR064")</f>
        <v>-4.771077</v>
      </c>
      <c r="O131" s="2">
        <f>_xll.BDP(A131,"CHG_PCT_1YR")</f>
        <v>0.2017465</v>
      </c>
      <c r="P131" s="2">
        <f>_xll.BDP(A131,"INTERVAL_HIGH", "MARKET_DATA_OVERRIDE=PE_RATIO", "CALC_INTERVAL=5y", "BEST_FPERIOD_OVERRIDE=BF")</f>
        <v>16.861245740561156</v>
      </c>
      <c r="Q131" s="2">
        <f>_xll.BDP(A131,"INTERVAL_Low", "MARKET_DATA_OVERRIDE=PE_RATIO", "CALC_INTERVAL=5y", "BEST_FPERIOD_OVERRIDE=BF")</f>
        <v>3.9350013551437284</v>
      </c>
      <c r="R131" s="2">
        <f>_xll.BDP(A131,"PE_RATIO")</f>
        <v>6.1133834395390512</v>
      </c>
      <c r="S131" s="3">
        <f>IF(ISERROR((R131-Q131)/(P131-Q131)),"",(R131-Q131)/(P131-Q131))</f>
        <v>0.16852397490278276</v>
      </c>
    </row>
    <row r="132" spans="1:19" x14ac:dyDescent="0.25">
      <c r="A132" t="s">
        <v>286</v>
      </c>
      <c r="B132" t="str">
        <f>_xll.BDP(A132,"DS697")</f>
        <v>上海證交所50指數</v>
      </c>
      <c r="C132" t="str">
        <f>_xll.BDP(A132,"DS003")</f>
        <v>CH</v>
      </c>
      <c r="D132" s="2">
        <f>_xll.BDP(A132,"PX_LAST")</f>
        <v>2927.877</v>
      </c>
      <c r="E132" s="2">
        <f>_xll.BDP(A132,"CHG_PCT_1D")</f>
        <v>-3.2709250000000002E-2</v>
      </c>
      <c r="F132" s="2">
        <f>_xll.BDP(A132,"HIGH_52WEEK")</f>
        <v>3048.8229999999999</v>
      </c>
      <c r="G132" s="2">
        <f>LN(F132/D132)*100</f>
        <v>4.0478027480801835</v>
      </c>
      <c r="H132" s="2">
        <f>_xll.BDP(A132,"LOW_52WEEK")</f>
        <v>2249.366</v>
      </c>
      <c r="I132" s="2">
        <f>LN(H132/D132)*100</f>
        <v>-26.362918828824096</v>
      </c>
      <c r="J132" s="2">
        <f>_xll.BDP(A132,"CHG_PCT_5D")</f>
        <v>-0.97916859999999994</v>
      </c>
      <c r="K132" s="2">
        <f>_xll.BDP(A132,"CHG_PCT_1M")</f>
        <v>1.407502</v>
      </c>
      <c r="L132" s="2">
        <f>_xll.BDP(A132,"CHG_PCT_3M")</f>
        <v>-0.31496669999999999</v>
      </c>
      <c r="M132" s="2">
        <f>_xll.BDP(A132,"CHG_PCT_6M")</f>
        <v>6.7948089999999999</v>
      </c>
      <c r="N132" s="2">
        <f>_xll.BDP(A132,"PR064")</f>
        <v>-0.31496669999999999</v>
      </c>
      <c r="O132" s="2">
        <f>_xll.BDP(A132,"CHG_PCT_1YR")</f>
        <v>13.68418</v>
      </c>
      <c r="P132" s="2">
        <f>_xll.BDP(A132,"INTERVAL_HIGH", "MARKET_DATA_OVERRIDE=PE_RATIO", "CALC_INTERVAL=5y", "BEST_FPERIOD_OVERRIDE=BF")</f>
        <v>15.147603184223296</v>
      </c>
      <c r="Q132" s="2">
        <f>_xll.BDP(A132,"INTERVAL_Low", "MARKET_DATA_OVERRIDE=PE_RATIO", "CALC_INTERVAL=5y", "BEST_FPERIOD_OVERRIDE=BF")</f>
        <v>7.1702728723223608</v>
      </c>
      <c r="R132" s="2">
        <f>_xll.BDP(A132,"PE_RATIO")</f>
        <v>10.907893825212268</v>
      </c>
      <c r="S132" s="3">
        <f>IF(ISERROR((R132-Q132)/(P132-Q132)),"",(R132-Q132)/(P132-Q132))</f>
        <v>0.46853029857795386</v>
      </c>
    </row>
    <row r="133" spans="1:19" x14ac:dyDescent="0.25">
      <c r="A133" t="s">
        <v>314</v>
      </c>
      <c r="B133" t="str">
        <f>_xll.BDP(A133,"DS697")</f>
        <v>富時海峽時報全部股票指數</v>
      </c>
      <c r="C133" t="str">
        <f>_xll.BDP(A133,"DS003")</f>
        <v>SI</v>
      </c>
      <c r="D133" s="2">
        <f>_xll.BDP(A133,"PX_LAST")</f>
        <v>768.91</v>
      </c>
      <c r="E133" s="2">
        <f>_xll.BDP(A133,"CHG_PCT_1D")</f>
        <v>-6.2387089999999999E-2</v>
      </c>
      <c r="F133" s="2">
        <f>_xll.BDP(A133,"HIGH_52WEEK")</f>
        <v>825</v>
      </c>
      <c r="G133" s="2">
        <f>LN(F133/D133)*100</f>
        <v>7.040945878871316</v>
      </c>
      <c r="H133" s="2">
        <f>_xll.BDP(A133,"LOW_52WEEK")</f>
        <v>721.92</v>
      </c>
      <c r="I133" s="2">
        <f>LN(H133/D133)*100</f>
        <v>-6.3059598116383171</v>
      </c>
      <c r="J133" s="2">
        <f>_xll.BDP(A133,"CHG_PCT_5D")</f>
        <v>-0.97873940000000004</v>
      </c>
      <c r="K133" s="2">
        <f>_xll.BDP(A133,"CHG_PCT_1M")</f>
        <v>1.9733890000000001</v>
      </c>
      <c r="L133" s="2">
        <f>_xll.BDP(A133,"CHG_PCT_3M")</f>
        <v>-5.0153840000000001</v>
      </c>
      <c r="M133" s="2">
        <f>_xll.BDP(A133,"CHG_PCT_6M")</f>
        <v>-1.507663</v>
      </c>
      <c r="N133" s="2">
        <f>_xll.BDP(A133,"PR064")</f>
        <v>-5.0153840000000001</v>
      </c>
      <c r="O133" s="2">
        <f>_xll.BDP(A133,"CHG_PCT_1YR")</f>
        <v>-1.9735130000000001</v>
      </c>
      <c r="P133" s="2">
        <f>_xll.BDP(A133,"INTERVAL_HIGH", "MARKET_DATA_OVERRIDE=PE_RATIO", "CALC_INTERVAL=5y", "BEST_FPERIOD_OVERRIDE=BF")</f>
        <v>15.751381109480572</v>
      </c>
      <c r="Q133" s="2">
        <f>_xll.BDP(A133,"INTERVAL_Low", "MARKET_DATA_OVERRIDE=PE_RATIO", "CALC_INTERVAL=5y", "BEST_FPERIOD_OVERRIDE=BF")</f>
        <v>11.425510106273197</v>
      </c>
      <c r="R133" s="2">
        <f>_xll.BDP(A133,"PE_RATIO")</f>
        <v>12.950797983739527</v>
      </c>
      <c r="S133" s="3">
        <f>IF(ISERROR((R133-Q133)/(P133-Q133)),"",(R133-Q133)/(P133-Q133))</f>
        <v>0.35259670857855435</v>
      </c>
    </row>
    <row r="134" spans="1:19" x14ac:dyDescent="0.25">
      <c r="A134" t="s">
        <v>6</v>
      </c>
      <c r="B134" t="str">
        <f>_xll.BDP(A134,"DS697")</f>
        <v>標準普爾500指數</v>
      </c>
      <c r="C134" t="str">
        <f>_xll.BDP(A134,"DS003")</f>
        <v>US</v>
      </c>
      <c r="D134" s="2">
        <f>_xll.BDP(A134,"PX_LAST")</f>
        <v>2977.62</v>
      </c>
      <c r="E134" s="2">
        <f>_xll.BDP(A134,"CHG_PCT_1D")</f>
        <v>-0.24289169999999999</v>
      </c>
      <c r="F134" s="2">
        <f>_xll.BDP(A134,"HIGH_52WEEK")</f>
        <v>3027.98</v>
      </c>
      <c r="G134" s="2">
        <f>LN(F134/D134)*100</f>
        <v>1.6771406831368012</v>
      </c>
      <c r="H134" s="2">
        <f>_xll.BDP(A134,"LOW_52WEEK")</f>
        <v>2346.58</v>
      </c>
      <c r="I134" s="2">
        <f>LN(H134/D134)*100</f>
        <v>-23.816537470054293</v>
      </c>
      <c r="J134" s="2">
        <f>_xll.BDP(A134,"CHG_PCT_5D")</f>
        <v>-0.97013890000000003</v>
      </c>
      <c r="K134" s="2">
        <f>_xll.BDP(A134,"CHG_PCT_1M")</f>
        <v>3.780208</v>
      </c>
      <c r="L134" s="2">
        <f>_xll.BDP(A134,"CHG_PCT_3M")</f>
        <v>1.8017650000000001</v>
      </c>
      <c r="M134" s="2">
        <f>_xll.BDP(A134,"CHG_PCT_6M")</f>
        <v>6.1400100000000002</v>
      </c>
      <c r="N134" s="2">
        <f>_xll.BDP(A134,"PR064")</f>
        <v>1.8017650000000001</v>
      </c>
      <c r="O134" s="2">
        <f>_xll.BDP(A134,"CHG_PCT_1YR")</f>
        <v>2.1832569999999998</v>
      </c>
      <c r="P134" s="2">
        <f>_xll.BDP(A134,"INTERVAL_HIGH", "MARKET_DATA_OVERRIDE=PE_RATIO", "CALC_INTERVAL=5y", "BEST_FPERIOD_OVERRIDE=BF")</f>
        <v>23.38928730634353</v>
      </c>
      <c r="Q134" s="2">
        <f>_xll.BDP(A134,"INTERVAL_Low", "MARKET_DATA_OVERRIDE=PE_RATIO", "CALC_INTERVAL=5y", "BEST_FPERIOD_OVERRIDE=BF")</f>
        <v>15.51050787264983</v>
      </c>
      <c r="R134" s="2">
        <f>_xll.BDP(A134,"PE_RATIO")</f>
        <v>19.540561410445594</v>
      </c>
      <c r="S134" s="3">
        <f>IF(ISERROR((R134-Q134)/(P134-Q134)),"",(R134-Q134)/(P134-Q134))</f>
        <v>0.51150734345489979</v>
      </c>
    </row>
    <row r="135" spans="1:19" x14ac:dyDescent="0.25">
      <c r="A135" t="s">
        <v>9</v>
      </c>
      <c r="B135" t="str">
        <f>_xll.BDP(A135,"DS697")</f>
        <v>標準普爾1500綜合指數</v>
      </c>
      <c r="C135" t="str">
        <f>_xll.BDP(A135,"DS003")</f>
        <v>US</v>
      </c>
      <c r="D135" s="2">
        <f>_xll.BDP(A135,"PX_LAST")</f>
        <v>683.66920000000005</v>
      </c>
      <c r="E135" s="2">
        <f>_xll.BDP(A135,"CHG_PCT_1D")</f>
        <v>-0.2843272</v>
      </c>
      <c r="F135" s="2">
        <f>_xll.BDP(A135,"HIGH_52WEEK")</f>
        <v>695.42</v>
      </c>
      <c r="G135" s="2">
        <f>LN(F135/D135)*100</f>
        <v>1.7041804678929018</v>
      </c>
      <c r="H135" s="2">
        <f>_xll.BDP(A135,"LOW_52WEEK")</f>
        <v>540.61</v>
      </c>
      <c r="I135" s="2">
        <f>LN(H135/D135)*100</f>
        <v>-23.47760432704273</v>
      </c>
      <c r="J135" s="2">
        <f>_xll.BDP(A135,"CHG_PCT_5D")</f>
        <v>-0.96004069999999997</v>
      </c>
      <c r="K135" s="2">
        <f>_xll.BDP(A135,"CHG_PCT_1M")</f>
        <v>3.9671720000000001</v>
      </c>
      <c r="L135" s="2">
        <f>_xll.BDP(A135,"CHG_PCT_3M")</f>
        <v>1.7228589999999999</v>
      </c>
      <c r="M135" s="2">
        <f>_xll.BDP(A135,"CHG_PCT_6M")</f>
        <v>5.8560980000000002</v>
      </c>
      <c r="N135" s="2">
        <f>_xll.BDP(A135,"PR064")</f>
        <v>1.7228589999999999</v>
      </c>
      <c r="O135" s="2">
        <f>_xll.BDP(A135,"CHG_PCT_1YR")</f>
        <v>1.423778</v>
      </c>
      <c r="P135" s="2">
        <f>_xll.BDP(A135,"INTERVAL_HIGH", "MARKET_DATA_OVERRIDE=PE_RATIO", "CALC_INTERVAL=5y", "BEST_FPERIOD_OVERRIDE=BF")</f>
        <v>23.698509599311947</v>
      </c>
      <c r="Q135" s="2">
        <f>_xll.BDP(A135,"INTERVAL_Low", "MARKET_DATA_OVERRIDE=PE_RATIO", "CALC_INTERVAL=5y", "BEST_FPERIOD_OVERRIDE=BF")</f>
        <v>15.497578684407575</v>
      </c>
      <c r="R135" s="2">
        <f>_xll.BDP(A135,"PE_RATIO")</f>
        <v>19.641577683207871</v>
      </c>
      <c r="S135" s="3">
        <f>IF(ISERROR((R135-Q135)/(P135-Q135)),"",(R135-Q135)/(P135-Q135))</f>
        <v>0.50530836581844529</v>
      </c>
    </row>
    <row r="136" spans="1:19" x14ac:dyDescent="0.25">
      <c r="A136" t="s">
        <v>21</v>
      </c>
      <c r="B136" t="str">
        <f>_xll.BDP(A136,"DS697")</f>
        <v>那斯達克運輸類指數</v>
      </c>
      <c r="C136" t="str">
        <f>_xll.BDP(A136,"DS003")</f>
        <v>US</v>
      </c>
      <c r="D136" s="2">
        <f>_xll.BDP(A136,"PX_LAST")</f>
        <v>5045.2539999999999</v>
      </c>
      <c r="E136" s="2">
        <f>_xll.BDP(A136,"CHG_PCT_1D")</f>
        <v>7.3936330000000001E-3</v>
      </c>
      <c r="F136" s="2">
        <f>_xll.BDP(A136,"HIGH_52WEEK")</f>
        <v>5645.1030000000001</v>
      </c>
      <c r="G136" s="2">
        <f>LN(F136/D136)*100</f>
        <v>11.234044425446372</v>
      </c>
      <c r="H136" s="2">
        <f>_xll.BDP(A136,"LOW_52WEEK")</f>
        <v>4348.203125</v>
      </c>
      <c r="I136" s="2">
        <f>LN(H136/D136)*100</f>
        <v>-14.868531436721963</v>
      </c>
      <c r="J136" s="2">
        <f>_xll.BDP(A136,"CHG_PCT_5D")</f>
        <v>-0.95098629999999995</v>
      </c>
      <c r="K136" s="2">
        <f>_xll.BDP(A136,"CHG_PCT_1M")</f>
        <v>8.3322029999999998</v>
      </c>
      <c r="L136" s="2">
        <f>_xll.BDP(A136,"CHG_PCT_3M")</f>
        <v>-0.54680260000000003</v>
      </c>
      <c r="M136" s="2">
        <f>_xll.BDP(A136,"CHG_PCT_6M")</f>
        <v>1.7362249999999999</v>
      </c>
      <c r="N136" s="2">
        <f>_xll.BDP(A136,"PR064")</f>
        <v>-0.54680260000000003</v>
      </c>
      <c r="O136" s="2">
        <f>_xll.BDP(A136,"CHG_PCT_1YR")</f>
        <v>-9.9488710000000005</v>
      </c>
      <c r="P136" s="2">
        <f>_xll.BDP(A136,"INTERVAL_HIGH", "MARKET_DATA_OVERRIDE=PE_RATIO", "CALC_INTERVAL=5y", "BEST_FPERIOD_OVERRIDE=BF")</f>
        <v>82.529100434594497</v>
      </c>
      <c r="Q136" s="2">
        <f>_xll.BDP(A136,"INTERVAL_Low", "MARKET_DATA_OVERRIDE=PE_RATIO", "CALC_INTERVAL=5y", "BEST_FPERIOD_OVERRIDE=BF")</f>
        <v>5.7670992902497593</v>
      </c>
      <c r="R136" s="2">
        <f>_xll.BDP(A136,"PE_RATIO")</f>
        <v>13.854005046480598</v>
      </c>
      <c r="S136" s="3">
        <f>IF(ISERROR((R136-Q136)/(P136-Q136)),"",(R136-Q136)/(P136-Q136))</f>
        <v>0.10535037695309774</v>
      </c>
    </row>
    <row r="137" spans="1:19" x14ac:dyDescent="0.25">
      <c r="A137" t="s">
        <v>17</v>
      </c>
      <c r="B137" t="str">
        <f>_xll.BDP(A137,"DS697")</f>
        <v>那斯達克其他金融類指數</v>
      </c>
      <c r="C137" t="str">
        <f>_xll.BDP(A137,"DS003")</f>
        <v>US</v>
      </c>
      <c r="D137" s="2">
        <f>_xll.BDP(A137,"PX_LAST")</f>
        <v>9155.741</v>
      </c>
      <c r="E137" s="2">
        <f>_xll.BDP(A137,"CHG_PCT_1D")</f>
        <v>-0.52190539999999996</v>
      </c>
      <c r="F137" s="2">
        <f>_xll.BDP(A137,"HIGH_52WEEK")</f>
        <v>9294.884</v>
      </c>
      <c r="G137" s="2">
        <f>LN(F137/D137)*100</f>
        <v>1.5083027039220369</v>
      </c>
      <c r="H137" s="2">
        <f>_xll.BDP(A137,"LOW_52WEEK")</f>
        <v>6804.134</v>
      </c>
      <c r="I137" s="2">
        <f>LN(H137/D137)*100</f>
        <v>-29.685074559129148</v>
      </c>
      <c r="J137" s="2">
        <f>_xll.BDP(A137,"CHG_PCT_5D")</f>
        <v>-0.9503549</v>
      </c>
      <c r="K137" s="2">
        <f>_xll.BDP(A137,"CHG_PCT_1M")</f>
        <v>2.6430859999999998</v>
      </c>
      <c r="L137" s="2">
        <f>_xll.BDP(A137,"CHG_PCT_3M")</f>
        <v>3.8443710000000002</v>
      </c>
      <c r="M137" s="2">
        <f>_xll.BDP(A137,"CHG_PCT_6M")</f>
        <v>11.9823</v>
      </c>
      <c r="N137" s="2">
        <f>_xll.BDP(A137,"PR064")</f>
        <v>3.8443710000000002</v>
      </c>
      <c r="O137" s="2">
        <f>_xll.BDP(A137,"CHG_PCT_1YR")</f>
        <v>12.024369999999999</v>
      </c>
      <c r="P137" s="2">
        <f>_xll.BDP(A137,"INTERVAL_HIGH", "MARKET_DATA_OVERRIDE=PE_RATIO", "CALC_INTERVAL=5y", "BEST_FPERIOD_OVERRIDE=BF")</f>
        <v>36.09228953768104</v>
      </c>
      <c r="Q137" s="2">
        <f>_xll.BDP(A137,"INTERVAL_Low", "MARKET_DATA_OVERRIDE=PE_RATIO", "CALC_INTERVAL=5y", "BEST_FPERIOD_OVERRIDE=BF")</f>
        <v>21.251631430118604</v>
      </c>
      <c r="R137" s="2">
        <f>_xll.BDP(A137,"PE_RATIO")</f>
        <v>33.078453242409402</v>
      </c>
      <c r="S137" s="3">
        <f>IF(ISERROR((R137-Q137)/(P137-Q137)),"",(R137-Q137)/(P137-Q137))</f>
        <v>0.79692030680661929</v>
      </c>
    </row>
    <row r="138" spans="1:19" x14ac:dyDescent="0.25">
      <c r="A138" t="s">
        <v>179</v>
      </c>
      <c r="B138" t="str">
        <f>_xll.BDP(A138,"DS697")</f>
        <v>布達佩斯證交所指數</v>
      </c>
      <c r="C138" t="str">
        <f>_xll.BDP(A138,"DS003")</f>
        <v>HU</v>
      </c>
      <c r="D138" s="2">
        <f>_xll.BDP(A138,"PX_LAST")</f>
        <v>40534.28</v>
      </c>
      <c r="E138" s="2">
        <f>_xll.BDP(A138,"CHG_PCT_1D")</f>
        <v>-4.8429350000000003E-2</v>
      </c>
      <c r="F138" s="2">
        <f>_xll.BDP(A138,"HIGH_52WEEK")</f>
        <v>43563.37890625</v>
      </c>
      <c r="G138" s="2">
        <f>LN(F138/D138)*100</f>
        <v>7.206882821605805</v>
      </c>
      <c r="H138" s="2">
        <f>_xll.BDP(A138,"LOW_52WEEK")</f>
        <v>35805.33984375</v>
      </c>
      <c r="I138" s="2">
        <f>LN(H138/D138)*100</f>
        <v>-12.405099592397804</v>
      </c>
      <c r="J138" s="2">
        <f>_xll.BDP(A138,"CHG_PCT_5D")</f>
        <v>-0.94818910000000001</v>
      </c>
      <c r="K138" s="2">
        <f>_xll.BDP(A138,"CHG_PCT_1M")</f>
        <v>3.6471870000000002</v>
      </c>
      <c r="L138" s="2">
        <f>_xll.BDP(A138,"CHG_PCT_3M")</f>
        <v>0.2318703</v>
      </c>
      <c r="M138" s="2">
        <f>_xll.BDP(A138,"CHG_PCT_6M")</f>
        <v>-1.892522</v>
      </c>
      <c r="N138" s="2">
        <f>_xll.BDP(A138,"PR064")</f>
        <v>0.2318703</v>
      </c>
      <c r="O138" s="2">
        <f>_xll.BDP(A138,"CHG_PCT_1YR")</f>
        <v>11.14006</v>
      </c>
      <c r="P138" s="2">
        <f>_xll.BDP(A138,"INTERVAL_HIGH", "MARKET_DATA_OVERRIDE=PE_RATIO", "CALC_INTERVAL=5y", "BEST_FPERIOD_OVERRIDE=BF")</f>
        <v>366.51662012313307</v>
      </c>
      <c r="Q138" s="2">
        <f>_xll.BDP(A138,"INTERVAL_Low", "MARKET_DATA_OVERRIDE=PE_RATIO", "CALC_INTERVAL=5y", "BEST_FPERIOD_OVERRIDE=BF")</f>
        <v>9.5005736967151311</v>
      </c>
      <c r="R138" s="2">
        <f>_xll.BDP(A138,"PE_RATIO")</f>
        <v>10.045728251019018</v>
      </c>
      <c r="S138" s="3">
        <f>IF(ISERROR((R138-Q138)/(P138-Q138)),"",(R138-Q138)/(P138-Q138))</f>
        <v>1.5269749350502778E-3</v>
      </c>
    </row>
    <row r="139" spans="1:19" x14ac:dyDescent="0.25">
      <c r="A139" t="s">
        <v>199</v>
      </c>
      <c r="B139" t="str">
        <f>_xll.BDP(A139,"DS697")</f>
        <v>賽普勒斯證交所一般指數</v>
      </c>
      <c r="C139" t="str">
        <f>_xll.BDP(A139,"DS003")</f>
        <v>CC</v>
      </c>
      <c r="D139" s="2">
        <f>_xll.BDP(A139,"PX_LAST")</f>
        <v>66.349999999999994</v>
      </c>
      <c r="E139" s="2">
        <f>_xll.BDP(A139,"CHG_PCT_1D")</f>
        <v>0.95861229999999997</v>
      </c>
      <c r="F139" s="2">
        <f>_xll.BDP(A139,"HIGH_52WEEK")</f>
        <v>73.88</v>
      </c>
      <c r="G139" s="2">
        <f>LN(F139/D139)*100</f>
        <v>10.749839455282274</v>
      </c>
      <c r="H139" s="2">
        <f>_xll.BDP(A139,"LOW_52WEEK")</f>
        <v>60.12</v>
      </c>
      <c r="I139" s="2">
        <f>LN(H139/D139)*100</f>
        <v>-9.8601195893442775</v>
      </c>
      <c r="J139" s="2">
        <f>_xll.BDP(A139,"CHG_PCT_5D")</f>
        <v>-0.92578950000000004</v>
      </c>
      <c r="K139" s="2">
        <f>_xll.BDP(A139,"CHG_PCT_1M")</f>
        <v>-5.3089789999999999</v>
      </c>
      <c r="L139" s="2">
        <f>_xll.BDP(A139,"CHG_PCT_3M")</f>
        <v>-6.4438810000000002</v>
      </c>
      <c r="M139" s="2">
        <f>_xll.BDP(A139,"CHG_PCT_6M")</f>
        <v>3.1080030000000001</v>
      </c>
      <c r="N139" s="2">
        <f>_xll.BDP(A139,"PR064")</f>
        <v>-6.4438810000000002</v>
      </c>
      <c r="O139" s="2">
        <f>_xll.BDP(A139,"CHG_PCT_1YR")</f>
        <v>-8.5584340000000001</v>
      </c>
      <c r="P139" s="2">
        <f>_xll.BDP(A139,"INTERVAL_HIGH", "MARKET_DATA_OVERRIDE=PE_RATIO", "CALC_INTERVAL=5y", "BEST_FPERIOD_OVERRIDE=BF")</f>
        <v>688.75380975202631</v>
      </c>
      <c r="Q139" s="2">
        <f>_xll.BDP(A139,"INTERVAL_Low", "MARKET_DATA_OVERRIDE=PE_RATIO", "CALC_INTERVAL=5y", "BEST_FPERIOD_OVERRIDE=BF")</f>
        <v>1.4807297367932395</v>
      </c>
      <c r="R139" s="2">
        <f>_xll.BDP(A139,"PE_RATIO")</f>
        <v>1.7658792434707573</v>
      </c>
      <c r="S139" s="3">
        <f>IF(ISERROR((R139-Q139)/(P139-Q139)),"",(R139-Q139)/(P139-Q139))</f>
        <v>4.148998629063103E-4</v>
      </c>
    </row>
    <row r="140" spans="1:19" x14ac:dyDescent="0.25">
      <c r="A140" t="s">
        <v>1</v>
      </c>
      <c r="B140" t="str">
        <f>_xll.BDP(A140,"DS697")</f>
        <v>道瓊運輸類指數</v>
      </c>
      <c r="C140" t="str">
        <f>_xll.BDP(A140,"DS003")</f>
        <v>US</v>
      </c>
      <c r="D140" s="2">
        <f>_xll.BDP(A140,"PX_LAST")</f>
        <v>10409.030000000001</v>
      </c>
      <c r="E140" s="2">
        <f>_xll.BDP(A140,"CHG_PCT_1D")</f>
        <v>-0.23281180000000001</v>
      </c>
      <c r="F140" s="2">
        <f>_xll.BDP(A140,"HIGH_52WEEK")</f>
        <v>11494.28</v>
      </c>
      <c r="G140" s="2">
        <f>LN(F140/D140)*100</f>
        <v>9.9175821674349187</v>
      </c>
      <c r="H140" s="2">
        <f>_xll.BDP(A140,"LOW_52WEEK")</f>
        <v>8636.7900000000009</v>
      </c>
      <c r="I140" s="2">
        <f>LN(H140/D140)*100</f>
        <v>-18.664271264577668</v>
      </c>
      <c r="J140" s="2">
        <f>_xll.BDP(A140,"CHG_PCT_5D")</f>
        <v>-0.90620460000000003</v>
      </c>
      <c r="K140" s="2">
        <f>_xll.BDP(A140,"CHG_PCT_1M")</f>
        <v>6.9273009999999999</v>
      </c>
      <c r="L140" s="2">
        <f>_xll.BDP(A140,"CHG_PCT_3M")</f>
        <v>0.97492069999999997</v>
      </c>
      <c r="M140" s="2">
        <f>_xll.BDP(A140,"CHG_PCT_6M")</f>
        <v>2.072937</v>
      </c>
      <c r="N140" s="2">
        <f>_xll.BDP(A140,"PR064")</f>
        <v>0.97492069999999997</v>
      </c>
      <c r="O140" s="2">
        <f>_xll.BDP(A140,"CHG_PCT_1YR")</f>
        <v>-8.5663160000000005</v>
      </c>
      <c r="P140" s="2">
        <f>_xll.BDP(A140,"INTERVAL_HIGH", "MARKET_DATA_OVERRIDE=PE_RATIO", "CALC_INTERVAL=5y", "BEST_FPERIOD_OVERRIDE=BF")</f>
        <v>21.702840661873864</v>
      </c>
      <c r="Q140" s="2">
        <f>_xll.BDP(A140,"INTERVAL_Low", "MARKET_DATA_OVERRIDE=PE_RATIO", "CALC_INTERVAL=5y", "BEST_FPERIOD_OVERRIDE=BF")</f>
        <v>11.148820557554609</v>
      </c>
      <c r="R140" s="2">
        <f>_xll.BDP(A140,"PE_RATIO")</f>
        <v>14.318208606244648</v>
      </c>
      <c r="S140" s="3">
        <f>IF(ISERROR((R140-Q140)/(P140-Q140)),"",(R140-Q140)/(P140-Q140))</f>
        <v>0.30030149813652141</v>
      </c>
    </row>
    <row r="141" spans="1:19" x14ac:dyDescent="0.25">
      <c r="A141" t="s">
        <v>167</v>
      </c>
      <c r="B141" t="str">
        <f>_xll.BDP(A141,"DS697")</f>
        <v>富時/雅典大型股指數</v>
      </c>
      <c r="C141" t="str">
        <f>_xll.BDP(A141,"DS003")</f>
        <v>GR</v>
      </c>
      <c r="D141" s="2">
        <f>_xll.BDP(A141,"PX_LAST")</f>
        <v>2148.13</v>
      </c>
      <c r="E141" s="2">
        <f>_xll.BDP(A141,"CHG_PCT_1D")</f>
        <v>0.70130369999999997</v>
      </c>
      <c r="F141" s="2">
        <f>_xll.BDP(A141,"HIGH_52WEEK")</f>
        <v>2270.46</v>
      </c>
      <c r="G141" s="2">
        <f>LN(F141/D141)*100</f>
        <v>5.53847579052219</v>
      </c>
      <c r="H141" s="2">
        <f>_xll.BDP(A141,"LOW_52WEEK")</f>
        <v>1548.58</v>
      </c>
      <c r="I141" s="2">
        <f>LN(H141/D141)*100</f>
        <v>-32.725931423432243</v>
      </c>
      <c r="J141" s="2">
        <f>_xll.BDP(A141,"CHG_PCT_5D")</f>
        <v>-0.90325560000000005</v>
      </c>
      <c r="K141" s="2">
        <f>_xll.BDP(A141,"CHG_PCT_1M")</f>
        <v>5.2138350000000004</v>
      </c>
      <c r="L141" s="2">
        <f>_xll.BDP(A141,"CHG_PCT_3M")</f>
        <v>-2.0384709999999999</v>
      </c>
      <c r="M141" s="2">
        <f>_xll.BDP(A141,"CHG_PCT_6M")</f>
        <v>15.475949999999999</v>
      </c>
      <c r="N141" s="2">
        <f>_xll.BDP(A141,"PR064")</f>
        <v>-2.0384709999999999</v>
      </c>
      <c r="O141" s="2">
        <f>_xll.BDP(A141,"CHG_PCT_1YR")</f>
        <v>15.745990000000001</v>
      </c>
      <c r="P141" s="2">
        <f>_xll.BDP(A141,"INTERVAL_HIGH", "MARKET_DATA_OVERRIDE=PE_RATIO", "CALC_INTERVAL=5y", "BEST_FPERIOD_OVERRIDE=BF")</f>
        <v>133.51468593813746</v>
      </c>
      <c r="Q141" s="2">
        <f>_xll.BDP(A141,"INTERVAL_Low", "MARKET_DATA_OVERRIDE=PE_RATIO", "CALC_INTERVAL=5y", "BEST_FPERIOD_OVERRIDE=BF")</f>
        <v>2.7466470250490356</v>
      </c>
      <c r="R141" s="2">
        <f>_xll.BDP(A141,"PE_RATIO")</f>
        <v>20.53203548268413</v>
      </c>
      <c r="S141" s="3">
        <f>IF(ISERROR((R141-Q141)/(P141-Q141)),"",(R141-Q141)/(P141-Q141))</f>
        <v>0.13600715133042326</v>
      </c>
    </row>
    <row r="142" spans="1:19" x14ac:dyDescent="0.25">
      <c r="A142" t="s">
        <v>166</v>
      </c>
      <c r="B142" t="str">
        <f>_xll.BDP(A142,"DS697")</f>
        <v>希臘雅典ASE綜合指數</v>
      </c>
      <c r="C142" t="str">
        <f>_xll.BDP(A142,"DS003")</f>
        <v>GR</v>
      </c>
      <c r="D142" s="2">
        <f>_xll.BDP(A142,"PX_LAST")</f>
        <v>866.18</v>
      </c>
      <c r="E142" s="2">
        <f>_xll.BDP(A142,"CHG_PCT_1D")</f>
        <v>0.47442839999999997</v>
      </c>
      <c r="F142" s="2">
        <f>_xll.BDP(A142,"HIGH_52WEEK")</f>
        <v>901.57</v>
      </c>
      <c r="G142" s="2">
        <f>LN(F142/D142)*100</f>
        <v>4.00449488345759</v>
      </c>
      <c r="H142" s="2">
        <f>_xll.BDP(A142,"LOW_52WEEK")</f>
        <v>592.70000000000005</v>
      </c>
      <c r="I142" s="2">
        <f>LN(H142/D142)*100</f>
        <v>-37.94043703643635</v>
      </c>
      <c r="J142" s="2">
        <f>_xll.BDP(A142,"CHG_PCT_5D")</f>
        <v>-0.88679790000000003</v>
      </c>
      <c r="K142" s="2">
        <f>_xll.BDP(A142,"CHG_PCT_1M")</f>
        <v>4.1532369999999998</v>
      </c>
      <c r="L142" s="2">
        <f>_xll.BDP(A142,"CHG_PCT_3M")</f>
        <v>0.82177080000000002</v>
      </c>
      <c r="M142" s="2">
        <f>_xll.BDP(A142,"CHG_PCT_6M")</f>
        <v>21.35962</v>
      </c>
      <c r="N142" s="2">
        <f>_xll.BDP(A142,"PR064")</f>
        <v>0.82177080000000002</v>
      </c>
      <c r="O142" s="2">
        <f>_xll.BDP(A142,"CHG_PCT_1YR")</f>
        <v>22.355630000000001</v>
      </c>
      <c r="P142" s="2">
        <f>_xll.BDP(A142,"INTERVAL_HIGH", "MARKET_DATA_OVERRIDE=PE_RATIO", "CALC_INTERVAL=5y", "BEST_FPERIOD_OVERRIDE=BF")</f>
        <v>34.978884575887882</v>
      </c>
      <c r="Q142" s="2">
        <f>_xll.BDP(A142,"INTERVAL_Low", "MARKET_DATA_OVERRIDE=PE_RATIO", "CALC_INTERVAL=5y", "BEST_FPERIOD_OVERRIDE=BF")</f>
        <v>1.3284618994392676</v>
      </c>
      <c r="R142" s="2">
        <f>_xll.BDP(A142,"PE_RATIO")</f>
        <v>20.186046375051653</v>
      </c>
      <c r="S142" s="3">
        <f>IF(ISERROR((R142-Q142)/(P142-Q142)),"",(R142-Q142)/(P142-Q142))</f>
        <v>0.56039666000422939</v>
      </c>
    </row>
    <row r="143" spans="1:19" x14ac:dyDescent="0.25">
      <c r="A143" t="s">
        <v>226</v>
      </c>
      <c r="B143" t="str">
        <f>_xll.BDP(A143,"DS697")</f>
        <v>卡達指數</v>
      </c>
      <c r="C143" t="str">
        <f>_xll.BDP(A143,"DS003")</f>
        <v>QA</v>
      </c>
      <c r="D143" s="2">
        <f>_xll.BDP(A143,"PX_LAST")</f>
        <v>10420.02</v>
      </c>
      <c r="E143" s="2">
        <f>_xll.BDP(A143,"CHG_PCT_1D")</f>
        <v>-0.2013209</v>
      </c>
      <c r="F143" s="2">
        <f>_xll.BDP(A143,"HIGH_52WEEK")</f>
        <v>10810.55</v>
      </c>
      <c r="G143" s="2">
        <f>LN(F143/D143)*100</f>
        <v>3.6793553463569486</v>
      </c>
      <c r="H143" s="2">
        <f>_xll.BDP(A143,"LOW_52WEEK")</f>
        <v>9441.65</v>
      </c>
      <c r="I143" s="2">
        <f>LN(H143/D143)*100</f>
        <v>-9.85982026898394</v>
      </c>
      <c r="J143" s="2">
        <f>_xll.BDP(A143,"CHG_PCT_5D")</f>
        <v>-0.8755617</v>
      </c>
      <c r="K143" s="2">
        <f>_xll.BDP(A143,"CHG_PCT_1M")</f>
        <v>3.8911190000000002</v>
      </c>
      <c r="L143" s="2">
        <f>_xll.BDP(A143,"CHG_PCT_3M")</f>
        <v>-0.23419970000000001</v>
      </c>
      <c r="M143" s="2">
        <f>_xll.BDP(A143,"CHG_PCT_6M")</f>
        <v>3.116854</v>
      </c>
      <c r="N143" s="2">
        <f>_xll.BDP(A143,"PR064")</f>
        <v>-0.23419970000000001</v>
      </c>
      <c r="O143" s="2">
        <f>_xll.BDP(A143,"CHG_PCT_1YR")</f>
        <v>6.4972390000000004</v>
      </c>
      <c r="P143" s="2">
        <f>_xll.BDP(A143,"INTERVAL_HIGH", "MARKET_DATA_OVERRIDE=PE_RATIO", "CALC_INTERVAL=5y", "BEST_FPERIOD_OVERRIDE=BF")</f>
        <v>19.036800517934353</v>
      </c>
      <c r="Q143" s="2">
        <f>_xll.BDP(A143,"INTERVAL_Low", "MARKET_DATA_OVERRIDE=PE_RATIO", "CALC_INTERVAL=5y", "BEST_FPERIOD_OVERRIDE=BF")</f>
        <v>10.171901104142034</v>
      </c>
      <c r="R143" s="2">
        <f>_xll.BDP(A143,"PE_RATIO")</f>
        <v>15.053897085009318</v>
      </c>
      <c r="S143" s="3">
        <f>IF(ISERROR((R143-Q143)/(P143-Q143)),"",(R143-Q143)/(P143-Q143))</f>
        <v>0.55071081497796859</v>
      </c>
    </row>
    <row r="144" spans="1:19" x14ac:dyDescent="0.25">
      <c r="A144" t="s">
        <v>228</v>
      </c>
      <c r="B144" t="str">
        <f>_xll.BDP(A144,"DS697")</f>
        <v>QE總報酬指數</v>
      </c>
      <c r="C144" t="str">
        <f>_xll.BDP(A144,"DS003")</f>
        <v>QA</v>
      </c>
      <c r="D144" s="2">
        <f>_xll.BDP(A144,"PX_LAST")</f>
        <v>19173.72</v>
      </c>
      <c r="E144" s="2">
        <f>_xll.BDP(A144,"CHG_PCT_1D")</f>
        <v>-0.20138030000000001</v>
      </c>
      <c r="F144" s="2">
        <f>_xll.BDP(A144,"HIGH_52WEEK")</f>
        <v>19668.060000000001</v>
      </c>
      <c r="G144" s="2">
        <f>LN(F144/D144)*100</f>
        <v>2.5455408745871884</v>
      </c>
      <c r="H144" s="2">
        <f>_xll.BDP(A144,"LOW_52WEEK")</f>
        <v>17084.66015625</v>
      </c>
      <c r="I144" s="2">
        <f>LN(H144/D144)*100</f>
        <v>-11.535959742244623</v>
      </c>
      <c r="J144" s="2">
        <f>_xll.BDP(A144,"CHG_PCT_5D")</f>
        <v>-0.87555899999999998</v>
      </c>
      <c r="K144" s="2">
        <f>_xll.BDP(A144,"CHG_PCT_1M")</f>
        <v>3.891184</v>
      </c>
      <c r="L144" s="2">
        <f>_xll.BDP(A144,"CHG_PCT_3M")</f>
        <v>-0.23424809999999999</v>
      </c>
      <c r="M144" s="2">
        <f>_xll.BDP(A144,"CHG_PCT_6M")</f>
        <v>3.149292</v>
      </c>
      <c r="N144" s="2">
        <f>_xll.BDP(A144,"PR064")</f>
        <v>-0.23424809999999999</v>
      </c>
      <c r="O144" s="2">
        <f>_xll.BDP(A144,"CHG_PCT_1YR")</f>
        <v>11.223839999999999</v>
      </c>
      <c r="P144" s="2">
        <f>_xll.BDP(A144,"INTERVAL_HIGH", "MARKET_DATA_OVERRIDE=PE_RATIO", "CALC_INTERVAL=5y", "BEST_FPERIOD_OVERRIDE=BF")</f>
        <v>19.036800517934353</v>
      </c>
      <c r="Q144" s="2">
        <f>_xll.BDP(A144,"INTERVAL_Low", "MARKET_DATA_OVERRIDE=PE_RATIO", "CALC_INTERVAL=5y", "BEST_FPERIOD_OVERRIDE=BF")</f>
        <v>10.171901104142034</v>
      </c>
      <c r="R144" s="2">
        <f>_xll.BDP(A144,"PE_RATIO")</f>
        <v>15.053897085009318</v>
      </c>
      <c r="S144" s="3">
        <f>IF(ISERROR((R144-Q144)/(P144-Q144)),"",(R144-Q144)/(P144-Q144))</f>
        <v>0.55071081497796859</v>
      </c>
    </row>
    <row r="145" spans="1:19" x14ac:dyDescent="0.25">
      <c r="A145" t="s">
        <v>170</v>
      </c>
      <c r="B145" t="str">
        <f>_xll.BDP(A145,"DS697")</f>
        <v>華沙WIG20指數</v>
      </c>
      <c r="C145" t="str">
        <f>_xll.BDP(A145,"DS003")</f>
        <v>PD</v>
      </c>
      <c r="D145" s="2">
        <f>_xll.BDP(A145,"PX_LAST")</f>
        <v>2172.4699999999998</v>
      </c>
      <c r="E145" s="2">
        <f>_xll.BDP(A145,"CHG_PCT_1D")</f>
        <v>0.5922174</v>
      </c>
      <c r="F145" s="2">
        <f>_xll.BDP(A145,"HIGH_52WEEK")</f>
        <v>2420.94</v>
      </c>
      <c r="G145" s="2">
        <f>LN(F145/D145)*100</f>
        <v>10.829112541512362</v>
      </c>
      <c r="H145" s="2">
        <f>_xll.BDP(A145,"LOW_52WEEK")</f>
        <v>2044.86</v>
      </c>
      <c r="I145" s="2">
        <f>LN(H145/D145)*100</f>
        <v>-6.0535441592636881</v>
      </c>
      <c r="J145" s="2">
        <f>_xll.BDP(A145,"CHG_PCT_5D")</f>
        <v>-0.8733244</v>
      </c>
      <c r="K145" s="2">
        <f>_xll.BDP(A145,"CHG_PCT_1M")</f>
        <v>3.6755840000000002</v>
      </c>
      <c r="L145" s="2">
        <f>_xll.BDP(A145,"CHG_PCT_3M")</f>
        <v>-6.965776</v>
      </c>
      <c r="M145" s="2">
        <f>_xll.BDP(A145,"CHG_PCT_6M")</f>
        <v>-6.1636920000000002</v>
      </c>
      <c r="N145" s="2">
        <f>_xll.BDP(A145,"PR064")</f>
        <v>-6.965776</v>
      </c>
      <c r="O145" s="2">
        <f>_xll.BDP(A145,"CHG_PCT_1YR")</f>
        <v>-6.1596450000000003</v>
      </c>
      <c r="P145" s="2">
        <f>_xll.BDP(A145,"INTERVAL_HIGH", "MARKET_DATA_OVERRIDE=PE_RATIO", "CALC_INTERVAL=5y", "BEST_FPERIOD_OVERRIDE=BF")</f>
        <v>61.979235827572943</v>
      </c>
      <c r="Q145" s="2">
        <f>_xll.BDP(A145,"INTERVAL_Low", "MARKET_DATA_OVERRIDE=PE_RATIO", "CALC_INTERVAL=5y", "BEST_FPERIOD_OVERRIDE=BF")</f>
        <v>10.714997137550277</v>
      </c>
      <c r="R145" s="2">
        <f>_xll.BDP(A145,"PE_RATIO")</f>
        <v>12.263880003686269</v>
      </c>
      <c r="S145" s="3">
        <f>IF(ISERROR((R145-Q145)/(P145-Q145)),"",(R145-Q145)/(P145-Q145))</f>
        <v>3.0213710487374201E-2</v>
      </c>
    </row>
    <row r="146" spans="1:19" x14ac:dyDescent="0.25">
      <c r="A146" t="s">
        <v>119</v>
      </c>
      <c r="B146" t="str">
        <f>_xll.BDP(A146,"DS697")</f>
        <v>法國CAC所有股票指數</v>
      </c>
      <c r="C146" t="str">
        <f>_xll.BDP(A146,"DS003")</f>
        <v>FR</v>
      </c>
      <c r="D146" s="2">
        <f>_xll.BDP(A146,"PX_LAST")</f>
        <v>6760.91</v>
      </c>
      <c r="E146" s="2">
        <f>_xll.BDP(A146,"CHG_PCT_1D")</f>
        <v>0.63109230000000005</v>
      </c>
      <c r="F146" s="2">
        <f>_xll.BDP(A146,"HIGH_52WEEK")</f>
        <v>6898.87</v>
      </c>
      <c r="G146" s="2">
        <f>LN(F146/D146)*100</f>
        <v>2.0200133696159148</v>
      </c>
      <c r="H146" s="2">
        <f>_xll.BDP(A146,"LOW_52WEEK")</f>
        <v>5557.3</v>
      </c>
      <c r="I146" s="2">
        <f>LN(H146/D146)*100</f>
        <v>-19.604511757540624</v>
      </c>
      <c r="J146" s="2">
        <f>_xll.BDP(A146,"CHG_PCT_5D")</f>
        <v>-0.86075100000000004</v>
      </c>
      <c r="K146" s="2">
        <f>_xll.BDP(A146,"CHG_PCT_1M")</f>
        <v>3.2613089999999998</v>
      </c>
      <c r="L146" s="2">
        <f>_xll.BDP(A146,"CHG_PCT_3M")</f>
        <v>1.4568209999999999</v>
      </c>
      <c r="M146" s="2">
        <f>_xll.BDP(A146,"CHG_PCT_6M")</f>
        <v>4.5009779999999999</v>
      </c>
      <c r="N146" s="2">
        <f>_xll.BDP(A146,"PR064")</f>
        <v>1.4568209999999999</v>
      </c>
      <c r="O146" s="2">
        <f>_xll.BDP(A146,"CHG_PCT_1YR")</f>
        <v>-0.35577700000000001</v>
      </c>
      <c r="P146" s="2">
        <f>_xll.BDP(A146,"INTERVAL_HIGH", "MARKET_DATA_OVERRIDE=PE_RATIO", "CALC_INTERVAL=5y", "BEST_FPERIOD_OVERRIDE=BF")</f>
        <v>29.751153572083354</v>
      </c>
      <c r="Q146" s="2">
        <f>_xll.BDP(A146,"INTERVAL_Low", "MARKET_DATA_OVERRIDE=PE_RATIO", "CALC_INTERVAL=5y", "BEST_FPERIOD_OVERRIDE=BF")</f>
        <v>16.095691899885821</v>
      </c>
      <c r="R146" s="2">
        <f>_xll.BDP(A146,"PE_RATIO")</f>
        <v>20.199784216022454</v>
      </c>
      <c r="S146" s="3">
        <f>IF(ISERROR((R146-Q146)/(P146-Q146)),"",(R146-Q146)/(P146-Q146))</f>
        <v>0.30054584858837469</v>
      </c>
    </row>
    <row r="147" spans="1:19" x14ac:dyDescent="0.25">
      <c r="A147" t="s">
        <v>64</v>
      </c>
      <c r="B147" t="str">
        <f>_xll.BDP(A147,"DS697")</f>
        <v>智利 IPSA40 指數</v>
      </c>
      <c r="C147" t="str">
        <f>_xll.BDP(A147,"DS003")</f>
        <v>CL</v>
      </c>
      <c r="D147" s="2">
        <f>_xll.BDP(A147,"PX_LAST")</f>
        <v>5026.1890000000003</v>
      </c>
      <c r="E147" s="2">
        <f>_xll.BDP(A147,"CHG_PCT_1D")</f>
        <v>0.39844259999999998</v>
      </c>
      <c r="F147" s="2">
        <f>_xll.BDP(A147,"HIGH_52WEEK")</f>
        <v>5515.95</v>
      </c>
      <c r="G147" s="2">
        <f>LN(F147/D147)*100</f>
        <v>9.2981852479255576</v>
      </c>
      <c r="H147" s="2">
        <f>_xll.BDP(A147,"LOW_52WEEK")</f>
        <v>4589.45</v>
      </c>
      <c r="I147" s="2">
        <f>LN(H147/D147)*100</f>
        <v>-9.0901851686476043</v>
      </c>
      <c r="J147" s="2">
        <f>_xll.BDP(A147,"CHG_PCT_5D")</f>
        <v>-0.85793509999999995</v>
      </c>
      <c r="K147" s="2">
        <f>_xll.BDP(A147,"CHG_PCT_1M")</f>
        <v>9.1473119999999994</v>
      </c>
      <c r="L147" s="2">
        <f>_xll.BDP(A147,"CHG_PCT_3M")</f>
        <v>-0.94287560000000004</v>
      </c>
      <c r="M147" s="2">
        <f>_xll.BDP(A147,"CHG_PCT_6M")</f>
        <v>-2.8593799999999998</v>
      </c>
      <c r="N147" s="2">
        <f>_xll.BDP(A147,"PR064")</f>
        <v>-0.94287560000000004</v>
      </c>
      <c r="O147" s="2">
        <f>_xll.BDP(A147,"CHG_PCT_1YR")</f>
        <v>-5.587027</v>
      </c>
      <c r="P147" s="2">
        <f>_xll.BDP(A147,"INTERVAL_HIGH", "MARKET_DATA_OVERRIDE=PE_RATIO", "CALC_INTERVAL=5y", "BEST_FPERIOD_OVERRIDE=BF")</f>
        <v>25.039888757108113</v>
      </c>
      <c r="Q147" s="2">
        <f>_xll.BDP(A147,"INTERVAL_Low", "MARKET_DATA_OVERRIDE=PE_RATIO", "CALC_INTERVAL=5y", "BEST_FPERIOD_OVERRIDE=BF")</f>
        <v>14.795580876319438</v>
      </c>
      <c r="R147" s="2">
        <f>_xll.BDP(A147,"PE_RATIO")</f>
        <v>16.243089468936009</v>
      </c>
      <c r="S147" s="3">
        <f>IF(ISERROR((R147-Q147)/(P147-Q147)),"",(R147-Q147)/(P147-Q147))</f>
        <v>0.1412988177884725</v>
      </c>
    </row>
    <row r="148" spans="1:19" x14ac:dyDescent="0.25">
      <c r="A148" t="s">
        <v>11</v>
      </c>
      <c r="B148" t="str">
        <f>_xll.BDP(A148,"DS697")</f>
        <v>紐約證交所100指數</v>
      </c>
      <c r="C148" t="str">
        <f>_xll.BDP(A148,"DS003")</f>
        <v>US</v>
      </c>
      <c r="D148" s="2">
        <f>_xll.BDP(A148,"PX_LAST")</f>
        <v>10877.66</v>
      </c>
      <c r="E148" s="2">
        <f>_xll.BDP(A148,"CHG_PCT_1D")</f>
        <v>-0.21529880000000001</v>
      </c>
      <c r="F148" s="2">
        <f>_xll.BDP(A148,"HIGH_52WEEK")</f>
        <v>11056.47</v>
      </c>
      <c r="G148" s="2">
        <f>LN(F148/D148)*100</f>
        <v>1.6304632208831782</v>
      </c>
      <c r="H148" s="2">
        <f>_xll.BDP(A148,"LOW_52WEEK")</f>
        <v>8908.4765625</v>
      </c>
      <c r="I148" s="2">
        <f>LN(H148/D148)*100</f>
        <v>-19.970789854262524</v>
      </c>
      <c r="J148" s="2">
        <f>_xll.BDP(A148,"CHG_PCT_5D")</f>
        <v>-0.84598709999999999</v>
      </c>
      <c r="K148" s="2">
        <f>_xll.BDP(A148,"CHG_PCT_1M")</f>
        <v>4.0607790000000001</v>
      </c>
      <c r="L148" s="2">
        <f>_xll.BDP(A148,"CHG_PCT_3M")</f>
        <v>1.50953</v>
      </c>
      <c r="M148" s="2">
        <f>_xll.BDP(A148,"CHG_PCT_6M")</f>
        <v>4.7062480000000004</v>
      </c>
      <c r="N148" s="2">
        <f>_xll.BDP(A148,"PR064")</f>
        <v>1.50953</v>
      </c>
      <c r="O148" s="2">
        <f>_xll.BDP(A148,"CHG_PCT_1YR")</f>
        <v>0.87300469999999997</v>
      </c>
      <c r="P148" s="2" t="str">
        <f>_xll.BDP(A148,"INTERVAL_HIGH", "MARKET_DATA_OVERRIDE=PE_RATIO", "CALC_INTERVAL=5y", "BEST_FPERIOD_OVERRIDE=BF")</f>
        <v>#N/A N/A</v>
      </c>
      <c r="Q148" s="2" t="str">
        <f>_xll.BDP(A148,"INTERVAL_Low", "MARKET_DATA_OVERRIDE=PE_RATIO", "CALC_INTERVAL=5y", "BEST_FPERIOD_OVERRIDE=BF")</f>
        <v>#N/A N/A</v>
      </c>
      <c r="R148" s="2" t="str">
        <f>_xll.BDP(A148,"PE_RATIO")</f>
        <v>#N/A N/A</v>
      </c>
      <c r="S148" s="3" t="str">
        <f>IF(ISERROR((R148-Q148)/(P148-Q148)),"",(R148-Q148)/(P148-Q148))</f>
        <v/>
      </c>
    </row>
    <row r="149" spans="1:19" x14ac:dyDescent="0.25">
      <c r="A149" t="s">
        <v>227</v>
      </c>
      <c r="B149" t="str">
        <f>_xll.BDP(A149,"DS697")</f>
        <v>QE全部股票指數</v>
      </c>
      <c r="C149" t="str">
        <f>_xll.BDP(A149,"DS003")</f>
        <v>QA</v>
      </c>
      <c r="D149" s="2">
        <f>_xll.BDP(A149,"PX_LAST")</f>
        <v>3063.91</v>
      </c>
      <c r="E149" s="2">
        <f>_xll.BDP(A149,"CHG_PCT_1D")</f>
        <v>-3.882418E-2</v>
      </c>
      <c r="F149" s="2">
        <f>_xll.BDP(A149,"HIGH_52WEEK")</f>
        <v>3259.17</v>
      </c>
      <c r="G149" s="2">
        <f>LN(F149/D149)*100</f>
        <v>6.1780683656435045</v>
      </c>
      <c r="H149" s="2">
        <f>_xll.BDP(A149,"LOW_52WEEK")</f>
        <v>2783.49</v>
      </c>
      <c r="I149" s="2">
        <f>LN(H149/D149)*100</f>
        <v>-9.5986342043066433</v>
      </c>
      <c r="J149" s="2">
        <f>_xll.BDP(A149,"CHG_PCT_5D")</f>
        <v>-0.82539750000000001</v>
      </c>
      <c r="K149" s="2">
        <f>_xll.BDP(A149,"CHG_PCT_1M")</f>
        <v>4.0270900000000003</v>
      </c>
      <c r="L149" s="2">
        <f>_xll.BDP(A149,"CHG_PCT_3M")</f>
        <v>-0.89341250000000005</v>
      </c>
      <c r="M149" s="2">
        <f>_xll.BDP(A149,"CHG_PCT_6M")</f>
        <v>-0.65948249999999997</v>
      </c>
      <c r="N149" s="2">
        <f>_xll.BDP(A149,"PR064")</f>
        <v>-0.89341250000000005</v>
      </c>
      <c r="O149" s="2">
        <f>_xll.BDP(A149,"CHG_PCT_1YR")</f>
        <v>6.0110440000000001</v>
      </c>
      <c r="P149" s="2">
        <f>_xll.BDP(A149,"INTERVAL_HIGH", "MARKET_DATA_OVERRIDE=PE_RATIO", "CALC_INTERVAL=5y", "BEST_FPERIOD_OVERRIDE=BF")</f>
        <v>19.008385934782439</v>
      </c>
      <c r="Q149" s="2">
        <f>_xll.BDP(A149,"INTERVAL_Low", "MARKET_DATA_OVERRIDE=PE_RATIO", "CALC_INTERVAL=5y", "BEST_FPERIOD_OVERRIDE=BF")</f>
        <v>10.241440694631637</v>
      </c>
      <c r="R149" s="2">
        <f>_xll.BDP(A149,"PE_RATIO")</f>
        <v>15.201975736174079</v>
      </c>
      <c r="S149" s="3">
        <f>IF(ISERROR((R149-Q149)/(P149-Q149)),"",(R149-Q149)/(P149-Q149))</f>
        <v>0.56582251920819748</v>
      </c>
    </row>
    <row r="150" spans="1:19" x14ac:dyDescent="0.25">
      <c r="A150" t="s">
        <v>131</v>
      </c>
      <c r="B150" t="str">
        <f>_xll.BDP(A150,"DS697")</f>
        <v>富時義大利全部股票指數</v>
      </c>
      <c r="C150" t="str">
        <f>_xll.BDP(A150,"DS003")</f>
        <v>IT</v>
      </c>
      <c r="D150" s="2">
        <f>_xll.BDP(A150,"PX_LAST")</f>
        <v>23891.22</v>
      </c>
      <c r="E150" s="2">
        <f>_xll.BDP(A150,"CHG_PCT_1D")</f>
        <v>0.73920839999999999</v>
      </c>
      <c r="F150" s="2">
        <f>_xll.BDP(A150,"HIGH_52WEEK")</f>
        <v>24308.69921875</v>
      </c>
      <c r="G150" s="2">
        <f>LN(F150/D150)*100</f>
        <v>1.7323251397576713</v>
      </c>
      <c r="H150" s="2">
        <f>_xll.BDP(A150,"LOW_52WEEK")</f>
        <v>19699.5390625</v>
      </c>
      <c r="I150" s="2">
        <f>LN(H150/D150)*100</f>
        <v>-19.291578979846825</v>
      </c>
      <c r="J150" s="2">
        <f>_xll.BDP(A150,"CHG_PCT_5D")</f>
        <v>-0.82152919999999996</v>
      </c>
      <c r="K150" s="2">
        <f>_xll.BDP(A150,"CHG_PCT_1M")</f>
        <v>4.4970359999999996</v>
      </c>
      <c r="L150" s="2">
        <f>_xll.BDP(A150,"CHG_PCT_3M")</f>
        <v>3.7729940000000002</v>
      </c>
      <c r="M150" s="2">
        <f>_xll.BDP(A150,"CHG_PCT_6M")</f>
        <v>2.9419520000000001</v>
      </c>
      <c r="N150" s="2">
        <f>_xll.BDP(A150,"PR064")</f>
        <v>3.7729940000000002</v>
      </c>
      <c r="O150" s="2">
        <f>_xll.BDP(A150,"CHG_PCT_1YR")</f>
        <v>0.59037810000000002</v>
      </c>
      <c r="P150" s="2">
        <f>_xll.BDP(A150,"INTERVAL_HIGH", "MARKET_DATA_OVERRIDE=PE_RATIO", "CALC_INTERVAL=5y", "BEST_FPERIOD_OVERRIDE=BF")</f>
        <v>461.23924333018283</v>
      </c>
      <c r="Q150" s="2">
        <f>_xll.BDP(A150,"INTERVAL_Low", "MARKET_DATA_OVERRIDE=PE_RATIO", "CALC_INTERVAL=5y", "BEST_FPERIOD_OVERRIDE=BF")</f>
        <v>10.942893365471136</v>
      </c>
      <c r="R150" s="2" t="str">
        <f>_xll.BDP(A150,"PE_RATIO")</f>
        <v>#N/A N/A</v>
      </c>
      <c r="S150" s="3" t="str">
        <f>IF(ISERROR((R150-Q150)/(P150-Q150)),"",(R150-Q150)/(P150-Q150))</f>
        <v/>
      </c>
    </row>
    <row r="151" spans="1:19" x14ac:dyDescent="0.25">
      <c r="A151" t="s">
        <v>275</v>
      </c>
      <c r="B151" t="str">
        <f>_xll.BDP(A151,"DS697")</f>
        <v>標普/香港交易所創業板指數</v>
      </c>
      <c r="C151" t="str">
        <f>_xll.BDP(A151,"DS003")</f>
        <v>HK</v>
      </c>
      <c r="D151" s="2">
        <f>_xll.BDP(A151,"PX_LAST")</f>
        <v>89.38</v>
      </c>
      <c r="E151" s="2">
        <f>_xll.BDP(A151,"CHG_PCT_1D")</f>
        <v>0.47212229999999999</v>
      </c>
      <c r="F151" s="2">
        <f>_xll.BDP(A151,"HIGH_52WEEK")</f>
        <v>183.9</v>
      </c>
      <c r="G151" s="2">
        <f>LN(F151/D151)*100</f>
        <v>72.149518810497014</v>
      </c>
      <c r="H151" s="2">
        <f>_xll.BDP(A151,"LOW_52WEEK")</f>
        <v>87.24</v>
      </c>
      <c r="I151" s="2">
        <f>LN(H151/D151)*100</f>
        <v>-2.4234002171877171</v>
      </c>
      <c r="J151" s="2">
        <f>_xll.BDP(A151,"CHG_PCT_5D")</f>
        <v>-0.82113040000000004</v>
      </c>
      <c r="K151" s="2">
        <f>_xll.BDP(A151,"CHG_PCT_1M")</f>
        <v>-3.6957230000000001</v>
      </c>
      <c r="L151" s="2">
        <f>_xll.BDP(A151,"CHG_PCT_3M")</f>
        <v>-10.967230000000001</v>
      </c>
      <c r="M151" s="2">
        <f>_xll.BDP(A151,"CHG_PCT_6M")</f>
        <v>-31.060549999999999</v>
      </c>
      <c r="N151" s="2">
        <f>_xll.BDP(A151,"PR064")</f>
        <v>-10.967230000000001</v>
      </c>
      <c r="O151" s="2">
        <f>_xll.BDP(A151,"CHG_PCT_1YR")</f>
        <v>-50.884709999999998</v>
      </c>
      <c r="P151" s="2" t="str">
        <f>_xll.BDP(A151,"INTERVAL_HIGH", "MARKET_DATA_OVERRIDE=PE_RATIO", "CALC_INTERVAL=5y", "BEST_FPERIOD_OVERRIDE=BF")</f>
        <v>#N/A N/A</v>
      </c>
      <c r="Q151" s="2" t="str">
        <f>_xll.BDP(A151,"INTERVAL_Low", "MARKET_DATA_OVERRIDE=PE_RATIO", "CALC_INTERVAL=5y", "BEST_FPERIOD_OVERRIDE=BF")</f>
        <v>#N/A N/A</v>
      </c>
      <c r="R151" s="2" t="str">
        <f>_xll.BDP(A151,"PE_RATIO")</f>
        <v>#N/A N/A</v>
      </c>
      <c r="S151" s="3" t="str">
        <f>IF(ISERROR((R151-Q151)/(P151-Q151)),"",(R151-Q151)/(P151-Q151))</f>
        <v/>
      </c>
    </row>
    <row r="152" spans="1:19" x14ac:dyDescent="0.25">
      <c r="A152" t="s">
        <v>187</v>
      </c>
      <c r="B152" t="str">
        <f>_xll.BDP(A152,"DS697")</f>
        <v>波士尼亞BIRS指數</v>
      </c>
      <c r="C152" t="str">
        <f>_xll.BDP(A152,"DS003")</f>
        <v>BY</v>
      </c>
      <c r="D152" s="2">
        <f>_xll.BDP(A152,"PX_LAST")</f>
        <v>592.47</v>
      </c>
      <c r="E152" s="2">
        <f>_xll.BDP(A152,"CHG_PCT_1D")</f>
        <v>-0.68726220000000005</v>
      </c>
      <c r="F152" s="2">
        <f>_xll.BDP(A152,"HIGH_52WEEK")</f>
        <v>735.06</v>
      </c>
      <c r="G152" s="2">
        <f>LN(F152/D152)*100</f>
        <v>21.565188971812933</v>
      </c>
      <c r="H152" s="2">
        <f>_xll.BDP(A152,"LOW_52WEEK")</f>
        <v>539.36</v>
      </c>
      <c r="I152" s="2">
        <f>LN(H152/D152)*100</f>
        <v>-9.3916987330254162</v>
      </c>
      <c r="J152" s="2">
        <f>_xll.BDP(A152,"CHG_PCT_5D")</f>
        <v>-0.81859939999999998</v>
      </c>
      <c r="K152" s="2">
        <f>_xll.BDP(A152,"CHG_PCT_1M")</f>
        <v>-0.55724450000000003</v>
      </c>
      <c r="L152" s="2">
        <f>_xll.BDP(A152,"CHG_PCT_3M")</f>
        <v>-3.5222280000000001</v>
      </c>
      <c r="M152" s="2">
        <f>_xll.BDP(A152,"CHG_PCT_6M")</f>
        <v>-17.59233</v>
      </c>
      <c r="N152" s="2">
        <f>_xll.BDP(A152,"PR064")</f>
        <v>-3.5222280000000001</v>
      </c>
      <c r="O152" s="2">
        <f>_xll.BDP(A152,"CHG_PCT_1YR")</f>
        <v>9.8468520000000002</v>
      </c>
      <c r="P152" s="2">
        <f>_xll.BDP(A152,"INTERVAL_HIGH", "MARKET_DATA_OVERRIDE=PE_RATIO", "CALC_INTERVAL=5y", "BEST_FPERIOD_OVERRIDE=BF")</f>
        <v>11225.929539745501</v>
      </c>
      <c r="Q152" s="2">
        <f>_xll.BDP(A152,"INTERVAL_Low", "MARKET_DATA_OVERRIDE=PE_RATIO", "CALC_INTERVAL=5y", "BEST_FPERIOD_OVERRIDE=BF")</f>
        <v>6.8289544648481915</v>
      </c>
      <c r="R152" s="2">
        <f>_xll.BDP(A152,"PE_RATIO")</f>
        <v>6.8289544648481915</v>
      </c>
      <c r="S152" s="3">
        <f>IF(ISERROR((R152-Q152)/(P152-Q152)),"",(R152-Q152)/(P152-Q152))</f>
        <v>0</v>
      </c>
    </row>
    <row r="153" spans="1:19" x14ac:dyDescent="0.25">
      <c r="A153" t="s">
        <v>130</v>
      </c>
      <c r="B153" t="str">
        <f>_xll.BDP(A153,"DS697")</f>
        <v>富時MIB指數</v>
      </c>
      <c r="C153" t="str">
        <f>_xll.BDP(A153,"DS003")</f>
        <v>IT</v>
      </c>
      <c r="D153" s="2">
        <f>_xll.BDP(A153,"PX_LAST")</f>
        <v>21947.67</v>
      </c>
      <c r="E153" s="2">
        <f>_xll.BDP(A153,"CHG_PCT_1D")</f>
        <v>0.73181750000000001</v>
      </c>
      <c r="F153" s="2">
        <f>_xll.BDP(A153,"HIGH_52WEEK")</f>
        <v>22357.390625</v>
      </c>
      <c r="G153" s="2">
        <f>LN(F153/D153)*100</f>
        <v>1.849595958670893</v>
      </c>
      <c r="H153" s="2">
        <f>_xll.BDP(A153,"LOW_52WEEK")</f>
        <v>17914.03</v>
      </c>
      <c r="I153" s="2">
        <f>LN(H153/D153)*100</f>
        <v>-20.307677882568967</v>
      </c>
      <c r="J153" s="2">
        <f>_xll.BDP(A153,"CHG_PCT_5D")</f>
        <v>-0.81601710000000005</v>
      </c>
      <c r="K153" s="2">
        <f>_xll.BDP(A153,"CHG_PCT_1M")</f>
        <v>4.5560260000000001</v>
      </c>
      <c r="L153" s="2">
        <f>_xll.BDP(A153,"CHG_PCT_3M")</f>
        <v>3.9638390000000001</v>
      </c>
      <c r="M153" s="2">
        <f>_xll.BDP(A153,"CHG_PCT_6M")</f>
        <v>3.5551279999999998</v>
      </c>
      <c r="N153" s="2">
        <f>_xll.BDP(A153,"PR064")</f>
        <v>3.9638390000000001</v>
      </c>
      <c r="O153" s="2">
        <f>_xll.BDP(A153,"CHG_PCT_1YR")</f>
        <v>2.0296509999999999</v>
      </c>
      <c r="P153" s="2">
        <f>_xll.BDP(A153,"INTERVAL_HIGH", "MARKET_DATA_OVERRIDE=PE_RATIO", "CALC_INTERVAL=5y", "BEST_FPERIOD_OVERRIDE=BF")</f>
        <v>2617.1437876981563</v>
      </c>
      <c r="Q153" s="2">
        <f>_xll.BDP(A153,"INTERVAL_Low", "MARKET_DATA_OVERRIDE=PE_RATIO", "CALC_INTERVAL=5y", "BEST_FPERIOD_OVERRIDE=BF")</f>
        <v>10.324669759276938</v>
      </c>
      <c r="R153" s="2">
        <f>_xll.BDP(A153,"PE_RATIO")</f>
        <v>13.226469790042195</v>
      </c>
      <c r="S153" s="3">
        <f>IF(ISERROR((R153-Q153)/(P153-Q153)),"",(R153-Q153)/(P153-Q153))</f>
        <v>1.1131574150260216E-3</v>
      </c>
    </row>
    <row r="154" spans="1:19" x14ac:dyDescent="0.25">
      <c r="A154" t="s">
        <v>88</v>
      </c>
      <c r="B154" t="str">
        <f>_xll.BDP(A154,"DS697")</f>
        <v>MSCI 歐盟指數</v>
      </c>
      <c r="C154" t="str">
        <f>_xll.BDP(A154,"DS003")</f>
        <v>EC</v>
      </c>
      <c r="D154" s="2">
        <f>_xll.BDP(A154,"PX_LAST")</f>
        <v>1179.4469999999999</v>
      </c>
      <c r="E154" s="2">
        <f>_xll.BDP(A154,"CHG_PCT_1D")</f>
        <v>0.53898820000000003</v>
      </c>
      <c r="F154" s="2">
        <f>_xll.BDP(A154,"HIGH_52WEEK")</f>
        <v>1201.58</v>
      </c>
      <c r="G154" s="2">
        <f>LN(F154/D154)*100</f>
        <v>1.8591672853353343</v>
      </c>
      <c r="H154" s="2">
        <f>_xll.BDP(A154,"LOW_52WEEK")</f>
        <v>990.7</v>
      </c>
      <c r="I154" s="2">
        <f>LN(H154/D154)*100</f>
        <v>-17.438919956497688</v>
      </c>
      <c r="J154" s="2">
        <f>_xll.BDP(A154,"CHG_PCT_5D")</f>
        <v>-0.81336660000000005</v>
      </c>
      <c r="K154" s="2">
        <f>_xll.BDP(A154,"CHG_PCT_1M")</f>
        <v>4.50115</v>
      </c>
      <c r="L154" s="2">
        <f>_xll.BDP(A154,"CHG_PCT_3M")</f>
        <v>2.0228160000000002</v>
      </c>
      <c r="M154" s="2">
        <f>_xll.BDP(A154,"CHG_PCT_6M")</f>
        <v>4.331245</v>
      </c>
      <c r="N154" s="2">
        <f>_xll.BDP(A154,"PR064")</f>
        <v>2.0228160000000002</v>
      </c>
      <c r="O154" s="2">
        <f>_xll.BDP(A154,"CHG_PCT_1YR")</f>
        <v>0.23890439999999999</v>
      </c>
      <c r="P154" s="2">
        <f>_xll.BDP(A154,"INTERVAL_HIGH", "MARKET_DATA_OVERRIDE=PE_RATIO", "CALC_INTERVAL=5y", "BEST_FPERIOD_OVERRIDE=BF")</f>
        <v>23.433882093901794</v>
      </c>
      <c r="Q154" s="2">
        <f>_xll.BDP(A154,"INTERVAL_Low", "MARKET_DATA_OVERRIDE=PE_RATIO", "CALC_INTERVAL=5y", "BEST_FPERIOD_OVERRIDE=BF")</f>
        <v>13.143241075295851</v>
      </c>
      <c r="R154" s="2">
        <f>_xll.BDP(A154,"PE_RATIO")</f>
        <v>17.789613607737788</v>
      </c>
      <c r="S154" s="3">
        <f>IF(ISERROR((R154-Q154)/(P154-Q154)),"",(R154-Q154)/(P154-Q154))</f>
        <v>0.45151439293636675</v>
      </c>
    </row>
    <row r="155" spans="1:19" x14ac:dyDescent="0.25">
      <c r="A155" t="s">
        <v>241</v>
      </c>
      <c r="B155" t="str">
        <f>_xll.BDP(A155,"DS697")</f>
        <v>韓國KOSPI指數</v>
      </c>
      <c r="C155" t="str">
        <f>_xll.BDP(A155,"DS003")</f>
        <v>SK</v>
      </c>
      <c r="D155" s="2">
        <f>_xll.BDP(A155,"PX_LAST")</f>
        <v>2074.52</v>
      </c>
      <c r="E155" s="2">
        <f>_xll.BDP(A155,"CHG_PCT_1D")</f>
        <v>5.4500119999999999E-2</v>
      </c>
      <c r="F155" s="2">
        <f>_xll.BDP(A155,"HIGH_52WEEK")</f>
        <v>2356.62</v>
      </c>
      <c r="G155" s="2">
        <f>LN(F155/D155)*100</f>
        <v>12.749858744247936</v>
      </c>
      <c r="H155" s="2">
        <f>_xll.BDP(A155,"LOW_52WEEK")</f>
        <v>1891.81</v>
      </c>
      <c r="I155" s="2">
        <f>LN(H155/D155)*100</f>
        <v>-9.219575886763721</v>
      </c>
      <c r="J155" s="2">
        <f>_xll.BDP(A155,"CHG_PCT_5D")</f>
        <v>-0.8128069</v>
      </c>
      <c r="K155" s="2">
        <f>_xll.BDP(A155,"CHG_PCT_1M")</f>
        <v>7.7896729999999996</v>
      </c>
      <c r="L155" s="2">
        <f>_xll.BDP(A155,"CHG_PCT_3M")</f>
        <v>-2.801831</v>
      </c>
      <c r="M155" s="2">
        <f>_xll.BDP(A155,"CHG_PCT_6M")</f>
        <v>-3.3137319999999999</v>
      </c>
      <c r="N155" s="2">
        <f>_xll.BDP(A155,"PR064")</f>
        <v>-2.801831</v>
      </c>
      <c r="O155" s="2">
        <f>_xll.BDP(A155,"CHG_PCT_1YR")</f>
        <v>-11.92606</v>
      </c>
      <c r="P155" s="2">
        <f>_xll.BDP(A155,"INTERVAL_HIGH", "MARKET_DATA_OVERRIDE=PE_RATIO", "CALC_INTERVAL=5y", "BEST_FPERIOD_OVERRIDE=BF")</f>
        <v>23.814352298538022</v>
      </c>
      <c r="Q155" s="2">
        <f>_xll.BDP(A155,"INTERVAL_Low", "MARKET_DATA_OVERRIDE=PE_RATIO", "CALC_INTERVAL=5y", "BEST_FPERIOD_OVERRIDE=BF")</f>
        <v>9.4600446515245</v>
      </c>
      <c r="R155" s="2">
        <f>_xll.BDP(A155,"PE_RATIO")</f>
        <v>13.514629883914258</v>
      </c>
      <c r="S155" s="3">
        <f>IF(ISERROR((R155-Q155)/(P155-Q155)),"",(R155-Q155)/(P155-Q155))</f>
        <v>0.28246470203202961</v>
      </c>
    </row>
    <row r="156" spans="1:19" x14ac:dyDescent="0.25">
      <c r="A156" t="s">
        <v>82</v>
      </c>
      <c r="B156" t="str">
        <f>_xll.BDP(A156,"DS697")</f>
        <v>歐盟STOXX指數</v>
      </c>
      <c r="C156" t="str">
        <f>_xll.BDP(A156,"DS003")</f>
        <v>EC</v>
      </c>
      <c r="D156" s="2">
        <f>_xll.BDP(A156,"PX_LAST")</f>
        <v>380.5</v>
      </c>
      <c r="E156" s="2">
        <f>_xll.BDP(A156,"CHG_PCT_1D")</f>
        <v>0.58952599999999999</v>
      </c>
      <c r="F156" s="2">
        <f>_xll.BDP(A156,"HIGH_52WEEK")</f>
        <v>387.63</v>
      </c>
      <c r="G156" s="2">
        <f>LN(F156/D156)*100</f>
        <v>1.8565099100498015</v>
      </c>
      <c r="H156" s="2">
        <f>_xll.BDP(A156,"LOW_52WEEK")</f>
        <v>318.77</v>
      </c>
      <c r="I156" s="2">
        <f>LN(H156/D156)*100</f>
        <v>-17.70163376994568</v>
      </c>
      <c r="J156" s="2">
        <f>_xll.BDP(A156,"CHG_PCT_5D")</f>
        <v>-0.8081351</v>
      </c>
      <c r="K156" s="2">
        <f>_xll.BDP(A156,"CHG_PCT_1M")</f>
        <v>4.3380520000000002</v>
      </c>
      <c r="L156" s="2">
        <f>_xll.BDP(A156,"CHG_PCT_3M")</f>
        <v>2.120234</v>
      </c>
      <c r="M156" s="2">
        <f>_xll.BDP(A156,"CHG_PCT_6M")</f>
        <v>4.3781179999999997</v>
      </c>
      <c r="N156" s="2">
        <f>_xll.BDP(A156,"PR064")</f>
        <v>2.120234</v>
      </c>
      <c r="O156" s="2">
        <f>_xll.BDP(A156,"CHG_PCT_1YR")</f>
        <v>-0.70977539999999995</v>
      </c>
      <c r="P156" s="2">
        <f>_xll.BDP(A156,"INTERVAL_HIGH", "MARKET_DATA_OVERRIDE=PE_RATIO", "CALC_INTERVAL=5y", "BEST_FPERIOD_OVERRIDE=BF")</f>
        <v>26.884039078953034</v>
      </c>
      <c r="Q156" s="2">
        <f>_xll.BDP(A156,"INTERVAL_Low", "MARKET_DATA_OVERRIDE=PE_RATIO", "CALC_INTERVAL=5y", "BEST_FPERIOD_OVERRIDE=BF")</f>
        <v>13.653154309448897</v>
      </c>
      <c r="R156" s="2">
        <f>_xll.BDP(A156,"PE_RATIO")</f>
        <v>17.873990107815157</v>
      </c>
      <c r="S156" s="3">
        <f>IF(ISERROR((R156-Q156)/(P156-Q156)),"",(R156-Q156)/(P156-Q156))</f>
        <v>0.31901387336505743</v>
      </c>
    </row>
    <row r="157" spans="1:19" x14ac:dyDescent="0.25">
      <c r="A157" t="s">
        <v>126</v>
      </c>
      <c r="B157" t="str">
        <f>_xll.BDP(A157,"DS697")</f>
        <v>道瓊瑞士Titans30指數</v>
      </c>
      <c r="C157" t="str">
        <f>_xll.BDP(A157,"DS003")</f>
        <v>SZ</v>
      </c>
      <c r="D157" s="2">
        <f>_xll.BDP(A157,"PX_LAST")</f>
        <v>608.48</v>
      </c>
      <c r="E157" s="2">
        <f>_xll.BDP(A157,"CHG_PCT_1D")</f>
        <v>0.81516339999999998</v>
      </c>
      <c r="F157" s="2">
        <f>_xll.BDP(A157,"HIGH_52WEEK")</f>
        <v>619.24</v>
      </c>
      <c r="G157" s="2">
        <f>LN(F157/D157)*100</f>
        <v>1.7528875492315128</v>
      </c>
      <c r="H157" s="2">
        <f>_xll.BDP(A157,"LOW_52WEEK")</f>
        <v>498.56</v>
      </c>
      <c r="I157" s="2">
        <f>LN(H157/D157)*100</f>
        <v>-19.924010093762082</v>
      </c>
      <c r="J157" s="2">
        <f>_xll.BDP(A157,"CHG_PCT_5D")</f>
        <v>-0.80047190000000001</v>
      </c>
      <c r="K157" s="2">
        <f>_xll.BDP(A157,"CHG_PCT_1M")</f>
        <v>3.0850219999999999</v>
      </c>
      <c r="L157" s="2">
        <f>_xll.BDP(A157,"CHG_PCT_3M")</f>
        <v>1.312022</v>
      </c>
      <c r="M157" s="2">
        <f>_xll.BDP(A157,"CHG_PCT_6M")</f>
        <v>6.6162070000000002</v>
      </c>
      <c r="N157" s="2">
        <f>_xll.BDP(A157,"PR064")</f>
        <v>1.312022</v>
      </c>
      <c r="O157" s="2">
        <f>_xll.BDP(A157,"CHG_PCT_1YR")</f>
        <v>3.6063329999999998</v>
      </c>
      <c r="P157" s="2">
        <f>_xll.BDP(A157,"INTERVAL_HIGH", "MARKET_DATA_OVERRIDE=PE_RATIO", "CALC_INTERVAL=5y", "BEST_FPERIOD_OVERRIDE=BF")</f>
        <v>30.031419053232526</v>
      </c>
      <c r="Q157" s="2">
        <f>_xll.BDP(A157,"INTERVAL_Low", "MARKET_DATA_OVERRIDE=PE_RATIO", "CALC_INTERVAL=5y", "BEST_FPERIOD_OVERRIDE=BF")</f>
        <v>11.882080109358121</v>
      </c>
      <c r="R157" s="2">
        <f>_xll.BDP(A157,"PE_RATIO")</f>
        <v>19.51644492753088</v>
      </c>
      <c r="S157" s="3">
        <f>IF(ISERROR((R157-Q157)/(P157-Q157)),"",(R157-Q157)/(P157-Q157))</f>
        <v>0.42064148131133111</v>
      </c>
    </row>
    <row r="158" spans="1:19" x14ac:dyDescent="0.25">
      <c r="A158" t="s">
        <v>133</v>
      </c>
      <c r="B158" t="str">
        <f>_xll.BDP(A158,"DS697")</f>
        <v>富時義大利STAR指數</v>
      </c>
      <c r="C158" t="str">
        <f>_xll.BDP(A158,"DS003")</f>
        <v>IT</v>
      </c>
      <c r="D158" s="2">
        <f>_xll.BDP(A158,"PX_LAST")</f>
        <v>34884.15</v>
      </c>
      <c r="E158" s="2">
        <f>_xll.BDP(A158,"CHG_PCT_1D")</f>
        <v>0.39453700000000003</v>
      </c>
      <c r="F158" s="2">
        <f>_xll.BDP(A158,"HIGH_52WEEK")</f>
        <v>37947.3984375</v>
      </c>
      <c r="G158" s="2">
        <f>LN(F158/D158)*100</f>
        <v>8.4168377799181524</v>
      </c>
      <c r="H158" s="2">
        <f>_xll.BDP(A158,"LOW_52WEEK")</f>
        <v>29751.15</v>
      </c>
      <c r="I158" s="2">
        <f>LN(H158/D158)*100</f>
        <v>-15.916478461437409</v>
      </c>
      <c r="J158" s="2">
        <f>_xll.BDP(A158,"CHG_PCT_5D")</f>
        <v>-0.79626110000000005</v>
      </c>
      <c r="K158" s="2">
        <f>_xll.BDP(A158,"CHG_PCT_1M")</f>
        <v>4.4177299999999997</v>
      </c>
      <c r="L158" s="2">
        <f>_xll.BDP(A158,"CHG_PCT_3M")</f>
        <v>1.331442</v>
      </c>
      <c r="M158" s="2">
        <f>_xll.BDP(A158,"CHG_PCT_6M")</f>
        <v>0.65919669999999997</v>
      </c>
      <c r="N158" s="2">
        <f>_xll.BDP(A158,"PR064")</f>
        <v>1.331442</v>
      </c>
      <c r="O158" s="2">
        <f>_xll.BDP(A158,"CHG_PCT_1YR")</f>
        <v>-7.9185949999999998</v>
      </c>
      <c r="P158" s="2">
        <f>_xll.BDP(A158,"INTERVAL_HIGH", "MARKET_DATA_OVERRIDE=PE_RATIO", "CALC_INTERVAL=5y", "BEST_FPERIOD_OVERRIDE=BF")</f>
        <v>70.224418258728278</v>
      </c>
      <c r="Q158" s="2">
        <f>_xll.BDP(A158,"INTERVAL_Low", "MARKET_DATA_OVERRIDE=PE_RATIO", "CALC_INTERVAL=5y", "BEST_FPERIOD_OVERRIDE=BF")</f>
        <v>13.996738349593175</v>
      </c>
      <c r="R158" s="2">
        <f>_xll.BDP(A158,"PE_RATIO")</f>
        <v>36.883594552220991</v>
      </c>
      <c r="S158" s="3">
        <f>IF(ISERROR((R158-Q158)/(P158-Q158)),"",(R158-Q158)/(P158-Q158))</f>
        <v>0.40703895731805706</v>
      </c>
    </row>
    <row r="159" spans="1:19" x14ac:dyDescent="0.25">
      <c r="A159" t="s">
        <v>174</v>
      </c>
      <c r="B159" t="str">
        <f>_xll.BDP(A159,"DS697")</f>
        <v>MOEX Russia Index</v>
      </c>
      <c r="C159" t="str">
        <f>_xll.BDP(A159,"DS003")</f>
        <v>RU</v>
      </c>
      <c r="D159" s="2">
        <f>_xll.BDP(A159,"PX_LAST")</f>
        <v>2772.7</v>
      </c>
      <c r="E159" s="2">
        <f>_xll.BDP(A159,"CHG_PCT_1D")</f>
        <v>0.4495904</v>
      </c>
      <c r="F159" s="2">
        <f>_xll.BDP(A159,"HIGH_52WEEK")</f>
        <v>2848.4</v>
      </c>
      <c r="G159" s="2">
        <f>LN(F159/D159)*100</f>
        <v>2.6935858424785515</v>
      </c>
      <c r="H159" s="2">
        <f>_xll.BDP(A159,"LOW_52WEEK")</f>
        <v>2258.27</v>
      </c>
      <c r="I159" s="2">
        <f>LN(H159/D159)*100</f>
        <v>-20.522254127708319</v>
      </c>
      <c r="J159" s="2">
        <f>_xll.BDP(A159,"CHG_PCT_5D")</f>
        <v>-0.78969</v>
      </c>
      <c r="K159" s="2">
        <f>_xll.BDP(A159,"CHG_PCT_1M")</f>
        <v>4.2623139999999999</v>
      </c>
      <c r="L159" s="2">
        <f>_xll.BDP(A159,"CHG_PCT_3M")</f>
        <v>-0.25038899999999997</v>
      </c>
      <c r="M159" s="2">
        <f>_xll.BDP(A159,"CHG_PCT_6M")</f>
        <v>11.46622</v>
      </c>
      <c r="N159" s="2">
        <f>_xll.BDP(A159,"PR064")</f>
        <v>-0.25038899999999997</v>
      </c>
      <c r="O159" s="2">
        <f>_xll.BDP(A159,"CHG_PCT_1YR")</f>
        <v>12.047739999999999</v>
      </c>
      <c r="P159" s="2">
        <f>_xll.BDP(A159,"INTERVAL_HIGH", "MARKET_DATA_OVERRIDE=PE_RATIO", "CALC_INTERVAL=5y", "BEST_FPERIOD_OVERRIDE=BF")</f>
        <v>10.20860786213475</v>
      </c>
      <c r="Q159" s="2">
        <f>_xll.BDP(A159,"INTERVAL_Low", "MARKET_DATA_OVERRIDE=PE_RATIO", "CALC_INTERVAL=5y", "BEST_FPERIOD_OVERRIDE=BF")</f>
        <v>4.8554048967168466</v>
      </c>
      <c r="R159" s="2">
        <f>_xll.BDP(A159,"PE_RATIO")</f>
        <v>5.7048350736012718</v>
      </c>
      <c r="S159" s="3">
        <f>IF(ISERROR((R159-Q159)/(P159-Q159)),"",(R159-Q159)/(P159-Q159))</f>
        <v>0.1586769981209023</v>
      </c>
    </row>
    <row r="160" spans="1:19" x14ac:dyDescent="0.25">
      <c r="A160" t="s">
        <v>175</v>
      </c>
      <c r="B160" t="str">
        <f>_xll.BDP(A160,"DS697")</f>
        <v>莫斯科 MICEX 10 指數</v>
      </c>
      <c r="C160" t="str">
        <f>_xll.BDP(A160,"DS003")</f>
        <v>RU</v>
      </c>
      <c r="D160" s="2">
        <f>_xll.BDP(A160,"PX_LAST")</f>
        <v>4789.42</v>
      </c>
      <c r="E160" s="2">
        <f>_xll.BDP(A160,"CHG_PCT_1D")</f>
        <v>0.50257370000000001</v>
      </c>
      <c r="F160" s="2">
        <f>_xll.BDP(A160,"HIGH_52WEEK")</f>
        <v>4947.17</v>
      </c>
      <c r="G160" s="2">
        <f>LN(F160/D160)*100</f>
        <v>3.2406377419920509</v>
      </c>
      <c r="H160" s="2">
        <f>_xll.BDP(A160,"LOW_52WEEK")</f>
        <v>4025.98</v>
      </c>
      <c r="I160" s="2">
        <f>LN(H160/D160)*100</f>
        <v>-17.36409590010069</v>
      </c>
      <c r="J160" s="2">
        <f>_xll.BDP(A160,"CHG_PCT_5D")</f>
        <v>-0.78326450000000003</v>
      </c>
      <c r="K160" s="2">
        <f>_xll.BDP(A160,"CHG_PCT_1M")</f>
        <v>4.4381740000000001</v>
      </c>
      <c r="L160" s="2">
        <f>_xll.BDP(A160,"CHG_PCT_3M")</f>
        <v>4.7419019999999999E-2</v>
      </c>
      <c r="M160" s="2">
        <f>_xll.BDP(A160,"CHG_PCT_6M")</f>
        <v>7.9364330000000001</v>
      </c>
      <c r="N160" s="2">
        <f>_xll.BDP(A160,"PR064")</f>
        <v>4.7419019999999999E-2</v>
      </c>
      <c r="O160" s="2">
        <f>_xll.BDP(A160,"CHG_PCT_1YR")</f>
        <v>6.5281409999999997</v>
      </c>
      <c r="P160" s="2">
        <f>_xll.BDP(A160,"INTERVAL_HIGH", "MARKET_DATA_OVERRIDE=PE_RATIO", "CALC_INTERVAL=5y", "BEST_FPERIOD_OVERRIDE=BF")</f>
        <v>12.455847296594678</v>
      </c>
      <c r="Q160" s="2">
        <f>_xll.BDP(A160,"INTERVAL_Low", "MARKET_DATA_OVERRIDE=PE_RATIO", "CALC_INTERVAL=5y", "BEST_FPERIOD_OVERRIDE=BF")</f>
        <v>4.7296335680919626</v>
      </c>
      <c r="R160" s="2">
        <f>_xll.BDP(A160,"PE_RATIO")</f>
        <v>5.0528275893737513</v>
      </c>
      <c r="S160" s="3">
        <f>IF(ISERROR((R160-Q160)/(P160-Q160)),"",(R160-Q160)/(P160-Q160))</f>
        <v>4.1830841423593577E-2</v>
      </c>
    </row>
    <row r="161" spans="1:19" x14ac:dyDescent="0.25">
      <c r="A161" t="s">
        <v>95</v>
      </c>
      <c r="B161" t="str">
        <f>_xll.BDP(A161,"DS697")</f>
        <v>FTSEurofirst 80 指數</v>
      </c>
      <c r="C161" t="str">
        <f>_xll.BDP(A161,"DS003")</f>
        <v>EC</v>
      </c>
      <c r="D161" s="2">
        <f>_xll.BDP(A161,"PX_LAST")</f>
        <v>4848.59</v>
      </c>
      <c r="E161" s="2">
        <f>_xll.BDP(A161,"CHG_PCT_1D")</f>
        <v>0.54038030000000004</v>
      </c>
      <c r="F161" s="2">
        <f>_xll.BDP(A161,"HIGH_52WEEK")</f>
        <v>4923.54</v>
      </c>
      <c r="G161" s="2">
        <f>LN(F161/D161)*100</f>
        <v>1.5339842942359305</v>
      </c>
      <c r="H161" s="2">
        <f>_xll.BDP(A161,"LOW_52WEEK")</f>
        <v>4057.32</v>
      </c>
      <c r="I161" s="2">
        <f>LN(H161/D161)*100</f>
        <v>-17.816528390165427</v>
      </c>
      <c r="J161" s="2">
        <f>_xll.BDP(A161,"CHG_PCT_5D")</f>
        <v>-0.78271120000000005</v>
      </c>
      <c r="K161" s="2">
        <f>_xll.BDP(A161,"CHG_PCT_1M")</f>
        <v>4.954421</v>
      </c>
      <c r="L161" s="2">
        <f>_xll.BDP(A161,"CHG_PCT_3M")</f>
        <v>2.4153739999999999</v>
      </c>
      <c r="M161" s="2">
        <f>_xll.BDP(A161,"CHG_PCT_6M")</f>
        <v>4.7440069999999999</v>
      </c>
      <c r="N161" s="2">
        <f>_xll.BDP(A161,"PR064")</f>
        <v>2.4153739999999999</v>
      </c>
      <c r="O161" s="2">
        <f>_xll.BDP(A161,"CHG_PCT_1YR")</f>
        <v>0.1576109</v>
      </c>
      <c r="P161" s="2">
        <f>_xll.BDP(A161,"INTERVAL_HIGH", "MARKET_DATA_OVERRIDE=PE_RATIO", "CALC_INTERVAL=5y", "BEST_FPERIOD_OVERRIDE=BF")</f>
        <v>25.118357547967232</v>
      </c>
      <c r="Q161" s="2">
        <f>_xll.BDP(A161,"INTERVAL_Low", "MARKET_DATA_OVERRIDE=PE_RATIO", "CALC_INTERVAL=5y", "BEST_FPERIOD_OVERRIDE=BF")</f>
        <v>13.124710159089098</v>
      </c>
      <c r="R161" s="2">
        <f>_xll.BDP(A161,"PE_RATIO")</f>
        <v>18.240685927585364</v>
      </c>
      <c r="S161" s="3">
        <f>IF(ISERROR((R161-Q161)/(P161-Q161)),"",(R161-Q161)/(P161-Q161))</f>
        <v>0.4265571266702719</v>
      </c>
    </row>
    <row r="162" spans="1:19" x14ac:dyDescent="0.25">
      <c r="A162" t="s">
        <v>91</v>
      </c>
      <c r="B162" t="str">
        <f>_xll.BDP(A162,"DS697")</f>
        <v>標準普爾歐盟指數</v>
      </c>
      <c r="C162" t="str">
        <f>_xll.BDP(A162,"DS003")</f>
        <v>EC</v>
      </c>
      <c r="D162" s="2">
        <f>_xll.BDP(A162,"PX_LAST")</f>
        <v>1604.56</v>
      </c>
      <c r="E162" s="2">
        <f>_xll.BDP(A162,"CHG_PCT_1D")</f>
        <v>0.58297710000000003</v>
      </c>
      <c r="F162" s="2">
        <f>_xll.BDP(A162,"HIGH_52WEEK")</f>
        <v>1631</v>
      </c>
      <c r="G162" s="2">
        <f>LN(F162/D162)*100</f>
        <v>1.6343747943222524</v>
      </c>
      <c r="H162" s="2">
        <f>_xll.BDP(A162,"LOW_52WEEK")</f>
        <v>1352.17</v>
      </c>
      <c r="I162" s="2">
        <f>LN(H162/D162)*100</f>
        <v>-17.113886633447805</v>
      </c>
      <c r="J162" s="2">
        <f>_xll.BDP(A162,"CHG_PCT_5D")</f>
        <v>-0.78159480000000003</v>
      </c>
      <c r="K162" s="2">
        <f>_xll.BDP(A162,"CHG_PCT_1M")</f>
        <v>4.6263439999999996</v>
      </c>
      <c r="L162" s="2">
        <f>_xll.BDP(A162,"CHG_PCT_3M")</f>
        <v>2.2221090000000001</v>
      </c>
      <c r="M162" s="2">
        <f>_xll.BDP(A162,"CHG_PCT_6M")</f>
        <v>3.9115129999999998</v>
      </c>
      <c r="N162" s="2">
        <f>_xll.BDP(A162,"PR064")</f>
        <v>2.2221090000000001</v>
      </c>
      <c r="O162" s="2">
        <f>_xll.BDP(A162,"CHG_PCT_1YR")</f>
        <v>-1.2560180000000001</v>
      </c>
      <c r="P162" s="2">
        <f>_xll.BDP(A162,"INTERVAL_HIGH", "MARKET_DATA_OVERRIDE=PE_RATIO", "CALC_INTERVAL=5y", "BEST_FPERIOD_OVERRIDE=BF")</f>
        <v>26.461945945040842</v>
      </c>
      <c r="Q162" s="2">
        <f>_xll.BDP(A162,"INTERVAL_Low", "MARKET_DATA_OVERRIDE=PE_RATIO", "CALC_INTERVAL=5y", "BEST_FPERIOD_OVERRIDE=BF")</f>
        <v>13.050168989913292</v>
      </c>
      <c r="R162" s="2">
        <f>_xll.BDP(A162,"PE_RATIO")</f>
        <v>17.844374026929749</v>
      </c>
      <c r="S162" s="3">
        <f>IF(ISERROR((R162-Q162)/(P162-Q162)),"",(R162-Q162)/(P162-Q162))</f>
        <v>0.35746232979094922</v>
      </c>
    </row>
    <row r="163" spans="1:19" x14ac:dyDescent="0.25">
      <c r="A163" t="s">
        <v>132</v>
      </c>
      <c r="B163" t="str">
        <f>_xll.BDP(A163,"DS697")</f>
        <v>富時義大利中型股指數</v>
      </c>
      <c r="C163" t="str">
        <f>_xll.BDP(A163,"DS003")</f>
        <v>IT</v>
      </c>
      <c r="D163" s="2">
        <f>_xll.BDP(A163,"PX_LAST")</f>
        <v>37670.300000000003</v>
      </c>
      <c r="E163" s="2">
        <f>_xll.BDP(A163,"CHG_PCT_1D")</f>
        <v>0.94047800000000004</v>
      </c>
      <c r="F163" s="2">
        <f>_xll.BDP(A163,"HIGH_52WEEK")</f>
        <v>41411.859375</v>
      </c>
      <c r="G163" s="2">
        <f>LN(F163/D163)*100</f>
        <v>9.469531257400897</v>
      </c>
      <c r="H163" s="2">
        <f>_xll.BDP(A163,"LOW_52WEEK")</f>
        <v>33309.890625</v>
      </c>
      <c r="I163" s="2">
        <f>LN(H163/D163)*100</f>
        <v>-12.301761691752491</v>
      </c>
      <c r="J163" s="2">
        <f>_xll.BDP(A163,"CHG_PCT_5D")</f>
        <v>-0.77783389999999997</v>
      </c>
      <c r="K163" s="2">
        <f>_xll.BDP(A163,"CHG_PCT_1M")</f>
        <v>3.9929169999999998</v>
      </c>
      <c r="L163" s="2">
        <f>_xll.BDP(A163,"CHG_PCT_3M")</f>
        <v>2.4553989999999999</v>
      </c>
      <c r="M163" s="2">
        <f>_xll.BDP(A163,"CHG_PCT_6M")</f>
        <v>-1.299939</v>
      </c>
      <c r="N163" s="2">
        <f>_xll.BDP(A163,"PR064")</f>
        <v>2.4553989999999999</v>
      </c>
      <c r="O163" s="2">
        <f>_xll.BDP(A163,"CHG_PCT_1YR")</f>
        <v>-8.8602089999999993</v>
      </c>
      <c r="P163" s="2">
        <f>_xll.BDP(A163,"INTERVAL_HIGH", "MARKET_DATA_OVERRIDE=PE_RATIO", "CALC_INTERVAL=5y", "BEST_FPERIOD_OVERRIDE=BF")</f>
        <v>356.3947815674137</v>
      </c>
      <c r="Q163" s="2">
        <f>_xll.BDP(A163,"INTERVAL_Low", "MARKET_DATA_OVERRIDE=PE_RATIO", "CALC_INTERVAL=5y", "BEST_FPERIOD_OVERRIDE=BF")</f>
        <v>7.5597435539596187</v>
      </c>
      <c r="R163" s="2" t="str">
        <f>_xll.BDP(A163,"PE_RATIO")</f>
        <v>#N/A N/A</v>
      </c>
      <c r="S163" s="3" t="str">
        <f>IF(ISERROR((R163-Q163)/(P163-Q163)),"",(R163-Q163)/(P163-Q163))</f>
        <v/>
      </c>
    </row>
    <row r="164" spans="1:19" x14ac:dyDescent="0.25">
      <c r="A164" t="s">
        <v>114</v>
      </c>
      <c r="B164" t="str">
        <f>_xll.BDP(A164,"DS697")</f>
        <v>法國CAC全部可交易指數</v>
      </c>
      <c r="C164" t="str">
        <f>_xll.BDP(A164,"DS003")</f>
        <v>FR</v>
      </c>
      <c r="D164" s="2">
        <f>_xll.BDP(A164,"PX_LAST")</f>
        <v>4339.3900000000003</v>
      </c>
      <c r="E164" s="2">
        <f>_xll.BDP(A164,"CHG_PCT_1D")</f>
        <v>0.63030330000000001</v>
      </c>
      <c r="F164" s="2">
        <f>_xll.BDP(A164,"HIGH_52WEEK")</f>
        <v>4398.03</v>
      </c>
      <c r="G164" s="2">
        <f>LN(F164/D164)*100</f>
        <v>1.342292815328171</v>
      </c>
      <c r="H164" s="2">
        <f>_xll.BDP(A164,"LOW_52WEEK")</f>
        <v>3547.59</v>
      </c>
      <c r="I164" s="2">
        <f>LN(H164/D164)*100</f>
        <v>-20.146528552931738</v>
      </c>
      <c r="J164" s="2">
        <f>_xll.BDP(A164,"CHG_PCT_5D")</f>
        <v>-0.77334409999999998</v>
      </c>
      <c r="K164" s="2">
        <f>_xll.BDP(A164,"CHG_PCT_1M")</f>
        <v>4.044899</v>
      </c>
      <c r="L164" s="2">
        <f>_xll.BDP(A164,"CHG_PCT_3M")</f>
        <v>2.2498119999999999</v>
      </c>
      <c r="M164" s="2">
        <f>_xll.BDP(A164,"CHG_PCT_6M")</f>
        <v>5.6553019999999998</v>
      </c>
      <c r="N164" s="2">
        <f>_xll.BDP(A164,"PR064")</f>
        <v>2.2498119999999999</v>
      </c>
      <c r="O164" s="2">
        <f>_xll.BDP(A164,"CHG_PCT_1YR")</f>
        <v>-0.1915965</v>
      </c>
      <c r="P164" s="2">
        <f>_xll.BDP(A164,"INTERVAL_HIGH", "MARKET_DATA_OVERRIDE=PE_RATIO", "CALC_INTERVAL=5y", "BEST_FPERIOD_OVERRIDE=BF")</f>
        <v>30.027555761703045</v>
      </c>
      <c r="Q164" s="2">
        <f>_xll.BDP(A164,"INTERVAL_Low", "MARKET_DATA_OVERRIDE=PE_RATIO", "CALC_INTERVAL=5y", "BEST_FPERIOD_OVERRIDE=BF")</f>
        <v>14.569667486345628</v>
      </c>
      <c r="R164" s="2">
        <f>_xll.BDP(A164,"PE_RATIO")</f>
        <v>19.814503590779633</v>
      </c>
      <c r="S164" s="3">
        <f>IF(ISERROR((R164-Q164)/(P164-Q164)),"",(R164-Q164)/(P164-Q164))</f>
        <v>0.33929835764146343</v>
      </c>
    </row>
    <row r="165" spans="1:19" x14ac:dyDescent="0.25">
      <c r="A165" t="s">
        <v>67</v>
      </c>
      <c r="B165" t="str">
        <f>_xll.BDP(A165,"DS697")</f>
        <v>智利65指數</v>
      </c>
      <c r="C165" t="str">
        <f>_xll.BDP(A165,"DS003")</f>
        <v>CL</v>
      </c>
      <c r="D165" s="2">
        <f>_xll.BDP(A165,"PX_LAST")</f>
        <v>2960.57</v>
      </c>
      <c r="E165" s="2">
        <f>_xll.BDP(A165,"CHG_PCT_1D")</f>
        <v>0.76340810000000003</v>
      </c>
      <c r="F165" s="2">
        <f>_xll.BDP(A165,"HIGH_52WEEK")</f>
        <v>20949.419999999998</v>
      </c>
      <c r="G165" s="2">
        <f>LN(F165/D165)*100</f>
        <v>195.67291436559279</v>
      </c>
      <c r="H165" s="2">
        <f>_xll.BDP(A165,"LOW_52WEEK")</f>
        <v>2733.62</v>
      </c>
      <c r="I165" s="2">
        <f>LN(H165/D165)*100</f>
        <v>-7.9755079213222366</v>
      </c>
      <c r="J165" s="2">
        <f>_xll.BDP(A165,"CHG_PCT_5D")</f>
        <v>-0.76622990000000002</v>
      </c>
      <c r="K165" s="2">
        <f>_xll.BDP(A165,"CHG_PCT_1M")</f>
        <v>7.999943</v>
      </c>
      <c r="L165" s="2">
        <f>_xll.BDP(A165,"CHG_PCT_3M")</f>
        <v>-2.4617079999999998</v>
      </c>
      <c r="M165" s="2">
        <f>_xll.BDP(A165,"CHG_PCT_6M")</f>
        <v>-6.5512050000000004</v>
      </c>
      <c r="N165" s="2">
        <f>_xll.BDP(A165,"PR064")</f>
        <v>-2.4617079999999998</v>
      </c>
      <c r="O165" s="2">
        <f>_xll.BDP(A165,"CHG_PCT_1YR")</f>
        <v>-10.23108</v>
      </c>
      <c r="P165" s="2" t="str">
        <f>_xll.BDP(A165,"INTERVAL_HIGH", "MARKET_DATA_OVERRIDE=PE_RATIO", "CALC_INTERVAL=5y", "BEST_FPERIOD_OVERRIDE=BF")</f>
        <v>#N/A N/A</v>
      </c>
      <c r="Q165" s="2" t="str">
        <f>_xll.BDP(A165,"INTERVAL_Low", "MARKET_DATA_OVERRIDE=PE_RATIO", "CALC_INTERVAL=5y", "BEST_FPERIOD_OVERRIDE=BF")</f>
        <v>#N/A N/A</v>
      </c>
      <c r="R165" s="2" t="str">
        <f>_xll.BDP(A165,"PE_RATIO")</f>
        <v>#N/A N/A</v>
      </c>
      <c r="S165" s="3" t="str">
        <f>IF(ISERROR((R165-Q165)/(P165-Q165)),"",(R165-Q165)/(P165-Q165))</f>
        <v/>
      </c>
    </row>
    <row r="166" spans="1:19" x14ac:dyDescent="0.25">
      <c r="A166" t="s">
        <v>229</v>
      </c>
      <c r="B166" t="str">
        <f>_xll.BDP(A166,"DS697")</f>
        <v>杜拜金融市場指數</v>
      </c>
      <c r="C166" t="str">
        <f>_xll.BDP(A166,"DS003")</f>
        <v>UA</v>
      </c>
      <c r="D166" s="2">
        <f>_xll.BDP(A166,"PX_LAST")</f>
        <v>2798.21</v>
      </c>
      <c r="E166" s="2">
        <f>_xll.BDP(A166,"CHG_PCT_1D")</f>
        <v>-0.14773320000000001</v>
      </c>
      <c r="F166" s="2">
        <f>_xll.BDP(A166,"HIGH_52WEEK")</f>
        <v>2951.55</v>
      </c>
      <c r="G166" s="2">
        <f>LN(F166/D166)*100</f>
        <v>5.3350529057197473</v>
      </c>
      <c r="H166" s="2">
        <f>_xll.BDP(A166,"LOW_52WEEK")</f>
        <v>2429.12</v>
      </c>
      <c r="I166" s="2">
        <f>LN(H166/D166)*100</f>
        <v>-14.145087519036309</v>
      </c>
      <c r="J166" s="2">
        <f>_xll.BDP(A166,"CHG_PCT_5D")</f>
        <v>-0.76178380000000001</v>
      </c>
      <c r="K166" s="2">
        <f>_xll.BDP(A166,"CHG_PCT_1M")</f>
        <v>1.705379</v>
      </c>
      <c r="L166" s="2">
        <f>_xll.BDP(A166,"CHG_PCT_3M")</f>
        <v>6.5554439999999996</v>
      </c>
      <c r="M166" s="2">
        <f>_xll.BDP(A166,"CHG_PCT_6M")</f>
        <v>7.032718</v>
      </c>
      <c r="N166" s="2">
        <f>_xll.BDP(A166,"PR064")</f>
        <v>6.5554439999999996</v>
      </c>
      <c r="O166" s="2">
        <f>_xll.BDP(A166,"CHG_PCT_1YR")</f>
        <v>-0.97496070000000001</v>
      </c>
      <c r="P166" s="2">
        <f>_xll.BDP(A166,"INTERVAL_HIGH", "MARKET_DATA_OVERRIDE=PE_RATIO", "CALC_INTERVAL=5y", "BEST_FPERIOD_OVERRIDE=BF")</f>
        <v>28.584608740116103</v>
      </c>
      <c r="Q166" s="2">
        <f>_xll.BDP(A166,"INTERVAL_Low", "MARKET_DATA_OVERRIDE=PE_RATIO", "CALC_INTERVAL=5y", "BEST_FPERIOD_OVERRIDE=BF")</f>
        <v>7.3054401381743972</v>
      </c>
      <c r="R166" s="2">
        <f>_xll.BDP(A166,"PE_RATIO")</f>
        <v>11.764139408076883</v>
      </c>
      <c r="S166" s="3">
        <f>IF(ISERROR((R166-Q166)/(P166-Q166)),"",(R166-Q166)/(P166-Q166))</f>
        <v>0.20953352799204913</v>
      </c>
    </row>
    <row r="167" spans="1:19" x14ac:dyDescent="0.25">
      <c r="A167" t="s">
        <v>65</v>
      </c>
      <c r="B167" t="str">
        <f>_xll.BDP(A167,"DS697")</f>
        <v>智利加權綜合指數</v>
      </c>
      <c r="C167" t="str">
        <f>_xll.BDP(A167,"DS003")</f>
        <v>CL</v>
      </c>
      <c r="D167" s="2">
        <f>_xll.BDP(A167,"PX_LAST")</f>
        <v>25287.35</v>
      </c>
      <c r="E167" s="2">
        <f>_xll.BDP(A167,"CHG_PCT_1D")</f>
        <v>0.34889680000000001</v>
      </c>
      <c r="F167" s="2">
        <f>_xll.BDP(A167,"HIGH_52WEEK")</f>
        <v>27779.1</v>
      </c>
      <c r="G167" s="2">
        <f>LN(F167/D167)*100</f>
        <v>9.3979668701390704</v>
      </c>
      <c r="H167" s="2">
        <f>_xll.BDP(A167,"LOW_52WEEK")</f>
        <v>23347.49</v>
      </c>
      <c r="I167" s="2">
        <f>LN(H167/D167)*100</f>
        <v>-7.9814787001530396</v>
      </c>
      <c r="J167" s="2">
        <f>_xll.BDP(A167,"CHG_PCT_5D")</f>
        <v>-0.7543107</v>
      </c>
      <c r="K167" s="2">
        <f>_xll.BDP(A167,"CHG_PCT_1M")</f>
        <v>7.9382869999999999</v>
      </c>
      <c r="L167" s="2">
        <f>_xll.BDP(A167,"CHG_PCT_3M")</f>
        <v>-1.9957119999999999</v>
      </c>
      <c r="M167" s="2">
        <f>_xll.BDP(A167,"CHG_PCT_6M")</f>
        <v>-3.6619570000000001</v>
      </c>
      <c r="N167" s="2">
        <f>_xll.BDP(A167,"PR064")</f>
        <v>-1.9957119999999999</v>
      </c>
      <c r="O167" s="2">
        <f>_xll.BDP(A167,"CHG_PCT_1YR")</f>
        <v>-6.4418369999999996</v>
      </c>
      <c r="P167" s="2">
        <f>_xll.BDP(A167,"INTERVAL_HIGH", "MARKET_DATA_OVERRIDE=PE_RATIO", "CALC_INTERVAL=5y", "BEST_FPERIOD_OVERRIDE=BF")</f>
        <v>24.079423528324629</v>
      </c>
      <c r="Q167" s="2">
        <f>_xll.BDP(A167,"INTERVAL_Low", "MARKET_DATA_OVERRIDE=PE_RATIO", "CALC_INTERVAL=5y", "BEST_FPERIOD_OVERRIDE=BF")</f>
        <v>15.499734293030055</v>
      </c>
      <c r="R167" s="2">
        <f>_xll.BDP(A167,"PE_RATIO")</f>
        <v>16.770730270242428</v>
      </c>
      <c r="S167" s="3">
        <f>IF(ISERROR((R167-Q167)/(P167-Q167)),"",(R167-Q167)/(P167-Q167))</f>
        <v>0.14814009486309027</v>
      </c>
    </row>
    <row r="168" spans="1:19" x14ac:dyDescent="0.25">
      <c r="A168" t="s">
        <v>42</v>
      </c>
      <c r="B168" t="str">
        <f>_xll.BDP(A168,"DS697")</f>
        <v>費城半導體指數</v>
      </c>
      <c r="C168" t="str">
        <f>_xll.BDP(A168,"DS003")</f>
        <v>US</v>
      </c>
      <c r="D168" s="2">
        <f>_xll.BDP(A168,"PX_LAST")</f>
        <v>1580.095</v>
      </c>
      <c r="E168" s="2">
        <f>_xll.BDP(A168,"CHG_PCT_1D")</f>
        <v>3.361687E-2</v>
      </c>
      <c r="F168" s="2">
        <f>_xll.BDP(A168,"HIGH_52WEEK")</f>
        <v>1625.1579999999999</v>
      </c>
      <c r="G168" s="2">
        <f>LN(F168/D168)*100</f>
        <v>2.8120070010703291</v>
      </c>
      <c r="H168" s="2">
        <f>_xll.BDP(A168,"LOW_52WEEK")</f>
        <v>1066.3869999999999</v>
      </c>
      <c r="I168" s="2">
        <f>LN(H168/D168)*100</f>
        <v>-39.320867255320387</v>
      </c>
      <c r="J168" s="2">
        <f>_xll.BDP(A168,"CHG_PCT_5D")</f>
        <v>-0.75216209999999994</v>
      </c>
      <c r="K168" s="2">
        <f>_xll.BDP(A168,"CHG_PCT_1M")</f>
        <v>8.6635419999999996</v>
      </c>
      <c r="L168" s="2">
        <f>_xll.BDP(A168,"CHG_PCT_3M")</f>
        <v>8.4561910000000005</v>
      </c>
      <c r="M168" s="2">
        <f>_xll.BDP(A168,"CHG_PCT_6M")</f>
        <v>14.79227</v>
      </c>
      <c r="N168" s="2">
        <f>_xll.BDP(A168,"PR064")</f>
        <v>8.4561910000000005</v>
      </c>
      <c r="O168" s="2">
        <f>_xll.BDP(A168,"CHG_PCT_1YR")</f>
        <v>16.3657</v>
      </c>
      <c r="P168" s="2">
        <f>_xll.BDP(A168,"INTERVAL_HIGH", "MARKET_DATA_OVERRIDE=PE_RATIO", "CALC_INTERVAL=5y", "BEST_FPERIOD_OVERRIDE=BF")</f>
        <v>32.61778451343072</v>
      </c>
      <c r="Q168" s="2">
        <f>_xll.BDP(A168,"INTERVAL_Low", "MARKET_DATA_OVERRIDE=PE_RATIO", "CALC_INTERVAL=5y", "BEST_FPERIOD_OVERRIDE=BF")</f>
        <v>12.544385727963709</v>
      </c>
      <c r="R168" s="2">
        <f>_xll.BDP(A168,"PE_RATIO")</f>
        <v>19.446993812328394</v>
      </c>
      <c r="S168" s="3">
        <f>IF(ISERROR((R168-Q168)/(P168-Q168)),"",(R168-Q168)/(P168-Q168))</f>
        <v>0.34386842796956341</v>
      </c>
    </row>
    <row r="169" spans="1:19" x14ac:dyDescent="0.25">
      <c r="A169" t="s">
        <v>120</v>
      </c>
      <c r="B169" t="str">
        <f>_xll.BDP(A169,"DS697")</f>
        <v>法國巴黎SBF120指數</v>
      </c>
      <c r="C169" t="str">
        <f>_xll.BDP(A169,"DS003")</f>
        <v>FR</v>
      </c>
      <c r="D169" s="2">
        <f>_xll.BDP(A169,"PX_LAST")</f>
        <v>4431.12</v>
      </c>
      <c r="E169" s="2">
        <f>_xll.BDP(A169,"CHG_PCT_1D")</f>
        <v>0.63751259999999998</v>
      </c>
      <c r="F169" s="2">
        <f>_xll.BDP(A169,"HIGH_52WEEK")</f>
        <v>4490.4399999999996</v>
      </c>
      <c r="G169" s="2">
        <f>LN(F169/D169)*100</f>
        <v>1.3298318725109706</v>
      </c>
      <c r="H169" s="2">
        <f>_xll.BDP(A169,"LOW_52WEEK")</f>
        <v>3617.11</v>
      </c>
      <c r="I169" s="2">
        <f>LN(H169/D169)*100</f>
        <v>-20.297700932233344</v>
      </c>
      <c r="J169" s="2">
        <f>_xll.BDP(A169,"CHG_PCT_5D")</f>
        <v>-0.75212650000000003</v>
      </c>
      <c r="K169" s="2">
        <f>_xll.BDP(A169,"CHG_PCT_1M")</f>
        <v>4.0916759999999996</v>
      </c>
      <c r="L169" s="2">
        <f>_xll.BDP(A169,"CHG_PCT_3M")</f>
        <v>2.3384070000000001</v>
      </c>
      <c r="M169" s="2">
        <f>_xll.BDP(A169,"CHG_PCT_6M")</f>
        <v>5.758699</v>
      </c>
      <c r="N169" s="2">
        <f>_xll.BDP(A169,"PR064")</f>
        <v>2.3384070000000001</v>
      </c>
      <c r="O169" s="2">
        <f>_xll.BDP(A169,"CHG_PCT_1YR")</f>
        <v>0.1174941</v>
      </c>
      <c r="P169" s="2">
        <f>_xll.BDP(A169,"INTERVAL_HIGH", "MARKET_DATA_OVERRIDE=PE_RATIO", "CALC_INTERVAL=5y", "BEST_FPERIOD_OVERRIDE=BF")</f>
        <v>30.221444672005926</v>
      </c>
      <c r="Q169" s="2">
        <f>_xll.BDP(A169,"INTERVAL_Low", "MARKET_DATA_OVERRIDE=PE_RATIO", "CALC_INTERVAL=5y", "BEST_FPERIOD_OVERRIDE=BF")</f>
        <v>14.264709824543489</v>
      </c>
      <c r="R169" s="2">
        <f>_xll.BDP(A169,"PE_RATIO")</f>
        <v>19.572739592229389</v>
      </c>
      <c r="S169" s="3">
        <f>IF(ISERROR((R169-Q169)/(P169-Q169)),"",(R169-Q169)/(P169-Q169))</f>
        <v>0.33265137375708315</v>
      </c>
    </row>
    <row r="170" spans="1:19" x14ac:dyDescent="0.25">
      <c r="A170" t="s">
        <v>0</v>
      </c>
      <c r="B170" t="str">
        <f>_xll.BDP(A170,"DS697")</f>
        <v>道瓊工業平均指數</v>
      </c>
      <c r="C170" t="str">
        <f>_xll.BDP(A170,"DS003")</f>
        <v>US</v>
      </c>
      <c r="D170" s="2">
        <f>_xll.BDP(A170,"PX_LAST")</f>
        <v>26891.119999999999</v>
      </c>
      <c r="E170" s="2">
        <f>_xll.BDP(A170,"CHG_PCT_1D")</f>
        <v>-0.29509790000000002</v>
      </c>
      <c r="F170" s="2">
        <f>_xll.BDP(A170,"HIGH_52WEEK")</f>
        <v>27398.6796875</v>
      </c>
      <c r="G170" s="2">
        <f>LN(F170/D170)*100</f>
        <v>1.8698705060595815</v>
      </c>
      <c r="H170" s="2">
        <f>_xll.BDP(A170,"LOW_52WEEK")</f>
        <v>21712.53</v>
      </c>
      <c r="I170" s="2">
        <f>LN(H170/D170)*100</f>
        <v>-21.390660732598437</v>
      </c>
      <c r="J170" s="2">
        <f>_xll.BDP(A170,"CHG_PCT_5D")</f>
        <v>-0.75169090000000005</v>
      </c>
      <c r="K170" s="2">
        <f>_xll.BDP(A170,"CHG_PCT_1M")</f>
        <v>4.3185010000000004</v>
      </c>
      <c r="L170" s="2">
        <f>_xll.BDP(A170,"CHG_PCT_3M")</f>
        <v>1.374241</v>
      </c>
      <c r="M170" s="2">
        <f>_xll.BDP(A170,"CHG_PCT_6M")</f>
        <v>4.9385370000000002</v>
      </c>
      <c r="N170" s="2">
        <f>_xll.BDP(A170,"PR064")</f>
        <v>1.374241</v>
      </c>
      <c r="O170" s="2">
        <f>_xll.BDP(A170,"CHG_PCT_1YR")</f>
        <v>1.7064699999999999</v>
      </c>
      <c r="P170" s="2">
        <f>_xll.BDP(A170,"INTERVAL_HIGH", "MARKET_DATA_OVERRIDE=PE_RATIO", "CALC_INTERVAL=5y", "BEST_FPERIOD_OVERRIDE=BF")</f>
        <v>21.53939669265576</v>
      </c>
      <c r="Q170" s="2">
        <f>_xll.BDP(A170,"INTERVAL_Low", "MARKET_DATA_OVERRIDE=PE_RATIO", "CALC_INTERVAL=5y", "BEST_FPERIOD_OVERRIDE=BF")</f>
        <v>13.787372754642526</v>
      </c>
      <c r="R170" s="2">
        <f>_xll.BDP(A170,"PE_RATIO")</f>
        <v>17.937204058289012</v>
      </c>
      <c r="S170" s="3">
        <f>IF(ISERROR((R170-Q170)/(P170-Q170)),"",(R170-Q170)/(P170-Q170))</f>
        <v>0.5353223025147219</v>
      </c>
    </row>
    <row r="171" spans="1:19" x14ac:dyDescent="0.25">
      <c r="A171" t="s">
        <v>177</v>
      </c>
      <c r="B171" t="str">
        <f>_xll.BDP(A171,"DS697")</f>
        <v>莫斯科交易所藍籌股指數</v>
      </c>
      <c r="C171" t="str">
        <f>_xll.BDP(A171,"DS003")</f>
        <v>RU</v>
      </c>
      <c r="D171" s="2">
        <f>_xll.BDP(A171,"PX_LAST")</f>
        <v>18790.919999999998</v>
      </c>
      <c r="E171" s="2">
        <f>_xll.BDP(A171,"CHG_PCT_1D")</f>
        <v>0.50243409999999999</v>
      </c>
      <c r="F171" s="2">
        <f>_xll.BDP(A171,"HIGH_52WEEK")</f>
        <v>19361.990000000002</v>
      </c>
      <c r="G171" s="2">
        <f>LN(F171/D171)*100</f>
        <v>2.9938091381468501</v>
      </c>
      <c r="H171" s="2">
        <f>_xll.BDP(A171,"LOW_52WEEK")</f>
        <v>15019.42</v>
      </c>
      <c r="I171" s="2">
        <f>LN(H171/D171)*100</f>
        <v>-22.402974403006422</v>
      </c>
      <c r="J171" s="2">
        <f>_xll.BDP(A171,"CHG_PCT_5D")</f>
        <v>-0.72584689999999996</v>
      </c>
      <c r="K171" s="2">
        <f>_xll.BDP(A171,"CHG_PCT_1M")</f>
        <v>4.5458270000000001</v>
      </c>
      <c r="L171" s="2">
        <f>_xll.BDP(A171,"CHG_PCT_3M")</f>
        <v>-0.3280148</v>
      </c>
      <c r="M171" s="2">
        <f>_xll.BDP(A171,"CHG_PCT_6M")</f>
        <v>12.695589999999999</v>
      </c>
      <c r="N171" s="2">
        <f>_xll.BDP(A171,"PR064")</f>
        <v>-0.3280148</v>
      </c>
      <c r="O171" s="2">
        <f>_xll.BDP(A171,"CHG_PCT_1YR")</f>
        <v>13.43099</v>
      </c>
      <c r="P171" s="2">
        <f>_xll.BDP(A171,"INTERVAL_HIGH", "MARKET_DATA_OVERRIDE=PE_RATIO", "CALC_INTERVAL=5y", "BEST_FPERIOD_OVERRIDE=BF")</f>
        <v>10.974592873661361</v>
      </c>
      <c r="Q171" s="2">
        <f>_xll.BDP(A171,"INTERVAL_Low", "MARKET_DATA_OVERRIDE=PE_RATIO", "CALC_INTERVAL=5y", "BEST_FPERIOD_OVERRIDE=BF")</f>
        <v>4.6373405654013595</v>
      </c>
      <c r="R171" s="2">
        <f>_xll.BDP(A171,"PE_RATIO")</f>
        <v>5.6222633241230744</v>
      </c>
      <c r="S171" s="3">
        <f>IF(ISERROR((R171-Q171)/(P171-Q171)),"",(R171-Q171)/(P171-Q171))</f>
        <v>0.15541794942233281</v>
      </c>
    </row>
    <row r="172" spans="1:19" x14ac:dyDescent="0.25">
      <c r="A172" t="s">
        <v>115</v>
      </c>
      <c r="B172" t="str">
        <f>_xll.BDP(A172,"DS697")</f>
        <v>法國CAC 20次要指數</v>
      </c>
      <c r="C172" t="str">
        <f>_xll.BDP(A172,"DS003")</f>
        <v>FR</v>
      </c>
      <c r="D172" s="2">
        <f>_xll.BDP(A172,"PX_LAST")</f>
        <v>11843.44</v>
      </c>
      <c r="E172" s="2">
        <f>_xll.BDP(A172,"CHG_PCT_1D")</f>
        <v>0.80123920000000004</v>
      </c>
      <c r="F172" s="2">
        <f>_xll.BDP(A172,"HIGH_52WEEK")</f>
        <v>12460.88</v>
      </c>
      <c r="G172" s="2">
        <f>LN(F172/D172)*100</f>
        <v>5.0820009070947787</v>
      </c>
      <c r="H172" s="2">
        <f>_xll.BDP(A172,"LOW_52WEEK")</f>
        <v>10007.299999999999</v>
      </c>
      <c r="I172" s="2">
        <f>LN(H172/D172)*100</f>
        <v>-16.845930112402385</v>
      </c>
      <c r="J172" s="2">
        <f>_xll.BDP(A172,"CHG_PCT_5D")</f>
        <v>-0.71091990000000005</v>
      </c>
      <c r="K172" s="2">
        <f>_xll.BDP(A172,"CHG_PCT_1M")</f>
        <v>3.6230479999999998</v>
      </c>
      <c r="L172" s="2">
        <f>_xll.BDP(A172,"CHG_PCT_3M")</f>
        <v>5.36259</v>
      </c>
      <c r="M172" s="2">
        <f>_xll.BDP(A172,"CHG_PCT_6M")</f>
        <v>5.7209349999999999</v>
      </c>
      <c r="N172" s="2">
        <f>_xll.BDP(A172,"PR064")</f>
        <v>5.36259</v>
      </c>
      <c r="O172" s="2">
        <f>_xll.BDP(A172,"CHG_PCT_1YR")</f>
        <v>-4.4096010000000003</v>
      </c>
      <c r="P172" s="2">
        <f>_xll.BDP(A172,"INTERVAL_HIGH", "MARKET_DATA_OVERRIDE=PE_RATIO", "CALC_INTERVAL=5y", "BEST_FPERIOD_OVERRIDE=BF")</f>
        <v>126.97133365152253</v>
      </c>
      <c r="Q172" s="2">
        <f>_xll.BDP(A172,"INTERVAL_Low", "MARKET_DATA_OVERRIDE=PE_RATIO", "CALC_INTERVAL=5y", "BEST_FPERIOD_OVERRIDE=BF")</f>
        <v>13.843315463582515</v>
      </c>
      <c r="R172" s="2">
        <f>_xll.BDP(A172,"PE_RATIO")</f>
        <v>18.087404827756533</v>
      </c>
      <c r="S172" s="3">
        <f>IF(ISERROR((R172-Q172)/(P172-Q172)),"",(R172-Q172)/(P172-Q172))</f>
        <v>3.75158111328645E-2</v>
      </c>
    </row>
    <row r="173" spans="1:19" x14ac:dyDescent="0.25">
      <c r="A173" t="s">
        <v>113</v>
      </c>
      <c r="B173" t="str">
        <f>_xll.BDP(A173,"DS697")</f>
        <v>法國CAC40指數</v>
      </c>
      <c r="C173" t="str">
        <f>_xll.BDP(A173,"DS003")</f>
        <v>FR</v>
      </c>
      <c r="D173" s="2">
        <f>_xll.BDP(A173,"PX_LAST")</f>
        <v>5620.57</v>
      </c>
      <c r="E173" s="2">
        <f>_xll.BDP(A173,"CHG_PCT_1D")</f>
        <v>0.65851210000000004</v>
      </c>
      <c r="F173" s="2">
        <f>_xll.BDP(A173,"HIGH_52WEEK")</f>
        <v>5696.25</v>
      </c>
      <c r="G173" s="2">
        <f>LN(F173/D173)*100</f>
        <v>1.3374981345825341</v>
      </c>
      <c r="H173" s="2">
        <f>_xll.BDP(A173,"LOW_52WEEK")</f>
        <v>4555.99</v>
      </c>
      <c r="I173" s="2">
        <f>LN(H173/D173)*100</f>
        <v>-20.999023157541703</v>
      </c>
      <c r="J173" s="2">
        <f>_xll.BDP(A173,"CHG_PCT_5D")</f>
        <v>-0.68050069999999996</v>
      </c>
      <c r="K173" s="2">
        <f>_xll.BDP(A173,"CHG_PCT_1M")</f>
        <v>4.3340649999999998</v>
      </c>
      <c r="L173" s="2">
        <f>_xll.BDP(A173,"CHG_PCT_3M")</f>
        <v>2.311048</v>
      </c>
      <c r="M173" s="2">
        <f>_xll.BDP(A173,"CHG_PCT_6M")</f>
        <v>6.0236770000000002</v>
      </c>
      <c r="N173" s="2">
        <f>_xll.BDP(A173,"PR064")</f>
        <v>2.311048</v>
      </c>
      <c r="O173" s="2">
        <f>_xll.BDP(A173,"CHG_PCT_1YR")</f>
        <v>1.4468179999999999</v>
      </c>
      <c r="P173" s="2">
        <f>_xll.BDP(A173,"INTERVAL_HIGH", "MARKET_DATA_OVERRIDE=PE_RATIO", "CALC_INTERVAL=5y", "BEST_FPERIOD_OVERRIDE=BF")</f>
        <v>27.588631760613087</v>
      </c>
      <c r="Q173" s="2">
        <f>_xll.BDP(A173,"INTERVAL_Low", "MARKET_DATA_OVERRIDE=PE_RATIO", "CALC_INTERVAL=5y", "BEST_FPERIOD_OVERRIDE=BF")</f>
        <v>14.152589698235843</v>
      </c>
      <c r="R173" s="2">
        <f>_xll.BDP(A173,"PE_RATIO")</f>
        <v>19.27523996747626</v>
      </c>
      <c r="S173" s="3">
        <f>IF(ISERROR((R173-Q173)/(P173-Q173)),"",(R173-Q173)/(P173-Q173))</f>
        <v>0.3812618511804558</v>
      </c>
    </row>
    <row r="174" spans="1:19" x14ac:dyDescent="0.25">
      <c r="A174" t="s">
        <v>255</v>
      </c>
      <c r="B174" t="str">
        <f>_xll.BDP(A174,"DS697")</f>
        <v>斯里蘭卡可倫坡證交所指數</v>
      </c>
      <c r="C174" t="str">
        <f>_xll.BDP(A174,"DS003")</f>
        <v>SL</v>
      </c>
      <c r="D174" s="2">
        <f>_xll.BDP(A174,"PX_LAST")</f>
        <v>5772.76</v>
      </c>
      <c r="E174" s="2">
        <f>_xll.BDP(A174,"CHG_PCT_1D")</f>
        <v>0.17978620000000001</v>
      </c>
      <c r="F174" s="2">
        <f>_xll.BDP(A174,"HIGH_52WEEK")</f>
        <v>6168.02</v>
      </c>
      <c r="G174" s="2">
        <f>LN(F174/D174)*100</f>
        <v>6.6227576422380725</v>
      </c>
      <c r="H174" s="2">
        <f>_xll.BDP(A174,"LOW_52WEEK")</f>
        <v>5192.63</v>
      </c>
      <c r="I174" s="2">
        <f>LN(H174/D174)*100</f>
        <v>-10.590998981103784</v>
      </c>
      <c r="J174" s="2">
        <f>_xll.BDP(A174,"CHG_PCT_5D")</f>
        <v>-0.65874679999999997</v>
      </c>
      <c r="K174" s="2">
        <f>_xll.BDP(A174,"CHG_PCT_1M")</f>
        <v>-2.3044850000000001</v>
      </c>
      <c r="L174" s="2">
        <f>_xll.BDP(A174,"CHG_PCT_3M")</f>
        <v>8.0003650000000004</v>
      </c>
      <c r="M174" s="2">
        <f>_xll.BDP(A174,"CHG_PCT_6M")</f>
        <v>4.7351349999999996</v>
      </c>
      <c r="N174" s="2">
        <f>_xll.BDP(A174,"PR064")</f>
        <v>8.0003650000000004</v>
      </c>
      <c r="O174" s="2">
        <f>_xll.BDP(A174,"CHG_PCT_1YR")</f>
        <v>-1.6450020000000001</v>
      </c>
      <c r="P174" s="2">
        <f>_xll.BDP(A174,"INTERVAL_HIGH", "MARKET_DATA_OVERRIDE=PE_RATIO", "CALC_INTERVAL=5y", "BEST_FPERIOD_OVERRIDE=BF")</f>
        <v>17.755833470501756</v>
      </c>
      <c r="Q174" s="2">
        <f>_xll.BDP(A174,"INTERVAL_Low", "MARKET_DATA_OVERRIDE=PE_RATIO", "CALC_INTERVAL=5y", "BEST_FPERIOD_OVERRIDE=BF")</f>
        <v>8.0044350781694984</v>
      </c>
      <c r="R174" s="2">
        <f>_xll.BDP(A174,"PE_RATIO")</f>
        <v>10.554487657717509</v>
      </c>
      <c r="S174" s="3">
        <f>IF(ISERROR((R174-Q174)/(P174-Q174)),"",(R174-Q174)/(P174-Q174))</f>
        <v>0.26150634780270837</v>
      </c>
    </row>
    <row r="175" spans="1:19" x14ac:dyDescent="0.25">
      <c r="A175" t="s">
        <v>7</v>
      </c>
      <c r="B175" t="str">
        <f>_xll.BDP(A175,"DS697")</f>
        <v>標準普爾中型股400指數</v>
      </c>
      <c r="C175" t="str">
        <f>_xll.BDP(A175,"DS003")</f>
        <v>US</v>
      </c>
      <c r="D175" s="2">
        <f>_xll.BDP(A175,"PX_LAST")</f>
        <v>1936.97</v>
      </c>
      <c r="E175" s="2">
        <f>_xll.BDP(A175,"CHG_PCT_1D")</f>
        <v>-0.53711819999999999</v>
      </c>
      <c r="F175" s="2">
        <f>_xll.BDP(A175,"HIGH_52WEEK")</f>
        <v>2029.21</v>
      </c>
      <c r="G175" s="2">
        <f>LN(F175/D175)*100</f>
        <v>4.6521658311634626</v>
      </c>
      <c r="H175" s="2">
        <f>_xll.BDP(A175,"LOW_52WEEK")</f>
        <v>1565.76</v>
      </c>
      <c r="I175" s="2">
        <f>LN(H175/D175)*100</f>
        <v>-21.275356731846202</v>
      </c>
      <c r="J175" s="2">
        <f>_xll.BDP(A175,"CHG_PCT_5D")</f>
        <v>-0.65088449999999998</v>
      </c>
      <c r="K175" s="2">
        <f>_xll.BDP(A175,"CHG_PCT_1M")</f>
        <v>5.6934550000000002</v>
      </c>
      <c r="L175" s="2">
        <f>_xll.BDP(A175,"CHG_PCT_3M")</f>
        <v>0.7631443</v>
      </c>
      <c r="M175" s="2">
        <f>_xll.BDP(A175,"CHG_PCT_6M")</f>
        <v>3.318289</v>
      </c>
      <c r="N175" s="2">
        <f>_xll.BDP(A175,"PR064")</f>
        <v>0.7631443</v>
      </c>
      <c r="O175" s="2">
        <f>_xll.BDP(A175,"CHG_PCT_1YR")</f>
        <v>-3.7621280000000001</v>
      </c>
      <c r="P175" s="2">
        <f>_xll.BDP(A175,"INTERVAL_HIGH", "MARKET_DATA_OVERRIDE=PE_RATIO", "CALC_INTERVAL=5y", "BEST_FPERIOD_OVERRIDE=BF")</f>
        <v>26.283905931412235</v>
      </c>
      <c r="Q175" s="2">
        <f>_xll.BDP(A175,"INTERVAL_Low", "MARKET_DATA_OVERRIDE=PE_RATIO", "CALC_INTERVAL=5y", "BEST_FPERIOD_OVERRIDE=BF")</f>
        <v>15.944706354438514</v>
      </c>
      <c r="R175" s="2">
        <f>_xll.BDP(A175,"PE_RATIO")</f>
        <v>19.743106006712708</v>
      </c>
      <c r="S175" s="3">
        <f>IF(ISERROR((R175-Q175)/(P175-Q175)),"",(R175-Q175)/(P175-Q175))</f>
        <v>0.36737850198129007</v>
      </c>
    </row>
    <row r="176" spans="1:19" x14ac:dyDescent="0.25">
      <c r="A176" t="s">
        <v>186</v>
      </c>
      <c r="B176" t="str">
        <f>_xll.BDP(A176,"DS697")</f>
        <v>盧布亞那證交所斯洛維尼亞藍籌</v>
      </c>
      <c r="C176" t="str">
        <f>_xll.BDP(A176,"DS003")</f>
        <v>SV</v>
      </c>
      <c r="D176" s="2">
        <f>_xll.BDP(A176,"PX_LAST")</f>
        <v>856.41</v>
      </c>
      <c r="E176" s="2">
        <f>_xll.BDP(A176,"CHG_PCT_1D")</f>
        <v>-7.4674760000000007E-2</v>
      </c>
      <c r="F176" s="2">
        <f>_xll.BDP(A176,"HIGH_52WEEK")</f>
        <v>894.94</v>
      </c>
      <c r="G176" s="2">
        <f>LN(F176/D176)*100</f>
        <v>4.400744348758594</v>
      </c>
      <c r="H176" s="2">
        <f>_xll.BDP(A176,"LOW_52WEEK")</f>
        <v>783.67</v>
      </c>
      <c r="I176" s="2">
        <f>LN(H176/D176)*100</f>
        <v>-8.8761220061844224</v>
      </c>
      <c r="J176" s="2">
        <f>_xll.BDP(A176,"CHG_PCT_5D")</f>
        <v>-0.63696770000000003</v>
      </c>
      <c r="K176" s="2">
        <f>_xll.BDP(A176,"CHG_PCT_1M")</f>
        <v>0.2645845</v>
      </c>
      <c r="L176" s="2">
        <f>_xll.BDP(A176,"CHG_PCT_3M")</f>
        <v>-3.0486620000000002</v>
      </c>
      <c r="M176" s="2">
        <f>_xll.BDP(A176,"CHG_PCT_6M")</f>
        <v>-1.821623</v>
      </c>
      <c r="N176" s="2">
        <f>_xll.BDP(A176,"PR064")</f>
        <v>-3.0486620000000002</v>
      </c>
      <c r="O176" s="2">
        <f>_xll.BDP(A176,"CHG_PCT_1YR")</f>
        <v>2.5702090000000002</v>
      </c>
      <c r="P176" s="2">
        <f>_xll.BDP(A176,"INTERVAL_HIGH", "MARKET_DATA_OVERRIDE=PE_RATIO", "CALC_INTERVAL=5y", "BEST_FPERIOD_OVERRIDE=BF")</f>
        <v>13.503542335879237</v>
      </c>
      <c r="Q176" s="2">
        <f>_xll.BDP(A176,"INTERVAL_Low", "MARKET_DATA_OVERRIDE=PE_RATIO", "CALC_INTERVAL=5y", "BEST_FPERIOD_OVERRIDE=BF")</f>
        <v>7.0690609042541013</v>
      </c>
      <c r="R176" s="2">
        <f>_xll.BDP(A176,"PE_RATIO")</f>
        <v>7.1430427460795425</v>
      </c>
      <c r="S176" s="3">
        <f>IF(ISERROR((R176-Q176)/(P176-Q176)),"",(R176-Q176)/(P176-Q176))</f>
        <v>1.1497716266896718E-2</v>
      </c>
    </row>
    <row r="177" spans="1:19" x14ac:dyDescent="0.25">
      <c r="A177" t="s">
        <v>254</v>
      </c>
      <c r="B177" t="str">
        <f>_xll.BDP(A177,"DS697")</f>
        <v>越南證交所指數</v>
      </c>
      <c r="C177" t="str">
        <f>_xll.BDP(A177,"DS003")</f>
        <v>VN</v>
      </c>
      <c r="D177" s="2">
        <f>_xll.BDP(A177,"PX_LAST")</f>
        <v>990.75</v>
      </c>
      <c r="E177" s="2">
        <f>_xll.BDP(A177,"CHG_PCT_1D")</f>
        <v>0.34943790000000002</v>
      </c>
      <c r="F177" s="2">
        <f>_xll.BDP(A177,"HIGH_52WEEK")</f>
        <v>1024.68</v>
      </c>
      <c r="G177" s="2">
        <f>LN(F177/D177)*100</f>
        <v>3.3673415636970785</v>
      </c>
      <c r="H177" s="2">
        <f>_xll.BDP(A177,"LOW_52WEEK")</f>
        <v>861.85</v>
      </c>
      <c r="I177" s="2">
        <f>LN(H177/D177)*100</f>
        <v>-13.938099047014404</v>
      </c>
      <c r="J177" s="2">
        <f>_xll.BDP(A177,"CHG_PCT_5D")</f>
        <v>-0.63684439999999998</v>
      </c>
      <c r="K177" s="2">
        <f>_xll.BDP(A177,"CHG_PCT_1M")</f>
        <v>1.429173</v>
      </c>
      <c r="L177" s="2">
        <f>_xll.BDP(A177,"CHG_PCT_3M")</f>
        <v>5.051374</v>
      </c>
      <c r="M177" s="2">
        <f>_xll.BDP(A177,"CHG_PCT_6M")</f>
        <v>1.520635</v>
      </c>
      <c r="N177" s="2">
        <f>_xll.BDP(A177,"PR064")</f>
        <v>5.051374</v>
      </c>
      <c r="O177" s="2">
        <f>_xll.BDP(A177,"CHG_PCT_1YR")</f>
        <v>-2.424731</v>
      </c>
      <c r="P177" s="2">
        <f>_xll.BDP(A177,"INTERVAL_HIGH", "MARKET_DATA_OVERRIDE=PE_RATIO", "CALC_INTERVAL=5y", "BEST_FPERIOD_OVERRIDE=BF")</f>
        <v>21.970492664942515</v>
      </c>
      <c r="Q177" s="2">
        <f>_xll.BDP(A177,"INTERVAL_Low", "MARKET_DATA_OVERRIDE=PE_RATIO", "CALC_INTERVAL=5y", "BEST_FPERIOD_OVERRIDE=BF")</f>
        <v>10.794602637223873</v>
      </c>
      <c r="R177" s="2">
        <f>_xll.BDP(A177,"PE_RATIO")</f>
        <v>16.902094114442608</v>
      </c>
      <c r="S177" s="3">
        <f>IF(ISERROR((R177-Q177)/(P177-Q177)),"",(R177-Q177)/(P177-Q177))</f>
        <v>0.54648815101712933</v>
      </c>
    </row>
    <row r="178" spans="1:19" x14ac:dyDescent="0.25">
      <c r="A178" t="s">
        <v>10</v>
      </c>
      <c r="B178" t="str">
        <f>_xll.BDP(A178,"DS697")</f>
        <v>紐約證交所綜合指數</v>
      </c>
      <c r="C178" t="str">
        <f>_xll.BDP(A178,"DS003")</f>
        <v>US</v>
      </c>
      <c r="D178" s="2">
        <f>_xll.BDP(A178,"PX_LAST")</f>
        <v>13028.74</v>
      </c>
      <c r="E178" s="2">
        <f>_xll.BDP(A178,"CHG_PCT_1D")</f>
        <v>-6.8033940000000001E-2</v>
      </c>
      <c r="F178" s="2">
        <f>_xll.BDP(A178,"HIGH_52WEEK")</f>
        <v>13255.13</v>
      </c>
      <c r="G178" s="2">
        <f>LN(F178/D178)*100</f>
        <v>1.7226960774899751</v>
      </c>
      <c r="H178" s="2">
        <f>_xll.BDP(A178,"LOW_52WEEK")</f>
        <v>10723.66015625</v>
      </c>
      <c r="I178" s="2">
        <f>LN(H178/D178)*100</f>
        <v>-19.470515668390437</v>
      </c>
      <c r="J178" s="2">
        <f>_xll.BDP(A178,"CHG_PCT_5D")</f>
        <v>-0.62933649999999997</v>
      </c>
      <c r="K178" s="2">
        <f>_xll.BDP(A178,"CHG_PCT_1M")</f>
        <v>4.4467549999999996</v>
      </c>
      <c r="L178" s="2">
        <f>_xll.BDP(A178,"CHG_PCT_3M")</f>
        <v>0.48907469999999997</v>
      </c>
      <c r="M178" s="2">
        <f>_xll.BDP(A178,"CHG_PCT_6M")</f>
        <v>3.4706980000000001</v>
      </c>
      <c r="N178" s="2">
        <f>_xll.BDP(A178,"PR064")</f>
        <v>0.48907469999999997</v>
      </c>
      <c r="O178" s="2">
        <f>_xll.BDP(A178,"CHG_PCT_1YR")</f>
        <v>-0.58737329999999999</v>
      </c>
      <c r="P178" s="2">
        <f>_xll.BDP(A178,"INTERVAL_HIGH", "MARKET_DATA_OVERRIDE=PE_RATIO", "CALC_INTERVAL=5y", "BEST_FPERIOD_OVERRIDE=BF")</f>
        <v>26.756848364736573</v>
      </c>
      <c r="Q178" s="2">
        <f>_xll.BDP(A178,"INTERVAL_Low", "MARKET_DATA_OVERRIDE=PE_RATIO", "CALC_INTERVAL=5y", "BEST_FPERIOD_OVERRIDE=BF")</f>
        <v>13.763835870304352</v>
      </c>
      <c r="R178" s="2">
        <f>_xll.BDP(A178,"PE_RATIO")</f>
        <v>17.709657896101771</v>
      </c>
      <c r="S178" s="3">
        <f>IF(ISERROR((R178-Q178)/(P178-Q178)),"",(R178-Q178)/(P178-Q178))</f>
        <v>0.30368800364721321</v>
      </c>
    </row>
    <row r="179" spans="1:19" x14ac:dyDescent="0.25">
      <c r="A179" t="s">
        <v>14</v>
      </c>
      <c r="B179" t="str">
        <f>_xll.BDP(A179,"DS697")</f>
        <v>紐約證交所全球領袖指數</v>
      </c>
      <c r="C179" t="str">
        <f>_xll.BDP(A179,"DS003")</f>
        <v>US</v>
      </c>
      <c r="D179" s="2">
        <f>_xll.BDP(A179,"PX_LAST")</f>
        <v>8575.6859999999997</v>
      </c>
      <c r="E179" s="2">
        <f>_xll.BDP(A179,"CHG_PCT_1D")</f>
        <v>-6.0636179999999998E-4</v>
      </c>
      <c r="F179" s="2">
        <f>_xll.BDP(A179,"HIGH_52WEEK")</f>
        <v>8718.3619999999992</v>
      </c>
      <c r="G179" s="2">
        <f>LN(F179/D179)*100</f>
        <v>1.6500386387115964</v>
      </c>
      <c r="H179" s="2">
        <f>_xll.BDP(A179,"LOW_52WEEK")</f>
        <v>7147.6171875</v>
      </c>
      <c r="I179" s="2">
        <f>LN(H179/D179)*100</f>
        <v>-18.215194917938604</v>
      </c>
      <c r="J179" s="2">
        <f>_xll.BDP(A179,"CHG_PCT_5D")</f>
        <v>-0.61542859999999999</v>
      </c>
      <c r="K179" s="2">
        <f>_xll.BDP(A179,"CHG_PCT_1M")</f>
        <v>4.3597070000000002</v>
      </c>
      <c r="L179" s="2">
        <f>_xll.BDP(A179,"CHG_PCT_3M")</f>
        <v>0.50929349999999995</v>
      </c>
      <c r="M179" s="2">
        <f>_xll.BDP(A179,"CHG_PCT_6M")</f>
        <v>3.250785</v>
      </c>
      <c r="N179" s="2">
        <f>_xll.BDP(A179,"PR064")</f>
        <v>0.50929349999999995</v>
      </c>
      <c r="O179" s="2">
        <f>_xll.BDP(A179,"CHG_PCT_1YR")</f>
        <v>-0.67389940000000004</v>
      </c>
      <c r="P179" s="2" t="str">
        <f>_xll.BDP(A179,"INTERVAL_HIGH", "MARKET_DATA_OVERRIDE=PE_RATIO", "CALC_INTERVAL=5y", "BEST_FPERIOD_OVERRIDE=BF")</f>
        <v>#N/A N/A</v>
      </c>
      <c r="Q179" s="2" t="str">
        <f>_xll.BDP(A179,"INTERVAL_Low", "MARKET_DATA_OVERRIDE=PE_RATIO", "CALC_INTERVAL=5y", "BEST_FPERIOD_OVERRIDE=BF")</f>
        <v>#N/A N/A</v>
      </c>
      <c r="R179" s="2" t="str">
        <f>_xll.BDP(A179,"PE_RATIO")</f>
        <v>#N/A N/A</v>
      </c>
      <c r="S179" s="3" t="str">
        <f>IF(ISERROR((R179-Q179)/(P179-Q179)),"",(R179-Q179)/(P179-Q179))</f>
        <v/>
      </c>
    </row>
    <row r="180" spans="1:19" x14ac:dyDescent="0.25">
      <c r="A180" t="s">
        <v>127</v>
      </c>
      <c r="B180" t="str">
        <f>_xll.BDP(A180,"DS697")</f>
        <v>瑞士SPI中小型股指數</v>
      </c>
      <c r="C180" t="str">
        <f>_xll.BDP(A180,"DS003")</f>
        <v>SZ</v>
      </c>
      <c r="D180" s="2">
        <f>_xll.BDP(A180,"PX_LAST")</f>
        <v>285.95800000000003</v>
      </c>
      <c r="E180" s="2">
        <f>_xll.BDP(A180,"CHG_PCT_1D")</f>
        <v>0.53650779999999998</v>
      </c>
      <c r="F180" s="2">
        <f>_xll.BDP(A180,"HIGH_52WEEK")</f>
        <v>299.38</v>
      </c>
      <c r="G180" s="2">
        <f>LN(F180/D180)*100</f>
        <v>4.5868722598069409</v>
      </c>
      <c r="H180" s="2">
        <f>_xll.BDP(A180,"LOW_52WEEK")</f>
        <v>236.84200000000001</v>
      </c>
      <c r="I180" s="2">
        <f>LN(H180/D180)*100</f>
        <v>-18.845169474159277</v>
      </c>
      <c r="J180" s="2">
        <f>_xll.BDP(A180,"CHG_PCT_5D")</f>
        <v>-0.61067249999999995</v>
      </c>
      <c r="K180" s="2">
        <f>_xll.BDP(A180,"CHG_PCT_1M")</f>
        <v>2.97112</v>
      </c>
      <c r="L180" s="2">
        <f>_xll.BDP(A180,"CHG_PCT_3M")</f>
        <v>1.43916</v>
      </c>
      <c r="M180" s="2">
        <f>_xll.BDP(A180,"CHG_PCT_6M")</f>
        <v>5.6759300000000001</v>
      </c>
      <c r="N180" s="2">
        <f>_xll.BDP(A180,"PR064")</f>
        <v>1.43916</v>
      </c>
      <c r="O180" s="2">
        <f>_xll.BDP(A180,"CHG_PCT_1YR")</f>
        <v>-4.1329469999999997</v>
      </c>
      <c r="P180" s="2">
        <f>_xll.BDP(A180,"INTERVAL_HIGH", "MARKET_DATA_OVERRIDE=PE_RATIO", "CALC_INTERVAL=5y", "BEST_FPERIOD_OVERRIDE=BF")</f>
        <v>27.100586774005944</v>
      </c>
      <c r="Q180" s="2">
        <f>_xll.BDP(A180,"INTERVAL_Low", "MARKET_DATA_OVERRIDE=PE_RATIO", "CALC_INTERVAL=5y", "BEST_FPERIOD_OVERRIDE=BF")</f>
        <v>14.247644873392206</v>
      </c>
      <c r="R180" s="2">
        <f>_xll.BDP(A180,"PE_RATIO")</f>
        <v>26.657369398158792</v>
      </c>
      <c r="S180" s="3">
        <f>IF(ISERROR((R180-Q180)/(P180-Q180)),"",(R180-Q180)/(P180-Q180))</f>
        <v>0.96551627018356101</v>
      </c>
    </row>
    <row r="181" spans="1:19" x14ac:dyDescent="0.25">
      <c r="A181" t="s">
        <v>194</v>
      </c>
      <c r="B181" t="str">
        <f>_xll.BDP(A181,"DS697")</f>
        <v>立陶宛OMX維爾紐斯指數</v>
      </c>
      <c r="C181" t="str">
        <f>_xll.BDP(A181,"DS003")</f>
        <v>LN</v>
      </c>
      <c r="D181" s="2">
        <f>_xll.BDP(A181,"PX_LAST")</f>
        <v>688.24950000000001</v>
      </c>
      <c r="E181" s="2">
        <f>_xll.BDP(A181,"CHG_PCT_1D")</f>
        <v>0.1041695</v>
      </c>
      <c r="F181" s="2">
        <f>_xll.BDP(A181,"HIGH_52WEEK")</f>
        <v>697.81849999999997</v>
      </c>
      <c r="G181" s="2">
        <f>LN(F181/D181)*100</f>
        <v>1.3807622753515776</v>
      </c>
      <c r="H181" s="2">
        <f>_xll.BDP(A181,"LOW_52WEEK")</f>
        <v>613.06910000000005</v>
      </c>
      <c r="I181" s="2">
        <f>LN(H181/D181)*100</f>
        <v>-11.567376365225675</v>
      </c>
      <c r="J181" s="2">
        <f>_xll.BDP(A181,"CHG_PCT_5D")</f>
        <v>-0.60755340000000002</v>
      </c>
      <c r="K181" s="2">
        <f>_xll.BDP(A181,"CHG_PCT_1M")</f>
        <v>-9.2486489999999994E-3</v>
      </c>
      <c r="L181" s="2">
        <f>_xll.BDP(A181,"CHG_PCT_3M")</f>
        <v>3.0053320000000001</v>
      </c>
      <c r="M181" s="2">
        <f>_xll.BDP(A181,"CHG_PCT_6M")</f>
        <v>5.1675279999999999</v>
      </c>
      <c r="N181" s="2">
        <f>_xll.BDP(A181,"PR064")</f>
        <v>3.0053320000000001</v>
      </c>
      <c r="O181" s="2">
        <f>_xll.BDP(A181,"CHG_PCT_1YR")</f>
        <v>5.2234200000000001E-2</v>
      </c>
      <c r="P181" s="2">
        <f>_xll.BDP(A181,"INTERVAL_HIGH", "MARKET_DATA_OVERRIDE=PE_RATIO", "CALC_INTERVAL=5y", "BEST_FPERIOD_OVERRIDE=BF")</f>
        <v>16.952784987134795</v>
      </c>
      <c r="Q181" s="2">
        <f>_xll.BDP(A181,"INTERVAL_Low", "MARKET_DATA_OVERRIDE=PE_RATIO", "CALC_INTERVAL=5y", "BEST_FPERIOD_OVERRIDE=BF")</f>
        <v>0.25130861398325277</v>
      </c>
      <c r="R181" s="2">
        <f>_xll.BDP(A181,"PE_RATIO")</f>
        <v>15.198275966222896</v>
      </c>
      <c r="S181" s="3">
        <f>IF(ISERROR((R181-Q181)/(P181-Q181)),"",(R181-Q181)/(P181-Q181))</f>
        <v>0.8949488666922667</v>
      </c>
    </row>
    <row r="182" spans="1:19" x14ac:dyDescent="0.25">
      <c r="A182" t="s">
        <v>243</v>
      </c>
      <c r="B182" t="str">
        <f>_xll.BDP(A182,"DS697")</f>
        <v>標準普爾/ASX200指數</v>
      </c>
      <c r="C182" t="str">
        <f>_xll.BDP(A182,"DS003")</f>
        <v>AU</v>
      </c>
      <c r="D182" s="2">
        <f>_xll.BDP(A182,"PX_LAST")</f>
        <v>6677.5810000000001</v>
      </c>
      <c r="E182" s="2">
        <f>_xll.BDP(A182,"CHG_PCT_1D")</f>
        <v>-0.48645179999999999</v>
      </c>
      <c r="F182" s="2">
        <f>_xll.BDP(A182,"HIGH_52WEEK")</f>
        <v>6875.5</v>
      </c>
      <c r="G182" s="2">
        <f>LN(F182/D182)*100</f>
        <v>2.9208571964173209</v>
      </c>
      <c r="H182" s="2">
        <f>_xll.BDP(A182,"LOW_52WEEK")</f>
        <v>5410.2</v>
      </c>
      <c r="I182" s="2">
        <f>LN(H182/D182)*100</f>
        <v>-21.046973546491017</v>
      </c>
      <c r="J182" s="2">
        <f>_xll.BDP(A182,"CHG_PCT_5D")</f>
        <v>-0.59389979999999998</v>
      </c>
      <c r="K182" s="2">
        <f>_xll.BDP(A182,"CHG_PCT_1M")</f>
        <v>3.1889720000000001</v>
      </c>
      <c r="L182" s="2">
        <f>_xll.BDP(A182,"CHG_PCT_3M")</f>
        <v>0.16903000000000001</v>
      </c>
      <c r="M182" s="2">
        <f>_xll.BDP(A182,"CHG_PCT_6M")</f>
        <v>8.8267989999999994</v>
      </c>
      <c r="N182" s="2">
        <f>_xll.BDP(A182,"PR064")</f>
        <v>0.16903000000000001</v>
      </c>
      <c r="O182" s="2">
        <f>_xll.BDP(A182,"CHG_PCT_1YR")</f>
        <v>8.0302369999999996</v>
      </c>
      <c r="P182" s="2">
        <f>_xll.BDP(A182,"INTERVAL_HIGH", "MARKET_DATA_OVERRIDE=PE_RATIO", "CALC_INTERVAL=5y", "BEST_FPERIOD_OVERRIDE=BF")</f>
        <v>23.398312722253248</v>
      </c>
      <c r="Q182" s="2">
        <f>_xll.BDP(A182,"INTERVAL_Low", "MARKET_DATA_OVERRIDE=PE_RATIO", "CALC_INTERVAL=5y", "BEST_FPERIOD_OVERRIDE=BF")</f>
        <v>15.146123214707263</v>
      </c>
      <c r="R182" s="2">
        <f>_xll.BDP(A182,"PE_RATIO")</f>
        <v>19.467953793000706</v>
      </c>
      <c r="S182" s="3">
        <f>IF(ISERROR((R182-Q182)/(P182-Q182)),"",(R182-Q182)/(P182-Q182))</f>
        <v>0.52371925951790921</v>
      </c>
    </row>
    <row r="183" spans="1:19" x14ac:dyDescent="0.25">
      <c r="A183" t="s">
        <v>304</v>
      </c>
      <c r="B183" t="str">
        <f>_xll.BDP(A183,"DS697")</f>
        <v>澳洲AS30普通股指數</v>
      </c>
      <c r="C183" t="str">
        <f>_xll.BDP(A183,"DS003")</f>
        <v>AU</v>
      </c>
      <c r="D183" s="2">
        <f>_xll.BDP(A183,"PX_LAST")</f>
        <v>6785.5680000000002</v>
      </c>
      <c r="E183" s="2">
        <f>_xll.BDP(A183,"CHG_PCT_1D")</f>
        <v>-0.4274</v>
      </c>
      <c r="F183" s="2">
        <f>_xll.BDP(A183,"HIGH_52WEEK")</f>
        <v>6958.7</v>
      </c>
      <c r="G183" s="2">
        <f>LN(F183/D183)*100</f>
        <v>2.5194671433104951</v>
      </c>
      <c r="H183" s="2">
        <f>_xll.BDP(A183,"LOW_52WEEK")</f>
        <v>5478.4</v>
      </c>
      <c r="I183" s="2">
        <f>LN(H183/D183)*100</f>
        <v>-21.398491633293943</v>
      </c>
      <c r="J183" s="2">
        <f>_xll.BDP(A183,"CHG_PCT_5D")</f>
        <v>-0.58026909999999998</v>
      </c>
      <c r="K183" s="2">
        <f>_xll.BDP(A183,"CHG_PCT_1M")</f>
        <v>3.3499460000000001</v>
      </c>
      <c r="L183" s="2">
        <f>_xll.BDP(A183,"CHG_PCT_3M")</f>
        <v>0.63114400000000004</v>
      </c>
      <c r="M183" s="2">
        <f>_xll.BDP(A183,"CHG_PCT_6M")</f>
        <v>9.1343160000000001</v>
      </c>
      <c r="N183" s="2">
        <f>_xll.BDP(A183,"PR064")</f>
        <v>0.63114400000000004</v>
      </c>
      <c r="O183" s="2">
        <f>_xll.BDP(A183,"CHG_PCT_1YR")</f>
        <v>7.7188309999999998</v>
      </c>
      <c r="P183" s="2">
        <f>_xll.BDP(A183,"INTERVAL_HIGH", "MARKET_DATA_OVERRIDE=PE_RATIO", "CALC_INTERVAL=5y", "BEST_FPERIOD_OVERRIDE=BF")</f>
        <v>28.372615449330858</v>
      </c>
      <c r="Q183" s="2">
        <f>_xll.BDP(A183,"INTERVAL_Low", "MARKET_DATA_OVERRIDE=PE_RATIO", "CALC_INTERVAL=5y", "BEST_FPERIOD_OVERRIDE=BF")</f>
        <v>15.839968662205969</v>
      </c>
      <c r="R183" s="2">
        <f>_xll.BDP(A183,"PE_RATIO")</f>
        <v>19.772615566527779</v>
      </c>
      <c r="S183" s="3">
        <f>IF(ISERROR((R183-Q183)/(P183-Q183)),"",(R183-Q183)/(P183-Q183))</f>
        <v>0.31379220775310768</v>
      </c>
    </row>
    <row r="184" spans="1:19" x14ac:dyDescent="0.25">
      <c r="A184" t="s">
        <v>80</v>
      </c>
      <c r="B184" t="str">
        <f>_xll.BDP(A184,"DS697")</f>
        <v>歐盟STOXX50指數</v>
      </c>
      <c r="C184" t="str">
        <f>_xll.BDP(A184,"DS003")</f>
        <v>EC</v>
      </c>
      <c r="D184" s="2">
        <f>_xll.BDP(A184,"PX_LAST")</f>
        <v>3532.18</v>
      </c>
      <c r="E184" s="2">
        <f>_xll.BDP(A184,"CHG_PCT_1D")</f>
        <v>0.54511350000000003</v>
      </c>
      <c r="F184" s="2">
        <f>_xll.BDP(A184,"HIGH_52WEEK")</f>
        <v>3578.04</v>
      </c>
      <c r="G184" s="2">
        <f>LN(F184/D184)*100</f>
        <v>1.2899920383317593</v>
      </c>
      <c r="H184" s="2">
        <f>_xll.BDP(A184,"LOW_52WEEK")</f>
        <v>2908.7</v>
      </c>
      <c r="I184" s="2">
        <f>LN(H184/D184)*100</f>
        <v>-19.420899809834278</v>
      </c>
      <c r="J184" s="2">
        <f>_xll.BDP(A184,"CHG_PCT_5D")</f>
        <v>-0.57618689999999995</v>
      </c>
      <c r="K184" s="2">
        <f>_xll.BDP(A184,"CHG_PCT_1M")</f>
        <v>4.7978459999999998</v>
      </c>
      <c r="L184" s="2">
        <f>_xll.BDP(A184,"CHG_PCT_3M")</f>
        <v>2.6086619999999998</v>
      </c>
      <c r="M184" s="2">
        <f>_xll.BDP(A184,"CHG_PCT_6M")</f>
        <v>6.325628</v>
      </c>
      <c r="N184" s="2">
        <f>_xll.BDP(A184,"PR064")</f>
        <v>2.6086619999999998</v>
      </c>
      <c r="O184" s="2">
        <f>_xll.BDP(A184,"CHG_PCT_1YR")</f>
        <v>2.388258</v>
      </c>
      <c r="P184" s="2">
        <f>_xll.BDP(A184,"INTERVAL_HIGH", "MARKET_DATA_OVERRIDE=PE_RATIO", "CALC_INTERVAL=5y", "BEST_FPERIOD_OVERRIDE=BF")</f>
        <v>25.381058957460482</v>
      </c>
      <c r="Q184" s="2">
        <f>_xll.BDP(A184,"INTERVAL_Low", "MARKET_DATA_OVERRIDE=PE_RATIO", "CALC_INTERVAL=5y", "BEST_FPERIOD_OVERRIDE=BF")</f>
        <v>13.6547509808832</v>
      </c>
      <c r="R184" s="2">
        <f>_xll.BDP(A184,"PE_RATIO")</f>
        <v>17.982940952129709</v>
      </c>
      <c r="S184" s="3">
        <f>IF(ISERROR((R184-Q184)/(P184-Q184)),"",(R184-Q184)/(P184-Q184))</f>
        <v>0.3691008269518295</v>
      </c>
    </row>
    <row r="185" spans="1:19" x14ac:dyDescent="0.25">
      <c r="A185" t="s">
        <v>303</v>
      </c>
      <c r="B185" t="str">
        <f>_xll.BDP(A185,"DS697")</f>
        <v>標準普爾/ASX300指數</v>
      </c>
      <c r="C185" t="str">
        <f>_xll.BDP(A185,"DS003")</f>
        <v>AU</v>
      </c>
      <c r="D185" s="2">
        <f>_xll.BDP(A185,"PX_LAST")</f>
        <v>6638.482</v>
      </c>
      <c r="E185" s="2">
        <f>_xll.BDP(A185,"CHG_PCT_1D")</f>
        <v>-0.46754960000000001</v>
      </c>
      <c r="F185" s="2">
        <f>_xll.BDP(A185,"HIGH_52WEEK")</f>
        <v>6824.5</v>
      </c>
      <c r="G185" s="2">
        <f>LN(F185/D185)*100</f>
        <v>2.7635755419870729</v>
      </c>
      <c r="H185" s="2">
        <f>_xll.BDP(A185,"LOW_52WEEK")</f>
        <v>5364.6</v>
      </c>
      <c r="I185" s="2">
        <f>LN(H185/D185)*100</f>
        <v>-21.306150690705209</v>
      </c>
      <c r="J185" s="2">
        <f>_xll.BDP(A185,"CHG_PCT_5D")</f>
        <v>-0.57245509999999999</v>
      </c>
      <c r="K185" s="2">
        <f>_xll.BDP(A185,"CHG_PCT_1M")</f>
        <v>3.2332139999999998</v>
      </c>
      <c r="L185" s="2">
        <f>_xll.BDP(A185,"CHG_PCT_3M")</f>
        <v>0.36682629999999999</v>
      </c>
      <c r="M185" s="2">
        <f>_xll.BDP(A185,"CHG_PCT_6M")</f>
        <v>9.0986340000000006</v>
      </c>
      <c r="N185" s="2">
        <f>_xll.BDP(A185,"PR064")</f>
        <v>0.36682629999999999</v>
      </c>
      <c r="O185" s="2">
        <f>_xll.BDP(A185,"CHG_PCT_1YR")</f>
        <v>8.1586719999999993</v>
      </c>
      <c r="P185" s="2">
        <f>_xll.BDP(A185,"INTERVAL_HIGH", "MARKET_DATA_OVERRIDE=PE_RATIO", "CALC_INTERVAL=5y", "BEST_FPERIOD_OVERRIDE=BF")</f>
        <v>26.282214664702384</v>
      </c>
      <c r="Q185" s="2">
        <f>_xll.BDP(A185,"INTERVAL_Low", "MARKET_DATA_OVERRIDE=PE_RATIO", "CALC_INTERVAL=5y", "BEST_FPERIOD_OVERRIDE=BF")</f>
        <v>15.194159198275296</v>
      </c>
      <c r="R185" s="2">
        <f>_xll.BDP(A185,"PE_RATIO")</f>
        <v>19.849985157728707</v>
      </c>
      <c r="S185" s="3">
        <f>IF(ISERROR((R185-Q185)/(P185-Q185)),"",(R185-Q185)/(P185-Q185))</f>
        <v>0.41989562313703516</v>
      </c>
    </row>
    <row r="186" spans="1:19" x14ac:dyDescent="0.25">
      <c r="A186" t="s">
        <v>207</v>
      </c>
      <c r="B186" t="str">
        <f>_xll.BDP(A186,"DS697")</f>
        <v>MADEX浮動指數</v>
      </c>
      <c r="C186" t="str">
        <f>_xll.BDP(A186,"DS003")</f>
        <v>MO</v>
      </c>
      <c r="D186" s="2">
        <f>_xll.BDP(A186,"PX_LAST")</f>
        <v>9340.6319999999996</v>
      </c>
      <c r="E186" s="2">
        <f>_xll.BDP(A186,"CHG_PCT_1D")</f>
        <v>7.9576090000000002E-2</v>
      </c>
      <c r="F186" s="2">
        <f>_xll.BDP(A186,"HIGH_52WEEK")</f>
        <v>9613.9580000000005</v>
      </c>
      <c r="G186" s="2">
        <f>LN(F186/D186)*100</f>
        <v>2.8842084928739196</v>
      </c>
      <c r="H186" s="2">
        <f>_xll.BDP(A186,"LOW_52WEEK")</f>
        <v>8825.0360000000001</v>
      </c>
      <c r="I186" s="2">
        <f>LN(H186/D186)*100</f>
        <v>-5.6781233773251287</v>
      </c>
      <c r="J186" s="2">
        <f>_xll.BDP(A186,"CHG_PCT_5D")</f>
        <v>-0.56931670000000001</v>
      </c>
      <c r="K186" s="2">
        <f>_xll.BDP(A186,"CHG_PCT_1M")</f>
        <v>-2.841958</v>
      </c>
      <c r="L186" s="2">
        <f>_xll.BDP(A186,"CHG_PCT_3M")</f>
        <v>1.2953460000000001</v>
      </c>
      <c r="M186" s="2">
        <f>_xll.BDP(A186,"CHG_PCT_6M")</f>
        <v>3.7870620000000002</v>
      </c>
      <c r="N186" s="2">
        <f>_xll.BDP(A186,"PR064")</f>
        <v>1.2953460000000001</v>
      </c>
      <c r="O186" s="2">
        <f>_xll.BDP(A186,"CHG_PCT_1YR")</f>
        <v>0.98034730000000003</v>
      </c>
      <c r="P186" s="2">
        <f>_xll.BDP(A186,"INTERVAL_HIGH", "MARKET_DATA_OVERRIDE=PE_RATIO", "CALC_INTERVAL=5y", "BEST_FPERIOD_OVERRIDE=BF")</f>
        <v>38.143114235700601</v>
      </c>
      <c r="Q186" s="2">
        <f>_xll.BDP(A186,"INTERVAL_Low", "MARKET_DATA_OVERRIDE=PE_RATIO", "CALC_INTERVAL=5y", "BEST_FPERIOD_OVERRIDE=BF")</f>
        <v>17.510983412810059</v>
      </c>
      <c r="R186" s="2">
        <f>_xll.BDP(A186,"PE_RATIO")</f>
        <v>19.308505114152599</v>
      </c>
      <c r="S186" s="3">
        <f>IF(ISERROR((R186-Q186)/(P186-Q186)),"",(R186-Q186)/(P186-Q186))</f>
        <v>8.7122445896293921E-2</v>
      </c>
    </row>
    <row r="187" spans="1:19" x14ac:dyDescent="0.25">
      <c r="A187" t="s">
        <v>300</v>
      </c>
      <c r="B187" t="str">
        <f>_xll.BDP(A187,"DS697")</f>
        <v>韓國KOSPI200指數</v>
      </c>
      <c r="C187" t="str">
        <f>_xll.BDP(A187,"DS003")</f>
        <v>SK</v>
      </c>
      <c r="D187" s="2">
        <f>_xll.BDP(A187,"PX_LAST")</f>
        <v>274.89</v>
      </c>
      <c r="E187" s="2">
        <f>_xll.BDP(A187,"CHG_PCT_1D")</f>
        <v>0.17127029999999999</v>
      </c>
      <c r="F187" s="2">
        <f>_xll.BDP(A187,"HIGH_52WEEK")</f>
        <v>302.64</v>
      </c>
      <c r="G187" s="2">
        <f>LN(F187/D187)*100</f>
        <v>9.6172962679542309</v>
      </c>
      <c r="H187" s="2">
        <f>_xll.BDP(A187,"LOW_52WEEK")</f>
        <v>250.24</v>
      </c>
      <c r="I187" s="2">
        <f>LN(H187/D187)*100</f>
        <v>-9.3950560288285185</v>
      </c>
      <c r="J187" s="2">
        <f>_xll.BDP(A187,"CHG_PCT_5D")</f>
        <v>-0.56070120000000001</v>
      </c>
      <c r="K187" s="2">
        <f>_xll.BDP(A187,"CHG_PCT_1M")</f>
        <v>8.4378759999999993</v>
      </c>
      <c r="L187" s="2">
        <f>_xll.BDP(A187,"CHG_PCT_3M")</f>
        <v>-1.029698</v>
      </c>
      <c r="M187" s="2">
        <f>_xll.BDP(A187,"CHG_PCT_6M")</f>
        <v>-0.8619388</v>
      </c>
      <c r="N187" s="2">
        <f>_xll.BDP(A187,"PR064")</f>
        <v>-1.029698</v>
      </c>
      <c r="O187" s="2">
        <f>_xll.BDP(A187,"CHG_PCT_1YR")</f>
        <v>-9.1542949999999994</v>
      </c>
      <c r="P187" s="2">
        <f>_xll.BDP(A187,"INTERVAL_HIGH", "MARKET_DATA_OVERRIDE=PE_RATIO", "CALC_INTERVAL=5y", "BEST_FPERIOD_OVERRIDE=BF")</f>
        <v>16.218203481942059</v>
      </c>
      <c r="Q187" s="2">
        <f>_xll.BDP(A187,"INTERVAL_Low", "MARKET_DATA_OVERRIDE=PE_RATIO", "CALC_INTERVAL=5y", "BEST_FPERIOD_OVERRIDE=BF")</f>
        <v>8.512271014953285</v>
      </c>
      <c r="R187" s="2">
        <f>_xll.BDP(A187,"PE_RATIO")</f>
        <v>12.059891714991709</v>
      </c>
      <c r="S187" s="3">
        <f>IF(ISERROR((R187-Q187)/(P187-Q187)),"",(R187-Q187)/(P187-Q187))</f>
        <v>0.46037526480227747</v>
      </c>
    </row>
    <row r="188" spans="1:19" x14ac:dyDescent="0.25">
      <c r="A188" t="s">
        <v>206</v>
      </c>
      <c r="B188" t="str">
        <f>_xll.BDP(A188,"DS697")</f>
        <v>摩洛哥 MASI 流通指數</v>
      </c>
      <c r="C188" t="str">
        <f>_xll.BDP(A188,"DS003")</f>
        <v>MO</v>
      </c>
      <c r="D188" s="2">
        <f>_xll.BDP(A188,"PX_LAST")</f>
        <v>11471.75</v>
      </c>
      <c r="E188" s="2">
        <f>_xll.BDP(A188,"CHG_PCT_1D")</f>
        <v>8.5238330000000001E-2</v>
      </c>
      <c r="F188" s="2">
        <f>_xll.BDP(A188,"HIGH_52WEEK")</f>
        <v>11796.26</v>
      </c>
      <c r="G188" s="2">
        <f>LN(F188/D188)*100</f>
        <v>2.7895040649946115</v>
      </c>
      <c r="H188" s="2">
        <f>_xll.BDP(A188,"LOW_52WEEK")</f>
        <v>10874.76953125</v>
      </c>
      <c r="I188" s="2">
        <f>LN(H188/D188)*100</f>
        <v>-5.344210720868471</v>
      </c>
      <c r="J188" s="2">
        <f>_xll.BDP(A188,"CHG_PCT_5D")</f>
        <v>-0.55947749999999996</v>
      </c>
      <c r="K188" s="2">
        <f>_xll.BDP(A188,"CHG_PCT_1M")</f>
        <v>-2.7499639999999999</v>
      </c>
      <c r="L188" s="2">
        <f>_xll.BDP(A188,"CHG_PCT_3M")</f>
        <v>1.2555719999999999</v>
      </c>
      <c r="M188" s="2">
        <f>_xll.BDP(A188,"CHG_PCT_6M")</f>
        <v>3.4920309999999999</v>
      </c>
      <c r="N188" s="2">
        <f>_xll.BDP(A188,"PR064")</f>
        <v>1.2555719999999999</v>
      </c>
      <c r="O188" s="2">
        <f>_xll.BDP(A188,"CHG_PCT_1YR")</f>
        <v>0.83069150000000003</v>
      </c>
      <c r="P188" s="2">
        <f>_xll.BDP(A188,"INTERVAL_HIGH", "MARKET_DATA_OVERRIDE=PE_RATIO", "CALC_INTERVAL=5y", "BEST_FPERIOD_OVERRIDE=BF")</f>
        <v>38.209466055632312</v>
      </c>
      <c r="Q188" s="2">
        <f>_xll.BDP(A188,"INTERVAL_Low", "MARKET_DATA_OVERRIDE=PE_RATIO", "CALC_INTERVAL=5y", "BEST_FPERIOD_OVERRIDE=BF")</f>
        <v>17.506133975440221</v>
      </c>
      <c r="R188" s="2">
        <f>_xll.BDP(A188,"PE_RATIO")</f>
        <v>19.531480490721023</v>
      </c>
      <c r="S188" s="3">
        <f>IF(ISERROR((R188-Q188)/(P188-Q188)),"",(R188-Q188)/(P188-Q188))</f>
        <v>9.7827079594523428E-2</v>
      </c>
    </row>
    <row r="189" spans="1:19" x14ac:dyDescent="0.25">
      <c r="A189" t="s">
        <v>123</v>
      </c>
      <c r="B189" t="str">
        <f>_xll.BDP(A189,"DS697")</f>
        <v>道瓊西班牙Titans30指數</v>
      </c>
      <c r="C189" t="str">
        <f>_xll.BDP(A189,"DS003")</f>
        <v>SP</v>
      </c>
      <c r="D189" s="2">
        <f>_xll.BDP(A189,"PX_LAST")</f>
        <v>546.67999999999995</v>
      </c>
      <c r="E189" s="2">
        <f>_xll.BDP(A189,"CHG_PCT_1D")</f>
        <v>0.64250079999999998</v>
      </c>
      <c r="F189" s="2">
        <f>_xll.BDP(A189,"HIGH_52WEEK")</f>
        <v>570.36</v>
      </c>
      <c r="G189" s="2">
        <f>LN(F189/D189)*100</f>
        <v>4.2404118317318895</v>
      </c>
      <c r="H189" s="2">
        <f>_xll.BDP(A189,"LOW_52WEEK")</f>
        <v>492.14</v>
      </c>
      <c r="I189" s="2">
        <f>LN(H189/D189)*100</f>
        <v>-10.510039323624554</v>
      </c>
      <c r="J189" s="2">
        <f>_xll.BDP(A189,"CHG_PCT_5D")</f>
        <v>-0.55662500000000004</v>
      </c>
      <c r="K189" s="2">
        <f>_xll.BDP(A189,"CHG_PCT_1M")</f>
        <v>4.5997199999999996</v>
      </c>
      <c r="L189" s="2">
        <f>_xll.BDP(A189,"CHG_PCT_3M")</f>
        <v>-0.36996390000000001</v>
      </c>
      <c r="M189" s="2">
        <f>_xll.BDP(A189,"CHG_PCT_6M")</f>
        <v>-0.99784669999999998</v>
      </c>
      <c r="N189" s="2">
        <f>_xll.BDP(A189,"PR064")</f>
        <v>-0.36996390000000001</v>
      </c>
      <c r="O189" s="2">
        <f>_xll.BDP(A189,"CHG_PCT_1YR")</f>
        <v>-2.812446</v>
      </c>
      <c r="P189" s="2">
        <f>_xll.BDP(A189,"INTERVAL_HIGH", "MARKET_DATA_OVERRIDE=PE_RATIO", "CALC_INTERVAL=5y", "BEST_FPERIOD_OVERRIDE=BF")</f>
        <v>37.924449333826885</v>
      </c>
      <c r="Q189" s="2">
        <f>_xll.BDP(A189,"INTERVAL_Low", "MARKET_DATA_OVERRIDE=PE_RATIO", "CALC_INTERVAL=5y", "BEST_FPERIOD_OVERRIDE=BF")</f>
        <v>12.632018487870466</v>
      </c>
      <c r="R189" s="2">
        <f>_xll.BDP(A189,"PE_RATIO")</f>
        <v>13.449555178960969</v>
      </c>
      <c r="S189" s="3">
        <f>IF(ISERROR((R189-Q189)/(P189-Q189)),"",(R189-Q189)/(P189-Q189))</f>
        <v>3.2323373584362491E-2</v>
      </c>
    </row>
    <row r="190" spans="1:19" x14ac:dyDescent="0.25">
      <c r="A190" t="s">
        <v>13</v>
      </c>
      <c r="B190" t="str">
        <f>_xll.BDP(A190,"DS697")</f>
        <v>紐約證交所TMT指數</v>
      </c>
      <c r="C190" t="str">
        <f>_xll.BDP(A190,"DS003")</f>
        <v>US</v>
      </c>
      <c r="D190" s="2">
        <f>_xll.BDP(A190,"PX_LAST")</f>
        <v>9100.4670000000006</v>
      </c>
      <c r="E190" s="2">
        <f>_xll.BDP(A190,"CHG_PCT_1D")</f>
        <v>-9.0605489999999997E-2</v>
      </c>
      <c r="F190" s="2">
        <f>_xll.BDP(A190,"HIGH_52WEEK")</f>
        <v>9410.9590000000007</v>
      </c>
      <c r="G190" s="2">
        <f>LN(F190/D190)*100</f>
        <v>3.3549130375822216</v>
      </c>
      <c r="H190" s="2">
        <f>_xll.BDP(A190,"LOW_52WEEK")</f>
        <v>7580.9319999999998</v>
      </c>
      <c r="I190" s="2">
        <f>LN(H190/D190)*100</f>
        <v>-18.268958364632994</v>
      </c>
      <c r="J190" s="2">
        <f>_xll.BDP(A190,"CHG_PCT_5D")</f>
        <v>-0.55330599999999996</v>
      </c>
      <c r="K190" s="2">
        <f>_xll.BDP(A190,"CHG_PCT_1M")</f>
        <v>2.6866819999999998</v>
      </c>
      <c r="L190" s="2">
        <f>_xll.BDP(A190,"CHG_PCT_3M")</f>
        <v>-0.71178620000000004</v>
      </c>
      <c r="M190" s="2">
        <f>_xll.BDP(A190,"CHG_PCT_6M")</f>
        <v>3.4790700000000001</v>
      </c>
      <c r="N190" s="2">
        <f>_xll.BDP(A190,"PR064")</f>
        <v>-0.71178620000000004</v>
      </c>
      <c r="O190" s="2">
        <f>_xll.BDP(A190,"CHG_PCT_1YR")</f>
        <v>1.7181740000000001</v>
      </c>
      <c r="P190" s="2" t="str">
        <f>_xll.BDP(A190,"INTERVAL_HIGH", "MARKET_DATA_OVERRIDE=PE_RATIO", "CALC_INTERVAL=5y", "BEST_FPERIOD_OVERRIDE=BF")</f>
        <v>#N/A N/A</v>
      </c>
      <c r="Q190" s="2" t="str">
        <f>_xll.BDP(A190,"INTERVAL_Low", "MARKET_DATA_OVERRIDE=PE_RATIO", "CALC_INTERVAL=5y", "BEST_FPERIOD_OVERRIDE=BF")</f>
        <v>#N/A N/A</v>
      </c>
      <c r="R190" s="2" t="str">
        <f>_xll.BDP(A190,"PE_RATIO")</f>
        <v>#N/A N/A</v>
      </c>
      <c r="S190" s="3" t="str">
        <f>IF(ISERROR((R190-Q190)/(P190-Q190)),"",(R190-Q190)/(P190-Q190))</f>
        <v/>
      </c>
    </row>
    <row r="191" spans="1:19" x14ac:dyDescent="0.25">
      <c r="A191" t="s">
        <v>171</v>
      </c>
      <c r="B191" t="str">
        <f>_xll.BDP(A191,"DS697")</f>
        <v>華沙證交所sWIG80指數</v>
      </c>
      <c r="C191" t="str">
        <f>_xll.BDP(A191,"DS003")</f>
        <v>PD</v>
      </c>
      <c r="D191" s="2">
        <f>_xll.BDP(A191,"PX_LAST")</f>
        <v>11558.79</v>
      </c>
      <c r="E191" s="2">
        <f>_xll.BDP(A191,"CHG_PCT_1D")</f>
        <v>7.9569860000000006E-2</v>
      </c>
      <c r="F191" s="2">
        <f>_xll.BDP(A191,"HIGH_52WEEK")</f>
        <v>12290.33984375</v>
      </c>
      <c r="G191" s="2">
        <f>LN(F191/D191)*100</f>
        <v>6.1367388764614432</v>
      </c>
      <c r="H191" s="2">
        <f>_xll.BDP(A191,"LOW_52WEEK")</f>
        <v>10414.85</v>
      </c>
      <c r="I191" s="2">
        <f>LN(H191/D191)*100</f>
        <v>-10.421351418068141</v>
      </c>
      <c r="J191" s="2">
        <f>_xll.BDP(A191,"CHG_PCT_5D")</f>
        <v>-0.53643560000000001</v>
      </c>
      <c r="K191" s="2">
        <f>_xll.BDP(A191,"CHG_PCT_1M")</f>
        <v>0.1593502</v>
      </c>
      <c r="L191" s="2">
        <f>_xll.BDP(A191,"CHG_PCT_3M")</f>
        <v>-1.8301780000000001</v>
      </c>
      <c r="M191" s="2">
        <f>_xll.BDP(A191,"CHG_PCT_6M")</f>
        <v>-2.8194530000000002</v>
      </c>
      <c r="N191" s="2">
        <f>_xll.BDP(A191,"PR064")</f>
        <v>-1.8301780000000001</v>
      </c>
      <c r="O191" s="2">
        <f>_xll.BDP(A191,"CHG_PCT_1YR")</f>
        <v>-0.18161140000000001</v>
      </c>
      <c r="P191" s="2">
        <f>_xll.BDP(A191,"INTERVAL_HIGH", "MARKET_DATA_OVERRIDE=PE_RATIO", "CALC_INTERVAL=5y", "BEST_FPERIOD_OVERRIDE=BF")</f>
        <v>35.359149013922526</v>
      </c>
      <c r="Q191" s="2">
        <f>_xll.BDP(A191,"INTERVAL_Low", "MARKET_DATA_OVERRIDE=PE_RATIO", "CALC_INTERVAL=5y", "BEST_FPERIOD_OVERRIDE=BF")</f>
        <v>4.7600866269667135</v>
      </c>
      <c r="R191" s="2">
        <f>_xll.BDP(A191,"PE_RATIO")</f>
        <v>35.230586582901047</v>
      </c>
      <c r="S191" s="3">
        <f>IF(ISERROR((R191-Q191)/(P191-Q191)),"",(R191-Q191)/(P191-Q191))</f>
        <v>0.99579848462689224</v>
      </c>
    </row>
    <row r="192" spans="1:19" x14ac:dyDescent="0.25">
      <c r="A192" t="s">
        <v>124</v>
      </c>
      <c r="B192" t="str">
        <f>_xll.BDP(A192,"DS697")</f>
        <v>瑞士SMI指數</v>
      </c>
      <c r="C192" t="str">
        <f>_xll.BDP(A192,"DS003")</f>
        <v>SZ</v>
      </c>
      <c r="D192" s="2">
        <f>_xll.BDP(A192,"PX_LAST")</f>
        <v>10010.709999999999</v>
      </c>
      <c r="E192" s="2">
        <f>_xll.BDP(A192,"CHG_PCT_1D")</f>
        <v>0.9671381</v>
      </c>
      <c r="F192" s="2">
        <f>_xll.BDP(A192,"HIGH_52WEEK")</f>
        <v>10140.9296875</v>
      </c>
      <c r="G192" s="2">
        <f>LN(F192/D192)*100</f>
        <v>1.2924159235290245</v>
      </c>
      <c r="H192" s="2">
        <f>_xll.BDP(A192,"LOW_52WEEK")</f>
        <v>8138.56</v>
      </c>
      <c r="I192" s="2">
        <f>LN(H192/D192)*100</f>
        <v>-20.704225969455539</v>
      </c>
      <c r="J192" s="2">
        <f>_xll.BDP(A192,"CHG_PCT_5D")</f>
        <v>-0.53405709999999995</v>
      </c>
      <c r="K192" s="2">
        <f>_xll.BDP(A192,"CHG_PCT_1M")</f>
        <v>2.2954020000000002</v>
      </c>
      <c r="L192" s="2">
        <f>_xll.BDP(A192,"CHG_PCT_3M")</f>
        <v>1.530972</v>
      </c>
      <c r="M192" s="2">
        <f>_xll.BDP(A192,"CHG_PCT_6M")</f>
        <v>6.6036330000000003</v>
      </c>
      <c r="N192" s="2">
        <f>_xll.BDP(A192,"PR064")</f>
        <v>1.530972</v>
      </c>
      <c r="O192" s="2">
        <f>_xll.BDP(A192,"CHG_PCT_1YR")</f>
        <v>9.8602790000000002</v>
      </c>
      <c r="P192" s="2">
        <f>_xll.BDP(A192,"INTERVAL_HIGH", "MARKET_DATA_OVERRIDE=PE_RATIO", "CALC_INTERVAL=5y", "BEST_FPERIOD_OVERRIDE=BF")</f>
        <v>31.941290244206758</v>
      </c>
      <c r="Q192" s="2">
        <f>_xll.BDP(A192,"INTERVAL_Low", "MARKET_DATA_OVERRIDE=PE_RATIO", "CALC_INTERVAL=5y", "BEST_FPERIOD_OVERRIDE=BF")</f>
        <v>16.560054906768343</v>
      </c>
      <c r="R192" s="2">
        <f>_xll.BDP(A192,"PE_RATIO")</f>
        <v>21.977417883750007</v>
      </c>
      <c r="S192" s="3">
        <f>IF(ISERROR((R192-Q192)/(P192-Q192)),"",(R192-Q192)/(P192-Q192))</f>
        <v>0.35220597423638861</v>
      </c>
    </row>
    <row r="193" spans="1:19" x14ac:dyDescent="0.25">
      <c r="A193" t="s">
        <v>46</v>
      </c>
      <c r="B193" t="str">
        <f>_xll.BDP(A193,"DS697")</f>
        <v>標準普爾/多倫多股票指數</v>
      </c>
      <c r="C193" t="str">
        <f>_xll.BDP(A193,"DS003")</f>
        <v>CA</v>
      </c>
      <c r="D193" s="2">
        <f>_xll.BDP(A193,"PX_LAST")</f>
        <v>17278.22</v>
      </c>
      <c r="E193" s="2">
        <f>_xll.BDP(A193,"CHG_PCT_1D")</f>
        <v>-4.166922E-3</v>
      </c>
      <c r="F193" s="2">
        <f>_xll.BDP(A193,"HIGH_52WEEK")</f>
        <v>17409.140625</v>
      </c>
      <c r="G193" s="2">
        <f>LN(F193/D193)*100</f>
        <v>0.75486427515455645</v>
      </c>
      <c r="H193" s="2">
        <f>_xll.BDP(A193,"LOW_52WEEK")</f>
        <v>14221.83</v>
      </c>
      <c r="I193" s="2">
        <f>LN(H193/D193)*100</f>
        <v>-19.466864073271797</v>
      </c>
      <c r="J193" s="2">
        <f>_xll.BDP(A193,"CHG_PCT_5D")</f>
        <v>-0.52686109999999997</v>
      </c>
      <c r="K193" s="2">
        <f>_xll.BDP(A193,"CHG_PCT_1M")</f>
        <v>3.6982379999999999</v>
      </c>
      <c r="L193" s="2">
        <f>_xll.BDP(A193,"CHG_PCT_3M")</f>
        <v>2.6654170000000001</v>
      </c>
      <c r="M193" s="2">
        <f>_xll.BDP(A193,"CHG_PCT_6M")</f>
        <v>3.8963380000000001</v>
      </c>
      <c r="N193" s="2">
        <f>_xll.BDP(A193,"PR064")</f>
        <v>2.6654170000000001</v>
      </c>
      <c r="O193" s="2">
        <f>_xll.BDP(A193,"CHG_PCT_1YR")</f>
        <v>3.1400749999999999</v>
      </c>
      <c r="P193" s="2">
        <f>_xll.BDP(A193,"INTERVAL_HIGH", "MARKET_DATA_OVERRIDE=PE_RATIO", "CALC_INTERVAL=5y", "BEST_FPERIOD_OVERRIDE=BF")</f>
        <v>23.410384948347573</v>
      </c>
      <c r="Q193" s="2">
        <f>_xll.BDP(A193,"INTERVAL_Low", "MARKET_DATA_OVERRIDE=PE_RATIO", "CALC_INTERVAL=5y", "BEST_FPERIOD_OVERRIDE=BF")</f>
        <v>14.65052954694926</v>
      </c>
      <c r="R193" s="2">
        <f>_xll.BDP(A193,"PE_RATIO")</f>
        <v>16.828124247992058</v>
      </c>
      <c r="S193" s="3">
        <f>IF(ISERROR((R193-Q193)/(P193-Q193)),"",(R193-Q193)/(P193-Q193))</f>
        <v>0.24858797334659133</v>
      </c>
    </row>
    <row r="194" spans="1:19" x14ac:dyDescent="0.25">
      <c r="A194" t="s">
        <v>47</v>
      </c>
      <c r="B194" t="str">
        <f>_xll.BDP(A194,"DS697")</f>
        <v>標準普爾/多倫多60指數</v>
      </c>
      <c r="C194" t="str">
        <f>_xll.BDP(A194,"DS003")</f>
        <v>CA</v>
      </c>
      <c r="D194" s="2">
        <f>_xll.BDP(A194,"PX_LAST")</f>
        <v>1004.102</v>
      </c>
      <c r="E194" s="2">
        <f>_xll.BDP(A194,"CHG_PCT_1D")</f>
        <v>5.1515320000000003E-2</v>
      </c>
      <c r="F194" s="2">
        <f>_xll.BDP(A194,"HIGH_52WEEK")</f>
        <v>1015.35</v>
      </c>
      <c r="G194" s="2">
        <f>LN(F194/D194)*100</f>
        <v>1.113977090583663</v>
      </c>
      <c r="H194" s="2">
        <f>_xll.BDP(A194,"LOW_52WEEK")</f>
        <v>827.78</v>
      </c>
      <c r="I194" s="2">
        <f>LN(H194/D194)*100</f>
        <v>-19.310147011934895</v>
      </c>
      <c r="J194" s="2">
        <f>_xll.BDP(A194,"CHG_PCT_5D")</f>
        <v>-0.52076029999999995</v>
      </c>
      <c r="K194" s="2">
        <f>_xll.BDP(A194,"CHG_PCT_1M")</f>
        <v>3.9365559999999999</v>
      </c>
      <c r="L194" s="2">
        <f>_xll.BDP(A194,"CHG_PCT_3M")</f>
        <v>2.9787789999999998</v>
      </c>
      <c r="M194" s="2">
        <f>_xll.BDP(A194,"CHG_PCT_6M")</f>
        <v>4.4964149999999998</v>
      </c>
      <c r="N194" s="2">
        <f>_xll.BDP(A194,"PR064")</f>
        <v>2.9787789999999998</v>
      </c>
      <c r="O194" s="2">
        <f>_xll.BDP(A194,"CHG_PCT_1YR")</f>
        <v>4.297364</v>
      </c>
      <c r="P194" s="2">
        <f>_xll.BDP(A194,"INTERVAL_HIGH", "MARKET_DATA_OVERRIDE=PE_RATIO", "CALC_INTERVAL=5y", "BEST_FPERIOD_OVERRIDE=BF")</f>
        <v>21.09785437972857</v>
      </c>
      <c r="Q194" s="2">
        <f>_xll.BDP(A194,"INTERVAL_Low", "MARKET_DATA_OVERRIDE=PE_RATIO", "CALC_INTERVAL=5y", "BEST_FPERIOD_OVERRIDE=BF")</f>
        <v>13.678806941341872</v>
      </c>
      <c r="R194" s="2">
        <f>_xll.BDP(A194,"PE_RATIO")</f>
        <v>16.212696639343037</v>
      </c>
      <c r="S194" s="3">
        <f>IF(ISERROR((R194-Q194)/(P194-Q194)),"",(R194-Q194)/(P194-Q194))</f>
        <v>0.34153841433748389</v>
      </c>
    </row>
    <row r="195" spans="1:19" x14ac:dyDescent="0.25">
      <c r="A195" t="s">
        <v>301</v>
      </c>
      <c r="B195" t="str">
        <f>_xll.BDP(A195,"DS697")</f>
        <v>韓國KOSPI100指數</v>
      </c>
      <c r="C195" t="str">
        <f>_xll.BDP(A195,"DS003")</f>
        <v>SK</v>
      </c>
      <c r="D195" s="2">
        <f>_xll.BDP(A195,"PX_LAST")</f>
        <v>2101.35</v>
      </c>
      <c r="E195" s="2">
        <f>_xll.BDP(A195,"CHG_PCT_1D")</f>
        <v>0.182119</v>
      </c>
      <c r="F195" s="2">
        <f>_xll.BDP(A195,"HIGH_52WEEK")</f>
        <v>2292.96</v>
      </c>
      <c r="G195" s="2">
        <f>LN(F195/D195)*100</f>
        <v>8.7263563999528824</v>
      </c>
      <c r="H195" s="2">
        <f>_xll.BDP(A195,"LOW_52WEEK")</f>
        <v>1914.05</v>
      </c>
      <c r="I195" s="2">
        <f>LN(H195/D195)*100</f>
        <v>-9.3358579336555181</v>
      </c>
      <c r="J195" s="2">
        <f>_xll.BDP(A195,"CHG_PCT_5D")</f>
        <v>-0.47221970000000002</v>
      </c>
      <c r="K195" s="2">
        <f>_xll.BDP(A195,"CHG_PCT_1M")</f>
        <v>8.5783889999999996</v>
      </c>
      <c r="L195" s="2">
        <f>_xll.BDP(A195,"CHG_PCT_3M")</f>
        <v>-0.66604790000000003</v>
      </c>
      <c r="M195" s="2">
        <f>_xll.BDP(A195,"CHG_PCT_6M")</f>
        <v>-0.14256179999999999</v>
      </c>
      <c r="N195" s="2">
        <f>_xll.BDP(A195,"PR064")</f>
        <v>-0.66604790000000003</v>
      </c>
      <c r="O195" s="2">
        <f>_xll.BDP(A195,"CHG_PCT_1YR")</f>
        <v>-8.3564410000000002</v>
      </c>
      <c r="P195" s="2">
        <f>_xll.BDP(A195,"INTERVAL_HIGH", "MARKET_DATA_OVERRIDE=PE_RATIO", "CALC_INTERVAL=5y", "BEST_FPERIOD_OVERRIDE=BF")</f>
        <v>14.786831006694831</v>
      </c>
      <c r="Q195" s="2">
        <f>_xll.BDP(A195,"INTERVAL_Low", "MARKET_DATA_OVERRIDE=PE_RATIO", "CALC_INTERVAL=5y", "BEST_FPERIOD_OVERRIDE=BF")</f>
        <v>8.2500561044715877</v>
      </c>
      <c r="R195" s="2">
        <f>_xll.BDP(A195,"PE_RATIO")</f>
        <v>11.934191482735049</v>
      </c>
      <c r="S195" s="3">
        <f>IF(ISERROR((R195-Q195)/(P195-Q195)),"",(R195-Q195)/(P195-Q195))</f>
        <v>0.56360138346058664</v>
      </c>
    </row>
    <row r="196" spans="1:19" x14ac:dyDescent="0.25">
      <c r="A196" t="s">
        <v>83</v>
      </c>
      <c r="B196" t="str">
        <f>_xll.BDP(A196,"DS697")</f>
        <v>道瓊歐洲STOXX600指數</v>
      </c>
      <c r="C196" t="str">
        <f>_xll.BDP(A196,"DS003")</f>
        <v>EC</v>
      </c>
      <c r="D196" s="2">
        <f>_xll.BDP(A196,"PX_LAST")</f>
        <v>389.95</v>
      </c>
      <c r="E196" s="2">
        <f>_xll.BDP(A196,"CHG_PCT_1D")</f>
        <v>0.60889079999999995</v>
      </c>
      <c r="F196" s="2">
        <f>_xll.BDP(A196,"HIGH_52WEEK")</f>
        <v>395.1</v>
      </c>
      <c r="G196" s="2">
        <f>LN(F196/D196)*100</f>
        <v>1.3120371640838158</v>
      </c>
      <c r="H196" s="2">
        <f>_xll.BDP(A196,"LOW_52WEEK")</f>
        <v>327.33999999999997</v>
      </c>
      <c r="I196" s="2">
        <f>LN(H196/D196)*100</f>
        <v>-17.501913969876931</v>
      </c>
      <c r="J196" s="2">
        <f>_xll.BDP(A196,"CHG_PCT_5D")</f>
        <v>-0.4721766</v>
      </c>
      <c r="K196" s="2">
        <f>_xll.BDP(A196,"CHG_PCT_1M")</f>
        <v>4.3707560000000001</v>
      </c>
      <c r="L196" s="2">
        <f>_xll.BDP(A196,"CHG_PCT_3M")</f>
        <v>2.0250699999999999</v>
      </c>
      <c r="M196" s="2">
        <f>_xll.BDP(A196,"CHG_PCT_6M")</f>
        <v>3.3582519999999998</v>
      </c>
      <c r="N196" s="2">
        <f>_xll.BDP(A196,"PR064")</f>
        <v>2.0250699999999999</v>
      </c>
      <c r="O196" s="2">
        <f>_xll.BDP(A196,"CHG_PCT_1YR")</f>
        <v>0.92396279999999997</v>
      </c>
      <c r="P196" s="2">
        <f>_xll.BDP(A196,"INTERVAL_HIGH", "MARKET_DATA_OVERRIDE=PE_RATIO", "CALC_INTERVAL=5y", "BEST_FPERIOD_OVERRIDE=BF")</f>
        <v>28.146872507306551</v>
      </c>
      <c r="Q196" s="2">
        <f>_xll.BDP(A196,"INTERVAL_Low", "MARKET_DATA_OVERRIDE=PE_RATIO", "CALC_INTERVAL=5y", "BEST_FPERIOD_OVERRIDE=BF")</f>
        <v>14.991025989220997</v>
      </c>
      <c r="R196" s="2">
        <f>_xll.BDP(A196,"PE_RATIO")</f>
        <v>18.689016557429643</v>
      </c>
      <c r="S196" s="3">
        <f>IF(ISERROR((R196-Q196)/(P196-Q196)),"",(R196-Q196)/(P196-Q196))</f>
        <v>0.28109103911519173</v>
      </c>
    </row>
    <row r="197" spans="1:19" x14ac:dyDescent="0.25">
      <c r="A197" t="s">
        <v>299</v>
      </c>
      <c r="B197" t="str">
        <f>_xll.BDP(A197,"DS697")</f>
        <v>韓國KRX100指數</v>
      </c>
      <c r="C197" t="str">
        <f>_xll.BDP(A197,"DS003")</f>
        <v>SK</v>
      </c>
      <c r="D197" s="2">
        <f>_xll.BDP(A197,"PX_LAST")</f>
        <v>4448.26</v>
      </c>
      <c r="E197" s="2">
        <f>_xll.BDP(A197,"CHG_PCT_1D")</f>
        <v>0.15355379999999999</v>
      </c>
      <c r="F197" s="2">
        <f>_xll.BDP(A197,"HIGH_52WEEK")</f>
        <v>4860.01</v>
      </c>
      <c r="G197" s="2">
        <f>LN(F197/D197)*100</f>
        <v>8.8527487046086808</v>
      </c>
      <c r="H197" s="2">
        <f>_xll.BDP(A197,"LOW_52WEEK")</f>
        <v>4065.97</v>
      </c>
      <c r="I197" s="2">
        <f>LN(H197/D197)*100</f>
        <v>-8.9860671557163005</v>
      </c>
      <c r="J197" s="2">
        <f>_xll.BDP(A197,"CHG_PCT_5D")</f>
        <v>-0.44002400000000003</v>
      </c>
      <c r="K197" s="2">
        <f>_xll.BDP(A197,"CHG_PCT_1M")</f>
        <v>8.3321740000000002</v>
      </c>
      <c r="L197" s="2">
        <f>_xll.BDP(A197,"CHG_PCT_3M")</f>
        <v>-0.56065670000000001</v>
      </c>
      <c r="M197" s="2">
        <f>_xll.BDP(A197,"CHG_PCT_6M")</f>
        <v>-0.31932709999999997</v>
      </c>
      <c r="N197" s="2">
        <f>_xll.BDP(A197,"PR064")</f>
        <v>-0.56065670000000001</v>
      </c>
      <c r="O197" s="2">
        <f>_xll.BDP(A197,"CHG_PCT_1YR")</f>
        <v>-8.4450789999999998</v>
      </c>
      <c r="P197" s="2">
        <f>_xll.BDP(A197,"INTERVAL_HIGH", "MARKET_DATA_OVERRIDE=PE_RATIO", "CALC_INTERVAL=5y", "BEST_FPERIOD_OVERRIDE=BF")</f>
        <v>14.968665959304497</v>
      </c>
      <c r="Q197" s="2">
        <f>_xll.BDP(A197,"INTERVAL_Low", "MARKET_DATA_OVERRIDE=PE_RATIO", "CALC_INTERVAL=5y", "BEST_FPERIOD_OVERRIDE=BF")</f>
        <v>8.1207583834290347</v>
      </c>
      <c r="R197" s="2">
        <f>_xll.BDP(A197,"PE_RATIO")</f>
        <v>11.542620653069408</v>
      </c>
      <c r="S197" s="3">
        <f>IF(ISERROR((R197-Q197)/(P197-Q197)),"",(R197-Q197)/(P197-Q197))</f>
        <v>0.49969457556572078</v>
      </c>
    </row>
    <row r="198" spans="1:19" x14ac:dyDescent="0.25">
      <c r="A198" t="s">
        <v>93</v>
      </c>
      <c r="B198" t="str">
        <f>_xll.BDP(A198,"DS697")</f>
        <v>泛歐證券交易所 100 指數</v>
      </c>
      <c r="C198" t="str">
        <f>_xll.BDP(A198,"DS003")</f>
        <v>EC</v>
      </c>
      <c r="D198" s="2">
        <f>_xll.BDP(A198,"PX_LAST")</f>
        <v>1089.4100000000001</v>
      </c>
      <c r="E198" s="2">
        <f>_xll.BDP(A198,"CHG_PCT_1D")</f>
        <v>0.71183589999999997</v>
      </c>
      <c r="F198" s="2">
        <f>_xll.BDP(A198,"HIGH_52WEEK")</f>
        <v>1108.48</v>
      </c>
      <c r="G198" s="2">
        <f>LN(F198/D198)*100</f>
        <v>1.7353442221728961</v>
      </c>
      <c r="H198" s="2">
        <f>_xll.BDP(A198,"LOW_52WEEK")</f>
        <v>884.35</v>
      </c>
      <c r="I198" s="2">
        <f>LN(H198/D198)*100</f>
        <v>-20.853863239142932</v>
      </c>
      <c r="J198" s="2">
        <f>_xll.BDP(A198,"CHG_PCT_5D")</f>
        <v>-0.43412610000000001</v>
      </c>
      <c r="K198" s="2">
        <f>_xll.BDP(A198,"CHG_PCT_1M")</f>
        <v>4.2298210000000003</v>
      </c>
      <c r="L198" s="2">
        <f>_xll.BDP(A198,"CHG_PCT_3M")</f>
        <v>2.5442900000000002</v>
      </c>
      <c r="M198" s="2">
        <f>_xll.BDP(A198,"CHG_PCT_6M")</f>
        <v>5.4169099999999997</v>
      </c>
      <c r="N198" s="2">
        <f>_xll.BDP(A198,"PR064")</f>
        <v>2.5442900000000002</v>
      </c>
      <c r="O198" s="2">
        <f>_xll.BDP(A198,"CHG_PCT_1YR")</f>
        <v>1.8692359999999999</v>
      </c>
      <c r="P198" s="2">
        <f>_xll.BDP(A198,"INTERVAL_HIGH", "MARKET_DATA_OVERRIDE=PE_RATIO", "CALC_INTERVAL=5y", "BEST_FPERIOD_OVERRIDE=BF")</f>
        <v>29.159812488674309</v>
      </c>
      <c r="Q198" s="2">
        <f>_xll.BDP(A198,"INTERVAL_Low", "MARKET_DATA_OVERRIDE=PE_RATIO", "CALC_INTERVAL=5y", "BEST_FPERIOD_OVERRIDE=BF")</f>
        <v>14.562058092686742</v>
      </c>
      <c r="R198" s="2">
        <f>_xll.BDP(A198,"PE_RATIO")</f>
        <v>19.125519334375944</v>
      </c>
      <c r="S198" s="3">
        <f>IF(ISERROR((R198-Q198)/(P198-Q198)),"",(R198-Q198)/(P198-Q198))</f>
        <v>0.31261392114827913</v>
      </c>
    </row>
    <row r="199" spans="1:19" x14ac:dyDescent="0.25">
      <c r="A199" t="s">
        <v>128</v>
      </c>
      <c r="B199" t="str">
        <f>_xll.BDP(A199,"DS697")</f>
        <v>SMIM股價指數</v>
      </c>
      <c r="C199" t="str">
        <f>_xll.BDP(A199,"DS003")</f>
        <v>SZ</v>
      </c>
      <c r="D199" s="2">
        <f>_xll.BDP(A199,"PX_LAST")</f>
        <v>2579.5509999999999</v>
      </c>
      <c r="E199" s="2">
        <f>_xll.BDP(A199,"CHG_PCT_1D")</f>
        <v>0.69684190000000001</v>
      </c>
      <c r="F199" s="2">
        <f>_xll.BDP(A199,"HIGH_52WEEK")</f>
        <v>2645.366</v>
      </c>
      <c r="G199" s="2">
        <f>LN(F199/D199)*100</f>
        <v>2.5194077247917686</v>
      </c>
      <c r="H199" s="2">
        <f>_xll.BDP(A199,"LOW_52WEEK")</f>
        <v>2048.9229999999998</v>
      </c>
      <c r="I199" s="2">
        <f>LN(H199/D199)*100</f>
        <v>-23.030106353695732</v>
      </c>
      <c r="J199" s="2">
        <f>_xll.BDP(A199,"CHG_PCT_5D")</f>
        <v>-0.42915350000000002</v>
      </c>
      <c r="K199" s="2">
        <f>_xll.BDP(A199,"CHG_PCT_1M")</f>
        <v>2.8155199999999998</v>
      </c>
      <c r="L199" s="2">
        <f>_xll.BDP(A199,"CHG_PCT_3M")</f>
        <v>2.9036689999999998</v>
      </c>
      <c r="M199" s="2">
        <f>_xll.BDP(A199,"CHG_PCT_6M")</f>
        <v>8.0968590000000003</v>
      </c>
      <c r="N199" s="2">
        <f>_xll.BDP(A199,"PR064")</f>
        <v>2.9036689999999998</v>
      </c>
      <c r="O199" s="2">
        <f>_xll.BDP(A199,"CHG_PCT_1YR")</f>
        <v>-2.0151560000000002</v>
      </c>
      <c r="P199" s="2">
        <f>_xll.BDP(A199,"INTERVAL_HIGH", "MARKET_DATA_OVERRIDE=PE_RATIO", "CALC_INTERVAL=5y", "BEST_FPERIOD_OVERRIDE=BF")</f>
        <v>25.626803154354537</v>
      </c>
      <c r="Q199" s="2">
        <f>_xll.BDP(A199,"INTERVAL_Low", "MARKET_DATA_OVERRIDE=PE_RATIO", "CALC_INTERVAL=5y", "BEST_FPERIOD_OVERRIDE=BF")</f>
        <v>11.433795367363906</v>
      </c>
      <c r="R199" s="2">
        <f>_xll.BDP(A199,"PE_RATIO")</f>
        <v>19.791462947269974</v>
      </c>
      <c r="S199" s="3">
        <f>IF(ISERROR((R199-Q199)/(P199-Q199)),"",(R199-Q199)/(P199-Q199))</f>
        <v>0.58885809867354122</v>
      </c>
    </row>
    <row r="200" spans="1:19" x14ac:dyDescent="0.25">
      <c r="A200" t="s">
        <v>45</v>
      </c>
      <c r="B200" t="str">
        <f>_xll.BDP(A200,"DS697")</f>
        <v>標普/多倫多綜合指數</v>
      </c>
      <c r="C200" t="str">
        <f>_xll.BDP(A200,"DS003")</f>
        <v>CA</v>
      </c>
      <c r="D200" s="2">
        <f>_xll.BDP(A200,"PX_LAST")</f>
        <v>16790.400000000001</v>
      </c>
      <c r="E200" s="2">
        <f>_xll.BDP(A200,"CHG_PCT_1D")</f>
        <v>3.6403089999999999E-2</v>
      </c>
      <c r="F200" s="2">
        <f>_xll.BDP(A200,"HIGH_52WEEK")</f>
        <v>16947.23046875</v>
      </c>
      <c r="G200" s="2">
        <f>LN(F200/D200)*100</f>
        <v>0.92971317918799778</v>
      </c>
      <c r="H200" s="2">
        <f>_xll.BDP(A200,"LOW_52WEEK")</f>
        <v>13776.88</v>
      </c>
      <c r="I200" s="2">
        <f>LN(H200/D200)*100</f>
        <v>-19.781546965484985</v>
      </c>
      <c r="J200" s="2">
        <f>_xll.BDP(A200,"CHG_PCT_5D")</f>
        <v>-0.40303899999999998</v>
      </c>
      <c r="K200" s="2">
        <f>_xll.BDP(A200,"CHG_PCT_1M")</f>
        <v>3.7495419999999999</v>
      </c>
      <c r="L200" s="2">
        <f>_xll.BDP(A200,"CHG_PCT_3M")</f>
        <v>2.9597609999999999</v>
      </c>
      <c r="M200" s="2">
        <f>_xll.BDP(A200,"CHG_PCT_6M")</f>
        <v>4.0779100000000001</v>
      </c>
      <c r="N200" s="2">
        <f>_xll.BDP(A200,"PR064")</f>
        <v>2.9597609999999999</v>
      </c>
      <c r="O200" s="2">
        <f>_xll.BDP(A200,"CHG_PCT_1YR")</f>
        <v>3.614897</v>
      </c>
      <c r="P200" s="2">
        <f>_xll.BDP(A200,"INTERVAL_HIGH", "MARKET_DATA_OVERRIDE=PE_RATIO", "CALC_INTERVAL=5y", "BEST_FPERIOD_OVERRIDE=BF")</f>
        <v>23.773816237692355</v>
      </c>
      <c r="Q200" s="2">
        <f>_xll.BDP(A200,"INTERVAL_Low", "MARKET_DATA_OVERRIDE=PE_RATIO", "CALC_INTERVAL=5y", "BEST_FPERIOD_OVERRIDE=BF")</f>
        <v>15.232454432333697</v>
      </c>
      <c r="R200" s="2">
        <f>_xll.BDP(A200,"PE_RATIO")</f>
        <v>17.079826050877362</v>
      </c>
      <c r="S200" s="3">
        <f>IF(ISERROR((R200-Q200)/(P200-Q200)),"",(R200-Q200)/(P200-Q200))</f>
        <v>0.21628537236119252</v>
      </c>
    </row>
    <row r="201" spans="1:19" x14ac:dyDescent="0.25">
      <c r="A201" t="s">
        <v>90</v>
      </c>
      <c r="B201" t="str">
        <f>_xll.BDP(A201,"DS697")</f>
        <v>標準普爾歐洲 350 指數</v>
      </c>
      <c r="C201" t="str">
        <f>_xll.BDP(A201,"DS003")</f>
        <v>EC</v>
      </c>
      <c r="D201" s="2">
        <f>_xll.BDP(A201,"PX_LAST")</f>
        <v>1575.97</v>
      </c>
      <c r="E201" s="2">
        <f>_xll.BDP(A201,"CHG_PCT_1D")</f>
        <v>0.67265430000000004</v>
      </c>
      <c r="F201" s="2">
        <f>_xll.BDP(A201,"HIGH_52WEEK")</f>
        <v>1595.75</v>
      </c>
      <c r="G201" s="2">
        <f>LN(F201/D201)*100</f>
        <v>1.2472889432515168</v>
      </c>
      <c r="H201" s="2">
        <f>_xll.BDP(A201,"LOW_52WEEK")</f>
        <v>1326.04</v>
      </c>
      <c r="I201" s="2">
        <f>LN(H201/D201)*100</f>
        <v>-17.267389850030682</v>
      </c>
      <c r="J201" s="2">
        <f>_xll.BDP(A201,"CHG_PCT_5D")</f>
        <v>-0.39564290000000002</v>
      </c>
      <c r="K201" s="2">
        <f>_xll.BDP(A201,"CHG_PCT_1M")</f>
        <v>4.5093740000000002</v>
      </c>
      <c r="L201" s="2">
        <f>_xll.BDP(A201,"CHG_PCT_3M")</f>
        <v>1.972189</v>
      </c>
      <c r="M201" s="2">
        <f>_xll.BDP(A201,"CHG_PCT_6M")</f>
        <v>3.0490279999999998</v>
      </c>
      <c r="N201" s="2">
        <f>_xll.BDP(A201,"PR064")</f>
        <v>1.972189</v>
      </c>
      <c r="O201" s="2">
        <f>_xll.BDP(A201,"CHG_PCT_1YR")</f>
        <v>1.0133540000000001</v>
      </c>
      <c r="P201" s="2">
        <f>_xll.BDP(A201,"INTERVAL_HIGH", "MARKET_DATA_OVERRIDE=PE_RATIO", "CALC_INTERVAL=5y", "BEST_FPERIOD_OVERRIDE=BF")</f>
        <v>29.867590653066191</v>
      </c>
      <c r="Q201" s="2">
        <f>_xll.BDP(A201,"INTERVAL_Low", "MARKET_DATA_OVERRIDE=PE_RATIO", "CALC_INTERVAL=5y", "BEST_FPERIOD_OVERRIDE=BF")</f>
        <v>14.32097835500762</v>
      </c>
      <c r="R201" s="2">
        <f>_xll.BDP(A201,"PE_RATIO")</f>
        <v>18.53269823180608</v>
      </c>
      <c r="S201" s="3">
        <f>IF(ISERROR((R201-Q201)/(P201-Q201)),"",(R201-Q201)/(P201-Q201))</f>
        <v>0.27090917275427334</v>
      </c>
    </row>
    <row r="202" spans="1:19" x14ac:dyDescent="0.25">
      <c r="A202" t="s">
        <v>79</v>
      </c>
      <c r="B202" t="str">
        <f>_xll.BDP(A202,"DS697")</f>
        <v>彭博歐洲500指數</v>
      </c>
      <c r="C202" t="str">
        <f>_xll.BDP(A202,"DS003")</f>
        <v>EC</v>
      </c>
      <c r="D202" s="2">
        <f>_xll.BDP(A202,"PX_LAST")</f>
        <v>260.60000000000002</v>
      </c>
      <c r="E202" s="2">
        <f>_xll.BDP(A202,"CHG_PCT_1D")</f>
        <v>0.71497580000000005</v>
      </c>
      <c r="F202" s="2">
        <f>_xll.BDP(A202,"HIGH_52WEEK")</f>
        <v>264.58999999999997</v>
      </c>
      <c r="G202" s="2">
        <f>LN(F202/D202)*100</f>
        <v>1.5194793381005176</v>
      </c>
      <c r="H202" s="2">
        <f>_xll.BDP(A202,"LOW_52WEEK")</f>
        <v>220.05</v>
      </c>
      <c r="I202" s="2">
        <f>LN(H202/D202)*100</f>
        <v>-16.913187143364436</v>
      </c>
      <c r="J202" s="2">
        <f>_xll.BDP(A202,"CHG_PCT_5D")</f>
        <v>-0.38987660000000002</v>
      </c>
      <c r="K202" s="2">
        <f>_xll.BDP(A202,"CHG_PCT_1M")</f>
        <v>4.1858240000000002</v>
      </c>
      <c r="L202" s="2">
        <f>_xll.BDP(A202,"CHG_PCT_3M")</f>
        <v>1.8247230000000001</v>
      </c>
      <c r="M202" s="2">
        <f>_xll.BDP(A202,"CHG_PCT_6M")</f>
        <v>2.5984280000000002</v>
      </c>
      <c r="N202" s="2">
        <f>_xll.BDP(A202,"PR064")</f>
        <v>1.8247230000000001</v>
      </c>
      <c r="O202" s="2">
        <f>_xll.BDP(A202,"CHG_PCT_1YR")</f>
        <v>7.2962810000000003E-2</v>
      </c>
      <c r="P202" s="2">
        <f>_xll.BDP(A202,"INTERVAL_HIGH", "MARKET_DATA_OVERRIDE=PE_RATIO", "CALC_INTERVAL=5y", "BEST_FPERIOD_OVERRIDE=BF")</f>
        <v>28.295160344309064</v>
      </c>
      <c r="Q202" s="2">
        <f>_xll.BDP(A202,"INTERVAL_Low", "MARKET_DATA_OVERRIDE=PE_RATIO", "CALC_INTERVAL=5y", "BEST_FPERIOD_OVERRIDE=BF")</f>
        <v>13.918610233588867</v>
      </c>
      <c r="R202" s="2">
        <f>_xll.BDP(A202,"PE_RATIO")</f>
        <v>18.694969633122753</v>
      </c>
      <c r="S202" s="3">
        <f>IF(ISERROR((R202-Q202)/(P202-Q202)),"",(R202-Q202)/(P202-Q202))</f>
        <v>0.33223265406158092</v>
      </c>
    </row>
    <row r="203" spans="1:19" x14ac:dyDescent="0.25">
      <c r="A203" t="s">
        <v>66</v>
      </c>
      <c r="B203" t="str">
        <f>_xll.BDP(A203,"DS697")</f>
        <v>智利 INTER-10 國際指數</v>
      </c>
      <c r="C203" t="str">
        <f>_xll.BDP(A203,"DS003")</f>
        <v>CL</v>
      </c>
      <c r="D203" s="2">
        <f>_xll.BDP(A203,"PX_LAST")</f>
        <v>6112.1570000000002</v>
      </c>
      <c r="E203" s="2">
        <f>_xll.BDP(A203,"CHG_PCT_1D")</f>
        <v>0.40835850000000001</v>
      </c>
      <c r="F203" s="2">
        <f>_xll.BDP(A203,"HIGH_52WEEK")</f>
        <v>6603.41015625</v>
      </c>
      <c r="G203" s="2">
        <f>LN(F203/D203)*100</f>
        <v>7.730646722771259</v>
      </c>
      <c r="H203" s="2">
        <f>_xll.BDP(A203,"LOW_52WEEK")</f>
        <v>5605.79</v>
      </c>
      <c r="I203" s="2">
        <f>LN(H203/D203)*100</f>
        <v>-8.6479746530557176</v>
      </c>
      <c r="J203" s="2">
        <f>_xll.BDP(A203,"CHG_PCT_5D")</f>
        <v>-0.37446400000000002</v>
      </c>
      <c r="K203" s="2">
        <f>_xll.BDP(A203,"CHG_PCT_1M")</f>
        <v>8.3835359999999994</v>
      </c>
      <c r="L203" s="2">
        <f>_xll.BDP(A203,"CHG_PCT_3M")</f>
        <v>2.236917</v>
      </c>
      <c r="M203" s="2">
        <f>_xll.BDP(A203,"CHG_PCT_6M")</f>
        <v>3.1085660000000001E-2</v>
      </c>
      <c r="N203" s="2">
        <f>_xll.BDP(A203,"PR064")</f>
        <v>2.236917</v>
      </c>
      <c r="O203" s="2">
        <f>_xll.BDP(A203,"CHG_PCT_1YR")</f>
        <v>0.75785930000000001</v>
      </c>
      <c r="P203" s="2" t="str">
        <f>_xll.BDP(A203,"INTERVAL_HIGH", "MARKET_DATA_OVERRIDE=PE_RATIO", "CALC_INTERVAL=5y", "BEST_FPERIOD_OVERRIDE=BF")</f>
        <v>#N/A N/A</v>
      </c>
      <c r="Q203" s="2" t="str">
        <f>_xll.BDP(A203,"INTERVAL_Low", "MARKET_DATA_OVERRIDE=PE_RATIO", "CALC_INTERVAL=5y", "BEST_FPERIOD_OVERRIDE=BF")</f>
        <v>#N/A N/A</v>
      </c>
      <c r="R203" s="2" t="str">
        <f>_xll.BDP(A203,"PE_RATIO")</f>
        <v>#N/A N/A</v>
      </c>
      <c r="S203" s="3" t="str">
        <f>IF(ISERROR((R203-Q203)/(P203-Q203)),"",(R203-Q203)/(P203-Q203))</f>
        <v/>
      </c>
    </row>
    <row r="204" spans="1:19" x14ac:dyDescent="0.25">
      <c r="A204" t="s">
        <v>310</v>
      </c>
      <c r="B204" t="str">
        <f>_xll.BDP(A204,"DS697")</f>
        <v>印尼雅加達L-Q45指數</v>
      </c>
      <c r="C204" t="str">
        <f>_xll.BDP(A204,"DS003")</f>
        <v>ID</v>
      </c>
      <c r="D204" s="2">
        <f>_xll.BDP(A204,"PX_LAST")</f>
        <v>979.12300000000005</v>
      </c>
      <c r="E204" s="2">
        <f>_xll.BDP(A204,"CHG_PCT_1D")</f>
        <v>1.8724909999999999</v>
      </c>
      <c r="F204" s="2">
        <f>_xll.BDP(A204,"HIGH_52WEEK")</f>
        <v>1059.6479999999999</v>
      </c>
      <c r="G204" s="2">
        <f>LN(F204/D204)*100</f>
        <v>7.903478343994168</v>
      </c>
      <c r="H204" s="2">
        <f>_xll.BDP(A204,"LOW_52WEEK")</f>
        <v>871.05100000000004</v>
      </c>
      <c r="I204" s="2">
        <f>LN(H204/D204)*100</f>
        <v>-11.695674451997235</v>
      </c>
      <c r="J204" s="2">
        <f>_xll.BDP(A204,"CHG_PCT_5D")</f>
        <v>-0.37392969999999998</v>
      </c>
      <c r="K204" s="2">
        <f>_xll.BDP(A204,"CHG_PCT_1M")</f>
        <v>-5.5019129999999999E-2</v>
      </c>
      <c r="L204" s="2">
        <f>_xll.BDP(A204,"CHG_PCT_3M")</f>
        <v>-3.1890209999999999</v>
      </c>
      <c r="M204" s="2">
        <f>_xll.BDP(A204,"CHG_PCT_6M")</f>
        <v>-3.0969449999999998</v>
      </c>
      <c r="N204" s="2">
        <f>_xll.BDP(A204,"PR064")</f>
        <v>-3.1890209999999999</v>
      </c>
      <c r="O204" s="2">
        <f>_xll.BDP(A204,"CHG_PCT_1YR")</f>
        <v>4.3597489999999999</v>
      </c>
      <c r="P204" s="2">
        <f>_xll.BDP(A204,"INTERVAL_HIGH", "MARKET_DATA_OVERRIDE=PE_RATIO", "CALC_INTERVAL=5y", "BEST_FPERIOD_OVERRIDE=BF")</f>
        <v>22.001303118964582</v>
      </c>
      <c r="Q204" s="2">
        <f>_xll.BDP(A204,"INTERVAL_Low", "MARKET_DATA_OVERRIDE=PE_RATIO", "CALC_INTERVAL=5y", "BEST_FPERIOD_OVERRIDE=BF")</f>
        <v>14.357142419987722</v>
      </c>
      <c r="R204" s="2">
        <f>_xll.BDP(A204,"PE_RATIO")</f>
        <v>16.160114601915026</v>
      </c>
      <c r="S204" s="3">
        <f>IF(ISERROR((R204-Q204)/(P204-Q204)),"",(R204-Q204)/(P204-Q204))</f>
        <v>0.23586267386668422</v>
      </c>
    </row>
    <row r="205" spans="1:19" x14ac:dyDescent="0.25">
      <c r="A205" t="s">
        <v>218</v>
      </c>
      <c r="B205" t="str">
        <f>_xll.BDP(A205,"DS697")</f>
        <v>台拉維夫35指數</v>
      </c>
      <c r="C205" t="str">
        <f>_xll.BDP(A205,"DS003")</f>
        <v>IS</v>
      </c>
      <c r="D205" s="2">
        <f>_xll.BDP(A205,"PX_LAST")</f>
        <v>1615.48</v>
      </c>
      <c r="E205" s="2">
        <f>_xll.BDP(A205,"CHG_PCT_1D")</f>
        <v>0.63728390000000001</v>
      </c>
      <c r="F205" s="2">
        <f>_xll.BDP(A205,"HIGH_52WEEK")</f>
        <v>1665.75</v>
      </c>
      <c r="G205" s="2">
        <f>LN(F205/D205)*100</f>
        <v>3.0643346322817693</v>
      </c>
      <c r="H205" s="2">
        <f>_xll.BDP(A205,"LOW_52WEEK")</f>
        <v>1379.22</v>
      </c>
      <c r="I205" s="2">
        <f>LN(H205/D205)*100</f>
        <v>-15.811400415544824</v>
      </c>
      <c r="J205" s="2">
        <f>_xll.BDP(A205,"CHG_PCT_5D")</f>
        <v>-0.37064619999999998</v>
      </c>
      <c r="K205" s="2">
        <f>_xll.BDP(A205,"CHG_PCT_1M")</f>
        <v>4.1553000000000004</v>
      </c>
      <c r="L205" s="2">
        <f>_xll.BDP(A205,"CHG_PCT_3M")</f>
        <v>2.3070789999999999</v>
      </c>
      <c r="M205" s="2">
        <f>_xll.BDP(A205,"CHG_PCT_6M")</f>
        <v>4.6769860000000003</v>
      </c>
      <c r="N205" s="2">
        <f>_xll.BDP(A205,"PR064")</f>
        <v>2.3070789999999999</v>
      </c>
      <c r="O205" s="2">
        <f>_xll.BDP(A205,"CHG_PCT_1YR")</f>
        <v>-1.6612210000000001</v>
      </c>
      <c r="P205" s="2">
        <f>_xll.BDP(A205,"INTERVAL_HIGH", "MARKET_DATA_OVERRIDE=PE_RATIO", "CALC_INTERVAL=5y", "BEST_FPERIOD_OVERRIDE=BF")</f>
        <v>726.15941032715671</v>
      </c>
      <c r="Q205" s="2">
        <f>_xll.BDP(A205,"INTERVAL_Low", "MARKET_DATA_OVERRIDE=PE_RATIO", "CALC_INTERVAL=5y", "BEST_FPERIOD_OVERRIDE=BF")</f>
        <v>13.469848781390276</v>
      </c>
      <c r="R205" s="2">
        <f>_xll.BDP(A205,"PE_RATIO")</f>
        <v>723.46792406694772</v>
      </c>
      <c r="S205" s="3">
        <f>IF(ISERROR((R205-Q205)/(P205-Q205)),"",(R205-Q205)/(P205-Q205))</f>
        <v>0.99622348017224871</v>
      </c>
    </row>
    <row r="206" spans="1:19" x14ac:dyDescent="0.25">
      <c r="A206" t="s">
        <v>125</v>
      </c>
      <c r="B206" t="str">
        <f>_xll.BDP(A206,"DS697")</f>
        <v>瑞士SPI表現指數</v>
      </c>
      <c r="C206" t="str">
        <f>_xll.BDP(A206,"DS003")</f>
        <v>SZ</v>
      </c>
      <c r="D206" s="2">
        <f>_xll.BDP(A206,"PX_LAST")</f>
        <v>12157.64</v>
      </c>
      <c r="E206" s="2">
        <f>_xll.BDP(A206,"CHG_PCT_1D")</f>
        <v>0.91714640000000003</v>
      </c>
      <c r="F206" s="2">
        <f>_xll.BDP(A206,"HIGH_52WEEK")</f>
        <v>12302.53</v>
      </c>
      <c r="G206" s="2">
        <f>LN(F206/D206)*100</f>
        <v>1.1847153528880854</v>
      </c>
      <c r="H206" s="2">
        <f>_xll.BDP(A206,"LOW_52WEEK")</f>
        <v>9516.9500000000007</v>
      </c>
      <c r="I206" s="2">
        <f>LN(H206/D206)*100</f>
        <v>-24.488335943492697</v>
      </c>
      <c r="J206" s="2">
        <f>_xll.BDP(A206,"CHG_PCT_5D")</f>
        <v>-0.3615853</v>
      </c>
      <c r="K206" s="2">
        <f>_xll.BDP(A206,"CHG_PCT_1M")</f>
        <v>2.0130439999999998</v>
      </c>
      <c r="L206" s="2">
        <f>_xll.BDP(A206,"CHG_PCT_3M")</f>
        <v>2.0392480000000002</v>
      </c>
      <c r="M206" s="2">
        <f>_xll.BDP(A206,"CHG_PCT_6M")</f>
        <v>9.1283469999999998</v>
      </c>
      <c r="N206" s="2">
        <f>_xll.BDP(A206,"PR064")</f>
        <v>2.0392480000000002</v>
      </c>
      <c r="O206" s="2">
        <f>_xll.BDP(A206,"CHG_PCT_1YR")</f>
        <v>12.29053</v>
      </c>
      <c r="P206" s="2">
        <f>_xll.BDP(A206,"INTERVAL_HIGH", "MARKET_DATA_OVERRIDE=PE_RATIO", "CALC_INTERVAL=5y", "BEST_FPERIOD_OVERRIDE=BF")</f>
        <v>38.878815875915883</v>
      </c>
      <c r="Q206" s="2">
        <f>_xll.BDP(A206,"INTERVAL_Low", "MARKET_DATA_OVERRIDE=PE_RATIO", "CALC_INTERVAL=5y", "BEST_FPERIOD_OVERRIDE=BF")</f>
        <v>11.329374408712635</v>
      </c>
      <c r="R206" s="2">
        <f>_xll.BDP(A206,"PE_RATIO")</f>
        <v>19.030207470137352</v>
      </c>
      <c r="S206" s="3">
        <f>IF(ISERROR((R206-Q206)/(P206-Q206)),"",(R206-Q206)/(P206-Q206))</f>
        <v>0.27952773817909587</v>
      </c>
    </row>
    <row r="207" spans="1:19" x14ac:dyDescent="0.25">
      <c r="A207" t="s">
        <v>89</v>
      </c>
      <c r="B207" t="str">
        <f>_xll.BDP(A207,"DS697")</f>
        <v>MSCI 泛歐指數</v>
      </c>
      <c r="C207" t="str">
        <f>_xll.BDP(A207,"DS003")</f>
        <v>EC</v>
      </c>
      <c r="D207" s="2">
        <f>_xll.BDP(A207,"PX_LAST")</f>
        <v>1217.673</v>
      </c>
      <c r="E207" s="2">
        <f>_xll.BDP(A207,"CHG_PCT_1D")</f>
        <v>0.61168169999999999</v>
      </c>
      <c r="F207" s="2">
        <f>_xll.BDP(A207,"HIGH_52WEEK")</f>
        <v>1234.3399999999999</v>
      </c>
      <c r="G207" s="2">
        <f>LN(F207/D207)*100</f>
        <v>1.3594753938976332</v>
      </c>
      <c r="H207" s="2">
        <f>_xll.BDP(A207,"LOW_52WEEK")</f>
        <v>1028.79</v>
      </c>
      <c r="I207" s="2">
        <f>LN(H207/D207)*100</f>
        <v>-16.855830594422965</v>
      </c>
      <c r="J207" s="2">
        <f>_xll.BDP(A207,"CHG_PCT_5D")</f>
        <v>-0.33676869999999998</v>
      </c>
      <c r="K207" s="2">
        <f>_xll.BDP(A207,"CHG_PCT_1M")</f>
        <v>4.5301679999999998</v>
      </c>
      <c r="L207" s="2">
        <f>_xll.BDP(A207,"CHG_PCT_3M")</f>
        <v>1.741425</v>
      </c>
      <c r="M207" s="2">
        <f>_xll.BDP(A207,"CHG_PCT_6M")</f>
        <v>3.018103</v>
      </c>
      <c r="N207" s="2">
        <f>_xll.BDP(A207,"PR064")</f>
        <v>1.741425</v>
      </c>
      <c r="O207" s="2">
        <f>_xll.BDP(A207,"CHG_PCT_1YR")</f>
        <v>1.641561</v>
      </c>
      <c r="P207" s="2">
        <f>_xll.BDP(A207,"INTERVAL_HIGH", "MARKET_DATA_OVERRIDE=PE_RATIO", "CALC_INTERVAL=5y", "BEST_FPERIOD_OVERRIDE=BF")</f>
        <v>31.911913346375467</v>
      </c>
      <c r="Q207" s="2">
        <f>_xll.BDP(A207,"INTERVAL_Low", "MARKET_DATA_OVERRIDE=PE_RATIO", "CALC_INTERVAL=5y", "BEST_FPERIOD_OVERRIDE=BF")</f>
        <v>14.593211613469414</v>
      </c>
      <c r="R207" s="2">
        <f>_xll.BDP(A207,"PE_RATIO")</f>
        <v>18.102125573187287</v>
      </c>
      <c r="S207" s="3">
        <f>IF(ISERROR((R207-Q207)/(P207-Q207)),"",(R207-Q207)/(P207-Q207))</f>
        <v>0.20260837179560817</v>
      </c>
    </row>
    <row r="208" spans="1:19" x14ac:dyDescent="0.25">
      <c r="A208" t="s">
        <v>302</v>
      </c>
      <c r="B208" t="str">
        <f>_xll.BDP(A208,"DS697")</f>
        <v>韓國KOSPI50指數</v>
      </c>
      <c r="C208" t="str">
        <f>_xll.BDP(A208,"DS003")</f>
        <v>SK</v>
      </c>
      <c r="D208" s="2">
        <f>_xll.BDP(A208,"PX_LAST")</f>
        <v>1864.13</v>
      </c>
      <c r="E208" s="2">
        <f>_xll.BDP(A208,"CHG_PCT_1D")</f>
        <v>0.1897237</v>
      </c>
      <c r="F208" s="2">
        <f>_xll.BDP(A208,"HIGH_52WEEK")</f>
        <v>2010.67</v>
      </c>
      <c r="G208" s="2">
        <f>LN(F208/D208)*100</f>
        <v>7.5673543540329167</v>
      </c>
      <c r="H208" s="2">
        <f>_xll.BDP(A208,"LOW_52WEEK")</f>
        <v>1676.71</v>
      </c>
      <c r="I208" s="2">
        <f>LN(H208/D208)*100</f>
        <v>-10.596091628079433</v>
      </c>
      <c r="J208" s="2">
        <f>_xll.BDP(A208,"CHG_PCT_5D")</f>
        <v>-0.33255679999999999</v>
      </c>
      <c r="K208" s="2">
        <f>_xll.BDP(A208,"CHG_PCT_1M")</f>
        <v>8.6664829999999995</v>
      </c>
      <c r="L208" s="2">
        <f>_xll.BDP(A208,"CHG_PCT_3M")</f>
        <v>0.40017520000000001</v>
      </c>
      <c r="M208" s="2">
        <f>_xll.BDP(A208,"CHG_PCT_6M")</f>
        <v>0.99087890000000001</v>
      </c>
      <c r="N208" s="2">
        <f>_xll.BDP(A208,"PR064")</f>
        <v>0.40017520000000001</v>
      </c>
      <c r="O208" s="2">
        <f>_xll.BDP(A208,"CHG_PCT_1YR")</f>
        <v>-7.2881200000000002</v>
      </c>
      <c r="P208" s="2">
        <f>_xll.BDP(A208,"INTERVAL_HIGH", "MARKET_DATA_OVERRIDE=PE_RATIO", "CALC_INTERVAL=5y", "BEST_FPERIOD_OVERRIDE=BF")</f>
        <v>14.372650279835627</v>
      </c>
      <c r="Q208" s="2">
        <f>_xll.BDP(A208,"INTERVAL_Low", "MARKET_DATA_OVERRIDE=PE_RATIO", "CALC_INTERVAL=5y", "BEST_FPERIOD_OVERRIDE=BF")</f>
        <v>7.7836998671942776</v>
      </c>
      <c r="R208" s="2">
        <f>_xll.BDP(A208,"PE_RATIO")</f>
        <v>11.644366540077028</v>
      </c>
      <c r="S208" s="3">
        <f>IF(ISERROR((R208-Q208)/(P208-Q208)),"",(R208-Q208)/(P208-Q208))</f>
        <v>0.58593044887328327</v>
      </c>
    </row>
    <row r="209" spans="1:19" x14ac:dyDescent="0.25">
      <c r="A209" t="s">
        <v>102</v>
      </c>
      <c r="B209" t="str">
        <f>_xll.BDP(A209,"DS697")</f>
        <v>富時綜合指數</v>
      </c>
      <c r="C209" t="str">
        <f>_xll.BDP(A209,"DS003")</f>
        <v>GB</v>
      </c>
      <c r="D209" s="2">
        <f>_xll.BDP(A209,"PX_LAST")</f>
        <v>4031.56</v>
      </c>
      <c r="E209" s="2">
        <f>_xll.BDP(A209,"CHG_PCT_1D")</f>
        <v>0.69837150000000003</v>
      </c>
      <c r="F209" s="2">
        <f>_xll.BDP(A209,"HIGH_52WEEK")</f>
        <v>4205.74</v>
      </c>
      <c r="G209" s="2">
        <f>LN(F209/D209)*100</f>
        <v>4.2296861086947741</v>
      </c>
      <c r="H209" s="2">
        <f>_xll.BDP(A209,"LOW_52WEEK")</f>
        <v>3573.33</v>
      </c>
      <c r="I209" s="2">
        <f>LN(H209/D209)*100</f>
        <v>-12.065546369186773</v>
      </c>
      <c r="J209" s="2">
        <f>_xll.BDP(A209,"CHG_PCT_5D")</f>
        <v>-0.32930229999999999</v>
      </c>
      <c r="K209" s="2">
        <f>_xll.BDP(A209,"CHG_PCT_1M")</f>
        <v>3.3940139999999999</v>
      </c>
      <c r="L209" s="2">
        <f>_xll.BDP(A209,"CHG_PCT_3M")</f>
        <v>-0.25137589999999999</v>
      </c>
      <c r="M209" s="2">
        <f>_xll.BDP(A209,"CHG_PCT_6M")</f>
        <v>2.5174439999999998</v>
      </c>
      <c r="N209" s="2">
        <f>_xll.BDP(A209,"PR064")</f>
        <v>-0.25137589999999999</v>
      </c>
      <c r="O209" s="2">
        <f>_xll.BDP(A209,"CHG_PCT_1YR")</f>
        <v>-2.757673</v>
      </c>
      <c r="P209" s="2">
        <f>_xll.BDP(A209,"INTERVAL_HIGH", "MARKET_DATA_OVERRIDE=PE_RATIO", "CALC_INTERVAL=5y", "BEST_FPERIOD_OVERRIDE=BF")</f>
        <v>58.786456184195991</v>
      </c>
      <c r="Q209" s="2">
        <f>_xll.BDP(A209,"INTERVAL_Low", "MARKET_DATA_OVERRIDE=PE_RATIO", "CALC_INTERVAL=5y", "BEST_FPERIOD_OVERRIDE=BF")</f>
        <v>16.113247867211644</v>
      </c>
      <c r="R209" s="2">
        <f>_xll.BDP(A209,"PE_RATIO")</f>
        <v>18.700715181852388</v>
      </c>
      <c r="S209" s="3">
        <f>IF(ISERROR((R209-Q209)/(P209-Q209)),"",(R209-Q209)/(P209-Q209))</f>
        <v>6.0634468714434751E-2</v>
      </c>
    </row>
    <row r="210" spans="1:19" x14ac:dyDescent="0.25">
      <c r="A210" t="s">
        <v>122</v>
      </c>
      <c r="B210" t="str">
        <f>_xll.BDP(A210,"DS697")</f>
        <v>馬德里綜合指數</v>
      </c>
      <c r="C210" t="str">
        <f>_xll.BDP(A210,"DS003")</f>
        <v>SP</v>
      </c>
      <c r="D210" s="2">
        <f>_xll.BDP(A210,"PX_LAST")</f>
        <v>912.04</v>
      </c>
      <c r="E210" s="2">
        <f>_xll.BDP(A210,"CHG_PCT_1D")</f>
        <v>0.43055510000000002</v>
      </c>
      <c r="F210" s="2">
        <f>_xll.BDP(A210,"HIGH_52WEEK")</f>
        <v>966.67</v>
      </c>
      <c r="G210" s="2">
        <f>LN(F210/D210)*100</f>
        <v>5.8173326814724664</v>
      </c>
      <c r="H210" s="2">
        <f>_xll.BDP(A210,"LOW_52WEEK")</f>
        <v>837.04</v>
      </c>
      <c r="I210" s="2">
        <f>LN(H210/D210)*100</f>
        <v>-8.5811989688856052</v>
      </c>
      <c r="J210" s="2">
        <f>_xll.BDP(A210,"CHG_PCT_5D")</f>
        <v>-0.32676840000000001</v>
      </c>
      <c r="K210" s="2">
        <f>_xll.BDP(A210,"CHG_PCT_1M")</f>
        <v>4.3918179999999998</v>
      </c>
      <c r="L210" s="2">
        <f>_xll.BDP(A210,"CHG_PCT_3M")</f>
        <v>-0.94489350000000005</v>
      </c>
      <c r="M210" s="2">
        <f>_xll.BDP(A210,"CHG_PCT_6M")</f>
        <v>-2.0323150000000001</v>
      </c>
      <c r="N210" s="2">
        <f>_xll.BDP(A210,"PR064")</f>
        <v>-0.94489350000000005</v>
      </c>
      <c r="O210" s="2">
        <f>_xll.BDP(A210,"CHG_PCT_1YR")</f>
        <v>-5.5556150000000004</v>
      </c>
      <c r="P210" s="2">
        <f>_xll.BDP(A210,"INTERVAL_HIGH", "MARKET_DATA_OVERRIDE=PE_RATIO", "CALC_INTERVAL=5y", "BEST_FPERIOD_OVERRIDE=BF")</f>
        <v>30.660709000093519</v>
      </c>
      <c r="Q210" s="2">
        <f>_xll.BDP(A210,"INTERVAL_Low", "MARKET_DATA_OVERRIDE=PE_RATIO", "CALC_INTERVAL=5y", "BEST_FPERIOD_OVERRIDE=BF")</f>
        <v>10.715721525087618</v>
      </c>
      <c r="R210" s="2">
        <f>_xll.BDP(A210,"PE_RATIO")</f>
        <v>11.433256111056835</v>
      </c>
      <c r="S210" s="3">
        <f>IF(ISERROR((R210-Q210)/(P210-Q210)),"",(R210-Q210)/(P210-Q210))</f>
        <v>3.5975684961868065E-2</v>
      </c>
    </row>
    <row r="211" spans="1:19" x14ac:dyDescent="0.25">
      <c r="A211" t="s">
        <v>31</v>
      </c>
      <c r="B211" t="str">
        <f>_xll.BDP(A211,"DS697")</f>
        <v>紐約證交所Arca主要市場指數</v>
      </c>
      <c r="C211" t="str">
        <f>_xll.BDP(A211,"DS003")</f>
        <v>US</v>
      </c>
      <c r="D211" s="2">
        <f>_xll.BDP(A211,"PX_LAST")</f>
        <v>2743.9389999999999</v>
      </c>
      <c r="E211" s="2">
        <f>_xll.BDP(A211,"CHG_PCT_1D")</f>
        <v>-0.27214969999999999</v>
      </c>
      <c r="F211" s="2">
        <f>_xll.BDP(A211,"HIGH_52WEEK")</f>
        <v>2780.6509999999998</v>
      </c>
      <c r="G211" s="2">
        <f>LN(F211/D211)*100</f>
        <v>1.3290593654436231</v>
      </c>
      <c r="H211" s="2">
        <f>_xll.BDP(A211,"LOW_52WEEK")</f>
        <v>2202.69</v>
      </c>
      <c r="I211" s="2">
        <f>LN(H211/D211)*100</f>
        <v>-21.971513858104334</v>
      </c>
      <c r="J211" s="2">
        <f>_xll.BDP(A211,"CHG_PCT_5D")</f>
        <v>-0.31501400000000002</v>
      </c>
      <c r="K211" s="2">
        <f>_xll.BDP(A211,"CHG_PCT_1M")</f>
        <v>3.6807910000000001</v>
      </c>
      <c r="L211" s="2">
        <f>_xll.BDP(A211,"CHG_PCT_3M")</f>
        <v>1.377189</v>
      </c>
      <c r="M211" s="2">
        <f>_xll.BDP(A211,"CHG_PCT_6M")</f>
        <v>5.1704829999999999</v>
      </c>
      <c r="N211" s="2">
        <f>_xll.BDP(A211,"PR064")</f>
        <v>1.377189</v>
      </c>
      <c r="O211" s="2">
        <f>_xll.BDP(A211,"CHG_PCT_1YR")</f>
        <v>5.4300759999999997</v>
      </c>
      <c r="P211" s="2">
        <f>_xll.BDP(A211,"INTERVAL_HIGH", "MARKET_DATA_OVERRIDE=PE_RATIO", "CALC_INTERVAL=5y", "BEST_FPERIOD_OVERRIDE=BF")</f>
        <v>23.676907488470022</v>
      </c>
      <c r="Q211" s="2">
        <f>_xll.BDP(A211,"INTERVAL_Low", "MARKET_DATA_OVERRIDE=PE_RATIO", "CALC_INTERVAL=5y", "BEST_FPERIOD_OVERRIDE=BF")</f>
        <v>13.842982411865698</v>
      </c>
      <c r="R211" s="2">
        <f>_xll.BDP(A211,"PE_RATIO")</f>
        <v>20.524048262184543</v>
      </c>
      <c r="S211" s="3">
        <f>IF(ISERROR((R211-Q211)/(P211-Q211)),"",(R211-Q211)/(P211-Q211))</f>
        <v>0.67938954164025744</v>
      </c>
    </row>
    <row r="212" spans="1:19" x14ac:dyDescent="0.25">
      <c r="A212" t="s">
        <v>100</v>
      </c>
      <c r="B212" t="str">
        <f>_xll.BDP(A212,"DS697")</f>
        <v>富時350指數</v>
      </c>
      <c r="C212" t="str">
        <f>_xll.BDP(A212,"DS003")</f>
        <v>GB</v>
      </c>
      <c r="D212" s="2">
        <f>_xll.BDP(A212,"PX_LAST")</f>
        <v>4090.23</v>
      </c>
      <c r="E212" s="2">
        <f>_xll.BDP(A212,"CHG_PCT_1D")</f>
        <v>0.7351529</v>
      </c>
      <c r="F212" s="2">
        <f>_xll.BDP(A212,"HIGH_52WEEK")</f>
        <v>4269.1000000000004</v>
      </c>
      <c r="G212" s="2">
        <f>LN(F212/D212)*100</f>
        <v>4.2801828998670031</v>
      </c>
      <c r="H212" s="2">
        <f>_xll.BDP(A212,"LOW_52WEEK")</f>
        <v>3617.92</v>
      </c>
      <c r="I212" s="2">
        <f>LN(H212/D212)*100</f>
        <v>-12.270192812768995</v>
      </c>
      <c r="J212" s="2">
        <f>_xll.BDP(A212,"CHG_PCT_5D")</f>
        <v>-0.2869332</v>
      </c>
      <c r="K212" s="2">
        <f>_xll.BDP(A212,"CHG_PCT_1M")</f>
        <v>3.4882919999999999</v>
      </c>
      <c r="L212" s="2">
        <f>_xll.BDP(A212,"CHG_PCT_3M")</f>
        <v>-0.16645699999999999</v>
      </c>
      <c r="M212" s="2">
        <f>_xll.BDP(A212,"CHG_PCT_6M")</f>
        <v>2.6146440000000002</v>
      </c>
      <c r="N212" s="2">
        <f>_xll.BDP(A212,"PR064")</f>
        <v>-0.16645699999999999</v>
      </c>
      <c r="O212" s="2">
        <f>_xll.BDP(A212,"CHG_PCT_1YR")</f>
        <v>-2.5991909999999998</v>
      </c>
      <c r="P212" s="2">
        <f>_xll.BDP(A212,"INTERVAL_HIGH", "MARKET_DATA_OVERRIDE=PE_RATIO", "CALC_INTERVAL=5y", "BEST_FPERIOD_OVERRIDE=BF")</f>
        <v>50.380785682741994</v>
      </c>
      <c r="Q212" s="2">
        <f>_xll.BDP(A212,"INTERVAL_Low", "MARKET_DATA_OVERRIDE=PE_RATIO", "CALC_INTERVAL=5y", "BEST_FPERIOD_OVERRIDE=BF")</f>
        <v>15.737329089375647</v>
      </c>
      <c r="R212" s="2">
        <f>_xll.BDP(A212,"PE_RATIO")</f>
        <v>18.400590904084197</v>
      </c>
      <c r="S212" s="3">
        <f>IF(ISERROR((R212-Q212)/(P212-Q212)),"",(R212-Q212)/(P212-Q212))</f>
        <v>7.6876330383802427E-2</v>
      </c>
    </row>
    <row r="213" spans="1:19" x14ac:dyDescent="0.25">
      <c r="A213" t="s">
        <v>87</v>
      </c>
      <c r="B213" t="str">
        <f>_xll.BDP(A213,"DS697")</f>
        <v>FTSEurofirst 300 指數</v>
      </c>
      <c r="C213" t="str">
        <f>_xll.BDP(A213,"DS003")</f>
        <v>EC</v>
      </c>
      <c r="D213" s="2">
        <f>_xll.BDP(A213,"PX_LAST")</f>
        <v>1534.98</v>
      </c>
      <c r="E213" s="2">
        <f>_xll.BDP(A213,"CHG_PCT_1D")</f>
        <v>0.71981150000000005</v>
      </c>
      <c r="F213" s="2">
        <f>_xll.BDP(A213,"HIGH_52WEEK")</f>
        <v>1554.34</v>
      </c>
      <c r="G213" s="2">
        <f>LN(F213/D213)*100</f>
        <v>1.2533666594839128</v>
      </c>
      <c r="H213" s="2">
        <f>_xll.BDP(A213,"LOW_52WEEK")</f>
        <v>1291.01</v>
      </c>
      <c r="I213" s="2">
        <f>LN(H213/D213)*100</f>
        <v>-17.309249387042652</v>
      </c>
      <c r="J213" s="2">
        <f>_xll.BDP(A213,"CHG_PCT_5D")</f>
        <v>-0.28582970000000002</v>
      </c>
      <c r="K213" s="2">
        <f>_xll.BDP(A213,"CHG_PCT_1M")</f>
        <v>4.4431390000000004</v>
      </c>
      <c r="L213" s="2">
        <f>_xll.BDP(A213,"CHG_PCT_3M")</f>
        <v>1.9608639999999999</v>
      </c>
      <c r="M213" s="2">
        <f>_xll.BDP(A213,"CHG_PCT_6M")</f>
        <v>3.2488450000000002</v>
      </c>
      <c r="N213" s="2">
        <f>_xll.BDP(A213,"PR064")</f>
        <v>1.9608639999999999</v>
      </c>
      <c r="O213" s="2">
        <f>_xll.BDP(A213,"CHG_PCT_1YR")</f>
        <v>1.2406219999999999</v>
      </c>
      <c r="P213" s="2">
        <f>_xll.BDP(A213,"INTERVAL_HIGH", "MARKET_DATA_OVERRIDE=PE_RATIO", "CALC_INTERVAL=5y", "BEST_FPERIOD_OVERRIDE=BF")</f>
        <v>29.580755049573195</v>
      </c>
      <c r="Q213" s="2">
        <f>_xll.BDP(A213,"INTERVAL_Low", "MARKET_DATA_OVERRIDE=PE_RATIO", "CALC_INTERVAL=5y", "BEST_FPERIOD_OVERRIDE=BF")</f>
        <v>14.549412761093134</v>
      </c>
      <c r="R213" s="2">
        <f>_xll.BDP(A213,"PE_RATIO")</f>
        <v>18.415646815065323</v>
      </c>
      <c r="S213" s="3">
        <f>IF(ISERROR((R213-Q213)/(P213-Q213)),"",(R213-Q213)/(P213-Q213))</f>
        <v>0.25721149713523916</v>
      </c>
    </row>
    <row r="214" spans="1:19" x14ac:dyDescent="0.25">
      <c r="A214" t="s">
        <v>96</v>
      </c>
      <c r="B214" t="str">
        <f>_xll.BDP(A214,"DS697")</f>
        <v>FTSEurofirst 100 指數</v>
      </c>
      <c r="C214" t="str">
        <f>_xll.BDP(A214,"DS003")</f>
        <v>EC</v>
      </c>
      <c r="D214" s="2">
        <f>_xll.BDP(A214,"PX_LAST")</f>
        <v>4230.3</v>
      </c>
      <c r="E214" s="2">
        <f>_xll.BDP(A214,"CHG_PCT_1D")</f>
        <v>0.70632260000000002</v>
      </c>
      <c r="F214" s="2">
        <f>_xll.BDP(A214,"HIGH_52WEEK")</f>
        <v>4318.5200000000004</v>
      </c>
      <c r="G214" s="2">
        <f>LN(F214/D214)*100</f>
        <v>2.0639838436020419</v>
      </c>
      <c r="H214" s="2">
        <f>_xll.BDP(A214,"LOW_52WEEK")</f>
        <v>3608</v>
      </c>
      <c r="I214" s="2">
        <f>LN(H214/D214)*100</f>
        <v>-15.911931032877986</v>
      </c>
      <c r="J214" s="2">
        <f>_xll.BDP(A214,"CHG_PCT_5D")</f>
        <v>-0.27769579999999999</v>
      </c>
      <c r="K214" s="2">
        <f>_xll.BDP(A214,"CHG_PCT_1M")</f>
        <v>5.348217</v>
      </c>
      <c r="L214" s="2">
        <f>_xll.BDP(A214,"CHG_PCT_3M")</f>
        <v>1.4380090000000001</v>
      </c>
      <c r="M214" s="2">
        <f>_xll.BDP(A214,"CHG_PCT_6M")</f>
        <v>1.7968379999999999</v>
      </c>
      <c r="N214" s="2">
        <f>_xll.BDP(A214,"PR064")</f>
        <v>1.4380090000000001</v>
      </c>
      <c r="O214" s="2">
        <f>_xll.BDP(A214,"CHG_PCT_1YR")</f>
        <v>-0.11263140000000001</v>
      </c>
      <c r="P214" s="2">
        <f>_xll.BDP(A214,"INTERVAL_HIGH", "MARKET_DATA_OVERRIDE=PE_RATIO", "CALC_INTERVAL=5y", "BEST_FPERIOD_OVERRIDE=BF")</f>
        <v>36.91519792826174</v>
      </c>
      <c r="Q214" s="2">
        <f>_xll.BDP(A214,"INTERVAL_Low", "MARKET_DATA_OVERRIDE=PE_RATIO", "CALC_INTERVAL=5y", "BEST_FPERIOD_OVERRIDE=BF")</f>
        <v>13.86670208447647</v>
      </c>
      <c r="R214" s="2">
        <f>_xll.BDP(A214,"PE_RATIO")</f>
        <v>18.150023847710937</v>
      </c>
      <c r="S214" s="3">
        <f>IF(ISERROR((R214-Q214)/(P214-Q214)),"",(R214-Q214)/(P214-Q214))</f>
        <v>0.18583953557166333</v>
      </c>
    </row>
    <row r="215" spans="1:19" x14ac:dyDescent="0.25">
      <c r="A215" t="s">
        <v>220</v>
      </c>
      <c r="B215" t="str">
        <f>_xll.BDP(A215,"DS697")</f>
        <v>Palestine Stock Exchange Al</v>
      </c>
      <c r="C215" t="str">
        <f>_xll.BDP(A215,"DS003")</f>
        <v>PS</v>
      </c>
      <c r="D215" s="2">
        <f>_xll.BDP(A215,"PX_LAST")</f>
        <v>517.21</v>
      </c>
      <c r="E215" s="2">
        <f>_xll.BDP(A215,"CHG_PCT_1D")</f>
        <v>-5.6038650000000002E-2</v>
      </c>
      <c r="F215" s="2">
        <f>_xll.BDP(A215,"HIGH_52WEEK")</f>
        <v>551.41</v>
      </c>
      <c r="G215" s="2">
        <f>LN(F215/D215)*100</f>
        <v>6.402965248903465</v>
      </c>
      <c r="H215" s="2">
        <f>_xll.BDP(A215,"LOW_52WEEK")</f>
        <v>511.33</v>
      </c>
      <c r="I215" s="2">
        <f>LN(H215/D215)*100</f>
        <v>-1.1433807257890252</v>
      </c>
      <c r="J215" s="2">
        <f>_xll.BDP(A215,"CHG_PCT_5D")</f>
        <v>-0.27572390000000002</v>
      </c>
      <c r="K215" s="2">
        <f>_xll.BDP(A215,"CHG_PCT_1M")</f>
        <v>-0.68931759999999997</v>
      </c>
      <c r="L215" s="2">
        <f>_xll.BDP(A215,"CHG_PCT_3M")</f>
        <v>-0.9460887</v>
      </c>
      <c r="M215" s="2">
        <f>_xll.BDP(A215,"CHG_PCT_6M")</f>
        <v>-4.1830999999999996</v>
      </c>
      <c r="N215" s="2">
        <f>_xll.BDP(A215,"PR064")</f>
        <v>-0.9460887</v>
      </c>
      <c r="O215" s="2">
        <f>_xll.BDP(A215,"CHG_PCT_1YR")</f>
        <v>-2.8074789999999998</v>
      </c>
      <c r="P215" s="2">
        <f>_xll.BDP(A215,"INTERVAL_HIGH", "MARKET_DATA_OVERRIDE=PE_RATIO", "CALC_INTERVAL=5y", "BEST_FPERIOD_OVERRIDE=BF")</f>
        <v>14.754561724021135</v>
      </c>
      <c r="Q215" s="2">
        <f>_xll.BDP(A215,"INTERVAL_Low", "MARKET_DATA_OVERRIDE=PE_RATIO", "CALC_INTERVAL=5y", "BEST_FPERIOD_OVERRIDE=BF")</f>
        <v>10.090893795874631</v>
      </c>
      <c r="R215" s="2">
        <f>_xll.BDP(A215,"PE_RATIO")</f>
        <v>11.667379411676668</v>
      </c>
      <c r="S215" s="3">
        <f>IF(ISERROR((R215-Q215)/(P215-Q215)),"",(R215-Q215)/(P215-Q215))</f>
        <v>0.33803556344299679</v>
      </c>
    </row>
    <row r="216" spans="1:19" x14ac:dyDescent="0.25">
      <c r="A216" t="s">
        <v>19</v>
      </c>
      <c r="B216" t="str">
        <f>_xll.BDP(A216,"DS697")</f>
        <v>紐約證交所金融類指數</v>
      </c>
      <c r="C216" t="str">
        <f>_xll.BDP(A216,"DS003")</f>
        <v>US</v>
      </c>
      <c r="D216" s="2">
        <f>_xll.BDP(A216,"PX_LAST")</f>
        <v>8142.7510000000002</v>
      </c>
      <c r="E216" s="2">
        <f>_xll.BDP(A216,"CHG_PCT_1D")</f>
        <v>3.2051040000000003E-2</v>
      </c>
      <c r="F216" s="2">
        <f>_xll.BDP(A216,"HIGH_52WEEK")</f>
        <v>8245.6796875</v>
      </c>
      <c r="G216" s="2">
        <f>LN(F216/D216)*100</f>
        <v>1.2561305332360435</v>
      </c>
      <c r="H216" s="2">
        <f>_xll.BDP(A216,"LOW_52WEEK")</f>
        <v>6561.21</v>
      </c>
      <c r="I216" s="2">
        <f>LN(H216/D216)*100</f>
        <v>-21.595304644008493</v>
      </c>
      <c r="J216" s="2">
        <f>_xll.BDP(A216,"CHG_PCT_5D")</f>
        <v>-0.26519799999999999</v>
      </c>
      <c r="K216" s="2">
        <f>_xll.BDP(A216,"CHG_PCT_1M")</f>
        <v>6.2040009999999999</v>
      </c>
      <c r="L216" s="2">
        <f>_xll.BDP(A216,"CHG_PCT_3M")</f>
        <v>1.9988809999999999</v>
      </c>
      <c r="M216" s="2">
        <f>_xll.BDP(A216,"CHG_PCT_6M")</f>
        <v>6.6387140000000002</v>
      </c>
      <c r="N216" s="2">
        <f>_xll.BDP(A216,"PR064")</f>
        <v>1.9988809999999999</v>
      </c>
      <c r="O216" s="2">
        <f>_xll.BDP(A216,"CHG_PCT_1YR")</f>
        <v>1.3827480000000001</v>
      </c>
      <c r="P216" s="2">
        <f>_xll.BDP(A216,"INTERVAL_HIGH", "MARKET_DATA_OVERRIDE=PE_RATIO", "CALC_INTERVAL=5y", "BEST_FPERIOD_OVERRIDE=BF")</f>
        <v>20.313767953802689</v>
      </c>
      <c r="Q216" s="2">
        <f>_xll.BDP(A216,"INTERVAL_Low", "MARKET_DATA_OVERRIDE=PE_RATIO", "CALC_INTERVAL=5y", "BEST_FPERIOD_OVERRIDE=BF")</f>
        <v>9.8324128204326233E-3</v>
      </c>
      <c r="R216" s="2">
        <f>_xll.BDP(A216,"PE_RATIO")</f>
        <v>15.456144485745194</v>
      </c>
      <c r="S216" s="3">
        <f>IF(ISERROR((R216-Q216)/(P216-Q216)),"",(R216-Q216)/(P216-Q216))</f>
        <v>0.76075458581649458</v>
      </c>
    </row>
    <row r="217" spans="1:19" x14ac:dyDescent="0.25">
      <c r="A217" t="s">
        <v>3</v>
      </c>
      <c r="B217" t="str">
        <f>_xll.BDP(A217,"DS697")</f>
        <v>道瓊綜合指數</v>
      </c>
      <c r="C217" t="str">
        <f>_xll.BDP(A217,"DS003")</f>
        <v>US</v>
      </c>
      <c r="D217" s="2">
        <f>_xll.BDP(A217,"PX_LAST")</f>
        <v>8966.7199999999993</v>
      </c>
      <c r="E217" s="2">
        <f>_xll.BDP(A217,"CHG_PCT_1D")</f>
        <v>-0.13242580000000001</v>
      </c>
      <c r="F217" s="2">
        <f>_xll.BDP(A217,"HIGH_52WEEK")</f>
        <v>9076.9296875</v>
      </c>
      <c r="G217" s="2">
        <f>LN(F217/D217)*100</f>
        <v>1.2216049410376169</v>
      </c>
      <c r="H217" s="2">
        <f>_xll.BDP(A217,"LOW_52WEEK")</f>
        <v>7235.05</v>
      </c>
      <c r="I217" s="2">
        <f>LN(H217/D217)*100</f>
        <v>-21.458267496778301</v>
      </c>
      <c r="J217" s="2">
        <f>_xll.BDP(A217,"CHG_PCT_5D")</f>
        <v>-0.26228050000000003</v>
      </c>
      <c r="K217" s="2">
        <f>_xll.BDP(A217,"CHG_PCT_1M")</f>
        <v>4.941541</v>
      </c>
      <c r="L217" s="2">
        <f>_xll.BDP(A217,"CHG_PCT_3M")</f>
        <v>2.5888770000000001</v>
      </c>
      <c r="M217" s="2">
        <f>_xll.BDP(A217,"CHG_PCT_6M")</f>
        <v>5.4290459999999996</v>
      </c>
      <c r="N217" s="2">
        <f>_xll.BDP(A217,"PR064")</f>
        <v>2.5888770000000001</v>
      </c>
      <c r="O217" s="2">
        <f>_xll.BDP(A217,"CHG_PCT_1YR")</f>
        <v>2.0050119999999998</v>
      </c>
      <c r="P217" s="2">
        <f>_xll.BDP(A217,"INTERVAL_HIGH", "MARKET_DATA_OVERRIDE=PE_RATIO", "CALC_INTERVAL=5y", "BEST_FPERIOD_OVERRIDE=BF")</f>
        <v>20.5711750207278</v>
      </c>
      <c r="Q217" s="2">
        <f>_xll.BDP(A217,"INTERVAL_Low", "MARKET_DATA_OVERRIDE=PE_RATIO", "CALC_INTERVAL=5y", "BEST_FPERIOD_OVERRIDE=BF")</f>
        <v>13.585792705247393</v>
      </c>
      <c r="R217" s="2">
        <f>_xll.BDP(A217,"PE_RATIO")</f>
        <v>17.37049542974896</v>
      </c>
      <c r="S217" s="3">
        <f>IF(ISERROR((R217-Q217)/(P217-Q217)),"",(R217-Q217)/(P217-Q217))</f>
        <v>0.54180323331970426</v>
      </c>
    </row>
    <row r="218" spans="1:19" x14ac:dyDescent="0.25">
      <c r="A218" t="s">
        <v>138</v>
      </c>
      <c r="B218" t="str">
        <f>_xll.BDP(A218,"DS697")</f>
        <v>冰島主要指數</v>
      </c>
      <c r="C218" t="str">
        <f>_xll.BDP(A218,"DS003")</f>
        <v>IC</v>
      </c>
      <c r="D218" s="2">
        <f>_xll.BDP(A218,"PX_LAST")</f>
        <v>1409.982</v>
      </c>
      <c r="E218" s="2">
        <f>_xll.BDP(A218,"CHG_PCT_1D")</f>
        <v>0.18687580000000001</v>
      </c>
      <c r="F218" s="2">
        <f>_xll.BDP(A218,"HIGH_52WEEK")</f>
        <v>1505.0329999999999</v>
      </c>
      <c r="G218" s="2">
        <f>LN(F218/D218)*100</f>
        <v>6.5237886519602339</v>
      </c>
      <c r="H218" s="2">
        <f>_xll.BDP(A218,"LOW_52WEEK")</f>
        <v>1177.0229999999999</v>
      </c>
      <c r="I218" s="2">
        <f>LN(H218/D218)*100</f>
        <v>-18.058856905747476</v>
      </c>
      <c r="J218" s="2">
        <f>_xll.BDP(A218,"CHG_PCT_5D")</f>
        <v>-0.26163360000000002</v>
      </c>
      <c r="K218" s="2">
        <f>_xll.BDP(A218,"CHG_PCT_1M")</f>
        <v>-0.69786599999999999</v>
      </c>
      <c r="L218" s="2">
        <f>_xll.BDP(A218,"CHG_PCT_3M")</f>
        <v>-2.5552950000000001</v>
      </c>
      <c r="M218" s="2">
        <f>_xll.BDP(A218,"CHG_PCT_6M")</f>
        <v>3.8282219999999998</v>
      </c>
      <c r="N218" s="2">
        <f>_xll.BDP(A218,"PR064")</f>
        <v>-2.5552950000000001</v>
      </c>
      <c r="O218" s="2">
        <f>_xll.BDP(A218,"CHG_PCT_1YR")</f>
        <v>12.817159999999999</v>
      </c>
      <c r="P218" s="2">
        <f>_xll.BDP(A218,"INTERVAL_HIGH", "MARKET_DATA_OVERRIDE=PE_RATIO", "CALC_INTERVAL=5y", "BEST_FPERIOD_OVERRIDE=BF")</f>
        <v>26.175819090422277</v>
      </c>
      <c r="Q218" s="2">
        <f>_xll.BDP(A218,"INTERVAL_Low", "MARKET_DATA_OVERRIDE=PE_RATIO", "CALC_INTERVAL=5y", "BEST_FPERIOD_OVERRIDE=BF")</f>
        <v>13.616249937030585</v>
      </c>
      <c r="R218" s="2">
        <f>_xll.BDP(A218,"PE_RATIO")</f>
        <v>20.143113886574426</v>
      </c>
      <c r="S218" s="3">
        <f>IF(ISERROR((R218-Q218)/(P218-Q218)),"",(R218-Q218)/(P218-Q218))</f>
        <v>0.51967259942044042</v>
      </c>
    </row>
    <row r="219" spans="1:19" x14ac:dyDescent="0.25">
      <c r="A219" t="s">
        <v>211</v>
      </c>
      <c r="B219" t="str">
        <f>_xll.BDP(A219,"DS697")</f>
        <v>奈及利亞證交所全部股票指數</v>
      </c>
      <c r="C219" t="str">
        <f>_xll.BDP(A219,"DS003")</f>
        <v>NG</v>
      </c>
      <c r="D219" s="2">
        <f>_xll.BDP(A219,"PX_LAST")</f>
        <v>27579.85</v>
      </c>
      <c r="E219" s="2">
        <f>_xll.BDP(A219,"CHG_PCT_1D")</f>
        <v>1.087855</v>
      </c>
      <c r="F219" s="2">
        <f>_xll.BDP(A219,"HIGH_52WEEK")</f>
        <v>33577.109375</v>
      </c>
      <c r="G219" s="2">
        <f>LN(F219/D219)*100</f>
        <v>19.675913257240946</v>
      </c>
      <c r="H219" s="2">
        <f>_xll.BDP(A219,"LOW_52WEEK")</f>
        <v>26789.38</v>
      </c>
      <c r="I219" s="2">
        <f>LN(H219/D219)*100</f>
        <v>-2.9079893301730544</v>
      </c>
      <c r="J219" s="2">
        <f>_xll.BDP(A219,"CHG_PCT_5D")</f>
        <v>-0.2398178</v>
      </c>
      <c r="K219" s="2">
        <f>_xll.BDP(A219,"CHG_PCT_1M")</f>
        <v>-8.3034869999999997E-2</v>
      </c>
      <c r="L219" s="2">
        <f>_xll.BDP(A219,"CHG_PCT_3M")</f>
        <v>-7.2925959999999996</v>
      </c>
      <c r="M219" s="2">
        <f>_xll.BDP(A219,"CHG_PCT_6M")</f>
        <v>-10.540570000000001</v>
      </c>
      <c r="N219" s="2">
        <f>_xll.BDP(A219,"PR064")</f>
        <v>-7.2925959999999996</v>
      </c>
      <c r="O219" s="2">
        <f>_xll.BDP(A219,"CHG_PCT_1YR")</f>
        <v>-15.82103</v>
      </c>
      <c r="P219" s="2">
        <f>_xll.BDP(A219,"INTERVAL_HIGH", "MARKET_DATA_OVERRIDE=PE_RATIO", "CALC_INTERVAL=5y", "BEST_FPERIOD_OVERRIDE=BF")</f>
        <v>18.945577051218446</v>
      </c>
      <c r="Q219" s="2">
        <f>_xll.BDP(A219,"INTERVAL_Low", "MARKET_DATA_OVERRIDE=PE_RATIO", "CALC_INTERVAL=5y", "BEST_FPERIOD_OVERRIDE=BF")</f>
        <v>6.4007764664224007</v>
      </c>
      <c r="R219" s="2">
        <f>_xll.BDP(A219,"PE_RATIO")</f>
        <v>7.0447559560955506</v>
      </c>
      <c r="S219" s="3">
        <f>IF(ISERROR((R219-Q219)/(P219-Q219)),"",(R219-Q219)/(P219-Q219))</f>
        <v>5.1334374374482711E-2</v>
      </c>
    </row>
    <row r="220" spans="1:19" x14ac:dyDescent="0.25">
      <c r="A220" t="s">
        <v>249</v>
      </c>
      <c r="B220" t="str">
        <f>_xll.BDP(A220,"DS697")</f>
        <v>泰國曼谷SET指數</v>
      </c>
      <c r="C220" t="str">
        <f>_xll.BDP(A220,"DS003")</f>
        <v>TH</v>
      </c>
      <c r="D220" s="2">
        <f>_xll.BDP(A220,"PX_LAST")</f>
        <v>1636.75</v>
      </c>
      <c r="E220" s="2">
        <f>_xll.BDP(A220,"CHG_PCT_1D")</f>
        <v>0.51400780000000001</v>
      </c>
      <c r="F220" s="2">
        <f>_xll.BDP(A220,"HIGH_52WEEK")</f>
        <v>1765.06</v>
      </c>
      <c r="G220" s="2">
        <f>LN(F220/D220)*100</f>
        <v>7.5472115802679793</v>
      </c>
      <c r="H220" s="2">
        <f>_xll.BDP(A220,"LOW_52WEEK")</f>
        <v>1546.62</v>
      </c>
      <c r="I220" s="2">
        <f>LN(H220/D220)*100</f>
        <v>-5.6640663637999102</v>
      </c>
      <c r="J220" s="2">
        <f>_xll.BDP(A220,"CHG_PCT_5D")</f>
        <v>-0.2383208</v>
      </c>
      <c r="K220" s="2">
        <f>_xll.BDP(A220,"CHG_PCT_1M")</f>
        <v>1.317266</v>
      </c>
      <c r="L220" s="2">
        <f>_xll.BDP(A220,"CHG_PCT_3M")</f>
        <v>-5.4797770000000003</v>
      </c>
      <c r="M220" s="2">
        <f>_xll.BDP(A220,"CHG_PCT_6M")</f>
        <v>0.45108480000000001</v>
      </c>
      <c r="N220" s="2">
        <f>_xll.BDP(A220,"PR064")</f>
        <v>-5.4797770000000003</v>
      </c>
      <c r="O220" s="2">
        <f>_xll.BDP(A220,"CHG_PCT_1YR")</f>
        <v>-6.6288229999999997</v>
      </c>
      <c r="P220" s="2">
        <f>_xll.BDP(A220,"INTERVAL_HIGH", "MARKET_DATA_OVERRIDE=PE_RATIO", "CALC_INTERVAL=5y", "BEST_FPERIOD_OVERRIDE=BF")</f>
        <v>24.097280737762425</v>
      </c>
      <c r="Q220" s="2">
        <f>_xll.BDP(A220,"INTERVAL_Low", "MARKET_DATA_OVERRIDE=PE_RATIO", "CALC_INTERVAL=5y", "BEST_FPERIOD_OVERRIDE=BF")</f>
        <v>14.691348141665483</v>
      </c>
      <c r="R220" s="2">
        <f>_xll.BDP(A220,"PE_RATIO")</f>
        <v>18.62804343448563</v>
      </c>
      <c r="S220" s="3">
        <f>IF(ISERROR((R220-Q220)/(P220-Q220)),"",(R220-Q220)/(P220-Q220))</f>
        <v>0.41853322385636765</v>
      </c>
    </row>
    <row r="221" spans="1:19" x14ac:dyDescent="0.25">
      <c r="A221" t="s">
        <v>208</v>
      </c>
      <c r="B221" t="str">
        <f>_xll.BDP(A221,"DS697")</f>
        <v>突尼斯證交所 TUNINDEX 指數</v>
      </c>
      <c r="C221" t="str">
        <f>_xll.BDP(A221,"DS003")</f>
        <v>TN</v>
      </c>
      <c r="D221" s="2">
        <f>_xll.BDP(A221,"PX_LAST")</f>
        <v>7087.9</v>
      </c>
      <c r="E221" s="2">
        <f>_xll.BDP(A221,"CHG_PCT_1D")</f>
        <v>0.30837330000000002</v>
      </c>
      <c r="F221" s="2">
        <f>_xll.BDP(A221,"HIGH_52WEEK")</f>
        <v>7837.41015625</v>
      </c>
      <c r="G221" s="2">
        <f>LN(F221/D221)*100</f>
        <v>10.051933772483885</v>
      </c>
      <c r="H221" s="2">
        <f>_xll.BDP(A221,"LOW_52WEEK")</f>
        <v>6762.23</v>
      </c>
      <c r="I221" s="2">
        <f>LN(H221/D221)*100</f>
        <v>-4.7036387538424762</v>
      </c>
      <c r="J221" s="2">
        <f>_xll.BDP(A221,"CHG_PCT_5D")</f>
        <v>-0.23688419999999999</v>
      </c>
      <c r="K221" s="2">
        <f>_xll.BDP(A221,"CHG_PCT_1M")</f>
        <v>-1.2984039999999999</v>
      </c>
      <c r="L221" s="2">
        <f>_xll.BDP(A221,"CHG_PCT_3M")</f>
        <v>0.31689339999999999</v>
      </c>
      <c r="M221" s="2">
        <f>_xll.BDP(A221,"CHG_PCT_6M")</f>
        <v>1.6090199999999999</v>
      </c>
      <c r="N221" s="2">
        <f>_xll.BDP(A221,"PR064")</f>
        <v>0.31689339999999999</v>
      </c>
      <c r="O221" s="2">
        <f>_xll.BDP(A221,"CHG_PCT_1YR")</f>
        <v>-9.1489390000000004</v>
      </c>
      <c r="P221" s="2">
        <f>_xll.BDP(A221,"INTERVAL_HIGH", "MARKET_DATA_OVERRIDE=PE_RATIO", "CALC_INTERVAL=5y", "BEST_FPERIOD_OVERRIDE=BF")</f>
        <v>64.286692972545481</v>
      </c>
      <c r="Q221" s="2">
        <f>_xll.BDP(A221,"INTERVAL_Low", "MARKET_DATA_OVERRIDE=PE_RATIO", "CALC_INTERVAL=5y", "BEST_FPERIOD_OVERRIDE=BF")</f>
        <v>16.005197218725836</v>
      </c>
      <c r="R221" s="2">
        <f>_xll.BDP(A221,"PE_RATIO")</f>
        <v>19.609076372214339</v>
      </c>
      <c r="S221" s="3">
        <f>IF(ISERROR((R221-Q221)/(P221-Q221)),"",(R221-Q221)/(P221-Q221))</f>
        <v>7.4643071786014273E-2</v>
      </c>
    </row>
    <row r="222" spans="1:19" x14ac:dyDescent="0.25">
      <c r="A222" t="s">
        <v>139</v>
      </c>
      <c r="B222" t="str">
        <f>_xll.BDP(A222,"DS697")</f>
        <v>荷蘭阿姆斯特丹AEX指數</v>
      </c>
      <c r="C222" t="str">
        <f>_xll.BDP(A222,"DS003")</f>
        <v>NE</v>
      </c>
      <c r="D222" s="2">
        <f>_xll.BDP(A222,"PX_LAST")</f>
        <v>577.72</v>
      </c>
      <c r="E222" s="2">
        <f>_xll.BDP(A222,"CHG_PCT_1D")</f>
        <v>0.74988659999999996</v>
      </c>
      <c r="F222" s="2">
        <f>_xll.BDP(A222,"HIGH_52WEEK")</f>
        <v>586.32000000000005</v>
      </c>
      <c r="G222" s="2">
        <f>LN(F222/D222)*100</f>
        <v>1.4776393384628848</v>
      </c>
      <c r="H222" s="2">
        <f>_xll.BDP(A222,"LOW_52WEEK")</f>
        <v>472.19</v>
      </c>
      <c r="I222" s="2">
        <f>LN(H222/D222)*100</f>
        <v>-20.170787527297414</v>
      </c>
      <c r="J222" s="2">
        <f>_xll.BDP(A222,"CHG_PCT_5D")</f>
        <v>-0.23485819999999999</v>
      </c>
      <c r="K222" s="2">
        <f>_xll.BDP(A222,"CHG_PCT_1M")</f>
        <v>5.5620409999999998</v>
      </c>
      <c r="L222" s="2">
        <f>_xll.BDP(A222,"CHG_PCT_3M")</f>
        <v>3.6213190000000002</v>
      </c>
      <c r="M222" s="2">
        <f>_xll.BDP(A222,"CHG_PCT_6M")</f>
        <v>5.9764379999999999</v>
      </c>
      <c r="N222" s="2">
        <f>_xll.BDP(A222,"PR064")</f>
        <v>3.6213190000000002</v>
      </c>
      <c r="O222" s="2">
        <f>_xll.BDP(A222,"CHG_PCT_1YR")</f>
        <v>4.3286629999999997</v>
      </c>
      <c r="P222" s="2">
        <f>_xll.BDP(A222,"INTERVAL_HIGH", "MARKET_DATA_OVERRIDE=PE_RATIO", "CALC_INTERVAL=5y", "BEST_FPERIOD_OVERRIDE=BF")</f>
        <v>51.391352239315644</v>
      </c>
      <c r="Q222" s="2">
        <f>_xll.BDP(A222,"INTERVAL_Low", "MARKET_DATA_OVERRIDE=PE_RATIO", "CALC_INTERVAL=5y", "BEST_FPERIOD_OVERRIDE=BF")</f>
        <v>13.685956845407032</v>
      </c>
      <c r="R222" s="2">
        <f>_xll.BDP(A222,"PE_RATIO")</f>
        <v>17.277085252309693</v>
      </c>
      <c r="S222" s="3">
        <f>IF(ISERROR((R222-Q222)/(P222-Q222)),"",(R222-Q222)/(P222-Q222))</f>
        <v>9.5241764988434924E-2</v>
      </c>
    </row>
    <row r="223" spans="1:19" x14ac:dyDescent="0.25">
      <c r="A223" t="s">
        <v>250</v>
      </c>
      <c r="B223" t="str">
        <f>_xll.BDP(A223,"DS697")</f>
        <v>印尼雅加達綜合股價指數</v>
      </c>
      <c r="C223" t="str">
        <f>_xll.BDP(A223,"DS003")</f>
        <v>ID</v>
      </c>
      <c r="D223" s="2">
        <f>_xll.BDP(A223,"PX_LAST")</f>
        <v>6230.3339999999998</v>
      </c>
      <c r="E223" s="2">
        <f>_xll.BDP(A223,"CHG_PCT_1D")</f>
        <v>1.3655139999999999</v>
      </c>
      <c r="F223" s="2">
        <f>_xll.BDP(A223,"HIGH_52WEEK")</f>
        <v>6636.33203125</v>
      </c>
      <c r="G223" s="2">
        <f>LN(F223/D223)*100</f>
        <v>6.3129463005000757</v>
      </c>
      <c r="H223" s="2">
        <f>_xll.BDP(A223,"LOW_52WEEK")</f>
        <v>5623.8429999999998</v>
      </c>
      <c r="I223" s="2">
        <f>LN(H223/D223)*100</f>
        <v>-10.241470487456175</v>
      </c>
      <c r="J223" s="2">
        <f>_xll.BDP(A223,"CHG_PCT_5D")</f>
        <v>-0.22637969999999999</v>
      </c>
      <c r="K223" s="2">
        <f>_xll.BDP(A223,"CHG_PCT_1M")</f>
        <v>-0.76195619999999997</v>
      </c>
      <c r="L223" s="2">
        <f>_xll.BDP(A223,"CHG_PCT_3M")</f>
        <v>-1.9263589999999999</v>
      </c>
      <c r="M223" s="2">
        <f>_xll.BDP(A223,"CHG_PCT_6M")</f>
        <v>-3.3268040000000001</v>
      </c>
      <c r="N223" s="2">
        <f>_xll.BDP(A223,"PR064")</f>
        <v>-1.9263589999999999</v>
      </c>
      <c r="O223" s="2">
        <f>_xll.BDP(A223,"CHG_PCT_1YR")</f>
        <v>5.0785499999999999</v>
      </c>
      <c r="P223" s="2">
        <f>_xll.BDP(A223,"INTERVAL_HIGH", "MARKET_DATA_OVERRIDE=PE_RATIO", "CALC_INTERVAL=5y", "BEST_FPERIOD_OVERRIDE=BF")</f>
        <v>30.525795326342628</v>
      </c>
      <c r="Q223" s="2">
        <f>_xll.BDP(A223,"INTERVAL_Low", "MARKET_DATA_OVERRIDE=PE_RATIO", "CALC_INTERVAL=5y", "BEST_FPERIOD_OVERRIDE=BF")</f>
        <v>18.422369589693112</v>
      </c>
      <c r="R223" s="2">
        <f>_xll.BDP(A223,"PE_RATIO")</f>
        <v>19.674619586991113</v>
      </c>
      <c r="S223" s="3">
        <f>IF(ISERROR((R223-Q223)/(P223-Q223)),"",(R223-Q223)/(P223-Q223))</f>
        <v>0.10346244315823354</v>
      </c>
    </row>
    <row r="224" spans="1:19" x14ac:dyDescent="0.25">
      <c r="A224" t="s">
        <v>141</v>
      </c>
      <c r="B224" t="str">
        <f>_xll.BDP(A224,"DS697")</f>
        <v>比利時BEL20指數</v>
      </c>
      <c r="C224" t="str">
        <f>_xll.BDP(A224,"DS003")</f>
        <v>BE</v>
      </c>
      <c r="D224" s="2">
        <f>_xll.BDP(A224,"PX_LAST")</f>
        <v>3697.73</v>
      </c>
      <c r="E224" s="2">
        <f>_xll.BDP(A224,"CHG_PCT_1D")</f>
        <v>0.51238419999999996</v>
      </c>
      <c r="F224" s="2">
        <f>_xll.BDP(A224,"HIGH_52WEEK")</f>
        <v>3868.32</v>
      </c>
      <c r="G224" s="2">
        <f>LN(F224/D224)*100</f>
        <v>4.5101186401934976</v>
      </c>
      <c r="H224" s="2">
        <f>_xll.BDP(A224,"LOW_52WEEK")</f>
        <v>3144.96</v>
      </c>
      <c r="I224" s="2">
        <f>LN(H224/D224)*100</f>
        <v>-16.191794638967107</v>
      </c>
      <c r="J224" s="2">
        <f>_xll.BDP(A224,"CHG_PCT_5D")</f>
        <v>-0.212923</v>
      </c>
      <c r="K224" s="2">
        <f>_xll.BDP(A224,"CHG_PCT_1M")</f>
        <v>5.5833649999999997</v>
      </c>
      <c r="L224" s="2">
        <f>_xll.BDP(A224,"CHG_PCT_3M")</f>
        <v>5.244389</v>
      </c>
      <c r="M224" s="2">
        <f>_xll.BDP(A224,"CHG_PCT_6M")</f>
        <v>2.3006859999999998</v>
      </c>
      <c r="N224" s="2">
        <f>_xll.BDP(A224,"PR064")</f>
        <v>5.244389</v>
      </c>
      <c r="O224" s="2">
        <f>_xll.BDP(A224,"CHG_PCT_1YR")</f>
        <v>-1.161397</v>
      </c>
      <c r="P224" s="2">
        <f>_xll.BDP(A224,"INTERVAL_HIGH", "MARKET_DATA_OVERRIDE=PE_RATIO", "CALC_INTERVAL=5y", "BEST_FPERIOD_OVERRIDE=BF")</f>
        <v>56.285407714369839</v>
      </c>
      <c r="Q224" s="2">
        <f>_xll.BDP(A224,"INTERVAL_Low", "MARKET_DATA_OVERRIDE=PE_RATIO", "CALC_INTERVAL=5y", "BEST_FPERIOD_OVERRIDE=BF")</f>
        <v>14.260531591911219</v>
      </c>
      <c r="R224" s="2">
        <f>_xll.BDP(A224,"PE_RATIO")</f>
        <v>16.116728066464653</v>
      </c>
      <c r="S224" s="3">
        <f>IF(ISERROR((R224-Q224)/(P224-Q224)),"",(R224-Q224)/(P224-Q224))</f>
        <v>4.4168993363467857E-2</v>
      </c>
    </row>
    <row r="225" spans="1:19" x14ac:dyDescent="0.25">
      <c r="A225" t="s">
        <v>240</v>
      </c>
      <c r="B225" t="str">
        <f>_xll.BDP(A225,"DS697")</f>
        <v>台灣證交所加權股價指數</v>
      </c>
      <c r="C225" t="str">
        <f>_xll.BDP(A225,"DS003")</f>
        <v>TA</v>
      </c>
      <c r="D225" s="2">
        <f>_xll.BDP(A225,"PX_LAST")</f>
        <v>10871.99</v>
      </c>
      <c r="E225" s="2">
        <f>_xll.BDP(A225,"CHG_PCT_1D")</f>
        <v>-1.563407E-2</v>
      </c>
      <c r="F225" s="2">
        <f>_xll.BDP(A225,"HIGH_52WEEK")</f>
        <v>11097</v>
      </c>
      <c r="G225" s="2">
        <f>LN(F225/D225)*100</f>
        <v>2.0485044463973279</v>
      </c>
      <c r="H225" s="2">
        <f>_xll.BDP(A225,"LOW_52WEEK")</f>
        <v>9319.2800000000007</v>
      </c>
      <c r="I225" s="2">
        <f>LN(H225/D225)*100</f>
        <v>-15.410438456002124</v>
      </c>
      <c r="J225" s="2">
        <f>_xll.BDP(A225,"CHG_PCT_5D")</f>
        <v>-0.20845179999999999</v>
      </c>
      <c r="K225" s="2">
        <f>_xll.BDP(A225,"CHG_PCT_1M")</f>
        <v>4.6668820000000002</v>
      </c>
      <c r="L225" s="2">
        <f>_xll.BDP(A225,"CHG_PCT_3M")</f>
        <v>0.91043960000000002</v>
      </c>
      <c r="M225" s="2">
        <f>_xll.BDP(A225,"CHG_PCT_6M")</f>
        <v>3.1233939999999998</v>
      </c>
      <c r="N225" s="2">
        <f>_xll.BDP(A225,"PR064")</f>
        <v>0.91043960000000002</v>
      </c>
      <c r="O225" s="2">
        <f>_xll.BDP(A225,"CHG_PCT_1YR")</f>
        <v>-1.469978</v>
      </c>
      <c r="P225" s="2">
        <f>_xll.BDP(A225,"INTERVAL_HIGH", "MARKET_DATA_OVERRIDE=PE_RATIO", "CALC_INTERVAL=5y", "BEST_FPERIOD_OVERRIDE=BF")</f>
        <v>17.356925050109698</v>
      </c>
      <c r="Q225" s="2">
        <f>_xll.BDP(A225,"INTERVAL_Low", "MARKET_DATA_OVERRIDE=PE_RATIO", "CALC_INTERVAL=5y", "BEST_FPERIOD_OVERRIDE=BF")</f>
        <v>11.304947571706464</v>
      </c>
      <c r="R225" s="2">
        <f>_xll.BDP(A225,"PE_RATIO")</f>
        <v>17.241322903374268</v>
      </c>
      <c r="S225" s="3">
        <f>IF(ISERROR((R225-Q225)/(P225-Q225)),"",(R225-Q225)/(P225-Q225))</f>
        <v>0.98089845060594461</v>
      </c>
    </row>
    <row r="226" spans="1:19" x14ac:dyDescent="0.25">
      <c r="A226" t="s">
        <v>248</v>
      </c>
      <c r="B226" t="str">
        <f>_xll.BDP(A226,"DS697")</f>
        <v>富時馬來西亞證交所KLCI指數</v>
      </c>
      <c r="C226" t="str">
        <f>_xll.BDP(A226,"DS003")</f>
        <v>MA</v>
      </c>
      <c r="D226" s="2">
        <f>_xll.BDP(A226,"PX_LAST")</f>
        <v>1593</v>
      </c>
      <c r="E226" s="2">
        <f>_xll.BDP(A226,"CHG_PCT_1D")</f>
        <v>0.21515119999999999</v>
      </c>
      <c r="F226" s="2">
        <f>_xll.BDP(A226,"HIGH_52WEEK")</f>
        <v>1803.71</v>
      </c>
      <c r="G226" s="2">
        <f>LN(F226/D226)*100</f>
        <v>12.422662390996447</v>
      </c>
      <c r="H226" s="2">
        <f>_xll.BDP(A226,"LOW_52WEEK")</f>
        <v>1572.03</v>
      </c>
      <c r="I226" s="2">
        <f>LN(H226/D226)*100</f>
        <v>-1.3251253133527683</v>
      </c>
      <c r="J226" s="2">
        <f>_xll.BDP(A226,"CHG_PCT_5D")</f>
        <v>-0.20547960000000001</v>
      </c>
      <c r="K226" s="2">
        <f>_xll.BDP(A226,"CHG_PCT_1M")</f>
        <v>0.1357795</v>
      </c>
      <c r="L226" s="2">
        <f>_xll.BDP(A226,"CHG_PCT_3M")</f>
        <v>-4.7647490000000001</v>
      </c>
      <c r="M226" s="2">
        <f>_xll.BDP(A226,"CHG_PCT_6M")</f>
        <v>-3.0272770000000002</v>
      </c>
      <c r="N226" s="2">
        <f>_xll.BDP(A226,"PR064")</f>
        <v>-4.7647490000000001</v>
      </c>
      <c r="O226" s="2">
        <f>_xll.BDP(A226,"CHG_PCT_1YR")</f>
        <v>-11.43308</v>
      </c>
      <c r="P226" s="2">
        <f>_xll.BDP(A226,"INTERVAL_HIGH", "MARKET_DATA_OVERRIDE=PE_RATIO", "CALC_INTERVAL=5y", "BEST_FPERIOD_OVERRIDE=BF")</f>
        <v>21.720842221678648</v>
      </c>
      <c r="Q226" s="2">
        <f>_xll.BDP(A226,"INTERVAL_Low", "MARKET_DATA_OVERRIDE=PE_RATIO", "CALC_INTERVAL=5y", "BEST_FPERIOD_OVERRIDE=BF")</f>
        <v>14.912552650146459</v>
      </c>
      <c r="R226" s="2">
        <f>_xll.BDP(A226,"PE_RATIO")</f>
        <v>19.289512871868929</v>
      </c>
      <c r="S226" s="3">
        <f>IF(ISERROR((R226-Q226)/(P226-Q226)),"",(R226-Q226)/(P226-Q226))</f>
        <v>0.6428869065769548</v>
      </c>
    </row>
    <row r="227" spans="1:19" x14ac:dyDescent="0.25">
      <c r="A227" t="s">
        <v>12</v>
      </c>
      <c r="B227" t="str">
        <f>_xll.BDP(A227,"DS697")</f>
        <v>紐約證交所國際100指數</v>
      </c>
      <c r="C227" t="str">
        <f>_xll.BDP(A227,"DS003")</f>
        <v>US</v>
      </c>
      <c r="D227" s="2">
        <f>_xll.BDP(A227,"PX_LAST")</f>
        <v>5428.3760000000002</v>
      </c>
      <c r="E227" s="2">
        <f>_xll.BDP(A227,"CHG_PCT_1D")</f>
        <v>0.43943840000000001</v>
      </c>
      <c r="F227" s="2">
        <f>_xll.BDP(A227,"HIGH_52WEEK")</f>
        <v>5658.4409999999998</v>
      </c>
      <c r="G227" s="2">
        <f>LN(F227/D227)*100</f>
        <v>4.150840255489026</v>
      </c>
      <c r="H227" s="2">
        <f>_xll.BDP(A227,"LOW_52WEEK")</f>
        <v>4682.1009999999997</v>
      </c>
      <c r="I227" s="2">
        <f>LN(H227/D227)*100</f>
        <v>-14.789306920922252</v>
      </c>
      <c r="J227" s="2">
        <f>_xll.BDP(A227,"CHG_PCT_5D")</f>
        <v>-0.20442350000000001</v>
      </c>
      <c r="K227" s="2">
        <f>_xll.BDP(A227,"CHG_PCT_1M")</f>
        <v>4.888395</v>
      </c>
      <c r="L227" s="2">
        <f>_xll.BDP(A227,"CHG_PCT_3M")</f>
        <v>-1.15744</v>
      </c>
      <c r="M227" s="2">
        <f>_xll.BDP(A227,"CHG_PCT_6M")</f>
        <v>0.60212069999999995</v>
      </c>
      <c r="N227" s="2">
        <f>_xll.BDP(A227,"PR064")</f>
        <v>-1.15744</v>
      </c>
      <c r="O227" s="2">
        <f>_xll.BDP(A227,"CHG_PCT_1YR")</f>
        <v>-3.629311</v>
      </c>
      <c r="P227" s="2" t="str">
        <f>_xll.BDP(A227,"INTERVAL_HIGH", "MARKET_DATA_OVERRIDE=PE_RATIO", "CALC_INTERVAL=5y", "BEST_FPERIOD_OVERRIDE=BF")</f>
        <v>#N/A N/A</v>
      </c>
      <c r="Q227" s="2" t="str">
        <f>_xll.BDP(A227,"INTERVAL_Low", "MARKET_DATA_OVERRIDE=PE_RATIO", "CALC_INTERVAL=5y", "BEST_FPERIOD_OVERRIDE=BF")</f>
        <v>#N/A N/A</v>
      </c>
      <c r="R227" s="2" t="str">
        <f>_xll.BDP(A227,"PE_RATIO")</f>
        <v>#N/A N/A</v>
      </c>
      <c r="S227" s="3" t="str">
        <f>IF(ISERROR((R227-Q227)/(P227-Q227)),"",(R227-Q227)/(P227-Q227))</f>
        <v/>
      </c>
    </row>
    <row r="228" spans="1:19" x14ac:dyDescent="0.25">
      <c r="A228" t="s">
        <v>50</v>
      </c>
      <c r="B228" t="str">
        <f>_xll.BDP(A228,"DS697")</f>
        <v>墨西哥INMEX指數</v>
      </c>
      <c r="C228" t="str">
        <f>_xll.BDP(A228,"DS003")</f>
        <v>MX</v>
      </c>
      <c r="D228" s="2">
        <f>_xll.BDP(A228,"PX_LAST")</f>
        <v>2503.5100000000002</v>
      </c>
      <c r="E228" s="2">
        <f>_xll.BDP(A228,"CHG_PCT_1D")</f>
        <v>-0.2330874</v>
      </c>
      <c r="F228" s="2">
        <f>_xll.BDP(A228,"HIGH_52WEEK")</f>
        <v>2996.64</v>
      </c>
      <c r="G228" s="2">
        <f>LN(F228/D228)*100</f>
        <v>17.97979138116926</v>
      </c>
      <c r="H228" s="2">
        <f>_xll.BDP(A228,"LOW_52WEEK")</f>
        <v>2222.37</v>
      </c>
      <c r="I228" s="2">
        <f>LN(H228/D228)*100</f>
        <v>-11.911955318096929</v>
      </c>
      <c r="J228" s="2">
        <f>_xll.BDP(A228,"CHG_PCT_5D")</f>
        <v>-0.20186670000000001</v>
      </c>
      <c r="K228" s="2">
        <f>_xll.BDP(A228,"CHG_PCT_1M")</f>
        <v>5.9539730000000004</v>
      </c>
      <c r="L228" s="2">
        <f>_xll.BDP(A228,"CHG_PCT_3M")</f>
        <v>-1.477069</v>
      </c>
      <c r="M228" s="2">
        <f>_xll.BDP(A228,"CHG_PCT_6M")</f>
        <v>-1.6328879999999999</v>
      </c>
      <c r="N228" s="2">
        <f>_xll.BDP(A228,"PR064")</f>
        <v>-1.477069</v>
      </c>
      <c r="O228" s="2">
        <f>_xll.BDP(A228,"CHG_PCT_1YR")</f>
        <v>-15.78998</v>
      </c>
      <c r="P228" s="2">
        <f>_xll.BDP(A228,"INTERVAL_HIGH", "MARKET_DATA_OVERRIDE=PE_RATIO", "CALC_INTERVAL=5y", "BEST_FPERIOD_OVERRIDE=BF")</f>
        <v>32.684433207959685</v>
      </c>
      <c r="Q228" s="2">
        <f>_xll.BDP(A228,"INTERVAL_Low", "MARKET_DATA_OVERRIDE=PE_RATIO", "CALC_INTERVAL=5y", "BEST_FPERIOD_OVERRIDE=BF")</f>
        <v>14.894631321408873</v>
      </c>
      <c r="R228" s="2">
        <f>_xll.BDP(A228,"PE_RATIO")</f>
        <v>17.134856868329958</v>
      </c>
      <c r="S228" s="3">
        <f>IF(ISERROR((R228-Q228)/(P228-Q228)),"",(R228-Q228)/(P228-Q228))</f>
        <v>0.12592751516894113</v>
      </c>
    </row>
    <row r="229" spans="1:19" x14ac:dyDescent="0.25">
      <c r="A229" t="s">
        <v>297</v>
      </c>
      <c r="B229" t="str">
        <f>_xll.BDP(A229,"DS697")</f>
        <v>櫃買中心加權股價指數</v>
      </c>
      <c r="C229" t="str">
        <f>_xll.BDP(A229,"DS003")</f>
        <v>TA</v>
      </c>
      <c r="D229" s="2">
        <f>_xll.BDP(A229,"PX_LAST")</f>
        <v>141.46</v>
      </c>
      <c r="E229" s="2">
        <f>_xll.BDP(A229,"CHG_PCT_1D")</f>
        <v>-0.31710240000000001</v>
      </c>
      <c r="F229" s="2">
        <f>_xll.BDP(A229,"HIGH_52WEEK")</f>
        <v>144.82</v>
      </c>
      <c r="G229" s="2">
        <f>LN(F229/D229)*100</f>
        <v>2.3474600352830799</v>
      </c>
      <c r="H229" s="2">
        <f>_xll.BDP(A229,"LOW_52WEEK")</f>
        <v>109.14</v>
      </c>
      <c r="I229" s="2">
        <f>LN(H229/D229)*100</f>
        <v>-25.938552984975811</v>
      </c>
      <c r="J229" s="2">
        <f>_xll.BDP(A229,"CHG_PCT_5D")</f>
        <v>-0.19050010000000001</v>
      </c>
      <c r="K229" s="2">
        <f>_xll.BDP(A229,"CHG_PCT_1M")</f>
        <v>3.240405</v>
      </c>
      <c r="L229" s="2">
        <f>_xll.BDP(A229,"CHG_PCT_3M")</f>
        <v>3.4064350000000001</v>
      </c>
      <c r="M229" s="2">
        <f>_xll.BDP(A229,"CHG_PCT_6M")</f>
        <v>2.0708639999999998</v>
      </c>
      <c r="N229" s="2">
        <f>_xll.BDP(A229,"PR064")</f>
        <v>3.4064350000000001</v>
      </c>
      <c r="O229" s="2">
        <f>_xll.BDP(A229,"CHG_PCT_1YR")</f>
        <v>6.1613559999999996</v>
      </c>
      <c r="P229" s="2">
        <f>_xll.BDP(A229,"INTERVAL_HIGH", "MARKET_DATA_OVERRIDE=PE_RATIO", "CALC_INTERVAL=5y", "BEST_FPERIOD_OVERRIDE=BF")</f>
        <v>33.994521271329084</v>
      </c>
      <c r="Q229" s="2">
        <f>_xll.BDP(A229,"INTERVAL_Low", "MARKET_DATA_OVERRIDE=PE_RATIO", "CALC_INTERVAL=5y", "BEST_FPERIOD_OVERRIDE=BF")</f>
        <v>19.788962140671387</v>
      </c>
      <c r="R229" s="2">
        <f>_xll.BDP(A229,"PE_RATIO")</f>
        <v>25.479060736562076</v>
      </c>
      <c r="S229" s="3">
        <f>IF(ISERROR((R229-Q229)/(P229-Q229)),"",(R229-Q229)/(P229-Q229))</f>
        <v>0.40055435647095472</v>
      </c>
    </row>
    <row r="230" spans="1:19" x14ac:dyDescent="0.25">
      <c r="A230" t="s">
        <v>142</v>
      </c>
      <c r="B230" t="str">
        <f>_xll.BDP(A230,"DS697")</f>
        <v>比利時現貨遠期綜合指數</v>
      </c>
      <c r="C230" t="str">
        <f>_xll.BDP(A230,"DS003")</f>
        <v>BE</v>
      </c>
      <c r="D230" s="2">
        <f>_xll.BDP(A230,"PX_LAST")</f>
        <v>45104.77</v>
      </c>
      <c r="E230" s="2">
        <f>_xll.BDP(A230,"CHG_PCT_1D")</f>
        <v>0.69905890000000004</v>
      </c>
      <c r="F230" s="2">
        <f>_xll.BDP(A230,"HIGH_52WEEK")</f>
        <v>45815.3515625</v>
      </c>
      <c r="G230" s="2">
        <f>LN(F230/D230)*100</f>
        <v>1.5631216029036801</v>
      </c>
      <c r="H230" s="2">
        <f>_xll.BDP(A230,"LOW_52WEEK")</f>
        <v>37188.73046875</v>
      </c>
      <c r="I230" s="2">
        <f>LN(H230/D230)*100</f>
        <v>-19.298223488891438</v>
      </c>
      <c r="J230" s="2">
        <f>_xll.BDP(A230,"CHG_PCT_5D")</f>
        <v>-0.1895355</v>
      </c>
      <c r="K230" s="2">
        <f>_xll.BDP(A230,"CHG_PCT_1M")</f>
        <v>5.6451159999999998</v>
      </c>
      <c r="L230" s="2">
        <f>_xll.BDP(A230,"CHG_PCT_3M")</f>
        <v>5.199891</v>
      </c>
      <c r="M230" s="2">
        <f>_xll.BDP(A230,"CHG_PCT_6M")</f>
        <v>5.8887119999999999</v>
      </c>
      <c r="N230" s="2">
        <f>_xll.BDP(A230,"PR064")</f>
        <v>5.199891</v>
      </c>
      <c r="O230" s="2">
        <f>_xll.BDP(A230,"CHG_PCT_1YR")</f>
        <v>1.9564520000000001</v>
      </c>
      <c r="P230" s="2">
        <f>_xll.BDP(A230,"INTERVAL_HIGH", "MARKET_DATA_OVERRIDE=PE_RATIO", "CALC_INTERVAL=5y", "BEST_FPERIOD_OVERRIDE=BF")</f>
        <v>46.515327416675845</v>
      </c>
      <c r="Q230" s="2">
        <f>_xll.BDP(A230,"INTERVAL_Low", "MARKET_DATA_OVERRIDE=PE_RATIO", "CALC_INTERVAL=5y", "BEST_FPERIOD_OVERRIDE=BF")</f>
        <v>13.868369878530938</v>
      </c>
      <c r="R230" s="2">
        <f>_xll.BDP(A230,"PE_RATIO")</f>
        <v>18.220469041176838</v>
      </c>
      <c r="S230" s="3">
        <f>IF(ISERROR((R230-Q230)/(P230-Q230)),"",(R230-Q230)/(P230-Q230))</f>
        <v>0.13330795549817714</v>
      </c>
    </row>
    <row r="231" spans="1:19" x14ac:dyDescent="0.25">
      <c r="A231" t="s">
        <v>252</v>
      </c>
      <c r="B231" t="str">
        <f>_xll.BDP(A231,"DS697")</f>
        <v>菲律賓綜合股價指數</v>
      </c>
      <c r="C231" t="str">
        <f>_xll.BDP(A231,"DS003")</f>
        <v>PH</v>
      </c>
      <c r="D231" s="2">
        <f>_xll.BDP(A231,"PX_LAST")</f>
        <v>7896.48</v>
      </c>
      <c r="E231" s="2">
        <f>_xll.BDP(A231,"CHG_PCT_1D")</f>
        <v>3.039421E-3</v>
      </c>
      <c r="F231" s="2">
        <f>_xll.BDP(A231,"HIGH_52WEEK")</f>
        <v>8419.58984375</v>
      </c>
      <c r="G231" s="2">
        <f>LN(F231/D231)*100</f>
        <v>6.4144024366971975</v>
      </c>
      <c r="H231" s="2">
        <f>_xll.BDP(A231,"LOW_52WEEK")</f>
        <v>6790.58</v>
      </c>
      <c r="I231" s="2">
        <f>LN(H231/D231)*100</f>
        <v>-15.088073289963166</v>
      </c>
      <c r="J231" s="2">
        <f>_xll.BDP(A231,"CHG_PCT_5D")</f>
        <v>-0.1875771</v>
      </c>
      <c r="K231" s="2">
        <f>_xll.BDP(A231,"CHG_PCT_1M")</f>
        <v>1.924523</v>
      </c>
      <c r="L231" s="2">
        <f>_xll.BDP(A231,"CHG_PCT_3M")</f>
        <v>-2.0000909999999998</v>
      </c>
      <c r="M231" s="2">
        <f>_xll.BDP(A231,"CHG_PCT_6M")</f>
        <v>0.45070539999999998</v>
      </c>
      <c r="N231" s="2">
        <f>_xll.BDP(A231,"PR064")</f>
        <v>-2.0000909999999998</v>
      </c>
      <c r="O231" s="2">
        <f>_xll.BDP(A231,"CHG_PCT_1YR")</f>
        <v>7.8667179999999997</v>
      </c>
      <c r="P231" s="2">
        <f>_xll.BDP(A231,"INTERVAL_HIGH", "MARKET_DATA_OVERRIDE=PE_RATIO", "CALC_INTERVAL=5y", "BEST_FPERIOD_OVERRIDE=BF")</f>
        <v>24.122009853533239</v>
      </c>
      <c r="Q231" s="2">
        <f>_xll.BDP(A231,"INTERVAL_Low", "MARKET_DATA_OVERRIDE=PE_RATIO", "CALC_INTERVAL=5y", "BEST_FPERIOD_OVERRIDE=BF")</f>
        <v>17.320879989150495</v>
      </c>
      <c r="R231" s="2">
        <f>_xll.BDP(A231,"PE_RATIO")</f>
        <v>17.734370956754184</v>
      </c>
      <c r="S231" s="3">
        <f>IF(ISERROR((R231-Q231)/(P231-Q231)),"",(R231-Q231)/(P231-Q231))</f>
        <v>6.0797393352114239E-2</v>
      </c>
    </row>
    <row r="232" spans="1:19" x14ac:dyDescent="0.25">
      <c r="A232" t="s">
        <v>72</v>
      </c>
      <c r="B232" t="str">
        <f>_xll.BDP(A232,"DS697")</f>
        <v>S&amp;P/BVL LIMA 25 Total Return</v>
      </c>
      <c r="C232" t="str">
        <f>_xll.BDP(A232,"DS003")</f>
        <v>PE</v>
      </c>
      <c r="D232" s="2">
        <f>_xll.BDP(A232,"PX_LAST")</f>
        <v>24455.39</v>
      </c>
      <c r="E232" s="2">
        <f>_xll.BDP(A232,"CHG_PCT_1D")</f>
        <v>0.63958930000000003</v>
      </c>
      <c r="F232" s="2">
        <f>_xll.BDP(A232,"HIGH_52WEEK")</f>
        <v>28491.109375</v>
      </c>
      <c r="G232" s="2">
        <f>LN(F232/D232)*100</f>
        <v>15.274144533002554</v>
      </c>
      <c r="H232" s="2">
        <f>_xll.BDP(A232,"LOW_52WEEK")</f>
        <v>23214.42</v>
      </c>
      <c r="I232" s="2">
        <f>LN(H232/D232)*100</f>
        <v>-5.2077004209990738</v>
      </c>
      <c r="J232" s="2">
        <f>_xll.BDP(A232,"CHG_PCT_5D")</f>
        <v>-0.17674190000000001</v>
      </c>
      <c r="K232" s="2">
        <f>_xll.BDP(A232,"CHG_PCT_1M")</f>
        <v>3.2027640000000002</v>
      </c>
      <c r="L232" s="2">
        <f>_xll.BDP(A232,"CHG_PCT_3M")</f>
        <v>-6.2139769999999999</v>
      </c>
      <c r="M232" s="2">
        <f>_xll.BDP(A232,"CHG_PCT_6M")</f>
        <v>-11.91005</v>
      </c>
      <c r="N232" s="2">
        <f>_xll.BDP(A232,"PR064")</f>
        <v>-6.2139769999999999</v>
      </c>
      <c r="O232" s="2">
        <f>_xll.BDP(A232,"CHG_PCT_1YR")</f>
        <v>-8.8783890000000003</v>
      </c>
      <c r="P232" s="2">
        <f>_xll.BDP(A232,"INTERVAL_HIGH", "MARKET_DATA_OVERRIDE=PE_RATIO", "CALC_INTERVAL=5y", "BEST_FPERIOD_OVERRIDE=BF")</f>
        <v>45.865622557983592</v>
      </c>
      <c r="Q232" s="2">
        <f>_xll.BDP(A232,"INTERVAL_Low", "MARKET_DATA_OVERRIDE=PE_RATIO", "CALC_INTERVAL=5y", "BEST_FPERIOD_OVERRIDE=BF")</f>
        <v>2.7288669908630347</v>
      </c>
      <c r="R232" s="2">
        <f>_xll.BDP(A232,"PE_RATIO")</f>
        <v>20.535389224956141</v>
      </c>
      <c r="S232" s="3">
        <f>IF(ISERROR((R232-Q232)/(P232-Q232)),"",(R232-Q232)/(P232-Q232))</f>
        <v>0.41279233915462771</v>
      </c>
    </row>
    <row r="233" spans="1:19" x14ac:dyDescent="0.25">
      <c r="A233" t="s">
        <v>309</v>
      </c>
      <c r="B233" t="str">
        <f>_xll.BDP(A233,"DS697")</f>
        <v>泰國曼谷SET50指數</v>
      </c>
      <c r="C233" t="str">
        <f>_xll.BDP(A233,"DS003")</f>
        <v>TH</v>
      </c>
      <c r="D233" s="2">
        <f>_xll.BDP(A233,"PX_LAST")</f>
        <v>1088.5</v>
      </c>
      <c r="E233" s="2">
        <f>_xll.BDP(A233,"CHG_PCT_1D")</f>
        <v>0.64445739999999996</v>
      </c>
      <c r="F233" s="2">
        <f>_xll.BDP(A233,"HIGH_52WEEK")</f>
        <v>1164.92</v>
      </c>
      <c r="G233" s="2">
        <f>LN(F233/D233)*100</f>
        <v>6.7851813439441937</v>
      </c>
      <c r="H233" s="2">
        <f>_xll.BDP(A233,"LOW_52WEEK")</f>
        <v>1031.45</v>
      </c>
      <c r="I233" s="2">
        <f>LN(H233/D233)*100</f>
        <v>-5.3835022435585058</v>
      </c>
      <c r="J233" s="2">
        <f>_xll.BDP(A233,"CHG_PCT_5D")</f>
        <v>-0.1687516</v>
      </c>
      <c r="K233" s="2">
        <f>_xll.BDP(A233,"CHG_PCT_1M")</f>
        <v>2.1787459999999998</v>
      </c>
      <c r="L233" s="2">
        <f>_xll.BDP(A233,"CHG_PCT_3M")</f>
        <v>-5.5416699999999999</v>
      </c>
      <c r="M233" s="2">
        <f>_xll.BDP(A233,"CHG_PCT_6M")</f>
        <v>0.28006920000000002</v>
      </c>
      <c r="N233" s="2">
        <f>_xll.BDP(A233,"PR064")</f>
        <v>-5.5416699999999999</v>
      </c>
      <c r="O233" s="2">
        <f>_xll.BDP(A233,"CHG_PCT_1YR")</f>
        <v>-6.0455430000000003</v>
      </c>
      <c r="P233" s="2">
        <f>_xll.BDP(A233,"INTERVAL_HIGH", "MARKET_DATA_OVERRIDE=PE_RATIO", "CALC_INTERVAL=5y", "BEST_FPERIOD_OVERRIDE=BF")</f>
        <v>22.611309645644422</v>
      </c>
      <c r="Q233" s="2">
        <f>_xll.BDP(A233,"INTERVAL_Low", "MARKET_DATA_OVERRIDE=PE_RATIO", "CALC_INTERVAL=5y", "BEST_FPERIOD_OVERRIDE=BF")</f>
        <v>13.897593471737848</v>
      </c>
      <c r="R233" s="2">
        <f>_xll.BDP(A233,"PE_RATIO")</f>
        <v>18.011281796986164</v>
      </c>
      <c r="S233" s="3">
        <f>IF(ISERROR((R233-Q233)/(P233-Q233)),"",(R233-Q233)/(P233-Q233))</f>
        <v>0.4720934493559536</v>
      </c>
    </row>
    <row r="234" spans="1:19" x14ac:dyDescent="0.25">
      <c r="A234" t="s">
        <v>86</v>
      </c>
      <c r="B234" t="str">
        <f>_xll.BDP(A234,"DS697")</f>
        <v>富時歐洲100指數</v>
      </c>
      <c r="C234" t="str">
        <f>_xll.BDP(A234,"DS003")</f>
        <v>EC</v>
      </c>
      <c r="D234" s="2">
        <f>_xll.BDP(A234,"PX_LAST")</f>
        <v>2990.68</v>
      </c>
      <c r="E234" s="2">
        <f>_xll.BDP(A234,"CHG_PCT_1D")</f>
        <v>0.69900870000000004</v>
      </c>
      <c r="F234" s="2">
        <f>_xll.BDP(A234,"HIGH_52WEEK")</f>
        <v>3025.05</v>
      </c>
      <c r="G234" s="2">
        <f>LN(F234/D234)*100</f>
        <v>1.1426833977152535</v>
      </c>
      <c r="H234" s="2">
        <f>_xll.BDP(A234,"LOW_52WEEK")</f>
        <v>2504.48</v>
      </c>
      <c r="I234" s="2">
        <f>LN(H234/D234)*100</f>
        <v>-17.741965813689518</v>
      </c>
      <c r="J234" s="2">
        <f>_xll.BDP(A234,"CHG_PCT_5D")</f>
        <v>-9.98748E-2</v>
      </c>
      <c r="K234" s="2">
        <f>_xll.BDP(A234,"CHG_PCT_1M")</f>
        <v>4.4096890000000002</v>
      </c>
      <c r="L234" s="2">
        <f>_xll.BDP(A234,"CHG_PCT_3M")</f>
        <v>1.855459</v>
      </c>
      <c r="M234" s="2">
        <f>_xll.BDP(A234,"CHG_PCT_6M")</f>
        <v>3.5346039999999999</v>
      </c>
      <c r="N234" s="2">
        <f>_xll.BDP(A234,"PR064")</f>
        <v>1.855459</v>
      </c>
      <c r="O234" s="2">
        <f>_xll.BDP(A234,"CHG_PCT_1YR")</f>
        <v>2.969957</v>
      </c>
      <c r="P234" s="2">
        <f>_xll.BDP(A234,"INTERVAL_HIGH", "MARKET_DATA_OVERRIDE=PE_RATIO", "CALC_INTERVAL=5y", "BEST_FPERIOD_OVERRIDE=BF")</f>
        <v>30.447799094053597</v>
      </c>
      <c r="Q234" s="2">
        <f>_xll.BDP(A234,"INTERVAL_Low", "MARKET_DATA_OVERRIDE=PE_RATIO", "CALC_INTERVAL=5y", "BEST_FPERIOD_OVERRIDE=BF")</f>
        <v>14.416001106781207</v>
      </c>
      <c r="R234" s="2">
        <f>_xll.BDP(A234,"PE_RATIO")</f>
        <v>18.319931562253995</v>
      </c>
      <c r="S234" s="3">
        <f>IF(ISERROR((R234-Q234)/(P234-Q234)),"",(R234-Q234)/(P234-Q234))</f>
        <v>0.24351170458685353</v>
      </c>
    </row>
    <row r="235" spans="1:19" x14ac:dyDescent="0.25">
      <c r="A235" t="s">
        <v>298</v>
      </c>
      <c r="B235" t="str">
        <f>_xll.BDP(A235,"DS697")</f>
        <v>台灣證交所台灣50指數</v>
      </c>
      <c r="C235" t="str">
        <f>_xll.BDP(A235,"DS003")</f>
        <v>TA</v>
      </c>
      <c r="D235" s="2">
        <f>_xll.BDP(A235,"PX_LAST")</f>
        <v>8192.64</v>
      </c>
      <c r="E235" s="2">
        <f>_xll.BDP(A235,"CHG_PCT_1D")</f>
        <v>0.22632350000000001</v>
      </c>
      <c r="F235" s="2">
        <f>_xll.BDP(A235,"HIGH_52WEEK")</f>
        <v>8514.26</v>
      </c>
      <c r="G235" s="2">
        <f>LN(F235/D235)*100</f>
        <v>3.8506214631648978</v>
      </c>
      <c r="H235" s="2">
        <f>_xll.BDP(A235,"LOW_52WEEK")</f>
        <v>6951.83984375</v>
      </c>
      <c r="I235" s="2">
        <f>LN(H235/D235)*100</f>
        <v>-16.422983998309828</v>
      </c>
      <c r="J235" s="2">
        <f>_xll.BDP(A235,"CHG_PCT_5D")</f>
        <v>-9.0850760000000003E-2</v>
      </c>
      <c r="K235" s="2">
        <f>_xll.BDP(A235,"CHG_PCT_1M")</f>
        <v>5.5030590000000004</v>
      </c>
      <c r="L235" s="2">
        <f>_xll.BDP(A235,"CHG_PCT_3M")</f>
        <v>1.8336520000000001</v>
      </c>
      <c r="M235" s="2">
        <f>_xll.BDP(A235,"CHG_PCT_6M")</f>
        <v>4.2345750000000004</v>
      </c>
      <c r="N235" s="2">
        <f>_xll.BDP(A235,"PR064")</f>
        <v>1.8336520000000001</v>
      </c>
      <c r="O235" s="2">
        <f>_xll.BDP(A235,"CHG_PCT_1YR")</f>
        <v>-3.402466</v>
      </c>
      <c r="P235" s="2">
        <f>_xll.BDP(A235,"INTERVAL_HIGH", "MARKET_DATA_OVERRIDE=PE_RATIO", "CALC_INTERVAL=5y", "BEST_FPERIOD_OVERRIDE=BF")</f>
        <v>16.621474179980101</v>
      </c>
      <c r="Q235" s="2">
        <f>_xll.BDP(A235,"INTERVAL_Low", "MARKET_DATA_OVERRIDE=PE_RATIO", "CALC_INTERVAL=5y", "BEST_FPERIOD_OVERRIDE=BF")</f>
        <v>10.454225771687252</v>
      </c>
      <c r="R235" s="2">
        <f>_xll.BDP(A235,"PE_RATIO")</f>
        <v>16.399121434497186</v>
      </c>
      <c r="S235" s="3">
        <f>IF(ISERROR((R235-Q235)/(P235-Q235)),"",(R235-Q235)/(P235-Q235))</f>
        <v>0.96394619921845104</v>
      </c>
    </row>
    <row r="236" spans="1:19" x14ac:dyDescent="0.25">
      <c r="A236" t="s">
        <v>49</v>
      </c>
      <c r="B236" t="str">
        <f>_xll.BDP(A236,"DS697")</f>
        <v>標普/BMV IPC</v>
      </c>
      <c r="C236" t="str">
        <f>_xll.BDP(A236,"DS003")</f>
        <v>MX</v>
      </c>
      <c r="D236" s="2">
        <f>_xll.BDP(A236,"PX_LAST")</f>
        <v>42984.75</v>
      </c>
      <c r="E236" s="2">
        <f>_xll.BDP(A236,"CHG_PCT_1D")</f>
        <v>-6.8186979999999994E-2</v>
      </c>
      <c r="F236" s="2">
        <f>_xll.BDP(A236,"HIGH_52WEEK")</f>
        <v>50041.6015625</v>
      </c>
      <c r="G236" s="2">
        <f>LN(F236/D236)*100</f>
        <v>15.20092891048491</v>
      </c>
      <c r="H236" s="2">
        <f>_xll.BDP(A236,"LOW_52WEEK")</f>
        <v>38265.51171875</v>
      </c>
      <c r="I236" s="2">
        <f>LN(H236/D236)*100</f>
        <v>-11.62963884310579</v>
      </c>
      <c r="J236" s="2">
        <f>_xll.BDP(A236,"CHG_PCT_5D")</f>
        <v>-7.6032000000000002E-2</v>
      </c>
      <c r="K236" s="2">
        <f>_xll.BDP(A236,"CHG_PCT_1M")</f>
        <v>5.7462249999999999</v>
      </c>
      <c r="L236" s="2">
        <f>_xll.BDP(A236,"CHG_PCT_3M")</f>
        <v>-0.76600869999999999</v>
      </c>
      <c r="M236" s="2">
        <f>_xll.BDP(A236,"CHG_PCT_6M")</f>
        <v>8.6615460000000005E-2</v>
      </c>
      <c r="N236" s="2">
        <f>_xll.BDP(A236,"PR064")</f>
        <v>-0.76600869999999999</v>
      </c>
      <c r="O236" s="2">
        <f>_xll.BDP(A236,"CHG_PCT_1YR")</f>
        <v>-13.419079999999999</v>
      </c>
      <c r="P236" s="2">
        <f>_xll.BDP(A236,"INTERVAL_HIGH", "MARKET_DATA_OVERRIDE=PE_RATIO", "CALC_INTERVAL=5y", "BEST_FPERIOD_OVERRIDE=BF")</f>
        <v>32.795382404800122</v>
      </c>
      <c r="Q236" s="2">
        <f>_xll.BDP(A236,"INTERVAL_Low", "MARKET_DATA_OVERRIDE=PE_RATIO", "CALC_INTERVAL=5y", "BEST_FPERIOD_OVERRIDE=BF")</f>
        <v>14.461544022202892</v>
      </c>
      <c r="R236" s="2">
        <f>_xll.BDP(A236,"PE_RATIO")</f>
        <v>16.645694052172789</v>
      </c>
      <c r="S236" s="3">
        <f>IF(ISERROR((R236-Q236)/(P236-Q236)),"",(R236-Q236)/(P236-Q236))</f>
        <v>0.11913217431016124</v>
      </c>
    </row>
    <row r="237" spans="1:19" x14ac:dyDescent="0.25">
      <c r="A237" t="s">
        <v>52</v>
      </c>
      <c r="B237" t="str">
        <f>_xll.BDP(A237,"DS697")</f>
        <v>墨西哥總報酬指數</v>
      </c>
      <c r="C237" t="str">
        <f>_xll.BDP(A237,"DS003")</f>
        <v>MX</v>
      </c>
      <c r="D237" s="2">
        <f>_xll.BDP(A237,"PX_LAST")</f>
        <v>60020.25</v>
      </c>
      <c r="E237" s="2">
        <f>_xll.BDP(A237,"CHG_PCT_1D")</f>
        <v>-6.8180459999999998E-2</v>
      </c>
      <c r="F237" s="2">
        <f>_xll.BDP(A237,"HIGH_52WEEK")</f>
        <v>67732.0078125</v>
      </c>
      <c r="G237" s="2">
        <f>LN(F237/D237)*100</f>
        <v>12.087685186559874</v>
      </c>
      <c r="H237" s="2">
        <f>_xll.BDP(A237,"LOW_52WEEK")</f>
        <v>53243.4296875</v>
      </c>
      <c r="I237" s="2">
        <f>LN(H237/D237)*100</f>
        <v>-11.980759445518443</v>
      </c>
      <c r="J237" s="2">
        <f>_xll.BDP(A237,"CHG_PCT_5D")</f>
        <v>-7.6023250000000001E-2</v>
      </c>
      <c r="K237" s="2">
        <f>_xll.BDP(A237,"CHG_PCT_1M")</f>
        <v>5.7934460000000003</v>
      </c>
      <c r="L237" s="2">
        <f>_xll.BDP(A237,"CHG_PCT_3M")</f>
        <v>-0.21106420000000001</v>
      </c>
      <c r="M237" s="2">
        <f>_xll.BDP(A237,"CHG_PCT_6M")</f>
        <v>2.194118</v>
      </c>
      <c r="N237" s="2">
        <f>_xll.BDP(A237,"PR064")</f>
        <v>-0.21106420000000001</v>
      </c>
      <c r="O237" s="2">
        <f>_xll.BDP(A237,"CHG_PCT_1YR")</f>
        <v>-10.68121</v>
      </c>
      <c r="P237" s="2">
        <f>_xll.BDP(A237,"INTERVAL_HIGH", "MARKET_DATA_OVERRIDE=PE_RATIO", "CALC_INTERVAL=5y", "BEST_FPERIOD_OVERRIDE=BF")</f>
        <v>32.27182417386026</v>
      </c>
      <c r="Q237" s="2">
        <f>_xll.BDP(A237,"INTERVAL_Low", "MARKET_DATA_OVERRIDE=PE_RATIO", "CALC_INTERVAL=5y", "BEST_FPERIOD_OVERRIDE=BF")</f>
        <v>14.956862154418245</v>
      </c>
      <c r="R237" s="2">
        <f>_xll.BDP(A237,"PE_RATIO")</f>
        <v>17.739736333783856</v>
      </c>
      <c r="S237" s="3">
        <f>IF(ISERROR((R237-Q237)/(P237-Q237)),"",(R237-Q237)/(P237-Q237))</f>
        <v>0.16072077872540963</v>
      </c>
    </row>
    <row r="238" spans="1:19" x14ac:dyDescent="0.25">
      <c r="A238" t="s">
        <v>306</v>
      </c>
      <c r="B238" t="str">
        <f>_xll.BDP(A238,"DS697")</f>
        <v>紐西蘭NZSX普通股指數</v>
      </c>
      <c r="C238" t="str">
        <f>_xll.BDP(A238,"DS003")</f>
        <v>NZ</v>
      </c>
      <c r="D238" s="2">
        <f>_xll.BDP(A238,"PX_LAST")</f>
        <v>1820.01</v>
      </c>
      <c r="E238" s="2">
        <f>_xll.BDP(A238,"CHG_PCT_1D")</f>
        <v>7.7807319999999999E-2</v>
      </c>
      <c r="F238" s="2">
        <f>_xll.BDP(A238,"HIGH_52WEEK")</f>
        <v>1892.54</v>
      </c>
      <c r="G238" s="2">
        <f>LN(F238/D238)*100</f>
        <v>3.9077846590407721</v>
      </c>
      <c r="H238" s="2">
        <f>_xll.BDP(A238,"LOW_52WEEK")</f>
        <v>1488.82</v>
      </c>
      <c r="I238" s="2">
        <f>LN(H238/D238)*100</f>
        <v>-20.08581356856012</v>
      </c>
      <c r="J238" s="2">
        <f>_xll.BDP(A238,"CHG_PCT_5D")</f>
        <v>-7.3657529999999999E-2</v>
      </c>
      <c r="K238" s="2">
        <f>_xll.BDP(A238,"CHG_PCT_1M")</f>
        <v>2.0270220000000001</v>
      </c>
      <c r="L238" s="2">
        <f>_xll.BDP(A238,"CHG_PCT_3M")</f>
        <v>2.767541</v>
      </c>
      <c r="M238" s="2">
        <f>_xll.BDP(A238,"CHG_PCT_6M")</f>
        <v>9.5233659999999993</v>
      </c>
      <c r="N238" s="2">
        <f>_xll.BDP(A238,"PR064")</f>
        <v>2.767541</v>
      </c>
      <c r="O238" s="2">
        <f>_xll.BDP(A238,"CHG_PCT_1YR")</f>
        <v>11.97767</v>
      </c>
      <c r="P238" s="2">
        <f>_xll.BDP(A238,"INTERVAL_HIGH", "MARKET_DATA_OVERRIDE=PE_RATIO", "CALC_INTERVAL=5y", "BEST_FPERIOD_OVERRIDE=BF")</f>
        <v>52.593311386274912</v>
      </c>
      <c r="Q238" s="2">
        <f>_xll.BDP(A238,"INTERVAL_Low", "MARKET_DATA_OVERRIDE=PE_RATIO", "CALC_INTERVAL=5y", "BEST_FPERIOD_OVERRIDE=BF")</f>
        <v>16.983375477966419</v>
      </c>
      <c r="R238" s="2">
        <f>_xll.BDP(A238,"PE_RATIO")</f>
        <v>26.856234186219556</v>
      </c>
      <c r="S238" s="3">
        <f>IF(ISERROR((R238-Q238)/(P238-Q238)),"",(R238-Q238)/(P238-Q238))</f>
        <v>0.27725011170125713</v>
      </c>
    </row>
    <row r="239" spans="1:19" x14ac:dyDescent="0.25">
      <c r="A239" t="s">
        <v>98</v>
      </c>
      <c r="B239" t="str">
        <f>_xll.BDP(A239,"DS697")</f>
        <v>富時100指數</v>
      </c>
      <c r="C239" t="str">
        <f>_xll.BDP(A239,"DS003")</f>
        <v>GB</v>
      </c>
      <c r="D239" s="2">
        <f>_xll.BDP(A239,"PX_LAST")</f>
        <v>7351.08</v>
      </c>
      <c r="E239" s="2">
        <f>_xll.BDP(A239,"CHG_PCT_1D")</f>
        <v>0.83799840000000003</v>
      </c>
      <c r="F239" s="2">
        <f>_xll.BDP(A239,"HIGH_52WEEK")</f>
        <v>7727.49</v>
      </c>
      <c r="G239" s="2">
        <f>LN(F239/D239)*100</f>
        <v>4.9936859737900106</v>
      </c>
      <c r="H239" s="2">
        <f>_xll.BDP(A239,"LOW_52WEEK")</f>
        <v>6536.53</v>
      </c>
      <c r="I239" s="2">
        <f>LN(H239/D239)*100</f>
        <v>-11.744079758438785</v>
      </c>
      <c r="J239" s="2">
        <f>_xll.BDP(A239,"CHG_PCT_5D")</f>
        <v>-7.2588600000000003E-2</v>
      </c>
      <c r="K239" s="2">
        <f>_xll.BDP(A239,"CHG_PCT_1M")</f>
        <v>3.6885119999999998</v>
      </c>
      <c r="L239" s="2">
        <f>_xll.BDP(A239,"CHG_PCT_3M")</f>
        <v>-0.69234960000000001</v>
      </c>
      <c r="M239" s="2">
        <f>_xll.BDP(A239,"CHG_PCT_6M")</f>
        <v>2.1807889999999999</v>
      </c>
      <c r="N239" s="2">
        <f>_xll.BDP(A239,"PR064")</f>
        <v>-0.69234960000000001</v>
      </c>
      <c r="O239" s="2">
        <f>_xll.BDP(A239,"CHG_PCT_1YR")</f>
        <v>-2.5758589999999999</v>
      </c>
      <c r="P239" s="2">
        <f>_xll.BDP(A239,"INTERVAL_HIGH", "MARKET_DATA_OVERRIDE=PE_RATIO", "CALC_INTERVAL=5y", "BEST_FPERIOD_OVERRIDE=BF")</f>
        <v>58.337208792350445</v>
      </c>
      <c r="Q239" s="2">
        <f>_xll.BDP(A239,"INTERVAL_Low", "MARKET_DATA_OVERRIDE=PE_RATIO", "CALC_INTERVAL=5y", "BEST_FPERIOD_OVERRIDE=BF")</f>
        <v>15.25290565116236</v>
      </c>
      <c r="R239" s="2">
        <f>_xll.BDP(A239,"PE_RATIO")</f>
        <v>17.83447700374921</v>
      </c>
      <c r="S239" s="3">
        <f>IF(ISERROR((R239-Q239)/(P239-Q239)),"",(R239-Q239)/(P239-Q239))</f>
        <v>5.991906946079624E-2</v>
      </c>
    </row>
    <row r="240" spans="1:19" x14ac:dyDescent="0.25">
      <c r="A240" t="s">
        <v>121</v>
      </c>
      <c r="B240" t="str">
        <f>_xll.BDP(A240,"DS697")</f>
        <v>西班牙IBEX35指數</v>
      </c>
      <c r="C240" t="str">
        <f>_xll.BDP(A240,"DS003")</f>
        <v>SP</v>
      </c>
      <c r="D240" s="2">
        <f>_xll.BDP(A240,"PX_LAST")</f>
        <v>9129.7000000000007</v>
      </c>
      <c r="E240" s="2">
        <f>_xll.BDP(A240,"CHG_PCT_1D")</f>
        <v>0.48870150000000001</v>
      </c>
      <c r="F240" s="2">
        <f>_xll.BDP(A240,"HIGH_52WEEK")</f>
        <v>9587.6</v>
      </c>
      <c r="G240" s="2">
        <f>LN(F240/D240)*100</f>
        <v>4.89377615272379</v>
      </c>
      <c r="H240" s="2">
        <f>_xll.BDP(A240,"LOW_52WEEK")</f>
        <v>8286.2000000000007</v>
      </c>
      <c r="I240" s="2">
        <f>LN(H240/D240)*100</f>
        <v>-9.6941354896824663</v>
      </c>
      <c r="J240" s="2">
        <f>_xll.BDP(A240,"CHG_PCT_5D")</f>
        <v>-6.8957969999999993E-2</v>
      </c>
      <c r="K240" s="2">
        <f>_xll.BDP(A240,"CHG_PCT_1M")</f>
        <v>4.5916410000000001</v>
      </c>
      <c r="L240" s="2">
        <f>_xll.BDP(A240,"CHG_PCT_3M")</f>
        <v>-0.19785749999999999</v>
      </c>
      <c r="M240" s="2">
        <f>_xll.BDP(A240,"CHG_PCT_6M")</f>
        <v>-1.085604</v>
      </c>
      <c r="N240" s="2">
        <f>_xll.BDP(A240,"PR064")</f>
        <v>-0.19785749999999999</v>
      </c>
      <c r="O240" s="2">
        <f>_xll.BDP(A240,"CHG_PCT_1YR")</f>
        <v>-4.1752799999999999</v>
      </c>
      <c r="P240" s="2">
        <f>_xll.BDP(A240,"INTERVAL_HIGH", "MARKET_DATA_OVERRIDE=PE_RATIO", "CALC_INTERVAL=5y", "BEST_FPERIOD_OVERRIDE=BF")</f>
        <v>22.08669382412624</v>
      </c>
      <c r="Q240" s="2">
        <f>_xll.BDP(A240,"INTERVAL_Low", "MARKET_DATA_OVERRIDE=PE_RATIO", "CALC_INTERVAL=5y", "BEST_FPERIOD_OVERRIDE=BF")</f>
        <v>12.215821651722655</v>
      </c>
      <c r="R240" s="2">
        <f>_xll.BDP(A240,"PE_RATIO")</f>
        <v>13.072963184917894</v>
      </c>
      <c r="S240" s="3">
        <f>IF(ISERROR((R240-Q240)/(P240-Q240)),"",(R240-Q240)/(P240-Q240))</f>
        <v>8.6835440498519101E-2</v>
      </c>
    </row>
    <row r="241" spans="1:19" x14ac:dyDescent="0.25">
      <c r="A241" t="s">
        <v>137</v>
      </c>
      <c r="B241" t="str">
        <f>_xll.BDP(A241,"DS697")</f>
        <v>愛爾蘭綜合指數</v>
      </c>
      <c r="C241" t="str">
        <f>_xll.BDP(A241,"DS003")</f>
        <v>IR</v>
      </c>
      <c r="D241" s="2">
        <f>_xll.BDP(A241,"PX_LAST")</f>
        <v>6101.84</v>
      </c>
      <c r="E241" s="2">
        <f>_xll.BDP(A241,"CHG_PCT_1D")</f>
        <v>0.58138290000000004</v>
      </c>
      <c r="F241" s="2">
        <f>_xll.BDP(A241,"HIGH_52WEEK")</f>
        <v>6603.61</v>
      </c>
      <c r="G241" s="2">
        <f>LN(F241/D241)*100</f>
        <v>7.9026104156421892</v>
      </c>
      <c r="H241" s="2">
        <f>_xll.BDP(A241,"LOW_52WEEK")</f>
        <v>5311.73</v>
      </c>
      <c r="I241" s="2">
        <f>LN(H241/D241)*100</f>
        <v>-13.867278247045004</v>
      </c>
      <c r="J241" s="2">
        <f>_xll.BDP(A241,"CHG_PCT_5D")</f>
        <v>-5.7164449999999999E-2</v>
      </c>
      <c r="K241" s="2">
        <f>_xll.BDP(A241,"CHG_PCT_1M")</f>
        <v>4.6387280000000004</v>
      </c>
      <c r="L241" s="2">
        <f>_xll.BDP(A241,"CHG_PCT_3M")</f>
        <v>-9.0550820000000004E-2</v>
      </c>
      <c r="M241" s="2">
        <f>_xll.BDP(A241,"CHG_PCT_6M")</f>
        <v>0.84985710000000003</v>
      </c>
      <c r="N241" s="2">
        <f>_xll.BDP(A241,"PR064")</f>
        <v>-9.0550820000000004E-2</v>
      </c>
      <c r="O241" s="2">
        <f>_xll.BDP(A241,"CHG_PCT_1YR")</f>
        <v>-7.3619029999999999</v>
      </c>
      <c r="P241" s="2">
        <f>_xll.BDP(A241,"INTERVAL_HIGH", "MARKET_DATA_OVERRIDE=PE_RATIO", "CALC_INTERVAL=5y", "BEST_FPERIOD_OVERRIDE=BF")</f>
        <v>57.670241243638955</v>
      </c>
      <c r="Q241" s="2">
        <f>_xll.BDP(A241,"INTERVAL_Low", "MARKET_DATA_OVERRIDE=PE_RATIO", "CALC_INTERVAL=5y", "BEST_FPERIOD_OVERRIDE=BF")</f>
        <v>13.788385097656032</v>
      </c>
      <c r="R241" s="2">
        <f>_xll.BDP(A241,"PE_RATIO")</f>
        <v>25.578397658090363</v>
      </c>
      <c r="S241" s="3">
        <f>IF(ISERROR((R241-Q241)/(P241-Q241)),"",(R241-Q241)/(P241-Q241))</f>
        <v>0.26867625018440849</v>
      </c>
    </row>
    <row r="242" spans="1:19" x14ac:dyDescent="0.25">
      <c r="A242" t="s">
        <v>315</v>
      </c>
      <c r="B242" t="str">
        <f>_xll.BDP(A242,"DS697")</f>
        <v>FTSE馬來西亞證交所EMAS指數</v>
      </c>
      <c r="C242" t="str">
        <f>_xll.BDP(A242,"DS003")</f>
        <v>MA</v>
      </c>
      <c r="D242" s="2">
        <f>_xll.BDP(A242,"PX_LAST")</f>
        <v>11271.16</v>
      </c>
      <c r="E242" s="2">
        <f>_xll.BDP(A242,"CHG_PCT_1D")</f>
        <v>0.27891929999999998</v>
      </c>
      <c r="F242" s="2">
        <f>_xll.BDP(A242,"HIGH_52WEEK")</f>
        <v>12572.86</v>
      </c>
      <c r="G242" s="2">
        <f>LN(F242/D242)*100</f>
        <v>10.929327169456363</v>
      </c>
      <c r="H242" s="2">
        <f>_xll.BDP(A242,"LOW_52WEEK")</f>
        <v>11060.9</v>
      </c>
      <c r="I242" s="2">
        <f>LN(H242/D242)*100</f>
        <v>-1.8830883777362677</v>
      </c>
      <c r="J242" s="2">
        <f>_xll.BDP(A242,"CHG_PCT_5D")</f>
        <v>-4.8151470000000002E-2</v>
      </c>
      <c r="K242" s="2">
        <f>_xll.BDP(A242,"CHG_PCT_1M")</f>
        <v>0.38162990000000002</v>
      </c>
      <c r="L242" s="2">
        <f>_xll.BDP(A242,"CHG_PCT_3M")</f>
        <v>-4.4023000000000003</v>
      </c>
      <c r="M242" s="2">
        <f>_xll.BDP(A242,"CHG_PCT_6M")</f>
        <v>-2.257301</v>
      </c>
      <c r="N242" s="2">
        <f>_xll.BDP(A242,"PR064")</f>
        <v>-4.4023000000000003</v>
      </c>
      <c r="O242" s="2">
        <f>_xll.BDP(A242,"CHG_PCT_1YR")</f>
        <v>-10.169560000000001</v>
      </c>
      <c r="P242" s="2">
        <f>_xll.BDP(A242,"INTERVAL_HIGH", "MARKET_DATA_OVERRIDE=PE_RATIO", "CALC_INTERVAL=5y", "BEST_FPERIOD_OVERRIDE=BF")</f>
        <v>25.997045208477324</v>
      </c>
      <c r="Q242" s="2">
        <f>_xll.BDP(A242,"INTERVAL_Low", "MARKET_DATA_OVERRIDE=PE_RATIO", "CALC_INTERVAL=5y", "BEST_FPERIOD_OVERRIDE=BF")</f>
        <v>14.199325981830142</v>
      </c>
      <c r="R242" s="2">
        <f>_xll.BDP(A242,"PE_RATIO")</f>
        <v>23.960622837983227</v>
      </c>
      <c r="S242" s="3">
        <f>IF(ISERROR((R242-Q242)/(P242-Q242)),"",(R242-Q242)/(P242-Q242))</f>
        <v>0.8273884696378867</v>
      </c>
    </row>
    <row r="243" spans="1:19" x14ac:dyDescent="0.25">
      <c r="A243" t="s">
        <v>54</v>
      </c>
      <c r="B243" t="str">
        <f>_xll.BDP(A243,"DS697")</f>
        <v>巴拿馬證券交易所一般指數</v>
      </c>
      <c r="C243" t="str">
        <f>_xll.BDP(A243,"DS003")</f>
        <v>PN</v>
      </c>
      <c r="D243" s="2">
        <f>_xll.BDP(A243,"PX_LAST")</f>
        <v>453.56</v>
      </c>
      <c r="E243" s="2">
        <f>_xll.BDP(A243,"CHG_PCT_1D")</f>
        <v>4.8528700000000001E-2</v>
      </c>
      <c r="F243" s="2">
        <f>_xll.BDP(A243,"HIGH_52WEEK")</f>
        <v>464.78980000000001</v>
      </c>
      <c r="G243" s="2">
        <f>LN(F243/D243)*100</f>
        <v>2.445769527072176</v>
      </c>
      <c r="H243" s="2">
        <f>_xll.BDP(A243,"LOW_52WEEK")</f>
        <v>437.15</v>
      </c>
      <c r="I243" s="2">
        <f>LN(H243/D243)*100</f>
        <v>-3.6851179476739064</v>
      </c>
      <c r="J243" s="2">
        <f>_xll.BDP(A243,"CHG_PCT_5D")</f>
        <v>-3.0860080000000002E-2</v>
      </c>
      <c r="K243" s="2">
        <f>_xll.BDP(A243,"CHG_PCT_1M")</f>
        <v>0.28522969999999997</v>
      </c>
      <c r="L243" s="2">
        <f>_xll.BDP(A243,"CHG_PCT_3M")</f>
        <v>3.4014180000000001</v>
      </c>
      <c r="M243" s="2">
        <f>_xll.BDP(A243,"CHG_PCT_6M")</f>
        <v>3.2319770000000001</v>
      </c>
      <c r="N243" s="2">
        <f>_xll.BDP(A243,"PR064")</f>
        <v>3.4014180000000001</v>
      </c>
      <c r="O243" s="2">
        <f>_xll.BDP(A243,"CHG_PCT_1YR")</f>
        <v>-1.273997</v>
      </c>
      <c r="P243" s="2">
        <f>_xll.BDP(A243,"INTERVAL_HIGH", "MARKET_DATA_OVERRIDE=PE_RATIO", "CALC_INTERVAL=5y", "BEST_FPERIOD_OVERRIDE=BF")</f>
        <v>16.626309979798009</v>
      </c>
      <c r="Q243" s="2">
        <f>_xll.BDP(A243,"INTERVAL_Low", "MARKET_DATA_OVERRIDE=PE_RATIO", "CALC_INTERVAL=5y", "BEST_FPERIOD_OVERRIDE=BF")</f>
        <v>11.071625387845371</v>
      </c>
      <c r="R243" s="2">
        <f>_xll.BDP(A243,"PE_RATIO")</f>
        <v>11.725505465144888</v>
      </c>
      <c r="S243" s="3">
        <f>IF(ISERROR((R243-Q243)/(P243-Q243)),"",(R243-Q243)/(P243-Q243))</f>
        <v>0.11771686879338339</v>
      </c>
    </row>
    <row r="244" spans="1:19" x14ac:dyDescent="0.25">
      <c r="A244" t="s">
        <v>190</v>
      </c>
      <c r="B244" t="str">
        <f>_xll.BDP(A244,"DS697")</f>
        <v>貝爾格勒證券交易所BELEX15指</v>
      </c>
      <c r="C244" t="str">
        <f>_xll.BDP(A244,"DS003")</f>
        <v>RR</v>
      </c>
      <c r="D244" s="2">
        <f>_xll.BDP(A244,"PX_LAST")</f>
        <v>758.44</v>
      </c>
      <c r="E244" s="2">
        <f>_xll.BDP(A244,"CHG_PCT_1D")</f>
        <v>0.69302459999999999</v>
      </c>
      <c r="F244" s="2">
        <f>_xll.BDP(A244,"HIGH_52WEEK")</f>
        <v>782.37</v>
      </c>
      <c r="G244" s="2">
        <f>LN(F244/D244)*100</f>
        <v>3.1064082261189276</v>
      </c>
      <c r="H244" s="2">
        <f>_xll.BDP(A244,"LOW_52WEEK")</f>
        <v>667.94</v>
      </c>
      <c r="I244" s="2">
        <f>LN(H244/D244)*100</f>
        <v>-12.706534302272864</v>
      </c>
      <c r="J244" s="2">
        <f>_xll.BDP(A244,"CHG_PCT_5D")</f>
        <v>-1.3200880000000001E-3</v>
      </c>
      <c r="K244" s="2">
        <f>_xll.BDP(A244,"CHG_PCT_1M")</f>
        <v>1.1712020000000001</v>
      </c>
      <c r="L244" s="2">
        <f>_xll.BDP(A244,"CHG_PCT_3M")</f>
        <v>3.8830800000000001</v>
      </c>
      <c r="M244" s="2">
        <f>_xll.BDP(A244,"CHG_PCT_6M")</f>
        <v>3.5342319999999998</v>
      </c>
      <c r="N244" s="2">
        <f>_xll.BDP(A244,"PR064")</f>
        <v>3.8830800000000001</v>
      </c>
      <c r="O244" s="2">
        <f>_xll.BDP(A244,"CHG_PCT_1YR")</f>
        <v>4.257225</v>
      </c>
      <c r="P244" s="2">
        <f>_xll.BDP(A244,"INTERVAL_HIGH", "MARKET_DATA_OVERRIDE=PE_RATIO", "CALC_INTERVAL=5y", "BEST_FPERIOD_OVERRIDE=BF")</f>
        <v>1590.5443472005877</v>
      </c>
      <c r="Q244" s="2">
        <f>_xll.BDP(A244,"INTERVAL_Low", "MARKET_DATA_OVERRIDE=PE_RATIO", "CALC_INTERVAL=5y", "BEST_FPERIOD_OVERRIDE=BF")</f>
        <v>1.250045289612095E-6</v>
      </c>
      <c r="R244" s="2">
        <f>_xll.BDP(A244,"PE_RATIO")</f>
        <v>2.7017186319600097</v>
      </c>
      <c r="S244" s="3">
        <f>IF(ISERROR((R244-Q244)/(P244-Q244)),"",(R244-Q244)/(P244-Q244))</f>
        <v>1.6986117921158103E-3</v>
      </c>
    </row>
    <row r="245" spans="1:19" x14ac:dyDescent="0.25">
      <c r="A245" t="s">
        <v>53</v>
      </c>
      <c r="B245" t="str">
        <f>_xll.BDP(A245,"DS697")</f>
        <v>FTSE BIVA Price Return Index</v>
      </c>
      <c r="C245" t="str">
        <f>_xll.BDP(A245,"DS003")</f>
        <v>MX</v>
      </c>
      <c r="D245" s="2">
        <f>_xll.BDP(A245,"PX_LAST")</f>
        <v>884.22</v>
      </c>
      <c r="E245" s="2">
        <f>_xll.BDP(A245,"CHG_PCT_1D")</f>
        <v>1.131068E-2</v>
      </c>
      <c r="F245" s="2">
        <f>_xll.BDP(A245,"HIGH_52WEEK")</f>
        <v>1009.86</v>
      </c>
      <c r="G245" s="2">
        <f>LN(F245/D245)*100</f>
        <v>13.286108591290336</v>
      </c>
      <c r="H245" s="2">
        <f>_xll.BDP(A245,"LOW_52WEEK")</f>
        <v>785.39</v>
      </c>
      <c r="I245" s="2">
        <f>LN(H245/D245)*100</f>
        <v>-11.852549075604815</v>
      </c>
      <c r="J245" s="2">
        <f>_xll.BDP(A245,"CHG_PCT_5D")</f>
        <v>-1.128719E-3</v>
      </c>
      <c r="K245" s="2">
        <f>_xll.BDP(A245,"CHG_PCT_1M")</f>
        <v>6.0571900000000003</v>
      </c>
      <c r="L245" s="2">
        <f>_xll.BDP(A245,"CHG_PCT_3M")</f>
        <v>8.7153610000000006E-2</v>
      </c>
      <c r="M245" s="2">
        <f>_xll.BDP(A245,"CHG_PCT_6M")</f>
        <v>0.61445609999999995</v>
      </c>
      <c r="N245" s="2">
        <f>_xll.BDP(A245,"PR064")</f>
        <v>8.7153610000000006E-2</v>
      </c>
      <c r="O245" s="2">
        <f>_xll.BDP(A245,"CHG_PCT_1YR")</f>
        <v>-11.77563</v>
      </c>
      <c r="P245" s="2">
        <f>_xll.BDP(A245,"INTERVAL_HIGH", "MARKET_DATA_OVERRIDE=PE_RATIO", "CALC_INTERVAL=5y", "BEST_FPERIOD_OVERRIDE=BF")</f>
        <v>125.18013018412469</v>
      </c>
      <c r="Q245" s="2">
        <f>_xll.BDP(A245,"INTERVAL_Low", "MARKET_DATA_OVERRIDE=PE_RATIO", "CALC_INTERVAL=5y", "BEST_FPERIOD_OVERRIDE=BF")</f>
        <v>13.632483565773645</v>
      </c>
      <c r="R245" s="2">
        <f>_xll.BDP(A245,"PE_RATIO")</f>
        <v>15.258688699653231</v>
      </c>
      <c r="S245" s="3">
        <f>IF(ISERROR((R245-Q245)/(P245-Q245)),"",(R245-Q245)/(P245-Q245))</f>
        <v>1.4578569635301058E-2</v>
      </c>
    </row>
    <row r="246" spans="1:19" x14ac:dyDescent="0.25">
      <c r="A246" t="s">
        <v>51</v>
      </c>
      <c r="B246" t="str">
        <f>_xll.BDP(A246,"DS697")</f>
        <v>墨西哥IMC30指數</v>
      </c>
      <c r="C246" t="str">
        <f>_xll.BDP(A246,"DS003")</f>
        <v>MX</v>
      </c>
      <c r="D246" s="2">
        <f>_xll.BDP(A246,"PX_LAST")</f>
        <v>736.99829999999997</v>
      </c>
      <c r="E246" s="2">
        <f>_xll.BDP(A246,"CHG_PCT_1D")</f>
        <v>2.1072090000000001</v>
      </c>
      <c r="F246" s="2">
        <f>_xll.BDP(A246,"HIGH_52WEEK")</f>
        <v>875.43</v>
      </c>
      <c r="G246" s="2">
        <f>LN(F246/D246)*100</f>
        <v>17.21296086794673</v>
      </c>
      <c r="H246" s="2">
        <f>_xll.BDP(A246,"LOW_52WEEK")</f>
        <v>681.04</v>
      </c>
      <c r="I246" s="2">
        <f>LN(H246/D246)*100</f>
        <v>-7.8964543962299336</v>
      </c>
      <c r="J246" s="2">
        <f>_xll.BDP(A246,"CHG_PCT_5D")</f>
        <v>0</v>
      </c>
      <c r="K246" s="2">
        <f>_xll.BDP(A246,"CHG_PCT_1M")</f>
        <v>4.1615250000000001</v>
      </c>
      <c r="L246" s="2">
        <f>_xll.BDP(A246,"CHG_PCT_3M")</f>
        <v>-0.3761292</v>
      </c>
      <c r="M246" s="2">
        <f>_xll.BDP(A246,"CHG_PCT_6M")</f>
        <v>-1.504645</v>
      </c>
      <c r="N246" s="2">
        <f>_xll.BDP(A246,"PR064")</f>
        <v>-0.3761292</v>
      </c>
      <c r="O246" s="2">
        <f>_xll.BDP(A246,"CHG_PCT_1YR")</f>
        <v>-15.03715</v>
      </c>
      <c r="P246" s="2">
        <f>_xll.BDP(A246,"INTERVAL_HIGH", "MARKET_DATA_OVERRIDE=PE_RATIO", "CALC_INTERVAL=5y", "BEST_FPERIOD_OVERRIDE=BF")</f>
        <v>32.833799119363796</v>
      </c>
      <c r="Q246" s="2">
        <f>_xll.BDP(A246,"INTERVAL_Low", "MARKET_DATA_OVERRIDE=PE_RATIO", "CALC_INTERVAL=5y", "BEST_FPERIOD_OVERRIDE=BF")</f>
        <v>12.237584731613588</v>
      </c>
      <c r="R246" s="2" t="str">
        <f>_xll.BDP(A246,"PE_RATIO")</f>
        <v>#N/A N/A</v>
      </c>
      <c r="S246" s="3" t="str">
        <f>IF(ISERROR((R246-Q246)/(P246-Q246)),"",(R246-Q246)/(P246-Q246))</f>
        <v/>
      </c>
    </row>
    <row r="247" spans="1:19" x14ac:dyDescent="0.25">
      <c r="A247" t="s">
        <v>191</v>
      </c>
      <c r="B247" t="str">
        <f>_xll.BDP(A247,"DS697")</f>
        <v>愛沙尼亞OMX陶林指數</v>
      </c>
      <c r="C247" t="str">
        <f>_xll.BDP(A247,"DS003")</f>
        <v>EE</v>
      </c>
      <c r="D247" s="2">
        <f>_xll.BDP(A247,"PX_LAST")</f>
        <v>1233.431</v>
      </c>
      <c r="E247" s="2">
        <f>_xll.BDP(A247,"CHG_PCT_1D")</f>
        <v>0.11200839999999999</v>
      </c>
      <c r="F247" s="2">
        <f>_xll.BDP(A247,"HIGH_52WEEK")</f>
        <v>1281.018</v>
      </c>
      <c r="G247" s="2">
        <f>LN(F247/D247)*100</f>
        <v>3.7855357302163855</v>
      </c>
      <c r="H247" s="2">
        <f>_xll.BDP(A247,"LOW_52WEEK")</f>
        <v>1148.268</v>
      </c>
      <c r="I247" s="2">
        <f>LN(H247/D247)*100</f>
        <v>-7.1544996906322389</v>
      </c>
      <c r="J247" s="2">
        <f>_xll.BDP(A247,"CHG_PCT_5D")</f>
        <v>0.1026238</v>
      </c>
      <c r="K247" s="2">
        <f>_xll.BDP(A247,"CHG_PCT_1M")</f>
        <v>-1.1492469999999999</v>
      </c>
      <c r="L247" s="2">
        <f>_xll.BDP(A247,"CHG_PCT_3M")</f>
        <v>-1.570333</v>
      </c>
      <c r="M247" s="2">
        <f>_xll.BDP(A247,"CHG_PCT_6M")</f>
        <v>-0.4807998</v>
      </c>
      <c r="N247" s="2">
        <f>_xll.BDP(A247,"PR064")</f>
        <v>-1.570333</v>
      </c>
      <c r="O247" s="2">
        <f>_xll.BDP(A247,"CHG_PCT_1YR")</f>
        <v>1.5835920000000001</v>
      </c>
      <c r="P247" s="2">
        <f>_xll.BDP(A247,"INTERVAL_HIGH", "MARKET_DATA_OVERRIDE=PE_RATIO", "CALC_INTERVAL=5y", "BEST_FPERIOD_OVERRIDE=BF")</f>
        <v>22.755490919960529</v>
      </c>
      <c r="Q247" s="2">
        <f>_xll.BDP(A247,"INTERVAL_Low", "MARKET_DATA_OVERRIDE=PE_RATIO", "CALC_INTERVAL=5y", "BEST_FPERIOD_OVERRIDE=BF")</f>
        <v>10.384142883314929</v>
      </c>
      <c r="R247" s="2">
        <f>_xll.BDP(A247,"PE_RATIO")</f>
        <v>22.371386330157183</v>
      </c>
      <c r="S247" s="3">
        <f>IF(ISERROR((R247-Q247)/(P247-Q247)),"",(R247-Q247)/(P247-Q247))</f>
        <v>0.96895208277500744</v>
      </c>
    </row>
    <row r="248" spans="1:19" x14ac:dyDescent="0.25">
      <c r="A248" t="s">
        <v>189</v>
      </c>
      <c r="B248" t="str">
        <f>_xll.BDP(A248,"DS697")</f>
        <v>BELEXline指數</v>
      </c>
      <c r="C248" t="str">
        <f>_xll.BDP(A248,"DS003")</f>
        <v>RR</v>
      </c>
      <c r="D248" s="2">
        <f>_xll.BDP(A248,"PX_LAST")</f>
        <v>1618.74</v>
      </c>
      <c r="E248" s="2">
        <f>_xll.BDP(A248,"CHG_PCT_1D")</f>
        <v>0.58534039999999998</v>
      </c>
      <c r="F248" s="2">
        <f>_xll.BDP(A248,"HIGH_52WEEK")</f>
        <v>1621.01</v>
      </c>
      <c r="G248" s="2">
        <f>LN(F248/D248)*100</f>
        <v>0.1401342925521063</v>
      </c>
      <c r="H248" s="2">
        <f>_xll.BDP(A248,"LOW_52WEEK")</f>
        <v>1496.74</v>
      </c>
      <c r="I248" s="2">
        <f>LN(H248/D248)*100</f>
        <v>-7.8358659181921695</v>
      </c>
      <c r="J248" s="2">
        <f>_xll.BDP(A248,"CHG_PCT_5D")</f>
        <v>0.1286582</v>
      </c>
      <c r="K248" s="2">
        <f>_xll.BDP(A248,"CHG_PCT_1M")</f>
        <v>1.5285029999999999</v>
      </c>
      <c r="L248" s="2">
        <f>_xll.BDP(A248,"CHG_PCT_3M")</f>
        <v>4.7558639999999999</v>
      </c>
      <c r="M248" s="2">
        <f>_xll.BDP(A248,"CHG_PCT_6M")</f>
        <v>2.0424389999999999</v>
      </c>
      <c r="N248" s="2">
        <f>_xll.BDP(A248,"PR064")</f>
        <v>4.7558639999999999</v>
      </c>
      <c r="O248" s="2">
        <f>_xll.BDP(A248,"CHG_PCT_1YR")</f>
        <v>5.6067289999999996</v>
      </c>
      <c r="P248" s="2">
        <f>_xll.BDP(A248,"INTERVAL_HIGH", "MARKET_DATA_OVERRIDE=PE_RATIO", "CALC_INTERVAL=5y", "BEST_FPERIOD_OVERRIDE=BF")</f>
        <v>14117.743130922256</v>
      </c>
      <c r="Q248" s="2">
        <f>_xll.BDP(A248,"INTERVAL_Low", "MARKET_DATA_OVERRIDE=PE_RATIO", "CALC_INTERVAL=5y", "BEST_FPERIOD_OVERRIDE=BF")</f>
        <v>3.6712199567613526</v>
      </c>
      <c r="R248" s="2">
        <f>_xll.BDP(A248,"PE_RATIO")</f>
        <v>4.2013658265961906</v>
      </c>
      <c r="S248" s="3">
        <f>IF(ISERROR((R248-Q248)/(P248-Q248)),"",(R248-Q248)/(P248-Q248))</f>
        <v>3.7561511176867215E-5</v>
      </c>
    </row>
    <row r="249" spans="1:19" x14ac:dyDescent="0.25">
      <c r="A249" t="s">
        <v>305</v>
      </c>
      <c r="B249" t="str">
        <f>_xll.BDP(A249,"DS697")</f>
        <v>紐西蘭NZSX10指數</v>
      </c>
      <c r="C249" t="str">
        <f>_xll.BDP(A249,"DS003")</f>
        <v>NZ</v>
      </c>
      <c r="D249" s="2">
        <f>_xll.BDP(A249,"PX_LAST")</f>
        <v>1836.2</v>
      </c>
      <c r="E249" s="2">
        <f>_xll.BDP(A249,"CHG_PCT_1D")</f>
        <v>-0.1161377</v>
      </c>
      <c r="F249" s="2">
        <f>_xll.BDP(A249,"HIGH_52WEEK")</f>
        <v>1943.48</v>
      </c>
      <c r="G249" s="2">
        <f>LN(F249/D249)*100</f>
        <v>5.6781961817096587</v>
      </c>
      <c r="H249" s="2">
        <f>_xll.BDP(A249,"LOW_52WEEK")</f>
        <v>1449.62</v>
      </c>
      <c r="I249" s="2">
        <f>LN(H249/D249)*100</f>
        <v>-23.639676560656902</v>
      </c>
      <c r="J249" s="2">
        <f>_xll.BDP(A249,"CHG_PCT_5D")</f>
        <v>0.13672570000000001</v>
      </c>
      <c r="K249" s="2">
        <f>_xll.BDP(A249,"CHG_PCT_1M")</f>
        <v>2.070084</v>
      </c>
      <c r="L249" s="2">
        <f>_xll.BDP(A249,"CHG_PCT_3M")</f>
        <v>2.8699560000000002</v>
      </c>
      <c r="M249" s="2">
        <f>_xll.BDP(A249,"CHG_PCT_6M")</f>
        <v>9.461093</v>
      </c>
      <c r="N249" s="2">
        <f>_xll.BDP(A249,"PR064")</f>
        <v>2.8699560000000002</v>
      </c>
      <c r="O249" s="2">
        <f>_xll.BDP(A249,"CHG_PCT_1YR")</f>
        <v>13.17013</v>
      </c>
      <c r="P249" s="2">
        <f>_xll.BDP(A249,"INTERVAL_HIGH", "MARKET_DATA_OVERRIDE=PE_RATIO", "CALC_INTERVAL=5y", "BEST_FPERIOD_OVERRIDE=BF")</f>
        <v>39.017881642148382</v>
      </c>
      <c r="Q249" s="2">
        <f>_xll.BDP(A249,"INTERVAL_Low", "MARKET_DATA_OVERRIDE=PE_RATIO", "CALC_INTERVAL=5y", "BEST_FPERIOD_OVERRIDE=BF")</f>
        <v>17.81883666957857</v>
      </c>
      <c r="R249" s="2">
        <f>_xll.BDP(A249,"PE_RATIO")</f>
        <v>26.432789993305313</v>
      </c>
      <c r="S249" s="3">
        <f>IF(ISERROR((R249-Q249)/(P249-Q249)),"",(R249-Q249)/(P249-Q249))</f>
        <v>0.40633685785716478</v>
      </c>
    </row>
    <row r="250" spans="1:19" x14ac:dyDescent="0.25">
      <c r="A250" t="s">
        <v>251</v>
      </c>
      <c r="B250" t="str">
        <f>_xll.BDP(A250,"DS697")</f>
        <v>紐西蘭NZX流通50總報酬指數</v>
      </c>
      <c r="C250" t="str">
        <f>_xll.BDP(A250,"DS003")</f>
        <v>NZ</v>
      </c>
      <c r="D250" s="2">
        <f>_xll.BDP(A250,"PX_LAST")</f>
        <v>10847.8</v>
      </c>
      <c r="E250" s="2">
        <f>_xll.BDP(A250,"CHG_PCT_1D")</f>
        <v>0.2312717</v>
      </c>
      <c r="F250" s="2">
        <f>_xll.BDP(A250,"HIGH_52WEEK")</f>
        <v>11222.31</v>
      </c>
      <c r="G250" s="2">
        <f>LN(F250/D250)*100</f>
        <v>3.3941466806715468</v>
      </c>
      <c r="H250" s="2">
        <f>_xll.BDP(A250,"LOW_52WEEK")</f>
        <v>8490.76</v>
      </c>
      <c r="I250" s="2">
        <f>LN(H250/D250)*100</f>
        <v>-24.498378105415515</v>
      </c>
      <c r="J250" s="2">
        <f>_xll.BDP(A250,"CHG_PCT_5D")</f>
        <v>0.1700036</v>
      </c>
      <c r="K250" s="2">
        <f>_xll.BDP(A250,"CHG_PCT_1M")</f>
        <v>3.183055</v>
      </c>
      <c r="L250" s="2">
        <f>_xll.BDP(A250,"CHG_PCT_3M")</f>
        <v>3.9935890000000001</v>
      </c>
      <c r="M250" s="2">
        <f>_xll.BDP(A250,"CHG_PCT_6M")</f>
        <v>11.84573</v>
      </c>
      <c r="N250" s="2">
        <f>_xll.BDP(A250,"PR064")</f>
        <v>3.9935890000000001</v>
      </c>
      <c r="O250" s="2">
        <f>_xll.BDP(A250,"CHG_PCT_1YR")</f>
        <v>16.813849999999999</v>
      </c>
      <c r="P250" s="2">
        <f>_xll.BDP(A250,"INTERVAL_HIGH", "MARKET_DATA_OVERRIDE=PE_RATIO", "CALC_INTERVAL=5y", "BEST_FPERIOD_OVERRIDE=BF")</f>
        <v>26.301675635556212</v>
      </c>
      <c r="Q250" s="2">
        <f>_xll.BDP(A250,"INTERVAL_Low", "MARKET_DATA_OVERRIDE=PE_RATIO", "CALC_INTERVAL=5y", "BEST_FPERIOD_OVERRIDE=BF")</f>
        <v>15.598943836163699</v>
      </c>
      <c r="R250" s="2">
        <f>_xll.BDP(A250,"PE_RATIO")</f>
        <v>25.345376330509907</v>
      </c>
      <c r="S250" s="3">
        <f>IF(ISERROR((R250-Q250)/(P250-Q250)),"",(R250-Q250)/(P250-Q250))</f>
        <v>0.91064904521847556</v>
      </c>
    </row>
    <row r="251" spans="1:19" x14ac:dyDescent="0.25">
      <c r="A251" t="s">
        <v>41</v>
      </c>
      <c r="B251" t="str">
        <f>_xll.BDP(A251,"DS697")</f>
        <v>費城金銀指數</v>
      </c>
      <c r="C251" t="str">
        <f>_xll.BDP(A251,"DS003")</f>
        <v>US</v>
      </c>
      <c r="D251" s="2">
        <f>_xll.BDP(A251,"PX_LAST")</f>
        <v>93.168599999999998</v>
      </c>
      <c r="E251" s="2">
        <f>_xll.BDP(A251,"CHG_PCT_1D")</f>
        <v>-1.4547829999999999</v>
      </c>
      <c r="F251" s="2">
        <f>_xll.BDP(A251,"HIGH_52WEEK")</f>
        <v>102.28740000000001</v>
      </c>
      <c r="G251" s="2">
        <f>LN(F251/D251)*100</f>
        <v>9.3375743163039093</v>
      </c>
      <c r="H251" s="2">
        <f>_xll.BDP(A251,"LOW_52WEEK")</f>
        <v>61.354410000000001</v>
      </c>
      <c r="I251" s="2">
        <f>LN(H251/D251)*100</f>
        <v>-41.774370383934553</v>
      </c>
      <c r="J251" s="2">
        <f>_xll.BDP(A251,"CHG_PCT_5D")</f>
        <v>0.18732309999999999</v>
      </c>
      <c r="K251" s="2">
        <f>_xll.BDP(A251,"CHG_PCT_1M")</f>
        <v>-7.7870020000000002</v>
      </c>
      <c r="L251" s="2">
        <f>_xll.BDP(A251,"CHG_PCT_3M")</f>
        <v>11.69312</v>
      </c>
      <c r="M251" s="2">
        <f>_xll.BDP(A251,"CHG_PCT_6M")</f>
        <v>18.67126</v>
      </c>
      <c r="N251" s="2">
        <f>_xll.BDP(A251,"PR064")</f>
        <v>11.69312</v>
      </c>
      <c r="O251" s="2">
        <f>_xll.BDP(A251,"CHG_PCT_1YR")</f>
        <v>44.238329999999998</v>
      </c>
      <c r="P251" s="2">
        <f>_xll.BDP(A251,"INTERVAL_HIGH", "MARKET_DATA_OVERRIDE=PE_RATIO", "CALC_INTERVAL=5y", "BEST_FPERIOD_OVERRIDE=BF")</f>
        <v>1664.5525072290006</v>
      </c>
      <c r="Q251" s="2">
        <f>_xll.BDP(A251,"INTERVAL_Low", "MARKET_DATA_OVERRIDE=PE_RATIO", "CALC_INTERVAL=5y", "BEST_FPERIOD_OVERRIDE=BF")</f>
        <v>31.057355805017558</v>
      </c>
      <c r="R251" s="2">
        <f>_xll.BDP(A251,"PE_RATIO")</f>
        <v>119.58245240727452</v>
      </c>
      <c r="S251" s="3">
        <f>IF(ISERROR((R251-Q251)/(P251-Q251)),"",(R251-Q251)/(P251-Q251))</f>
        <v>5.4193669644556998E-2</v>
      </c>
    </row>
    <row r="252" spans="1:19" x14ac:dyDescent="0.25">
      <c r="A252" t="s">
        <v>214</v>
      </c>
      <c r="B252" t="str">
        <f>_xll.BDP(A252,"DS697")</f>
        <v>奈洛比證交所全部股票指數</v>
      </c>
      <c r="C252" t="str">
        <f>_xll.BDP(A252,"DS003")</f>
        <v>KN</v>
      </c>
      <c r="D252" s="2">
        <f>_xll.BDP(A252,"PX_LAST")</f>
        <v>144.5</v>
      </c>
      <c r="E252" s="2">
        <f>_xll.BDP(A252,"CHG_PCT_1D")</f>
        <v>-0.82361019999999996</v>
      </c>
      <c r="F252" s="2">
        <f>_xll.BDP(A252,"HIGH_52WEEK")</f>
        <v>161</v>
      </c>
      <c r="G252" s="2">
        <f>LN(F252/D252)*100</f>
        <v>10.812485743197612</v>
      </c>
      <c r="H252" s="2">
        <f>_xll.BDP(A252,"LOW_52WEEK")</f>
        <v>137.03</v>
      </c>
      <c r="I252" s="2">
        <f>LN(H252/D252)*100</f>
        <v>-5.3079627594377286</v>
      </c>
      <c r="J252" s="2">
        <f>_xll.BDP(A252,"CHG_PCT_5D")</f>
        <v>0.19414699999999999</v>
      </c>
      <c r="K252" s="2">
        <f>_xll.BDP(A252,"CHG_PCT_1M")</f>
        <v>-2.4505530000000002</v>
      </c>
      <c r="L252" s="2">
        <f>_xll.BDP(A252,"CHG_PCT_3M")</f>
        <v>-2.5886450000000001</v>
      </c>
      <c r="M252" s="2">
        <f>_xll.BDP(A252,"CHG_PCT_6M")</f>
        <v>-7.5495859999999997</v>
      </c>
      <c r="N252" s="2">
        <f>_xll.BDP(A252,"PR064")</f>
        <v>-2.5886450000000001</v>
      </c>
      <c r="O252" s="2">
        <f>_xll.BDP(A252,"CHG_PCT_1YR")</f>
        <v>-4.0504680000000004</v>
      </c>
      <c r="P252" s="2">
        <f>_xll.BDP(A252,"INTERVAL_HIGH", "MARKET_DATA_OVERRIDE=PE_RATIO", "CALC_INTERVAL=5y", "BEST_FPERIOD_OVERRIDE=BF")</f>
        <v>17.291025815063243</v>
      </c>
      <c r="Q252" s="2">
        <f>_xll.BDP(A252,"INTERVAL_Low", "MARKET_DATA_OVERRIDE=PE_RATIO", "CALC_INTERVAL=5y", "BEST_FPERIOD_OVERRIDE=BF")</f>
        <v>9.78739996507176</v>
      </c>
      <c r="R252" s="2">
        <f>_xll.BDP(A252,"PE_RATIO")</f>
        <v>10.943299896116564</v>
      </c>
      <c r="S252" s="3">
        <f>IF(ISERROR((R252-Q252)/(P252-Q252)),"",(R252-Q252)/(P252-Q252))</f>
        <v>0.15404551801394997</v>
      </c>
    </row>
    <row r="253" spans="1:19" x14ac:dyDescent="0.25">
      <c r="A253" t="s">
        <v>212</v>
      </c>
      <c r="B253" t="str">
        <f>_xll.BDP(A253,"DS697")</f>
        <v>Tanzania All Share Index Rea</v>
      </c>
      <c r="C253" t="str">
        <f>_xll.BDP(A253,"DS003")</f>
        <v>TZ</v>
      </c>
      <c r="D253" s="2">
        <f>_xll.BDP(A253,"PX_LAST")</f>
        <v>1931.44</v>
      </c>
      <c r="E253" s="2">
        <f>_xll.BDP(A253,"CHG_PCT_1D")</f>
        <v>0.22936970000000001</v>
      </c>
      <c r="F253" s="2">
        <f>_xll.BDP(A253,"HIGH_52WEEK")</f>
        <v>2176.1</v>
      </c>
      <c r="G253" s="2">
        <f>LN(F253/D253)*100</f>
        <v>11.926844511834819</v>
      </c>
      <c r="H253" s="2">
        <f>_xll.BDP(A253,"LOW_52WEEK")</f>
        <v>1782.06</v>
      </c>
      <c r="I253" s="2">
        <f>LN(H253/D253)*100</f>
        <v>-8.0495840186297052</v>
      </c>
      <c r="J253" s="2">
        <f>_xll.BDP(A253,"CHG_PCT_5D")</f>
        <v>0.23821390000000001</v>
      </c>
      <c r="K253" s="2">
        <f>_xll.BDP(A253,"CHG_PCT_1M")</f>
        <v>-1.1985479999999999</v>
      </c>
      <c r="L253" s="2">
        <f>_xll.BDP(A253,"CHG_PCT_3M")</f>
        <v>2.2445210000000002</v>
      </c>
      <c r="M253" s="2">
        <f>_xll.BDP(A253,"CHG_PCT_6M")</f>
        <v>-6.5533219999999996</v>
      </c>
      <c r="N253" s="2">
        <f>_xll.BDP(A253,"PR064")</f>
        <v>2.2445210000000002</v>
      </c>
      <c r="O253" s="2">
        <f>_xll.BDP(A253,"CHG_PCT_1YR")</f>
        <v>-8.3000229999999995</v>
      </c>
      <c r="P253" s="2">
        <f>_xll.BDP(A253,"INTERVAL_HIGH", "MARKET_DATA_OVERRIDE=PE_RATIO", "CALC_INTERVAL=5y", "BEST_FPERIOD_OVERRIDE=BF")</f>
        <v>169.03109201159404</v>
      </c>
      <c r="Q253" s="2">
        <f>_xll.BDP(A253,"INTERVAL_Low", "MARKET_DATA_OVERRIDE=PE_RATIO", "CALC_INTERVAL=5y", "BEST_FPERIOD_OVERRIDE=BF")</f>
        <v>8.1352698377529169</v>
      </c>
      <c r="R253" s="2">
        <f>_xll.BDP(A253,"PE_RATIO")</f>
        <v>8.3296201978164763</v>
      </c>
      <c r="S253" s="3">
        <f>IF(ISERROR((R253-Q253)/(P253-Q253)),"",(R253-Q253)/(P253-Q253))</f>
        <v>1.2079267033644424E-3</v>
      </c>
    </row>
    <row r="254" spans="1:19" x14ac:dyDescent="0.25">
      <c r="A254" t="s">
        <v>23</v>
      </c>
      <c r="B254" t="str">
        <f>_xll.BDP(A254,"DS697")</f>
        <v>那斯達克保險類指數</v>
      </c>
      <c r="C254" t="str">
        <f>_xll.BDP(A254,"DS003")</f>
        <v>US</v>
      </c>
      <c r="D254" s="2">
        <f>_xll.BDP(A254,"PX_LAST")</f>
        <v>10363.77</v>
      </c>
      <c r="E254" s="2">
        <f>_xll.BDP(A254,"CHG_PCT_1D")</f>
        <v>8.8849659999999997E-2</v>
      </c>
      <c r="F254" s="2">
        <f>_xll.BDP(A254,"HIGH_52WEEK")</f>
        <v>10441.790000000001</v>
      </c>
      <c r="G254" s="2">
        <f>LN(F254/D254)*100</f>
        <v>0.74999534464697792</v>
      </c>
      <c r="H254" s="2">
        <f>_xll.BDP(A254,"LOW_52WEEK")</f>
        <v>7385.098</v>
      </c>
      <c r="I254" s="2">
        <f>LN(H254/D254)*100</f>
        <v>-33.885188421235497</v>
      </c>
      <c r="J254" s="2">
        <f>_xll.BDP(A254,"CHG_PCT_5D")</f>
        <v>0.24487120000000001</v>
      </c>
      <c r="K254" s="2">
        <f>_xll.BDP(A254,"CHG_PCT_1M")</f>
        <v>4.3389470000000001</v>
      </c>
      <c r="L254" s="2">
        <f>_xll.BDP(A254,"CHG_PCT_3M")</f>
        <v>4.5171190000000001</v>
      </c>
      <c r="M254" s="2">
        <f>_xll.BDP(A254,"CHG_PCT_6M")</f>
        <v>18.52826</v>
      </c>
      <c r="N254" s="2">
        <f>_xll.BDP(A254,"PR064")</f>
        <v>4.5171190000000001</v>
      </c>
      <c r="O254" s="2">
        <f>_xll.BDP(A254,"CHG_PCT_1YR")</f>
        <v>21.545670000000001</v>
      </c>
      <c r="P254" s="2">
        <f>_xll.BDP(A254,"INTERVAL_HIGH", "MARKET_DATA_OVERRIDE=PE_RATIO", "CALC_INTERVAL=5y", "BEST_FPERIOD_OVERRIDE=BF")</f>
        <v>38.995596371015949</v>
      </c>
      <c r="Q254" s="2">
        <f>_xll.BDP(A254,"INTERVAL_Low", "MARKET_DATA_OVERRIDE=PE_RATIO", "CALC_INTERVAL=5y", "BEST_FPERIOD_OVERRIDE=BF")</f>
        <v>8.2764293663443205</v>
      </c>
      <c r="R254" s="2">
        <f>_xll.BDP(A254,"PE_RATIO")</f>
        <v>19.537029209492403</v>
      </c>
      <c r="S254" s="3">
        <f>IF(ISERROR((R254-Q254)/(P254-Q254)),"",(R254-Q254)/(P254-Q254))</f>
        <v>0.36656592418133027</v>
      </c>
    </row>
    <row r="255" spans="1:19" x14ac:dyDescent="0.25">
      <c r="A255" t="s">
        <v>81</v>
      </c>
      <c r="B255" t="str">
        <f>_xll.BDP(A255,"DS697")</f>
        <v>道瓊STOXX50指數</v>
      </c>
      <c r="C255" t="str">
        <f>_xll.BDP(A255,"DS003")</f>
        <v>EC</v>
      </c>
      <c r="D255" s="2">
        <f>_xll.BDP(A255,"PX_LAST")</f>
        <v>3229.65</v>
      </c>
      <c r="E255" s="2">
        <f>_xll.BDP(A255,"CHG_PCT_1D")</f>
        <v>0.67299240000000005</v>
      </c>
      <c r="F255" s="2">
        <f>_xll.BDP(A255,"HIGH_52WEEK")</f>
        <v>3248.82</v>
      </c>
      <c r="G255" s="2">
        <f>LN(F255/D255)*100</f>
        <v>0.5918081260021345</v>
      </c>
      <c r="H255" s="2">
        <f>_xll.BDP(A255,"LOW_52WEEK")</f>
        <v>2673.54</v>
      </c>
      <c r="I255" s="2">
        <f>LN(H255/D255)*100</f>
        <v>-18.897033527469421</v>
      </c>
      <c r="J255" s="2">
        <f>_xll.BDP(A255,"CHG_PCT_5D")</f>
        <v>0.2713546</v>
      </c>
      <c r="K255" s="2">
        <f>_xll.BDP(A255,"CHG_PCT_1M")</f>
        <v>4.6433580000000001</v>
      </c>
      <c r="L255" s="2">
        <f>_xll.BDP(A255,"CHG_PCT_3M")</f>
        <v>2.2805010000000001</v>
      </c>
      <c r="M255" s="2">
        <f>_xll.BDP(A255,"CHG_PCT_6M")</f>
        <v>4.2333639999999999</v>
      </c>
      <c r="N255" s="2">
        <f>_xll.BDP(A255,"PR064")</f>
        <v>2.2805010000000001</v>
      </c>
      <c r="O255" s="2">
        <f>_xll.BDP(A255,"CHG_PCT_1YR")</f>
        <v>4.3414590000000004</v>
      </c>
      <c r="P255" s="2">
        <f>_xll.BDP(A255,"INTERVAL_HIGH", "MARKET_DATA_OVERRIDE=PE_RATIO", "CALC_INTERVAL=5y", "BEST_FPERIOD_OVERRIDE=BF")</f>
        <v>28.949313388773398</v>
      </c>
      <c r="Q255" s="2">
        <f>_xll.BDP(A255,"INTERVAL_Low", "MARKET_DATA_OVERRIDE=PE_RATIO", "CALC_INTERVAL=5y", "BEST_FPERIOD_OVERRIDE=BF")</f>
        <v>15.038453349119472</v>
      </c>
      <c r="R255" s="2">
        <f>_xll.BDP(A255,"PE_RATIO")</f>
        <v>19.52854519642748</v>
      </c>
      <c r="S255" s="3">
        <f>IF(ISERROR((R255-Q255)/(P255-Q255)),"",(R255-Q255)/(P255-Q255))</f>
        <v>0.32277600626479402</v>
      </c>
    </row>
    <row r="256" spans="1:19" x14ac:dyDescent="0.25">
      <c r="A256" t="s">
        <v>74</v>
      </c>
      <c r="B256" t="str">
        <f>_xll.BDP(A256,"DS697")</f>
        <v>Colombia ICSC index</v>
      </c>
      <c r="C256" t="str">
        <f>_xll.BDP(A256,"DS003")</f>
        <v>CO</v>
      </c>
      <c r="D256" s="2">
        <f>_xll.BDP(A256,"PX_LAST")</f>
        <v>947.51</v>
      </c>
      <c r="E256" s="2">
        <f>_xll.BDP(A256,"CHG_PCT_1D")</f>
        <v>-7.4877139999999995E-2</v>
      </c>
      <c r="F256" s="2">
        <f>_xll.BDP(A256,"HIGH_52WEEK")</f>
        <v>957.95</v>
      </c>
      <c r="G256" s="2">
        <f>LN(F256/D256)*100</f>
        <v>1.0958093551404191</v>
      </c>
      <c r="H256" s="2">
        <f>_xll.BDP(A256,"LOW_52WEEK")</f>
        <v>705.68</v>
      </c>
      <c r="I256" s="2">
        <f>LN(H256/D256)*100</f>
        <v>-29.467561404008574</v>
      </c>
      <c r="J256" s="2">
        <f>_xll.BDP(A256,"CHG_PCT_5D")</f>
        <v>0.27197470000000001</v>
      </c>
      <c r="K256" s="2">
        <f>_xll.BDP(A256,"CHG_PCT_1M")</f>
        <v>3.5960299999999998</v>
      </c>
      <c r="L256" s="2">
        <f>_xll.BDP(A256,"CHG_PCT_3M")</f>
        <v>9.5197339999999997</v>
      </c>
      <c r="M256" s="2">
        <f>_xll.BDP(A256,"CHG_PCT_6M")</f>
        <v>17.14865</v>
      </c>
      <c r="N256" s="2">
        <f>_xll.BDP(A256,"PR064")</f>
        <v>9.5197339999999997</v>
      </c>
      <c r="O256" s="2">
        <f>_xll.BDP(A256,"CHG_PCT_1YR")</f>
        <v>21.7441</v>
      </c>
      <c r="P256" s="2">
        <f>_xll.BDP(A256,"INTERVAL_HIGH", "MARKET_DATA_OVERRIDE=PE_RATIO", "CALC_INTERVAL=5y", "BEST_FPERIOD_OVERRIDE=BF")</f>
        <v>45.765355280096081</v>
      </c>
      <c r="Q256" s="2">
        <f>_xll.BDP(A256,"INTERVAL_Low", "MARKET_DATA_OVERRIDE=PE_RATIO", "CALC_INTERVAL=5y", "BEST_FPERIOD_OVERRIDE=BF")</f>
        <v>5.491170313250076</v>
      </c>
      <c r="R256" s="2">
        <f>_xll.BDP(A256,"PE_RATIO")</f>
        <v>6.8861627764185318</v>
      </c>
      <c r="S256" s="3">
        <f>IF(ISERROR((R256-Q256)/(P256-Q256)),"",(R256-Q256)/(P256-Q256))</f>
        <v>3.4637385320567593E-2</v>
      </c>
    </row>
    <row r="257" spans="1:19" x14ac:dyDescent="0.25">
      <c r="A257" t="s">
        <v>210</v>
      </c>
      <c r="B257" t="str">
        <f>_xll.BDP(A257,"DS697")</f>
        <v>波札那嘉伯隆里指數</v>
      </c>
      <c r="C257" t="str">
        <f>_xll.BDP(A257,"DS003")</f>
        <v>BO</v>
      </c>
      <c r="D257" s="2">
        <f>_xll.BDP(A257,"PX_LAST")</f>
        <v>7458.9179999999997</v>
      </c>
      <c r="E257" s="2">
        <f>_xll.BDP(A257,"CHG_PCT_1D")</f>
        <v>0.16961470000000001</v>
      </c>
      <c r="F257" s="2">
        <f>_xll.BDP(A257,"HIGH_52WEEK")</f>
        <v>8169.777</v>
      </c>
      <c r="G257" s="2">
        <f>LN(F257/D257)*100</f>
        <v>9.1031250035913374</v>
      </c>
      <c r="H257" s="2">
        <f>_xll.BDP(A257,"LOW_52WEEK")</f>
        <v>7397.7669999999998</v>
      </c>
      <c r="I257" s="2">
        <f>LN(H257/D257)*100</f>
        <v>-0.82321655662070858</v>
      </c>
      <c r="J257" s="2">
        <f>_xll.BDP(A257,"CHG_PCT_5D")</f>
        <v>0.29376079999999999</v>
      </c>
      <c r="K257" s="2">
        <f>_xll.BDP(A257,"CHG_PCT_1M")</f>
        <v>-0.55576899999999996</v>
      </c>
      <c r="L257" s="2">
        <f>_xll.BDP(A257,"CHG_PCT_3M")</f>
        <v>-2.2177739999999999</v>
      </c>
      <c r="M257" s="2">
        <f>_xll.BDP(A257,"CHG_PCT_6M")</f>
        <v>-5.4105270000000001</v>
      </c>
      <c r="N257" s="2">
        <f>_xll.BDP(A257,"PR064")</f>
        <v>-2.2177739999999999</v>
      </c>
      <c r="O257" s="2">
        <f>_xll.BDP(A257,"CHG_PCT_1YR")</f>
        <v>-8.7010810000000003</v>
      </c>
      <c r="P257" s="2">
        <f>_xll.BDP(A257,"INTERVAL_HIGH", "MARKET_DATA_OVERRIDE=PE_RATIO", "CALC_INTERVAL=5y", "BEST_FPERIOD_OVERRIDE=BF")</f>
        <v>16.103497414836962</v>
      </c>
      <c r="Q257" s="2">
        <f>_xll.BDP(A257,"INTERVAL_Low", "MARKET_DATA_OVERRIDE=PE_RATIO", "CALC_INTERVAL=5y", "BEST_FPERIOD_OVERRIDE=BF")</f>
        <v>7.3633250184360328</v>
      </c>
      <c r="R257" s="2">
        <f>_xll.BDP(A257,"PE_RATIO")</f>
        <v>7.425359281814802</v>
      </c>
      <c r="S257" s="3">
        <f>IF(ISERROR((R257-Q257)/(P257-Q257)),"",(R257-Q257)/(P257-Q257))</f>
        <v>7.0976018052360083E-3</v>
      </c>
    </row>
    <row r="258" spans="1:19" x14ac:dyDescent="0.25">
      <c r="A258" t="s">
        <v>219</v>
      </c>
      <c r="B258" t="str">
        <f>_xll.BDP(A258,"DS697")</f>
        <v>台拉維夫125指數</v>
      </c>
      <c r="C258" t="str">
        <f>_xll.BDP(A258,"DS003")</f>
        <v>IS</v>
      </c>
      <c r="D258" s="2">
        <f>_xll.BDP(A258,"PX_LAST")</f>
        <v>1532.56</v>
      </c>
      <c r="E258" s="2">
        <f>_xll.BDP(A258,"CHG_PCT_1D")</f>
        <v>0.79382299999999995</v>
      </c>
      <c r="F258" s="2">
        <f>_xll.BDP(A258,"HIGH_52WEEK")</f>
        <v>1535.99</v>
      </c>
      <c r="G258" s="2">
        <f>LN(F258/D258)*100</f>
        <v>0.22355845129124272</v>
      </c>
      <c r="H258" s="2">
        <f>_xll.BDP(A258,"LOW_52WEEK")</f>
        <v>1252.6400000000001</v>
      </c>
      <c r="I258" s="2">
        <f>LN(H258/D258)*100</f>
        <v>-20.168621559724137</v>
      </c>
      <c r="J258" s="2">
        <f>_xll.BDP(A258,"CHG_PCT_5D")</f>
        <v>0.29383819999999999</v>
      </c>
      <c r="K258" s="2">
        <f>_xll.BDP(A258,"CHG_PCT_1M")</f>
        <v>4.2791930000000002</v>
      </c>
      <c r="L258" s="2">
        <f>_xll.BDP(A258,"CHG_PCT_3M")</f>
        <v>4.4148940000000003</v>
      </c>
      <c r="M258" s="2">
        <f>_xll.BDP(A258,"CHG_PCT_6M")</f>
        <v>8.2821149999999992</v>
      </c>
      <c r="N258" s="2">
        <f>_xll.BDP(A258,"PR064")</f>
        <v>4.4148940000000003</v>
      </c>
      <c r="O258" s="2">
        <f>_xll.BDP(A258,"CHG_PCT_1YR")</f>
        <v>3.2152120000000002</v>
      </c>
      <c r="P258" s="2">
        <f>_xll.BDP(A258,"INTERVAL_HIGH", "MARKET_DATA_OVERRIDE=PE_RATIO", "CALC_INTERVAL=5y", "BEST_FPERIOD_OVERRIDE=BF")</f>
        <v>52.452543882663349</v>
      </c>
      <c r="Q258" s="2">
        <f>_xll.BDP(A258,"INTERVAL_Low", "MARKET_DATA_OVERRIDE=PE_RATIO", "CALC_INTERVAL=5y", "BEST_FPERIOD_OVERRIDE=BF")</f>
        <v>14.902857949530521</v>
      </c>
      <c r="R258" s="2">
        <f>_xll.BDP(A258,"PE_RATIO")</f>
        <v>52.452543882663349</v>
      </c>
      <c r="S258" s="3">
        <f>IF(ISERROR((R258-Q258)/(P258-Q258)),"",(R258-Q258)/(P258-Q258))</f>
        <v>1</v>
      </c>
    </row>
    <row r="259" spans="1:19" x14ac:dyDescent="0.25">
      <c r="A259" t="s">
        <v>221</v>
      </c>
      <c r="B259" t="str">
        <f>_xll.BDP(A259,"DS697")</f>
        <v>黎巴嫩BLOM股價指數</v>
      </c>
      <c r="C259" t="str">
        <f>_xll.BDP(A259,"DS003")</f>
        <v>LE</v>
      </c>
      <c r="D259" s="2">
        <f>_xll.BDP(A259,"PX_LAST")</f>
        <v>794.61770000000001</v>
      </c>
      <c r="E259" s="2">
        <f>_xll.BDP(A259,"CHG_PCT_1D")</f>
        <v>-6.612643E-2</v>
      </c>
      <c r="F259" s="2">
        <f>_xll.BDP(A259,"HIGH_52WEEK")</f>
        <v>995.56529999999998</v>
      </c>
      <c r="G259" s="2">
        <f>LN(F259/D259)*100</f>
        <v>22.544959804020621</v>
      </c>
      <c r="H259" s="2">
        <f>_xll.BDP(A259,"LOW_52WEEK")</f>
        <v>786.89359999999999</v>
      </c>
      <c r="I259" s="2">
        <f>LN(H259/D259)*100</f>
        <v>-0.97680761640505587</v>
      </c>
      <c r="J259" s="2">
        <f>_xll.BDP(A259,"CHG_PCT_5D")</f>
        <v>0.29502519999999999</v>
      </c>
      <c r="K259" s="2">
        <f>_xll.BDP(A259,"CHG_PCT_1M")</f>
        <v>-0.88635750000000002</v>
      </c>
      <c r="L259" s="2">
        <f>_xll.BDP(A259,"CHG_PCT_3M")</f>
        <v>-7.6237919999999999</v>
      </c>
      <c r="M259" s="2">
        <f>_xll.BDP(A259,"CHG_PCT_6M")</f>
        <v>-17.15916</v>
      </c>
      <c r="N259" s="2">
        <f>_xll.BDP(A259,"PR064")</f>
        <v>-7.6237919999999999</v>
      </c>
      <c r="O259" s="2">
        <f>_xll.BDP(A259,"CHG_PCT_1YR")</f>
        <v>-18.1752</v>
      </c>
      <c r="P259" s="2">
        <f>_xll.BDP(A259,"INTERVAL_HIGH", "MARKET_DATA_OVERRIDE=PE_RATIO", "CALC_INTERVAL=5y", "BEST_FPERIOD_OVERRIDE=BF")</f>
        <v>7.7726193447316199</v>
      </c>
      <c r="Q259" s="2">
        <f>_xll.BDP(A259,"INTERVAL_Low", "MARKET_DATA_OVERRIDE=PE_RATIO", "CALC_INTERVAL=5y", "BEST_FPERIOD_OVERRIDE=BF")</f>
        <v>4.1903704142008813</v>
      </c>
      <c r="R259" s="2">
        <f>_xll.BDP(A259,"PE_RATIO")</f>
        <v>4.2258650692432154</v>
      </c>
      <c r="S259" s="3">
        <f>IF(ISERROR((R259-Q259)/(P259-Q259)),"",(R259-Q259)/(P259-Q259))</f>
        <v>9.9084836734322796E-3</v>
      </c>
    </row>
    <row r="260" spans="1:19" x14ac:dyDescent="0.25">
      <c r="A260" t="s">
        <v>193</v>
      </c>
      <c r="B260" t="str">
        <f>_xll.BDP(A260,"DS697")</f>
        <v>拉脫維亞OMX里加指數</v>
      </c>
      <c r="C260" t="str">
        <f>_xll.BDP(A260,"DS003")</f>
        <v>LL</v>
      </c>
      <c r="D260" s="2">
        <f>_xll.BDP(A260,"PX_LAST")</f>
        <v>1027.7570000000001</v>
      </c>
      <c r="E260" s="2">
        <f>_xll.BDP(A260,"CHG_PCT_1D")</f>
        <v>-4.8649400000000002E-4</v>
      </c>
      <c r="F260" s="2">
        <f>_xll.BDP(A260,"HIGH_52WEEK")</f>
        <v>1081.5060000000001</v>
      </c>
      <c r="G260" s="2">
        <f>LN(F260/D260)*100</f>
        <v>5.0975756478247352</v>
      </c>
      <c r="H260" s="2">
        <f>_xll.BDP(A260,"LOW_52WEEK")</f>
        <v>882.68039999999996</v>
      </c>
      <c r="I260" s="2">
        <f>LN(H260/D260)*100</f>
        <v>-15.217084956954771</v>
      </c>
      <c r="J260" s="2">
        <f>_xll.BDP(A260,"CHG_PCT_5D")</f>
        <v>0.32150919999999999</v>
      </c>
      <c r="K260" s="2">
        <f>_xll.BDP(A260,"CHG_PCT_1M")</f>
        <v>0.46372409999999997</v>
      </c>
      <c r="L260" s="2">
        <f>_xll.BDP(A260,"CHG_PCT_3M")</f>
        <v>0.7428051</v>
      </c>
      <c r="M260" s="2">
        <f>_xll.BDP(A260,"CHG_PCT_6M")</f>
        <v>6.1242910000000004</v>
      </c>
      <c r="N260" s="2">
        <f>_xll.BDP(A260,"PR064")</f>
        <v>0.7428051</v>
      </c>
      <c r="O260" s="2">
        <f>_xll.BDP(A260,"CHG_PCT_1YR")</f>
        <v>4.9310409999999996</v>
      </c>
      <c r="P260" s="2">
        <f>_xll.BDP(A260,"INTERVAL_HIGH", "MARKET_DATA_OVERRIDE=PE_RATIO", "CALC_INTERVAL=5y", "BEST_FPERIOD_OVERRIDE=BF")</f>
        <v>110.49233738798532</v>
      </c>
      <c r="Q260" s="2">
        <f>_xll.BDP(A260,"INTERVAL_Low", "MARKET_DATA_OVERRIDE=PE_RATIO", "CALC_INTERVAL=5y", "BEST_FPERIOD_OVERRIDE=BF")</f>
        <v>11.481456839102927</v>
      </c>
      <c r="R260" s="2">
        <f>_xll.BDP(A260,"PE_RATIO")</f>
        <v>27.995725691522317</v>
      </c>
      <c r="S260" s="3">
        <f>IF(ISERROR((R260-Q260)/(P260-Q260)),"",(R260-Q260)/(P260-Q260))</f>
        <v>0.16679246524089014</v>
      </c>
    </row>
    <row r="261" spans="1:19" x14ac:dyDescent="0.25">
      <c r="A261" t="s">
        <v>266</v>
      </c>
      <c r="B261" t="str">
        <f>_xll.BDP(A261,"DS697")</f>
        <v>TOPIX二部指數</v>
      </c>
      <c r="C261" t="str">
        <f>_xll.BDP(A261,"DS003")</f>
        <v>JN</v>
      </c>
      <c r="D261" s="2">
        <f>_xll.BDP(A261,"PX_LAST")</f>
        <v>6512.42</v>
      </c>
      <c r="E261" s="2">
        <f>_xll.BDP(A261,"CHG_PCT_1D")</f>
        <v>-9.327299E-2</v>
      </c>
      <c r="F261" s="2">
        <f>_xll.BDP(A261,"HIGH_52WEEK")</f>
        <v>7463.58984375</v>
      </c>
      <c r="G261" s="2">
        <f>LN(F261/D261)*100</f>
        <v>13.632538783415171</v>
      </c>
      <c r="H261" s="2">
        <f>_xll.BDP(A261,"LOW_52WEEK")</f>
        <v>5821.81</v>
      </c>
      <c r="I261" s="2">
        <f>LN(H261/D261)*100</f>
        <v>-11.209991297742446</v>
      </c>
      <c r="J261" s="2">
        <f>_xll.BDP(A261,"CHG_PCT_5D")</f>
        <v>0.32937650000000002</v>
      </c>
      <c r="K261" s="2">
        <f>_xll.BDP(A261,"CHG_PCT_1M")</f>
        <v>3.4190200000000002</v>
      </c>
      <c r="L261" s="2">
        <f>_xll.BDP(A261,"CHG_PCT_3M")</f>
        <v>-0.78414200000000001</v>
      </c>
      <c r="M261" s="2">
        <f>_xll.BDP(A261,"CHG_PCT_6M")</f>
        <v>-4.3167809999999998</v>
      </c>
      <c r="N261" s="2">
        <f>_xll.BDP(A261,"PR064")</f>
        <v>-0.78414200000000001</v>
      </c>
      <c r="O261" s="2">
        <f>_xll.BDP(A261,"CHG_PCT_1YR")</f>
        <v>-10.987159999999999</v>
      </c>
      <c r="P261" s="2">
        <f>_xll.BDP(A261,"INTERVAL_HIGH", "MARKET_DATA_OVERRIDE=PE_RATIO", "CALC_INTERVAL=5y", "BEST_FPERIOD_OVERRIDE=BF")</f>
        <v>490.68713949030354</v>
      </c>
      <c r="Q261" s="2">
        <f>_xll.BDP(A261,"INTERVAL_Low", "MARKET_DATA_OVERRIDE=PE_RATIO", "CALC_INTERVAL=5y", "BEST_FPERIOD_OVERRIDE=BF")</f>
        <v>3.9702770251267125</v>
      </c>
      <c r="R261" s="2" t="str">
        <f>_xll.BDP(A261,"PE_RATIO")</f>
        <v>#N/A N/A</v>
      </c>
      <c r="S261" s="3" t="str">
        <f>IF(ISERROR((R261-Q261)/(P261-Q261)),"",(R261-Q261)/(P261-Q261))</f>
        <v/>
      </c>
    </row>
    <row r="262" spans="1:19" x14ac:dyDescent="0.25">
      <c r="A262" t="s">
        <v>147</v>
      </c>
      <c r="B262" t="str">
        <f>_xll.BDP(A262,"DS697")</f>
        <v>OMX Copenhagen 25 Index</v>
      </c>
      <c r="C262" t="str">
        <f>_xll.BDP(A262,"DS003")</f>
        <v>DE</v>
      </c>
      <c r="D262" s="2">
        <f>_xll.BDP(A262,"PX_LAST")</f>
        <v>1150.328</v>
      </c>
      <c r="E262" s="2">
        <f>_xll.BDP(A262,"CHG_PCT_1D")</f>
        <v>0.64314510000000003</v>
      </c>
      <c r="F262" s="2">
        <f>_xll.BDP(A262,"HIGH_52WEEK")</f>
        <v>1163.5070000000001</v>
      </c>
      <c r="G262" s="2">
        <f>LN(F262/D262)*100</f>
        <v>1.1391600972434694</v>
      </c>
      <c r="H262" s="2">
        <f>_xll.BDP(A262,"LOW_52WEEK")</f>
        <v>980.75049999999999</v>
      </c>
      <c r="I262" s="2">
        <f>LN(H262/D262)*100</f>
        <v>-15.94843031784024</v>
      </c>
      <c r="J262" s="2">
        <f>_xll.BDP(A262,"CHG_PCT_5D")</f>
        <v>0.33361869999999999</v>
      </c>
      <c r="K262" s="2">
        <f>_xll.BDP(A262,"CHG_PCT_1M")</f>
        <v>1.856441</v>
      </c>
      <c r="L262" s="2">
        <f>_xll.BDP(A262,"CHG_PCT_3M")</f>
        <v>3.2600229999999999</v>
      </c>
      <c r="M262" s="2">
        <f>_xll.BDP(A262,"CHG_PCT_6M")</f>
        <v>2.8913120000000001</v>
      </c>
      <c r="N262" s="2">
        <f>_xll.BDP(A262,"PR064")</f>
        <v>3.2600229999999999</v>
      </c>
      <c r="O262" s="2">
        <f>_xll.BDP(A262,"CHG_PCT_1YR")</f>
        <v>2.6366550000000002</v>
      </c>
      <c r="P262" s="2">
        <f>_xll.BDP(A262,"INTERVAL_HIGH", "MARKET_DATA_OVERRIDE=PE_RATIO", "CALC_INTERVAL=5y", "BEST_FPERIOD_OVERRIDE=BF")</f>
        <v>22.980146483160532</v>
      </c>
      <c r="Q262" s="2">
        <f>_xll.BDP(A262,"INTERVAL_Low", "MARKET_DATA_OVERRIDE=PE_RATIO", "CALC_INTERVAL=5y", "BEST_FPERIOD_OVERRIDE=BF")</f>
        <v>16.850627168492604</v>
      </c>
      <c r="R262" s="2">
        <f>_xll.BDP(A262,"PE_RATIO")</f>
        <v>22.855883336179314</v>
      </c>
      <c r="S262" s="3">
        <f>IF(ISERROR((R262-Q262)/(P262-Q262)),"",(R262-Q262)/(P262-Q262))</f>
        <v>0.9797270975745429</v>
      </c>
    </row>
    <row r="263" spans="1:19" x14ac:dyDescent="0.25">
      <c r="A263" t="s">
        <v>224</v>
      </c>
      <c r="B263" t="str">
        <f>_xll.BDP(A263,"DS697")</f>
        <v>安曼證券交易所一般指數</v>
      </c>
      <c r="C263" t="str">
        <f>_xll.BDP(A263,"DS003")</f>
        <v>JO</v>
      </c>
      <c r="D263" s="2">
        <f>_xll.BDP(A263,"PX_LAST")</f>
        <v>1823.63</v>
      </c>
      <c r="E263" s="2">
        <f>_xll.BDP(A263,"CHG_PCT_1D")</f>
        <v>9.4406420000000005E-2</v>
      </c>
      <c r="F263" s="2">
        <f>_xll.BDP(A263,"HIGH_52WEEK")</f>
        <v>1997.52</v>
      </c>
      <c r="G263" s="2">
        <f>LN(F263/D263)*100</f>
        <v>9.1077390925887549</v>
      </c>
      <c r="H263" s="2">
        <f>_xll.BDP(A263,"LOW_52WEEK")</f>
        <v>1759.78</v>
      </c>
      <c r="I263" s="2">
        <f>LN(H263/D263)*100</f>
        <v>-3.564021896101552</v>
      </c>
      <c r="J263" s="2">
        <f>_xll.BDP(A263,"CHG_PCT_5D")</f>
        <v>0.35881229999999997</v>
      </c>
      <c r="K263" s="2">
        <f>_xll.BDP(A263,"CHG_PCT_1M")</f>
        <v>2.907297E-2</v>
      </c>
      <c r="L263" s="2">
        <f>_xll.BDP(A263,"CHG_PCT_3M")</f>
        <v>-2.8164419999999999</v>
      </c>
      <c r="M263" s="2">
        <f>_xll.BDP(A263,"CHG_PCT_6M")</f>
        <v>-5.4927910000000004</v>
      </c>
      <c r="N263" s="2">
        <f>_xll.BDP(A263,"PR064")</f>
        <v>-2.8164419999999999</v>
      </c>
      <c r="O263" s="2">
        <f>_xll.BDP(A263,"CHG_PCT_1YR")</f>
        <v>-7.8574539999999997</v>
      </c>
      <c r="P263" s="2">
        <f>_xll.BDP(A263,"INTERVAL_HIGH", "MARKET_DATA_OVERRIDE=PE_RATIO", "CALC_INTERVAL=5y", "BEST_FPERIOD_OVERRIDE=BF")</f>
        <v>31.634821675684446</v>
      </c>
      <c r="Q263" s="2">
        <f>_xll.BDP(A263,"INTERVAL_Low", "MARKET_DATA_OVERRIDE=PE_RATIO", "CALC_INTERVAL=5y", "BEST_FPERIOD_OVERRIDE=BF")</f>
        <v>11.106234917838032</v>
      </c>
      <c r="R263" s="2">
        <f>_xll.BDP(A263,"PE_RATIO")</f>
        <v>11.73036460433921</v>
      </c>
      <c r="S263" s="3">
        <f>IF(ISERROR((R263-Q263)/(P263-Q263)),"",(R263-Q263)/(P263-Q263))</f>
        <v>3.0402954371061296E-2</v>
      </c>
    </row>
    <row r="264" spans="1:19" x14ac:dyDescent="0.25">
      <c r="A264" t="s">
        <v>233</v>
      </c>
      <c r="B264" t="str">
        <f>_xll.BDP(A264,"DS697")</f>
        <v>日經225指數</v>
      </c>
      <c r="C264" t="str">
        <f>_xll.BDP(A264,"DS003")</f>
        <v>JN</v>
      </c>
      <c r="D264" s="2">
        <f>_xll.BDP(A264,"PX_LAST")</f>
        <v>22048.240000000002</v>
      </c>
      <c r="E264" s="2">
        <f>_xll.BDP(A264,"CHG_PCT_1D")</f>
        <v>0.12756500000000001</v>
      </c>
      <c r="F264" s="2">
        <f>_xll.BDP(A264,"HIGH_52WEEK")</f>
        <v>24448.0703125</v>
      </c>
      <c r="G264" s="2">
        <f>LN(F264/D264)*100</f>
        <v>10.33185088690241</v>
      </c>
      <c r="H264" s="2">
        <f>_xll.BDP(A264,"LOW_52WEEK")</f>
        <v>18948.580000000002</v>
      </c>
      <c r="I264" s="2">
        <f>LN(H264/D264)*100</f>
        <v>-15.150378542927632</v>
      </c>
      <c r="J264" s="2">
        <f>_xll.BDP(A264,"CHG_PCT_5D")</f>
        <v>0.39857120000000001</v>
      </c>
      <c r="K264" s="2">
        <f>_xll.BDP(A264,"CHG_PCT_1M")</f>
        <v>7.7833100000000002</v>
      </c>
      <c r="L264" s="2">
        <f>_xll.BDP(A264,"CHG_PCT_3M")</f>
        <v>3.3277000000000001</v>
      </c>
      <c r="M264" s="2">
        <f>_xll.BDP(A264,"CHG_PCT_6M")</f>
        <v>3.1316630000000001</v>
      </c>
      <c r="N264" s="2">
        <f>_xll.BDP(A264,"PR064")</f>
        <v>3.3277000000000001</v>
      </c>
      <c r="O264" s="2">
        <f>_xll.BDP(A264,"CHG_PCT_1YR")</f>
        <v>-7.347645</v>
      </c>
      <c r="P264" s="2">
        <f>_xll.BDP(A264,"INTERVAL_HIGH", "MARKET_DATA_OVERRIDE=PE_RATIO", "CALC_INTERVAL=5y", "BEST_FPERIOD_OVERRIDE=BF")</f>
        <v>24.860578273466032</v>
      </c>
      <c r="Q264" s="2">
        <f>_xll.BDP(A264,"INTERVAL_Low", "MARKET_DATA_OVERRIDE=PE_RATIO", "CALC_INTERVAL=5y", "BEST_FPERIOD_OVERRIDE=BF")</f>
        <v>13.235173471021744</v>
      </c>
      <c r="R264" s="2">
        <f>_xll.BDP(A264,"PE_RATIO")</f>
        <v>15.647611905499852</v>
      </c>
      <c r="S264" s="3">
        <f>IF(ISERROR((R264-Q264)/(P264-Q264)),"",(R264-Q264)/(P264-Q264))</f>
        <v>0.20751435975553156</v>
      </c>
    </row>
    <row r="265" spans="1:19" x14ac:dyDescent="0.25">
      <c r="A265" t="s">
        <v>73</v>
      </c>
      <c r="B265" t="str">
        <f>_xll.BDP(A265,"DS697")</f>
        <v>哥倫比亞COLCAP指數</v>
      </c>
      <c r="C265" t="str">
        <f>_xll.BDP(A265,"DS003")</f>
        <v>CO</v>
      </c>
      <c r="D265" s="2">
        <f>_xll.BDP(A265,"PX_LAST")</f>
        <v>1601.43</v>
      </c>
      <c r="E265" s="2">
        <f>_xll.BDP(A265,"CHG_PCT_1D")</f>
        <v>0.31822600000000001</v>
      </c>
      <c r="F265" s="2">
        <f>_xll.BDP(A265,"HIGH_52WEEK")</f>
        <v>1634.17</v>
      </c>
      <c r="G265" s="2">
        <f>LN(F265/D265)*100</f>
        <v>2.0238050104781444</v>
      </c>
      <c r="H265" s="2">
        <f>_xll.BDP(A265,"LOW_52WEEK")</f>
        <v>1290.9000000000001</v>
      </c>
      <c r="I265" s="2">
        <f>LN(H265/D265)*100</f>
        <v>-21.555733055849089</v>
      </c>
      <c r="J265" s="2">
        <f>_xll.BDP(A265,"CHG_PCT_5D")</f>
        <v>0.45982210000000001</v>
      </c>
      <c r="K265" s="2">
        <f>_xll.BDP(A265,"CHG_PCT_1M")</f>
        <v>4.5654320000000004</v>
      </c>
      <c r="L265" s="2">
        <f>_xll.BDP(A265,"CHG_PCT_3M")</f>
        <v>3.4722789999999999</v>
      </c>
      <c r="M265" s="2">
        <f>_xll.BDP(A265,"CHG_PCT_6M")</f>
        <v>1.82809</v>
      </c>
      <c r="N265" s="2">
        <f>_xll.BDP(A265,"PR064")</f>
        <v>3.4722789999999999</v>
      </c>
      <c r="O265" s="2">
        <f>_xll.BDP(A265,"CHG_PCT_1YR")</f>
        <v>6.894552</v>
      </c>
      <c r="P265" s="2">
        <f>_xll.BDP(A265,"INTERVAL_HIGH", "MARKET_DATA_OVERRIDE=PE_RATIO", "CALC_INTERVAL=5y", "BEST_FPERIOD_OVERRIDE=BF")</f>
        <v>29.627147807177764</v>
      </c>
      <c r="Q265" s="2">
        <f>_xll.BDP(A265,"INTERVAL_Low", "MARKET_DATA_OVERRIDE=PE_RATIO", "CALC_INTERVAL=5y", "BEST_FPERIOD_OVERRIDE=BF")</f>
        <v>11.322069895585422</v>
      </c>
      <c r="R265" s="2">
        <f>_xll.BDP(A265,"PE_RATIO")</f>
        <v>13.053761795970056</v>
      </c>
      <c r="S265" s="3">
        <f>IF(ISERROR((R265-Q265)/(P265-Q265)),"",(R265-Q265)/(P265-Q265))</f>
        <v>9.4601722470024477E-2</v>
      </c>
    </row>
    <row r="266" spans="1:19" x14ac:dyDescent="0.25">
      <c r="A266" t="s">
        <v>260</v>
      </c>
      <c r="B266" t="str">
        <f>_xll.BDP(A266,"DS697")</f>
        <v>TOPIX核心30指數</v>
      </c>
      <c r="C266" t="str">
        <f>_xll.BDP(A266,"DS003")</f>
        <v>JN</v>
      </c>
      <c r="D266" s="2">
        <f>_xll.BDP(A266,"PX_LAST")</f>
        <v>743.29</v>
      </c>
      <c r="E266" s="2">
        <f>_xll.BDP(A266,"CHG_PCT_1D")</f>
        <v>0.164405</v>
      </c>
      <c r="F266" s="2">
        <f>_xll.BDP(A266,"HIGH_52WEEK")</f>
        <v>822.41</v>
      </c>
      <c r="G266" s="2">
        <f>LN(F266/D266)*100</f>
        <v>10.115277603739466</v>
      </c>
      <c r="H266" s="2">
        <f>_xll.BDP(A266,"LOW_52WEEK")</f>
        <v>635.05999999999995</v>
      </c>
      <c r="I266" s="2">
        <f>LN(H266/D266)*100</f>
        <v>-15.736679550471319</v>
      </c>
      <c r="J266" s="2">
        <f>_xll.BDP(A266,"CHG_PCT_5D")</f>
        <v>0.46224399999999999</v>
      </c>
      <c r="K266" s="2">
        <f>_xll.BDP(A266,"CHG_PCT_1M")</f>
        <v>8.4556489999999993</v>
      </c>
      <c r="L266" s="2">
        <f>_xll.BDP(A266,"CHG_PCT_3M")</f>
        <v>4.1036970000000004</v>
      </c>
      <c r="M266" s="2">
        <f>_xll.BDP(A266,"CHG_PCT_6M")</f>
        <v>2.1002719999999999</v>
      </c>
      <c r="N266" s="2">
        <f>_xll.BDP(A266,"PR064")</f>
        <v>4.1036970000000004</v>
      </c>
      <c r="O266" s="2">
        <f>_xll.BDP(A266,"CHG_PCT_1YR")</f>
        <v>-7.4508520000000003</v>
      </c>
      <c r="P266" s="2">
        <f>_xll.BDP(A266,"INTERVAL_HIGH", "MARKET_DATA_OVERRIDE=PE_RATIO", "CALC_INTERVAL=5y", "BEST_FPERIOD_OVERRIDE=BF")</f>
        <v>16.733251640390694</v>
      </c>
      <c r="Q266" s="2">
        <f>_xll.BDP(A266,"INTERVAL_Low", "MARKET_DATA_OVERRIDE=PE_RATIO", "CALC_INTERVAL=5y", "BEST_FPERIOD_OVERRIDE=BF")</f>
        <v>9.0551289599699682</v>
      </c>
      <c r="R266" s="2">
        <f>_xll.BDP(A266,"PE_RATIO")</f>
        <v>12.048005228284731</v>
      </c>
      <c r="S266" s="3">
        <f>IF(ISERROR((R266-Q266)/(P266-Q266)),"",(R266-Q266)/(P266-Q266))</f>
        <v>0.3897927127351874</v>
      </c>
    </row>
    <row r="267" spans="1:19" x14ac:dyDescent="0.25">
      <c r="A267" t="s">
        <v>75</v>
      </c>
      <c r="B267" t="str">
        <f>_xll.BDP(A267,"DS697")</f>
        <v>Colombia COLIR Index</v>
      </c>
      <c r="C267" t="str">
        <f>_xll.BDP(A267,"DS003")</f>
        <v>CO</v>
      </c>
      <c r="D267" s="2">
        <f>_xll.BDP(A267,"PX_LAST")</f>
        <v>1037.8800000000001</v>
      </c>
      <c r="E267" s="2">
        <f>_xll.BDP(A267,"CHG_PCT_1D")</f>
        <v>0.36456470000000002</v>
      </c>
      <c r="F267" s="2">
        <f>_xll.BDP(A267,"HIGH_52WEEK")</f>
        <v>1050.51</v>
      </c>
      <c r="G267" s="2">
        <f>LN(F267/D267)*100</f>
        <v>1.2095589409861243</v>
      </c>
      <c r="H267" s="2">
        <f>_xll.BDP(A267,"LOW_52WEEK")</f>
        <v>834.96</v>
      </c>
      <c r="I267" s="2">
        <f>LN(H267/D267)*100</f>
        <v>-21.755163059462454</v>
      </c>
      <c r="J267" s="2">
        <f>_xll.BDP(A267,"CHG_PCT_5D")</f>
        <v>0.53567339999999997</v>
      </c>
      <c r="K267" s="2">
        <f>_xll.BDP(A267,"CHG_PCT_1M")</f>
        <v>4.3577969999999997</v>
      </c>
      <c r="L267" s="2">
        <f>_xll.BDP(A267,"CHG_PCT_3M")</f>
        <v>3.7537600000000002</v>
      </c>
      <c r="M267" s="2">
        <f>_xll.BDP(A267,"CHG_PCT_6M")</f>
        <v>2.9265059999999998</v>
      </c>
      <c r="N267" s="2">
        <f>_xll.BDP(A267,"PR064")</f>
        <v>3.7537600000000002</v>
      </c>
      <c r="O267" s="2">
        <f>_xll.BDP(A267,"CHG_PCT_1YR")</f>
        <v>10.10821</v>
      </c>
      <c r="P267" s="2">
        <f>_xll.BDP(A267,"INTERVAL_HIGH", "MARKET_DATA_OVERRIDE=PE_RATIO", "CALC_INTERVAL=5y", "BEST_FPERIOD_OVERRIDE=BF")</f>
        <v>44.29029718122451</v>
      </c>
      <c r="Q267" s="2">
        <f>_xll.BDP(A267,"INTERVAL_Low", "MARKET_DATA_OVERRIDE=PE_RATIO", "CALC_INTERVAL=5y", "BEST_FPERIOD_OVERRIDE=BF")</f>
        <v>11.008155736287637</v>
      </c>
      <c r="R267" s="2">
        <f>_xll.BDP(A267,"PE_RATIO")</f>
        <v>12.511166718089697</v>
      </c>
      <c r="S267" s="3">
        <f>IF(ISERROR((R267-Q267)/(P267-Q267)),"",(R267-Q267)/(P267-Q267))</f>
        <v>4.5159683738761024E-2</v>
      </c>
    </row>
    <row r="268" spans="1:19" x14ac:dyDescent="0.25">
      <c r="A268" t="s">
        <v>76</v>
      </c>
      <c r="B268" t="str">
        <f>_xll.BDP(A268,"DS697")</f>
        <v>Colombia IEQC Index</v>
      </c>
      <c r="C268" t="str">
        <f>_xll.BDP(A268,"DS003")</f>
        <v>CO</v>
      </c>
      <c r="D268" s="2">
        <f>_xll.BDP(A268,"PX_LAST")</f>
        <v>1104.79</v>
      </c>
      <c r="E268" s="2">
        <f>_xll.BDP(A268,"CHG_PCT_1D")</f>
        <v>0.33785320000000002</v>
      </c>
      <c r="F268" s="2">
        <f>_xll.BDP(A268,"HIGH_52WEEK")</f>
        <v>1117.3699999999999</v>
      </c>
      <c r="G268" s="2">
        <f>LN(F268/D268)*100</f>
        <v>1.1322437982442319</v>
      </c>
      <c r="H268" s="2">
        <f>_xll.BDP(A268,"LOW_52WEEK")</f>
        <v>888.81</v>
      </c>
      <c r="I268" s="2">
        <f>LN(H268/D268)*100</f>
        <v>-21.752706125485858</v>
      </c>
      <c r="J268" s="2">
        <f>_xll.BDP(A268,"CHG_PCT_5D")</f>
        <v>0.5451357</v>
      </c>
      <c r="K268" s="2">
        <f>_xll.BDP(A268,"CHG_PCT_1M")</f>
        <v>4.3840190000000003</v>
      </c>
      <c r="L268" s="2">
        <f>_xll.BDP(A268,"CHG_PCT_3M")</f>
        <v>3.8863789999999998</v>
      </c>
      <c r="M268" s="2">
        <f>_xll.BDP(A268,"CHG_PCT_6M")</f>
        <v>3.073197</v>
      </c>
      <c r="N268" s="2">
        <f>_xll.BDP(A268,"PR064")</f>
        <v>3.8863789999999998</v>
      </c>
      <c r="O268" s="2">
        <f>_xll.BDP(A268,"CHG_PCT_1YR")</f>
        <v>10.10904</v>
      </c>
      <c r="P268" s="2">
        <f>_xll.BDP(A268,"INTERVAL_HIGH", "MARKET_DATA_OVERRIDE=PE_RATIO", "CALC_INTERVAL=5y", "BEST_FPERIOD_OVERRIDE=BF")</f>
        <v>21.673260009663441</v>
      </c>
      <c r="Q268" s="2">
        <f>_xll.BDP(A268,"INTERVAL_Low", "MARKET_DATA_OVERRIDE=PE_RATIO", "CALC_INTERVAL=5y", "BEST_FPERIOD_OVERRIDE=BF")</f>
        <v>5.9864138074128324</v>
      </c>
      <c r="R268" s="2">
        <f>_xll.BDP(A268,"PE_RATIO")</f>
        <v>12.948253795321438</v>
      </c>
      <c r="S268" s="3">
        <f>IF(ISERROR((R268-Q268)/(P268-Q268)),"",(R268-Q268)/(P268-Q268))</f>
        <v>0.44380112472255789</v>
      </c>
    </row>
    <row r="269" spans="1:19" x14ac:dyDescent="0.25">
      <c r="A269" t="s">
        <v>213</v>
      </c>
      <c r="B269" t="str">
        <f>_xll.BDP(A269,"DS697")</f>
        <v>Nairobi Securities Exchange</v>
      </c>
      <c r="C269" t="str">
        <f>_xll.BDP(A269,"DS003")</f>
        <v>KN</v>
      </c>
      <c r="D269" s="2">
        <f>_xll.BDP(A269,"PX_LAST")</f>
        <v>2439.71</v>
      </c>
      <c r="E269" s="2">
        <f>_xll.BDP(A269,"CHG_PCT_1D")</f>
        <v>-0.3207276</v>
      </c>
      <c r="F269" s="2">
        <f>_xll.BDP(A269,"HIGH_52WEEK")</f>
        <v>3070.33</v>
      </c>
      <c r="G269" s="2">
        <f>LN(F269/D269)*100</f>
        <v>22.990586789636666</v>
      </c>
      <c r="H269" s="2">
        <f>_xll.BDP(A269,"LOW_52WEEK")</f>
        <v>2419.67</v>
      </c>
      <c r="I269" s="2">
        <f>LN(H269/D269)*100</f>
        <v>-0.82480125487154354</v>
      </c>
      <c r="J269" s="2">
        <f>_xll.BDP(A269,"CHG_PCT_5D")</f>
        <v>0.54523509999999997</v>
      </c>
      <c r="K269" s="2">
        <f>_xll.BDP(A269,"CHG_PCT_1M")</f>
        <v>-1.750181</v>
      </c>
      <c r="L269" s="2">
        <f>_xll.BDP(A269,"CHG_PCT_3M")</f>
        <v>-7.9552740000000002</v>
      </c>
      <c r="M269" s="2">
        <f>_xll.BDP(A269,"CHG_PCT_6M")</f>
        <v>-14.12073</v>
      </c>
      <c r="N269" s="2">
        <f>_xll.BDP(A269,"PR064")</f>
        <v>-7.9552740000000002</v>
      </c>
      <c r="O269" s="2">
        <f>_xll.BDP(A269,"CHG_PCT_1YR")</f>
        <v>-15.621840000000001</v>
      </c>
      <c r="P269" s="2">
        <f>_xll.BDP(A269,"INTERVAL_HIGH", "MARKET_DATA_OVERRIDE=PE_RATIO", "CALC_INTERVAL=5y", "BEST_FPERIOD_OVERRIDE=BF")</f>
        <v>17.316556195729476</v>
      </c>
      <c r="Q269" s="2">
        <f>_xll.BDP(A269,"INTERVAL_Low", "MARKET_DATA_OVERRIDE=PE_RATIO", "CALC_INTERVAL=5y", "BEST_FPERIOD_OVERRIDE=BF")</f>
        <v>8.8372905609018453</v>
      </c>
      <c r="R269" s="2">
        <f>_xll.BDP(A269,"PE_RATIO")</f>
        <v>8.9104820716617716</v>
      </c>
      <c r="S269" s="3">
        <f>IF(ISERROR((R269-Q269)/(P269-Q269)),"",(R269-Q269)/(P269-Q269))</f>
        <v>8.6318218949646367E-3</v>
      </c>
    </row>
    <row r="270" spans="1:19" x14ac:dyDescent="0.25">
      <c r="A270" t="s">
        <v>61</v>
      </c>
      <c r="B270" t="str">
        <f>_xll.BDP(A270,"DS697")</f>
        <v>巴西公司治理指數</v>
      </c>
      <c r="C270" t="str">
        <f>_xll.BDP(A270,"DS003")</f>
        <v>BZ</v>
      </c>
      <c r="D270" s="2">
        <f>_xll.BDP(A270,"PX_LAST")</f>
        <v>16200.88</v>
      </c>
      <c r="E270" s="2">
        <f>_xll.BDP(A270,"CHG_PCT_1D")</f>
        <v>0.72067320000000001</v>
      </c>
      <c r="F270" s="2">
        <f>_xll.BDP(A270,"HIGH_52WEEK")</f>
        <v>16320.51953125</v>
      </c>
      <c r="G270" s="2">
        <f>LN(F270/D270)*100</f>
        <v>0.735762130127948</v>
      </c>
      <c r="H270" s="2">
        <f>_xll.BDP(A270,"LOW_52WEEK")</f>
        <v>11494.47</v>
      </c>
      <c r="I270" s="2">
        <f>LN(H270/D270)*100</f>
        <v>-34.319951160152186</v>
      </c>
      <c r="J270" s="2">
        <f>_xll.BDP(A270,"CHG_PCT_5D")</f>
        <v>0.56225020000000003</v>
      </c>
      <c r="K270" s="2">
        <f>_xll.BDP(A270,"CHG_PCT_1M")</f>
        <v>7.8583889999999998</v>
      </c>
      <c r="L270" s="2">
        <f>_xll.BDP(A270,"CHG_PCT_3M")</f>
        <v>7.0212019999999997</v>
      </c>
      <c r="M270" s="2">
        <f>_xll.BDP(A270,"CHG_PCT_6M")</f>
        <v>17.965710000000001</v>
      </c>
      <c r="N270" s="2">
        <f>_xll.BDP(A270,"PR064")</f>
        <v>7.0212019999999997</v>
      </c>
      <c r="O270" s="2">
        <f>_xll.BDP(A270,"CHG_PCT_1YR")</f>
        <v>37.761060000000001</v>
      </c>
      <c r="P270" s="2">
        <f>_xll.BDP(A270,"INTERVAL_HIGH", "MARKET_DATA_OVERRIDE=PE_RATIO", "CALC_INTERVAL=5y", "BEST_FPERIOD_OVERRIDE=BF")</f>
        <v>55.283903439825018</v>
      </c>
      <c r="Q270" s="2">
        <f>_xll.BDP(A270,"INTERVAL_Low", "MARKET_DATA_OVERRIDE=PE_RATIO", "CALC_INTERVAL=5y", "BEST_FPERIOD_OVERRIDE=BF")</f>
        <v>13.152704848456731</v>
      </c>
      <c r="R270" s="2">
        <f>_xll.BDP(A270,"PE_RATIO")</f>
        <v>19.297665915318159</v>
      </c>
      <c r="S270" s="3">
        <f>IF(ISERROR((R270-Q270)/(P270-Q270)),"",(R270-Q270)/(P270-Q270))</f>
        <v>0.14585298477884723</v>
      </c>
    </row>
    <row r="271" spans="1:19" x14ac:dyDescent="0.25">
      <c r="A271" t="s">
        <v>265</v>
      </c>
      <c r="B271" t="str">
        <f>_xll.BDP(A271,"DS697")</f>
        <v>TOPIX100指數</v>
      </c>
      <c r="C271" t="str">
        <f>_xll.BDP(A271,"DS003")</f>
        <v>JN</v>
      </c>
      <c r="D271" s="2">
        <f>_xll.BDP(A271,"PX_LAST")</f>
        <v>1047.8699999999999</v>
      </c>
      <c r="E271" s="2">
        <f>_xll.BDP(A271,"CHG_PCT_1D")</f>
        <v>0.1414387</v>
      </c>
      <c r="F271" s="2">
        <f>_xll.BDP(A271,"HIGH_52WEEK")</f>
        <v>1169.3699999999999</v>
      </c>
      <c r="G271" s="2">
        <f>LN(F271/D271)*100</f>
        <v>10.970560984572041</v>
      </c>
      <c r="H271" s="2">
        <f>_xll.BDP(A271,"LOW_52WEEK")</f>
        <v>899.05</v>
      </c>
      <c r="I271" s="2">
        <f>LN(H271/D271)*100</f>
        <v>-15.317616110749736</v>
      </c>
      <c r="J271" s="2">
        <f>_xll.BDP(A271,"CHG_PCT_5D")</f>
        <v>0.58071969999999995</v>
      </c>
      <c r="K271" s="2">
        <f>_xll.BDP(A271,"CHG_PCT_1M")</f>
        <v>8.657375</v>
      </c>
      <c r="L271" s="2">
        <f>_xll.BDP(A271,"CHG_PCT_3M")</f>
        <v>4.6520000000000001</v>
      </c>
      <c r="M271" s="2">
        <f>_xll.BDP(A271,"CHG_PCT_6M")</f>
        <v>2.5242879999999999</v>
      </c>
      <c r="N271" s="2">
        <f>_xll.BDP(A271,"PR064")</f>
        <v>4.6520000000000001</v>
      </c>
      <c r="O271" s="2">
        <f>_xll.BDP(A271,"CHG_PCT_1YR")</f>
        <v>-8.2722759999999997</v>
      </c>
      <c r="P271" s="2">
        <f>_xll.BDP(A271,"INTERVAL_HIGH", "MARKET_DATA_OVERRIDE=PE_RATIO", "CALC_INTERVAL=5y", "BEST_FPERIOD_OVERRIDE=BF")</f>
        <v>18.562764701215425</v>
      </c>
      <c r="Q271" s="2">
        <f>_xll.BDP(A271,"INTERVAL_Low", "MARKET_DATA_OVERRIDE=PE_RATIO", "CALC_INTERVAL=5y", "BEST_FPERIOD_OVERRIDE=BF")</f>
        <v>9.8567856937028235</v>
      </c>
      <c r="R271" s="2">
        <f>_xll.BDP(A271,"PE_RATIO")</f>
        <v>13.185707658508326</v>
      </c>
      <c r="S271" s="3">
        <f>IF(ISERROR((R271-Q271)/(P271-Q271)),"",(R271-Q271)/(P271-Q271))</f>
        <v>0.38237192645800022</v>
      </c>
    </row>
    <row r="272" spans="1:19" x14ac:dyDescent="0.25">
      <c r="A272" t="s">
        <v>225</v>
      </c>
      <c r="B272" t="str">
        <f>_xll.BDP(A272,"DS697")</f>
        <v>阿曼 MSM 30指數</v>
      </c>
      <c r="C272" t="str">
        <f>_xll.BDP(A272,"DS003")</f>
        <v>OM</v>
      </c>
      <c r="D272" s="2">
        <f>_xll.BDP(A272,"PX_LAST")</f>
        <v>4015.98</v>
      </c>
      <c r="E272" s="2">
        <f>_xll.BDP(A272,"CHG_PCT_1D")</f>
        <v>-0.1429733</v>
      </c>
      <c r="F272" s="2">
        <f>_xll.BDP(A272,"HIGH_52WEEK")</f>
        <v>4566.3</v>
      </c>
      <c r="G272" s="2">
        <f>LN(F272/D272)*100</f>
        <v>12.84218466742476</v>
      </c>
      <c r="H272" s="2">
        <f>_xll.BDP(A272,"LOW_52WEEK")</f>
        <v>3744.55</v>
      </c>
      <c r="I272" s="2">
        <f>LN(H272/D272)*100</f>
        <v>-6.9979952761598252</v>
      </c>
      <c r="J272" s="2">
        <f>_xll.BDP(A272,"CHG_PCT_5D")</f>
        <v>0.59742839999999997</v>
      </c>
      <c r="K272" s="2">
        <f>_xll.BDP(A272,"CHG_PCT_1M")</f>
        <v>1.555712</v>
      </c>
      <c r="L272" s="2">
        <f>_xll.BDP(A272,"CHG_PCT_3M")</f>
        <v>3.2104339999999998</v>
      </c>
      <c r="M272" s="2">
        <f>_xll.BDP(A272,"CHG_PCT_6M")</f>
        <v>-0.77434170000000002</v>
      </c>
      <c r="N272" s="2">
        <f>_xll.BDP(A272,"PR064")</f>
        <v>3.2104339999999998</v>
      </c>
      <c r="O272" s="2">
        <f>_xll.BDP(A272,"CHG_PCT_1YR")</f>
        <v>-11.225910000000001</v>
      </c>
      <c r="P272" s="2">
        <f>_xll.BDP(A272,"INTERVAL_HIGH", "MARKET_DATA_OVERRIDE=PE_RATIO", "CALC_INTERVAL=5y", "BEST_FPERIOD_OVERRIDE=BF")</f>
        <v>13.571093062280841</v>
      </c>
      <c r="Q272" s="2">
        <f>_xll.BDP(A272,"INTERVAL_Low", "MARKET_DATA_OVERRIDE=PE_RATIO", "CALC_INTERVAL=5y", "BEST_FPERIOD_OVERRIDE=BF")</f>
        <v>7.626282329754499</v>
      </c>
      <c r="R272" s="2">
        <f>_xll.BDP(A272,"PE_RATIO")</f>
        <v>8.1766842365537276</v>
      </c>
      <c r="S272" s="3">
        <f>IF(ISERROR((R272-Q272)/(P272-Q272)),"",(R272-Q272)/(P272-Q272))</f>
        <v>9.2585270004942016E-2</v>
      </c>
    </row>
    <row r="273" spans="1:19" x14ac:dyDescent="0.25">
      <c r="A273" t="s">
        <v>69</v>
      </c>
      <c r="B273" t="str">
        <f>_xll.BDP(A273,"DS697")</f>
        <v>智利小型股指數</v>
      </c>
      <c r="C273" t="str">
        <f>_xll.BDP(A273,"DS003")</f>
        <v>CL</v>
      </c>
      <c r="D273" s="2">
        <f>_xll.BDP(A273,"PX_LAST")</f>
        <v>6057.7</v>
      </c>
      <c r="E273" s="2">
        <f>_xll.BDP(A273,"CHG_PCT_1D")</f>
        <v>0.16435839999999999</v>
      </c>
      <c r="F273" s="2">
        <f>_xll.BDP(A273,"HIGH_52WEEK")</f>
        <v>437418.40625</v>
      </c>
      <c r="G273" s="2">
        <f>LN(F273/D273)*100</f>
        <v>427.95599983197121</v>
      </c>
      <c r="H273" s="2">
        <f>_xll.BDP(A273,"LOW_52WEEK")</f>
        <v>5805.82</v>
      </c>
      <c r="I273" s="2">
        <f>LN(H273/D273)*100</f>
        <v>-4.2469327374114494</v>
      </c>
      <c r="J273" s="2">
        <f>_xll.BDP(A273,"CHG_PCT_5D")</f>
        <v>0.6040181</v>
      </c>
      <c r="K273" s="2">
        <f>_xll.BDP(A273,"CHG_PCT_1M")</f>
        <v>4.0489730000000002</v>
      </c>
      <c r="L273" s="2">
        <f>_xll.BDP(A273,"CHG_PCT_3M")</f>
        <v>-6.3045679999999997</v>
      </c>
      <c r="M273" s="2">
        <f>_xll.BDP(A273,"CHG_PCT_6M")</f>
        <v>-7.747573</v>
      </c>
      <c r="N273" s="2">
        <f>_xll.BDP(A273,"PR064")</f>
        <v>-6.3045679999999997</v>
      </c>
      <c r="O273" s="2">
        <f>_xll.BDP(A273,"CHG_PCT_1YR")</f>
        <v>-9.7091999999999992</v>
      </c>
      <c r="P273" s="2" t="str">
        <f>_xll.BDP(A273,"INTERVAL_HIGH", "MARKET_DATA_OVERRIDE=PE_RATIO", "CALC_INTERVAL=5y", "BEST_FPERIOD_OVERRIDE=BF")</f>
        <v>#N/A N/A</v>
      </c>
      <c r="Q273" s="2" t="str">
        <f>_xll.BDP(A273,"INTERVAL_Low", "MARKET_DATA_OVERRIDE=PE_RATIO", "CALC_INTERVAL=5y", "BEST_FPERIOD_OVERRIDE=BF")</f>
        <v>#N/A N/A</v>
      </c>
      <c r="R273" s="2" t="str">
        <f>_xll.BDP(A273,"PE_RATIO")</f>
        <v>#N/A N/A</v>
      </c>
      <c r="S273" s="3" t="str">
        <f>IF(ISERROR((R273-Q273)/(P273-Q273)),"",(R273-Q273)/(P273-Q273))</f>
        <v/>
      </c>
    </row>
    <row r="274" spans="1:19" x14ac:dyDescent="0.25">
      <c r="A274" t="s">
        <v>62</v>
      </c>
      <c r="B274" t="str">
        <f>_xll.BDP(A274,"DS697")</f>
        <v>巴西BOV/VAL二級指數</v>
      </c>
      <c r="C274" t="str">
        <f>_xll.BDP(A274,"DS003")</f>
        <v>BZ</v>
      </c>
      <c r="D274" s="2">
        <f>_xll.BDP(A274,"PX_LAST")</f>
        <v>14526.71</v>
      </c>
      <c r="E274" s="2">
        <f>_xll.BDP(A274,"CHG_PCT_1D")</f>
        <v>0.31350749999999999</v>
      </c>
      <c r="F274" s="2">
        <f>_xll.BDP(A274,"HIGH_52WEEK")</f>
        <v>14582.11</v>
      </c>
      <c r="G274" s="2">
        <f>LN(F274/D274)*100</f>
        <v>0.38064110389760591</v>
      </c>
      <c r="H274" s="2">
        <f>_xll.BDP(A274,"LOW_52WEEK")</f>
        <v>9674.94</v>
      </c>
      <c r="I274" s="2">
        <f>LN(H274/D274)*100</f>
        <v>-40.644998651742036</v>
      </c>
      <c r="J274" s="2">
        <f>_xll.BDP(A274,"CHG_PCT_5D")</f>
        <v>0.66413100000000003</v>
      </c>
      <c r="K274" s="2">
        <f>_xll.BDP(A274,"CHG_PCT_1M")</f>
        <v>7.283563</v>
      </c>
      <c r="L274" s="2">
        <f>_xll.BDP(A274,"CHG_PCT_3M")</f>
        <v>12.524940000000001</v>
      </c>
      <c r="M274" s="2">
        <f>_xll.BDP(A274,"CHG_PCT_6M")</f>
        <v>26.74718</v>
      </c>
      <c r="N274" s="2">
        <f>_xll.BDP(A274,"PR064")</f>
        <v>12.524940000000001</v>
      </c>
      <c r="O274" s="2">
        <f>_xll.BDP(A274,"CHG_PCT_1YR")</f>
        <v>45.894889999999997</v>
      </c>
      <c r="P274" s="2">
        <f>_xll.BDP(A274,"INTERVAL_HIGH", "MARKET_DATA_OVERRIDE=PE_RATIO", "CALC_INTERVAL=5y", "BEST_FPERIOD_OVERRIDE=BF")</f>
        <v>149.8075378210435</v>
      </c>
      <c r="Q274" s="2">
        <f>_xll.BDP(A274,"INTERVAL_Low", "MARKET_DATA_OVERRIDE=PE_RATIO", "CALC_INTERVAL=5y", "BEST_FPERIOD_OVERRIDE=BF")</f>
        <v>14.409801501982718</v>
      </c>
      <c r="R274" s="2">
        <f>_xll.BDP(A274,"PE_RATIO")</f>
        <v>20.257007271556759</v>
      </c>
      <c r="S274" s="3">
        <f>IF(ISERROR((R274-Q274)/(P274-Q274)),"",(R274-Q274)/(P274-Q274))</f>
        <v>4.3185402714527456E-2</v>
      </c>
    </row>
    <row r="275" spans="1:19" x14ac:dyDescent="0.25">
      <c r="A275" t="s">
        <v>146</v>
      </c>
      <c r="B275" t="str">
        <f>_xll.BDP(A275,"DS697")</f>
        <v>OMX哥本哈根指數</v>
      </c>
      <c r="C275" t="str">
        <f>_xll.BDP(A275,"DS003")</f>
        <v>DE</v>
      </c>
      <c r="D275" s="2">
        <f>_xll.BDP(A275,"PX_LAST")</f>
        <v>869.67570000000001</v>
      </c>
      <c r="E275" s="2">
        <f>_xll.BDP(A275,"CHG_PCT_1D")</f>
        <v>0.46438790000000002</v>
      </c>
      <c r="F275" s="2">
        <f>_xll.BDP(A275,"HIGH_52WEEK")</f>
        <v>878.50609999999995</v>
      </c>
      <c r="G275" s="2">
        <f>LN(F275/D275)*100</f>
        <v>1.0102467720824979</v>
      </c>
      <c r="H275" s="2">
        <f>_xll.BDP(A275,"LOW_52WEEK")</f>
        <v>739.83640000000003</v>
      </c>
      <c r="I275" s="2">
        <f>LN(H275/D275)*100</f>
        <v>-16.169130286106579</v>
      </c>
      <c r="J275" s="2">
        <f>_xll.BDP(A275,"CHG_PCT_5D")</f>
        <v>0.69756359999999995</v>
      </c>
      <c r="K275" s="2">
        <f>_xll.BDP(A275,"CHG_PCT_1M")</f>
        <v>1.6083240000000001</v>
      </c>
      <c r="L275" s="2">
        <f>_xll.BDP(A275,"CHG_PCT_3M")</f>
        <v>3.3162750000000001</v>
      </c>
      <c r="M275" s="2">
        <f>_xll.BDP(A275,"CHG_PCT_6M")</f>
        <v>3.4425460000000001</v>
      </c>
      <c r="N275" s="2">
        <f>_xll.BDP(A275,"PR064")</f>
        <v>3.3162750000000001</v>
      </c>
      <c r="O275" s="2">
        <f>_xll.BDP(A275,"CHG_PCT_1YR")</f>
        <v>3.7268080000000001</v>
      </c>
      <c r="P275" s="2">
        <f>_xll.BDP(A275,"INTERVAL_HIGH", "MARKET_DATA_OVERRIDE=PE_RATIO", "CALC_INTERVAL=5y", "BEST_FPERIOD_OVERRIDE=BF")</f>
        <v>42.003755106262233</v>
      </c>
      <c r="Q275" s="2">
        <f>_xll.BDP(A275,"INTERVAL_Low", "MARKET_DATA_OVERRIDE=PE_RATIO", "CALC_INTERVAL=5y", "BEST_FPERIOD_OVERRIDE=BF")</f>
        <v>19.030340020518416</v>
      </c>
      <c r="R275" s="2">
        <f>_xll.BDP(A275,"PE_RATIO")</f>
        <v>22.428912623508509</v>
      </c>
      <c r="S275" s="3">
        <f>IF(ISERROR((R275-Q275)/(P275-Q275)),"",(R275-Q275)/(P275-Q275))</f>
        <v>0.14793501925184305</v>
      </c>
    </row>
    <row r="276" spans="1:19" x14ac:dyDescent="0.25">
      <c r="A276" t="s">
        <v>316</v>
      </c>
      <c r="B276" t="str">
        <f>_xll.BDP(A276,"DS697")</f>
        <v>越南河內證交所股票指數</v>
      </c>
      <c r="C276" t="str">
        <f>_xll.BDP(A276,"DS003")</f>
        <v>VN</v>
      </c>
      <c r="D276" s="2">
        <f>_xll.BDP(A276,"PX_LAST")</f>
        <v>104.7719</v>
      </c>
      <c r="E276" s="2">
        <f>_xll.BDP(A276,"CHG_PCT_1D")</f>
        <v>0.92436059999999998</v>
      </c>
      <c r="F276" s="2">
        <f>_xll.BDP(A276,"HIGH_52WEEK")</f>
        <v>117.3396</v>
      </c>
      <c r="G276" s="2">
        <f>LN(F276/D276)*100</f>
        <v>11.32866884319462</v>
      </c>
      <c r="H276" s="2">
        <f>_xll.BDP(A276,"LOW_52WEEK")</f>
        <v>98.705730000000003</v>
      </c>
      <c r="I276" s="2">
        <f>LN(H276/D276)*100</f>
        <v>-5.9642606697162943</v>
      </c>
      <c r="J276" s="2">
        <f>_xll.BDP(A276,"CHG_PCT_5D")</f>
        <v>0.70647680000000002</v>
      </c>
      <c r="K276" s="2">
        <f>_xll.BDP(A276,"CHG_PCT_1M")</f>
        <v>1.8602240000000001</v>
      </c>
      <c r="L276" s="2">
        <f>_xll.BDP(A276,"CHG_PCT_3M")</f>
        <v>1.7605010000000001</v>
      </c>
      <c r="M276" s="2">
        <f>_xll.BDP(A276,"CHG_PCT_6M")</f>
        <v>-2.5900560000000001</v>
      </c>
      <c r="N276" s="2">
        <f>_xll.BDP(A276,"PR064")</f>
        <v>1.7605010000000001</v>
      </c>
      <c r="O276" s="2">
        <f>_xll.BDP(A276,"CHG_PCT_1YR")</f>
        <v>-9.7450650000000003</v>
      </c>
      <c r="P276" s="2">
        <f>_xll.BDP(A276,"INTERVAL_HIGH", "MARKET_DATA_OVERRIDE=PE_RATIO", "CALC_INTERVAL=5y", "BEST_FPERIOD_OVERRIDE=BF")</f>
        <v>15.406941087731138</v>
      </c>
      <c r="Q276" s="2">
        <f>_xll.BDP(A276,"INTERVAL_Low", "MARKET_DATA_OVERRIDE=PE_RATIO", "CALC_INTERVAL=5y", "BEST_FPERIOD_OVERRIDE=BF")</f>
        <v>7.1750610852460364</v>
      </c>
      <c r="R276" s="2">
        <f>_xll.BDP(A276,"PE_RATIO")</f>
        <v>7.5242337406749522</v>
      </c>
      <c r="S276" s="3">
        <f>IF(ISERROR((R276-Q276)/(P276-Q276)),"",(R276-Q276)/(P276-Q276))</f>
        <v>4.2417121644570253E-2</v>
      </c>
    </row>
    <row r="277" spans="1:19" x14ac:dyDescent="0.25">
      <c r="A277" t="s">
        <v>71</v>
      </c>
      <c r="B277" t="str">
        <f>_xll.BDP(A277,"DS697")</f>
        <v>標普/BVL秘魯一般總報酬PEN指</v>
      </c>
      <c r="C277" t="str">
        <f>_xll.BDP(A277,"DS003")</f>
        <v>PE</v>
      </c>
      <c r="D277" s="2">
        <f>_xll.BDP(A277,"PX_LAST")</f>
        <v>19630.64</v>
      </c>
      <c r="E277" s="2">
        <f>_xll.BDP(A277,"CHG_PCT_1D")</f>
        <v>1.2316549999999999</v>
      </c>
      <c r="F277" s="2">
        <f>_xll.BDP(A277,"HIGH_52WEEK")</f>
        <v>21492.390625</v>
      </c>
      <c r="G277" s="2">
        <f>LN(F277/D277)*100</f>
        <v>9.0607337153654406</v>
      </c>
      <c r="H277" s="2">
        <f>_xll.BDP(A277,"LOW_52WEEK")</f>
        <v>18531.2890625</v>
      </c>
      <c r="I277" s="2">
        <f>LN(H277/D277)*100</f>
        <v>-5.7631006793751034</v>
      </c>
      <c r="J277" s="2">
        <f>_xll.BDP(A277,"CHG_PCT_5D")</f>
        <v>0.71457630000000005</v>
      </c>
      <c r="K277" s="2">
        <f>_xll.BDP(A277,"CHG_PCT_1M")</f>
        <v>4.0528469999999999</v>
      </c>
      <c r="L277" s="2">
        <f>_xll.BDP(A277,"CHG_PCT_3M")</f>
        <v>-5.010567</v>
      </c>
      <c r="M277" s="2">
        <f>_xll.BDP(A277,"CHG_PCT_6M")</f>
        <v>-6.5078469999999999</v>
      </c>
      <c r="N277" s="2">
        <f>_xll.BDP(A277,"PR064")</f>
        <v>-5.010567</v>
      </c>
      <c r="O277" s="2">
        <f>_xll.BDP(A277,"CHG_PCT_1YR")</f>
        <v>0.47595399999999999</v>
      </c>
      <c r="P277" s="2">
        <f>_xll.BDP(A277,"INTERVAL_HIGH", "MARKET_DATA_OVERRIDE=PE_RATIO", "CALC_INTERVAL=5y", "BEST_FPERIOD_OVERRIDE=BF")</f>
        <v>944.05685684437776</v>
      </c>
      <c r="Q277" s="2">
        <f>_xll.BDP(A277,"INTERVAL_Low", "MARKET_DATA_OVERRIDE=PE_RATIO", "CALC_INTERVAL=5y", "BEST_FPERIOD_OVERRIDE=BF")</f>
        <v>2.369337533179928</v>
      </c>
      <c r="R277" s="2">
        <f>_xll.BDP(A277,"PE_RATIO")</f>
        <v>17.719904056296318</v>
      </c>
      <c r="S277" s="3">
        <f>IF(ISERROR((R277-Q277)/(P277-Q277)),"",(R277-Q277)/(P277-Q277))</f>
        <v>1.6301125594554593E-2</v>
      </c>
    </row>
    <row r="278" spans="1:19" x14ac:dyDescent="0.25">
      <c r="A278" t="s">
        <v>261</v>
      </c>
      <c r="B278" t="str">
        <f>_xll.BDP(A278,"DS697")</f>
        <v>TOPIX大型70指數</v>
      </c>
      <c r="C278" t="str">
        <f>_xll.BDP(A278,"DS003")</f>
        <v>JN</v>
      </c>
      <c r="D278" s="2">
        <f>_xll.BDP(A278,"PX_LAST")</f>
        <v>1690.33</v>
      </c>
      <c r="E278" s="2">
        <f>_xll.BDP(A278,"CHG_PCT_1D")</f>
        <v>0.1154953</v>
      </c>
      <c r="F278" s="2">
        <f>_xll.BDP(A278,"HIGH_52WEEK")</f>
        <v>1904.98</v>
      </c>
      <c r="G278" s="2">
        <f>LN(F278/D278)*100</f>
        <v>11.954773369069441</v>
      </c>
      <c r="H278" s="2">
        <f>_xll.BDP(A278,"LOW_52WEEK")</f>
        <v>1457.24</v>
      </c>
      <c r="I278" s="2">
        <f>LN(H278/D278)*100</f>
        <v>-14.837954046573904</v>
      </c>
      <c r="J278" s="2">
        <f>_xll.BDP(A278,"CHG_PCT_5D")</f>
        <v>0.71799519999999994</v>
      </c>
      <c r="K278" s="2">
        <f>_xll.BDP(A278,"CHG_PCT_1M")</f>
        <v>8.8926630000000007</v>
      </c>
      <c r="L278" s="2">
        <f>_xll.BDP(A278,"CHG_PCT_3M")</f>
        <v>5.2922359999999999</v>
      </c>
      <c r="M278" s="2">
        <f>_xll.BDP(A278,"CHG_PCT_6M")</f>
        <v>3.0180150000000001</v>
      </c>
      <c r="N278" s="2">
        <f>_xll.BDP(A278,"PR064")</f>
        <v>5.2922359999999999</v>
      </c>
      <c r="O278" s="2">
        <f>_xll.BDP(A278,"CHG_PCT_1YR")</f>
        <v>-9.2021049999999995</v>
      </c>
      <c r="P278" s="2">
        <f>_xll.BDP(A278,"INTERVAL_HIGH", "MARKET_DATA_OVERRIDE=PE_RATIO", "CALC_INTERVAL=5y", "BEST_FPERIOD_OVERRIDE=BF")</f>
        <v>22.383868064708579</v>
      </c>
      <c r="Q278" s="2">
        <f>_xll.BDP(A278,"INTERVAL_Low", "MARKET_DATA_OVERRIDE=PE_RATIO", "CALC_INTERVAL=5y", "BEST_FPERIOD_OVERRIDE=BF")</f>
        <v>10.971151284637026</v>
      </c>
      <c r="R278" s="2">
        <f>_xll.BDP(A278,"PE_RATIO")</f>
        <v>14.800598940294911</v>
      </c>
      <c r="S278" s="3">
        <f>IF(ISERROR((R278-Q278)/(P278-Q278)),"",(R278-Q278)/(P278-Q278))</f>
        <v>0.33554216138480886</v>
      </c>
    </row>
    <row r="279" spans="1:19" x14ac:dyDescent="0.25">
      <c r="A279" t="s">
        <v>59</v>
      </c>
      <c r="B279" t="str">
        <f>_xll.BDP(A279,"DS697")</f>
        <v>巴西 IBrX 指數</v>
      </c>
      <c r="C279" t="str">
        <f>_xll.BDP(A279,"DS003")</f>
        <v>BZ</v>
      </c>
      <c r="D279" s="2">
        <f>_xll.BDP(A279,"PX_LAST")</f>
        <v>44171.53</v>
      </c>
      <c r="E279" s="2">
        <f>_xll.BDP(A279,"CHG_PCT_1D")</f>
        <v>0.79579599999999995</v>
      </c>
      <c r="F279" s="2">
        <f>_xll.BDP(A279,"HIGH_52WEEK")</f>
        <v>44564.03125</v>
      </c>
      <c r="G279" s="2">
        <f>LN(F279/D279)*100</f>
        <v>0.88465955317920553</v>
      </c>
      <c r="H279" s="2">
        <f>_xll.BDP(A279,"LOW_52WEEK")</f>
        <v>32098.92</v>
      </c>
      <c r="I279" s="2">
        <f>LN(H279/D279)*100</f>
        <v>-31.925807919354408</v>
      </c>
      <c r="J279" s="2">
        <f>_xll.BDP(A279,"CHG_PCT_5D")</f>
        <v>0.72612520000000003</v>
      </c>
      <c r="K279" s="2">
        <f>_xll.BDP(A279,"CHG_PCT_1M")</f>
        <v>7.9144230000000002</v>
      </c>
      <c r="L279" s="2">
        <f>_xll.BDP(A279,"CHG_PCT_3M")</f>
        <v>5.0836420000000002</v>
      </c>
      <c r="M279" s="2">
        <f>_xll.BDP(A279,"CHG_PCT_6M")</f>
        <v>15.61173</v>
      </c>
      <c r="N279" s="2">
        <f>_xll.BDP(A279,"PR064")</f>
        <v>5.0836420000000002</v>
      </c>
      <c r="O279" s="2">
        <f>_xll.BDP(A279,"CHG_PCT_1YR")</f>
        <v>34.407089999999997</v>
      </c>
      <c r="P279" s="2">
        <f>_xll.BDP(A279,"INTERVAL_HIGH", "MARKET_DATA_OVERRIDE=PE_RATIO", "CALC_INTERVAL=5y", "BEST_FPERIOD_OVERRIDE=BF")</f>
        <v>218.92355489337587</v>
      </c>
      <c r="Q279" s="2">
        <f>_xll.BDP(A279,"INTERVAL_Low", "MARKET_DATA_OVERRIDE=PE_RATIO", "CALC_INTERVAL=5y", "BEST_FPERIOD_OVERRIDE=BF")</f>
        <v>0.12501148661242598</v>
      </c>
      <c r="R279" s="2">
        <f>_xll.BDP(A279,"PE_RATIO")</f>
        <v>16.609497607124581</v>
      </c>
      <c r="S279" s="3">
        <f>IF(ISERROR((R279-Q279)/(P279-Q279)),"",(R279-Q279)/(P279-Q279))</f>
        <v>7.5340931725794077E-2</v>
      </c>
    </row>
    <row r="280" spans="1:19" x14ac:dyDescent="0.25">
      <c r="A280" t="s">
        <v>268</v>
      </c>
      <c r="B280" t="str">
        <f>_xll.BDP(A280,"DS697")</f>
        <v>日經500指數</v>
      </c>
      <c r="C280" t="str">
        <f>_xll.BDP(A280,"DS003")</f>
        <v>JN</v>
      </c>
      <c r="D280" s="2">
        <f>_xll.BDP(A280,"PX_LAST")</f>
        <v>2107.59</v>
      </c>
      <c r="E280" s="2">
        <f>_xll.BDP(A280,"CHG_PCT_1D")</f>
        <v>7.9300259999999997E-2</v>
      </c>
      <c r="F280" s="2">
        <f>_xll.BDP(A280,"HIGH_52WEEK")</f>
        <v>2271.29</v>
      </c>
      <c r="G280" s="2">
        <f>LN(F280/D280)*100</f>
        <v>7.4802837412213457</v>
      </c>
      <c r="H280" s="2">
        <f>_xll.BDP(A280,"LOW_52WEEK")</f>
        <v>1750.92</v>
      </c>
      <c r="I280" s="2">
        <f>LN(H280/D280)*100</f>
        <v>-18.540375052659716</v>
      </c>
      <c r="J280" s="2">
        <f>_xll.BDP(A280,"CHG_PCT_5D")</f>
        <v>0.7620825</v>
      </c>
      <c r="K280" s="2">
        <f>_xll.BDP(A280,"CHG_PCT_1M")</f>
        <v>7.726871</v>
      </c>
      <c r="L280" s="2">
        <f>_xll.BDP(A280,"CHG_PCT_3M")</f>
        <v>5.5018840000000004</v>
      </c>
      <c r="M280" s="2">
        <f>_xll.BDP(A280,"CHG_PCT_6M")</f>
        <v>2.7721749999999998</v>
      </c>
      <c r="N280" s="2">
        <f>_xll.BDP(A280,"PR064")</f>
        <v>5.5018840000000004</v>
      </c>
      <c r="O280" s="2">
        <f>_xll.BDP(A280,"CHG_PCT_1YR")</f>
        <v>-5.1335860000000002</v>
      </c>
      <c r="P280" s="2" t="str">
        <f>_xll.BDP(A280,"INTERVAL_HIGH", "MARKET_DATA_OVERRIDE=PE_RATIO", "CALC_INTERVAL=5y", "BEST_FPERIOD_OVERRIDE=BF")</f>
        <v>#N/A N/A</v>
      </c>
      <c r="Q280" s="2" t="str">
        <f>_xll.BDP(A280,"INTERVAL_Low", "MARKET_DATA_OVERRIDE=PE_RATIO", "CALC_INTERVAL=5y", "BEST_FPERIOD_OVERRIDE=BF")</f>
        <v>#N/A N/A</v>
      </c>
      <c r="R280" s="2" t="str">
        <f>_xll.BDP(A280,"PE_RATIO")</f>
        <v>#N/A N/A</v>
      </c>
      <c r="S280" s="3" t="str">
        <f>IF(ISERROR((R280-Q280)/(P280-Q280)),"",(R280-Q280)/(P280-Q280))</f>
        <v/>
      </c>
    </row>
    <row r="281" spans="1:19" x14ac:dyDescent="0.25">
      <c r="A281" t="s">
        <v>184</v>
      </c>
      <c r="B281" t="str">
        <f>_xll.BDP(A281,"DS697")</f>
        <v>斯洛伐克股票指數</v>
      </c>
      <c r="C281" t="str">
        <f>_xll.BDP(A281,"DS003")</f>
        <v>SO</v>
      </c>
      <c r="D281" s="2">
        <f>_xll.BDP(A281,"PX_LAST")</f>
        <v>339.24</v>
      </c>
      <c r="E281" s="2">
        <f>_xll.BDP(A281,"CHG_PCT_1D")</f>
        <v>0</v>
      </c>
      <c r="F281" s="2">
        <f>_xll.BDP(A281,"HIGH_52WEEK")</f>
        <v>367.57</v>
      </c>
      <c r="G281" s="2">
        <f>LN(F281/D281)*100</f>
        <v>8.0205955211581799</v>
      </c>
      <c r="H281" s="2">
        <f>_xll.BDP(A281,"LOW_52WEEK")</f>
        <v>327.58999999999997</v>
      </c>
      <c r="I281" s="2">
        <f>LN(H281/D281)*100</f>
        <v>-3.494499501100834</v>
      </c>
      <c r="J281" s="2">
        <f>_xll.BDP(A281,"CHG_PCT_5D")</f>
        <v>0.8082762</v>
      </c>
      <c r="K281" s="2">
        <f>_xll.BDP(A281,"CHG_PCT_1M")</f>
        <v>-1.294775</v>
      </c>
      <c r="L281" s="2">
        <f>_xll.BDP(A281,"CHG_PCT_3M")</f>
        <v>-1.746459</v>
      </c>
      <c r="M281" s="2">
        <f>_xll.BDP(A281,"CHG_PCT_6M")</f>
        <v>-3.3999670000000002</v>
      </c>
      <c r="N281" s="2">
        <f>_xll.BDP(A281,"PR064")</f>
        <v>-1.746459</v>
      </c>
      <c r="O281" s="2">
        <f>_xll.BDP(A281,"CHG_PCT_1YR")</f>
        <v>3.2725499999999998</v>
      </c>
      <c r="P281" s="2">
        <f>_xll.BDP(A281,"INTERVAL_HIGH", "MARKET_DATA_OVERRIDE=PE_RATIO", "CALC_INTERVAL=5y", "BEST_FPERIOD_OVERRIDE=BF")</f>
        <v>68.933342545651286</v>
      </c>
      <c r="Q281" s="2">
        <f>_xll.BDP(A281,"INTERVAL_Low", "MARKET_DATA_OVERRIDE=PE_RATIO", "CALC_INTERVAL=5y", "BEST_FPERIOD_OVERRIDE=BF")</f>
        <v>11.568188038000002</v>
      </c>
      <c r="R281" s="2" t="str">
        <f>_xll.BDP(A281,"PE_RATIO")</f>
        <v>#N/A N/A</v>
      </c>
      <c r="S281" s="3" t="str">
        <f>IF(ISERROR((R281-Q281)/(P281-Q281)),"",(R281-Q281)/(P281-Q281))</f>
        <v/>
      </c>
    </row>
    <row r="282" spans="1:19" x14ac:dyDescent="0.25">
      <c r="A282" t="s">
        <v>267</v>
      </c>
      <c r="B282" t="str">
        <f>_xll.BDP(A282,"DS697")</f>
        <v>日經300指數</v>
      </c>
      <c r="C282" t="str">
        <f>_xll.BDP(A282,"DS003")</f>
        <v>JN</v>
      </c>
      <c r="D282" s="2">
        <f>_xll.BDP(A282,"PX_LAST")</f>
        <v>330.28</v>
      </c>
      <c r="E282" s="2">
        <f>_xll.BDP(A282,"CHG_PCT_1D")</f>
        <v>0.1455428</v>
      </c>
      <c r="F282" s="2">
        <f>_xll.BDP(A282,"HIGH_52WEEK")</f>
        <v>366.42</v>
      </c>
      <c r="G282" s="2">
        <f>LN(F282/D282)*100</f>
        <v>10.383943691387074</v>
      </c>
      <c r="H282" s="2">
        <f>_xll.BDP(A282,"LOW_52WEEK")</f>
        <v>284.63</v>
      </c>
      <c r="I282" s="2">
        <f>LN(H282/D282)*100</f>
        <v>-14.875068834553282</v>
      </c>
      <c r="J282" s="2">
        <f>_xll.BDP(A282,"CHG_PCT_5D")</f>
        <v>0.82423029999999997</v>
      </c>
      <c r="K282" s="2">
        <f>_xll.BDP(A282,"CHG_PCT_1M")</f>
        <v>8.8165560000000003</v>
      </c>
      <c r="L282" s="2">
        <f>_xll.BDP(A282,"CHG_PCT_3M")</f>
        <v>4.6547749999999999</v>
      </c>
      <c r="M282" s="2">
        <f>_xll.BDP(A282,"CHG_PCT_6M")</f>
        <v>1.825137</v>
      </c>
      <c r="N282" s="2">
        <f>_xll.BDP(A282,"PR064")</f>
        <v>4.6547749999999999</v>
      </c>
      <c r="O282" s="2">
        <f>_xll.BDP(A282,"CHG_PCT_1YR")</f>
        <v>-7.8562669999999999</v>
      </c>
      <c r="P282" s="2">
        <f>_xll.BDP(A282,"INTERVAL_HIGH", "MARKET_DATA_OVERRIDE=PE_RATIO", "CALC_INTERVAL=5y", "BEST_FPERIOD_OVERRIDE=BF")</f>
        <v>19.817317328903414</v>
      </c>
      <c r="Q282" s="2">
        <f>_xll.BDP(A282,"INTERVAL_Low", "MARKET_DATA_OVERRIDE=PE_RATIO", "CALC_INTERVAL=5y", "BEST_FPERIOD_OVERRIDE=BF")</f>
        <v>10.521659982819822</v>
      </c>
      <c r="R282" s="2">
        <f>_xll.BDP(A282,"PE_RATIO")</f>
        <v>13.575122982936396</v>
      </c>
      <c r="S282" s="3">
        <f>IF(ISERROR((R282-Q282)/(P282-Q282)),"",(R282-Q282)/(P282-Q282))</f>
        <v>0.32848274053507859</v>
      </c>
    </row>
    <row r="283" spans="1:19" x14ac:dyDescent="0.25">
      <c r="A283" t="s">
        <v>262</v>
      </c>
      <c r="B283" t="str">
        <f>_xll.BDP(A283,"DS697")</f>
        <v>TOPIX500指數</v>
      </c>
      <c r="C283" t="str">
        <f>_xll.BDP(A283,"DS003")</f>
        <v>JN</v>
      </c>
      <c r="D283" s="2">
        <f>_xll.BDP(A283,"PX_LAST")</f>
        <v>1256.23</v>
      </c>
      <c r="E283" s="2">
        <f>_xll.BDP(A283,"CHG_PCT_1D")</f>
        <v>0.1634534</v>
      </c>
      <c r="F283" s="2">
        <f>_xll.BDP(A283,"HIGH_52WEEK")</f>
        <v>1416.59</v>
      </c>
      <c r="G283" s="2">
        <f>LN(F283/D283)*100</f>
        <v>12.013740285623616</v>
      </c>
      <c r="H283" s="2">
        <f>_xll.BDP(A283,"LOW_52WEEK")</f>
        <v>1090.28</v>
      </c>
      <c r="I283" s="2">
        <f>LN(H283/D283)*100</f>
        <v>-14.168062831371728</v>
      </c>
      <c r="J283" s="2">
        <f>_xll.BDP(A283,"CHG_PCT_5D")</f>
        <v>0.86312259999999996</v>
      </c>
      <c r="K283" s="2">
        <f>_xll.BDP(A283,"CHG_PCT_1M")</f>
        <v>8.9805779999999995</v>
      </c>
      <c r="L283" s="2">
        <f>_xll.BDP(A283,"CHG_PCT_3M")</f>
        <v>4.5194679999999998</v>
      </c>
      <c r="M283" s="2">
        <f>_xll.BDP(A283,"CHG_PCT_6M")</f>
        <v>0.96688879999999999</v>
      </c>
      <c r="N283" s="2">
        <f>_xll.BDP(A283,"PR064")</f>
        <v>4.5194679999999998</v>
      </c>
      <c r="O283" s="2">
        <f>_xll.BDP(A283,"CHG_PCT_1YR")</f>
        <v>-9.3472190000000008</v>
      </c>
      <c r="P283" s="2">
        <f>_xll.BDP(A283,"INTERVAL_HIGH", "MARKET_DATA_OVERRIDE=PE_RATIO", "CALC_INTERVAL=5y", "BEST_FPERIOD_OVERRIDE=BF")</f>
        <v>20.109109500666815</v>
      </c>
      <c r="Q283" s="2">
        <f>_xll.BDP(A283,"INTERVAL_Low", "MARKET_DATA_OVERRIDE=PE_RATIO", "CALC_INTERVAL=5y", "BEST_FPERIOD_OVERRIDE=BF")</f>
        <v>10.916008083099037</v>
      </c>
      <c r="R283" s="2">
        <f>_xll.BDP(A283,"PE_RATIO")</f>
        <v>13.978094039037163</v>
      </c>
      <c r="S283" s="3">
        <f>IF(ISERROR((R283-Q283)/(P283-Q283)),"",(R283-Q283)/(P283-Q283))</f>
        <v>0.3330851925647812</v>
      </c>
    </row>
    <row r="284" spans="1:19" x14ac:dyDescent="0.25">
      <c r="A284" t="s">
        <v>200</v>
      </c>
      <c r="B284" t="str">
        <f>_xll.BDP(A284,"DS697")</f>
        <v>馬爾他交易所指數</v>
      </c>
      <c r="C284" t="str">
        <f>_xll.BDP(A284,"DS003")</f>
        <v>MB</v>
      </c>
      <c r="D284" s="2">
        <f>_xll.BDP(A284,"PX_LAST")</f>
        <v>4893.7299999999996</v>
      </c>
      <c r="E284" s="2">
        <f>_xll.BDP(A284,"CHG_PCT_1D")</f>
        <v>-0.35103050000000002</v>
      </c>
      <c r="F284" s="2">
        <f>_xll.BDP(A284,"HIGH_52WEEK")</f>
        <v>4910.9690000000001</v>
      </c>
      <c r="G284" s="2">
        <f>LN(F284/D284)*100</f>
        <v>0.35164807740175652</v>
      </c>
      <c r="H284" s="2">
        <f>_xll.BDP(A284,"LOW_52WEEK")</f>
        <v>4325.4129999999996</v>
      </c>
      <c r="I284" s="2">
        <f>LN(H284/D284)*100</f>
        <v>-12.344716674884328</v>
      </c>
      <c r="J284" s="2">
        <f>_xll.BDP(A284,"CHG_PCT_5D")</f>
        <v>0.87618870000000004</v>
      </c>
      <c r="K284" s="2">
        <f>_xll.BDP(A284,"CHG_PCT_1M")</f>
        <v>1.7332399999999999</v>
      </c>
      <c r="L284" s="2">
        <f>_xll.BDP(A284,"CHG_PCT_3M")</f>
        <v>2.2312059999999998</v>
      </c>
      <c r="M284" s="2">
        <f>_xll.BDP(A284,"CHG_PCT_6M")</f>
        <v>3.099478</v>
      </c>
      <c r="N284" s="2">
        <f>_xll.BDP(A284,"PR064")</f>
        <v>2.2312059999999998</v>
      </c>
      <c r="O284" s="2">
        <f>_xll.BDP(A284,"CHG_PCT_1YR")</f>
        <v>13.13902</v>
      </c>
      <c r="P284" s="2">
        <f>_xll.BDP(A284,"INTERVAL_HIGH", "MARKET_DATA_OVERRIDE=PE_RATIO", "CALC_INTERVAL=5y", "BEST_FPERIOD_OVERRIDE=BF")</f>
        <v>31.536308249289771</v>
      </c>
      <c r="Q284" s="2">
        <f>_xll.BDP(A284,"INTERVAL_Low", "MARKET_DATA_OVERRIDE=PE_RATIO", "CALC_INTERVAL=5y", "BEST_FPERIOD_OVERRIDE=BF")</f>
        <v>14.001069136409512</v>
      </c>
      <c r="R284" s="2">
        <f>_xll.BDP(A284,"PE_RATIO")</f>
        <v>24.24693120415294</v>
      </c>
      <c r="S284" s="3">
        <f>IF(ISERROR((R284-Q284)/(P284-Q284)),"",(R284-Q284)/(P284-Q284))</f>
        <v>0.58430124629537994</v>
      </c>
    </row>
    <row r="285" spans="1:19" x14ac:dyDescent="0.25">
      <c r="A285" t="s">
        <v>145</v>
      </c>
      <c r="B285" t="str">
        <f>_xll.BDP(A285,"DS697")</f>
        <v>OMX哥本哈根20指數</v>
      </c>
      <c r="C285" t="str">
        <f>_xll.BDP(A285,"DS003")</f>
        <v>DE</v>
      </c>
      <c r="D285" s="2">
        <f>_xll.BDP(A285,"PX_LAST")</f>
        <v>1045.817</v>
      </c>
      <c r="E285" s="2">
        <f>_xll.BDP(A285,"CHG_PCT_1D")</f>
        <v>0.42876950000000003</v>
      </c>
      <c r="F285" s="2">
        <f>_xll.BDP(A285,"HIGH_52WEEK")</f>
        <v>1060.6279999999999</v>
      </c>
      <c r="G285" s="2">
        <f>LN(F285/D285)*100</f>
        <v>1.406278738531535</v>
      </c>
      <c r="H285" s="2">
        <f>_xll.BDP(A285,"LOW_52WEEK")</f>
        <v>860.86170000000004</v>
      </c>
      <c r="I285" s="2">
        <f>LN(H285/D285)*100</f>
        <v>-19.461981277199047</v>
      </c>
      <c r="J285" s="2">
        <f>_xll.BDP(A285,"CHG_PCT_5D")</f>
        <v>0.90791049999999995</v>
      </c>
      <c r="K285" s="2">
        <f>_xll.BDP(A285,"CHG_PCT_1M")</f>
        <v>1.4714989999999999</v>
      </c>
      <c r="L285" s="2">
        <f>_xll.BDP(A285,"CHG_PCT_3M")</f>
        <v>4.899756</v>
      </c>
      <c r="M285" s="2">
        <f>_xll.BDP(A285,"CHG_PCT_6M")</f>
        <v>3.5047320000000002</v>
      </c>
      <c r="N285" s="2">
        <f>_xll.BDP(A285,"PR064")</f>
        <v>4.899756</v>
      </c>
      <c r="O285" s="2">
        <f>_xll.BDP(A285,"CHG_PCT_1YR")</f>
        <v>6.719233</v>
      </c>
      <c r="P285" s="2">
        <f>_xll.BDP(A285,"INTERVAL_HIGH", "MARKET_DATA_OVERRIDE=PE_RATIO", "CALC_INTERVAL=5y", "BEST_FPERIOD_OVERRIDE=BF")</f>
        <v>32.684949701576137</v>
      </c>
      <c r="Q285" s="2">
        <f>_xll.BDP(A285,"INTERVAL_Low", "MARKET_DATA_OVERRIDE=PE_RATIO", "CALC_INTERVAL=5y", "BEST_FPERIOD_OVERRIDE=BF")</f>
        <v>16.37110843941953</v>
      </c>
      <c r="R285" s="2">
        <f>_xll.BDP(A285,"PE_RATIO")</f>
        <v>22.917482039287385</v>
      </c>
      <c r="S285" s="3">
        <f>IF(ISERROR((R285-Q285)/(P285-Q285)),"",(R285-Q285)/(P285-Q285))</f>
        <v>0.40127726478824755</v>
      </c>
    </row>
    <row r="286" spans="1:19" x14ac:dyDescent="0.25">
      <c r="A286" t="s">
        <v>234</v>
      </c>
      <c r="B286" t="str">
        <f>_xll.BDP(A286,"DS697")</f>
        <v>JPX Nikkei Index 400</v>
      </c>
      <c r="C286" t="str">
        <f>_xll.BDP(A286,"DS003")</f>
        <v>JN</v>
      </c>
      <c r="D286" s="2">
        <f>_xll.BDP(A286,"PX_LAST")</f>
        <v>14498.97</v>
      </c>
      <c r="E286" s="2">
        <f>_xll.BDP(A286,"CHG_PCT_1D")</f>
        <v>0.1049451</v>
      </c>
      <c r="F286" s="2">
        <f>_xll.BDP(A286,"HIGH_52WEEK")</f>
        <v>16287.24</v>
      </c>
      <c r="G286" s="2">
        <f>LN(F286/D286)*100</f>
        <v>11.630436674091509</v>
      </c>
      <c r="H286" s="2">
        <f>_xll.BDP(A286,"LOW_52WEEK")</f>
        <v>12512.4</v>
      </c>
      <c r="I286" s="2">
        <f>LN(H286/D286)*100</f>
        <v>-14.735745981929099</v>
      </c>
      <c r="J286" s="2">
        <f>_xll.BDP(A286,"CHG_PCT_5D")</f>
        <v>0.93001350000000005</v>
      </c>
      <c r="K286" s="2">
        <f>_xll.BDP(A286,"CHG_PCT_1M")</f>
        <v>9.0343210000000003</v>
      </c>
      <c r="L286" s="2">
        <f>_xll.BDP(A286,"CHG_PCT_3M")</f>
        <v>4.7398509999999998</v>
      </c>
      <c r="M286" s="2">
        <f>_xll.BDP(A286,"CHG_PCT_6M")</f>
        <v>1.263082</v>
      </c>
      <c r="N286" s="2">
        <f>_xll.BDP(A286,"PR064")</f>
        <v>4.7398509999999998</v>
      </c>
      <c r="O286" s="2">
        <f>_xll.BDP(A286,"CHG_PCT_1YR")</f>
        <v>-9.0240150000000003</v>
      </c>
      <c r="P286" s="2">
        <f>_xll.BDP(A286,"INTERVAL_HIGH", "MARKET_DATA_OVERRIDE=PE_RATIO", "CALC_INTERVAL=5y", "BEST_FPERIOD_OVERRIDE=BF")</f>
        <v>19.59946772931157</v>
      </c>
      <c r="Q286" s="2">
        <f>_xll.BDP(A286,"INTERVAL_Low", "MARKET_DATA_OVERRIDE=PE_RATIO", "CALC_INTERVAL=5y", "BEST_FPERIOD_OVERRIDE=BF")</f>
        <v>10.853665709309524</v>
      </c>
      <c r="R286" s="2">
        <f>_xll.BDP(A286,"PE_RATIO")</f>
        <v>14.230556348417434</v>
      </c>
      <c r="S286" s="3">
        <f>IF(ISERROR((R286-Q286)/(P286-Q286)),"",(R286-Q286)/(P286-Q286))</f>
        <v>0.3861156051080058</v>
      </c>
    </row>
    <row r="287" spans="1:19" x14ac:dyDescent="0.25">
      <c r="A287" t="s">
        <v>58</v>
      </c>
      <c r="B287" t="str">
        <f>_xll.BDP(A287,"DS697")</f>
        <v>巴西聖保羅證交所指數</v>
      </c>
      <c r="C287" t="str">
        <f>_xll.BDP(A287,"DS003")</f>
        <v>BZ</v>
      </c>
      <c r="D287" s="2">
        <f>_xll.BDP(A287,"PX_LAST")</f>
        <v>105319.4</v>
      </c>
      <c r="E287" s="2">
        <f>_xll.BDP(A287,"CHG_PCT_1D")</f>
        <v>0.80244249999999995</v>
      </c>
      <c r="F287" s="2">
        <f>_xll.BDP(A287,"HIGH_52WEEK")</f>
        <v>106650.1015625</v>
      </c>
      <c r="G287" s="2">
        <f>LN(F287/D287)*100</f>
        <v>1.2555759525920327</v>
      </c>
      <c r="H287" s="2">
        <f>_xll.BDP(A287,"LOW_52WEEK")</f>
        <v>78090.71875</v>
      </c>
      <c r="I287" s="2">
        <f>LN(H287/D287)*100</f>
        <v>-29.912642593254645</v>
      </c>
      <c r="J287" s="2">
        <f>_xll.BDP(A287,"CHG_PCT_5D")</f>
        <v>0.93947829999999999</v>
      </c>
      <c r="K287" s="2">
        <f>_xll.BDP(A287,"CHG_PCT_1M")</f>
        <v>8.2684270000000009</v>
      </c>
      <c r="L287" s="2">
        <f>_xll.BDP(A287,"CHG_PCT_3M")</f>
        <v>4.5623670000000001</v>
      </c>
      <c r="M287" s="2">
        <f>_xll.BDP(A287,"CHG_PCT_6M")</f>
        <v>14.597939999999999</v>
      </c>
      <c r="N287" s="2">
        <f>_xll.BDP(A287,"PR064")</f>
        <v>4.5623670000000001</v>
      </c>
      <c r="O287" s="2">
        <f>_xll.BDP(A287,"CHG_PCT_1YR")</f>
        <v>31.649100000000001</v>
      </c>
      <c r="P287" s="2">
        <f>_xll.BDP(A287,"INTERVAL_HIGH", "MARKET_DATA_OVERRIDE=PE_RATIO", "CALC_INTERVAL=5y", "BEST_FPERIOD_OVERRIDE=BF")</f>
        <v>452.46212647955451</v>
      </c>
      <c r="Q287" s="2">
        <f>_xll.BDP(A287,"INTERVAL_Low", "MARKET_DATA_OVERRIDE=PE_RATIO", "CALC_INTERVAL=5y", "BEST_FPERIOD_OVERRIDE=BF")</f>
        <v>14.762053211027549</v>
      </c>
      <c r="R287" s="2">
        <f>_xll.BDP(A287,"PE_RATIO")</f>
        <v>16.299095794804714</v>
      </c>
      <c r="S287" s="3">
        <f>IF(ISERROR((R287-Q287)/(P287-Q287)),"",(R287-Q287)/(P287-Q287))</f>
        <v>3.5116342848638188E-3</v>
      </c>
    </row>
    <row r="288" spans="1:19" x14ac:dyDescent="0.25">
      <c r="A288" t="s">
        <v>36</v>
      </c>
      <c r="B288" t="str">
        <f>_xll.BDP(A288,"DS697")</f>
        <v>彭博不動產投資信託指數</v>
      </c>
      <c r="C288" t="str">
        <f>_xll.BDP(A288,"DS003")</f>
        <v>US</v>
      </c>
      <c r="D288" s="2">
        <f>_xll.BDP(A288,"PX_LAST")</f>
        <v>326.39999999999998</v>
      </c>
      <c r="E288" s="2">
        <f>_xll.BDP(A288,"CHG_PCT_1D")</f>
        <v>0.85279939999999999</v>
      </c>
      <c r="F288" s="2">
        <f>_xll.BDP(A288,"HIGH_52WEEK")</f>
        <v>327.05</v>
      </c>
      <c r="G288" s="2">
        <f>LN(F288/D288)*100</f>
        <v>0.1989441317269991</v>
      </c>
      <c r="H288" s="2">
        <f>_xll.BDP(A288,"LOW_52WEEK")</f>
        <v>251.09</v>
      </c>
      <c r="I288" s="2">
        <f>LN(H288/D288)*100</f>
        <v>-26.231218249044741</v>
      </c>
      <c r="J288" s="2">
        <f>_xll.BDP(A288,"CHG_PCT_5D")</f>
        <v>0.94949850000000002</v>
      </c>
      <c r="K288" s="2">
        <f>_xll.BDP(A288,"CHG_PCT_1M")</f>
        <v>3.2519290000000001</v>
      </c>
      <c r="L288" s="2">
        <f>_xll.BDP(A288,"CHG_PCT_3M")</f>
        <v>7.4461769999999996</v>
      </c>
      <c r="M288" s="2">
        <f>_xll.BDP(A288,"CHG_PCT_6M")</f>
        <v>8.0293840000000003</v>
      </c>
      <c r="N288" s="2">
        <f>_xll.BDP(A288,"PR064")</f>
        <v>7.4461769999999996</v>
      </c>
      <c r="O288" s="2">
        <f>_xll.BDP(A288,"CHG_PCT_1YR")</f>
        <v>17.334099999999999</v>
      </c>
      <c r="P288" s="2">
        <f>_xll.BDP(A288,"INTERVAL_HIGH", "MARKET_DATA_OVERRIDE=PE_RATIO", "CALC_INTERVAL=5y", "BEST_FPERIOD_OVERRIDE=BF")</f>
        <v>53.438427910918335</v>
      </c>
      <c r="Q288" s="2">
        <f>_xll.BDP(A288,"INTERVAL_Low", "MARKET_DATA_OVERRIDE=PE_RATIO", "CALC_INTERVAL=5y", "BEST_FPERIOD_OVERRIDE=BF")</f>
        <v>28.04276219432306</v>
      </c>
      <c r="R288" s="2">
        <f>_xll.BDP(A288,"PE_RATIO")</f>
        <v>53.438427910918335</v>
      </c>
      <c r="S288" s="3">
        <f>IF(ISERROR((R288-Q288)/(P288-Q288)),"",(R288-Q288)/(P288-Q288))</f>
        <v>1</v>
      </c>
    </row>
    <row r="289" spans="1:19" x14ac:dyDescent="0.25">
      <c r="A289" t="s">
        <v>232</v>
      </c>
      <c r="B289" t="str">
        <f>_xll.BDP(A289,"DS697")</f>
        <v>TOPIX指數</v>
      </c>
      <c r="C289" t="str">
        <f>_xll.BDP(A289,"DS003")</f>
        <v>JN</v>
      </c>
      <c r="D289" s="2">
        <f>_xll.BDP(A289,"PX_LAST")</f>
        <v>1623.27</v>
      </c>
      <c r="E289" s="2">
        <f>_xll.BDP(A289,"CHG_PCT_1D")</f>
        <v>0.19690389999999999</v>
      </c>
      <c r="F289" s="2">
        <f>_xll.BDP(A289,"HIGH_52WEEK")</f>
        <v>1838.3</v>
      </c>
      <c r="G289" s="2">
        <f>LN(F289/D289)*100</f>
        <v>12.439859821509728</v>
      </c>
      <c r="H289" s="2">
        <f>_xll.BDP(A289,"LOW_52WEEK")</f>
        <v>1408.89</v>
      </c>
      <c r="I289" s="2">
        <f>LN(H289/D289)*100</f>
        <v>-14.164047297550894</v>
      </c>
      <c r="J289" s="2">
        <f>_xll.BDP(A289,"CHG_PCT_5D")</f>
        <v>1.0363370000000001</v>
      </c>
      <c r="K289" s="2">
        <f>_xll.BDP(A289,"CHG_PCT_1M")</f>
        <v>8.9669720000000002</v>
      </c>
      <c r="L289" s="2">
        <f>_xll.BDP(A289,"CHG_PCT_3M")</f>
        <v>4.506621</v>
      </c>
      <c r="M289" s="2">
        <f>_xll.BDP(A289,"CHG_PCT_6M")</f>
        <v>0.85617370000000004</v>
      </c>
      <c r="N289" s="2">
        <f>_xll.BDP(A289,"PR064")</f>
        <v>4.506621</v>
      </c>
      <c r="O289" s="2">
        <f>_xll.BDP(A289,"CHG_PCT_1YR")</f>
        <v>-9.8238420000000009</v>
      </c>
      <c r="P289" s="2">
        <f>_xll.BDP(A289,"INTERVAL_HIGH", "MARKET_DATA_OVERRIDE=PE_RATIO", "CALC_INTERVAL=5y", "BEST_FPERIOD_OVERRIDE=BF")</f>
        <v>19.909813556798234</v>
      </c>
      <c r="Q289" s="2">
        <f>_xll.BDP(A289,"INTERVAL_Low", "MARKET_DATA_OVERRIDE=PE_RATIO", "CALC_INTERVAL=5y", "BEST_FPERIOD_OVERRIDE=BF")</f>
        <v>11.158189835843245</v>
      </c>
      <c r="R289" s="2">
        <f>_xll.BDP(A289,"PE_RATIO")</f>
        <v>14.2241561286531</v>
      </c>
      <c r="S289" s="3">
        <f>IF(ISERROR((R289-Q289)/(P289-Q289)),"",(R289-Q289)/(P289-Q289))</f>
        <v>0.3503311374629452</v>
      </c>
    </row>
    <row r="290" spans="1:19" x14ac:dyDescent="0.25">
      <c r="A290" t="s">
        <v>63</v>
      </c>
      <c r="B290" t="str">
        <f>_xll.BDP(A290,"DS697")</f>
        <v>巴西 IBrX-50 指數</v>
      </c>
      <c r="C290" t="str">
        <f>_xll.BDP(A290,"DS003")</f>
        <v>BZ</v>
      </c>
      <c r="D290" s="2">
        <f>_xll.BDP(A290,"PX_LAST")</f>
        <v>17317.86</v>
      </c>
      <c r="E290" s="2">
        <f>_xll.BDP(A290,"CHG_PCT_1D")</f>
        <v>0.85486810000000002</v>
      </c>
      <c r="F290" s="2">
        <f>_xll.BDP(A290,"HIGH_52WEEK")</f>
        <v>17613.5390625</v>
      </c>
      <c r="G290" s="2">
        <f>LN(F290/D290)*100</f>
        <v>1.6929532307719424</v>
      </c>
      <c r="H290" s="2">
        <f>_xll.BDP(A290,"LOW_52WEEK")</f>
        <v>13117.22</v>
      </c>
      <c r="I290" s="2">
        <f>LN(H290/D290)*100</f>
        <v>-27.781246809842859</v>
      </c>
      <c r="J290" s="2">
        <f>_xll.BDP(A290,"CHG_PCT_5D")</f>
        <v>1.0777950000000001</v>
      </c>
      <c r="K290" s="2">
        <f>_xll.BDP(A290,"CHG_PCT_1M")</f>
        <v>8.5578819999999993</v>
      </c>
      <c r="L290" s="2">
        <f>_xll.BDP(A290,"CHG_PCT_3M")</f>
        <v>3.9806859999999999</v>
      </c>
      <c r="M290" s="2">
        <f>_xll.BDP(A290,"CHG_PCT_6M")</f>
        <v>13.523709999999999</v>
      </c>
      <c r="N290" s="2">
        <f>_xll.BDP(A290,"PR064")</f>
        <v>3.9806859999999999</v>
      </c>
      <c r="O290" s="2">
        <f>_xll.BDP(A290,"CHG_PCT_1YR")</f>
        <v>28.864239999999999</v>
      </c>
      <c r="P290" s="2">
        <f>_xll.BDP(A290,"INTERVAL_HIGH", "MARKET_DATA_OVERRIDE=PE_RATIO", "CALC_INTERVAL=5y", "BEST_FPERIOD_OVERRIDE=BF")</f>
        <v>312.08230492802909</v>
      </c>
      <c r="Q290" s="2">
        <f>_xll.BDP(A290,"INTERVAL_Low", "MARKET_DATA_OVERRIDE=PE_RATIO", "CALC_INTERVAL=5y", "BEST_FPERIOD_OVERRIDE=BF")</f>
        <v>14.362921893267989</v>
      </c>
      <c r="R290" s="2">
        <f>_xll.BDP(A290,"PE_RATIO")</f>
        <v>15.771569413425857</v>
      </c>
      <c r="S290" s="3">
        <f>IF(ISERROR((R290-Q290)/(P290-Q290)),"",(R290-Q290)/(P290-Q290))</f>
        <v>4.7314605646398122E-3</v>
      </c>
    </row>
    <row r="291" spans="1:19" x14ac:dyDescent="0.25">
      <c r="A291" t="s">
        <v>217</v>
      </c>
      <c r="B291" t="str">
        <f>_xll.BDP(A291,"DS697")</f>
        <v>Boursa Kuwait Main Market Pr</v>
      </c>
      <c r="C291" t="str">
        <f>_xll.BDP(A291,"DS003")</f>
        <v>KU</v>
      </c>
      <c r="D291" s="2">
        <f>_xll.BDP(A291,"PX_LAST")</f>
        <v>4718.0200000000004</v>
      </c>
      <c r="E291" s="2">
        <f>_xll.BDP(A291,"CHG_PCT_1D")</f>
        <v>-3.030014E-2</v>
      </c>
      <c r="F291" s="2">
        <f>_xll.BDP(A291,"HIGH_52WEEK")</f>
        <v>5062.58</v>
      </c>
      <c r="G291" s="2">
        <f>LN(F291/D291)*100</f>
        <v>7.0487014716079379</v>
      </c>
      <c r="H291" s="2">
        <f>_xll.BDP(A291,"LOW_52WEEK")</f>
        <v>4627.41015625</v>
      </c>
      <c r="I291" s="2">
        <f>LN(H291/D291)*100</f>
        <v>-1.9391869964801034</v>
      </c>
      <c r="J291" s="2">
        <f>_xll.BDP(A291,"CHG_PCT_5D")</f>
        <v>1.087359</v>
      </c>
      <c r="K291" s="2">
        <f>_xll.BDP(A291,"CHG_PCT_1M")</f>
        <v>-1.34433</v>
      </c>
      <c r="L291" s="2">
        <f>_xll.BDP(A291,"CHG_PCT_3M")</f>
        <v>-0.55497750000000001</v>
      </c>
      <c r="M291" s="2">
        <f>_xll.BDP(A291,"CHG_PCT_6M")</f>
        <v>-2.852833</v>
      </c>
      <c r="N291" s="2">
        <f>_xll.BDP(A291,"PR064")</f>
        <v>-0.55497750000000001</v>
      </c>
      <c r="O291" s="2">
        <f>_xll.BDP(A291,"CHG_PCT_1YR")</f>
        <v>-0.92418080000000002</v>
      </c>
      <c r="P291" s="2">
        <f>_xll.BDP(A291,"INTERVAL_HIGH", "MARKET_DATA_OVERRIDE=PE_RATIO", "CALC_INTERVAL=5y", "BEST_FPERIOD_OVERRIDE=BF")</f>
        <v>16.904797695353494</v>
      </c>
      <c r="Q291" s="2">
        <f>_xll.BDP(A291,"INTERVAL_Low", "MARKET_DATA_OVERRIDE=PE_RATIO", "CALC_INTERVAL=5y", "BEST_FPERIOD_OVERRIDE=BF")</f>
        <v>14.067753028803313</v>
      </c>
      <c r="R291" s="2">
        <f>_xll.BDP(A291,"PE_RATIO")</f>
        <v>14.963974812994438</v>
      </c>
      <c r="S291" s="3">
        <f>IF(ISERROR((R291-Q291)/(P291-Q291)),"",(R291-Q291)/(P291-Q291))</f>
        <v>0.31589977935769414</v>
      </c>
    </row>
    <row r="292" spans="1:19" x14ac:dyDescent="0.25">
      <c r="A292" t="s">
        <v>270</v>
      </c>
      <c r="B292" t="str">
        <f>_xll.BDP(A292,"DS697")</f>
        <v>日經JASDAQ指數</v>
      </c>
      <c r="C292" t="str">
        <f>_xll.BDP(A292,"DS003")</f>
        <v>JN</v>
      </c>
      <c r="D292" s="2">
        <f>_xll.BDP(A292,"PX_LAST")</f>
        <v>3394.53</v>
      </c>
      <c r="E292" s="2">
        <f>_xll.BDP(A292,"CHG_PCT_1D")</f>
        <v>0.17972869999999999</v>
      </c>
      <c r="F292" s="2">
        <f>_xll.BDP(A292,"HIGH_52WEEK")</f>
        <v>3866.26</v>
      </c>
      <c r="G292" s="2">
        <f>LN(F292/D292)*100</f>
        <v>13.012231895300378</v>
      </c>
      <c r="H292" s="2">
        <f>_xll.BDP(A292,"LOW_52WEEK")</f>
        <v>3035.47</v>
      </c>
      <c r="I292" s="2">
        <f>LN(H292/D292)*100</f>
        <v>-11.179904005746057</v>
      </c>
      <c r="J292" s="2">
        <f>_xll.BDP(A292,"CHG_PCT_5D")</f>
        <v>1.232253</v>
      </c>
      <c r="K292" s="2">
        <f>_xll.BDP(A292,"CHG_PCT_1M")</f>
        <v>2.6641970000000001</v>
      </c>
      <c r="L292" s="2">
        <f>_xll.BDP(A292,"CHG_PCT_3M")</f>
        <v>-0.1121153</v>
      </c>
      <c r="M292" s="2">
        <f>_xll.BDP(A292,"CHG_PCT_6M")</f>
        <v>-1.5324789999999999</v>
      </c>
      <c r="N292" s="2">
        <f>_xll.BDP(A292,"PR064")</f>
        <v>-0.1121153</v>
      </c>
      <c r="O292" s="2">
        <f>_xll.BDP(A292,"CHG_PCT_1YR")</f>
        <v>-10.95965</v>
      </c>
      <c r="P292" s="2">
        <f>_xll.BDP(A292,"INTERVAL_HIGH", "MARKET_DATA_OVERRIDE=PE_RATIO", "CALC_INTERVAL=5y", "BEST_FPERIOD_OVERRIDE=BF")</f>
        <v>24.816699382346528</v>
      </c>
      <c r="Q292" s="2">
        <f>_xll.BDP(A292,"INTERVAL_Low", "MARKET_DATA_OVERRIDE=PE_RATIO", "CALC_INTERVAL=5y", "BEST_FPERIOD_OVERRIDE=BF")</f>
        <v>13.710754797680798</v>
      </c>
      <c r="R292" s="2">
        <f>_xll.BDP(A292,"PE_RATIO")</f>
        <v>22.568120516807191</v>
      </c>
      <c r="S292" s="3">
        <f>IF(ISERROR((R292-Q292)/(P292-Q292)),"",(R292-Q292)/(P292-Q292))</f>
        <v>0.79753375785396874</v>
      </c>
    </row>
    <row r="293" spans="1:19" x14ac:dyDescent="0.25">
      <c r="A293" t="s">
        <v>188</v>
      </c>
      <c r="B293" t="str">
        <f>_xll.BDP(A293,"DS697")</f>
        <v>SASE自由市場10指數</v>
      </c>
      <c r="C293" t="str">
        <f>_xll.BDP(A293,"DS003")</f>
        <v>BY</v>
      </c>
      <c r="D293" s="2">
        <f>_xll.BDP(A293,"PX_LAST")</f>
        <v>827.16</v>
      </c>
      <c r="E293" s="2">
        <f>_xll.BDP(A293,"CHG_PCT_1D")</f>
        <v>0.2484517</v>
      </c>
      <c r="F293" s="2">
        <f>_xll.BDP(A293,"HIGH_52WEEK")</f>
        <v>827.16</v>
      </c>
      <c r="G293" s="2">
        <f>LN(F293/D293)*100</f>
        <v>0</v>
      </c>
      <c r="H293" s="2">
        <f>_xll.BDP(A293,"LOW_52WEEK")</f>
        <v>621.66999999999996</v>
      </c>
      <c r="I293" s="2">
        <f>LN(H293/D293)*100</f>
        <v>-28.558874135983469</v>
      </c>
      <c r="J293" s="2">
        <f>_xll.BDP(A293,"CHG_PCT_5D")</f>
        <v>1.377588</v>
      </c>
      <c r="K293" s="2">
        <f>_xll.BDP(A293,"CHG_PCT_1M")</f>
        <v>5.0308549999999999</v>
      </c>
      <c r="L293" s="2">
        <f>_xll.BDP(A293,"CHG_PCT_3M")</f>
        <v>10.411659999999999</v>
      </c>
      <c r="M293" s="2">
        <f>_xll.BDP(A293,"CHG_PCT_6M")</f>
        <v>8.4615039999999997</v>
      </c>
      <c r="N293" s="2">
        <f>_xll.BDP(A293,"PR064")</f>
        <v>10.411659999999999</v>
      </c>
      <c r="O293" s="2">
        <f>_xll.BDP(A293,"CHG_PCT_1YR")</f>
        <v>30.062740000000002</v>
      </c>
      <c r="P293" s="2">
        <f>_xll.BDP(A293,"INTERVAL_HIGH", "MARKET_DATA_OVERRIDE=PE_RATIO", "CALC_INTERVAL=5y", "BEST_FPERIOD_OVERRIDE=BF")</f>
        <v>68.844864259936472</v>
      </c>
      <c r="Q293" s="2">
        <f>_xll.BDP(A293,"INTERVAL_Low", "MARKET_DATA_OVERRIDE=PE_RATIO", "CALC_INTERVAL=5y", "BEST_FPERIOD_OVERRIDE=BF")</f>
        <v>6.9860200225907709</v>
      </c>
      <c r="R293" s="2">
        <f>_xll.BDP(A293,"PE_RATIO")</f>
        <v>18.490349765164829</v>
      </c>
      <c r="S293" s="3">
        <f>IF(ISERROR((R293-Q293)/(P293-Q293)),"",(R293-Q293)/(P293-Q293))</f>
        <v>0.18597712072396935</v>
      </c>
    </row>
    <row r="294" spans="1:19" x14ac:dyDescent="0.25">
      <c r="A294" t="s">
        <v>264</v>
      </c>
      <c r="B294" t="str">
        <f>_xll.BDP(A294,"DS697")</f>
        <v>TOPIX中型400指數</v>
      </c>
      <c r="C294" t="str">
        <f>_xll.BDP(A294,"DS003")</f>
        <v>JN</v>
      </c>
      <c r="D294" s="2">
        <f>_xll.BDP(A294,"PX_LAST")</f>
        <v>1808.17</v>
      </c>
      <c r="E294" s="2">
        <f>_xll.BDP(A294,"CHG_PCT_1D")</f>
        <v>0.20449100000000001</v>
      </c>
      <c r="F294" s="2">
        <f>_xll.BDP(A294,"HIGH_52WEEK")</f>
        <v>2080.19</v>
      </c>
      <c r="G294" s="2">
        <f>LN(F294/D294)*100</f>
        <v>14.014395159682847</v>
      </c>
      <c r="H294" s="2">
        <f>_xll.BDP(A294,"LOW_52WEEK")</f>
        <v>1603.91</v>
      </c>
      <c r="I294" s="2">
        <f>LN(H294/D294)*100</f>
        <v>-11.987088595401103</v>
      </c>
      <c r="J294" s="2">
        <f>_xll.BDP(A294,"CHG_PCT_5D")</f>
        <v>1.4128039999999999</v>
      </c>
      <c r="K294" s="2">
        <f>_xll.BDP(A294,"CHG_PCT_1M")</f>
        <v>9.6106420000000004</v>
      </c>
      <c r="L294" s="2">
        <f>_xll.BDP(A294,"CHG_PCT_3M")</f>
        <v>4.2629659999999996</v>
      </c>
      <c r="M294" s="2">
        <f>_xll.BDP(A294,"CHG_PCT_6M")</f>
        <v>-1.9191240000000001</v>
      </c>
      <c r="N294" s="2">
        <f>_xll.BDP(A294,"PR064")</f>
        <v>4.2629659999999996</v>
      </c>
      <c r="O294" s="2">
        <f>_xll.BDP(A294,"CHG_PCT_1YR")</f>
        <v>-11.36595</v>
      </c>
      <c r="P294" s="2">
        <f>_xll.BDP(A294,"INTERVAL_HIGH", "MARKET_DATA_OVERRIDE=PE_RATIO", "CALC_INTERVAL=5y", "BEST_FPERIOD_OVERRIDE=BF")</f>
        <v>23.874900613934983</v>
      </c>
      <c r="Q294" s="2">
        <f>_xll.BDP(A294,"INTERVAL_Low", "MARKET_DATA_OVERRIDE=PE_RATIO", "CALC_INTERVAL=5y", "BEST_FPERIOD_OVERRIDE=BF")</f>
        <v>13.776949970704717</v>
      </c>
      <c r="R294" s="2">
        <f>_xll.BDP(A294,"PE_RATIO")</f>
        <v>15.816220481106759</v>
      </c>
      <c r="S294" s="3">
        <f>IF(ISERROR((R294-Q294)/(P294-Q294)),"",(R294-Q294)/(P294-Q294))</f>
        <v>0.20194894810356229</v>
      </c>
    </row>
    <row r="295" spans="1:19" x14ac:dyDescent="0.25">
      <c r="A295" t="s">
        <v>182</v>
      </c>
      <c r="B295" t="str">
        <f>_xll.BDP(A295,"DS697")</f>
        <v>烏克蘭 PFTS指數</v>
      </c>
      <c r="C295" t="str">
        <f>_xll.BDP(A295,"DS003")</f>
        <v>UK</v>
      </c>
      <c r="D295" s="2">
        <f>_xll.BDP(A295,"PX_LAST")</f>
        <v>524.87810000000002</v>
      </c>
      <c r="E295" s="2">
        <f>_xll.BDP(A295,"CHG_PCT_1D")</f>
        <v>0.30476799999999998</v>
      </c>
      <c r="F295" s="2">
        <f>_xll.BDP(A295,"HIGH_52WEEK")</f>
        <v>608.77890000000002</v>
      </c>
      <c r="G295" s="2">
        <f>LN(F295/D295)*100</f>
        <v>14.828910244752667</v>
      </c>
      <c r="H295" s="2">
        <f>_xll.BDP(A295,"LOW_52WEEK")</f>
        <v>513.11599999999999</v>
      </c>
      <c r="I295" s="2">
        <f>LN(H295/D295)*100</f>
        <v>-2.2664104688049935</v>
      </c>
      <c r="J295" s="2">
        <f>_xll.BDP(A295,"CHG_PCT_5D")</f>
        <v>1.5328839999999999</v>
      </c>
      <c r="K295" s="2">
        <f>_xll.BDP(A295,"CHG_PCT_1M")</f>
        <v>-0.63537370000000004</v>
      </c>
      <c r="L295" s="2">
        <f>_xll.BDP(A295,"CHG_PCT_3M")</f>
        <v>-3.1313559999999998</v>
      </c>
      <c r="M295" s="2">
        <f>_xll.BDP(A295,"CHG_PCT_6M")</f>
        <v>-8.7777370000000001</v>
      </c>
      <c r="N295" s="2">
        <f>_xll.BDP(A295,"PR064")</f>
        <v>-3.1313559999999998</v>
      </c>
      <c r="O295" s="2">
        <f>_xll.BDP(A295,"CHG_PCT_1YR")</f>
        <v>-2.5852020000000002</v>
      </c>
      <c r="P295" s="2">
        <f>_xll.BDP(A295,"INTERVAL_HIGH", "MARKET_DATA_OVERRIDE=PE_RATIO", "CALC_INTERVAL=5y", "BEST_FPERIOD_OVERRIDE=BF")</f>
        <v>117.779958214769</v>
      </c>
      <c r="Q295" s="2">
        <f>_xll.BDP(A295,"INTERVAL_Low", "MARKET_DATA_OVERRIDE=PE_RATIO", "CALC_INTERVAL=5y", "BEST_FPERIOD_OVERRIDE=BF")</f>
        <v>2.4762462246971886</v>
      </c>
      <c r="R295" s="2">
        <f>_xll.BDP(A295,"PE_RATIO")</f>
        <v>3.8397827158528561</v>
      </c>
      <c r="S295" s="3">
        <f>IF(ISERROR((R295-Q295)/(P295-Q295)),"",(R295-Q295)/(P295-Q295))</f>
        <v>1.182560793249288E-2</v>
      </c>
    </row>
    <row r="296" spans="1:19" x14ac:dyDescent="0.25">
      <c r="A296" t="s">
        <v>198</v>
      </c>
      <c r="B296" t="str">
        <f>_xll.BDP(A296,"DS697")</f>
        <v>道瓊土耳其 Titans 20 指數</v>
      </c>
      <c r="C296" t="str">
        <f>_xll.BDP(A296,"DS003")</f>
        <v>TU</v>
      </c>
      <c r="D296" s="2">
        <f>_xll.BDP(A296,"PX_LAST")</f>
        <v>1028.03</v>
      </c>
      <c r="E296" s="2">
        <f>_xll.BDP(A296,"CHG_PCT_1D")</f>
        <v>-0.82291429999999999</v>
      </c>
      <c r="F296" s="2">
        <f>_xll.BDP(A296,"HIGH_52WEEK")</f>
        <v>1076.27</v>
      </c>
      <c r="G296" s="2">
        <f>LN(F296/D296)*100</f>
        <v>4.5857010143575279</v>
      </c>
      <c r="H296" s="2">
        <f>_xll.BDP(A296,"LOW_52WEEK")</f>
        <v>834.13</v>
      </c>
      <c r="I296" s="2">
        <f>LN(H296/D296)*100</f>
        <v>-20.90103629574612</v>
      </c>
      <c r="J296" s="2">
        <f>_xll.BDP(A296,"CHG_PCT_5D")</f>
        <v>1.5649230000000001</v>
      </c>
      <c r="K296" s="2">
        <f>_xll.BDP(A296,"CHG_PCT_1M")</f>
        <v>6.4136160000000002</v>
      </c>
      <c r="L296" s="2">
        <f>_xll.BDP(A296,"CHG_PCT_3M")</f>
        <v>7.0452050000000002</v>
      </c>
      <c r="M296" s="2">
        <f>_xll.BDP(A296,"CHG_PCT_6M")</f>
        <v>11.012370000000001</v>
      </c>
      <c r="N296" s="2">
        <f>_xll.BDP(A296,"PR064")</f>
        <v>7.0452050000000002</v>
      </c>
      <c r="O296" s="2">
        <f>_xll.BDP(A296,"CHG_PCT_1YR")</f>
        <v>2.5394760000000001</v>
      </c>
      <c r="P296" s="2">
        <f>_xll.BDP(A296,"INTERVAL_HIGH", "MARKET_DATA_OVERRIDE=PE_RATIO", "CALC_INTERVAL=5y", "BEST_FPERIOD_OVERRIDE=BF")</f>
        <v>10.863651915148004</v>
      </c>
      <c r="Q296" s="2">
        <f>_xll.BDP(A296,"INTERVAL_Low", "MARKET_DATA_OVERRIDE=PE_RATIO", "CALC_INTERVAL=5y", "BEST_FPERIOD_OVERRIDE=BF")</f>
        <v>5.5808668939382375</v>
      </c>
      <c r="R296" s="2">
        <f>_xll.BDP(A296,"PE_RATIO")</f>
        <v>7.3542295186694586</v>
      </c>
      <c r="S296" s="3">
        <f>IF(ISERROR((R296-Q296)/(P296-Q296)),"",(R296-Q296)/(P296-Q296))</f>
        <v>0.33568706990940889</v>
      </c>
    </row>
    <row r="297" spans="1:19" x14ac:dyDescent="0.25">
      <c r="A297" t="s">
        <v>77</v>
      </c>
      <c r="B297" t="str">
        <f>_xll.BDP(A297,"DS697")</f>
        <v>百慕達證交所指數</v>
      </c>
      <c r="C297" t="str">
        <f>_xll.BDP(A297,"DS003")</f>
        <v>BD</v>
      </c>
      <c r="D297" s="2">
        <f>_xll.BDP(A297,"PX_LAST")</f>
        <v>2117.14</v>
      </c>
      <c r="E297" s="2">
        <f>_xll.BDP(A297,"CHG_PCT_1D")</f>
        <v>3.5910379999999999E-2</v>
      </c>
      <c r="F297" s="2">
        <f>_xll.BDP(A297,"HIGH_52WEEK")</f>
        <v>2935.06</v>
      </c>
      <c r="G297" s="2">
        <f>LN(F297/D297)*100</f>
        <v>32.666177471720772</v>
      </c>
      <c r="H297" s="2">
        <f>_xll.BDP(A297,"LOW_52WEEK")</f>
        <v>1914.38</v>
      </c>
      <c r="I297" s="2">
        <f>LN(H297/D297)*100</f>
        <v>-10.067231086408105</v>
      </c>
      <c r="J297" s="2">
        <f>_xll.BDP(A297,"CHG_PCT_5D")</f>
        <v>1.5721719999999999</v>
      </c>
      <c r="K297" s="2">
        <f>_xll.BDP(A297,"CHG_PCT_1M")</f>
        <v>10.303900000000001</v>
      </c>
      <c r="L297" s="2">
        <f>_xll.BDP(A297,"CHG_PCT_3M")</f>
        <v>-3.5787840000000002</v>
      </c>
      <c r="M297" s="2">
        <f>_xll.BDP(A297,"CHG_PCT_6M")</f>
        <v>-1.032619</v>
      </c>
      <c r="N297" s="2">
        <f>_xll.BDP(A297,"PR064")</f>
        <v>-3.5787840000000002</v>
      </c>
      <c r="O297" s="2">
        <f>_xll.BDP(A297,"CHG_PCT_1YR")</f>
        <v>-27.15945</v>
      </c>
      <c r="P297" s="2">
        <f>_xll.BDP(A297,"INTERVAL_HIGH", "MARKET_DATA_OVERRIDE=PE_RATIO", "CALC_INTERVAL=5y", "BEST_FPERIOD_OVERRIDE=BF")</f>
        <v>9.9606238018755509</v>
      </c>
      <c r="Q297" s="2">
        <f>_xll.BDP(A297,"INTERVAL_Low", "MARKET_DATA_OVERRIDE=PE_RATIO", "CALC_INTERVAL=5y", "BEST_FPERIOD_OVERRIDE=BF")</f>
        <v>2.3475723085271447</v>
      </c>
      <c r="R297" s="2">
        <f>_xll.BDP(A297,"PE_RATIO")</f>
        <v>2.7106932788585345</v>
      </c>
      <c r="S297" s="3">
        <f>IF(ISERROR((R297-Q297)/(P297-Q297)),"",(R297-Q297)/(P297-Q297))</f>
        <v>4.7697164619029828E-2</v>
      </c>
    </row>
    <row r="298" spans="1:19" x14ac:dyDescent="0.25">
      <c r="A298" t="s">
        <v>196</v>
      </c>
      <c r="B298" t="str">
        <f>_xll.BDP(A298,"DS697")</f>
        <v>伊斯坦堡交易所100指數</v>
      </c>
      <c r="C298" t="str">
        <f>_xll.BDP(A298,"DS003")</f>
        <v>TU</v>
      </c>
      <c r="D298" s="2">
        <f>_xll.BDP(A298,"PX_LAST")</f>
        <v>101940.3</v>
      </c>
      <c r="E298" s="2">
        <f>_xll.BDP(A298,"CHG_PCT_1D")</f>
        <v>-0.66079770000000004</v>
      </c>
      <c r="F298" s="2">
        <f>_xll.BDP(A298,"HIGH_52WEEK")</f>
        <v>105930.203125</v>
      </c>
      <c r="G298" s="2">
        <f>LN(F298/D298)*100</f>
        <v>3.839306833129303</v>
      </c>
      <c r="H298" s="2">
        <f>_xll.BDP(A298,"LOW_52WEEK")</f>
        <v>83535.3203125</v>
      </c>
      <c r="I298" s="2">
        <f>LN(H298/D298)*100</f>
        <v>-19.911780764218687</v>
      </c>
      <c r="J298" s="2">
        <f>_xll.BDP(A298,"CHG_PCT_5D")</f>
        <v>1.5961190000000001</v>
      </c>
      <c r="K298" s="2">
        <f>_xll.BDP(A298,"CHG_PCT_1M")</f>
        <v>6.1541180000000004</v>
      </c>
      <c r="L298" s="2">
        <f>_xll.BDP(A298,"CHG_PCT_3M")</f>
        <v>6.6621040000000002</v>
      </c>
      <c r="M298" s="2">
        <f>_xll.BDP(A298,"CHG_PCT_6M")</f>
        <v>10.97941</v>
      </c>
      <c r="N298" s="2">
        <f>_xll.BDP(A298,"PR064")</f>
        <v>6.6621040000000002</v>
      </c>
      <c r="O298" s="2">
        <f>_xll.BDP(A298,"CHG_PCT_1YR")</f>
        <v>1.6367050000000001</v>
      </c>
      <c r="P298" s="2">
        <f>_xll.BDP(A298,"INTERVAL_HIGH", "MARKET_DATA_OVERRIDE=PE_RATIO", "CALC_INTERVAL=5y", "BEST_FPERIOD_OVERRIDE=BF")</f>
        <v>13.027530347357288</v>
      </c>
      <c r="Q298" s="2">
        <f>_xll.BDP(A298,"INTERVAL_Low", "MARKET_DATA_OVERRIDE=PE_RATIO", "CALC_INTERVAL=5y", "BEST_FPERIOD_OVERRIDE=BF")</f>
        <v>6.1021330373783735</v>
      </c>
      <c r="R298" s="2">
        <f>_xll.BDP(A298,"PE_RATIO")</f>
        <v>8.1426224273480585</v>
      </c>
      <c r="S298" s="3">
        <f>IF(ISERROR((R298-Q298)/(P298-Q298)),"",(R298-Q298)/(P298-Q298))</f>
        <v>0.29463860319313545</v>
      </c>
    </row>
    <row r="299" spans="1:19" x14ac:dyDescent="0.25">
      <c r="A299" t="s">
        <v>197</v>
      </c>
      <c r="B299" t="str">
        <f>_xll.BDP(A299,"DS697")</f>
        <v>伊斯坦堡全國30指數</v>
      </c>
      <c r="C299" t="str">
        <f>_xll.BDP(A299,"DS003")</f>
        <v>TU</v>
      </c>
      <c r="D299" s="2">
        <f>_xll.BDP(A299,"PX_LAST")</f>
        <v>126298.8</v>
      </c>
      <c r="E299" s="2">
        <f>_xll.BDP(A299,"CHG_PCT_1D")</f>
        <v>-0.7466469</v>
      </c>
      <c r="F299" s="2">
        <f>_xll.BDP(A299,"HIGH_52WEEK")</f>
        <v>133621.296875</v>
      </c>
      <c r="G299" s="2">
        <f>LN(F299/D299)*100</f>
        <v>5.6359128021826166</v>
      </c>
      <c r="H299" s="2">
        <f>_xll.BDP(A299,"LOW_52WEEK")</f>
        <v>104323.8984375</v>
      </c>
      <c r="I299" s="2">
        <f>LN(H299/D299)*100</f>
        <v>-19.115006065218562</v>
      </c>
      <c r="J299" s="2">
        <f>_xll.BDP(A299,"CHG_PCT_5D")</f>
        <v>1.7266170000000001</v>
      </c>
      <c r="K299" s="2">
        <f>_xll.BDP(A299,"CHG_PCT_1M")</f>
        <v>5.7228089999999998</v>
      </c>
      <c r="L299" s="2">
        <f>_xll.BDP(A299,"CHG_PCT_3M")</f>
        <v>5.6705370000000004</v>
      </c>
      <c r="M299" s="2">
        <f>_xll.BDP(A299,"CHG_PCT_6M")</f>
        <v>9.7889569999999999</v>
      </c>
      <c r="N299" s="2">
        <f>_xll.BDP(A299,"PR064")</f>
        <v>5.6705370000000004</v>
      </c>
      <c r="O299" s="2">
        <f>_xll.BDP(A299,"CHG_PCT_1YR")</f>
        <v>1.5590200000000001</v>
      </c>
      <c r="P299" s="2">
        <f>_xll.BDP(A299,"INTERVAL_HIGH", "MARKET_DATA_OVERRIDE=PE_RATIO", "CALC_INTERVAL=5y", "BEST_FPERIOD_OVERRIDE=BF")</f>
        <v>12.026398292983496</v>
      </c>
      <c r="Q299" s="2">
        <f>_xll.BDP(A299,"INTERVAL_Low", "MARKET_DATA_OVERRIDE=PE_RATIO", "CALC_INTERVAL=5y", "BEST_FPERIOD_OVERRIDE=BF")</f>
        <v>5.4089635523593458</v>
      </c>
      <c r="R299" s="2">
        <f>_xll.BDP(A299,"PE_RATIO")</f>
        <v>7.1749031224572528</v>
      </c>
      <c r="S299" s="3">
        <f>IF(ISERROR((R299-Q299)/(P299-Q299)),"",(R299-Q299)/(P299-Q299))</f>
        <v>0.26686165248549854</v>
      </c>
    </row>
    <row r="300" spans="1:19" x14ac:dyDescent="0.25">
      <c r="A300" t="s">
        <v>181</v>
      </c>
      <c r="B300" t="str">
        <f>_xll.BDP(A300,"DS697")</f>
        <v>布加勒斯特證交所交易綜合指數</v>
      </c>
      <c r="C300" t="str">
        <f>_xll.BDP(A300,"DS003")</f>
        <v>RO</v>
      </c>
      <c r="D300" s="2">
        <f>_xll.BDP(A300,"PX_LAST")</f>
        <v>9528.24</v>
      </c>
      <c r="E300" s="2">
        <f>_xll.BDP(A300,"CHG_PCT_1D")</f>
        <v>0.27108710000000003</v>
      </c>
      <c r="F300" s="2">
        <f>_xll.BDP(A300,"HIGH_52WEEK")</f>
        <v>9557.2999999999993</v>
      </c>
      <c r="G300" s="2">
        <f>LN(F300/D300)*100</f>
        <v>0.30452397424737365</v>
      </c>
      <c r="H300" s="2">
        <f>_xll.BDP(A300,"LOW_52WEEK")</f>
        <v>6771.68</v>
      </c>
      <c r="I300" s="2">
        <f>LN(H300/D300)*100</f>
        <v>-34.151081089456589</v>
      </c>
      <c r="J300" s="2">
        <f>_xll.BDP(A300,"CHG_PCT_5D")</f>
        <v>1.810268</v>
      </c>
      <c r="K300" s="2">
        <f>_xll.BDP(A300,"CHG_PCT_1M")</f>
        <v>2.9128799999999999</v>
      </c>
      <c r="L300" s="2">
        <f>_xll.BDP(A300,"CHG_PCT_3M")</f>
        <v>8.9023900000000005</v>
      </c>
      <c r="M300" s="2">
        <f>_xll.BDP(A300,"CHG_PCT_6M")</f>
        <v>17.332159999999998</v>
      </c>
      <c r="N300" s="2">
        <f>_xll.BDP(A300,"PR064")</f>
        <v>8.9023900000000005</v>
      </c>
      <c r="O300" s="2">
        <f>_xll.BDP(A300,"CHG_PCT_1YR")</f>
        <v>12.808160000000001</v>
      </c>
      <c r="P300" s="2">
        <f>_xll.BDP(A300,"INTERVAL_HIGH", "MARKET_DATA_OVERRIDE=PE_RATIO", "CALC_INTERVAL=5y", "BEST_FPERIOD_OVERRIDE=BF")</f>
        <v>18.849199804646144</v>
      </c>
      <c r="Q300" s="2">
        <f>_xll.BDP(A300,"INTERVAL_Low", "MARKET_DATA_OVERRIDE=PE_RATIO", "CALC_INTERVAL=5y", "BEST_FPERIOD_OVERRIDE=BF")</f>
        <v>0.58498704183888939</v>
      </c>
      <c r="R300" s="2">
        <f>_xll.BDP(A300,"PE_RATIO")</f>
        <v>8.15912203358487</v>
      </c>
      <c r="S300" s="3">
        <f>IF(ISERROR((R300-Q300)/(P300-Q300)),"",(R300-Q300)/(P300-Q300))</f>
        <v>0.4146981361917631</v>
      </c>
    </row>
    <row r="301" spans="1:19" x14ac:dyDescent="0.25">
      <c r="A301" t="s">
        <v>318</v>
      </c>
      <c r="B301" t="str">
        <f>_xll.BDP(A301,"DS697")</f>
        <v>Bangladesh Dhaka Stock Excha</v>
      </c>
      <c r="C301" t="str">
        <f>_xll.BDP(A301,"DS003")</f>
        <v>BW</v>
      </c>
      <c r="D301" s="2">
        <f>_xll.BDP(A301,"PX_LAST")</f>
        <v>1768.9469999999999</v>
      </c>
      <c r="E301" s="2">
        <f>_xll.BDP(A301,"CHG_PCT_1D")</f>
        <v>0.12633620000000001</v>
      </c>
      <c r="F301" s="2">
        <f>_xll.BDP(A301,"HIGH_52WEEK")</f>
        <v>2061.9920000000002</v>
      </c>
      <c r="G301" s="2">
        <f>LN(F301/D301)*100</f>
        <v>15.328805155961891</v>
      </c>
      <c r="H301" s="2">
        <f>_xll.BDP(A301,"LOW_52WEEK")</f>
        <v>1723.242</v>
      </c>
      <c r="I301" s="2">
        <f>LN(H301/D301)*100</f>
        <v>-2.6177053917187298</v>
      </c>
      <c r="J301" s="2">
        <f>_xll.BDP(A301,"CHG_PCT_5D")</f>
        <v>1.901896</v>
      </c>
      <c r="K301" s="2">
        <f>_xll.BDP(A301,"CHG_PCT_1M")</f>
        <v>-3.291045</v>
      </c>
      <c r="L301" s="2">
        <f>_xll.BDP(A301,"CHG_PCT_3M")</f>
        <v>-8.1023060000000005</v>
      </c>
      <c r="M301" s="2">
        <f>_xll.BDP(A301,"CHG_PCT_6M")</f>
        <v>-10.148630000000001</v>
      </c>
      <c r="N301" s="2">
        <f>_xll.BDP(A301,"PR064")</f>
        <v>-8.1023060000000005</v>
      </c>
      <c r="O301" s="2">
        <f>_xll.BDP(A301,"CHG_PCT_1YR")</f>
        <v>-6.1481899999999996</v>
      </c>
      <c r="P301" s="2" t="str">
        <f>_xll.BDP(A301,"INTERVAL_HIGH", "MARKET_DATA_OVERRIDE=PE_RATIO", "CALC_INTERVAL=5y", "BEST_FPERIOD_OVERRIDE=BF")</f>
        <v>#N/A N/A</v>
      </c>
      <c r="Q301" s="2" t="str">
        <f>_xll.BDP(A301,"INTERVAL_Low", "MARKET_DATA_OVERRIDE=PE_RATIO", "CALC_INTERVAL=5y", "BEST_FPERIOD_OVERRIDE=BF")</f>
        <v>#N/A N/A</v>
      </c>
      <c r="R301" s="2" t="str">
        <f>_xll.BDP(A301,"PE_RATIO")</f>
        <v>#N/A N/A</v>
      </c>
      <c r="S301" s="3" t="str">
        <f>IF(ISERROR((R301-Q301)/(P301-Q301)),"",(R301-Q301)/(P301-Q301))</f>
        <v/>
      </c>
    </row>
    <row r="302" spans="1:19" x14ac:dyDescent="0.25">
      <c r="A302" t="s">
        <v>269</v>
      </c>
      <c r="B302" t="str">
        <f>_xll.BDP(A302,"DS697")</f>
        <v>JASDAQ指數</v>
      </c>
      <c r="C302" t="str">
        <f>_xll.BDP(A302,"DS003")</f>
        <v>JN</v>
      </c>
      <c r="D302" s="2">
        <f>_xll.BDP(A302,"PX_LAST")</f>
        <v>154.53</v>
      </c>
      <c r="E302" s="2">
        <f>_xll.BDP(A302,"CHG_PCT_1D")</f>
        <v>0.31158710000000001</v>
      </c>
      <c r="F302" s="2">
        <f>_xll.BDP(A302,"HIGH_52WEEK")</f>
        <v>169.25</v>
      </c>
      <c r="G302" s="2">
        <f>LN(F302/D302)*100</f>
        <v>9.0988659546780717</v>
      </c>
      <c r="H302" s="2">
        <f>_xll.BDP(A302,"LOW_52WEEK")</f>
        <v>127.9</v>
      </c>
      <c r="I302" s="2">
        <f>LN(H302/D302)*100</f>
        <v>-18.913954366080652</v>
      </c>
      <c r="J302" s="2">
        <f>_xll.BDP(A302,"CHG_PCT_5D")</f>
        <v>1.912547</v>
      </c>
      <c r="K302" s="2">
        <f>_xll.BDP(A302,"CHG_PCT_1M")</f>
        <v>6.1842920000000001</v>
      </c>
      <c r="L302" s="2">
        <f>_xll.BDP(A302,"CHG_PCT_3M")</f>
        <v>5.0152939999999999</v>
      </c>
      <c r="M302" s="2">
        <f>_xll.BDP(A302,"CHG_PCT_6M")</f>
        <v>0.27903480000000003</v>
      </c>
      <c r="N302" s="2">
        <f>_xll.BDP(A302,"PR064")</f>
        <v>5.0152939999999999</v>
      </c>
      <c r="O302" s="2">
        <f>_xll.BDP(A302,"CHG_PCT_1YR")</f>
        <v>-6.814209</v>
      </c>
      <c r="P302" s="2">
        <f>_xll.BDP(A302,"INTERVAL_HIGH", "MARKET_DATA_OVERRIDE=PE_RATIO", "CALC_INTERVAL=5y", "BEST_FPERIOD_OVERRIDE=BF")</f>
        <v>24.809745198699499</v>
      </c>
      <c r="Q302" s="2">
        <f>_xll.BDP(A302,"INTERVAL_Low", "MARKET_DATA_OVERRIDE=PE_RATIO", "CALC_INTERVAL=5y", "BEST_FPERIOD_OVERRIDE=BF")</f>
        <v>13.632604512295977</v>
      </c>
      <c r="R302" s="2">
        <f>_xll.BDP(A302,"PE_RATIO")</f>
        <v>22.726373608757822</v>
      </c>
      <c r="S302" s="3">
        <f>IF(ISERROR((R302-Q302)/(P302-Q302)),"",(R302-Q302)/(P302-Q302))</f>
        <v>0.81360424384064489</v>
      </c>
    </row>
    <row r="303" spans="1:19" x14ac:dyDescent="0.25">
      <c r="A303" t="s">
        <v>44</v>
      </c>
      <c r="B303" t="str">
        <f>_xll.BDP(A303,"DS697")</f>
        <v>費城公用事業類指數</v>
      </c>
      <c r="C303" t="str">
        <f>_xll.BDP(A303,"DS003")</f>
        <v>US</v>
      </c>
      <c r="D303" s="2">
        <f>_xll.BDP(A303,"PX_LAST")</f>
        <v>831.11030000000005</v>
      </c>
      <c r="E303" s="2">
        <f>_xll.BDP(A303,"CHG_PCT_1D")</f>
        <v>0.42852269999999998</v>
      </c>
      <c r="F303" s="2">
        <f>_xll.BDP(A303,"HIGH_52WEEK")</f>
        <v>833.61779999999999</v>
      </c>
      <c r="G303" s="2">
        <f>LN(F303/D303)*100</f>
        <v>0.30125062421149695</v>
      </c>
      <c r="H303" s="2">
        <f>_xll.BDP(A303,"LOW_52WEEK")</f>
        <v>646.44709999999998</v>
      </c>
      <c r="I303" s="2">
        <f>LN(H303/D303)*100</f>
        <v>-25.127114804463535</v>
      </c>
      <c r="J303" s="2">
        <f>_xll.BDP(A303,"CHG_PCT_5D")</f>
        <v>1.918388</v>
      </c>
      <c r="K303" s="2">
        <f>_xll.BDP(A303,"CHG_PCT_1M")</f>
        <v>4.8631580000000003</v>
      </c>
      <c r="L303" s="2">
        <f>_xll.BDP(A303,"CHG_PCT_3M")</f>
        <v>9.199446</v>
      </c>
      <c r="M303" s="2">
        <f>_xll.BDP(A303,"CHG_PCT_6M")</f>
        <v>10.899990000000001</v>
      </c>
      <c r="N303" s="2">
        <f>_xll.BDP(A303,"PR064")</f>
        <v>9.199446</v>
      </c>
      <c r="O303" s="2">
        <f>_xll.BDP(A303,"CHG_PCT_1YR")</f>
        <v>25.517410000000002</v>
      </c>
      <c r="P303" s="2">
        <f>_xll.BDP(A303,"INTERVAL_HIGH", "MARKET_DATA_OVERRIDE=PE_RATIO", "CALC_INTERVAL=5y", "BEST_FPERIOD_OVERRIDE=BF")</f>
        <v>21.636991964976776</v>
      </c>
      <c r="Q303" s="2">
        <f>_xll.BDP(A303,"INTERVAL_Low", "MARKET_DATA_OVERRIDE=PE_RATIO", "CALC_INTERVAL=5y", "BEST_FPERIOD_OVERRIDE=BF")</f>
        <v>14.67255574667594</v>
      </c>
      <c r="R303" s="2">
        <f>_xll.BDP(A303,"PE_RATIO")</f>
        <v>21.636991964976776</v>
      </c>
      <c r="S303" s="3">
        <f>IF(ISERROR((R303-Q303)/(P303-Q303)),"",(R303-Q303)/(P303-Q303))</f>
        <v>1</v>
      </c>
    </row>
    <row r="304" spans="1:19" x14ac:dyDescent="0.25">
      <c r="A304" t="s">
        <v>222</v>
      </c>
      <c r="B304" t="str">
        <f>_xll.BDP(A304,"DS697")</f>
        <v>巴林綜合指數</v>
      </c>
      <c r="C304" t="str">
        <f>_xll.BDP(A304,"DS003")</f>
        <v>BJ</v>
      </c>
      <c r="D304" s="2">
        <f>_xll.BDP(A304,"PX_LAST")</f>
        <v>1521.3440000000001</v>
      </c>
      <c r="E304" s="2">
        <f>_xll.BDP(A304,"CHG_PCT_1D")</f>
        <v>9.0528220000000006E-2</v>
      </c>
      <c r="F304" s="2">
        <f>_xll.BDP(A304,"HIGH_52WEEK")</f>
        <v>1551.146</v>
      </c>
      <c r="G304" s="2">
        <f>LN(F304/D304)*100</f>
        <v>1.9399857881068794</v>
      </c>
      <c r="H304" s="2">
        <f>_xll.BDP(A304,"LOW_52WEEK")</f>
        <v>1303.2239999999999</v>
      </c>
      <c r="I304" s="2">
        <f>LN(H304/D304)*100</f>
        <v>-15.47529603582708</v>
      </c>
      <c r="J304" s="2">
        <f>_xll.BDP(A304,"CHG_PCT_5D")</f>
        <v>2.076972</v>
      </c>
      <c r="K304" s="2">
        <f>_xll.BDP(A304,"CHG_PCT_1M")</f>
        <v>-1.01816</v>
      </c>
      <c r="L304" s="2">
        <f>_xll.BDP(A304,"CHG_PCT_3M")</f>
        <v>3.6129630000000001</v>
      </c>
      <c r="M304" s="2">
        <f>_xll.BDP(A304,"CHG_PCT_6M")</f>
        <v>7.6519579999999996</v>
      </c>
      <c r="N304" s="2">
        <f>_xll.BDP(A304,"PR064")</f>
        <v>3.6129630000000001</v>
      </c>
      <c r="O304" s="2">
        <f>_xll.BDP(A304,"CHG_PCT_1YR")</f>
        <v>12.80888</v>
      </c>
      <c r="P304" s="2">
        <f>_xll.BDP(A304,"INTERVAL_HIGH", "MARKET_DATA_OVERRIDE=PE_RATIO", "CALC_INTERVAL=5y", "BEST_FPERIOD_OVERRIDE=BF")</f>
        <v>12.553293740366076</v>
      </c>
      <c r="Q304" s="2">
        <f>_xll.BDP(A304,"INTERVAL_Low", "MARKET_DATA_OVERRIDE=PE_RATIO", "CALC_INTERVAL=5y", "BEST_FPERIOD_OVERRIDE=BF")</f>
        <v>7.3436336959514987</v>
      </c>
      <c r="R304" s="2">
        <f>_xll.BDP(A304,"PE_RATIO")</f>
        <v>11.398323409872278</v>
      </c>
      <c r="S304" s="3">
        <f>IF(ISERROR((R304-Q304)/(P304-Q304)),"",(R304-Q304)/(P304-Q304))</f>
        <v>0.778302169307175</v>
      </c>
    </row>
    <row r="305" spans="1:19" x14ac:dyDescent="0.25">
      <c r="A305" t="s">
        <v>2</v>
      </c>
      <c r="B305" t="str">
        <f>_xll.BDP(A305,"DS697")</f>
        <v>道瓊公用事業類指數</v>
      </c>
      <c r="C305" t="str">
        <f>_xll.BDP(A305,"DS003")</f>
        <v>US</v>
      </c>
      <c r="D305" s="2">
        <f>_xll.BDP(A305,"PX_LAST")</f>
        <v>879.11</v>
      </c>
      <c r="E305" s="2">
        <f>_xll.BDP(A305,"CHG_PCT_1D")</f>
        <v>0.52945750000000003</v>
      </c>
      <c r="F305" s="2">
        <f>_xll.BDP(A305,"HIGH_52WEEK")</f>
        <v>881.56</v>
      </c>
      <c r="G305" s="2">
        <f>LN(F305/D305)*100</f>
        <v>0.27830332558929805</v>
      </c>
      <c r="H305" s="2">
        <f>_xll.BDP(A305,"LOW_52WEEK")</f>
        <v>681.85</v>
      </c>
      <c r="I305" s="2">
        <f>LN(H305/D305)*100</f>
        <v>-25.410033975875468</v>
      </c>
      <c r="J305" s="2">
        <f>_xll.BDP(A305,"CHG_PCT_5D")</f>
        <v>2.2589540000000001</v>
      </c>
      <c r="K305" s="2">
        <f>_xll.BDP(A305,"CHG_PCT_1M")</f>
        <v>4.2674289999999999</v>
      </c>
      <c r="L305" s="2">
        <f>_xll.BDP(A305,"CHG_PCT_3M")</f>
        <v>9.1587519999999998</v>
      </c>
      <c r="M305" s="2">
        <f>_xll.BDP(A305,"CHG_PCT_6M")</f>
        <v>12.16858</v>
      </c>
      <c r="N305" s="2">
        <f>_xll.BDP(A305,"PR064")</f>
        <v>9.1587519999999998</v>
      </c>
      <c r="O305" s="2">
        <f>_xll.BDP(A305,"CHG_PCT_1YR")</f>
        <v>23.774719999999999</v>
      </c>
      <c r="P305" s="2">
        <f>_xll.BDP(A305,"INTERVAL_HIGH", "MARKET_DATA_OVERRIDE=PE_RATIO", "CALC_INTERVAL=5y", "BEST_FPERIOD_OVERRIDE=BF")</f>
        <v>23.123803488978599</v>
      </c>
      <c r="Q305" s="2">
        <f>_xll.BDP(A305,"INTERVAL_Low", "MARKET_DATA_OVERRIDE=PE_RATIO", "CALC_INTERVAL=5y", "BEST_FPERIOD_OVERRIDE=BF")</f>
        <v>14.745035517914033</v>
      </c>
      <c r="R305" s="2">
        <f>_xll.BDP(A305,"PE_RATIO")</f>
        <v>23.123803488978599</v>
      </c>
      <c r="S305" s="3">
        <f>IF(ISERROR((R305-Q305)/(P305-Q305)),"",(R305-Q305)/(P305-Q305))</f>
        <v>1</v>
      </c>
    </row>
    <row r="306" spans="1:19" x14ac:dyDescent="0.25">
      <c r="A306" t="s">
        <v>317</v>
      </c>
      <c r="B306" t="str">
        <f>_xll.BDP(A306,"DS697")</f>
        <v>Bangladesh Dhaka Stock Excha</v>
      </c>
      <c r="C306" t="str">
        <f>_xll.BDP(A306,"DS003")</f>
        <v>BW</v>
      </c>
      <c r="D306" s="2">
        <f>_xll.BDP(A306,"PX_LAST")</f>
        <v>4968.4690000000001</v>
      </c>
      <c r="E306" s="2">
        <f>_xll.BDP(A306,"CHG_PCT_1D")</f>
        <v>0.33790160000000002</v>
      </c>
      <c r="F306" s="2">
        <f>_xll.BDP(A306,"HIGH_52WEEK")</f>
        <v>5992.1</v>
      </c>
      <c r="G306" s="2">
        <f>LN(F306/D306)*100</f>
        <v>18.733019063203965</v>
      </c>
      <c r="H306" s="2">
        <f>_xll.BDP(A306,"LOW_52WEEK")</f>
        <v>4839.0879999999997</v>
      </c>
      <c r="I306" s="2">
        <f>LN(H306/D306)*100</f>
        <v>-2.6385471140820345</v>
      </c>
      <c r="J306" s="2">
        <f>_xll.BDP(A306,"CHG_PCT_5D")</f>
        <v>2.3163819999999999</v>
      </c>
      <c r="K306" s="2">
        <f>_xll.BDP(A306,"CHG_PCT_1M")</f>
        <v>-4.0596040000000002</v>
      </c>
      <c r="L306" s="2">
        <f>_xll.BDP(A306,"CHG_PCT_3M")</f>
        <v>-8.5004690000000007</v>
      </c>
      <c r="M306" s="2">
        <f>_xll.BDP(A306,"CHG_PCT_6M")</f>
        <v>-9.7050070000000002</v>
      </c>
      <c r="N306" s="2">
        <f>_xll.BDP(A306,"PR064")</f>
        <v>-8.5004690000000007</v>
      </c>
      <c r="O306" s="2">
        <f>_xll.BDP(A306,"CHG_PCT_1YR")</f>
        <v>-7.0078339999999999</v>
      </c>
      <c r="P306" s="2" t="str">
        <f>_xll.BDP(A306,"INTERVAL_HIGH", "MARKET_DATA_OVERRIDE=PE_RATIO", "CALC_INTERVAL=5y", "BEST_FPERIOD_OVERRIDE=BF")</f>
        <v>#N/A N/A</v>
      </c>
      <c r="Q306" s="2" t="str">
        <f>_xll.BDP(A306,"INTERVAL_Low", "MARKET_DATA_OVERRIDE=PE_RATIO", "CALC_INTERVAL=5y", "BEST_FPERIOD_OVERRIDE=BF")</f>
        <v>#N/A N/A</v>
      </c>
      <c r="R306" s="2" t="str">
        <f>_xll.BDP(A306,"PE_RATIO")</f>
        <v>#N/A N/A</v>
      </c>
      <c r="S306" s="3" t="str">
        <f>IF(ISERROR((R306-Q306)/(P306-Q306)),"",(R306-Q306)/(P306-Q306))</f>
        <v/>
      </c>
    </row>
    <row r="307" spans="1:19" x14ac:dyDescent="0.25">
      <c r="A307" t="s">
        <v>263</v>
      </c>
      <c r="B307" t="str">
        <f>_xll.BDP(A307,"DS697")</f>
        <v>TOPIX小型股指數</v>
      </c>
      <c r="C307" t="str">
        <f>_xll.BDP(A307,"DS003")</f>
        <v>JN</v>
      </c>
      <c r="D307" s="2">
        <f>_xll.BDP(A307,"PX_LAST")</f>
        <v>2030.26</v>
      </c>
      <c r="E307" s="2">
        <f>_xll.BDP(A307,"CHG_PCT_1D")</f>
        <v>0.48752479999999998</v>
      </c>
      <c r="F307" s="2">
        <f>_xll.BDP(A307,"HIGH_52WEEK")</f>
        <v>2388.1999999999998</v>
      </c>
      <c r="G307" s="2">
        <f>LN(F307/D307)*100</f>
        <v>16.237608044710868</v>
      </c>
      <c r="H307" s="2">
        <f>_xll.BDP(A307,"LOW_52WEEK")</f>
        <v>1743.7</v>
      </c>
      <c r="I307" s="2">
        <f>LN(H307/D307)*100</f>
        <v>-15.215457132872748</v>
      </c>
      <c r="J307" s="2">
        <f>_xll.BDP(A307,"CHG_PCT_5D")</f>
        <v>2.546672</v>
      </c>
      <c r="K307" s="2">
        <f>_xll.BDP(A307,"CHG_PCT_1M")</f>
        <v>8.8500409999999992</v>
      </c>
      <c r="L307" s="2">
        <f>_xll.BDP(A307,"CHG_PCT_3M")</f>
        <v>4.41737</v>
      </c>
      <c r="M307" s="2">
        <f>_xll.BDP(A307,"CHG_PCT_6M")</f>
        <v>-7.775986E-2</v>
      </c>
      <c r="N307" s="2">
        <f>_xll.BDP(A307,"PR064")</f>
        <v>4.41737</v>
      </c>
      <c r="O307" s="2">
        <f>_xll.BDP(A307,"CHG_PCT_1YR")</f>
        <v>-13.706569999999999</v>
      </c>
      <c r="P307" s="2">
        <f>_xll.BDP(A307,"INTERVAL_HIGH", "MARKET_DATA_OVERRIDE=PE_RATIO", "CALC_INTERVAL=5y", "BEST_FPERIOD_OVERRIDE=BF")</f>
        <v>18.991304876334752</v>
      </c>
      <c r="Q307" s="2">
        <f>_xll.BDP(A307,"INTERVAL_Low", "MARKET_DATA_OVERRIDE=PE_RATIO", "CALC_INTERVAL=5y", "BEST_FPERIOD_OVERRIDE=BF")</f>
        <v>12.89511259299154</v>
      </c>
      <c r="R307" s="2">
        <f>_xll.BDP(A307,"PE_RATIO")</f>
        <v>16.756770091751211</v>
      </c>
      <c r="S307" s="3">
        <f>IF(ISERROR((R307-Q307)/(P307-Q307)),"",(R307-Q307)/(P307-Q307))</f>
        <v>0.63345401838963977</v>
      </c>
    </row>
    <row r="308" spans="1:19" x14ac:dyDescent="0.25">
      <c r="A308" t="s">
        <v>223</v>
      </c>
      <c r="B308" t="str">
        <f>_xll.BDP(A308,"DS697")</f>
        <v>沙烏地阿拉伯證交所TASI綜合指</v>
      </c>
      <c r="C308" t="str">
        <f>_xll.BDP(A308,"DS003")</f>
        <v>SR</v>
      </c>
      <c r="D308" s="2">
        <f>_xll.BDP(A308,"PX_LAST")</f>
        <v>8028.19</v>
      </c>
      <c r="E308" s="2">
        <f>_xll.BDP(A308,"CHG_PCT_1D")</f>
        <v>-2.6150989999999999E-2</v>
      </c>
      <c r="F308" s="2">
        <f>_xll.BDP(A308,"HIGH_52WEEK")</f>
        <v>9403.0499999999993</v>
      </c>
      <c r="G308" s="2">
        <f>LN(F308/D308)*100</f>
        <v>15.807500691372772</v>
      </c>
      <c r="H308" s="2">
        <f>_xll.BDP(A308,"LOW_52WEEK")</f>
        <v>7001.94</v>
      </c>
      <c r="I308" s="2">
        <f>LN(H308/D308)*100</f>
        <v>-13.677184430348291</v>
      </c>
      <c r="J308" s="2">
        <f>_xll.BDP(A308,"CHG_PCT_5D")</f>
        <v>2.646131</v>
      </c>
      <c r="K308" s="2">
        <f>_xll.BDP(A308,"CHG_PCT_1M")</f>
        <v>-3.1060150000000002</v>
      </c>
      <c r="L308" s="2">
        <f>_xll.BDP(A308,"CHG_PCT_3M")</f>
        <v>-8.7354149999999997</v>
      </c>
      <c r="M308" s="2">
        <f>_xll.BDP(A308,"CHG_PCT_6M")</f>
        <v>-8.4201730000000001</v>
      </c>
      <c r="N308" s="2">
        <f>_xll.BDP(A308,"PR064")</f>
        <v>-8.7354149999999997</v>
      </c>
      <c r="O308" s="2">
        <f>_xll.BDP(A308,"CHG_PCT_1YR")</f>
        <v>1.6396379999999999</v>
      </c>
      <c r="P308" s="2">
        <f>_xll.BDP(A308,"INTERVAL_HIGH", "MARKET_DATA_OVERRIDE=PE_RATIO", "CALC_INTERVAL=5y", "BEST_FPERIOD_OVERRIDE=BF")</f>
        <v>22.341584013149198</v>
      </c>
      <c r="Q308" s="2">
        <f>_xll.BDP(A308,"INTERVAL_Low", "MARKET_DATA_OVERRIDE=PE_RATIO", "CALC_INTERVAL=5y", "BEST_FPERIOD_OVERRIDE=BF")</f>
        <v>12.641008390773274</v>
      </c>
      <c r="R308" s="2">
        <f>_xll.BDP(A308,"PE_RATIO")</f>
        <v>19.948276496158815</v>
      </c>
      <c r="S308" s="3">
        <f>IF(ISERROR((R308-Q308)/(P308-Q308)),"",(R308-Q308)/(P308-Q308))</f>
        <v>0.75328190716127841</v>
      </c>
    </row>
    <row r="309" spans="1:19" x14ac:dyDescent="0.25">
      <c r="A309" t="s">
        <v>271</v>
      </c>
      <c r="B309" t="str">
        <f>_xll.BDP(A309,"DS697")</f>
        <v>東證REIT指數</v>
      </c>
      <c r="C309" t="str">
        <f>_xll.BDP(A309,"DS003")</f>
        <v>JN</v>
      </c>
      <c r="D309" s="2">
        <f>_xll.BDP(A309,"PX_LAST")</f>
        <v>2166.2800000000002</v>
      </c>
      <c r="E309" s="2">
        <f>_xll.BDP(A309,"CHG_PCT_1D")</f>
        <v>0.51317270000000004</v>
      </c>
      <c r="F309" s="2">
        <f>_xll.BDP(A309,"HIGH_52WEEK")</f>
        <v>2179.9499999999998</v>
      </c>
      <c r="G309" s="2">
        <f>LN(F309/D309)*100</f>
        <v>0.62905299892868394</v>
      </c>
      <c r="H309" s="2">
        <f>_xll.BDP(A309,"LOW_52WEEK")</f>
        <v>1709.7</v>
      </c>
      <c r="I309" s="2">
        <f>LN(H309/D309)*100</f>
        <v>-23.669349424193857</v>
      </c>
      <c r="J309" s="2">
        <f>_xll.BDP(A309,"CHG_PCT_5D")</f>
        <v>2.7525200000000001</v>
      </c>
      <c r="K309" s="2">
        <f>_xll.BDP(A309,"CHG_PCT_1M")</f>
        <v>4.4891769999999998</v>
      </c>
      <c r="L309" s="2">
        <f>_xll.BDP(A309,"CHG_PCT_3M")</f>
        <v>11.876709999999999</v>
      </c>
      <c r="M309" s="2">
        <f>_xll.BDP(A309,"CHG_PCT_6M")</f>
        <v>12.078150000000001</v>
      </c>
      <c r="N309" s="2">
        <f>_xll.BDP(A309,"PR064")</f>
        <v>11.876709999999999</v>
      </c>
      <c r="O309" s="2">
        <f>_xll.BDP(A309,"CHG_PCT_1YR")</f>
        <v>22.060449999999999</v>
      </c>
      <c r="P309" s="2">
        <f>_xll.BDP(A309,"INTERVAL_HIGH", "MARKET_DATA_OVERRIDE=PE_RATIO", "CALC_INTERVAL=5y", "BEST_FPERIOD_OVERRIDE=BF")</f>
        <v>35.447825651798688</v>
      </c>
      <c r="Q309" s="2">
        <f>_xll.BDP(A309,"INTERVAL_Low", "MARKET_DATA_OVERRIDE=PE_RATIO", "CALC_INTERVAL=5y", "BEST_FPERIOD_OVERRIDE=BF")</f>
        <v>23.947300577048143</v>
      </c>
      <c r="R309" s="2">
        <f>_xll.BDP(A309,"PE_RATIO")</f>
        <v>28.640082982574025</v>
      </c>
      <c r="S309" s="3">
        <f>IF(ISERROR((R309-Q309)/(P309-Q309)),"",(R309-Q309)/(P309-Q309))</f>
        <v>0.40804940426841096</v>
      </c>
    </row>
    <row r="310" spans="1:19" x14ac:dyDescent="0.25">
      <c r="A310" t="s">
        <v>185</v>
      </c>
      <c r="B310" t="str">
        <f>_xll.BDP(A310,"DS697")</f>
        <v>克羅埃西亞ZAGREB CROBEX</v>
      </c>
      <c r="C310" t="str">
        <f>_xll.BDP(A310,"DS003")</f>
        <v>HR</v>
      </c>
      <c r="D310" s="2">
        <f>_xll.BDP(A310,"PX_LAST")</f>
        <v>1959.7</v>
      </c>
      <c r="E310" s="2">
        <f>_xll.BDP(A310,"CHG_PCT_1D")</f>
        <v>1.2937609999999999</v>
      </c>
      <c r="F310" s="2">
        <f>_xll.BDP(A310,"HIGH_52WEEK")</f>
        <v>1967.53</v>
      </c>
      <c r="G310" s="2">
        <f>LN(F310/D310)*100</f>
        <v>0.39875486666695947</v>
      </c>
      <c r="H310" s="2">
        <f>_xll.BDP(A310,"LOW_52WEEK")</f>
        <v>1693.82</v>
      </c>
      <c r="I310" s="2">
        <f>LN(H310/D310)*100</f>
        <v>-14.580506709770866</v>
      </c>
      <c r="J310" s="2">
        <f>_xll.BDP(A310,"CHG_PCT_5D")</f>
        <v>3.2965040000000001</v>
      </c>
      <c r="K310" s="2">
        <f>_xll.BDP(A310,"CHG_PCT_1M")</f>
        <v>4.6361980000000003</v>
      </c>
      <c r="L310" s="2">
        <f>_xll.BDP(A310,"CHG_PCT_3M")</f>
        <v>4.3653760000000004</v>
      </c>
      <c r="M310" s="2">
        <f>_xll.BDP(A310,"CHG_PCT_6M")</f>
        <v>9.4712689999999995</v>
      </c>
      <c r="N310" s="2">
        <f>_xll.BDP(A310,"PR064")</f>
        <v>4.3653760000000004</v>
      </c>
      <c r="O310" s="2">
        <f>_xll.BDP(A310,"CHG_PCT_1YR")</f>
        <v>9.6378550000000001</v>
      </c>
      <c r="P310" s="2">
        <f>_xll.BDP(A310,"INTERVAL_HIGH", "MARKET_DATA_OVERRIDE=PE_RATIO", "CALC_INTERVAL=5y", "BEST_FPERIOD_OVERRIDE=BF")</f>
        <v>60.788672342228629</v>
      </c>
      <c r="Q310" s="2">
        <f>_xll.BDP(A310,"INTERVAL_Low", "MARKET_DATA_OVERRIDE=PE_RATIO", "CALC_INTERVAL=5y", "BEST_FPERIOD_OVERRIDE=BF")</f>
        <v>10.942130670643328</v>
      </c>
      <c r="R310" s="2">
        <f>_xll.BDP(A310,"PE_RATIO")</f>
        <v>16.478690987121546</v>
      </c>
      <c r="S310" s="3">
        <f>IF(ISERROR((R310-Q310)/(P310-Q310)),"",(R310-Q310)/(P310-Q310))</f>
        <v>0.11107210512127259</v>
      </c>
    </row>
    <row r="311" spans="1:19" x14ac:dyDescent="0.25">
      <c r="A311" t="s">
        <v>216</v>
      </c>
      <c r="B311" t="str">
        <f>_xll.BDP(A311,"DS697")</f>
        <v>Boursa Kuwait Premier Market</v>
      </c>
      <c r="C311" t="str">
        <f>_xll.BDP(A311,"DS003")</f>
        <v>KU</v>
      </c>
      <c r="D311" s="2">
        <f>_xll.BDP(A311,"PX_LAST")</f>
        <v>6222.91</v>
      </c>
      <c r="E311" s="2">
        <f>_xll.BDP(A311,"CHG_PCT_1D")</f>
        <v>-0.66326549999999995</v>
      </c>
      <c r="F311" s="2">
        <f>_xll.BDP(A311,"HIGH_52WEEK")</f>
        <v>6799.58</v>
      </c>
      <c r="G311" s="2">
        <f>LN(F311/D311)*100</f>
        <v>8.8623202564067114</v>
      </c>
      <c r="H311" s="2">
        <f>_xll.BDP(A311,"LOW_52WEEK")</f>
        <v>5141.08984375</v>
      </c>
      <c r="I311" s="2">
        <f>LN(H311/D311)*100</f>
        <v>-19.09725541551207</v>
      </c>
      <c r="J311" s="2">
        <f>_xll.BDP(A311,"CHG_PCT_5D")</f>
        <v>3.5443199999999999</v>
      </c>
      <c r="K311" s="2">
        <f>_xll.BDP(A311,"CHG_PCT_1M")</f>
        <v>-4.6589530000000003</v>
      </c>
      <c r="L311" s="2">
        <f>_xll.BDP(A311,"CHG_PCT_3M")</f>
        <v>-2.1358079999999999</v>
      </c>
      <c r="M311" s="2">
        <f>_xll.BDP(A311,"CHG_PCT_6M")</f>
        <v>4.5652809999999997</v>
      </c>
      <c r="N311" s="2">
        <f>_xll.BDP(A311,"PR064")</f>
        <v>-2.1358079999999999</v>
      </c>
      <c r="O311" s="2">
        <f>_xll.BDP(A311,"CHG_PCT_1YR")</f>
        <v>16.408760000000001</v>
      </c>
      <c r="P311" s="2">
        <f>_xll.BDP(A311,"INTERVAL_HIGH", "MARKET_DATA_OVERRIDE=PE_RATIO", "CALC_INTERVAL=5y", "BEST_FPERIOD_OVERRIDE=BF")</f>
        <v>17.045780459038927</v>
      </c>
      <c r="Q311" s="2">
        <f>_xll.BDP(A311,"INTERVAL_Low", "MARKET_DATA_OVERRIDE=PE_RATIO", "CALC_INTERVAL=5y", "BEST_FPERIOD_OVERRIDE=BF")</f>
        <v>13.448327360736767</v>
      </c>
      <c r="R311" s="2">
        <f>_xll.BDP(A311,"PE_RATIO")</f>
        <v>15.066211582587098</v>
      </c>
      <c r="S311" s="3">
        <f>IF(ISERROR((R311-Q311)/(P311-Q311)),"",(R311-Q311)/(P311-Q311))</f>
        <v>0.44973045586442834</v>
      </c>
    </row>
    <row r="312" spans="1:19" x14ac:dyDescent="0.25">
      <c r="A312" t="s">
        <v>70</v>
      </c>
      <c r="B312" t="str">
        <f>_xll.BDP(A312,"DS697")</f>
        <v>委內瑞拉 IBC 指數</v>
      </c>
      <c r="C312" t="str">
        <f>_xll.BDP(A312,"DS003")</f>
        <v>VZ</v>
      </c>
      <c r="D312" s="2">
        <f>_xll.BDP(A312,"PX_LAST")</f>
        <v>50027.58</v>
      </c>
      <c r="E312" s="2">
        <f>_xll.BDP(A312,"CHG_PCT_1D")</f>
        <v>-0.83014909999999997</v>
      </c>
      <c r="F312" s="2">
        <f>_xll.BDP(A312,"HIGH_52WEEK")</f>
        <v>66458.15625</v>
      </c>
      <c r="G312" s="2">
        <f>LN(F312/D312)*100</f>
        <v>28.399806693786019</v>
      </c>
      <c r="H312" s="2">
        <f>_xll.BDP(A312,"LOW_52WEEK")</f>
        <v>310.43509999999998</v>
      </c>
      <c r="I312" s="2">
        <f>LN(H312/D312)*100</f>
        <v>-508.23548705220026</v>
      </c>
      <c r="J312" s="2">
        <f>_xll.BDP(A312,"CHG_PCT_5D")</f>
        <v>4.0912750000000004</v>
      </c>
      <c r="K312" s="2">
        <f>_xll.BDP(A312,"CHG_PCT_1M")</f>
        <v>3.0632670000000002</v>
      </c>
      <c r="L312" s="2">
        <f>_xll.BDP(A312,"CHG_PCT_3M")</f>
        <v>189.22909999999999</v>
      </c>
      <c r="M312" s="2">
        <f>_xll.BDP(A312,"CHG_PCT_6M")</f>
        <v>458.27190000000002</v>
      </c>
      <c r="N312" s="2">
        <f>_xll.BDP(A312,"PR064")</f>
        <v>189.22909999999999</v>
      </c>
      <c r="O312" s="2">
        <f>_xll.BDP(A312,"CHG_PCT_1YR")</f>
        <v>15489.77</v>
      </c>
      <c r="P312" s="2">
        <f>_xll.BDP(A312,"INTERVAL_HIGH", "MARKET_DATA_OVERRIDE=PE_RATIO", "CALC_INTERVAL=5y", "BEST_FPERIOD_OVERRIDE=BF")</f>
        <v>4405.0622289245784</v>
      </c>
      <c r="Q312" s="2">
        <f>_xll.BDP(A312,"INTERVAL_Low", "MARKET_DATA_OVERRIDE=PE_RATIO", "CALC_INTERVAL=5y", "BEST_FPERIOD_OVERRIDE=BF")</f>
        <v>0.90770329664959359</v>
      </c>
      <c r="R312" s="2" t="str">
        <f>_xll.BDP(A312,"PE_RATIO")</f>
        <v>#N/A N/A</v>
      </c>
      <c r="S312" s="3" t="str">
        <f>IF(ISERROR((R312-Q312)/(P312-Q312)),"",(R312-Q312)/(P312-Q312))</f>
        <v/>
      </c>
    </row>
    <row r="313" spans="1:19" x14ac:dyDescent="0.25">
      <c r="A313" t="s">
        <v>272</v>
      </c>
      <c r="B313" t="str">
        <f>_xll.BDP(A313,"DS697")</f>
        <v>東證MOTHERS指數</v>
      </c>
      <c r="C313" t="str">
        <f>_xll.BDP(A313,"DS003")</f>
        <v>JN</v>
      </c>
      <c r="D313" s="2">
        <f>_xll.BDP(A313,"PX_LAST")</f>
        <v>886.24</v>
      </c>
      <c r="E313" s="2">
        <f>_xll.BDP(A313,"CHG_PCT_1D")</f>
        <v>0.55597160000000001</v>
      </c>
      <c r="F313" s="2">
        <f>_xll.BDP(A313,"HIGH_52WEEK")</f>
        <v>1086.54</v>
      </c>
      <c r="G313" s="2">
        <f>LN(F313/D313)*100</f>
        <v>20.376582019651231</v>
      </c>
      <c r="H313" s="2">
        <f>_xll.BDP(A313,"LOW_52WEEK")</f>
        <v>749.18</v>
      </c>
      <c r="I313" s="2">
        <f>LN(H313/D313)*100</f>
        <v>-16.800851921266624</v>
      </c>
      <c r="J313" s="2">
        <f>_xll.BDP(A313,"CHG_PCT_5D")</f>
        <v>4.8531779999999998</v>
      </c>
      <c r="K313" s="2">
        <f>_xll.BDP(A313,"CHG_PCT_1M")</f>
        <v>3.941919</v>
      </c>
      <c r="L313" s="2">
        <f>_xll.BDP(A313,"CHG_PCT_3M")</f>
        <v>-0.1622209</v>
      </c>
      <c r="M313" s="2">
        <f>_xll.BDP(A313,"CHG_PCT_6M")</f>
        <v>-7.7909110000000004</v>
      </c>
      <c r="N313" s="2">
        <f>_xll.BDP(A313,"PR064")</f>
        <v>-0.1622209</v>
      </c>
      <c r="O313" s="2">
        <f>_xll.BDP(A313,"CHG_PCT_1YR")</f>
        <v>-16.964310000000001</v>
      </c>
      <c r="P313" s="2">
        <f>_xll.BDP(A313,"INTERVAL_HIGH", "MARKET_DATA_OVERRIDE=PE_RATIO", "CALC_INTERVAL=5y", "BEST_FPERIOD_OVERRIDE=BF")</f>
        <v>2039.9219068287155</v>
      </c>
      <c r="Q313" s="2">
        <f>_xll.BDP(A313,"INTERVAL_Low", "MARKET_DATA_OVERRIDE=PE_RATIO", "CALC_INTERVAL=5y", "BEST_FPERIOD_OVERRIDE=BF")</f>
        <v>53.336317183245683</v>
      </c>
      <c r="R313" s="2" t="str">
        <f>_xll.BDP(A313,"PE_RATIO")</f>
        <v>#N/A N/A</v>
      </c>
      <c r="S313" s="3" t="str">
        <f>IF(ISERROR((R313-Q313)/(P313-Q313)),"",(R313-Q313)/(P313-Q313))</f>
        <v/>
      </c>
    </row>
    <row r="314" spans="1:19" x14ac:dyDescent="0.25">
      <c r="A314" t="s">
        <v>192</v>
      </c>
      <c r="B314" t="str">
        <f>_xll.BDP(A314,"DS697")</f>
        <v>馬其頓 MBI 10指數</v>
      </c>
      <c r="C314" t="str">
        <f>_xll.BDP(A314,"DS003")</f>
        <v>MC</v>
      </c>
      <c r="D314" s="2">
        <f>_xll.BDP(A314,"PX_LAST")</f>
        <v>4348.6099999999997</v>
      </c>
      <c r="E314" s="2">
        <f>_xll.BDP(A314,"CHG_PCT_1D")</f>
        <v>-7.5599159999999999E-2</v>
      </c>
      <c r="F314" s="2">
        <f>_xll.BDP(A314,"HIGH_52WEEK")</f>
        <v>4368.3999999999996</v>
      </c>
      <c r="G314" s="2">
        <f>LN(F314/D314)*100</f>
        <v>0.45405555345861304</v>
      </c>
      <c r="H314" s="2">
        <f>_xll.BDP(A314,"LOW_52WEEK")</f>
        <v>3261.2</v>
      </c>
      <c r="I314" s="2">
        <f>LN(H314/D314)*100</f>
        <v>-28.776102800023139</v>
      </c>
      <c r="J314" s="2">
        <f>_xll.BDP(A314,"CHG_PCT_5D")</f>
        <v>4.8825799999999999</v>
      </c>
      <c r="K314" s="2">
        <f>_xll.BDP(A314,"CHG_PCT_1M")</f>
        <v>9.0254209999999997</v>
      </c>
      <c r="L314" s="2">
        <f>_xll.BDP(A314,"CHG_PCT_3M")</f>
        <v>14.34262</v>
      </c>
      <c r="M314" s="2">
        <f>_xll.BDP(A314,"CHG_PCT_6M")</f>
        <v>18.748940000000001</v>
      </c>
      <c r="N314" s="2">
        <f>_xll.BDP(A314,"PR064")</f>
        <v>14.34262</v>
      </c>
      <c r="O314" s="2">
        <f>_xll.BDP(A314,"CHG_PCT_1YR")</f>
        <v>24.438700000000001</v>
      </c>
      <c r="P314" s="2">
        <f>_xll.BDP(A314,"INTERVAL_HIGH", "MARKET_DATA_OVERRIDE=PE_RATIO", "CALC_INTERVAL=5y", "BEST_FPERIOD_OVERRIDE=BF")</f>
        <v>13.691937825473449</v>
      </c>
      <c r="Q314" s="2">
        <f>_xll.BDP(A314,"INTERVAL_Low", "MARKET_DATA_OVERRIDE=PE_RATIO", "CALC_INTERVAL=5y", "BEST_FPERIOD_OVERRIDE=BF")</f>
        <v>3.4388273673845271</v>
      </c>
      <c r="R314" s="2">
        <f>_xll.BDP(A314,"PE_RATIO")</f>
        <v>13.681586834998988</v>
      </c>
      <c r="S314" s="3">
        <f>IF(ISERROR((R314-Q314)/(P314-Q314)),"",(R314-Q314)/(P314-Q314))</f>
        <v>0.99899045362704597</v>
      </c>
    </row>
    <row r="315" spans="1:19" x14ac:dyDescent="0.25">
      <c r="A315" t="s">
        <v>311</v>
      </c>
      <c r="B315" t="str">
        <f>_xll.BDP(A315,"DS697")</f>
        <v>標準普爾BSE-500指數</v>
      </c>
      <c r="C315" t="str">
        <f>_xll.BDP(A315,"DS003")</f>
        <v>IN</v>
      </c>
      <c r="D315" s="2">
        <f>_xll.BDP(A315,"PX_LAST")</f>
        <v>14981.24</v>
      </c>
      <c r="E315" s="2">
        <f>_xll.BDP(A315,"CHG_PCT_1D")</f>
        <v>1.09256</v>
      </c>
      <c r="F315" s="2">
        <f>_xll.BDP(A315,"HIGH_52WEEK")</f>
        <v>15742.11</v>
      </c>
      <c r="G315" s="2">
        <f>LN(F315/D315)*100</f>
        <v>4.9540535672833013</v>
      </c>
      <c r="H315" s="2">
        <f>_xll.BDP(A315,"LOW_52WEEK")</f>
        <v>13287.3</v>
      </c>
      <c r="I315" s="2">
        <f>LN(H315/D315)*100</f>
        <v>-11.999005988486152</v>
      </c>
      <c r="J315" s="2">
        <f>_xll.BDP(A315,"CHG_PCT_5D")</f>
        <v>7.7732000000000001</v>
      </c>
      <c r="K315" s="2">
        <f>_xll.BDP(A315,"CHG_PCT_1M")</f>
        <v>4.7453120000000002</v>
      </c>
      <c r="L315" s="2">
        <f>_xll.BDP(A315,"CHG_PCT_3M")</f>
        <v>-2.4052060000000002</v>
      </c>
      <c r="M315" s="2">
        <f>_xll.BDP(A315,"CHG_PCT_6M")</f>
        <v>-0.50665709999999997</v>
      </c>
      <c r="N315" s="2">
        <f>_xll.BDP(A315,"PR064")</f>
        <v>-2.4052060000000002</v>
      </c>
      <c r="O315" s="2">
        <f>_xll.BDP(A315,"CHG_PCT_1YR")</f>
        <v>2.6757230000000001</v>
      </c>
      <c r="P315" s="2">
        <f>_xll.BDP(A315,"INTERVAL_HIGH", "MARKET_DATA_OVERRIDE=PE_RATIO", "CALC_INTERVAL=5y", "BEST_FPERIOD_OVERRIDE=BF")</f>
        <v>29.401156881692405</v>
      </c>
      <c r="Q315" s="2">
        <f>_xll.BDP(A315,"INTERVAL_Low", "MARKET_DATA_OVERRIDE=PE_RATIO", "CALC_INTERVAL=5y", "BEST_FPERIOD_OVERRIDE=BF")</f>
        <v>18.580507581822886</v>
      </c>
      <c r="R315" s="2">
        <f>_xll.BDP(A315,"PE_RATIO")</f>
        <v>28.015577084536154</v>
      </c>
      <c r="S315" s="3">
        <f>IF(ISERROR((R315-Q315)/(P315-Q315)),"",(R315-Q315)/(P315-Q315))</f>
        <v>0.87195040161102366</v>
      </c>
    </row>
    <row r="316" spans="1:19" x14ac:dyDescent="0.25">
      <c r="A316" t="s">
        <v>312</v>
      </c>
      <c r="B316" t="str">
        <f>_xll.BDP(A316,"DS697")</f>
        <v>標準普爾BSE 200指數</v>
      </c>
      <c r="C316" t="str">
        <f>_xll.BDP(A316,"DS003")</f>
        <v>IN</v>
      </c>
      <c r="D316" s="2">
        <f>_xll.BDP(A316,"PX_LAST")</f>
        <v>4845.87</v>
      </c>
      <c r="E316" s="2">
        <f>_xll.BDP(A316,"CHG_PCT_1D")</f>
        <v>1.1370400000000001</v>
      </c>
      <c r="F316" s="2">
        <f>_xll.BDP(A316,"HIGH_52WEEK")</f>
        <v>5061.7</v>
      </c>
      <c r="G316" s="2">
        <f>LN(F316/D316)*100</f>
        <v>4.3575599468030983</v>
      </c>
      <c r="H316" s="2">
        <f>_xll.BDP(A316,"LOW_52WEEK")</f>
        <v>4254.63</v>
      </c>
      <c r="I316" s="2">
        <f>LN(H316/D316)*100</f>
        <v>-13.011899406339051</v>
      </c>
      <c r="J316" s="2">
        <f>_xll.BDP(A316,"CHG_PCT_5D")</f>
        <v>7.9195859999999998</v>
      </c>
      <c r="K316" s="2">
        <f>_xll.BDP(A316,"CHG_PCT_1M")</f>
        <v>4.6472800000000003</v>
      </c>
      <c r="L316" s="2">
        <f>_xll.BDP(A316,"CHG_PCT_3M")</f>
        <v>-2.0405060000000002</v>
      </c>
      <c r="M316" s="2">
        <f>_xll.BDP(A316,"CHG_PCT_6M")</f>
        <v>0.37783</v>
      </c>
      <c r="N316" s="2">
        <f>_xll.BDP(A316,"PR064")</f>
        <v>-2.0405060000000002</v>
      </c>
      <c r="O316" s="2">
        <f>_xll.BDP(A316,"CHG_PCT_1YR")</f>
        <v>3.837774</v>
      </c>
      <c r="P316" s="2">
        <f>_xll.BDP(A316,"INTERVAL_HIGH", "MARKET_DATA_OVERRIDE=PE_RATIO", "CALC_INTERVAL=5y", "BEST_FPERIOD_OVERRIDE=BF")</f>
        <v>28.807248343081703</v>
      </c>
      <c r="Q316" s="2">
        <f>_xll.BDP(A316,"INTERVAL_Low", "MARKET_DATA_OVERRIDE=PE_RATIO", "CALC_INTERVAL=5y", "BEST_FPERIOD_OVERRIDE=BF")</f>
        <v>18.032525683205531</v>
      </c>
      <c r="R316" s="2">
        <f>_xll.BDP(A316,"PE_RATIO")</f>
        <v>27.2347598055395</v>
      </c>
      <c r="S316" s="3">
        <f>IF(ISERROR((R316-Q316)/(P316-Q316)),"",(R316-Q316)/(P316-Q316))</f>
        <v>0.8540576321840776</v>
      </c>
    </row>
    <row r="317" spans="1:19" x14ac:dyDescent="0.25">
      <c r="A317" t="s">
        <v>245</v>
      </c>
      <c r="B317" t="str">
        <f>_xll.BDP(A317,"DS697")</f>
        <v>標普孟買SENSEX指數</v>
      </c>
      <c r="C317" t="str">
        <f>_xll.BDP(A317,"DS003")</f>
        <v>IN</v>
      </c>
      <c r="D317" s="2">
        <f>_xll.BDP(A317,"PX_LAST")</f>
        <v>38989.74</v>
      </c>
      <c r="E317" s="2">
        <f>_xll.BDP(A317,"CHG_PCT_1D")</f>
        <v>1.0266489999999999</v>
      </c>
      <c r="F317" s="2">
        <f>_xll.BDP(A317,"HIGH_52WEEK")</f>
        <v>40312.0703125</v>
      </c>
      <c r="G317" s="2">
        <f>LN(F317/D317)*100</f>
        <v>3.3352400988690549</v>
      </c>
      <c r="H317" s="2">
        <f>_xll.BDP(A317,"LOW_52WEEK")</f>
        <v>33291.578125</v>
      </c>
      <c r="I317" s="2">
        <f>LN(H317/D317)*100</f>
        <v>-15.799407875544114</v>
      </c>
      <c r="J317" s="2">
        <f>_xll.BDP(A317,"CHG_PCT_5D")</f>
        <v>8.0243640000000003</v>
      </c>
      <c r="K317" s="2">
        <f>_xll.BDP(A317,"CHG_PCT_1M")</f>
        <v>3.5824210000000001</v>
      </c>
      <c r="L317" s="2">
        <f>_xll.BDP(A317,"CHG_PCT_3M")</f>
        <v>-1.5072639999999999</v>
      </c>
      <c r="M317" s="2">
        <f>_xll.BDP(A317,"CHG_PCT_6M")</f>
        <v>2.247036</v>
      </c>
      <c r="N317" s="2">
        <f>_xll.BDP(A317,"PR064")</f>
        <v>-1.5072639999999999</v>
      </c>
      <c r="O317" s="2">
        <f>_xll.BDP(A317,"CHG_PCT_1YR")</f>
        <v>7.3382709999999998</v>
      </c>
      <c r="P317" s="2">
        <f>_xll.BDP(A317,"INTERVAL_HIGH", "MARKET_DATA_OVERRIDE=PE_RATIO", "CALC_INTERVAL=5y", "BEST_FPERIOD_OVERRIDE=BF")</f>
        <v>28.809337653028177</v>
      </c>
      <c r="Q317" s="2">
        <f>_xll.BDP(A317,"INTERVAL_Low", "MARKET_DATA_OVERRIDE=PE_RATIO", "CALC_INTERVAL=5y", "BEST_FPERIOD_OVERRIDE=BF")</f>
        <v>16.981041198862105</v>
      </c>
      <c r="R317" s="2">
        <f>_xll.BDP(A317,"PE_RATIO")</f>
        <v>26.988781162693037</v>
      </c>
      <c r="S317" s="3">
        <f>IF(ISERROR((R317-Q317)/(P317-Q317)),"",(R317-Q317)/(P317-Q317))</f>
        <v>0.84608464140295392</v>
      </c>
    </row>
    <row r="318" spans="1:19" x14ac:dyDescent="0.25">
      <c r="A318" t="s">
        <v>313</v>
      </c>
      <c r="B318" t="str">
        <f>_xll.BDP(A318,"DS697")</f>
        <v>標準普爾BSE-100指數</v>
      </c>
      <c r="C318" t="str">
        <f>_xll.BDP(A318,"DS003")</f>
        <v>IN</v>
      </c>
      <c r="D318" s="2">
        <f>_xll.BDP(A318,"PX_LAST")</f>
        <v>11708.22</v>
      </c>
      <c r="E318" s="2">
        <f>_xll.BDP(A318,"CHG_PCT_1D")</f>
        <v>1.1527639999999999</v>
      </c>
      <c r="F318" s="2">
        <f>_xll.BDP(A318,"HIGH_52WEEK")</f>
        <v>12224.08</v>
      </c>
      <c r="G318" s="2">
        <f>LN(F318/D318)*100</f>
        <v>4.3116617681718514</v>
      </c>
      <c r="H318" s="2">
        <f>_xll.BDP(A318,"LOW_52WEEK")</f>
        <v>10233.129999999999</v>
      </c>
      <c r="I318" s="2">
        <f>LN(H318/D318)*100</f>
        <v>-13.466066320285282</v>
      </c>
      <c r="J318" s="2">
        <f>_xll.BDP(A318,"CHG_PCT_5D")</f>
        <v>8.0669319999999995</v>
      </c>
      <c r="K318" s="2">
        <f>_xll.BDP(A318,"CHG_PCT_1M")</f>
        <v>4.5100559999999996</v>
      </c>
      <c r="L318" s="2">
        <f>_xll.BDP(A318,"CHG_PCT_3M")</f>
        <v>-2.1384910000000001</v>
      </c>
      <c r="M318" s="2">
        <f>_xll.BDP(A318,"CHG_PCT_6M")</f>
        <v>0.77820310000000004</v>
      </c>
      <c r="N318" s="2">
        <f>_xll.BDP(A318,"PR064")</f>
        <v>-2.1384910000000001</v>
      </c>
      <c r="O318" s="2">
        <f>_xll.BDP(A318,"CHG_PCT_1YR")</f>
        <v>4.4593280000000002</v>
      </c>
      <c r="P318" s="2">
        <f>_xll.BDP(A318,"INTERVAL_HIGH", "MARKET_DATA_OVERRIDE=PE_RATIO", "CALC_INTERVAL=5y", "BEST_FPERIOD_OVERRIDE=BF")</f>
        <v>27.721099723795867</v>
      </c>
      <c r="Q318" s="2">
        <f>_xll.BDP(A318,"INTERVAL_Low", "MARKET_DATA_OVERRIDE=PE_RATIO", "CALC_INTERVAL=5y", "BEST_FPERIOD_OVERRIDE=BF")</f>
        <v>17.504071468437338</v>
      </c>
      <c r="R318" s="2">
        <f>_xll.BDP(A318,"PE_RATIO")</f>
        <v>24.985037800907119</v>
      </c>
      <c r="S318" s="3">
        <f>IF(ISERROR((R318-Q318)/(P318-Q318)),"",(R318-Q318)/(P318-Q318))</f>
        <v>0.73220570066900181</v>
      </c>
    </row>
    <row r="319" spans="1:19" x14ac:dyDescent="0.25">
      <c r="A319" t="s">
        <v>244</v>
      </c>
      <c r="B319" t="str">
        <f>_xll.BDP(A319,"DS697")</f>
        <v>印度CNX輕巧指數</v>
      </c>
      <c r="C319" t="str">
        <f>_xll.BDP(A319,"DS003")</f>
        <v>IN</v>
      </c>
      <c r="D319" s="2">
        <f>_xll.BDP(A319,"PX_LAST")</f>
        <v>11571.2</v>
      </c>
      <c r="E319" s="2">
        <f>_xll.BDP(A319,"CHG_PCT_1D")</f>
        <v>1.1450849999999999</v>
      </c>
      <c r="F319" s="2">
        <f>_xll.BDP(A319,"HIGH_52WEEK")</f>
        <v>12103.05</v>
      </c>
      <c r="G319" s="2">
        <f>LN(F319/D319)*100</f>
        <v>4.4938234619461044</v>
      </c>
      <c r="H319" s="2">
        <f>_xll.BDP(A319,"LOW_52WEEK")</f>
        <v>10004.549999999999</v>
      </c>
      <c r="I319" s="2">
        <f>LN(H319/D319)*100</f>
        <v>-14.547926282267731</v>
      </c>
      <c r="J319" s="2">
        <f>_xll.BDP(A319,"CHG_PCT_5D")</f>
        <v>8.0935670000000002</v>
      </c>
      <c r="K319" s="2">
        <f>_xll.BDP(A319,"CHG_PCT_1M")</f>
        <v>4.1948299999999996</v>
      </c>
      <c r="L319" s="2">
        <f>_xll.BDP(A319,"CHG_PCT_3M")</f>
        <v>-2.2830590000000002</v>
      </c>
      <c r="M319" s="2">
        <f>_xll.BDP(A319,"CHG_PCT_6M")</f>
        <v>1.1022270000000001</v>
      </c>
      <c r="N319" s="2">
        <f>_xll.BDP(A319,"PR064")</f>
        <v>-2.2830590000000002</v>
      </c>
      <c r="O319" s="2">
        <f>_xll.BDP(A319,"CHG_PCT_1YR")</f>
        <v>5.4078590000000002</v>
      </c>
      <c r="P319" s="2">
        <f>_xll.BDP(A319,"INTERVAL_HIGH", "MARKET_DATA_OVERRIDE=PE_RATIO", "CALC_INTERVAL=5y", "BEST_FPERIOD_OVERRIDE=BF")</f>
        <v>26.40574457835578</v>
      </c>
      <c r="Q319" s="2">
        <f>_xll.BDP(A319,"INTERVAL_Low", "MARKET_DATA_OVERRIDE=PE_RATIO", "CALC_INTERVAL=5y", "BEST_FPERIOD_OVERRIDE=BF")</f>
        <v>17.891400065209098</v>
      </c>
      <c r="R319" s="2">
        <f>_xll.BDP(A319,"PE_RATIO")</f>
        <v>24.490620926065429</v>
      </c>
      <c r="S319" s="3">
        <f>IF(ISERROR((R319-Q319)/(P319-Q319)),"",(R319-Q319)/(P319-Q319))</f>
        <v>0.77507092303661429</v>
      </c>
    </row>
    <row r="320" spans="1:19" x14ac:dyDescent="0.25">
      <c r="A320" t="s">
        <v>246</v>
      </c>
      <c r="B320" t="str">
        <f>_xll.BDP(A320,"DS697")</f>
        <v>Metropolitan Stock Exchange</v>
      </c>
      <c r="C320" t="str">
        <f>_xll.BDP(A320,"DS003")</f>
        <v>IN</v>
      </c>
      <c r="D320" s="2">
        <f>_xll.BDP(A320,"PX_LAST")</f>
        <v>22822.23</v>
      </c>
      <c r="E320" s="2">
        <f>_xll.BDP(A320,"CHG_PCT_1D")</f>
        <v>1.120995</v>
      </c>
      <c r="F320" s="2">
        <f>_xll.BDP(A320,"HIGH_52WEEK")</f>
        <v>23687.41015625</v>
      </c>
      <c r="G320" s="2">
        <f>LN(F320/D320)*100</f>
        <v>3.7208629002840268</v>
      </c>
      <c r="H320" s="2">
        <f>_xll.BDP(A320,"LOW_52WEEK")</f>
        <v>19644.58984375</v>
      </c>
      <c r="I320" s="2">
        <f>LN(H320/D320)*100</f>
        <v>-14.993308656833037</v>
      </c>
      <c r="J320" s="2">
        <f>_xll.BDP(A320,"CHG_PCT_5D")</f>
        <v>8.1018279999999994</v>
      </c>
      <c r="K320" s="2">
        <f>_xll.BDP(A320,"CHG_PCT_1M")</f>
        <v>4.158595</v>
      </c>
      <c r="L320" s="2">
        <f>_xll.BDP(A320,"CHG_PCT_3M")</f>
        <v>-1.9317340000000001</v>
      </c>
      <c r="M320" s="2">
        <f>_xll.BDP(A320,"CHG_PCT_6M")</f>
        <v>1.8674059999999999</v>
      </c>
      <c r="N320" s="2">
        <f>_xll.BDP(A320,"PR064")</f>
        <v>-1.9317340000000001</v>
      </c>
      <c r="O320" s="2">
        <f>_xll.BDP(A320,"CHG_PCT_1YR")</f>
        <v>6.2715500000000004</v>
      </c>
      <c r="P320" s="2" t="str">
        <f>_xll.BDP(A320,"INTERVAL_HIGH", "MARKET_DATA_OVERRIDE=PE_RATIO", "CALC_INTERVAL=5y", "BEST_FPERIOD_OVERRIDE=BF")</f>
        <v>#N/A N/A</v>
      </c>
      <c r="Q320" s="2" t="str">
        <f>_xll.BDP(A320,"INTERVAL_Low", "MARKET_DATA_OVERRIDE=PE_RATIO", "CALC_INTERVAL=5y", "BEST_FPERIOD_OVERRIDE=BF")</f>
        <v>#N/A N/A</v>
      </c>
      <c r="R320" s="2" t="str">
        <f>_xll.BDP(A320,"PE_RATIO")</f>
        <v>#N/A N/A</v>
      </c>
      <c r="S320" s="3" t="str">
        <f>IF(ISERROR((R320-Q320)/(P320-Q320)),"",(R320-Q320)/(P320-Q320))</f>
        <v/>
      </c>
    </row>
  </sheetData>
  <autoFilter ref="A1:S320">
    <sortState ref="A2:S320">
      <sortCondition ref="J1:J320"/>
    </sortState>
  </autoFilter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pageSetUpPr fitToPage="1"/>
  </sheetPr>
  <dimension ref="A1:AL80"/>
  <sheetViews>
    <sheetView topLeftCell="B1" zoomScale="80" zoomScaleNormal="80" workbookViewId="0">
      <selection sqref="A1:S80"/>
    </sheetView>
  </sheetViews>
  <sheetFormatPr defaultRowHeight="16.5" x14ac:dyDescent="0.25"/>
  <cols>
    <col min="1" max="1" width="18" style="26" hidden="1" customWidth="1"/>
    <col min="2" max="2" width="33.25" style="26" bestFit="1" customWidth="1"/>
    <col min="3" max="3" width="5.875" style="26" customWidth="1"/>
    <col min="4" max="4" width="11.25" style="26" customWidth="1"/>
    <col min="5" max="5" width="7.25" style="31" customWidth="1"/>
    <col min="6" max="6" width="11.25" style="26" customWidth="1"/>
    <col min="7" max="7" width="7.25" style="31" customWidth="1"/>
    <col min="8" max="8" width="11.25" style="26" customWidth="1"/>
    <col min="9" max="15" width="7.25" style="31" customWidth="1"/>
    <col min="16" max="18" width="9.875" style="31" hidden="1" customWidth="1"/>
    <col min="19" max="19" width="7.25" style="46" customWidth="1"/>
    <col min="20" max="20" width="17.375" style="26" hidden="1" customWidth="1"/>
    <col min="21" max="21" width="33.25" style="26" bestFit="1" customWidth="1"/>
    <col min="22" max="22" width="5.875" style="26" customWidth="1"/>
    <col min="23" max="23" width="11.25" style="26" customWidth="1"/>
    <col min="24" max="24" width="7.25" style="31" customWidth="1"/>
    <col min="25" max="25" width="11.25" style="26" customWidth="1"/>
    <col min="26" max="26" width="7.25" style="31" customWidth="1"/>
    <col min="27" max="27" width="11.25" style="26" customWidth="1"/>
    <col min="28" max="34" width="7.25" style="31" customWidth="1"/>
    <col min="35" max="37" width="9.875" style="31" hidden="1" customWidth="1"/>
    <col min="38" max="38" width="7.25" style="46" customWidth="1"/>
    <col min="39" max="16384" width="9" style="26"/>
  </cols>
  <sheetData>
    <row r="1" spans="1:38" x14ac:dyDescent="0.25">
      <c r="A1" s="26" t="s">
        <v>337</v>
      </c>
      <c r="B1" s="27" t="s">
        <v>338</v>
      </c>
      <c r="C1" s="27" t="s">
        <v>339</v>
      </c>
      <c r="D1" s="28" t="s">
        <v>319</v>
      </c>
      <c r="E1" s="29" t="s">
        <v>322</v>
      </c>
      <c r="F1" s="28" t="s">
        <v>321</v>
      </c>
      <c r="G1" s="28" t="s">
        <v>322</v>
      </c>
      <c r="H1" s="28" t="s">
        <v>323</v>
      </c>
      <c r="I1" s="28" t="s">
        <v>322</v>
      </c>
      <c r="J1" s="28" t="s">
        <v>340</v>
      </c>
      <c r="K1" s="28" t="s">
        <v>341</v>
      </c>
      <c r="L1" s="28" t="s">
        <v>342</v>
      </c>
      <c r="M1" s="28" t="s">
        <v>343</v>
      </c>
      <c r="N1" s="30" t="s">
        <v>344</v>
      </c>
      <c r="O1" s="28" t="s">
        <v>345</v>
      </c>
      <c r="P1" s="28" t="s">
        <v>346</v>
      </c>
      <c r="Q1" s="28" t="s">
        <v>347</v>
      </c>
      <c r="R1" s="28" t="s">
        <v>348</v>
      </c>
      <c r="S1" s="45" t="s">
        <v>332</v>
      </c>
      <c r="T1" s="27" t="s">
        <v>337</v>
      </c>
      <c r="U1" s="27" t="s">
        <v>338</v>
      </c>
      <c r="V1" s="27" t="s">
        <v>339</v>
      </c>
      <c r="W1" s="28" t="s">
        <v>319</v>
      </c>
      <c r="X1" s="29" t="s">
        <v>322</v>
      </c>
      <c r="Y1" s="28" t="s">
        <v>321</v>
      </c>
      <c r="Z1" s="28" t="s">
        <v>322</v>
      </c>
      <c r="AA1" s="28" t="s">
        <v>323</v>
      </c>
      <c r="AB1" s="28" t="s">
        <v>322</v>
      </c>
      <c r="AC1" s="28" t="s">
        <v>340</v>
      </c>
      <c r="AD1" s="28" t="s">
        <v>341</v>
      </c>
      <c r="AE1" s="28" t="s">
        <v>342</v>
      </c>
      <c r="AF1" s="28" t="s">
        <v>343</v>
      </c>
      <c r="AG1" s="30" t="s">
        <v>344</v>
      </c>
      <c r="AH1" s="28" t="s">
        <v>345</v>
      </c>
      <c r="AI1" s="28" t="s">
        <v>346</v>
      </c>
      <c r="AJ1" s="28" t="s">
        <v>347</v>
      </c>
      <c r="AK1" s="28" t="s">
        <v>348</v>
      </c>
      <c r="AL1" s="45" t="s">
        <v>332</v>
      </c>
    </row>
    <row r="2" spans="1:38" x14ac:dyDescent="0.25">
      <c r="A2" s="26" t="s">
        <v>37</v>
      </c>
      <c r="B2" s="27" t="s">
        <v>1043</v>
      </c>
      <c r="C2" s="27" t="s">
        <v>391</v>
      </c>
      <c r="D2" s="29">
        <v>66.619339999999994</v>
      </c>
      <c r="E2" s="29">
        <v>-2.6892330000000002</v>
      </c>
      <c r="F2" s="29">
        <v>156.29419999999999</v>
      </c>
      <c r="G2" s="29">
        <v>85.274520283190228</v>
      </c>
      <c r="H2" s="29">
        <v>59.287210000000002</v>
      </c>
      <c r="I2" s="29">
        <v>-11.660132600880111</v>
      </c>
      <c r="J2" s="29">
        <v>-8.3390109999999993</v>
      </c>
      <c r="K2" s="29">
        <v>11.66549</v>
      </c>
      <c r="L2" s="29">
        <v>-15.980259999999999</v>
      </c>
      <c r="M2" s="29">
        <v>-28.687069999999999</v>
      </c>
      <c r="N2" s="29">
        <v>-15.980259999999999</v>
      </c>
      <c r="O2" s="29">
        <v>-55.275649999999999</v>
      </c>
      <c r="P2" s="29">
        <v>145.98632805927761</v>
      </c>
      <c r="Q2" s="29">
        <v>10.539487024988267</v>
      </c>
      <c r="R2" s="29" t="s">
        <v>355</v>
      </c>
      <c r="S2" s="45" t="s">
        <v>349</v>
      </c>
      <c r="T2" s="27" t="s">
        <v>246</v>
      </c>
      <c r="U2" s="27" t="s">
        <v>1012</v>
      </c>
      <c r="V2" s="27" t="s">
        <v>1013</v>
      </c>
      <c r="W2" s="29">
        <v>22822.23</v>
      </c>
      <c r="X2" s="29">
        <v>1.120995</v>
      </c>
      <c r="Y2" s="29">
        <v>23687.41015625</v>
      </c>
      <c r="Z2" s="29">
        <v>3.7208629002840268</v>
      </c>
      <c r="AA2" s="29">
        <v>19644.58984375</v>
      </c>
      <c r="AB2" s="29">
        <v>-14.993308656833037</v>
      </c>
      <c r="AC2" s="29">
        <v>8.1018279999999994</v>
      </c>
      <c r="AD2" s="29">
        <v>4.158595</v>
      </c>
      <c r="AE2" s="29">
        <v>-1.9317340000000001</v>
      </c>
      <c r="AF2" s="29">
        <v>1.8674059999999999</v>
      </c>
      <c r="AG2" s="29">
        <v>-1.9317340000000001</v>
      </c>
      <c r="AH2" s="29">
        <v>6.2715500000000004</v>
      </c>
      <c r="AI2" s="29" t="s">
        <v>355</v>
      </c>
      <c r="AJ2" s="29" t="s">
        <v>355</v>
      </c>
      <c r="AK2" s="29" t="s">
        <v>355</v>
      </c>
      <c r="AL2" s="45" t="s">
        <v>349</v>
      </c>
    </row>
    <row r="3" spans="1:38" x14ac:dyDescent="0.25">
      <c r="A3" s="26" t="s">
        <v>57</v>
      </c>
      <c r="B3" s="27" t="s">
        <v>1039</v>
      </c>
      <c r="C3" s="27" t="s">
        <v>1040</v>
      </c>
      <c r="D3" s="29">
        <v>1206334</v>
      </c>
      <c r="E3" s="29">
        <v>-0.10169250000000001</v>
      </c>
      <c r="F3" s="29">
        <v>1912998</v>
      </c>
      <c r="G3" s="29">
        <v>46.108563642706947</v>
      </c>
      <c r="H3" s="29">
        <v>971926.375</v>
      </c>
      <c r="I3" s="29">
        <v>-21.60612318275296</v>
      </c>
      <c r="J3" s="29">
        <v>-7.4709560000000002</v>
      </c>
      <c r="K3" s="29">
        <v>13.42235</v>
      </c>
      <c r="L3" s="29">
        <v>-31.427790000000002</v>
      </c>
      <c r="M3" s="29">
        <v>-13.703530000000001</v>
      </c>
      <c r="N3" s="29">
        <v>-31.427790000000002</v>
      </c>
      <c r="O3" s="29">
        <v>-20.707750000000001</v>
      </c>
      <c r="P3" s="29">
        <v>38.68367039811713</v>
      </c>
      <c r="Q3" s="29">
        <v>4.2046109838184318</v>
      </c>
      <c r="R3" s="29">
        <v>5.0925043910030361</v>
      </c>
      <c r="S3" s="45">
        <v>2.5751671370025511E-2</v>
      </c>
      <c r="T3" s="27" t="s">
        <v>244</v>
      </c>
      <c r="U3" s="27" t="s">
        <v>1016</v>
      </c>
      <c r="V3" s="27" t="s">
        <v>1013</v>
      </c>
      <c r="W3" s="29">
        <v>11571.2</v>
      </c>
      <c r="X3" s="29">
        <v>1.1450849999999999</v>
      </c>
      <c r="Y3" s="29">
        <v>12103.05</v>
      </c>
      <c r="Z3" s="29">
        <v>4.4938234619461044</v>
      </c>
      <c r="AA3" s="29">
        <v>10004.549999999999</v>
      </c>
      <c r="AB3" s="29">
        <v>-14.547926282267731</v>
      </c>
      <c r="AC3" s="29">
        <v>8.0935670000000002</v>
      </c>
      <c r="AD3" s="29">
        <v>4.1948299999999996</v>
      </c>
      <c r="AE3" s="29">
        <v>-2.2830590000000002</v>
      </c>
      <c r="AF3" s="29">
        <v>1.1022270000000001</v>
      </c>
      <c r="AG3" s="29">
        <v>-2.2830590000000002</v>
      </c>
      <c r="AH3" s="29">
        <v>5.4078590000000002</v>
      </c>
      <c r="AI3" s="29">
        <v>26.40574457835578</v>
      </c>
      <c r="AJ3" s="29">
        <v>17.891400065209098</v>
      </c>
      <c r="AK3" s="29">
        <v>24.490620926065429</v>
      </c>
      <c r="AL3" s="45">
        <v>0.77507092303661429</v>
      </c>
    </row>
    <row r="4" spans="1:38" x14ac:dyDescent="0.25">
      <c r="A4" s="26" t="s">
        <v>55</v>
      </c>
      <c r="B4" s="27" t="s">
        <v>1041</v>
      </c>
      <c r="C4" s="27" t="s">
        <v>1040</v>
      </c>
      <c r="D4" s="29">
        <v>28168.02</v>
      </c>
      <c r="E4" s="29">
        <v>-0.15734210000000001</v>
      </c>
      <c r="F4" s="29">
        <v>44470.76171875</v>
      </c>
      <c r="G4" s="29">
        <v>45.664464132065007</v>
      </c>
      <c r="H4" s="29">
        <v>22484.400000000001</v>
      </c>
      <c r="I4" s="29">
        <v>-22.536555646773007</v>
      </c>
      <c r="J4" s="29">
        <v>-7.38591</v>
      </c>
      <c r="K4" s="29">
        <v>14.399649999999999</v>
      </c>
      <c r="L4" s="29">
        <v>-31.51202</v>
      </c>
      <c r="M4" s="29">
        <v>-12.45284</v>
      </c>
      <c r="N4" s="29">
        <v>-31.51202</v>
      </c>
      <c r="O4" s="29">
        <v>-16.29448</v>
      </c>
      <c r="P4" s="29">
        <v>263.26679566112466</v>
      </c>
      <c r="Q4" s="29">
        <v>3.7169773465656961</v>
      </c>
      <c r="R4" s="29">
        <v>4.4225980381988794</v>
      </c>
      <c r="S4" s="45">
        <v>2.7186329630869278E-3</v>
      </c>
      <c r="T4" s="27" t="s">
        <v>313</v>
      </c>
      <c r="U4" s="27" t="s">
        <v>1014</v>
      </c>
      <c r="V4" s="27" t="s">
        <v>1013</v>
      </c>
      <c r="W4" s="29">
        <v>11708.22</v>
      </c>
      <c r="X4" s="29">
        <v>1.1527639999999999</v>
      </c>
      <c r="Y4" s="29">
        <v>12224.08</v>
      </c>
      <c r="Z4" s="29">
        <v>4.3116617681718514</v>
      </c>
      <c r="AA4" s="29">
        <v>10233.129999999999</v>
      </c>
      <c r="AB4" s="29">
        <v>-13.466066320285282</v>
      </c>
      <c r="AC4" s="29">
        <v>8.0669319999999995</v>
      </c>
      <c r="AD4" s="29">
        <v>4.5100559999999996</v>
      </c>
      <c r="AE4" s="29">
        <v>-2.1384910000000001</v>
      </c>
      <c r="AF4" s="29">
        <v>0.77820310000000004</v>
      </c>
      <c r="AG4" s="29">
        <v>-2.1384910000000001</v>
      </c>
      <c r="AH4" s="29">
        <v>4.4593280000000002</v>
      </c>
      <c r="AI4" s="29">
        <v>27.721099723795867</v>
      </c>
      <c r="AJ4" s="29">
        <v>17.504071468437338</v>
      </c>
      <c r="AK4" s="29">
        <v>24.985037800907119</v>
      </c>
      <c r="AL4" s="45">
        <v>0.73220570066900181</v>
      </c>
    </row>
    <row r="5" spans="1:38" x14ac:dyDescent="0.25">
      <c r="A5" s="26" t="s">
        <v>56</v>
      </c>
      <c r="B5" s="27" t="s">
        <v>1042</v>
      </c>
      <c r="C5" s="27" t="s">
        <v>1040</v>
      </c>
      <c r="D5" s="29">
        <v>24643.45</v>
      </c>
      <c r="E5" s="29">
        <v>-5.8439779999999997E-2</v>
      </c>
      <c r="F5" s="29">
        <v>39737.94140625</v>
      </c>
      <c r="G5" s="29">
        <v>47.77952891303466</v>
      </c>
      <c r="H5" s="29">
        <v>19555.63</v>
      </c>
      <c r="I5" s="29">
        <v>-23.124792058485902</v>
      </c>
      <c r="J5" s="29">
        <v>-7.202858</v>
      </c>
      <c r="K5" s="29">
        <v>14.49879</v>
      </c>
      <c r="L5" s="29">
        <v>-32.416580000000003</v>
      </c>
      <c r="M5" s="29">
        <v>-13.71683</v>
      </c>
      <c r="N5" s="29">
        <v>-32.416580000000003</v>
      </c>
      <c r="O5" s="29">
        <v>-19.884</v>
      </c>
      <c r="P5" s="29">
        <v>223.62623931235223</v>
      </c>
      <c r="Q5" s="29">
        <v>3.4826930011240882</v>
      </c>
      <c r="R5" s="29">
        <v>4.1936271166858665</v>
      </c>
      <c r="S5" s="45">
        <v>3.2294115701974502E-3</v>
      </c>
      <c r="T5" s="27" t="s">
        <v>245</v>
      </c>
      <c r="U5" s="27" t="s">
        <v>1015</v>
      </c>
      <c r="V5" s="27" t="s">
        <v>1013</v>
      </c>
      <c r="W5" s="29">
        <v>38989.74</v>
      </c>
      <c r="X5" s="29">
        <v>1.0266489999999999</v>
      </c>
      <c r="Y5" s="29">
        <v>40312.0703125</v>
      </c>
      <c r="Z5" s="29">
        <v>3.3352400988690549</v>
      </c>
      <c r="AA5" s="29">
        <v>33291.578125</v>
      </c>
      <c r="AB5" s="29">
        <v>-15.799407875544114</v>
      </c>
      <c r="AC5" s="29">
        <v>8.0243640000000003</v>
      </c>
      <c r="AD5" s="29">
        <v>3.5824210000000001</v>
      </c>
      <c r="AE5" s="29">
        <v>-1.5072639999999999</v>
      </c>
      <c r="AF5" s="29">
        <v>2.247036</v>
      </c>
      <c r="AG5" s="29">
        <v>-1.5072639999999999</v>
      </c>
      <c r="AH5" s="29">
        <v>7.3382709999999998</v>
      </c>
      <c r="AI5" s="29">
        <v>28.809337653028177</v>
      </c>
      <c r="AJ5" s="29">
        <v>16.981041198862105</v>
      </c>
      <c r="AK5" s="29">
        <v>26.988781162693037</v>
      </c>
      <c r="AL5" s="45">
        <v>0.84608464140295392</v>
      </c>
    </row>
    <row r="6" spans="1:38" x14ac:dyDescent="0.25">
      <c r="A6" s="26" t="s">
        <v>204</v>
      </c>
      <c r="B6" s="27" t="s">
        <v>1001</v>
      </c>
      <c r="C6" s="27" t="s">
        <v>1002</v>
      </c>
      <c r="D6" s="29">
        <v>1270.0160000000001</v>
      </c>
      <c r="E6" s="29">
        <v>1.447567</v>
      </c>
      <c r="F6" s="29">
        <v>1467.13</v>
      </c>
      <c r="G6" s="29">
        <v>14.427861264190737</v>
      </c>
      <c r="H6" s="29">
        <v>1186.7190000000001</v>
      </c>
      <c r="I6" s="29">
        <v>-6.7837142469338367</v>
      </c>
      <c r="J6" s="29">
        <v>-6.3478490000000001</v>
      </c>
      <c r="K6" s="29">
        <v>-5.0260740000000004</v>
      </c>
      <c r="L6" s="29">
        <v>-5.6982049999999997</v>
      </c>
      <c r="M6" s="29">
        <v>-10.13705</v>
      </c>
      <c r="N6" s="29">
        <v>-5.6982049999999997</v>
      </c>
      <c r="O6" s="29">
        <v>-8.4119989999999998</v>
      </c>
      <c r="P6" s="29">
        <v>35.692548087362262</v>
      </c>
      <c r="Q6" s="29">
        <v>10.273782508219641</v>
      </c>
      <c r="R6" s="29">
        <v>12.014525936911884</v>
      </c>
      <c r="S6" s="45">
        <v>6.8482610741750979E-2</v>
      </c>
      <c r="T6" s="27" t="s">
        <v>312</v>
      </c>
      <c r="U6" s="27" t="s">
        <v>1017</v>
      </c>
      <c r="V6" s="27" t="s">
        <v>1013</v>
      </c>
      <c r="W6" s="29">
        <v>4845.87</v>
      </c>
      <c r="X6" s="29">
        <v>1.1370400000000001</v>
      </c>
      <c r="Y6" s="29">
        <v>5061.7</v>
      </c>
      <c r="Z6" s="29">
        <v>4.3575599468030983</v>
      </c>
      <c r="AA6" s="29">
        <v>4254.63</v>
      </c>
      <c r="AB6" s="29">
        <v>-13.011899406339051</v>
      </c>
      <c r="AC6" s="29">
        <v>7.9195859999999998</v>
      </c>
      <c r="AD6" s="29">
        <v>4.6472800000000003</v>
      </c>
      <c r="AE6" s="29">
        <v>-2.0405060000000002</v>
      </c>
      <c r="AF6" s="29">
        <v>0.37783</v>
      </c>
      <c r="AG6" s="29">
        <v>-2.0405060000000002</v>
      </c>
      <c r="AH6" s="29">
        <v>3.837774</v>
      </c>
      <c r="AI6" s="29">
        <v>28.807248343081703</v>
      </c>
      <c r="AJ6" s="29">
        <v>18.032525683205531</v>
      </c>
      <c r="AK6" s="29">
        <v>27.2347598055395</v>
      </c>
      <c r="AL6" s="45">
        <v>0.8540576321840776</v>
      </c>
    </row>
    <row r="7" spans="1:38" x14ac:dyDescent="0.25">
      <c r="A7" s="26" t="s">
        <v>205</v>
      </c>
      <c r="B7" s="27" t="s">
        <v>1038</v>
      </c>
      <c r="C7" s="27" t="s">
        <v>1002</v>
      </c>
      <c r="D7" s="29">
        <v>13857.12</v>
      </c>
      <c r="E7" s="29">
        <v>1.9309860000000001</v>
      </c>
      <c r="F7" s="29">
        <v>15321.23046875</v>
      </c>
      <c r="G7" s="29">
        <v>10.044029892849496</v>
      </c>
      <c r="H7" s="29">
        <v>12076.83</v>
      </c>
      <c r="I7" s="29">
        <v>-13.751043911147029</v>
      </c>
      <c r="J7" s="29">
        <v>-6.0028899999999998</v>
      </c>
      <c r="K7" s="29">
        <v>-2.9851220000000001</v>
      </c>
      <c r="L7" s="29">
        <v>-1.7277119999999999</v>
      </c>
      <c r="M7" s="29">
        <v>-4.7925550000000001</v>
      </c>
      <c r="N7" s="29">
        <v>-1.7277119999999999</v>
      </c>
      <c r="O7" s="29">
        <v>-5.2983799999999999</v>
      </c>
      <c r="P7" s="29">
        <v>50.105007952907876</v>
      </c>
      <c r="Q7" s="29">
        <v>11.146335445248754</v>
      </c>
      <c r="R7" s="29">
        <v>11.727366568594881</v>
      </c>
      <c r="S7" s="45">
        <v>1.49140380291936E-2</v>
      </c>
      <c r="T7" s="27" t="s">
        <v>311</v>
      </c>
      <c r="U7" s="27" t="s">
        <v>1018</v>
      </c>
      <c r="V7" s="27" t="s">
        <v>1013</v>
      </c>
      <c r="W7" s="29">
        <v>14981.24</v>
      </c>
      <c r="X7" s="29">
        <v>1.09256</v>
      </c>
      <c r="Y7" s="29">
        <v>15742.11</v>
      </c>
      <c r="Z7" s="29">
        <v>4.9540535672833013</v>
      </c>
      <c r="AA7" s="29">
        <v>13287.3</v>
      </c>
      <c r="AB7" s="29">
        <v>-11.999005988486152</v>
      </c>
      <c r="AC7" s="29">
        <v>7.7732000000000001</v>
      </c>
      <c r="AD7" s="29">
        <v>4.7453120000000002</v>
      </c>
      <c r="AE7" s="29">
        <v>-2.4052060000000002</v>
      </c>
      <c r="AF7" s="29">
        <v>-0.50665709999999997</v>
      </c>
      <c r="AG7" s="29">
        <v>-2.4052060000000002</v>
      </c>
      <c r="AH7" s="29">
        <v>2.6757230000000001</v>
      </c>
      <c r="AI7" s="29">
        <v>29.401156881692405</v>
      </c>
      <c r="AJ7" s="29">
        <v>18.580507581822886</v>
      </c>
      <c r="AK7" s="29">
        <v>28.015577084536154</v>
      </c>
      <c r="AL7" s="45">
        <v>0.87195040161102366</v>
      </c>
    </row>
    <row r="8" spans="1:38" x14ac:dyDescent="0.25">
      <c r="A8" s="26" t="s">
        <v>289</v>
      </c>
      <c r="B8" s="27" t="s">
        <v>1162</v>
      </c>
      <c r="C8" s="27" t="s">
        <v>384</v>
      </c>
      <c r="D8" s="29">
        <v>1623.7909999999999</v>
      </c>
      <c r="E8" s="29">
        <v>-2.9208210000000001</v>
      </c>
      <c r="F8" s="29">
        <v>1792.028</v>
      </c>
      <c r="G8" s="29">
        <v>9.8584400554322578</v>
      </c>
      <c r="H8" s="29">
        <v>1184.9069999999999</v>
      </c>
      <c r="I8" s="29">
        <v>-31.509924838170676</v>
      </c>
      <c r="J8" s="29">
        <v>-4.7964450000000003</v>
      </c>
      <c r="K8" s="29">
        <v>-0.26594810000000002</v>
      </c>
      <c r="L8" s="29">
        <v>6.4610640000000004</v>
      </c>
      <c r="M8" s="29">
        <v>-0.85371620000000004</v>
      </c>
      <c r="N8" s="29">
        <v>6.4610640000000004</v>
      </c>
      <c r="O8" s="29">
        <v>15.95534</v>
      </c>
      <c r="P8" s="29">
        <v>135.93311620225549</v>
      </c>
      <c r="Q8" s="29">
        <v>32.815617978136615</v>
      </c>
      <c r="R8" s="29">
        <v>68.392174751941027</v>
      </c>
      <c r="S8" s="45">
        <v>0.34500989052780534</v>
      </c>
      <c r="T8" s="27" t="s">
        <v>192</v>
      </c>
      <c r="U8" s="27" t="s">
        <v>385</v>
      </c>
      <c r="V8" s="27" t="s">
        <v>386</v>
      </c>
      <c r="W8" s="29">
        <v>4348.6099999999997</v>
      </c>
      <c r="X8" s="29">
        <v>-7.5599159999999999E-2</v>
      </c>
      <c r="Y8" s="29">
        <v>4368.3999999999996</v>
      </c>
      <c r="Z8" s="29">
        <v>0.45405555345861304</v>
      </c>
      <c r="AA8" s="29">
        <v>3261.2</v>
      </c>
      <c r="AB8" s="29">
        <v>-28.776102800023139</v>
      </c>
      <c r="AC8" s="29">
        <v>4.8825799999999999</v>
      </c>
      <c r="AD8" s="29">
        <v>9.0254209999999997</v>
      </c>
      <c r="AE8" s="29">
        <v>14.34262</v>
      </c>
      <c r="AF8" s="29">
        <v>18.748940000000001</v>
      </c>
      <c r="AG8" s="29">
        <v>14.34262</v>
      </c>
      <c r="AH8" s="29">
        <v>24.438700000000001</v>
      </c>
      <c r="AI8" s="29">
        <v>13.691937825473449</v>
      </c>
      <c r="AJ8" s="29">
        <v>3.4388273673845271</v>
      </c>
      <c r="AK8" s="29">
        <v>13.681586834998988</v>
      </c>
      <c r="AL8" s="45">
        <v>0.99899045362704597</v>
      </c>
    </row>
    <row r="9" spans="1:38" x14ac:dyDescent="0.25">
      <c r="A9" s="26" t="s">
        <v>291</v>
      </c>
      <c r="B9" s="27" t="s">
        <v>1163</v>
      </c>
      <c r="C9" s="27" t="s">
        <v>384</v>
      </c>
      <c r="D9" s="29">
        <v>8936.7739999999994</v>
      </c>
      <c r="E9" s="29">
        <v>-2.395899</v>
      </c>
      <c r="F9" s="29">
        <v>10428.959999999999</v>
      </c>
      <c r="G9" s="29">
        <v>15.441187772140594</v>
      </c>
      <c r="H9" s="29">
        <v>7112.15</v>
      </c>
      <c r="I9" s="29">
        <v>-22.837008484869777</v>
      </c>
      <c r="J9" s="29">
        <v>-4.5109149999999998</v>
      </c>
      <c r="K9" s="29">
        <v>9.6826670000000007E-3</v>
      </c>
      <c r="L9" s="29">
        <v>0.51277539999999999</v>
      </c>
      <c r="M9" s="29">
        <v>-6.919441</v>
      </c>
      <c r="N9" s="29">
        <v>0.51277539999999999</v>
      </c>
      <c r="O9" s="29">
        <v>5.8979730000000004</v>
      </c>
      <c r="P9" s="29" t="s">
        <v>355</v>
      </c>
      <c r="Q9" s="29" t="s">
        <v>355</v>
      </c>
      <c r="R9" s="29" t="s">
        <v>355</v>
      </c>
      <c r="S9" s="45" t="s">
        <v>349</v>
      </c>
      <c r="T9" s="27" t="s">
        <v>272</v>
      </c>
      <c r="U9" s="27" t="s">
        <v>1020</v>
      </c>
      <c r="V9" s="27" t="s">
        <v>375</v>
      </c>
      <c r="W9" s="29">
        <v>886.24</v>
      </c>
      <c r="X9" s="29">
        <v>0.55597160000000001</v>
      </c>
      <c r="Y9" s="29">
        <v>1086.54</v>
      </c>
      <c r="Z9" s="29">
        <v>20.376582019651231</v>
      </c>
      <c r="AA9" s="29">
        <v>749.18</v>
      </c>
      <c r="AB9" s="29">
        <v>-16.800851921266624</v>
      </c>
      <c r="AC9" s="29">
        <v>4.8531779999999998</v>
      </c>
      <c r="AD9" s="29">
        <v>3.941919</v>
      </c>
      <c r="AE9" s="29">
        <v>-0.1622209</v>
      </c>
      <c r="AF9" s="29">
        <v>-7.7909110000000004</v>
      </c>
      <c r="AG9" s="29">
        <v>-0.1622209</v>
      </c>
      <c r="AH9" s="29">
        <v>-16.964310000000001</v>
      </c>
      <c r="AI9" s="29">
        <v>2039.9219068287155</v>
      </c>
      <c r="AJ9" s="29">
        <v>53.336317183245683</v>
      </c>
      <c r="AK9" s="29" t="s">
        <v>355</v>
      </c>
      <c r="AL9" s="45" t="s">
        <v>349</v>
      </c>
    </row>
    <row r="10" spans="1:38" x14ac:dyDescent="0.25">
      <c r="A10" s="26" t="s">
        <v>283</v>
      </c>
      <c r="B10" s="27" t="s">
        <v>1164</v>
      </c>
      <c r="C10" s="27" t="s">
        <v>384</v>
      </c>
      <c r="D10" s="29">
        <v>1671.1030000000001</v>
      </c>
      <c r="E10" s="29">
        <v>-2.5107620000000002</v>
      </c>
      <c r="F10" s="29">
        <v>1881.65</v>
      </c>
      <c r="G10" s="29">
        <v>11.866516404807225</v>
      </c>
      <c r="H10" s="29">
        <v>1267.2739999999999</v>
      </c>
      <c r="I10" s="29">
        <v>-27.661575061262724</v>
      </c>
      <c r="J10" s="29">
        <v>-4.4865740000000001</v>
      </c>
      <c r="K10" s="29">
        <v>0.1220435</v>
      </c>
      <c r="L10" s="29">
        <v>1.2884279999999999</v>
      </c>
      <c r="M10" s="29">
        <v>-3.432134</v>
      </c>
      <c r="N10" s="29">
        <v>1.2884279999999999</v>
      </c>
      <c r="O10" s="29">
        <v>11.806839999999999</v>
      </c>
      <c r="P10" s="29">
        <v>74.637825541688784</v>
      </c>
      <c r="Q10" s="29">
        <v>20.045125117181318</v>
      </c>
      <c r="R10" s="29">
        <v>34.642594829553808</v>
      </c>
      <c r="S10" s="45">
        <v>0.26738867282372919</v>
      </c>
      <c r="T10" s="27" t="s">
        <v>70</v>
      </c>
      <c r="U10" s="27" t="s">
        <v>1044</v>
      </c>
      <c r="V10" s="27" t="s">
        <v>1045</v>
      </c>
      <c r="W10" s="29">
        <v>50027.58</v>
      </c>
      <c r="X10" s="29">
        <v>-0.83014909999999997</v>
      </c>
      <c r="Y10" s="29">
        <v>66458.15625</v>
      </c>
      <c r="Z10" s="29">
        <v>28.399806693786019</v>
      </c>
      <c r="AA10" s="29">
        <v>310.43509999999998</v>
      </c>
      <c r="AB10" s="29">
        <v>-508.23548705220026</v>
      </c>
      <c r="AC10" s="29">
        <v>4.0912750000000004</v>
      </c>
      <c r="AD10" s="29">
        <v>3.0632670000000002</v>
      </c>
      <c r="AE10" s="29">
        <v>189.22909999999999</v>
      </c>
      <c r="AF10" s="29">
        <v>458.27190000000002</v>
      </c>
      <c r="AG10" s="29">
        <v>189.22909999999999</v>
      </c>
      <c r="AH10" s="29">
        <v>15489.77</v>
      </c>
      <c r="AI10" s="29">
        <v>4405.0622289245784</v>
      </c>
      <c r="AJ10" s="29">
        <v>0.90770329664959359</v>
      </c>
      <c r="AK10" s="29" t="s">
        <v>355</v>
      </c>
      <c r="AL10" s="45" t="s">
        <v>349</v>
      </c>
    </row>
    <row r="11" spans="1:38" x14ac:dyDescent="0.25">
      <c r="A11" s="26" t="s">
        <v>238</v>
      </c>
      <c r="B11" s="27" t="s">
        <v>1165</v>
      </c>
      <c r="C11" s="27" t="s">
        <v>384</v>
      </c>
      <c r="D11" s="29">
        <v>1597.7180000000001</v>
      </c>
      <c r="E11" s="29">
        <v>-2.505109</v>
      </c>
      <c r="F11" s="29">
        <v>1799.096</v>
      </c>
      <c r="G11" s="29">
        <v>11.870795534099459</v>
      </c>
      <c r="H11" s="29">
        <v>1212.229</v>
      </c>
      <c r="I11" s="29">
        <v>-27.611554748921868</v>
      </c>
      <c r="J11" s="29">
        <v>-4.478612</v>
      </c>
      <c r="K11" s="29">
        <v>0.1190015</v>
      </c>
      <c r="L11" s="29">
        <v>1.277989</v>
      </c>
      <c r="M11" s="29">
        <v>-3.4430580000000002</v>
      </c>
      <c r="N11" s="29">
        <v>1.277989</v>
      </c>
      <c r="O11" s="29">
        <v>11.75924</v>
      </c>
      <c r="P11" s="29">
        <v>73.772080269638778</v>
      </c>
      <c r="Q11" s="29">
        <v>20.300427061563415</v>
      </c>
      <c r="R11" s="29">
        <v>34.537977555604286</v>
      </c>
      <c r="S11" s="45">
        <v>0.26626351795479358</v>
      </c>
      <c r="T11" s="27" t="s">
        <v>216</v>
      </c>
      <c r="U11" s="27" t="s">
        <v>1021</v>
      </c>
      <c r="V11" s="27" t="s">
        <v>364</v>
      </c>
      <c r="W11" s="29">
        <v>6222.91</v>
      </c>
      <c r="X11" s="29">
        <v>-0.66326549999999995</v>
      </c>
      <c r="Y11" s="29">
        <v>6799.58</v>
      </c>
      <c r="Z11" s="29">
        <v>8.8623202564067114</v>
      </c>
      <c r="AA11" s="29">
        <v>5141.08984375</v>
      </c>
      <c r="AB11" s="29">
        <v>-19.09725541551207</v>
      </c>
      <c r="AC11" s="29">
        <v>3.5443199999999999</v>
      </c>
      <c r="AD11" s="29">
        <v>-4.6589530000000003</v>
      </c>
      <c r="AE11" s="29">
        <v>-2.1358079999999999</v>
      </c>
      <c r="AF11" s="29">
        <v>4.5652809999999997</v>
      </c>
      <c r="AG11" s="29">
        <v>-2.1358079999999999</v>
      </c>
      <c r="AH11" s="29">
        <v>16.408760000000001</v>
      </c>
      <c r="AI11" s="29">
        <v>17.045780459038927</v>
      </c>
      <c r="AJ11" s="29">
        <v>13.448327360736767</v>
      </c>
      <c r="AK11" s="29">
        <v>15.066211582587098</v>
      </c>
      <c r="AL11" s="45">
        <v>0.44973045586442834</v>
      </c>
    </row>
    <row r="12" spans="1:38" x14ac:dyDescent="0.25">
      <c r="A12" s="26" t="s">
        <v>28</v>
      </c>
      <c r="B12" s="27" t="s">
        <v>1052</v>
      </c>
      <c r="C12" s="27" t="s">
        <v>391</v>
      </c>
      <c r="D12" s="29">
        <v>3143.0050000000001</v>
      </c>
      <c r="E12" s="29">
        <v>-1.9753050000000001</v>
      </c>
      <c r="F12" s="29">
        <v>3865.8829999999998</v>
      </c>
      <c r="G12" s="29">
        <v>20.70107678386416</v>
      </c>
      <c r="H12" s="29">
        <v>2801.1370000000002</v>
      </c>
      <c r="I12" s="29">
        <v>-11.515394246590533</v>
      </c>
      <c r="J12" s="29">
        <v>-4.3709049999999996</v>
      </c>
      <c r="K12" s="29">
        <v>-2.076641</v>
      </c>
      <c r="L12" s="29">
        <v>-6.8050040000000003</v>
      </c>
      <c r="M12" s="29">
        <v>-8.0316700000000001</v>
      </c>
      <c r="N12" s="29">
        <v>-6.8050040000000003</v>
      </c>
      <c r="O12" s="29">
        <v>-17.934190000000001</v>
      </c>
      <c r="P12" s="29">
        <v>69141.109566536077</v>
      </c>
      <c r="Q12" s="29">
        <v>61.077178076076009</v>
      </c>
      <c r="R12" s="29">
        <v>502.17572652995193</v>
      </c>
      <c r="S12" s="45">
        <v>6.3853263121451944E-3</v>
      </c>
      <c r="T12" s="27" t="s">
        <v>185</v>
      </c>
      <c r="U12" s="27" t="s">
        <v>1006</v>
      </c>
      <c r="V12" s="27" t="s">
        <v>1007</v>
      </c>
      <c r="W12" s="29">
        <v>1959.7</v>
      </c>
      <c r="X12" s="29">
        <v>1.2937609999999999</v>
      </c>
      <c r="Y12" s="29">
        <v>1967.53</v>
      </c>
      <c r="Z12" s="29">
        <v>0.39875486666695947</v>
      </c>
      <c r="AA12" s="29">
        <v>1693.82</v>
      </c>
      <c r="AB12" s="29">
        <v>-14.580506709770866</v>
      </c>
      <c r="AC12" s="29">
        <v>3.2965040000000001</v>
      </c>
      <c r="AD12" s="29">
        <v>4.6361980000000003</v>
      </c>
      <c r="AE12" s="29">
        <v>4.3653760000000004</v>
      </c>
      <c r="AF12" s="29">
        <v>9.4712689999999995</v>
      </c>
      <c r="AG12" s="29">
        <v>4.3653760000000004</v>
      </c>
      <c r="AH12" s="29">
        <v>9.6378550000000001</v>
      </c>
      <c r="AI12" s="29">
        <v>60.788672342228629</v>
      </c>
      <c r="AJ12" s="29">
        <v>10.942130670643328</v>
      </c>
      <c r="AK12" s="29">
        <v>16.478690987121546</v>
      </c>
      <c r="AL12" s="45">
        <v>0.11107210512127259</v>
      </c>
    </row>
    <row r="13" spans="1:38" x14ac:dyDescent="0.25">
      <c r="A13" s="26" t="s">
        <v>295</v>
      </c>
      <c r="B13" s="27" t="s">
        <v>1166</v>
      </c>
      <c r="C13" s="27" t="s">
        <v>384</v>
      </c>
      <c r="D13" s="29">
        <v>4970.24</v>
      </c>
      <c r="E13" s="29">
        <v>-2.2954349999999999</v>
      </c>
      <c r="F13" s="29">
        <v>5939.4979999999996</v>
      </c>
      <c r="G13" s="29">
        <v>17.815648933766361</v>
      </c>
      <c r="H13" s="29">
        <v>3948.5590000000002</v>
      </c>
      <c r="I13" s="29">
        <v>-23.011742645401021</v>
      </c>
      <c r="J13" s="29">
        <v>-4.2650730000000001</v>
      </c>
      <c r="K13" s="29">
        <v>0.69115389999999999</v>
      </c>
      <c r="L13" s="29">
        <v>-0.74374039999999997</v>
      </c>
      <c r="M13" s="29">
        <v>-8.7674249999999994</v>
      </c>
      <c r="N13" s="29">
        <v>-0.74374039999999997</v>
      </c>
      <c r="O13" s="29">
        <v>4.5182589999999996</v>
      </c>
      <c r="P13" s="29">
        <v>83.514821200206015</v>
      </c>
      <c r="Q13" s="29">
        <v>15.971197980321469</v>
      </c>
      <c r="R13" s="29">
        <v>27.114234988098108</v>
      </c>
      <c r="S13" s="45">
        <v>0.1649754110984111</v>
      </c>
      <c r="T13" s="27" t="s">
        <v>271</v>
      </c>
      <c r="U13" s="27" t="s">
        <v>1073</v>
      </c>
      <c r="V13" s="27" t="s">
        <v>375</v>
      </c>
      <c r="W13" s="29">
        <v>2166.2800000000002</v>
      </c>
      <c r="X13" s="29">
        <v>0.51317270000000004</v>
      </c>
      <c r="Y13" s="29">
        <v>2179.9499999999998</v>
      </c>
      <c r="Z13" s="29">
        <v>0.62905299892868394</v>
      </c>
      <c r="AA13" s="29">
        <v>1709.7</v>
      </c>
      <c r="AB13" s="29">
        <v>-23.669349424193857</v>
      </c>
      <c r="AC13" s="29">
        <v>2.7525200000000001</v>
      </c>
      <c r="AD13" s="29">
        <v>4.4891769999999998</v>
      </c>
      <c r="AE13" s="29">
        <v>11.876709999999999</v>
      </c>
      <c r="AF13" s="29">
        <v>12.078150000000001</v>
      </c>
      <c r="AG13" s="29">
        <v>11.876709999999999</v>
      </c>
      <c r="AH13" s="29">
        <v>22.060449999999999</v>
      </c>
      <c r="AI13" s="29">
        <v>35.447825651798688</v>
      </c>
      <c r="AJ13" s="29">
        <v>23.947300577048143</v>
      </c>
      <c r="AK13" s="29">
        <v>28.640082982574025</v>
      </c>
      <c r="AL13" s="45">
        <v>0.40804940426841096</v>
      </c>
    </row>
    <row r="14" spans="1:38" x14ac:dyDescent="0.25">
      <c r="A14" s="26" t="s">
        <v>256</v>
      </c>
      <c r="B14" s="27" t="s">
        <v>1062</v>
      </c>
      <c r="C14" s="27" t="s">
        <v>1063</v>
      </c>
      <c r="D14" s="29">
        <v>713.8</v>
      </c>
      <c r="E14" s="29">
        <v>-0.77980570000000005</v>
      </c>
      <c r="F14" s="29">
        <v>879.22</v>
      </c>
      <c r="G14" s="29">
        <v>20.843233972730527</v>
      </c>
      <c r="H14" s="29">
        <v>636.59</v>
      </c>
      <c r="I14" s="29">
        <v>-11.447700478259318</v>
      </c>
      <c r="J14" s="29">
        <v>-4.0294739999999996</v>
      </c>
      <c r="K14" s="29">
        <v>-6.6317870000000001</v>
      </c>
      <c r="L14" s="29">
        <v>-10.103020000000001</v>
      </c>
      <c r="M14" s="29">
        <v>-14.725350000000001</v>
      </c>
      <c r="N14" s="29">
        <v>-10.103020000000001</v>
      </c>
      <c r="O14" s="29">
        <v>-17.95214</v>
      </c>
      <c r="P14" s="29">
        <v>13.732568442669878</v>
      </c>
      <c r="Q14" s="29">
        <v>4.6329314721320349</v>
      </c>
      <c r="R14" s="29" t="s">
        <v>355</v>
      </c>
      <c r="S14" s="45" t="s">
        <v>349</v>
      </c>
      <c r="T14" s="27" t="s">
        <v>223</v>
      </c>
      <c r="U14" s="27" t="s">
        <v>1022</v>
      </c>
      <c r="V14" s="27" t="s">
        <v>1023</v>
      </c>
      <c r="W14" s="29">
        <v>8028.19</v>
      </c>
      <c r="X14" s="29">
        <v>-2.6150989999999999E-2</v>
      </c>
      <c r="Y14" s="29">
        <v>9403.0499999999993</v>
      </c>
      <c r="Z14" s="29">
        <v>15.807500691372772</v>
      </c>
      <c r="AA14" s="29">
        <v>7001.94</v>
      </c>
      <c r="AB14" s="29">
        <v>-13.677184430348291</v>
      </c>
      <c r="AC14" s="29">
        <v>2.646131</v>
      </c>
      <c r="AD14" s="29">
        <v>-3.1060150000000002</v>
      </c>
      <c r="AE14" s="29">
        <v>-8.7354149999999997</v>
      </c>
      <c r="AF14" s="29">
        <v>-8.4201730000000001</v>
      </c>
      <c r="AG14" s="29">
        <v>-8.7354149999999997</v>
      </c>
      <c r="AH14" s="29">
        <v>1.6396379999999999</v>
      </c>
      <c r="AI14" s="29">
        <v>22.341584013149198</v>
      </c>
      <c r="AJ14" s="29">
        <v>12.641008390773274</v>
      </c>
      <c r="AK14" s="29">
        <v>19.948276496158815</v>
      </c>
      <c r="AL14" s="45">
        <v>0.75328190716127841</v>
      </c>
    </row>
    <row r="15" spans="1:38" x14ac:dyDescent="0.25">
      <c r="A15" s="26" t="s">
        <v>288</v>
      </c>
      <c r="B15" s="27" t="s">
        <v>1167</v>
      </c>
      <c r="C15" s="27" t="s">
        <v>384</v>
      </c>
      <c r="D15" s="29">
        <v>9464.8359999999993</v>
      </c>
      <c r="E15" s="29">
        <v>-2.1323620000000001</v>
      </c>
      <c r="F15" s="29">
        <v>10541.1796875</v>
      </c>
      <c r="G15" s="29">
        <v>10.770600414336579</v>
      </c>
      <c r="H15" s="29">
        <v>7011.328125</v>
      </c>
      <c r="I15" s="29">
        <v>-30.005631293244949</v>
      </c>
      <c r="J15" s="29">
        <v>-3.9317150000000001</v>
      </c>
      <c r="K15" s="29">
        <v>0.22937360000000001</v>
      </c>
      <c r="L15" s="29">
        <v>2.439006</v>
      </c>
      <c r="M15" s="29">
        <v>-1.504767</v>
      </c>
      <c r="N15" s="29">
        <v>2.439006</v>
      </c>
      <c r="O15" s="29">
        <v>13.55871</v>
      </c>
      <c r="P15" s="29">
        <v>56.481683793796599</v>
      </c>
      <c r="Q15" s="29">
        <v>13.056044388332204</v>
      </c>
      <c r="R15" s="29">
        <v>23.172644698070435</v>
      </c>
      <c r="S15" s="45">
        <v>0.23296376169109961</v>
      </c>
      <c r="T15" s="27" t="s">
        <v>263</v>
      </c>
      <c r="U15" s="27" t="s">
        <v>1024</v>
      </c>
      <c r="V15" s="27" t="s">
        <v>375</v>
      </c>
      <c r="W15" s="29">
        <v>2030.26</v>
      </c>
      <c r="X15" s="29">
        <v>0.48752479999999998</v>
      </c>
      <c r="Y15" s="29">
        <v>2388.1999999999998</v>
      </c>
      <c r="Z15" s="29">
        <v>16.237608044710868</v>
      </c>
      <c r="AA15" s="29">
        <v>1743.7</v>
      </c>
      <c r="AB15" s="29">
        <v>-15.215457132872748</v>
      </c>
      <c r="AC15" s="29">
        <v>2.546672</v>
      </c>
      <c r="AD15" s="29">
        <v>8.8500409999999992</v>
      </c>
      <c r="AE15" s="29">
        <v>4.41737</v>
      </c>
      <c r="AF15" s="29">
        <v>-7.775986E-2</v>
      </c>
      <c r="AG15" s="29">
        <v>4.41737</v>
      </c>
      <c r="AH15" s="29">
        <v>-13.706569999999999</v>
      </c>
      <c r="AI15" s="29">
        <v>18.991304876334752</v>
      </c>
      <c r="AJ15" s="29">
        <v>12.89511259299154</v>
      </c>
      <c r="AK15" s="29">
        <v>16.756770091751211</v>
      </c>
      <c r="AL15" s="45">
        <v>0.63345401838963977</v>
      </c>
    </row>
    <row r="16" spans="1:38" x14ac:dyDescent="0.25">
      <c r="A16" s="26" t="s">
        <v>294</v>
      </c>
      <c r="B16" s="27" t="s">
        <v>1168</v>
      </c>
      <c r="C16" s="27" t="s">
        <v>384</v>
      </c>
      <c r="D16" s="29">
        <v>5989.6809999999996</v>
      </c>
      <c r="E16" s="29">
        <v>-1.969616</v>
      </c>
      <c r="F16" s="29">
        <v>6739.69</v>
      </c>
      <c r="G16" s="29">
        <v>11.797577451764644</v>
      </c>
      <c r="H16" s="29">
        <v>4527.9539999999997</v>
      </c>
      <c r="I16" s="29">
        <v>-27.976797344484993</v>
      </c>
      <c r="J16" s="29">
        <v>-3.7995800000000002</v>
      </c>
      <c r="K16" s="29">
        <v>0.9513412</v>
      </c>
      <c r="L16" s="29">
        <v>4.7970430000000004</v>
      </c>
      <c r="M16" s="29">
        <v>-3.0096430000000001</v>
      </c>
      <c r="N16" s="29">
        <v>4.7970430000000004</v>
      </c>
      <c r="O16" s="29">
        <v>5.0391690000000002</v>
      </c>
      <c r="P16" s="29">
        <v>63.076008419155855</v>
      </c>
      <c r="Q16" s="29">
        <v>18.033973067966009</v>
      </c>
      <c r="R16" s="29">
        <v>24.238806764719662</v>
      </c>
      <c r="S16" s="45">
        <v>0.13775651229734545</v>
      </c>
      <c r="T16" s="27" t="s">
        <v>317</v>
      </c>
      <c r="U16" s="27" t="s">
        <v>358</v>
      </c>
      <c r="V16" s="27" t="s">
        <v>359</v>
      </c>
      <c r="W16" s="29">
        <v>4968.4690000000001</v>
      </c>
      <c r="X16" s="29">
        <v>0.33790160000000002</v>
      </c>
      <c r="Y16" s="29">
        <v>5992.1</v>
      </c>
      <c r="Z16" s="29">
        <v>18.733019063203965</v>
      </c>
      <c r="AA16" s="29">
        <v>4839.0879999999997</v>
      </c>
      <c r="AB16" s="29">
        <v>-2.6385471140820345</v>
      </c>
      <c r="AC16" s="29">
        <v>2.3163819999999999</v>
      </c>
      <c r="AD16" s="29">
        <v>-4.0596040000000002</v>
      </c>
      <c r="AE16" s="29">
        <v>-8.5004690000000007</v>
      </c>
      <c r="AF16" s="29">
        <v>-9.7050070000000002</v>
      </c>
      <c r="AG16" s="29">
        <v>-8.5004690000000007</v>
      </c>
      <c r="AH16" s="29">
        <v>-7.0078339999999999</v>
      </c>
      <c r="AI16" s="29" t="s">
        <v>355</v>
      </c>
      <c r="AJ16" s="29" t="s">
        <v>355</v>
      </c>
      <c r="AK16" s="29" t="s">
        <v>355</v>
      </c>
      <c r="AL16" s="45" t="s">
        <v>349</v>
      </c>
    </row>
    <row r="17" spans="1:38" x14ac:dyDescent="0.25">
      <c r="A17" s="26" t="s">
        <v>307</v>
      </c>
      <c r="B17" s="27" t="s">
        <v>1169</v>
      </c>
      <c r="C17" s="27" t="s">
        <v>1095</v>
      </c>
      <c r="D17" s="29">
        <v>14659.21</v>
      </c>
      <c r="E17" s="29">
        <v>-0.71756759999999997</v>
      </c>
      <c r="F17" s="29">
        <v>20404.62</v>
      </c>
      <c r="G17" s="29">
        <v>33.069253892229419</v>
      </c>
      <c r="H17" s="29">
        <v>13347.08984375</v>
      </c>
      <c r="I17" s="29">
        <v>-9.3770435024576617</v>
      </c>
      <c r="J17" s="29">
        <v>-3.21814</v>
      </c>
      <c r="K17" s="29">
        <v>1.5490200000000001</v>
      </c>
      <c r="L17" s="29">
        <v>-7.6868970000000001</v>
      </c>
      <c r="M17" s="29">
        <v>-20.55847</v>
      </c>
      <c r="N17" s="29">
        <v>-7.6868970000000001</v>
      </c>
      <c r="O17" s="29">
        <v>-26.269500000000001</v>
      </c>
      <c r="P17" s="29">
        <v>12.464479278955809</v>
      </c>
      <c r="Q17" s="29">
        <v>6.2469932138469257</v>
      </c>
      <c r="R17" s="29">
        <v>6.6442875266208032</v>
      </c>
      <c r="S17" s="45">
        <v>6.3899509964871939E-2</v>
      </c>
      <c r="T17" s="27" t="s">
        <v>2</v>
      </c>
      <c r="U17" s="27" t="s">
        <v>990</v>
      </c>
      <c r="V17" s="27" t="s">
        <v>391</v>
      </c>
      <c r="W17" s="29">
        <v>879.11</v>
      </c>
      <c r="X17" s="29">
        <v>0.52945750000000003</v>
      </c>
      <c r="Y17" s="29">
        <v>881.56</v>
      </c>
      <c r="Z17" s="29">
        <v>0.27830332558929805</v>
      </c>
      <c r="AA17" s="29">
        <v>681.85</v>
      </c>
      <c r="AB17" s="29">
        <v>-25.410033975875468</v>
      </c>
      <c r="AC17" s="29">
        <v>2.2589540000000001</v>
      </c>
      <c r="AD17" s="29">
        <v>4.2674289999999999</v>
      </c>
      <c r="AE17" s="29">
        <v>9.1587519999999998</v>
      </c>
      <c r="AF17" s="29">
        <v>12.16858</v>
      </c>
      <c r="AG17" s="29">
        <v>9.1587519999999998</v>
      </c>
      <c r="AH17" s="29">
        <v>23.774719999999999</v>
      </c>
      <c r="AI17" s="29">
        <v>23.123803488978599</v>
      </c>
      <c r="AJ17" s="29">
        <v>14.745035517914033</v>
      </c>
      <c r="AK17" s="29">
        <v>23.123803488978599</v>
      </c>
      <c r="AL17" s="45">
        <v>1</v>
      </c>
    </row>
    <row r="18" spans="1:38" x14ac:dyDescent="0.25">
      <c r="A18" s="26" t="s">
        <v>242</v>
      </c>
      <c r="B18" s="27" t="s">
        <v>1096</v>
      </c>
      <c r="C18" s="27" t="s">
        <v>374</v>
      </c>
      <c r="D18" s="29">
        <v>628.41999999999996</v>
      </c>
      <c r="E18" s="29">
        <v>0.26485419999999998</v>
      </c>
      <c r="F18" s="29">
        <v>834.29</v>
      </c>
      <c r="G18" s="29">
        <v>28.337233100319281</v>
      </c>
      <c r="H18" s="29">
        <v>540.83000000000004</v>
      </c>
      <c r="I18" s="29">
        <v>-15.010373617392879</v>
      </c>
      <c r="J18" s="29">
        <v>-3.181476</v>
      </c>
      <c r="K18" s="29">
        <v>6.816014</v>
      </c>
      <c r="L18" s="29">
        <v>-9.9955649999999991</v>
      </c>
      <c r="M18" s="29">
        <v>-13.7319</v>
      </c>
      <c r="N18" s="29">
        <v>-9.9955649999999991</v>
      </c>
      <c r="O18" s="29">
        <v>-24.56033</v>
      </c>
      <c r="P18" s="29">
        <v>179.7911197052828</v>
      </c>
      <c r="Q18" s="29">
        <v>7.3313242960340936</v>
      </c>
      <c r="R18" s="29">
        <v>78.343391694643032</v>
      </c>
      <c r="S18" s="45">
        <v>0.41176012780310123</v>
      </c>
      <c r="T18" s="27" t="s">
        <v>222</v>
      </c>
      <c r="U18" s="27" t="s">
        <v>1074</v>
      </c>
      <c r="V18" s="27" t="s">
        <v>1075</v>
      </c>
      <c r="W18" s="29">
        <v>1521.3440000000001</v>
      </c>
      <c r="X18" s="29">
        <v>9.0528220000000006E-2</v>
      </c>
      <c r="Y18" s="29">
        <v>1551.146</v>
      </c>
      <c r="Z18" s="29">
        <v>1.9399857881068794</v>
      </c>
      <c r="AA18" s="29">
        <v>1303.2239999999999</v>
      </c>
      <c r="AB18" s="29">
        <v>-15.47529603582708</v>
      </c>
      <c r="AC18" s="29">
        <v>2.076972</v>
      </c>
      <c r="AD18" s="29">
        <v>-1.01816</v>
      </c>
      <c r="AE18" s="29">
        <v>3.6129630000000001</v>
      </c>
      <c r="AF18" s="29">
        <v>7.6519579999999996</v>
      </c>
      <c r="AG18" s="29">
        <v>3.6129630000000001</v>
      </c>
      <c r="AH18" s="29">
        <v>12.80888</v>
      </c>
      <c r="AI18" s="29">
        <v>12.553293740366076</v>
      </c>
      <c r="AJ18" s="29">
        <v>7.3436336959514987</v>
      </c>
      <c r="AK18" s="29">
        <v>11.398323409872278</v>
      </c>
      <c r="AL18" s="45">
        <v>0.778302169307175</v>
      </c>
    </row>
    <row r="19" spans="1:38" x14ac:dyDescent="0.25">
      <c r="A19" s="26" t="s">
        <v>111</v>
      </c>
      <c r="B19" s="27" t="s">
        <v>1097</v>
      </c>
      <c r="C19" s="27" t="s">
        <v>1061</v>
      </c>
      <c r="D19" s="29">
        <v>3295.78</v>
      </c>
      <c r="E19" s="29">
        <v>0.28267239999999999</v>
      </c>
      <c r="F19" s="29">
        <v>3487.08</v>
      </c>
      <c r="G19" s="29">
        <v>5.6421847540978085</v>
      </c>
      <c r="H19" s="29">
        <v>2727.92</v>
      </c>
      <c r="I19" s="29">
        <v>-18.910344820867351</v>
      </c>
      <c r="J19" s="29">
        <v>-3.1294</v>
      </c>
      <c r="K19" s="29">
        <v>1.7589779999999999</v>
      </c>
      <c r="L19" s="29">
        <v>-0.73788960000000003</v>
      </c>
      <c r="M19" s="29">
        <v>3.4109690000000001</v>
      </c>
      <c r="N19" s="29">
        <v>-0.73788960000000003</v>
      </c>
      <c r="O19" s="29">
        <v>0.54209770000000002</v>
      </c>
      <c r="P19" s="29">
        <v>1738.5696777241008</v>
      </c>
      <c r="Q19" s="29">
        <v>31.032425164024872</v>
      </c>
      <c r="R19" s="29">
        <v>53.50394553416556</v>
      </c>
      <c r="S19" s="45">
        <v>1.316019333484502E-2</v>
      </c>
      <c r="T19" s="27" t="s">
        <v>44</v>
      </c>
      <c r="U19" s="27" t="s">
        <v>398</v>
      </c>
      <c r="V19" s="27" t="s">
        <v>391</v>
      </c>
      <c r="W19" s="29">
        <v>831.11030000000005</v>
      </c>
      <c r="X19" s="29">
        <v>0.42852269999999998</v>
      </c>
      <c r="Y19" s="29">
        <v>833.61779999999999</v>
      </c>
      <c r="Z19" s="29">
        <v>0.30125062421149695</v>
      </c>
      <c r="AA19" s="29">
        <v>646.44709999999998</v>
      </c>
      <c r="AB19" s="29">
        <v>-25.127114804463535</v>
      </c>
      <c r="AC19" s="29">
        <v>1.918388</v>
      </c>
      <c r="AD19" s="29">
        <v>4.8631580000000003</v>
      </c>
      <c r="AE19" s="29">
        <v>9.199446</v>
      </c>
      <c r="AF19" s="29">
        <v>10.899990000000001</v>
      </c>
      <c r="AG19" s="29">
        <v>9.199446</v>
      </c>
      <c r="AH19" s="29">
        <v>25.517410000000002</v>
      </c>
      <c r="AI19" s="29">
        <v>21.636991964976776</v>
      </c>
      <c r="AJ19" s="29">
        <v>14.67255574667594</v>
      </c>
      <c r="AK19" s="29">
        <v>21.636991964976776</v>
      </c>
      <c r="AL19" s="45">
        <v>1</v>
      </c>
    </row>
    <row r="20" spans="1:38" x14ac:dyDescent="0.25">
      <c r="A20" s="26" t="s">
        <v>293</v>
      </c>
      <c r="B20" s="27" t="s">
        <v>1170</v>
      </c>
      <c r="C20" s="27" t="s">
        <v>384</v>
      </c>
      <c r="D20" s="29">
        <v>4180.6769999999997</v>
      </c>
      <c r="E20" s="29">
        <v>-1.604806</v>
      </c>
      <c r="F20" s="29">
        <v>4466.4609375</v>
      </c>
      <c r="G20" s="29">
        <v>6.6123163314592528</v>
      </c>
      <c r="H20" s="29">
        <v>2902.3220000000001</v>
      </c>
      <c r="I20" s="29">
        <v>-36.49620888781245</v>
      </c>
      <c r="J20" s="29">
        <v>-3.0132129999999999</v>
      </c>
      <c r="K20" s="29">
        <v>0.44498569999999998</v>
      </c>
      <c r="L20" s="29">
        <v>4.1306180000000001</v>
      </c>
      <c r="M20" s="29">
        <v>3.9173390000000001</v>
      </c>
      <c r="N20" s="29">
        <v>4.1306180000000001</v>
      </c>
      <c r="O20" s="29">
        <v>19.745699999999999</v>
      </c>
      <c r="P20" s="29">
        <v>35.115021495038818</v>
      </c>
      <c r="Q20" s="29">
        <v>15.001031825549374</v>
      </c>
      <c r="R20" s="29">
        <v>21.032603169187887</v>
      </c>
      <c r="S20" s="45">
        <v>0.29986946611530269</v>
      </c>
      <c r="T20" s="27" t="s">
        <v>269</v>
      </c>
      <c r="U20" s="27" t="s">
        <v>1025</v>
      </c>
      <c r="V20" s="27" t="s">
        <v>375</v>
      </c>
      <c r="W20" s="29">
        <v>154.53</v>
      </c>
      <c r="X20" s="29">
        <v>0.31158710000000001</v>
      </c>
      <c r="Y20" s="29">
        <v>169.25</v>
      </c>
      <c r="Z20" s="29">
        <v>9.0988659546780717</v>
      </c>
      <c r="AA20" s="29">
        <v>127.9</v>
      </c>
      <c r="AB20" s="29">
        <v>-18.913954366080652</v>
      </c>
      <c r="AC20" s="29">
        <v>1.912547</v>
      </c>
      <c r="AD20" s="29">
        <v>6.1842920000000001</v>
      </c>
      <c r="AE20" s="29">
        <v>5.0152939999999999</v>
      </c>
      <c r="AF20" s="29">
        <v>0.27903480000000003</v>
      </c>
      <c r="AG20" s="29">
        <v>5.0152939999999999</v>
      </c>
      <c r="AH20" s="29">
        <v>-6.814209</v>
      </c>
      <c r="AI20" s="29">
        <v>24.809745198699499</v>
      </c>
      <c r="AJ20" s="29">
        <v>13.632604512295977</v>
      </c>
      <c r="AK20" s="29">
        <v>22.726373608757822</v>
      </c>
      <c r="AL20" s="45">
        <v>0.81360424384064489</v>
      </c>
    </row>
    <row r="21" spans="1:38" x14ac:dyDescent="0.25">
      <c r="A21" s="26" t="s">
        <v>172</v>
      </c>
      <c r="B21" s="27" t="s">
        <v>373</v>
      </c>
      <c r="C21" s="27" t="s">
        <v>372</v>
      </c>
      <c r="D21" s="29">
        <v>3720.27</v>
      </c>
      <c r="E21" s="29">
        <v>0.38153009999999998</v>
      </c>
      <c r="F21" s="29">
        <v>4299.3100000000004</v>
      </c>
      <c r="G21" s="29">
        <v>14.465829841096472</v>
      </c>
      <c r="H21" s="29">
        <v>3640.17</v>
      </c>
      <c r="I21" s="29">
        <v>-2.1765862441581305</v>
      </c>
      <c r="J21" s="29">
        <v>-2.709549</v>
      </c>
      <c r="K21" s="29">
        <v>-0.70780639999999995</v>
      </c>
      <c r="L21" s="29">
        <v>-9.2169790000000003</v>
      </c>
      <c r="M21" s="29">
        <v>-11.26877</v>
      </c>
      <c r="N21" s="29">
        <v>-9.2169790000000003</v>
      </c>
      <c r="O21" s="29">
        <v>-11.179790000000001</v>
      </c>
      <c r="P21" s="29">
        <v>60.856805098859219</v>
      </c>
      <c r="Q21" s="29">
        <v>12.342325176466705</v>
      </c>
      <c r="R21" s="29">
        <v>13.093419420212953</v>
      </c>
      <c r="S21" s="45">
        <v>1.5481857065102135E-2</v>
      </c>
      <c r="T21" s="27" t="s">
        <v>318</v>
      </c>
      <c r="U21" s="27" t="s">
        <v>358</v>
      </c>
      <c r="V21" s="27" t="s">
        <v>359</v>
      </c>
      <c r="W21" s="29">
        <v>1768.9469999999999</v>
      </c>
      <c r="X21" s="29">
        <v>0.12633620000000001</v>
      </c>
      <c r="Y21" s="29">
        <v>2061.9920000000002</v>
      </c>
      <c r="Z21" s="29">
        <v>15.328805155961891</v>
      </c>
      <c r="AA21" s="29">
        <v>1723.242</v>
      </c>
      <c r="AB21" s="29">
        <v>-2.6177053917187298</v>
      </c>
      <c r="AC21" s="29">
        <v>1.901896</v>
      </c>
      <c r="AD21" s="29">
        <v>-3.291045</v>
      </c>
      <c r="AE21" s="29">
        <v>-8.1023060000000005</v>
      </c>
      <c r="AF21" s="29">
        <v>-10.148630000000001</v>
      </c>
      <c r="AG21" s="29">
        <v>-8.1023060000000005</v>
      </c>
      <c r="AH21" s="29">
        <v>-6.1481899999999996</v>
      </c>
      <c r="AI21" s="29" t="s">
        <v>355</v>
      </c>
      <c r="AJ21" s="29" t="s">
        <v>355</v>
      </c>
      <c r="AK21" s="29" t="s">
        <v>355</v>
      </c>
      <c r="AL21" s="45" t="s">
        <v>349</v>
      </c>
    </row>
    <row r="22" spans="1:38" x14ac:dyDescent="0.25">
      <c r="A22" s="26" t="s">
        <v>109</v>
      </c>
      <c r="B22" s="27" t="s">
        <v>1071</v>
      </c>
      <c r="C22" s="27" t="s">
        <v>1061</v>
      </c>
      <c r="D22" s="29">
        <v>2815.63</v>
      </c>
      <c r="E22" s="29">
        <v>0.77091290000000001</v>
      </c>
      <c r="F22" s="29">
        <v>2971.04</v>
      </c>
      <c r="G22" s="29">
        <v>5.3726022252497847</v>
      </c>
      <c r="H22" s="29">
        <v>2375.59</v>
      </c>
      <c r="I22" s="29">
        <v>-16.994020992981472</v>
      </c>
      <c r="J22" s="29">
        <v>-2.706671</v>
      </c>
      <c r="K22" s="29">
        <v>2.543898</v>
      </c>
      <c r="L22" s="29">
        <v>-0.7305239</v>
      </c>
      <c r="M22" s="29">
        <v>4.7816640000000001</v>
      </c>
      <c r="N22" s="29">
        <v>-0.7305239</v>
      </c>
      <c r="O22" s="29">
        <v>-0.60962340000000004</v>
      </c>
      <c r="P22" s="29">
        <v>51.058563954047258</v>
      </c>
      <c r="Q22" s="29">
        <v>26.405020094841976</v>
      </c>
      <c r="R22" s="29">
        <v>30.146850444144714</v>
      </c>
      <c r="S22" s="45">
        <v>0.15177657097381528</v>
      </c>
      <c r="T22" s="27" t="s">
        <v>181</v>
      </c>
      <c r="U22" s="27" t="s">
        <v>389</v>
      </c>
      <c r="V22" s="27" t="s">
        <v>390</v>
      </c>
      <c r="W22" s="29">
        <v>9528.24</v>
      </c>
      <c r="X22" s="29">
        <v>0.27108710000000003</v>
      </c>
      <c r="Y22" s="29">
        <v>9557.2999999999993</v>
      </c>
      <c r="Z22" s="29">
        <v>0.30452397424737365</v>
      </c>
      <c r="AA22" s="29">
        <v>6771.68</v>
      </c>
      <c r="AB22" s="29">
        <v>-34.151081089456589</v>
      </c>
      <c r="AC22" s="29">
        <v>1.810268</v>
      </c>
      <c r="AD22" s="29">
        <v>2.9128799999999999</v>
      </c>
      <c r="AE22" s="29">
        <v>8.9023900000000005</v>
      </c>
      <c r="AF22" s="29">
        <v>17.332159999999998</v>
      </c>
      <c r="AG22" s="29">
        <v>8.9023900000000005</v>
      </c>
      <c r="AH22" s="29">
        <v>12.808160000000001</v>
      </c>
      <c r="AI22" s="29">
        <v>18.849199804646144</v>
      </c>
      <c r="AJ22" s="29">
        <v>0.58498704183888939</v>
      </c>
      <c r="AK22" s="29">
        <v>8.15912203358487</v>
      </c>
      <c r="AL22" s="45">
        <v>0.4146981361917631</v>
      </c>
    </row>
    <row r="23" spans="1:38" x14ac:dyDescent="0.25">
      <c r="A23" s="26" t="s">
        <v>136</v>
      </c>
      <c r="B23" s="27" t="s">
        <v>1003</v>
      </c>
      <c r="C23" s="27" t="s">
        <v>392</v>
      </c>
      <c r="D23" s="29">
        <v>4906.45</v>
      </c>
      <c r="E23" s="29">
        <v>0.63604519999999998</v>
      </c>
      <c r="F23" s="29">
        <v>5429.32</v>
      </c>
      <c r="G23" s="29">
        <v>10.126322985236031</v>
      </c>
      <c r="H23" s="29">
        <v>4551.83984375</v>
      </c>
      <c r="I23" s="29">
        <v>-7.5019153554337246</v>
      </c>
      <c r="J23" s="29">
        <v>-2.6482549999999998</v>
      </c>
      <c r="K23" s="29">
        <v>2.0754459999999999</v>
      </c>
      <c r="L23" s="29">
        <v>-3.8469410000000002</v>
      </c>
      <c r="M23" s="29">
        <v>-5.0754590000000004</v>
      </c>
      <c r="N23" s="29">
        <v>-3.8469410000000002</v>
      </c>
      <c r="O23" s="29">
        <v>-9.5463500000000003</v>
      </c>
      <c r="P23" s="29">
        <v>178.02337902317771</v>
      </c>
      <c r="Q23" s="29">
        <v>11.992741938111015</v>
      </c>
      <c r="R23" s="29">
        <v>14.295565661105721</v>
      </c>
      <c r="S23" s="45">
        <v>1.3869872232164246E-2</v>
      </c>
      <c r="T23" s="27" t="s">
        <v>197</v>
      </c>
      <c r="U23" s="27" t="s">
        <v>1079</v>
      </c>
      <c r="V23" s="27" t="s">
        <v>1080</v>
      </c>
      <c r="W23" s="29">
        <v>126298.8</v>
      </c>
      <c r="X23" s="29">
        <v>-0.7466469</v>
      </c>
      <c r="Y23" s="29">
        <v>133621.296875</v>
      </c>
      <c r="Z23" s="29">
        <v>5.6359128021826166</v>
      </c>
      <c r="AA23" s="29">
        <v>104323.8984375</v>
      </c>
      <c r="AB23" s="29">
        <v>-19.115006065218562</v>
      </c>
      <c r="AC23" s="29">
        <v>1.7266170000000001</v>
      </c>
      <c r="AD23" s="29">
        <v>5.7228089999999998</v>
      </c>
      <c r="AE23" s="29">
        <v>5.6705370000000004</v>
      </c>
      <c r="AF23" s="29">
        <v>9.7889569999999999</v>
      </c>
      <c r="AG23" s="29">
        <v>5.6705370000000004</v>
      </c>
      <c r="AH23" s="29">
        <v>1.5590200000000001</v>
      </c>
      <c r="AI23" s="29">
        <v>12.026398292983496</v>
      </c>
      <c r="AJ23" s="29">
        <v>5.4089635523593458</v>
      </c>
      <c r="AK23" s="29">
        <v>7.1749031224572528</v>
      </c>
      <c r="AL23" s="45">
        <v>0.26686165248549854</v>
      </c>
    </row>
    <row r="24" spans="1:38" x14ac:dyDescent="0.25">
      <c r="A24" s="26" t="s">
        <v>276</v>
      </c>
      <c r="B24" s="27" t="s">
        <v>377</v>
      </c>
      <c r="C24" s="27" t="s">
        <v>354</v>
      </c>
      <c r="D24" s="29">
        <v>4155.92</v>
      </c>
      <c r="E24" s="29">
        <v>-8.1984360000000006E-2</v>
      </c>
      <c r="F24" s="29">
        <v>4788.57</v>
      </c>
      <c r="G24" s="29">
        <v>14.16980044556097</v>
      </c>
      <c r="H24" s="29">
        <v>3941.07</v>
      </c>
      <c r="I24" s="29">
        <v>-5.3081563729091998</v>
      </c>
      <c r="J24" s="29">
        <v>-2.5305909999999998</v>
      </c>
      <c r="K24" s="29">
        <v>0.70953080000000002</v>
      </c>
      <c r="L24" s="29">
        <v>-6.5940589999999997</v>
      </c>
      <c r="M24" s="29">
        <v>-8.4155300000000004</v>
      </c>
      <c r="N24" s="29">
        <v>-6.5940589999999997</v>
      </c>
      <c r="O24" s="29">
        <v>-5.7276759999999998</v>
      </c>
      <c r="P24" s="29">
        <v>15.922664350263908</v>
      </c>
      <c r="Q24" s="29">
        <v>8.749214284603271</v>
      </c>
      <c r="R24" s="29">
        <v>9.3936833442217917</v>
      </c>
      <c r="S24" s="45">
        <v>8.9840879035821178E-2</v>
      </c>
      <c r="T24" s="27" t="s">
        <v>196</v>
      </c>
      <c r="U24" s="27" t="s">
        <v>1081</v>
      </c>
      <c r="V24" s="27" t="s">
        <v>1080</v>
      </c>
      <c r="W24" s="29">
        <v>101940.3</v>
      </c>
      <c r="X24" s="29">
        <v>-0.66079770000000004</v>
      </c>
      <c r="Y24" s="29">
        <v>105930.203125</v>
      </c>
      <c r="Z24" s="29">
        <v>3.839306833129303</v>
      </c>
      <c r="AA24" s="29">
        <v>83535.3203125</v>
      </c>
      <c r="AB24" s="29">
        <v>-19.911780764218687</v>
      </c>
      <c r="AC24" s="29">
        <v>1.5961190000000001</v>
      </c>
      <c r="AD24" s="29">
        <v>6.1541180000000004</v>
      </c>
      <c r="AE24" s="29">
        <v>6.6621040000000002</v>
      </c>
      <c r="AF24" s="29">
        <v>10.97941</v>
      </c>
      <c r="AG24" s="29">
        <v>6.6621040000000002</v>
      </c>
      <c r="AH24" s="29">
        <v>1.6367050000000001</v>
      </c>
      <c r="AI24" s="29">
        <v>13.027530347357288</v>
      </c>
      <c r="AJ24" s="29">
        <v>6.1021330373783735</v>
      </c>
      <c r="AK24" s="29">
        <v>8.1426224273480585</v>
      </c>
      <c r="AL24" s="45">
        <v>0.29463860319313545</v>
      </c>
    </row>
    <row r="25" spans="1:38" x14ac:dyDescent="0.25">
      <c r="A25" s="26" t="s">
        <v>20</v>
      </c>
      <c r="B25" s="27" t="s">
        <v>1050</v>
      </c>
      <c r="C25" s="27" t="s">
        <v>391</v>
      </c>
      <c r="D25" s="29">
        <v>6380.2709999999997</v>
      </c>
      <c r="E25" s="29">
        <v>-0.69462559999999995</v>
      </c>
      <c r="F25" s="29">
        <v>6798.9369999999999</v>
      </c>
      <c r="G25" s="29">
        <v>6.3555703489226554</v>
      </c>
      <c r="H25" s="29">
        <v>5039.5680000000002</v>
      </c>
      <c r="I25" s="29">
        <v>-23.58902088197425</v>
      </c>
      <c r="J25" s="29">
        <v>-2.5271430000000001</v>
      </c>
      <c r="K25" s="29">
        <v>0.75108419999999998</v>
      </c>
      <c r="L25" s="29">
        <v>-2.4152439999999999</v>
      </c>
      <c r="M25" s="29">
        <v>2.8560859999999999</v>
      </c>
      <c r="N25" s="29">
        <v>-2.4152439999999999</v>
      </c>
      <c r="O25" s="29">
        <v>-1.978054</v>
      </c>
      <c r="P25" s="29">
        <v>576.94867221981133</v>
      </c>
      <c r="Q25" s="29">
        <v>2.0842595521344922</v>
      </c>
      <c r="R25" s="29">
        <v>32.065199133267676</v>
      </c>
      <c r="S25" s="45">
        <v>5.2153062392583445E-2</v>
      </c>
      <c r="T25" s="27" t="s">
        <v>77</v>
      </c>
      <c r="U25" s="27" t="s">
        <v>370</v>
      </c>
      <c r="V25" s="27" t="s">
        <v>371</v>
      </c>
      <c r="W25" s="29">
        <v>2117.14</v>
      </c>
      <c r="X25" s="29">
        <v>3.5910379999999999E-2</v>
      </c>
      <c r="Y25" s="29">
        <v>2935.06</v>
      </c>
      <c r="Z25" s="29">
        <v>32.666177471720772</v>
      </c>
      <c r="AA25" s="29">
        <v>1914.38</v>
      </c>
      <c r="AB25" s="29">
        <v>-10.067231086408105</v>
      </c>
      <c r="AC25" s="29">
        <v>1.5721719999999999</v>
      </c>
      <c r="AD25" s="29">
        <v>10.303900000000001</v>
      </c>
      <c r="AE25" s="29">
        <v>-3.5787840000000002</v>
      </c>
      <c r="AF25" s="29">
        <v>-1.032619</v>
      </c>
      <c r="AG25" s="29">
        <v>-3.5787840000000002</v>
      </c>
      <c r="AH25" s="29">
        <v>-27.15945</v>
      </c>
      <c r="AI25" s="29">
        <v>9.9606238018755509</v>
      </c>
      <c r="AJ25" s="29">
        <v>2.3475723085271447</v>
      </c>
      <c r="AK25" s="29">
        <v>2.7106932788585345</v>
      </c>
      <c r="AL25" s="45">
        <v>4.7697164619029828E-2</v>
      </c>
    </row>
    <row r="26" spans="1:38" x14ac:dyDescent="0.25">
      <c r="A26" s="26" t="s">
        <v>257</v>
      </c>
      <c r="B26" s="27" t="s">
        <v>1171</v>
      </c>
      <c r="C26" s="27" t="s">
        <v>1172</v>
      </c>
      <c r="D26" s="29">
        <v>18663.740000000002</v>
      </c>
      <c r="E26" s="29">
        <v>-1.765395</v>
      </c>
      <c r="F26" s="29">
        <v>27344.19921875</v>
      </c>
      <c r="G26" s="29">
        <v>38.192180793378007</v>
      </c>
      <c r="H26" s="29">
        <v>18546.609375</v>
      </c>
      <c r="I26" s="29">
        <v>-0.62956147328645928</v>
      </c>
      <c r="J26" s="29">
        <v>-2.5220069999999999</v>
      </c>
      <c r="K26" s="29">
        <v>-3.802988</v>
      </c>
      <c r="L26" s="29">
        <v>-8.4896820000000002</v>
      </c>
      <c r="M26" s="29">
        <v>-10.39842</v>
      </c>
      <c r="N26" s="29">
        <v>-8.4896820000000002</v>
      </c>
      <c r="O26" s="29">
        <v>-7.5011599999999996</v>
      </c>
      <c r="P26" s="29">
        <v>144.62196406247784</v>
      </c>
      <c r="Q26" s="29">
        <v>7.8428010494263365</v>
      </c>
      <c r="R26" s="29">
        <v>8.9730366861570818</v>
      </c>
      <c r="S26" s="45">
        <v>8.2632150382649875E-3</v>
      </c>
      <c r="T26" s="27" t="s">
        <v>198</v>
      </c>
      <c r="U26" s="27" t="s">
        <v>1082</v>
      </c>
      <c r="V26" s="27" t="s">
        <v>1080</v>
      </c>
      <c r="W26" s="29">
        <v>1028.03</v>
      </c>
      <c r="X26" s="29">
        <v>-0.82291429999999999</v>
      </c>
      <c r="Y26" s="29">
        <v>1076.27</v>
      </c>
      <c r="Z26" s="29">
        <v>4.5857010143575279</v>
      </c>
      <c r="AA26" s="29">
        <v>834.13</v>
      </c>
      <c r="AB26" s="29">
        <v>-20.90103629574612</v>
      </c>
      <c r="AC26" s="29">
        <v>1.5649230000000001</v>
      </c>
      <c r="AD26" s="29">
        <v>6.4136160000000002</v>
      </c>
      <c r="AE26" s="29">
        <v>7.0452050000000002</v>
      </c>
      <c r="AF26" s="29">
        <v>11.012370000000001</v>
      </c>
      <c r="AG26" s="29">
        <v>7.0452050000000002</v>
      </c>
      <c r="AH26" s="29">
        <v>2.5394760000000001</v>
      </c>
      <c r="AI26" s="29">
        <v>10.863651915148004</v>
      </c>
      <c r="AJ26" s="29">
        <v>5.5808668939382375</v>
      </c>
      <c r="AK26" s="29">
        <v>7.3542295186694586</v>
      </c>
      <c r="AL26" s="45">
        <v>0.33568706990940889</v>
      </c>
    </row>
    <row r="27" spans="1:38" x14ac:dyDescent="0.25">
      <c r="A27" s="26" t="s">
        <v>180</v>
      </c>
      <c r="B27" s="27" t="s">
        <v>1116</v>
      </c>
      <c r="C27" s="27" t="s">
        <v>367</v>
      </c>
      <c r="D27" s="29">
        <v>4539.82</v>
      </c>
      <c r="E27" s="29">
        <v>-0.52304170000000005</v>
      </c>
      <c r="F27" s="29">
        <v>5493.33</v>
      </c>
      <c r="G27" s="29">
        <v>19.064726532673735</v>
      </c>
      <c r="H27" s="29">
        <v>4451.3599999999997</v>
      </c>
      <c r="I27" s="29">
        <v>-1.9677696226162376</v>
      </c>
      <c r="J27" s="29">
        <v>-2.4718119999999999</v>
      </c>
      <c r="K27" s="29">
        <v>9.766938E-2</v>
      </c>
      <c r="L27" s="29">
        <v>-8.421519</v>
      </c>
      <c r="M27" s="29">
        <v>-13.00544</v>
      </c>
      <c r="N27" s="29">
        <v>-8.421519</v>
      </c>
      <c r="O27" s="29">
        <v>-6.6754379999999998</v>
      </c>
      <c r="P27" s="29">
        <v>22407.499069679201</v>
      </c>
      <c r="Q27" s="29">
        <v>9.4539356321995456</v>
      </c>
      <c r="R27" s="29">
        <v>9.7464215691512557</v>
      </c>
      <c r="S27" s="45">
        <v>1.3058547529538892E-5</v>
      </c>
      <c r="T27" s="27" t="s">
        <v>182</v>
      </c>
      <c r="U27" s="27" t="s">
        <v>352</v>
      </c>
      <c r="V27" s="27" t="s">
        <v>353</v>
      </c>
      <c r="W27" s="29">
        <v>524.87810000000002</v>
      </c>
      <c r="X27" s="29">
        <v>0.30476799999999998</v>
      </c>
      <c r="Y27" s="29">
        <v>608.77890000000002</v>
      </c>
      <c r="Z27" s="29">
        <v>14.828910244752667</v>
      </c>
      <c r="AA27" s="29">
        <v>513.11599999999999</v>
      </c>
      <c r="AB27" s="29">
        <v>-2.2664104688049935</v>
      </c>
      <c r="AC27" s="29">
        <v>1.5328839999999999</v>
      </c>
      <c r="AD27" s="29">
        <v>-0.63537370000000004</v>
      </c>
      <c r="AE27" s="29">
        <v>-3.1313559999999998</v>
      </c>
      <c r="AF27" s="29">
        <v>-8.7777370000000001</v>
      </c>
      <c r="AG27" s="29">
        <v>-3.1313559999999998</v>
      </c>
      <c r="AH27" s="29">
        <v>-2.5852020000000002</v>
      </c>
      <c r="AI27" s="29">
        <v>117.779958214769</v>
      </c>
      <c r="AJ27" s="29">
        <v>2.4762462246971886</v>
      </c>
      <c r="AK27" s="29">
        <v>3.8397827158528561</v>
      </c>
      <c r="AL27" s="45">
        <v>1.182560793249288E-2</v>
      </c>
    </row>
    <row r="28" spans="1:38" x14ac:dyDescent="0.25">
      <c r="A28" s="26" t="s">
        <v>209</v>
      </c>
      <c r="B28" s="27" t="s">
        <v>998</v>
      </c>
      <c r="C28" s="27" t="s">
        <v>999</v>
      </c>
      <c r="D28" s="29">
        <v>1258.78</v>
      </c>
      <c r="E28" s="29">
        <v>1.4376199999999999</v>
      </c>
      <c r="F28" s="29">
        <v>1410.31</v>
      </c>
      <c r="G28" s="29">
        <v>11.366654044638787</v>
      </c>
      <c r="H28" s="29">
        <v>1160.49</v>
      </c>
      <c r="I28" s="29">
        <v>-8.1300668214668015</v>
      </c>
      <c r="J28" s="29">
        <v>-2.4246979999999998</v>
      </c>
      <c r="K28" s="29">
        <v>7.9784179999999996</v>
      </c>
      <c r="L28" s="29">
        <v>-8.5029339999999998</v>
      </c>
      <c r="M28" s="29">
        <v>-3.8467989999999999</v>
      </c>
      <c r="N28" s="29">
        <v>-8.5029339999999998</v>
      </c>
      <c r="O28" s="29">
        <v>-4.2323170000000001</v>
      </c>
      <c r="P28" s="29">
        <v>74.598773117321585</v>
      </c>
      <c r="Q28" s="29">
        <v>8.3139225391248832</v>
      </c>
      <c r="R28" s="29">
        <v>8.8894797301239681</v>
      </c>
      <c r="S28" s="45">
        <v>8.6830880054575375E-3</v>
      </c>
      <c r="T28" s="27" t="s">
        <v>264</v>
      </c>
      <c r="U28" s="27" t="s">
        <v>1027</v>
      </c>
      <c r="V28" s="27" t="s">
        <v>375</v>
      </c>
      <c r="W28" s="29">
        <v>1808.17</v>
      </c>
      <c r="X28" s="29">
        <v>0.20449100000000001</v>
      </c>
      <c r="Y28" s="29">
        <v>2080.19</v>
      </c>
      <c r="Z28" s="29">
        <v>14.014395159682847</v>
      </c>
      <c r="AA28" s="29">
        <v>1603.91</v>
      </c>
      <c r="AB28" s="29">
        <v>-11.987088595401103</v>
      </c>
      <c r="AC28" s="29">
        <v>1.4128039999999999</v>
      </c>
      <c r="AD28" s="29">
        <v>9.6106420000000004</v>
      </c>
      <c r="AE28" s="29">
        <v>4.2629659999999996</v>
      </c>
      <c r="AF28" s="29">
        <v>-1.9191240000000001</v>
      </c>
      <c r="AG28" s="29">
        <v>4.2629659999999996</v>
      </c>
      <c r="AH28" s="29">
        <v>-11.36595</v>
      </c>
      <c r="AI28" s="29">
        <v>23.874900613934983</v>
      </c>
      <c r="AJ28" s="29">
        <v>13.776949970704717</v>
      </c>
      <c r="AK28" s="29">
        <v>15.816220481106759</v>
      </c>
      <c r="AL28" s="45">
        <v>0.20194894810356229</v>
      </c>
    </row>
    <row r="29" spans="1:38" x14ac:dyDescent="0.25">
      <c r="A29" s="26" t="s">
        <v>162</v>
      </c>
      <c r="B29" s="27" t="s">
        <v>1066</v>
      </c>
      <c r="C29" s="27" t="s">
        <v>986</v>
      </c>
      <c r="D29" s="29">
        <v>1256.56</v>
      </c>
      <c r="E29" s="29">
        <v>0.65202420000000005</v>
      </c>
      <c r="F29" s="29">
        <v>1317.58</v>
      </c>
      <c r="G29" s="29">
        <v>4.7418892099909922</v>
      </c>
      <c r="H29" s="29">
        <v>1046.3900000000001</v>
      </c>
      <c r="I29" s="29">
        <v>-18.303168345243037</v>
      </c>
      <c r="J29" s="29">
        <v>-2.3765700000000001</v>
      </c>
      <c r="K29" s="29">
        <v>6.336741</v>
      </c>
      <c r="L29" s="29">
        <v>8.4433179999999997E-2</v>
      </c>
      <c r="M29" s="29">
        <v>4.292694</v>
      </c>
      <c r="N29" s="29">
        <v>8.4433179999999997E-2</v>
      </c>
      <c r="O29" s="29">
        <v>-1.9339059999999999</v>
      </c>
      <c r="P29" s="29">
        <v>23.022336551552222</v>
      </c>
      <c r="Q29" s="29">
        <v>2.3547444516866487</v>
      </c>
      <c r="R29" s="29">
        <v>16.629577345301122</v>
      </c>
      <c r="S29" s="45">
        <v>0.6906867923771014</v>
      </c>
      <c r="T29" s="27" t="s">
        <v>188</v>
      </c>
      <c r="U29" s="27" t="s">
        <v>393</v>
      </c>
      <c r="V29" s="27" t="s">
        <v>394</v>
      </c>
      <c r="W29" s="29">
        <v>827.16</v>
      </c>
      <c r="X29" s="29">
        <v>0.2484517</v>
      </c>
      <c r="Y29" s="29">
        <v>827.16</v>
      </c>
      <c r="Z29" s="29">
        <v>0</v>
      </c>
      <c r="AA29" s="29">
        <v>621.66999999999996</v>
      </c>
      <c r="AB29" s="29">
        <v>-28.558874135983469</v>
      </c>
      <c r="AC29" s="29">
        <v>1.377588</v>
      </c>
      <c r="AD29" s="29">
        <v>5.0308549999999999</v>
      </c>
      <c r="AE29" s="29">
        <v>10.411659999999999</v>
      </c>
      <c r="AF29" s="29">
        <v>8.4615039999999997</v>
      </c>
      <c r="AG29" s="29">
        <v>10.411659999999999</v>
      </c>
      <c r="AH29" s="29">
        <v>30.062740000000002</v>
      </c>
      <c r="AI29" s="29">
        <v>68.844864259936472</v>
      </c>
      <c r="AJ29" s="29">
        <v>6.9860200225907709</v>
      </c>
      <c r="AK29" s="29">
        <v>18.490349765164829</v>
      </c>
      <c r="AL29" s="45">
        <v>0.18597712072396935</v>
      </c>
    </row>
    <row r="30" spans="1:38" x14ac:dyDescent="0.25">
      <c r="A30" s="26" t="s">
        <v>281</v>
      </c>
      <c r="B30" s="27" t="s">
        <v>1173</v>
      </c>
      <c r="C30" s="27" t="s">
        <v>384</v>
      </c>
      <c r="D30" s="29">
        <v>3068.4949999999999</v>
      </c>
      <c r="E30" s="29">
        <v>-0.89090130000000001</v>
      </c>
      <c r="F30" s="29">
        <v>3444.4430000000002</v>
      </c>
      <c r="G30" s="29">
        <v>11.557499440896169</v>
      </c>
      <c r="H30" s="29">
        <v>2555.8389999999999</v>
      </c>
      <c r="I30" s="29">
        <v>-18.280666789902682</v>
      </c>
      <c r="J30" s="29">
        <v>-2.3432879999999998</v>
      </c>
      <c r="K30" s="29">
        <v>0.92329329999999998</v>
      </c>
      <c r="L30" s="29">
        <v>-2.2398660000000001</v>
      </c>
      <c r="M30" s="29">
        <v>-3.0761099999999999</v>
      </c>
      <c r="N30" s="29">
        <v>-2.2398660000000001</v>
      </c>
      <c r="O30" s="29">
        <v>4.9512450000000001</v>
      </c>
      <c r="P30" s="29">
        <v>25.300264523359978</v>
      </c>
      <c r="Q30" s="29">
        <v>10.735728182311069</v>
      </c>
      <c r="R30" s="29">
        <v>14.233918298307685</v>
      </c>
      <c r="S30" s="45">
        <v>0.24018547752442104</v>
      </c>
      <c r="T30" s="27" t="s">
        <v>270</v>
      </c>
      <c r="U30" s="27" t="s">
        <v>1028</v>
      </c>
      <c r="V30" s="27" t="s">
        <v>375</v>
      </c>
      <c r="W30" s="29">
        <v>3394.53</v>
      </c>
      <c r="X30" s="29">
        <v>0.17972869999999999</v>
      </c>
      <c r="Y30" s="29">
        <v>3866.26</v>
      </c>
      <c r="Z30" s="29">
        <v>13.012231895300378</v>
      </c>
      <c r="AA30" s="29">
        <v>3035.47</v>
      </c>
      <c r="AB30" s="29">
        <v>-11.179904005746057</v>
      </c>
      <c r="AC30" s="29">
        <v>1.232253</v>
      </c>
      <c r="AD30" s="29">
        <v>2.6641970000000001</v>
      </c>
      <c r="AE30" s="29">
        <v>-0.1121153</v>
      </c>
      <c r="AF30" s="29">
        <v>-1.5324789999999999</v>
      </c>
      <c r="AG30" s="29">
        <v>-0.1121153</v>
      </c>
      <c r="AH30" s="29">
        <v>-10.95965</v>
      </c>
      <c r="AI30" s="29">
        <v>24.816699382346528</v>
      </c>
      <c r="AJ30" s="29">
        <v>13.710754797680798</v>
      </c>
      <c r="AK30" s="29">
        <v>22.568120516807191</v>
      </c>
      <c r="AL30" s="45">
        <v>0.79753375785396874</v>
      </c>
    </row>
    <row r="31" spans="1:38" x14ac:dyDescent="0.25">
      <c r="A31" s="26" t="s">
        <v>287</v>
      </c>
      <c r="B31" s="27" t="s">
        <v>1174</v>
      </c>
      <c r="C31" s="27" t="s">
        <v>384</v>
      </c>
      <c r="D31" s="29">
        <v>2474.136</v>
      </c>
      <c r="E31" s="29">
        <v>-0.89093109999999998</v>
      </c>
      <c r="F31" s="29">
        <v>2777.2759999999998</v>
      </c>
      <c r="G31" s="29">
        <v>11.557934704946447</v>
      </c>
      <c r="H31" s="29">
        <v>2060.759</v>
      </c>
      <c r="I31" s="29">
        <v>-18.281688262149682</v>
      </c>
      <c r="J31" s="29">
        <v>-2.3430200000000001</v>
      </c>
      <c r="K31" s="29">
        <v>0.92315139999999996</v>
      </c>
      <c r="L31" s="29">
        <v>-2.2396759999999998</v>
      </c>
      <c r="M31" s="29">
        <v>-3.0764670000000001</v>
      </c>
      <c r="N31" s="29">
        <v>-2.2396759999999998</v>
      </c>
      <c r="O31" s="29">
        <v>4.9618679999999999</v>
      </c>
      <c r="P31" s="29">
        <v>25.682325874614889</v>
      </c>
      <c r="Q31" s="29">
        <v>10.70509543154361</v>
      </c>
      <c r="R31" s="29">
        <v>12.921433759936905</v>
      </c>
      <c r="S31" s="45">
        <v>0.14798051861575054</v>
      </c>
      <c r="T31" s="27" t="s">
        <v>217</v>
      </c>
      <c r="U31" s="27" t="s">
        <v>1076</v>
      </c>
      <c r="V31" s="27" t="s">
        <v>364</v>
      </c>
      <c r="W31" s="29">
        <v>4718.0200000000004</v>
      </c>
      <c r="X31" s="29">
        <v>-3.030014E-2</v>
      </c>
      <c r="Y31" s="29">
        <v>5062.58</v>
      </c>
      <c r="Z31" s="29">
        <v>7.0487014716079379</v>
      </c>
      <c r="AA31" s="29">
        <v>4627.41015625</v>
      </c>
      <c r="AB31" s="29">
        <v>-1.9391869964801034</v>
      </c>
      <c r="AC31" s="29">
        <v>1.087359</v>
      </c>
      <c r="AD31" s="29">
        <v>-1.34433</v>
      </c>
      <c r="AE31" s="29">
        <v>-0.55497750000000001</v>
      </c>
      <c r="AF31" s="29">
        <v>-2.852833</v>
      </c>
      <c r="AG31" s="29">
        <v>-0.55497750000000001</v>
      </c>
      <c r="AH31" s="29">
        <v>-0.92418080000000002</v>
      </c>
      <c r="AI31" s="29">
        <v>16.904797695353494</v>
      </c>
      <c r="AJ31" s="29">
        <v>14.067753028803313</v>
      </c>
      <c r="AK31" s="29">
        <v>14.963974812994438</v>
      </c>
      <c r="AL31" s="45">
        <v>0.31589977935769414</v>
      </c>
    </row>
    <row r="32" spans="1:38" x14ac:dyDescent="0.25">
      <c r="A32" s="26" t="s">
        <v>237</v>
      </c>
      <c r="B32" s="27" t="s">
        <v>1175</v>
      </c>
      <c r="C32" s="27" t="s">
        <v>384</v>
      </c>
      <c r="D32" s="29">
        <v>2929.087</v>
      </c>
      <c r="E32" s="29">
        <v>-0.89144299999999999</v>
      </c>
      <c r="F32" s="29">
        <v>3288.453</v>
      </c>
      <c r="G32" s="29">
        <v>11.572647105186446</v>
      </c>
      <c r="H32" s="29">
        <v>2440.9059999999999</v>
      </c>
      <c r="I32" s="29">
        <v>-18.232148851329473</v>
      </c>
      <c r="J32" s="29">
        <v>-2.34029</v>
      </c>
      <c r="K32" s="29">
        <v>0.92667160000000004</v>
      </c>
      <c r="L32" s="29">
        <v>-2.259252</v>
      </c>
      <c r="M32" s="29">
        <v>-3.0976110000000001</v>
      </c>
      <c r="N32" s="29">
        <v>-2.259252</v>
      </c>
      <c r="O32" s="29">
        <v>4.9184479999999997</v>
      </c>
      <c r="P32" s="29">
        <v>24.917093940627446</v>
      </c>
      <c r="Q32" s="29">
        <v>10.470142014793455</v>
      </c>
      <c r="R32" s="29">
        <v>14.220972807608177</v>
      </c>
      <c r="S32" s="45">
        <v>0.25962783098263792</v>
      </c>
      <c r="T32" s="27" t="s">
        <v>63</v>
      </c>
      <c r="U32" s="27" t="s">
        <v>1137</v>
      </c>
      <c r="V32" s="27" t="s">
        <v>397</v>
      </c>
      <c r="W32" s="29">
        <v>17317.86</v>
      </c>
      <c r="X32" s="29">
        <v>0.85486810000000002</v>
      </c>
      <c r="Y32" s="29">
        <v>17613.5390625</v>
      </c>
      <c r="Z32" s="29">
        <v>1.6929532307719424</v>
      </c>
      <c r="AA32" s="29">
        <v>13117.22</v>
      </c>
      <c r="AB32" s="29">
        <v>-27.781246809842859</v>
      </c>
      <c r="AC32" s="29">
        <v>1.0777950000000001</v>
      </c>
      <c r="AD32" s="29">
        <v>8.5578819999999993</v>
      </c>
      <c r="AE32" s="29">
        <v>3.9806859999999999</v>
      </c>
      <c r="AF32" s="29">
        <v>13.523709999999999</v>
      </c>
      <c r="AG32" s="29">
        <v>3.9806859999999999</v>
      </c>
      <c r="AH32" s="29">
        <v>28.864239999999999</v>
      </c>
      <c r="AI32" s="29">
        <v>312.08230492802909</v>
      </c>
      <c r="AJ32" s="29">
        <v>14.362921893267989</v>
      </c>
      <c r="AK32" s="29">
        <v>15.771569413425857</v>
      </c>
      <c r="AL32" s="45">
        <v>4.7314605646398122E-3</v>
      </c>
    </row>
    <row r="33" spans="1:38" x14ac:dyDescent="0.25">
      <c r="A33" s="26" t="s">
        <v>253</v>
      </c>
      <c r="B33" s="27" t="s">
        <v>1094</v>
      </c>
      <c r="C33" s="27" t="s">
        <v>1095</v>
      </c>
      <c r="D33" s="29">
        <v>31433.89</v>
      </c>
      <c r="E33" s="29">
        <v>-0.4160276</v>
      </c>
      <c r="F33" s="29">
        <v>42243.828125</v>
      </c>
      <c r="G33" s="29">
        <v>29.557165299836512</v>
      </c>
      <c r="H33" s="29">
        <v>28670.98046875</v>
      </c>
      <c r="I33" s="29">
        <v>-9.2001132520234847</v>
      </c>
      <c r="J33" s="29">
        <v>-2.330781</v>
      </c>
      <c r="K33" s="29">
        <v>2.7760180000000001</v>
      </c>
      <c r="L33" s="29">
        <v>-6.9298929999999999</v>
      </c>
      <c r="M33" s="29">
        <v>-19.327909999999999</v>
      </c>
      <c r="N33" s="29">
        <v>-6.9298929999999999</v>
      </c>
      <c r="O33" s="29">
        <v>-23.053840000000001</v>
      </c>
      <c r="P33" s="29">
        <v>12.351463295156593</v>
      </c>
      <c r="Q33" s="29">
        <v>7.0876980219374648</v>
      </c>
      <c r="R33" s="29">
        <v>7.6747383688278257</v>
      </c>
      <c r="S33" s="45">
        <v>0.11152479573454617</v>
      </c>
      <c r="T33" s="27" t="s">
        <v>232</v>
      </c>
      <c r="U33" s="27" t="s">
        <v>1031</v>
      </c>
      <c r="V33" s="27" t="s">
        <v>375</v>
      </c>
      <c r="W33" s="29">
        <v>1623.27</v>
      </c>
      <c r="X33" s="29">
        <v>0.19690389999999999</v>
      </c>
      <c r="Y33" s="29">
        <v>1838.3</v>
      </c>
      <c r="Z33" s="29">
        <v>12.439859821509728</v>
      </c>
      <c r="AA33" s="29">
        <v>1408.89</v>
      </c>
      <c r="AB33" s="29">
        <v>-14.164047297550894</v>
      </c>
      <c r="AC33" s="29">
        <v>1.0363370000000001</v>
      </c>
      <c r="AD33" s="29">
        <v>8.9669720000000002</v>
      </c>
      <c r="AE33" s="29">
        <v>4.506621</v>
      </c>
      <c r="AF33" s="29">
        <v>0.85617370000000004</v>
      </c>
      <c r="AG33" s="29">
        <v>4.506621</v>
      </c>
      <c r="AH33" s="29">
        <v>-9.8238420000000009</v>
      </c>
      <c r="AI33" s="29">
        <v>19.909813556798234</v>
      </c>
      <c r="AJ33" s="29">
        <v>11.158189835843245</v>
      </c>
      <c r="AK33" s="29">
        <v>14.2241561286531</v>
      </c>
      <c r="AL33" s="45">
        <v>0.3503311374629452</v>
      </c>
    </row>
    <row r="34" spans="1:38" x14ac:dyDescent="0.25">
      <c r="A34" s="26" t="s">
        <v>163</v>
      </c>
      <c r="B34" s="27" t="s">
        <v>1176</v>
      </c>
      <c r="C34" s="27" t="s">
        <v>1177</v>
      </c>
      <c r="D34" s="29">
        <v>2997.89</v>
      </c>
      <c r="E34" s="29">
        <v>-4.3361950000000002E-3</v>
      </c>
      <c r="F34" s="29">
        <v>3419.93</v>
      </c>
      <c r="G34" s="29">
        <v>13.171137514893566</v>
      </c>
      <c r="H34" s="29">
        <v>2674.71</v>
      </c>
      <c r="I34" s="29">
        <v>-11.406774462375564</v>
      </c>
      <c r="J34" s="29">
        <v>-2.3170410000000001</v>
      </c>
      <c r="K34" s="29">
        <v>3.5115080000000001</v>
      </c>
      <c r="L34" s="29">
        <v>1.776221</v>
      </c>
      <c r="M34" s="29">
        <v>-1.320605</v>
      </c>
      <c r="N34" s="29">
        <v>1.776221</v>
      </c>
      <c r="O34" s="29">
        <v>-11.173109999999999</v>
      </c>
      <c r="P34" s="29">
        <v>103.22951142447286</v>
      </c>
      <c r="Q34" s="29">
        <v>8.5455492131175426</v>
      </c>
      <c r="R34" s="29">
        <v>9.958429446236492</v>
      </c>
      <c r="S34" s="45">
        <v>1.4922064942372094E-2</v>
      </c>
      <c r="T34" s="27" t="s">
        <v>36</v>
      </c>
      <c r="U34" s="27" t="s">
        <v>1083</v>
      </c>
      <c r="V34" s="27" t="s">
        <v>391</v>
      </c>
      <c r="W34" s="29">
        <v>326.39999999999998</v>
      </c>
      <c r="X34" s="29">
        <v>0.85279939999999999</v>
      </c>
      <c r="Y34" s="29">
        <v>327.05</v>
      </c>
      <c r="Z34" s="29">
        <v>0.1989441317269991</v>
      </c>
      <c r="AA34" s="29">
        <v>251.09</v>
      </c>
      <c r="AB34" s="29">
        <v>-26.231218249044741</v>
      </c>
      <c r="AC34" s="29">
        <v>0.94949850000000002</v>
      </c>
      <c r="AD34" s="29">
        <v>3.2519290000000001</v>
      </c>
      <c r="AE34" s="29">
        <v>7.4461769999999996</v>
      </c>
      <c r="AF34" s="29">
        <v>8.0293840000000003</v>
      </c>
      <c r="AG34" s="29">
        <v>7.4461769999999996</v>
      </c>
      <c r="AH34" s="29">
        <v>17.334099999999999</v>
      </c>
      <c r="AI34" s="29">
        <v>53.438427910918335</v>
      </c>
      <c r="AJ34" s="29">
        <v>28.04276219432306</v>
      </c>
      <c r="AK34" s="29">
        <v>53.438427910918335</v>
      </c>
      <c r="AL34" s="45">
        <v>1</v>
      </c>
    </row>
    <row r="35" spans="1:38" x14ac:dyDescent="0.25">
      <c r="A35" s="26" t="s">
        <v>153</v>
      </c>
      <c r="B35" s="27" t="s">
        <v>1100</v>
      </c>
      <c r="C35" s="27" t="s">
        <v>1101</v>
      </c>
      <c r="D35" s="29">
        <v>982.13</v>
      </c>
      <c r="E35" s="29">
        <v>6.8265649999999997E-2</v>
      </c>
      <c r="F35" s="29">
        <v>1079.29</v>
      </c>
      <c r="G35" s="29">
        <v>9.4335014039173348</v>
      </c>
      <c r="H35" s="29">
        <v>884.35</v>
      </c>
      <c r="I35" s="29">
        <v>-10.487077060387845</v>
      </c>
      <c r="J35" s="29">
        <v>-2.3028439999999999</v>
      </c>
      <c r="K35" s="29">
        <v>5.3911930000000003</v>
      </c>
      <c r="L35" s="29">
        <v>1.5425800000000001</v>
      </c>
      <c r="M35" s="29">
        <v>0.13050200000000001</v>
      </c>
      <c r="N35" s="29">
        <v>1.5425800000000001</v>
      </c>
      <c r="O35" s="29">
        <v>-8.4081759999999992</v>
      </c>
      <c r="P35" s="29">
        <v>2318.5174344361321</v>
      </c>
      <c r="Q35" s="29">
        <v>4.8103315352401728</v>
      </c>
      <c r="R35" s="29">
        <v>17.592299161047968</v>
      </c>
      <c r="S35" s="45">
        <v>5.5244536396944757E-3</v>
      </c>
      <c r="T35" s="27" t="s">
        <v>58</v>
      </c>
      <c r="U35" s="27" t="s">
        <v>1138</v>
      </c>
      <c r="V35" s="27" t="s">
        <v>397</v>
      </c>
      <c r="W35" s="29">
        <v>105319.4</v>
      </c>
      <c r="X35" s="29">
        <v>0.80244249999999995</v>
      </c>
      <c r="Y35" s="29">
        <v>106650.1015625</v>
      </c>
      <c r="Z35" s="29">
        <v>1.2555759525920327</v>
      </c>
      <c r="AA35" s="29">
        <v>78090.71875</v>
      </c>
      <c r="AB35" s="29">
        <v>-29.912642593254645</v>
      </c>
      <c r="AC35" s="29">
        <v>0.93947829999999999</v>
      </c>
      <c r="AD35" s="29">
        <v>8.2684270000000009</v>
      </c>
      <c r="AE35" s="29">
        <v>4.5623670000000001</v>
      </c>
      <c r="AF35" s="29">
        <v>14.597939999999999</v>
      </c>
      <c r="AG35" s="29">
        <v>4.5623670000000001</v>
      </c>
      <c r="AH35" s="29">
        <v>31.649100000000001</v>
      </c>
      <c r="AI35" s="29">
        <v>452.46212647955451</v>
      </c>
      <c r="AJ35" s="29">
        <v>14.762053211027549</v>
      </c>
      <c r="AK35" s="29">
        <v>16.299095794804714</v>
      </c>
      <c r="AL35" s="45">
        <v>3.5116342848638188E-3</v>
      </c>
    </row>
    <row r="36" spans="1:38" x14ac:dyDescent="0.25">
      <c r="A36" s="26" t="s">
        <v>156</v>
      </c>
      <c r="B36" s="27" t="s">
        <v>1102</v>
      </c>
      <c r="C36" s="27" t="s">
        <v>1101</v>
      </c>
      <c r="D36" s="29">
        <v>610.77</v>
      </c>
      <c r="E36" s="29">
        <v>3.1117949999999998E-2</v>
      </c>
      <c r="F36" s="29">
        <v>716.56</v>
      </c>
      <c r="G36" s="29">
        <v>15.974152794224446</v>
      </c>
      <c r="H36" s="29">
        <v>557.17999999999995</v>
      </c>
      <c r="I36" s="29">
        <v>-9.1832108717727756</v>
      </c>
      <c r="J36" s="29">
        <v>-2.2799299999999998</v>
      </c>
      <c r="K36" s="29">
        <v>4.0228210000000004</v>
      </c>
      <c r="L36" s="29">
        <v>-1.7153940000000001</v>
      </c>
      <c r="M36" s="29">
        <v>-0.96477349999999995</v>
      </c>
      <c r="N36" s="29">
        <v>-1.7153940000000001</v>
      </c>
      <c r="O36" s="29">
        <v>-14.196</v>
      </c>
      <c r="P36" s="29">
        <v>169.74375651792329</v>
      </c>
      <c r="Q36" s="29">
        <v>1.0504435297005188</v>
      </c>
      <c r="R36" s="29" t="s">
        <v>355</v>
      </c>
      <c r="S36" s="45" t="s">
        <v>349</v>
      </c>
      <c r="T36" s="27" t="s">
        <v>234</v>
      </c>
      <c r="U36" s="27" t="s">
        <v>1030</v>
      </c>
      <c r="V36" s="27" t="s">
        <v>375</v>
      </c>
      <c r="W36" s="29">
        <v>14498.97</v>
      </c>
      <c r="X36" s="29">
        <v>0.1049451</v>
      </c>
      <c r="Y36" s="29">
        <v>16287.24</v>
      </c>
      <c r="Z36" s="29">
        <v>11.630436674091509</v>
      </c>
      <c r="AA36" s="29">
        <v>12512.4</v>
      </c>
      <c r="AB36" s="29">
        <v>-14.735745981929099</v>
      </c>
      <c r="AC36" s="29">
        <v>0.93001350000000005</v>
      </c>
      <c r="AD36" s="29">
        <v>9.0343210000000003</v>
      </c>
      <c r="AE36" s="29">
        <v>4.7398509999999998</v>
      </c>
      <c r="AF36" s="29">
        <v>1.263082</v>
      </c>
      <c r="AG36" s="29">
        <v>4.7398509999999998</v>
      </c>
      <c r="AH36" s="29">
        <v>-9.0240150000000003</v>
      </c>
      <c r="AI36" s="29">
        <v>19.59946772931157</v>
      </c>
      <c r="AJ36" s="29">
        <v>10.853665709309524</v>
      </c>
      <c r="AK36" s="29">
        <v>14.230556348417434</v>
      </c>
      <c r="AL36" s="45">
        <v>0.3861156051080058</v>
      </c>
    </row>
    <row r="37" spans="1:38" x14ac:dyDescent="0.25">
      <c r="A37" s="26" t="s">
        <v>60</v>
      </c>
      <c r="B37" s="27" t="s">
        <v>1122</v>
      </c>
      <c r="C37" s="27" t="s">
        <v>397</v>
      </c>
      <c r="D37" s="29">
        <v>67479.23</v>
      </c>
      <c r="E37" s="29">
        <v>0.63354520000000003</v>
      </c>
      <c r="F37" s="29">
        <v>69308.8984375</v>
      </c>
      <c r="G37" s="29">
        <v>2.6753455709942182</v>
      </c>
      <c r="H37" s="29">
        <v>38557.390625</v>
      </c>
      <c r="I37" s="29">
        <v>-55.96720498851753</v>
      </c>
      <c r="J37" s="29">
        <v>-2.1919659999999999</v>
      </c>
      <c r="K37" s="29">
        <v>2.4090370000000001</v>
      </c>
      <c r="L37" s="29">
        <v>7.0196449999999997</v>
      </c>
      <c r="M37" s="29">
        <v>20.539739999999998</v>
      </c>
      <c r="N37" s="29">
        <v>7.0196449999999997</v>
      </c>
      <c r="O37" s="29">
        <v>71.692989999999995</v>
      </c>
      <c r="P37" s="29">
        <v>139.94922309320563</v>
      </c>
      <c r="Q37" s="29">
        <v>8.500444860396744</v>
      </c>
      <c r="R37" s="29" t="s">
        <v>355</v>
      </c>
      <c r="S37" s="45" t="s">
        <v>349</v>
      </c>
      <c r="T37" s="27" t="s">
        <v>145</v>
      </c>
      <c r="U37" s="27" t="s">
        <v>1004</v>
      </c>
      <c r="V37" s="27" t="s">
        <v>993</v>
      </c>
      <c r="W37" s="29">
        <v>1045.817</v>
      </c>
      <c r="X37" s="29">
        <v>0.42876950000000003</v>
      </c>
      <c r="Y37" s="29">
        <v>1060.6279999999999</v>
      </c>
      <c r="Z37" s="29">
        <v>1.406278738531535</v>
      </c>
      <c r="AA37" s="29">
        <v>860.86170000000004</v>
      </c>
      <c r="AB37" s="29">
        <v>-19.461981277199047</v>
      </c>
      <c r="AC37" s="29">
        <v>0.90791049999999995</v>
      </c>
      <c r="AD37" s="29">
        <v>1.4714989999999999</v>
      </c>
      <c r="AE37" s="29">
        <v>4.899756</v>
      </c>
      <c r="AF37" s="29">
        <v>3.5047320000000002</v>
      </c>
      <c r="AG37" s="29">
        <v>4.899756</v>
      </c>
      <c r="AH37" s="29">
        <v>6.719233</v>
      </c>
      <c r="AI37" s="29">
        <v>32.684949701576137</v>
      </c>
      <c r="AJ37" s="29">
        <v>16.37110843941953</v>
      </c>
      <c r="AK37" s="29">
        <v>22.917482039287385</v>
      </c>
      <c r="AL37" s="45">
        <v>0.40127726478824755</v>
      </c>
    </row>
    <row r="38" spans="1:38" x14ac:dyDescent="0.25">
      <c r="A38" s="26" t="s">
        <v>118</v>
      </c>
      <c r="B38" s="27" t="s">
        <v>1132</v>
      </c>
      <c r="C38" s="27" t="s">
        <v>1133</v>
      </c>
      <c r="D38" s="29">
        <v>10429.75</v>
      </c>
      <c r="E38" s="29">
        <v>0.15489330000000001</v>
      </c>
      <c r="F38" s="29">
        <v>12539.38</v>
      </c>
      <c r="G38" s="29">
        <v>18.421179279006417</v>
      </c>
      <c r="H38" s="29">
        <v>9379.36</v>
      </c>
      <c r="I38" s="29">
        <v>-10.615076899298444</v>
      </c>
      <c r="J38" s="29">
        <v>-2.16628</v>
      </c>
      <c r="K38" s="29">
        <v>1.036354</v>
      </c>
      <c r="L38" s="29">
        <v>-3.2779609999999999</v>
      </c>
      <c r="M38" s="29">
        <v>-0.77649360000000001</v>
      </c>
      <c r="N38" s="29">
        <v>-3.2779609999999999</v>
      </c>
      <c r="O38" s="29">
        <v>-16.811299999999999</v>
      </c>
      <c r="P38" s="29">
        <v>514.70279850736108</v>
      </c>
      <c r="Q38" s="29">
        <v>13.021137611857018</v>
      </c>
      <c r="R38" s="29">
        <v>113.06646096388769</v>
      </c>
      <c r="S38" s="45">
        <v>0.19941993329684268</v>
      </c>
      <c r="T38" s="27" t="s">
        <v>200</v>
      </c>
      <c r="U38" s="27" t="s">
        <v>395</v>
      </c>
      <c r="V38" s="27" t="s">
        <v>396</v>
      </c>
      <c r="W38" s="29">
        <v>4893.7299999999996</v>
      </c>
      <c r="X38" s="29">
        <v>-0.35103050000000002</v>
      </c>
      <c r="Y38" s="29">
        <v>4910.9690000000001</v>
      </c>
      <c r="Z38" s="29">
        <v>0.35164807740175652</v>
      </c>
      <c r="AA38" s="29">
        <v>4325.4129999999996</v>
      </c>
      <c r="AB38" s="29">
        <v>-12.344716674884328</v>
      </c>
      <c r="AC38" s="29">
        <v>0.87618870000000004</v>
      </c>
      <c r="AD38" s="29">
        <v>1.7332399999999999</v>
      </c>
      <c r="AE38" s="29">
        <v>2.2312059999999998</v>
      </c>
      <c r="AF38" s="29">
        <v>3.099478</v>
      </c>
      <c r="AG38" s="29">
        <v>2.2312059999999998</v>
      </c>
      <c r="AH38" s="29">
        <v>13.13902</v>
      </c>
      <c r="AI38" s="29">
        <v>31.536308249289771</v>
      </c>
      <c r="AJ38" s="29">
        <v>14.001069136409512</v>
      </c>
      <c r="AK38" s="29">
        <v>24.24693120415294</v>
      </c>
      <c r="AL38" s="45">
        <v>0.58430124629537994</v>
      </c>
    </row>
    <row r="39" spans="1:38" x14ac:dyDescent="0.25">
      <c r="A39" s="26" t="s">
        <v>32</v>
      </c>
      <c r="B39" s="27" t="s">
        <v>1127</v>
      </c>
      <c r="C39" s="27" t="s">
        <v>391</v>
      </c>
      <c r="D39" s="29">
        <v>2506.9850000000001</v>
      </c>
      <c r="E39" s="29">
        <v>-0.98189269999999995</v>
      </c>
      <c r="F39" s="29">
        <v>2765.5509999999999</v>
      </c>
      <c r="G39" s="29">
        <v>9.8159055882685777</v>
      </c>
      <c r="H39" s="29">
        <v>2192.24609375</v>
      </c>
      <c r="I39" s="29">
        <v>-13.415420408074381</v>
      </c>
      <c r="J39" s="29">
        <v>-2.1652650000000002</v>
      </c>
      <c r="K39" s="29">
        <v>5.5687819999999997</v>
      </c>
      <c r="L39" s="29">
        <v>-1.8162720000000001</v>
      </c>
      <c r="M39" s="29">
        <v>-9.6988099999999994E-2</v>
      </c>
      <c r="N39" s="29">
        <v>-1.8162720000000001</v>
      </c>
      <c r="O39" s="29">
        <v>-7.8991509999999998</v>
      </c>
      <c r="P39" s="29">
        <v>555.04433258450172</v>
      </c>
      <c r="Q39" s="29">
        <v>20.010223243328312</v>
      </c>
      <c r="R39" s="29">
        <v>23.571851509165818</v>
      </c>
      <c r="S39" s="45">
        <v>6.6568246839873411E-3</v>
      </c>
      <c r="T39" s="27" t="s">
        <v>262</v>
      </c>
      <c r="U39" s="27" t="s">
        <v>1036</v>
      </c>
      <c r="V39" s="27" t="s">
        <v>375</v>
      </c>
      <c r="W39" s="29">
        <v>1256.23</v>
      </c>
      <c r="X39" s="29">
        <v>0.1634534</v>
      </c>
      <c r="Y39" s="29">
        <v>1416.59</v>
      </c>
      <c r="Z39" s="29">
        <v>12.013740285623616</v>
      </c>
      <c r="AA39" s="29">
        <v>1090.28</v>
      </c>
      <c r="AB39" s="29">
        <v>-14.168062831371728</v>
      </c>
      <c r="AC39" s="29">
        <v>0.86312259999999996</v>
      </c>
      <c r="AD39" s="29">
        <v>8.9805779999999995</v>
      </c>
      <c r="AE39" s="29">
        <v>4.5194679999999998</v>
      </c>
      <c r="AF39" s="29">
        <v>0.96688879999999999</v>
      </c>
      <c r="AG39" s="29">
        <v>4.5194679999999998</v>
      </c>
      <c r="AH39" s="29">
        <v>-9.3472190000000008</v>
      </c>
      <c r="AI39" s="29">
        <v>20.109109500666815</v>
      </c>
      <c r="AJ39" s="29">
        <v>10.916008083099037</v>
      </c>
      <c r="AK39" s="29">
        <v>13.978094039037163</v>
      </c>
      <c r="AL39" s="45">
        <v>0.3330851925647812</v>
      </c>
    </row>
    <row r="40" spans="1:38" x14ac:dyDescent="0.25">
      <c r="A40" s="26" t="s">
        <v>35</v>
      </c>
      <c r="B40" s="27" t="s">
        <v>1178</v>
      </c>
      <c r="C40" s="27" t="s">
        <v>391</v>
      </c>
      <c r="D40" s="29">
        <v>1215.296</v>
      </c>
      <c r="E40" s="29">
        <v>-1.12897</v>
      </c>
      <c r="F40" s="29">
        <v>1603.0840000000001</v>
      </c>
      <c r="G40" s="29">
        <v>27.694160548040276</v>
      </c>
      <c r="H40" s="29">
        <v>1078.7339999999999</v>
      </c>
      <c r="I40" s="29">
        <v>-11.919953719676894</v>
      </c>
      <c r="J40" s="29">
        <v>-2.157899</v>
      </c>
      <c r="K40" s="29">
        <v>7.9745860000000004</v>
      </c>
      <c r="L40" s="29">
        <v>-3.9471690000000001</v>
      </c>
      <c r="M40" s="29">
        <v>-6.9646189999999999</v>
      </c>
      <c r="N40" s="29">
        <v>-3.9471690000000001</v>
      </c>
      <c r="O40" s="29">
        <v>-22.142520000000001</v>
      </c>
      <c r="P40" s="29">
        <v>4805.0879483303561</v>
      </c>
      <c r="Q40" s="29">
        <v>10.517044653934583</v>
      </c>
      <c r="R40" s="29">
        <v>13.61173991281259</v>
      </c>
      <c r="S40" s="45">
        <v>6.4545823204012476E-4</v>
      </c>
      <c r="T40" s="27" t="s">
        <v>267</v>
      </c>
      <c r="U40" s="27" t="s">
        <v>1035</v>
      </c>
      <c r="V40" s="27" t="s">
        <v>375</v>
      </c>
      <c r="W40" s="29">
        <v>330.28</v>
      </c>
      <c r="X40" s="29">
        <v>0.1455428</v>
      </c>
      <c r="Y40" s="29">
        <v>366.42</v>
      </c>
      <c r="Z40" s="29">
        <v>10.383943691387074</v>
      </c>
      <c r="AA40" s="29">
        <v>284.63</v>
      </c>
      <c r="AB40" s="29">
        <v>-14.875068834553282</v>
      </c>
      <c r="AC40" s="29">
        <v>0.82423029999999997</v>
      </c>
      <c r="AD40" s="29">
        <v>8.8165560000000003</v>
      </c>
      <c r="AE40" s="29">
        <v>4.6547749999999999</v>
      </c>
      <c r="AF40" s="29">
        <v>1.825137</v>
      </c>
      <c r="AG40" s="29">
        <v>4.6547749999999999</v>
      </c>
      <c r="AH40" s="29">
        <v>-7.8562669999999999</v>
      </c>
      <c r="AI40" s="29">
        <v>19.817317328903414</v>
      </c>
      <c r="AJ40" s="29">
        <v>10.521659982819822</v>
      </c>
      <c r="AK40" s="29">
        <v>13.575122982936396</v>
      </c>
      <c r="AL40" s="45">
        <v>0.32848274053507859</v>
      </c>
    </row>
    <row r="41" spans="1:38" x14ac:dyDescent="0.25">
      <c r="A41" s="26" t="s">
        <v>140</v>
      </c>
      <c r="B41" s="27" t="s">
        <v>1104</v>
      </c>
      <c r="C41" s="27" t="s">
        <v>1105</v>
      </c>
      <c r="D41" s="29">
        <v>822.52</v>
      </c>
      <c r="E41" s="29">
        <v>0.40527340000000001</v>
      </c>
      <c r="F41" s="29">
        <v>843.09</v>
      </c>
      <c r="G41" s="29">
        <v>2.4700915415763753</v>
      </c>
      <c r="H41" s="29">
        <v>624.55999999999995</v>
      </c>
      <c r="I41" s="29">
        <v>-27.532539664128226</v>
      </c>
      <c r="J41" s="29">
        <v>-2.1392030000000002</v>
      </c>
      <c r="K41" s="29">
        <v>3.3070020000000002</v>
      </c>
      <c r="L41" s="29">
        <v>4.8570970000000004</v>
      </c>
      <c r="M41" s="29">
        <v>9.3500340000000008</v>
      </c>
      <c r="N41" s="29">
        <v>4.8570970000000004</v>
      </c>
      <c r="O41" s="29">
        <v>4.678274</v>
      </c>
      <c r="P41" s="29">
        <v>176.60851022257557</v>
      </c>
      <c r="Q41" s="29">
        <v>0.45743595698663647</v>
      </c>
      <c r="R41" s="29">
        <v>16.221849455892968</v>
      </c>
      <c r="S41" s="45">
        <v>8.949371194374775E-2</v>
      </c>
      <c r="T41" s="27" t="s">
        <v>184</v>
      </c>
      <c r="U41" s="27" t="s">
        <v>1077</v>
      </c>
      <c r="V41" s="27" t="s">
        <v>1078</v>
      </c>
      <c r="W41" s="29">
        <v>339.24</v>
      </c>
      <c r="X41" s="29">
        <v>0</v>
      </c>
      <c r="Y41" s="29">
        <v>367.57</v>
      </c>
      <c r="Z41" s="29">
        <v>8.0205955211581799</v>
      </c>
      <c r="AA41" s="29">
        <v>327.58999999999997</v>
      </c>
      <c r="AB41" s="29">
        <v>-3.494499501100834</v>
      </c>
      <c r="AC41" s="29">
        <v>0.8082762</v>
      </c>
      <c r="AD41" s="29">
        <v>-1.294775</v>
      </c>
      <c r="AE41" s="29">
        <v>-1.746459</v>
      </c>
      <c r="AF41" s="29">
        <v>-3.3999670000000002</v>
      </c>
      <c r="AG41" s="29">
        <v>-1.746459</v>
      </c>
      <c r="AH41" s="29">
        <v>3.2725499999999998</v>
      </c>
      <c r="AI41" s="29">
        <v>68.933342545651286</v>
      </c>
      <c r="AJ41" s="29">
        <v>11.568188038000002</v>
      </c>
      <c r="AK41" s="29" t="s">
        <v>355</v>
      </c>
      <c r="AL41" s="45" t="s">
        <v>349</v>
      </c>
    </row>
    <row r="42" spans="1:38" x14ac:dyDescent="0.25">
      <c r="A42" s="26" t="s">
        <v>165</v>
      </c>
      <c r="B42" s="27" t="s">
        <v>1179</v>
      </c>
      <c r="C42" s="27" t="s">
        <v>1177</v>
      </c>
      <c r="D42" s="29">
        <v>1515.4</v>
      </c>
      <c r="E42" s="29">
        <v>2.9043670000000001E-2</v>
      </c>
      <c r="F42" s="29">
        <v>1722.54</v>
      </c>
      <c r="G42" s="29">
        <v>12.812051518187054</v>
      </c>
      <c r="H42" s="29">
        <v>1353.06</v>
      </c>
      <c r="I42" s="29">
        <v>-11.331073641173091</v>
      </c>
      <c r="J42" s="29">
        <v>-2.1299679999999999</v>
      </c>
      <c r="K42" s="29">
        <v>3.4374479999999998</v>
      </c>
      <c r="L42" s="29">
        <v>1.673996</v>
      </c>
      <c r="M42" s="29">
        <v>-1.0467360000000001</v>
      </c>
      <c r="N42" s="29">
        <v>1.673996</v>
      </c>
      <c r="O42" s="29">
        <v>-11.02474</v>
      </c>
      <c r="P42" s="29">
        <v>72.87870045206104</v>
      </c>
      <c r="Q42" s="29">
        <v>8.9755283112744628</v>
      </c>
      <c r="R42" s="29">
        <v>10.295697851409223</v>
      </c>
      <c r="S42" s="45">
        <v>2.0658904650715359E-2</v>
      </c>
      <c r="T42" s="27" t="s">
        <v>268</v>
      </c>
      <c r="U42" s="27" t="s">
        <v>1026</v>
      </c>
      <c r="V42" s="27" t="s">
        <v>375</v>
      </c>
      <c r="W42" s="29">
        <v>2107.59</v>
      </c>
      <c r="X42" s="29">
        <v>7.9300259999999997E-2</v>
      </c>
      <c r="Y42" s="29">
        <v>2271.29</v>
      </c>
      <c r="Z42" s="29">
        <v>7.4802837412213457</v>
      </c>
      <c r="AA42" s="29">
        <v>1750.92</v>
      </c>
      <c r="AB42" s="29">
        <v>-18.540375052659716</v>
      </c>
      <c r="AC42" s="29">
        <v>0.7620825</v>
      </c>
      <c r="AD42" s="29">
        <v>7.726871</v>
      </c>
      <c r="AE42" s="29">
        <v>5.5018840000000004</v>
      </c>
      <c r="AF42" s="29">
        <v>2.7721749999999998</v>
      </c>
      <c r="AG42" s="29">
        <v>5.5018840000000004</v>
      </c>
      <c r="AH42" s="29">
        <v>-5.1335860000000002</v>
      </c>
      <c r="AI42" s="29" t="s">
        <v>355</v>
      </c>
      <c r="AJ42" s="29" t="s">
        <v>355</v>
      </c>
      <c r="AK42" s="29" t="s">
        <v>355</v>
      </c>
      <c r="AL42" s="45" t="s">
        <v>349</v>
      </c>
    </row>
    <row r="43" spans="1:38" x14ac:dyDescent="0.25">
      <c r="A43" s="26" t="s">
        <v>168</v>
      </c>
      <c r="B43" s="27" t="s">
        <v>1099</v>
      </c>
      <c r="C43" s="27" t="s">
        <v>1032</v>
      </c>
      <c r="D43" s="29">
        <v>1326.14</v>
      </c>
      <c r="E43" s="29">
        <v>0.18357499999999999</v>
      </c>
      <c r="F43" s="29">
        <v>1467.88</v>
      </c>
      <c r="G43" s="29">
        <v>10.154671609766432</v>
      </c>
      <c r="H43" s="29">
        <v>911.71</v>
      </c>
      <c r="I43" s="29">
        <v>-37.470578881532475</v>
      </c>
      <c r="J43" s="29">
        <v>-2.1291660000000001</v>
      </c>
      <c r="K43" s="29">
        <v>-0.58771240000000002</v>
      </c>
      <c r="L43" s="29">
        <v>0.93080799999999997</v>
      </c>
      <c r="M43" s="29">
        <v>16.682210000000001</v>
      </c>
      <c r="N43" s="29">
        <v>0.93080799999999997</v>
      </c>
      <c r="O43" s="29">
        <v>17.889589999999998</v>
      </c>
      <c r="P43" s="29" t="s">
        <v>355</v>
      </c>
      <c r="Q43" s="29" t="s">
        <v>355</v>
      </c>
      <c r="R43" s="29" t="s">
        <v>355</v>
      </c>
      <c r="S43" s="45" t="s">
        <v>349</v>
      </c>
      <c r="T43" s="27" t="s">
        <v>59</v>
      </c>
      <c r="U43" s="27" t="s">
        <v>1139</v>
      </c>
      <c r="V43" s="27" t="s">
        <v>397</v>
      </c>
      <c r="W43" s="29">
        <v>44171.53</v>
      </c>
      <c r="X43" s="29">
        <v>0.79579599999999995</v>
      </c>
      <c r="Y43" s="29">
        <v>44564.03125</v>
      </c>
      <c r="Z43" s="29">
        <v>0.88465955317920553</v>
      </c>
      <c r="AA43" s="29">
        <v>32098.92</v>
      </c>
      <c r="AB43" s="29">
        <v>-31.925807919354408</v>
      </c>
      <c r="AC43" s="29">
        <v>0.72612520000000003</v>
      </c>
      <c r="AD43" s="29">
        <v>7.9144230000000002</v>
      </c>
      <c r="AE43" s="29">
        <v>5.0836420000000002</v>
      </c>
      <c r="AF43" s="29">
        <v>15.61173</v>
      </c>
      <c r="AG43" s="29">
        <v>5.0836420000000002</v>
      </c>
      <c r="AH43" s="29">
        <v>34.407089999999997</v>
      </c>
      <c r="AI43" s="29">
        <v>218.92355489337587</v>
      </c>
      <c r="AJ43" s="29">
        <v>0.12501148661242598</v>
      </c>
      <c r="AK43" s="29">
        <v>16.609497607124581</v>
      </c>
      <c r="AL43" s="45">
        <v>7.5340931725794077E-2</v>
      </c>
    </row>
    <row r="44" spans="1:38" x14ac:dyDescent="0.25">
      <c r="A44" s="26" t="s">
        <v>236</v>
      </c>
      <c r="B44" s="27" t="s">
        <v>1180</v>
      </c>
      <c r="C44" s="27" t="s">
        <v>384</v>
      </c>
      <c r="D44" s="29">
        <v>3841.1390000000001</v>
      </c>
      <c r="E44" s="29">
        <v>-0.77099260000000003</v>
      </c>
      <c r="F44" s="29">
        <v>4126.0910000000003</v>
      </c>
      <c r="G44" s="29">
        <v>7.1561532463617548</v>
      </c>
      <c r="H44" s="29">
        <v>2935.83</v>
      </c>
      <c r="I44" s="29">
        <v>-26.877873003302817</v>
      </c>
      <c r="J44" s="29">
        <v>-2.1211829999999998</v>
      </c>
      <c r="K44" s="29">
        <v>0.63382799999999995</v>
      </c>
      <c r="L44" s="29">
        <v>0.16485849999999999</v>
      </c>
      <c r="M44" s="29">
        <v>2.611297</v>
      </c>
      <c r="N44" s="29">
        <v>0.16485849999999999</v>
      </c>
      <c r="O44" s="29">
        <v>12.855510000000001</v>
      </c>
      <c r="P44" s="29">
        <v>22.480890130467674</v>
      </c>
      <c r="Q44" s="29">
        <v>10.395819609863606</v>
      </c>
      <c r="R44" s="29">
        <v>13.922925654024613</v>
      </c>
      <c r="S44" s="45">
        <v>0.29185647184661245</v>
      </c>
      <c r="T44" s="27" t="s">
        <v>261</v>
      </c>
      <c r="U44" s="27" t="s">
        <v>1029</v>
      </c>
      <c r="V44" s="27" t="s">
        <v>375</v>
      </c>
      <c r="W44" s="29">
        <v>1690.33</v>
      </c>
      <c r="X44" s="29">
        <v>0.1154953</v>
      </c>
      <c r="Y44" s="29">
        <v>1904.98</v>
      </c>
      <c r="Z44" s="29">
        <v>11.954773369069441</v>
      </c>
      <c r="AA44" s="29">
        <v>1457.24</v>
      </c>
      <c r="AB44" s="29">
        <v>-14.837954046573904</v>
      </c>
      <c r="AC44" s="29">
        <v>0.71799519999999994</v>
      </c>
      <c r="AD44" s="29">
        <v>8.8926630000000007</v>
      </c>
      <c r="AE44" s="29">
        <v>5.2922359999999999</v>
      </c>
      <c r="AF44" s="29">
        <v>3.0180150000000001</v>
      </c>
      <c r="AG44" s="29">
        <v>5.2922359999999999</v>
      </c>
      <c r="AH44" s="29">
        <v>-9.2021049999999995</v>
      </c>
      <c r="AI44" s="29">
        <v>22.383868064708579</v>
      </c>
      <c r="AJ44" s="29">
        <v>10.971151284637026</v>
      </c>
      <c r="AK44" s="29">
        <v>14.800598940294911</v>
      </c>
      <c r="AL44" s="45">
        <v>0.33554216138480886</v>
      </c>
    </row>
    <row r="45" spans="1:38" x14ac:dyDescent="0.25">
      <c r="A45" s="26" t="s">
        <v>94</v>
      </c>
      <c r="B45" s="27" t="s">
        <v>1070</v>
      </c>
      <c r="C45" s="27" t="s">
        <v>369</v>
      </c>
      <c r="D45" s="29">
        <v>2670.53</v>
      </c>
      <c r="E45" s="29">
        <v>0.29180250000000002</v>
      </c>
      <c r="F45" s="29">
        <v>2774.11</v>
      </c>
      <c r="G45" s="29">
        <v>3.8053020449859996</v>
      </c>
      <c r="H45" s="29">
        <v>2220.06</v>
      </c>
      <c r="I45" s="29">
        <v>-18.474273203993594</v>
      </c>
      <c r="J45" s="29">
        <v>-2.0725709999999999</v>
      </c>
      <c r="K45" s="29">
        <v>2.6297959999999998</v>
      </c>
      <c r="L45" s="29">
        <v>1.6632130000000001</v>
      </c>
      <c r="M45" s="29">
        <v>4.9464420000000002</v>
      </c>
      <c r="N45" s="29">
        <v>1.6632130000000001</v>
      </c>
      <c r="O45" s="29">
        <v>-2.2653789999999998</v>
      </c>
      <c r="P45" s="29">
        <v>357.96339387756819</v>
      </c>
      <c r="Q45" s="29">
        <v>17.830302077589224</v>
      </c>
      <c r="R45" s="29">
        <v>21.806211508092026</v>
      </c>
      <c r="S45" s="45">
        <v>1.1689275540531363E-2</v>
      </c>
      <c r="T45" s="27" t="s">
        <v>71</v>
      </c>
      <c r="U45" s="27" t="s">
        <v>1140</v>
      </c>
      <c r="V45" s="27" t="s">
        <v>348</v>
      </c>
      <c r="W45" s="29">
        <v>19630.64</v>
      </c>
      <c r="X45" s="29">
        <v>1.2316549999999999</v>
      </c>
      <c r="Y45" s="29">
        <v>21492.390625</v>
      </c>
      <c r="Z45" s="29">
        <v>9.0607337153654406</v>
      </c>
      <c r="AA45" s="29">
        <v>18531.2890625</v>
      </c>
      <c r="AB45" s="29">
        <v>-5.7631006793751034</v>
      </c>
      <c r="AC45" s="29">
        <v>0.71457630000000005</v>
      </c>
      <c r="AD45" s="29">
        <v>4.0528469999999999</v>
      </c>
      <c r="AE45" s="29">
        <v>-5.010567</v>
      </c>
      <c r="AF45" s="29">
        <v>-6.5078469999999999</v>
      </c>
      <c r="AG45" s="29">
        <v>-5.010567</v>
      </c>
      <c r="AH45" s="29">
        <v>0.47595399999999999</v>
      </c>
      <c r="AI45" s="29">
        <v>944.05685684437776</v>
      </c>
      <c r="AJ45" s="29">
        <v>2.369337533179928</v>
      </c>
      <c r="AK45" s="29">
        <v>17.719904056296318</v>
      </c>
      <c r="AL45" s="45">
        <v>1.6301125594554593E-2</v>
      </c>
    </row>
    <row r="46" spans="1:38" x14ac:dyDescent="0.25">
      <c r="A46" s="26" t="s">
        <v>151</v>
      </c>
      <c r="B46" s="27" t="s">
        <v>1106</v>
      </c>
      <c r="C46" s="27" t="s">
        <v>1101</v>
      </c>
      <c r="D46" s="29">
        <v>810.03</v>
      </c>
      <c r="E46" s="29">
        <v>0.1161799</v>
      </c>
      <c r="F46" s="29">
        <v>881.06</v>
      </c>
      <c r="G46" s="29">
        <v>8.4054444026298683</v>
      </c>
      <c r="H46" s="29">
        <v>726.16</v>
      </c>
      <c r="I46" s="29">
        <v>-10.930090779929559</v>
      </c>
      <c r="J46" s="29">
        <v>-2.0069680000000001</v>
      </c>
      <c r="K46" s="29">
        <v>4.9465640000000004</v>
      </c>
      <c r="L46" s="29">
        <v>1.408398</v>
      </c>
      <c r="M46" s="29">
        <v>1.388093</v>
      </c>
      <c r="N46" s="29">
        <v>1.408398</v>
      </c>
      <c r="O46" s="29">
        <v>-7.3679740000000002</v>
      </c>
      <c r="P46" s="29">
        <v>47.664397775266885</v>
      </c>
      <c r="Q46" s="29">
        <v>11.818292714356573</v>
      </c>
      <c r="R46" s="29">
        <v>16.280547257931556</v>
      </c>
      <c r="S46" s="45">
        <v>0.1244836652683086</v>
      </c>
      <c r="T46" s="27" t="s">
        <v>316</v>
      </c>
      <c r="U46" s="27" t="s">
        <v>362</v>
      </c>
      <c r="V46" s="27" t="s">
        <v>363</v>
      </c>
      <c r="W46" s="29">
        <v>104.7719</v>
      </c>
      <c r="X46" s="29">
        <v>0.92436059999999998</v>
      </c>
      <c r="Y46" s="29">
        <v>117.3396</v>
      </c>
      <c r="Z46" s="29">
        <v>11.32866884319462</v>
      </c>
      <c r="AA46" s="29">
        <v>98.705730000000003</v>
      </c>
      <c r="AB46" s="29">
        <v>-5.9642606697162943</v>
      </c>
      <c r="AC46" s="29">
        <v>0.70647680000000002</v>
      </c>
      <c r="AD46" s="29">
        <v>1.8602240000000001</v>
      </c>
      <c r="AE46" s="29">
        <v>1.7605010000000001</v>
      </c>
      <c r="AF46" s="29">
        <v>-2.5900560000000001</v>
      </c>
      <c r="AG46" s="29">
        <v>1.7605010000000001</v>
      </c>
      <c r="AH46" s="29">
        <v>-9.7450650000000003</v>
      </c>
      <c r="AI46" s="29">
        <v>15.406941087731138</v>
      </c>
      <c r="AJ46" s="29">
        <v>7.1750610852460364</v>
      </c>
      <c r="AK46" s="29">
        <v>7.5242337406749522</v>
      </c>
      <c r="AL46" s="45">
        <v>4.2417121644570253E-2</v>
      </c>
    </row>
    <row r="47" spans="1:38" x14ac:dyDescent="0.25">
      <c r="A47" s="26" t="s">
        <v>152</v>
      </c>
      <c r="B47" s="27" t="s">
        <v>1107</v>
      </c>
      <c r="C47" s="27" t="s">
        <v>1101</v>
      </c>
      <c r="D47" s="29">
        <v>461.69</v>
      </c>
      <c r="E47" s="29">
        <v>0.1170986</v>
      </c>
      <c r="F47" s="29">
        <v>523.1</v>
      </c>
      <c r="G47" s="29">
        <v>12.487898018417011</v>
      </c>
      <c r="H47" s="29">
        <v>425.29</v>
      </c>
      <c r="I47" s="29">
        <v>-8.2122381023721864</v>
      </c>
      <c r="J47" s="29">
        <v>-2.005776</v>
      </c>
      <c r="K47" s="29">
        <v>4.8175819999999998</v>
      </c>
      <c r="L47" s="29">
        <v>0.94011409999999995</v>
      </c>
      <c r="M47" s="29">
        <v>-1.6425209999999999</v>
      </c>
      <c r="N47" s="29">
        <v>0.94011409999999995</v>
      </c>
      <c r="O47" s="29">
        <v>-11.073230000000001</v>
      </c>
      <c r="P47" s="29">
        <v>45.803963874636729</v>
      </c>
      <c r="Q47" s="29">
        <v>11.818344072734781</v>
      </c>
      <c r="R47" s="29">
        <v>16.280784116823035</v>
      </c>
      <c r="S47" s="45">
        <v>0.13130377112729663</v>
      </c>
      <c r="T47" s="27" t="s">
        <v>146</v>
      </c>
      <c r="U47" s="27" t="s">
        <v>1000</v>
      </c>
      <c r="V47" s="27" t="s">
        <v>993</v>
      </c>
      <c r="W47" s="29">
        <v>869.67570000000001</v>
      </c>
      <c r="X47" s="29">
        <v>0.46438790000000002</v>
      </c>
      <c r="Y47" s="29">
        <v>878.50609999999995</v>
      </c>
      <c r="Z47" s="29">
        <v>1.0102467720824979</v>
      </c>
      <c r="AA47" s="29">
        <v>739.83640000000003</v>
      </c>
      <c r="AB47" s="29">
        <v>-16.169130286106579</v>
      </c>
      <c r="AC47" s="29">
        <v>0.69756359999999995</v>
      </c>
      <c r="AD47" s="29">
        <v>1.6083240000000001</v>
      </c>
      <c r="AE47" s="29">
        <v>3.3162750000000001</v>
      </c>
      <c r="AF47" s="29">
        <v>3.4425460000000001</v>
      </c>
      <c r="AG47" s="29">
        <v>3.3162750000000001</v>
      </c>
      <c r="AH47" s="29">
        <v>3.7268080000000001</v>
      </c>
      <c r="AI47" s="29">
        <v>42.003755106262233</v>
      </c>
      <c r="AJ47" s="29">
        <v>19.030340020518416</v>
      </c>
      <c r="AK47" s="29">
        <v>22.428912623508509</v>
      </c>
      <c r="AL47" s="45">
        <v>0.14793501925184305</v>
      </c>
    </row>
    <row r="48" spans="1:38" x14ac:dyDescent="0.25">
      <c r="A48" s="26" t="s">
        <v>279</v>
      </c>
      <c r="B48" s="27" t="s">
        <v>987</v>
      </c>
      <c r="C48" s="27" t="s">
        <v>354</v>
      </c>
      <c r="D48" s="29">
        <v>7703.15</v>
      </c>
      <c r="E48" s="29">
        <v>0.40693800000000002</v>
      </c>
      <c r="F48" s="29">
        <v>8978.1200000000008</v>
      </c>
      <c r="G48" s="29">
        <v>15.316117016235081</v>
      </c>
      <c r="H48" s="29">
        <v>7249.03</v>
      </c>
      <c r="I48" s="29">
        <v>-6.0761669301817847</v>
      </c>
      <c r="J48" s="29">
        <v>-2.0015309999999999</v>
      </c>
      <c r="K48" s="29">
        <v>1.8201130000000001</v>
      </c>
      <c r="L48" s="29">
        <v>-6.1035750000000002</v>
      </c>
      <c r="M48" s="29">
        <v>-9.4945970000000006</v>
      </c>
      <c r="N48" s="29">
        <v>-6.1035750000000002</v>
      </c>
      <c r="O48" s="29">
        <v>-6.5738989999999999</v>
      </c>
      <c r="P48" s="29">
        <v>12.950524122763415</v>
      </c>
      <c r="Q48" s="29">
        <v>7.7714086908008477</v>
      </c>
      <c r="R48" s="29">
        <v>8.5600715954856099</v>
      </c>
      <c r="S48" s="45">
        <v>0.1522775298302064</v>
      </c>
      <c r="T48" s="27" t="s">
        <v>62</v>
      </c>
      <c r="U48" s="27" t="s">
        <v>994</v>
      </c>
      <c r="V48" s="27" t="s">
        <v>397</v>
      </c>
      <c r="W48" s="29">
        <v>14526.71</v>
      </c>
      <c r="X48" s="29">
        <v>0.31350749999999999</v>
      </c>
      <c r="Y48" s="29">
        <v>14582.11</v>
      </c>
      <c r="Z48" s="29">
        <v>0.38064110389760591</v>
      </c>
      <c r="AA48" s="29">
        <v>9674.94</v>
      </c>
      <c r="AB48" s="29">
        <v>-40.644998651742036</v>
      </c>
      <c r="AC48" s="29">
        <v>0.66413100000000003</v>
      </c>
      <c r="AD48" s="29">
        <v>7.283563</v>
      </c>
      <c r="AE48" s="29">
        <v>12.524940000000001</v>
      </c>
      <c r="AF48" s="29">
        <v>26.74718</v>
      </c>
      <c r="AG48" s="29">
        <v>12.524940000000001</v>
      </c>
      <c r="AH48" s="29">
        <v>45.894889999999997</v>
      </c>
      <c r="AI48" s="29">
        <v>149.8075378210435</v>
      </c>
      <c r="AJ48" s="29">
        <v>14.409801501982718</v>
      </c>
      <c r="AK48" s="29">
        <v>20.257007271556759</v>
      </c>
      <c r="AL48" s="45">
        <v>4.3185402714527456E-2</v>
      </c>
    </row>
    <row r="49" spans="1:38" x14ac:dyDescent="0.25">
      <c r="A49" s="26" t="s">
        <v>158</v>
      </c>
      <c r="B49" s="27" t="s">
        <v>1111</v>
      </c>
      <c r="C49" s="27" t="s">
        <v>1101</v>
      </c>
      <c r="D49" s="29">
        <v>582.03560000000004</v>
      </c>
      <c r="E49" s="29">
        <v>0.1009375</v>
      </c>
      <c r="F49" s="29">
        <v>654.25199999999995</v>
      </c>
      <c r="G49" s="29">
        <v>11.696098409539671</v>
      </c>
      <c r="H49" s="29">
        <v>534.22429999999997</v>
      </c>
      <c r="I49" s="29">
        <v>-8.5715826023266199</v>
      </c>
      <c r="J49" s="29">
        <v>-1.9965360000000001</v>
      </c>
      <c r="K49" s="29">
        <v>5.2368519999999998</v>
      </c>
      <c r="L49" s="29">
        <v>1.259684</v>
      </c>
      <c r="M49" s="29">
        <v>-1.2504120000000001</v>
      </c>
      <c r="N49" s="29">
        <v>1.259684</v>
      </c>
      <c r="O49" s="29">
        <v>-10.40413</v>
      </c>
      <c r="P49" s="29">
        <v>52.114739139486737</v>
      </c>
      <c r="Q49" s="29">
        <v>14.379675547349658</v>
      </c>
      <c r="R49" s="29">
        <v>15.828187203277862</v>
      </c>
      <c r="S49" s="45">
        <v>3.8386357886780742E-2</v>
      </c>
      <c r="T49" s="27" t="s">
        <v>69</v>
      </c>
      <c r="U49" s="27" t="s">
        <v>360</v>
      </c>
      <c r="V49" s="27" t="s">
        <v>361</v>
      </c>
      <c r="W49" s="29">
        <v>6057.7</v>
      </c>
      <c r="X49" s="29">
        <v>0.16435839999999999</v>
      </c>
      <c r="Y49" s="29">
        <v>437418.40625</v>
      </c>
      <c r="Z49" s="29">
        <v>427.95599983197121</v>
      </c>
      <c r="AA49" s="29">
        <v>5805.82</v>
      </c>
      <c r="AB49" s="29">
        <v>-4.2469327374114494</v>
      </c>
      <c r="AC49" s="29">
        <v>0.6040181</v>
      </c>
      <c r="AD49" s="29">
        <v>4.0489730000000002</v>
      </c>
      <c r="AE49" s="29">
        <v>-6.3045679999999997</v>
      </c>
      <c r="AF49" s="29">
        <v>-7.747573</v>
      </c>
      <c r="AG49" s="29">
        <v>-6.3045679999999997</v>
      </c>
      <c r="AH49" s="29">
        <v>-9.7091999999999992</v>
      </c>
      <c r="AI49" s="29" t="s">
        <v>355</v>
      </c>
      <c r="AJ49" s="29" t="s">
        <v>355</v>
      </c>
      <c r="AK49" s="29" t="s">
        <v>355</v>
      </c>
      <c r="AL49" s="45" t="s">
        <v>349</v>
      </c>
    </row>
    <row r="50" spans="1:38" x14ac:dyDescent="0.25">
      <c r="A50" s="26" t="s">
        <v>157</v>
      </c>
      <c r="B50" s="27" t="s">
        <v>1112</v>
      </c>
      <c r="C50" s="27" t="s">
        <v>1101</v>
      </c>
      <c r="D50" s="29">
        <v>841.49419999999998</v>
      </c>
      <c r="E50" s="29">
        <v>0.1009462</v>
      </c>
      <c r="F50" s="29">
        <v>907.55039999999997</v>
      </c>
      <c r="G50" s="29">
        <v>7.5569980633799521</v>
      </c>
      <c r="H50" s="29">
        <v>753.81510000000003</v>
      </c>
      <c r="I50" s="29">
        <v>-11.003200868207177</v>
      </c>
      <c r="J50" s="29">
        <v>-1.9965299999999999</v>
      </c>
      <c r="K50" s="29">
        <v>5.3698249999999996</v>
      </c>
      <c r="L50" s="29">
        <v>1.776165</v>
      </c>
      <c r="M50" s="29">
        <v>1.786286</v>
      </c>
      <c r="N50" s="29">
        <v>1.776165</v>
      </c>
      <c r="O50" s="29">
        <v>-6.6178470000000003</v>
      </c>
      <c r="P50" s="29">
        <v>36.140133785368029</v>
      </c>
      <c r="Q50" s="29">
        <v>16.738804722125042</v>
      </c>
      <c r="R50" s="29">
        <v>19.07639618475628</v>
      </c>
      <c r="S50" s="45">
        <v>0.12048615097508701</v>
      </c>
      <c r="T50" s="27" t="s">
        <v>225</v>
      </c>
      <c r="U50" s="27" t="s">
        <v>1090</v>
      </c>
      <c r="V50" s="27" t="s">
        <v>1091</v>
      </c>
      <c r="W50" s="29">
        <v>4015.98</v>
      </c>
      <c r="X50" s="29">
        <v>-0.1429733</v>
      </c>
      <c r="Y50" s="29">
        <v>4566.3</v>
      </c>
      <c r="Z50" s="29">
        <v>12.84218466742476</v>
      </c>
      <c r="AA50" s="29">
        <v>3744.55</v>
      </c>
      <c r="AB50" s="29">
        <v>-6.9979952761598252</v>
      </c>
      <c r="AC50" s="29">
        <v>0.59742839999999997</v>
      </c>
      <c r="AD50" s="29">
        <v>1.555712</v>
      </c>
      <c r="AE50" s="29">
        <v>3.2104339999999998</v>
      </c>
      <c r="AF50" s="29">
        <v>-0.77434170000000002</v>
      </c>
      <c r="AG50" s="29">
        <v>3.2104339999999998</v>
      </c>
      <c r="AH50" s="29">
        <v>-11.225910000000001</v>
      </c>
      <c r="AI50" s="29">
        <v>13.571093062280841</v>
      </c>
      <c r="AJ50" s="29">
        <v>7.626282329754499</v>
      </c>
      <c r="AK50" s="29">
        <v>8.1766842365537276</v>
      </c>
      <c r="AL50" s="45">
        <v>9.2585270004942016E-2</v>
      </c>
    </row>
    <row r="51" spans="1:38" x14ac:dyDescent="0.25">
      <c r="A51" s="26" t="s">
        <v>159</v>
      </c>
      <c r="B51" s="27" t="s">
        <v>1113</v>
      </c>
      <c r="C51" s="27" t="s">
        <v>986</v>
      </c>
      <c r="D51" s="29">
        <v>1631.614</v>
      </c>
      <c r="E51" s="29">
        <v>0.67508990000000002</v>
      </c>
      <c r="F51" s="29">
        <v>1700.35</v>
      </c>
      <c r="G51" s="29">
        <v>4.1264403265349854</v>
      </c>
      <c r="H51" s="29">
        <v>1378.202</v>
      </c>
      <c r="I51" s="29">
        <v>-16.878995785079052</v>
      </c>
      <c r="J51" s="29">
        <v>-1.9839089999999999</v>
      </c>
      <c r="K51" s="29">
        <v>6.5847350000000002</v>
      </c>
      <c r="L51" s="29">
        <v>0.90776500000000004</v>
      </c>
      <c r="M51" s="29">
        <v>4.1999589999999998</v>
      </c>
      <c r="N51" s="29">
        <v>0.90776500000000004</v>
      </c>
      <c r="O51" s="29">
        <v>-2.6700490000000001</v>
      </c>
      <c r="P51" s="29">
        <v>23.425352018099943</v>
      </c>
      <c r="Q51" s="29">
        <v>14.109565821007928</v>
      </c>
      <c r="R51" s="29">
        <v>17.272167358090059</v>
      </c>
      <c r="S51" s="45">
        <v>0.33948841999716112</v>
      </c>
      <c r="T51" s="27" t="s">
        <v>265</v>
      </c>
      <c r="U51" s="27" t="s">
        <v>1141</v>
      </c>
      <c r="V51" s="27" t="s">
        <v>375</v>
      </c>
      <c r="W51" s="29">
        <v>1047.8699999999999</v>
      </c>
      <c r="X51" s="29">
        <v>0.1414387</v>
      </c>
      <c r="Y51" s="29">
        <v>1169.3699999999999</v>
      </c>
      <c r="Z51" s="29">
        <v>10.970560984572041</v>
      </c>
      <c r="AA51" s="29">
        <v>899.05</v>
      </c>
      <c r="AB51" s="29">
        <v>-15.317616110749736</v>
      </c>
      <c r="AC51" s="29">
        <v>0.58071969999999995</v>
      </c>
      <c r="AD51" s="29">
        <v>8.657375</v>
      </c>
      <c r="AE51" s="29">
        <v>4.6520000000000001</v>
      </c>
      <c r="AF51" s="29">
        <v>2.5242879999999999</v>
      </c>
      <c r="AG51" s="29">
        <v>4.6520000000000001</v>
      </c>
      <c r="AH51" s="29">
        <v>-8.2722759999999997</v>
      </c>
      <c r="AI51" s="29">
        <v>18.562764701215425</v>
      </c>
      <c r="AJ51" s="29">
        <v>9.8567856937028235</v>
      </c>
      <c r="AK51" s="29">
        <v>13.185707658508326</v>
      </c>
      <c r="AL51" s="45">
        <v>0.38237192645800022</v>
      </c>
    </row>
    <row r="52" spans="1:38" x14ac:dyDescent="0.25">
      <c r="A52" s="26" t="s">
        <v>154</v>
      </c>
      <c r="B52" s="27" t="s">
        <v>1109</v>
      </c>
      <c r="C52" s="27" t="s">
        <v>1101</v>
      </c>
      <c r="D52" s="29">
        <v>880.7</v>
      </c>
      <c r="E52" s="29">
        <v>6.1352480000000001E-2</v>
      </c>
      <c r="F52" s="29">
        <v>948.48</v>
      </c>
      <c r="G52" s="29">
        <v>7.4143657416198758</v>
      </c>
      <c r="H52" s="29">
        <v>783.58</v>
      </c>
      <c r="I52" s="29">
        <v>-11.684388329288701</v>
      </c>
      <c r="J52" s="29">
        <v>-1.982172</v>
      </c>
      <c r="K52" s="29">
        <v>4.6981640000000002</v>
      </c>
      <c r="L52" s="29">
        <v>1.9092800000000001</v>
      </c>
      <c r="M52" s="29">
        <v>1.5555619999999999</v>
      </c>
      <c r="N52" s="29">
        <v>1.9092800000000001</v>
      </c>
      <c r="O52" s="29">
        <v>-6.4677100000000003</v>
      </c>
      <c r="P52" s="29">
        <v>38.721885132670586</v>
      </c>
      <c r="Q52" s="29">
        <v>12.04630630335153</v>
      </c>
      <c r="R52" s="29">
        <v>17.303867625628794</v>
      </c>
      <c r="S52" s="45">
        <v>0.19709268000957833</v>
      </c>
      <c r="T52" s="27" t="s">
        <v>61</v>
      </c>
      <c r="U52" s="27" t="s">
        <v>1142</v>
      </c>
      <c r="V52" s="27" t="s">
        <v>397</v>
      </c>
      <c r="W52" s="29">
        <v>16200.88</v>
      </c>
      <c r="X52" s="29">
        <v>0.72067320000000001</v>
      </c>
      <c r="Y52" s="29">
        <v>16320.51953125</v>
      </c>
      <c r="Z52" s="29">
        <v>0.735762130127948</v>
      </c>
      <c r="AA52" s="29">
        <v>11494.47</v>
      </c>
      <c r="AB52" s="29">
        <v>-34.319951160152186</v>
      </c>
      <c r="AC52" s="29">
        <v>0.56225020000000003</v>
      </c>
      <c r="AD52" s="29">
        <v>7.8583889999999998</v>
      </c>
      <c r="AE52" s="29">
        <v>7.0212019999999997</v>
      </c>
      <c r="AF52" s="29">
        <v>17.965710000000001</v>
      </c>
      <c r="AG52" s="29">
        <v>7.0212019999999997</v>
      </c>
      <c r="AH52" s="29">
        <v>37.761060000000001</v>
      </c>
      <c r="AI52" s="29">
        <v>55.283903439825018</v>
      </c>
      <c r="AJ52" s="29">
        <v>13.152704848456731</v>
      </c>
      <c r="AK52" s="29">
        <v>19.297665915318159</v>
      </c>
      <c r="AL52" s="45">
        <v>0.14585298477884723</v>
      </c>
    </row>
    <row r="53" spans="1:38" x14ac:dyDescent="0.25">
      <c r="A53" s="26" t="s">
        <v>155</v>
      </c>
      <c r="B53" s="27" t="s">
        <v>1110</v>
      </c>
      <c r="C53" s="27" t="s">
        <v>1101</v>
      </c>
      <c r="D53" s="29">
        <v>864.01</v>
      </c>
      <c r="E53" s="29">
        <v>2.1995319999999999E-2</v>
      </c>
      <c r="F53" s="29">
        <v>916.09</v>
      </c>
      <c r="G53" s="29">
        <v>5.8530270311551948</v>
      </c>
      <c r="H53" s="29">
        <v>759.47</v>
      </c>
      <c r="I53" s="29">
        <v>-12.896352122629159</v>
      </c>
      <c r="J53" s="29">
        <v>-1.981892</v>
      </c>
      <c r="K53" s="29">
        <v>4.0950810000000004</v>
      </c>
      <c r="L53" s="29">
        <v>2.1638609999999998</v>
      </c>
      <c r="M53" s="29">
        <v>2.324783</v>
      </c>
      <c r="N53" s="29">
        <v>2.1638609999999998</v>
      </c>
      <c r="O53" s="29">
        <v>-4.8069730000000002</v>
      </c>
      <c r="P53" s="29">
        <v>32.626110442276861</v>
      </c>
      <c r="Q53" s="29">
        <v>11.661586825444445</v>
      </c>
      <c r="R53" s="29">
        <v>19.704894342621543</v>
      </c>
      <c r="S53" s="45">
        <v>0.3836627850069117</v>
      </c>
      <c r="T53" s="27" t="s">
        <v>213</v>
      </c>
      <c r="U53" s="27" t="s">
        <v>350</v>
      </c>
      <c r="V53" s="27" t="s">
        <v>351</v>
      </c>
      <c r="W53" s="29">
        <v>2439.71</v>
      </c>
      <c r="X53" s="29">
        <v>-0.3207276</v>
      </c>
      <c r="Y53" s="29">
        <v>3070.33</v>
      </c>
      <c r="Z53" s="29">
        <v>22.990586789636666</v>
      </c>
      <c r="AA53" s="29">
        <v>2419.67</v>
      </c>
      <c r="AB53" s="29">
        <v>-0.82480125487154354</v>
      </c>
      <c r="AC53" s="29">
        <v>0.54523509999999997</v>
      </c>
      <c r="AD53" s="29">
        <v>-1.750181</v>
      </c>
      <c r="AE53" s="29">
        <v>-7.9552740000000002</v>
      </c>
      <c r="AF53" s="29">
        <v>-14.12073</v>
      </c>
      <c r="AG53" s="29">
        <v>-7.9552740000000002</v>
      </c>
      <c r="AH53" s="29">
        <v>-15.621840000000001</v>
      </c>
      <c r="AI53" s="29">
        <v>17.316556195729476</v>
      </c>
      <c r="AJ53" s="29">
        <v>8.8372905609018453</v>
      </c>
      <c r="AK53" s="29">
        <v>8.9104820716617716</v>
      </c>
      <c r="AL53" s="45">
        <v>8.6318218949646367E-3</v>
      </c>
    </row>
    <row r="54" spans="1:38" x14ac:dyDescent="0.25">
      <c r="A54" s="26" t="s">
        <v>112</v>
      </c>
      <c r="B54" s="27" t="s">
        <v>1060</v>
      </c>
      <c r="C54" s="27" t="s">
        <v>1061</v>
      </c>
      <c r="D54" s="29">
        <v>8698.5</v>
      </c>
      <c r="E54" s="29">
        <v>3.4615649999999998E-2</v>
      </c>
      <c r="F54" s="29">
        <v>9026.8799999999992</v>
      </c>
      <c r="G54" s="29">
        <v>3.7056195772216789</v>
      </c>
      <c r="H54" s="29">
        <v>7113.91015625</v>
      </c>
      <c r="I54" s="29">
        <v>-20.109855270270565</v>
      </c>
      <c r="J54" s="29">
        <v>-1.975034</v>
      </c>
      <c r="K54" s="29">
        <v>1.600419</v>
      </c>
      <c r="L54" s="29">
        <v>0.21740689999999999</v>
      </c>
      <c r="M54" s="29">
        <v>3.3967499999999999</v>
      </c>
      <c r="N54" s="29">
        <v>0.21740689999999999</v>
      </c>
      <c r="O54" s="29">
        <v>-2.8008289999999998</v>
      </c>
      <c r="P54" s="29">
        <v>30.182000300832041</v>
      </c>
      <c r="Q54" s="29">
        <v>14.034340024267941</v>
      </c>
      <c r="R54" s="29">
        <v>16.162373024210893</v>
      </c>
      <c r="S54" s="45">
        <v>0.13178584163251642</v>
      </c>
      <c r="T54" s="27" t="s">
        <v>76</v>
      </c>
      <c r="U54" s="27" t="s">
        <v>1092</v>
      </c>
      <c r="V54" s="27" t="s">
        <v>388</v>
      </c>
      <c r="W54" s="29">
        <v>1104.79</v>
      </c>
      <c r="X54" s="29">
        <v>0.33785320000000002</v>
      </c>
      <c r="Y54" s="29">
        <v>1117.3699999999999</v>
      </c>
      <c r="Z54" s="29">
        <v>1.1322437982442319</v>
      </c>
      <c r="AA54" s="29">
        <v>888.81</v>
      </c>
      <c r="AB54" s="29">
        <v>-21.752706125485858</v>
      </c>
      <c r="AC54" s="29">
        <v>0.5451357</v>
      </c>
      <c r="AD54" s="29">
        <v>4.3840190000000003</v>
      </c>
      <c r="AE54" s="29">
        <v>3.8863789999999998</v>
      </c>
      <c r="AF54" s="29">
        <v>3.073197</v>
      </c>
      <c r="AG54" s="29">
        <v>3.8863789999999998</v>
      </c>
      <c r="AH54" s="29">
        <v>10.10904</v>
      </c>
      <c r="AI54" s="29">
        <v>21.673260009663441</v>
      </c>
      <c r="AJ54" s="29">
        <v>5.9864138074128324</v>
      </c>
      <c r="AK54" s="29">
        <v>12.948253795321438</v>
      </c>
      <c r="AL54" s="45">
        <v>0.44380112472255789</v>
      </c>
    </row>
    <row r="55" spans="1:38" x14ac:dyDescent="0.25">
      <c r="A55" s="26" t="s">
        <v>278</v>
      </c>
      <c r="B55" s="27" t="s">
        <v>989</v>
      </c>
      <c r="C55" s="27" t="s">
        <v>354</v>
      </c>
      <c r="D55" s="29">
        <v>15726.29</v>
      </c>
      <c r="E55" s="29">
        <v>0.54388340000000002</v>
      </c>
      <c r="F55" s="29">
        <v>18717.859375</v>
      </c>
      <c r="G55" s="29">
        <v>17.414428068698847</v>
      </c>
      <c r="H55" s="29">
        <v>14846.53</v>
      </c>
      <c r="I55" s="29">
        <v>-5.7567666288029624</v>
      </c>
      <c r="J55" s="29">
        <v>-1.971381</v>
      </c>
      <c r="K55" s="29">
        <v>2.6744729999999999</v>
      </c>
      <c r="L55" s="29">
        <v>-6.4238869999999997</v>
      </c>
      <c r="M55" s="29">
        <v>-9.59544</v>
      </c>
      <c r="N55" s="29">
        <v>-6.4238869999999997</v>
      </c>
      <c r="O55" s="29">
        <v>-4.0282210000000003</v>
      </c>
      <c r="P55" s="29">
        <v>9.7353069674717876</v>
      </c>
      <c r="Q55" s="29">
        <v>4.8988329821816539</v>
      </c>
      <c r="R55" s="29">
        <v>6.4218006964622729</v>
      </c>
      <c r="S55" s="45">
        <v>0.31489215467976062</v>
      </c>
      <c r="T55" s="27" t="s">
        <v>75</v>
      </c>
      <c r="U55" s="27" t="s">
        <v>1093</v>
      </c>
      <c r="V55" s="27" t="s">
        <v>388</v>
      </c>
      <c r="W55" s="29">
        <v>1037.8800000000001</v>
      </c>
      <c r="X55" s="29">
        <v>0.36456470000000002</v>
      </c>
      <c r="Y55" s="29">
        <v>1050.51</v>
      </c>
      <c r="Z55" s="29">
        <v>1.2095589409861243</v>
      </c>
      <c r="AA55" s="29">
        <v>834.96</v>
      </c>
      <c r="AB55" s="29">
        <v>-21.755163059462454</v>
      </c>
      <c r="AC55" s="29">
        <v>0.53567339999999997</v>
      </c>
      <c r="AD55" s="29">
        <v>4.3577969999999997</v>
      </c>
      <c r="AE55" s="29">
        <v>3.7537600000000002</v>
      </c>
      <c r="AF55" s="29">
        <v>2.9265059999999998</v>
      </c>
      <c r="AG55" s="29">
        <v>3.7537600000000002</v>
      </c>
      <c r="AH55" s="29">
        <v>10.10821</v>
      </c>
      <c r="AI55" s="29">
        <v>44.29029718122451</v>
      </c>
      <c r="AJ55" s="29">
        <v>11.008155736287637</v>
      </c>
      <c r="AK55" s="29">
        <v>12.511166718089697</v>
      </c>
      <c r="AL55" s="45">
        <v>4.5159683738761024E-2</v>
      </c>
    </row>
    <row r="56" spans="1:38" x14ac:dyDescent="0.25">
      <c r="A56" s="26" t="s">
        <v>161</v>
      </c>
      <c r="B56" s="27" t="s">
        <v>1103</v>
      </c>
      <c r="C56" s="27" t="s">
        <v>986</v>
      </c>
      <c r="D56" s="29">
        <v>618.03060000000005</v>
      </c>
      <c r="E56" s="29">
        <v>0.70763980000000004</v>
      </c>
      <c r="F56" s="29">
        <v>632.15660000000003</v>
      </c>
      <c r="G56" s="29">
        <v>2.2599177468406095</v>
      </c>
      <c r="H56" s="29">
        <v>513.36249999999995</v>
      </c>
      <c r="I56" s="29">
        <v>-18.555574748770056</v>
      </c>
      <c r="J56" s="29">
        <v>-1.9632369999999999</v>
      </c>
      <c r="K56" s="29">
        <v>4.6018749999999997</v>
      </c>
      <c r="L56" s="29">
        <v>1.0935699999999999</v>
      </c>
      <c r="M56" s="29">
        <v>5.33094</v>
      </c>
      <c r="N56" s="29">
        <v>1.0935699999999999</v>
      </c>
      <c r="O56" s="29">
        <v>0.2466315</v>
      </c>
      <c r="P56" s="29">
        <v>22.964951469395778</v>
      </c>
      <c r="Q56" s="29">
        <v>11.312193547962334</v>
      </c>
      <c r="R56" s="29">
        <v>17.265624144989687</v>
      </c>
      <c r="S56" s="45">
        <v>0.5109031387391082</v>
      </c>
      <c r="T56" s="27" t="s">
        <v>260</v>
      </c>
      <c r="U56" s="27" t="s">
        <v>1143</v>
      </c>
      <c r="V56" s="27" t="s">
        <v>375</v>
      </c>
      <c r="W56" s="29">
        <v>743.29</v>
      </c>
      <c r="X56" s="29">
        <v>0.164405</v>
      </c>
      <c r="Y56" s="29">
        <v>822.41</v>
      </c>
      <c r="Z56" s="29">
        <v>10.115277603739466</v>
      </c>
      <c r="AA56" s="29">
        <v>635.05999999999995</v>
      </c>
      <c r="AB56" s="29">
        <v>-15.736679550471319</v>
      </c>
      <c r="AC56" s="29">
        <v>0.46224399999999999</v>
      </c>
      <c r="AD56" s="29">
        <v>8.4556489999999993</v>
      </c>
      <c r="AE56" s="29">
        <v>4.1036970000000004</v>
      </c>
      <c r="AF56" s="29">
        <v>2.1002719999999999</v>
      </c>
      <c r="AG56" s="29">
        <v>4.1036970000000004</v>
      </c>
      <c r="AH56" s="29">
        <v>-7.4508520000000003</v>
      </c>
      <c r="AI56" s="29">
        <v>16.733251640390694</v>
      </c>
      <c r="AJ56" s="29">
        <v>9.0551289599699682</v>
      </c>
      <c r="AK56" s="29">
        <v>12.048005228284731</v>
      </c>
      <c r="AL56" s="45">
        <v>0.3897927127351874</v>
      </c>
    </row>
    <row r="57" spans="1:38" x14ac:dyDescent="0.25">
      <c r="A57" s="26" t="s">
        <v>84</v>
      </c>
      <c r="B57" s="27" t="s">
        <v>1098</v>
      </c>
      <c r="C57" s="27" t="s">
        <v>369</v>
      </c>
      <c r="D57" s="29">
        <v>1529.82</v>
      </c>
      <c r="E57" s="29">
        <v>0.13156090000000001</v>
      </c>
      <c r="F57" s="29">
        <v>1709.35</v>
      </c>
      <c r="G57" s="29">
        <v>11.096309986817761</v>
      </c>
      <c r="H57" s="29">
        <v>1454.79</v>
      </c>
      <c r="I57" s="29">
        <v>-5.0288521114575788</v>
      </c>
      <c r="J57" s="29">
        <v>-1.944674</v>
      </c>
      <c r="K57" s="29">
        <v>3.0167890000000002</v>
      </c>
      <c r="L57" s="29">
        <v>-7.2240339999999996</v>
      </c>
      <c r="M57" s="29">
        <v>-7.4412729999999998</v>
      </c>
      <c r="N57" s="29">
        <v>-7.2240339999999996</v>
      </c>
      <c r="O57" s="29">
        <v>-4.8696349999999997</v>
      </c>
      <c r="P57" s="29">
        <v>185.5476434622386</v>
      </c>
      <c r="Q57" s="29">
        <v>9.3763901419560902</v>
      </c>
      <c r="R57" s="29">
        <v>9.8140566765934736</v>
      </c>
      <c r="S57" s="45">
        <v>2.4843243513838079E-3</v>
      </c>
      <c r="T57" s="27" t="s">
        <v>73</v>
      </c>
      <c r="U57" s="27" t="s">
        <v>1144</v>
      </c>
      <c r="V57" s="27" t="s">
        <v>388</v>
      </c>
      <c r="W57" s="29">
        <v>1601.43</v>
      </c>
      <c r="X57" s="29">
        <v>0.31822600000000001</v>
      </c>
      <c r="Y57" s="29">
        <v>1634.17</v>
      </c>
      <c r="Z57" s="29">
        <v>2.0238050104781444</v>
      </c>
      <c r="AA57" s="29">
        <v>1290.9000000000001</v>
      </c>
      <c r="AB57" s="29">
        <v>-21.555733055849089</v>
      </c>
      <c r="AC57" s="29">
        <v>0.45982210000000001</v>
      </c>
      <c r="AD57" s="29">
        <v>4.5654320000000004</v>
      </c>
      <c r="AE57" s="29">
        <v>3.4722789999999999</v>
      </c>
      <c r="AF57" s="29">
        <v>1.82809</v>
      </c>
      <c r="AG57" s="29">
        <v>3.4722789999999999</v>
      </c>
      <c r="AH57" s="29">
        <v>6.894552</v>
      </c>
      <c r="AI57" s="29">
        <v>29.627147807177764</v>
      </c>
      <c r="AJ57" s="29">
        <v>11.322069895585422</v>
      </c>
      <c r="AK57" s="29">
        <v>13.053761795970056</v>
      </c>
      <c r="AL57" s="45">
        <v>9.4601722470024477E-2</v>
      </c>
    </row>
    <row r="58" spans="1:38" x14ac:dyDescent="0.25">
      <c r="A58" s="26" t="s">
        <v>160</v>
      </c>
      <c r="B58" s="27" t="s">
        <v>1108</v>
      </c>
      <c r="C58" s="27" t="s">
        <v>986</v>
      </c>
      <c r="D58" s="29">
        <v>1108.104</v>
      </c>
      <c r="E58" s="29">
        <v>0.70413579999999998</v>
      </c>
      <c r="F58" s="29">
        <v>1136.163</v>
      </c>
      <c r="G58" s="29">
        <v>2.5006349185195043</v>
      </c>
      <c r="H58" s="29">
        <v>902.69889999999998</v>
      </c>
      <c r="I58" s="29">
        <v>-20.501667198143107</v>
      </c>
      <c r="J58" s="29">
        <v>-1.906047</v>
      </c>
      <c r="K58" s="29">
        <v>5.4169559999999999</v>
      </c>
      <c r="L58" s="29">
        <v>1.1759250000000001</v>
      </c>
      <c r="M58" s="29">
        <v>6.845269</v>
      </c>
      <c r="N58" s="29">
        <v>1.1759250000000001</v>
      </c>
      <c r="O58" s="29">
        <v>2.3086540000000002</v>
      </c>
      <c r="P58" s="29">
        <v>24.436249591988407</v>
      </c>
      <c r="Q58" s="29">
        <v>13.688657452690132</v>
      </c>
      <c r="R58" s="29">
        <v>19.817605674472958</v>
      </c>
      <c r="S58" s="45">
        <v>0.57026244970466411</v>
      </c>
      <c r="T58" s="27" t="s">
        <v>233</v>
      </c>
      <c r="U58" s="27" t="s">
        <v>938</v>
      </c>
      <c r="V58" s="27" t="s">
        <v>375</v>
      </c>
      <c r="W58" s="29">
        <v>22048.240000000002</v>
      </c>
      <c r="X58" s="29">
        <v>0.12756500000000001</v>
      </c>
      <c r="Y58" s="29">
        <v>24448.0703125</v>
      </c>
      <c r="Z58" s="29">
        <v>10.33185088690241</v>
      </c>
      <c r="AA58" s="29">
        <v>18948.580000000002</v>
      </c>
      <c r="AB58" s="29">
        <v>-15.150378542927632</v>
      </c>
      <c r="AC58" s="29">
        <v>0.39857120000000001</v>
      </c>
      <c r="AD58" s="29">
        <v>7.7833100000000002</v>
      </c>
      <c r="AE58" s="29">
        <v>3.3277000000000001</v>
      </c>
      <c r="AF58" s="29">
        <v>3.1316630000000001</v>
      </c>
      <c r="AG58" s="29">
        <v>3.3277000000000001</v>
      </c>
      <c r="AH58" s="29">
        <v>-7.347645</v>
      </c>
      <c r="AI58" s="29">
        <v>24.860578273466032</v>
      </c>
      <c r="AJ58" s="29">
        <v>13.235173471021744</v>
      </c>
      <c r="AK58" s="29">
        <v>15.647611905499852</v>
      </c>
      <c r="AL58" s="45">
        <v>0.20751435975553156</v>
      </c>
    </row>
    <row r="59" spans="1:38" x14ac:dyDescent="0.25">
      <c r="A59" s="26" t="s">
        <v>292</v>
      </c>
      <c r="B59" s="27" t="s">
        <v>1181</v>
      </c>
      <c r="C59" s="27" t="s">
        <v>384</v>
      </c>
      <c r="D59" s="29">
        <v>6812.7830000000004</v>
      </c>
      <c r="E59" s="29">
        <v>-0.6120584</v>
      </c>
      <c r="F59" s="29">
        <v>7301.7259999999997</v>
      </c>
      <c r="G59" s="29">
        <v>6.9310058152415852</v>
      </c>
      <c r="H59" s="29">
        <v>5177.9589999999998</v>
      </c>
      <c r="I59" s="29">
        <v>-27.438973722805589</v>
      </c>
      <c r="J59" s="29">
        <v>-1.903662</v>
      </c>
      <c r="K59" s="29">
        <v>1.055234</v>
      </c>
      <c r="L59" s="29">
        <v>1.702758</v>
      </c>
      <c r="M59" s="29">
        <v>3.849383</v>
      </c>
      <c r="N59" s="29">
        <v>1.702758</v>
      </c>
      <c r="O59" s="29">
        <v>11.90774</v>
      </c>
      <c r="P59" s="29" t="s">
        <v>355</v>
      </c>
      <c r="Q59" s="29" t="s">
        <v>355</v>
      </c>
      <c r="R59" s="29" t="s">
        <v>355</v>
      </c>
      <c r="S59" s="45" t="s">
        <v>349</v>
      </c>
      <c r="T59" s="27" t="s">
        <v>224</v>
      </c>
      <c r="U59" s="27" t="s">
        <v>365</v>
      </c>
      <c r="V59" s="27" t="s">
        <v>366</v>
      </c>
      <c r="W59" s="29">
        <v>1823.63</v>
      </c>
      <c r="X59" s="29">
        <v>9.4406420000000005E-2</v>
      </c>
      <c r="Y59" s="29">
        <v>1997.52</v>
      </c>
      <c r="Z59" s="29">
        <v>9.1077390925887549</v>
      </c>
      <c r="AA59" s="29">
        <v>1759.78</v>
      </c>
      <c r="AB59" s="29">
        <v>-3.564021896101552</v>
      </c>
      <c r="AC59" s="29">
        <v>0.35881229999999997</v>
      </c>
      <c r="AD59" s="29">
        <v>2.907297E-2</v>
      </c>
      <c r="AE59" s="29">
        <v>-2.8164419999999999</v>
      </c>
      <c r="AF59" s="29">
        <v>-5.4927910000000004</v>
      </c>
      <c r="AG59" s="29">
        <v>-2.8164419999999999</v>
      </c>
      <c r="AH59" s="29">
        <v>-7.8574539999999997</v>
      </c>
      <c r="AI59" s="29">
        <v>31.634821675684446</v>
      </c>
      <c r="AJ59" s="29">
        <v>11.106234917838032</v>
      </c>
      <c r="AK59" s="29">
        <v>11.73036460433921</v>
      </c>
      <c r="AL59" s="45">
        <v>3.0402954371061296E-2</v>
      </c>
    </row>
    <row r="60" spans="1:38" x14ac:dyDescent="0.25">
      <c r="A60" s="26" t="s">
        <v>273</v>
      </c>
      <c r="B60" s="27" t="s">
        <v>996</v>
      </c>
      <c r="C60" s="27" t="s">
        <v>354</v>
      </c>
      <c r="D60" s="29">
        <v>3505.13</v>
      </c>
      <c r="E60" s="29">
        <v>0.3133782</v>
      </c>
      <c r="F60" s="29">
        <v>4079.01</v>
      </c>
      <c r="G60" s="29">
        <v>15.162670224333317</v>
      </c>
      <c r="H60" s="29">
        <v>3269.62</v>
      </c>
      <c r="I60" s="29">
        <v>-6.9553839464928577</v>
      </c>
      <c r="J60" s="29">
        <v>-1.877003</v>
      </c>
      <c r="K60" s="29">
        <v>1.445066</v>
      </c>
      <c r="L60" s="29">
        <v>-7.7067940000000004</v>
      </c>
      <c r="M60" s="29">
        <v>-9.0132049999999992</v>
      </c>
      <c r="N60" s="29">
        <v>-7.7067940000000004</v>
      </c>
      <c r="O60" s="29">
        <v>-6.5248860000000004</v>
      </c>
      <c r="P60" s="29" t="s">
        <v>355</v>
      </c>
      <c r="Q60" s="29" t="s">
        <v>355</v>
      </c>
      <c r="R60" s="29" t="s">
        <v>355</v>
      </c>
      <c r="S60" s="45" t="s">
        <v>349</v>
      </c>
      <c r="T60" s="27" t="s">
        <v>147</v>
      </c>
      <c r="U60" s="27" t="s">
        <v>1145</v>
      </c>
      <c r="V60" s="27" t="s">
        <v>993</v>
      </c>
      <c r="W60" s="29">
        <v>1150.328</v>
      </c>
      <c r="X60" s="29">
        <v>0.64314510000000003</v>
      </c>
      <c r="Y60" s="29">
        <v>1163.5070000000001</v>
      </c>
      <c r="Z60" s="29">
        <v>1.1391600972434694</v>
      </c>
      <c r="AA60" s="29">
        <v>980.75049999999999</v>
      </c>
      <c r="AB60" s="29">
        <v>-15.94843031784024</v>
      </c>
      <c r="AC60" s="29">
        <v>0.33361869999999999</v>
      </c>
      <c r="AD60" s="29">
        <v>1.856441</v>
      </c>
      <c r="AE60" s="29">
        <v>3.2600229999999999</v>
      </c>
      <c r="AF60" s="29">
        <v>2.8913120000000001</v>
      </c>
      <c r="AG60" s="29">
        <v>3.2600229999999999</v>
      </c>
      <c r="AH60" s="29">
        <v>2.6366550000000002</v>
      </c>
      <c r="AI60" s="29">
        <v>22.980146483160532</v>
      </c>
      <c r="AJ60" s="29">
        <v>16.850627168492604</v>
      </c>
      <c r="AK60" s="29">
        <v>22.855883336179314</v>
      </c>
      <c r="AL60" s="45">
        <v>0.9797270975745429</v>
      </c>
    </row>
    <row r="61" spans="1:38" x14ac:dyDescent="0.25">
      <c r="A61" s="26" t="s">
        <v>16</v>
      </c>
      <c r="B61" s="27" t="s">
        <v>1182</v>
      </c>
      <c r="C61" s="27" t="s">
        <v>391</v>
      </c>
      <c r="D61" s="29">
        <v>8030.6610000000001</v>
      </c>
      <c r="E61" s="29">
        <v>-0.57844220000000002</v>
      </c>
      <c r="F61" s="29">
        <v>8339.6389999999992</v>
      </c>
      <c r="G61" s="29">
        <v>3.7753089177422297</v>
      </c>
      <c r="H61" s="29">
        <v>6190.1660000000002</v>
      </c>
      <c r="I61" s="29">
        <v>-26.030493710027219</v>
      </c>
      <c r="J61" s="29">
        <v>-1.860206</v>
      </c>
      <c r="K61" s="29">
        <v>2.6027439999999999</v>
      </c>
      <c r="L61" s="29">
        <v>0.78947330000000004</v>
      </c>
      <c r="M61" s="29">
        <v>5.0669250000000003</v>
      </c>
      <c r="N61" s="29">
        <v>0.78947330000000004</v>
      </c>
      <c r="O61" s="29">
        <v>-0.14059550000000001</v>
      </c>
      <c r="P61" s="29">
        <v>45.673606367226448</v>
      </c>
      <c r="Q61" s="29">
        <v>24.954221858697238</v>
      </c>
      <c r="R61" s="29">
        <v>31.335452395012549</v>
      </c>
      <c r="S61" s="45">
        <v>0.30798359544360276</v>
      </c>
      <c r="T61" s="27" t="s">
        <v>266</v>
      </c>
      <c r="U61" s="27" t="s">
        <v>1146</v>
      </c>
      <c r="V61" s="27" t="s">
        <v>375</v>
      </c>
      <c r="W61" s="29">
        <v>6512.42</v>
      </c>
      <c r="X61" s="29">
        <v>-9.327299E-2</v>
      </c>
      <c r="Y61" s="29">
        <v>7463.58984375</v>
      </c>
      <c r="Z61" s="29">
        <v>13.632538783415171</v>
      </c>
      <c r="AA61" s="29">
        <v>5821.81</v>
      </c>
      <c r="AB61" s="29">
        <v>-11.209991297742446</v>
      </c>
      <c r="AC61" s="29">
        <v>0.32937650000000002</v>
      </c>
      <c r="AD61" s="29">
        <v>3.4190200000000002</v>
      </c>
      <c r="AE61" s="29">
        <v>-0.78414200000000001</v>
      </c>
      <c r="AF61" s="29">
        <v>-4.3167809999999998</v>
      </c>
      <c r="AG61" s="29">
        <v>-0.78414200000000001</v>
      </c>
      <c r="AH61" s="29">
        <v>-10.987159999999999</v>
      </c>
      <c r="AI61" s="29">
        <v>490.68713949030354</v>
      </c>
      <c r="AJ61" s="29">
        <v>3.9702770251267125</v>
      </c>
      <c r="AK61" s="29" t="s">
        <v>355</v>
      </c>
      <c r="AL61" s="45" t="s">
        <v>349</v>
      </c>
    </row>
    <row r="62" spans="1:38" x14ac:dyDescent="0.25">
      <c r="A62" s="26" t="s">
        <v>39</v>
      </c>
      <c r="B62" s="27" t="s">
        <v>1183</v>
      </c>
      <c r="C62" s="27" t="s">
        <v>391</v>
      </c>
      <c r="D62" s="29">
        <v>1533.326</v>
      </c>
      <c r="E62" s="29">
        <v>-1.117464</v>
      </c>
      <c r="F62" s="29">
        <v>1703.809</v>
      </c>
      <c r="G62" s="29">
        <v>10.542710071597464</v>
      </c>
      <c r="H62" s="29">
        <v>1266.925</v>
      </c>
      <c r="I62" s="29">
        <v>-19.084652756859317</v>
      </c>
      <c r="J62" s="29">
        <v>-1.8026789999999999</v>
      </c>
      <c r="K62" s="29">
        <v>5.308039</v>
      </c>
      <c r="L62" s="29">
        <v>-0.85506439999999995</v>
      </c>
      <c r="M62" s="29">
        <v>0.72887049999999998</v>
      </c>
      <c r="N62" s="29">
        <v>-0.85506439999999995</v>
      </c>
      <c r="O62" s="29">
        <v>-9.2988780000000002</v>
      </c>
      <c r="P62" s="29">
        <v>84.567466001106126</v>
      </c>
      <c r="Q62" s="29">
        <v>30.046516697966592</v>
      </c>
      <c r="R62" s="29">
        <v>41.235304104337075</v>
      </c>
      <c r="S62" s="45">
        <v>0.2052199668087252</v>
      </c>
      <c r="T62" s="27" t="s">
        <v>193</v>
      </c>
      <c r="U62" s="27" t="s">
        <v>1086</v>
      </c>
      <c r="V62" s="27" t="s">
        <v>1087</v>
      </c>
      <c r="W62" s="29">
        <v>1027.7570000000001</v>
      </c>
      <c r="X62" s="29">
        <v>-4.8649400000000002E-4</v>
      </c>
      <c r="Y62" s="29">
        <v>1081.5060000000001</v>
      </c>
      <c r="Z62" s="29">
        <v>5.0975756478247352</v>
      </c>
      <c r="AA62" s="29">
        <v>882.68039999999996</v>
      </c>
      <c r="AB62" s="29">
        <v>-15.217084956954771</v>
      </c>
      <c r="AC62" s="29">
        <v>0.32150919999999999</v>
      </c>
      <c r="AD62" s="29">
        <v>0.46372409999999997</v>
      </c>
      <c r="AE62" s="29">
        <v>0.7428051</v>
      </c>
      <c r="AF62" s="29">
        <v>6.1242910000000004</v>
      </c>
      <c r="AG62" s="29">
        <v>0.7428051</v>
      </c>
      <c r="AH62" s="29">
        <v>4.9310409999999996</v>
      </c>
      <c r="AI62" s="29">
        <v>110.49233738798532</v>
      </c>
      <c r="AJ62" s="29">
        <v>11.481456839102927</v>
      </c>
      <c r="AK62" s="29">
        <v>27.995725691522317</v>
      </c>
      <c r="AL62" s="45">
        <v>0.16679246524089014</v>
      </c>
    </row>
    <row r="63" spans="1:38" x14ac:dyDescent="0.25">
      <c r="A63" s="26" t="s">
        <v>164</v>
      </c>
      <c r="B63" s="27" t="s">
        <v>1184</v>
      </c>
      <c r="C63" s="27" t="s">
        <v>1177</v>
      </c>
      <c r="D63" s="29">
        <v>1213.21</v>
      </c>
      <c r="E63" s="29">
        <v>6.4333609999999999E-2</v>
      </c>
      <c r="F63" s="29">
        <v>1340.77</v>
      </c>
      <c r="G63" s="29">
        <v>9.9974336331346088</v>
      </c>
      <c r="H63" s="29">
        <v>1086.19</v>
      </c>
      <c r="I63" s="29">
        <v>-11.059357929377855</v>
      </c>
      <c r="J63" s="29">
        <v>-1.8009459999999999</v>
      </c>
      <c r="K63" s="29">
        <v>2.5354749999999999</v>
      </c>
      <c r="L63" s="29">
        <v>1.7904610000000001</v>
      </c>
      <c r="M63" s="29">
        <v>-0.46763690000000002</v>
      </c>
      <c r="N63" s="29">
        <v>1.7904610000000001</v>
      </c>
      <c r="O63" s="29">
        <v>-9.1146799999999999</v>
      </c>
      <c r="P63" s="29">
        <v>1013.2065440917089</v>
      </c>
      <c r="Q63" s="29">
        <v>9.8696656410297301</v>
      </c>
      <c r="R63" s="29">
        <v>11.095324168890951</v>
      </c>
      <c r="S63" s="45">
        <v>1.2215822563542602E-3</v>
      </c>
      <c r="T63" s="27" t="s">
        <v>221</v>
      </c>
      <c r="U63" s="27" t="s">
        <v>356</v>
      </c>
      <c r="V63" s="27" t="s">
        <v>357</v>
      </c>
      <c r="W63" s="29">
        <v>794.61770000000001</v>
      </c>
      <c r="X63" s="29">
        <v>-6.612643E-2</v>
      </c>
      <c r="Y63" s="29">
        <v>995.56529999999998</v>
      </c>
      <c r="Z63" s="29">
        <v>22.544959804020621</v>
      </c>
      <c r="AA63" s="29">
        <v>786.89359999999999</v>
      </c>
      <c r="AB63" s="29">
        <v>-0.97680761640505587</v>
      </c>
      <c r="AC63" s="29">
        <v>0.29502519999999999</v>
      </c>
      <c r="AD63" s="29">
        <v>-0.88635750000000002</v>
      </c>
      <c r="AE63" s="29">
        <v>-7.6237919999999999</v>
      </c>
      <c r="AF63" s="29">
        <v>-17.15916</v>
      </c>
      <c r="AG63" s="29">
        <v>-7.6237919999999999</v>
      </c>
      <c r="AH63" s="29">
        <v>-18.1752</v>
      </c>
      <c r="AI63" s="29">
        <v>7.7726193447316199</v>
      </c>
      <c r="AJ63" s="29">
        <v>4.1903704142008813</v>
      </c>
      <c r="AK63" s="29">
        <v>4.2258650692432154</v>
      </c>
      <c r="AL63" s="45">
        <v>9.9084836734322796E-3</v>
      </c>
    </row>
    <row r="64" spans="1:38" x14ac:dyDescent="0.25">
      <c r="A64" s="26" t="s">
        <v>201</v>
      </c>
      <c r="B64" s="27" t="s">
        <v>1048</v>
      </c>
      <c r="C64" s="27" t="s">
        <v>1047</v>
      </c>
      <c r="D64" s="29">
        <v>49243.65</v>
      </c>
      <c r="E64" s="29">
        <v>0.77476630000000002</v>
      </c>
      <c r="F64" s="29">
        <v>53234.08984375</v>
      </c>
      <c r="G64" s="29">
        <v>7.791855237298023</v>
      </c>
      <c r="H64" s="29">
        <v>43771.0390625</v>
      </c>
      <c r="I64" s="29">
        <v>-11.780803522638863</v>
      </c>
      <c r="J64" s="29">
        <v>-1.776392</v>
      </c>
      <c r="K64" s="29">
        <v>2.2759</v>
      </c>
      <c r="L64" s="29">
        <v>-5.4032030000000004</v>
      </c>
      <c r="M64" s="29">
        <v>-1.3100339999999999</v>
      </c>
      <c r="N64" s="29">
        <v>-5.4032030000000004</v>
      </c>
      <c r="O64" s="29">
        <v>-1.1187229999999999</v>
      </c>
      <c r="P64" s="29">
        <v>50.735265535950397</v>
      </c>
      <c r="Q64" s="29">
        <v>13.028613934705954</v>
      </c>
      <c r="R64" s="29">
        <v>13.135864616662122</v>
      </c>
      <c r="S64" s="45">
        <v>2.8443438332940935E-3</v>
      </c>
      <c r="T64" s="27" t="s">
        <v>219</v>
      </c>
      <c r="U64" s="27" t="s">
        <v>1147</v>
      </c>
      <c r="V64" s="27" t="s">
        <v>1148</v>
      </c>
      <c r="W64" s="29">
        <v>1532.56</v>
      </c>
      <c r="X64" s="29">
        <v>0.79382299999999995</v>
      </c>
      <c r="Y64" s="29">
        <v>1535.99</v>
      </c>
      <c r="Z64" s="29">
        <v>0.22355845129124272</v>
      </c>
      <c r="AA64" s="29">
        <v>1252.6400000000001</v>
      </c>
      <c r="AB64" s="29">
        <v>-20.168621559724137</v>
      </c>
      <c r="AC64" s="29">
        <v>0.29383819999999999</v>
      </c>
      <c r="AD64" s="29">
        <v>4.2791930000000002</v>
      </c>
      <c r="AE64" s="29">
        <v>4.4148940000000003</v>
      </c>
      <c r="AF64" s="29">
        <v>8.2821149999999992</v>
      </c>
      <c r="AG64" s="29">
        <v>4.4148940000000003</v>
      </c>
      <c r="AH64" s="29">
        <v>3.2152120000000002</v>
      </c>
      <c r="AI64" s="29">
        <v>52.452543882663349</v>
      </c>
      <c r="AJ64" s="29">
        <v>14.902857949530521</v>
      </c>
      <c r="AK64" s="29">
        <v>52.452543882663349</v>
      </c>
      <c r="AL64" s="45">
        <v>1</v>
      </c>
    </row>
    <row r="65" spans="1:38" x14ac:dyDescent="0.25">
      <c r="A65" s="26" t="s">
        <v>30</v>
      </c>
      <c r="B65" s="27" t="s">
        <v>1185</v>
      </c>
      <c r="C65" s="27" t="s">
        <v>391</v>
      </c>
      <c r="D65" s="29">
        <v>7759.7830000000004</v>
      </c>
      <c r="E65" s="29">
        <v>-0.1570897</v>
      </c>
      <c r="F65" s="29">
        <v>8037.2870000000003</v>
      </c>
      <c r="G65" s="29">
        <v>3.5137218548376898</v>
      </c>
      <c r="H65" s="29">
        <v>5880.8149999999996</v>
      </c>
      <c r="I65" s="29">
        <v>-27.72590121387384</v>
      </c>
      <c r="J65" s="29">
        <v>-1.7658579999999999</v>
      </c>
      <c r="K65" s="29">
        <v>2.6116320000000002</v>
      </c>
      <c r="L65" s="29">
        <v>1.332166</v>
      </c>
      <c r="M65" s="29">
        <v>6.2675939999999999</v>
      </c>
      <c r="N65" s="29">
        <v>1.332166</v>
      </c>
      <c r="O65" s="29">
        <v>1.7828550000000001</v>
      </c>
      <c r="P65" s="29" t="s">
        <v>355</v>
      </c>
      <c r="Q65" s="29" t="s">
        <v>355</v>
      </c>
      <c r="R65" s="29" t="s">
        <v>355</v>
      </c>
      <c r="S65" s="45" t="s">
        <v>349</v>
      </c>
      <c r="T65" s="27" t="s">
        <v>210</v>
      </c>
      <c r="U65" s="27" t="s">
        <v>1088</v>
      </c>
      <c r="V65" s="27" t="s">
        <v>1089</v>
      </c>
      <c r="W65" s="29">
        <v>7458.9179999999997</v>
      </c>
      <c r="X65" s="29">
        <v>0.16961470000000001</v>
      </c>
      <c r="Y65" s="29">
        <v>8169.777</v>
      </c>
      <c r="Z65" s="29">
        <v>9.1031250035913374</v>
      </c>
      <c r="AA65" s="29">
        <v>7397.7669999999998</v>
      </c>
      <c r="AB65" s="29">
        <v>-0.82321655662070858</v>
      </c>
      <c r="AC65" s="29">
        <v>0.29376079999999999</v>
      </c>
      <c r="AD65" s="29">
        <v>-0.55576899999999996</v>
      </c>
      <c r="AE65" s="29">
        <v>-2.2177739999999999</v>
      </c>
      <c r="AF65" s="29">
        <v>-5.4105270000000001</v>
      </c>
      <c r="AG65" s="29">
        <v>-2.2177739999999999</v>
      </c>
      <c r="AH65" s="29">
        <v>-8.7010810000000003</v>
      </c>
      <c r="AI65" s="29">
        <v>16.103497414836962</v>
      </c>
      <c r="AJ65" s="29">
        <v>7.3633250184360328</v>
      </c>
      <c r="AK65" s="29">
        <v>7.425359281814802</v>
      </c>
      <c r="AL65" s="45">
        <v>7.0976018052360083E-3</v>
      </c>
    </row>
    <row r="66" spans="1:38" x14ac:dyDescent="0.25">
      <c r="A66" s="26" t="s">
        <v>97</v>
      </c>
      <c r="B66" s="27" t="s">
        <v>1130</v>
      </c>
      <c r="C66" s="27" t="s">
        <v>369</v>
      </c>
      <c r="D66" s="29">
        <v>1144.8399999999999</v>
      </c>
      <c r="E66" s="29">
        <v>0.12681590000000001</v>
      </c>
      <c r="F66" s="29">
        <v>1256.07</v>
      </c>
      <c r="G66" s="29">
        <v>9.2722909726412261</v>
      </c>
      <c r="H66" s="29">
        <v>1085.57</v>
      </c>
      <c r="I66" s="29">
        <v>-5.3159694581831811</v>
      </c>
      <c r="J66" s="29">
        <v>-1.749023</v>
      </c>
      <c r="K66" s="29">
        <v>3.5314049999999999</v>
      </c>
      <c r="L66" s="29">
        <v>-2.9500570000000002</v>
      </c>
      <c r="M66" s="29">
        <v>-4.1894770000000001</v>
      </c>
      <c r="N66" s="29">
        <v>-2.9500570000000002</v>
      </c>
      <c r="O66" s="29">
        <v>-6.6891679999999996</v>
      </c>
      <c r="P66" s="29">
        <v>66.760241186121434</v>
      </c>
      <c r="Q66" s="29">
        <v>9.8113545853836346</v>
      </c>
      <c r="R66" s="29">
        <v>10.25437391957195</v>
      </c>
      <c r="S66" s="45">
        <v>7.7792448743427443E-3</v>
      </c>
      <c r="T66" s="27" t="s">
        <v>74</v>
      </c>
      <c r="U66" s="27" t="s">
        <v>387</v>
      </c>
      <c r="V66" s="27" t="s">
        <v>388</v>
      </c>
      <c r="W66" s="29">
        <v>947.51</v>
      </c>
      <c r="X66" s="29">
        <v>-7.4877139999999995E-2</v>
      </c>
      <c r="Y66" s="29">
        <v>957.95</v>
      </c>
      <c r="Z66" s="29">
        <v>1.0958093551404191</v>
      </c>
      <c r="AA66" s="29">
        <v>705.68</v>
      </c>
      <c r="AB66" s="29">
        <v>-29.467561404008574</v>
      </c>
      <c r="AC66" s="29">
        <v>0.27197470000000001</v>
      </c>
      <c r="AD66" s="29">
        <v>3.5960299999999998</v>
      </c>
      <c r="AE66" s="29">
        <v>9.5197339999999997</v>
      </c>
      <c r="AF66" s="29">
        <v>17.14865</v>
      </c>
      <c r="AG66" s="29">
        <v>9.5197339999999997</v>
      </c>
      <c r="AH66" s="29">
        <v>21.7441</v>
      </c>
      <c r="AI66" s="29">
        <v>45.765355280096081</v>
      </c>
      <c r="AJ66" s="29">
        <v>5.491170313250076</v>
      </c>
      <c r="AK66" s="29">
        <v>6.8861627764185318</v>
      </c>
      <c r="AL66" s="45">
        <v>3.4637385320567593E-2</v>
      </c>
    </row>
    <row r="67" spans="1:38" x14ac:dyDescent="0.25">
      <c r="A67" s="26" t="s">
        <v>149</v>
      </c>
      <c r="B67" s="27" t="s">
        <v>1009</v>
      </c>
      <c r="C67" s="27" t="s">
        <v>995</v>
      </c>
      <c r="D67" s="29">
        <v>3967.0279999999998</v>
      </c>
      <c r="E67" s="29">
        <v>0.27993249999999997</v>
      </c>
      <c r="F67" s="29">
        <v>4387.44921875</v>
      </c>
      <c r="G67" s="29">
        <v>10.073081491324533</v>
      </c>
      <c r="H67" s="29">
        <v>3629.49</v>
      </c>
      <c r="I67" s="29">
        <v>-8.8925057199162847</v>
      </c>
      <c r="J67" s="29">
        <v>-1.735549</v>
      </c>
      <c r="K67" s="29">
        <v>4.5304039999999999</v>
      </c>
      <c r="L67" s="29">
        <v>0.33340019999999998</v>
      </c>
      <c r="M67" s="29">
        <v>-3.1876329999999999</v>
      </c>
      <c r="N67" s="29">
        <v>0.33340019999999998</v>
      </c>
      <c r="O67" s="29">
        <v>-9.4402640000000009</v>
      </c>
      <c r="P67" s="29">
        <v>26.18938883805507</v>
      </c>
      <c r="Q67" s="29">
        <v>14.284915622146739</v>
      </c>
      <c r="R67" s="29">
        <v>17.768532358057868</v>
      </c>
      <c r="S67" s="45">
        <v>0.29263090207602466</v>
      </c>
      <c r="T67" s="27" t="s">
        <v>81</v>
      </c>
      <c r="U67" s="27" t="s">
        <v>399</v>
      </c>
      <c r="V67" s="27" t="s">
        <v>369</v>
      </c>
      <c r="W67" s="29">
        <v>3229.65</v>
      </c>
      <c r="X67" s="29">
        <v>0.67299240000000005</v>
      </c>
      <c r="Y67" s="29">
        <v>3248.82</v>
      </c>
      <c r="Z67" s="29">
        <v>0.5918081260021345</v>
      </c>
      <c r="AA67" s="29">
        <v>2673.54</v>
      </c>
      <c r="AB67" s="29">
        <v>-18.897033527469421</v>
      </c>
      <c r="AC67" s="29">
        <v>0.2713546</v>
      </c>
      <c r="AD67" s="29">
        <v>4.6433580000000001</v>
      </c>
      <c r="AE67" s="29">
        <v>2.2805010000000001</v>
      </c>
      <c r="AF67" s="29">
        <v>4.2333639999999999</v>
      </c>
      <c r="AG67" s="29">
        <v>2.2805010000000001</v>
      </c>
      <c r="AH67" s="29">
        <v>4.3414590000000004</v>
      </c>
      <c r="AI67" s="29">
        <v>28.949313388773398</v>
      </c>
      <c r="AJ67" s="29">
        <v>15.038453349119472</v>
      </c>
      <c r="AK67" s="29">
        <v>19.52854519642748</v>
      </c>
      <c r="AL67" s="45">
        <v>0.32277600626479402</v>
      </c>
    </row>
    <row r="68" spans="1:38" x14ac:dyDescent="0.25">
      <c r="A68" s="26" t="s">
        <v>231</v>
      </c>
      <c r="B68" s="27" t="s">
        <v>1056</v>
      </c>
      <c r="C68" s="27" t="s">
        <v>997</v>
      </c>
      <c r="D68" s="29">
        <v>3169.47</v>
      </c>
      <c r="E68" s="29">
        <v>-0.5528554</v>
      </c>
      <c r="F68" s="29">
        <v>3419.69</v>
      </c>
      <c r="G68" s="29">
        <v>7.5985522209355141</v>
      </c>
      <c r="H68" s="29">
        <v>179.82</v>
      </c>
      <c r="I68" s="29">
        <v>-286.93633099074651</v>
      </c>
      <c r="J68" s="29">
        <v>-1.7316130000000001</v>
      </c>
      <c r="K68" s="29">
        <v>-1.6163099999999999</v>
      </c>
      <c r="L68" s="29">
        <v>1.141786</v>
      </c>
      <c r="M68" s="29">
        <v>-1.3167249999999999</v>
      </c>
      <c r="N68" s="29">
        <v>1.141786</v>
      </c>
      <c r="O68" s="29">
        <v>-2.579161</v>
      </c>
      <c r="P68" s="29">
        <v>29.181804074301894</v>
      </c>
      <c r="Q68" s="29">
        <v>8.0897789057352014</v>
      </c>
      <c r="R68" s="29">
        <v>11.111986110537007</v>
      </c>
      <c r="S68" s="45">
        <v>0.14328672475252785</v>
      </c>
      <c r="T68" s="27" t="s">
        <v>23</v>
      </c>
      <c r="U68" s="27" t="s">
        <v>1149</v>
      </c>
      <c r="V68" s="27" t="s">
        <v>391</v>
      </c>
      <c r="W68" s="29">
        <v>10363.77</v>
      </c>
      <c r="X68" s="29">
        <v>8.8849659999999997E-2</v>
      </c>
      <c r="Y68" s="29">
        <v>10441.790000000001</v>
      </c>
      <c r="Z68" s="29">
        <v>0.74999534464697792</v>
      </c>
      <c r="AA68" s="29">
        <v>7385.098</v>
      </c>
      <c r="AB68" s="29">
        <v>-33.885188421235497</v>
      </c>
      <c r="AC68" s="29">
        <v>0.24487120000000001</v>
      </c>
      <c r="AD68" s="29">
        <v>4.3389470000000001</v>
      </c>
      <c r="AE68" s="29">
        <v>4.5171190000000001</v>
      </c>
      <c r="AF68" s="29">
        <v>18.52826</v>
      </c>
      <c r="AG68" s="29">
        <v>4.5171190000000001</v>
      </c>
      <c r="AH68" s="29">
        <v>21.545670000000001</v>
      </c>
      <c r="AI68" s="29">
        <v>38.995596371015949</v>
      </c>
      <c r="AJ68" s="29">
        <v>8.2764293663443205</v>
      </c>
      <c r="AK68" s="29">
        <v>19.537029209492403</v>
      </c>
      <c r="AL68" s="45">
        <v>0.36656592418133027</v>
      </c>
    </row>
    <row r="69" spans="1:38" x14ac:dyDescent="0.25">
      <c r="A69" s="26" t="s">
        <v>135</v>
      </c>
      <c r="B69" s="27" t="s">
        <v>1135</v>
      </c>
      <c r="C69" s="27" t="s">
        <v>392</v>
      </c>
      <c r="D69" s="29">
        <v>3178.5</v>
      </c>
      <c r="E69" s="29">
        <v>0.47288799999999998</v>
      </c>
      <c r="F69" s="29">
        <v>3238.44</v>
      </c>
      <c r="G69" s="29">
        <v>1.8682344979001755</v>
      </c>
      <c r="H69" s="29">
        <v>2693.99</v>
      </c>
      <c r="I69" s="29">
        <v>-16.53860213655306</v>
      </c>
      <c r="J69" s="29">
        <v>-1.729813</v>
      </c>
      <c r="K69" s="29">
        <v>4.3242799999999999</v>
      </c>
      <c r="L69" s="29">
        <v>1.2422359999999999</v>
      </c>
      <c r="M69" s="29">
        <v>3.79996</v>
      </c>
      <c r="N69" s="29">
        <v>1.2422359999999999</v>
      </c>
      <c r="O69" s="29">
        <v>-0.48684430000000001</v>
      </c>
      <c r="P69" s="29">
        <v>1399.7962799603306</v>
      </c>
      <c r="Q69" s="29">
        <v>13.610129999428297</v>
      </c>
      <c r="R69" s="29">
        <v>16.633242231379718</v>
      </c>
      <c r="S69" s="45">
        <v>2.1808847477207075E-3</v>
      </c>
      <c r="T69" s="27" t="s">
        <v>212</v>
      </c>
      <c r="U69" s="27" t="s">
        <v>1084</v>
      </c>
      <c r="V69" s="27" t="s">
        <v>1085</v>
      </c>
      <c r="W69" s="29">
        <v>1931.44</v>
      </c>
      <c r="X69" s="29">
        <v>0.22936970000000001</v>
      </c>
      <c r="Y69" s="29">
        <v>2176.1</v>
      </c>
      <c r="Z69" s="29">
        <v>11.926844511834819</v>
      </c>
      <c r="AA69" s="29">
        <v>1782.06</v>
      </c>
      <c r="AB69" s="29">
        <v>-8.0495840186297052</v>
      </c>
      <c r="AC69" s="29">
        <v>0.23821390000000001</v>
      </c>
      <c r="AD69" s="29">
        <v>-1.1985479999999999</v>
      </c>
      <c r="AE69" s="29">
        <v>2.2445210000000002</v>
      </c>
      <c r="AF69" s="29">
        <v>-6.5533219999999996</v>
      </c>
      <c r="AG69" s="29">
        <v>2.2445210000000002</v>
      </c>
      <c r="AH69" s="29">
        <v>-8.3000229999999995</v>
      </c>
      <c r="AI69" s="29">
        <v>169.03109201159404</v>
      </c>
      <c r="AJ69" s="29">
        <v>8.1352698377529169</v>
      </c>
      <c r="AK69" s="29">
        <v>8.3296201978164763</v>
      </c>
      <c r="AL69" s="45">
        <v>1.2079267033644424E-3</v>
      </c>
    </row>
    <row r="70" spans="1:38" x14ac:dyDescent="0.25">
      <c r="A70" s="26" t="s">
        <v>203</v>
      </c>
      <c r="B70" s="27" t="s">
        <v>1046</v>
      </c>
      <c r="C70" s="27" t="s">
        <v>1047</v>
      </c>
      <c r="D70" s="29">
        <v>70005.7</v>
      </c>
      <c r="E70" s="29">
        <v>0.49965799999999999</v>
      </c>
      <c r="F70" s="29">
        <v>74743.5625</v>
      </c>
      <c r="G70" s="29">
        <v>6.5486420855221867</v>
      </c>
      <c r="H70" s="29">
        <v>59860.66015625</v>
      </c>
      <c r="I70" s="29">
        <v>-15.655713660496723</v>
      </c>
      <c r="J70" s="29">
        <v>-1.713408</v>
      </c>
      <c r="K70" s="29">
        <v>0.81746629999999998</v>
      </c>
      <c r="L70" s="29">
        <v>-1.9615290000000001</v>
      </c>
      <c r="M70" s="29">
        <v>2.6447660000000002</v>
      </c>
      <c r="N70" s="29">
        <v>-1.9615290000000001</v>
      </c>
      <c r="O70" s="29">
        <v>1.4486619999999999</v>
      </c>
      <c r="P70" s="29">
        <v>33.5194945805423</v>
      </c>
      <c r="Q70" s="29">
        <v>13.012269467730261</v>
      </c>
      <c r="R70" s="29">
        <v>18.972107797680316</v>
      </c>
      <c r="S70" s="45">
        <v>0.29062139305364149</v>
      </c>
      <c r="T70" s="27" t="s">
        <v>214</v>
      </c>
      <c r="U70" s="27" t="s">
        <v>368</v>
      </c>
      <c r="V70" s="27" t="s">
        <v>351</v>
      </c>
      <c r="W70" s="29">
        <v>144.5</v>
      </c>
      <c r="X70" s="29">
        <v>-0.82361019999999996</v>
      </c>
      <c r="Y70" s="29">
        <v>161</v>
      </c>
      <c r="Z70" s="29">
        <v>10.812485743197612</v>
      </c>
      <c r="AA70" s="29">
        <v>137.03</v>
      </c>
      <c r="AB70" s="29">
        <v>-5.3079627594377286</v>
      </c>
      <c r="AC70" s="29">
        <v>0.19414699999999999</v>
      </c>
      <c r="AD70" s="29">
        <v>-2.4505530000000002</v>
      </c>
      <c r="AE70" s="29">
        <v>-2.5886450000000001</v>
      </c>
      <c r="AF70" s="29">
        <v>-7.5495859999999997</v>
      </c>
      <c r="AG70" s="29">
        <v>-2.5886450000000001</v>
      </c>
      <c r="AH70" s="29">
        <v>-4.0504680000000004</v>
      </c>
      <c r="AI70" s="29">
        <v>17.291025815063243</v>
      </c>
      <c r="AJ70" s="29">
        <v>9.78739996507176</v>
      </c>
      <c r="AK70" s="29">
        <v>10.943299896116564</v>
      </c>
      <c r="AL70" s="45">
        <v>0.15404551801394997</v>
      </c>
    </row>
    <row r="71" spans="1:38" x14ac:dyDescent="0.25">
      <c r="A71" s="26" t="s">
        <v>202</v>
      </c>
      <c r="B71" s="27" t="s">
        <v>1049</v>
      </c>
      <c r="C71" s="27" t="s">
        <v>1047</v>
      </c>
      <c r="D71" s="29">
        <v>55271.38</v>
      </c>
      <c r="E71" s="29">
        <v>0.71897370000000005</v>
      </c>
      <c r="F71" s="29">
        <v>59544.80078125</v>
      </c>
      <c r="G71" s="29">
        <v>7.4473749659704431</v>
      </c>
      <c r="H71" s="29">
        <v>50032.73828125</v>
      </c>
      <c r="I71" s="29">
        <v>-9.9577677083063065</v>
      </c>
      <c r="J71" s="29">
        <v>-1.688053</v>
      </c>
      <c r="K71" s="29">
        <v>2.5523880000000001</v>
      </c>
      <c r="L71" s="29">
        <v>-4.8138990000000002</v>
      </c>
      <c r="M71" s="29">
        <v>-1.5635490000000001</v>
      </c>
      <c r="N71" s="29">
        <v>-4.8138990000000002</v>
      </c>
      <c r="O71" s="29">
        <v>-1.2809600000000001</v>
      </c>
      <c r="P71" s="29">
        <v>34.443008689872528</v>
      </c>
      <c r="Q71" s="29">
        <v>14.388279137944595</v>
      </c>
      <c r="R71" s="29">
        <v>14.497485108481404</v>
      </c>
      <c r="S71" s="45">
        <v>5.4453973190733453E-3</v>
      </c>
      <c r="T71" s="27" t="s">
        <v>41</v>
      </c>
      <c r="U71" s="27" t="s">
        <v>1019</v>
      </c>
      <c r="V71" s="27" t="s">
        <v>391</v>
      </c>
      <c r="W71" s="29">
        <v>93.168599999999998</v>
      </c>
      <c r="X71" s="29">
        <v>-1.4547829999999999</v>
      </c>
      <c r="Y71" s="29">
        <v>102.28740000000001</v>
      </c>
      <c r="Z71" s="29">
        <v>9.3375743163039093</v>
      </c>
      <c r="AA71" s="29">
        <v>61.354410000000001</v>
      </c>
      <c r="AB71" s="29">
        <v>-41.774370383934553</v>
      </c>
      <c r="AC71" s="29">
        <v>0.18732309999999999</v>
      </c>
      <c r="AD71" s="29">
        <v>-7.7870020000000002</v>
      </c>
      <c r="AE71" s="29">
        <v>11.69312</v>
      </c>
      <c r="AF71" s="29">
        <v>18.67126</v>
      </c>
      <c r="AG71" s="29">
        <v>11.69312</v>
      </c>
      <c r="AH71" s="29">
        <v>44.238329999999998</v>
      </c>
      <c r="AI71" s="29">
        <v>1664.5525072290006</v>
      </c>
      <c r="AJ71" s="29">
        <v>31.057355805017558</v>
      </c>
      <c r="AK71" s="29">
        <v>119.58245240727452</v>
      </c>
      <c r="AL71" s="45">
        <v>5.4193669644556998E-2</v>
      </c>
    </row>
    <row r="72" spans="1:38" x14ac:dyDescent="0.25">
      <c r="A72" s="26" t="s">
        <v>239</v>
      </c>
      <c r="B72" s="27" t="s">
        <v>376</v>
      </c>
      <c r="C72" s="27" t="s">
        <v>354</v>
      </c>
      <c r="D72" s="29">
        <v>10212.27</v>
      </c>
      <c r="E72" s="29">
        <v>0.4276816</v>
      </c>
      <c r="F72" s="29">
        <v>11881.6796875</v>
      </c>
      <c r="G72" s="29">
        <v>15.140775326419934</v>
      </c>
      <c r="H72" s="29">
        <v>9731.89</v>
      </c>
      <c r="I72" s="29">
        <v>-4.8181816573491991</v>
      </c>
      <c r="J72" s="29">
        <v>-1.6665749999999999</v>
      </c>
      <c r="K72" s="29">
        <v>2.1616140000000001</v>
      </c>
      <c r="L72" s="29">
        <v>-6.2847770000000001</v>
      </c>
      <c r="M72" s="29">
        <v>-9.6687840000000005</v>
      </c>
      <c r="N72" s="29">
        <v>-6.2847770000000001</v>
      </c>
      <c r="O72" s="29">
        <v>-6.6432229999999999</v>
      </c>
      <c r="P72" s="29">
        <v>10.657841018813665</v>
      </c>
      <c r="Q72" s="29">
        <v>5.6292568922183577</v>
      </c>
      <c r="R72" s="29">
        <v>8.1469821533099758</v>
      </c>
      <c r="S72" s="45">
        <v>0.50068273647363415</v>
      </c>
      <c r="T72" s="27" t="s">
        <v>251</v>
      </c>
      <c r="U72" s="27" t="s">
        <v>1037</v>
      </c>
      <c r="V72" s="27" t="s">
        <v>1034</v>
      </c>
      <c r="W72" s="29">
        <v>10847.8</v>
      </c>
      <c r="X72" s="29">
        <v>0.2312717</v>
      </c>
      <c r="Y72" s="29">
        <v>11222.31</v>
      </c>
      <c r="Z72" s="29">
        <v>3.3941466806715468</v>
      </c>
      <c r="AA72" s="29">
        <v>8490.76</v>
      </c>
      <c r="AB72" s="29">
        <v>-24.498378105415515</v>
      </c>
      <c r="AC72" s="29">
        <v>0.1700036</v>
      </c>
      <c r="AD72" s="29">
        <v>3.183055</v>
      </c>
      <c r="AE72" s="29">
        <v>3.9935890000000001</v>
      </c>
      <c r="AF72" s="29">
        <v>11.84573</v>
      </c>
      <c r="AG72" s="29">
        <v>3.9935890000000001</v>
      </c>
      <c r="AH72" s="29">
        <v>16.813849999999999</v>
      </c>
      <c r="AI72" s="29">
        <v>26.301675635556212</v>
      </c>
      <c r="AJ72" s="29">
        <v>15.598943836163699</v>
      </c>
      <c r="AK72" s="29">
        <v>25.345376330509907</v>
      </c>
      <c r="AL72" s="45">
        <v>0.91064904521847556</v>
      </c>
    </row>
    <row r="73" spans="1:38" x14ac:dyDescent="0.25">
      <c r="A73" s="26" t="s">
        <v>280</v>
      </c>
      <c r="B73" s="27" t="s">
        <v>992</v>
      </c>
      <c r="C73" s="27" t="s">
        <v>354</v>
      </c>
      <c r="D73" s="29">
        <v>2965.41</v>
      </c>
      <c r="E73" s="29">
        <v>0.22645000000000001</v>
      </c>
      <c r="F73" s="29">
        <v>3526.11</v>
      </c>
      <c r="G73" s="29">
        <v>17.317997749021742</v>
      </c>
      <c r="H73" s="29">
        <v>2775.26</v>
      </c>
      <c r="I73" s="29">
        <v>-6.6270866319334818</v>
      </c>
      <c r="J73" s="29">
        <v>-1.656522</v>
      </c>
      <c r="K73" s="29">
        <v>-0.46287719999999999</v>
      </c>
      <c r="L73" s="29">
        <v>-12.141730000000001</v>
      </c>
      <c r="M73" s="29">
        <v>-11.32413</v>
      </c>
      <c r="N73" s="29">
        <v>-12.141730000000001</v>
      </c>
      <c r="O73" s="29">
        <v>-5.7115369999999999</v>
      </c>
      <c r="P73" s="29">
        <v>16.829540738685676</v>
      </c>
      <c r="Q73" s="29">
        <v>9.1163605088815594</v>
      </c>
      <c r="R73" s="29">
        <v>12.429390592655205</v>
      </c>
      <c r="S73" s="45">
        <v>0.42952841565557232</v>
      </c>
      <c r="T73" s="27" t="s">
        <v>305</v>
      </c>
      <c r="U73" s="27" t="s">
        <v>1033</v>
      </c>
      <c r="V73" s="27" t="s">
        <v>1034</v>
      </c>
      <c r="W73" s="29">
        <v>1836.2</v>
      </c>
      <c r="X73" s="29">
        <v>-0.1161377</v>
      </c>
      <c r="Y73" s="29">
        <v>1943.48</v>
      </c>
      <c r="Z73" s="29">
        <v>5.6781961817096587</v>
      </c>
      <c r="AA73" s="29">
        <v>1449.62</v>
      </c>
      <c r="AB73" s="29">
        <v>-23.639676560656902</v>
      </c>
      <c r="AC73" s="29">
        <v>0.13672570000000001</v>
      </c>
      <c r="AD73" s="29">
        <v>2.070084</v>
      </c>
      <c r="AE73" s="29">
        <v>2.8699560000000002</v>
      </c>
      <c r="AF73" s="29">
        <v>9.461093</v>
      </c>
      <c r="AG73" s="29">
        <v>2.8699560000000002</v>
      </c>
      <c r="AH73" s="29">
        <v>13.17013</v>
      </c>
      <c r="AI73" s="29">
        <v>39.017881642148382</v>
      </c>
      <c r="AJ73" s="29">
        <v>17.81883666957857</v>
      </c>
      <c r="AK73" s="29">
        <v>26.432789993305313</v>
      </c>
      <c r="AL73" s="45">
        <v>0.40633685785716478</v>
      </c>
    </row>
    <row r="74" spans="1:38" x14ac:dyDescent="0.25">
      <c r="A74" s="26" t="s">
        <v>285</v>
      </c>
      <c r="B74" s="27" t="s">
        <v>1186</v>
      </c>
      <c r="C74" s="27" t="s">
        <v>384</v>
      </c>
      <c r="D74" s="29">
        <v>8491.7450000000008</v>
      </c>
      <c r="E74" s="29">
        <v>-0.41887010000000002</v>
      </c>
      <c r="F74" s="29">
        <v>9119.2710000000006</v>
      </c>
      <c r="G74" s="29">
        <v>7.1295351552545556</v>
      </c>
      <c r="H74" s="29">
        <v>6661.6260000000002</v>
      </c>
      <c r="I74" s="29">
        <v>-24.27309162301486</v>
      </c>
      <c r="J74" s="29">
        <v>-1.6508959999999999</v>
      </c>
      <c r="K74" s="29">
        <v>0.69613190000000003</v>
      </c>
      <c r="L74" s="29">
        <v>-1.260359</v>
      </c>
      <c r="M74" s="29">
        <v>2.9123489999999999</v>
      </c>
      <c r="N74" s="29">
        <v>-1.260359</v>
      </c>
      <c r="O74" s="29">
        <v>11.51887</v>
      </c>
      <c r="P74" s="29">
        <v>19.567390684634812</v>
      </c>
      <c r="Q74" s="29">
        <v>9.1130806144050585</v>
      </c>
      <c r="R74" s="29">
        <v>12.073459722394988</v>
      </c>
      <c r="S74" s="45">
        <v>0.2831730729338191</v>
      </c>
      <c r="T74" s="27" t="s">
        <v>189</v>
      </c>
      <c r="U74" s="27" t="s">
        <v>1150</v>
      </c>
      <c r="V74" s="27" t="s">
        <v>1151</v>
      </c>
      <c r="W74" s="29">
        <v>1618.74</v>
      </c>
      <c r="X74" s="29">
        <v>0.58534039999999998</v>
      </c>
      <c r="Y74" s="29">
        <v>1621.01</v>
      </c>
      <c r="Z74" s="29">
        <v>0.1401342925521063</v>
      </c>
      <c r="AA74" s="29">
        <v>1496.74</v>
      </c>
      <c r="AB74" s="29">
        <v>-7.8358659181921695</v>
      </c>
      <c r="AC74" s="29">
        <v>0.1286582</v>
      </c>
      <c r="AD74" s="29">
        <v>1.5285029999999999</v>
      </c>
      <c r="AE74" s="29">
        <v>4.7558639999999999</v>
      </c>
      <c r="AF74" s="29">
        <v>2.0424389999999999</v>
      </c>
      <c r="AG74" s="29">
        <v>4.7558639999999999</v>
      </c>
      <c r="AH74" s="29">
        <v>5.6067289999999996</v>
      </c>
      <c r="AI74" s="29">
        <v>14117.743130922256</v>
      </c>
      <c r="AJ74" s="29">
        <v>3.6712199567613526</v>
      </c>
      <c r="AK74" s="29">
        <v>4.2013658265961906</v>
      </c>
      <c r="AL74" s="45">
        <v>3.7561511176867215E-5</v>
      </c>
    </row>
    <row r="75" spans="1:38" x14ac:dyDescent="0.25">
      <c r="A75" s="26" t="s">
        <v>25</v>
      </c>
      <c r="B75" s="27" t="s">
        <v>1187</v>
      </c>
      <c r="C75" s="27" t="s">
        <v>391</v>
      </c>
      <c r="D75" s="29">
        <v>7771.9920000000002</v>
      </c>
      <c r="E75" s="29">
        <v>-0.40430359999999999</v>
      </c>
      <c r="F75" s="29">
        <v>8027.1790000000001</v>
      </c>
      <c r="G75" s="29">
        <v>3.230665646060165</v>
      </c>
      <c r="H75" s="29">
        <v>5895.1171875</v>
      </c>
      <c r="I75" s="29">
        <v>-27.640208925197875</v>
      </c>
      <c r="J75" s="29">
        <v>-1.642665</v>
      </c>
      <c r="K75" s="29">
        <v>2.7222390000000001</v>
      </c>
      <c r="L75" s="29">
        <v>1.5011570000000001</v>
      </c>
      <c r="M75" s="29">
        <v>6.3462930000000002</v>
      </c>
      <c r="N75" s="29">
        <v>1.5011570000000001</v>
      </c>
      <c r="O75" s="29">
        <v>1.86669</v>
      </c>
      <c r="P75" s="29">
        <v>28.055002993568507</v>
      </c>
      <c r="Q75" s="29">
        <v>19.370205174142974</v>
      </c>
      <c r="R75" s="29">
        <v>24.199639666318145</v>
      </c>
      <c r="S75" s="45">
        <v>0.5560790927536664</v>
      </c>
      <c r="T75" s="27" t="s">
        <v>191</v>
      </c>
      <c r="U75" s="27" t="s">
        <v>1152</v>
      </c>
      <c r="V75" s="27" t="s">
        <v>1153</v>
      </c>
      <c r="W75" s="29">
        <v>1233.431</v>
      </c>
      <c r="X75" s="29">
        <v>0.11200839999999999</v>
      </c>
      <c r="Y75" s="29">
        <v>1281.018</v>
      </c>
      <c r="Z75" s="29">
        <v>3.7855357302163855</v>
      </c>
      <c r="AA75" s="29">
        <v>1148.268</v>
      </c>
      <c r="AB75" s="29">
        <v>-7.1544996906322389</v>
      </c>
      <c r="AC75" s="29">
        <v>0.1026238</v>
      </c>
      <c r="AD75" s="29">
        <v>-1.1492469999999999</v>
      </c>
      <c r="AE75" s="29">
        <v>-1.570333</v>
      </c>
      <c r="AF75" s="29">
        <v>-0.4807998</v>
      </c>
      <c r="AG75" s="29">
        <v>-1.570333</v>
      </c>
      <c r="AH75" s="29">
        <v>1.5835920000000001</v>
      </c>
      <c r="AI75" s="29">
        <v>22.755490919960529</v>
      </c>
      <c r="AJ75" s="29">
        <v>10.384142883314929</v>
      </c>
      <c r="AK75" s="29">
        <v>22.371386330157183</v>
      </c>
      <c r="AL75" s="45">
        <v>0.96895208277500744</v>
      </c>
    </row>
    <row r="76" spans="1:38" x14ac:dyDescent="0.25">
      <c r="A76" s="26" t="s">
        <v>104</v>
      </c>
      <c r="B76" s="27" t="s">
        <v>1188</v>
      </c>
      <c r="C76" s="27" t="s">
        <v>1126</v>
      </c>
      <c r="D76" s="29">
        <v>871.23</v>
      </c>
      <c r="E76" s="29">
        <v>-0.3955687</v>
      </c>
      <c r="F76" s="29">
        <v>1103.01</v>
      </c>
      <c r="G76" s="29">
        <v>23.589207910796304</v>
      </c>
      <c r="H76" s="29">
        <v>841.56</v>
      </c>
      <c r="I76" s="29">
        <v>-3.4648693950759446</v>
      </c>
      <c r="J76" s="29">
        <v>-1.6404000000000001</v>
      </c>
      <c r="K76" s="29">
        <v>0.1195116</v>
      </c>
      <c r="L76" s="29">
        <v>-5.6712259999999999</v>
      </c>
      <c r="M76" s="29">
        <v>-4.2888409999999997</v>
      </c>
      <c r="N76" s="29">
        <v>-5.6712259999999999</v>
      </c>
      <c r="O76" s="29">
        <v>-20.523440000000001</v>
      </c>
      <c r="P76" s="29">
        <v>6777.7406044384961</v>
      </c>
      <c r="Q76" s="29">
        <v>5.0988914291295941</v>
      </c>
      <c r="R76" s="29" t="s">
        <v>355</v>
      </c>
      <c r="S76" s="45" t="s">
        <v>349</v>
      </c>
      <c r="T76" s="27" t="s">
        <v>51</v>
      </c>
      <c r="U76" s="27" t="s">
        <v>1154</v>
      </c>
      <c r="V76" s="27" t="s">
        <v>1155</v>
      </c>
      <c r="W76" s="29">
        <v>736.99829999999997</v>
      </c>
      <c r="X76" s="29">
        <v>2.1072090000000001</v>
      </c>
      <c r="Y76" s="29">
        <v>875.43</v>
      </c>
      <c r="Z76" s="29">
        <v>17.21296086794673</v>
      </c>
      <c r="AA76" s="29">
        <v>681.04</v>
      </c>
      <c r="AB76" s="29">
        <v>-7.8964543962299336</v>
      </c>
      <c r="AC76" s="29">
        <v>0</v>
      </c>
      <c r="AD76" s="29">
        <v>4.1615250000000001</v>
      </c>
      <c r="AE76" s="29">
        <v>-0.3761292</v>
      </c>
      <c r="AF76" s="29">
        <v>-1.504645</v>
      </c>
      <c r="AG76" s="29">
        <v>-0.3761292</v>
      </c>
      <c r="AH76" s="29">
        <v>-15.03715</v>
      </c>
      <c r="AI76" s="29">
        <v>32.833799119363796</v>
      </c>
      <c r="AJ76" s="29">
        <v>12.237584731613588</v>
      </c>
      <c r="AK76" s="29" t="s">
        <v>355</v>
      </c>
      <c r="AL76" s="45" t="s">
        <v>349</v>
      </c>
    </row>
    <row r="77" spans="1:38" x14ac:dyDescent="0.25">
      <c r="A77" s="26" t="s">
        <v>235</v>
      </c>
      <c r="B77" s="27" t="s">
        <v>922</v>
      </c>
      <c r="C77" s="27" t="s">
        <v>354</v>
      </c>
      <c r="D77" s="29">
        <v>26041.93</v>
      </c>
      <c r="E77" s="29">
        <v>0.37224400000000002</v>
      </c>
      <c r="F77" s="29">
        <v>30280.12</v>
      </c>
      <c r="G77" s="29">
        <v>15.078346023595426</v>
      </c>
      <c r="H77" s="29">
        <v>24540.63</v>
      </c>
      <c r="I77" s="29">
        <v>-5.9377820012456084</v>
      </c>
      <c r="J77" s="29">
        <v>-1.6132839999999999</v>
      </c>
      <c r="K77" s="29">
        <v>1.4723280000000001</v>
      </c>
      <c r="L77" s="29">
        <v>-9.0124460000000006</v>
      </c>
      <c r="M77" s="29">
        <v>-9.350797</v>
      </c>
      <c r="N77" s="29">
        <v>-9.0124460000000006</v>
      </c>
      <c r="O77" s="29">
        <v>-6.0389670000000004</v>
      </c>
      <c r="P77" s="29">
        <v>14.18282045003129</v>
      </c>
      <c r="Q77" s="29">
        <v>8.9401353446496312</v>
      </c>
      <c r="R77" s="29">
        <v>10.141857800545433</v>
      </c>
      <c r="S77" s="45">
        <v>0.2292188891265324</v>
      </c>
      <c r="T77" s="27" t="s">
        <v>53</v>
      </c>
      <c r="U77" s="27" t="s">
        <v>1156</v>
      </c>
      <c r="V77" s="27" t="s">
        <v>1155</v>
      </c>
      <c r="W77" s="29">
        <v>884.22</v>
      </c>
      <c r="X77" s="29">
        <v>1.131068E-2</v>
      </c>
      <c r="Y77" s="29">
        <v>1009.86</v>
      </c>
      <c r="Z77" s="29">
        <v>13.286108591290336</v>
      </c>
      <c r="AA77" s="29">
        <v>785.39</v>
      </c>
      <c r="AB77" s="29">
        <v>-11.852549075604815</v>
      </c>
      <c r="AC77" s="29">
        <v>-1.128719E-3</v>
      </c>
      <c r="AD77" s="29">
        <v>6.0571900000000003</v>
      </c>
      <c r="AE77" s="29">
        <v>8.7153610000000006E-2</v>
      </c>
      <c r="AF77" s="29">
        <v>0.61445609999999995</v>
      </c>
      <c r="AG77" s="29">
        <v>8.7153610000000006E-2</v>
      </c>
      <c r="AH77" s="29">
        <v>-11.77563</v>
      </c>
      <c r="AI77" s="29">
        <v>125.18013018412469</v>
      </c>
      <c r="AJ77" s="29">
        <v>13.632483565773645</v>
      </c>
      <c r="AK77" s="29">
        <v>15.258688699653231</v>
      </c>
      <c r="AL77" s="45">
        <v>1.4578569635301058E-2</v>
      </c>
    </row>
    <row r="78" spans="1:38" x14ac:dyDescent="0.25">
      <c r="A78" s="26" t="s">
        <v>48</v>
      </c>
      <c r="B78" s="27" t="s">
        <v>1189</v>
      </c>
      <c r="C78" s="27" t="s">
        <v>1190</v>
      </c>
      <c r="D78" s="29">
        <v>574.82749999999999</v>
      </c>
      <c r="E78" s="29">
        <v>-0.61387190000000003</v>
      </c>
      <c r="F78" s="29">
        <v>717.5</v>
      </c>
      <c r="G78" s="29">
        <v>22.17029518454277</v>
      </c>
      <c r="H78" s="29">
        <v>528.53</v>
      </c>
      <c r="I78" s="29">
        <v>-8.397042766146992</v>
      </c>
      <c r="J78" s="29">
        <v>-1.606954</v>
      </c>
      <c r="K78" s="29">
        <v>-1.509447</v>
      </c>
      <c r="L78" s="29">
        <v>-0.89954579999999995</v>
      </c>
      <c r="M78" s="29">
        <v>-8.2191010000000002</v>
      </c>
      <c r="N78" s="29">
        <v>-0.89954579999999995</v>
      </c>
      <c r="O78" s="29">
        <v>-17.696390000000001</v>
      </c>
      <c r="P78" s="29">
        <v>568.60706618941629</v>
      </c>
      <c r="Q78" s="29">
        <v>50.394978948290735</v>
      </c>
      <c r="R78" s="29" t="s">
        <v>355</v>
      </c>
      <c r="S78" s="45" t="s">
        <v>349</v>
      </c>
      <c r="T78" s="27" t="s">
        <v>190</v>
      </c>
      <c r="U78" s="27" t="s">
        <v>1157</v>
      </c>
      <c r="V78" s="27" t="s">
        <v>1151</v>
      </c>
      <c r="W78" s="29">
        <v>758.44</v>
      </c>
      <c r="X78" s="29">
        <v>0.69302459999999999</v>
      </c>
      <c r="Y78" s="29">
        <v>782.37</v>
      </c>
      <c r="Z78" s="29">
        <v>3.1064082261189276</v>
      </c>
      <c r="AA78" s="29">
        <v>667.94</v>
      </c>
      <c r="AB78" s="29">
        <v>-12.706534302272864</v>
      </c>
      <c r="AC78" s="29">
        <v>-1.3200880000000001E-3</v>
      </c>
      <c r="AD78" s="29">
        <v>1.1712020000000001</v>
      </c>
      <c r="AE78" s="29">
        <v>3.8830800000000001</v>
      </c>
      <c r="AF78" s="29">
        <v>3.5342319999999998</v>
      </c>
      <c r="AG78" s="29">
        <v>3.8830800000000001</v>
      </c>
      <c r="AH78" s="29">
        <v>4.257225</v>
      </c>
      <c r="AI78" s="29">
        <v>1590.5443472005877</v>
      </c>
      <c r="AJ78" s="29">
        <v>1.250045289612095E-6</v>
      </c>
      <c r="AK78" s="29">
        <v>2.7017186319600097</v>
      </c>
      <c r="AL78" s="45">
        <v>1.6986117921158103E-3</v>
      </c>
    </row>
    <row r="79" spans="1:38" x14ac:dyDescent="0.25">
      <c r="A79" s="26" t="s">
        <v>117</v>
      </c>
      <c r="B79" s="27" t="s">
        <v>1191</v>
      </c>
      <c r="C79" s="27" t="s">
        <v>1133</v>
      </c>
      <c r="D79" s="29">
        <v>12772.2</v>
      </c>
      <c r="E79" s="29">
        <v>0.2564459</v>
      </c>
      <c r="F79" s="29">
        <v>14044.37</v>
      </c>
      <c r="G79" s="29">
        <v>9.4950669745027678</v>
      </c>
      <c r="H79" s="29">
        <v>10877.03</v>
      </c>
      <c r="I79" s="29">
        <v>-16.061770776319015</v>
      </c>
      <c r="J79" s="29">
        <v>-1.597815</v>
      </c>
      <c r="K79" s="29">
        <v>2.0127470000000001</v>
      </c>
      <c r="L79" s="29">
        <v>-0.62067939999999999</v>
      </c>
      <c r="M79" s="29">
        <v>2.6708310000000002</v>
      </c>
      <c r="N79" s="29">
        <v>-0.62067939999999999</v>
      </c>
      <c r="O79" s="29">
        <v>-8.8468900000000001</v>
      </c>
      <c r="P79" s="29">
        <v>94.035353216890513</v>
      </c>
      <c r="Q79" s="29">
        <v>16.006341367119006</v>
      </c>
      <c r="R79" s="29">
        <v>28.822089900246286</v>
      </c>
      <c r="S79" s="45">
        <v>0.16424337857566768</v>
      </c>
      <c r="T79" s="27" t="s">
        <v>54</v>
      </c>
      <c r="U79" s="27" t="s">
        <v>1158</v>
      </c>
      <c r="V79" s="27" t="s">
        <v>1159</v>
      </c>
      <c r="W79" s="29">
        <v>453.56</v>
      </c>
      <c r="X79" s="29">
        <v>4.8528700000000001E-2</v>
      </c>
      <c r="Y79" s="29">
        <v>464.78980000000001</v>
      </c>
      <c r="Z79" s="29">
        <v>2.445769527072176</v>
      </c>
      <c r="AA79" s="29">
        <v>437.15</v>
      </c>
      <c r="AB79" s="29">
        <v>-3.6851179476739064</v>
      </c>
      <c r="AC79" s="29">
        <v>-3.0860080000000002E-2</v>
      </c>
      <c r="AD79" s="29">
        <v>0.28522969999999997</v>
      </c>
      <c r="AE79" s="29">
        <v>3.4014180000000001</v>
      </c>
      <c r="AF79" s="29">
        <v>3.2319770000000001</v>
      </c>
      <c r="AG79" s="29">
        <v>3.4014180000000001</v>
      </c>
      <c r="AH79" s="29">
        <v>-1.273997</v>
      </c>
      <c r="AI79" s="29">
        <v>16.626309979798009</v>
      </c>
      <c r="AJ79" s="29">
        <v>11.071625387845371</v>
      </c>
      <c r="AK79" s="29">
        <v>11.725505465144888</v>
      </c>
      <c r="AL79" s="45">
        <v>0.11771686879338339</v>
      </c>
    </row>
    <row r="80" spans="1:38" x14ac:dyDescent="0.25">
      <c r="A80" s="26" t="s">
        <v>110</v>
      </c>
      <c r="B80" s="27" t="s">
        <v>1192</v>
      </c>
      <c r="C80" s="27" t="s">
        <v>1061</v>
      </c>
      <c r="D80" s="29">
        <v>5032.71</v>
      </c>
      <c r="E80" s="29">
        <v>0.34833829999999999</v>
      </c>
      <c r="F80" s="29">
        <v>5192.0600000000004</v>
      </c>
      <c r="G80" s="29">
        <v>3.1171929151156688</v>
      </c>
      <c r="H80" s="29">
        <v>4190.97</v>
      </c>
      <c r="I80" s="29">
        <v>-18.302639570304919</v>
      </c>
      <c r="J80" s="29">
        <v>-1.5899430000000001</v>
      </c>
      <c r="K80" s="29">
        <v>3.766788</v>
      </c>
      <c r="L80" s="29">
        <v>-6.4138580000000001E-2</v>
      </c>
      <c r="M80" s="29">
        <v>6.300675</v>
      </c>
      <c r="N80" s="29">
        <v>-6.4138580000000001E-2</v>
      </c>
      <c r="O80" s="29">
        <v>-1.6274580000000001</v>
      </c>
      <c r="P80" s="29">
        <v>24.343782843633168</v>
      </c>
      <c r="Q80" s="29">
        <v>11.55897974273304</v>
      </c>
      <c r="R80" s="29">
        <v>19.729169963381562</v>
      </c>
      <c r="S80" s="45">
        <v>0.63905483378725569</v>
      </c>
      <c r="T80" s="27" t="s">
        <v>315</v>
      </c>
      <c r="U80" s="27" t="s">
        <v>1160</v>
      </c>
      <c r="V80" s="27" t="s">
        <v>1161</v>
      </c>
      <c r="W80" s="29">
        <v>11271.16</v>
      </c>
      <c r="X80" s="29">
        <v>0.27891929999999998</v>
      </c>
      <c r="Y80" s="29">
        <v>12572.86</v>
      </c>
      <c r="Z80" s="29">
        <v>10.929327169456363</v>
      </c>
      <c r="AA80" s="29">
        <v>11060.9</v>
      </c>
      <c r="AB80" s="29">
        <v>-1.8830883777362677</v>
      </c>
      <c r="AC80" s="29">
        <v>-4.8151470000000002E-2</v>
      </c>
      <c r="AD80" s="29">
        <v>0.38162990000000002</v>
      </c>
      <c r="AE80" s="29">
        <v>-4.4023000000000003</v>
      </c>
      <c r="AF80" s="29">
        <v>-2.257301</v>
      </c>
      <c r="AG80" s="29">
        <v>-4.4023000000000003</v>
      </c>
      <c r="AH80" s="29">
        <v>-10.169560000000001</v>
      </c>
      <c r="AI80" s="29">
        <v>25.997045208477324</v>
      </c>
      <c r="AJ80" s="29">
        <v>14.199325981830142</v>
      </c>
      <c r="AK80" s="29">
        <v>23.960622837983227</v>
      </c>
      <c r="AL80" s="45">
        <v>0.8273884696378867</v>
      </c>
    </row>
  </sheetData>
  <phoneticPr fontId="1" type="noConversion"/>
  <printOptions horizontalCentered="1" verticalCentered="1"/>
  <pageMargins left="0.19685039370078741" right="0.19685039370078741" top="0.19685039370078741" bottom="0.19685039370078741" header="0" footer="0"/>
  <pageSetup paperSize="9" scale="44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pageSetUpPr fitToPage="1"/>
  </sheetPr>
  <dimension ref="A1:BA97"/>
  <sheetViews>
    <sheetView tabSelected="1" topLeftCell="B1" zoomScale="80" zoomScaleNormal="80" workbookViewId="0">
      <selection activeCell="B1" sqref="B1"/>
    </sheetView>
  </sheetViews>
  <sheetFormatPr defaultColWidth="10" defaultRowHeight="16.5" x14ac:dyDescent="0.25"/>
  <cols>
    <col min="1" max="1" width="18.625" hidden="1" customWidth="1"/>
    <col min="2" max="2" width="27" customWidth="1"/>
    <col min="3" max="3" width="5.875" bestFit="1" customWidth="1"/>
    <col min="4" max="4" width="11.25" customWidth="1"/>
    <col min="5" max="5" width="7.125" customWidth="1"/>
    <col min="6" max="6" width="11.25" customWidth="1"/>
    <col min="7" max="7" width="7.125" customWidth="1"/>
    <col min="8" max="8" width="11.25" customWidth="1"/>
    <col min="9" max="15" width="7.125" customWidth="1"/>
    <col min="16" max="18" width="9.875" hidden="1" customWidth="1"/>
    <col min="19" max="19" width="7.25" style="44" customWidth="1"/>
    <col min="20" max="20" width="21.75" hidden="1" customWidth="1"/>
    <col min="21" max="21" width="18" hidden="1" customWidth="1"/>
    <col min="22" max="22" width="27" customWidth="1"/>
    <col min="23" max="23" width="5.875" bestFit="1" customWidth="1"/>
    <col min="24" max="24" width="11.25" customWidth="1"/>
    <col min="25" max="25" width="7.125" customWidth="1"/>
    <col min="26" max="26" width="11.25" customWidth="1"/>
    <col min="27" max="27" width="7.125" customWidth="1"/>
    <col min="28" max="28" width="11.25" customWidth="1"/>
    <col min="29" max="35" width="7.125" customWidth="1"/>
    <col min="36" max="37" width="9.875" hidden="1" customWidth="1"/>
    <col min="38" max="38" width="0.5" hidden="1" customWidth="1"/>
    <col min="39" max="39" width="7.25" style="44" customWidth="1"/>
    <col min="40" max="40" width="22.5" style="12" hidden="1" customWidth="1"/>
    <col min="41" max="41" width="27" style="12" customWidth="1"/>
    <col min="42" max="42" width="11.25" style="12" customWidth="1"/>
    <col min="43" max="43" width="7.25" style="12" customWidth="1"/>
    <col min="44" max="44" width="11.25" style="12" customWidth="1"/>
    <col min="45" max="45" width="7.25" style="12" customWidth="1"/>
    <col min="46" max="46" width="11.25" style="12" customWidth="1"/>
    <col min="47" max="53" width="7.25" style="12" customWidth="1"/>
  </cols>
  <sheetData>
    <row r="1" spans="1:53" x14ac:dyDescent="0.25">
      <c r="A1" t="s">
        <v>337</v>
      </c>
      <c r="B1" s="5" t="s">
        <v>338</v>
      </c>
      <c r="C1" s="5" t="s">
        <v>339</v>
      </c>
      <c r="D1" s="5" t="s">
        <v>319</v>
      </c>
      <c r="E1" s="5" t="s">
        <v>322</v>
      </c>
      <c r="F1" s="5" t="s">
        <v>321</v>
      </c>
      <c r="G1" s="5" t="s">
        <v>322</v>
      </c>
      <c r="H1" s="5" t="s">
        <v>323</v>
      </c>
      <c r="I1" s="5" t="s">
        <v>322</v>
      </c>
      <c r="J1" s="5" t="s">
        <v>340</v>
      </c>
      <c r="K1" s="5" t="s">
        <v>341</v>
      </c>
      <c r="L1" s="5" t="s">
        <v>342</v>
      </c>
      <c r="M1" s="5" t="s">
        <v>343</v>
      </c>
      <c r="N1" s="5" t="s">
        <v>344</v>
      </c>
      <c r="O1" s="5" t="s">
        <v>345</v>
      </c>
      <c r="P1" s="5" t="s">
        <v>346</v>
      </c>
      <c r="Q1" s="5" t="s">
        <v>347</v>
      </c>
      <c r="R1" s="5" t="s">
        <v>348</v>
      </c>
      <c r="S1" s="42" t="s">
        <v>332</v>
      </c>
      <c r="T1" s="5"/>
      <c r="U1" s="5" t="s">
        <v>337</v>
      </c>
      <c r="V1" s="5" t="s">
        <v>338</v>
      </c>
      <c r="W1" s="5" t="s">
        <v>339</v>
      </c>
      <c r="X1" s="5" t="s">
        <v>319</v>
      </c>
      <c r="Y1" s="5" t="s">
        <v>322</v>
      </c>
      <c r="Z1" s="5" t="s">
        <v>321</v>
      </c>
      <c r="AA1" s="5" t="s">
        <v>322</v>
      </c>
      <c r="AB1" s="5" t="s">
        <v>323</v>
      </c>
      <c r="AC1" s="5" t="s">
        <v>322</v>
      </c>
      <c r="AD1" s="5" t="s">
        <v>340</v>
      </c>
      <c r="AE1" s="5" t="s">
        <v>341</v>
      </c>
      <c r="AF1" s="5" t="s">
        <v>342</v>
      </c>
      <c r="AG1" s="5" t="s">
        <v>343</v>
      </c>
      <c r="AH1" s="5" t="s">
        <v>344</v>
      </c>
      <c r="AI1" s="5" t="s">
        <v>345</v>
      </c>
      <c r="AJ1" s="5" t="s">
        <v>346</v>
      </c>
      <c r="AK1" s="5" t="s">
        <v>347</v>
      </c>
      <c r="AL1" s="5" t="s">
        <v>348</v>
      </c>
      <c r="AM1" s="42" t="s">
        <v>332</v>
      </c>
      <c r="AN1" s="9" t="s">
        <v>337</v>
      </c>
      <c r="AO1" s="9" t="s">
        <v>338</v>
      </c>
      <c r="AP1" s="9" t="s">
        <v>319</v>
      </c>
      <c r="AQ1" s="9" t="s">
        <v>322</v>
      </c>
      <c r="AR1" s="9" t="s">
        <v>321</v>
      </c>
      <c r="AS1" s="9" t="s">
        <v>322</v>
      </c>
      <c r="AT1" s="9" t="s">
        <v>323</v>
      </c>
      <c r="AU1" s="9" t="s">
        <v>322</v>
      </c>
      <c r="AV1" s="9" t="s">
        <v>340</v>
      </c>
      <c r="AW1" s="9" t="s">
        <v>341</v>
      </c>
      <c r="AX1" s="9" t="s">
        <v>342</v>
      </c>
      <c r="AY1" s="9" t="s">
        <v>343</v>
      </c>
      <c r="AZ1" s="9" t="s">
        <v>344</v>
      </c>
      <c r="BA1" s="9" t="s">
        <v>345</v>
      </c>
    </row>
    <row r="2" spans="1:53" x14ac:dyDescent="0.25">
      <c r="A2" t="s">
        <v>440</v>
      </c>
      <c r="B2" s="5" t="s">
        <v>893</v>
      </c>
      <c r="C2" s="5" t="str">
        <f>_xll.BDP(A2,"DS003")</f>
        <v>US</v>
      </c>
      <c r="D2" s="6">
        <f>_xll.BDP(A2,"PX_LAST")</f>
        <v>1416.9760000000001</v>
      </c>
      <c r="E2" s="6">
        <f>_xll.BDP(A2,"CHG_PCT_1D")</f>
        <v>3.9607040000000003E-2</v>
      </c>
      <c r="F2" s="6">
        <f>_xll.BDP(A2,"HIGH_52WEEK")</f>
        <v>1452.77</v>
      </c>
      <c r="G2" s="6">
        <f t="shared" ref="G2:G33" si="0">LN(F2/D2)*100</f>
        <v>2.4947055498087862</v>
      </c>
      <c r="H2" s="6">
        <f>_xll.BDP(A2,"LOW_52WEEK")</f>
        <v>1010.91</v>
      </c>
      <c r="I2" s="6">
        <f t="shared" ref="I2:I33" si="1">LN(H2/D2)*100</f>
        <v>-33.767410806962147</v>
      </c>
      <c r="J2" s="6">
        <f>_xll.BDP(A2,"CHG_PCT_5D")</f>
        <v>-0.65402039999999995</v>
      </c>
      <c r="K2" s="6">
        <f>_xll.BDP(A2,"CHG_PCT_1M")</f>
        <v>3.571259</v>
      </c>
      <c r="L2" s="6">
        <f>_xll.BDP(A2,"CHG_PCT_3M")</f>
        <v>3.3833959999999998</v>
      </c>
      <c r="M2" s="6">
        <f>_xll.BDP(A2,"CHG_PCT_6M")</f>
        <v>10.547599999999999</v>
      </c>
      <c r="N2" s="6">
        <f>_xll.BDP(A2,"PR064")</f>
        <v>3.3833959999999998</v>
      </c>
      <c r="O2" s="6">
        <f>_xll.BDP(A2,"CHG_PCT_1YR")</f>
        <v>7.6416130000000004</v>
      </c>
      <c r="P2" s="6">
        <f>_xll.BDP(A2,"INTERVAL_HIGH", "MARKET_DATA_OVERRIDE=PE_RATIO", "CALC_INTERVAL=5y", "BEST_FPERIOD_OVERRIDE=BF")</f>
        <v>25.29948456159363</v>
      </c>
      <c r="Q2" s="6">
        <f>_xll.BDP(A2,"INTERVAL_Low", "MARKET_DATA_OVERRIDE=PE_RATIO", "CALC_INTERVAL=5y", "BEST_FPERIOD_OVERRIDE=BF")</f>
        <v>16.222811719702555</v>
      </c>
      <c r="R2" s="6">
        <f>_xll.BDP(A2,"PE_RATIO")</f>
        <v>22.707033867206782</v>
      </c>
      <c r="S2" s="43">
        <f t="shared" ref="S2:S33" si="2">IF(ISERROR((R2-Q2)/(P2-Q2)),"",(R2-Q2)/(P2-Q2))</f>
        <v>0.71438315123334062</v>
      </c>
      <c r="T2" s="6">
        <f>_xll.BDP(A2,"RR902")</f>
        <v>5612203711398</v>
      </c>
      <c r="U2" s="5" t="s">
        <v>496</v>
      </c>
      <c r="V2" s="5" t="s">
        <v>771</v>
      </c>
      <c r="W2" s="5" t="str">
        <f>_xll.BDP(U2,"DS003")</f>
        <v>US</v>
      </c>
      <c r="X2" s="6">
        <f>_xll.BDP(U2,"PX_LAST")</f>
        <v>139.54</v>
      </c>
      <c r="Y2" s="6">
        <f>_xll.BDP(U2,"CHG_PCT_1D")</f>
        <v>0.1291619</v>
      </c>
      <c r="Z2" s="6">
        <f>_xll.BDP(U2,"HIGH_52WEEK")</f>
        <v>142.37</v>
      </c>
      <c r="AA2" s="6">
        <f>LN(Z2/X2)*100</f>
        <v>2.0078004114564041</v>
      </c>
      <c r="AB2" s="6">
        <f>_xll.BDP(U2,"LOW_52WEEK")</f>
        <v>93.96</v>
      </c>
      <c r="AC2" s="6">
        <f>LN(AB2/X2)*100</f>
        <v>-39.548213872037842</v>
      </c>
      <c r="AD2" s="6">
        <f>_xll.BDP(U2,"CHG_PCT_5D")</f>
        <v>-1.084568</v>
      </c>
      <c r="AE2" s="6">
        <f>_xll.BDP(U2,"CHG_PCT_1M")</f>
        <v>3.0195669999999999</v>
      </c>
      <c r="AF2" s="6">
        <f>_xll.BDP(U2,"CHG_PCT_3M")</f>
        <v>4.1887610000000004</v>
      </c>
      <c r="AG2" s="6">
        <f>_xll.BDP(U2,"CHG_PCT_6M")</f>
        <v>18.3445</v>
      </c>
      <c r="AH2" s="6">
        <f>_xll.BDP(U2,"PR064")</f>
        <v>4.1887610000000004</v>
      </c>
      <c r="AI2" s="6">
        <f>_xll.BDP(U2,"CHG_PCT_1YR")</f>
        <v>22.424980000000001</v>
      </c>
      <c r="AJ2" s="6">
        <f>_xll.BDP(U2,"INTERVAL_HIGH", "MARKET_DATA_OVERRIDE=PE_RATIO", "CALC_INTERVAL=5y", "BEST_FPERIOD_OVERRIDE=BF")</f>
        <v>31.862906357813902</v>
      </c>
      <c r="AK2" s="6">
        <f>_xll.BDP(U2,"INTERVAL_Low", "MARKET_DATA_OVERRIDE=PE_RATIO", "CALC_INTERVAL=5y", "BEST_FPERIOD_OVERRIDE=BF")</f>
        <v>13.817185476417913</v>
      </c>
      <c r="AL2" s="6">
        <f>_xll.BDP(U2,"PE_RATIO")</f>
        <v>29.372011314799149</v>
      </c>
      <c r="AM2" s="43">
        <f>IF(ISERROR((AL2-AK2)/(AJ2-AK2)),"",(AL2-AK2)/(AJ2-AK2))</f>
        <v>0.86196755123356095</v>
      </c>
      <c r="AN2" s="9" t="s">
        <v>954</v>
      </c>
      <c r="AO2" s="9" t="s">
        <v>923</v>
      </c>
      <c r="AP2" s="10">
        <f>_xll.BDP(AN2,"PX_LAST")</f>
        <v>26891.119999999999</v>
      </c>
      <c r="AQ2" s="10">
        <f>_xll.BDP(AN2,"CHG_PCT_1D")</f>
        <v>-0.29509790000000002</v>
      </c>
      <c r="AR2" s="10">
        <f>_xll.BDP(AN2,"HIGH_52WEEK")</f>
        <v>27398.6796875</v>
      </c>
      <c r="AS2" s="10">
        <f>LN(AR2/AP2)*100</f>
        <v>1.8698705060595815</v>
      </c>
      <c r="AT2" s="10">
        <f>_xll.BDP(AN2,"LOW_52WEEK")</f>
        <v>21712.53</v>
      </c>
      <c r="AU2" s="10">
        <f t="shared" ref="AU2:AU33" si="3">LN(AT2/AP2)*100</f>
        <v>-21.390660732598437</v>
      </c>
      <c r="AV2" s="10">
        <f>_xll.BDP(AN2,"CHG_PCT_5D")</f>
        <v>-0.75169090000000005</v>
      </c>
      <c r="AW2" s="10">
        <f>_xll.BDP(AN2,"CHG_PCT_1M")</f>
        <v>4.3185010000000004</v>
      </c>
      <c r="AX2" s="10">
        <f>_xll.BDP(AN2,"CHG_PCT_3M")</f>
        <v>1.374241</v>
      </c>
      <c r="AY2" s="10">
        <f>_xll.BDP(AN2,"CHG_PCT_6M")</f>
        <v>4.9385370000000002</v>
      </c>
      <c r="AZ2" s="10">
        <f>_xll.BDP(AN2,"PR064")</f>
        <v>1.374241</v>
      </c>
      <c r="BA2" s="10">
        <f>_xll.BDP(AN2,"CHG_PCT_1YR")</f>
        <v>1.7064699999999999</v>
      </c>
    </row>
    <row r="3" spans="1:53" x14ac:dyDescent="0.25">
      <c r="A3" t="s">
        <v>444</v>
      </c>
      <c r="B3" s="5" t="s">
        <v>891</v>
      </c>
      <c r="C3" s="5" t="str">
        <f>_xll.BDP(A3,"DS003")</f>
        <v>US</v>
      </c>
      <c r="D3" s="6">
        <f>_xll.BDP(A3,"PX_LAST")</f>
        <v>1038.4680000000001</v>
      </c>
      <c r="E3" s="6">
        <f>_xll.BDP(A3,"CHG_PCT_1D")</f>
        <v>-0.62925580000000003</v>
      </c>
      <c r="F3" s="6">
        <f>_xll.BDP(A3,"HIGH_52WEEK")</f>
        <v>1112.1500000000001</v>
      </c>
      <c r="G3" s="6">
        <f t="shared" si="0"/>
        <v>6.8548528631890902</v>
      </c>
      <c r="H3" s="6">
        <f>_xll.BDP(A3,"LOW_52WEEK")</f>
        <v>934.18</v>
      </c>
      <c r="I3" s="6">
        <f t="shared" si="1"/>
        <v>-10.583269002093907</v>
      </c>
      <c r="J3" s="6">
        <f>_xll.BDP(A3,"CHG_PCT_5D")</f>
        <v>-2.0136270000000001</v>
      </c>
      <c r="K3" s="6">
        <f>_xll.BDP(A3,"CHG_PCT_1M")</f>
        <v>0.84808539999999999</v>
      </c>
      <c r="L3" s="6">
        <f>_xll.BDP(A3,"CHG_PCT_3M")</f>
        <v>-2.8132100000000002</v>
      </c>
      <c r="M3" s="6">
        <f>_xll.BDP(A3,"CHG_PCT_6M")</f>
        <v>-0.84359170000000006</v>
      </c>
      <c r="N3" s="6">
        <f>_xll.BDP(A3,"PR064")</f>
        <v>-2.8132100000000002</v>
      </c>
      <c r="O3" s="6">
        <f>_xll.BDP(A3,"CHG_PCT_1YR")</f>
        <v>-5.3949730000000002</v>
      </c>
      <c r="P3" s="6">
        <f>_xll.BDP(A3,"INTERVAL_HIGH", "MARKET_DATA_OVERRIDE=PE_RATIO", "CALC_INTERVAL=5y", "BEST_FPERIOD_OVERRIDE=BF")</f>
        <v>25.116167999572102</v>
      </c>
      <c r="Q3" s="6">
        <f>_xll.BDP(A3,"INTERVAL_Low", "MARKET_DATA_OVERRIDE=PE_RATIO", "CALC_INTERVAL=5y", "BEST_FPERIOD_OVERRIDE=BF")</f>
        <v>18.217319689295781</v>
      </c>
      <c r="R3" s="6">
        <f>_xll.BDP(A3,"PE_RATIO")</f>
        <v>19.394606982234464</v>
      </c>
      <c r="S3" s="43">
        <f t="shared" si="2"/>
        <v>0.17064983023108804</v>
      </c>
      <c r="T3" s="6">
        <f>_xll.BDP(A3,"RR902")</f>
        <v>3444545790065</v>
      </c>
      <c r="U3" s="5" t="s">
        <v>497</v>
      </c>
      <c r="V3" s="5" t="s">
        <v>772</v>
      </c>
      <c r="W3" s="5" t="str">
        <f>_xll.BDP(U3,"DS003")</f>
        <v>US</v>
      </c>
      <c r="X3" s="6">
        <f>_xll.BDP(U3,"PX_LAST")</f>
        <v>219.89</v>
      </c>
      <c r="Y3" s="6">
        <f>_xll.BDP(U3,"CHG_PCT_1D")</f>
        <v>-0.51576710000000003</v>
      </c>
      <c r="Z3" s="6">
        <f>_xll.BDP(U3,"HIGH_52WEEK")</f>
        <v>233.47</v>
      </c>
      <c r="AA3" s="6">
        <f t="shared" ref="AA3:AA66" si="4">LN(Z3/X3)*100</f>
        <v>5.9926167886667123</v>
      </c>
      <c r="AB3" s="6">
        <f>_xll.BDP(U3,"LOW_52WEEK")</f>
        <v>142</v>
      </c>
      <c r="AC3" s="6">
        <f t="shared" ref="AC3:AC66" si="5">LN(AB3/X3)*100</f>
        <v>-43.730036370941839</v>
      </c>
      <c r="AD3" s="6">
        <f>_xll.BDP(U3,"CHG_PCT_5D")</f>
        <v>-0.48425049999999997</v>
      </c>
      <c r="AE3" s="6">
        <f>_xll.BDP(U3,"CHG_PCT_1M")</f>
        <v>6.4894160000000003</v>
      </c>
      <c r="AF3" s="6">
        <f>_xll.BDP(U3,"CHG_PCT_3M")</f>
        <v>10.05505</v>
      </c>
      <c r="AG3" s="6">
        <f>_xll.BDP(U3,"CHG_PCT_6M")</f>
        <v>17.72044</v>
      </c>
      <c r="AH3" s="6">
        <f>_xll.BDP(U3,"PR064")</f>
        <v>10.05505</v>
      </c>
      <c r="AI3" s="6">
        <f>_xll.BDP(U3,"CHG_PCT_1YR")</f>
        <v>-0.2404492</v>
      </c>
      <c r="AJ3" s="6">
        <f>_xll.BDP(U3,"INTERVAL_HIGH", "MARKET_DATA_OVERRIDE=PE_RATIO", "CALC_INTERVAL=5y", "BEST_FPERIOD_OVERRIDE=BF")</f>
        <v>20.63015068289489</v>
      </c>
      <c r="AK3" s="6">
        <f>_xll.BDP(U3,"INTERVAL_Low", "MARKET_DATA_OVERRIDE=PE_RATIO", "CALC_INTERVAL=5y", "BEST_FPERIOD_OVERRIDE=BF")</f>
        <v>9.3372364311458007</v>
      </c>
      <c r="AL3" s="6">
        <f>_xll.BDP(U3,"PE_RATIO")</f>
        <v>18.724005265580328</v>
      </c>
      <c r="AM3" s="43">
        <f t="shared" ref="AM3:AM66" si="6">IF(ISERROR((AL3-AK3)/(AJ3-AK3)),"",(AL3-AK3)/(AJ3-AK3))</f>
        <v>0.8312087230256503</v>
      </c>
      <c r="AN3" s="9" t="s">
        <v>955</v>
      </c>
      <c r="AO3" s="9" t="s">
        <v>924</v>
      </c>
      <c r="AP3" s="10">
        <f>_xll.BDP(AN3,"PX_LAST")</f>
        <v>10409.030000000001</v>
      </c>
      <c r="AQ3" s="10">
        <f>_xll.BDP(AN3,"CHG_PCT_1D")</f>
        <v>-0.23281180000000001</v>
      </c>
      <c r="AR3" s="10">
        <f>_xll.BDP(AN3,"HIGH_52WEEK")</f>
        <v>11494.28</v>
      </c>
      <c r="AS3" s="10">
        <f>LN(AR3/AP3)*100</f>
        <v>9.9175821674349187</v>
      </c>
      <c r="AT3" s="10">
        <f>_xll.BDP(AN3,"LOW_52WEEK")</f>
        <v>8636.7900000000009</v>
      </c>
      <c r="AU3" s="10">
        <f>LN(AT3/AP3)*100</f>
        <v>-18.664271264577668</v>
      </c>
      <c r="AV3" s="10">
        <f>_xll.BDP(AN3,"CHG_PCT_5D")</f>
        <v>-0.90620460000000003</v>
      </c>
      <c r="AW3" s="10">
        <f>_xll.BDP(AN3,"CHG_PCT_1M")</f>
        <v>6.9273009999999999</v>
      </c>
      <c r="AX3" s="10">
        <f>_xll.BDP(AN3,"CHG_PCT_3M")</f>
        <v>0.97492069999999997</v>
      </c>
      <c r="AY3" s="10">
        <f>_xll.BDP(AN3,"CHG_PCT_6M")</f>
        <v>2.072937</v>
      </c>
      <c r="AZ3" s="10">
        <f>_xll.BDP(AN3,"PR064")</f>
        <v>0.97492069999999997</v>
      </c>
      <c r="BA3" s="10">
        <f>_xll.BDP(AN3,"CHG_PCT_1YR")</f>
        <v>-8.5663160000000005</v>
      </c>
    </row>
    <row r="4" spans="1:53" x14ac:dyDescent="0.25">
      <c r="A4" t="s">
        <v>446</v>
      </c>
      <c r="B4" s="5" t="s">
        <v>890</v>
      </c>
      <c r="C4" s="5" t="str">
        <f>_xll.BDP(A4,"DS003")</f>
        <v>US</v>
      </c>
      <c r="D4" s="6">
        <f>_xll.BDP(A4,"PX_LAST")</f>
        <v>464.93360000000001</v>
      </c>
      <c r="E4" s="6">
        <f>_xll.BDP(A4,"CHG_PCT_1D")</f>
        <v>-0.38847619999999999</v>
      </c>
      <c r="F4" s="6">
        <f>_xll.BDP(A4,"HIGH_52WEEK")</f>
        <v>476.6</v>
      </c>
      <c r="G4" s="6">
        <f t="shared" si="0"/>
        <v>2.4782964972486745</v>
      </c>
      <c r="H4" s="6">
        <f>_xll.BDP(A4,"LOW_52WEEK")</f>
        <v>366.8</v>
      </c>
      <c r="I4" s="6">
        <f t="shared" si="1"/>
        <v>-23.707785930984524</v>
      </c>
      <c r="J4" s="6">
        <f>_xll.BDP(A4,"CHG_PCT_5D")</f>
        <v>-1.0745720000000001</v>
      </c>
      <c r="K4" s="6">
        <f>_xll.BDP(A4,"CHG_PCT_1M")</f>
        <v>7.2598539999999998</v>
      </c>
      <c r="L4" s="6">
        <f>_xll.BDP(A4,"CHG_PCT_3M")</f>
        <v>2.7329979999999998</v>
      </c>
      <c r="M4" s="6">
        <f>_xll.BDP(A4,"CHG_PCT_6M")</f>
        <v>10.086919999999999</v>
      </c>
      <c r="N4" s="6">
        <f>_xll.BDP(A4,"PR064")</f>
        <v>2.7329979999999998</v>
      </c>
      <c r="O4" s="6">
        <f>_xll.BDP(A4,"CHG_PCT_1YR")</f>
        <v>0.39829969999999998</v>
      </c>
      <c r="P4" s="6">
        <f>_xll.BDP(A4,"INTERVAL_HIGH", "MARKET_DATA_OVERRIDE=PE_RATIO", "CALC_INTERVAL=5y", "BEST_FPERIOD_OVERRIDE=BF")</f>
        <v>18.949964481000737</v>
      </c>
      <c r="Q4" s="6">
        <f>_xll.BDP(A4,"INTERVAL_Low", "MARKET_DATA_OVERRIDE=PE_RATIO", "CALC_INTERVAL=5y", "BEST_FPERIOD_OVERRIDE=BF")</f>
        <v>11.370164942445115</v>
      </c>
      <c r="R4" s="6">
        <f>_xll.BDP(A4,"PE_RATIO")</f>
        <v>13.288444798181471</v>
      </c>
      <c r="S4" s="43">
        <f t="shared" si="2"/>
        <v>0.25307791399743224</v>
      </c>
      <c r="T4" s="6">
        <f>_xll.BDP(A4,"RR902")</f>
        <v>3248664867212</v>
      </c>
      <c r="U4" s="5" t="s">
        <v>498</v>
      </c>
      <c r="V4" s="5" t="s">
        <v>773</v>
      </c>
      <c r="W4" s="5" t="str">
        <f>_xll.BDP(U4,"DS003")</f>
        <v>US</v>
      </c>
      <c r="X4" s="6">
        <f>_xll.BDP(U4,"PX_LAST")</f>
        <v>1739.84</v>
      </c>
      <c r="Y4" s="6">
        <f>_xll.BDP(U4,"CHG_PCT_1D")</f>
        <v>-1.6111249999999999</v>
      </c>
      <c r="Z4" s="6">
        <f>_xll.BDP(U4,"HIGH_52WEEK")</f>
        <v>2035.8</v>
      </c>
      <c r="AA4" s="6">
        <f t="shared" si="4"/>
        <v>15.709570706068368</v>
      </c>
      <c r="AB4" s="6">
        <f>_xll.BDP(U4,"LOW_52WEEK")</f>
        <v>1307</v>
      </c>
      <c r="AC4" s="6">
        <f t="shared" si="5"/>
        <v>-28.605872033333384</v>
      </c>
      <c r="AD4" s="6">
        <f>_xll.BDP(U4,"CHG_PCT_5D")</f>
        <v>-4.4831180000000002</v>
      </c>
      <c r="AE4" s="6">
        <f>_xll.BDP(U4,"CHG_PCT_1M")</f>
        <v>-1.64116</v>
      </c>
      <c r="AF4" s="6">
        <f>_xll.BDP(U4,"CHG_PCT_3M")</f>
        <v>-8.3247689999999999</v>
      </c>
      <c r="AG4" s="6">
        <f>_xll.BDP(U4,"CHG_PCT_6M")</f>
        <v>-2.462215</v>
      </c>
      <c r="AH4" s="6">
        <f>_xll.BDP(U4,"PR064")</f>
        <v>-8.3247689999999999</v>
      </c>
      <c r="AI4" s="6">
        <f>_xll.BDP(U4,"CHG_PCT_1YR")</f>
        <v>-11.90014</v>
      </c>
      <c r="AJ4" s="6">
        <f>_xll.BDP(U4,"INTERVAL_HIGH", "MARKET_DATA_OVERRIDE=PE_RATIO", "CALC_INTERVAL=5y", "BEST_FPERIOD_OVERRIDE=BF")</f>
        <v>1005.4869505623872</v>
      </c>
      <c r="AK4" s="6">
        <f>_xll.BDP(U4,"INTERVAL_Low", "MARKET_DATA_OVERRIDE=PE_RATIO", "CALC_INTERVAL=5y", "BEST_FPERIOD_OVERRIDE=BF")</f>
        <v>72.192529702087668</v>
      </c>
      <c r="AL4" s="6">
        <f>_xll.BDP(U4,"PE_RATIO")</f>
        <v>72.192529702087668</v>
      </c>
      <c r="AM4" s="43">
        <f t="shared" si="6"/>
        <v>0</v>
      </c>
      <c r="AN4" s="9" t="s">
        <v>956</v>
      </c>
      <c r="AO4" s="9" t="s">
        <v>925</v>
      </c>
      <c r="AP4" s="10">
        <f>_xll.BDP(AN4,"PX_LAST")</f>
        <v>2977.62</v>
      </c>
      <c r="AQ4" s="10">
        <f>_xll.BDP(AN4,"CHG_PCT_1D")</f>
        <v>-0.24289169999999999</v>
      </c>
      <c r="AR4" s="10">
        <f>_xll.BDP(AN4,"HIGH_52WEEK")</f>
        <v>3027.98</v>
      </c>
      <c r="AS4" s="10">
        <f t="shared" ref="AS4:AS33" si="7">LN(AR4/AP4)*100</f>
        <v>1.6771406831368012</v>
      </c>
      <c r="AT4" s="10">
        <f>_xll.BDP(AN4,"LOW_52WEEK")</f>
        <v>2346.58</v>
      </c>
      <c r="AU4" s="10">
        <f t="shared" si="3"/>
        <v>-23.816537470054293</v>
      </c>
      <c r="AV4" s="10">
        <f>_xll.BDP(AN4,"CHG_PCT_5D")</f>
        <v>-0.97013890000000003</v>
      </c>
      <c r="AW4" s="10">
        <f>_xll.BDP(AN4,"CHG_PCT_1M")</f>
        <v>3.780208</v>
      </c>
      <c r="AX4" s="10">
        <f>_xll.BDP(AN4,"CHG_PCT_3M")</f>
        <v>1.8017650000000001</v>
      </c>
      <c r="AY4" s="10">
        <f>_xll.BDP(AN4,"CHG_PCT_6M")</f>
        <v>6.1400100000000002</v>
      </c>
      <c r="AZ4" s="10">
        <f>_xll.BDP(AN4,"PR064")</f>
        <v>1.8017650000000001</v>
      </c>
      <c r="BA4" s="10">
        <f>_xll.BDP(AN4,"CHG_PCT_1YR")</f>
        <v>2.1832569999999998</v>
      </c>
    </row>
    <row r="5" spans="1:53" x14ac:dyDescent="0.25">
      <c r="A5" t="s">
        <v>441</v>
      </c>
      <c r="B5" s="5" t="s">
        <v>898</v>
      </c>
      <c r="C5" s="5" t="str">
        <f>_xll.BDP(A5,"DS003")</f>
        <v>US</v>
      </c>
      <c r="D5" s="6">
        <f>_xll.BDP(A5,"PX_LAST")</f>
        <v>2116.6869999999999</v>
      </c>
      <c r="E5" s="6">
        <f>_xll.BDP(A5,"CHG_PCT_1D")</f>
        <v>0.33865149999999999</v>
      </c>
      <c r="F5" s="6">
        <f>_xll.BDP(A5,"HIGH_52WEEK")</f>
        <v>2203.3000000000002</v>
      </c>
      <c r="G5" s="6">
        <f t="shared" si="0"/>
        <v>4.0104105998443131</v>
      </c>
      <c r="H5" s="6">
        <f>_xll.BDP(A5,"LOW_52WEEK")</f>
        <v>1496.81</v>
      </c>
      <c r="I5" s="6">
        <f t="shared" si="1"/>
        <v>-34.65159536148429</v>
      </c>
      <c r="J5" s="6">
        <f>_xll.BDP(A5,"CHG_PCT_5D")</f>
        <v>-0.59027070000000004</v>
      </c>
      <c r="K5" s="6">
        <f>_xll.BDP(A5,"CHG_PCT_1M")</f>
        <v>0.65839329999999996</v>
      </c>
      <c r="L5" s="6">
        <f>_xll.BDP(A5,"CHG_PCT_3M")</f>
        <v>1.9465669999999999</v>
      </c>
      <c r="M5" s="6">
        <f>_xll.BDP(A5,"CHG_PCT_6M")</f>
        <v>11.927339999999999</v>
      </c>
      <c r="N5" s="6">
        <f>_xll.BDP(A5,"PR064")</f>
        <v>1.9465669999999999</v>
      </c>
      <c r="O5" s="6">
        <f>_xll.BDP(A5,"CHG_PCT_1YR")</f>
        <v>13.87391</v>
      </c>
      <c r="P5" s="6">
        <f>_xll.BDP(A5,"INTERVAL_HIGH", "MARKET_DATA_OVERRIDE=PE_RATIO", "CALC_INTERVAL=5y", "BEST_FPERIOD_OVERRIDE=BF")</f>
        <v>31.359626535396071</v>
      </c>
      <c r="Q5" s="6">
        <f>_xll.BDP(A5,"INTERVAL_Low", "MARKET_DATA_OVERRIDE=PE_RATIO", "CALC_INTERVAL=5y", "BEST_FPERIOD_OVERRIDE=BF")</f>
        <v>20.872790813429329</v>
      </c>
      <c r="R5" s="6">
        <f>_xll.BDP(A5,"PE_RATIO")</f>
        <v>29.879378057067211</v>
      </c>
      <c r="S5" s="43">
        <f t="shared" si="2"/>
        <v>0.85884698515604774</v>
      </c>
      <c r="T5" s="6">
        <f>_xll.BDP(A5,"RR902")</f>
        <v>3128839860571</v>
      </c>
      <c r="U5" s="5" t="s">
        <v>499</v>
      </c>
      <c r="V5" s="5" t="s">
        <v>774</v>
      </c>
      <c r="W5" s="5" t="str">
        <f>_xll.BDP(U5,"DS003")</f>
        <v>US</v>
      </c>
      <c r="X5" s="6">
        <f>_xll.BDP(U5,"PX_LAST")</f>
        <v>117.03</v>
      </c>
      <c r="Y5" s="6">
        <f>_xll.BDP(U5,"CHG_PCT_1D")</f>
        <v>-0.82203389999999998</v>
      </c>
      <c r="Z5" s="6">
        <f>_xll.BDP(U5,"HIGH_52WEEK")</f>
        <v>120.4</v>
      </c>
      <c r="AA5" s="6">
        <f t="shared" si="4"/>
        <v>2.83892206880458</v>
      </c>
      <c r="AB5" s="6">
        <f>_xll.BDP(U5,"LOW_52WEEK")</f>
        <v>91.11</v>
      </c>
      <c r="AC5" s="6">
        <f t="shared" si="5"/>
        <v>-25.036274446090779</v>
      </c>
      <c r="AD5" s="6">
        <f>_xll.BDP(U5,"CHG_PCT_5D")</f>
        <v>-1.968504</v>
      </c>
      <c r="AE5" s="6">
        <f>_xll.BDP(U5,"CHG_PCT_1M")</f>
        <v>9.5068750000000009</v>
      </c>
      <c r="AF5" s="6">
        <f>_xll.BDP(U5,"CHG_PCT_3M")</f>
        <v>7.881634</v>
      </c>
      <c r="AG5" s="6">
        <f>_xll.BDP(U5,"CHG_PCT_6M")</f>
        <v>17.123699999999999</v>
      </c>
      <c r="AH5" s="6">
        <f>_xll.BDP(U5,"PR064")</f>
        <v>7.881634</v>
      </c>
      <c r="AI5" s="6">
        <f>_xll.BDP(U5,"CHG_PCT_1YR")</f>
        <v>1.747525</v>
      </c>
      <c r="AJ5" s="6">
        <f>_xll.BDP(U5,"INTERVAL_HIGH", "MARKET_DATA_OVERRIDE=PE_RATIO", "CALC_INTERVAL=5y", "BEST_FPERIOD_OVERRIDE=BF")</f>
        <v>16.716027079117147</v>
      </c>
      <c r="AK5" s="6">
        <f>_xll.BDP(U5,"INTERVAL_Low", "MARKET_DATA_OVERRIDE=PE_RATIO", "CALC_INTERVAL=5y", "BEST_FPERIOD_OVERRIDE=BF")</f>
        <v>7.569732446859005</v>
      </c>
      <c r="AL5" s="6">
        <f>_xll.BDP(U5,"PE_RATIO")</f>
        <v>12.251650856243828</v>
      </c>
      <c r="AM5" s="43">
        <f t="shared" si="6"/>
        <v>0.51189236708733676</v>
      </c>
      <c r="AN5" s="9" t="s">
        <v>957</v>
      </c>
      <c r="AO5" s="9" t="s">
        <v>926</v>
      </c>
      <c r="AP5" s="10">
        <f>_xll.BDP(AN5,"PX_LAST")</f>
        <v>8030.6610000000001</v>
      </c>
      <c r="AQ5" s="10">
        <f>_xll.BDP(AN5,"CHG_PCT_1D")</f>
        <v>-0.57844220000000002</v>
      </c>
      <c r="AR5" s="10">
        <f>_xll.BDP(AN5,"HIGH_52WEEK")</f>
        <v>8339.6389999999992</v>
      </c>
      <c r="AS5" s="10">
        <f t="shared" si="7"/>
        <v>3.7753089177422297</v>
      </c>
      <c r="AT5" s="10">
        <f>_xll.BDP(AN5,"LOW_52WEEK")</f>
        <v>6190.1660000000002</v>
      </c>
      <c r="AU5" s="10">
        <f t="shared" si="3"/>
        <v>-26.030493710027219</v>
      </c>
      <c r="AV5" s="10">
        <f>_xll.BDP(AN5,"CHG_PCT_5D")</f>
        <v>-1.860206</v>
      </c>
      <c r="AW5" s="10">
        <f>_xll.BDP(AN5,"CHG_PCT_1M")</f>
        <v>2.6027439999999999</v>
      </c>
      <c r="AX5" s="10">
        <f>_xll.BDP(AN5,"CHG_PCT_3M")</f>
        <v>0.78947330000000004</v>
      </c>
      <c r="AY5" s="10">
        <f>_xll.BDP(AN5,"CHG_PCT_6M")</f>
        <v>5.0669250000000003</v>
      </c>
      <c r="AZ5" s="10">
        <f>_xll.BDP(AN5,"PR064")</f>
        <v>0.78947330000000004</v>
      </c>
      <c r="BA5" s="10">
        <f>_xll.BDP(AN5,"CHG_PCT_1YR")</f>
        <v>-0.14059550000000001</v>
      </c>
    </row>
    <row r="6" spans="1:53" x14ac:dyDescent="0.25">
      <c r="A6" t="s">
        <v>455</v>
      </c>
      <c r="B6" s="5" t="s">
        <v>895</v>
      </c>
      <c r="C6" s="5" t="str">
        <f>_xll.BDP(A6,"DS003")</f>
        <v>US</v>
      </c>
      <c r="D6" s="6">
        <f>_xll.BDP(A6,"PX_LAST")</f>
        <v>168.2278</v>
      </c>
      <c r="E6" s="6">
        <f>_xll.BDP(A6,"CHG_PCT_1D")</f>
        <v>-0.79603630000000003</v>
      </c>
      <c r="F6" s="6">
        <f>_xll.BDP(A6,"HIGH_52WEEK")</f>
        <v>173.42</v>
      </c>
      <c r="G6" s="6">
        <f t="shared" si="0"/>
        <v>3.0397384638055862</v>
      </c>
      <c r="H6" s="6">
        <f>_xll.BDP(A6,"LOW_52WEEK")</f>
        <v>130.80000000000001</v>
      </c>
      <c r="I6" s="6">
        <f t="shared" si="1"/>
        <v>-25.16495742878601</v>
      </c>
      <c r="J6" s="6">
        <f>_xll.BDP(A6,"CHG_PCT_5D")</f>
        <v>-1.8774679999999999</v>
      </c>
      <c r="K6" s="6">
        <f>_xll.BDP(A6,"CHG_PCT_1M")</f>
        <v>2.7799779999999998</v>
      </c>
      <c r="L6" s="6">
        <f>_xll.BDP(A6,"CHG_PCT_3M")</f>
        <v>3.2330800000000002</v>
      </c>
      <c r="M6" s="6">
        <f>_xll.BDP(A6,"CHG_PCT_6M")</f>
        <v>6.4588760000000001</v>
      </c>
      <c r="N6" s="6">
        <f>_xll.BDP(A6,"PR064")</f>
        <v>3.2330800000000002</v>
      </c>
      <c r="O6" s="6">
        <f>_xll.BDP(A6,"CHG_PCT_1YR")</f>
        <v>4.3704869999999998</v>
      </c>
      <c r="P6" s="6">
        <f>_xll.BDP(A6,"INTERVAL_HIGH", "MARKET_DATA_OVERRIDE=PE_RATIO", "CALC_INTERVAL=5y", "BEST_FPERIOD_OVERRIDE=BF")</f>
        <v>21.001810002856882</v>
      </c>
      <c r="Q6" s="6">
        <f>_xll.BDP(A6,"INTERVAL_Low", "MARKET_DATA_OVERRIDE=PE_RATIO", "CALC_INTERVAL=5y", "BEST_FPERIOD_OVERRIDE=BF")</f>
        <v>5.4778585954819441</v>
      </c>
      <c r="R6" s="6">
        <f>_xll.BDP(A6,"PE_RATIO")</f>
        <v>20.417812814574685</v>
      </c>
      <c r="S6" s="43">
        <f t="shared" si="2"/>
        <v>0.96238089304989971</v>
      </c>
      <c r="T6" s="6">
        <f>_xll.BDP(A6,"RR902")</f>
        <v>2728338574599</v>
      </c>
      <c r="U6" s="5" t="s">
        <v>501</v>
      </c>
      <c r="V6" s="5" t="s">
        <v>775</v>
      </c>
      <c r="W6" s="5" t="str">
        <f>_xll.BDP(U6,"DS003")</f>
        <v>US</v>
      </c>
      <c r="X6" s="6">
        <f>_xll.BDP(U6,"PX_LAST")</f>
        <v>128.85</v>
      </c>
      <c r="Y6" s="6">
        <f>_xll.BDP(U6,"CHG_PCT_1D")</f>
        <v>-1.6337120000000001</v>
      </c>
      <c r="Z6" s="6">
        <f>_xll.BDP(U6,"HIGH_52WEEK")</f>
        <v>148.99</v>
      </c>
      <c r="AA6" s="6">
        <f t="shared" si="4"/>
        <v>14.523025250087382</v>
      </c>
      <c r="AB6" s="6">
        <f>_xll.BDP(U6,"LOW_52WEEK")</f>
        <v>121</v>
      </c>
      <c r="AC6" s="6">
        <f t="shared" si="5"/>
        <v>-6.2858391501632891</v>
      </c>
      <c r="AD6" s="6">
        <f>_xll.BDP(U6,"CHG_PCT_5D")</f>
        <v>-0.96841129999999997</v>
      </c>
      <c r="AE6" s="6">
        <f>_xll.BDP(U6,"CHG_PCT_1M")</f>
        <v>0.82159380000000004</v>
      </c>
      <c r="AF6" s="6">
        <f>_xll.BDP(U6,"CHG_PCT_3M")</f>
        <v>-9.1646140000000003</v>
      </c>
      <c r="AG6" s="6">
        <f>_xll.BDP(U6,"CHG_PCT_6M")</f>
        <v>-7.0145099999999996</v>
      </c>
      <c r="AH6" s="6">
        <f>_xll.BDP(U6,"PR064")</f>
        <v>-9.1646140000000003</v>
      </c>
      <c r="AI6" s="6">
        <f>_xll.BDP(U6,"CHG_PCT_1YR")</f>
        <v>-6.7385659999999996</v>
      </c>
      <c r="AJ6" s="6">
        <f>_xll.BDP(U6,"INTERVAL_HIGH", "MARKET_DATA_OVERRIDE=PE_RATIO", "CALC_INTERVAL=5y", "BEST_FPERIOD_OVERRIDE=BF")</f>
        <v>22.040356621741743</v>
      </c>
      <c r="AK6" s="6">
        <f>_xll.BDP(U6,"INTERVAL_Low", "MARKET_DATA_OVERRIDE=PE_RATIO", "CALC_INTERVAL=5y", "BEST_FPERIOD_OVERRIDE=BF")</f>
        <v>14.192962286655332</v>
      </c>
      <c r="AL6" s="6">
        <f>_xll.BDP(U6,"PE_RATIO")</f>
        <v>17.618742745654369</v>
      </c>
      <c r="AM6" s="43">
        <f t="shared" si="6"/>
        <v>0.43655005887521958</v>
      </c>
      <c r="AN6" s="9" t="s">
        <v>958</v>
      </c>
      <c r="AO6" s="9" t="s">
        <v>927</v>
      </c>
      <c r="AP6" s="10">
        <f>_xll.BDP(AN6,"PX_LAST")</f>
        <v>1580.095</v>
      </c>
      <c r="AQ6" s="10">
        <f>_xll.BDP(AN6,"CHG_PCT_1D")</f>
        <v>3.361687E-2</v>
      </c>
      <c r="AR6" s="10">
        <f>_xll.BDP(AN6,"HIGH_52WEEK")</f>
        <v>1625.1579999999999</v>
      </c>
      <c r="AS6" s="10">
        <f t="shared" si="7"/>
        <v>2.8120070010703291</v>
      </c>
      <c r="AT6" s="10">
        <f>_xll.BDP(AN6,"LOW_52WEEK")</f>
        <v>1066.3869999999999</v>
      </c>
      <c r="AU6" s="10">
        <f t="shared" si="3"/>
        <v>-39.320867255320387</v>
      </c>
      <c r="AV6" s="10">
        <f>_xll.BDP(AN6,"CHG_PCT_5D")</f>
        <v>-0.75216209999999994</v>
      </c>
      <c r="AW6" s="10">
        <f>_xll.BDP(AN6,"CHG_PCT_1M")</f>
        <v>8.6635419999999996</v>
      </c>
      <c r="AX6" s="10">
        <f>_xll.BDP(AN6,"CHG_PCT_3M")</f>
        <v>8.4561910000000005</v>
      </c>
      <c r="AY6" s="10">
        <f>_xll.BDP(AN6,"CHG_PCT_6M")</f>
        <v>14.79227</v>
      </c>
      <c r="AZ6" s="10">
        <f>_xll.BDP(AN6,"PR064")</f>
        <v>8.4561910000000005</v>
      </c>
      <c r="BA6" s="10">
        <f>_xll.BDP(AN6,"CHG_PCT_1YR")</f>
        <v>16.3657</v>
      </c>
    </row>
    <row r="7" spans="1:53" x14ac:dyDescent="0.25">
      <c r="A7" t="s">
        <v>447</v>
      </c>
      <c r="B7" s="5" t="s">
        <v>887</v>
      </c>
      <c r="C7" s="5" t="str">
        <f>_xll.BDP(A7,"DS003")</f>
        <v>US</v>
      </c>
      <c r="D7" s="6">
        <f>_xll.BDP(A7,"PX_LAST")</f>
        <v>942.85829999999999</v>
      </c>
      <c r="E7" s="6">
        <f>_xll.BDP(A7,"CHG_PCT_1D")</f>
        <v>-0.55817079999999997</v>
      </c>
      <c r="F7" s="6">
        <f>_xll.BDP(A7,"HIGH_52WEEK")</f>
        <v>990.03</v>
      </c>
      <c r="G7" s="6">
        <f t="shared" si="0"/>
        <v>4.8819239468633384</v>
      </c>
      <c r="H7" s="6">
        <f>_xll.BDP(A7,"LOW_52WEEK")</f>
        <v>720.28</v>
      </c>
      <c r="I7" s="6">
        <f t="shared" si="1"/>
        <v>-26.927598092987303</v>
      </c>
      <c r="J7" s="6">
        <f>_xll.BDP(A7,"CHG_PCT_5D")</f>
        <v>-1.719622</v>
      </c>
      <c r="K7" s="6">
        <f>_xll.BDP(A7,"CHG_PCT_1M")</f>
        <v>2.2690220000000001</v>
      </c>
      <c r="L7" s="6">
        <f>_xll.BDP(A7,"CHG_PCT_3M")</f>
        <v>-4.0701229999999998E-2</v>
      </c>
      <c r="M7" s="6">
        <f>_xll.BDP(A7,"CHG_PCT_6M")</f>
        <v>5.7708120000000003</v>
      </c>
      <c r="N7" s="6">
        <f>_xll.BDP(A7,"PR064")</f>
        <v>-4.0701229999999998E-2</v>
      </c>
      <c r="O7" s="6">
        <f>_xll.BDP(A7,"CHG_PCT_1YR")</f>
        <v>0.36709069999999999</v>
      </c>
      <c r="P7" s="6">
        <f>_xll.BDP(A7,"INTERVAL_HIGH", "MARKET_DATA_OVERRIDE=PE_RATIO", "CALC_INTERVAL=5y", "BEST_FPERIOD_OVERRIDE=BF")</f>
        <v>27.027917743066713</v>
      </c>
      <c r="Q7" s="6">
        <f>_xll.BDP(A7,"INTERVAL_Low", "MARKET_DATA_OVERRIDE=PE_RATIO", "CALC_INTERVAL=5y", "BEST_FPERIOD_OVERRIDE=BF")</f>
        <v>18.086762825781538</v>
      </c>
      <c r="R7" s="6">
        <f>_xll.BDP(A7,"PE_RATIO")</f>
        <v>23.827774471416262</v>
      </c>
      <c r="S7" s="43">
        <f t="shared" si="2"/>
        <v>0.64208837658501083</v>
      </c>
      <c r="T7" s="6">
        <f>_xll.BDP(A7,"RR902")</f>
        <v>2681104416804</v>
      </c>
      <c r="U7" s="5" t="s">
        <v>502</v>
      </c>
      <c r="V7" s="5" t="s">
        <v>776</v>
      </c>
      <c r="W7" s="5" t="str">
        <f>_xll.BDP(U7,"DS003")</f>
        <v>US</v>
      </c>
      <c r="X7" s="6">
        <f>_xll.BDP(U7,"PX_LAST")</f>
        <v>1242.29</v>
      </c>
      <c r="Y7" s="6">
        <f>_xll.BDP(U7,"CHG_PCT_1D")</f>
        <v>-0.29295149999999998</v>
      </c>
      <c r="Z7" s="6">
        <f>_xll.BDP(U7,"HIGH_52WEEK")</f>
        <v>1296.9749999999999</v>
      </c>
      <c r="AA7" s="6">
        <f t="shared" si="4"/>
        <v>4.3078179278308735</v>
      </c>
      <c r="AB7" s="6">
        <f>_xll.BDP(U7,"LOW_52WEEK")</f>
        <v>977.66</v>
      </c>
      <c r="AC7" s="6">
        <f t="shared" si="5"/>
        <v>-23.954976827239431</v>
      </c>
      <c r="AD7" s="6">
        <f>_xll.BDP(U7,"CHG_PCT_5D")</f>
        <v>0.28577190000000002</v>
      </c>
      <c r="AE7" s="6">
        <f>_xll.BDP(U7,"CHG_PCT_1M")</f>
        <v>6.0716489999999999</v>
      </c>
      <c r="AF7" s="6">
        <f>_xll.BDP(U7,"CHG_PCT_3M")</f>
        <v>14.992789999999999</v>
      </c>
      <c r="AG7" s="6">
        <f>_xll.BDP(U7,"CHG_PCT_6M")</f>
        <v>4.4081590000000004</v>
      </c>
      <c r="AH7" s="6">
        <f>_xll.BDP(U7,"PR064")</f>
        <v>14.992789999999999</v>
      </c>
      <c r="AI7" s="6">
        <f>_xll.BDP(U7,"CHG_PCT_1YR")</f>
        <v>4.0391550000000001</v>
      </c>
      <c r="AJ7" s="6">
        <f>_xll.BDP(U7,"INTERVAL_HIGH", "MARKET_DATA_OVERRIDE=PE_RATIO", "CALC_INTERVAL=5y", "BEST_FPERIOD_OVERRIDE=BF")</f>
        <v>38.095470234783079</v>
      </c>
      <c r="AK7" s="6">
        <f>_xll.BDP(U7,"INTERVAL_Low", "MARKET_DATA_OVERRIDE=PE_RATIO", "CALC_INTERVAL=5y", "BEST_FPERIOD_OVERRIDE=BF")</f>
        <v>24.251415162568861</v>
      </c>
      <c r="AL7" s="6">
        <f>_xll.BDP(U7,"PE_RATIO")</f>
        <v>28.218125864446833</v>
      </c>
      <c r="AM7" s="43">
        <f t="shared" si="6"/>
        <v>0.28652809319137851</v>
      </c>
      <c r="AN7" s="9" t="s">
        <v>959</v>
      </c>
      <c r="AO7" s="9" t="s">
        <v>928</v>
      </c>
      <c r="AP7" s="10">
        <f>_xll.BDP(AN7,"PX_LAST")</f>
        <v>1533.326</v>
      </c>
      <c r="AQ7" s="10">
        <f>_xll.BDP(AN7,"CHG_PCT_1D")</f>
        <v>-1.117464</v>
      </c>
      <c r="AR7" s="10">
        <f>_xll.BDP(AN7,"HIGH_52WEEK")</f>
        <v>1703.809</v>
      </c>
      <c r="AS7" s="10">
        <f t="shared" si="7"/>
        <v>10.542710071597464</v>
      </c>
      <c r="AT7" s="10">
        <f>_xll.BDP(AN7,"LOW_52WEEK")</f>
        <v>1266.925</v>
      </c>
      <c r="AU7" s="10">
        <f t="shared" si="3"/>
        <v>-19.084652756859317</v>
      </c>
      <c r="AV7" s="10">
        <f>_xll.BDP(AN7,"CHG_PCT_5D")</f>
        <v>-1.8026789999999999</v>
      </c>
      <c r="AW7" s="10">
        <f>_xll.BDP(AN7,"CHG_PCT_1M")</f>
        <v>5.308039</v>
      </c>
      <c r="AX7" s="10">
        <f>_xll.BDP(AN7,"CHG_PCT_3M")</f>
        <v>-0.85506439999999995</v>
      </c>
      <c r="AY7" s="10">
        <f>_xll.BDP(AN7,"CHG_PCT_6M")</f>
        <v>0.72887049999999998</v>
      </c>
      <c r="AZ7" s="10">
        <f>_xll.BDP(AN7,"PR064")</f>
        <v>-0.85506439999999995</v>
      </c>
      <c r="BA7" s="10">
        <f>_xll.BDP(AN7,"CHG_PCT_1YR")</f>
        <v>-9.2988780000000002</v>
      </c>
    </row>
    <row r="8" spans="1:53" x14ac:dyDescent="0.25">
      <c r="A8" t="s">
        <v>450</v>
      </c>
      <c r="B8" s="5" t="s">
        <v>892</v>
      </c>
      <c r="C8" s="5" t="str">
        <f>_xll.BDP(A8,"DS003")</f>
        <v>US</v>
      </c>
      <c r="D8" s="6">
        <f>_xll.BDP(A8,"PX_LAST")</f>
        <v>656.22969999999998</v>
      </c>
      <c r="E8" s="6">
        <f>_xll.BDP(A8,"CHG_PCT_1D")</f>
        <v>8.2172869999999995E-2</v>
      </c>
      <c r="F8" s="6">
        <f>_xll.BDP(A8,"HIGH_52WEEK")</f>
        <v>672.79</v>
      </c>
      <c r="G8" s="6">
        <f t="shared" si="0"/>
        <v>2.492236519619814</v>
      </c>
      <c r="H8" s="6">
        <f>_xll.BDP(A8,"LOW_52WEEK")</f>
        <v>504.67</v>
      </c>
      <c r="I8" s="6">
        <f t="shared" si="1"/>
        <v>-26.260612976676821</v>
      </c>
      <c r="J8" s="6">
        <f>_xll.BDP(A8,"CHG_PCT_5D")</f>
        <v>-0.68027249999999995</v>
      </c>
      <c r="K8" s="6">
        <f>_xll.BDP(A8,"CHG_PCT_1M")</f>
        <v>6.5358369999999999</v>
      </c>
      <c r="L8" s="6">
        <f>_xll.BDP(A8,"CHG_PCT_3M")</f>
        <v>1.6758789999999999</v>
      </c>
      <c r="M8" s="6">
        <f>_xll.BDP(A8,"CHG_PCT_6M")</f>
        <v>5.622655</v>
      </c>
      <c r="N8" s="6">
        <f>_xll.BDP(A8,"PR064")</f>
        <v>1.6758789999999999</v>
      </c>
      <c r="O8" s="6">
        <f>_xll.BDP(A8,"CHG_PCT_1YR")</f>
        <v>-0.4814562</v>
      </c>
      <c r="P8" s="6">
        <f>_xll.BDP(A8,"INTERVAL_HIGH", "MARKET_DATA_OVERRIDE=PE_RATIO", "CALC_INTERVAL=5y", "BEST_FPERIOD_OVERRIDE=BF")</f>
        <v>22.93450553074619</v>
      </c>
      <c r="Q8" s="6">
        <f>_xll.BDP(A8,"INTERVAL_Low", "MARKET_DATA_OVERRIDE=PE_RATIO", "CALC_INTERVAL=5y", "BEST_FPERIOD_OVERRIDE=BF")</f>
        <v>14.487435100796359</v>
      </c>
      <c r="R8" s="6">
        <f>_xll.BDP(A8,"PE_RATIO")</f>
        <v>18.304728640336034</v>
      </c>
      <c r="S8" s="43">
        <f t="shared" si="2"/>
        <v>0.45190738862613539</v>
      </c>
      <c r="T8" s="6">
        <f>_xll.BDP(A8,"RR902")</f>
        <v>2416407426398</v>
      </c>
      <c r="U8" s="5" t="s">
        <v>503</v>
      </c>
      <c r="V8" s="5" t="s">
        <v>777</v>
      </c>
      <c r="W8" s="5" t="str">
        <f>_xll.BDP(U8,"DS003")</f>
        <v>US</v>
      </c>
      <c r="X8" s="6">
        <f>_xll.BDP(U8,"PX_LAST")</f>
        <v>124.31</v>
      </c>
      <c r="Y8" s="6">
        <f>_xll.BDP(U8,"CHG_PCT_1D")</f>
        <v>1.04861</v>
      </c>
      <c r="Z8" s="6">
        <f>_xll.BDP(U8,"HIGH_52WEEK")</f>
        <v>125</v>
      </c>
      <c r="AA8" s="6">
        <f t="shared" si="4"/>
        <v>0.55352914986770552</v>
      </c>
      <c r="AB8" s="6">
        <f>_xll.BDP(U8,"LOW_52WEEK")</f>
        <v>78.489999999999995</v>
      </c>
      <c r="AC8" s="6">
        <f t="shared" si="5"/>
        <v>-45.980721766490184</v>
      </c>
      <c r="AD8" s="6">
        <f>_xll.BDP(U8,"CHG_PCT_5D")</f>
        <v>1.9770300000000001</v>
      </c>
      <c r="AE8" s="6">
        <f>_xll.BDP(U8,"CHG_PCT_1M")</f>
        <v>4.1820320000000004</v>
      </c>
      <c r="AF8" s="6">
        <f>_xll.BDP(U8,"CHG_PCT_3M")</f>
        <v>13.28716</v>
      </c>
      <c r="AG8" s="6">
        <f>_xll.BDP(U8,"CHG_PCT_6M")</f>
        <v>20.665890000000001</v>
      </c>
      <c r="AH8" s="6">
        <f>_xll.BDP(U8,"PR064")</f>
        <v>13.28716</v>
      </c>
      <c r="AI8" s="6">
        <f>_xll.BDP(U8,"CHG_PCT_1YR")</f>
        <v>49.303379999999997</v>
      </c>
      <c r="AJ8" s="6">
        <f>_xll.BDP(U8,"INTERVAL_HIGH", "MARKET_DATA_OVERRIDE=PE_RATIO", "CALC_INTERVAL=5y", "BEST_FPERIOD_OVERRIDE=BF")</f>
        <v>28.773963753877116</v>
      </c>
      <c r="AK8" s="6">
        <f>_xll.BDP(U8,"INTERVAL_Low", "MARKET_DATA_OVERRIDE=PE_RATIO", "CALC_INTERVAL=5y", "BEST_FPERIOD_OVERRIDE=BF")</f>
        <v>15.20373662432813</v>
      </c>
      <c r="AL8" s="6">
        <f>_xll.BDP(U8,"PE_RATIO")</f>
        <v>28.773963753877116</v>
      </c>
      <c r="AM8" s="43">
        <f t="shared" si="6"/>
        <v>1</v>
      </c>
      <c r="AN8" s="9" t="s">
        <v>960</v>
      </c>
      <c r="AO8" s="9" t="s">
        <v>929</v>
      </c>
      <c r="AP8" s="10">
        <f>_xll.BDP(AN8,"PX_LAST")</f>
        <v>1645.2850000000001</v>
      </c>
      <c r="AQ8" s="10">
        <f>_xll.BDP(AN8,"CHG_PCT_1D")</f>
        <v>-0.26726169999999999</v>
      </c>
      <c r="AR8" s="10">
        <f>_xll.BDP(AN8,"HIGH_52WEEK")</f>
        <v>1678.277</v>
      </c>
      <c r="AS8" s="10">
        <f t="shared" si="7"/>
        <v>1.9854050403882515</v>
      </c>
      <c r="AT8" s="10">
        <f>_xll.BDP(AN8,"LOW_52WEEK")</f>
        <v>1296.2260000000001</v>
      </c>
      <c r="AU8" s="10">
        <f t="shared" si="3"/>
        <v>-23.845665604729358</v>
      </c>
      <c r="AV8" s="10">
        <f>_xll.BDP(AN8,"CHG_PCT_5D")</f>
        <v>-1.010507</v>
      </c>
      <c r="AW8" s="10">
        <f>_xll.BDP(AN8,"CHG_PCT_1M")</f>
        <v>3.663964</v>
      </c>
      <c r="AX8" s="10">
        <f>_xll.BDP(AN8,"CHG_PCT_3M")</f>
        <v>1.622279</v>
      </c>
      <c r="AY8" s="10">
        <f>_xll.BDP(AN8,"CHG_PCT_6M")</f>
        <v>5.8990710000000002</v>
      </c>
      <c r="AZ8" s="10">
        <f>_xll.BDP(AN8,"PR064")</f>
        <v>1.622279</v>
      </c>
      <c r="BA8" s="10">
        <f>_xll.BDP(AN8,"CHG_PCT_1YR")</f>
        <v>1.9183969999999999</v>
      </c>
    </row>
    <row r="9" spans="1:53" x14ac:dyDescent="0.25">
      <c r="A9" t="s">
        <v>448</v>
      </c>
      <c r="B9" s="5" t="s">
        <v>888</v>
      </c>
      <c r="C9" s="5" t="str">
        <f>_xll.BDP(A9,"DS003")</f>
        <v>US</v>
      </c>
      <c r="D9" s="6">
        <f>_xll.BDP(A9,"PX_LAST")</f>
        <v>626.89670000000001</v>
      </c>
      <c r="E9" s="6">
        <f>_xll.BDP(A9,"CHG_PCT_1D")</f>
        <v>0.49773010000000001</v>
      </c>
      <c r="F9" s="6">
        <f>_xll.BDP(A9,"HIGH_52WEEK")</f>
        <v>631.99</v>
      </c>
      <c r="G9" s="6">
        <f t="shared" si="0"/>
        <v>0.80917969682455204</v>
      </c>
      <c r="H9" s="6">
        <f>_xll.BDP(A9,"LOW_52WEEK")</f>
        <v>496.81</v>
      </c>
      <c r="I9" s="6">
        <f t="shared" si="1"/>
        <v>-23.257411502745668</v>
      </c>
      <c r="J9" s="6">
        <f>_xll.BDP(A9,"CHG_PCT_5D")</f>
        <v>1.06904</v>
      </c>
      <c r="K9" s="6">
        <f>_xll.BDP(A9,"CHG_PCT_1M")</f>
        <v>1.6806840000000001</v>
      </c>
      <c r="L9" s="6">
        <f>_xll.BDP(A9,"CHG_PCT_3M")</f>
        <v>5.0196160000000001</v>
      </c>
      <c r="M9" s="6">
        <f>_xll.BDP(A9,"CHG_PCT_6M")</f>
        <v>9.2686259999999994</v>
      </c>
      <c r="N9" s="6">
        <f>_xll.BDP(A9,"PR064")</f>
        <v>5.0196160000000001</v>
      </c>
      <c r="O9" s="6">
        <f>_xll.BDP(A9,"CHG_PCT_1YR")</f>
        <v>13.22118</v>
      </c>
      <c r="P9" s="6">
        <f>_xll.BDP(A9,"INTERVAL_HIGH", "MARKET_DATA_OVERRIDE=PE_RATIO", "CALC_INTERVAL=5y", "BEST_FPERIOD_OVERRIDE=BF")</f>
        <v>23.494341263386563</v>
      </c>
      <c r="Q9" s="6">
        <f>_xll.BDP(A9,"INTERVAL_Low", "MARKET_DATA_OVERRIDE=PE_RATIO", "CALC_INTERVAL=5y", "BEST_FPERIOD_OVERRIDE=BF")</f>
        <v>17.179241429427403</v>
      </c>
      <c r="R9" s="6">
        <f>_xll.BDP(A9,"PE_RATIO")</f>
        <v>21.329826213172815</v>
      </c>
      <c r="S9" s="43">
        <f t="shared" si="2"/>
        <v>0.65724769091152491</v>
      </c>
      <c r="T9" s="6">
        <f>_xll.BDP(A9,"RR902")</f>
        <v>2122404926603.0002</v>
      </c>
      <c r="U9" s="5" t="s">
        <v>504</v>
      </c>
      <c r="V9" s="5" t="s">
        <v>778</v>
      </c>
      <c r="W9" s="5" t="str">
        <f>_xll.BDP(U9,"DS003")</f>
        <v>US</v>
      </c>
      <c r="X9" s="6">
        <f>_xll.BDP(U9,"PX_LAST")</f>
        <v>70.97</v>
      </c>
      <c r="Y9" s="6">
        <f>_xll.BDP(U9,"CHG_PCT_1D")</f>
        <v>-0.5325858</v>
      </c>
      <c r="Z9" s="6">
        <f>_xll.BDP(U9,"HIGH_52WEEK")</f>
        <v>86.89</v>
      </c>
      <c r="AA9" s="6">
        <f t="shared" si="4"/>
        <v>20.2385698314223</v>
      </c>
      <c r="AB9" s="6">
        <f>_xll.BDP(U9,"LOW_52WEEK")</f>
        <v>64.650000000000006</v>
      </c>
      <c r="AC9" s="6">
        <f t="shared" si="5"/>
        <v>-9.3269147319024999</v>
      </c>
      <c r="AD9" s="6">
        <f>_xll.BDP(U9,"CHG_PCT_5D")</f>
        <v>-1.880271</v>
      </c>
      <c r="AE9" s="6">
        <f>_xll.BDP(U9,"CHG_PCT_1M")</f>
        <v>4.5983809999999998</v>
      </c>
      <c r="AF9" s="6">
        <f>_xll.BDP(U9,"CHG_PCT_3M")</f>
        <v>-7.3498679999999998</v>
      </c>
      <c r="AG9" s="6">
        <f>_xll.BDP(U9,"CHG_PCT_6M")</f>
        <v>-12.33943</v>
      </c>
      <c r="AH9" s="6">
        <f>_xll.BDP(U9,"PR064")</f>
        <v>-7.3498679999999998</v>
      </c>
      <c r="AI9" s="6">
        <f>_xll.BDP(U9,"CHG_PCT_1YR")</f>
        <v>-17.2651</v>
      </c>
      <c r="AJ9" s="6">
        <f>_xll.BDP(U9,"INTERVAL_HIGH", "MARKET_DATA_OVERRIDE=PE_RATIO", "CALC_INTERVAL=5y", "BEST_FPERIOD_OVERRIDE=BF")</f>
        <v>38.648400894325071</v>
      </c>
      <c r="AK9" s="6">
        <f>_xll.BDP(U9,"INTERVAL_Low", "MARKET_DATA_OVERRIDE=PE_RATIO", "CALC_INTERVAL=5y", "BEST_FPERIOD_OVERRIDE=BF")</f>
        <v>9.0677964951144379</v>
      </c>
      <c r="AL9" s="6">
        <f>_xll.BDP(U9,"PE_RATIO")</f>
        <v>16.734509666307972</v>
      </c>
      <c r="AM9" s="43">
        <f t="shared" si="6"/>
        <v>0.2591804098295612</v>
      </c>
      <c r="AN9" s="9" t="s">
        <v>961</v>
      </c>
      <c r="AO9" s="9" t="s">
        <v>930</v>
      </c>
      <c r="AP9" s="10">
        <f>_xll.BDP(AN9,"PX_LAST")</f>
        <v>12288.54</v>
      </c>
      <c r="AQ9" s="10">
        <f>_xll.BDP(AN9,"CHG_PCT_1D")</f>
        <v>0.44432890000000003</v>
      </c>
      <c r="AR9" s="10">
        <f>_xll.BDP(AN9,"HIGH_52WEEK")</f>
        <v>12656.05</v>
      </c>
      <c r="AS9" s="10">
        <f t="shared" si="7"/>
        <v>2.9468240960567016</v>
      </c>
      <c r="AT9" s="10">
        <f>_xll.BDP(AN9,"LOW_52WEEK")</f>
        <v>10279.200000000001</v>
      </c>
      <c r="AU9" s="10">
        <f t="shared" si="3"/>
        <v>-17.854468476511549</v>
      </c>
      <c r="AV9" s="10">
        <f>_xll.BDP(AN9,"CHG_PCT_5D")</f>
        <v>-1.357877</v>
      </c>
      <c r="AW9" s="10">
        <f>_xll.BDP(AN9,"CHG_PCT_1M")</f>
        <v>4.761463</v>
      </c>
      <c r="AX9" s="10">
        <f>_xll.BDP(AN9,"CHG_PCT_3M")</f>
        <v>0.14269190000000001</v>
      </c>
      <c r="AY9" s="10">
        <f>_xll.BDP(AN9,"CHG_PCT_6M")</f>
        <v>7.6144749999999997</v>
      </c>
      <c r="AZ9" s="10">
        <f>_xll.BDP(AN9,"PR064")</f>
        <v>0.14269190000000001</v>
      </c>
      <c r="BA9" s="10">
        <f>_xll.BDP(AN9,"CHG_PCT_1YR")</f>
        <v>-1.1824920000000001</v>
      </c>
    </row>
    <row r="10" spans="1:53" x14ac:dyDescent="0.25">
      <c r="A10" t="s">
        <v>445</v>
      </c>
      <c r="B10" s="5" t="s">
        <v>897</v>
      </c>
      <c r="C10" s="5" t="str">
        <f>_xll.BDP(A10,"DS003")</f>
        <v>US</v>
      </c>
      <c r="D10" s="6">
        <f>_xll.BDP(A10,"PX_LAST")</f>
        <v>861.72580000000005</v>
      </c>
      <c r="E10" s="6">
        <f>_xll.BDP(A10,"CHG_PCT_1D")</f>
        <v>-0.19453200000000001</v>
      </c>
      <c r="F10" s="6">
        <f>_xll.BDP(A10,"HIGH_52WEEK")</f>
        <v>941.9</v>
      </c>
      <c r="G10" s="6">
        <f t="shared" si="0"/>
        <v>8.8961989216598862</v>
      </c>
      <c r="H10" s="6">
        <f>_xll.BDP(A10,"LOW_52WEEK")</f>
        <v>798.62</v>
      </c>
      <c r="I10" s="6">
        <f t="shared" si="1"/>
        <v>-7.6051884469946387</v>
      </c>
      <c r="J10" s="6">
        <f>_xll.BDP(A10,"CHG_PCT_5D")</f>
        <v>-1.1731910000000001</v>
      </c>
      <c r="K10" s="6">
        <f>_xll.BDP(A10,"CHG_PCT_1M")</f>
        <v>1.3857919999999999</v>
      </c>
      <c r="L10" s="6">
        <f>_xll.BDP(A10,"CHG_PCT_3M")</f>
        <v>-4.0476700000000001</v>
      </c>
      <c r="M10" s="6">
        <f>_xll.BDP(A10,"CHG_PCT_6M")</f>
        <v>-3.7173310000000002</v>
      </c>
      <c r="N10" s="6">
        <f>_xll.BDP(A10,"PR064")</f>
        <v>-4.0476700000000001</v>
      </c>
      <c r="O10" s="6">
        <f>_xll.BDP(A10,"CHG_PCT_1YR")</f>
        <v>-7.048603</v>
      </c>
      <c r="P10" s="6">
        <f>_xll.BDP(A10,"INTERVAL_HIGH", "MARKET_DATA_OVERRIDE=PE_RATIO", "CALC_INTERVAL=5y", "BEST_FPERIOD_OVERRIDE=BF")</f>
        <v>25.781075632924711</v>
      </c>
      <c r="Q10" s="6">
        <f>_xll.BDP(A10,"INTERVAL_Low", "MARKET_DATA_OVERRIDE=PE_RATIO", "CALC_INTERVAL=5y", "BEST_FPERIOD_OVERRIDE=BF")</f>
        <v>17.161468810650589</v>
      </c>
      <c r="R10" s="6">
        <f>_xll.BDP(A10,"PE_RATIO")</f>
        <v>17.954649109310743</v>
      </c>
      <c r="S10" s="43">
        <f t="shared" si="2"/>
        <v>9.2020473208879863E-2</v>
      </c>
      <c r="T10" s="6">
        <f>_xll.BDP(A10,"RR902")</f>
        <v>1866273326746</v>
      </c>
      <c r="U10" s="5" t="s">
        <v>506</v>
      </c>
      <c r="V10" s="5" t="s">
        <v>779</v>
      </c>
      <c r="W10" s="5" t="str">
        <f>_xll.BDP(U10,"DS003")</f>
        <v>US</v>
      </c>
      <c r="X10" s="6">
        <f>_xll.BDP(U10,"PX_LAST")</f>
        <v>50.92</v>
      </c>
      <c r="Y10" s="6">
        <f>_xll.BDP(U10,"CHG_PCT_1D")</f>
        <v>-0.1960016</v>
      </c>
      <c r="Z10" s="6">
        <f>_xll.BDP(U10,"HIGH_52WEEK")</f>
        <v>59.59</v>
      </c>
      <c r="AA10" s="6">
        <f t="shared" si="4"/>
        <v>15.723200106968171</v>
      </c>
      <c r="AB10" s="6">
        <f>_xll.BDP(U10,"LOW_52WEEK")</f>
        <v>42.36</v>
      </c>
      <c r="AC10" s="6">
        <f t="shared" si="5"/>
        <v>-18.405125295600012</v>
      </c>
      <c r="AD10" s="6">
        <f>_xll.BDP(U10,"CHG_PCT_5D")</f>
        <v>-1.2604230000000001</v>
      </c>
      <c r="AE10" s="6">
        <f>_xll.BDP(U10,"CHG_PCT_1M")</f>
        <v>11.764699999999999</v>
      </c>
      <c r="AF10" s="6">
        <f>_xll.BDP(U10,"CHG_PCT_3M")</f>
        <v>5.6650790000000004</v>
      </c>
      <c r="AG10" s="6">
        <f>_xll.BDP(U10,"CHG_PCT_6M")</f>
        <v>-4.7155659999999999</v>
      </c>
      <c r="AH10" s="6">
        <f>_xll.BDP(U10,"PR064")</f>
        <v>5.6650790000000004</v>
      </c>
      <c r="AI10" s="6">
        <f>_xll.BDP(U10,"CHG_PCT_1YR")</f>
        <v>11.422319999999999</v>
      </c>
      <c r="AJ10" s="6">
        <f>_xll.BDP(U10,"INTERVAL_HIGH", "MARKET_DATA_OVERRIDE=PE_RATIO", "CALC_INTERVAL=5y", "BEST_FPERIOD_OVERRIDE=BF")</f>
        <v>17.778017143492281</v>
      </c>
      <c r="AK10" s="6">
        <f>_xll.BDP(U10,"INTERVAL_Low", "MARKET_DATA_OVERRIDE=PE_RATIO", "CALC_INTERVAL=5y", "BEST_FPERIOD_OVERRIDE=BF")</f>
        <v>9.0009265392172875</v>
      </c>
      <c r="AL10" s="6">
        <f>_xll.BDP(U10,"PE_RATIO")</f>
        <v>11.667044303367291</v>
      </c>
      <c r="AM10" s="43">
        <f t="shared" si="6"/>
        <v>0.30375871508623109</v>
      </c>
      <c r="AN10" s="9" t="s">
        <v>962</v>
      </c>
      <c r="AO10" s="9" t="s">
        <v>931</v>
      </c>
      <c r="AP10" s="10">
        <f>_xll.BDP(AN10,"PX_LAST")</f>
        <v>7351.08</v>
      </c>
      <c r="AQ10" s="10">
        <f>_xll.BDP(AN10,"CHG_PCT_1D")</f>
        <v>0.83799840000000003</v>
      </c>
      <c r="AR10" s="10">
        <f>_xll.BDP(AN10,"HIGH_52WEEK")</f>
        <v>7727.49</v>
      </c>
      <c r="AS10" s="10">
        <f t="shared" si="7"/>
        <v>4.9936859737900106</v>
      </c>
      <c r="AT10" s="10">
        <f>_xll.BDP(AN10,"LOW_52WEEK")</f>
        <v>6536.53</v>
      </c>
      <c r="AU10" s="10">
        <f t="shared" si="3"/>
        <v>-11.744079758438785</v>
      </c>
      <c r="AV10" s="10">
        <f>_xll.BDP(AN10,"CHG_PCT_5D")</f>
        <v>-7.2588600000000003E-2</v>
      </c>
      <c r="AW10" s="10">
        <f>_xll.BDP(AN10,"CHG_PCT_1M")</f>
        <v>3.6885119999999998</v>
      </c>
      <c r="AX10" s="10">
        <f>_xll.BDP(AN10,"CHG_PCT_3M")</f>
        <v>-0.69234960000000001</v>
      </c>
      <c r="AY10" s="10">
        <f>_xll.BDP(AN10,"CHG_PCT_6M")</f>
        <v>2.1807889999999999</v>
      </c>
      <c r="AZ10" s="10">
        <f>_xll.BDP(AN10,"PR064")</f>
        <v>-0.69234960000000001</v>
      </c>
      <c r="BA10" s="10">
        <f>_xll.BDP(AN10,"CHG_PCT_1YR")</f>
        <v>-2.5758589999999999</v>
      </c>
    </row>
    <row r="11" spans="1:53" x14ac:dyDescent="0.25">
      <c r="A11" t="s">
        <v>442</v>
      </c>
      <c r="B11" s="5" t="s">
        <v>900</v>
      </c>
      <c r="C11" s="5" t="str">
        <f>_xll.BDP(A11,"DS003")</f>
        <v>US</v>
      </c>
      <c r="D11" s="6">
        <f>_xll.BDP(A11,"PX_LAST")</f>
        <v>1299.3489999999999</v>
      </c>
      <c r="E11" s="6">
        <f>_xll.BDP(A11,"CHG_PCT_1D")</f>
        <v>-0.49905579999999999</v>
      </c>
      <c r="F11" s="6">
        <f>_xll.BDP(A11,"HIGH_52WEEK")</f>
        <v>1368.82</v>
      </c>
      <c r="G11" s="6">
        <f t="shared" si="0"/>
        <v>5.2085685017565071</v>
      </c>
      <c r="H11" s="6">
        <f>_xll.BDP(A11,"LOW_52WEEK")</f>
        <v>919.03</v>
      </c>
      <c r="I11" s="6">
        <f t="shared" si="1"/>
        <v>-34.629988279074034</v>
      </c>
      <c r="J11" s="6">
        <f>_xll.BDP(A11,"CHG_PCT_5D")</f>
        <v>-0.36778929999999999</v>
      </c>
      <c r="K11" s="6">
        <f>_xll.BDP(A11,"CHG_PCT_1M")</f>
        <v>7.2445259999999996</v>
      </c>
      <c r="L11" s="6">
        <f>_xll.BDP(A11,"CHG_PCT_3M")</f>
        <v>4.0280639999999996</v>
      </c>
      <c r="M11" s="6">
        <f>_xll.BDP(A11,"CHG_PCT_6M")</f>
        <v>9.5476449999999993</v>
      </c>
      <c r="N11" s="6">
        <f>_xll.BDP(A11,"PR064")</f>
        <v>4.0280639999999996</v>
      </c>
      <c r="O11" s="6">
        <f>_xll.BDP(A11,"CHG_PCT_1YR")</f>
        <v>-2.3229470000000001</v>
      </c>
      <c r="P11" s="6">
        <f>_xll.BDP(A11,"INTERVAL_HIGH", "MARKET_DATA_OVERRIDE=PE_RATIO", "CALC_INTERVAL=5y", "BEST_FPERIOD_OVERRIDE=BF")</f>
        <v>26.792828132359226</v>
      </c>
      <c r="Q11" s="6">
        <f>_xll.BDP(A11,"INTERVAL_Low", "MARKET_DATA_OVERRIDE=PE_RATIO", "CALC_INTERVAL=5y", "BEST_FPERIOD_OVERRIDE=BF")</f>
        <v>10.585012536152163</v>
      </c>
      <c r="R11" s="6">
        <f>_xll.BDP(A11,"PE_RATIO")</f>
        <v>18.399797746442474</v>
      </c>
      <c r="S11" s="43">
        <f t="shared" si="2"/>
        <v>0.48216153274344498</v>
      </c>
      <c r="T11" s="6">
        <f>_xll.BDP(A11,"RR902")</f>
        <v>1504003752886</v>
      </c>
      <c r="U11" s="5" t="s">
        <v>507</v>
      </c>
      <c r="V11" s="5" t="s">
        <v>780</v>
      </c>
      <c r="W11" s="5" t="str">
        <f>_xll.BDP(U11,"DS003")</f>
        <v>US</v>
      </c>
      <c r="X11" s="6">
        <f>_xll.BDP(U11,"PX_LAST")</f>
        <v>120.16</v>
      </c>
      <c r="Y11" s="6">
        <f>_xll.BDP(U11,"CHG_PCT_1D")</f>
        <v>-2.7123309999999998</v>
      </c>
      <c r="Z11" s="6">
        <f>_xll.BDP(U11,"HIGH_52WEEK")</f>
        <v>127.6</v>
      </c>
      <c r="AA11" s="6">
        <f t="shared" si="4"/>
        <v>6.007618289486496</v>
      </c>
      <c r="AB11" s="6">
        <f>_xll.BDP(U11,"LOW_52WEEK")</f>
        <v>100.22</v>
      </c>
      <c r="AC11" s="6">
        <f t="shared" si="5"/>
        <v>-18.145641848424596</v>
      </c>
      <c r="AD11" s="6">
        <f>_xll.BDP(U11,"CHG_PCT_5D")</f>
        <v>-2.8303410000000002</v>
      </c>
      <c r="AE11" s="6">
        <f>_xll.BDP(U11,"CHG_PCT_1M")</f>
        <v>3.8189060000000001</v>
      </c>
      <c r="AF11" s="6">
        <f>_xll.BDP(U11,"CHG_PCT_3M")</f>
        <v>-3.0420400000000001</v>
      </c>
      <c r="AG11" s="6">
        <f>_xll.BDP(U11,"CHG_PCT_6M")</f>
        <v>-3.198258</v>
      </c>
      <c r="AH11" s="6">
        <f>_xll.BDP(U11,"PR064")</f>
        <v>-3.0420400000000001</v>
      </c>
      <c r="AI11" s="6">
        <f>_xll.BDP(U11,"CHG_PCT_1YR")</f>
        <v>-1.4678119999999999</v>
      </c>
      <c r="AJ11" s="6">
        <f>_xll.BDP(U11,"INTERVAL_HIGH", "MARKET_DATA_OVERRIDE=PE_RATIO", "CALC_INTERVAL=5y", "BEST_FPERIOD_OVERRIDE=BF")</f>
        <v>104.97562443767117</v>
      </c>
      <c r="AK11" s="6">
        <f>_xll.BDP(U11,"INTERVAL_Low", "MARKET_DATA_OVERRIDE=PE_RATIO", "CALC_INTERVAL=5y", "BEST_FPERIOD_OVERRIDE=BF")</f>
        <v>7.9141457714400056</v>
      </c>
      <c r="AL11" s="6">
        <f>_xll.BDP(U11,"PE_RATIO")</f>
        <v>15.43951326243476</v>
      </c>
      <c r="AM11" s="43">
        <f t="shared" si="6"/>
        <v>7.7531968340112653E-2</v>
      </c>
      <c r="AN11" s="9" t="s">
        <v>963</v>
      </c>
      <c r="AO11" s="9" t="s">
        <v>932</v>
      </c>
      <c r="AP11" s="10">
        <f>_xll.BDP(AN11,"PX_LAST")</f>
        <v>5620.57</v>
      </c>
      <c r="AQ11" s="10">
        <f>_xll.BDP(AN11,"CHG_PCT_1D")</f>
        <v>0.65851210000000004</v>
      </c>
      <c r="AR11" s="10">
        <f>_xll.BDP(AN11,"HIGH_52WEEK")</f>
        <v>5696.25</v>
      </c>
      <c r="AS11" s="10">
        <f t="shared" si="7"/>
        <v>1.3374981345825341</v>
      </c>
      <c r="AT11" s="10">
        <f>_xll.BDP(AN11,"LOW_52WEEK")</f>
        <v>4555.99</v>
      </c>
      <c r="AU11" s="10">
        <f t="shared" si="3"/>
        <v>-20.999023157541703</v>
      </c>
      <c r="AV11" s="10">
        <f>_xll.BDP(AN11,"CHG_PCT_5D")</f>
        <v>-0.68050069999999996</v>
      </c>
      <c r="AW11" s="10">
        <f>_xll.BDP(AN11,"CHG_PCT_1M")</f>
        <v>4.3340649999999998</v>
      </c>
      <c r="AX11" s="10">
        <f>_xll.BDP(AN11,"CHG_PCT_3M")</f>
        <v>2.311048</v>
      </c>
      <c r="AY11" s="10">
        <f>_xll.BDP(AN11,"CHG_PCT_6M")</f>
        <v>6.0236770000000002</v>
      </c>
      <c r="AZ11" s="10">
        <f>_xll.BDP(AN11,"PR064")</f>
        <v>2.311048</v>
      </c>
      <c r="BA11" s="10">
        <f>_xll.BDP(AN11,"CHG_PCT_1YR")</f>
        <v>1.4468179999999999</v>
      </c>
    </row>
    <row r="12" spans="1:53" x14ac:dyDescent="0.25">
      <c r="A12" t="s">
        <v>451</v>
      </c>
      <c r="B12" s="5" t="s">
        <v>889</v>
      </c>
      <c r="C12" s="5" t="str">
        <f>_xll.BDP(A12,"DS003")</f>
        <v>US</v>
      </c>
      <c r="D12" s="6">
        <f>_xll.BDP(A12,"PX_LAST")</f>
        <v>440.44740000000002</v>
      </c>
      <c r="E12" s="6">
        <f>_xll.BDP(A12,"CHG_PCT_1D")</f>
        <v>-1.3339540000000001</v>
      </c>
      <c r="F12" s="6">
        <f>_xll.BDP(A12,"HIGH_52WEEK")</f>
        <v>577.35</v>
      </c>
      <c r="G12" s="6">
        <f t="shared" si="0"/>
        <v>27.06576399131783</v>
      </c>
      <c r="H12" s="6">
        <f>_xll.BDP(A12,"LOW_52WEEK")</f>
        <v>395.25</v>
      </c>
      <c r="I12" s="6">
        <f t="shared" si="1"/>
        <v>-10.82725523951051</v>
      </c>
      <c r="J12" s="6">
        <f>_xll.BDP(A12,"CHG_PCT_5D")</f>
        <v>-2.5324309999999999</v>
      </c>
      <c r="K12" s="6">
        <f>_xll.BDP(A12,"CHG_PCT_1M")</f>
        <v>7.4356999999999998</v>
      </c>
      <c r="L12" s="6">
        <f>_xll.BDP(A12,"CHG_PCT_3M")</f>
        <v>-5.4294310000000001</v>
      </c>
      <c r="M12" s="6">
        <f>_xll.BDP(A12,"CHG_PCT_6M")</f>
        <v>-9.8162040000000008</v>
      </c>
      <c r="N12" s="6">
        <f>_xll.BDP(A12,"PR064")</f>
        <v>-5.4294310000000001</v>
      </c>
      <c r="O12" s="6">
        <f>_xll.BDP(A12,"CHG_PCT_1YR")</f>
        <v>-21.679749999999999</v>
      </c>
      <c r="P12" s="6">
        <f>_xll.BDP(A12,"INTERVAL_HIGH", "MARKET_DATA_OVERRIDE=PE_RATIO", "CALC_INTERVAL=5y", "BEST_FPERIOD_OVERRIDE=BF")</f>
        <v>142.41445942595749</v>
      </c>
      <c r="Q12" s="6">
        <f>_xll.BDP(A12,"INTERVAL_Low", "MARKET_DATA_OVERRIDE=PE_RATIO", "CALC_INTERVAL=5y", "BEST_FPERIOD_OVERRIDE=BF")</f>
        <v>11.975119961841056</v>
      </c>
      <c r="R12" s="6">
        <f>_xll.BDP(A12,"PE_RATIO")</f>
        <v>15.777045482294316</v>
      </c>
      <c r="S12" s="43">
        <f t="shared" si="2"/>
        <v>2.9147077377673785E-2</v>
      </c>
      <c r="T12" s="6">
        <f>_xll.BDP(A12,"RR902")</f>
        <v>1152268474997</v>
      </c>
      <c r="U12" s="5" t="s">
        <v>508</v>
      </c>
      <c r="V12" s="5" t="s">
        <v>781</v>
      </c>
      <c r="W12" s="5" t="str">
        <f>_xll.BDP(U12,"DS003")</f>
        <v>US</v>
      </c>
      <c r="X12" s="6">
        <f>_xll.BDP(U12,"PX_LAST")</f>
        <v>83.88</v>
      </c>
      <c r="Y12" s="6">
        <f>_xll.BDP(U12,"CHG_PCT_1D")</f>
        <v>0.93862820000000002</v>
      </c>
      <c r="Z12" s="6">
        <f>_xll.BDP(U12,"HIGH_52WEEK")</f>
        <v>87.35</v>
      </c>
      <c r="AA12" s="6">
        <f t="shared" si="4"/>
        <v>4.053583054634629</v>
      </c>
      <c r="AB12" s="6">
        <f>_xll.BDP(U12,"LOW_52WEEK")</f>
        <v>66.099999999999994</v>
      </c>
      <c r="AC12" s="6">
        <f t="shared" si="5"/>
        <v>-23.821845917607856</v>
      </c>
      <c r="AD12" s="6">
        <f>_xll.BDP(U12,"CHG_PCT_5D")</f>
        <v>-0.1071811</v>
      </c>
      <c r="AE12" s="6">
        <f>_xll.BDP(U12,"CHG_PCT_1M")</f>
        <v>-2.3288280000000001</v>
      </c>
      <c r="AF12" s="6">
        <f>_xll.BDP(U12,"CHG_PCT_3M")</f>
        <v>0.40698960000000001</v>
      </c>
      <c r="AG12" s="6">
        <f>_xll.BDP(U12,"CHG_PCT_6M")</f>
        <v>1.157745</v>
      </c>
      <c r="AH12" s="6">
        <f>_xll.BDP(U12,"PR064")</f>
        <v>0.40698960000000001</v>
      </c>
      <c r="AI12" s="6">
        <f>_xll.BDP(U12,"CHG_PCT_1YR")</f>
        <v>19.266310000000001</v>
      </c>
      <c r="AJ12" s="6">
        <f>_xll.BDP(U12,"INTERVAL_HIGH", "MARKET_DATA_OVERRIDE=PE_RATIO", "CALC_INTERVAL=5y", "BEST_FPERIOD_OVERRIDE=BF")</f>
        <v>29.414208742524025</v>
      </c>
      <c r="AK12" s="6">
        <f>_xll.BDP(U12,"INTERVAL_Low", "MARKET_DATA_OVERRIDE=PE_RATIO", "CALC_INTERVAL=5y", "BEST_FPERIOD_OVERRIDE=BF")</f>
        <v>12.293424788902355</v>
      </c>
      <c r="AL12" s="6">
        <f>_xll.BDP(U12,"PE_RATIO")</f>
        <v>17.360776369767571</v>
      </c>
      <c r="AM12" s="43">
        <f t="shared" si="6"/>
        <v>0.29597660916650298</v>
      </c>
      <c r="AN12" s="9" t="s">
        <v>964</v>
      </c>
      <c r="AO12" s="9" t="s">
        <v>933</v>
      </c>
      <c r="AP12" s="10">
        <f>_xll.BDP(AN12,"PX_LAST")</f>
        <v>3178.5</v>
      </c>
      <c r="AQ12" s="10">
        <f>_xll.BDP(AN12,"CHG_PCT_1D")</f>
        <v>0.47288799999999998</v>
      </c>
      <c r="AR12" s="10">
        <f>_xll.BDP(AN12,"HIGH_52WEEK")</f>
        <v>3238.44</v>
      </c>
      <c r="AS12" s="10">
        <f t="shared" si="7"/>
        <v>1.8682344979001755</v>
      </c>
      <c r="AT12" s="10">
        <f>_xll.BDP(AN12,"LOW_52WEEK")</f>
        <v>2693.99</v>
      </c>
      <c r="AU12" s="10">
        <f t="shared" si="3"/>
        <v>-16.53860213655306</v>
      </c>
      <c r="AV12" s="10">
        <f>_xll.BDP(AN12,"CHG_PCT_5D")</f>
        <v>-1.729813</v>
      </c>
      <c r="AW12" s="10">
        <f>_xll.BDP(AN12,"CHG_PCT_1M")</f>
        <v>4.3242799999999999</v>
      </c>
      <c r="AX12" s="10">
        <f>_xll.BDP(AN12,"CHG_PCT_3M")</f>
        <v>1.2422359999999999</v>
      </c>
      <c r="AY12" s="10">
        <f>_xll.BDP(AN12,"CHG_PCT_6M")</f>
        <v>3.79996</v>
      </c>
      <c r="AZ12" s="10">
        <f>_xll.BDP(AN12,"PR064")</f>
        <v>1.2422359999999999</v>
      </c>
      <c r="BA12" s="10">
        <f>_xll.BDP(AN12,"CHG_PCT_1YR")</f>
        <v>-0.48684430000000001</v>
      </c>
    </row>
    <row r="13" spans="1:53" x14ac:dyDescent="0.25">
      <c r="A13" t="s">
        <v>443</v>
      </c>
      <c r="B13" s="5" t="s">
        <v>899</v>
      </c>
      <c r="C13" s="5" t="str">
        <f>_xll.BDP(A13,"DS003")</f>
        <v>US</v>
      </c>
      <c r="D13" s="6">
        <f>_xll.BDP(A13,"PX_LAST")</f>
        <v>1063.905</v>
      </c>
      <c r="E13" s="6">
        <f>_xll.BDP(A13,"CHG_PCT_1D")</f>
        <v>-9.3060729999999994E-2</v>
      </c>
      <c r="F13" s="6">
        <f>_xll.BDP(A13,"HIGH_52WEEK")</f>
        <v>1128.45</v>
      </c>
      <c r="G13" s="6">
        <f t="shared" si="0"/>
        <v>5.8898908473242919</v>
      </c>
      <c r="H13" s="6">
        <f>_xll.BDP(A13,"LOW_52WEEK")</f>
        <v>773.35</v>
      </c>
      <c r="I13" s="6">
        <f t="shared" si="1"/>
        <v>-31.89696527169485</v>
      </c>
      <c r="J13" s="6">
        <f>_xll.BDP(A13,"CHG_PCT_5D")</f>
        <v>-1.26816</v>
      </c>
      <c r="K13" s="6">
        <f>_xll.BDP(A13,"CHG_PCT_1M")</f>
        <v>7.8523350000000001</v>
      </c>
      <c r="L13" s="6">
        <f>_xll.BDP(A13,"CHG_PCT_3M")</f>
        <v>7.0548719999999996</v>
      </c>
      <c r="M13" s="6">
        <f>_xll.BDP(A13,"CHG_PCT_6M")</f>
        <v>7.9845810000000004</v>
      </c>
      <c r="N13" s="6">
        <f>_xll.BDP(A13,"PR064")</f>
        <v>7.0548719999999996</v>
      </c>
      <c r="O13" s="6">
        <f>_xll.BDP(A13,"CHG_PCT_1YR")</f>
        <v>6.3106669999999996</v>
      </c>
      <c r="P13" s="6">
        <f>_xll.BDP(A13,"INTERVAL_HIGH", "MARKET_DATA_OVERRIDE=PE_RATIO", "CALC_INTERVAL=5y", "BEST_FPERIOD_OVERRIDE=BF")</f>
        <v>23.217343136267498</v>
      </c>
      <c r="Q13" s="6">
        <f>_xll.BDP(A13,"INTERVAL_Low", "MARKET_DATA_OVERRIDE=PE_RATIO", "CALC_INTERVAL=5y", "BEST_FPERIOD_OVERRIDE=BF")</f>
        <v>11.15717607932543</v>
      </c>
      <c r="R13" s="6">
        <f>_xll.BDP(A13,"PE_RATIO")</f>
        <v>16.206695956791041</v>
      </c>
      <c r="S13" s="43">
        <f t="shared" si="2"/>
        <v>0.41869402418924279</v>
      </c>
      <c r="T13" s="6">
        <f>_xll.BDP(A13,"RR902")</f>
        <v>979360097941</v>
      </c>
      <c r="U13" s="5" t="s">
        <v>509</v>
      </c>
      <c r="V13" s="5" t="s">
        <v>782</v>
      </c>
      <c r="W13" s="5" t="str">
        <f>_xll.BDP(U13,"DS003")</f>
        <v>US</v>
      </c>
      <c r="X13" s="6">
        <f>_xll.BDP(U13,"PX_LAST")</f>
        <v>54.39</v>
      </c>
      <c r="Y13" s="6">
        <f>_xll.BDP(U13,"CHG_PCT_1D")</f>
        <v>0.40612890000000001</v>
      </c>
      <c r="Z13" s="6">
        <f>_xll.BDP(U13,"HIGH_52WEEK")</f>
        <v>55.92</v>
      </c>
      <c r="AA13" s="6">
        <f t="shared" si="4"/>
        <v>2.7741784490685446</v>
      </c>
      <c r="AB13" s="6">
        <f>_xll.BDP(U13,"LOW_52WEEK")</f>
        <v>44.25</v>
      </c>
      <c r="AC13" s="6">
        <f t="shared" si="5"/>
        <v>-20.632494198093088</v>
      </c>
      <c r="AD13" s="6">
        <f>_xll.BDP(U13,"CHG_PCT_5D")</f>
        <v>-0.23844460000000001</v>
      </c>
      <c r="AE13" s="6">
        <f>_xll.BDP(U13,"CHG_PCT_1M")</f>
        <v>-0.27502919999999997</v>
      </c>
      <c r="AF13" s="6">
        <f>_xll.BDP(U13,"CHG_PCT_3M")</f>
        <v>6.3967159999999996</v>
      </c>
      <c r="AG13" s="6">
        <f>_xll.BDP(U13,"CHG_PCT_6M")</f>
        <v>16.61664</v>
      </c>
      <c r="AH13" s="6">
        <f>_xll.BDP(U13,"PR064")</f>
        <v>6.3967159999999996</v>
      </c>
      <c r="AI13" s="6">
        <f>_xll.BDP(U13,"CHG_PCT_1YR")</f>
        <v>18.625959999999999</v>
      </c>
      <c r="AJ13" s="6">
        <f>_xll.BDP(U13,"INTERVAL_HIGH", "MARKET_DATA_OVERRIDE=PE_RATIO", "CALC_INTERVAL=5y", "BEST_FPERIOD_OVERRIDE=BF")</f>
        <v>25.673428270016764</v>
      </c>
      <c r="AK13" s="6">
        <f>_xll.BDP(U13,"INTERVAL_Low", "MARKET_DATA_OVERRIDE=PE_RATIO", "CALC_INTERVAL=5y", "BEST_FPERIOD_OVERRIDE=BF")</f>
        <v>15.719764327116904</v>
      </c>
      <c r="AL13" s="6">
        <f>_xll.BDP(U13,"PE_RATIO")</f>
        <v>25.221212802141437</v>
      </c>
      <c r="AM13" s="43">
        <f t="shared" si="6"/>
        <v>0.95456793895499148</v>
      </c>
      <c r="AN13" s="9" t="s">
        <v>965</v>
      </c>
      <c r="AO13" s="9" t="s">
        <v>934</v>
      </c>
      <c r="AP13" s="10">
        <f>_xll.BDP(AN13,"PX_LAST")</f>
        <v>9129.7000000000007</v>
      </c>
      <c r="AQ13" s="10">
        <f>_xll.BDP(AN13,"CHG_PCT_1D")</f>
        <v>0.48870150000000001</v>
      </c>
      <c r="AR13" s="10">
        <f>_xll.BDP(AN13,"HIGH_52WEEK")</f>
        <v>9587.6</v>
      </c>
      <c r="AS13" s="10">
        <f t="shared" si="7"/>
        <v>4.89377615272379</v>
      </c>
      <c r="AT13" s="10">
        <f>_xll.BDP(AN13,"LOW_52WEEK")</f>
        <v>8286.2000000000007</v>
      </c>
      <c r="AU13" s="10">
        <f t="shared" si="3"/>
        <v>-9.6941354896824663</v>
      </c>
      <c r="AV13" s="10">
        <f>_xll.BDP(AN13,"CHG_PCT_5D")</f>
        <v>-6.8957969999999993E-2</v>
      </c>
      <c r="AW13" s="10">
        <f>_xll.BDP(AN13,"CHG_PCT_1M")</f>
        <v>4.5916410000000001</v>
      </c>
      <c r="AX13" s="10">
        <f>_xll.BDP(AN13,"CHG_PCT_3M")</f>
        <v>-0.19785749999999999</v>
      </c>
      <c r="AY13" s="10">
        <f>_xll.BDP(AN13,"CHG_PCT_6M")</f>
        <v>-1.085604</v>
      </c>
      <c r="AZ13" s="10">
        <f>_xll.BDP(AN13,"PR064")</f>
        <v>-0.19785749999999999</v>
      </c>
      <c r="BA13" s="10">
        <f>_xll.BDP(AN13,"CHG_PCT_1YR")</f>
        <v>-4.1752799999999999</v>
      </c>
    </row>
    <row r="14" spans="1:53" x14ac:dyDescent="0.25">
      <c r="A14" t="s">
        <v>452</v>
      </c>
      <c r="B14" s="5" t="s">
        <v>896</v>
      </c>
      <c r="C14" s="5" t="str">
        <f>_xll.BDP(A14,"DS003")</f>
        <v>US</v>
      </c>
      <c r="D14" s="6">
        <f>_xll.BDP(A14,"PX_LAST")</f>
        <v>329.41570000000002</v>
      </c>
      <c r="E14" s="6">
        <f>_xll.BDP(A14,"CHG_PCT_1D")</f>
        <v>0.48127439999999999</v>
      </c>
      <c r="F14" s="6">
        <f>_xll.BDP(A14,"HIGH_52WEEK")</f>
        <v>330.44</v>
      </c>
      <c r="G14" s="6">
        <f t="shared" si="0"/>
        <v>0.31046206700664453</v>
      </c>
      <c r="H14" s="6">
        <f>_xll.BDP(A14,"LOW_52WEEK")</f>
        <v>258.2</v>
      </c>
      <c r="I14" s="6">
        <f t="shared" si="1"/>
        <v>-24.358600061169593</v>
      </c>
      <c r="J14" s="6">
        <f>_xll.BDP(A14,"CHG_PCT_5D")</f>
        <v>2.0242550000000001</v>
      </c>
      <c r="K14" s="6">
        <f>_xll.BDP(A14,"CHG_PCT_1M")</f>
        <v>4.7035179999999999</v>
      </c>
      <c r="L14" s="6">
        <f>_xll.BDP(A14,"CHG_PCT_3M")</f>
        <v>9.2711190000000006</v>
      </c>
      <c r="M14" s="6">
        <f>_xll.BDP(A14,"CHG_PCT_6M")</f>
        <v>10.88406</v>
      </c>
      <c r="N14" s="6">
        <f>_xll.BDP(A14,"PR064")</f>
        <v>9.2711190000000006</v>
      </c>
      <c r="O14" s="6">
        <f>_xll.BDP(A14,"CHG_PCT_1YR")</f>
        <v>25.104659999999999</v>
      </c>
      <c r="P14" s="6">
        <f>_xll.BDP(A14,"INTERVAL_HIGH", "MARKET_DATA_OVERRIDE=PE_RATIO", "CALC_INTERVAL=5y", "BEST_FPERIOD_OVERRIDE=BF")</f>
        <v>21.921225764287104</v>
      </c>
      <c r="Q14" s="6">
        <f>_xll.BDP(A14,"INTERVAL_Low", "MARKET_DATA_OVERRIDE=PE_RATIO", "CALC_INTERVAL=5y", "BEST_FPERIOD_OVERRIDE=BF")</f>
        <v>15.146699472961755</v>
      </c>
      <c r="R14" s="6">
        <f>_xll.BDP(A14,"PE_RATIO")</f>
        <v>21.921225764287104</v>
      </c>
      <c r="S14" s="43">
        <f t="shared" si="2"/>
        <v>1</v>
      </c>
      <c r="T14" s="6">
        <f>_xll.BDP(A14,"RR902")</f>
        <v>883748865532</v>
      </c>
      <c r="U14" s="5" t="s">
        <v>511</v>
      </c>
      <c r="V14" s="5" t="s">
        <v>783</v>
      </c>
      <c r="W14" s="5" t="str">
        <f>_xll.BDP(U14,"DS003")</f>
        <v>US</v>
      </c>
      <c r="X14" s="6">
        <f>_xll.BDP(U14,"PX_LAST")</f>
        <v>35.78</v>
      </c>
      <c r="Y14" s="6">
        <f>_xll.BDP(U14,"CHG_PCT_1D")</f>
        <v>-0.3342618</v>
      </c>
      <c r="Z14" s="6">
        <f>_xll.BDP(U14,"HIGH_52WEEK")</f>
        <v>46.47</v>
      </c>
      <c r="AA14" s="6">
        <f t="shared" si="4"/>
        <v>26.141786501631376</v>
      </c>
      <c r="AB14" s="6">
        <f>_xll.BDP(U14,"LOW_52WEEK")</f>
        <v>33.97</v>
      </c>
      <c r="AC14" s="6">
        <f t="shared" si="5"/>
        <v>-5.1911295908080639</v>
      </c>
      <c r="AD14" s="6">
        <f>_xll.BDP(U14,"CHG_PCT_5D")</f>
        <v>-1.999452</v>
      </c>
      <c r="AE14" s="6">
        <f>_xll.BDP(U14,"CHG_PCT_1M")</f>
        <v>2.698048</v>
      </c>
      <c r="AF14" s="6">
        <f>_xll.BDP(U14,"CHG_PCT_3M")</f>
        <v>-16.771350000000002</v>
      </c>
      <c r="AG14" s="6">
        <f>_xll.BDP(U14,"CHG_PCT_6M")</f>
        <v>-15.652990000000001</v>
      </c>
      <c r="AH14" s="6">
        <f>_xll.BDP(U14,"PR064")</f>
        <v>-16.771350000000002</v>
      </c>
      <c r="AI14" s="6">
        <f>_xll.BDP(U14,"CHG_PCT_1YR")</f>
        <v>-18.086079999999999</v>
      </c>
      <c r="AJ14" s="6">
        <f>_xll.BDP(U14,"INTERVAL_HIGH", "MARKET_DATA_OVERRIDE=PE_RATIO", "CALC_INTERVAL=5y", "BEST_FPERIOD_OVERRIDE=BF")</f>
        <v>26.357689202190624</v>
      </c>
      <c r="AK14" s="6">
        <f>_xll.BDP(U14,"INTERVAL_Low", "MARKET_DATA_OVERRIDE=PE_RATIO", "CALC_INTERVAL=5y", "BEST_FPERIOD_OVERRIDE=BF")</f>
        <v>12.461413510206155</v>
      </c>
      <c r="AL14" s="6">
        <f>_xll.BDP(U14,"PE_RATIO")</f>
        <v>20.062553214716917</v>
      </c>
      <c r="AM14" s="43">
        <f t="shared" si="6"/>
        <v>0.5469911415830061</v>
      </c>
      <c r="AN14" s="9" t="s">
        <v>966</v>
      </c>
      <c r="AO14" s="9" t="s">
        <v>935</v>
      </c>
      <c r="AP14" s="10">
        <f>_xll.BDP(AN14,"PX_LAST")</f>
        <v>23891.22</v>
      </c>
      <c r="AQ14" s="10">
        <f>_xll.BDP(AN14,"CHG_PCT_1D")</f>
        <v>0.73920839999999999</v>
      </c>
      <c r="AR14" s="10">
        <f>_xll.BDP(AN14,"HIGH_52WEEK")</f>
        <v>24308.69921875</v>
      </c>
      <c r="AS14" s="10">
        <f t="shared" si="7"/>
        <v>1.7323251397576713</v>
      </c>
      <c r="AT14" s="10">
        <f>_xll.BDP(AN14,"LOW_52WEEK")</f>
        <v>19699.5390625</v>
      </c>
      <c r="AU14" s="10">
        <f t="shared" si="3"/>
        <v>-19.291578979846825</v>
      </c>
      <c r="AV14" s="10">
        <f>_xll.BDP(AN14,"CHG_PCT_5D")</f>
        <v>-0.82152919999999996</v>
      </c>
      <c r="AW14" s="10">
        <f>_xll.BDP(AN14,"CHG_PCT_1M")</f>
        <v>4.4970359999999996</v>
      </c>
      <c r="AX14" s="10">
        <f>_xll.BDP(AN14,"CHG_PCT_3M")</f>
        <v>3.7729940000000002</v>
      </c>
      <c r="AY14" s="10">
        <f>_xll.BDP(AN14,"CHG_PCT_6M")</f>
        <v>2.9419520000000001</v>
      </c>
      <c r="AZ14" s="10">
        <f>_xll.BDP(AN14,"PR064")</f>
        <v>3.7729940000000002</v>
      </c>
      <c r="BA14" s="10">
        <f>_xll.BDP(AN14,"CHG_PCT_1YR")</f>
        <v>0.59037810000000002</v>
      </c>
    </row>
    <row r="15" spans="1:53" x14ac:dyDescent="0.25">
      <c r="A15" t="s">
        <v>453</v>
      </c>
      <c r="B15" s="5" t="s">
        <v>921</v>
      </c>
      <c r="C15" s="5" t="str">
        <f>_xll.BDP(A15,"DS003")</f>
        <v>US</v>
      </c>
      <c r="D15" s="6">
        <f>_xll.BDP(A15,"PX_LAST")</f>
        <v>245.14230000000001</v>
      </c>
      <c r="E15" s="6">
        <f>_xll.BDP(A15,"CHG_PCT_1D")</f>
        <v>0.90456800000000004</v>
      </c>
      <c r="F15" s="6">
        <f>_xll.BDP(A15,"HIGH_52WEEK")</f>
        <v>247.86</v>
      </c>
      <c r="G15" s="6">
        <f t="shared" si="0"/>
        <v>1.1025212373989248</v>
      </c>
      <c r="H15" s="6">
        <f>_xll.BDP(A15,"LOW_52WEEK")</f>
        <v>183.78</v>
      </c>
      <c r="I15" s="6">
        <f t="shared" si="1"/>
        <v>-28.809946819000011</v>
      </c>
      <c r="J15" s="6">
        <f>_xll.BDP(A15,"CHG_PCT_5D")</f>
        <v>0.62613540000000001</v>
      </c>
      <c r="K15" s="6">
        <f>_xll.BDP(A15,"CHG_PCT_1M")</f>
        <v>2.2927819999999999</v>
      </c>
      <c r="L15" s="6">
        <f>_xll.BDP(A15,"CHG_PCT_3M")</f>
        <v>7.8807099999999997</v>
      </c>
      <c r="M15" s="6">
        <f>_xll.BDP(A15,"CHG_PCT_6M")</f>
        <v>9.9299759999999999</v>
      </c>
      <c r="N15" s="6">
        <f>_xll.BDP(A15,"PR064")</f>
        <v>7.8807099999999997</v>
      </c>
      <c r="O15" s="6">
        <f>_xll.BDP(A15,"CHG_PCT_1YR")</f>
        <v>23.031600000000001</v>
      </c>
      <c r="P15" s="6">
        <f>_xll.BDP(A15,"INTERVAL_HIGH", "MARKET_DATA_OVERRIDE=PE_RATIO", "CALC_INTERVAL=5y", "BEST_FPERIOD_OVERRIDE=BF")</f>
        <v>52.811442950265686</v>
      </c>
      <c r="Q15" s="6">
        <f>_xll.BDP(A15,"INTERVAL_Low", "MARKET_DATA_OVERRIDE=PE_RATIO", "CALC_INTERVAL=5y", "BEST_FPERIOD_OVERRIDE=BF")</f>
        <v>39.439269053750152</v>
      </c>
      <c r="R15" s="6">
        <f>_xll.BDP(A15,"PE_RATIO")</f>
        <v>52.064622966310054</v>
      </c>
      <c r="S15" s="43">
        <f t="shared" si="2"/>
        <v>0.94415119114250856</v>
      </c>
      <c r="T15" s="6">
        <f>_xll.BDP(A15,"RR902")</f>
        <v>814038281410.31494</v>
      </c>
      <c r="U15" s="5" t="s">
        <v>513</v>
      </c>
      <c r="V15" s="5" t="s">
        <v>784</v>
      </c>
      <c r="W15" s="5" t="str">
        <f>_xll.BDP(U15,"DS003")</f>
        <v>US</v>
      </c>
      <c r="X15" s="6">
        <f>_xll.BDP(U15,"PX_LAST")</f>
        <v>135.72</v>
      </c>
      <c r="Y15" s="6">
        <f>_xll.BDP(U15,"CHG_PCT_1D")</f>
        <v>0.46635579999999999</v>
      </c>
      <c r="Z15" s="6">
        <f>_xll.BDP(U15,"HIGH_52WEEK")</f>
        <v>139.18</v>
      </c>
      <c r="AA15" s="6">
        <f t="shared" si="4"/>
        <v>2.5174119500674741</v>
      </c>
      <c r="AB15" s="6">
        <f>_xll.BDP(U15,"LOW_52WEEK")</f>
        <v>104.53</v>
      </c>
      <c r="AC15" s="6">
        <f t="shared" si="5"/>
        <v>-26.111982837141355</v>
      </c>
      <c r="AD15" s="6">
        <f>_xll.BDP(U15,"CHG_PCT_5D")</f>
        <v>0.1771479</v>
      </c>
      <c r="AE15" s="6">
        <f>_xll.BDP(U15,"CHG_PCT_1M")</f>
        <v>1.48048</v>
      </c>
      <c r="AF15" s="6">
        <f>_xll.BDP(U15,"CHG_PCT_3M")</f>
        <v>2.5695229999999998</v>
      </c>
      <c r="AG15" s="6">
        <f>_xll.BDP(U15,"CHG_PCT_6M")</f>
        <v>11.22767</v>
      </c>
      <c r="AH15" s="6">
        <f>_xll.BDP(U15,"PR064")</f>
        <v>2.5695229999999998</v>
      </c>
      <c r="AI15" s="6">
        <f>_xll.BDP(U15,"CHG_PCT_1YR")</f>
        <v>21.721969999999999</v>
      </c>
      <c r="AJ15" s="6">
        <f>_xll.BDP(U15,"INTERVAL_HIGH", "MARKET_DATA_OVERRIDE=PE_RATIO", "CALC_INTERVAL=5y", "BEST_FPERIOD_OVERRIDE=BF")</f>
        <v>25.040719755577786</v>
      </c>
      <c r="AK15" s="6">
        <f>_xll.BDP(U15,"INTERVAL_Low", "MARKET_DATA_OVERRIDE=PE_RATIO", "CALC_INTERVAL=5y", "BEST_FPERIOD_OVERRIDE=BF")</f>
        <v>16.69001060650902</v>
      </c>
      <c r="AL15" s="6">
        <f>_xll.BDP(U15,"PE_RATIO")</f>
        <v>24.592253878725529</v>
      </c>
      <c r="AM15" s="43">
        <f t="shared" si="6"/>
        <v>0.94629607272308502</v>
      </c>
      <c r="AN15" s="9" t="s">
        <v>967</v>
      </c>
      <c r="AO15" s="9" t="s">
        <v>936</v>
      </c>
      <c r="AP15" s="10">
        <f>_xll.BDP(AN15,"PX_LAST")</f>
        <v>866.18</v>
      </c>
      <c r="AQ15" s="10">
        <f>_xll.BDP(AN15,"CHG_PCT_1D")</f>
        <v>0.47442839999999997</v>
      </c>
      <c r="AR15" s="10">
        <f>_xll.BDP(AN15,"HIGH_52WEEK")</f>
        <v>901.57</v>
      </c>
      <c r="AS15" s="10">
        <f t="shared" si="7"/>
        <v>4.00449488345759</v>
      </c>
      <c r="AT15" s="10">
        <f>_xll.BDP(AN15,"LOW_52WEEK")</f>
        <v>592.70000000000005</v>
      </c>
      <c r="AU15" s="10">
        <f t="shared" si="3"/>
        <v>-37.94043703643635</v>
      </c>
      <c r="AV15" s="10">
        <f>_xll.BDP(AN15,"CHG_PCT_5D")</f>
        <v>-0.88679790000000003</v>
      </c>
      <c r="AW15" s="10">
        <f>_xll.BDP(AN15,"CHG_PCT_1M")</f>
        <v>4.1532369999999998</v>
      </c>
      <c r="AX15" s="10">
        <f>_xll.BDP(AN15,"CHG_PCT_3M")</f>
        <v>0.82177080000000002</v>
      </c>
      <c r="AY15" s="10">
        <f>_xll.BDP(AN15,"CHG_PCT_6M")</f>
        <v>21.35962</v>
      </c>
      <c r="AZ15" s="10">
        <f>_xll.BDP(AN15,"PR064")</f>
        <v>0.82177080000000002</v>
      </c>
      <c r="BA15" s="10">
        <f>_xll.BDP(AN15,"CHG_PCT_1YR")</f>
        <v>22.355630000000001</v>
      </c>
    </row>
    <row r="16" spans="1:53" x14ac:dyDescent="0.25">
      <c r="A16" t="s">
        <v>454</v>
      </c>
      <c r="B16" s="5" t="s">
        <v>894</v>
      </c>
      <c r="C16" s="5" t="str">
        <f>_xll.BDP(A16,"DS003")</f>
        <v>US</v>
      </c>
      <c r="D16" s="6">
        <f>_xll.BDP(A16,"PX_LAST")</f>
        <v>362.96929999999998</v>
      </c>
      <c r="E16" s="6">
        <f>_xll.BDP(A16,"CHG_PCT_1D")</f>
        <v>-0.20935809999999999</v>
      </c>
      <c r="F16" s="6">
        <f>_xll.BDP(A16,"HIGH_52WEEK")</f>
        <v>373.34</v>
      </c>
      <c r="G16" s="6">
        <f t="shared" si="0"/>
        <v>2.8171274918852989</v>
      </c>
      <c r="H16" s="6">
        <f>_xll.BDP(A16,"LOW_52WEEK")</f>
        <v>295.18</v>
      </c>
      <c r="I16" s="6">
        <f t="shared" si="1"/>
        <v>-20.673291793196796</v>
      </c>
      <c r="J16" s="6">
        <f>_xll.BDP(A16,"CHG_PCT_5D")</f>
        <v>-1.0223580000000001</v>
      </c>
      <c r="K16" s="6">
        <f>_xll.BDP(A16,"CHG_PCT_1M")</f>
        <v>5.2457409999999998</v>
      </c>
      <c r="L16" s="6">
        <f>_xll.BDP(A16,"CHG_PCT_3M")</f>
        <v>-0.28882740000000001</v>
      </c>
      <c r="M16" s="6">
        <f>_xll.BDP(A16,"CHG_PCT_6M")</f>
        <v>6.3132229999999998</v>
      </c>
      <c r="N16" s="6">
        <f>_xll.BDP(A16,"PR064")</f>
        <v>-0.28882740000000001</v>
      </c>
      <c r="O16" s="6">
        <f>_xll.BDP(A16,"CHG_PCT_1YR")</f>
        <v>-0.71873830000000005</v>
      </c>
      <c r="P16" s="6">
        <f>_xll.BDP(A16,"INTERVAL_HIGH", "MARKET_DATA_OVERRIDE=PE_RATIO", "CALC_INTERVAL=5y", "BEST_FPERIOD_OVERRIDE=BF")</f>
        <v>24.220362675059519</v>
      </c>
      <c r="Q16" s="6">
        <f>_xll.BDP(A16,"INTERVAL_Low", "MARKET_DATA_OVERRIDE=PE_RATIO", "CALC_INTERVAL=5y", "BEST_FPERIOD_OVERRIDE=BF")</f>
        <v>13.216717566498451</v>
      </c>
      <c r="R16" s="6">
        <f>_xll.BDP(A16,"PE_RATIO")</f>
        <v>16.590958354096806</v>
      </c>
      <c r="S16" s="43">
        <f t="shared" si="2"/>
        <v>0.30664754763611235</v>
      </c>
      <c r="T16" s="6">
        <f>_xll.BDP(A16,"RR902")</f>
        <v>691954998024</v>
      </c>
      <c r="U16" s="5" t="s">
        <v>515</v>
      </c>
      <c r="V16" s="5" t="s">
        <v>785</v>
      </c>
      <c r="W16" s="5" t="str">
        <f>_xll.BDP(U16,"DS003")</f>
        <v>US</v>
      </c>
      <c r="X16" s="6">
        <f>_xll.BDP(U16,"PX_LAST")</f>
        <v>212.6</v>
      </c>
      <c r="Y16" s="6">
        <f>_xll.BDP(U16,"CHG_PCT_1D")</f>
        <v>-1.410902E-2</v>
      </c>
      <c r="Z16" s="6">
        <f>_xll.BDP(U16,"HIGH_52WEEK")</f>
        <v>221.93</v>
      </c>
      <c r="AA16" s="6">
        <f t="shared" si="4"/>
        <v>4.2949550926790225</v>
      </c>
      <c r="AB16" s="6">
        <f>_xll.BDP(U16,"LOW_52WEEK")</f>
        <v>161.82</v>
      </c>
      <c r="AC16" s="6">
        <f t="shared" si="5"/>
        <v>-27.292785952815397</v>
      </c>
      <c r="AD16" s="6">
        <f>_xll.BDP(U16,"CHG_PCT_5D")</f>
        <v>0.98802959999999995</v>
      </c>
      <c r="AE16" s="6">
        <f>_xll.BDP(U16,"CHG_PCT_1M")</f>
        <v>-1.987001</v>
      </c>
      <c r="AF16" s="6">
        <f>_xll.BDP(U16,"CHG_PCT_3M")</f>
        <v>3.935467</v>
      </c>
      <c r="AG16" s="6">
        <f>_xll.BDP(U16,"CHG_PCT_6M")</f>
        <v>13.398770000000001</v>
      </c>
      <c r="AH16" s="6">
        <f>_xll.BDP(U16,"PR064")</f>
        <v>3.935467</v>
      </c>
      <c r="AI16" s="6">
        <f>_xll.BDP(U16,"CHG_PCT_1YR")</f>
        <v>28.257729999999999</v>
      </c>
      <c r="AJ16" s="6">
        <f>_xll.BDP(U16,"INTERVAL_HIGH", "MARKET_DATA_OVERRIDE=PE_RATIO", "CALC_INTERVAL=5y", "BEST_FPERIOD_OVERRIDE=BF")</f>
        <v>28.704255243095805</v>
      </c>
      <c r="AK16" s="6">
        <f>_xll.BDP(U16,"INTERVAL_Low", "MARKET_DATA_OVERRIDE=PE_RATIO", "CALC_INTERVAL=5y", "BEST_FPERIOD_OVERRIDE=BF")</f>
        <v>14.460632614168746</v>
      </c>
      <c r="AL16" s="6">
        <f>_xll.BDP(U16,"PE_RATIO")</f>
        <v>27.734967231191376</v>
      </c>
      <c r="AM16" s="43">
        <f t="shared" si="6"/>
        <v>0.9319493335960809</v>
      </c>
      <c r="AN16" s="9" t="s">
        <v>968</v>
      </c>
      <c r="AO16" s="9" t="s">
        <v>937</v>
      </c>
      <c r="AP16" s="10">
        <f>_xll.BDP(AN16,"PX_LAST")</f>
        <v>6677.5810000000001</v>
      </c>
      <c r="AQ16" s="10">
        <f>_xll.BDP(AN16,"CHG_PCT_1D")</f>
        <v>-0.48645179999999999</v>
      </c>
      <c r="AR16" s="10">
        <f>_xll.BDP(AN16,"HIGH_52WEEK")</f>
        <v>6875.5</v>
      </c>
      <c r="AS16" s="10">
        <f t="shared" si="7"/>
        <v>2.9208571964173209</v>
      </c>
      <c r="AT16" s="10">
        <f>_xll.BDP(AN16,"LOW_52WEEK")</f>
        <v>5410.2</v>
      </c>
      <c r="AU16" s="10">
        <f t="shared" si="3"/>
        <v>-21.046973546491017</v>
      </c>
      <c r="AV16" s="10">
        <f>_xll.BDP(AN16,"CHG_PCT_5D")</f>
        <v>-0.59389979999999998</v>
      </c>
      <c r="AW16" s="10">
        <f>_xll.BDP(AN16,"CHG_PCT_1M")</f>
        <v>3.1889720000000001</v>
      </c>
      <c r="AX16" s="10">
        <f>_xll.BDP(AN16,"CHG_PCT_3M")</f>
        <v>0.16903000000000001</v>
      </c>
      <c r="AY16" s="10">
        <f>_xll.BDP(AN16,"CHG_PCT_6M")</f>
        <v>8.8267989999999994</v>
      </c>
      <c r="AZ16" s="10">
        <f>_xll.BDP(AN16,"PR064")</f>
        <v>0.16903000000000001</v>
      </c>
      <c r="BA16" s="10">
        <f>_xll.BDP(AN16,"CHG_PCT_1YR")</f>
        <v>8.0302369999999996</v>
      </c>
    </row>
    <row r="17" spans="1:53" ht="17.25" thickBot="1" x14ac:dyDescent="0.3">
      <c r="A17" t="s">
        <v>449</v>
      </c>
      <c r="B17" s="39" t="s">
        <v>920</v>
      </c>
      <c r="C17" s="39" t="str">
        <f>_xll.BDP(A17,"DS003")</f>
        <v>US</v>
      </c>
      <c r="D17" s="40">
        <f>_xll.BDP(A17,"PX_LAST")</f>
        <v>481.33210000000003</v>
      </c>
      <c r="E17" s="40">
        <f>_xll.BDP(A17,"CHG_PCT_1D")</f>
        <v>-0.12955530000000001</v>
      </c>
      <c r="F17" s="40">
        <f>_xll.BDP(A17,"HIGH_52WEEK")</f>
        <v>487.14</v>
      </c>
      <c r="G17" s="40">
        <f t="shared" si="0"/>
        <v>1.1994087647900757</v>
      </c>
      <c r="H17" s="40">
        <f>_xll.BDP(A17,"LOW_52WEEK")</f>
        <v>373.47</v>
      </c>
      <c r="I17" s="40">
        <f t="shared" si="1"/>
        <v>-25.371978839270493</v>
      </c>
      <c r="J17" s="40">
        <f>_xll.BDP(A17,"CHG_PCT_5D")</f>
        <v>0.42896909999999999</v>
      </c>
      <c r="K17" s="40">
        <f>_xll.BDP(A17,"CHG_PCT_1M")</f>
        <v>3.8453620000000002</v>
      </c>
      <c r="L17" s="40">
        <f>_xll.BDP(A17,"CHG_PCT_3M")</f>
        <v>7.8733510000000004</v>
      </c>
      <c r="M17" s="40">
        <f>_xll.BDP(A17,"CHG_PCT_6M")</f>
        <v>15.27838</v>
      </c>
      <c r="N17" s="40">
        <f>_xll.BDP(A17,"PR064")</f>
        <v>7.8733510000000004</v>
      </c>
      <c r="O17" s="40">
        <f>_xll.BDP(A17,"CHG_PCT_1YR")</f>
        <v>12.13785</v>
      </c>
      <c r="P17" s="40">
        <f>_xll.BDP(A17,"INTERVAL_HIGH", "MARKET_DATA_OVERRIDE=PE_RATIO", "CALC_INTERVAL=5y", "BEST_FPERIOD_OVERRIDE=BF")</f>
        <v>22.268468909885872</v>
      </c>
      <c r="Q17" s="40">
        <f>_xll.BDP(A17,"INTERVAL_Low", "MARKET_DATA_OVERRIDE=PE_RATIO", "CALC_INTERVAL=5y", "BEST_FPERIOD_OVERRIDE=BF")</f>
        <v>16.19999329795057</v>
      </c>
      <c r="R17" s="40">
        <f>_xll.BDP(A17,"PE_RATIO")</f>
        <v>22.167800102464394</v>
      </c>
      <c r="S17" s="48">
        <f t="shared" si="2"/>
        <v>0.98341118695056051</v>
      </c>
      <c r="T17" s="6">
        <f>_xll.BDP(A17,"RR902")</f>
        <v>573198606405.26904</v>
      </c>
      <c r="U17" s="5" t="s">
        <v>516</v>
      </c>
      <c r="V17" s="5" t="s">
        <v>786</v>
      </c>
      <c r="W17" s="5" t="str">
        <f>_xll.BDP(U17,"DS003")</f>
        <v>US</v>
      </c>
      <c r="X17" s="6">
        <f>_xll.BDP(U17,"PX_LAST")</f>
        <v>118.3</v>
      </c>
      <c r="Y17" s="6">
        <f>_xll.BDP(U17,"CHG_PCT_1D")</f>
        <v>-0.14349619999999999</v>
      </c>
      <c r="Z17" s="6">
        <f>_xll.BDP(U17,"HIGH_52WEEK")</f>
        <v>119.86</v>
      </c>
      <c r="AA17" s="6">
        <f t="shared" si="4"/>
        <v>1.3100624045698057</v>
      </c>
      <c r="AB17" s="6">
        <f>_xll.BDP(U17,"LOW_52WEEK")</f>
        <v>85.78</v>
      </c>
      <c r="AC17" s="6">
        <f t="shared" si="5"/>
        <v>-32.143789189560664</v>
      </c>
      <c r="AD17" s="6">
        <f>_xll.BDP(U17,"CHG_PCT_5D")</f>
        <v>1.0161389999999999</v>
      </c>
      <c r="AE17" s="6">
        <f>_xll.BDP(U17,"CHG_PCT_1M")</f>
        <v>5.6344339999999997</v>
      </c>
      <c r="AF17" s="6">
        <f>_xll.BDP(U17,"CHG_PCT_3M")</f>
        <v>7.3892480000000003</v>
      </c>
      <c r="AG17" s="6">
        <f>_xll.BDP(U17,"CHG_PCT_6M")</f>
        <v>20.321400000000001</v>
      </c>
      <c r="AH17" s="6">
        <f>_xll.BDP(U17,"PR064")</f>
        <v>7.3892480000000003</v>
      </c>
      <c r="AI17" s="6">
        <f>_xll.BDP(U17,"CHG_PCT_1YR")</f>
        <v>25.066079999999999</v>
      </c>
      <c r="AJ17" s="6">
        <f>_xll.BDP(U17,"INTERVAL_HIGH", "MARKET_DATA_OVERRIDE=PE_RATIO", "CALC_INTERVAL=5y", "BEST_FPERIOD_OVERRIDE=BF")</f>
        <v>24.226993865030675</v>
      </c>
      <c r="AK17" s="6">
        <f>_xll.BDP(U17,"INTERVAL_Low", "MARKET_DATA_OVERRIDE=PE_RATIO", "CALC_INTERVAL=5y", "BEST_FPERIOD_OVERRIDE=BF")</f>
        <v>10.729548340116821</v>
      </c>
      <c r="AL17" s="6">
        <f>_xll.BDP(U17,"PE_RATIO")</f>
        <v>24.19222966293616</v>
      </c>
      <c r="AM17" s="43">
        <f t="shared" si="6"/>
        <v>0.99742438656037946</v>
      </c>
      <c r="AN17" s="9" t="s">
        <v>969</v>
      </c>
      <c r="AO17" s="9" t="s">
        <v>938</v>
      </c>
      <c r="AP17" s="10">
        <f>_xll.BDP(AN17,"PX_LAST")</f>
        <v>22048.240000000002</v>
      </c>
      <c r="AQ17" s="10">
        <f>_xll.BDP(AN17,"CHG_PCT_1D")</f>
        <v>0.12756500000000001</v>
      </c>
      <c r="AR17" s="10">
        <f>_xll.BDP(AN17,"HIGH_52WEEK")</f>
        <v>24448.0703125</v>
      </c>
      <c r="AS17" s="10">
        <f t="shared" si="7"/>
        <v>10.33185088690241</v>
      </c>
      <c r="AT17" s="10">
        <f>_xll.BDP(AN17,"LOW_52WEEK")</f>
        <v>18948.580000000002</v>
      </c>
      <c r="AU17" s="10">
        <f t="shared" si="3"/>
        <v>-15.150378542927632</v>
      </c>
      <c r="AV17" s="10">
        <f>_xll.BDP(AN17,"CHG_PCT_5D")</f>
        <v>0.39857120000000001</v>
      </c>
      <c r="AW17" s="10">
        <f>_xll.BDP(AN17,"CHG_PCT_1M")</f>
        <v>7.7833100000000002</v>
      </c>
      <c r="AX17" s="10">
        <f>_xll.BDP(AN17,"CHG_PCT_3M")</f>
        <v>3.3277000000000001</v>
      </c>
      <c r="AY17" s="10">
        <f>_xll.BDP(AN17,"CHG_PCT_6M")</f>
        <v>3.1316630000000001</v>
      </c>
      <c r="AZ17" s="10">
        <f>_xll.BDP(AN17,"PR064")</f>
        <v>3.3277000000000001</v>
      </c>
      <c r="BA17" s="10">
        <f>_xll.BDP(AN17,"CHG_PCT_1YR")</f>
        <v>-7.347645</v>
      </c>
    </row>
    <row r="18" spans="1:53" x14ac:dyDescent="0.25">
      <c r="A18" t="s">
        <v>474</v>
      </c>
      <c r="B18" s="37" t="s">
        <v>908</v>
      </c>
      <c r="C18" s="37" t="str">
        <f>_xll.BDP(A18,"DS003")</f>
        <v>EC</v>
      </c>
      <c r="D18" s="38">
        <f>_xll.BDP(A18,"PX_LAST")</f>
        <v>849.26</v>
      </c>
      <c r="E18" s="38">
        <f>_xll.BDP(A18,"CHG_PCT_1D")</f>
        <v>0.52436579999999999</v>
      </c>
      <c r="F18" s="38">
        <f>_xll.BDP(A18,"HIGH_52WEEK")</f>
        <v>854.76</v>
      </c>
      <c r="G18" s="38">
        <f t="shared" si="0"/>
        <v>0.64553457112226142</v>
      </c>
      <c r="H18" s="38">
        <f>_xll.BDP(A18,"LOW_52WEEK")</f>
        <v>687.15</v>
      </c>
      <c r="I18" s="38">
        <f t="shared" si="1"/>
        <v>-21.181277306617925</v>
      </c>
      <c r="J18" s="38">
        <f>_xll.BDP(A18,"CHG_PCT_5D")</f>
        <v>1.3860170000000001</v>
      </c>
      <c r="K18" s="38">
        <f>_xll.BDP(A18,"CHG_PCT_1M")</f>
        <v>1.931182</v>
      </c>
      <c r="L18" s="38">
        <f>_xll.BDP(A18,"CHG_PCT_3M")</f>
        <v>6.2863689999999997</v>
      </c>
      <c r="M18" s="38">
        <f>_xll.BDP(A18,"CHG_PCT_6M")</f>
        <v>8.5038959999999992</v>
      </c>
      <c r="N18" s="38">
        <f>_xll.BDP(A18,"PR064")</f>
        <v>6.2863689999999997</v>
      </c>
      <c r="O18" s="38">
        <f>_xll.BDP(A18,"CHG_PCT_1YR")</f>
        <v>11.774150000000001</v>
      </c>
      <c r="P18" s="38">
        <f>_xll.BDP(A18,"INTERVAL_HIGH", "MARKET_DATA_OVERRIDE=PE_RATIO", "CALC_INTERVAL=5y", "BEST_FPERIOD_OVERRIDE=BF")</f>
        <v>31.619946711500912</v>
      </c>
      <c r="Q18" s="38">
        <f>_xll.BDP(A18,"INTERVAL_Low", "MARKET_DATA_OVERRIDE=PE_RATIO", "CALC_INTERVAL=5y", "BEST_FPERIOD_OVERRIDE=BF")</f>
        <v>19.379483925341315</v>
      </c>
      <c r="R18" s="38">
        <f>_xll.BDP(A18,"PE_RATIO")</f>
        <v>29.350412324515819</v>
      </c>
      <c r="S18" s="47">
        <f t="shared" si="2"/>
        <v>0.81458753425962982</v>
      </c>
      <c r="T18" s="6">
        <f>_xll.BDP(A18,"RR902")</f>
        <v>1382363919517.8901</v>
      </c>
      <c r="U18" s="5" t="s">
        <v>517</v>
      </c>
      <c r="V18" s="5" t="s">
        <v>787</v>
      </c>
      <c r="W18" s="5" t="str">
        <f>_xll.BDP(U18,"DS003")</f>
        <v>US</v>
      </c>
      <c r="X18" s="6">
        <f>_xll.BDP(U18,"PX_LAST")</f>
        <v>82.66</v>
      </c>
      <c r="Y18" s="6">
        <f>_xll.BDP(U18,"CHG_PCT_1D")</f>
        <v>-0.241371</v>
      </c>
      <c r="Z18" s="6">
        <f>_xll.BDP(U18,"HIGH_52WEEK")</f>
        <v>88.76</v>
      </c>
      <c r="AA18" s="6">
        <f t="shared" si="4"/>
        <v>7.1200288980806965</v>
      </c>
      <c r="AB18" s="6">
        <f>_xll.BDP(U18,"LOW_52WEEK")</f>
        <v>65.44</v>
      </c>
      <c r="AC18" s="6">
        <f t="shared" si="5"/>
        <v>-23.360211678909469</v>
      </c>
      <c r="AD18" s="6">
        <f>_xll.BDP(U18,"CHG_PCT_5D")</f>
        <v>-0.68484920000000005</v>
      </c>
      <c r="AE18" s="6">
        <f>_xll.BDP(U18,"CHG_PCT_1M")</f>
        <v>-0.55342000000000002</v>
      </c>
      <c r="AF18" s="6">
        <f>_xll.BDP(U18,"CHG_PCT_3M")</f>
        <v>-0.36161900000000002</v>
      </c>
      <c r="AG18" s="6">
        <f>_xll.BDP(U18,"CHG_PCT_6M")</f>
        <v>4.632911</v>
      </c>
      <c r="AH18" s="6">
        <f>_xll.BDP(U18,"PR064")</f>
        <v>-0.36161900000000002</v>
      </c>
      <c r="AI18" s="6">
        <f>_xll.BDP(U18,"CHG_PCT_1YR")</f>
        <v>13.48161</v>
      </c>
      <c r="AJ18" s="6">
        <f>_xll.BDP(U18,"INTERVAL_HIGH", "MARKET_DATA_OVERRIDE=PE_RATIO", "CALC_INTERVAL=5y", "BEST_FPERIOD_OVERRIDE=BF")</f>
        <v>41.313635111210615</v>
      </c>
      <c r="AK18" s="6">
        <f>_xll.BDP(U18,"INTERVAL_Low", "MARKET_DATA_OVERRIDE=PE_RATIO", "CALC_INTERVAL=5y", "BEST_FPERIOD_OVERRIDE=BF")</f>
        <v>17.69465258887848</v>
      </c>
      <c r="AL18" s="6">
        <f>_xll.BDP(U18,"PE_RATIO")</f>
        <v>37.831150084353197</v>
      </c>
      <c r="AM18" s="43">
        <f t="shared" si="6"/>
        <v>0.85255567111899633</v>
      </c>
      <c r="AN18" s="9" t="s">
        <v>970</v>
      </c>
      <c r="AO18" s="9" t="s">
        <v>939</v>
      </c>
      <c r="AP18" s="10">
        <f>_xll.BDP(AN18,"PX_LAST")</f>
        <v>2074.52</v>
      </c>
      <c r="AQ18" s="10">
        <f>_xll.BDP(AN18,"CHG_PCT_1D")</f>
        <v>5.4500119999999999E-2</v>
      </c>
      <c r="AR18" s="10">
        <f>_xll.BDP(AN18,"HIGH_52WEEK")</f>
        <v>2356.62</v>
      </c>
      <c r="AS18" s="10">
        <f t="shared" si="7"/>
        <v>12.749858744247936</v>
      </c>
      <c r="AT18" s="10">
        <f>_xll.BDP(AN18,"LOW_52WEEK")</f>
        <v>1891.81</v>
      </c>
      <c r="AU18" s="10">
        <f t="shared" si="3"/>
        <v>-9.219575886763721</v>
      </c>
      <c r="AV18" s="10">
        <f>_xll.BDP(AN18,"CHG_PCT_5D")</f>
        <v>-0.8128069</v>
      </c>
      <c r="AW18" s="10">
        <f>_xll.BDP(AN18,"CHG_PCT_1M")</f>
        <v>7.7896729999999996</v>
      </c>
      <c r="AX18" s="10">
        <f>_xll.BDP(AN18,"CHG_PCT_3M")</f>
        <v>-2.801831</v>
      </c>
      <c r="AY18" s="10">
        <f>_xll.BDP(AN18,"CHG_PCT_6M")</f>
        <v>-3.3137319999999999</v>
      </c>
      <c r="AZ18" s="10">
        <f>_xll.BDP(AN18,"PR064")</f>
        <v>-2.801831</v>
      </c>
      <c r="BA18" s="10">
        <f>_xll.BDP(AN18,"CHG_PCT_1YR")</f>
        <v>-11.92606</v>
      </c>
    </row>
    <row r="19" spans="1:53" x14ac:dyDescent="0.25">
      <c r="A19" t="s">
        <v>456</v>
      </c>
      <c r="B19" s="5" t="s">
        <v>914</v>
      </c>
      <c r="C19" s="5" t="str">
        <f>_xll.BDP(A19,"DS003")</f>
        <v>EC</v>
      </c>
      <c r="D19" s="6">
        <f>_xll.BDP(A19,"PX_LAST")</f>
        <v>543.4</v>
      </c>
      <c r="E19" s="6">
        <f>_xll.BDP(A19,"CHG_PCT_1D")</f>
        <v>0.49749399999999999</v>
      </c>
      <c r="F19" s="6">
        <f>_xll.BDP(A19,"HIGH_52WEEK")</f>
        <v>559.54999999999995</v>
      </c>
      <c r="G19" s="6">
        <f t="shared" si="0"/>
        <v>2.9287192271788665</v>
      </c>
      <c r="H19" s="6">
        <f>_xll.BDP(A19,"LOW_52WEEK")</f>
        <v>441.23</v>
      </c>
      <c r="I19" s="6">
        <f t="shared" si="1"/>
        <v>-20.827941555102171</v>
      </c>
      <c r="J19" s="6">
        <f>_xll.BDP(A19,"CHG_PCT_5D")</f>
        <v>-2.056559</v>
      </c>
      <c r="K19" s="6">
        <f>_xll.BDP(A19,"CHG_PCT_1M")</f>
        <v>4.2914260000000004</v>
      </c>
      <c r="L19" s="6">
        <f>_xll.BDP(A19,"CHG_PCT_3M")</f>
        <v>0.23796629999999999</v>
      </c>
      <c r="M19" s="6">
        <f>_xll.BDP(A19,"CHG_PCT_6M")</f>
        <v>6.7269040000000002</v>
      </c>
      <c r="N19" s="6">
        <f>_xll.BDP(A19,"PR064")</f>
        <v>0.23796629999999999</v>
      </c>
      <c r="O19" s="6">
        <f>_xll.BDP(A19,"CHG_PCT_1YR")</f>
        <v>-1.8513500000000001</v>
      </c>
      <c r="P19" s="6">
        <f>_xll.BDP(A19,"INTERVAL_HIGH", "MARKET_DATA_OVERRIDE=PE_RATIO", "CALC_INTERVAL=5y", "BEST_FPERIOD_OVERRIDE=BF")</f>
        <v>29.986823886730086</v>
      </c>
      <c r="Q19" s="6">
        <f>_xll.BDP(A19,"INTERVAL_Low", "MARKET_DATA_OVERRIDE=PE_RATIO", "CALC_INTERVAL=5y", "BEST_FPERIOD_OVERRIDE=BF")</f>
        <v>17.609555612836282</v>
      </c>
      <c r="R19" s="6">
        <f>_xll.BDP(A19,"PE_RATIO")</f>
        <v>24.641626217295261</v>
      </c>
      <c r="S19" s="43">
        <f t="shared" si="2"/>
        <v>0.56814399177975794</v>
      </c>
      <c r="T19" s="6">
        <f>_xll.BDP(A19,"RR902")</f>
        <v>1175763427373</v>
      </c>
      <c r="U19" s="5" t="s">
        <v>518</v>
      </c>
      <c r="V19" s="5" t="s">
        <v>788</v>
      </c>
      <c r="W19" s="5" t="str">
        <f>_xll.BDP(U19,"DS003")</f>
        <v>US</v>
      </c>
      <c r="X19" s="6">
        <f>_xll.BDP(U19,"PX_LAST")</f>
        <v>69.11</v>
      </c>
      <c r="Y19" s="6">
        <f>_xll.BDP(U19,"CHG_PCT_1D")</f>
        <v>-0.38916109999999998</v>
      </c>
      <c r="Z19" s="6">
        <f>_xll.BDP(U19,"HIGH_52WEEK")</f>
        <v>73.984999999999999</v>
      </c>
      <c r="AA19" s="6">
        <f t="shared" si="4"/>
        <v>6.8162931851194566</v>
      </c>
      <c r="AB19" s="6">
        <f>_xll.BDP(U19,"LOW_52WEEK")</f>
        <v>48.42</v>
      </c>
      <c r="AC19" s="6">
        <f t="shared" si="5"/>
        <v>-35.578648659339052</v>
      </c>
      <c r="AD19" s="6">
        <f>_xll.BDP(U19,"CHG_PCT_5D")</f>
        <v>-0.88914380000000004</v>
      </c>
      <c r="AE19" s="6">
        <f>_xll.BDP(U19,"CHG_PCT_1M")</f>
        <v>10.188140000000001</v>
      </c>
      <c r="AF19" s="6">
        <f>_xll.BDP(U19,"CHG_PCT_3M")</f>
        <v>2.811661</v>
      </c>
      <c r="AG19" s="6">
        <f>_xll.BDP(U19,"CHG_PCT_6M")</f>
        <v>12.88794</v>
      </c>
      <c r="AH19" s="6">
        <f>_xll.BDP(U19,"PR064")</f>
        <v>2.811661</v>
      </c>
      <c r="AI19" s="6">
        <f>_xll.BDP(U19,"CHG_PCT_1YR")</f>
        <v>-4.6100719999999997</v>
      </c>
      <c r="AJ19" s="6">
        <f>_xll.BDP(U19,"INTERVAL_HIGH", "MARKET_DATA_OVERRIDE=PE_RATIO", "CALC_INTERVAL=5y", "BEST_FPERIOD_OVERRIDE=BF")</f>
        <v>14.191071255257791</v>
      </c>
      <c r="AK19" s="6">
        <f>_xll.BDP(U19,"INTERVAL_Low", "MARKET_DATA_OVERRIDE=PE_RATIO", "CALC_INTERVAL=5y", "BEST_FPERIOD_OVERRIDE=BF")</f>
        <v>5.6542363165566654</v>
      </c>
      <c r="AL19" s="6">
        <f>_xll.BDP(U19,"PE_RATIO")</f>
        <v>9.0967438383219399</v>
      </c>
      <c r="AM19" s="43">
        <f t="shared" si="6"/>
        <v>0.40325337745010326</v>
      </c>
      <c r="AN19" s="9" t="s">
        <v>971</v>
      </c>
      <c r="AO19" s="9" t="s">
        <v>922</v>
      </c>
      <c r="AP19" s="10">
        <f>_xll.BDP(AN19,"PX_LAST")</f>
        <v>26041.93</v>
      </c>
      <c r="AQ19" s="10">
        <f>_xll.BDP(AN19,"CHG_PCT_1D")</f>
        <v>0.37224400000000002</v>
      </c>
      <c r="AR19" s="10">
        <f>_xll.BDP(AN19,"HIGH_52WEEK")</f>
        <v>30280.12</v>
      </c>
      <c r="AS19" s="10">
        <f t="shared" si="7"/>
        <v>15.078346023595426</v>
      </c>
      <c r="AT19" s="10">
        <f>_xll.BDP(AN19,"LOW_52WEEK")</f>
        <v>24540.63</v>
      </c>
      <c r="AU19" s="10">
        <f t="shared" si="3"/>
        <v>-5.9377820012456084</v>
      </c>
      <c r="AV19" s="10">
        <f>_xll.BDP(AN19,"CHG_PCT_5D")</f>
        <v>-1.6132839999999999</v>
      </c>
      <c r="AW19" s="10">
        <f>_xll.BDP(AN19,"CHG_PCT_1M")</f>
        <v>1.4723280000000001</v>
      </c>
      <c r="AX19" s="10">
        <f>_xll.BDP(AN19,"CHG_PCT_3M")</f>
        <v>-9.0124460000000006</v>
      </c>
      <c r="AY19" s="10">
        <f>_xll.BDP(AN19,"CHG_PCT_6M")</f>
        <v>-9.350797</v>
      </c>
      <c r="AZ19" s="10">
        <f>_xll.BDP(AN19,"PR064")</f>
        <v>-9.0124460000000006</v>
      </c>
      <c r="BA19" s="10">
        <f>_xll.BDP(AN19,"CHG_PCT_1YR")</f>
        <v>-6.0389670000000004</v>
      </c>
    </row>
    <row r="20" spans="1:53" x14ac:dyDescent="0.25">
      <c r="A20" t="s">
        <v>466</v>
      </c>
      <c r="B20" s="5" t="s">
        <v>917</v>
      </c>
      <c r="C20" s="5" t="str">
        <f>_xll.BDP(A20,"DS003")</f>
        <v>EC</v>
      </c>
      <c r="D20" s="6">
        <f>_xll.BDP(A20,"PX_LAST")</f>
        <v>854.52</v>
      </c>
      <c r="E20" s="6">
        <f>_xll.BDP(A20,"CHG_PCT_1D")</f>
        <v>0.48684119999999997</v>
      </c>
      <c r="F20" s="6">
        <f>_xll.BDP(A20,"HIGH_52WEEK")</f>
        <v>887.06</v>
      </c>
      <c r="G20" s="6">
        <f t="shared" si="0"/>
        <v>3.7372715982764788</v>
      </c>
      <c r="H20" s="6">
        <f>_xll.BDP(A20,"LOW_52WEEK")</f>
        <v>687.11</v>
      </c>
      <c r="I20" s="6">
        <f t="shared" si="1"/>
        <v>-21.80455119286286</v>
      </c>
      <c r="J20" s="6">
        <f>_xll.BDP(A20,"CHG_PCT_5D")</f>
        <v>-0.59906510000000002</v>
      </c>
      <c r="K20" s="6">
        <f>_xll.BDP(A20,"CHG_PCT_1M")</f>
        <v>1.3497170000000001</v>
      </c>
      <c r="L20" s="6">
        <f>_xll.BDP(A20,"CHG_PCT_3M")</f>
        <v>2.194534</v>
      </c>
      <c r="M20" s="6">
        <f>_xll.BDP(A20,"CHG_PCT_6M")</f>
        <v>3.0746760000000002</v>
      </c>
      <c r="N20" s="6">
        <f>_xll.BDP(A20,"PR064")</f>
        <v>2.194534</v>
      </c>
      <c r="O20" s="6">
        <f>_xll.BDP(A20,"CHG_PCT_1YR")</f>
        <v>3.6070660000000001</v>
      </c>
      <c r="P20" s="6">
        <f>_xll.BDP(A20,"INTERVAL_HIGH", "MARKET_DATA_OVERRIDE=PE_RATIO", "CALC_INTERVAL=5y", "BEST_FPERIOD_OVERRIDE=BF")</f>
        <v>26.250371623972274</v>
      </c>
      <c r="Q20" s="6">
        <f>_xll.BDP(A20,"INTERVAL_Low", "MARKET_DATA_OVERRIDE=PE_RATIO", "CALC_INTERVAL=5y", "BEST_FPERIOD_OVERRIDE=BF")</f>
        <v>15.890880296670547</v>
      </c>
      <c r="R20" s="6">
        <f>_xll.BDP(A20,"PE_RATIO")</f>
        <v>20.85091658436987</v>
      </c>
      <c r="S20" s="43">
        <f t="shared" si="2"/>
        <v>0.47879148994772436</v>
      </c>
      <c r="T20" s="6">
        <f>_xll.BDP(A20,"RR902")</f>
        <v>1031876384375.84</v>
      </c>
      <c r="U20" s="5" t="s">
        <v>520</v>
      </c>
      <c r="V20" s="5" t="s">
        <v>789</v>
      </c>
      <c r="W20" s="5" t="str">
        <f>_xll.BDP(U20,"DS003")</f>
        <v>US</v>
      </c>
      <c r="X20" s="6">
        <f>_xll.BDP(U20,"PX_LAST")</f>
        <v>143.55000000000001</v>
      </c>
      <c r="Y20" s="6">
        <f>_xll.BDP(U20,"CHG_PCT_1D")</f>
        <v>0.27242250000000001</v>
      </c>
      <c r="Z20" s="6">
        <f>_xll.BDP(U20,"HIGH_52WEEK")</f>
        <v>154.36000000000001</v>
      </c>
      <c r="AA20" s="6">
        <f t="shared" si="4"/>
        <v>7.2604130102345135</v>
      </c>
      <c r="AB20" s="6">
        <f>_xll.BDP(U20,"LOW_52WEEK")</f>
        <v>105.94</v>
      </c>
      <c r="AC20" s="6">
        <f t="shared" si="5"/>
        <v>-30.381051045069242</v>
      </c>
      <c r="AD20" s="6">
        <f>_xll.BDP(U20,"CHG_PCT_5D")</f>
        <v>0.40567950000000003</v>
      </c>
      <c r="AE20" s="6">
        <f>_xll.BDP(U20,"CHG_PCT_1M")</f>
        <v>10.431570000000001</v>
      </c>
      <c r="AF20" s="6">
        <f>_xll.BDP(U20,"CHG_PCT_3M")</f>
        <v>3.6312410000000002</v>
      </c>
      <c r="AG20" s="6">
        <f>_xll.BDP(U20,"CHG_PCT_6M")</f>
        <v>2.3748390000000001</v>
      </c>
      <c r="AH20" s="6">
        <f>_xll.BDP(U20,"PR064")</f>
        <v>3.6312410000000002</v>
      </c>
      <c r="AI20" s="6">
        <f>_xll.BDP(U20,"CHG_PCT_1YR")</f>
        <v>-5.3162719999999997</v>
      </c>
      <c r="AJ20" s="6">
        <f>_xll.BDP(U20,"INTERVAL_HIGH", "MARKET_DATA_OVERRIDE=PE_RATIO", "CALC_INTERVAL=5y", "BEST_FPERIOD_OVERRIDE=BF")</f>
        <v>11.857260352451069</v>
      </c>
      <c r="AK20" s="6">
        <f>_xll.BDP(U20,"INTERVAL_Low", "MARKET_DATA_OVERRIDE=PE_RATIO", "CALC_INTERVAL=5y", "BEST_FPERIOD_OVERRIDE=BF")</f>
        <v>6.6843142114229668</v>
      </c>
      <c r="AL20" s="6">
        <f>_xll.BDP(U20,"PE_RATIO")</f>
        <v>10.240841549020015</v>
      </c>
      <c r="AM20" s="43">
        <f t="shared" si="6"/>
        <v>0.68752452483300019</v>
      </c>
      <c r="AN20" s="9" t="s">
        <v>972</v>
      </c>
      <c r="AO20" s="9" t="s">
        <v>940</v>
      </c>
      <c r="AP20" s="10">
        <f>_xll.BDP(AN20,"PX_LAST")</f>
        <v>10212.27</v>
      </c>
      <c r="AQ20" s="10">
        <f>_xll.BDP(AN20,"CHG_PCT_1D")</f>
        <v>0.4276816</v>
      </c>
      <c r="AR20" s="10">
        <f>_xll.BDP(AN20,"HIGH_52WEEK")</f>
        <v>11881.6796875</v>
      </c>
      <c r="AS20" s="10">
        <f t="shared" si="7"/>
        <v>15.140775326419934</v>
      </c>
      <c r="AT20" s="10">
        <f>_xll.BDP(AN20,"LOW_52WEEK")</f>
        <v>9731.89</v>
      </c>
      <c r="AU20" s="10">
        <f t="shared" si="3"/>
        <v>-4.8181816573491991</v>
      </c>
      <c r="AV20" s="10">
        <f>_xll.BDP(AN20,"CHG_PCT_5D")</f>
        <v>-1.6665749999999999</v>
      </c>
      <c r="AW20" s="10">
        <f>_xll.BDP(AN20,"CHG_PCT_1M")</f>
        <v>2.1616140000000001</v>
      </c>
      <c r="AX20" s="10">
        <f>_xll.BDP(AN20,"CHG_PCT_3M")</f>
        <v>-6.2847770000000001</v>
      </c>
      <c r="AY20" s="10">
        <f>_xll.BDP(AN20,"CHG_PCT_6M")</f>
        <v>-9.6687840000000005</v>
      </c>
      <c r="AZ20" s="10">
        <f>_xll.BDP(AN20,"PR064")</f>
        <v>-6.2847770000000001</v>
      </c>
      <c r="BA20" s="10">
        <f>_xll.BDP(AN20,"CHG_PCT_1YR")</f>
        <v>-6.6432229999999999</v>
      </c>
    </row>
    <row r="21" spans="1:53" x14ac:dyDescent="0.25">
      <c r="A21" t="s">
        <v>472</v>
      </c>
      <c r="B21" s="5" t="s">
        <v>905</v>
      </c>
      <c r="C21" s="5" t="str">
        <f>_xll.BDP(A21,"DS003")</f>
        <v>EC</v>
      </c>
      <c r="D21" s="6">
        <f>_xll.BDP(A21,"PX_LAST")</f>
        <v>130.08000000000001</v>
      </c>
      <c r="E21" s="6">
        <f>_xll.BDP(A21,"CHG_PCT_1D")</f>
        <v>0.1308598</v>
      </c>
      <c r="F21" s="6">
        <f>_xll.BDP(A21,"HIGH_52WEEK")</f>
        <v>161.41</v>
      </c>
      <c r="G21" s="6">
        <f t="shared" si="0"/>
        <v>21.579806598568766</v>
      </c>
      <c r="H21" s="6">
        <f>_xll.BDP(A21,"LOW_52WEEK")</f>
        <v>115.8</v>
      </c>
      <c r="I21" s="6">
        <f t="shared" si="1"/>
        <v>-11.628508066060574</v>
      </c>
      <c r="J21" s="6">
        <f>_xll.BDP(A21,"CHG_PCT_5D")</f>
        <v>-1.9226460000000001</v>
      </c>
      <c r="K21" s="6">
        <f>_xll.BDP(A21,"CHG_PCT_1M")</f>
        <v>8.9538510000000002</v>
      </c>
      <c r="L21" s="6">
        <f>_xll.BDP(A21,"CHG_PCT_3M")</f>
        <v>-2.180774</v>
      </c>
      <c r="M21" s="6">
        <f>_xll.BDP(A21,"CHG_PCT_6M")</f>
        <v>-6.9061719999999998</v>
      </c>
      <c r="N21" s="6">
        <f>_xll.BDP(A21,"PR064")</f>
        <v>-2.180774</v>
      </c>
      <c r="O21" s="6">
        <f>_xll.BDP(A21,"CHG_PCT_1YR")</f>
        <v>-19.320219999999999</v>
      </c>
      <c r="P21" s="6">
        <f>_xll.BDP(A21,"INTERVAL_HIGH", "MARKET_DATA_OVERRIDE=PE_RATIO", "CALC_INTERVAL=5y", "BEST_FPERIOD_OVERRIDE=BF")</f>
        <v>62.993153998526623</v>
      </c>
      <c r="Q21" s="6">
        <f>_xll.BDP(A21,"INTERVAL_Low", "MARKET_DATA_OVERRIDE=PE_RATIO", "CALC_INTERVAL=5y", "BEST_FPERIOD_OVERRIDE=BF")</f>
        <v>8.93381186951747</v>
      </c>
      <c r="R21" s="6">
        <f>_xll.BDP(A21,"PE_RATIO")</f>
        <v>9.920067732011562</v>
      </c>
      <c r="S21" s="43">
        <f t="shared" si="2"/>
        <v>1.8243948661832689E-2</v>
      </c>
      <c r="T21" s="6">
        <f>_xll.BDP(A21,"RR902")</f>
        <v>936355738383.495</v>
      </c>
      <c r="U21" s="5" t="s">
        <v>521</v>
      </c>
      <c r="V21" s="5" t="s">
        <v>790</v>
      </c>
      <c r="W21" s="5" t="str">
        <f>_xll.BDP(U21,"DS003")</f>
        <v>US</v>
      </c>
      <c r="X21" s="6">
        <f>_xll.BDP(U21,"PX_LAST")</f>
        <v>167.03</v>
      </c>
      <c r="Y21" s="6">
        <f>_xll.BDP(U21,"CHG_PCT_1D")</f>
        <v>5.9905350000000003E-2</v>
      </c>
      <c r="Z21" s="6">
        <f>_xll.BDP(U21,"HIGH_52WEEK")</f>
        <v>178.47</v>
      </c>
      <c r="AA21" s="6">
        <f t="shared" si="4"/>
        <v>6.6247082866067748</v>
      </c>
      <c r="AB21" s="6">
        <f>_xll.BDP(U21,"LOW_52WEEK")</f>
        <v>123.48</v>
      </c>
      <c r="AC21" s="6">
        <f t="shared" si="5"/>
        <v>-30.20942373678977</v>
      </c>
      <c r="AD21" s="6">
        <f>_xll.BDP(U21,"CHG_PCT_5D")</f>
        <v>0.15590329999999999</v>
      </c>
      <c r="AE21" s="6">
        <f>_xll.BDP(U21,"CHG_PCT_1M")</f>
        <v>6.4495550000000001</v>
      </c>
      <c r="AF21" s="6">
        <f>_xll.BDP(U21,"CHG_PCT_3M")</f>
        <v>-3.7790170000000001</v>
      </c>
      <c r="AG21" s="6">
        <f>_xll.BDP(U21,"CHG_PCT_6M")</f>
        <v>6.0642649999999998</v>
      </c>
      <c r="AH21" s="6">
        <f>_xll.BDP(U21,"PR064")</f>
        <v>-3.7790170000000001</v>
      </c>
      <c r="AI21" s="6">
        <f>_xll.BDP(U21,"CHG_PCT_1YR")</f>
        <v>5.2440829999999998</v>
      </c>
      <c r="AJ21" s="6">
        <f>_xll.BDP(U21,"INTERVAL_HIGH", "MARKET_DATA_OVERRIDE=PE_RATIO", "CALC_INTERVAL=5y", "BEST_FPERIOD_OVERRIDE=BF")</f>
        <v>53.511993622980867</v>
      </c>
      <c r="AK21" s="6">
        <f>_xll.BDP(U21,"INTERVAL_Low", "MARKET_DATA_OVERRIDE=PE_RATIO", "CALC_INTERVAL=5y", "BEST_FPERIOD_OVERRIDE=BF")</f>
        <v>12.967485101915271</v>
      </c>
      <c r="AL21" s="6">
        <f>_xll.BDP(U21,"PE_RATIO")</f>
        <v>18.881331545840712</v>
      </c>
      <c r="AM21" s="43">
        <f t="shared" si="6"/>
        <v>0.14586060257341144</v>
      </c>
      <c r="AN21" s="9" t="s">
        <v>973</v>
      </c>
      <c r="AO21" s="9" t="s">
        <v>941</v>
      </c>
      <c r="AP21" s="10">
        <f>_xll.BDP(AN21,"PX_LAST")</f>
        <v>4155.92</v>
      </c>
      <c r="AQ21" s="10">
        <f>_xll.BDP(AN21,"CHG_PCT_1D")</f>
        <v>-8.1984360000000006E-2</v>
      </c>
      <c r="AR21" s="10">
        <f>_xll.BDP(AN21,"HIGH_52WEEK")</f>
        <v>4788.57</v>
      </c>
      <c r="AS21" s="10">
        <f t="shared" si="7"/>
        <v>14.16980044556097</v>
      </c>
      <c r="AT21" s="10">
        <f>_xll.BDP(AN21,"LOW_52WEEK")</f>
        <v>3941.07</v>
      </c>
      <c r="AU21" s="10">
        <f t="shared" si="3"/>
        <v>-5.3081563729091998</v>
      </c>
      <c r="AV21" s="10">
        <f>_xll.BDP(AN21,"CHG_PCT_5D")</f>
        <v>-2.5305909999999998</v>
      </c>
      <c r="AW21" s="10">
        <f>_xll.BDP(AN21,"CHG_PCT_1M")</f>
        <v>0.70953080000000002</v>
      </c>
      <c r="AX21" s="10">
        <f>_xll.BDP(AN21,"CHG_PCT_3M")</f>
        <v>-6.5940589999999997</v>
      </c>
      <c r="AY21" s="10">
        <f>_xll.BDP(AN21,"CHG_PCT_6M")</f>
        <v>-8.4155300000000004</v>
      </c>
      <c r="AZ21" s="10">
        <f>_xll.BDP(AN21,"PR064")</f>
        <v>-6.5940589999999997</v>
      </c>
      <c r="BA21" s="10">
        <f>_xll.BDP(AN21,"CHG_PCT_1YR")</f>
        <v>-5.7276759999999998</v>
      </c>
    </row>
    <row r="22" spans="1:53" x14ac:dyDescent="0.25">
      <c r="A22" t="s">
        <v>465</v>
      </c>
      <c r="B22" s="5" t="s">
        <v>902</v>
      </c>
      <c r="C22" s="5" t="str">
        <f>_xll.BDP(A22,"DS003")</f>
        <v>EC</v>
      </c>
      <c r="D22" s="6">
        <f>_xll.BDP(A22,"PX_LAST")</f>
        <v>799.39</v>
      </c>
      <c r="E22" s="6">
        <f>_xll.BDP(A22,"CHG_PCT_1D")</f>
        <v>0.93945319999999999</v>
      </c>
      <c r="F22" s="6">
        <f>_xll.BDP(A22,"HIGH_52WEEK")</f>
        <v>828.68</v>
      </c>
      <c r="G22" s="6">
        <f t="shared" si="0"/>
        <v>3.5985136560744375</v>
      </c>
      <c r="H22" s="6">
        <f>_xll.BDP(A22,"LOW_52WEEK")</f>
        <v>599.88</v>
      </c>
      <c r="I22" s="6">
        <f t="shared" si="1"/>
        <v>-28.711930160346434</v>
      </c>
      <c r="J22" s="6">
        <f>_xll.BDP(A22,"CHG_PCT_5D")</f>
        <v>0.99684139999999999</v>
      </c>
      <c r="K22" s="6">
        <f>_xll.BDP(A22,"CHG_PCT_1M")</f>
        <v>-0.14614559999999999</v>
      </c>
      <c r="L22" s="6">
        <f>_xll.BDP(A22,"CHG_PCT_3M")</f>
        <v>6.012867</v>
      </c>
      <c r="M22" s="6">
        <f>_xll.BDP(A22,"CHG_PCT_6M")</f>
        <v>11.102</v>
      </c>
      <c r="N22" s="6">
        <f>_xll.BDP(A22,"PR064")</f>
        <v>6.012867</v>
      </c>
      <c r="O22" s="6">
        <f>_xll.BDP(A22,"CHG_PCT_1YR")</f>
        <v>22.55696</v>
      </c>
      <c r="P22" s="6">
        <f>_xll.BDP(A22,"INTERVAL_HIGH", "MARKET_DATA_OVERRIDE=PE_RATIO", "CALC_INTERVAL=5y", "BEST_FPERIOD_OVERRIDE=BF")</f>
        <v>29.759375700386876</v>
      </c>
      <c r="Q22" s="6">
        <f>_xll.BDP(A22,"INTERVAL_Low", "MARKET_DATA_OVERRIDE=PE_RATIO", "CALC_INTERVAL=5y", "BEST_FPERIOD_OVERRIDE=BF")</f>
        <v>20.197411354635438</v>
      </c>
      <c r="R22" s="6">
        <f>_xll.BDP(A22,"PE_RATIO")</f>
        <v>28.255007432473789</v>
      </c>
      <c r="S22" s="43">
        <f t="shared" si="2"/>
        <v>0.84267162964464448</v>
      </c>
      <c r="T22" s="6">
        <f>_xll.BDP(A22,"RR902")</f>
        <v>887279257550.052</v>
      </c>
      <c r="U22" s="5" t="s">
        <v>522</v>
      </c>
      <c r="V22" s="5" t="s">
        <v>791</v>
      </c>
      <c r="W22" s="5" t="str">
        <f>_xll.BDP(U22,"DS003")</f>
        <v>US</v>
      </c>
      <c r="X22" s="6">
        <f>_xll.BDP(U22,"PX_LAST")</f>
        <v>128.11000000000001</v>
      </c>
      <c r="Y22" s="6">
        <f>_xll.BDP(U22,"CHG_PCT_1D")</f>
        <v>0.28965089999999999</v>
      </c>
      <c r="Z22" s="6">
        <f>_xll.BDP(U22,"HIGH_52WEEK")</f>
        <v>130.91999999999999</v>
      </c>
      <c r="AA22" s="6">
        <f t="shared" si="4"/>
        <v>2.1697179764637133</v>
      </c>
      <c r="AB22" s="6">
        <f>_xll.BDP(U22,"LOW_52WEEK")</f>
        <v>87.7</v>
      </c>
      <c r="AC22" s="6">
        <f t="shared" si="5"/>
        <v>-37.896737049020508</v>
      </c>
      <c r="AD22" s="6">
        <f>_xll.BDP(U22,"CHG_PCT_5D")</f>
        <v>-0.55887600000000004</v>
      </c>
      <c r="AE22" s="6">
        <f>_xll.BDP(U22,"CHG_PCT_1M")</f>
        <v>5.2930070000000002</v>
      </c>
      <c r="AF22" s="6">
        <f>_xll.BDP(U22,"CHG_PCT_3M")</f>
        <v>11.95491</v>
      </c>
      <c r="AG22" s="6">
        <f>_xll.BDP(U22,"CHG_PCT_6M")</f>
        <v>18.25902</v>
      </c>
      <c r="AH22" s="6">
        <f>_xll.BDP(U22,"PR064")</f>
        <v>11.95491</v>
      </c>
      <c r="AI22" s="6">
        <f>_xll.BDP(U22,"CHG_PCT_1YR")</f>
        <v>20.608170000000001</v>
      </c>
      <c r="AJ22" s="6">
        <f>_xll.BDP(U22,"INTERVAL_HIGH", "MARKET_DATA_OVERRIDE=PE_RATIO", "CALC_INTERVAL=5y", "BEST_FPERIOD_OVERRIDE=BF")</f>
        <v>26.341144608288094</v>
      </c>
      <c r="AK22" s="6">
        <f>_xll.BDP(U22,"INTERVAL_Low", "MARKET_DATA_OVERRIDE=PE_RATIO", "CALC_INTERVAL=5y", "BEST_FPERIOD_OVERRIDE=BF")</f>
        <v>13.344375675128758</v>
      </c>
      <c r="AL22" s="6">
        <f>_xll.BDP(U22,"PE_RATIO")</f>
        <v>23.036830086583947</v>
      </c>
      <c r="AM22" s="43">
        <f t="shared" si="6"/>
        <v>0.74575876983750355</v>
      </c>
      <c r="AN22" s="9" t="s">
        <v>974</v>
      </c>
      <c r="AO22" s="9" t="s">
        <v>942</v>
      </c>
      <c r="AP22" s="10">
        <f>_xll.BDP(AN22,"PX_LAST")</f>
        <v>13712.56</v>
      </c>
      <c r="AQ22" s="10">
        <f>_xll.BDP(AN22,"CHG_PCT_1D")</f>
        <v>7.4658840000000004E-2</v>
      </c>
      <c r="AR22" s="10">
        <f>_xll.BDP(AN22,"HIGH_52WEEK")</f>
        <v>14179.36</v>
      </c>
      <c r="AS22" s="10">
        <f t="shared" si="7"/>
        <v>3.3475184932363429</v>
      </c>
      <c r="AT22" s="10">
        <f>_xll.BDP(AN22,"LOW_52WEEK")</f>
        <v>10192.290000000001</v>
      </c>
      <c r="AU22" s="10">
        <f t="shared" si="3"/>
        <v>-29.668064904733445</v>
      </c>
      <c r="AV22" s="10">
        <f>_xll.BDP(AN22,"CHG_PCT_5D")</f>
        <v>-0.68148600000000004</v>
      </c>
      <c r="AW22" s="10">
        <f>_xll.BDP(AN22,"CHG_PCT_1M")</f>
        <v>1.4745459999999999</v>
      </c>
      <c r="AX22" s="10">
        <f>_xll.BDP(AN22,"CHG_PCT_3M")</f>
        <v>0.71663169999999998</v>
      </c>
      <c r="AY22" s="10">
        <f>_xll.BDP(AN22,"CHG_PCT_6M")</f>
        <v>8.6295590000000004</v>
      </c>
      <c r="AZ22" s="10">
        <f>_xll.BDP(AN22,"PR064")</f>
        <v>0.71663169999999998</v>
      </c>
      <c r="BA22" s="10">
        <f>_xll.BDP(AN22,"CHG_PCT_1YR")</f>
        <v>16.852509999999999</v>
      </c>
    </row>
    <row r="23" spans="1:53" x14ac:dyDescent="0.25">
      <c r="A23" t="s">
        <v>460</v>
      </c>
      <c r="B23" s="5" t="s">
        <v>909</v>
      </c>
      <c r="C23" s="5" t="str">
        <f>_xll.BDP(A23,"DS003")</f>
        <v>EC</v>
      </c>
      <c r="D23" s="6">
        <f>_xll.BDP(A23,"PX_LAST")</f>
        <v>315.54000000000002</v>
      </c>
      <c r="E23" s="6">
        <f>_xll.BDP(A23,"CHG_PCT_1D")</f>
        <v>0.45525450000000001</v>
      </c>
      <c r="F23" s="6">
        <f>_xll.BDP(A23,"HIGH_52WEEK")</f>
        <v>367.37</v>
      </c>
      <c r="G23" s="6">
        <f t="shared" si="0"/>
        <v>15.208405774570281</v>
      </c>
      <c r="H23" s="6">
        <f>_xll.BDP(A23,"LOW_52WEEK")</f>
        <v>286.97000000000003</v>
      </c>
      <c r="I23" s="6">
        <f t="shared" si="1"/>
        <v>-9.4907776150012602</v>
      </c>
      <c r="J23" s="6">
        <f>_xll.BDP(A23,"CHG_PCT_5D")</f>
        <v>-1.455344</v>
      </c>
      <c r="K23" s="6">
        <f>_xll.BDP(A23,"CHG_PCT_1M")</f>
        <v>7.0861349999999996</v>
      </c>
      <c r="L23" s="6">
        <f>_xll.BDP(A23,"CHG_PCT_3M")</f>
        <v>-3.4662060000000001</v>
      </c>
      <c r="M23" s="6">
        <f>_xll.BDP(A23,"CHG_PCT_6M")</f>
        <v>-6.1284010000000002</v>
      </c>
      <c r="N23" s="6">
        <f>_xll.BDP(A23,"PR064")</f>
        <v>-3.4662060000000001</v>
      </c>
      <c r="O23" s="6">
        <f>_xll.BDP(A23,"CHG_PCT_1YR")</f>
        <v>-12.97129</v>
      </c>
      <c r="P23" s="6">
        <f>_xll.BDP(A23,"INTERVAL_HIGH", "MARKET_DATA_OVERRIDE=PE_RATIO", "CALC_INTERVAL=5y", "BEST_FPERIOD_OVERRIDE=BF")</f>
        <v>3115.0923954449272</v>
      </c>
      <c r="Q23" s="6">
        <f>_xll.BDP(A23,"INTERVAL_Low", "MARKET_DATA_OVERRIDE=PE_RATIO", "CALC_INTERVAL=5y", "BEST_FPERIOD_OVERRIDE=BF")</f>
        <v>11.637749913806138</v>
      </c>
      <c r="R23" s="6">
        <f>_xll.BDP(A23,"PE_RATIO")</f>
        <v>14.056072612607036</v>
      </c>
      <c r="S23" s="43">
        <f t="shared" si="2"/>
        <v>7.7923571471656846E-4</v>
      </c>
      <c r="T23" s="6">
        <f>_xll.BDP(A23,"RR902")</f>
        <v>640512252398.86206</v>
      </c>
      <c r="U23" s="5" t="s">
        <v>526</v>
      </c>
      <c r="V23" s="5" t="s">
        <v>792</v>
      </c>
      <c r="W23" s="5" t="str">
        <f>_xll.BDP(U23,"DS003")</f>
        <v>US</v>
      </c>
      <c r="X23" s="6">
        <f>_xll.BDP(U23,"PX_LAST")</f>
        <v>92.17</v>
      </c>
      <c r="Y23" s="6">
        <f>_xll.BDP(U23,"CHG_PCT_1D")</f>
        <v>1.4976320000000001</v>
      </c>
      <c r="Z23" s="6">
        <f>_xll.BDP(U23,"HIGH_52WEEK")</f>
        <v>92.79</v>
      </c>
      <c r="AA23" s="6">
        <f t="shared" si="4"/>
        <v>0.67041773595150955</v>
      </c>
      <c r="AB23" s="6">
        <f>_xll.BDP(U23,"LOW_52WEEK")</f>
        <v>66.53</v>
      </c>
      <c r="AC23" s="6">
        <f t="shared" si="5"/>
        <v>-32.598172425177665</v>
      </c>
      <c r="AD23" s="6">
        <f>_xll.BDP(U23,"CHG_PCT_5D")</f>
        <v>5.096921</v>
      </c>
      <c r="AE23" s="6">
        <f>_xll.BDP(U23,"CHG_PCT_1M")</f>
        <v>12.060790000000001</v>
      </c>
      <c r="AF23" s="6">
        <f>_xll.BDP(U23,"CHG_PCT_3M")</f>
        <v>11.65354</v>
      </c>
      <c r="AG23" s="6">
        <f>_xll.BDP(U23,"CHG_PCT_6M")</f>
        <v>10.5421</v>
      </c>
      <c r="AH23" s="6">
        <f>_xll.BDP(U23,"PR064")</f>
        <v>11.65354</v>
      </c>
      <c r="AI23" s="6">
        <f>_xll.BDP(U23,"CHG_PCT_1YR")</f>
        <v>10.119479999999999</v>
      </c>
      <c r="AJ23" s="6">
        <f>_xll.BDP(U23,"INTERVAL_HIGH", "MARKET_DATA_OVERRIDE=PE_RATIO", "CALC_INTERVAL=5y", "BEST_FPERIOD_OVERRIDE=BF")</f>
        <v>35.843147342971889</v>
      </c>
      <c r="AK23" s="6">
        <f>_xll.BDP(U23,"INTERVAL_Low", "MARKET_DATA_OVERRIDE=PE_RATIO", "CALC_INTERVAL=5y", "BEST_FPERIOD_OVERRIDE=BF")</f>
        <v>19.837877968244531</v>
      </c>
      <c r="AL23" s="6">
        <f>_xll.BDP(U23,"PE_RATIO")</f>
        <v>34.391790361546754</v>
      </c>
      <c r="AM23" s="43">
        <f t="shared" si="6"/>
        <v>0.90932005282479922</v>
      </c>
      <c r="AN23" s="9" t="s">
        <v>975</v>
      </c>
      <c r="AO23" s="9" t="s">
        <v>943</v>
      </c>
      <c r="AP23" s="10">
        <f>_xll.BDP(AN23,"PX_LAST")</f>
        <v>2929.087</v>
      </c>
      <c r="AQ23" s="10">
        <f>_xll.BDP(AN23,"CHG_PCT_1D")</f>
        <v>-0.89144299999999999</v>
      </c>
      <c r="AR23" s="10">
        <f>_xll.BDP(AN23,"HIGH_52WEEK")</f>
        <v>3288.453</v>
      </c>
      <c r="AS23" s="10">
        <f t="shared" si="7"/>
        <v>11.572647105186446</v>
      </c>
      <c r="AT23" s="10">
        <f>_xll.BDP(AN23,"LOW_52WEEK")</f>
        <v>2440.9059999999999</v>
      </c>
      <c r="AU23" s="10">
        <f t="shared" si="3"/>
        <v>-18.232148851329473</v>
      </c>
      <c r="AV23" s="10">
        <f>_xll.BDP(AN23,"CHG_PCT_5D")</f>
        <v>-2.34029</v>
      </c>
      <c r="AW23" s="10">
        <f>_xll.BDP(AN23,"CHG_PCT_1M")</f>
        <v>0.92667160000000004</v>
      </c>
      <c r="AX23" s="10">
        <f>_xll.BDP(AN23,"CHG_PCT_3M")</f>
        <v>-2.259252</v>
      </c>
      <c r="AY23" s="10">
        <f>_xll.BDP(AN23,"CHG_PCT_6M")</f>
        <v>-3.0976110000000001</v>
      </c>
      <c r="AZ23" s="10">
        <f>_xll.BDP(AN23,"PR064")</f>
        <v>-2.259252</v>
      </c>
      <c r="BA23" s="10">
        <f>_xll.BDP(AN23,"CHG_PCT_1YR")</f>
        <v>4.9184479999999997</v>
      </c>
    </row>
    <row r="24" spans="1:53" x14ac:dyDescent="0.25">
      <c r="A24" t="s">
        <v>463</v>
      </c>
      <c r="B24" s="5" t="s">
        <v>911</v>
      </c>
      <c r="C24" s="5" t="str">
        <f>_xll.BDP(A24,"DS003")</f>
        <v>EC</v>
      </c>
      <c r="D24" s="6">
        <f>_xll.BDP(A24,"PX_LAST")</f>
        <v>299.37</v>
      </c>
      <c r="E24" s="6">
        <f>_xll.BDP(A24,"CHG_PCT_1D")</f>
        <v>0.75387879999999996</v>
      </c>
      <c r="F24" s="6">
        <f>_xll.BDP(A24,"HIGH_52WEEK")</f>
        <v>311.10000000000002</v>
      </c>
      <c r="G24" s="6">
        <f t="shared" si="0"/>
        <v>3.8434137339260621</v>
      </c>
      <c r="H24" s="6">
        <f>_xll.BDP(A24,"LOW_52WEEK")</f>
        <v>250.81</v>
      </c>
      <c r="I24" s="6">
        <f t="shared" si="1"/>
        <v>-17.698458619215515</v>
      </c>
      <c r="J24" s="6">
        <f>_xll.BDP(A24,"CHG_PCT_5D")</f>
        <v>-0.1800552</v>
      </c>
      <c r="K24" s="6">
        <f>_xll.BDP(A24,"CHG_PCT_1M")</f>
        <v>6.9560570000000004</v>
      </c>
      <c r="L24" s="6">
        <f>_xll.BDP(A24,"CHG_PCT_3M")</f>
        <v>-0.1933713</v>
      </c>
      <c r="M24" s="6">
        <f>_xll.BDP(A24,"CHG_PCT_6M")</f>
        <v>2.7773949999999998</v>
      </c>
      <c r="N24" s="6">
        <f>_xll.BDP(A24,"PR064")</f>
        <v>-0.1933713</v>
      </c>
      <c r="O24" s="6">
        <f>_xll.BDP(A24,"CHG_PCT_1YR")</f>
        <v>1.7020010000000001</v>
      </c>
      <c r="P24" s="6">
        <f>_xll.BDP(A24,"INTERVAL_HIGH", "MARKET_DATA_OVERRIDE=PE_RATIO", "CALC_INTERVAL=5y", "BEST_FPERIOD_OVERRIDE=BF")</f>
        <v>14.73818767999342</v>
      </c>
      <c r="Q24" s="6">
        <f>_xll.BDP(A24,"INTERVAL_Low", "MARKET_DATA_OVERRIDE=PE_RATIO", "CALC_INTERVAL=5y", "BEST_FPERIOD_OVERRIDE=BF")</f>
        <v>9.8746989664675464</v>
      </c>
      <c r="R24" s="6">
        <f>_xll.BDP(A24,"PE_RATIO")</f>
        <v>13.607721824252053</v>
      </c>
      <c r="S24" s="43">
        <f t="shared" si="2"/>
        <v>0.76756071159424666</v>
      </c>
      <c r="T24" s="6">
        <f>_xll.BDP(A24,"RR902")</f>
        <v>584341083554.12097</v>
      </c>
      <c r="U24" s="5" t="s">
        <v>529</v>
      </c>
      <c r="V24" s="5" t="s">
        <v>793</v>
      </c>
      <c r="W24" s="5" t="str">
        <f>_xll.BDP(U24,"DS003")</f>
        <v>US</v>
      </c>
      <c r="X24" s="6">
        <f>_xll.BDP(U24,"PX_LAST")</f>
        <v>75.290000000000006</v>
      </c>
      <c r="Y24" s="6">
        <f>_xll.BDP(U24,"CHG_PCT_1D")</f>
        <v>1.328374E-2</v>
      </c>
      <c r="Z24" s="6">
        <f>_xll.BDP(U24,"HIGH_52WEEK")</f>
        <v>92.74</v>
      </c>
      <c r="AA24" s="6">
        <f t="shared" si="4"/>
        <v>20.845255510128379</v>
      </c>
      <c r="AB24" s="6">
        <f>_xll.BDP(U24,"LOW_52WEEK")</f>
        <v>64.67</v>
      </c>
      <c r="AC24" s="6">
        <f t="shared" si="5"/>
        <v>-15.204990840352952</v>
      </c>
      <c r="AD24" s="6">
        <f>_xll.BDP(U24,"CHG_PCT_5D")</f>
        <v>4.9923299999999999</v>
      </c>
      <c r="AE24" s="6">
        <f>_xll.BDP(U24,"CHG_PCT_1M")</f>
        <v>-3.1390750000000001</v>
      </c>
      <c r="AF24" s="6">
        <f>_xll.BDP(U24,"CHG_PCT_3M")</f>
        <v>-2.7009530000000002</v>
      </c>
      <c r="AG24" s="6">
        <f>_xll.BDP(U24,"CHG_PCT_6M")</f>
        <v>-15.012980000000001</v>
      </c>
      <c r="AH24" s="6">
        <f>_xll.BDP(U24,"PR064")</f>
        <v>-2.7009530000000002</v>
      </c>
      <c r="AI24" s="6">
        <f>_xll.BDP(U24,"CHG_PCT_1YR")</f>
        <v>-6.4720500000000003</v>
      </c>
      <c r="AJ24" s="6">
        <f>_xll.BDP(U24,"INTERVAL_HIGH", "MARKET_DATA_OVERRIDE=PE_RATIO", "CALC_INTERVAL=5y", "BEST_FPERIOD_OVERRIDE=BF")</f>
        <v>23.976970202551726</v>
      </c>
      <c r="AK24" s="6">
        <f>_xll.BDP(U24,"INTERVAL_Low", "MARKET_DATA_OVERRIDE=PE_RATIO", "CALC_INTERVAL=5y", "BEST_FPERIOD_OVERRIDE=BF")</f>
        <v>11.336444846240973</v>
      </c>
      <c r="AL24" s="6">
        <f>_xll.BDP(U24,"PE_RATIO")</f>
        <v>14.299891438493725</v>
      </c>
      <c r="AM24" s="43">
        <f t="shared" si="6"/>
        <v>0.23444014459203302</v>
      </c>
      <c r="AN24" s="9" t="s">
        <v>976</v>
      </c>
      <c r="AO24" s="9" t="s">
        <v>944</v>
      </c>
      <c r="AP24" s="10">
        <f>_xll.BDP(AN24,"PX_LAST")</f>
        <v>3841.1390000000001</v>
      </c>
      <c r="AQ24" s="10">
        <f>_xll.BDP(AN24,"CHG_PCT_1D")</f>
        <v>-0.77099260000000003</v>
      </c>
      <c r="AR24" s="10">
        <f>_xll.BDP(AN24,"HIGH_52WEEK")</f>
        <v>4126.0910000000003</v>
      </c>
      <c r="AS24" s="10">
        <f t="shared" si="7"/>
        <v>7.1561532463617548</v>
      </c>
      <c r="AT24" s="10">
        <f>_xll.BDP(AN24,"LOW_52WEEK")</f>
        <v>2935.83</v>
      </c>
      <c r="AU24" s="10">
        <f t="shared" si="3"/>
        <v>-26.877873003302817</v>
      </c>
      <c r="AV24" s="10">
        <f>_xll.BDP(AN24,"CHG_PCT_5D")</f>
        <v>-2.1211829999999998</v>
      </c>
      <c r="AW24" s="10">
        <f>_xll.BDP(AN24,"CHG_PCT_1M")</f>
        <v>0.63382799999999995</v>
      </c>
      <c r="AX24" s="10">
        <f>_xll.BDP(AN24,"CHG_PCT_3M")</f>
        <v>0.16485849999999999</v>
      </c>
      <c r="AY24" s="10">
        <f>_xll.BDP(AN24,"CHG_PCT_6M")</f>
        <v>2.611297</v>
      </c>
      <c r="AZ24" s="10">
        <f>_xll.BDP(AN24,"PR064")</f>
        <v>0.16485849999999999</v>
      </c>
      <c r="BA24" s="10">
        <f>_xll.BDP(AN24,"CHG_PCT_1YR")</f>
        <v>12.855510000000001</v>
      </c>
    </row>
    <row r="25" spans="1:53" x14ac:dyDescent="0.25">
      <c r="A25" t="s">
        <v>458</v>
      </c>
      <c r="B25" s="5" t="s">
        <v>904</v>
      </c>
      <c r="C25" s="5" t="str">
        <f>_xll.BDP(A25,"DS003")</f>
        <v>EC</v>
      </c>
      <c r="D25" s="6">
        <f>_xll.BDP(A25,"PX_LAST")</f>
        <v>342.75</v>
      </c>
      <c r="E25" s="6">
        <f>_xll.BDP(A25,"CHG_PCT_1D")</f>
        <v>1.579634</v>
      </c>
      <c r="F25" s="6">
        <f>_xll.BDP(A25,"HIGH_52WEEK")</f>
        <v>343</v>
      </c>
      <c r="G25" s="6">
        <f t="shared" si="0"/>
        <v>7.2912872351620653E-2</v>
      </c>
      <c r="H25" s="6">
        <f>_xll.BDP(A25,"LOW_52WEEK")</f>
        <v>269.7</v>
      </c>
      <c r="I25" s="6">
        <f t="shared" si="1"/>
        <v>-23.969108829673946</v>
      </c>
      <c r="J25" s="6">
        <f>_xll.BDP(A25,"CHG_PCT_5D")</f>
        <v>1.742459</v>
      </c>
      <c r="K25" s="6">
        <f>_xll.BDP(A25,"CHG_PCT_1M")</f>
        <v>4.7012510000000001</v>
      </c>
      <c r="L25" s="6">
        <f>_xll.BDP(A25,"CHG_PCT_3M")</f>
        <v>7.5226689999999996</v>
      </c>
      <c r="M25" s="6">
        <f>_xll.BDP(A25,"CHG_PCT_6M")</f>
        <v>7.0224159999999998</v>
      </c>
      <c r="N25" s="6">
        <f>_xll.BDP(A25,"PR064")</f>
        <v>7.5226689999999996</v>
      </c>
      <c r="O25" s="6">
        <f>_xll.BDP(A25,"CHG_PCT_1YR")</f>
        <v>19.951709999999999</v>
      </c>
      <c r="P25" s="6">
        <f>_xll.BDP(A25,"INTERVAL_HIGH", "MARKET_DATA_OVERRIDE=PE_RATIO", "CALC_INTERVAL=5y", "BEST_FPERIOD_OVERRIDE=BF")</f>
        <v>77.096862364401844</v>
      </c>
      <c r="Q25" s="6">
        <f>_xll.BDP(A25,"INTERVAL_Low", "MARKET_DATA_OVERRIDE=PE_RATIO", "CALC_INTERVAL=5y", "BEST_FPERIOD_OVERRIDE=BF")</f>
        <v>11.850181806744468</v>
      </c>
      <c r="R25" s="6">
        <f>_xll.BDP(A25,"PE_RATIO")</f>
        <v>20.02380959593641</v>
      </c>
      <c r="S25" s="43">
        <f t="shared" si="2"/>
        <v>0.12527269922902895</v>
      </c>
      <c r="T25" s="6">
        <f>_xll.BDP(A25,"RR902")</f>
        <v>519083049434.18103</v>
      </c>
      <c r="U25" s="5" t="s">
        <v>530</v>
      </c>
      <c r="V25" s="5" t="s">
        <v>794</v>
      </c>
      <c r="W25" s="5" t="str">
        <f>_xll.BDP(U25,"DS003")</f>
        <v>US</v>
      </c>
      <c r="X25" s="6">
        <f>_xll.BDP(U25,"PX_LAST")</f>
        <v>137.53</v>
      </c>
      <c r="Y25" s="6">
        <f>_xll.BDP(U25,"CHG_PCT_1D")</f>
        <v>0.51158369999999997</v>
      </c>
      <c r="Z25" s="6">
        <f>_xll.BDP(U25,"HIGH_52WEEK")</f>
        <v>144.4</v>
      </c>
      <c r="AA25" s="6">
        <f t="shared" si="4"/>
        <v>4.8745151332109451</v>
      </c>
      <c r="AB25" s="6">
        <f>_xll.BDP(U25,"LOW_52WEEK")</f>
        <v>100.48</v>
      </c>
      <c r="AC25" s="6">
        <f t="shared" si="5"/>
        <v>-31.388337240672787</v>
      </c>
      <c r="AD25" s="6">
        <f>_xll.BDP(U25,"CHG_PCT_5D")</f>
        <v>0</v>
      </c>
      <c r="AE25" s="6">
        <f>_xll.BDP(U25,"CHG_PCT_1M")</f>
        <v>9.5943919999999991</v>
      </c>
      <c r="AF25" s="6">
        <f>_xll.BDP(U25,"CHG_PCT_3M")</f>
        <v>7.6471489999999998</v>
      </c>
      <c r="AG25" s="6">
        <f>_xll.BDP(U25,"CHG_PCT_6M")</f>
        <v>9.0296500000000002</v>
      </c>
      <c r="AH25" s="6">
        <f>_xll.BDP(U25,"PR064")</f>
        <v>7.6471489999999998</v>
      </c>
      <c r="AI25" s="6">
        <f>_xll.BDP(U25,"CHG_PCT_1YR")</f>
        <v>-1.4545699999999999</v>
      </c>
      <c r="AJ25" s="6">
        <f>_xll.BDP(U25,"INTERVAL_HIGH", "MARKET_DATA_OVERRIDE=PE_RATIO", "CALC_INTERVAL=5y", "BEST_FPERIOD_OVERRIDE=BF")</f>
        <v>19.56581294515308</v>
      </c>
      <c r="AK25" s="6">
        <f>_xll.BDP(U25,"INTERVAL_Low", "MARKET_DATA_OVERRIDE=PE_RATIO", "CALC_INTERVAL=5y", "BEST_FPERIOD_OVERRIDE=BF")</f>
        <v>11.800876674207302</v>
      </c>
      <c r="AL25" s="6">
        <f>_xll.BDP(U25,"PE_RATIO")</f>
        <v>17.140552378614263</v>
      </c>
      <c r="AM25" s="43">
        <f t="shared" si="6"/>
        <v>0.68766510349692567</v>
      </c>
      <c r="AN25" s="9" t="s">
        <v>977</v>
      </c>
      <c r="AO25" s="9" t="s">
        <v>945</v>
      </c>
      <c r="AP25" s="10">
        <f>_xll.BDP(AN25,"PX_LAST")</f>
        <v>1597.7180000000001</v>
      </c>
      <c r="AQ25" s="10">
        <f>_xll.BDP(AN25,"CHG_PCT_1D")</f>
        <v>-2.505109</v>
      </c>
      <c r="AR25" s="10">
        <f>_xll.BDP(AN25,"HIGH_52WEEK")</f>
        <v>1799.096</v>
      </c>
      <c r="AS25" s="10">
        <f t="shared" si="7"/>
        <v>11.870795534099459</v>
      </c>
      <c r="AT25" s="10">
        <f>_xll.BDP(AN25,"LOW_52WEEK")</f>
        <v>1212.229</v>
      </c>
      <c r="AU25" s="10">
        <f t="shared" si="3"/>
        <v>-27.611554748921868</v>
      </c>
      <c r="AV25" s="10">
        <f>_xll.BDP(AN25,"CHG_PCT_5D")</f>
        <v>-4.478612</v>
      </c>
      <c r="AW25" s="10">
        <f>_xll.BDP(AN25,"CHG_PCT_1M")</f>
        <v>0.1190015</v>
      </c>
      <c r="AX25" s="10">
        <f>_xll.BDP(AN25,"CHG_PCT_3M")</f>
        <v>1.277989</v>
      </c>
      <c r="AY25" s="10">
        <f>_xll.BDP(AN25,"CHG_PCT_6M")</f>
        <v>-3.4430580000000002</v>
      </c>
      <c r="AZ25" s="10">
        <f>_xll.BDP(AN25,"PR064")</f>
        <v>1.277989</v>
      </c>
      <c r="BA25" s="10">
        <f>_xll.BDP(AN25,"CHG_PCT_1YR")</f>
        <v>11.75924</v>
      </c>
    </row>
    <row r="26" spans="1:53" x14ac:dyDescent="0.25">
      <c r="A26" t="s">
        <v>464</v>
      </c>
      <c r="B26" s="5" t="s">
        <v>906</v>
      </c>
      <c r="C26" s="5" t="str">
        <f>_xll.BDP(A26,"DS003")</f>
        <v>EC</v>
      </c>
      <c r="D26" s="6">
        <f>_xll.BDP(A26,"PX_LAST")</f>
        <v>480.83</v>
      </c>
      <c r="E26" s="6">
        <f>_xll.BDP(A26,"CHG_PCT_1D")</f>
        <v>0.75013099999999999</v>
      </c>
      <c r="F26" s="6">
        <f>_xll.BDP(A26,"HIGH_52WEEK")</f>
        <v>505.27</v>
      </c>
      <c r="G26" s="6">
        <f t="shared" si="0"/>
        <v>4.9579162583362795</v>
      </c>
      <c r="H26" s="6">
        <f>_xll.BDP(A26,"LOW_52WEEK")</f>
        <v>375</v>
      </c>
      <c r="I26" s="6">
        <f t="shared" si="1"/>
        <v>-24.858775131069265</v>
      </c>
      <c r="J26" s="6">
        <f>_xll.BDP(A26,"CHG_PCT_5D")</f>
        <v>-1.6948799999999999</v>
      </c>
      <c r="K26" s="6">
        <f>_xll.BDP(A26,"CHG_PCT_1M")</f>
        <v>3.2267070000000002</v>
      </c>
      <c r="L26" s="6">
        <f>_xll.BDP(A26,"CHG_PCT_3M")</f>
        <v>-0.1640315</v>
      </c>
      <c r="M26" s="6">
        <f>_xll.BDP(A26,"CHG_PCT_6M")</f>
        <v>7.2156409999999997</v>
      </c>
      <c r="N26" s="6">
        <f>_xll.BDP(A26,"PR064")</f>
        <v>-0.1640315</v>
      </c>
      <c r="O26" s="6">
        <f>_xll.BDP(A26,"CHG_PCT_1YR")</f>
        <v>2.1998760000000002</v>
      </c>
      <c r="P26" s="6">
        <f>_xll.BDP(A26,"INTERVAL_HIGH", "MARKET_DATA_OVERRIDE=PE_RATIO", "CALC_INTERVAL=5y", "BEST_FPERIOD_OVERRIDE=BF")</f>
        <v>53.792115282320026</v>
      </c>
      <c r="Q26" s="6">
        <f>_xll.BDP(A26,"INTERVAL_Low", "MARKET_DATA_OVERRIDE=PE_RATIO", "CALC_INTERVAL=5y", "BEST_FPERIOD_OVERRIDE=BF")</f>
        <v>21.117622264253495</v>
      </c>
      <c r="R26" s="6">
        <f>_xll.BDP(A26,"PE_RATIO")</f>
        <v>37.682466474156108</v>
      </c>
      <c r="S26" s="43">
        <f t="shared" si="2"/>
        <v>0.50696560772170218</v>
      </c>
      <c r="T26" s="6">
        <f>_xll.BDP(A26,"RR902")</f>
        <v>504263377838.05298</v>
      </c>
      <c r="U26" s="5" t="s">
        <v>531</v>
      </c>
      <c r="V26" s="5" t="s">
        <v>795</v>
      </c>
      <c r="W26" s="5" t="str">
        <f>_xll.BDP(U26,"DS003")</f>
        <v>US</v>
      </c>
      <c r="X26" s="6">
        <f>_xll.BDP(U26,"PX_LAST")</f>
        <v>223</v>
      </c>
      <c r="Y26" s="6">
        <f>_xll.BDP(U26,"CHG_PCT_1D")</f>
        <v>0.86390160000000005</v>
      </c>
      <c r="Z26" s="6">
        <f>_xll.BDP(U26,"HIGH_52WEEK")</f>
        <v>242</v>
      </c>
      <c r="AA26" s="6">
        <f t="shared" si="4"/>
        <v>8.1765954696567675</v>
      </c>
      <c r="AB26" s="6">
        <f>_xll.BDP(U26,"LOW_52WEEK")</f>
        <v>140.39500000000001</v>
      </c>
      <c r="AC26" s="6">
        <f t="shared" si="5"/>
        <v>-46.271189303816179</v>
      </c>
      <c r="AD26" s="6">
        <f>_xll.BDP(U26,"CHG_PCT_5D")</f>
        <v>-1.7923990000000001</v>
      </c>
      <c r="AE26" s="6">
        <f>_xll.BDP(U26,"CHG_PCT_1M")</f>
        <v>-3.072981</v>
      </c>
      <c r="AF26" s="6">
        <f>_xll.BDP(U26,"CHG_PCT_3M")</f>
        <v>8.3576270000000008</v>
      </c>
      <c r="AG26" s="6">
        <f>_xll.BDP(U26,"CHG_PCT_6M")</f>
        <v>14.329660000000001</v>
      </c>
      <c r="AH26" s="6">
        <f>_xll.BDP(U26,"PR064")</f>
        <v>8.3576270000000008</v>
      </c>
      <c r="AI26" s="6">
        <f>_xll.BDP(U26,"CHG_PCT_1YR")</f>
        <v>54.914900000000003</v>
      </c>
      <c r="AJ26" s="6">
        <f>_xll.BDP(U26,"INTERVAL_HIGH", "MARKET_DATA_OVERRIDE=PE_RATIO", "CALC_INTERVAL=5y", "BEST_FPERIOD_OVERRIDE=BF")</f>
        <v>71.079452872421641</v>
      </c>
      <c r="AK26" s="6">
        <f>_xll.BDP(U26,"INTERVAL_Low", "MARKET_DATA_OVERRIDE=PE_RATIO", "CALC_INTERVAL=5y", "BEST_FPERIOD_OVERRIDE=BF")</f>
        <v>42.422051084682401</v>
      </c>
      <c r="AL26" s="6">
        <f>_xll.BDP(U26,"PE_RATIO")</f>
        <v>66.034042769923772</v>
      </c>
      <c r="AM26" s="43">
        <f t="shared" si="6"/>
        <v>0.82394042070288132</v>
      </c>
      <c r="AN26" s="9" t="s">
        <v>978</v>
      </c>
      <c r="AO26" s="9" t="s">
        <v>946</v>
      </c>
      <c r="AP26" s="10">
        <f>_xll.BDP(AN26,"PX_LAST")</f>
        <v>38989.74</v>
      </c>
      <c r="AQ26" s="10">
        <f>_xll.BDP(AN26,"CHG_PCT_1D")</f>
        <v>1.0266489999999999</v>
      </c>
      <c r="AR26" s="10">
        <f>_xll.BDP(AN26,"HIGH_52WEEK")</f>
        <v>40312.0703125</v>
      </c>
      <c r="AS26" s="10">
        <f t="shared" si="7"/>
        <v>3.3352400988690549</v>
      </c>
      <c r="AT26" s="10">
        <f>_xll.BDP(AN26,"LOW_52WEEK")</f>
        <v>33291.578125</v>
      </c>
      <c r="AU26" s="10">
        <f t="shared" si="3"/>
        <v>-15.799407875544114</v>
      </c>
      <c r="AV26" s="10">
        <f>_xll.BDP(AN26,"CHG_PCT_5D")</f>
        <v>8.0243640000000003</v>
      </c>
      <c r="AW26" s="10">
        <f>_xll.BDP(AN26,"CHG_PCT_1M")</f>
        <v>3.5824210000000001</v>
      </c>
      <c r="AX26" s="10">
        <f>_xll.BDP(AN26,"CHG_PCT_3M")</f>
        <v>-1.5072639999999999</v>
      </c>
      <c r="AY26" s="10">
        <f>_xll.BDP(AN26,"CHG_PCT_6M")</f>
        <v>2.247036</v>
      </c>
      <c r="AZ26" s="10">
        <f>_xll.BDP(AN26,"PR064")</f>
        <v>-1.5072639999999999</v>
      </c>
      <c r="BA26" s="10">
        <f>_xll.BDP(AN26,"CHG_PCT_1YR")</f>
        <v>7.3382709999999998</v>
      </c>
    </row>
    <row r="27" spans="1:53" x14ac:dyDescent="0.25">
      <c r="A27" t="s">
        <v>459</v>
      </c>
      <c r="B27" s="5" t="s">
        <v>903</v>
      </c>
      <c r="C27" s="5" t="str">
        <f>_xll.BDP(A27,"DS003")</f>
        <v>EC</v>
      </c>
      <c r="D27" s="6">
        <f>_xll.BDP(A27,"PX_LAST")</f>
        <v>945.98</v>
      </c>
      <c r="E27" s="6">
        <f>_xll.BDP(A27,"CHG_PCT_1D")</f>
        <v>0.37455569999999999</v>
      </c>
      <c r="F27" s="6">
        <f>_xll.BDP(A27,"HIGH_52WEEK")</f>
        <v>967.64</v>
      </c>
      <c r="G27" s="6">
        <f t="shared" si="0"/>
        <v>2.2638690098525744</v>
      </c>
      <c r="H27" s="6">
        <f>_xll.BDP(A27,"LOW_52WEEK")</f>
        <v>775.57</v>
      </c>
      <c r="I27" s="6">
        <f t="shared" si="1"/>
        <v>-19.862318429074573</v>
      </c>
      <c r="J27" s="6">
        <f>_xll.BDP(A27,"CHG_PCT_5D")</f>
        <v>-1.371035</v>
      </c>
      <c r="K27" s="6">
        <f>_xll.BDP(A27,"CHG_PCT_1M")</f>
        <v>5.2949109999999999</v>
      </c>
      <c r="L27" s="6">
        <f>_xll.BDP(A27,"CHG_PCT_3M")</f>
        <v>0.63509649999999995</v>
      </c>
      <c r="M27" s="6">
        <f>_xll.BDP(A27,"CHG_PCT_6M")</f>
        <v>6.4297969999999998</v>
      </c>
      <c r="N27" s="6">
        <f>_xll.BDP(A27,"PR064")</f>
        <v>0.63509649999999995</v>
      </c>
      <c r="O27" s="6">
        <f>_xll.BDP(A27,"CHG_PCT_1YR")</f>
        <v>-0.9507274</v>
      </c>
      <c r="P27" s="6">
        <f>_xll.BDP(A27,"INTERVAL_HIGH", "MARKET_DATA_OVERRIDE=PE_RATIO", "CALC_INTERVAL=5y", "BEST_FPERIOD_OVERRIDE=BF")</f>
        <v>26.930972065962727</v>
      </c>
      <c r="Q27" s="6">
        <f>_xll.BDP(A27,"INTERVAL_Low", "MARKET_DATA_OVERRIDE=PE_RATIO", "CALC_INTERVAL=5y", "BEST_FPERIOD_OVERRIDE=BF")</f>
        <v>15.369697176746328</v>
      </c>
      <c r="R27" s="6">
        <f>_xll.BDP(A27,"PE_RATIO")</f>
        <v>20.361374377780894</v>
      </c>
      <c r="S27" s="43">
        <f t="shared" si="2"/>
        <v>0.43175836997790579</v>
      </c>
      <c r="T27" s="6">
        <f>_xll.BDP(A27,"RR902")</f>
        <v>389856311029.33698</v>
      </c>
      <c r="U27" s="5" t="s">
        <v>536</v>
      </c>
      <c r="V27" s="5" t="s">
        <v>796</v>
      </c>
      <c r="W27" s="5" t="str">
        <f>_xll.BDP(U27,"DS003")</f>
        <v>US</v>
      </c>
      <c r="X27" s="6">
        <f>_xll.BDP(U27,"PX_LAST")</f>
        <v>163.83000000000001</v>
      </c>
      <c r="Y27" s="6">
        <f>_xll.BDP(U27,"CHG_PCT_1D")</f>
        <v>-0.1036585</v>
      </c>
      <c r="Z27" s="6">
        <f>_xll.BDP(U27,"HIGH_52WEEK")</f>
        <v>219.75</v>
      </c>
      <c r="AA27" s="6">
        <f t="shared" si="4"/>
        <v>29.366123173311426</v>
      </c>
      <c r="AB27" s="6">
        <f>_xll.BDP(U27,"LOW_52WEEK")</f>
        <v>154</v>
      </c>
      <c r="AC27" s="6">
        <f t="shared" si="5"/>
        <v>-6.187670241854299</v>
      </c>
      <c r="AD27" s="6">
        <f>_xll.BDP(U27,"CHG_PCT_5D")</f>
        <v>-1.9393069999999999</v>
      </c>
      <c r="AE27" s="6">
        <f>_xll.BDP(U27,"CHG_PCT_1M")</f>
        <v>4.9385120000000002</v>
      </c>
      <c r="AF27" s="6">
        <f>_xll.BDP(U27,"CHG_PCT_3M")</f>
        <v>-4.683503</v>
      </c>
      <c r="AG27" s="6">
        <f>_xll.BDP(U27,"CHG_PCT_6M")</f>
        <v>-20.946729999999999</v>
      </c>
      <c r="AH27" s="6">
        <f>_xll.BDP(U27,"PR064")</f>
        <v>-4.683503</v>
      </c>
      <c r="AI27" s="6">
        <f>_xll.BDP(U27,"CHG_PCT_1YR")</f>
        <v>-22.3812</v>
      </c>
      <c r="AJ27" s="6">
        <f>_xll.BDP(U27,"INTERVAL_HIGH", "MARKET_DATA_OVERRIDE=PE_RATIO", "CALC_INTERVAL=5y", "BEST_FPERIOD_OVERRIDE=BF")</f>
        <v>28.957854969317175</v>
      </c>
      <c r="AK27" s="6">
        <f>_xll.BDP(U27,"INTERVAL_Low", "MARKET_DATA_OVERRIDE=PE_RATIO", "CALC_INTERVAL=5y", "BEST_FPERIOD_OVERRIDE=BF")</f>
        <v>15.959108947149133</v>
      </c>
      <c r="AL27" s="6">
        <f>_xll.BDP(U27,"PE_RATIO")</f>
        <v>17.232533043595236</v>
      </c>
      <c r="AM27" s="43">
        <f t="shared" si="6"/>
        <v>9.7965149428599296E-2</v>
      </c>
      <c r="AN27" s="9" t="s">
        <v>979</v>
      </c>
      <c r="AO27" s="9" t="s">
        <v>947</v>
      </c>
      <c r="AP27" s="10">
        <f>_xll.BDP(AN27,"PX_LAST")</f>
        <v>1636.75</v>
      </c>
      <c r="AQ27" s="10">
        <f>_xll.BDP(AN27,"CHG_PCT_1D")</f>
        <v>0.51400780000000001</v>
      </c>
      <c r="AR27" s="10">
        <f>_xll.BDP(AN27,"HIGH_52WEEK")</f>
        <v>1765.06</v>
      </c>
      <c r="AS27" s="10">
        <f t="shared" si="7"/>
        <v>7.5472115802679793</v>
      </c>
      <c r="AT27" s="10">
        <f>_xll.BDP(AN27,"LOW_52WEEK")</f>
        <v>1546.62</v>
      </c>
      <c r="AU27" s="10">
        <f t="shared" si="3"/>
        <v>-5.6640663637999102</v>
      </c>
      <c r="AV27" s="10">
        <f>_xll.BDP(AN27,"CHG_PCT_5D")</f>
        <v>-0.2383208</v>
      </c>
      <c r="AW27" s="10">
        <f>_xll.BDP(AN27,"CHG_PCT_1M")</f>
        <v>1.317266</v>
      </c>
      <c r="AX27" s="10">
        <f>_xll.BDP(AN27,"CHG_PCT_3M")</f>
        <v>-5.4797770000000003</v>
      </c>
      <c r="AY27" s="10">
        <f>_xll.BDP(AN27,"CHG_PCT_6M")</f>
        <v>0.45108480000000001</v>
      </c>
      <c r="AZ27" s="10">
        <f>_xll.BDP(AN27,"PR064")</f>
        <v>-5.4797770000000003</v>
      </c>
      <c r="BA27" s="10">
        <f>_xll.BDP(AN27,"CHG_PCT_1YR")</f>
        <v>-6.6288229999999997</v>
      </c>
    </row>
    <row r="28" spans="1:53" x14ac:dyDescent="0.25">
      <c r="A28" t="s">
        <v>470</v>
      </c>
      <c r="B28" s="5" t="s">
        <v>918</v>
      </c>
      <c r="C28" s="5" t="str">
        <f>_xll.BDP(A28,"DS003")</f>
        <v>EC</v>
      </c>
      <c r="D28" s="6">
        <f>_xll.BDP(A28,"PX_LAST")</f>
        <v>322.35000000000002</v>
      </c>
      <c r="E28" s="6">
        <f>_xll.BDP(A28,"CHG_PCT_1D")</f>
        <v>0.88254619999999995</v>
      </c>
      <c r="F28" s="6">
        <f>_xll.BDP(A28,"HIGH_52WEEK")</f>
        <v>335.42</v>
      </c>
      <c r="G28" s="6">
        <f t="shared" si="0"/>
        <v>3.9745566146852624</v>
      </c>
      <c r="H28" s="6">
        <f>_xll.BDP(A28,"LOW_52WEEK")</f>
        <v>262.88</v>
      </c>
      <c r="I28" s="6">
        <f t="shared" si="1"/>
        <v>-20.394025746767134</v>
      </c>
      <c r="J28" s="6">
        <f>_xll.BDP(A28,"CHG_PCT_5D")</f>
        <v>0.76271339999999999</v>
      </c>
      <c r="K28" s="6">
        <f>_xll.BDP(A28,"CHG_PCT_1M")</f>
        <v>5.9769180000000004</v>
      </c>
      <c r="L28" s="6">
        <f>_xll.BDP(A28,"CHG_PCT_3M")</f>
        <v>4.5301260000000001</v>
      </c>
      <c r="M28" s="6">
        <f>_xll.BDP(A28,"CHG_PCT_6M")</f>
        <v>0.17402580000000001</v>
      </c>
      <c r="N28" s="6">
        <f>_xll.BDP(A28,"PR064")</f>
        <v>4.5301260000000001</v>
      </c>
      <c r="O28" s="6">
        <f>_xll.BDP(A28,"CHG_PCT_1YR")</f>
        <v>3.3703210000000001</v>
      </c>
      <c r="P28" s="6">
        <f>_xll.BDP(A28,"INTERVAL_HIGH", "MARKET_DATA_OVERRIDE=PE_RATIO", "CALC_INTERVAL=5y", "BEST_FPERIOD_OVERRIDE=BF")</f>
        <v>4430.2695331557579</v>
      </c>
      <c r="Q28" s="6">
        <f>_xll.BDP(A28,"INTERVAL_Low", "MARKET_DATA_OVERRIDE=PE_RATIO", "CALC_INTERVAL=5y", "BEST_FPERIOD_OVERRIDE=BF")</f>
        <v>20.148051685729833</v>
      </c>
      <c r="R28" s="6">
        <f>_xll.BDP(A28,"PE_RATIO")</f>
        <v>26.744238923952896</v>
      </c>
      <c r="S28" s="43">
        <f t="shared" si="2"/>
        <v>1.4956928660442145E-3</v>
      </c>
      <c r="T28" s="6">
        <f>_xll.BDP(A28,"RR902")</f>
        <v>370490933446.76794</v>
      </c>
      <c r="U28" s="5" t="s">
        <v>539</v>
      </c>
      <c r="V28" s="5" t="s">
        <v>797</v>
      </c>
      <c r="W28" s="5" t="str">
        <f>_xll.BDP(U28,"DS003")</f>
        <v>US</v>
      </c>
      <c r="X28" s="6">
        <f>_xll.BDP(U28,"PX_LAST")</f>
        <v>49.97</v>
      </c>
      <c r="Y28" s="6">
        <f>_xll.BDP(U28,"CHG_PCT_1D")</f>
        <v>0.26083469999999997</v>
      </c>
      <c r="Z28" s="6">
        <f>_xll.BDP(U28,"HIGH_52WEEK")</f>
        <v>63.69</v>
      </c>
      <c r="AA28" s="6">
        <f t="shared" si="4"/>
        <v>24.260473902716072</v>
      </c>
      <c r="AB28" s="6">
        <f>_xll.BDP(U28,"LOW_52WEEK")</f>
        <v>42.48</v>
      </c>
      <c r="AC28" s="6">
        <f t="shared" si="5"/>
        <v>-16.238944842243036</v>
      </c>
      <c r="AD28" s="6">
        <f>_xll.BDP(U28,"CHG_PCT_5D")</f>
        <v>-0.19972039999999999</v>
      </c>
      <c r="AE28" s="6">
        <f>_xll.BDP(U28,"CHG_PCT_1M")</f>
        <v>3.866139</v>
      </c>
      <c r="AF28" s="6">
        <f>_xll.BDP(U28,"CHG_PCT_3M")</f>
        <v>11.24221</v>
      </c>
      <c r="AG28" s="6">
        <f>_xll.BDP(U28,"CHG_PCT_6M")</f>
        <v>3.3719480000000002</v>
      </c>
      <c r="AH28" s="6">
        <f>_xll.BDP(U28,"PR064")</f>
        <v>11.24221</v>
      </c>
      <c r="AI28" s="6">
        <f>_xll.BDP(U28,"CHG_PCT_1YR")</f>
        <v>-18.906199999999998</v>
      </c>
      <c r="AJ28" s="6">
        <f>_xll.BDP(U28,"INTERVAL_HIGH", "MARKET_DATA_OVERRIDE=PE_RATIO", "CALC_INTERVAL=5y", "BEST_FPERIOD_OVERRIDE=BF")</f>
        <v>43.889309220016536</v>
      </c>
      <c r="AK28" s="6">
        <f>_xll.BDP(U28,"INTERVAL_Low", "MARKET_DATA_OVERRIDE=PE_RATIO", "CALC_INTERVAL=5y", "BEST_FPERIOD_OVERRIDE=BF")</f>
        <v>9.9504964546267143</v>
      </c>
      <c r="AL28" s="6">
        <f>_xll.BDP(U28,"PE_RATIO")</f>
        <v>11.625586158155226</v>
      </c>
      <c r="AM28" s="43">
        <f t="shared" si="6"/>
        <v>4.9356166790746954E-2</v>
      </c>
      <c r="AN28" s="9" t="s">
        <v>980</v>
      </c>
      <c r="AO28" s="9" t="s">
        <v>948</v>
      </c>
      <c r="AP28" s="10">
        <f>_xll.BDP(AN28,"PX_LAST")</f>
        <v>990.75</v>
      </c>
      <c r="AQ28" s="10">
        <f>_xll.BDP(AN28,"CHG_PCT_1D")</f>
        <v>0.34943790000000002</v>
      </c>
      <c r="AR28" s="10">
        <f>_xll.BDP(AN28,"HIGH_52WEEK")</f>
        <v>1024.68</v>
      </c>
      <c r="AS28" s="10">
        <f t="shared" si="7"/>
        <v>3.3673415636970785</v>
      </c>
      <c r="AT28" s="10">
        <f>_xll.BDP(AN28,"LOW_52WEEK")</f>
        <v>861.85</v>
      </c>
      <c r="AU28" s="10">
        <f t="shared" si="3"/>
        <v>-13.938099047014404</v>
      </c>
      <c r="AV28" s="10">
        <f>_xll.BDP(AN28,"CHG_PCT_5D")</f>
        <v>-0.63684439999999998</v>
      </c>
      <c r="AW28" s="10">
        <f>_xll.BDP(AN28,"CHG_PCT_1M")</f>
        <v>1.429173</v>
      </c>
      <c r="AX28" s="10">
        <f>_xll.BDP(AN28,"CHG_PCT_3M")</f>
        <v>5.051374</v>
      </c>
      <c r="AY28" s="10">
        <f>_xll.BDP(AN28,"CHG_PCT_6M")</f>
        <v>1.520635</v>
      </c>
      <c r="AZ28" s="10">
        <f>_xll.BDP(AN28,"PR064")</f>
        <v>5.051374</v>
      </c>
      <c r="BA28" s="10">
        <f>_xll.BDP(AN28,"CHG_PCT_1YR")</f>
        <v>-2.424731</v>
      </c>
    </row>
    <row r="29" spans="1:53" x14ac:dyDescent="0.25">
      <c r="A29" t="s">
        <v>471</v>
      </c>
      <c r="B29" s="5" t="s">
        <v>912</v>
      </c>
      <c r="C29" s="5" t="str">
        <f>_xll.BDP(A29,"DS003")</f>
        <v>EC</v>
      </c>
      <c r="D29" s="6">
        <f>_xll.BDP(A29,"PX_LAST")</f>
        <v>253.56</v>
      </c>
      <c r="E29" s="6">
        <f>_xll.BDP(A29,"CHG_PCT_1D")</f>
        <v>0.76699919999999999</v>
      </c>
      <c r="F29" s="6">
        <f>_xll.BDP(A29,"HIGH_52WEEK")</f>
        <v>263.44</v>
      </c>
      <c r="G29" s="6">
        <f t="shared" si="0"/>
        <v>3.8225156652143202</v>
      </c>
      <c r="H29" s="6">
        <f>_xll.BDP(A29,"LOW_52WEEK")</f>
        <v>229.69</v>
      </c>
      <c r="I29" s="6">
        <f t="shared" si="1"/>
        <v>-9.886990771430245</v>
      </c>
      <c r="J29" s="6">
        <f>_xll.BDP(A29,"CHG_PCT_5D")</f>
        <v>1.4321159999999999</v>
      </c>
      <c r="K29" s="6">
        <f>_xll.BDP(A29,"CHG_PCT_1M")</f>
        <v>6.6363859999999999</v>
      </c>
      <c r="L29" s="6">
        <f>_xll.BDP(A29,"CHG_PCT_3M")</f>
        <v>5.5972020000000002</v>
      </c>
      <c r="M29" s="6">
        <f>_xll.BDP(A29,"CHG_PCT_6M")</f>
        <v>0.48745519999999998</v>
      </c>
      <c r="N29" s="6">
        <f>_xll.BDP(A29,"PR064")</f>
        <v>5.5972020000000002</v>
      </c>
      <c r="O29" s="6">
        <f>_xll.BDP(A29,"CHG_PCT_1YR")</f>
        <v>3.6334650000000002</v>
      </c>
      <c r="P29" s="6">
        <f>_xll.BDP(A29,"INTERVAL_HIGH", "MARKET_DATA_OVERRIDE=PE_RATIO", "CALC_INTERVAL=5y", "BEST_FPERIOD_OVERRIDE=BF")</f>
        <v>60.1365756714684</v>
      </c>
      <c r="Q29" s="6">
        <f>_xll.BDP(A29,"INTERVAL_Low", "MARKET_DATA_OVERRIDE=PE_RATIO", "CALC_INTERVAL=5y", "BEST_FPERIOD_OVERRIDE=BF")</f>
        <v>11.960092664549858</v>
      </c>
      <c r="R29" s="6">
        <f>_xll.BDP(A29,"PE_RATIO")</f>
        <v>34.770226148011794</v>
      </c>
      <c r="S29" s="43">
        <f t="shared" si="2"/>
        <v>0.47347029213789249</v>
      </c>
      <c r="T29" s="6">
        <f>_xll.BDP(A29,"RR902")</f>
        <v>368059935156.55798</v>
      </c>
      <c r="U29" s="5" t="s">
        <v>540</v>
      </c>
      <c r="V29" s="5" t="s">
        <v>798</v>
      </c>
      <c r="W29" s="5" t="str">
        <f>_xll.BDP(U29,"DS003")</f>
        <v>US</v>
      </c>
      <c r="X29" s="6">
        <f>_xll.BDP(U29,"PX_LAST")</f>
        <v>9.02</v>
      </c>
      <c r="Y29" s="6">
        <f>_xll.BDP(U29,"CHG_PCT_1D")</f>
        <v>-1.528384</v>
      </c>
      <c r="Z29" s="6">
        <f>_xll.BDP(U29,"HIGH_52WEEK")</f>
        <v>13.246</v>
      </c>
      <c r="AA29" s="6">
        <f t="shared" si="4"/>
        <v>38.425128598825552</v>
      </c>
      <c r="AB29" s="6">
        <f>_xll.BDP(U29,"LOW_52WEEK")</f>
        <v>6.4019000000000004</v>
      </c>
      <c r="AC29" s="6">
        <f t="shared" si="5"/>
        <v>-34.284951276756907</v>
      </c>
      <c r="AD29" s="6">
        <f>_xll.BDP(U29,"CHG_PCT_5D")</f>
        <v>-4.2462850000000003</v>
      </c>
      <c r="AE29" s="6">
        <f>_xll.BDP(U29,"CHG_PCT_1M")</f>
        <v>12.04969</v>
      </c>
      <c r="AF29" s="6">
        <f>_xll.BDP(U29,"CHG_PCT_3M")</f>
        <v>-12.171379999999999</v>
      </c>
      <c r="AG29" s="6">
        <f>_xll.BDP(U29,"CHG_PCT_6M")</f>
        <v>-10.693070000000001</v>
      </c>
      <c r="AH29" s="6">
        <f>_xll.BDP(U29,"PR064")</f>
        <v>-12.171379999999999</v>
      </c>
      <c r="AI29" s="6">
        <f>_xll.BDP(U29,"CHG_PCT_1YR")</f>
        <v>-17.61544</v>
      </c>
      <c r="AJ29" s="6">
        <f>_xll.BDP(U29,"INTERVAL_HIGH", "MARKET_DATA_OVERRIDE=PE_RATIO", "CALC_INTERVAL=5y", "BEST_FPERIOD_OVERRIDE=BF")</f>
        <v>784.53475420287282</v>
      </c>
      <c r="AK29" s="6">
        <f>_xll.BDP(U29,"INTERVAL_Low", "MARKET_DATA_OVERRIDE=PE_RATIO", "CALC_INTERVAL=5y", "BEST_FPERIOD_OVERRIDE=BF")</f>
        <v>13.030135595757418</v>
      </c>
      <c r="AL29" s="6">
        <f>_xll.BDP(U29,"PE_RATIO")</f>
        <v>14.837186490863569</v>
      </c>
      <c r="AM29" s="43">
        <f t="shared" si="6"/>
        <v>2.3422424850399791E-3</v>
      </c>
      <c r="AN29" s="9" t="s">
        <v>981</v>
      </c>
      <c r="AO29" s="9" t="s">
        <v>949</v>
      </c>
      <c r="AP29" s="10">
        <f>_xll.BDP(AN29,"PX_LAST")</f>
        <v>3125.81</v>
      </c>
      <c r="AQ29" s="10">
        <f>_xll.BDP(AN29,"CHG_PCT_1D")</f>
        <v>-3.1991609999999998E-4</v>
      </c>
      <c r="AR29" s="10">
        <f>_xll.BDP(AN29,"HIGH_52WEEK")</f>
        <v>3415.18</v>
      </c>
      <c r="AS29" s="10">
        <f t="shared" si="7"/>
        <v>8.85367506702136</v>
      </c>
      <c r="AT29" s="10">
        <f>_xll.BDP(AN29,"LOW_52WEEK")</f>
        <v>2955.68</v>
      </c>
      <c r="AU29" s="10">
        <f t="shared" si="3"/>
        <v>-5.5964706773658257</v>
      </c>
      <c r="AV29" s="10">
        <f>_xll.BDP(AN29,"CHG_PCT_5D")</f>
        <v>-1.0443849999999999</v>
      </c>
      <c r="AW29" s="10">
        <f>_xll.BDP(AN29,"CHG_PCT_1M")</f>
        <v>1.9002330000000001</v>
      </c>
      <c r="AX29" s="10">
        <f>_xll.BDP(AN29,"CHG_PCT_3M")</f>
        <v>-6.092352</v>
      </c>
      <c r="AY29" s="10">
        <f>_xll.BDP(AN29,"CHG_PCT_6M")</f>
        <v>-2.2692619999999999</v>
      </c>
      <c r="AZ29" s="10">
        <f>_xll.BDP(AN29,"PR064")</f>
        <v>-6.092352</v>
      </c>
      <c r="BA29" s="10">
        <f>_xll.BDP(AN29,"CHG_PCT_1YR")</f>
        <v>-3.4128889999999998</v>
      </c>
    </row>
    <row r="30" spans="1:53" x14ac:dyDescent="0.25">
      <c r="A30" t="s">
        <v>473</v>
      </c>
      <c r="B30" s="5" t="s">
        <v>915</v>
      </c>
      <c r="C30" s="5" t="str">
        <f>_xll.BDP(A30,"DS003")</f>
        <v>EC</v>
      </c>
      <c r="D30" s="6">
        <f>_xll.BDP(A30,"PX_LAST")</f>
        <v>467.88</v>
      </c>
      <c r="E30" s="6">
        <f>_xll.BDP(A30,"CHG_PCT_1D")</f>
        <v>0.93191820000000003</v>
      </c>
      <c r="F30" s="6">
        <f>_xll.BDP(A30,"HIGH_52WEEK")</f>
        <v>476.6</v>
      </c>
      <c r="G30" s="6">
        <f t="shared" si="0"/>
        <v>1.8465711882135434</v>
      </c>
      <c r="H30" s="6">
        <f>_xll.BDP(A30,"LOW_52WEEK")</f>
        <v>359.47</v>
      </c>
      <c r="I30" s="6">
        <f t="shared" si="1"/>
        <v>-26.358112833853468</v>
      </c>
      <c r="J30" s="6">
        <f>_xll.BDP(A30,"CHG_PCT_5D")</f>
        <v>-1.188995</v>
      </c>
      <c r="K30" s="6">
        <f>_xll.BDP(A30,"CHG_PCT_1M")</f>
        <v>5.0730969999999997</v>
      </c>
      <c r="L30" s="6">
        <f>_xll.BDP(A30,"CHG_PCT_3M")</f>
        <v>4.2699239999999996</v>
      </c>
      <c r="M30" s="6">
        <f>_xll.BDP(A30,"CHG_PCT_6M")</f>
        <v>8.9207579999999993</v>
      </c>
      <c r="N30" s="6">
        <f>_xll.BDP(A30,"PR064")</f>
        <v>4.2699239999999996</v>
      </c>
      <c r="O30" s="6">
        <f>_xll.BDP(A30,"CHG_PCT_1YR")</f>
        <v>5.5995660000000003</v>
      </c>
      <c r="P30" s="6">
        <f>_xll.BDP(A30,"INTERVAL_HIGH", "MARKET_DATA_OVERRIDE=PE_RATIO", "CALC_INTERVAL=5y", "BEST_FPERIOD_OVERRIDE=BF")</f>
        <v>36.024878949996648</v>
      </c>
      <c r="Q30" s="6">
        <f>_xll.BDP(A30,"INTERVAL_Low", "MARKET_DATA_OVERRIDE=PE_RATIO", "CALC_INTERVAL=5y", "BEST_FPERIOD_OVERRIDE=BF")</f>
        <v>18.578050798859273</v>
      </c>
      <c r="R30" s="6">
        <f>_xll.BDP(A30,"PE_RATIO")</f>
        <v>20.934329146577156</v>
      </c>
      <c r="S30" s="43">
        <f t="shared" si="2"/>
        <v>0.13505482643068703</v>
      </c>
      <c r="T30" s="6">
        <f>_xll.BDP(A30,"RR902")</f>
        <v>298673498480.88696</v>
      </c>
      <c r="U30" s="5" t="s">
        <v>543</v>
      </c>
      <c r="V30" s="5" t="s">
        <v>799</v>
      </c>
      <c r="W30" s="5" t="str">
        <f>_xll.BDP(U30,"DS003")</f>
        <v>US</v>
      </c>
      <c r="X30" s="6">
        <f>_xll.BDP(U30,"PX_LAST")</f>
        <v>208.22</v>
      </c>
      <c r="Y30" s="6">
        <f>_xll.BDP(U30,"CHG_PCT_1D")</f>
        <v>-0.86178169999999998</v>
      </c>
      <c r="Z30" s="6">
        <f>_xll.BDP(U30,"HIGH_52WEEK")</f>
        <v>234.06</v>
      </c>
      <c r="AA30" s="6">
        <f t="shared" si="4"/>
        <v>11.698227970001339</v>
      </c>
      <c r="AB30" s="6">
        <f>_xll.BDP(U30,"LOW_52WEEK")</f>
        <v>151.69999999999999</v>
      </c>
      <c r="AC30" s="6">
        <f t="shared" si="5"/>
        <v>-31.669032669212033</v>
      </c>
      <c r="AD30" s="6">
        <f>_xll.BDP(U30,"CHG_PCT_5D")</f>
        <v>-3.2569810000000001</v>
      </c>
      <c r="AE30" s="6">
        <f>_xll.BDP(U30,"CHG_PCT_1M")</f>
        <v>4.2925149999999999</v>
      </c>
      <c r="AF30" s="6">
        <f>_xll.BDP(U30,"CHG_PCT_3M")</f>
        <v>5.6900690000000003</v>
      </c>
      <c r="AG30" s="6">
        <f>_xll.BDP(U30,"CHG_PCT_6M")</f>
        <v>9.1929300000000005</v>
      </c>
      <c r="AH30" s="6">
        <f>_xll.BDP(U30,"PR064")</f>
        <v>5.6900690000000003</v>
      </c>
      <c r="AI30" s="6">
        <f>_xll.BDP(U30,"CHG_PCT_1YR")</f>
        <v>-9.0265660000000008</v>
      </c>
      <c r="AJ30" s="6">
        <f>_xll.BDP(U30,"INTERVAL_HIGH", "MARKET_DATA_OVERRIDE=PE_RATIO", "CALC_INTERVAL=5y", "BEST_FPERIOD_OVERRIDE=BF")</f>
        <v>14.715084861798699</v>
      </c>
      <c r="AK30" s="6">
        <f>_xll.BDP(U30,"INTERVAL_Low", "MARKET_DATA_OVERRIDE=PE_RATIO", "CALC_INTERVAL=5y", "BEST_FPERIOD_OVERRIDE=BF")</f>
        <v>6.0027753212509483</v>
      </c>
      <c r="AL30" s="6">
        <f>_xll.BDP(U30,"PE_RATIO")</f>
        <v>8.6130136513784983</v>
      </c>
      <c r="AM30" s="43">
        <f t="shared" si="6"/>
        <v>0.29960348837231998</v>
      </c>
      <c r="AN30" s="9" t="s">
        <v>982</v>
      </c>
      <c r="AO30" s="9" t="s">
        <v>950</v>
      </c>
      <c r="AP30" s="10">
        <f>_xll.BDP(AN30,"PX_LAST")</f>
        <v>6230.3339999999998</v>
      </c>
      <c r="AQ30" s="10">
        <f>_xll.BDP(AN30,"CHG_PCT_1D")</f>
        <v>1.3655139999999999</v>
      </c>
      <c r="AR30" s="10">
        <f>_xll.BDP(AN30,"HIGH_52WEEK")</f>
        <v>6636.33203125</v>
      </c>
      <c r="AS30" s="10">
        <f t="shared" si="7"/>
        <v>6.3129463005000757</v>
      </c>
      <c r="AT30" s="10">
        <f>_xll.BDP(AN30,"LOW_52WEEK")</f>
        <v>5623.8429999999998</v>
      </c>
      <c r="AU30" s="10">
        <f t="shared" si="3"/>
        <v>-10.241470487456175</v>
      </c>
      <c r="AV30" s="10">
        <f>_xll.BDP(AN30,"CHG_PCT_5D")</f>
        <v>-0.22637969999999999</v>
      </c>
      <c r="AW30" s="10">
        <f>_xll.BDP(AN30,"CHG_PCT_1M")</f>
        <v>-0.76195619999999997</v>
      </c>
      <c r="AX30" s="10">
        <f>_xll.BDP(AN30,"CHG_PCT_3M")</f>
        <v>-1.9263589999999999</v>
      </c>
      <c r="AY30" s="10">
        <f>_xll.BDP(AN30,"CHG_PCT_6M")</f>
        <v>-3.3268040000000001</v>
      </c>
      <c r="AZ30" s="10">
        <f>_xll.BDP(AN30,"PR064")</f>
        <v>-1.9263589999999999</v>
      </c>
      <c r="BA30" s="10">
        <f>_xll.BDP(AN30,"CHG_PCT_1YR")</f>
        <v>5.0785499999999999</v>
      </c>
    </row>
    <row r="31" spans="1:53" x14ac:dyDescent="0.25">
      <c r="A31" t="s">
        <v>461</v>
      </c>
      <c r="B31" s="5" t="s">
        <v>907</v>
      </c>
      <c r="C31" s="5" t="str">
        <f>_xll.BDP(A31,"DS003")</f>
        <v>EC</v>
      </c>
      <c r="D31" s="6">
        <f>_xll.BDP(A31,"PX_LAST")</f>
        <v>473.43</v>
      </c>
      <c r="E31" s="6">
        <f>_xll.BDP(A31,"CHG_PCT_1D")</f>
        <v>-9.4960749999999997E-2</v>
      </c>
      <c r="F31" s="6">
        <f>_xll.BDP(A31,"HIGH_52WEEK")</f>
        <v>552.35</v>
      </c>
      <c r="G31" s="6">
        <f t="shared" si="0"/>
        <v>15.417783689013312</v>
      </c>
      <c r="H31" s="6">
        <f>_xll.BDP(A31,"LOW_52WEEK")</f>
        <v>428.98</v>
      </c>
      <c r="I31" s="6">
        <f t="shared" si="1"/>
        <v>-9.8593768633502226</v>
      </c>
      <c r="J31" s="6">
        <f>_xll.BDP(A31,"CHG_PCT_5D")</f>
        <v>-3.8954970000000002</v>
      </c>
      <c r="K31" s="6">
        <f>_xll.BDP(A31,"CHG_PCT_1M")</f>
        <v>6.5443870000000004</v>
      </c>
      <c r="L31" s="6">
        <f>_xll.BDP(A31,"CHG_PCT_3M")</f>
        <v>-2.6585230000000002</v>
      </c>
      <c r="M31" s="6">
        <f>_xll.BDP(A31,"CHG_PCT_6M")</f>
        <v>-2.123221</v>
      </c>
      <c r="N31" s="6">
        <f>_xll.BDP(A31,"PR064")</f>
        <v>-2.6585230000000002</v>
      </c>
      <c r="O31" s="6">
        <f>_xll.BDP(A31,"CHG_PCT_1YR")</f>
        <v>-12.76717</v>
      </c>
      <c r="P31" s="6">
        <f>_xll.BDP(A31,"INTERVAL_HIGH", "MARKET_DATA_OVERRIDE=PE_RATIO", "CALC_INTERVAL=5y", "BEST_FPERIOD_OVERRIDE=BF")</f>
        <v>15.797608879342523</v>
      </c>
      <c r="Q31" s="6">
        <f>_xll.BDP(A31,"INTERVAL_Low", "MARKET_DATA_OVERRIDE=PE_RATIO", "CALC_INTERVAL=5y", "BEST_FPERIOD_OVERRIDE=BF")</f>
        <v>6.0215535064076544</v>
      </c>
      <c r="R31" s="6">
        <f>_xll.BDP(A31,"PE_RATIO")</f>
        <v>8.4088490847134008</v>
      </c>
      <c r="S31" s="43">
        <f t="shared" si="2"/>
        <v>0.24419824635148898</v>
      </c>
      <c r="T31" s="6">
        <f>_xll.BDP(A31,"RR902")</f>
        <v>276439874367</v>
      </c>
      <c r="U31" s="5" t="s">
        <v>544</v>
      </c>
      <c r="V31" s="5" t="s">
        <v>800</v>
      </c>
      <c r="W31" s="5" t="str">
        <f>_xll.BDP(U31,"DS003")</f>
        <v>US</v>
      </c>
      <c r="X31" s="6">
        <f>_xll.BDP(U31,"PX_LAST")</f>
        <v>126.39</v>
      </c>
      <c r="Y31" s="6">
        <f>_xll.BDP(U31,"CHG_PCT_1D")</f>
        <v>-0.1737619</v>
      </c>
      <c r="Z31" s="6">
        <f>_xll.BDP(U31,"HIGH_52WEEK")</f>
        <v>159.37</v>
      </c>
      <c r="AA31" s="6">
        <f t="shared" si="4"/>
        <v>23.185617821250741</v>
      </c>
      <c r="AB31" s="6">
        <f>_xll.BDP(U31,"LOW_52WEEK")</f>
        <v>111.75</v>
      </c>
      <c r="AC31" s="6">
        <f t="shared" si="5"/>
        <v>-12.310813116535662</v>
      </c>
      <c r="AD31" s="6">
        <f>_xll.BDP(U31,"CHG_PCT_5D")</f>
        <v>-2.8665850000000002</v>
      </c>
      <c r="AE31" s="6">
        <f>_xll.BDP(U31,"CHG_PCT_1M")</f>
        <v>10.461460000000001</v>
      </c>
      <c r="AF31" s="6">
        <f>_xll.BDP(U31,"CHG_PCT_3M")</f>
        <v>-6.4816830000000003</v>
      </c>
      <c r="AG31" s="6">
        <f>_xll.BDP(U31,"CHG_PCT_6M")</f>
        <v>-4.1337960000000002</v>
      </c>
      <c r="AH31" s="6">
        <f>_xll.BDP(U31,"PR064")</f>
        <v>-6.4816830000000003</v>
      </c>
      <c r="AI31" s="6">
        <f>_xll.BDP(U31,"CHG_PCT_1YR")</f>
        <v>-17.483840000000001</v>
      </c>
      <c r="AJ31" s="6">
        <f>_xll.BDP(U31,"INTERVAL_HIGH", "MARKET_DATA_OVERRIDE=PE_RATIO", "CALC_INTERVAL=5y", "BEST_FPERIOD_OVERRIDE=BF")</f>
        <v>28.118591479822204</v>
      </c>
      <c r="AK31" s="6">
        <f>_xll.BDP(U31,"INTERVAL_Low", "MARKET_DATA_OVERRIDE=PE_RATIO", "CALC_INTERVAL=5y", "BEST_FPERIOD_OVERRIDE=BF")</f>
        <v>8.8367030889534366</v>
      </c>
      <c r="AL31" s="6">
        <f>_xll.BDP(U31,"PE_RATIO")</f>
        <v>10.935766358042688</v>
      </c>
      <c r="AM31" s="43">
        <f t="shared" si="6"/>
        <v>0.1088619136538149</v>
      </c>
      <c r="AN31" s="9" t="s">
        <v>983</v>
      </c>
      <c r="AO31" s="9" t="s">
        <v>951</v>
      </c>
      <c r="AP31" s="10">
        <f>_xll.BDP(AN31,"PX_LAST")</f>
        <v>7896.48</v>
      </c>
      <c r="AQ31" s="10">
        <f>_xll.BDP(AN31,"CHG_PCT_1D")</f>
        <v>3.039421E-3</v>
      </c>
      <c r="AR31" s="10">
        <f>_xll.BDP(AN31,"HIGH_52WEEK")</f>
        <v>8419.58984375</v>
      </c>
      <c r="AS31" s="10">
        <f t="shared" si="7"/>
        <v>6.4144024366971975</v>
      </c>
      <c r="AT31" s="10">
        <f>_xll.BDP(AN31,"LOW_52WEEK")</f>
        <v>6790.58</v>
      </c>
      <c r="AU31" s="10">
        <f t="shared" si="3"/>
        <v>-15.088073289963166</v>
      </c>
      <c r="AV31" s="10">
        <f>_xll.BDP(AN31,"CHG_PCT_5D")</f>
        <v>-0.1875771</v>
      </c>
      <c r="AW31" s="10">
        <f>_xll.BDP(AN31,"CHG_PCT_1M")</f>
        <v>1.924523</v>
      </c>
      <c r="AX31" s="10">
        <f>_xll.BDP(AN31,"CHG_PCT_3M")</f>
        <v>-2.0000909999999998</v>
      </c>
      <c r="AY31" s="10">
        <f>_xll.BDP(AN31,"CHG_PCT_6M")</f>
        <v>0.45070539999999998</v>
      </c>
      <c r="AZ31" s="10">
        <f>_xll.BDP(AN31,"PR064")</f>
        <v>-2.0000909999999998</v>
      </c>
      <c r="BA31" s="10">
        <f>_xll.BDP(AN31,"CHG_PCT_1YR")</f>
        <v>7.8667179999999997</v>
      </c>
    </row>
    <row r="32" spans="1:53" x14ac:dyDescent="0.25">
      <c r="A32" t="s">
        <v>468</v>
      </c>
      <c r="B32" s="5" t="s">
        <v>916</v>
      </c>
      <c r="C32" s="5" t="str">
        <f>_xll.BDP(A32,"DS003")</f>
        <v>EC</v>
      </c>
      <c r="D32" s="6">
        <f>_xll.BDP(A32,"PX_LAST")</f>
        <v>411.09</v>
      </c>
      <c r="E32" s="6">
        <f>_xll.BDP(A32,"CHG_PCT_1D")</f>
        <v>-0.41665659999999999</v>
      </c>
      <c r="F32" s="6">
        <f>_xll.BDP(A32,"HIGH_52WEEK")</f>
        <v>501.17</v>
      </c>
      <c r="G32" s="6">
        <f t="shared" si="0"/>
        <v>19.813319625945891</v>
      </c>
      <c r="H32" s="6">
        <f>_xll.BDP(A32,"LOW_52WEEK")</f>
        <v>372.11</v>
      </c>
      <c r="I32" s="6">
        <f t="shared" si="1"/>
        <v>-9.9622659138651937</v>
      </c>
      <c r="J32" s="6">
        <f>_xll.BDP(A32,"CHG_PCT_5D")</f>
        <v>-3.7102080000000002</v>
      </c>
      <c r="K32" s="6">
        <f>_xll.BDP(A32,"CHG_PCT_1M")</f>
        <v>7.6489969999999996</v>
      </c>
      <c r="L32" s="6">
        <f>_xll.BDP(A32,"CHG_PCT_3M")</f>
        <v>-9.5173089999999991</v>
      </c>
      <c r="M32" s="6">
        <f>_xll.BDP(A32,"CHG_PCT_6M")</f>
        <v>-11.19632</v>
      </c>
      <c r="N32" s="6">
        <f>_xll.BDP(A32,"PR064")</f>
        <v>-9.5173089999999991</v>
      </c>
      <c r="O32" s="6">
        <f>_xll.BDP(A32,"CHG_PCT_1YR")</f>
        <v>-10.49446</v>
      </c>
      <c r="P32" s="6">
        <f>_xll.BDP(A32,"INTERVAL_HIGH", "MARKET_DATA_OVERRIDE=PE_RATIO", "CALC_INTERVAL=5y", "BEST_FPERIOD_OVERRIDE=BF")</f>
        <v>49.421204021941158</v>
      </c>
      <c r="Q32" s="6">
        <f>_xll.BDP(A32,"INTERVAL_Low", "MARKET_DATA_OVERRIDE=PE_RATIO", "CALC_INTERVAL=5y", "BEST_FPERIOD_OVERRIDE=BF")</f>
        <v>8.2200452622690587</v>
      </c>
      <c r="R32" s="6">
        <f>_xll.BDP(A32,"PE_RATIO")</f>
        <v>10.069555754923991</v>
      </c>
      <c r="S32" s="43">
        <f t="shared" si="2"/>
        <v>4.488976883983279E-2</v>
      </c>
      <c r="T32" s="6">
        <f>_xll.BDP(A32,"RR902")</f>
        <v>265274621943</v>
      </c>
      <c r="U32" s="5" t="s">
        <v>550</v>
      </c>
      <c r="V32" s="5" t="s">
        <v>801</v>
      </c>
      <c r="W32" s="5" t="str">
        <f>_xll.BDP(U32,"DS003")</f>
        <v>US</v>
      </c>
      <c r="X32" s="6">
        <f>_xll.BDP(U32,"PX_LAST")</f>
        <v>42.62</v>
      </c>
      <c r="Y32" s="6">
        <f>_xll.BDP(U32,"CHG_PCT_1D")</f>
        <v>-0.97583640000000005</v>
      </c>
      <c r="Z32" s="6">
        <f>_xll.BDP(U32,"HIGH_52WEEK")</f>
        <v>48.664999999999999</v>
      </c>
      <c r="AA32" s="6">
        <f t="shared" si="4"/>
        <v>13.263645920798595</v>
      </c>
      <c r="AB32" s="6">
        <f>_xll.BDP(U32,"LOW_52WEEK")</f>
        <v>36.74</v>
      </c>
      <c r="AC32" s="6">
        <f t="shared" si="5"/>
        <v>-14.845754688349135</v>
      </c>
      <c r="AD32" s="6">
        <f>_xll.BDP(U32,"CHG_PCT_5D")</f>
        <v>-3.1803729999999999</v>
      </c>
      <c r="AE32" s="6">
        <f>_xll.BDP(U32,"CHG_PCT_1M")</f>
        <v>6.1254980000000003</v>
      </c>
      <c r="AF32" s="6">
        <f>_xll.BDP(U32,"CHG_PCT_3M")</f>
        <v>-0.86066909999999996</v>
      </c>
      <c r="AG32" s="6">
        <f>_xll.BDP(U32,"CHG_PCT_6M")</f>
        <v>1.7669509999999999</v>
      </c>
      <c r="AH32" s="6">
        <f>_xll.BDP(U32,"PR064")</f>
        <v>-0.86066909999999996</v>
      </c>
      <c r="AI32" s="6">
        <f>_xll.BDP(U32,"CHG_PCT_1YR")</f>
        <v>-10.649900000000001</v>
      </c>
      <c r="AJ32" s="6">
        <f>_xll.BDP(U32,"INTERVAL_HIGH", "MARKET_DATA_OVERRIDE=PE_RATIO", "CALC_INTERVAL=5y", "BEST_FPERIOD_OVERRIDE=BF")</f>
        <v>17.743075986241042</v>
      </c>
      <c r="AK32" s="6">
        <f>_xll.BDP(U32,"INTERVAL_Low", "MARKET_DATA_OVERRIDE=PE_RATIO", "CALC_INTERVAL=5y", "BEST_FPERIOD_OVERRIDE=BF")</f>
        <v>7.231540814178202</v>
      </c>
      <c r="AL32" s="6">
        <f>_xll.BDP(U32,"PE_RATIO")</f>
        <v>9.2267176766952765</v>
      </c>
      <c r="AM32" s="43">
        <f t="shared" si="6"/>
        <v>0.18980832293838298</v>
      </c>
      <c r="AN32" s="9" t="s">
        <v>984</v>
      </c>
      <c r="AO32" s="9" t="s">
        <v>952</v>
      </c>
      <c r="AP32" s="10">
        <f>_xll.BDP(AN32,"PX_LAST")</f>
        <v>105319.4</v>
      </c>
      <c r="AQ32" s="10">
        <f>_xll.BDP(AN32,"CHG_PCT_1D")</f>
        <v>0.80244249999999995</v>
      </c>
      <c r="AR32" s="10">
        <f>_xll.BDP(AN32,"HIGH_52WEEK")</f>
        <v>106650.1015625</v>
      </c>
      <c r="AS32" s="10">
        <f t="shared" si="7"/>
        <v>1.2555759525920327</v>
      </c>
      <c r="AT32" s="10">
        <f>_xll.BDP(AN32,"LOW_52WEEK")</f>
        <v>78090.71875</v>
      </c>
      <c r="AU32" s="10">
        <f t="shared" si="3"/>
        <v>-29.912642593254645</v>
      </c>
      <c r="AV32" s="10">
        <f>_xll.BDP(AN32,"CHG_PCT_5D")</f>
        <v>0.93947829999999999</v>
      </c>
      <c r="AW32" s="10">
        <f>_xll.BDP(AN32,"CHG_PCT_1M")</f>
        <v>8.2684270000000009</v>
      </c>
      <c r="AX32" s="10">
        <f>_xll.BDP(AN32,"CHG_PCT_3M")</f>
        <v>4.5623670000000001</v>
      </c>
      <c r="AY32" s="10">
        <f>_xll.BDP(AN32,"CHG_PCT_6M")</f>
        <v>14.597939999999999</v>
      </c>
      <c r="AZ32" s="10">
        <f>_xll.BDP(AN32,"PR064")</f>
        <v>4.5623670000000001</v>
      </c>
      <c r="BA32" s="10">
        <f>_xll.BDP(AN32,"CHG_PCT_1YR")</f>
        <v>31.649100000000001</v>
      </c>
    </row>
    <row r="33" spans="1:53" ht="17.25" thickBot="1" x14ac:dyDescent="0.3">
      <c r="A33" t="s">
        <v>462</v>
      </c>
      <c r="B33" s="5" t="s">
        <v>910</v>
      </c>
      <c r="C33" s="5" t="str">
        <f>_xll.BDP(A33,"DS003")</f>
        <v>EC</v>
      </c>
      <c r="D33" s="6">
        <f>_xll.BDP(A33,"PX_LAST")</f>
        <v>538.57000000000005</v>
      </c>
      <c r="E33" s="6">
        <f>_xll.BDP(A33,"CHG_PCT_1D")</f>
        <v>1.2406710000000001</v>
      </c>
      <c r="F33" s="6">
        <f>_xll.BDP(A33,"HIGH_52WEEK")</f>
        <v>540.78</v>
      </c>
      <c r="G33" s="6">
        <f t="shared" si="0"/>
        <v>0.40950629330420085</v>
      </c>
      <c r="H33" s="6">
        <f>_xll.BDP(A33,"LOW_52WEEK")</f>
        <v>405.26</v>
      </c>
      <c r="I33" s="6">
        <f t="shared" si="1"/>
        <v>-28.438864242614819</v>
      </c>
      <c r="J33" s="6">
        <f>_xll.BDP(A33,"CHG_PCT_5D")</f>
        <v>0.11525009999999999</v>
      </c>
      <c r="K33" s="6">
        <f>_xll.BDP(A33,"CHG_PCT_1M")</f>
        <v>7.0737030000000001</v>
      </c>
      <c r="L33" s="6">
        <f>_xll.BDP(A33,"CHG_PCT_3M")</f>
        <v>8.3903569999999998</v>
      </c>
      <c r="M33" s="6">
        <f>_xll.BDP(A33,"CHG_PCT_6M")</f>
        <v>15.20214</v>
      </c>
      <c r="N33" s="6">
        <f>_xll.BDP(A33,"PR064")</f>
        <v>8.3903569999999998</v>
      </c>
      <c r="O33" s="6">
        <f>_xll.BDP(A33,"CHG_PCT_1YR")</f>
        <v>8.630846</v>
      </c>
      <c r="P33" s="6">
        <f>_xll.BDP(A33,"INTERVAL_HIGH", "MARKET_DATA_OVERRIDE=PE_RATIO", "CALC_INTERVAL=5y", "BEST_FPERIOD_OVERRIDE=BF")</f>
        <v>50.971592119809344</v>
      </c>
      <c r="Q33" s="6">
        <f>_xll.BDP(A33,"INTERVAL_Low", "MARKET_DATA_OVERRIDE=PE_RATIO", "CALC_INTERVAL=5y", "BEST_FPERIOD_OVERRIDE=BF")</f>
        <v>9.3903938531853335</v>
      </c>
      <c r="R33" s="6">
        <f>_xll.BDP(A33,"PE_RATIO")</f>
        <v>25.863630928908176</v>
      </c>
      <c r="S33" s="43">
        <f t="shared" si="2"/>
        <v>0.39617033088114295</v>
      </c>
      <c r="T33" s="6">
        <f>_xll.BDP(A33,"RR902")</f>
        <v>247174658205.26398</v>
      </c>
      <c r="U33" s="5" t="s">
        <v>561</v>
      </c>
      <c r="V33" s="5" t="s">
        <v>802</v>
      </c>
      <c r="W33" s="5" t="str">
        <f>_xll.BDP(U33,"DS003")</f>
        <v>US</v>
      </c>
      <c r="X33" s="6">
        <f>_xll.BDP(U33,"PX_LAST")</f>
        <v>64.19</v>
      </c>
      <c r="Y33" s="6">
        <f>_xll.BDP(U33,"CHG_PCT_1D")</f>
        <v>-0.41886440000000003</v>
      </c>
      <c r="Z33" s="6">
        <f>_xll.BDP(U33,"HIGH_52WEEK")</f>
        <v>79.7</v>
      </c>
      <c r="AA33" s="6">
        <f t="shared" si="4"/>
        <v>21.642215047248264</v>
      </c>
      <c r="AB33" s="6">
        <f>_xll.BDP(U33,"LOW_52WEEK")</f>
        <v>55.384999999999998</v>
      </c>
      <c r="AC33" s="6">
        <f t="shared" si="5"/>
        <v>-14.753863635479055</v>
      </c>
      <c r="AD33" s="6">
        <f>_xll.BDP(U33,"CHG_PCT_5D")</f>
        <v>-1.5037590000000001</v>
      </c>
      <c r="AE33" s="6">
        <f>_xll.BDP(U33,"CHG_PCT_1M")</f>
        <v>12.063549999999999</v>
      </c>
      <c r="AF33" s="6">
        <f>_xll.BDP(U33,"CHG_PCT_3M")</f>
        <v>-2.5208789999999999</v>
      </c>
      <c r="AG33" s="6">
        <f>_xll.BDP(U33,"CHG_PCT_6M")</f>
        <v>-4.5927449999999999</v>
      </c>
      <c r="AH33" s="6">
        <f>_xll.BDP(U33,"PR064")</f>
        <v>-2.5208789999999999</v>
      </c>
      <c r="AI33" s="6">
        <f>_xll.BDP(U33,"CHG_PCT_1YR")</f>
        <v>-16.255710000000001</v>
      </c>
      <c r="AJ33" s="6">
        <f>_xll.BDP(U33,"INTERVAL_HIGH", "MARKET_DATA_OVERRIDE=PE_RATIO", "CALC_INTERVAL=5y", "BEST_FPERIOD_OVERRIDE=BF")</f>
        <v>26.533525891404306</v>
      </c>
      <c r="AK33" s="6">
        <f>_xll.BDP(U33,"INTERVAL_Low", "MARKET_DATA_OVERRIDE=PE_RATIO", "CALC_INTERVAL=5y", "BEST_FPERIOD_OVERRIDE=BF")</f>
        <v>10.838263980225889</v>
      </c>
      <c r="AL33" s="6">
        <f>_xll.BDP(U33,"PE_RATIO")</f>
        <v>17.944960340606531</v>
      </c>
      <c r="AM33" s="43">
        <f t="shared" si="6"/>
        <v>0.45279246696221992</v>
      </c>
      <c r="AN33" s="9" t="s">
        <v>985</v>
      </c>
      <c r="AO33" s="34" t="s">
        <v>953</v>
      </c>
      <c r="AP33" s="35">
        <f>_xll.BDP(AN33,"PX_LAST")</f>
        <v>101940.3</v>
      </c>
      <c r="AQ33" s="35">
        <f>_xll.BDP(AN33,"CHG_PCT_1D")</f>
        <v>-0.66079770000000004</v>
      </c>
      <c r="AR33" s="35">
        <f>_xll.BDP(AN33,"HIGH_52WEEK")</f>
        <v>105930.203125</v>
      </c>
      <c r="AS33" s="35">
        <f t="shared" si="7"/>
        <v>3.839306833129303</v>
      </c>
      <c r="AT33" s="35">
        <f>_xll.BDP(AN33,"LOW_52WEEK")</f>
        <v>83535.3203125</v>
      </c>
      <c r="AU33" s="35">
        <f t="shared" si="3"/>
        <v>-19.911780764218687</v>
      </c>
      <c r="AV33" s="35">
        <f>_xll.BDP(AN33,"CHG_PCT_5D")</f>
        <v>1.5961190000000001</v>
      </c>
      <c r="AW33" s="35">
        <f>_xll.BDP(AN33,"CHG_PCT_1M")</f>
        <v>6.1541180000000004</v>
      </c>
      <c r="AX33" s="35">
        <f>_xll.BDP(AN33,"CHG_PCT_3M")</f>
        <v>6.6621040000000002</v>
      </c>
      <c r="AY33" s="35">
        <f>_xll.BDP(AN33,"CHG_PCT_6M")</f>
        <v>10.97941</v>
      </c>
      <c r="AZ33" s="35">
        <f>_xll.BDP(AN33,"PR064")</f>
        <v>6.6621040000000002</v>
      </c>
      <c r="BA33" s="35">
        <f>_xll.BDP(AN33,"CHG_PCT_1YR")</f>
        <v>1.6367050000000001</v>
      </c>
    </row>
    <row r="34" spans="1:53" x14ac:dyDescent="0.25">
      <c r="A34" t="s">
        <v>457</v>
      </c>
      <c r="B34" s="5" t="s">
        <v>901</v>
      </c>
      <c r="C34" s="5" t="str">
        <f>_xll.BDP(A34,"DS003")</f>
        <v>EC</v>
      </c>
      <c r="D34" s="6">
        <f>_xll.BDP(A34,"PX_LAST")</f>
        <v>177.61</v>
      </c>
      <c r="E34" s="6">
        <f>_xll.BDP(A34,"CHG_PCT_1D")</f>
        <v>1.741422</v>
      </c>
      <c r="F34" s="6">
        <f>_xll.BDP(A34,"HIGH_52WEEK")</f>
        <v>179.52</v>
      </c>
      <c r="G34" s="6">
        <f t="shared" ref="G34:G65" si="8">LN(F34/D34)*100</f>
        <v>1.0696487055096027</v>
      </c>
      <c r="H34" s="6">
        <f>_xll.BDP(A34,"LOW_52WEEK")</f>
        <v>154.32</v>
      </c>
      <c r="I34" s="6">
        <f t="shared" ref="I34:I65" si="9">LN(H34/D34)*100</f>
        <v>-14.056176668176192</v>
      </c>
      <c r="J34" s="6">
        <f>_xll.BDP(A34,"CHG_PCT_5D")</f>
        <v>2.457452</v>
      </c>
      <c r="K34" s="6">
        <f>_xll.BDP(A34,"CHG_PCT_1M")</f>
        <v>4.9518440000000004</v>
      </c>
      <c r="L34" s="6">
        <f>_xll.BDP(A34,"CHG_PCT_3M")</f>
        <v>8.6831490000000002</v>
      </c>
      <c r="M34" s="6">
        <f>_xll.BDP(A34,"CHG_PCT_6M")</f>
        <v>-0.2303133</v>
      </c>
      <c r="N34" s="6">
        <f>_xll.BDP(A34,"PR064")</f>
        <v>8.6831490000000002</v>
      </c>
      <c r="O34" s="6">
        <f>_xll.BDP(A34,"CHG_PCT_1YR")</f>
        <v>1.4798290000000001</v>
      </c>
      <c r="P34" s="6">
        <f>_xll.BDP(A34,"INTERVAL_HIGH", "MARKET_DATA_OVERRIDE=PE_RATIO", "CALC_INTERVAL=5y", "BEST_FPERIOD_OVERRIDE=BF")</f>
        <v>12.368926017145965</v>
      </c>
      <c r="Q34" s="6">
        <f>_xll.BDP(A34,"INTERVAL_Low", "MARKET_DATA_OVERRIDE=PE_RATIO", "CALC_INTERVAL=5y", "BEST_FPERIOD_OVERRIDE=BF")</f>
        <v>7.4339353731182882</v>
      </c>
      <c r="R34" s="6">
        <f>_xll.BDP(A34,"PE_RATIO")</f>
        <v>12.238120871700483</v>
      </c>
      <c r="S34" s="43">
        <f t="shared" ref="S34:S65" si="10">IF(ISERROR((R34-Q34)/(P34-Q34)),"",(R34-Q34)/(P34-Q34))</f>
        <v>0.97349434783553601</v>
      </c>
      <c r="T34" s="6">
        <f>_xll.BDP(A34,"RR902")</f>
        <v>214150764953.354</v>
      </c>
      <c r="U34" s="5" t="s">
        <v>563</v>
      </c>
      <c r="V34" s="5" t="s">
        <v>803</v>
      </c>
      <c r="W34" s="5" t="str">
        <f>_xll.BDP(U34,"DS003")</f>
        <v>US</v>
      </c>
      <c r="X34" s="6">
        <f>_xll.BDP(U34,"PX_LAST")</f>
        <v>9.14</v>
      </c>
      <c r="Y34" s="6">
        <f>_xll.BDP(U34,"CHG_PCT_1D")</f>
        <v>-0.65217389999999997</v>
      </c>
      <c r="Z34" s="6">
        <f>_xll.BDP(U34,"HIGH_52WEEK")</f>
        <v>10.56</v>
      </c>
      <c r="AA34" s="6">
        <f t="shared" si="4"/>
        <v>14.441289281205666</v>
      </c>
      <c r="AB34" s="6">
        <f>_xll.BDP(U34,"LOW_52WEEK")</f>
        <v>7.41</v>
      </c>
      <c r="AC34" s="6">
        <f t="shared" si="5"/>
        <v>-20.982994615806316</v>
      </c>
      <c r="AD34" s="6">
        <f>_xll.BDP(U34,"CHG_PCT_5D")</f>
        <v>0.43956040000000002</v>
      </c>
      <c r="AE34" s="6">
        <f>_xll.BDP(U34,"CHG_PCT_1M")</f>
        <v>3.6281210000000002</v>
      </c>
      <c r="AF34" s="6">
        <f>_xll.BDP(U34,"CHG_PCT_3M")</f>
        <v>-7.7699280000000002</v>
      </c>
      <c r="AG34" s="6">
        <f>_xll.BDP(U34,"CHG_PCT_6M")</f>
        <v>4.3378969999999999</v>
      </c>
      <c r="AH34" s="6">
        <f>_xll.BDP(U34,"PR064")</f>
        <v>-7.7699280000000002</v>
      </c>
      <c r="AI34" s="6">
        <f>_xll.BDP(U34,"CHG_PCT_1YR")</f>
        <v>-1.4023779999999999</v>
      </c>
      <c r="AJ34" s="6">
        <f>_xll.BDP(U34,"INTERVAL_HIGH", "MARKET_DATA_OVERRIDE=PE_RATIO", "CALC_INTERVAL=5y", "BEST_FPERIOD_OVERRIDE=BF")</f>
        <v>8.6446222986009538</v>
      </c>
      <c r="AK34" s="6">
        <f>_xll.BDP(U34,"INTERVAL_Low", "MARKET_DATA_OVERRIDE=PE_RATIO", "CALC_INTERVAL=5y", "BEST_FPERIOD_OVERRIDE=BF")</f>
        <v>4.428517911897969</v>
      </c>
      <c r="AL34" s="6">
        <f>_xll.BDP(U34,"PE_RATIO")</f>
        <v>7.1419588058416803</v>
      </c>
      <c r="AM34" s="43">
        <f t="shared" si="6"/>
        <v>0.64358959007313288</v>
      </c>
      <c r="AN34" s="9" t="s">
        <v>583</v>
      </c>
      <c r="AO34" s="32" t="s">
        <v>883</v>
      </c>
      <c r="AP34" s="33">
        <f>_xll.BDP(AN34,"PX_LAST")</f>
        <v>2130.83</v>
      </c>
      <c r="AQ34" s="33">
        <f>_xll.BDP(AN34,"CHG_PCT_1D")</f>
        <v>-0.14976390000000001</v>
      </c>
      <c r="AR34" s="33">
        <f>_xll.BDP(AN34,"HIGH_52WEEK")</f>
        <v>2134.828</v>
      </c>
      <c r="AS34" s="33">
        <f>LN(AR34/AP34)*100</f>
        <v>0.18745061937324833</v>
      </c>
      <c r="AT34" s="33">
        <f>_xll.BDP(AN34,"LOW_52WEEK")</f>
        <v>1896.403</v>
      </c>
      <c r="AU34" s="33">
        <f>LN(AT34/AP34)*100</f>
        <v>-11.655264119135603</v>
      </c>
      <c r="AV34" s="33">
        <f>_xll.BDP(AN34,"CHG_PCT_5D")</f>
        <v>-0.1417156</v>
      </c>
      <c r="AW34" s="33">
        <f>_xll.BDP(AN34,"CHG_PCT_1M")</f>
        <v>0.7967883</v>
      </c>
      <c r="AX34" s="33">
        <f>_xll.BDP(AN34,"CHG_PCT_3M")</f>
        <v>1.6342989999999999</v>
      </c>
      <c r="AY34" s="33">
        <f>_xll.BDP(AN34,"CHG_PCT_6M")</f>
        <v>4.3063219999999998</v>
      </c>
      <c r="AZ34" s="33">
        <f>_xll.BDP(AN34,"PR064")</f>
        <v>1.6342989999999999</v>
      </c>
      <c r="BA34" s="33">
        <f>_xll.BDP(AN34,"CHG_PCT_1YR")</f>
        <v>6.6372660000000003</v>
      </c>
    </row>
    <row r="35" spans="1:53" ht="17.25" thickBot="1" x14ac:dyDescent="0.3">
      <c r="A35" t="s">
        <v>469</v>
      </c>
      <c r="B35" s="5" t="s">
        <v>913</v>
      </c>
      <c r="C35" s="5" t="str">
        <f>_xll.BDP(A35,"DS003")</f>
        <v>EC</v>
      </c>
      <c r="D35" s="6">
        <f>_xll.BDP(A35,"PX_LAST")</f>
        <v>297.02</v>
      </c>
      <c r="E35" s="6">
        <f>_xll.BDP(A35,"CHG_PCT_1D")</f>
        <v>0.60289930000000003</v>
      </c>
      <c r="F35" s="6">
        <f>_xll.BDP(A35,"HIGH_52WEEK")</f>
        <v>301.20999999999998</v>
      </c>
      <c r="G35" s="6">
        <f t="shared" si="8"/>
        <v>1.4008219303022416</v>
      </c>
      <c r="H35" s="6">
        <f>_xll.BDP(A35,"LOW_52WEEK")</f>
        <v>254.8</v>
      </c>
      <c r="I35" s="6">
        <f t="shared" si="9"/>
        <v>-15.332055290479078</v>
      </c>
      <c r="J35" s="6">
        <f>_xll.BDP(A35,"CHG_PCT_5D")</f>
        <v>-0.74851619999999996</v>
      </c>
      <c r="K35" s="6">
        <f>_xll.BDP(A35,"CHG_PCT_1M")</f>
        <v>1.8063370000000001</v>
      </c>
      <c r="L35" s="6">
        <f>_xll.BDP(A35,"CHG_PCT_3M")</f>
        <v>2.2092160000000001</v>
      </c>
      <c r="M35" s="6">
        <f>_xll.BDP(A35,"CHG_PCT_6M")</f>
        <v>5.5395649999999996</v>
      </c>
      <c r="N35" s="6">
        <f>_xll.BDP(A35,"PR064")</f>
        <v>2.2092160000000001</v>
      </c>
      <c r="O35" s="6">
        <f>_xll.BDP(A35,"CHG_PCT_1YR")</f>
        <v>3.2933409999999999</v>
      </c>
      <c r="P35" s="6">
        <f>_xll.BDP(A35,"INTERVAL_HIGH", "MARKET_DATA_OVERRIDE=PE_RATIO", "CALC_INTERVAL=5y", "BEST_FPERIOD_OVERRIDE=BF")</f>
        <v>45.403133911514047</v>
      </c>
      <c r="Q35" s="6">
        <f>_xll.BDP(A35,"INTERVAL_Low", "MARKET_DATA_OVERRIDE=PE_RATIO", "CALC_INTERVAL=5y", "BEST_FPERIOD_OVERRIDE=BF")</f>
        <v>13.853808292976497</v>
      </c>
      <c r="R35" s="6">
        <f>_xll.BDP(A35,"PE_RATIO")</f>
        <v>22.256817391820213</v>
      </c>
      <c r="S35" s="43">
        <f t="shared" si="10"/>
        <v>0.26634512573879965</v>
      </c>
      <c r="T35" s="6">
        <f>_xll.BDP(A35,"RR902")</f>
        <v>193774634446.06799</v>
      </c>
      <c r="U35" s="5" t="s">
        <v>542</v>
      </c>
      <c r="V35" s="39" t="s">
        <v>804</v>
      </c>
      <c r="W35" s="39" t="str">
        <f>_xll.BDP(U35,"DS003")</f>
        <v>AU</v>
      </c>
      <c r="X35" s="40">
        <f>_xll.BDP(U35,"PX_LAST")</f>
        <v>36.5</v>
      </c>
      <c r="Y35" s="40">
        <f>_xll.BDP(U35,"CHG_PCT_1D")</f>
        <v>-8.2124279999999994E-2</v>
      </c>
      <c r="Z35" s="40">
        <f>_xll.BDP(U35,"HIGH_52WEEK")</f>
        <v>42.33</v>
      </c>
      <c r="AA35" s="40">
        <f t="shared" si="4"/>
        <v>14.818379394438649</v>
      </c>
      <c r="AB35" s="40">
        <f>_xll.BDP(U35,"LOW_52WEEK")</f>
        <v>29.054600000000001</v>
      </c>
      <c r="AC35" s="40">
        <f t="shared" si="5"/>
        <v>-22.813544214977558</v>
      </c>
      <c r="AD35" s="40">
        <f>_xll.BDP(U35,"CHG_PCT_5D")</f>
        <v>-3.1316350000000002</v>
      </c>
      <c r="AE35" s="40">
        <f>_xll.BDP(U35,"CHG_PCT_1M")</f>
        <v>4.4349049999999997</v>
      </c>
      <c r="AF35" s="40">
        <f>_xll.BDP(U35,"CHG_PCT_3M")</f>
        <v>-12.99166</v>
      </c>
      <c r="AG35" s="40">
        <f>_xll.BDP(U35,"CHG_PCT_6M")</f>
        <v>-3.6939350000000002</v>
      </c>
      <c r="AH35" s="40">
        <f>_xll.BDP(U35,"PR064")</f>
        <v>-12.99166</v>
      </c>
      <c r="AI35" s="40">
        <f>_xll.BDP(U35,"CHG_PCT_1YR")</f>
        <v>10.432270000000001</v>
      </c>
      <c r="AJ35" s="40">
        <f>_xll.BDP(U35,"INTERVAL_HIGH", "MARKET_DATA_OVERRIDE=PE_RATIO", "CALC_INTERVAL=5y", "BEST_FPERIOD_OVERRIDE=BF")</f>
        <v>24.979431632831275</v>
      </c>
      <c r="AK35" s="40">
        <f>_xll.BDP(U35,"INTERVAL_Low", "MARKET_DATA_OVERRIDE=PE_RATIO", "CALC_INTERVAL=5y", "BEST_FPERIOD_OVERRIDE=BF")</f>
        <v>6.2879647935294409</v>
      </c>
      <c r="AL35" s="40">
        <f>_xll.BDP(U35,"PE_RATIO")</f>
        <v>14.73097594476249</v>
      </c>
      <c r="AM35" s="48">
        <f t="shared" si="6"/>
        <v>0.4517040435521224</v>
      </c>
      <c r="AN35" s="9" t="s">
        <v>584</v>
      </c>
      <c r="AO35" s="9" t="s">
        <v>884</v>
      </c>
      <c r="AP35" s="10">
        <f>_xll.BDP(AN35,"PX_LAST")</f>
        <v>1181.8050000000001</v>
      </c>
      <c r="AQ35" s="10">
        <f>_xll.BDP(AN35,"CHG_PCT_1D")</f>
        <v>-0.36219509999999999</v>
      </c>
      <c r="AR35" s="10">
        <f>_xll.BDP(AN35,"HIGH_52WEEK")</f>
        <v>1190.425</v>
      </c>
      <c r="AS35" s="10">
        <f t="shared" ref="AS35:AS58" si="11">LN(AR35/AP35)*100</f>
        <v>0.72674554654435042</v>
      </c>
      <c r="AT35" s="10">
        <f>_xll.BDP(AN35,"LOW_52WEEK")</f>
        <v>1048.404</v>
      </c>
      <c r="AU35" s="10">
        <f t="shared" ref="AU35:AU58" si="12">LN(AT35/AP35)*100</f>
        <v>-11.977392295731455</v>
      </c>
      <c r="AV35" s="10">
        <f>_xll.BDP(AN35,"CHG_PCT_5D")</f>
        <v>-0.1749319</v>
      </c>
      <c r="AW35" s="10">
        <f>_xll.BDP(AN35,"CHG_PCT_1M")</f>
        <v>-7.1024340000000005E-2</v>
      </c>
      <c r="AX35" s="10">
        <f>_xll.BDP(AN35,"CHG_PCT_3M")</f>
        <v>1.2280450000000001</v>
      </c>
      <c r="AY35" s="10">
        <f>_xll.BDP(AN35,"CHG_PCT_6M")</f>
        <v>4.9312560000000003</v>
      </c>
      <c r="AZ35" s="10">
        <f>_xll.BDP(AN35,"PR064")</f>
        <v>1.2280450000000001</v>
      </c>
      <c r="BA35" s="10">
        <f>_xll.BDP(AN35,"CHG_PCT_1YR")</f>
        <v>10.294650000000001</v>
      </c>
    </row>
    <row r="36" spans="1:53" ht="17.25" thickBot="1" x14ac:dyDescent="0.3">
      <c r="A36" t="s">
        <v>467</v>
      </c>
      <c r="B36" s="39" t="s">
        <v>919</v>
      </c>
      <c r="C36" s="39" t="str">
        <f>_xll.BDP(A36,"DS003")</f>
        <v>EC</v>
      </c>
      <c r="D36" s="40">
        <f>_xll.BDP(A36,"PX_LAST")</f>
        <v>240.77</v>
      </c>
      <c r="E36" s="40">
        <f>_xll.BDP(A36,"CHG_PCT_1D")</f>
        <v>-4.9815270000000002E-2</v>
      </c>
      <c r="F36" s="40">
        <f>_xll.BDP(A36,"HIGH_52WEEK")</f>
        <v>254.13</v>
      </c>
      <c r="G36" s="40">
        <f t="shared" si="8"/>
        <v>5.4003826155831689</v>
      </c>
      <c r="H36" s="40">
        <f>_xll.BDP(A36,"LOW_52WEEK")</f>
        <v>215.24</v>
      </c>
      <c r="I36" s="40">
        <f t="shared" si="9"/>
        <v>-11.208843633451854</v>
      </c>
      <c r="J36" s="40">
        <f>_xll.BDP(A36,"CHG_PCT_5D")</f>
        <v>7.8975050000000005E-2</v>
      </c>
      <c r="K36" s="40">
        <f>_xll.BDP(A36,"CHG_PCT_1M")</f>
        <v>3.7935949999999998</v>
      </c>
      <c r="L36" s="40">
        <f>_xll.BDP(A36,"CHG_PCT_3M")</f>
        <v>7.2567750000000002</v>
      </c>
      <c r="M36" s="40">
        <f>_xll.BDP(A36,"CHG_PCT_6M")</f>
        <v>2.4684020000000002</v>
      </c>
      <c r="N36" s="40">
        <f>_xll.BDP(A36,"PR064")</f>
        <v>7.2567750000000002</v>
      </c>
      <c r="O36" s="40">
        <f>_xll.BDP(A36,"CHG_PCT_1YR")</f>
        <v>-4.5699560000000004</v>
      </c>
      <c r="P36" s="40">
        <f>_xll.BDP(A36,"INTERVAL_HIGH", "MARKET_DATA_OVERRIDE=PE_RATIO", "CALC_INTERVAL=5y", "BEST_FPERIOD_OVERRIDE=BF")</f>
        <v>42.86296578136961</v>
      </c>
      <c r="Q36" s="40">
        <f>_xll.BDP(A36,"INTERVAL_Low", "MARKET_DATA_OVERRIDE=PE_RATIO", "CALC_INTERVAL=5y", "BEST_FPERIOD_OVERRIDE=BF")</f>
        <v>13.423537070281744</v>
      </c>
      <c r="R36" s="40">
        <f>_xll.BDP(A36,"PE_RATIO")</f>
        <v>18.985643789239006</v>
      </c>
      <c r="S36" s="48">
        <f t="shared" si="10"/>
        <v>0.18893392169877224</v>
      </c>
      <c r="T36" s="6">
        <f>_xll.BDP(A36,"RR902")</f>
        <v>155215329651.84201</v>
      </c>
      <c r="U36" s="5" t="s">
        <v>523</v>
      </c>
      <c r="V36" s="37" t="s">
        <v>805</v>
      </c>
      <c r="W36" s="37" t="str">
        <f>_xll.BDP(U36,"DS003")</f>
        <v>FR</v>
      </c>
      <c r="X36" s="38">
        <f>_xll.BDP(U36,"PX_LAST")</f>
        <v>47.38</v>
      </c>
      <c r="Y36" s="38">
        <f>_xll.BDP(U36,"CHG_PCT_1D")</f>
        <v>0.40262769999999998</v>
      </c>
      <c r="Z36" s="38">
        <f>_xll.BDP(U36,"HIGH_52WEEK")</f>
        <v>56.82</v>
      </c>
      <c r="AA36" s="38">
        <f t="shared" si="4"/>
        <v>18.16881776954024</v>
      </c>
      <c r="AB36" s="38">
        <f>_xll.BDP(U36,"LOW_52WEEK")</f>
        <v>42.65</v>
      </c>
      <c r="AC36" s="38">
        <f t="shared" si="5"/>
        <v>-10.517292479295136</v>
      </c>
      <c r="AD36" s="38">
        <f>_xll.BDP(U36,"CHG_PCT_5D")</f>
        <v>-1.6298140000000001</v>
      </c>
      <c r="AE36" s="38">
        <f>_xll.BDP(U36,"CHG_PCT_1M")</f>
        <v>7.7675419999999997</v>
      </c>
      <c r="AF36" s="38">
        <f>_xll.BDP(U36,"CHG_PCT_3M")</f>
        <v>-3.5521630000000002</v>
      </c>
      <c r="AG36" s="38">
        <f>_xll.BDP(U36,"CHG_PCT_6M")</f>
        <v>-4.0113459999999996</v>
      </c>
      <c r="AH36" s="38">
        <f>_xll.BDP(U36,"PR064")</f>
        <v>-3.5521630000000002</v>
      </c>
      <c r="AI36" s="38">
        <f>_xll.BDP(U36,"CHG_PCT_1YR")</f>
        <v>-15.42306</v>
      </c>
      <c r="AJ36" s="38">
        <f>_xll.BDP(U36,"INTERVAL_HIGH", "MARKET_DATA_OVERRIDE=PE_RATIO", "CALC_INTERVAL=5y", "BEST_FPERIOD_OVERRIDE=BF")</f>
        <v>99.647383808422305</v>
      </c>
      <c r="AK36" s="38">
        <f>_xll.BDP(U36,"INTERVAL_Low", "MARKET_DATA_OVERRIDE=PE_RATIO", "CALC_INTERVAL=5y", "BEST_FPERIOD_OVERRIDE=BF")</f>
        <v>7.2250926664140422</v>
      </c>
      <c r="AL36" s="38">
        <f>_xll.BDP(U36,"PE_RATIO")</f>
        <v>12.745336986833021</v>
      </c>
      <c r="AM36" s="47">
        <f t="shared" si="6"/>
        <v>5.9728494632718405E-2</v>
      </c>
      <c r="AN36" s="9" t="s">
        <v>585</v>
      </c>
      <c r="AO36" s="9" t="s">
        <v>885</v>
      </c>
      <c r="AP36" s="10">
        <f>_xll.BDP(AN36,"PX_LAST")</f>
        <v>138.71539999999999</v>
      </c>
      <c r="AQ36" s="10">
        <f>_xll.BDP(AN36,"CHG_PCT_1D")</f>
        <v>-2.320761E-2</v>
      </c>
      <c r="AR36" s="10">
        <f>_xll.BDP(AN36,"HIGH_52WEEK")</f>
        <v>140.96530000000001</v>
      </c>
      <c r="AS36" s="10">
        <f t="shared" si="11"/>
        <v>1.6089408640525316</v>
      </c>
      <c r="AT36" s="10">
        <f>_xll.BDP(AN36,"LOW_52WEEK")</f>
        <v>126.6435</v>
      </c>
      <c r="AU36" s="10">
        <f t="shared" si="12"/>
        <v>-9.104829957126551</v>
      </c>
      <c r="AV36" s="10">
        <f>_xll.BDP(AN36,"CHG_PCT_5D")</f>
        <v>-0.47504249999999998</v>
      </c>
      <c r="AW36" s="10">
        <f>_xll.BDP(AN36,"CHG_PCT_1M")</f>
        <v>0.64515359999999999</v>
      </c>
      <c r="AX36" s="10">
        <f>_xll.BDP(AN36,"CHG_PCT_3M")</f>
        <v>-0.13901240000000001</v>
      </c>
      <c r="AY36" s="10">
        <f>_xll.BDP(AN36,"CHG_PCT_6M")</f>
        <v>3.1481520000000001</v>
      </c>
      <c r="AZ36" s="10">
        <f>_xll.BDP(AN36,"PR064")</f>
        <v>-0.13901240000000001</v>
      </c>
      <c r="BA36" s="10">
        <f>_xll.BDP(AN36,"CHG_PCT_1YR")</f>
        <v>7.9935919999999996</v>
      </c>
    </row>
    <row r="37" spans="1:53" x14ac:dyDescent="0.25">
      <c r="A37" t="s">
        <v>434</v>
      </c>
      <c r="B37" s="37" t="s">
        <v>712</v>
      </c>
      <c r="C37" s="37" t="str">
        <f>_xll.BDP(A37,"DS003")</f>
        <v>JN</v>
      </c>
      <c r="D37" s="38">
        <f>_xll.BDP(A37,"PX_LAST")</f>
        <v>2359.38</v>
      </c>
      <c r="E37" s="38">
        <f>_xll.BDP(A37,"CHG_PCT_1D")</f>
        <v>0.12264</v>
      </c>
      <c r="F37" s="38">
        <f>_xll.BDP(A37,"HIGH_52WEEK")</f>
        <v>2557.9299999999998</v>
      </c>
      <c r="G37" s="38">
        <f t="shared" si="8"/>
        <v>8.0799464994906813</v>
      </c>
      <c r="H37" s="38">
        <f>_xll.BDP(A37,"LOW_52WEEK")</f>
        <v>1851.48</v>
      </c>
      <c r="I37" s="38">
        <f t="shared" si="9"/>
        <v>-24.241355339750722</v>
      </c>
      <c r="J37" s="38">
        <f>_xll.BDP(A37,"CHG_PCT_5D")</f>
        <v>0.1745015</v>
      </c>
      <c r="K37" s="38">
        <f>_xll.BDP(A37,"CHG_PCT_1M")</f>
        <v>10.839779999999999</v>
      </c>
      <c r="L37" s="38">
        <f>_xll.BDP(A37,"CHG_PCT_3M")</f>
        <v>5.9000940000000002</v>
      </c>
      <c r="M37" s="38">
        <f>_xll.BDP(A37,"CHG_PCT_6M")</f>
        <v>6.5028889999999997</v>
      </c>
      <c r="N37" s="38">
        <f>_xll.BDP(A37,"PR064")</f>
        <v>5.9000940000000002</v>
      </c>
      <c r="O37" s="38">
        <f>_xll.BDP(A37,"CHG_PCT_1YR")</f>
        <v>-4.8218779999999999</v>
      </c>
      <c r="P37" s="38">
        <f>_xll.BDP(A37,"INTERVAL_HIGH", "MARKET_DATA_OVERRIDE=PE_RATIO", "CALC_INTERVAL=5y", "BEST_FPERIOD_OVERRIDE=BF")</f>
        <v>34.814087213964264</v>
      </c>
      <c r="Q37" s="38">
        <f>_xll.BDP(A37,"INTERVAL_Low", "MARKET_DATA_OVERRIDE=PE_RATIO", "CALC_INTERVAL=5y", "BEST_FPERIOD_OVERRIDE=BF")</f>
        <v>13.424980223190452</v>
      </c>
      <c r="R37" s="38">
        <f>_xll.BDP(A37,"PE_RATIO")</f>
        <v>17.815828677748581</v>
      </c>
      <c r="S37" s="47">
        <f t="shared" si="10"/>
        <v>0.20528432797367932</v>
      </c>
      <c r="T37" s="6">
        <f>_xll.BDP(A37,"RR902")</f>
        <v>75519694955558.297</v>
      </c>
      <c r="U37" s="5" t="s">
        <v>528</v>
      </c>
      <c r="V37" s="5" t="s">
        <v>806</v>
      </c>
      <c r="W37" s="5" t="str">
        <f>_xll.BDP(U37,"DS003")</f>
        <v>FR</v>
      </c>
      <c r="X37" s="6">
        <f>_xll.BDP(U37,"PX_LAST")</f>
        <v>360.9</v>
      </c>
      <c r="Y37" s="6">
        <f>_xll.BDP(U37,"CHG_PCT_1D")</f>
        <v>-8.3056480000000002E-2</v>
      </c>
      <c r="Z37" s="6">
        <f>_xll.BDP(U37,"HIGH_52WEEK")</f>
        <v>392.65</v>
      </c>
      <c r="AA37" s="6">
        <f t="shared" si="4"/>
        <v>8.4317718172140861</v>
      </c>
      <c r="AB37" s="6">
        <f>_xll.BDP(U37,"LOW_52WEEK")</f>
        <v>242.3</v>
      </c>
      <c r="AC37" s="6">
        <f t="shared" si="5"/>
        <v>-39.842428382626274</v>
      </c>
      <c r="AD37" s="6">
        <f>_xll.BDP(U37,"CHG_PCT_5D")</f>
        <v>-1.742445</v>
      </c>
      <c r="AE37" s="6">
        <f>_xll.BDP(U37,"CHG_PCT_1M")</f>
        <v>0.2917865</v>
      </c>
      <c r="AF37" s="6">
        <f>_xll.BDP(U37,"CHG_PCT_3M")</f>
        <v>-2.022535</v>
      </c>
      <c r="AG37" s="6">
        <f>_xll.BDP(U37,"CHG_PCT_6M")</f>
        <v>11.76835</v>
      </c>
      <c r="AH37" s="6">
        <f>_xll.BDP(U37,"PR064")</f>
        <v>-2.022535</v>
      </c>
      <c r="AI37" s="6">
        <f>_xll.BDP(U37,"CHG_PCT_1YR")</f>
        <v>17.308630000000001</v>
      </c>
      <c r="AJ37" s="6">
        <f>_xll.BDP(U37,"INTERVAL_HIGH", "MARKET_DATA_OVERRIDE=PE_RATIO", "CALC_INTERVAL=5y", "BEST_FPERIOD_OVERRIDE=BF")</f>
        <v>29.424724082850268</v>
      </c>
      <c r="AK37" s="6">
        <f>_xll.BDP(U37,"INTERVAL_Low", "MARKET_DATA_OVERRIDE=PE_RATIO", "CALC_INTERVAL=5y", "BEST_FPERIOD_OVERRIDE=BF")</f>
        <v>10.148077330949947</v>
      </c>
      <c r="AL37" s="6">
        <f>_xll.BDP(U37,"PE_RATIO")</f>
        <v>27.44020475126008</v>
      </c>
      <c r="AM37" s="43">
        <f t="shared" si="6"/>
        <v>0.89705059406172105</v>
      </c>
      <c r="AN37" s="9" t="s">
        <v>586</v>
      </c>
      <c r="AO37" s="9" t="s">
        <v>886</v>
      </c>
      <c r="AP37" s="10">
        <f>_xll.BDP(AN37,"PX_LAST")</f>
        <v>2949.6779999999999</v>
      </c>
      <c r="AQ37" s="10">
        <f>_xll.BDP(AN37,"CHG_PCT_1D")</f>
        <v>-0.40198099999999998</v>
      </c>
      <c r="AR37" s="10">
        <f>_xll.BDP(AN37,"HIGH_52WEEK")</f>
        <v>2972.3649999999998</v>
      </c>
      <c r="AS37" s="10">
        <f t="shared" si="11"/>
        <v>0.7661920383432379</v>
      </c>
      <c r="AT37" s="10">
        <f>_xll.BDP(AN37,"LOW_52WEEK")</f>
        <v>2683.2919999999999</v>
      </c>
      <c r="AU37" s="10">
        <f t="shared" si="12"/>
        <v>-9.465161293476763</v>
      </c>
      <c r="AV37" s="10">
        <f>_xll.BDP(AN37,"CHG_PCT_5D")</f>
        <v>0.19715440000000001</v>
      </c>
      <c r="AW37" s="10">
        <f>_xll.BDP(AN37,"CHG_PCT_1M")</f>
        <v>-0.54721799999999998</v>
      </c>
      <c r="AX37" s="10">
        <f>_xll.BDP(AN37,"CHG_PCT_3M")</f>
        <v>1.5576840000000001</v>
      </c>
      <c r="AY37" s="10">
        <f>_xll.BDP(AN37,"CHG_PCT_6M")</f>
        <v>4.4414049999999996</v>
      </c>
      <c r="AZ37" s="10">
        <f>_xll.BDP(AN37,"PR064")</f>
        <v>1.5576840000000001</v>
      </c>
      <c r="BA37" s="10">
        <f>_xll.BDP(AN37,"CHG_PCT_1YR")</f>
        <v>9.3185529999999996</v>
      </c>
    </row>
    <row r="38" spans="1:53" x14ac:dyDescent="0.25">
      <c r="A38" t="s">
        <v>437</v>
      </c>
      <c r="B38" s="5" t="s">
        <v>710</v>
      </c>
      <c r="C38" s="5" t="str">
        <f>_xll.BDP(A38,"DS003")</f>
        <v>JN</v>
      </c>
      <c r="D38" s="6">
        <f>_xll.BDP(A38,"PX_LAST")</f>
        <v>3690.82</v>
      </c>
      <c r="E38" s="6">
        <f>_xll.BDP(A38,"CHG_PCT_1D")</f>
        <v>8.7862499999999996E-2</v>
      </c>
      <c r="F38" s="6">
        <f>_xll.BDP(A38,"HIGH_52WEEK")</f>
        <v>4010.69</v>
      </c>
      <c r="G38" s="6">
        <f t="shared" si="8"/>
        <v>8.311464075464249</v>
      </c>
      <c r="H38" s="6">
        <f>_xll.BDP(A38,"LOW_52WEEK")</f>
        <v>2907.67</v>
      </c>
      <c r="I38" s="6">
        <f t="shared" si="9"/>
        <v>-23.849658241005375</v>
      </c>
      <c r="J38" s="6">
        <f>_xll.BDP(A38,"CHG_PCT_5D")</f>
        <v>0.5259414</v>
      </c>
      <c r="K38" s="6">
        <f>_xll.BDP(A38,"CHG_PCT_1M")</f>
        <v>3.3035809999999999</v>
      </c>
      <c r="L38" s="6">
        <f>_xll.BDP(A38,"CHG_PCT_3M")</f>
        <v>1.6841699999999999</v>
      </c>
      <c r="M38" s="6">
        <f>_xll.BDP(A38,"CHG_PCT_6M")</f>
        <v>5.2475189999999996</v>
      </c>
      <c r="N38" s="6">
        <f>_xll.BDP(A38,"PR064")</f>
        <v>1.6841699999999999</v>
      </c>
      <c r="O38" s="6">
        <f>_xll.BDP(A38,"CHG_PCT_1YR")</f>
        <v>-5.9402439999999999</v>
      </c>
      <c r="P38" s="6">
        <f>_xll.BDP(A38,"INTERVAL_HIGH", "MARKET_DATA_OVERRIDE=PE_RATIO", "CALC_INTERVAL=5y", "BEST_FPERIOD_OVERRIDE=BF")</f>
        <v>18.864905426695699</v>
      </c>
      <c r="Q38" s="6">
        <f>_xll.BDP(A38,"INTERVAL_Low", "MARKET_DATA_OVERRIDE=PE_RATIO", "CALC_INTERVAL=5y", "BEST_FPERIOD_OVERRIDE=BF")</f>
        <v>9.1625474087787726</v>
      </c>
      <c r="R38" s="6">
        <f>_xll.BDP(A38,"PE_RATIO")</f>
        <v>10.947834550591358</v>
      </c>
      <c r="S38" s="43">
        <f t="shared" si="10"/>
        <v>0.18400549005878492</v>
      </c>
      <c r="T38" s="6">
        <f>_xll.BDP(A38,"RR902")</f>
        <v>72114527632174</v>
      </c>
      <c r="U38" s="5" t="s">
        <v>534</v>
      </c>
      <c r="V38" s="5" t="s">
        <v>807</v>
      </c>
      <c r="W38" s="5" t="str">
        <f>_xll.BDP(U38,"DS003")</f>
        <v>FR</v>
      </c>
      <c r="X38" s="6">
        <f>_xll.BDP(U38,"PX_LAST")</f>
        <v>85.25</v>
      </c>
      <c r="Y38" s="6">
        <f>_xll.BDP(U38,"CHG_PCT_1D")</f>
        <v>0.44774360000000002</v>
      </c>
      <c r="Z38" s="6">
        <f>_xll.BDP(U38,"HIGH_52WEEK")</f>
        <v>85.9</v>
      </c>
      <c r="AA38" s="6">
        <f t="shared" si="4"/>
        <v>0.75957128265836849</v>
      </c>
      <c r="AB38" s="6">
        <f>_xll.BDP(U38,"LOW_52WEEK")</f>
        <v>71.739999999999995</v>
      </c>
      <c r="AC38" s="6">
        <f t="shared" si="5"/>
        <v>-17.253964405948977</v>
      </c>
      <c r="AD38" s="6">
        <f>_xll.BDP(U38,"CHG_PCT_5D")</f>
        <v>4.7040040000000003</v>
      </c>
      <c r="AE38" s="6">
        <f>_xll.BDP(U38,"CHG_PCT_1M")</f>
        <v>9.4773300000000003</v>
      </c>
      <c r="AF38" s="6">
        <f>_xll.BDP(U38,"CHG_PCT_3M")</f>
        <v>12.645350000000001</v>
      </c>
      <c r="AG38" s="6">
        <f>_xll.BDP(U38,"CHG_PCT_6M")</f>
        <v>9.7309789999999996</v>
      </c>
      <c r="AH38" s="6">
        <f>_xll.BDP(U38,"PR064")</f>
        <v>12.645350000000001</v>
      </c>
      <c r="AI38" s="6">
        <f>_xll.BDP(U38,"CHG_PCT_1YR")</f>
        <v>10.84384</v>
      </c>
      <c r="AJ38" s="6">
        <f>_xll.BDP(U38,"INTERVAL_HIGH", "MARKET_DATA_OVERRIDE=PE_RATIO", "CALC_INTERVAL=5y", "BEST_FPERIOD_OVERRIDE=BF")</f>
        <v>29.738136173054876</v>
      </c>
      <c r="AK38" s="6">
        <f>_xll.BDP(U38,"INTERVAL_Low", "MARKET_DATA_OVERRIDE=PE_RATIO", "CALC_INTERVAL=5y", "BEST_FPERIOD_OVERRIDE=BF")</f>
        <v>16.94158368917665</v>
      </c>
      <c r="AL38" s="6">
        <f>_xll.BDP(U38,"PE_RATIO")</f>
        <v>29.614360237762497</v>
      </c>
      <c r="AM38" s="43">
        <f t="shared" si="6"/>
        <v>0.99032739986427454</v>
      </c>
      <c r="AN38" s="9" t="s">
        <v>587</v>
      </c>
      <c r="AO38" s="9" t="s">
        <v>629</v>
      </c>
      <c r="AP38" s="10">
        <f>_xll.BDP(AN38,"PX_LAST")</f>
        <v>56.34</v>
      </c>
      <c r="AQ38" s="10">
        <f>_xll.BDP(AN38,"CHG_PCT_1D")</f>
        <v>-0.12409147314304766</v>
      </c>
      <c r="AR38" s="10">
        <f>_xll.BDP(AN38,"HIGH_52WEEK")</f>
        <v>76.900000000000006</v>
      </c>
      <c r="AS38" s="10">
        <f t="shared" si="11"/>
        <v>31.110111406337175</v>
      </c>
      <c r="AT38" s="10">
        <f>_xll.BDP(AN38,"LOW_52WEEK")</f>
        <v>42.36</v>
      </c>
      <c r="AU38" s="10">
        <f t="shared" si="12"/>
        <v>-28.520024171502094</v>
      </c>
      <c r="AV38" s="10">
        <f>_xll.BDP(AN38,"CHG_PCT_5D")</f>
        <v>-3.0125667068342228</v>
      </c>
      <c r="AW38" s="10">
        <f>_xll.BDP(AN38,"CHG_PCT_1M")</f>
        <v>2.5669033315128416</v>
      </c>
      <c r="AX38" s="10">
        <f>_xll.BDP(AN38,"CHG_PCT_3M")</f>
        <v>-5.1993942453306357</v>
      </c>
      <c r="AY38" s="10">
        <f>_xll.BDP(AN38,"CHG_PCT_6M")</f>
        <v>-5.167480222184806</v>
      </c>
      <c r="AZ38" s="10">
        <f>_xll.BDP(AN38,"PR064")</f>
        <v>-5.1993942453306357</v>
      </c>
      <c r="BA38" s="10">
        <f>_xll.BDP(AN38,"CHG_PCT_1YR")</f>
        <v>-21.880199667221298</v>
      </c>
    </row>
    <row r="39" spans="1:53" x14ac:dyDescent="0.25">
      <c r="A39" t="s">
        <v>436</v>
      </c>
      <c r="B39" s="5" t="s">
        <v>715</v>
      </c>
      <c r="C39" s="5" t="str">
        <f>_xll.BDP(A39,"DS003")</f>
        <v>JN</v>
      </c>
      <c r="D39" s="6">
        <f>_xll.BDP(A39,"PX_LAST")</f>
        <v>2720.85</v>
      </c>
      <c r="E39" s="6">
        <f>_xll.BDP(A39,"CHG_PCT_1D")</f>
        <v>1.0915969999999999</v>
      </c>
      <c r="F39" s="6">
        <f>_xll.BDP(A39,"HIGH_52WEEK")</f>
        <v>3128.08</v>
      </c>
      <c r="G39" s="6">
        <f t="shared" si="8"/>
        <v>13.947506631363776</v>
      </c>
      <c r="H39" s="6">
        <f>_xll.BDP(A39,"LOW_52WEEK")</f>
        <v>2389.3200000000002</v>
      </c>
      <c r="I39" s="6">
        <f t="shared" si="9"/>
        <v>-12.993552485814449</v>
      </c>
      <c r="J39" s="6">
        <f>_xll.BDP(A39,"CHG_PCT_5D")</f>
        <v>0.57293519999999998</v>
      </c>
      <c r="K39" s="6">
        <f>_xll.BDP(A39,"CHG_PCT_1M")</f>
        <v>10.169700000000001</v>
      </c>
      <c r="L39" s="6">
        <f>_xll.BDP(A39,"CHG_PCT_3M")</f>
        <v>5.7347070000000002</v>
      </c>
      <c r="M39" s="6">
        <f>_xll.BDP(A39,"CHG_PCT_6M")</f>
        <v>1.929308</v>
      </c>
      <c r="N39" s="6">
        <f>_xll.BDP(A39,"PR064")</f>
        <v>5.7347070000000002</v>
      </c>
      <c r="O39" s="6">
        <f>_xll.BDP(A39,"CHG_PCT_1YR")</f>
        <v>-11.18289</v>
      </c>
      <c r="P39" s="6">
        <f>_xll.BDP(A39,"INTERVAL_HIGH", "MARKET_DATA_OVERRIDE=PE_RATIO", "CALC_INTERVAL=5y", "BEST_FPERIOD_OVERRIDE=BF")</f>
        <v>14.20750078304394</v>
      </c>
      <c r="Q39" s="6">
        <f>_xll.BDP(A39,"INTERVAL_Low", "MARKET_DATA_OVERRIDE=PE_RATIO", "CALC_INTERVAL=5y", "BEST_FPERIOD_OVERRIDE=BF")</f>
        <v>7.0064074438881496</v>
      </c>
      <c r="R39" s="6">
        <f>_xll.BDP(A39,"PE_RATIO")</f>
        <v>12.180655136517061</v>
      </c>
      <c r="S39" s="43">
        <f t="shared" si="10"/>
        <v>0.71853640120091899</v>
      </c>
      <c r="T39" s="6">
        <f>_xll.BDP(A39,"RR902")</f>
        <v>53106942014734</v>
      </c>
      <c r="U39" s="5" t="s">
        <v>545</v>
      </c>
      <c r="V39" s="5" t="s">
        <v>808</v>
      </c>
      <c r="W39" s="5" t="str">
        <f>_xll.BDP(U39,"DS003")</f>
        <v>FR</v>
      </c>
      <c r="X39" s="6">
        <f>_xll.BDP(U39,"PX_LAST")</f>
        <v>251.1</v>
      </c>
      <c r="Y39" s="6">
        <f>_xll.BDP(U39,"CHG_PCT_1D")</f>
        <v>1.9488430000000001</v>
      </c>
      <c r="Z39" s="6">
        <f>_xll.BDP(U39,"HIGH_52WEEK")</f>
        <v>257.8</v>
      </c>
      <c r="AA39" s="6">
        <f t="shared" si="4"/>
        <v>2.6332824341547658</v>
      </c>
      <c r="AB39" s="6">
        <f>_xll.BDP(U39,"LOW_52WEEK")</f>
        <v>182</v>
      </c>
      <c r="AC39" s="6">
        <f t="shared" si="5"/>
        <v>-32.184457908674403</v>
      </c>
      <c r="AD39" s="6">
        <f>_xll.BDP(U39,"CHG_PCT_5D")</f>
        <v>1.5365949999999999</v>
      </c>
      <c r="AE39" s="6">
        <f>_xll.BDP(U39,"CHG_PCT_1M")</f>
        <v>2.8676750000000002</v>
      </c>
      <c r="AF39" s="6">
        <f>_xll.BDP(U39,"CHG_PCT_3M")</f>
        <v>1.25</v>
      </c>
      <c r="AG39" s="6">
        <f>_xll.BDP(U39,"CHG_PCT_6M")</f>
        <v>5.3271839999999999</v>
      </c>
      <c r="AH39" s="6">
        <f>_xll.BDP(U39,"PR064")</f>
        <v>1.25</v>
      </c>
      <c r="AI39" s="6">
        <f>_xll.BDP(U39,"CHG_PCT_1YR")</f>
        <v>20.721150000000002</v>
      </c>
      <c r="AJ39" s="6">
        <f>_xll.BDP(U39,"INTERVAL_HIGH", "MARKET_DATA_OVERRIDE=PE_RATIO", "CALC_INTERVAL=5y", "BEST_FPERIOD_OVERRIDE=BF")</f>
        <v>36.693654782765229</v>
      </c>
      <c r="AK39" s="6">
        <f>_xll.BDP(U39,"INTERVAL_Low", "MARKET_DATA_OVERRIDE=PE_RATIO", "CALC_INTERVAL=5y", "BEST_FPERIOD_OVERRIDE=BF")</f>
        <v>22.637863557451713</v>
      </c>
      <c r="AL39" s="6">
        <f>_xll.BDP(U39,"PE_RATIO")</f>
        <v>35.638344488023556</v>
      </c>
      <c r="AM39" s="43">
        <f t="shared" si="6"/>
        <v>0.92491989402623365</v>
      </c>
      <c r="AN39" s="9" t="s">
        <v>588</v>
      </c>
      <c r="AO39" s="9" t="s">
        <v>630</v>
      </c>
      <c r="AP39" s="10">
        <f>_xll.BDP(AN39,"PX_LAST")</f>
        <v>62.74</v>
      </c>
      <c r="AQ39" s="10">
        <f>_xll.BDP(AN39,"CHG_PCT_1D")</f>
        <v>0.56098733771437959</v>
      </c>
      <c r="AR39" s="10">
        <f>_xll.BDP(AN39,"HIGH_52WEEK")</f>
        <v>86.74</v>
      </c>
      <c r="AS39" s="10">
        <f t="shared" si="11"/>
        <v>32.391593564468792</v>
      </c>
      <c r="AT39" s="10">
        <f>_xll.BDP(AN39,"LOW_52WEEK")</f>
        <v>49.93</v>
      </c>
      <c r="AU39" s="10">
        <f t="shared" si="12"/>
        <v>-22.837717825001423</v>
      </c>
      <c r="AV39" s="10">
        <f>_xll.BDP(AN39,"CHG_PCT_5D")</f>
        <v>-2.5776397515528005</v>
      </c>
      <c r="AW39" s="10">
        <f>_xll.BDP(AN39,"CHG_PCT_1M")</f>
        <v>6.8824531516183969</v>
      </c>
      <c r="AX39" s="10">
        <f>_xll.BDP(AN39,"CHG_PCT_3M")</f>
        <v>-5.6399458565197671</v>
      </c>
      <c r="AY39" s="10">
        <f>_xll.BDP(AN39,"CHG_PCT_6M")</f>
        <v>-7.6945711343239616</v>
      </c>
      <c r="AZ39" s="10">
        <f>_xll.BDP(AN39,"PR064")</f>
        <v>-5.6399458565197671</v>
      </c>
      <c r="BA39" s="10">
        <f>_xll.BDP(AN39,"CHG_PCT_1YR")</f>
        <v>-22.866978116547827</v>
      </c>
    </row>
    <row r="40" spans="1:53" x14ac:dyDescent="0.25">
      <c r="A40" t="s">
        <v>439</v>
      </c>
      <c r="B40" s="5" t="s">
        <v>714</v>
      </c>
      <c r="C40" s="5" t="str">
        <f>_xll.BDP(A40,"DS003")</f>
        <v>JN</v>
      </c>
      <c r="D40" s="6">
        <f>_xll.BDP(A40,"PX_LAST")</f>
        <v>1969.8</v>
      </c>
      <c r="E40" s="6">
        <f>_xll.BDP(A40,"CHG_PCT_1D")</f>
        <v>0.1576244</v>
      </c>
      <c r="F40" s="6">
        <f>_xll.BDP(A40,"HIGH_52WEEK")</f>
        <v>2294.71</v>
      </c>
      <c r="G40" s="6">
        <f t="shared" si="8"/>
        <v>15.267445911896345</v>
      </c>
      <c r="H40" s="6">
        <f>_xll.BDP(A40,"LOW_52WEEK")</f>
        <v>1696.6</v>
      </c>
      <c r="I40" s="6">
        <f t="shared" si="9"/>
        <v>-14.93057663619676</v>
      </c>
      <c r="J40" s="6">
        <f>_xll.BDP(A40,"CHG_PCT_5D")</f>
        <v>1.4571130000000001</v>
      </c>
      <c r="K40" s="6">
        <f>_xll.BDP(A40,"CHG_PCT_1M")</f>
        <v>9.5824870000000004</v>
      </c>
      <c r="L40" s="6">
        <f>_xll.BDP(A40,"CHG_PCT_3M")</f>
        <v>3.0106250000000001</v>
      </c>
      <c r="M40" s="6">
        <f>_xll.BDP(A40,"CHG_PCT_6M")</f>
        <v>-0.17179759999999999</v>
      </c>
      <c r="N40" s="6">
        <f>_xll.BDP(A40,"PR064")</f>
        <v>3.0106250000000001</v>
      </c>
      <c r="O40" s="6">
        <f>_xll.BDP(A40,"CHG_PCT_1YR")</f>
        <v>-11.04468</v>
      </c>
      <c r="P40" s="6">
        <f>_xll.BDP(A40,"INTERVAL_HIGH", "MARKET_DATA_OVERRIDE=PE_RATIO", "CALC_INTERVAL=5y", "BEST_FPERIOD_OVERRIDE=BF")</f>
        <v>23.293117280172535</v>
      </c>
      <c r="Q40" s="6">
        <f>_xll.BDP(A40,"INTERVAL_Low", "MARKET_DATA_OVERRIDE=PE_RATIO", "CALC_INTERVAL=5y", "BEST_FPERIOD_OVERRIDE=BF")</f>
        <v>12.271949240755569</v>
      </c>
      <c r="R40" s="6">
        <f>_xll.BDP(A40,"PE_RATIO")</f>
        <v>16.069899947378762</v>
      </c>
      <c r="S40" s="43">
        <f t="shared" si="10"/>
        <v>0.34460509929981148</v>
      </c>
      <c r="T40" s="6">
        <f>_xll.BDP(A40,"RR902")</f>
        <v>42768823792583.195</v>
      </c>
      <c r="U40" s="5" t="s">
        <v>556</v>
      </c>
      <c r="V40" s="5" t="s">
        <v>809</v>
      </c>
      <c r="W40" s="5" t="str">
        <f>_xll.BDP(U40,"DS003")</f>
        <v>FR</v>
      </c>
      <c r="X40" s="6">
        <f>_xll.BDP(U40,"PX_LAST")</f>
        <v>78.66</v>
      </c>
      <c r="Y40" s="6">
        <f>_xll.BDP(U40,"CHG_PCT_1D")</f>
        <v>1.339861</v>
      </c>
      <c r="Z40" s="6">
        <f>_xll.BDP(U40,"HIGH_52WEEK")</f>
        <v>82.2</v>
      </c>
      <c r="AA40" s="6">
        <f t="shared" si="4"/>
        <v>4.4020535058470935</v>
      </c>
      <c r="AB40" s="6">
        <f>_xll.BDP(U40,"LOW_52WEEK")</f>
        <v>57.54</v>
      </c>
      <c r="AC40" s="6">
        <f t="shared" si="5"/>
        <v>-31.265440888026163</v>
      </c>
      <c r="AD40" s="6">
        <f>_xll.BDP(U40,"CHG_PCT_5D")</f>
        <v>-3.1280790000000001</v>
      </c>
      <c r="AE40" s="6">
        <f>_xll.BDP(U40,"CHG_PCT_1M")</f>
        <v>6.8459620000000001</v>
      </c>
      <c r="AF40" s="6">
        <f>_xll.BDP(U40,"CHG_PCT_3M")</f>
        <v>-0.40517009999999998</v>
      </c>
      <c r="AG40" s="6">
        <f>_xll.BDP(U40,"CHG_PCT_6M")</f>
        <v>14.033049999999999</v>
      </c>
      <c r="AH40" s="6">
        <f>_xll.BDP(U40,"PR064")</f>
        <v>-0.40517009999999998</v>
      </c>
      <c r="AI40" s="6">
        <f>_xll.BDP(U40,"CHG_PCT_1YR")</f>
        <v>12.115159999999999</v>
      </c>
      <c r="AJ40" s="6">
        <f>_xll.BDP(U40,"INTERVAL_HIGH", "MARKET_DATA_OVERRIDE=PE_RATIO", "CALC_INTERVAL=5y", "BEST_FPERIOD_OVERRIDE=BF")</f>
        <v>22.655480176554857</v>
      </c>
      <c r="AK40" s="6">
        <f>_xll.BDP(U40,"INTERVAL_Low", "MARKET_DATA_OVERRIDE=PE_RATIO", "CALC_INTERVAL=5y", "BEST_FPERIOD_OVERRIDE=BF")</f>
        <v>13.110823516672513</v>
      </c>
      <c r="AL40" s="6">
        <f>_xll.BDP(U40,"PE_RATIO")</f>
        <v>19.316924425080707</v>
      </c>
      <c r="AM40" s="43">
        <f t="shared" si="6"/>
        <v>0.65021730268134093</v>
      </c>
      <c r="AN40" s="9" t="s">
        <v>589</v>
      </c>
      <c r="AO40" s="9" t="s">
        <v>631</v>
      </c>
      <c r="AP40" s="10">
        <f>_xll.BDP(AN40,"PX_LAST")</f>
        <v>2053</v>
      </c>
      <c r="AQ40" s="10">
        <f>_xll.BDP(AN40,"CHG_PCT_1D")</f>
        <v>-2.9773160000000001</v>
      </c>
      <c r="AR40" s="10">
        <f>_xll.BDP(AN40,"HIGH_52WEEK")</f>
        <v>2518</v>
      </c>
      <c r="AS40" s="10">
        <f t="shared" si="11"/>
        <v>20.416279758535897</v>
      </c>
      <c r="AT40" s="10">
        <f>_xll.BDP(AN40,"LOW_52WEEK")</f>
        <v>595</v>
      </c>
      <c r="AU40" s="10">
        <f t="shared" si="12"/>
        <v>-123.84960114733036</v>
      </c>
      <c r="AV40" s="10">
        <f>_xll.BDP(AN40,"CHG_PCT_5D")</f>
        <v>-6.3412410000000001</v>
      </c>
      <c r="AW40" s="10">
        <f>_xll.BDP(AN40,"CHG_PCT_1M")</f>
        <v>-7.2300050000000002</v>
      </c>
      <c r="AX40" s="10">
        <f>_xll.BDP(AN40,"CHG_PCT_3M")</f>
        <v>53.208950000000002</v>
      </c>
      <c r="AY40" s="10">
        <f>_xll.BDP(AN40,"CHG_PCT_6M")</f>
        <v>197.53620000000001</v>
      </c>
      <c r="AZ40" s="10">
        <f>_xll.BDP(AN40,"PR064")</f>
        <v>53.208950000000002</v>
      </c>
      <c r="BA40" s="10">
        <f>_xll.BDP(AN40,"CHG_PCT_1YR")</f>
        <v>34.711280000000002</v>
      </c>
    </row>
    <row r="41" spans="1:53" x14ac:dyDescent="0.25">
      <c r="A41" t="s">
        <v>435</v>
      </c>
      <c r="B41" s="5" t="s">
        <v>713</v>
      </c>
      <c r="C41" s="5" t="str">
        <f>_xll.BDP(A41,"DS003")</f>
        <v>JN</v>
      </c>
      <c r="D41" s="6">
        <f>_xll.BDP(A41,"PX_LAST")</f>
        <v>147.19999999999999</v>
      </c>
      <c r="E41" s="6">
        <f>_xll.BDP(A41,"CHG_PCT_1D")</f>
        <v>0.69088170000000004</v>
      </c>
      <c r="F41" s="6">
        <f>_xll.BDP(A41,"HIGH_52WEEK")</f>
        <v>188.64</v>
      </c>
      <c r="G41" s="6">
        <f t="shared" si="8"/>
        <v>24.804823049428492</v>
      </c>
      <c r="H41" s="6">
        <f>_xll.BDP(A41,"LOW_52WEEK")</f>
        <v>127.48</v>
      </c>
      <c r="I41" s="6">
        <f t="shared" si="9"/>
        <v>-14.383271674564014</v>
      </c>
      <c r="J41" s="6">
        <f>_xll.BDP(A41,"CHG_PCT_5D")</f>
        <v>1.454272</v>
      </c>
      <c r="K41" s="6">
        <f>_xll.BDP(A41,"CHG_PCT_1M")</f>
        <v>13.90544</v>
      </c>
      <c r="L41" s="6">
        <f>_xll.BDP(A41,"CHG_PCT_3M")</f>
        <v>5.8611969999999998</v>
      </c>
      <c r="M41" s="6">
        <f>_xll.BDP(A41,"CHG_PCT_6M")</f>
        <v>-2.1861980000000001</v>
      </c>
      <c r="N41" s="6">
        <f>_xll.BDP(A41,"PR064")</f>
        <v>5.8611969999999998</v>
      </c>
      <c r="O41" s="6">
        <f>_xll.BDP(A41,"CHG_PCT_1YR")</f>
        <v>-19.747029999999999</v>
      </c>
      <c r="P41" s="6">
        <f>_xll.BDP(A41,"INTERVAL_HIGH", "MARKET_DATA_OVERRIDE=PE_RATIO", "CALC_INTERVAL=5y", "BEST_FPERIOD_OVERRIDE=BF")</f>
        <v>11.914053421749841</v>
      </c>
      <c r="Q41" s="6">
        <f>_xll.BDP(A41,"INTERVAL_Low", "MARKET_DATA_OVERRIDE=PE_RATIO", "CALC_INTERVAL=5y", "BEST_FPERIOD_OVERRIDE=BF")</f>
        <v>6.3530427362895274</v>
      </c>
      <c r="R41" s="6">
        <f>_xll.BDP(A41,"PE_RATIO")</f>
        <v>9.3642328419040766</v>
      </c>
      <c r="S41" s="43">
        <f t="shared" si="10"/>
        <v>0.54148252465824875</v>
      </c>
      <c r="T41" s="6">
        <f>_xll.BDP(A41,"RR902")</f>
        <v>33437033067795</v>
      </c>
      <c r="U41" s="5" t="s">
        <v>560</v>
      </c>
      <c r="V41" s="5" t="s">
        <v>810</v>
      </c>
      <c r="W41" s="5" t="str">
        <f>_xll.BDP(U41,"DS003")</f>
        <v>FR</v>
      </c>
      <c r="X41" s="6">
        <f>_xll.BDP(U41,"PX_LAST")</f>
        <v>23.055</v>
      </c>
      <c r="Y41" s="6">
        <f>_xll.BDP(U41,"CHG_PCT_1D")</f>
        <v>0.30454639999999999</v>
      </c>
      <c r="Z41" s="6">
        <f>_xll.BDP(U41,"HIGH_52WEEK")</f>
        <v>23.984999999999999</v>
      </c>
      <c r="AA41" s="6">
        <f t="shared" si="4"/>
        <v>3.9545969295358301</v>
      </c>
      <c r="AB41" s="6">
        <f>_xll.BDP(U41,"LOW_52WEEK")</f>
        <v>18.398</v>
      </c>
      <c r="AC41" s="6">
        <f t="shared" si="5"/>
        <v>-22.564070260370332</v>
      </c>
      <c r="AD41" s="6">
        <f>_xll.BDP(U41,"CHG_PCT_5D")</f>
        <v>0.65487879999999998</v>
      </c>
      <c r="AE41" s="6">
        <f>_xll.BDP(U41,"CHG_PCT_1M")</f>
        <v>8.4686000000000003</v>
      </c>
      <c r="AF41" s="6">
        <f>_xll.BDP(U41,"CHG_PCT_3M")</f>
        <v>0.23913039999999999</v>
      </c>
      <c r="AG41" s="6">
        <f>_xll.BDP(U41,"CHG_PCT_6M")</f>
        <v>2.5578310000000002</v>
      </c>
      <c r="AH41" s="6">
        <f>_xll.BDP(U41,"PR064")</f>
        <v>0.23913039999999999</v>
      </c>
      <c r="AI41" s="6">
        <f>_xll.BDP(U41,"CHG_PCT_1YR")</f>
        <v>-2.2471869999999998</v>
      </c>
      <c r="AJ41" s="6">
        <f>_xll.BDP(U41,"INTERVAL_HIGH", "MARKET_DATA_OVERRIDE=PE_RATIO", "CALC_INTERVAL=5y", "BEST_FPERIOD_OVERRIDE=BF")</f>
        <v>38.702086314728341</v>
      </c>
      <c r="AK41" s="6">
        <f>_xll.BDP(U41,"INTERVAL_Low", "MARKET_DATA_OVERRIDE=PE_RATIO", "CALC_INTERVAL=5y", "BEST_FPERIOD_OVERRIDE=BF")</f>
        <v>5.7765731230847965</v>
      </c>
      <c r="AL41" s="6">
        <f>_xll.BDP(U41,"PE_RATIO")</f>
        <v>37.365017244430547</v>
      </c>
      <c r="AM41" s="43">
        <f t="shared" si="6"/>
        <v>0.95939109399706668</v>
      </c>
      <c r="AN41" s="9" t="s">
        <v>590</v>
      </c>
      <c r="AO41" s="9" t="s">
        <v>632</v>
      </c>
      <c r="AP41" s="10">
        <f>_xll.BDP(AN41,"PX_LAST")</f>
        <v>818.33</v>
      </c>
      <c r="AQ41" s="10">
        <f>_xll.BDP(AN41,"CHG_PCT_1D")</f>
        <v>-0.67</v>
      </c>
      <c r="AR41" s="10">
        <f>_xll.BDP(AN41,"HIGH_52WEEK")</f>
        <v>891.32</v>
      </c>
      <c r="AS41" s="10">
        <f t="shared" si="11"/>
        <v>8.5437831786307825</v>
      </c>
      <c r="AT41" s="10">
        <f>_xll.BDP(AN41,"LOW_52WEEK")</f>
        <v>792.15</v>
      </c>
      <c r="AU41" s="10">
        <f t="shared" si="12"/>
        <v>-3.2514910411407869</v>
      </c>
      <c r="AV41" s="10">
        <f>_xll.BDP(AN41,"CHG_PCT_5D")</f>
        <v>-0.67</v>
      </c>
      <c r="AW41" s="10">
        <f>_xll.BDP(AN41,"CHG_PCT_1M")</f>
        <v>-1.43</v>
      </c>
      <c r="AX41" s="10">
        <f>_xll.BDP(AN41,"CHG_PCT_3M")</f>
        <v>0.85</v>
      </c>
      <c r="AY41" s="10">
        <f>_xll.BDP(AN41,"CHG_PCT_6M")</f>
        <v>-0.33</v>
      </c>
      <c r="AZ41" s="10">
        <f>_xll.BDP(AN41,"PR064")</f>
        <v>0.85</v>
      </c>
      <c r="BA41" s="10">
        <f>_xll.BDP(AN41,"CHG_PCT_1YR")</f>
        <v>-4.55</v>
      </c>
    </row>
    <row r="42" spans="1:53" ht="17.25" thickBot="1" x14ac:dyDescent="0.3">
      <c r="A42" t="s">
        <v>438</v>
      </c>
      <c r="B42" s="39" t="s">
        <v>711</v>
      </c>
      <c r="C42" s="39" t="str">
        <f>_xll.BDP(A42,"DS003")</f>
        <v>JN</v>
      </c>
      <c r="D42" s="40">
        <f>_xll.BDP(A42,"PX_LAST")</f>
        <v>442.5</v>
      </c>
      <c r="E42" s="40">
        <f>_xll.BDP(A42,"CHG_PCT_1D")</f>
        <v>-0.56850100000000003</v>
      </c>
      <c r="F42" s="40">
        <f>_xll.BDP(A42,"HIGH_52WEEK")</f>
        <v>517.01</v>
      </c>
      <c r="G42" s="40">
        <f t="shared" si="8"/>
        <v>15.562175223315183</v>
      </c>
      <c r="H42" s="40">
        <f>_xll.BDP(A42,"LOW_52WEEK")</f>
        <v>392.57</v>
      </c>
      <c r="I42" s="40">
        <f t="shared" si="9"/>
        <v>-11.972559917786796</v>
      </c>
      <c r="J42" s="40">
        <f>_xll.BDP(A42,"CHG_PCT_5D")</f>
        <v>2.3855240000000002</v>
      </c>
      <c r="K42" s="40">
        <f>_xll.BDP(A42,"CHG_PCT_1M")</f>
        <v>10.605639999999999</v>
      </c>
      <c r="L42" s="40">
        <f>_xll.BDP(A42,"CHG_PCT_3M")</f>
        <v>9.2295960000000008</v>
      </c>
      <c r="M42" s="40">
        <f>_xll.BDP(A42,"CHG_PCT_6M")</f>
        <v>-11.971830000000001</v>
      </c>
      <c r="N42" s="40">
        <f>_xll.BDP(A42,"PR064")</f>
        <v>9.2295960000000008</v>
      </c>
      <c r="O42" s="40">
        <f>_xll.BDP(A42,"CHG_PCT_1YR")</f>
        <v>-8.9581119999999999</v>
      </c>
      <c r="P42" s="40">
        <f>_xll.BDP(A42,"INTERVAL_HIGH", "MARKET_DATA_OVERRIDE=PE_RATIO", "CALC_INTERVAL=5y", "BEST_FPERIOD_OVERRIDE=BF")</f>
        <v>35.555853306622609</v>
      </c>
      <c r="Q42" s="40">
        <f>_xll.BDP(A42,"INTERVAL_Low", "MARKET_DATA_OVERRIDE=PE_RATIO", "CALC_INTERVAL=5y", "BEST_FPERIOD_OVERRIDE=BF")</f>
        <v>6.3152317568989984</v>
      </c>
      <c r="R42" s="40">
        <f>_xll.BDP(A42,"PE_RATIO")</f>
        <v>7.5381307180875092</v>
      </c>
      <c r="S42" s="48">
        <f t="shared" si="10"/>
        <v>4.1821920888684735E-2</v>
      </c>
      <c r="T42" s="6">
        <f>_xll.BDP(A42,"RR902")</f>
        <v>9272561759448</v>
      </c>
      <c r="U42" s="5" t="s">
        <v>567</v>
      </c>
      <c r="V42" s="5" t="s">
        <v>811</v>
      </c>
      <c r="W42" s="5" t="str">
        <f>_xll.BDP(U42,"DS003")</f>
        <v>FR</v>
      </c>
      <c r="X42" s="6">
        <f>_xll.BDP(U42,"PX_LAST")</f>
        <v>14.295</v>
      </c>
      <c r="Y42" s="6">
        <f>_xll.BDP(U42,"CHG_PCT_1D")</f>
        <v>0.8465608</v>
      </c>
      <c r="Z42" s="6">
        <f>_xll.BDP(U42,"HIGH_52WEEK")</f>
        <v>15.25</v>
      </c>
      <c r="AA42" s="6">
        <f t="shared" si="4"/>
        <v>6.4669677279145565</v>
      </c>
      <c r="AB42" s="6">
        <f>_xll.BDP(U42,"LOW_52WEEK")</f>
        <v>13.08</v>
      </c>
      <c r="AC42" s="6">
        <f t="shared" si="5"/>
        <v>-8.8825479745222449</v>
      </c>
      <c r="AD42" s="6">
        <f>_xll.BDP(U42,"CHG_PCT_5D")</f>
        <v>1.8525119999999999</v>
      </c>
      <c r="AE42" s="6">
        <f>_xll.BDP(U42,"CHG_PCT_1M")</f>
        <v>5.7322449999999998</v>
      </c>
      <c r="AF42" s="6">
        <f>_xll.BDP(U42,"CHG_PCT_3M")</f>
        <v>3.3622570000000001</v>
      </c>
      <c r="AG42" s="6">
        <f>_xll.BDP(U42,"CHG_PCT_6M")</f>
        <v>-0.72916400000000003</v>
      </c>
      <c r="AH42" s="6">
        <f>_xll.BDP(U42,"PR064")</f>
        <v>3.3622570000000001</v>
      </c>
      <c r="AI42" s="6">
        <f>_xll.BDP(U42,"CHG_PCT_1YR")</f>
        <v>3.0270269999999999</v>
      </c>
      <c r="AJ42" s="6">
        <f>_xll.BDP(U42,"INTERVAL_HIGH", "MARKET_DATA_OVERRIDE=PE_RATIO", "CALC_INTERVAL=5y", "BEST_FPERIOD_OVERRIDE=BF")</f>
        <v>217.90925079513622</v>
      </c>
      <c r="AK42" s="6">
        <f>_xll.BDP(U42,"INTERVAL_Low", "MARKET_DATA_OVERRIDE=PE_RATIO", "CALC_INTERVAL=5y", "BEST_FPERIOD_OVERRIDE=BF")</f>
        <v>13.893838062590129</v>
      </c>
      <c r="AL42" s="6">
        <f>_xll.BDP(U42,"PE_RATIO")</f>
        <v>19.87929198889422</v>
      </c>
      <c r="AM42" s="43">
        <f t="shared" si="6"/>
        <v>2.9338243842148923E-2</v>
      </c>
      <c r="AN42" s="9" t="s">
        <v>591</v>
      </c>
      <c r="AO42" s="9" t="s">
        <v>633</v>
      </c>
      <c r="AP42" s="10">
        <f>_xll.BDP(AN42,"PX_LAST")</f>
        <v>176.22800000000001</v>
      </c>
      <c r="AQ42" s="10">
        <f>_xll.BDP(AN42,"CHG_PCT_1D")</f>
        <v>-0.23115289999999999</v>
      </c>
      <c r="AR42" s="10">
        <f>_xll.BDP(AN42,"HIGH_52WEEK")</f>
        <v>201.72049999999999</v>
      </c>
      <c r="AS42" s="10">
        <f t="shared" si="11"/>
        <v>13.510446468243433</v>
      </c>
      <c r="AT42" s="10">
        <f>_xll.BDP(AN42,"LOW_52WEEK")</f>
        <v>167.37909999999999</v>
      </c>
      <c r="AU42" s="10">
        <f t="shared" si="12"/>
        <v>-5.1517311602567517</v>
      </c>
      <c r="AV42" s="10">
        <f>_xll.BDP(AN42,"CHG_PCT_5D")</f>
        <v>-0.86462430000000001</v>
      </c>
      <c r="AW42" s="10">
        <f>_xll.BDP(AN42,"CHG_PCT_1M")</f>
        <v>3.8465449999999999</v>
      </c>
      <c r="AX42" s="10">
        <f>_xll.BDP(AN42,"CHG_PCT_3M")</f>
        <v>-3.4244889999999999</v>
      </c>
      <c r="AY42" s="10">
        <f>_xll.BDP(AN42,"CHG_PCT_6M")</f>
        <v>-4.1948119999999998</v>
      </c>
      <c r="AZ42" s="10">
        <f>_xll.BDP(AN42,"PR064")</f>
        <v>-3.4244889999999999</v>
      </c>
      <c r="BA42" s="10">
        <f>_xll.BDP(AN42,"CHG_PCT_1YR")</f>
        <v>-9.2421830000000007</v>
      </c>
    </row>
    <row r="43" spans="1:53" x14ac:dyDescent="0.25">
      <c r="A43" t="s">
        <v>429</v>
      </c>
      <c r="B43" s="37" t="s">
        <v>718</v>
      </c>
      <c r="C43" s="37" t="str">
        <f>_xll.BDP(A43,"DS003")</f>
        <v>SK</v>
      </c>
      <c r="D43" s="38">
        <f>_xll.BDP(A43,"PX_LAST")</f>
        <v>17846.21</v>
      </c>
      <c r="E43" s="38">
        <f>_xll.BDP(A43,"CHG_PCT_1D")</f>
        <v>0.80195519999999998</v>
      </c>
      <c r="F43" s="38">
        <f>_xll.BDP(A43,"HIGH_52WEEK")</f>
        <v>18031.939999999999</v>
      </c>
      <c r="G43" s="38">
        <f t="shared" si="8"/>
        <v>1.035346912241393</v>
      </c>
      <c r="H43" s="38">
        <f>_xll.BDP(A43,"LOW_52WEEK")</f>
        <v>13681.11</v>
      </c>
      <c r="I43" s="38">
        <f t="shared" si="9"/>
        <v>-26.57751114979655</v>
      </c>
      <c r="J43" s="38">
        <f>_xll.BDP(A43,"CHG_PCT_5D")</f>
        <v>-6.7419820000000005E-2</v>
      </c>
      <c r="K43" s="38">
        <f>_xll.BDP(A43,"CHG_PCT_1M")</f>
        <v>10.96471</v>
      </c>
      <c r="L43" s="38">
        <f>_xll.BDP(A43,"CHG_PCT_3M")</f>
        <v>5.1531279999999997</v>
      </c>
      <c r="M43" s="38">
        <f>_xll.BDP(A43,"CHG_PCT_6M")</f>
        <v>6.6143720000000004</v>
      </c>
      <c r="N43" s="38">
        <f>_xll.BDP(A43,"PR064")</f>
        <v>5.1531279999999997</v>
      </c>
      <c r="O43" s="38">
        <f>_xll.BDP(A43,"CHG_PCT_1YR")</f>
        <v>0.5177446</v>
      </c>
      <c r="P43" s="38">
        <f>_xll.BDP(A43,"INTERVAL_HIGH", "MARKET_DATA_OVERRIDE=PE_RATIO", "CALC_INTERVAL=5y", "BEST_FPERIOD_OVERRIDE=BF")</f>
        <v>16.47510501841132</v>
      </c>
      <c r="Q43" s="38">
        <f>_xll.BDP(A43,"INTERVAL_Low", "MARKET_DATA_OVERRIDE=PE_RATIO", "CALC_INTERVAL=5y", "BEST_FPERIOD_OVERRIDE=BF")</f>
        <v>5.3724788968288282</v>
      </c>
      <c r="R43" s="38">
        <f>_xll.BDP(A43,"PE_RATIO")</f>
        <v>10.202338095357424</v>
      </c>
      <c r="S43" s="47">
        <f t="shared" si="10"/>
        <v>0.43501953012177819</v>
      </c>
      <c r="T43" s="6">
        <f>_xll.BDP(A43,"RR902")</f>
        <v>409014606465429</v>
      </c>
      <c r="U43" s="5" t="s">
        <v>576</v>
      </c>
      <c r="V43" s="5" t="s">
        <v>812</v>
      </c>
      <c r="W43" s="5" t="str">
        <f>_xll.BDP(U43,"DS003")</f>
        <v>FR</v>
      </c>
      <c r="X43" s="6">
        <f>_xll.BDP(U43,"PX_LAST")</f>
        <v>24.93</v>
      </c>
      <c r="Y43" s="6">
        <f>_xll.BDP(U43,"CHG_PCT_1D")</f>
        <v>6.02047E-2</v>
      </c>
      <c r="Z43" s="6">
        <f>_xll.BDP(U43,"HIGH_52WEEK")</f>
        <v>38.04</v>
      </c>
      <c r="AA43" s="6">
        <f t="shared" si="4"/>
        <v>42.256634014172306</v>
      </c>
      <c r="AB43" s="6">
        <f>_xll.BDP(U43,"LOW_52WEEK")</f>
        <v>20.81</v>
      </c>
      <c r="AC43" s="6">
        <f t="shared" si="5"/>
        <v>-18.063825712992351</v>
      </c>
      <c r="AD43" s="6">
        <f>_xll.BDP(U43,"CHG_PCT_5D")</f>
        <v>-4.0969420000000003</v>
      </c>
      <c r="AE43" s="6">
        <f>_xll.BDP(U43,"CHG_PCT_1M")</f>
        <v>11.17057</v>
      </c>
      <c r="AF43" s="6">
        <f>_xll.BDP(U43,"CHG_PCT_3M")</f>
        <v>13.36971</v>
      </c>
      <c r="AG43" s="6">
        <f>_xll.BDP(U43,"CHG_PCT_6M")</f>
        <v>-4.0046179999999998</v>
      </c>
      <c r="AH43" s="6">
        <f>_xll.BDP(U43,"PR064")</f>
        <v>13.36971</v>
      </c>
      <c r="AI43" s="6">
        <f>_xll.BDP(U43,"CHG_PCT_1YR")</f>
        <v>-34.463720000000002</v>
      </c>
      <c r="AJ43" s="6">
        <f>_xll.BDP(U43,"INTERVAL_HIGH", "MARKET_DATA_OVERRIDE=PE_RATIO", "CALC_INTERVAL=5y", "BEST_FPERIOD_OVERRIDE=BF")</f>
        <v>12.745826277933627</v>
      </c>
      <c r="AK43" s="6">
        <f>_xll.BDP(U43,"INTERVAL_Low", "MARKET_DATA_OVERRIDE=PE_RATIO", "CALC_INTERVAL=5y", "BEST_FPERIOD_OVERRIDE=BF")</f>
        <v>4.3878173575957016</v>
      </c>
      <c r="AL43" s="6">
        <f>_xll.BDP(U43,"PE_RATIO")</f>
        <v>5.854989389194218</v>
      </c>
      <c r="AM43" s="43">
        <f t="shared" si="6"/>
        <v>0.17554085495510532</v>
      </c>
      <c r="AN43" s="9" t="s">
        <v>592</v>
      </c>
      <c r="AO43" s="9" t="s">
        <v>634</v>
      </c>
      <c r="AP43" s="10">
        <f>_xll.BDP(AN43,"PX_LAST")</f>
        <v>1504</v>
      </c>
      <c r="AQ43" s="10">
        <f>_xll.BDP(AN43,"CHG_PCT_1D")</f>
        <v>-0.25863784070562312</v>
      </c>
      <c r="AR43" s="10">
        <f>_xll.BDP(AN43,"HIGH_52WEEK")</f>
        <v>1559.8</v>
      </c>
      <c r="AS43" s="10">
        <f t="shared" si="11"/>
        <v>3.6429382386612588</v>
      </c>
      <c r="AT43" s="10">
        <f>_xll.BDP(AN43,"LOW_52WEEK")</f>
        <v>1180</v>
      </c>
      <c r="AU43" s="10">
        <f t="shared" si="12"/>
        <v>-24.261378705007473</v>
      </c>
      <c r="AV43" s="10">
        <f>_xll.BDP(AN43,"CHG_PCT_5D")</f>
        <v>-0.2652519893899204</v>
      </c>
      <c r="AW43" s="10">
        <f>_xll.BDP(AN43,"CHG_PCT_1M")</f>
        <v>-2.4010382868267359</v>
      </c>
      <c r="AX43" s="10">
        <f>_xll.BDP(AN43,"CHG_PCT_3M")</f>
        <v>6.5155807365439093</v>
      </c>
      <c r="AY43" s="10">
        <f>_xll.BDP(AN43,"CHG_PCT_6M")</f>
        <v>14.774114774114766</v>
      </c>
      <c r="AZ43" s="10">
        <f>_xll.BDP(AN43,"PR064")</f>
        <v>6.5155807365439093</v>
      </c>
      <c r="BA43" s="10">
        <f>_xll.BDP(AN43,"CHG_PCT_1YR")</f>
        <v>27.209676055146755</v>
      </c>
    </row>
    <row r="44" spans="1:53" x14ac:dyDescent="0.25">
      <c r="A44" t="s">
        <v>430</v>
      </c>
      <c r="B44" s="5" t="s">
        <v>719</v>
      </c>
      <c r="C44" s="5" t="str">
        <f>_xll.BDP(A44,"DS003")</f>
        <v>SK</v>
      </c>
      <c r="D44" s="6">
        <f>_xll.BDP(A44,"PX_LAST")</f>
        <v>396.66</v>
      </c>
      <c r="E44" s="6">
        <f>_xll.BDP(A44,"CHG_PCT_1D")</f>
        <v>-3.7801469999999997E-2</v>
      </c>
      <c r="F44" s="6">
        <f>_xll.BDP(A44,"HIGH_52WEEK")</f>
        <v>495.6</v>
      </c>
      <c r="G44" s="6">
        <f t="shared" si="8"/>
        <v>22.268965918144563</v>
      </c>
      <c r="H44" s="6">
        <f>_xll.BDP(A44,"LOW_52WEEK")</f>
        <v>365.05</v>
      </c>
      <c r="I44" s="6">
        <f t="shared" si="9"/>
        <v>-8.3045160071447039</v>
      </c>
      <c r="J44" s="6">
        <f>_xll.BDP(A44,"CHG_PCT_5D")</f>
        <v>-1.1587050000000001</v>
      </c>
      <c r="K44" s="6">
        <f>_xll.BDP(A44,"CHG_PCT_1M")</f>
        <v>7.7529089999999998</v>
      </c>
      <c r="L44" s="6">
        <f>_xll.BDP(A44,"CHG_PCT_3M")</f>
        <v>-10.15832</v>
      </c>
      <c r="M44" s="6">
        <f>_xll.BDP(A44,"CHG_PCT_6M")</f>
        <v>-10.539260000000001</v>
      </c>
      <c r="N44" s="6">
        <f>_xll.BDP(A44,"PR064")</f>
        <v>-10.15832</v>
      </c>
      <c r="O44" s="6">
        <f>_xll.BDP(A44,"CHG_PCT_1YR")</f>
        <v>-18.182379999999998</v>
      </c>
      <c r="P44" s="6">
        <f>_xll.BDP(A44,"INTERVAL_HIGH", "MARKET_DATA_OVERRIDE=PE_RATIO", "CALC_INTERVAL=5y", "BEST_FPERIOD_OVERRIDE=BF")</f>
        <v>14.162290381265485</v>
      </c>
      <c r="Q44" s="6">
        <f>_xll.BDP(A44,"INTERVAL_Low", "MARKET_DATA_OVERRIDE=PE_RATIO", "CALC_INTERVAL=5y", "BEST_FPERIOD_OVERRIDE=BF")</f>
        <v>6.4123817375082348</v>
      </c>
      <c r="R44" s="6">
        <f>_xll.BDP(A44,"PE_RATIO")</f>
        <v>6.9107556046207588</v>
      </c>
      <c r="S44" s="43">
        <f t="shared" si="10"/>
        <v>6.4307063479254925E-2</v>
      </c>
      <c r="T44" s="6">
        <f>_xll.BDP(A44,"RR902")</f>
        <v>205775237528138</v>
      </c>
      <c r="U44" s="5" t="s">
        <v>519</v>
      </c>
      <c r="V44" s="5" t="s">
        <v>813</v>
      </c>
      <c r="W44" s="5" t="str">
        <f>_xll.BDP(U44,"DS003")</f>
        <v>GB</v>
      </c>
      <c r="X44" s="6">
        <f>_xll.BDP(U44,"PX_LAST")</f>
        <v>619.20000000000005</v>
      </c>
      <c r="Y44" s="6">
        <f>_xll.BDP(U44,"CHG_PCT_1D")</f>
        <v>0.55212729999999999</v>
      </c>
      <c r="Z44" s="6">
        <f>_xll.BDP(U44,"HIGH_52WEEK")</f>
        <v>687.7</v>
      </c>
      <c r="AA44" s="6">
        <f t="shared" si="4"/>
        <v>10.492437405027303</v>
      </c>
      <c r="AB44" s="6">
        <f>_xll.BDP(U44,"LOW_52WEEK")</f>
        <v>578.20000000000005</v>
      </c>
      <c r="AC44" s="6">
        <f t="shared" si="5"/>
        <v>-6.8508492693271723</v>
      </c>
      <c r="AD44" s="6">
        <f>_xll.BDP(U44,"CHG_PCT_5D")</f>
        <v>0.51948050000000001</v>
      </c>
      <c r="AE44" s="6">
        <f>_xll.BDP(U44,"CHG_PCT_1M")</f>
        <v>5.5934470000000003</v>
      </c>
      <c r="AF44" s="6">
        <f>_xll.BDP(U44,"CHG_PCT_3M")</f>
        <v>-4.6944759999999999</v>
      </c>
      <c r="AG44" s="6">
        <f>_xll.BDP(U44,"CHG_PCT_6M")</f>
        <v>1.1103810000000001</v>
      </c>
      <c r="AH44" s="6">
        <f>_xll.BDP(U44,"PR064")</f>
        <v>-4.6944759999999999</v>
      </c>
      <c r="AI44" s="6">
        <f>_xll.BDP(U44,"CHG_PCT_1YR")</f>
        <v>-9.1149260000000005</v>
      </c>
      <c r="AJ44" s="6">
        <f>_xll.BDP(U44,"INTERVAL_HIGH", "MARKET_DATA_OVERRIDE=PE_RATIO", "CALC_INTERVAL=5y", "BEST_FPERIOD_OVERRIDE=BF")</f>
        <v>197.31251377012006</v>
      </c>
      <c r="AK44" s="6">
        <f>_xll.BDP(U44,"INTERVAL_Low", "MARKET_DATA_OVERRIDE=PE_RATIO", "CALC_INTERVAL=5y", "BEST_FPERIOD_OVERRIDE=BF")</f>
        <v>6.9829748821107938</v>
      </c>
      <c r="AL44" s="6">
        <f>_xll.BDP(U44,"PE_RATIO")</f>
        <v>11.225276691885556</v>
      </c>
      <c r="AM44" s="43">
        <f t="shared" si="6"/>
        <v>2.2289245455856178E-2</v>
      </c>
      <c r="AN44" s="9" t="s">
        <v>593</v>
      </c>
      <c r="AO44" s="9" t="s">
        <v>635</v>
      </c>
      <c r="AP44" s="10">
        <f>_xll.BDP(AN44,"PX_LAST")</f>
        <v>931.80000000000007</v>
      </c>
      <c r="AQ44" s="10">
        <f>_xll.BDP(AN44,"CHG_PCT_1D")</f>
        <v>-0.45935263326568399</v>
      </c>
      <c r="AR44" s="10">
        <f>_xll.BDP(AN44,"HIGH_52WEEK")</f>
        <v>1000.8</v>
      </c>
      <c r="AS44" s="10">
        <f t="shared" si="11"/>
        <v>7.1436759770004947</v>
      </c>
      <c r="AT44" s="10">
        <f>_xll.BDP(AN44,"LOW_52WEEK")</f>
        <v>778.6</v>
      </c>
      <c r="AU44" s="10">
        <f t="shared" si="12"/>
        <v>-17.962076420634109</v>
      </c>
      <c r="AV44" s="10">
        <f>_xll.BDP(AN44,"CHG_PCT_5D")</f>
        <v>-1.1457670273710963</v>
      </c>
      <c r="AW44" s="10">
        <f>_xll.BDP(AN44,"CHG_PCT_1M")</f>
        <v>7.3255010366275073</v>
      </c>
      <c r="AX44" s="10">
        <f>_xll.BDP(AN44,"CHG_PCT_3M")</f>
        <v>14.668963819837563</v>
      </c>
      <c r="AY44" s="10">
        <f>_xll.BDP(AN44,"CHG_PCT_6M")</f>
        <v>8.7915936952714624</v>
      </c>
      <c r="AZ44" s="10">
        <f>_xll.BDP(AN44,"PR064")</f>
        <v>14.668963819837563</v>
      </c>
      <c r="BA44" s="10">
        <f>_xll.BDP(AN44,"CHG_PCT_1YR")</f>
        <v>14.99444650129583</v>
      </c>
    </row>
    <row r="45" spans="1:53" x14ac:dyDescent="0.25">
      <c r="A45" t="s">
        <v>431</v>
      </c>
      <c r="B45" s="5" t="s">
        <v>717</v>
      </c>
      <c r="C45" s="5" t="str">
        <f>_xll.BDP(A45,"DS003")</f>
        <v>SK</v>
      </c>
      <c r="D45" s="6">
        <f>_xll.BDP(A45,"PX_LAST")</f>
        <v>4461.99</v>
      </c>
      <c r="E45" s="6">
        <f>_xll.BDP(A45,"CHG_PCT_1D")</f>
        <v>-0.53788130000000001</v>
      </c>
      <c r="F45" s="6">
        <f>_xll.BDP(A45,"HIGH_52WEEK")</f>
        <v>5671.9</v>
      </c>
      <c r="G45" s="6">
        <f t="shared" si="8"/>
        <v>23.992930374860165</v>
      </c>
      <c r="H45" s="6">
        <f>_xll.BDP(A45,"LOW_52WEEK")</f>
        <v>4089.49</v>
      </c>
      <c r="I45" s="6">
        <f t="shared" si="9"/>
        <v>-8.717458695716978</v>
      </c>
      <c r="J45" s="6">
        <f>_xll.BDP(A45,"CHG_PCT_5D")</f>
        <v>-2.5655749999999999</v>
      </c>
      <c r="K45" s="6">
        <f>_xll.BDP(A45,"CHG_PCT_1M")</f>
        <v>5.8864219999999996</v>
      </c>
      <c r="L45" s="6">
        <f>_xll.BDP(A45,"CHG_PCT_3M")</f>
        <v>-5.8951589999999996</v>
      </c>
      <c r="M45" s="6">
        <f>_xll.BDP(A45,"CHG_PCT_6M")</f>
        <v>-12.46125</v>
      </c>
      <c r="N45" s="6">
        <f>_xll.BDP(A45,"PR064")</f>
        <v>-5.8951589999999996</v>
      </c>
      <c r="O45" s="6">
        <f>_xll.BDP(A45,"CHG_PCT_1YR")</f>
        <v>-20.044329999999999</v>
      </c>
      <c r="P45" s="6">
        <f>_xll.BDP(A45,"INTERVAL_HIGH", "MARKET_DATA_OVERRIDE=PE_RATIO", "CALC_INTERVAL=5y", "BEST_FPERIOD_OVERRIDE=BF")</f>
        <v>37.124955157497112</v>
      </c>
      <c r="Q45" s="6">
        <f>_xll.BDP(A45,"INTERVAL_Low", "MARKET_DATA_OVERRIDE=PE_RATIO", "CALC_INTERVAL=5y", "BEST_FPERIOD_OVERRIDE=BF")</f>
        <v>11.352378592710568</v>
      </c>
      <c r="R45" s="6">
        <f>_xll.BDP(A45,"PE_RATIO")</f>
        <v>22.090847181653039</v>
      </c>
      <c r="S45" s="43">
        <f t="shared" si="10"/>
        <v>0.41666259335570666</v>
      </c>
      <c r="T45" s="6">
        <f>_xll.BDP(A45,"RR902")</f>
        <v>140306864263969.98</v>
      </c>
      <c r="U45" s="5" t="s">
        <v>524</v>
      </c>
      <c r="V45" s="5" t="s">
        <v>814</v>
      </c>
      <c r="W45" s="5" t="str">
        <f>_xll.BDP(U45,"DS003")</f>
        <v>GB</v>
      </c>
      <c r="X45" s="6">
        <f>_xll.BDP(U45,"PX_LAST")</f>
        <v>514.29999999999995</v>
      </c>
      <c r="Y45" s="6">
        <f>_xll.BDP(U45,"CHG_PCT_1D")</f>
        <v>1.1008450000000001</v>
      </c>
      <c r="Z45" s="6">
        <f>_xll.BDP(U45,"HIGH_52WEEK")</f>
        <v>603.20000000000005</v>
      </c>
      <c r="AA45" s="6">
        <f t="shared" si="4"/>
        <v>15.944206391287603</v>
      </c>
      <c r="AB45" s="6">
        <f>_xll.BDP(U45,"LOW_52WEEK")</f>
        <v>481.35</v>
      </c>
      <c r="AC45" s="6">
        <f t="shared" si="5"/>
        <v>-6.6212096556894835</v>
      </c>
      <c r="AD45" s="6">
        <f>_xll.BDP(U45,"CHG_PCT_5D")</f>
        <v>-0.50299859999999996</v>
      </c>
      <c r="AE45" s="6">
        <f>_xll.BDP(U45,"CHG_PCT_1M")</f>
        <v>5.3893440000000004</v>
      </c>
      <c r="AF45" s="6">
        <f>_xll.BDP(U45,"CHG_PCT_3M")</f>
        <v>-7.2497749999999996</v>
      </c>
      <c r="AG45" s="6">
        <f>_xll.BDP(U45,"CHG_PCT_6M")</f>
        <v>-6.5928040000000001</v>
      </c>
      <c r="AH45" s="6">
        <f>_xll.BDP(U45,"PR064")</f>
        <v>-7.2497749999999996</v>
      </c>
      <c r="AI45" s="6">
        <f>_xll.BDP(U45,"CHG_PCT_1YR")</f>
        <v>-12.23549</v>
      </c>
      <c r="AJ45" s="6">
        <f>_xll.BDP(U45,"INTERVAL_HIGH", "MARKET_DATA_OVERRIDE=PE_RATIO", "CALC_INTERVAL=5y", "BEST_FPERIOD_OVERRIDE=BF")</f>
        <v>1154.757711715592</v>
      </c>
      <c r="AK45" s="6">
        <f>_xll.BDP(U45,"INTERVAL_Low", "MARKET_DATA_OVERRIDE=PE_RATIO", "CALC_INTERVAL=5y", "BEST_FPERIOD_OVERRIDE=BF")</f>
        <v>8.598080055901292</v>
      </c>
      <c r="AL45" s="6">
        <f>_xll.BDP(U45,"PE_RATIO")</f>
        <v>14.389544029772635</v>
      </c>
      <c r="AM45" s="43">
        <f t="shared" si="6"/>
        <v>5.0529296390285907E-3</v>
      </c>
      <c r="AN45" s="9" t="s">
        <v>594</v>
      </c>
      <c r="AO45" s="9" t="s">
        <v>636</v>
      </c>
      <c r="AP45" s="10">
        <f>_xll.BDP(AN45,"PX_LAST")</f>
        <v>17.89</v>
      </c>
      <c r="AQ45" s="10">
        <f>_xll.BDP(AN45,"CHG_PCT_1D")</f>
        <v>-0.12282268870030406</v>
      </c>
      <c r="AR45" s="10">
        <f>_xll.BDP(AN45,"HIGH_52WEEK")</f>
        <v>19.54</v>
      </c>
      <c r="AS45" s="10">
        <f t="shared" si="11"/>
        <v>8.8221749094008768</v>
      </c>
      <c r="AT45" s="10">
        <f>_xll.BDP(AN45,"LOW_52WEEK")</f>
        <v>13.86</v>
      </c>
      <c r="AU45" s="10">
        <f t="shared" si="12"/>
        <v>-25.523490375887064</v>
      </c>
      <c r="AV45" s="10">
        <f>_xll.BDP(AN45,"CHG_PCT_5D")</f>
        <v>0.85691735257639545</v>
      </c>
      <c r="AW45" s="10">
        <f>_xll.BDP(AN45,"CHG_PCT_1M")</f>
        <v>-1.4487963422023806</v>
      </c>
      <c r="AX45" s="10">
        <f>_xll.BDP(AN45,"CHG_PCT_3M")</f>
        <v>17.658664912857617</v>
      </c>
      <c r="AY45" s="10">
        <f>_xll.BDP(AN45,"CHG_PCT_6M")</f>
        <v>17.396154603320426</v>
      </c>
      <c r="AZ45" s="10">
        <f>_xll.BDP(AN45,"PR064")</f>
        <v>17.658664912857617</v>
      </c>
      <c r="BA45" s="10">
        <f>_xll.BDP(AN45,"CHG_PCT_1YR")</f>
        <v>25.192442267319816</v>
      </c>
    </row>
    <row r="46" spans="1:53" x14ac:dyDescent="0.25">
      <c r="A46" t="s">
        <v>432</v>
      </c>
      <c r="B46" s="5" t="s">
        <v>720</v>
      </c>
      <c r="C46" s="5" t="str">
        <f>_xll.BDP(A46,"DS003")</f>
        <v>SK</v>
      </c>
      <c r="D46" s="6">
        <f>_xll.BDP(A46,"PX_LAST")</f>
        <v>1633.06</v>
      </c>
      <c r="E46" s="6">
        <f>_xll.BDP(A46,"CHG_PCT_1D")</f>
        <v>-1.1327240000000001</v>
      </c>
      <c r="F46" s="6">
        <f>_xll.BDP(A46,"HIGH_52WEEK")</f>
        <v>1678.25</v>
      </c>
      <c r="G46" s="6">
        <f t="shared" si="8"/>
        <v>2.7296028331089586</v>
      </c>
      <c r="H46" s="6">
        <f>_xll.BDP(A46,"LOW_52WEEK")</f>
        <v>1245.94</v>
      </c>
      <c r="I46" s="6">
        <f t="shared" si="9"/>
        <v>-27.05652903929164</v>
      </c>
      <c r="J46" s="6">
        <f>_xll.BDP(A46,"CHG_PCT_5D")</f>
        <v>0.75517659999999998</v>
      </c>
      <c r="K46" s="6">
        <f>_xll.BDP(A46,"CHG_PCT_1M")</f>
        <v>7.9452210000000001</v>
      </c>
      <c r="L46" s="6">
        <f>_xll.BDP(A46,"CHG_PCT_3M")</f>
        <v>0.50652079999999999</v>
      </c>
      <c r="M46" s="6">
        <f>_xll.BDP(A46,"CHG_PCT_6M")</f>
        <v>12.57592</v>
      </c>
      <c r="N46" s="6">
        <f>_xll.BDP(A46,"PR064")</f>
        <v>0.50652079999999999</v>
      </c>
      <c r="O46" s="6">
        <f>_xll.BDP(A46,"CHG_PCT_1YR")</f>
        <v>3.5371269999999999</v>
      </c>
      <c r="P46" s="6">
        <f>_xll.BDP(A46,"INTERVAL_HIGH", "MARKET_DATA_OVERRIDE=PE_RATIO", "CALC_INTERVAL=5y", "BEST_FPERIOD_OVERRIDE=BF")</f>
        <v>88.833433363722804</v>
      </c>
      <c r="Q46" s="6">
        <f>_xll.BDP(A46,"INTERVAL_Low", "MARKET_DATA_OVERRIDE=PE_RATIO", "CALC_INTERVAL=5y", "BEST_FPERIOD_OVERRIDE=BF")</f>
        <v>6.2555922421880119</v>
      </c>
      <c r="R46" s="6">
        <f>_xll.BDP(A46,"PE_RATIO")</f>
        <v>23.329836161033203</v>
      </c>
      <c r="S46" s="43">
        <f t="shared" si="10"/>
        <v>0.2067654432103159</v>
      </c>
      <c r="T46" s="6">
        <f>_xll.BDP(A46,"RR902")</f>
        <v>106303115732142</v>
      </c>
      <c r="U46" s="5" t="s">
        <v>527</v>
      </c>
      <c r="V46" s="5" t="s">
        <v>815</v>
      </c>
      <c r="W46" s="5" t="str">
        <f>_xll.BDP(U46,"DS003")</f>
        <v>GB</v>
      </c>
      <c r="X46" s="6">
        <f>_xll.BDP(U46,"PX_LAST")</f>
        <v>7379</v>
      </c>
      <c r="Y46" s="6">
        <f>_xll.BDP(U46,"CHG_PCT_1D")</f>
        <v>0.69596069999999999</v>
      </c>
      <c r="Z46" s="6">
        <f>_xll.BDP(U46,"HIGH_52WEEK")</f>
        <v>7583</v>
      </c>
      <c r="AA46" s="6">
        <f t="shared" si="4"/>
        <v>2.7270771642568805</v>
      </c>
      <c r="AB46" s="6">
        <f>_xll.BDP(U46,"LOW_52WEEK")</f>
        <v>5312</v>
      </c>
      <c r="AC46" s="6">
        <f t="shared" si="5"/>
        <v>-32.866971590209694</v>
      </c>
      <c r="AD46" s="6">
        <f>_xll.BDP(U46,"CHG_PCT_5D")</f>
        <v>3.5358499999999999</v>
      </c>
      <c r="AE46" s="6">
        <f>_xll.BDP(U46,"CHG_PCT_1M")</f>
        <v>0.90250240000000004</v>
      </c>
      <c r="AF46" s="6">
        <f>_xll.BDP(U46,"CHG_PCT_3M")</f>
        <v>15.930870000000001</v>
      </c>
      <c r="AG46" s="6">
        <f>_xll.BDP(U46,"CHG_PCT_6M")</f>
        <v>15.081099999999999</v>
      </c>
      <c r="AH46" s="6">
        <f>_xll.BDP(U46,"PR064")</f>
        <v>15.930870000000001</v>
      </c>
      <c r="AI46" s="6">
        <f>_xll.BDP(U46,"CHG_PCT_1YR")</f>
        <v>26.287870000000002</v>
      </c>
      <c r="AJ46" s="6">
        <f>_xll.BDP(U46,"INTERVAL_HIGH", "MARKET_DATA_OVERRIDE=PE_RATIO", "CALC_INTERVAL=5y", "BEST_FPERIOD_OVERRIDE=BF")</f>
        <v>74.912006932067385</v>
      </c>
      <c r="AK46" s="6">
        <f>_xll.BDP(U46,"INTERVAL_Low", "MARKET_DATA_OVERRIDE=PE_RATIO", "CALC_INTERVAL=5y", "BEST_FPERIOD_OVERRIDE=BF")</f>
        <v>16.854742435546118</v>
      </c>
      <c r="AL46" s="6">
        <f>_xll.BDP(U46,"PE_RATIO")</f>
        <v>52.886408430232564</v>
      </c>
      <c r="AM46" s="43">
        <f t="shared" si="6"/>
        <v>0.62062286790734733</v>
      </c>
      <c r="AN46" s="9" t="s">
        <v>595</v>
      </c>
      <c r="AO46" s="9" t="s">
        <v>637</v>
      </c>
      <c r="AP46" s="10">
        <f>_xll.BDP(AN46,"PX_LAST")</f>
        <v>1737</v>
      </c>
      <c r="AQ46" s="10">
        <f>_xll.BDP(AN46,"CHG_PCT_1D")</f>
        <v>-0.85616438356164382</v>
      </c>
      <c r="AR46" s="10">
        <f>_xll.BDP(AN46,"HIGH_52WEEK")</f>
        <v>2267</v>
      </c>
      <c r="AS46" s="10">
        <f t="shared" si="11"/>
        <v>26.629788426642403</v>
      </c>
      <c r="AT46" s="10">
        <f>_xll.BDP(AN46,"LOW_52WEEK")</f>
        <v>1734</v>
      </c>
      <c r="AU46" s="10">
        <f t="shared" si="12"/>
        <v>-0.17286089006177424</v>
      </c>
      <c r="AV46" s="10">
        <f>_xll.BDP(AN46,"CHG_PCT_5D")</f>
        <v>-3.5000000000000004</v>
      </c>
      <c r="AW46" s="10">
        <f>_xll.BDP(AN46,"CHG_PCT_1M")</f>
        <v>-1.8644067796610171</v>
      </c>
      <c r="AX46" s="10">
        <f>_xll.BDP(AN46,"CHG_PCT_3M")</f>
        <v>-4.5604395604395602</v>
      </c>
      <c r="AY46" s="10">
        <f>_xll.BDP(AN46,"CHG_PCT_6M")</f>
        <v>-7.9978813559322033</v>
      </c>
      <c r="AZ46" s="10">
        <f>_xll.BDP(AN46,"PR064")</f>
        <v>-4.5604395604395602</v>
      </c>
      <c r="BA46" s="10">
        <f>_xll.BDP(AN46,"CHG_PCT_1YR")</f>
        <v>-15.883777239709444</v>
      </c>
    </row>
    <row r="47" spans="1:53" ht="17.25" thickBot="1" x14ac:dyDescent="0.3">
      <c r="A47" t="s">
        <v>433</v>
      </c>
      <c r="B47" s="39" t="s">
        <v>716</v>
      </c>
      <c r="C47" s="39" t="str">
        <f>_xll.BDP(A47,"DS003")</f>
        <v>SK</v>
      </c>
      <c r="D47" s="40">
        <f>_xll.BDP(A47,"PX_LAST")</f>
        <v>3827.13</v>
      </c>
      <c r="E47" s="40">
        <f>_xll.BDP(A47,"CHG_PCT_1D")</f>
        <v>-0.25645240000000002</v>
      </c>
      <c r="F47" s="40">
        <f>_xll.BDP(A47,"HIGH_52WEEK")</f>
        <v>4850.8</v>
      </c>
      <c r="G47" s="40">
        <f t="shared" si="8"/>
        <v>23.702846476742469</v>
      </c>
      <c r="H47" s="40">
        <f>_xll.BDP(A47,"LOW_52WEEK")</f>
        <v>3481.88</v>
      </c>
      <c r="I47" s="40">
        <f t="shared" si="9"/>
        <v>-9.4542797233265201</v>
      </c>
      <c r="J47" s="40">
        <f>_xll.BDP(A47,"CHG_PCT_5D")</f>
        <v>-1.4441649999999999</v>
      </c>
      <c r="K47" s="40">
        <f>_xll.BDP(A47,"CHG_PCT_1M")</f>
        <v>7.9816789999999997</v>
      </c>
      <c r="L47" s="40">
        <f>_xll.BDP(A47,"CHG_PCT_3M")</f>
        <v>-7.7150720000000002</v>
      </c>
      <c r="M47" s="40">
        <f>_xll.BDP(A47,"CHG_PCT_6M")</f>
        <v>-9.1913660000000004</v>
      </c>
      <c r="N47" s="40">
        <f>_xll.BDP(A47,"PR064")</f>
        <v>-7.7150720000000002</v>
      </c>
      <c r="O47" s="40">
        <f>_xll.BDP(A47,"CHG_PCT_1YR")</f>
        <v>-20.72429</v>
      </c>
      <c r="P47" s="40">
        <f>_xll.BDP(A47,"INTERVAL_HIGH", "MARKET_DATA_OVERRIDE=PE_RATIO", "CALC_INTERVAL=5y", "BEST_FPERIOD_OVERRIDE=BF")</f>
        <v>93.292243562674344</v>
      </c>
      <c r="Q47" s="40">
        <f>_xll.BDP(A47,"INTERVAL_Low", "MARKET_DATA_OVERRIDE=PE_RATIO", "CALC_INTERVAL=5y", "BEST_FPERIOD_OVERRIDE=BF")</f>
        <v>9.8538237727929889</v>
      </c>
      <c r="R47" s="40">
        <f>_xll.BDP(A47,"PE_RATIO")</f>
        <v>23.989905331414747</v>
      </c>
      <c r="S47" s="48">
        <f t="shared" si="10"/>
        <v>0.16941933457296912</v>
      </c>
      <c r="T47" s="6">
        <f>_xll.BDP(A47,"RR902")</f>
        <v>42959780607310</v>
      </c>
      <c r="U47" s="5" t="s">
        <v>532</v>
      </c>
      <c r="V47" s="5" t="s">
        <v>816</v>
      </c>
      <c r="W47" s="5" t="str">
        <f>_xll.BDP(U47,"DS003")</f>
        <v>GB</v>
      </c>
      <c r="X47" s="6">
        <f>_xll.BDP(U47,"PX_LAST")</f>
        <v>1711.2</v>
      </c>
      <c r="Y47" s="6">
        <f>_xll.BDP(U47,"CHG_PCT_1D")</f>
        <v>1.857143</v>
      </c>
      <c r="Z47" s="6">
        <f>_xll.BDP(U47,"HIGH_52WEEK")</f>
        <v>1767</v>
      </c>
      <c r="AA47" s="6">
        <f t="shared" si="4"/>
        <v>3.2088314551500448</v>
      </c>
      <c r="AB47" s="6">
        <f>_xll.BDP(U47,"LOW_52WEEK")</f>
        <v>1408.8</v>
      </c>
      <c r="AC47" s="6">
        <f t="shared" si="5"/>
        <v>-19.445660058619954</v>
      </c>
      <c r="AD47" s="6">
        <f>_xll.BDP(U47,"CHG_PCT_5D")</f>
        <v>3.221136</v>
      </c>
      <c r="AE47" s="6">
        <f>_xll.BDP(U47,"CHG_PCT_1M")</f>
        <v>1.1825950000000001</v>
      </c>
      <c r="AF47" s="6">
        <f>_xll.BDP(U47,"CHG_PCT_3M")</f>
        <v>7.8125030000000004</v>
      </c>
      <c r="AG47" s="6">
        <f>_xll.BDP(U47,"CHG_PCT_6M")</f>
        <v>9.5799199999999995</v>
      </c>
      <c r="AH47" s="6">
        <f>_xll.BDP(U47,"PR064")</f>
        <v>7.8125030000000004</v>
      </c>
      <c r="AI47" s="6">
        <f>_xll.BDP(U47,"CHG_PCT_1YR")</f>
        <v>11.21799</v>
      </c>
      <c r="AJ47" s="6">
        <f>_xll.BDP(U47,"INTERVAL_HIGH", "MARKET_DATA_OVERRIDE=PE_RATIO", "CALC_INTERVAL=5y", "BEST_FPERIOD_OVERRIDE=BF")</f>
        <v>2437.012674464489</v>
      </c>
      <c r="AK47" s="6">
        <f>_xll.BDP(U47,"INTERVAL_Low", "MARKET_DATA_OVERRIDE=PE_RATIO", "CALC_INTERVAL=5y", "BEST_FPERIOD_OVERRIDE=BF")</f>
        <v>4.9164696399794883</v>
      </c>
      <c r="AL47" s="6">
        <f>_xll.BDP(U47,"PE_RATIO")</f>
        <v>19.055678743562083</v>
      </c>
      <c r="AM47" s="43">
        <f t="shared" si="6"/>
        <v>5.8135895593006866E-3</v>
      </c>
      <c r="AN47" s="9" t="s">
        <v>596</v>
      </c>
      <c r="AO47" s="9" t="s">
        <v>638</v>
      </c>
      <c r="AP47" s="10">
        <f>_xll.BDP(AN47,"PX_LAST")</f>
        <v>5722</v>
      </c>
      <c r="AQ47" s="10">
        <f>_xll.BDP(AN47,"CHG_PCT_1D")</f>
        <v>-1.1232071885260067</v>
      </c>
      <c r="AR47" s="10">
        <f>_xll.BDP(AN47,"HIGH_52WEEK")</f>
        <v>6608.5</v>
      </c>
      <c r="AS47" s="10">
        <f t="shared" si="11"/>
        <v>14.403830458780591</v>
      </c>
      <c r="AT47" s="10">
        <f>_xll.BDP(AN47,"LOW_52WEEK")</f>
        <v>5518</v>
      </c>
      <c r="AU47" s="10">
        <f t="shared" si="12"/>
        <v>-3.6302918832824189</v>
      </c>
      <c r="AV47" s="10">
        <f>_xll.BDP(AN47,"CHG_PCT_5D")</f>
        <v>-1.1402902557014511</v>
      </c>
      <c r="AW47" s="10">
        <f>_xll.BDP(AN47,"CHG_PCT_1M")</f>
        <v>1.5799751464583702</v>
      </c>
      <c r="AX47" s="10">
        <f>_xll.BDP(AN47,"CHG_PCT_3M")</f>
        <v>-4.4422177688710756</v>
      </c>
      <c r="AY47" s="10">
        <f>_xll.BDP(AN47,"CHG_PCT_6M")</f>
        <v>-9.6050552922590828</v>
      </c>
      <c r="AZ47" s="10">
        <f>_xll.BDP(AN47,"PR064")</f>
        <v>-4.4422177688710756</v>
      </c>
      <c r="BA47" s="10">
        <f>_xll.BDP(AN47,"CHG_PCT_1YR")</f>
        <v>-8.9143584845590578</v>
      </c>
    </row>
    <row r="48" spans="1:53" x14ac:dyDescent="0.25">
      <c r="A48" t="s">
        <v>481</v>
      </c>
      <c r="B48" s="37" t="s">
        <v>727</v>
      </c>
      <c r="C48" s="37" t="str">
        <f>_xll.BDP(A48,"DS003")</f>
        <v>CH</v>
      </c>
      <c r="D48" s="38">
        <f>_xll.BDP(A48,"PX_LAST")</f>
        <v>6526.326</v>
      </c>
      <c r="E48" s="38">
        <f>_xll.BDP(A48,"CHG_PCT_1D")</f>
        <v>0.292518</v>
      </c>
      <c r="F48" s="38">
        <f>_xll.BDP(A48,"HIGH_52WEEK")</f>
        <v>7106.5379999999996</v>
      </c>
      <c r="G48" s="38">
        <f t="shared" si="8"/>
        <v>8.5171054446467664</v>
      </c>
      <c r="H48" s="38">
        <f>_xll.BDP(A48,"LOW_52WEEK")</f>
        <v>5073.7759999999998</v>
      </c>
      <c r="I48" s="38">
        <f t="shared" si="9"/>
        <v>-25.175883738078042</v>
      </c>
      <c r="J48" s="38">
        <f>_xll.BDP(A48,"CHG_PCT_5D")</f>
        <v>-0.96873100000000001</v>
      </c>
      <c r="K48" s="38">
        <f>_xll.BDP(A48,"CHG_PCT_1M")</f>
        <v>1.2760210000000001</v>
      </c>
      <c r="L48" s="38">
        <f>_xll.BDP(A48,"CHG_PCT_3M")</f>
        <v>-2.7121189999999999</v>
      </c>
      <c r="M48" s="38">
        <f>_xll.BDP(A48,"CHG_PCT_6M")</f>
        <v>2.1462850000000002</v>
      </c>
      <c r="N48" s="38">
        <f>_xll.BDP(A48,"PR064")</f>
        <v>-2.7121189999999999</v>
      </c>
      <c r="O48" s="38">
        <f>_xll.BDP(A48,"CHG_PCT_1YR")</f>
        <v>15.47597</v>
      </c>
      <c r="P48" s="38">
        <f>_xll.BDP(A48,"INTERVAL_HIGH", "MARKET_DATA_OVERRIDE=PE_RATIO", "CALC_INTERVAL=5y", "BEST_FPERIOD_OVERRIDE=BF")</f>
        <v>13.054245130951692</v>
      </c>
      <c r="Q48" s="38">
        <f>_xll.BDP(A48,"INTERVAL_Low", "MARKET_DATA_OVERRIDE=PE_RATIO", "CALC_INTERVAL=5y", "BEST_FPERIOD_OVERRIDE=BF")</f>
        <v>6.4800359995363674</v>
      </c>
      <c r="R48" s="38">
        <f>_xll.BDP(A48,"PE_RATIO")</f>
        <v>9.1278724565641109</v>
      </c>
      <c r="S48" s="47">
        <f t="shared" si="10"/>
        <v>0.40276121493836714</v>
      </c>
      <c r="T48" s="6">
        <f>_xll.BDP(A48,"RR902")</f>
        <v>12075857482157.4</v>
      </c>
      <c r="U48" s="5" t="s">
        <v>533</v>
      </c>
      <c r="V48" s="5" t="s">
        <v>817</v>
      </c>
      <c r="W48" s="5" t="str">
        <f>_xll.BDP(U48,"DS003")</f>
        <v>GB</v>
      </c>
      <c r="X48" s="6">
        <f>_xll.BDP(U48,"PX_LAST")</f>
        <v>3282</v>
      </c>
      <c r="Y48" s="6">
        <f>_xll.BDP(U48,"CHG_PCT_1D")</f>
        <v>1.51562</v>
      </c>
      <c r="Z48" s="6">
        <f>_xll.BDP(U48,"HIGH_52WEEK")</f>
        <v>3633.5</v>
      </c>
      <c r="AA48" s="6">
        <f t="shared" si="4"/>
        <v>10.174337840665435</v>
      </c>
      <c r="AB48" s="6">
        <f>_xll.BDP(U48,"LOW_52WEEK")</f>
        <v>2513</v>
      </c>
      <c r="AC48" s="6">
        <f t="shared" si="5"/>
        <v>-26.697573410644399</v>
      </c>
      <c r="AD48" s="6">
        <f>_xll.BDP(U48,"CHG_PCT_5D")</f>
        <v>0.56687609999999999</v>
      </c>
      <c r="AE48" s="6">
        <f>_xll.BDP(U48,"CHG_PCT_1M")</f>
        <v>-3.9789349999999999</v>
      </c>
      <c r="AF48" s="6">
        <f>_xll.BDP(U48,"CHG_PCT_3M")</f>
        <v>-3.1429840000000002</v>
      </c>
      <c r="AG48" s="6">
        <f>_xll.BDP(U48,"CHG_PCT_6M")</f>
        <v>4.85623</v>
      </c>
      <c r="AH48" s="6">
        <f>_xll.BDP(U48,"PR064")</f>
        <v>-3.1429840000000002</v>
      </c>
      <c r="AI48" s="6">
        <f>_xll.BDP(U48,"CHG_PCT_1YR")</f>
        <v>21.668209999999998</v>
      </c>
      <c r="AJ48" s="6">
        <f>_xll.BDP(U48,"INTERVAL_HIGH", "MARKET_DATA_OVERRIDE=PE_RATIO", "CALC_INTERVAL=5y", "BEST_FPERIOD_OVERRIDE=BF")</f>
        <v>28.227173623971478</v>
      </c>
      <c r="AK48" s="6">
        <f>_xll.BDP(U48,"INTERVAL_Low", "MARKET_DATA_OVERRIDE=PE_RATIO", "CALC_INTERVAL=5y", "BEST_FPERIOD_OVERRIDE=BF")</f>
        <v>15.609652808256044</v>
      </c>
      <c r="AL48" s="6">
        <f>_xll.BDP(U48,"PE_RATIO")</f>
        <v>25.177013892617964</v>
      </c>
      <c r="AM48" s="43">
        <f t="shared" si="6"/>
        <v>0.75825998023680974</v>
      </c>
      <c r="AN48" s="9" t="s">
        <v>597</v>
      </c>
      <c r="AO48" s="9" t="s">
        <v>639</v>
      </c>
      <c r="AP48" s="10">
        <f>_xll.BDP(AN48,"PX_LAST")</f>
        <v>2093</v>
      </c>
      <c r="AQ48" s="10">
        <f>_xll.BDP(AN48,"CHG_PCT_1D")</f>
        <v>-0.66445182724252494</v>
      </c>
      <c r="AR48" s="10">
        <f>_xll.BDP(AN48,"HIGH_52WEEK")</f>
        <v>2179.5</v>
      </c>
      <c r="AS48" s="10">
        <f t="shared" si="11"/>
        <v>4.0497049232447537</v>
      </c>
      <c r="AT48" s="10">
        <f>_xll.BDP(AN48,"LOW_52WEEK")</f>
        <v>1773.5</v>
      </c>
      <c r="AU48" s="10">
        <f t="shared" si="12"/>
        <v>-16.564344823232322</v>
      </c>
      <c r="AV48" s="10">
        <f>_xll.BDP(AN48,"CHG_PCT_5D")</f>
        <v>-0.1431297709923664</v>
      </c>
      <c r="AW48" s="10">
        <f>_xll.BDP(AN48,"CHG_PCT_1M")</f>
        <v>1.2088974854932302</v>
      </c>
      <c r="AX48" s="10">
        <f>_xll.BDP(AN48,"CHG_PCT_3M")</f>
        <v>8.5018144116122336</v>
      </c>
      <c r="AY48" s="10">
        <f>_xll.BDP(AN48,"CHG_PCT_6M")</f>
        <v>5.0175614651279474</v>
      </c>
      <c r="AZ48" s="10">
        <f>_xll.BDP(AN48,"PR064")</f>
        <v>8.5018144116122336</v>
      </c>
      <c r="BA48" s="10">
        <f>_xll.BDP(AN48,"CHG_PCT_1YR")</f>
        <v>5.4408060453400502</v>
      </c>
    </row>
    <row r="49" spans="1:53" x14ac:dyDescent="0.25">
      <c r="A49" t="s">
        <v>477</v>
      </c>
      <c r="B49" s="5" t="s">
        <v>723</v>
      </c>
      <c r="C49" s="5" t="str">
        <f>_xll.BDP(A49,"DS003")</f>
        <v>CH</v>
      </c>
      <c r="D49" s="6">
        <f>_xll.BDP(A49,"PX_LAST")</f>
        <v>2171.5749999999998</v>
      </c>
      <c r="E49" s="6">
        <f>_xll.BDP(A49,"CHG_PCT_1D")</f>
        <v>-1.08216</v>
      </c>
      <c r="F49" s="6">
        <f>_xll.BDP(A49,"HIGH_52WEEK")</f>
        <v>2527.6170000000002</v>
      </c>
      <c r="G49" s="6">
        <f t="shared" si="8"/>
        <v>15.182425090843083</v>
      </c>
      <c r="H49" s="6">
        <f>_xll.BDP(A49,"LOW_52WEEK")</f>
        <v>1791.4259999999999</v>
      </c>
      <c r="I49" s="6">
        <f t="shared" si="9"/>
        <v>-19.244075999212697</v>
      </c>
      <c r="J49" s="6">
        <f>_xll.BDP(A49,"CHG_PCT_5D")</f>
        <v>-3.0079410000000002</v>
      </c>
      <c r="K49" s="6">
        <f>_xll.BDP(A49,"CHG_PCT_1M")</f>
        <v>0.1034823</v>
      </c>
      <c r="L49" s="6">
        <f>_xll.BDP(A49,"CHG_PCT_3M")</f>
        <v>-3.5449310000000001</v>
      </c>
      <c r="M49" s="6">
        <f>_xll.BDP(A49,"CHG_PCT_6M")</f>
        <v>-5.7839650000000002</v>
      </c>
      <c r="N49" s="6">
        <f>_xll.BDP(A49,"PR064")</f>
        <v>-3.5449310000000001</v>
      </c>
      <c r="O49" s="6">
        <f>_xll.BDP(A49,"CHG_PCT_1YR")</f>
        <v>5.6774800000000001</v>
      </c>
      <c r="P49" s="6">
        <f>_xll.BDP(A49,"INTERVAL_HIGH", "MARKET_DATA_OVERRIDE=PE_RATIO", "CALC_INTERVAL=5y", "BEST_FPERIOD_OVERRIDE=BF")</f>
        <v>38.525969030286866</v>
      </c>
      <c r="Q49" s="6">
        <f>_xll.BDP(A49,"INTERVAL_Low", "MARKET_DATA_OVERRIDE=PE_RATIO", "CALC_INTERVAL=5y", "BEST_FPERIOD_OVERRIDE=BF")</f>
        <v>12.326479254161317</v>
      </c>
      <c r="R49" s="6">
        <f>_xll.BDP(A49,"PE_RATIO")</f>
        <v>14.240435643604926</v>
      </c>
      <c r="S49" s="43">
        <f t="shared" si="10"/>
        <v>7.3053193241484932E-2</v>
      </c>
      <c r="T49" s="6">
        <f>_xll.BDP(A49,"RR902")</f>
        <v>3446592669077.8604</v>
      </c>
      <c r="U49" s="5" t="s">
        <v>535</v>
      </c>
      <c r="V49" s="5" t="s">
        <v>818</v>
      </c>
      <c r="W49" s="5" t="str">
        <f>_xll.BDP(U49,"DS003")</f>
        <v>GB</v>
      </c>
      <c r="X49" s="6">
        <f>_xll.BDP(U49,"PX_LAST")</f>
        <v>55.02</v>
      </c>
      <c r="Y49" s="6">
        <f>_xll.BDP(U49,"CHG_PCT_1D")</f>
        <v>1.158301</v>
      </c>
      <c r="Z49" s="6">
        <f>_xll.BDP(U49,"HIGH_52WEEK")</f>
        <v>57.77</v>
      </c>
      <c r="AA49" s="6">
        <f t="shared" si="4"/>
        <v>4.8772854296745711</v>
      </c>
      <c r="AB49" s="6">
        <f>_xll.BDP(U49,"LOW_52WEEK")</f>
        <v>45.3</v>
      </c>
      <c r="AC49" s="6">
        <f t="shared" si="5"/>
        <v>-19.43897230074402</v>
      </c>
      <c r="AD49" s="6">
        <f>_xll.BDP(U49,"CHG_PCT_5D")</f>
        <v>1.00973</v>
      </c>
      <c r="AE49" s="6">
        <f>_xll.BDP(U49,"CHG_PCT_1M")</f>
        <v>-0.21762680000000001</v>
      </c>
      <c r="AF49" s="6">
        <f>_xll.BDP(U49,"CHG_PCT_3M")</f>
        <v>2.649257</v>
      </c>
      <c r="AG49" s="6">
        <f>_xll.BDP(U49,"CHG_PCT_6M")</f>
        <v>6.62791</v>
      </c>
      <c r="AH49" s="6">
        <f>_xll.BDP(U49,"PR064")</f>
        <v>2.649257</v>
      </c>
      <c r="AI49" s="6">
        <f>_xll.BDP(U49,"CHG_PCT_1YR")</f>
        <v>15.1046</v>
      </c>
      <c r="AJ49" s="6">
        <f>_xll.BDP(U49,"INTERVAL_HIGH", "MARKET_DATA_OVERRIDE=PE_RATIO", "CALC_INTERVAL=5y", "BEST_FPERIOD_OVERRIDE=BF")</f>
        <v>26.01925813823037</v>
      </c>
      <c r="AK49" s="6">
        <f>_xll.BDP(U49,"INTERVAL_Low", "MARKET_DATA_OVERRIDE=PE_RATIO", "CALC_INTERVAL=5y", "BEST_FPERIOD_OVERRIDE=BF")</f>
        <v>12.777893608458452</v>
      </c>
      <c r="AL49" s="6">
        <f>_xll.BDP(U49,"PE_RATIO")</f>
        <v>15.472697791601062</v>
      </c>
      <c r="AM49" s="43">
        <f t="shared" si="6"/>
        <v>0.20351408475188529</v>
      </c>
      <c r="AN49" s="9" t="s">
        <v>598</v>
      </c>
      <c r="AO49" s="9" t="s">
        <v>640</v>
      </c>
      <c r="AP49" s="10">
        <f>_xll.BDP(AN49,"PX_LAST")</f>
        <v>17210</v>
      </c>
      <c r="AQ49" s="10">
        <f>_xll.BDP(AN49,"CHG_PCT_1D")</f>
        <v>-0.6637806637806638</v>
      </c>
      <c r="AR49" s="10">
        <f>_xll.BDP(AN49,"HIGH_52WEEK")</f>
        <v>18850</v>
      </c>
      <c r="AS49" s="10">
        <f t="shared" si="11"/>
        <v>9.1022303670571691</v>
      </c>
      <c r="AT49" s="10">
        <f>_xll.BDP(AN49,"LOW_52WEEK")</f>
        <v>10525</v>
      </c>
      <c r="AU49" s="10">
        <f t="shared" si="12"/>
        <v>-49.17372306550029</v>
      </c>
      <c r="AV49" s="10">
        <f>_xll.BDP(AN49,"CHG_PCT_5D")</f>
        <v>-0.40509259259259256</v>
      </c>
      <c r="AW49" s="10">
        <f>_xll.BDP(AN49,"CHG_PCT_1M")</f>
        <v>9.8978288633461045</v>
      </c>
      <c r="AX49" s="10">
        <f>_xll.BDP(AN49,"CHG_PCT_3M")</f>
        <v>37.7902321857486</v>
      </c>
      <c r="AY49" s="10">
        <f>_xll.BDP(AN49,"CHG_PCT_6M")</f>
        <v>31.574923547400612</v>
      </c>
      <c r="AZ49" s="10">
        <f>_xll.BDP(AN49,"PR064")</f>
        <v>37.7902321857486</v>
      </c>
      <c r="BA49" s="10">
        <f>_xll.BDP(AN49,"CHG_PCT_1YR")</f>
        <v>34.24336973478939</v>
      </c>
    </row>
    <row r="50" spans="1:53" x14ac:dyDescent="0.25">
      <c r="A50" t="s">
        <v>479</v>
      </c>
      <c r="B50" s="5" t="s">
        <v>725</v>
      </c>
      <c r="C50" s="5" t="str">
        <f>_xll.BDP(A50,"DS003")</f>
        <v>CH</v>
      </c>
      <c r="D50" s="6">
        <f>_xll.BDP(A50,"PX_LAST")</f>
        <v>20144.29</v>
      </c>
      <c r="E50" s="6">
        <f>_xll.BDP(A50,"CHG_PCT_1D")</f>
        <v>-1.944102</v>
      </c>
      <c r="F50" s="6">
        <f>_xll.BDP(A50,"HIGH_52WEEK")</f>
        <v>21260.76953125</v>
      </c>
      <c r="G50" s="6">
        <f t="shared" si="8"/>
        <v>5.3942694915850939</v>
      </c>
      <c r="H50" s="6">
        <f>_xll.BDP(A50,"LOW_52WEEK")</f>
        <v>10155.129999999999</v>
      </c>
      <c r="I50" s="6">
        <f t="shared" si="9"/>
        <v>-68.494187701868455</v>
      </c>
      <c r="J50" s="6">
        <f>_xll.BDP(A50,"CHG_PCT_5D")</f>
        <v>-1.9662729999999999</v>
      </c>
      <c r="K50" s="6">
        <f>_xll.BDP(A50,"CHG_PCT_1M")</f>
        <v>-1.0112540000000001</v>
      </c>
      <c r="L50" s="6">
        <f>_xll.BDP(A50,"CHG_PCT_3M")</f>
        <v>4.8594080000000002</v>
      </c>
      <c r="M50" s="6">
        <f>_xll.BDP(A50,"CHG_PCT_6M")</f>
        <v>27.28716</v>
      </c>
      <c r="N50" s="6">
        <f>_xll.BDP(A50,"PR064")</f>
        <v>4.8594080000000002</v>
      </c>
      <c r="O50" s="6">
        <f>_xll.BDP(A50,"CHG_PCT_1YR")</f>
        <v>46.465679999999999</v>
      </c>
      <c r="P50" s="6">
        <f>_xll.BDP(A50,"INTERVAL_HIGH", "MARKET_DATA_OVERRIDE=PE_RATIO", "CALC_INTERVAL=5y", "BEST_FPERIOD_OVERRIDE=BF")</f>
        <v>38.740015492997692</v>
      </c>
      <c r="Q50" s="6">
        <f>_xll.BDP(A50,"INTERVAL_Low", "MARKET_DATA_OVERRIDE=PE_RATIO", "CALC_INTERVAL=5y", "BEST_FPERIOD_OVERRIDE=BF")</f>
        <v>17.620651925166577</v>
      </c>
      <c r="R50" s="6">
        <f>_xll.BDP(A50,"PE_RATIO")</f>
        <v>33.10122418206489</v>
      </c>
      <c r="S50" s="43">
        <f t="shared" si="10"/>
        <v>0.73300372935850322</v>
      </c>
      <c r="T50" s="6">
        <f>_xll.BDP(A50,"RR902")</f>
        <v>3536704936599.3999</v>
      </c>
      <c r="U50" s="5" t="s">
        <v>551</v>
      </c>
      <c r="V50" s="5" t="s">
        <v>819</v>
      </c>
      <c r="W50" s="5" t="str">
        <f>_xll.BDP(U50,"DS003")</f>
        <v>GB</v>
      </c>
      <c r="X50" s="6">
        <f>_xll.BDP(U50,"PX_LAST")</f>
        <v>4165.5</v>
      </c>
      <c r="Y50" s="6">
        <f>_xll.BDP(U50,"CHG_PCT_1D")</f>
        <v>-0.26337840000000001</v>
      </c>
      <c r="Z50" s="6">
        <f>_xll.BDP(U50,"HIGH_52WEEK")</f>
        <v>4977.3429999999998</v>
      </c>
      <c r="AA50" s="6">
        <f t="shared" si="4"/>
        <v>17.805989808720565</v>
      </c>
      <c r="AB50" s="6">
        <f>_xll.BDP(U50,"LOW_52WEEK")</f>
        <v>3300.623</v>
      </c>
      <c r="AC50" s="6">
        <f t="shared" si="5"/>
        <v>-23.27250778997935</v>
      </c>
      <c r="AD50" s="6">
        <f>_xll.BDP(U50,"CHG_PCT_5D")</f>
        <v>-1.9767030000000001</v>
      </c>
      <c r="AE50" s="6">
        <f>_xll.BDP(U50,"CHG_PCT_1M")</f>
        <v>6.1409099999999999</v>
      </c>
      <c r="AF50" s="6">
        <f>_xll.BDP(U50,"CHG_PCT_3M")</f>
        <v>-12.653269999999999</v>
      </c>
      <c r="AG50" s="6">
        <f>_xll.BDP(U50,"CHG_PCT_6M")</f>
        <v>-2.2121680000000001</v>
      </c>
      <c r="AH50" s="6">
        <f>_xll.BDP(U50,"PR064")</f>
        <v>-12.653269999999999</v>
      </c>
      <c r="AI50" s="6">
        <f>_xll.BDP(U50,"CHG_PCT_1YR")</f>
        <v>13.310309999999999</v>
      </c>
      <c r="AJ50" s="6">
        <f>_xll.BDP(U50,"INTERVAL_HIGH", "MARKET_DATA_OVERRIDE=PE_RATIO", "CALC_INTERVAL=5y", "BEST_FPERIOD_OVERRIDE=BF")</f>
        <v>1119.5825616814698</v>
      </c>
      <c r="AK50" s="6">
        <f>_xll.BDP(U50,"INTERVAL_Low", "MARKET_DATA_OVERRIDE=PE_RATIO", "CALC_INTERVAL=5y", "BEST_FPERIOD_OVERRIDE=BF")</f>
        <v>5.1456190291979391</v>
      </c>
      <c r="AL50" s="6">
        <f>_xll.BDP(U50,"PE_RATIO")</f>
        <v>6.4362657083123382</v>
      </c>
      <c r="AM50" s="43">
        <f t="shared" si="6"/>
        <v>1.1581154838987678E-3</v>
      </c>
      <c r="AN50" s="9" t="s">
        <v>599</v>
      </c>
      <c r="AO50" s="9" t="s">
        <v>641</v>
      </c>
      <c r="AP50" s="10">
        <f>_xll.BDP(AN50,"PX_LAST")</f>
        <v>11.63</v>
      </c>
      <c r="AQ50" s="10">
        <f>_xll.BDP(AN50,"CHG_PCT_1D")</f>
        <v>-1.4406779661016942</v>
      </c>
      <c r="AR50" s="10">
        <f>_xll.BDP(AN50,"HIGH_52WEEK")</f>
        <v>14.24</v>
      </c>
      <c r="AS50" s="10">
        <f t="shared" si="11"/>
        <v>20.246693945325653</v>
      </c>
      <c r="AT50" s="10">
        <f>_xll.BDP(AN50,"LOW_52WEEK")</f>
        <v>9.83</v>
      </c>
      <c r="AU50" s="10">
        <f t="shared" si="12"/>
        <v>-16.814903237149796</v>
      </c>
      <c r="AV50" s="10">
        <f>_xll.BDP(AN50,"CHG_PCT_5D")</f>
        <v>5.8234758871701597</v>
      </c>
      <c r="AW50" s="10">
        <f>_xll.BDP(AN50,"CHG_PCT_1M")</f>
        <v>1.7497812773403418</v>
      </c>
      <c r="AX50" s="10">
        <f>_xll.BDP(AN50,"CHG_PCT_3M")</f>
        <v>-3.3250207813798718</v>
      </c>
      <c r="AY50" s="10">
        <f>_xll.BDP(AN50,"CHG_PCT_6M")</f>
        <v>-7.6250992851469341</v>
      </c>
      <c r="AZ50" s="10">
        <f>_xll.BDP(AN50,"PR064")</f>
        <v>-3.3250207813798718</v>
      </c>
      <c r="BA50" s="10">
        <f>_xll.BDP(AN50,"CHG_PCT_1YR")</f>
        <v>17.474747474747478</v>
      </c>
    </row>
    <row r="51" spans="1:53" x14ac:dyDescent="0.25">
      <c r="A51" t="s">
        <v>478</v>
      </c>
      <c r="B51" s="5" t="s">
        <v>724</v>
      </c>
      <c r="C51" s="5" t="str">
        <f>_xll.BDP(A51,"DS003")</f>
        <v>CH</v>
      </c>
      <c r="D51" s="6">
        <f>_xll.BDP(A51,"PX_LAST")</f>
        <v>5184.6319999999996</v>
      </c>
      <c r="E51" s="6">
        <f>_xll.BDP(A51,"CHG_PCT_1D")</f>
        <v>-0.42779719999999999</v>
      </c>
      <c r="F51" s="6">
        <f>_xll.BDP(A51,"HIGH_52WEEK")</f>
        <v>5923.8810000000003</v>
      </c>
      <c r="G51" s="6">
        <f t="shared" si="8"/>
        <v>13.329294322589844</v>
      </c>
      <c r="H51" s="6">
        <f>_xll.BDP(A51,"LOW_52WEEK")</f>
        <v>4016.2910000000002</v>
      </c>
      <c r="I51" s="6">
        <f t="shared" si="9"/>
        <v>-25.534002527568372</v>
      </c>
      <c r="J51" s="6">
        <f>_xll.BDP(A51,"CHG_PCT_5D")</f>
        <v>-2.9439820000000001</v>
      </c>
      <c r="K51" s="6">
        <f>_xll.BDP(A51,"CHG_PCT_1M")</f>
        <v>-3.072103E-2</v>
      </c>
      <c r="L51" s="6">
        <f>_xll.BDP(A51,"CHG_PCT_3M")</f>
        <v>-1.2844309999999999E-2</v>
      </c>
      <c r="M51" s="6">
        <f>_xll.BDP(A51,"CHG_PCT_6M")</f>
        <v>2.9158930000000001</v>
      </c>
      <c r="N51" s="6">
        <f>_xll.BDP(A51,"PR064")</f>
        <v>-1.2844309999999999E-2</v>
      </c>
      <c r="O51" s="6">
        <f>_xll.BDP(A51,"CHG_PCT_1YR")</f>
        <v>9.2183609999999998</v>
      </c>
      <c r="P51" s="6">
        <f>_xll.BDP(A51,"INTERVAL_HIGH", "MARKET_DATA_OVERRIDE=PE_RATIO", "CALC_INTERVAL=5y", "BEST_FPERIOD_OVERRIDE=BF")</f>
        <v>26.834318258538033</v>
      </c>
      <c r="Q51" s="6">
        <f>_xll.BDP(A51,"INTERVAL_Low", "MARKET_DATA_OVERRIDE=PE_RATIO", "CALC_INTERVAL=5y", "BEST_FPERIOD_OVERRIDE=BF")</f>
        <v>11.046416747643955</v>
      </c>
      <c r="R51" s="6">
        <f>_xll.BDP(A51,"PE_RATIO")</f>
        <v>15.263435553452741</v>
      </c>
      <c r="S51" s="43">
        <f t="shared" si="10"/>
        <v>0.26710445355254653</v>
      </c>
      <c r="T51" s="6">
        <f>_xll.BDP(A51,"RR902")</f>
        <v>2434763671552.7803</v>
      </c>
      <c r="U51" s="5" t="s">
        <v>553</v>
      </c>
      <c r="V51" s="5" t="s">
        <v>820</v>
      </c>
      <c r="W51" s="5" t="str">
        <f>_xll.BDP(U51,"DS003")</f>
        <v>GB</v>
      </c>
      <c r="X51" s="6">
        <f>_xll.BDP(U51,"PX_LAST")</f>
        <v>194.73</v>
      </c>
      <c r="Y51" s="6">
        <f>_xll.BDP(U51,"CHG_PCT_1D")</f>
        <v>0.16460060000000001</v>
      </c>
      <c r="Z51" s="6">
        <f>_xll.BDP(U51,"HIGH_52WEEK")</f>
        <v>198.61</v>
      </c>
      <c r="AA51" s="6">
        <f t="shared" si="4"/>
        <v>1.9729119097213472</v>
      </c>
      <c r="AB51" s="6">
        <f>_xll.BDP(U51,"LOW_52WEEK")</f>
        <v>135.30000000000001</v>
      </c>
      <c r="AC51" s="6">
        <f t="shared" si="5"/>
        <v>-36.411944853674441</v>
      </c>
      <c r="AD51" s="6">
        <f>_xll.BDP(U51,"CHG_PCT_5D")</f>
        <v>0.26258880000000001</v>
      </c>
      <c r="AE51" s="6">
        <f>_xll.BDP(U51,"CHG_PCT_1M")</f>
        <v>1.6760630000000001</v>
      </c>
      <c r="AF51" s="6">
        <f>_xll.BDP(U51,"CHG_PCT_3M")</f>
        <v>2.5488439999999999</v>
      </c>
      <c r="AG51" s="6">
        <f>_xll.BDP(U51,"CHG_PCT_6M")</f>
        <v>16.076540000000001</v>
      </c>
      <c r="AH51" s="6">
        <f>_xll.BDP(U51,"PR064")</f>
        <v>2.5488439999999999</v>
      </c>
      <c r="AI51" s="6">
        <f>_xll.BDP(U51,"CHG_PCT_1YR")</f>
        <v>25.92473</v>
      </c>
      <c r="AJ51" s="6">
        <f>_xll.BDP(U51,"INTERVAL_HIGH", "MARKET_DATA_OVERRIDE=PE_RATIO", "CALC_INTERVAL=5y", "BEST_FPERIOD_OVERRIDE=BF")</f>
        <v>33.598759379373313</v>
      </c>
      <c r="AK51" s="6">
        <f>_xll.BDP(U51,"INTERVAL_Low", "MARKET_DATA_OVERRIDE=PE_RATIO", "CALC_INTERVAL=5y", "BEST_FPERIOD_OVERRIDE=BF")</f>
        <v>15.901033402920278</v>
      </c>
      <c r="AL51" s="6">
        <f>_xll.BDP(U51,"PE_RATIO")</f>
        <v>27.831357338963024</v>
      </c>
      <c r="AM51" s="43">
        <f t="shared" si="6"/>
        <v>0.6741162085974286</v>
      </c>
      <c r="AN51" s="9" t="s">
        <v>600</v>
      </c>
      <c r="AO51" s="9" t="s">
        <v>642</v>
      </c>
      <c r="AP51" s="10">
        <f>_xll.BDP(AN51,"PX_LAST")</f>
        <v>100.85000000000001</v>
      </c>
      <c r="AQ51" s="10">
        <f>_xll.BDP(AN51,"CHG_PCT_1D")</f>
        <v>-9.9058940069349705E-2</v>
      </c>
      <c r="AR51" s="10">
        <f>_xll.BDP(AN51,"HIGH_52WEEK")</f>
        <v>125.5</v>
      </c>
      <c r="AS51" s="10">
        <f t="shared" si="11"/>
        <v>21.867149417161773</v>
      </c>
      <c r="AT51" s="10">
        <f>_xll.BDP(AN51,"LOW_52WEEK")</f>
        <v>86.35</v>
      </c>
      <c r="AU51" s="10">
        <f t="shared" si="12"/>
        <v>-15.522545980753327</v>
      </c>
      <c r="AV51" s="10">
        <f>_xll.BDP(AN51,"CHG_PCT_5D")</f>
        <v>2.5419420437214031</v>
      </c>
      <c r="AW51" s="10">
        <f>_xll.BDP(AN51,"CHG_PCT_1M")</f>
        <v>7.1163037705788659</v>
      </c>
      <c r="AX51" s="10">
        <f>_xll.BDP(AN51,"CHG_PCT_3M")</f>
        <v>-3.8608198284080046</v>
      </c>
      <c r="AY51" s="10">
        <f>_xll.BDP(AN51,"CHG_PCT_6M")</f>
        <v>5.7682223387519818</v>
      </c>
      <c r="AZ51" s="10">
        <f>_xll.BDP(AN51,"PR064")</f>
        <v>-3.8608198284080046</v>
      </c>
      <c r="BA51" s="10">
        <f>_xll.BDP(AN51,"CHG_PCT_1YR")</f>
        <v>3.1713554987212365</v>
      </c>
    </row>
    <row r="52" spans="1:53" x14ac:dyDescent="0.25">
      <c r="A52" t="s">
        <v>482</v>
      </c>
      <c r="B52" s="5" t="s">
        <v>728</v>
      </c>
      <c r="C52" s="5" t="str">
        <f>_xll.BDP(A52,"DS003")</f>
        <v>CH</v>
      </c>
      <c r="D52" s="6">
        <f>_xll.BDP(A52,"PX_LAST")</f>
        <v>2076.6770000000001</v>
      </c>
      <c r="E52" s="6">
        <f>_xll.BDP(A52,"CHG_PCT_1D")</f>
        <v>-2.2876340000000002</v>
      </c>
      <c r="F52" s="6">
        <f>_xll.BDP(A52,"HIGH_52WEEK")</f>
        <v>2224.2719999999999</v>
      </c>
      <c r="G52" s="6">
        <f t="shared" si="8"/>
        <v>6.8660651026484425</v>
      </c>
      <c r="H52" s="6">
        <f>_xll.BDP(A52,"LOW_52WEEK")</f>
        <v>1392.519</v>
      </c>
      <c r="I52" s="6">
        <f t="shared" si="9"/>
        <v>-39.965468279137248</v>
      </c>
      <c r="J52" s="6">
        <f>_xll.BDP(A52,"CHG_PCT_5D")</f>
        <v>-4.5360389999999997</v>
      </c>
      <c r="K52" s="6">
        <f>_xll.BDP(A52,"CHG_PCT_1M")</f>
        <v>3.9078870000000001</v>
      </c>
      <c r="L52" s="6">
        <f>_xll.BDP(A52,"CHG_PCT_3M")</f>
        <v>14.16272</v>
      </c>
      <c r="M52" s="6">
        <f>_xll.BDP(A52,"CHG_PCT_6M")</f>
        <v>2.4960710000000002</v>
      </c>
      <c r="N52" s="6">
        <f>_xll.BDP(A52,"PR064")</f>
        <v>14.16272</v>
      </c>
      <c r="O52" s="6">
        <f>_xll.BDP(A52,"CHG_PCT_1YR")</f>
        <v>23.026250000000001</v>
      </c>
      <c r="P52" s="6">
        <f>_xll.BDP(A52,"INTERVAL_HIGH", "MARKET_DATA_OVERRIDE=PE_RATIO", "CALC_INTERVAL=5y", "BEST_FPERIOD_OVERRIDE=BF")</f>
        <v>91.086189947215772</v>
      </c>
      <c r="Q52" s="6">
        <f>_xll.BDP(A52,"INTERVAL_Low", "MARKET_DATA_OVERRIDE=PE_RATIO", "CALC_INTERVAL=5y", "BEST_FPERIOD_OVERRIDE=BF")</f>
        <v>25.368932891776915</v>
      </c>
      <c r="R52" s="6">
        <f>_xll.BDP(A52,"PE_RATIO")</f>
        <v>45.828700226106015</v>
      </c>
      <c r="S52" s="43">
        <f t="shared" si="10"/>
        <v>0.31133020839669717</v>
      </c>
      <c r="T52" s="6">
        <f>_xll.BDP(A52,"RR902")</f>
        <v>2134457200761.1301</v>
      </c>
      <c r="U52" s="5" t="s">
        <v>558</v>
      </c>
      <c r="V52" s="5" t="s">
        <v>821</v>
      </c>
      <c r="W52" s="5" t="str">
        <f>_xll.BDP(U52,"DS003")</f>
        <v>GB</v>
      </c>
      <c r="X52" s="6">
        <f>_xll.BDP(U52,"PX_LAST")</f>
        <v>1441.5</v>
      </c>
      <c r="Y52" s="6">
        <f>_xll.BDP(U52,"CHG_PCT_1D")</f>
        <v>1.6214310000000001</v>
      </c>
      <c r="Z52" s="6">
        <f>_xll.BDP(U52,"HIGH_52WEEK")</f>
        <v>1814</v>
      </c>
      <c r="AA52" s="6">
        <f t="shared" si="4"/>
        <v>22.985011359662501</v>
      </c>
      <c r="AB52" s="6">
        <f>_xll.BDP(U52,"LOW_52WEEK")</f>
        <v>1299.5</v>
      </c>
      <c r="AC52" s="6">
        <f t="shared" si="5"/>
        <v>-10.370466299691197</v>
      </c>
      <c r="AD52" s="6">
        <f>_xll.BDP(U52,"CHG_PCT_5D")</f>
        <v>-1.90541</v>
      </c>
      <c r="AE52" s="6">
        <f>_xll.BDP(U52,"CHG_PCT_1M")</f>
        <v>5.798165</v>
      </c>
      <c r="AF52" s="6">
        <f>_xll.BDP(U52,"CHG_PCT_3M")</f>
        <v>-14.14532</v>
      </c>
      <c r="AG52" s="6">
        <f>_xll.BDP(U52,"CHG_PCT_6M")</f>
        <v>-6.759379</v>
      </c>
      <c r="AH52" s="6">
        <f>_xll.BDP(U52,"PR064")</f>
        <v>-14.14532</v>
      </c>
      <c r="AI52" s="6">
        <f>_xll.BDP(U52,"CHG_PCT_1YR")</f>
        <v>-20.138500000000001</v>
      </c>
      <c r="AJ52" s="6">
        <f>_xll.BDP(U52,"INTERVAL_HIGH", "MARKET_DATA_OVERRIDE=PE_RATIO", "CALC_INTERVAL=5y", "BEST_FPERIOD_OVERRIDE=BF")</f>
        <v>25.766006807000988</v>
      </c>
      <c r="AK52" s="6">
        <f>_xll.BDP(U52,"INTERVAL_Low", "MARKET_DATA_OVERRIDE=PE_RATIO", "CALC_INTERVAL=5y", "BEST_FPERIOD_OVERRIDE=BF")</f>
        <v>9.5162630465807361</v>
      </c>
      <c r="AL52" s="6">
        <f>_xll.BDP(U52,"PE_RATIO")</f>
        <v>20.993350285299851</v>
      </c>
      <c r="AM52" s="43">
        <f t="shared" si="6"/>
        <v>0.70629342886464652</v>
      </c>
      <c r="AN52" s="9" t="s">
        <v>601</v>
      </c>
      <c r="AO52" s="9" t="s">
        <v>643</v>
      </c>
      <c r="AP52" s="10">
        <f>_xll.BDP(AN52,"PX_LAST")</f>
        <v>59.2</v>
      </c>
      <c r="AQ52" s="10">
        <f>_xll.BDP(AN52,"CHG_PCT_1D")</f>
        <v>-0.28633990230755368</v>
      </c>
      <c r="AR52" s="10">
        <f>_xll.BDP(AN52,"HIGH_52WEEK")</f>
        <v>80.930000000000007</v>
      </c>
      <c r="AS52" s="10">
        <f t="shared" si="11"/>
        <v>31.266304161765056</v>
      </c>
      <c r="AT52" s="10">
        <f>_xll.BDP(AN52,"LOW_52WEEK")</f>
        <v>56.19</v>
      </c>
      <c r="AU52" s="10">
        <f t="shared" si="12"/>
        <v>-5.2182736765853246</v>
      </c>
      <c r="AV52" s="10">
        <f>_xll.BDP(AN52,"CHG_PCT_5D")</f>
        <v>0.35599254110866396</v>
      </c>
      <c r="AW52" s="10">
        <f>_xll.BDP(AN52,"CHG_PCT_1M")</f>
        <v>2.6708289975719843</v>
      </c>
      <c r="AX52" s="10">
        <f>_xll.BDP(AN52,"CHG_PCT_3M")</f>
        <v>-6.7569696015120471</v>
      </c>
      <c r="AY52" s="10">
        <f>_xll.BDP(AN52,"CHG_PCT_6M")</f>
        <v>-23.995378097316724</v>
      </c>
      <c r="AZ52" s="10">
        <f>_xll.BDP(AN52,"PR064")</f>
        <v>-6.7569696015120471</v>
      </c>
      <c r="BA52" s="10">
        <f>_xll.BDP(AN52,"CHG_PCT_1YR")</f>
        <v>-25.063291139240501</v>
      </c>
    </row>
    <row r="53" spans="1:53" x14ac:dyDescent="0.25">
      <c r="A53" t="s">
        <v>475</v>
      </c>
      <c r="B53" s="5" t="s">
        <v>721</v>
      </c>
      <c r="C53" s="5" t="str">
        <f>_xll.BDP(A53,"DS003")</f>
        <v>CH</v>
      </c>
      <c r="D53" s="6">
        <f>_xll.BDP(A53,"PX_LAST")</f>
        <v>1513.0809999999999</v>
      </c>
      <c r="E53" s="6">
        <f>_xll.BDP(A53,"CHG_PCT_1D")</f>
        <v>-0.26031130000000002</v>
      </c>
      <c r="F53" s="6">
        <f>_xll.BDP(A53,"HIGH_52WEEK")</f>
        <v>1883.56</v>
      </c>
      <c r="G53" s="6">
        <f t="shared" si="8"/>
        <v>21.901563383621411</v>
      </c>
      <c r="H53" s="6">
        <f>_xll.BDP(A53,"LOW_52WEEK")</f>
        <v>1455.05</v>
      </c>
      <c r="I53" s="6">
        <f t="shared" si="9"/>
        <v>-3.9107705100180699</v>
      </c>
      <c r="J53" s="6">
        <f>_xll.BDP(A53,"CHG_PCT_5D")</f>
        <v>-2.2330990000000002</v>
      </c>
      <c r="K53" s="6">
        <f>_xll.BDP(A53,"CHG_PCT_1M")</f>
        <v>1.5288930000000001</v>
      </c>
      <c r="L53" s="6">
        <f>_xll.BDP(A53,"CHG_PCT_3M")</f>
        <v>-7.0053229999999997</v>
      </c>
      <c r="M53" s="6">
        <f>_xll.BDP(A53,"CHG_PCT_6M")</f>
        <v>-9.7770630000000001</v>
      </c>
      <c r="N53" s="6">
        <f>_xll.BDP(A53,"PR064")</f>
        <v>-7.0053229999999997</v>
      </c>
      <c r="O53" s="6">
        <f>_xll.BDP(A53,"CHG_PCT_1YR")</f>
        <v>-19.166979999999999</v>
      </c>
      <c r="P53" s="6">
        <f>_xll.BDP(A53,"INTERVAL_HIGH", "MARKET_DATA_OVERRIDE=PE_RATIO", "CALC_INTERVAL=5y", "BEST_FPERIOD_OVERRIDE=BF")</f>
        <v>50.327015445234451</v>
      </c>
      <c r="Q53" s="6">
        <f>_xll.BDP(A53,"INTERVAL_Low", "MARKET_DATA_OVERRIDE=PE_RATIO", "CALC_INTERVAL=5y", "BEST_FPERIOD_OVERRIDE=BF")</f>
        <v>10.925960633194416</v>
      </c>
      <c r="R53" s="6">
        <f>_xll.BDP(A53,"PE_RATIO")</f>
        <v>11.805323154287713</v>
      </c>
      <c r="S53" s="43">
        <f t="shared" si="10"/>
        <v>2.2318248211583017E-2</v>
      </c>
      <c r="T53" s="6">
        <f>_xll.BDP(A53,"RR902")</f>
        <v>2060401320743.1401</v>
      </c>
      <c r="U53" s="5" t="s">
        <v>569</v>
      </c>
      <c r="V53" s="5" t="s">
        <v>822</v>
      </c>
      <c r="W53" s="5" t="str">
        <f>_xll.BDP(U53,"DS003")</f>
        <v>GB</v>
      </c>
      <c r="X53" s="6">
        <f>_xll.BDP(U53,"PX_LAST")</f>
        <v>1840.6</v>
      </c>
      <c r="Y53" s="6">
        <f>_xll.BDP(U53,"CHG_PCT_1D")</f>
        <v>-5.4300609999999999E-2</v>
      </c>
      <c r="Z53" s="6">
        <f>_xll.BDP(U53,"HIGH_52WEEK")</f>
        <v>2294</v>
      </c>
      <c r="AA53" s="6">
        <f t="shared" si="4"/>
        <v>22.020541328455948</v>
      </c>
      <c r="AB53" s="6">
        <f>_xll.BDP(U53,"LOW_52WEEK")</f>
        <v>1529.8</v>
      </c>
      <c r="AC53" s="6">
        <f t="shared" si="5"/>
        <v>-18.49545975169908</v>
      </c>
      <c r="AD53" s="6">
        <f>_xll.BDP(U53,"CHG_PCT_5D")</f>
        <v>-2.2724859999999998</v>
      </c>
      <c r="AE53" s="6">
        <f>_xll.BDP(U53,"CHG_PCT_1M")</f>
        <v>10.44042</v>
      </c>
      <c r="AF53" s="6">
        <f>_xll.BDP(U53,"CHG_PCT_3M")</f>
        <v>-16.16488</v>
      </c>
      <c r="AG53" s="6">
        <f>_xll.BDP(U53,"CHG_PCT_6M")</f>
        <v>-7.6745570000000001</v>
      </c>
      <c r="AH53" s="6">
        <f>_xll.BDP(U53,"PR064")</f>
        <v>-16.16488</v>
      </c>
      <c r="AI53" s="6">
        <f>_xll.BDP(U53,"CHG_PCT_1YR")</f>
        <v>6.6890830000000001</v>
      </c>
      <c r="AJ53" s="6">
        <f>_xll.BDP(U53,"INTERVAL_HIGH", "MARKET_DATA_OVERRIDE=PE_RATIO", "CALC_INTERVAL=5y", "BEST_FPERIOD_OVERRIDE=BF")</f>
        <v>250.48154645486721</v>
      </c>
      <c r="AK53" s="6">
        <f>_xll.BDP(U53,"INTERVAL_Low", "MARKET_DATA_OVERRIDE=PE_RATIO", "CALC_INTERVAL=5y", "BEST_FPERIOD_OVERRIDE=BF")</f>
        <v>3.9715520335996688</v>
      </c>
      <c r="AL53" s="6">
        <f>_xll.BDP(U53,"PE_RATIO")</f>
        <v>6.9568223778035456</v>
      </c>
      <c r="AM53" s="43">
        <f t="shared" si="6"/>
        <v>1.2110139190146864E-2</v>
      </c>
      <c r="AN53" s="9" t="s">
        <v>602</v>
      </c>
      <c r="AO53" s="9" t="s">
        <v>644</v>
      </c>
      <c r="AP53" s="10">
        <f>_xll.BDP(AN53,"PX_LAST")</f>
        <v>372.5</v>
      </c>
      <c r="AQ53" s="10">
        <f>_xll.BDP(AN53,"CHG_PCT_1D")</f>
        <v>-0.46760187040748163</v>
      </c>
      <c r="AR53" s="10">
        <f>_xll.BDP(AN53,"HIGH_52WEEK")</f>
        <v>464.25</v>
      </c>
      <c r="AS53" s="10">
        <f t="shared" si="11"/>
        <v>22.018616241320089</v>
      </c>
      <c r="AT53" s="10">
        <f>_xll.BDP(AN53,"LOW_52WEEK")</f>
        <v>335.5</v>
      </c>
      <c r="AU53" s="10">
        <f t="shared" si="12"/>
        <v>-10.461508140787771</v>
      </c>
      <c r="AV53" s="10">
        <f>_xll.BDP(AN53,"CHG_PCT_5D")</f>
        <v>-6.70690811535882E-2</v>
      </c>
      <c r="AW53" s="10">
        <f>_xll.BDP(AN53,"CHG_PCT_1M")</f>
        <v>3.905160390516039</v>
      </c>
      <c r="AX53" s="10">
        <f>_xll.BDP(AN53,"CHG_PCT_3M")</f>
        <v>-15.961646926113932</v>
      </c>
      <c r="AY53" s="10">
        <f>_xll.BDP(AN53,"CHG_PCT_6M")</f>
        <v>-1.2591119946984757</v>
      </c>
      <c r="AZ53" s="10">
        <f>_xll.BDP(AN53,"PR064")</f>
        <v>-15.961646926113932</v>
      </c>
      <c r="BA53" s="10">
        <f>_xll.BDP(AN53,"CHG_PCT_1YR")</f>
        <v>2.6170798898071626</v>
      </c>
    </row>
    <row r="54" spans="1:53" x14ac:dyDescent="0.25">
      <c r="A54" t="s">
        <v>476</v>
      </c>
      <c r="B54" s="5" t="s">
        <v>722</v>
      </c>
      <c r="C54" s="5" t="str">
        <f>_xll.BDP(A54,"DS003")</f>
        <v>CH</v>
      </c>
      <c r="D54" s="6">
        <f>_xll.BDP(A54,"PX_LAST")</f>
        <v>1892.18</v>
      </c>
      <c r="E54" s="6">
        <f>_xll.BDP(A54,"CHG_PCT_1D")</f>
        <v>-1.75745</v>
      </c>
      <c r="F54" s="6">
        <f>_xll.BDP(A54,"HIGH_52WEEK")</f>
        <v>2398.0120000000002</v>
      </c>
      <c r="G54" s="6">
        <f t="shared" si="8"/>
        <v>23.691045723781563</v>
      </c>
      <c r="H54" s="6">
        <f>_xll.BDP(A54,"LOW_52WEEK")</f>
        <v>1638.973</v>
      </c>
      <c r="I54" s="6">
        <f t="shared" si="9"/>
        <v>-14.365977735855076</v>
      </c>
      <c r="J54" s="6">
        <f>_xll.BDP(A54,"CHG_PCT_5D")</f>
        <v>-3.165448</v>
      </c>
      <c r="K54" s="6">
        <f>_xll.BDP(A54,"CHG_PCT_1M")</f>
        <v>-7.4038389999999996E-2</v>
      </c>
      <c r="L54" s="6">
        <f>_xll.BDP(A54,"CHG_PCT_3M")</f>
        <v>-4.9787939999999997</v>
      </c>
      <c r="M54" s="6">
        <f>_xll.BDP(A54,"CHG_PCT_6M")</f>
        <v>-9.2966339999999992</v>
      </c>
      <c r="N54" s="6">
        <f>_xll.BDP(A54,"PR064")</f>
        <v>-4.9787939999999997</v>
      </c>
      <c r="O54" s="6">
        <f>_xll.BDP(A54,"CHG_PCT_1YR")</f>
        <v>-9.194604</v>
      </c>
      <c r="P54" s="6">
        <f>_xll.BDP(A54,"INTERVAL_HIGH", "MARKET_DATA_OVERRIDE=PE_RATIO", "CALC_INTERVAL=5y", "BEST_FPERIOD_OVERRIDE=BF")</f>
        <v>1197.5762106383679</v>
      </c>
      <c r="Q54" s="6">
        <f>_xll.BDP(A54,"INTERVAL_Low", "MARKET_DATA_OVERRIDE=PE_RATIO", "CALC_INTERVAL=5y", "BEST_FPERIOD_OVERRIDE=BF")</f>
        <v>10.287160741855857</v>
      </c>
      <c r="R54" s="6">
        <f>_xll.BDP(A54,"PE_RATIO")</f>
        <v>14.526502306704122</v>
      </c>
      <c r="S54" s="43">
        <f t="shared" si="10"/>
        <v>3.5706061343846979E-3</v>
      </c>
      <c r="T54" s="6">
        <f>_xll.BDP(A54,"RR902")</f>
        <v>1672162432743.1201</v>
      </c>
      <c r="U54" s="5" t="s">
        <v>573</v>
      </c>
      <c r="V54" s="5" t="s">
        <v>823</v>
      </c>
      <c r="W54" s="5" t="str">
        <f>_xll.BDP(U54,"DS003")</f>
        <v>GB</v>
      </c>
      <c r="X54" s="6">
        <f>_xll.BDP(U54,"PX_LAST")</f>
        <v>149.13999999999999</v>
      </c>
      <c r="Y54" s="6">
        <f>_xll.BDP(U54,"CHG_PCT_1D")</f>
        <v>0.68863079999999999</v>
      </c>
      <c r="Z54" s="6">
        <f>_xll.BDP(U54,"HIGH_52WEEK")</f>
        <v>181</v>
      </c>
      <c r="AA54" s="6">
        <f t="shared" si="4"/>
        <v>19.361156915017709</v>
      </c>
      <c r="AB54" s="6">
        <f>_xll.BDP(U54,"LOW_52WEEK")</f>
        <v>134.69999999999999</v>
      </c>
      <c r="AC54" s="6">
        <f t="shared" si="5"/>
        <v>-10.183537869933049</v>
      </c>
      <c r="AD54" s="6">
        <f>_xll.BDP(U54,"CHG_PCT_5D")</f>
        <v>-0.89048380000000005</v>
      </c>
      <c r="AE54" s="6">
        <f>_xll.BDP(U54,"CHG_PCT_1M")</f>
        <v>8.0411529999999996</v>
      </c>
      <c r="AF54" s="6">
        <f>_xll.BDP(U54,"CHG_PCT_3M")</f>
        <v>-0.10716879999999999</v>
      </c>
      <c r="AG54" s="6">
        <f>_xll.BDP(U54,"CHG_PCT_6M")</f>
        <v>-2.713635</v>
      </c>
      <c r="AH54" s="6">
        <f>_xll.BDP(U54,"PR064")</f>
        <v>-0.10716879999999999</v>
      </c>
      <c r="AI54" s="6">
        <f>_xll.BDP(U54,"CHG_PCT_1YR")</f>
        <v>-15.068339999999999</v>
      </c>
      <c r="AJ54" s="6">
        <f>_xll.BDP(U54,"INTERVAL_HIGH", "MARKET_DATA_OVERRIDE=PE_RATIO", "CALC_INTERVAL=5y", "BEST_FPERIOD_OVERRIDE=BF")</f>
        <v>92.752418571346354</v>
      </c>
      <c r="AK54" s="6">
        <f>_xll.BDP(U54,"INTERVAL_Low", "MARKET_DATA_OVERRIDE=PE_RATIO", "CALC_INTERVAL=5y", "BEST_FPERIOD_OVERRIDE=BF")</f>
        <v>7.4736321918768613</v>
      </c>
      <c r="AL54" s="6">
        <f>_xll.BDP(U54,"PE_RATIO")</f>
        <v>8.2598124395438894</v>
      </c>
      <c r="AM54" s="43">
        <f t="shared" si="6"/>
        <v>9.2189427294230072E-3</v>
      </c>
      <c r="AN54" s="9" t="s">
        <v>603</v>
      </c>
      <c r="AO54" s="9" t="s">
        <v>645</v>
      </c>
      <c r="AP54" s="10">
        <f>_xll.BDP(AN54,"PX_LAST")</f>
        <v>888.5</v>
      </c>
      <c r="AQ54" s="10">
        <f>_xll.BDP(AN54,"CHG_PCT_1D")</f>
        <v>-8.4340736575766087E-2</v>
      </c>
      <c r="AR54" s="10">
        <f>_xll.BDP(AN54,"HIGH_52WEEK")</f>
        <v>931.25</v>
      </c>
      <c r="AS54" s="10">
        <f t="shared" si="11"/>
        <v>4.6993122099063163</v>
      </c>
      <c r="AT54" s="10">
        <f>_xll.BDP(AN54,"LOW_52WEEK")</f>
        <v>780.5</v>
      </c>
      <c r="AU54" s="10">
        <f t="shared" si="12"/>
        <v>-12.959990763921928</v>
      </c>
      <c r="AV54" s="10">
        <f>_xll.BDP(AN54,"CHG_PCT_5D")</f>
        <v>-0.50391937290033595</v>
      </c>
      <c r="AW54" s="10">
        <f>_xll.BDP(AN54,"CHG_PCT_1M")</f>
        <v>4.0702781844802338</v>
      </c>
      <c r="AX54" s="10">
        <f>_xll.BDP(AN54,"CHG_PCT_3M")</f>
        <v>-0.64299692479731618</v>
      </c>
      <c r="AY54" s="10">
        <f>_xll.BDP(AN54,"CHG_PCT_6M")</f>
        <v>-1.359977796280877</v>
      </c>
      <c r="AZ54" s="10">
        <f>_xll.BDP(AN54,"PR064")</f>
        <v>-0.64299692479731618</v>
      </c>
      <c r="BA54" s="10">
        <f>_xll.BDP(AN54,"CHG_PCT_1YR")</f>
        <v>4.5294117647058822</v>
      </c>
    </row>
    <row r="55" spans="1:53" ht="17.25" thickBot="1" x14ac:dyDescent="0.3">
      <c r="A55" t="s">
        <v>480</v>
      </c>
      <c r="B55" s="5" t="s">
        <v>726</v>
      </c>
      <c r="C55" s="5" t="str">
        <f>_xll.BDP(A55,"DS003")</f>
        <v>CH</v>
      </c>
      <c r="D55" s="6">
        <f>_xll.BDP(A55,"PX_LAST")</f>
        <v>10213.59</v>
      </c>
      <c r="E55" s="6">
        <f>_xll.BDP(A55,"CHG_PCT_1D")</f>
        <v>-1.407799</v>
      </c>
      <c r="F55" s="6">
        <f>_xll.BDP(A55,"HIGH_52WEEK")</f>
        <v>10788.74</v>
      </c>
      <c r="G55" s="6">
        <f t="shared" si="8"/>
        <v>5.4783811223046053</v>
      </c>
      <c r="H55" s="6">
        <f>_xll.BDP(A55,"LOW_52WEEK")</f>
        <v>7257.8890000000001</v>
      </c>
      <c r="I55" s="6">
        <f t="shared" si="9"/>
        <v>-34.163017123215973</v>
      </c>
      <c r="J55" s="6">
        <f>_xll.BDP(A55,"CHG_PCT_5D")</f>
        <v>-1.5968009999999999</v>
      </c>
      <c r="K55" s="6">
        <f>_xll.BDP(A55,"CHG_PCT_1M")</f>
        <v>-0.58712120000000001</v>
      </c>
      <c r="L55" s="6">
        <f>_xll.BDP(A55,"CHG_PCT_3M")</f>
        <v>7.2432540000000003</v>
      </c>
      <c r="M55" s="6">
        <f>_xll.BDP(A55,"CHG_PCT_6M")</f>
        <v>2.384811</v>
      </c>
      <c r="N55" s="6">
        <f>_xll.BDP(A55,"PR064")</f>
        <v>7.2432540000000003</v>
      </c>
      <c r="O55" s="6">
        <f>_xll.BDP(A55,"CHG_PCT_1YR")</f>
        <v>1.538044</v>
      </c>
      <c r="P55" s="6">
        <f>_xll.BDP(A55,"INTERVAL_HIGH", "MARKET_DATA_OVERRIDE=PE_RATIO", "CALC_INTERVAL=5y", "BEST_FPERIOD_OVERRIDE=BF")</f>
        <v>48.45656743288091</v>
      </c>
      <c r="Q55" s="6">
        <f>_xll.BDP(A55,"INTERVAL_Low", "MARKET_DATA_OVERRIDE=PE_RATIO", "CALC_INTERVAL=5y", "BEST_FPERIOD_OVERRIDE=BF")</f>
        <v>25.243294915483464</v>
      </c>
      <c r="R55" s="6">
        <f>_xll.BDP(A55,"PE_RATIO")</f>
        <v>35.088897685434461</v>
      </c>
      <c r="S55" s="43">
        <f t="shared" si="10"/>
        <v>0.42413678478862038</v>
      </c>
      <c r="T55" s="6">
        <f>_xll.BDP(A55,"RR902")</f>
        <v>1671857395337.75</v>
      </c>
      <c r="U55" s="5" t="s">
        <v>575</v>
      </c>
      <c r="V55" s="5" t="s">
        <v>824</v>
      </c>
      <c r="W55" s="5" t="str">
        <f>_xll.BDP(U55,"DS003")</f>
        <v>GB</v>
      </c>
      <c r="X55" s="6">
        <f>_xll.BDP(U55,"PX_LAST")</f>
        <v>680.4</v>
      </c>
      <c r="Y55" s="6">
        <f>_xll.BDP(U55,"CHG_PCT_1D")</f>
        <v>0.8</v>
      </c>
      <c r="Z55" s="6">
        <f>_xll.BDP(U55,"HIGH_52WEEK")</f>
        <v>742.6</v>
      </c>
      <c r="AA55" s="6">
        <f t="shared" si="4"/>
        <v>8.7476681221273012</v>
      </c>
      <c r="AB55" s="6">
        <f>_xll.BDP(U55,"LOW_52WEEK")</f>
        <v>514.20000000000005</v>
      </c>
      <c r="AC55" s="6">
        <f t="shared" si="5"/>
        <v>-28.006856568991758</v>
      </c>
      <c r="AD55" s="6">
        <f>_xll.BDP(U55,"CHG_PCT_5D")</f>
        <v>-1.476977</v>
      </c>
      <c r="AE55" s="6">
        <f>_xll.BDP(U55,"CHG_PCT_1M")</f>
        <v>10.742179999999999</v>
      </c>
      <c r="AF55" s="6">
        <f>_xll.BDP(U55,"CHG_PCT_3M")</f>
        <v>-3.8167970000000002</v>
      </c>
      <c r="AG55" s="6">
        <f>_xll.BDP(U55,"CHG_PCT_6M")</f>
        <v>18.18655</v>
      </c>
      <c r="AH55" s="6">
        <f>_xll.BDP(U55,"PR064")</f>
        <v>-3.8167970000000002</v>
      </c>
      <c r="AI55" s="6">
        <f>_xll.BDP(U55,"CHG_PCT_1YR")</f>
        <v>6.8970929999999999</v>
      </c>
      <c r="AJ55" s="6">
        <f>_xll.BDP(U55,"INTERVAL_HIGH", "MARKET_DATA_OVERRIDE=PE_RATIO", "CALC_INTERVAL=5y", "BEST_FPERIOD_OVERRIDE=BF")</f>
        <v>351.70068720953878</v>
      </c>
      <c r="AK55" s="6">
        <f>_xll.BDP(U55,"INTERVAL_Low", "MARKET_DATA_OVERRIDE=PE_RATIO", "CALC_INTERVAL=5y", "BEST_FPERIOD_OVERRIDE=BF")</f>
        <v>7.4475105408753128</v>
      </c>
      <c r="AL55" s="6">
        <f>_xll.BDP(U55,"PE_RATIO")</f>
        <v>48.656669418068695</v>
      </c>
      <c r="AM55" s="43">
        <f t="shared" si="6"/>
        <v>0.11970596546406409</v>
      </c>
      <c r="AN55" s="9" t="s">
        <v>604</v>
      </c>
      <c r="AO55" s="34" t="s">
        <v>646</v>
      </c>
      <c r="AP55" s="35">
        <f>_xll.BDP(AN55,"PX_LAST")</f>
        <v>484.25</v>
      </c>
      <c r="AQ55" s="35">
        <f>_xll.BDP(AN55,"CHG_PCT_1D")</f>
        <v>1.4667365112624411</v>
      </c>
      <c r="AR55" s="35">
        <f>_xll.BDP(AN55,"HIGH_52WEEK")</f>
        <v>558</v>
      </c>
      <c r="AS55" s="35">
        <f t="shared" si="11"/>
        <v>14.175766009420562</v>
      </c>
      <c r="AT55" s="35">
        <f>_xll.BDP(AN55,"LOW_52WEEK")</f>
        <v>416.25</v>
      </c>
      <c r="AU55" s="35">
        <f t="shared" si="12"/>
        <v>-15.131526099245171</v>
      </c>
      <c r="AV55" s="35">
        <f>_xll.BDP(AN55,"CHG_PCT_5D")</f>
        <v>-0.76844262295081966</v>
      </c>
      <c r="AW55" s="35">
        <f>_xll.BDP(AN55,"CHG_PCT_1M")</f>
        <v>2.3784355179704018</v>
      </c>
      <c r="AX55" s="35">
        <f>_xll.BDP(AN55,"CHG_PCT_3M")</f>
        <v>-10.942528735632184</v>
      </c>
      <c r="AY55" s="35">
        <f>_xll.BDP(AN55,"CHG_PCT_6M")</f>
        <v>3.1965903036760785</v>
      </c>
      <c r="AZ55" s="35">
        <f>_xll.BDP(AN55,"PR064")</f>
        <v>-10.942528735632184</v>
      </c>
      <c r="BA55" s="35">
        <f>_xll.BDP(AN55,"CHG_PCT_1YR")</f>
        <v>-6.42512077294686</v>
      </c>
    </row>
    <row r="56" spans="1:53" x14ac:dyDescent="0.25">
      <c r="A56" t="s">
        <v>484</v>
      </c>
      <c r="B56" s="5" t="s">
        <v>730</v>
      </c>
      <c r="C56" s="5" t="str">
        <f>_xll.BDP(A56,"DS003")</f>
        <v>CH</v>
      </c>
      <c r="D56" s="6">
        <f>_xll.BDP(A56,"PX_LAST")</f>
        <v>1867.098</v>
      </c>
      <c r="E56" s="6">
        <f>_xll.BDP(A56,"CHG_PCT_1D")</f>
        <v>-0.18726599999999999</v>
      </c>
      <c r="F56" s="6">
        <f>_xll.BDP(A56,"HIGH_52WEEK")</f>
        <v>1966.413</v>
      </c>
      <c r="G56" s="6">
        <f t="shared" si="8"/>
        <v>5.1825717065012951</v>
      </c>
      <c r="H56" s="6">
        <f>_xll.BDP(A56,"LOW_52WEEK")</f>
        <v>1661.614</v>
      </c>
      <c r="I56" s="6">
        <f t="shared" si="9"/>
        <v>-11.65959346505382</v>
      </c>
      <c r="J56" s="6">
        <f>_xll.BDP(A56,"CHG_PCT_5D")</f>
        <v>-1.2404500000000001</v>
      </c>
      <c r="K56" s="6">
        <f>_xll.BDP(A56,"CHG_PCT_1M")</f>
        <v>-4.492305</v>
      </c>
      <c r="L56" s="6">
        <f>_xll.BDP(A56,"CHG_PCT_3M")</f>
        <v>1.292206</v>
      </c>
      <c r="M56" s="6">
        <f>_xll.BDP(A56,"CHG_PCT_6M")</f>
        <v>0.42037950000000002</v>
      </c>
      <c r="N56" s="6">
        <f>_xll.BDP(A56,"PR064")</f>
        <v>1.292206</v>
      </c>
      <c r="O56" s="6">
        <f>_xll.BDP(A56,"CHG_PCT_1YR")</f>
        <v>1.041318</v>
      </c>
      <c r="P56" s="6">
        <f>_xll.BDP(A56,"INTERVAL_HIGH", "MARKET_DATA_OVERRIDE=PE_RATIO", "CALC_INTERVAL=5y", "BEST_FPERIOD_OVERRIDE=BF")</f>
        <v>21.531872230690254</v>
      </c>
      <c r="Q56" s="6">
        <f>_xll.BDP(A56,"INTERVAL_Low", "MARKET_DATA_OVERRIDE=PE_RATIO", "CALC_INTERVAL=5y", "BEST_FPERIOD_OVERRIDE=BF")</f>
        <v>10.152247215712965</v>
      </c>
      <c r="R56" s="6">
        <f>_xll.BDP(A56,"PE_RATIO")</f>
        <v>17.236265888751017</v>
      </c>
      <c r="S56" s="43">
        <f t="shared" si="10"/>
        <v>0.62251775991866376</v>
      </c>
      <c r="T56" s="6">
        <f>_xll.BDP(A56,"RR902")</f>
        <v>869575256674.71802</v>
      </c>
      <c r="U56" s="5" t="s">
        <v>537</v>
      </c>
      <c r="V56" s="5" t="s">
        <v>825</v>
      </c>
      <c r="W56" s="5" t="str">
        <f>_xll.BDP(U56,"DS003")</f>
        <v>GE</v>
      </c>
      <c r="X56" s="6">
        <f>_xll.BDP(U56,"PX_LAST")</f>
        <v>210.9</v>
      </c>
      <c r="Y56" s="6">
        <f>_xll.BDP(U56,"CHG_PCT_1D")</f>
        <v>0.95739589999999997</v>
      </c>
      <c r="Z56" s="6">
        <f>_xll.BDP(U56,"HIGH_52WEEK")</f>
        <v>219.05</v>
      </c>
      <c r="AA56" s="6">
        <f t="shared" si="4"/>
        <v>3.7915926775178646</v>
      </c>
      <c r="AB56" s="6">
        <f>_xll.BDP(U56,"LOW_52WEEK")</f>
        <v>170.46</v>
      </c>
      <c r="AC56" s="6">
        <f t="shared" si="5"/>
        <v>-21.288342239057734</v>
      </c>
      <c r="AD56" s="6">
        <f>_xll.BDP(U56,"CHG_PCT_5D")</f>
        <v>-2.3702299999999999E-2</v>
      </c>
      <c r="AE56" s="6">
        <f>_xll.BDP(U56,"CHG_PCT_1M")</f>
        <v>6.1399109999999997</v>
      </c>
      <c r="AF56" s="6">
        <f>_xll.BDP(U56,"CHG_PCT_3M")</f>
        <v>-7.1074650000000003E-2</v>
      </c>
      <c r="AG56" s="6">
        <f>_xll.BDP(U56,"CHG_PCT_6M")</f>
        <v>6.1933499999999997</v>
      </c>
      <c r="AH56" s="6">
        <f>_xll.BDP(U56,"PR064")</f>
        <v>-7.1074650000000003E-2</v>
      </c>
      <c r="AI56" s="6">
        <f>_xll.BDP(U56,"CHG_PCT_1YR")</f>
        <v>7.2300219999999999</v>
      </c>
      <c r="AJ56" s="6">
        <f>_xll.BDP(U56,"INTERVAL_HIGH", "MARKET_DATA_OVERRIDE=PE_RATIO", "CALC_INTERVAL=5y", "BEST_FPERIOD_OVERRIDE=BF")</f>
        <v>12.396133538605168</v>
      </c>
      <c r="AK56" s="6">
        <f>_xll.BDP(U56,"INTERVAL_Low", "MARKET_DATA_OVERRIDE=PE_RATIO", "CALC_INTERVAL=5y", "BEST_FPERIOD_OVERRIDE=BF")</f>
        <v>6.8394758116704795</v>
      </c>
      <c r="AL56" s="6">
        <f>_xll.BDP(U56,"PE_RATIO")</f>
        <v>11.514753210903732</v>
      </c>
      <c r="AM56" s="43">
        <f t="shared" si="6"/>
        <v>0.84138300917309761</v>
      </c>
      <c r="AN56" s="9" t="s">
        <v>626</v>
      </c>
      <c r="AO56" s="32" t="s">
        <v>647</v>
      </c>
      <c r="AP56" s="33">
        <f>_xll.BDP(AN56,"PX_LAST")</f>
        <v>1.6555</v>
      </c>
      <c r="AQ56" s="33">
        <f>_xll.BDP(AN56,"CHG_NET_1D")</f>
        <v>-2.4E-2</v>
      </c>
      <c r="AR56" s="33">
        <f>_xll.BDP(AN56,"HIGH_52WEEK")</f>
        <v>2.9731999999999998</v>
      </c>
      <c r="AS56" s="33">
        <f t="shared" si="11"/>
        <v>58.553573586383742</v>
      </c>
      <c r="AT56" s="33">
        <f>_xll.BDP(AN56,"LOW_52WEEK")</f>
        <v>1.4258999999999999</v>
      </c>
      <c r="AU56" s="33">
        <f t="shared" si="12"/>
        <v>-14.929988469922757</v>
      </c>
      <c r="AV56" s="33">
        <f>_xll.BDP(AN56,"CHG_PCT_5D")</f>
        <v>-4.7359</v>
      </c>
      <c r="AW56" s="33">
        <f>_xll.BDP(AN56,"CHG_PCT_1M")</f>
        <v>7.5629</v>
      </c>
      <c r="AX56" s="33">
        <f>_xll.BDP(AN56,"CHG_PCT_3M")</f>
        <v>-6.4108000000000001</v>
      </c>
      <c r="AY56" s="33">
        <f>_xll.BDP(AN56,"CHG_PCT_6M")</f>
        <v>-26.9482</v>
      </c>
      <c r="AZ56" s="33">
        <f>_xll.BDP(AN56,"PR064")</f>
        <v>-6.4108000000000001</v>
      </c>
      <c r="BA56" s="33">
        <f>_xll.BDP(AN56,"CHG_PCT_1YR")</f>
        <v>-41.185899999999997</v>
      </c>
    </row>
    <row r="57" spans="1:53" ht="17.25" thickBot="1" x14ac:dyDescent="0.3">
      <c r="A57" t="s">
        <v>483</v>
      </c>
      <c r="B57" s="39" t="s">
        <v>729</v>
      </c>
      <c r="C57" s="39" t="str">
        <f>_xll.BDP(A57,"DS003")</f>
        <v>CH</v>
      </c>
      <c r="D57" s="40">
        <f>_xll.BDP(A57,"PX_LAST")</f>
        <v>2745.9259999999999</v>
      </c>
      <c r="E57" s="40">
        <f>_xll.BDP(A57,"CHG_PCT_1D")</f>
        <v>-3.0272489999999999</v>
      </c>
      <c r="F57" s="40">
        <f>_xll.BDP(A57,"HIGH_52WEEK")</f>
        <v>3314.5419999999999</v>
      </c>
      <c r="G57" s="40">
        <f t="shared" si="8"/>
        <v>18.820109551928606</v>
      </c>
      <c r="H57" s="40">
        <f>_xll.BDP(A57,"LOW_52WEEK")</f>
        <v>1969.8530000000001</v>
      </c>
      <c r="I57" s="40">
        <f t="shared" si="9"/>
        <v>-33.215943801784881</v>
      </c>
      <c r="J57" s="40">
        <f>_xll.BDP(A57,"CHG_PCT_5D")</f>
        <v>-4.9847460000000003</v>
      </c>
      <c r="K57" s="40">
        <f>_xll.BDP(A57,"CHG_PCT_1M")</f>
        <v>4.4557729999999998</v>
      </c>
      <c r="L57" s="40">
        <f>_xll.BDP(A57,"CHG_PCT_3M")</f>
        <v>1.780581</v>
      </c>
      <c r="M57" s="40">
        <f>_xll.BDP(A57,"CHG_PCT_6M")</f>
        <v>1.14009</v>
      </c>
      <c r="N57" s="40">
        <f>_xll.BDP(A57,"PR064")</f>
        <v>1.780581</v>
      </c>
      <c r="O57" s="40">
        <f>_xll.BDP(A57,"CHG_PCT_1YR")</f>
        <v>15.24488</v>
      </c>
      <c r="P57" s="40">
        <f>_xll.BDP(A57,"INTERVAL_HIGH", "MARKET_DATA_OVERRIDE=PE_RATIO", "CALC_INTERVAL=5y", "BEST_FPERIOD_OVERRIDE=BF")</f>
        <v>617.37979765578598</v>
      </c>
      <c r="Q57" s="40">
        <f>_xll.BDP(A57,"INTERVAL_Low", "MARKET_DATA_OVERRIDE=PE_RATIO", "CALC_INTERVAL=5y", "BEST_FPERIOD_OVERRIDE=BF")</f>
        <v>19.705728548159485</v>
      </c>
      <c r="R57" s="40">
        <f>_xll.BDP(A57,"PE_RATIO")</f>
        <v>58.579860544629568</v>
      </c>
      <c r="S57" s="48">
        <f t="shared" si="10"/>
        <v>6.5042360051712073E-2</v>
      </c>
      <c r="T57" s="6">
        <f>_xll.BDP(A57,"RR902")</f>
        <v>718460881023.78101</v>
      </c>
      <c r="U57" s="5" t="s">
        <v>538</v>
      </c>
      <c r="V57" s="5" t="s">
        <v>826</v>
      </c>
      <c r="W57" s="5" t="str">
        <f>_xll.BDP(U57,"DS003")</f>
        <v>GE</v>
      </c>
      <c r="X57" s="6">
        <f>_xll.BDP(U57,"PX_LAST")</f>
        <v>95.91</v>
      </c>
      <c r="Y57" s="6">
        <f>_xll.BDP(U57,"CHG_PCT_1D")</f>
        <v>-0.17693590000000001</v>
      </c>
      <c r="Z57" s="6">
        <f>_xll.BDP(U57,"HIGH_52WEEK")</f>
        <v>111.8</v>
      </c>
      <c r="AA57" s="6">
        <f t="shared" si="4"/>
        <v>15.330130898113897</v>
      </c>
      <c r="AB57" s="6">
        <f>_xll.BDP(U57,"LOW_52WEEK")</f>
        <v>84.42</v>
      </c>
      <c r="AC57" s="6">
        <f t="shared" si="5"/>
        <v>-12.760591138550707</v>
      </c>
      <c r="AD57" s="6">
        <f>_xll.BDP(U57,"CHG_PCT_5D")</f>
        <v>-1.317008</v>
      </c>
      <c r="AE57" s="6">
        <f>_xll.BDP(U57,"CHG_PCT_1M")</f>
        <v>7.9216800000000003</v>
      </c>
      <c r="AF57" s="6">
        <f>_xll.BDP(U57,"CHG_PCT_3M")</f>
        <v>-7.4763679999999999</v>
      </c>
      <c r="AG57" s="6">
        <f>_xll.BDP(U57,"CHG_PCT_6M")</f>
        <v>0.21943889999999999</v>
      </c>
      <c r="AH57" s="6">
        <f>_xll.BDP(U57,"PR064")</f>
        <v>-7.4763679999999999</v>
      </c>
      <c r="AI57" s="6">
        <f>_xll.BDP(U57,"CHG_PCT_1YR")</f>
        <v>-13.718970000000001</v>
      </c>
      <c r="AJ57" s="6">
        <f>_xll.BDP(U57,"INTERVAL_HIGH", "MARKET_DATA_OVERRIDE=PE_RATIO", "CALC_INTERVAL=5y", "BEST_FPERIOD_OVERRIDE=BF")</f>
        <v>19.700182815356492</v>
      </c>
      <c r="AK57" s="6">
        <f>_xll.BDP(U57,"INTERVAL_Low", "MARKET_DATA_OVERRIDE=PE_RATIO", "CALC_INTERVAL=5y", "BEST_FPERIOD_OVERRIDE=BF")</f>
        <v>9.9521960500927484</v>
      </c>
      <c r="AL57" s="6">
        <f>_xll.BDP(U57,"PE_RATIO")</f>
        <v>17.598165809561351</v>
      </c>
      <c r="AM57" s="43">
        <f t="shared" si="6"/>
        <v>0.78436398649149497</v>
      </c>
      <c r="AN57" s="9" t="s">
        <v>627</v>
      </c>
      <c r="AO57" s="9" t="s">
        <v>648</v>
      </c>
      <c r="AP57" s="10">
        <f>_xll.BDP(AN57,"PX_LAST")</f>
        <v>1.6920999999999999</v>
      </c>
      <c r="AQ57" s="10">
        <f>_xll.BDP(AN57,"CHG_NET_1D")</f>
        <v>-4.5100000000000001E-2</v>
      </c>
      <c r="AR57" s="10">
        <f>_xll.BDP(AN57,"HIGH_52WEEK")</f>
        <v>3.2593999999999999</v>
      </c>
      <c r="AS57" s="10">
        <f t="shared" si="11"/>
        <v>65.557276826730742</v>
      </c>
      <c r="AT57" s="10">
        <f>_xll.BDP(AN57,"LOW_52WEEK")</f>
        <v>1.4272</v>
      </c>
      <c r="AU57" s="10">
        <f t="shared" si="12"/>
        <v>-17.025587824883594</v>
      </c>
      <c r="AV57" s="10">
        <f>_xll.BDP(AN57,"CHG_PCT_5D")</f>
        <v>-5.1513</v>
      </c>
      <c r="AW57" s="10">
        <f>_xll.BDP(AN57,"CHG_PCT_1M")</f>
        <v>10.2273</v>
      </c>
      <c r="AX57" s="10">
        <f>_xll.BDP(AN57,"CHG_PCT_3M")</f>
        <v>-17.329499999999999</v>
      </c>
      <c r="AY57" s="10">
        <f>_xll.BDP(AN57,"CHG_PCT_6M")</f>
        <v>-30.165099999999999</v>
      </c>
      <c r="AZ57" s="10">
        <f>_xll.BDP(AN57,"PR064")</f>
        <v>-17.329499999999999</v>
      </c>
      <c r="BA57" s="10">
        <f>_xll.BDP(AN57,"CHG_PCT_1YR")</f>
        <v>-44.484900000000003</v>
      </c>
    </row>
    <row r="58" spans="1:53" x14ac:dyDescent="0.25">
      <c r="A58" t="s">
        <v>485</v>
      </c>
      <c r="B58" s="37" t="s">
        <v>731</v>
      </c>
      <c r="C58" s="37" t="str">
        <f>_xll.BDP(A58,"DS003")</f>
        <v>HK</v>
      </c>
      <c r="D58" s="38">
        <f>_xll.BDP(A58,"PX_LAST")</f>
        <v>5139.33</v>
      </c>
      <c r="E58" s="38">
        <f>_xll.BDP(A58,"CHG_PCT_1D")</f>
        <v>0.3857738</v>
      </c>
      <c r="F58" s="38">
        <f>_xll.BDP(A58,"HIGH_52WEEK")</f>
        <v>5489.33</v>
      </c>
      <c r="G58" s="38">
        <f t="shared" si="8"/>
        <v>6.5883487224887567</v>
      </c>
      <c r="H58" s="38">
        <f>_xll.BDP(A58,"LOW_52WEEK")</f>
        <v>4030.76</v>
      </c>
      <c r="I58" s="38">
        <f t="shared" si="9"/>
        <v>-24.29677769896945</v>
      </c>
      <c r="J58" s="38">
        <f>_xll.BDP(A58,"CHG_PCT_5D")</f>
        <v>0</v>
      </c>
      <c r="K58" s="38">
        <f>_xll.BDP(A58,"CHG_PCT_1M")</f>
        <v>2.7401680000000002</v>
      </c>
      <c r="L58" s="38">
        <f>_xll.BDP(A58,"CHG_PCT_3M")</f>
        <v>2.683306</v>
      </c>
      <c r="M58" s="38">
        <f>_xll.BDP(A58,"CHG_PCT_6M")</f>
        <v>1.2007829999999999</v>
      </c>
      <c r="N58" s="38">
        <f>_xll.BDP(A58,"PR064")</f>
        <v>2.683306</v>
      </c>
      <c r="O58" s="38">
        <f>_xll.BDP(A58,"CHG_PCT_1YR")</f>
        <v>0.72219979999999995</v>
      </c>
      <c r="P58" s="38" t="str">
        <f>_xll.BDP(A58,"INTERVAL_HIGH", "MARKET_DATA_OVERRIDE=PE_RATIO", "CALC_INTERVAL=5y", "BEST_FPERIOD_OVERRIDE=BF")</f>
        <v>#N/A N/A</v>
      </c>
      <c r="Q58" s="38" t="str">
        <f>_xll.BDP(A58,"INTERVAL_Low", "MARKET_DATA_OVERRIDE=PE_RATIO", "CALC_INTERVAL=5y", "BEST_FPERIOD_OVERRIDE=BF")</f>
        <v>#N/A N/A</v>
      </c>
      <c r="R58" s="38" t="str">
        <f>_xll.BDP(A58,"PE_RATIO")</f>
        <v>#N/A N/A</v>
      </c>
      <c r="S58" s="47" t="str">
        <f t="shared" si="10"/>
        <v/>
      </c>
      <c r="T58" s="6" t="str">
        <f>_xll.BDP(A58,"RR902")</f>
        <v>#N/A N/A</v>
      </c>
      <c r="U58" s="5" t="s">
        <v>546</v>
      </c>
      <c r="V58" s="5" t="s">
        <v>827</v>
      </c>
      <c r="W58" s="5" t="str">
        <f>_xll.BDP(U58,"DS003")</f>
        <v>GE</v>
      </c>
      <c r="X58" s="6">
        <f>_xll.BDP(U58,"PX_LAST")</f>
        <v>64.900000000000006</v>
      </c>
      <c r="Y58" s="6">
        <f>_xll.BDP(U58,"CHG_PCT_1D")</f>
        <v>-1.8599730000000001</v>
      </c>
      <c r="Z58" s="6">
        <f>_xll.BDP(U58,"HIGH_52WEEK")</f>
        <v>79.95</v>
      </c>
      <c r="AA58" s="6">
        <f t="shared" si="4"/>
        <v>20.855381556991883</v>
      </c>
      <c r="AB58" s="6">
        <f>_xll.BDP(U58,"LOW_52WEEK")</f>
        <v>51.9</v>
      </c>
      <c r="AC58" s="6">
        <f t="shared" si="5"/>
        <v>-22.35288335382014</v>
      </c>
      <c r="AD58" s="6">
        <f>_xll.BDP(U58,"CHG_PCT_5D")</f>
        <v>-2.6986509999999999</v>
      </c>
      <c r="AE58" s="6">
        <f>_xll.BDP(U58,"CHG_PCT_1M")</f>
        <v>-2.7715360000000002</v>
      </c>
      <c r="AF58" s="6">
        <f>_xll.BDP(U58,"CHG_PCT_3M")</f>
        <v>6.3934430000000004</v>
      </c>
      <c r="AG58" s="6">
        <f>_xll.BDP(U58,"CHG_PCT_6M")</f>
        <v>14.765700000000001</v>
      </c>
      <c r="AH58" s="6">
        <f>_xll.BDP(U58,"PR064")</f>
        <v>6.3934430000000004</v>
      </c>
      <c r="AI58" s="6">
        <f>_xll.BDP(U58,"CHG_PCT_1YR")</f>
        <v>-16.398299999999999</v>
      </c>
      <c r="AJ58" s="6">
        <f>_xll.BDP(U58,"INTERVAL_HIGH", "MARKET_DATA_OVERRIDE=PE_RATIO", "CALC_INTERVAL=5y", "BEST_FPERIOD_OVERRIDE=BF")</f>
        <v>105.49618320610689</v>
      </c>
      <c r="AK58" s="6">
        <f>_xll.BDP(U58,"INTERVAL_Low", "MARKET_DATA_OVERRIDE=PE_RATIO", "CALC_INTERVAL=5y", "BEST_FPERIOD_OVERRIDE=BF")</f>
        <v>9.5500465891557749</v>
      </c>
      <c r="AL58" s="6">
        <f>_xll.BDP(U58,"PE_RATIO")</f>
        <v>99.083971795235001</v>
      </c>
      <c r="AM58" s="43">
        <f t="shared" si="6"/>
        <v>0.93316863360041713</v>
      </c>
      <c r="AN58" s="9" t="s">
        <v>628</v>
      </c>
      <c r="AO58" s="9" t="s">
        <v>649</v>
      </c>
      <c r="AP58" s="10">
        <f>_xll.BDP(AN58,"PX_LAST")</f>
        <v>2.1419000000000001</v>
      </c>
      <c r="AQ58" s="10">
        <f>_xll.BDP(AN58,"CHG_NET_1D")</f>
        <v>-4.4400000000000002E-2</v>
      </c>
      <c r="AR58" s="10">
        <f>_xll.BDP(AN58,"HIGH_52WEEK")</f>
        <v>3.4647000000000001</v>
      </c>
      <c r="AS58" s="10">
        <f t="shared" si="11"/>
        <v>48.093276321205487</v>
      </c>
      <c r="AT58" s="10">
        <f>_xll.BDP(AN58,"LOW_52WEEK")</f>
        <v>1.9039000000000001</v>
      </c>
      <c r="AU58" s="10">
        <f t="shared" si="12"/>
        <v>-11.778887161346589</v>
      </c>
      <c r="AV58" s="10">
        <f>_xll.BDP(AN58,"CHG_PCT_5D")</f>
        <v>-3.8515000000000001</v>
      </c>
      <c r="AW58" s="10">
        <f>_xll.BDP(AN58,"CHG_PCT_1M")</f>
        <v>5.2324000000000002</v>
      </c>
      <c r="AX58" s="10">
        <f>_xll.BDP(AN58,"CHG_PCT_3M")</f>
        <v>-16.641400000000001</v>
      </c>
      <c r="AY58" s="10">
        <f>_xll.BDP(AN58,"CHG_PCT_6M")</f>
        <v>-25.4499</v>
      </c>
      <c r="AZ58" s="10">
        <f>_xll.BDP(AN58,"PR064")</f>
        <v>-16.641400000000001</v>
      </c>
      <c r="BA58" s="10">
        <f>_xll.BDP(AN58,"CHG_PCT_1YR")</f>
        <v>-32.674300000000002</v>
      </c>
    </row>
    <row r="59" spans="1:53" x14ac:dyDescent="0.25">
      <c r="A59" t="s">
        <v>486</v>
      </c>
      <c r="B59" s="5" t="s">
        <v>732</v>
      </c>
      <c r="C59" s="5" t="str">
        <f>_xll.BDP(A59,"DS003")</f>
        <v>HK</v>
      </c>
      <c r="D59" s="6">
        <f>_xll.BDP(A59,"PX_LAST")</f>
        <v>2068.35</v>
      </c>
      <c r="E59" s="6">
        <f>_xll.BDP(A59,"CHG_PCT_1D")</f>
        <v>-1.8852049999999999E-2</v>
      </c>
      <c r="F59" s="6">
        <f>_xll.BDP(A59,"HIGH_52WEEK")</f>
        <v>2662.63</v>
      </c>
      <c r="G59" s="6">
        <f t="shared" si="8"/>
        <v>25.256316816093605</v>
      </c>
      <c r="H59" s="6">
        <f>_xll.BDP(A59,"LOW_52WEEK")</f>
        <v>1973.15</v>
      </c>
      <c r="I59" s="6">
        <f t="shared" si="9"/>
        <v>-4.7119937467297994</v>
      </c>
      <c r="J59" s="6">
        <f>_xll.BDP(A59,"CHG_PCT_5D")</f>
        <v>-2.3243659999999999</v>
      </c>
      <c r="K59" s="6">
        <f>_xll.BDP(A59,"CHG_PCT_1M")</f>
        <v>3.5789639999999998E-2</v>
      </c>
      <c r="L59" s="6">
        <f>_xll.BDP(A59,"CHG_PCT_3M")</f>
        <v>-14.09507</v>
      </c>
      <c r="M59" s="6">
        <f>_xll.BDP(A59,"CHG_PCT_6M")</f>
        <v>-18.098120000000002</v>
      </c>
      <c r="N59" s="6">
        <f>_xll.BDP(A59,"PR064")</f>
        <v>-14.09507</v>
      </c>
      <c r="O59" s="6">
        <f>_xll.BDP(A59,"CHG_PCT_1YR")</f>
        <v>-19.097940000000001</v>
      </c>
      <c r="P59" s="6">
        <f>_xll.BDP(A59,"INTERVAL_HIGH", "MARKET_DATA_OVERRIDE=PE_RATIO", "CALC_INTERVAL=5y", "BEST_FPERIOD_OVERRIDE=BF")</f>
        <v>17.303727512183549</v>
      </c>
      <c r="Q59" s="6">
        <f>_xll.BDP(A59,"INTERVAL_Low", "MARKET_DATA_OVERRIDE=PE_RATIO", "CALC_INTERVAL=5y", "BEST_FPERIOD_OVERRIDE=BF")</f>
        <v>4.8523985804107204</v>
      </c>
      <c r="R59" s="6">
        <f>_xll.BDP(A59,"PE_RATIO")</f>
        <v>5.1370732161442225</v>
      </c>
      <c r="S59" s="43">
        <f t="shared" si="10"/>
        <v>2.2862992158779152E-2</v>
      </c>
      <c r="T59" s="6">
        <f>_xll.BDP(A59,"RR902")</f>
        <v>807816659141.30505</v>
      </c>
      <c r="U59" s="5" t="s">
        <v>548</v>
      </c>
      <c r="V59" s="5" t="s">
        <v>828</v>
      </c>
      <c r="W59" s="5" t="str">
        <f>_xll.BDP(U59,"DS003")</f>
        <v>GE</v>
      </c>
      <c r="X59" s="6">
        <f>_xll.BDP(U59,"PX_LAST")</f>
        <v>62.26</v>
      </c>
      <c r="Y59" s="6">
        <f>_xll.BDP(U59,"CHG_PCT_1D")</f>
        <v>0.79326529999999995</v>
      </c>
      <c r="Z59" s="6">
        <f>_xll.BDP(U59,"HIGH_52WEEK")</f>
        <v>78.849999999999994</v>
      </c>
      <c r="AA59" s="6">
        <f t="shared" si="4"/>
        <v>23.622814839558519</v>
      </c>
      <c r="AB59" s="6">
        <f>_xll.BDP(U59,"LOW_52WEEK")</f>
        <v>55.64</v>
      </c>
      <c r="AC59" s="6">
        <f t="shared" si="5"/>
        <v>-11.241679795821995</v>
      </c>
      <c r="AD59" s="6">
        <f>_xll.BDP(U59,"CHG_PCT_5D")</f>
        <v>-2.3831920000000002</v>
      </c>
      <c r="AE59" s="6">
        <f>_xll.BDP(U59,"CHG_PCT_1M")</f>
        <v>6.9208319999999999</v>
      </c>
      <c r="AF59" s="6">
        <f>_xll.BDP(U59,"CHG_PCT_3M")</f>
        <v>-1.6429689999999999</v>
      </c>
      <c r="AG59" s="6">
        <f>_xll.BDP(U59,"CHG_PCT_6M")</f>
        <v>-4.4065669999999999</v>
      </c>
      <c r="AH59" s="6">
        <f>_xll.BDP(U59,"PR064")</f>
        <v>-1.6429689999999999</v>
      </c>
      <c r="AI59" s="6">
        <f>_xll.BDP(U59,"CHG_PCT_1YR")</f>
        <v>-20.536049999999999</v>
      </c>
      <c r="AJ59" s="6">
        <f>_xll.BDP(U59,"INTERVAL_HIGH", "MARKET_DATA_OVERRIDE=PE_RATIO", "CALC_INTERVAL=5y", "BEST_FPERIOD_OVERRIDE=BF")</f>
        <v>23.721106424834513</v>
      </c>
      <c r="AK59" s="6">
        <f>_xll.BDP(U59,"INTERVAL_Low", "MARKET_DATA_OVERRIDE=PE_RATIO", "CALC_INTERVAL=5y", "BEST_FPERIOD_OVERRIDE=BF")</f>
        <v>9.8857764477456804</v>
      </c>
      <c r="AL59" s="6">
        <f>_xll.BDP(U59,"PE_RATIO")</f>
        <v>22.547725896108506</v>
      </c>
      <c r="AM59" s="43">
        <f t="shared" si="6"/>
        <v>0.9151895523511826</v>
      </c>
      <c r="AN59" s="11" t="s">
        <v>658</v>
      </c>
      <c r="AO59" s="9" t="s">
        <v>661</v>
      </c>
      <c r="AP59" s="10">
        <f>_xll.BDP(AN59,"PX_LAST")</f>
        <v>-0.75</v>
      </c>
      <c r="AQ59" s="10">
        <f>_xll.BDP(AN59,"CHG_NET_1D")</f>
        <v>-1.6E-2</v>
      </c>
      <c r="AR59" s="10">
        <f>_xll.BDP(AN59,"HIGH_52WEEK")</f>
        <v>-0.49299999999999999</v>
      </c>
      <c r="AS59" s="10">
        <f t="shared" ref="AS59:AS61" si="13">LN(AR59/AP59)*100</f>
        <v>-41.956403248766605</v>
      </c>
      <c r="AT59" s="10">
        <f>_xll.BDP(AN59,"LOW_52WEEK")</f>
        <v>-2.052</v>
      </c>
      <c r="AU59" s="10">
        <f t="shared" ref="AU59:AU60" si="14">LN(AT59/AP59)*100</f>
        <v>100.64969997603042</v>
      </c>
      <c r="AV59" s="10">
        <f>_xll.BDP(AN59,"CHG_PCT_5D")</f>
        <v>-3.5910000000000002</v>
      </c>
      <c r="AW59" s="10">
        <f>_xll.BDP(AN59,"CHG_PCT_1M")</f>
        <v>16.201000000000001</v>
      </c>
      <c r="AX59" s="10">
        <f>_xll.BDP(AN59,"CHG_PCT_3M")</f>
        <v>-2.74</v>
      </c>
      <c r="AY59" s="10">
        <f>_xll.BDP(AN59,"CHG_PCT_6M")</f>
        <v>-33.451999999999998</v>
      </c>
      <c r="AZ59" s="10">
        <f>_xll.BDP(AN59,"PR064")</f>
        <v>-2.74</v>
      </c>
      <c r="BA59" s="10">
        <f>_xll.BDP(AN59,"CHG_PCT_1YR")</f>
        <v>-50</v>
      </c>
    </row>
    <row r="60" spans="1:53" x14ac:dyDescent="0.25">
      <c r="A60" t="s">
        <v>487</v>
      </c>
      <c r="B60" s="5" t="s">
        <v>733</v>
      </c>
      <c r="C60" s="5" t="str">
        <f>_xll.BDP(A60,"DS003")</f>
        <v>HK</v>
      </c>
      <c r="D60" s="6">
        <f>_xll.BDP(A60,"PX_LAST")</f>
        <v>7825.61</v>
      </c>
      <c r="E60" s="6">
        <f>_xll.BDP(A60,"CHG_PCT_1D")</f>
        <v>-0.65795490000000001</v>
      </c>
      <c r="F60" s="6">
        <f>_xll.BDP(A60,"HIGH_52WEEK")</f>
        <v>10906.08</v>
      </c>
      <c r="G60" s="6">
        <f t="shared" si="8"/>
        <v>33.191874322923766</v>
      </c>
      <c r="H60" s="6">
        <f>_xll.BDP(A60,"LOW_52WEEK")</f>
        <v>7189.38</v>
      </c>
      <c r="I60" s="6">
        <f t="shared" si="9"/>
        <v>-8.4796751520785438</v>
      </c>
      <c r="J60" s="6">
        <f>_xll.BDP(A60,"CHG_PCT_5D")</f>
        <v>-2.8575659999999998</v>
      </c>
      <c r="K60" s="6">
        <f>_xll.BDP(A60,"CHG_PCT_1M")</f>
        <v>7.7742930000000001</v>
      </c>
      <c r="L60" s="6">
        <f>_xll.BDP(A60,"CHG_PCT_3M")</f>
        <v>-8.4547279999999994</v>
      </c>
      <c r="M60" s="6">
        <f>_xll.BDP(A60,"CHG_PCT_6M")</f>
        <v>-17.412949999999999</v>
      </c>
      <c r="N60" s="6">
        <f>_xll.BDP(A60,"PR064")</f>
        <v>-8.4547279999999994</v>
      </c>
      <c r="O60" s="6">
        <f>_xll.BDP(A60,"CHG_PCT_1YR")</f>
        <v>-25.798349999999999</v>
      </c>
      <c r="P60" s="6" t="str">
        <f>_xll.BDP(A60,"INTERVAL_HIGH", "MARKET_DATA_OVERRIDE=PE_RATIO", "CALC_INTERVAL=5y", "BEST_FPERIOD_OVERRIDE=BF")</f>
        <v>#N/A N/A</v>
      </c>
      <c r="Q60" s="6" t="str">
        <f>_xll.BDP(A60,"INTERVAL_Low", "MARKET_DATA_OVERRIDE=PE_RATIO", "CALC_INTERVAL=5y", "BEST_FPERIOD_OVERRIDE=BF")</f>
        <v>#N/A N/A</v>
      </c>
      <c r="R60" s="6" t="str">
        <f>_xll.BDP(A60,"PE_RATIO")</f>
        <v>#N/A N/A</v>
      </c>
      <c r="S60" s="43" t="str">
        <f t="shared" si="10"/>
        <v/>
      </c>
      <c r="T60" s="6" t="str">
        <f>_xll.BDP(A60,"RR902")</f>
        <v>#N/A N/A</v>
      </c>
      <c r="U60" s="5" t="s">
        <v>552</v>
      </c>
      <c r="V60" s="5" t="s">
        <v>829</v>
      </c>
      <c r="W60" s="5" t="str">
        <f>_xll.BDP(U60,"DS003")</f>
        <v>GE</v>
      </c>
      <c r="X60" s="6">
        <f>_xll.BDP(U60,"PX_LAST")</f>
        <v>15.391999999999999</v>
      </c>
      <c r="Y60" s="6">
        <f>_xll.BDP(U60,"CHG_PCT_1D")</f>
        <v>0.71980109999999997</v>
      </c>
      <c r="Z60" s="6">
        <f>_xll.BDP(U60,"HIGH_52WEEK")</f>
        <v>15.88</v>
      </c>
      <c r="AA60" s="6">
        <f t="shared" si="4"/>
        <v>3.121256189563903</v>
      </c>
      <c r="AB60" s="6">
        <f>_xll.BDP(U60,"LOW_52WEEK")</f>
        <v>13.755000000000001</v>
      </c>
      <c r="AC60" s="6">
        <f t="shared" si="5"/>
        <v>-11.244549954681268</v>
      </c>
      <c r="AD60" s="6">
        <f>_xll.BDP(U60,"CHG_PCT_5D")</f>
        <v>1.0504199999999999</v>
      </c>
      <c r="AE60" s="6">
        <f>_xll.BDP(U60,"CHG_PCT_1M")</f>
        <v>3.6917279999999999</v>
      </c>
      <c r="AF60" s="6">
        <f>_xll.BDP(U60,"CHG_PCT_3M")</f>
        <v>1.4767920000000001</v>
      </c>
      <c r="AG60" s="6">
        <f>_xll.BDP(U60,"CHG_PCT_6M")</f>
        <v>-1.3333360000000001</v>
      </c>
      <c r="AH60" s="6">
        <f>_xll.BDP(U60,"PR064")</f>
        <v>1.4767920000000001</v>
      </c>
      <c r="AI60" s="6">
        <f>_xll.BDP(U60,"CHG_PCT_1YR")</f>
        <v>9.5516000000000005</v>
      </c>
      <c r="AJ60" s="6">
        <f>_xll.BDP(U60,"INTERVAL_HIGH", "MARKET_DATA_OVERRIDE=PE_RATIO", "CALC_INTERVAL=5y", "BEST_FPERIOD_OVERRIDE=BF")</f>
        <v>264.49661857175067</v>
      </c>
      <c r="AK60" s="6">
        <f>_xll.BDP(U60,"INTERVAL_Low", "MARKET_DATA_OVERRIDE=PE_RATIO", "CALC_INTERVAL=5y", "BEST_FPERIOD_OVERRIDE=BF")</f>
        <v>9.9910842292649296</v>
      </c>
      <c r="AL60" s="6">
        <f>_xll.BDP(U60,"PE_RATIO")</f>
        <v>29.130770887330719</v>
      </c>
      <c r="AM60" s="43">
        <f t="shared" si="6"/>
        <v>7.520342026161872E-2</v>
      </c>
      <c r="AN60" s="11" t="s">
        <v>659</v>
      </c>
      <c r="AO60" s="9" t="s">
        <v>662</v>
      </c>
      <c r="AP60" s="10">
        <f>_xll.BDP(AN60,"PX_LAST")</f>
        <v>-0.58199999999999996</v>
      </c>
      <c r="AQ60" s="10">
        <f>_xll.BDP(AN60,"CHG_NET_1D")</f>
        <v>-7.0000000000000001E-3</v>
      </c>
      <c r="AR60" s="10">
        <f>_xll.BDP(AN60,"HIGH_52WEEK")</f>
        <v>0.57999999999999996</v>
      </c>
      <c r="AS60" s="10" t="e">
        <f>LN(AR60/AP60)*100</f>
        <v>#NUM!</v>
      </c>
      <c r="AT60" s="10">
        <f>_xll.BDP(AN60,"LOW_52WEEK")</f>
        <v>-0.74199999999999999</v>
      </c>
      <c r="AU60" s="10">
        <f t="shared" si="14"/>
        <v>24.287879543594272</v>
      </c>
      <c r="AV60" s="10">
        <f>_xll.BDP(AN60,"CHG_PCT_5D")</f>
        <v>-14.792999999999999</v>
      </c>
      <c r="AW60" s="10">
        <f>_xll.BDP(AN60,"CHG_PCT_1M")</f>
        <v>12.613</v>
      </c>
      <c r="AX60" s="10">
        <f>_xll.BDP(AN60,"CHG_PCT_3M")</f>
        <v>-92.078999999999994</v>
      </c>
      <c r="AY60" s="10">
        <f>_xll.BDP(AN60,"CHG_PCT_6M")</f>
        <v>-3780</v>
      </c>
      <c r="AZ60" s="10">
        <f>_xll.BDP(AN60,"PR064")</f>
        <v>-92.078999999999994</v>
      </c>
      <c r="BA60" s="10">
        <f>_xll.BDP(AN60,"CHG_PCT_1YR")</f>
        <v>-210.64599999999999</v>
      </c>
    </row>
    <row r="61" spans="1:53" x14ac:dyDescent="0.25">
      <c r="A61" t="s">
        <v>488</v>
      </c>
      <c r="B61" s="5" t="s">
        <v>734</v>
      </c>
      <c r="C61" s="5" t="str">
        <f>_xll.BDP(A61,"DS003")</f>
        <v>HK</v>
      </c>
      <c r="D61" s="6">
        <f>_xll.BDP(A61,"PX_LAST")</f>
        <v>3614.52</v>
      </c>
      <c r="E61" s="6">
        <f>_xll.BDP(A61,"CHG_PCT_1D")</f>
        <v>0.45467679999999999</v>
      </c>
      <c r="F61" s="6">
        <f>_xll.BDP(A61,"HIGH_52WEEK")</f>
        <v>4208.33984375</v>
      </c>
      <c r="G61" s="6">
        <f t="shared" si="8"/>
        <v>15.210916681013527</v>
      </c>
      <c r="H61" s="6">
        <f>_xll.BDP(A61,"LOW_52WEEK")</f>
        <v>3451.5</v>
      </c>
      <c r="I61" s="6">
        <f t="shared" si="9"/>
        <v>-4.6150147550291605</v>
      </c>
      <c r="J61" s="6">
        <f>_xll.BDP(A61,"CHG_PCT_5D")</f>
        <v>-1.4311430000000001</v>
      </c>
      <c r="K61" s="6">
        <f>_xll.BDP(A61,"CHG_PCT_1M")</f>
        <v>2.3395440000000001</v>
      </c>
      <c r="L61" s="6">
        <f>_xll.BDP(A61,"CHG_PCT_3M")</f>
        <v>-9.3569099999999992</v>
      </c>
      <c r="M61" s="6">
        <f>_xll.BDP(A61,"CHG_PCT_6M")</f>
        <v>-8.2227139999999999</v>
      </c>
      <c r="N61" s="6">
        <f>_xll.BDP(A61,"PR064")</f>
        <v>-9.3569099999999992</v>
      </c>
      <c r="O61" s="6">
        <f>_xll.BDP(A61,"CHG_PCT_1YR")</f>
        <v>-6.8782680000000003</v>
      </c>
      <c r="P61" s="6" t="str">
        <f>_xll.BDP(A61,"INTERVAL_HIGH", "MARKET_DATA_OVERRIDE=PE_RATIO", "CALC_INTERVAL=5y", "BEST_FPERIOD_OVERRIDE=BF")</f>
        <v>#N/A N/A</v>
      </c>
      <c r="Q61" s="6" t="str">
        <f>_xll.BDP(A61,"INTERVAL_Low", "MARKET_DATA_OVERRIDE=PE_RATIO", "CALC_INTERVAL=5y", "BEST_FPERIOD_OVERRIDE=BF")</f>
        <v>#N/A N/A</v>
      </c>
      <c r="R61" s="6" t="str">
        <f>_xll.BDP(A61,"PE_RATIO")</f>
        <v>#N/A N/A</v>
      </c>
      <c r="S61" s="43" t="str">
        <f t="shared" si="10"/>
        <v/>
      </c>
      <c r="T61" s="6" t="str">
        <f>_xll.BDP(A61,"RR902")</f>
        <v>#N/A N/A</v>
      </c>
      <c r="U61" s="5" t="s">
        <v>554</v>
      </c>
      <c r="V61" s="5" t="s">
        <v>830</v>
      </c>
      <c r="W61" s="5" t="str">
        <f>_xll.BDP(U61,"DS003")</f>
        <v>GE</v>
      </c>
      <c r="X61" s="6">
        <f>_xll.BDP(U61,"PX_LAST")</f>
        <v>44.96</v>
      </c>
      <c r="Y61" s="6">
        <f>_xll.BDP(U61,"CHG_PCT_1D")</f>
        <v>-1.208526</v>
      </c>
      <c r="Z61" s="6">
        <f>_xll.BDP(U61,"HIGH_52WEEK")</f>
        <v>60</v>
      </c>
      <c r="AA61" s="6">
        <f t="shared" si="4"/>
        <v>28.857135663666504</v>
      </c>
      <c r="AB61" s="6">
        <f>_xll.BDP(U61,"LOW_52WEEK")</f>
        <v>40.31</v>
      </c>
      <c r="AC61" s="6">
        <f t="shared" si="5"/>
        <v>-10.917362845636113</v>
      </c>
      <c r="AD61" s="6">
        <f>_xll.BDP(U61,"CHG_PCT_5D")</f>
        <v>-4.685181</v>
      </c>
      <c r="AE61" s="6">
        <f>_xll.BDP(U61,"CHG_PCT_1M")</f>
        <v>8.5859229999999993</v>
      </c>
      <c r="AF61" s="6">
        <f>_xll.BDP(U61,"CHG_PCT_3M")</f>
        <v>-6.9151119999999997</v>
      </c>
      <c r="AG61" s="6">
        <f>_xll.BDP(U61,"CHG_PCT_6M")</f>
        <v>-12.580209999999999</v>
      </c>
      <c r="AH61" s="6">
        <f>_xll.BDP(U61,"PR064")</f>
        <v>-6.9151119999999997</v>
      </c>
      <c r="AI61" s="6">
        <f>_xll.BDP(U61,"CHG_PCT_1YR")</f>
        <v>-18.932559999999999</v>
      </c>
      <c r="AJ61" s="6">
        <f>_xll.BDP(U61,"INTERVAL_HIGH", "MARKET_DATA_OVERRIDE=PE_RATIO", "CALC_INTERVAL=5y", "BEST_FPERIOD_OVERRIDE=BF")</f>
        <v>13.157226192829178</v>
      </c>
      <c r="AK61" s="6">
        <f>_xll.BDP(U61,"INTERVAL_Low", "MARKET_DATA_OVERRIDE=PE_RATIO", "CALC_INTERVAL=5y", "BEST_FPERIOD_OVERRIDE=BF")</f>
        <v>5.1928453691793388</v>
      </c>
      <c r="AL61" s="6">
        <f>_xll.BDP(U61,"PE_RATIO")</f>
        <v>11.960147140796593</v>
      </c>
      <c r="AM61" s="43">
        <f t="shared" si="6"/>
        <v>0.84969590498762726</v>
      </c>
      <c r="AN61" s="11" t="s">
        <v>660</v>
      </c>
      <c r="AO61" s="9" t="s">
        <v>663</v>
      </c>
      <c r="AP61" s="10">
        <f>_xll.BDP(AN61,"PX_LAST")</f>
        <v>-0.107</v>
      </c>
      <c r="AQ61" s="10">
        <f>_xll.BDP(AN61,"CHG_NET_1D")</f>
        <v>-1.4999999999999999E-2</v>
      </c>
      <c r="AR61" s="10">
        <f>_xll.BDP(AN61,"HIGH_52WEEK")</f>
        <v>1.1990000000000001</v>
      </c>
      <c r="AS61" s="10" t="e">
        <f t="shared" si="13"/>
        <v>#NUM!</v>
      </c>
      <c r="AT61" s="10">
        <f>_xll.BDP(AN61,"LOW_52WEEK")</f>
        <v>-0.311</v>
      </c>
      <c r="AU61" s="10">
        <f>LN(AT61/AP61)*100</f>
        <v>106.69640777173279</v>
      </c>
      <c r="AV61" s="10">
        <f>_xll.BDP(AN61,"CHG_PCT_5D")</f>
        <v>-991.66700000000003</v>
      </c>
      <c r="AW61" s="10">
        <f>_xll.BDP(AN61,"CHG_PCT_1M")</f>
        <v>16.405999999999999</v>
      </c>
      <c r="AX61" s="10">
        <f>_xll.BDP(AN61,"CHG_PCT_3M")</f>
        <v>-139.33799999999999</v>
      </c>
      <c r="AY61" s="10">
        <f>_xll.BDP(AN61,"CHG_PCT_6M")</f>
        <v>-118.35299999999999</v>
      </c>
      <c r="AZ61" s="10">
        <f>_xll.BDP(AN61,"PR064")</f>
        <v>-139.33799999999999</v>
      </c>
      <c r="BA61" s="10">
        <f>_xll.BDP(AN61,"CHG_PCT_1YR")</f>
        <v>-109.386</v>
      </c>
    </row>
    <row r="62" spans="1:53" x14ac:dyDescent="0.25">
      <c r="A62" t="s">
        <v>489</v>
      </c>
      <c r="B62" s="5" t="s">
        <v>735</v>
      </c>
      <c r="C62" s="5" t="str">
        <f>_xll.BDP(A62,"DS003")</f>
        <v>HK</v>
      </c>
      <c r="D62" s="6">
        <f>_xll.BDP(A62,"PX_LAST")</f>
        <v>1268.79</v>
      </c>
      <c r="E62" s="6">
        <f>_xll.BDP(A62,"CHG_PCT_1D")</f>
        <v>0.47752539999999999</v>
      </c>
      <c r="F62" s="6">
        <f>_xll.BDP(A62,"HIGH_52WEEK")</f>
        <v>1490.8</v>
      </c>
      <c r="G62" s="6">
        <f t="shared" si="8"/>
        <v>16.124919821837818</v>
      </c>
      <c r="H62" s="6">
        <f>_xll.BDP(A62,"LOW_52WEEK")</f>
        <v>1120.3399999999999</v>
      </c>
      <c r="I62" s="6">
        <f t="shared" si="9"/>
        <v>-12.443147973749648</v>
      </c>
      <c r="J62" s="6">
        <f>_xll.BDP(A62,"CHG_PCT_5D")</f>
        <v>-3.5558689999999999</v>
      </c>
      <c r="K62" s="6">
        <f>_xll.BDP(A62,"CHG_PCT_1M")</f>
        <v>5.6418249999999999</v>
      </c>
      <c r="L62" s="6">
        <f>_xll.BDP(A62,"CHG_PCT_3M")</f>
        <v>0.69842210000000005</v>
      </c>
      <c r="M62" s="6">
        <f>_xll.BDP(A62,"CHG_PCT_6M")</f>
        <v>-8.8591470000000001</v>
      </c>
      <c r="N62" s="6">
        <f>_xll.BDP(A62,"PR064")</f>
        <v>0.69842210000000005</v>
      </c>
      <c r="O62" s="6">
        <f>_xll.BDP(A62,"CHG_PCT_1YR")</f>
        <v>-5.2590260000000004</v>
      </c>
      <c r="P62" s="6" t="str">
        <f>_xll.BDP(A62,"INTERVAL_HIGH", "MARKET_DATA_OVERRIDE=PE_RATIO", "CALC_INTERVAL=5y", "BEST_FPERIOD_OVERRIDE=BF")</f>
        <v>#N/A N/A</v>
      </c>
      <c r="Q62" s="6" t="str">
        <f>_xll.BDP(A62,"INTERVAL_Low", "MARKET_DATA_OVERRIDE=PE_RATIO", "CALC_INTERVAL=5y", "BEST_FPERIOD_OVERRIDE=BF")</f>
        <v>#N/A N/A</v>
      </c>
      <c r="R62" s="6" t="str">
        <f>_xll.BDP(A62,"PE_RATIO")</f>
        <v>#N/A N/A</v>
      </c>
      <c r="S62" s="43" t="str">
        <f t="shared" si="10"/>
        <v/>
      </c>
      <c r="T62" s="6" t="str">
        <f>_xll.BDP(A62,"RR902")</f>
        <v>#N/A N/A</v>
      </c>
      <c r="U62" s="5" t="s">
        <v>564</v>
      </c>
      <c r="V62" s="5" t="s">
        <v>831</v>
      </c>
      <c r="W62" s="5" t="str">
        <f>_xll.BDP(U62,"DS003")</f>
        <v>GE</v>
      </c>
      <c r="X62" s="6">
        <f>_xll.BDP(U62,"PX_LAST")</f>
        <v>236</v>
      </c>
      <c r="Y62" s="6">
        <f>_xll.BDP(U62,"CHG_PCT_1D")</f>
        <v>1.331043</v>
      </c>
      <c r="Z62" s="6">
        <f>_xll.BDP(U62,"HIGH_52WEEK")</f>
        <v>236.8</v>
      </c>
      <c r="AA62" s="6">
        <f t="shared" si="4"/>
        <v>0.33840979842404945</v>
      </c>
      <c r="AB62" s="6">
        <f>_xll.BDP(U62,"LOW_52WEEK")</f>
        <v>181.2</v>
      </c>
      <c r="AC62" s="6">
        <f t="shared" si="5"/>
        <v>-26.42304114167311</v>
      </c>
      <c r="AD62" s="6">
        <f>_xll.BDP(U62,"CHG_PCT_5D")</f>
        <v>2.2973560000000002</v>
      </c>
      <c r="AE62" s="6">
        <f>_xll.BDP(U62,"CHG_PCT_1M")</f>
        <v>8.7557600000000004</v>
      </c>
      <c r="AF62" s="6">
        <f>_xll.BDP(U62,"CHG_PCT_3M")</f>
        <v>6.8356750000000002</v>
      </c>
      <c r="AG62" s="6">
        <f>_xll.BDP(U62,"CHG_PCT_6M")</f>
        <v>13.189450000000001</v>
      </c>
      <c r="AH62" s="6">
        <f>_xll.BDP(U62,"PR064")</f>
        <v>6.8356750000000002</v>
      </c>
      <c r="AI62" s="6">
        <f>_xll.BDP(U62,"CHG_PCT_1YR")</f>
        <v>22.501950000000001</v>
      </c>
      <c r="AJ62" s="6">
        <f>_xll.BDP(U62,"INTERVAL_HIGH", "MARKET_DATA_OVERRIDE=PE_RATIO", "CALC_INTERVAL=5y", "BEST_FPERIOD_OVERRIDE=BF")</f>
        <v>89.753912487984195</v>
      </c>
      <c r="AK62" s="6">
        <f>_xll.BDP(U62,"INTERVAL_Low", "MARKET_DATA_OVERRIDE=PE_RATIO", "CALC_INTERVAL=5y", "BEST_FPERIOD_OVERRIDE=BF")</f>
        <v>5.5609974180003023</v>
      </c>
      <c r="AL62" s="6">
        <f>_xll.BDP(U62,"PE_RATIO")</f>
        <v>14.410502080821546</v>
      </c>
      <c r="AM62" s="43">
        <f t="shared" si="6"/>
        <v>0.10510984986640795</v>
      </c>
      <c r="AN62" s="9" t="s">
        <v>605</v>
      </c>
      <c r="AO62" s="9" t="s">
        <v>650</v>
      </c>
      <c r="AP62" s="10">
        <f>_xll.BDP(AN62,"PX_LAST")</f>
        <v>0.11609999999999999</v>
      </c>
      <c r="AQ62" s="10">
        <f>_xll.BDP(AN62,"CHG_NET_1D")</f>
        <v>-1.67E-2</v>
      </c>
      <c r="AR62" s="10">
        <f>_xll.BDP(AN62,"HIGH_52WEEK")</f>
        <v>1.17</v>
      </c>
      <c r="AS62" s="10">
        <f t="shared" ref="AS62:AS79" si="15">LN(AR62/AP62)*100</f>
        <v>231.0307139087956</v>
      </c>
      <c r="AT62" s="10">
        <f>_xll.BDP(AN62,"LOW_52WEEK")</f>
        <v>-0.12330000000000001</v>
      </c>
      <c r="AU62" s="10" t="e">
        <f>LN(AT62/AP62)*100</f>
        <v>#NUM!</v>
      </c>
      <c r="AV62" s="10">
        <f>_xll.BDP(AN62,"CHG_PCT_5D")</f>
        <v>-28.200399999999998</v>
      </c>
      <c r="AW62" s="10">
        <f>_xll.BDP(AN62,"CHG_PCT_1M")</f>
        <v>853.89610000000005</v>
      </c>
      <c r="AX62" s="10">
        <f>_xll.BDP(AN62,"CHG_PCT_3M")</f>
        <v>-64.754099999999994</v>
      </c>
      <c r="AY62" s="10">
        <f>_xll.BDP(AN62,"CHG_PCT_6M")</f>
        <v>-79.118700000000004</v>
      </c>
      <c r="AZ62" s="10">
        <f>_xll.BDP(AN62,"PR064")</f>
        <v>-64.754099999999994</v>
      </c>
      <c r="BA62" s="10">
        <f>_xll.BDP(AN62,"CHG_PCT_1YR")</f>
        <v>-87.066900000000004</v>
      </c>
    </row>
    <row r="63" spans="1:53" x14ac:dyDescent="0.25">
      <c r="A63" t="s">
        <v>490</v>
      </c>
      <c r="B63" s="5" t="s">
        <v>736</v>
      </c>
      <c r="C63" s="5" t="str">
        <f>_xll.BDP(A63,"DS003")</f>
        <v>HK</v>
      </c>
      <c r="D63" s="6">
        <f>_xll.BDP(A63,"PX_LAST")</f>
        <v>10847.15</v>
      </c>
      <c r="E63" s="6">
        <f>_xll.BDP(A63,"CHG_PCT_1D")</f>
        <v>0.86365689999999995</v>
      </c>
      <c r="F63" s="6">
        <f>_xll.BDP(A63,"HIGH_52WEEK")</f>
        <v>12507.95</v>
      </c>
      <c r="G63" s="6">
        <f t="shared" si="8"/>
        <v>14.246206947510437</v>
      </c>
      <c r="H63" s="6">
        <f>_xll.BDP(A63,"LOW_52WEEK")</f>
        <v>8604.2099999999991</v>
      </c>
      <c r="I63" s="6">
        <f t="shared" si="9"/>
        <v>-23.165075431079131</v>
      </c>
      <c r="J63" s="6">
        <f>_xll.BDP(A63,"CHG_PCT_5D")</f>
        <v>-1.100671</v>
      </c>
      <c r="K63" s="6">
        <f>_xll.BDP(A63,"CHG_PCT_1M")</f>
        <v>3.1000899999999998</v>
      </c>
      <c r="L63" s="6">
        <f>_xll.BDP(A63,"CHG_PCT_3M")</f>
        <v>-3.5071249999999998</v>
      </c>
      <c r="M63" s="6">
        <f>_xll.BDP(A63,"CHG_PCT_6M")</f>
        <v>-3.9606910000000002</v>
      </c>
      <c r="N63" s="6">
        <f>_xll.BDP(A63,"PR064")</f>
        <v>-3.5071249999999998</v>
      </c>
      <c r="O63" s="6">
        <f>_xll.BDP(A63,"CHG_PCT_1YR")</f>
        <v>-3.5587680000000002</v>
      </c>
      <c r="P63" s="6" t="str">
        <f>_xll.BDP(A63,"INTERVAL_HIGH", "MARKET_DATA_OVERRIDE=PE_RATIO", "CALC_INTERVAL=5y", "BEST_FPERIOD_OVERRIDE=BF")</f>
        <v>#N/A N/A</v>
      </c>
      <c r="Q63" s="6" t="str">
        <f>_xll.BDP(A63,"INTERVAL_Low", "MARKET_DATA_OVERRIDE=PE_RATIO", "CALC_INTERVAL=5y", "BEST_FPERIOD_OVERRIDE=BF")</f>
        <v>#N/A N/A</v>
      </c>
      <c r="R63" s="6" t="str">
        <f>_xll.BDP(A63,"PE_RATIO")</f>
        <v>#N/A N/A</v>
      </c>
      <c r="S63" s="43" t="str">
        <f t="shared" si="10"/>
        <v/>
      </c>
      <c r="T63" s="6" t="str">
        <f>_xll.BDP(A63,"RR902")</f>
        <v>#N/A N/A</v>
      </c>
      <c r="U63" s="5" t="s">
        <v>578</v>
      </c>
      <c r="V63" s="5" t="s">
        <v>832</v>
      </c>
      <c r="W63" s="5" t="str">
        <f>_xll.BDP(U63,"DS003")</f>
        <v>GE</v>
      </c>
      <c r="X63" s="6">
        <f>_xll.BDP(U63,"PX_LAST")</f>
        <v>6.78</v>
      </c>
      <c r="Y63" s="6">
        <f>_xll.BDP(U63,"CHG_PCT_1D")</f>
        <v>-1.895529</v>
      </c>
      <c r="Z63" s="6">
        <f>_xll.BDP(U63,"HIGH_52WEEK")</f>
        <v>10.244</v>
      </c>
      <c r="AA63" s="6">
        <f t="shared" si="4"/>
        <v>41.271506638497456</v>
      </c>
      <c r="AB63" s="6">
        <f>_xll.BDP(U63,"LOW_52WEEK")</f>
        <v>5.7770000000000001</v>
      </c>
      <c r="AC63" s="6">
        <f t="shared" si="5"/>
        <v>-16.009258515317569</v>
      </c>
      <c r="AD63" s="6">
        <f>_xll.BDP(U63,"CHG_PCT_5D")</f>
        <v>-7.2883909999999998</v>
      </c>
      <c r="AE63" s="6">
        <f>_xll.BDP(U63,"CHG_PCT_1M")</f>
        <v>5.459638</v>
      </c>
      <c r="AF63" s="6">
        <f>_xll.BDP(U63,"CHG_PCT_3M")</f>
        <v>2.5718589999999999</v>
      </c>
      <c r="AG63" s="6">
        <f>_xll.BDP(U63,"CHG_PCT_6M")</f>
        <v>-9.6361430000000006</v>
      </c>
      <c r="AH63" s="6">
        <f>_xll.BDP(U63,"PR064")</f>
        <v>2.5718589999999999</v>
      </c>
      <c r="AI63" s="6">
        <f>_xll.BDP(U63,"CHG_PCT_1YR")</f>
        <v>-33.10971</v>
      </c>
      <c r="AJ63" s="6">
        <f>_xll.BDP(U63,"INTERVAL_HIGH", "MARKET_DATA_OVERRIDE=PE_RATIO", "CALC_INTERVAL=5y", "BEST_FPERIOD_OVERRIDE=BF")</f>
        <v>963.17606359910371</v>
      </c>
      <c r="AK63" s="6">
        <f>_xll.BDP(U63,"INTERVAL_Low", "MARKET_DATA_OVERRIDE=PE_RATIO", "CALC_INTERVAL=5y", "BEST_FPERIOD_OVERRIDE=BF")</f>
        <v>15.216718172121396</v>
      </c>
      <c r="AL63" s="6" t="str">
        <f>_xll.BDP(U63,"PE_RATIO")</f>
        <v>#N/A N/A</v>
      </c>
      <c r="AM63" s="43" t="str">
        <f t="shared" si="6"/>
        <v/>
      </c>
      <c r="AN63" s="9" t="s">
        <v>606</v>
      </c>
      <c r="AO63" s="9" t="s">
        <v>651</v>
      </c>
      <c r="AP63" s="10">
        <f>_xll.BDP(AN63,"PX_LAST")</f>
        <v>1.9468800000000002</v>
      </c>
      <c r="AQ63" s="10">
        <f>_xll.BDP(AN63,"CHG_NET_1D")</f>
        <v>3.075E-2</v>
      </c>
      <c r="AR63" s="10">
        <f>_xll.BDP(AN63,"HIGH_52WEEK")</f>
        <v>2.4308800000000002</v>
      </c>
      <c r="AS63" s="10">
        <f t="shared" si="15"/>
        <v>22.202524050463769</v>
      </c>
      <c r="AT63" s="10">
        <f>_xll.BDP(AN63,"LOW_52WEEK")</f>
        <v>1.9161299999999999</v>
      </c>
      <c r="AU63" s="10">
        <f t="shared" ref="AU63:AU79" si="16">LN(AT63/AP63)*100</f>
        <v>-1.5920564274851248</v>
      </c>
      <c r="AV63" s="10">
        <f>_xll.BDP(AN63,"CHG_PCT_5D")</f>
        <v>-1.40533</v>
      </c>
      <c r="AW63" s="10">
        <f>_xll.BDP(AN63,"CHG_PCT_1M")</f>
        <v>-8.7685099999999991</v>
      </c>
      <c r="AX63" s="10">
        <f>_xll.BDP(AN63,"CHG_PCT_3M")</f>
        <v>-17.913779999999999</v>
      </c>
      <c r="AY63" s="10">
        <f>_xll.BDP(AN63,"CHG_PCT_6M")</f>
        <v>-19.296299999999999</v>
      </c>
      <c r="AZ63" s="10">
        <f>_xll.BDP(AN63,"PR064")</f>
        <v>-17.913779999999999</v>
      </c>
      <c r="BA63" s="10">
        <f>_xll.BDP(AN63,"CHG_PCT_1YR")</f>
        <v>-10.17357</v>
      </c>
    </row>
    <row r="64" spans="1:53" x14ac:dyDescent="0.25">
      <c r="A64" t="s">
        <v>491</v>
      </c>
      <c r="B64" s="5" t="s">
        <v>737</v>
      </c>
      <c r="C64" s="5" t="str">
        <f>_xll.BDP(A64,"DS003")</f>
        <v>HK</v>
      </c>
      <c r="D64" s="6">
        <f>_xll.BDP(A64,"PX_LAST")</f>
        <v>4286.76</v>
      </c>
      <c r="E64" s="6">
        <f>_xll.BDP(A64,"CHG_PCT_1D")</f>
        <v>-0.89470249999999996</v>
      </c>
      <c r="F64" s="6">
        <f>_xll.BDP(A64,"HIGH_52WEEK")</f>
        <v>5906.48</v>
      </c>
      <c r="G64" s="6">
        <f t="shared" si="8"/>
        <v>32.051885045696189</v>
      </c>
      <c r="H64" s="6">
        <f>_xll.BDP(A64,"LOW_52WEEK")</f>
        <v>4150.0600000000004</v>
      </c>
      <c r="I64" s="6">
        <f t="shared" si="9"/>
        <v>-3.2408410874264604</v>
      </c>
      <c r="J64" s="6">
        <f>_xll.BDP(A64,"CHG_PCT_5D")</f>
        <v>-3.6371329999999999</v>
      </c>
      <c r="K64" s="6">
        <f>_xll.BDP(A64,"CHG_PCT_1M")</f>
        <v>2.307347</v>
      </c>
      <c r="L64" s="6">
        <f>_xll.BDP(A64,"CHG_PCT_3M")</f>
        <v>-12.73114</v>
      </c>
      <c r="M64" s="6">
        <f>_xll.BDP(A64,"CHG_PCT_6M")</f>
        <v>-21.43309</v>
      </c>
      <c r="N64" s="6">
        <f>_xll.BDP(A64,"PR064")</f>
        <v>-12.73114</v>
      </c>
      <c r="O64" s="6">
        <f>_xll.BDP(A64,"CHG_PCT_1YR")</f>
        <v>-24.406169999999999</v>
      </c>
      <c r="P64" s="6" t="str">
        <f>_xll.BDP(A64,"INTERVAL_HIGH", "MARKET_DATA_OVERRIDE=PE_RATIO", "CALC_INTERVAL=5y", "BEST_FPERIOD_OVERRIDE=BF")</f>
        <v>#N/A N/A</v>
      </c>
      <c r="Q64" s="6" t="str">
        <f>_xll.BDP(A64,"INTERVAL_Low", "MARKET_DATA_OVERRIDE=PE_RATIO", "CALC_INTERVAL=5y", "BEST_FPERIOD_OVERRIDE=BF")</f>
        <v>#N/A N/A</v>
      </c>
      <c r="R64" s="6" t="str">
        <f>_xll.BDP(A64,"PE_RATIO")</f>
        <v>#N/A N/A</v>
      </c>
      <c r="S64" s="43" t="str">
        <f t="shared" si="10"/>
        <v/>
      </c>
      <c r="T64" s="6" t="str">
        <f>_xll.BDP(A64,"RR902")</f>
        <v>#N/A N/A</v>
      </c>
      <c r="U64" s="5" t="s">
        <v>547</v>
      </c>
      <c r="V64" s="5" t="s">
        <v>833</v>
      </c>
      <c r="W64" s="5" t="str">
        <f>_xll.BDP(U64,"DS003")</f>
        <v>SP</v>
      </c>
      <c r="X64" s="6">
        <f>_xll.BDP(U64,"PX_LAST")</f>
        <v>3.6375000000000002</v>
      </c>
      <c r="Y64" s="6">
        <f>_xll.BDP(U64,"CHG_PCT_1D")</f>
        <v>-0.15097450000000001</v>
      </c>
      <c r="Z64" s="6">
        <f>_xll.BDP(U64,"HIGH_52WEEK")</f>
        <v>4.6820000000000004</v>
      </c>
      <c r="AA64" s="6">
        <f t="shared" si="4"/>
        <v>25.24287365711082</v>
      </c>
      <c r="AB64" s="6">
        <f>_xll.BDP(U64,"LOW_52WEEK")</f>
        <v>3.3855</v>
      </c>
      <c r="AC64" s="6">
        <f t="shared" si="5"/>
        <v>-7.1795026554047903</v>
      </c>
      <c r="AD64" s="6">
        <f>_xll.BDP(U64,"CHG_PCT_5D")</f>
        <v>-2.3096549999999998</v>
      </c>
      <c r="AE64" s="6">
        <f>_xll.BDP(U64,"CHG_PCT_1M")</f>
        <v>4.9632050000000003</v>
      </c>
      <c r="AF64" s="6">
        <f>_xll.BDP(U64,"CHG_PCT_3M")</f>
        <v>-9.8736320000000006</v>
      </c>
      <c r="AG64" s="6">
        <f>_xll.BDP(U64,"CHG_PCT_6M")</f>
        <v>-12.39162</v>
      </c>
      <c r="AH64" s="6">
        <f>_xll.BDP(U64,"PR064")</f>
        <v>-9.8736320000000006</v>
      </c>
      <c r="AI64" s="6">
        <f>_xll.BDP(U64,"CHG_PCT_1YR")</f>
        <v>-18.823920000000001</v>
      </c>
      <c r="AJ64" s="6">
        <f>_xll.BDP(U64,"INTERVAL_HIGH", "MARKET_DATA_OVERRIDE=PE_RATIO", "CALC_INTERVAL=5y", "BEST_FPERIOD_OVERRIDE=BF")</f>
        <v>14.185556825167863</v>
      </c>
      <c r="AK64" s="6">
        <f>_xll.BDP(U64,"INTERVAL_Low", "MARKET_DATA_OVERRIDE=PE_RATIO", "CALC_INTERVAL=5y", "BEST_FPERIOD_OVERRIDE=BF")</f>
        <v>4.5909181594788615</v>
      </c>
      <c r="AL64" s="6">
        <f>_xll.BDP(U64,"PE_RATIO")</f>
        <v>8.6401426310777101</v>
      </c>
      <c r="AM64" s="43">
        <f t="shared" si="6"/>
        <v>0.422029907814988</v>
      </c>
      <c r="AN64" s="9" t="s">
        <v>607</v>
      </c>
      <c r="AO64" s="9" t="s">
        <v>652</v>
      </c>
      <c r="AP64" s="10">
        <f>_xll.BDP(AN64,"PX_LAST")</f>
        <v>3.64</v>
      </c>
      <c r="AQ64" s="10"/>
      <c r="AR64" s="10">
        <f>_xll.BDP(AN64,"HIGH_52WEEK")</f>
        <v>4.9399999999999995</v>
      </c>
      <c r="AS64" s="10">
        <f t="shared" si="15"/>
        <v>30.538164955118173</v>
      </c>
      <c r="AT64" s="10">
        <f>_xll.BDP(AN64,"LOW_52WEEK")</f>
        <v>3.49</v>
      </c>
      <c r="AU64" s="10">
        <f t="shared" si="16"/>
        <v>-4.2081945434313459</v>
      </c>
      <c r="AV64" s="10">
        <f>_xll.BDP(AN64,"CHG_PCT_5D")</f>
        <v>-2.41</v>
      </c>
      <c r="AW64" s="10">
        <f>_xll.BDP(AN64,"CHG_PCT_1M")</f>
        <v>2.54</v>
      </c>
      <c r="AX64" s="10">
        <f>_xll.BDP(AN64,"CHG_PCT_3M")</f>
        <v>-5.21</v>
      </c>
      <c r="AY64" s="10">
        <f>_xll.BDP(AN64,"CHG_PCT_6M")</f>
        <v>-14.95</v>
      </c>
      <c r="AZ64" s="10">
        <f>_xll.BDP(AN64,"PR064")</f>
        <v>-5.21</v>
      </c>
      <c r="BA64" s="10">
        <f>_xll.BDP(AN64,"CHG_PCT_1YR")</f>
        <v>-22.88</v>
      </c>
    </row>
    <row r="65" spans="1:53" x14ac:dyDescent="0.25">
      <c r="A65" t="s">
        <v>492</v>
      </c>
      <c r="B65" s="5" t="s">
        <v>738</v>
      </c>
      <c r="C65" s="5" t="str">
        <f>_xll.BDP(A65,"DS003")</f>
        <v>HK</v>
      </c>
      <c r="D65" s="6">
        <f>_xll.BDP(A65,"PX_LAST")</f>
        <v>3858.73</v>
      </c>
      <c r="E65" s="6">
        <f>_xll.BDP(A65,"CHG_PCT_1D")</f>
        <v>0.48226530000000001</v>
      </c>
      <c r="F65" s="6">
        <f>_xll.BDP(A65,"HIGH_52WEEK")</f>
        <v>4749.41015625</v>
      </c>
      <c r="G65" s="6">
        <f t="shared" si="8"/>
        <v>20.768231890908151</v>
      </c>
      <c r="H65" s="6">
        <f>_xll.BDP(A65,"LOW_52WEEK")</f>
        <v>3379.96</v>
      </c>
      <c r="I65" s="6">
        <f t="shared" si="9"/>
        <v>-13.247423868983427</v>
      </c>
      <c r="J65" s="6">
        <f>_xll.BDP(A65,"CHG_PCT_5D")</f>
        <v>-2.0253899999999998</v>
      </c>
      <c r="K65" s="6">
        <f>_xll.BDP(A65,"CHG_PCT_1M")</f>
        <v>-0.70072719999999999</v>
      </c>
      <c r="L65" s="6">
        <f>_xll.BDP(A65,"CHG_PCT_3M")</f>
        <v>-12.244149999999999</v>
      </c>
      <c r="M65" s="6">
        <f>_xll.BDP(A65,"CHG_PCT_6M")</f>
        <v>-14.13424</v>
      </c>
      <c r="N65" s="6">
        <f>_xll.BDP(A65,"PR064")</f>
        <v>-12.244149999999999</v>
      </c>
      <c r="O65" s="6">
        <f>_xll.BDP(A65,"CHG_PCT_1YR")</f>
        <v>-1.7554879999999999</v>
      </c>
      <c r="P65" s="6" t="str">
        <f>_xll.BDP(A65,"INTERVAL_HIGH", "MARKET_DATA_OVERRIDE=PE_RATIO", "CALC_INTERVAL=5y", "BEST_FPERIOD_OVERRIDE=BF")</f>
        <v>#N/A N/A</v>
      </c>
      <c r="Q65" s="6" t="str">
        <f>_xll.BDP(A65,"INTERVAL_Low", "MARKET_DATA_OVERRIDE=PE_RATIO", "CALC_INTERVAL=5y", "BEST_FPERIOD_OVERRIDE=BF")</f>
        <v>#N/A N/A</v>
      </c>
      <c r="R65" s="6" t="str">
        <f>_xll.BDP(A65,"PE_RATIO")</f>
        <v>#N/A N/A</v>
      </c>
      <c r="S65" s="43" t="str">
        <f t="shared" si="10"/>
        <v/>
      </c>
      <c r="T65" s="6" t="str">
        <f>_xll.BDP(A65,"RR902")</f>
        <v>#N/A N/A</v>
      </c>
      <c r="U65" s="5" t="s">
        <v>565</v>
      </c>
      <c r="V65" s="5" t="s">
        <v>834</v>
      </c>
      <c r="W65" s="5" t="str">
        <f>_xll.BDP(U65,"DS003")</f>
        <v>SP</v>
      </c>
      <c r="X65" s="6">
        <f>_xll.BDP(U65,"PX_LAST")</f>
        <v>4.6944999999999997</v>
      </c>
      <c r="Y65" s="6">
        <f>_xll.BDP(U65,"CHG_PCT_1D")</f>
        <v>0.39563730000000003</v>
      </c>
      <c r="Z65" s="6">
        <f>_xll.BDP(U65,"HIGH_52WEEK")</f>
        <v>5.6790000000000003</v>
      </c>
      <c r="AA65" s="6">
        <f t="shared" si="4"/>
        <v>19.038355017883056</v>
      </c>
      <c r="AB65" s="6">
        <f>_xll.BDP(U65,"LOW_52WEEK")</f>
        <v>4.1870000000000003</v>
      </c>
      <c r="AC65" s="6">
        <f t="shared" si="5"/>
        <v>-11.440712367945872</v>
      </c>
      <c r="AD65" s="6">
        <f>_xll.BDP(U65,"CHG_PCT_5D")</f>
        <v>-1.8810739999999999</v>
      </c>
      <c r="AE65" s="6">
        <f>_xll.BDP(U65,"CHG_PCT_1M")</f>
        <v>9.4161479999999997</v>
      </c>
      <c r="AF65" s="6">
        <f>_xll.BDP(U65,"CHG_PCT_3M")</f>
        <v>-4.2524959999999998</v>
      </c>
      <c r="AG65" s="6">
        <f>_xll.BDP(U65,"CHG_PCT_6M")</f>
        <v>-8.2388619999999992</v>
      </c>
      <c r="AH65" s="6">
        <f>_xll.BDP(U65,"PR064")</f>
        <v>-4.2524959999999998</v>
      </c>
      <c r="AI65" s="6">
        <f>_xll.BDP(U65,"CHG_PCT_1YR")</f>
        <v>-16.30416</v>
      </c>
      <c r="AJ65" s="6">
        <f>_xll.BDP(U65,"INTERVAL_HIGH", "MARKET_DATA_OVERRIDE=PE_RATIO", "CALC_INTERVAL=5y", "BEST_FPERIOD_OVERRIDE=BF")</f>
        <v>22.660460589270944</v>
      </c>
      <c r="AK65" s="6">
        <f>_xll.BDP(U65,"INTERVAL_Low", "MARKET_DATA_OVERRIDE=PE_RATIO", "CALC_INTERVAL=5y", "BEST_FPERIOD_OVERRIDE=BF")</f>
        <v>6.61224310170312</v>
      </c>
      <c r="AL65" s="6">
        <f>_xll.BDP(U65,"PE_RATIO")</f>
        <v>7.378458530819028</v>
      </c>
      <c r="AM65" s="43">
        <f t="shared" si="6"/>
        <v>4.7744581584183848E-2</v>
      </c>
      <c r="AN65" s="9" t="s">
        <v>608</v>
      </c>
      <c r="AO65" s="9" t="s">
        <v>653</v>
      </c>
      <c r="AP65" s="10">
        <f>_xll.BDP(AN65,"PX_LAST")</f>
        <v>16.07</v>
      </c>
      <c r="AQ65" s="10">
        <f>_xll.BDP(AN65,"CHG_PCT_1D")</f>
        <v>0.68922309999999998</v>
      </c>
      <c r="AR65" s="10">
        <f>_xll.BDP(AN65,"HIGH_52WEEK")</f>
        <v>36.200000000000003</v>
      </c>
      <c r="AS65" s="10">
        <f t="shared" si="15"/>
        <v>81.210493908230433</v>
      </c>
      <c r="AT65" s="10">
        <f>_xll.BDP(AN65,"LOW_52WEEK")</f>
        <v>11.03</v>
      </c>
      <c r="AU65" s="10">
        <f t="shared" si="16"/>
        <v>-37.633534648401017</v>
      </c>
      <c r="AV65" s="10">
        <f>_xll.BDP(AN65,"CHG_PCT_5D")</f>
        <v>14.377219999999999</v>
      </c>
      <c r="AW65" s="10">
        <f>_xll.BDP(AN65,"CHG_PCT_1M")</f>
        <v>-20.87642</v>
      </c>
      <c r="AX65" s="10">
        <f>_xll.BDP(AN65,"CHG_PCT_3M")</f>
        <v>1.5802780000000001</v>
      </c>
      <c r="AY65" s="10">
        <f>_xll.BDP(AN65,"CHG_PCT_6M")</f>
        <v>6.0726079999999998</v>
      </c>
      <c r="AZ65" s="10">
        <f>_xll.BDP(AN65,"PR064")</f>
        <v>1.5802780000000001</v>
      </c>
      <c r="BA65" s="10">
        <f>_xll.BDP(AN65,"CHG_PCT_1YR")</f>
        <v>29.492349999999998</v>
      </c>
    </row>
    <row r="66" spans="1:53" x14ac:dyDescent="0.25">
      <c r="A66" t="s">
        <v>493</v>
      </c>
      <c r="B66" s="5" t="s">
        <v>739</v>
      </c>
      <c r="C66" s="5" t="str">
        <f>_xll.BDP(A66,"DS003")</f>
        <v>HK</v>
      </c>
      <c r="D66" s="6">
        <f>_xll.BDP(A66,"PX_LAST")</f>
        <v>3600.56</v>
      </c>
      <c r="E66" s="6">
        <f>_xll.BDP(A66,"CHG_PCT_1D")</f>
        <v>1.193902</v>
      </c>
      <c r="F66" s="6">
        <f>_xll.BDP(A66,"HIGH_52WEEK")</f>
        <v>4116.95</v>
      </c>
      <c r="G66" s="6">
        <f t="shared" ref="G66:G97" si="17">LN(F66/D66)*100</f>
        <v>13.402320902830436</v>
      </c>
      <c r="H66" s="6">
        <f>_xll.BDP(A66,"LOW_52WEEK")</f>
        <v>3054.08</v>
      </c>
      <c r="I66" s="6">
        <f t="shared" ref="I66:I97" si="18">LN(H66/D66)*100</f>
        <v>-16.461098731285883</v>
      </c>
      <c r="J66" s="6">
        <f>_xll.BDP(A66,"CHG_PCT_5D")</f>
        <v>0</v>
      </c>
      <c r="K66" s="6">
        <f>_xll.BDP(A66,"CHG_PCT_1M")</f>
        <v>4.0804809999999998</v>
      </c>
      <c r="L66" s="6">
        <f>_xll.BDP(A66,"CHG_PCT_3M")</f>
        <v>-2.3696060000000001</v>
      </c>
      <c r="M66" s="6">
        <f>_xll.BDP(A66,"CHG_PCT_6M")</f>
        <v>-4.6431519999999997</v>
      </c>
      <c r="N66" s="6">
        <f>_xll.BDP(A66,"PR064")</f>
        <v>-2.3696060000000001</v>
      </c>
      <c r="O66" s="6">
        <f>_xll.BDP(A66,"CHG_PCT_1YR")</f>
        <v>-0.1419947</v>
      </c>
      <c r="P66" s="6" t="str">
        <f>_xll.BDP(A66,"INTERVAL_HIGH", "MARKET_DATA_OVERRIDE=PE_RATIO", "CALC_INTERVAL=5y", "BEST_FPERIOD_OVERRIDE=BF")</f>
        <v>#N/A N/A</v>
      </c>
      <c r="Q66" s="6" t="str">
        <f>_xll.BDP(A66,"INTERVAL_Low", "MARKET_DATA_OVERRIDE=PE_RATIO", "CALC_INTERVAL=5y", "BEST_FPERIOD_OVERRIDE=BF")</f>
        <v>#N/A N/A</v>
      </c>
      <c r="R66" s="6" t="str">
        <f>_xll.BDP(A66,"PE_RATIO")</f>
        <v>#N/A N/A</v>
      </c>
      <c r="S66" s="43" t="str">
        <f t="shared" ref="S66:S97" si="19">IF(ISERROR((R66-Q66)/(P66-Q66)),"",(R66-Q66)/(P66-Q66))</f>
        <v/>
      </c>
      <c r="T66" s="6" t="str">
        <f>_xll.BDP(A66,"RR902")</f>
        <v>#N/A N/A</v>
      </c>
      <c r="U66" s="5" t="s">
        <v>566</v>
      </c>
      <c r="V66" s="5" t="s">
        <v>835</v>
      </c>
      <c r="W66" s="5" t="str">
        <f>_xll.BDP(U66,"DS003")</f>
        <v>SP</v>
      </c>
      <c r="X66" s="6">
        <f>_xll.BDP(U66,"PX_LAST")</f>
        <v>6.944</v>
      </c>
      <c r="Y66" s="6">
        <f>_xll.BDP(U66,"CHG_PCT_1D")</f>
        <v>0.78374460000000001</v>
      </c>
      <c r="Z66" s="6">
        <f>_xll.BDP(U66,"HIGH_52WEEK")</f>
        <v>8.0589999999999993</v>
      </c>
      <c r="AA66" s="6">
        <f t="shared" si="4"/>
        <v>14.891150198432513</v>
      </c>
      <c r="AB66" s="6">
        <f>_xll.BDP(U66,"LOW_52WEEK")</f>
        <v>5.8609999999999998</v>
      </c>
      <c r="AC66" s="6">
        <f t="shared" si="5"/>
        <v>-16.955773986375689</v>
      </c>
      <c r="AD66" s="6">
        <f>_xll.BDP(U66,"CHG_PCT_5D")</f>
        <v>2.813148</v>
      </c>
      <c r="AE66" s="6">
        <f>_xll.BDP(U66,"CHG_PCT_1M")</f>
        <v>13.03923</v>
      </c>
      <c r="AF66" s="6">
        <f>_xll.BDP(U66,"CHG_PCT_3M")</f>
        <v>-3.7427250000000001</v>
      </c>
      <c r="AG66" s="6">
        <f>_xll.BDP(U66,"CHG_PCT_6M")</f>
        <v>-8.5112009999999998</v>
      </c>
      <c r="AH66" s="6">
        <f>_xll.BDP(U66,"PR064")</f>
        <v>-3.7427250000000001</v>
      </c>
      <c r="AI66" s="6">
        <f>_xll.BDP(U66,"CHG_PCT_1YR")</f>
        <v>-0.12944149999999999</v>
      </c>
      <c r="AJ66" s="6">
        <f>_xll.BDP(U66,"INTERVAL_HIGH", "MARKET_DATA_OVERRIDE=PE_RATIO", "CALC_INTERVAL=5y", "BEST_FPERIOD_OVERRIDE=BF")</f>
        <v>54.664727201426999</v>
      </c>
      <c r="AK66" s="6">
        <f>_xll.BDP(U66,"INTERVAL_Low", "MARKET_DATA_OVERRIDE=PE_RATIO", "CALC_INTERVAL=5y", "BEST_FPERIOD_OVERRIDE=BF")</f>
        <v>9.5671863603504974</v>
      </c>
      <c r="AL66" s="6">
        <f>_xll.BDP(U66,"PE_RATIO")</f>
        <v>12.684703217946128</v>
      </c>
      <c r="AM66" s="43">
        <f t="shared" si="6"/>
        <v>6.9128311643017151E-2</v>
      </c>
      <c r="AN66" s="9" t="s">
        <v>609</v>
      </c>
      <c r="AO66" s="9" t="s">
        <v>654</v>
      </c>
      <c r="AP66" s="10">
        <f>_xll.BDP(AN66,"PX_LAST")</f>
        <v>19.41</v>
      </c>
      <c r="AQ66" s="10">
        <f>_xll.BDP(AN66,"CHG_PCT_1D")</f>
        <v>1.410658</v>
      </c>
      <c r="AR66" s="10">
        <f>_xll.BDP(AN66,"HIGH_52WEEK")</f>
        <v>38.700000000000003</v>
      </c>
      <c r="AS66" s="10">
        <f t="shared" si="15"/>
        <v>69.005120285481723</v>
      </c>
      <c r="AT66" s="10">
        <f>_xll.BDP(AN66,"LOW_52WEEK")</f>
        <v>14.55</v>
      </c>
      <c r="AU66" s="10">
        <f t="shared" si="16"/>
        <v>-28.81974035634174</v>
      </c>
      <c r="AV66" s="10">
        <f>_xll.BDP(AN66,"CHG_PCT_5D")</f>
        <v>10.5983</v>
      </c>
      <c r="AW66" s="10">
        <f>_xll.BDP(AN66,"CHG_PCT_1M")</f>
        <v>-19.49399</v>
      </c>
      <c r="AX66" s="10">
        <f>_xll.BDP(AN66,"CHG_PCT_3M")</f>
        <v>-3.2884899999999999</v>
      </c>
      <c r="AY66" s="10">
        <f>_xll.BDP(AN66,"CHG_PCT_6M")</f>
        <v>3.57524</v>
      </c>
      <c r="AZ66" s="10">
        <f>_xll.BDP(AN66,"PR064")</f>
        <v>-3.2884899999999999</v>
      </c>
      <c r="BA66" s="10">
        <f>_xll.BDP(AN66,"CHG_PCT_1YR")</f>
        <v>15.880599999999999</v>
      </c>
    </row>
    <row r="67" spans="1:53" ht="17.25" thickBot="1" x14ac:dyDescent="0.3">
      <c r="A67" t="s">
        <v>494</v>
      </c>
      <c r="B67" s="5" t="s">
        <v>740</v>
      </c>
      <c r="C67" s="5" t="str">
        <f>_xll.BDP(A67,"DS003")</f>
        <v>HK</v>
      </c>
      <c r="D67" s="6">
        <f>_xll.BDP(A67,"PX_LAST")</f>
        <v>1490.43</v>
      </c>
      <c r="E67" s="6">
        <f>_xll.BDP(A67,"CHG_PCT_1D")</f>
        <v>-0.91148430000000003</v>
      </c>
      <c r="F67" s="6">
        <f>_xll.BDP(A67,"HIGH_52WEEK")</f>
        <v>1892.31</v>
      </c>
      <c r="G67" s="6">
        <f t="shared" si="17"/>
        <v>23.873363606109564</v>
      </c>
      <c r="H67" s="6">
        <f>_xll.BDP(A67,"LOW_52WEEK")</f>
        <v>1441.43</v>
      </c>
      <c r="I67" s="6">
        <f t="shared" si="18"/>
        <v>-3.3428992537145619</v>
      </c>
      <c r="J67" s="6">
        <f>_xll.BDP(A67,"CHG_PCT_5D")</f>
        <v>-1.4969440000000001</v>
      </c>
      <c r="K67" s="6">
        <f>_xll.BDP(A67,"CHG_PCT_1M")</f>
        <v>-0.694268</v>
      </c>
      <c r="L67" s="6">
        <f>_xll.BDP(A67,"CHG_PCT_3M")</f>
        <v>-9.2379990000000003</v>
      </c>
      <c r="M67" s="6">
        <f>_xll.BDP(A67,"CHG_PCT_6M")</f>
        <v>-16.536180000000002</v>
      </c>
      <c r="N67" s="6">
        <f>_xll.BDP(A67,"PR064")</f>
        <v>-9.2379990000000003</v>
      </c>
      <c r="O67" s="6">
        <f>_xll.BDP(A67,"CHG_PCT_1YR")</f>
        <v>-7.5059849999999999</v>
      </c>
      <c r="P67" s="6" t="str">
        <f>_xll.BDP(A67,"INTERVAL_HIGH", "MARKET_DATA_OVERRIDE=PE_RATIO", "CALC_INTERVAL=5y", "BEST_FPERIOD_OVERRIDE=BF")</f>
        <v>#N/A N/A</v>
      </c>
      <c r="Q67" s="6" t="str">
        <f>_xll.BDP(A67,"INTERVAL_Low", "MARKET_DATA_OVERRIDE=PE_RATIO", "CALC_INTERVAL=5y", "BEST_FPERIOD_OVERRIDE=BF")</f>
        <v>#N/A N/A</v>
      </c>
      <c r="R67" s="6" t="str">
        <f>_xll.BDP(A67,"PE_RATIO")</f>
        <v>#N/A N/A</v>
      </c>
      <c r="S67" s="43" t="str">
        <f t="shared" si="19"/>
        <v/>
      </c>
      <c r="T67" s="6" t="str">
        <f>_xll.BDP(A67,"RR902")</f>
        <v>#N/A N/A</v>
      </c>
      <c r="U67" s="5" t="s">
        <v>500</v>
      </c>
      <c r="V67" s="5" t="s">
        <v>836</v>
      </c>
      <c r="W67" s="5" t="str">
        <f>_xll.BDP(U67,"DS003")</f>
        <v>SZ</v>
      </c>
      <c r="X67" s="6">
        <f>_xll.BDP(U67,"PX_LAST")</f>
        <v>107.94</v>
      </c>
      <c r="Y67" s="6">
        <f>_xll.BDP(U67,"CHG_PCT_1D")</f>
        <v>1.105283</v>
      </c>
      <c r="Z67" s="6">
        <f>_xll.BDP(U67,"HIGH_52WEEK")</f>
        <v>113.2</v>
      </c>
      <c r="AA67" s="6">
        <f t="shared" ref="AA67:AA97" si="20">LN(Z67/X67)*100</f>
        <v>4.7580648578585869</v>
      </c>
      <c r="AB67" s="6">
        <f>_xll.BDP(U67,"LOW_52WEEK")</f>
        <v>77.739999999999995</v>
      </c>
      <c r="AC67" s="6">
        <f t="shared" ref="AC67:AC97" si="21">LN(AB67/X67)*100</f>
        <v>-32.820559176641964</v>
      </c>
      <c r="AD67" s="6">
        <f>_xll.BDP(U67,"CHG_PCT_5D")</f>
        <v>0.67151649999999996</v>
      </c>
      <c r="AE67" s="6">
        <f>_xll.BDP(U67,"CHG_PCT_1M")</f>
        <v>-1.0269550000000001</v>
      </c>
      <c r="AF67" s="6">
        <f>_xll.BDP(U67,"CHG_PCT_3M")</f>
        <v>7.3389049999999996</v>
      </c>
      <c r="AG67" s="6">
        <f>_xll.BDP(U67,"CHG_PCT_6M")</f>
        <v>13.26338</v>
      </c>
      <c r="AH67" s="6">
        <f>_xll.BDP(U67,"PR064")</f>
        <v>7.3389049999999996</v>
      </c>
      <c r="AI67" s="6">
        <f>_xll.BDP(U67,"CHG_PCT_1YR")</f>
        <v>32.865589999999997</v>
      </c>
      <c r="AJ67" s="6">
        <f>_xll.BDP(U67,"INTERVAL_HIGH", "MARKET_DATA_OVERRIDE=PE_RATIO", "CALC_INTERVAL=5y", "BEST_FPERIOD_OVERRIDE=BF")</f>
        <v>36.281737305478451</v>
      </c>
      <c r="AK67" s="6">
        <f>_xll.BDP(U67,"INTERVAL_Low", "MARKET_DATA_OVERRIDE=PE_RATIO", "CALC_INTERVAL=5y", "BEST_FPERIOD_OVERRIDE=BF")</f>
        <v>12.320356977775166</v>
      </c>
      <c r="AL67" s="6">
        <f>_xll.BDP(U67,"PE_RATIO")</f>
        <v>34.595855241447033</v>
      </c>
      <c r="AM67" s="43">
        <f t="shared" ref="AM67:AM97" si="22">IF(ISERROR((AL67-AK67)/(AJ67-AK67)),"",(AL67-AK67)/(AJ67-AK67))</f>
        <v>0.92964169672302799</v>
      </c>
      <c r="AN67" s="9" t="s">
        <v>610</v>
      </c>
      <c r="AO67" s="34" t="s">
        <v>655</v>
      </c>
      <c r="AP67" s="35">
        <f>_xll.BDP(AN67,"PX_LAST")</f>
        <v>16.587</v>
      </c>
      <c r="AQ67" s="35">
        <f>_xll.BDP(AN67,"CHG_PCT_1D")</f>
        <v>-3.7391260000000002</v>
      </c>
      <c r="AR67" s="35">
        <f>_xll.BDP(AN67,"HIGH_52WEEK")</f>
        <v>26.8813</v>
      </c>
      <c r="AS67" s="35">
        <f t="shared" si="15"/>
        <v>48.281162155682452</v>
      </c>
      <c r="AT67" s="35">
        <f>_xll.BDP(AN67,"LOW_52WEEK")</f>
        <v>10.4748</v>
      </c>
      <c r="AU67" s="35">
        <f t="shared" si="16"/>
        <v>-45.964688347673821</v>
      </c>
      <c r="AV67" s="35">
        <f>_xll.BDP(AN67,"CHG_PCT_5D")</f>
        <v>14.385210000000001</v>
      </c>
      <c r="AW67" s="35">
        <f>_xll.BDP(AN67,"CHG_PCT_1M")</f>
        <v>-14.67548</v>
      </c>
      <c r="AX67" s="35">
        <f>_xll.BDP(AN67,"CHG_PCT_3M")</f>
        <v>17.493310000000001</v>
      </c>
      <c r="AY67" s="35">
        <f>_xll.BDP(AN67,"CHG_PCT_6M")</f>
        <v>1.55078</v>
      </c>
      <c r="AZ67" s="35">
        <f>_xll.BDP(AN67,"PR064")</f>
        <v>17.493310000000001</v>
      </c>
      <c r="BA67" s="35">
        <f>_xll.BDP(AN67,"CHG_PCT_1YR")</f>
        <v>25.935770000000002</v>
      </c>
    </row>
    <row r="68" spans="1:53" ht="17.25" thickBot="1" x14ac:dyDescent="0.3">
      <c r="A68" t="s">
        <v>495</v>
      </c>
      <c r="B68" s="39" t="s">
        <v>741</v>
      </c>
      <c r="C68" s="39" t="str">
        <f>_xll.BDP(A68,"DS003")</f>
        <v>HK</v>
      </c>
      <c r="D68" s="40">
        <f>_xll.BDP(A68,"PX_LAST")</f>
        <v>7266.07</v>
      </c>
      <c r="E68" s="40">
        <f>_xll.BDP(A68,"CHG_PCT_1D")</f>
        <v>-8.257491E-4</v>
      </c>
      <c r="F68" s="40">
        <f>_xll.BDP(A68,"HIGH_52WEEK")</f>
        <v>8121.22</v>
      </c>
      <c r="G68" s="40">
        <f t="shared" si="17"/>
        <v>11.126482152918731</v>
      </c>
      <c r="H68" s="40">
        <f>_xll.BDP(A68,"LOW_52WEEK")</f>
        <v>6933.93</v>
      </c>
      <c r="I68" s="40">
        <f t="shared" si="18"/>
        <v>-4.6788815635252838</v>
      </c>
      <c r="J68" s="40">
        <f>_xll.BDP(A68,"CHG_PCT_5D")</f>
        <v>-1.335075</v>
      </c>
      <c r="K68" s="40">
        <f>_xll.BDP(A68,"CHG_PCT_1M")</f>
        <v>-0.16789950000000001</v>
      </c>
      <c r="L68" s="40">
        <f>_xll.BDP(A68,"CHG_PCT_3M")</f>
        <v>-6.8357060000000001</v>
      </c>
      <c r="M68" s="40">
        <f>_xll.BDP(A68,"CHG_PCT_6M")</f>
        <v>-6.5625499999999999</v>
      </c>
      <c r="N68" s="40">
        <f>_xll.BDP(A68,"PR064")</f>
        <v>-6.8357060000000001</v>
      </c>
      <c r="O68" s="40">
        <f>_xll.BDP(A68,"CHG_PCT_1YR")</f>
        <v>-2.7663060000000002</v>
      </c>
      <c r="P68" s="40" t="str">
        <f>_xll.BDP(A68,"INTERVAL_HIGH", "MARKET_DATA_OVERRIDE=PE_RATIO", "CALC_INTERVAL=5y", "BEST_FPERIOD_OVERRIDE=BF")</f>
        <v>#N/A N/A</v>
      </c>
      <c r="Q68" s="40" t="str">
        <f>_xll.BDP(A68,"INTERVAL_Low", "MARKET_DATA_OVERRIDE=PE_RATIO", "CALC_INTERVAL=5y", "BEST_FPERIOD_OVERRIDE=BF")</f>
        <v>#N/A N/A</v>
      </c>
      <c r="R68" s="40" t="str">
        <f>_xll.BDP(A68,"PE_RATIO")</f>
        <v>#N/A N/A</v>
      </c>
      <c r="S68" s="48" t="str">
        <f t="shared" si="19"/>
        <v/>
      </c>
      <c r="T68" s="6" t="str">
        <f>_xll.BDP(A68,"RR902")</f>
        <v>#N/A N/A</v>
      </c>
      <c r="U68" s="5" t="s">
        <v>505</v>
      </c>
      <c r="V68" s="5" t="s">
        <v>837</v>
      </c>
      <c r="W68" s="5" t="str">
        <f>_xll.BDP(U68,"DS003")</f>
        <v>SZ</v>
      </c>
      <c r="X68" s="6">
        <f>_xll.BDP(U68,"PX_LAST")</f>
        <v>86.1</v>
      </c>
      <c r="Y68" s="6">
        <f>_xll.BDP(U68,"CHG_PCT_1D")</f>
        <v>1.377605</v>
      </c>
      <c r="Z68" s="6">
        <f>_xll.BDP(U68,"HIGH_52WEEK")</f>
        <v>94.4</v>
      </c>
      <c r="AA68" s="6">
        <f t="shared" si="20"/>
        <v>9.2031661717769975</v>
      </c>
      <c r="AB68" s="6">
        <f>_xll.BDP(U68,"LOW_52WEEK")</f>
        <v>71.691640000000007</v>
      </c>
      <c r="AC68" s="6">
        <f t="shared" si="21"/>
        <v>-18.313526755772067</v>
      </c>
      <c r="AD68" s="6">
        <f>_xll.BDP(U68,"CHG_PCT_5D")</f>
        <v>0.25617139999999999</v>
      </c>
      <c r="AE68" s="6">
        <f>_xll.BDP(U68,"CHG_PCT_1M")</f>
        <v>-2.3920180000000002</v>
      </c>
      <c r="AF68" s="6">
        <f>_xll.BDP(U68,"CHG_PCT_3M")</f>
        <v>-3.4861550000000001</v>
      </c>
      <c r="AG68" s="6">
        <f>_xll.BDP(U68,"CHG_PCT_6M")</f>
        <v>3.155281</v>
      </c>
      <c r="AH68" s="6">
        <f>_xll.BDP(U68,"PR064")</f>
        <v>-3.4861550000000001</v>
      </c>
      <c r="AI68" s="6">
        <f>_xll.BDP(U68,"CHG_PCT_1YR")</f>
        <v>15.429270000000001</v>
      </c>
      <c r="AJ68" s="6">
        <f>_xll.BDP(U68,"INTERVAL_HIGH", "MARKET_DATA_OVERRIDE=PE_RATIO", "CALC_INTERVAL=5y", "BEST_FPERIOD_OVERRIDE=BF")</f>
        <v>32.090501314155219</v>
      </c>
      <c r="AK68" s="6">
        <f>_xll.BDP(U68,"INTERVAL_Low", "MARKET_DATA_OVERRIDE=PE_RATIO", "CALC_INTERVAL=5y", "BEST_FPERIOD_OVERRIDE=BF")</f>
        <v>10.73889663864715</v>
      </c>
      <c r="AL68" s="6">
        <f>_xll.BDP(U68,"PE_RATIO")</f>
        <v>29.449360128099499</v>
      </c>
      <c r="AM68" s="43">
        <f t="shared" si="22"/>
        <v>0.87630245004089502</v>
      </c>
      <c r="AN68" s="9" t="s">
        <v>611</v>
      </c>
      <c r="AO68" s="32" t="s">
        <v>866</v>
      </c>
      <c r="AP68" s="33">
        <f>_xll.BDP(AN68,"PX_LAST")</f>
        <v>99.132000000000005</v>
      </c>
      <c r="AQ68" s="33">
        <f>_xll.BDP(AN68,"CHG_PCT_1D")</f>
        <v>9.5923745670808747E-2</v>
      </c>
      <c r="AR68" s="33">
        <f>_xll.BDP(AN68,"HIGH_52WEEK")</f>
        <v>99.37</v>
      </c>
      <c r="AS68" s="33">
        <f t="shared" si="15"/>
        <v>0.23979618749033837</v>
      </c>
      <c r="AT68" s="33">
        <f>_xll.BDP(AN68,"LOW_52WEEK")</f>
        <v>94.210999999999999</v>
      </c>
      <c r="AU68" s="33">
        <f t="shared" si="16"/>
        <v>-5.0915347779687492</v>
      </c>
      <c r="AV68" s="33">
        <f>_xll.BDP(AN68,"CHG_PCT_5D")</f>
        <v>0.87512211006186857</v>
      </c>
      <c r="AW68" s="33">
        <f>_xll.BDP(AN68,"CHG_PCT_1M")</f>
        <v>1.0715632997216606</v>
      </c>
      <c r="AX68" s="33">
        <f>_xll.BDP(AN68,"CHG_PCT_3M")</f>
        <v>3.0328226661400692</v>
      </c>
      <c r="AY68" s="33">
        <f>_xll.BDP(AN68,"CHG_PCT_6M")</f>
        <v>2.4768336010550898</v>
      </c>
      <c r="AZ68" s="33">
        <f>_xll.BDP(AN68,"PR064")</f>
        <v>3.0328226661400692</v>
      </c>
      <c r="BA68" s="33">
        <f>_xll.BDP(AN68,"CHG_PCT_1YR")</f>
        <v>5.2434894312740941</v>
      </c>
    </row>
    <row r="69" spans="1:53" x14ac:dyDescent="0.25">
      <c r="A69" t="s">
        <v>427</v>
      </c>
      <c r="B69" s="37" t="s">
        <v>753</v>
      </c>
      <c r="C69" s="37" t="str">
        <f>_xll.BDP(A69,"DS003")</f>
        <v>TA</v>
      </c>
      <c r="D69" s="38">
        <f>_xll.BDP(A69,"PX_LAST")</f>
        <v>456.01</v>
      </c>
      <c r="E69" s="38">
        <f>_xll.BDP(A69,"CHG_PCT_1D")</f>
        <v>0.17354249999999999</v>
      </c>
      <c r="F69" s="38">
        <f>_xll.BDP(A69,"HIGH_52WEEK")</f>
        <v>463.77</v>
      </c>
      <c r="G69" s="38">
        <f t="shared" si="17"/>
        <v>1.6874000577859778</v>
      </c>
      <c r="H69" s="38">
        <f>_xll.BDP(A69,"LOW_52WEEK")</f>
        <v>365.17</v>
      </c>
      <c r="I69" s="38">
        <f t="shared" si="18"/>
        <v>-22.215174052080329</v>
      </c>
      <c r="J69" s="38">
        <f>_xll.BDP(A69,"CHG_PCT_5D")</f>
        <v>0.2109685</v>
      </c>
      <c r="K69" s="38">
        <f>_xll.BDP(A69,"CHG_PCT_1M")</f>
        <v>5.7757940000000003</v>
      </c>
      <c r="L69" s="38">
        <f>_xll.BDP(A69,"CHG_PCT_3M")</f>
        <v>6.5244869999999997</v>
      </c>
      <c r="M69" s="38">
        <f>_xll.BDP(A69,"CHG_PCT_6M")</f>
        <v>6.9341540000000004</v>
      </c>
      <c r="N69" s="38">
        <f>_xll.BDP(A69,"PR064")</f>
        <v>6.5244869999999997</v>
      </c>
      <c r="O69" s="38">
        <f>_xll.BDP(A69,"CHG_PCT_1YR")</f>
        <v>3.4130120000000002</v>
      </c>
      <c r="P69" s="38">
        <f>_xll.BDP(A69,"INTERVAL_HIGH", "MARKET_DATA_OVERRIDE=PE_RATIO", "CALC_INTERVAL=5y", "BEST_FPERIOD_OVERRIDE=BF")</f>
        <v>18.075830977271867</v>
      </c>
      <c r="Q69" s="38">
        <f>_xll.BDP(A69,"INTERVAL_Low", "MARKET_DATA_OVERRIDE=PE_RATIO", "CALC_INTERVAL=5y", "BEST_FPERIOD_OVERRIDE=BF")</f>
        <v>10.349918342904367</v>
      </c>
      <c r="R69" s="38">
        <f>_xll.BDP(A69,"PE_RATIO")</f>
        <v>18.046386903675959</v>
      </c>
      <c r="S69" s="47">
        <f t="shared" si="19"/>
        <v>0.99618891967986667</v>
      </c>
      <c r="T69" s="6">
        <f>_xll.BDP(A69,"RR902")</f>
        <v>17774315489253</v>
      </c>
      <c r="U69" s="5" t="s">
        <v>512</v>
      </c>
      <c r="V69" s="5" t="s">
        <v>838</v>
      </c>
      <c r="W69" s="5" t="str">
        <f>_xll.BDP(U69,"DS003")</f>
        <v>SZ</v>
      </c>
      <c r="X69" s="6">
        <f>_xll.BDP(U69,"PX_LAST")</f>
        <v>286.7</v>
      </c>
      <c r="Y69" s="6">
        <f>_xll.BDP(U69,"CHG_PCT_1D")</f>
        <v>1.486726</v>
      </c>
      <c r="Z69" s="6">
        <f>_xll.BDP(U69,"HIGH_52WEEK")</f>
        <v>287.32</v>
      </c>
      <c r="AA69" s="6">
        <f t="shared" si="20"/>
        <v>0.21602043172768004</v>
      </c>
      <c r="AB69" s="6">
        <f>_xll.BDP(U69,"LOW_52WEEK")</f>
        <v>229.2</v>
      </c>
      <c r="AC69" s="6">
        <f t="shared" si="21"/>
        <v>-22.384138804873967</v>
      </c>
      <c r="AD69" s="6">
        <f>_xll.BDP(U69,"CHG_PCT_5D")</f>
        <v>1.30742</v>
      </c>
      <c r="AE69" s="6">
        <f>_xll.BDP(U69,"CHG_PCT_1M")</f>
        <v>5.4819769999999997</v>
      </c>
      <c r="AF69" s="6">
        <f>_xll.BDP(U69,"CHG_PCT_3M")</f>
        <v>4.8071700000000002</v>
      </c>
      <c r="AG69" s="6">
        <f>_xll.BDP(U69,"CHG_PCT_6M")</f>
        <v>5.656898</v>
      </c>
      <c r="AH69" s="6">
        <f>_xll.BDP(U69,"PR064")</f>
        <v>4.8071700000000002</v>
      </c>
      <c r="AI69" s="6">
        <f>_xll.BDP(U69,"CHG_PCT_1YR")</f>
        <v>20.538150000000002</v>
      </c>
      <c r="AJ69" s="6">
        <f>_xll.BDP(U69,"INTERVAL_HIGH", "MARKET_DATA_OVERRIDE=PE_RATIO", "CALC_INTERVAL=5y", "BEST_FPERIOD_OVERRIDE=BF")</f>
        <v>23.510922479412269</v>
      </c>
      <c r="AK69" s="6">
        <f>_xll.BDP(U69,"INTERVAL_Low", "MARKET_DATA_OVERRIDE=PE_RATIO", "CALC_INTERVAL=5y", "BEST_FPERIOD_OVERRIDE=BF")</f>
        <v>17.309194590193069</v>
      </c>
      <c r="AL69" s="6">
        <f>_xll.BDP(U69,"PE_RATIO")</f>
        <v>20.765531175820904</v>
      </c>
      <c r="AM69" s="43">
        <f t="shared" si="22"/>
        <v>0.55731832279132598</v>
      </c>
      <c r="AN69" s="9" t="s">
        <v>612</v>
      </c>
      <c r="AO69" s="9" t="s">
        <v>867</v>
      </c>
      <c r="AP69" s="10">
        <f>_xll.BDP(AN69,"PX_LAST")</f>
        <v>31.04</v>
      </c>
      <c r="AQ69" s="10">
        <f>_xll.BDP(AN69,"CHG_PCT_1D")</f>
        <v>-1.9300000000000001E-2</v>
      </c>
      <c r="AR69" s="10">
        <f>_xll.BDP(AN69,"HIGH_52WEEK")</f>
        <v>31.74</v>
      </c>
      <c r="AS69" s="10">
        <f t="shared" si="15"/>
        <v>2.2301019783244937</v>
      </c>
      <c r="AT69" s="10">
        <f>_xll.BDP(AN69,"LOW_52WEEK")</f>
        <v>30.635000000000002</v>
      </c>
      <c r="AU69" s="10">
        <f t="shared" si="16"/>
        <v>-1.3133549137400009</v>
      </c>
      <c r="AV69" s="10">
        <f>_xll.BDP(AN69,"CHG_PCT_5D")</f>
        <v>-0.1095</v>
      </c>
      <c r="AW69" s="10">
        <f>_xll.BDP(AN69,"CHG_PCT_1M")</f>
        <v>1.3241000000000001</v>
      </c>
      <c r="AX69" s="10">
        <f>_xll.BDP(AN69,"CHG_PCT_3M")</f>
        <v>0.32219999999999999</v>
      </c>
      <c r="AY69" s="10">
        <f>_xll.BDP(AN69,"CHG_PCT_6M")</f>
        <v>-0.66039999999999999</v>
      </c>
      <c r="AZ69" s="10">
        <f>_xll.BDP(AN69,"PR064")</f>
        <v>0.32219999999999999</v>
      </c>
      <c r="BA69" s="10">
        <f>_xll.BDP(AN69,"CHG_PCT_1YR")</f>
        <v>-1.105</v>
      </c>
    </row>
    <row r="70" spans="1:53" x14ac:dyDescent="0.25">
      <c r="A70" t="s">
        <v>400</v>
      </c>
      <c r="B70" s="5" t="s">
        <v>766</v>
      </c>
      <c r="C70" s="5" t="str">
        <f>_xll.BDP(A70,"DS003")</f>
        <v>TA</v>
      </c>
      <c r="D70" s="6">
        <f>_xll.BDP(A70,"PX_LAST")</f>
        <v>185.76</v>
      </c>
      <c r="E70" s="6">
        <f>_xll.BDP(A70,"CHG_PCT_1D")</f>
        <v>0.42166720000000002</v>
      </c>
      <c r="F70" s="6">
        <f>_xll.BDP(A70,"HIGH_52WEEK")</f>
        <v>187.14</v>
      </c>
      <c r="G70" s="6">
        <f t="shared" si="17"/>
        <v>0.74014818981853925</v>
      </c>
      <c r="H70" s="6">
        <f>_xll.BDP(A70,"LOW_52WEEK")</f>
        <v>139.47999999999999</v>
      </c>
      <c r="I70" s="6">
        <f t="shared" si="18"/>
        <v>-28.653429614213099</v>
      </c>
      <c r="J70" s="6">
        <f>_xll.BDP(A70,"CHG_PCT_5D")</f>
        <v>0.78671939999999996</v>
      </c>
      <c r="K70" s="6">
        <f>_xll.BDP(A70,"CHG_PCT_1M")</f>
        <v>7.3757200000000003</v>
      </c>
      <c r="L70" s="6">
        <f>_xll.BDP(A70,"CHG_PCT_3M")</f>
        <v>12.11975</v>
      </c>
      <c r="M70" s="6">
        <f>_xll.BDP(A70,"CHG_PCT_6M")</f>
        <v>12.869120000000001</v>
      </c>
      <c r="N70" s="6">
        <f>_xll.BDP(A70,"PR064")</f>
        <v>12.11975</v>
      </c>
      <c r="O70" s="6">
        <f>_xll.BDP(A70,"CHG_PCT_1YR")</f>
        <v>5.2703090000000001</v>
      </c>
      <c r="P70" s="6">
        <f>_xll.BDP(A70,"INTERVAL_HIGH", "MARKET_DATA_OVERRIDE=PE_RATIO", "CALC_INTERVAL=5y", "BEST_FPERIOD_OVERRIDE=BF")</f>
        <v>21.352002041677327</v>
      </c>
      <c r="Q70" s="6">
        <f>_xll.BDP(A70,"INTERVAL_Low", "MARKET_DATA_OVERRIDE=PE_RATIO", "CALC_INTERVAL=5y", "BEST_FPERIOD_OVERRIDE=BF")</f>
        <v>8.9553696689578288</v>
      </c>
      <c r="R70" s="6">
        <f>_xll.BDP(A70,"PE_RATIO")</f>
        <v>21.352002041677327</v>
      </c>
      <c r="S70" s="43">
        <f t="shared" si="19"/>
        <v>1</v>
      </c>
      <c r="T70" s="6">
        <f>_xll.BDP(A70,"RR902")</f>
        <v>9426486475000.6602</v>
      </c>
      <c r="U70" s="5" t="s">
        <v>559</v>
      </c>
      <c r="V70" s="5" t="s">
        <v>839</v>
      </c>
      <c r="W70" s="5" t="str">
        <f>_xll.BDP(U70,"DS003")</f>
        <v>SZ</v>
      </c>
      <c r="X70" s="6">
        <f>_xll.BDP(U70,"PX_LAST")</f>
        <v>11.154999999999999</v>
      </c>
      <c r="Y70" s="6">
        <f>_xll.BDP(U70,"CHG_PCT_1D")</f>
        <v>0.54078409999999999</v>
      </c>
      <c r="Z70" s="6">
        <f>_xll.BDP(U70,"HIGH_52WEEK")</f>
        <v>15.065</v>
      </c>
      <c r="AA70" s="6">
        <f t="shared" si="20"/>
        <v>30.048634469776879</v>
      </c>
      <c r="AB70" s="6">
        <f>_xll.BDP(U70,"LOW_52WEEK")</f>
        <v>9.86</v>
      </c>
      <c r="AC70" s="6">
        <f t="shared" si="21"/>
        <v>-12.340165926995182</v>
      </c>
      <c r="AD70" s="6">
        <f>_xll.BDP(U70,"CHG_PCT_5D")</f>
        <v>-3</v>
      </c>
      <c r="AE70" s="6">
        <f>_xll.BDP(U70,"CHG_PCT_1M")</f>
        <v>8.0910879999999992</v>
      </c>
      <c r="AF70" s="6">
        <f>_xll.BDP(U70,"CHG_PCT_3M")</f>
        <v>-3.6285080000000001</v>
      </c>
      <c r="AG70" s="6">
        <f>_xll.BDP(U70,"CHG_PCT_6M")</f>
        <v>-1.573585</v>
      </c>
      <c r="AH70" s="6">
        <f>_xll.BDP(U70,"PR064")</f>
        <v>-3.6285080000000001</v>
      </c>
      <c r="AI70" s="6">
        <f>_xll.BDP(U70,"CHG_PCT_1YR")</f>
        <v>-25.67484</v>
      </c>
      <c r="AJ70" s="6">
        <f>_xll.BDP(U70,"INTERVAL_HIGH", "MARKET_DATA_OVERRIDE=PE_RATIO", "CALC_INTERVAL=5y", "BEST_FPERIOD_OVERRIDE=BF")</f>
        <v>65.853164848507944</v>
      </c>
      <c r="AK70" s="6">
        <f>_xll.BDP(U70,"INTERVAL_Low", "MARKET_DATA_OVERRIDE=PE_RATIO", "CALC_INTERVAL=5y", "BEST_FPERIOD_OVERRIDE=BF")</f>
        <v>6.731480345227455</v>
      </c>
      <c r="AL70" s="6">
        <f>_xll.BDP(U70,"PE_RATIO")</f>
        <v>9.2376404830410408</v>
      </c>
      <c r="AM70" s="43">
        <f t="shared" si="22"/>
        <v>4.2389863530943983E-2</v>
      </c>
      <c r="AN70" s="9" t="s">
        <v>613</v>
      </c>
      <c r="AO70" s="9" t="s">
        <v>868</v>
      </c>
      <c r="AP70" s="10">
        <f>_xll.BDP(AN70,"PX_LAST")</f>
        <v>107.79</v>
      </c>
      <c r="AQ70" s="10">
        <f>_xll.BDP(AN70,"CHG_PCT_1D")</f>
        <v>3.7100000000000001E-2</v>
      </c>
      <c r="AR70" s="10">
        <f>_xll.BDP(AN70,"HIGH_52WEEK")</f>
        <v>114.55</v>
      </c>
      <c r="AS70" s="10">
        <f t="shared" si="15"/>
        <v>6.0826519105967458</v>
      </c>
      <c r="AT70" s="10">
        <f>_xll.BDP(AN70,"LOW_52WEEK")</f>
        <v>104.46</v>
      </c>
      <c r="AU70" s="10">
        <f t="shared" si="16"/>
        <v>-3.1380666785384461</v>
      </c>
      <c r="AV70" s="10">
        <f>_xll.BDP(AN70,"CHG_PCT_5D")</f>
        <v>-0.21340000000000001</v>
      </c>
      <c r="AW70" s="10">
        <f>_xll.BDP(AN70,"CHG_PCT_1M")</f>
        <v>-1.8926000000000001</v>
      </c>
      <c r="AX70" s="10">
        <f>_xll.BDP(AN70,"CHG_PCT_3M")</f>
        <v>0</v>
      </c>
      <c r="AY70" s="10">
        <f>_xll.BDP(AN70,"CHG_PCT_6M")</f>
        <v>2.5234000000000001</v>
      </c>
      <c r="AZ70" s="10">
        <f>_xll.BDP(AN70,"PR064")</f>
        <v>0</v>
      </c>
      <c r="BA70" s="10">
        <f>_xll.BDP(AN70,"CHG_PCT_1YR")</f>
        <v>5.1859999999999999</v>
      </c>
    </row>
    <row r="71" spans="1:53" x14ac:dyDescent="0.25">
      <c r="A71" t="s">
        <v>401</v>
      </c>
      <c r="B71" s="5" t="s">
        <v>743</v>
      </c>
      <c r="C71" s="5" t="str">
        <f>_xll.BDP(A71,"DS003")</f>
        <v>TA</v>
      </c>
      <c r="D71" s="6">
        <f>_xll.BDP(A71,"PX_LAST")</f>
        <v>1295.47</v>
      </c>
      <c r="E71" s="6">
        <f>_xll.BDP(A71,"CHG_PCT_1D")</f>
        <v>-0.1779963</v>
      </c>
      <c r="F71" s="6">
        <f>_xll.BDP(A71,"HIGH_52WEEK")</f>
        <v>1319.04</v>
      </c>
      <c r="G71" s="6">
        <f t="shared" si="17"/>
        <v>1.803063561021188</v>
      </c>
      <c r="H71" s="6">
        <f>_xll.BDP(A71,"LOW_52WEEK")</f>
        <v>1158.68</v>
      </c>
      <c r="I71" s="6">
        <f t="shared" si="18"/>
        <v>-11.159213752100326</v>
      </c>
      <c r="J71" s="6">
        <f>_xll.BDP(A71,"CHG_PCT_5D")</f>
        <v>-1.4874210000000001</v>
      </c>
      <c r="K71" s="6">
        <f>_xll.BDP(A71,"CHG_PCT_1M")</f>
        <v>4.114859</v>
      </c>
      <c r="L71" s="6">
        <f>_xll.BDP(A71,"CHG_PCT_3M")</f>
        <v>-1.5899460000000001</v>
      </c>
      <c r="M71" s="6">
        <f>_xll.BDP(A71,"CHG_PCT_6M")</f>
        <v>4.621035</v>
      </c>
      <c r="N71" s="6">
        <f>_xll.BDP(A71,"PR064")</f>
        <v>-1.5899460000000001</v>
      </c>
      <c r="O71" s="6">
        <f>_xll.BDP(A71,"CHG_PCT_1YR")</f>
        <v>-1.135575</v>
      </c>
      <c r="P71" s="6">
        <f>_xll.BDP(A71,"INTERVAL_HIGH", "MARKET_DATA_OVERRIDE=PE_RATIO", "CALC_INTERVAL=5y", "BEST_FPERIOD_OVERRIDE=BF")</f>
        <v>13.949852378898083</v>
      </c>
      <c r="Q71" s="6">
        <f>_xll.BDP(A71,"INTERVAL_Low", "MARKET_DATA_OVERRIDE=PE_RATIO", "CALC_INTERVAL=5y", "BEST_FPERIOD_OVERRIDE=BF")</f>
        <v>8.0078214509402539</v>
      </c>
      <c r="R71" s="6">
        <f>_xll.BDP(A71,"PE_RATIO")</f>
        <v>13.302574972989911</v>
      </c>
      <c r="S71" s="43">
        <f t="shared" si="19"/>
        <v>0.89106798437169532</v>
      </c>
      <c r="T71" s="6">
        <f>_xll.BDP(A71,"RR902")</f>
        <v>4631879245713</v>
      </c>
      <c r="U71" s="5" t="s">
        <v>568</v>
      </c>
      <c r="V71" s="5" t="s">
        <v>840</v>
      </c>
      <c r="W71" s="5" t="str">
        <f>_xll.BDP(U71,"DS003")</f>
        <v>SZ</v>
      </c>
      <c r="X71" s="6">
        <f>_xll.BDP(U71,"PX_LAST")</f>
        <v>12.19</v>
      </c>
      <c r="Y71" s="6">
        <f>_xll.BDP(U71,"CHG_PCT_1D")</f>
        <v>0.49464140000000001</v>
      </c>
      <c r="Z71" s="6">
        <f>_xll.BDP(U71,"HIGH_52WEEK")</f>
        <v>14.9002</v>
      </c>
      <c r="AA71" s="6">
        <f t="shared" si="20"/>
        <v>20.075869218693999</v>
      </c>
      <c r="AB71" s="6">
        <f>_xll.BDP(U71,"LOW_52WEEK")</f>
        <v>10.159000000000001</v>
      </c>
      <c r="AC71" s="6">
        <f t="shared" si="21"/>
        <v>-18.225593138377221</v>
      </c>
      <c r="AD71" s="6">
        <f>_xll.BDP(U71,"CHG_PCT_5D")</f>
        <v>-5.503876</v>
      </c>
      <c r="AE71" s="6">
        <f>_xll.BDP(U71,"CHG_PCT_1M")</f>
        <v>8.9365550000000002</v>
      </c>
      <c r="AF71" s="6">
        <f>_xll.BDP(U71,"CHG_PCT_3M")</f>
        <v>3.7446809999999999</v>
      </c>
      <c r="AG71" s="6">
        <f>_xll.BDP(U71,"CHG_PCT_6M")</f>
        <v>8.4272220000000004</v>
      </c>
      <c r="AH71" s="6">
        <f>_xll.BDP(U71,"PR064")</f>
        <v>3.7446809999999999</v>
      </c>
      <c r="AI71" s="6">
        <f>_xll.BDP(U71,"CHG_PCT_1YR")</f>
        <v>-17.8918</v>
      </c>
      <c r="AJ71" s="6">
        <f>_xll.BDP(U71,"INTERVAL_HIGH", "MARKET_DATA_OVERRIDE=PE_RATIO", "CALC_INTERVAL=5y", "BEST_FPERIOD_OVERRIDE=BF")</f>
        <v>113.36863281398429</v>
      </c>
      <c r="AK71" s="6">
        <f>_xll.BDP(U71,"INTERVAL_Low", "MARKET_DATA_OVERRIDE=PE_RATIO", "CALC_INTERVAL=5y", "BEST_FPERIOD_OVERRIDE=BF")</f>
        <v>8.4207318311338977</v>
      </c>
      <c r="AL71" s="6">
        <f>_xll.BDP(U71,"PE_RATIO")</f>
        <v>13.093531838425704</v>
      </c>
      <c r="AM71" s="43">
        <f t="shared" si="22"/>
        <v>4.4524949651497954E-2</v>
      </c>
      <c r="AN71" s="9" t="s">
        <v>614</v>
      </c>
      <c r="AO71" s="9" t="s">
        <v>869</v>
      </c>
      <c r="AP71" s="10">
        <f>_xll.BDP(AN71,"PX_LAST")</f>
        <v>1198.8</v>
      </c>
      <c r="AQ71" s="10">
        <f>_xll.BDP(AN71,"CHG_PCT_1D")</f>
        <v>0</v>
      </c>
      <c r="AR71" s="10">
        <f>_xll.BDP(AN71,"HIGH_52WEEK")</f>
        <v>1222.75</v>
      </c>
      <c r="AS71" s="10">
        <f t="shared" si="15"/>
        <v>1.9781363976958435</v>
      </c>
      <c r="AT71" s="10">
        <f>_xll.BDP(AN71,"LOW_52WEEK")</f>
        <v>1105.02</v>
      </c>
      <c r="AU71" s="10">
        <f t="shared" si="16"/>
        <v>-8.1457622106938405</v>
      </c>
      <c r="AV71" s="10">
        <f>_xll.BDP(AN71,"CHG_PCT_5D")</f>
        <v>-0.4279</v>
      </c>
      <c r="AW71" s="10">
        <f>_xll.BDP(AN71,"CHG_PCT_1M")</f>
        <v>1.5815999999999999</v>
      </c>
      <c r="AX71" s="10">
        <f>_xll.BDP(AN71,"CHG_PCT_3M")</f>
        <v>-3.5118</v>
      </c>
      <c r="AY71" s="10">
        <f>_xll.BDP(AN71,"CHG_PCT_6M")</f>
        <v>-5.4520999999999997</v>
      </c>
      <c r="AZ71" s="10">
        <f>_xll.BDP(AN71,"PR064")</f>
        <v>-3.5118</v>
      </c>
      <c r="BA71" s="10">
        <f>_xll.BDP(AN71,"CHG_PCT_1YR")</f>
        <v>-6.7767999999999997</v>
      </c>
    </row>
    <row r="72" spans="1:53" x14ac:dyDescent="0.25">
      <c r="A72" t="s">
        <v>402</v>
      </c>
      <c r="B72" s="5" t="s">
        <v>747</v>
      </c>
      <c r="C72" s="5" t="str">
        <f>_xll.BDP(A72,"DS003")</f>
        <v>TA</v>
      </c>
      <c r="D72" s="6">
        <f>_xll.BDP(A72,"PX_LAST")</f>
        <v>126.53</v>
      </c>
      <c r="E72" s="6">
        <f>_xll.BDP(A72,"CHG_PCT_1D")</f>
        <v>-0.17357</v>
      </c>
      <c r="F72" s="6">
        <f>_xll.BDP(A72,"HIGH_52WEEK")</f>
        <v>130.69999999999999</v>
      </c>
      <c r="G72" s="6">
        <f t="shared" si="17"/>
        <v>3.2425186429003836</v>
      </c>
      <c r="H72" s="6">
        <f>_xll.BDP(A72,"LOW_52WEEK")</f>
        <v>114.85</v>
      </c>
      <c r="I72" s="6">
        <f t="shared" si="18"/>
        <v>-9.6852505066065095</v>
      </c>
      <c r="J72" s="6">
        <f>_xll.BDP(A72,"CHG_PCT_5D")</f>
        <v>-1.425678</v>
      </c>
      <c r="K72" s="6">
        <f>_xll.BDP(A72,"CHG_PCT_1M")</f>
        <v>2.5530889999999999</v>
      </c>
      <c r="L72" s="6">
        <f>_xll.BDP(A72,"CHG_PCT_3M")</f>
        <v>-2.5417879999999999</v>
      </c>
      <c r="M72" s="6">
        <f>_xll.BDP(A72,"CHG_PCT_6M")</f>
        <v>2.2051660000000002</v>
      </c>
      <c r="N72" s="6">
        <f>_xll.BDP(A72,"PR064")</f>
        <v>-2.5417879999999999</v>
      </c>
      <c r="O72" s="6">
        <f>_xll.BDP(A72,"CHG_PCT_1YR")</f>
        <v>4.8735989999999996</v>
      </c>
      <c r="P72" s="6">
        <f>_xll.BDP(A72,"INTERVAL_HIGH", "MARKET_DATA_OVERRIDE=PE_RATIO", "CALC_INTERVAL=5y", "BEST_FPERIOD_OVERRIDE=BF")</f>
        <v>35.043502741125607</v>
      </c>
      <c r="Q72" s="6">
        <f>_xll.BDP(A72,"INTERVAL_Low", "MARKET_DATA_OVERRIDE=PE_RATIO", "CALC_INTERVAL=5y", "BEST_FPERIOD_OVERRIDE=BF")</f>
        <v>19.616566892770603</v>
      </c>
      <c r="R72" s="6">
        <f>_xll.BDP(A72,"PE_RATIO")</f>
        <v>33.844021304711333</v>
      </c>
      <c r="S72" s="43">
        <f t="shared" si="19"/>
        <v>0.92224759030535697</v>
      </c>
      <c r="T72" s="6">
        <f>_xll.BDP(A72,"RR902")</f>
        <v>1858519178878.8701</v>
      </c>
      <c r="U72" s="5" t="s">
        <v>571</v>
      </c>
      <c r="V72" s="5" t="s">
        <v>841</v>
      </c>
      <c r="W72" s="5" t="str">
        <f>_xll.BDP(U72,"DS003")</f>
        <v>SZ</v>
      </c>
      <c r="X72" s="6">
        <f>_xll.BDP(U72,"PX_LAST")</f>
        <v>104.25</v>
      </c>
      <c r="Y72" s="6">
        <f>_xll.BDP(U72,"CHG_PCT_1D")</f>
        <v>1.756955</v>
      </c>
      <c r="Z72" s="6">
        <f>_xll.BDP(U72,"HIGH_52WEEK")</f>
        <v>104.25</v>
      </c>
      <c r="AA72" s="6">
        <f t="shared" si="20"/>
        <v>0</v>
      </c>
      <c r="AB72" s="6">
        <f>_xll.BDP(U72,"LOW_52WEEK")</f>
        <v>85.88</v>
      </c>
      <c r="AC72" s="6">
        <f t="shared" si="21"/>
        <v>-19.384088766833059</v>
      </c>
      <c r="AD72" s="6">
        <f>_xll.BDP(U72,"CHG_PCT_5D")</f>
        <v>1.608187</v>
      </c>
      <c r="AE72" s="6">
        <f>_xll.BDP(U72,"CHG_PCT_1M")</f>
        <v>5.7516720000000001</v>
      </c>
      <c r="AF72" s="6">
        <f>_xll.BDP(U72,"CHG_PCT_3M")</f>
        <v>5.8590540000000004</v>
      </c>
      <c r="AG72" s="6">
        <f>_xll.BDP(U72,"CHG_PCT_6M")</f>
        <v>7.6740349999999999</v>
      </c>
      <c r="AH72" s="6">
        <f>_xll.BDP(U72,"PR064")</f>
        <v>5.8590540000000004</v>
      </c>
      <c r="AI72" s="6">
        <f>_xll.BDP(U72,"CHG_PCT_1YR")</f>
        <v>14.484959999999999</v>
      </c>
      <c r="AJ72" s="6">
        <f>_xll.BDP(U72,"INTERVAL_HIGH", "MARKET_DATA_OVERRIDE=PE_RATIO", "CALC_INTERVAL=5y", "BEST_FPERIOD_OVERRIDE=BF")</f>
        <v>181.57892739177541</v>
      </c>
      <c r="AK72" s="6">
        <f>_xll.BDP(U72,"INTERVAL_Low", "MARKET_DATA_OVERRIDE=PE_RATIO", "CALC_INTERVAL=5y", "BEST_FPERIOD_OVERRIDE=BF")</f>
        <v>4.4699054083630569</v>
      </c>
      <c r="AL72" s="6">
        <f>_xll.BDP(U72,"PE_RATIO")</f>
        <v>83.193210579798119</v>
      </c>
      <c r="AM72" s="43">
        <f t="shared" si="22"/>
        <v>0.44449065490750722</v>
      </c>
      <c r="AN72" s="9" t="s">
        <v>615</v>
      </c>
      <c r="AO72" s="9" t="s">
        <v>870</v>
      </c>
      <c r="AP72" s="10">
        <f>_xll.BDP(AN72,"PX_LAST")</f>
        <v>1.0921000000000001</v>
      </c>
      <c r="AQ72" s="10">
        <f>_xll.BDP(AN72,"CHG_PCT_1D")</f>
        <v>0</v>
      </c>
      <c r="AR72" s="10">
        <f>_xll.BDP(AN72,"HIGH_52WEEK")</f>
        <v>1.1651</v>
      </c>
      <c r="AS72" s="10">
        <f t="shared" si="15"/>
        <v>6.470447202221262</v>
      </c>
      <c r="AT72" s="10">
        <f>_xll.BDP(AN72,"LOW_52WEEK")</f>
        <v>1.0909</v>
      </c>
      <c r="AU72" s="10">
        <f t="shared" si="16"/>
        <v>-0.10994045999717331</v>
      </c>
      <c r="AV72" s="10">
        <f>_xll.BDP(AN72,"CHG_PCT_5D")</f>
        <v>-0.87139999999999995</v>
      </c>
      <c r="AW72" s="10">
        <f>_xll.BDP(AN72,"CHG_PCT_1M")</f>
        <v>-1.5239</v>
      </c>
      <c r="AX72" s="10">
        <f>_xll.BDP(AN72,"CHG_PCT_3M")</f>
        <v>-3.9405000000000001</v>
      </c>
      <c r="AY72" s="10">
        <f>_xll.BDP(AN72,"CHG_PCT_6M")</f>
        <v>-2.8725999999999998</v>
      </c>
      <c r="AZ72" s="10">
        <f>_xll.BDP(AN72,"PR064")</f>
        <v>-3.9405000000000001</v>
      </c>
      <c r="BA72" s="10">
        <f>_xll.BDP(AN72,"CHG_PCT_1YR")</f>
        <v>-6.1849999999999996</v>
      </c>
    </row>
    <row r="73" spans="1:53" x14ac:dyDescent="0.25">
      <c r="A73" t="s">
        <v>428</v>
      </c>
      <c r="B73" s="5" t="s">
        <v>763</v>
      </c>
      <c r="C73" s="5" t="str">
        <f>_xll.BDP(A73,"DS003")</f>
        <v>TA</v>
      </c>
      <c r="D73" s="6">
        <f>_xll.BDP(A73,"PX_LAST")</f>
        <v>254.49</v>
      </c>
      <c r="E73" s="6">
        <f>_xll.BDP(A73,"CHG_PCT_1D")</f>
        <v>-0.14125960000000001</v>
      </c>
      <c r="F73" s="6">
        <f>_xll.BDP(A73,"HIGH_52WEEK")</f>
        <v>327.78</v>
      </c>
      <c r="G73" s="6">
        <f t="shared" si="17"/>
        <v>25.30811091479281</v>
      </c>
      <c r="H73" s="6">
        <f>_xll.BDP(A73,"LOW_52WEEK")</f>
        <v>240.98</v>
      </c>
      <c r="I73" s="6">
        <f t="shared" si="18"/>
        <v>-5.4547599992622802</v>
      </c>
      <c r="J73" s="6">
        <f>_xll.BDP(A73,"CHG_PCT_5D")</f>
        <v>-0.93810590000000005</v>
      </c>
      <c r="K73" s="6">
        <f>_xll.BDP(A73,"CHG_PCT_1M")</f>
        <v>4.6767070000000004</v>
      </c>
      <c r="L73" s="6">
        <f>_xll.BDP(A73,"CHG_PCT_3M")</f>
        <v>-13.246969999999999</v>
      </c>
      <c r="M73" s="6">
        <f>_xll.BDP(A73,"CHG_PCT_6M")</f>
        <v>-13.009740000000001</v>
      </c>
      <c r="N73" s="6">
        <f>_xll.BDP(A73,"PR064")</f>
        <v>-13.246969999999999</v>
      </c>
      <c r="O73" s="6">
        <f>_xll.BDP(A73,"CHG_PCT_1YR")</f>
        <v>-21.782019999999999</v>
      </c>
      <c r="P73" s="6">
        <f>_xll.BDP(A73,"INTERVAL_HIGH", "MARKET_DATA_OVERRIDE=PE_RATIO", "CALC_INTERVAL=5y", "BEST_FPERIOD_OVERRIDE=BF")</f>
        <v>31.25315093794174</v>
      </c>
      <c r="Q73" s="6">
        <f>_xll.BDP(A73,"INTERVAL_Low", "MARKET_DATA_OVERRIDE=PE_RATIO", "CALC_INTERVAL=5y", "BEST_FPERIOD_OVERRIDE=BF")</f>
        <v>9.3106706920549431</v>
      </c>
      <c r="R73" s="6">
        <f>_xll.BDP(A73,"PE_RATIO")</f>
        <v>15.776807380494599</v>
      </c>
      <c r="S73" s="43">
        <f t="shared" si="19"/>
        <v>0.29468577006702595</v>
      </c>
      <c r="T73" s="6">
        <f>_xll.BDP(A73,"RR902")</f>
        <v>1837172806722.03</v>
      </c>
      <c r="U73" s="5" t="s">
        <v>580</v>
      </c>
      <c r="V73" s="5" t="s">
        <v>838</v>
      </c>
      <c r="W73" s="5" t="str">
        <f>_xll.BDP(U73,"DS003")</f>
        <v>SZ</v>
      </c>
      <c r="X73" s="6">
        <f>_xll.BDP(U73,"PX_LAST")</f>
        <v>283.8</v>
      </c>
      <c r="Y73" s="6">
        <f>_xll.BDP(U73,"CHG_PCT_1D")</f>
        <v>0.78125</v>
      </c>
      <c r="Z73" s="6">
        <f>_xll.BDP(U73,"HIGH_52WEEK")</f>
        <v>284.60000000000002</v>
      </c>
      <c r="AA73" s="6">
        <f t="shared" si="20"/>
        <v>0.2814920929809816</v>
      </c>
      <c r="AB73" s="6">
        <f>_xll.BDP(U73,"LOW_52WEEK")</f>
        <v>229.2</v>
      </c>
      <c r="AC73" s="6">
        <f t="shared" si="21"/>
        <v>-21.367477988535789</v>
      </c>
      <c r="AD73" s="6">
        <f>_xll.BDP(U73,"CHG_PCT_5D")</f>
        <v>0.99644129999999997</v>
      </c>
      <c r="AE73" s="6">
        <f>_xll.BDP(U73,"CHG_PCT_1M")</f>
        <v>5.1111110000000002</v>
      </c>
      <c r="AF73" s="6">
        <f>_xll.BDP(U73,"CHG_PCT_3M")</f>
        <v>3.8039529999999999</v>
      </c>
      <c r="AG73" s="6">
        <f>_xll.BDP(U73,"CHG_PCT_6M")</f>
        <v>5.7377070000000003</v>
      </c>
      <c r="AH73" s="6">
        <f>_xll.BDP(U73,"PR064")</f>
        <v>3.8039529999999999</v>
      </c>
      <c r="AI73" s="6">
        <f>_xll.BDP(U73,"CHG_PCT_1YR")</f>
        <v>18.84422</v>
      </c>
      <c r="AJ73" s="6">
        <f>_xll.BDP(U73,"INTERVAL_HIGH", "MARKET_DATA_OVERRIDE=PE_RATIO", "CALC_INTERVAL=5y", "BEST_FPERIOD_OVERRIDE=BF")</f>
        <v>23.463946594496257</v>
      </c>
      <c r="AK73" s="6">
        <f>_xll.BDP(U73,"INTERVAL_Low", "MARKET_DATA_OVERRIDE=PE_RATIO", "CALC_INTERVAL=5y", "BEST_FPERIOD_OVERRIDE=BF")</f>
        <v>16.792526427119387</v>
      </c>
      <c r="AL73" s="6">
        <f>_xll.BDP(U73,"PE_RATIO")</f>
        <v>20.555483931953432</v>
      </c>
      <c r="AM73" s="43">
        <f t="shared" si="22"/>
        <v>0.56404145001012573</v>
      </c>
      <c r="AN73" s="9" t="s">
        <v>616</v>
      </c>
      <c r="AO73" s="9" t="s">
        <v>871</v>
      </c>
      <c r="AP73" s="10">
        <f>_xll.BDP(AN73,"PX_LAST")</f>
        <v>1.2326999999999999</v>
      </c>
      <c r="AQ73" s="10">
        <f>_xll.BDP(AN73,"CHG_PCT_1D")</f>
        <v>-8.0999999999999996E-3</v>
      </c>
      <c r="AR73" s="10">
        <f>_xll.BDP(AN73,"HIGH_52WEEK")</f>
        <v>1.3381000000000001</v>
      </c>
      <c r="AS73" s="10">
        <f t="shared" si="15"/>
        <v>8.204381175346958</v>
      </c>
      <c r="AT73" s="10">
        <f>_xll.BDP(AN73,"LOW_52WEEK")</f>
        <v>1.1959</v>
      </c>
      <c r="AU73" s="10">
        <f t="shared" si="16"/>
        <v>-3.0307845582711939</v>
      </c>
      <c r="AV73" s="10">
        <f>_xll.BDP(AN73,"CHG_PCT_5D")</f>
        <v>-1.2101</v>
      </c>
      <c r="AW73" s="10">
        <f>_xll.BDP(AN73,"CHG_PCT_1M")</f>
        <v>0.30109999999999998</v>
      </c>
      <c r="AX73" s="10">
        <f>_xll.BDP(AN73,"CHG_PCT_3M")</f>
        <v>-2.7378999999999998</v>
      </c>
      <c r="AY73" s="10">
        <f>_xll.BDP(AN73,"CHG_PCT_6M")</f>
        <v>-6.5357000000000003</v>
      </c>
      <c r="AZ73" s="10">
        <f>_xll.BDP(AN73,"PR064")</f>
        <v>-2.7378999999999998</v>
      </c>
      <c r="BA73" s="10">
        <f>_xll.BDP(AN73,"CHG_PCT_1YR")</f>
        <v>-5.7496999999999998</v>
      </c>
    </row>
    <row r="74" spans="1:53" x14ac:dyDescent="0.25">
      <c r="A74" t="s">
        <v>407</v>
      </c>
      <c r="B74" s="5" t="s">
        <v>752</v>
      </c>
      <c r="C74" s="5" t="str">
        <f>_xll.BDP(A74,"DS003")</f>
        <v>TA</v>
      </c>
      <c r="D74" s="6">
        <f>_xll.BDP(A74,"PX_LAST")</f>
        <v>103.75</v>
      </c>
      <c r="E74" s="6">
        <f>_xll.BDP(A74,"CHG_PCT_1D")</f>
        <v>4.8216009999999997E-2</v>
      </c>
      <c r="F74" s="6">
        <f>_xll.BDP(A74,"HIGH_52WEEK")</f>
        <v>109.68</v>
      </c>
      <c r="G74" s="6">
        <f t="shared" si="17"/>
        <v>5.5582876143251321</v>
      </c>
      <c r="H74" s="6">
        <f>_xll.BDP(A74,"LOW_52WEEK")</f>
        <v>76.48</v>
      </c>
      <c r="I74" s="6">
        <f t="shared" si="18"/>
        <v>-30.495489036766184</v>
      </c>
      <c r="J74" s="6">
        <f>_xll.BDP(A74,"CHG_PCT_5D")</f>
        <v>-2.2609530000000002</v>
      </c>
      <c r="K74" s="6">
        <f>_xll.BDP(A74,"CHG_PCT_1M")</f>
        <v>3.4293719999999999</v>
      </c>
      <c r="L74" s="6">
        <f>_xll.BDP(A74,"CHG_PCT_3M")</f>
        <v>4.3762559999999997</v>
      </c>
      <c r="M74" s="6">
        <f>_xll.BDP(A74,"CHG_PCT_6M")</f>
        <v>1.5961590000000001</v>
      </c>
      <c r="N74" s="6">
        <f>_xll.BDP(A74,"PR064")</f>
        <v>4.3762559999999997</v>
      </c>
      <c r="O74" s="6">
        <f>_xll.BDP(A74,"CHG_PCT_1YR")</f>
        <v>9.9745650000000001</v>
      </c>
      <c r="P74" s="6">
        <f>_xll.BDP(A74,"INTERVAL_HIGH", "MARKET_DATA_OVERRIDE=PE_RATIO", "CALC_INTERVAL=5y", "BEST_FPERIOD_OVERRIDE=BF")</f>
        <v>24.10994246420741</v>
      </c>
      <c r="Q74" s="6">
        <f>_xll.BDP(A74,"INTERVAL_Low", "MARKET_DATA_OVERRIDE=PE_RATIO", "CALC_INTERVAL=5y", "BEST_FPERIOD_OVERRIDE=BF")</f>
        <v>3.4170021935997989E-2</v>
      </c>
      <c r="R74" s="6">
        <f>_xll.BDP(A74,"PE_RATIO")</f>
        <v>11.464688209274971</v>
      </c>
      <c r="S74" s="43">
        <f t="shared" si="19"/>
        <v>0.4747726460177728</v>
      </c>
      <c r="T74" s="6">
        <f>_xll.BDP(A74,"RR902")</f>
        <v>1639804464143.52</v>
      </c>
      <c r="U74" s="5" t="s">
        <v>525</v>
      </c>
      <c r="V74" s="5" t="s">
        <v>842</v>
      </c>
      <c r="W74" s="5" t="str">
        <f>_xll.BDP(U74,"DS003")</f>
        <v>NE</v>
      </c>
      <c r="X74" s="6">
        <f>_xll.BDP(U74,"PX_LAST")</f>
        <v>2363</v>
      </c>
      <c r="Y74" s="6">
        <f>_xll.BDP(U74,"CHG_PCT_1D")</f>
        <v>1.0476799999999999</v>
      </c>
      <c r="Z74" s="6">
        <f>_xll.BDP(U74,"HIGH_52WEEK")</f>
        <v>2687</v>
      </c>
      <c r="AA74" s="6">
        <f t="shared" si="20"/>
        <v>12.849333142858347</v>
      </c>
      <c r="AB74" s="6">
        <f>_xll.BDP(U74,"LOW_52WEEK")</f>
        <v>2209.5</v>
      </c>
      <c r="AC74" s="6">
        <f t="shared" si="21"/>
        <v>-6.7165752616113146</v>
      </c>
      <c r="AD74" s="6">
        <f>_xll.BDP(U74,"CHG_PCT_5D")</f>
        <v>0.85360650000000005</v>
      </c>
      <c r="AE74" s="6">
        <f>_xll.BDP(U74,"CHG_PCT_1M")</f>
        <v>4.2576660000000004</v>
      </c>
      <c r="AF74" s="6">
        <f>_xll.BDP(U74,"CHG_PCT_3M")</f>
        <v>-9.5329250000000005</v>
      </c>
      <c r="AG74" s="6">
        <f>_xll.BDP(U74,"CHG_PCT_6M")</f>
        <v>-1.212375</v>
      </c>
      <c r="AH74" s="6">
        <f>_xll.BDP(U74,"PR064")</f>
        <v>-9.5329250000000005</v>
      </c>
      <c r="AI74" s="6">
        <f>_xll.BDP(U74,"CHG_PCT_1YR")</f>
        <v>-10.25446</v>
      </c>
      <c r="AJ74" s="6">
        <f>_xll.BDP(U74,"INTERVAL_HIGH", "MARKET_DATA_OVERRIDE=PE_RATIO", "CALC_INTERVAL=5y", "BEST_FPERIOD_OVERRIDE=BF")</f>
        <v>75.796402948167881</v>
      </c>
      <c r="AK74" s="6">
        <f>_xll.BDP(U74,"INTERVAL_Low", "MARKET_DATA_OVERRIDE=PE_RATIO", "CALC_INTERVAL=5y", "BEST_FPERIOD_OVERRIDE=BF")</f>
        <v>8.1705729263178224</v>
      </c>
      <c r="AL74" s="6">
        <f>_xll.BDP(U74,"PE_RATIO")</f>
        <v>11.698747991967871</v>
      </c>
      <c r="AM74" s="43">
        <f t="shared" si="22"/>
        <v>5.2172003870563755E-2</v>
      </c>
      <c r="AN74" s="9" t="s">
        <v>617</v>
      </c>
      <c r="AO74" s="9" t="s">
        <v>872</v>
      </c>
      <c r="AP74" s="10">
        <f>_xll.BDP(AN74,"PX_LAST")</f>
        <v>0.67520000000000002</v>
      </c>
      <c r="AQ74" s="10">
        <f>_xll.BDP(AN74,"CHG_PCT_1D")</f>
        <v>4.4499999999999998E-2</v>
      </c>
      <c r="AR74" s="10">
        <f>_xll.BDP(AN74,"HIGH_52WEEK")</f>
        <v>0.73939999999999995</v>
      </c>
      <c r="AS74" s="10">
        <f t="shared" si="15"/>
        <v>9.0830103220784171</v>
      </c>
      <c r="AT74" s="10">
        <f>_xll.BDP(AN74,"LOW_52WEEK")</f>
        <v>0.66769999999999996</v>
      </c>
      <c r="AU74" s="10">
        <f t="shared" si="16"/>
        <v>-1.1169972417924334</v>
      </c>
      <c r="AV74" s="10">
        <f>_xll.BDP(AN74,"CHG_PCT_5D")</f>
        <v>-0.2069</v>
      </c>
      <c r="AW74" s="10">
        <f>_xll.BDP(AN74,"CHG_PCT_1M")</f>
        <v>0</v>
      </c>
      <c r="AX74" s="10">
        <f>_xll.BDP(AN74,"CHG_PCT_3M")</f>
        <v>-3.6667000000000001</v>
      </c>
      <c r="AY74" s="10">
        <f>_xll.BDP(AN74,"CHG_PCT_6M")</f>
        <v>-4.6866000000000003</v>
      </c>
      <c r="AZ74" s="10">
        <f>_xll.BDP(AN74,"PR064")</f>
        <v>-3.6667000000000001</v>
      </c>
      <c r="BA74" s="10">
        <f>_xll.BDP(AN74,"CHG_PCT_1YR")</f>
        <v>-6.3262999999999998</v>
      </c>
    </row>
    <row r="75" spans="1:53" x14ac:dyDescent="0.25">
      <c r="A75" t="s">
        <v>404</v>
      </c>
      <c r="B75" s="5" t="s">
        <v>760</v>
      </c>
      <c r="C75" s="5" t="str">
        <f>_xll.BDP(A75,"DS003")</f>
        <v>TA</v>
      </c>
      <c r="D75" s="6">
        <f>_xll.BDP(A75,"PX_LAST")</f>
        <v>76.05</v>
      </c>
      <c r="E75" s="6">
        <f>_xll.BDP(A75,"CHG_PCT_1D")</f>
        <v>-0.91205210000000003</v>
      </c>
      <c r="F75" s="6">
        <f>_xll.BDP(A75,"HIGH_52WEEK")</f>
        <v>92</v>
      </c>
      <c r="G75" s="6">
        <f t="shared" si="17"/>
        <v>19.039755834373853</v>
      </c>
      <c r="H75" s="6">
        <f>_xll.BDP(A75,"LOW_52WEEK")</f>
        <v>66.81</v>
      </c>
      <c r="I75" s="6">
        <f t="shared" si="18"/>
        <v>-12.953824876791581</v>
      </c>
      <c r="J75" s="6">
        <f>_xll.BDP(A75,"CHG_PCT_5D")</f>
        <v>0.55533880000000002</v>
      </c>
      <c r="K75" s="6">
        <f>_xll.BDP(A75,"CHG_PCT_1M")</f>
        <v>3.4834740000000002</v>
      </c>
      <c r="L75" s="6">
        <f>_xll.BDP(A75,"CHG_PCT_3M")</f>
        <v>-1.3618619999999999</v>
      </c>
      <c r="M75" s="6">
        <f>_xll.BDP(A75,"CHG_PCT_6M")</f>
        <v>3.4131109999999998</v>
      </c>
      <c r="N75" s="6">
        <f>_xll.BDP(A75,"PR064")</f>
        <v>-1.3618619999999999</v>
      </c>
      <c r="O75" s="6">
        <f>_xll.BDP(A75,"CHG_PCT_1YR")</f>
        <v>-13.165100000000001</v>
      </c>
      <c r="P75" s="6">
        <f>_xll.BDP(A75,"INTERVAL_HIGH", "MARKET_DATA_OVERRIDE=PE_RATIO", "CALC_INTERVAL=5y", "BEST_FPERIOD_OVERRIDE=BF")</f>
        <v>15.840639030939622</v>
      </c>
      <c r="Q75" s="6">
        <f>_xll.BDP(A75,"INTERVAL_Low", "MARKET_DATA_OVERRIDE=PE_RATIO", "CALC_INTERVAL=5y", "BEST_FPERIOD_OVERRIDE=BF")</f>
        <v>7.4175553103370095</v>
      </c>
      <c r="R75" s="6">
        <f>_xll.BDP(A75,"PE_RATIO")</f>
        <v>9.4630672279300327</v>
      </c>
      <c r="S75" s="43">
        <f t="shared" si="19"/>
        <v>0.24284596775285064</v>
      </c>
      <c r="T75" s="6">
        <f>_xll.BDP(A75,"RR902")</f>
        <v>1633444526764.8201</v>
      </c>
      <c r="U75" s="5" t="s">
        <v>557</v>
      </c>
      <c r="V75" s="5" t="s">
        <v>843</v>
      </c>
      <c r="W75" s="5" t="str">
        <f>_xll.BDP(U75,"DS003")</f>
        <v>NE</v>
      </c>
      <c r="X75" s="6">
        <f>_xll.BDP(U75,"PX_LAST")</f>
        <v>43.92</v>
      </c>
      <c r="Y75" s="6">
        <f>_xll.BDP(U75,"CHG_PCT_1D")</f>
        <v>-0.93605499999999997</v>
      </c>
      <c r="Z75" s="6">
        <f>_xll.BDP(U75,"HIGH_52WEEK")</f>
        <v>44.594999999999999</v>
      </c>
      <c r="AA75" s="6">
        <f t="shared" si="20"/>
        <v>1.5251947916895425</v>
      </c>
      <c r="AB75" s="6">
        <f>_xll.BDP(U75,"LOW_52WEEK")</f>
        <v>29.045000000000002</v>
      </c>
      <c r="AC75" s="6">
        <f t="shared" si="21"/>
        <v>-41.35234457567794</v>
      </c>
      <c r="AD75" s="6">
        <f>_xll.BDP(U75,"CHG_PCT_5D")</f>
        <v>-0.1931599</v>
      </c>
      <c r="AE75" s="6">
        <f>_xll.BDP(U75,"CHG_PCT_1M")</f>
        <v>4.7460040000000001</v>
      </c>
      <c r="AF75" s="6">
        <f>_xll.BDP(U75,"CHG_PCT_3M")</f>
        <v>15.578950000000001</v>
      </c>
      <c r="AG75" s="6">
        <f>_xll.BDP(U75,"CHG_PCT_6M")</f>
        <v>22.271719999999998</v>
      </c>
      <c r="AH75" s="6">
        <f>_xll.BDP(U75,"PR064")</f>
        <v>15.578950000000001</v>
      </c>
      <c r="AI75" s="6">
        <f>_xll.BDP(U75,"CHG_PCT_1YR")</f>
        <v>10.574009999999999</v>
      </c>
      <c r="AJ75" s="6">
        <f>_xll.BDP(U75,"INTERVAL_HIGH", "MARKET_DATA_OVERRIDE=PE_RATIO", "CALC_INTERVAL=5y", "BEST_FPERIOD_OVERRIDE=BF")</f>
        <v>138.63533486305616</v>
      </c>
      <c r="AK75" s="6">
        <f>_xll.BDP(U75,"INTERVAL_Low", "MARKET_DATA_OVERRIDE=PE_RATIO", "CALC_INTERVAL=5y", "BEST_FPERIOD_OVERRIDE=BF")</f>
        <v>19.876373049059289</v>
      </c>
      <c r="AL75" s="6">
        <f>_xll.BDP(U75,"PE_RATIO")</f>
        <v>27.892070744344462</v>
      </c>
      <c r="AM75" s="43">
        <f t="shared" si="22"/>
        <v>6.7495518425291987E-2</v>
      </c>
      <c r="AN75" s="9" t="s">
        <v>618</v>
      </c>
      <c r="AO75" s="9" t="s">
        <v>873</v>
      </c>
      <c r="AP75" s="10">
        <f>_xll.BDP(AN75,"PX_LAST")</f>
        <v>0.62949999999999995</v>
      </c>
      <c r="AQ75" s="10">
        <f>_xll.BDP(AN75,"CHG_PCT_1D")</f>
        <v>-4.7600000000000003E-2</v>
      </c>
      <c r="AR75" s="10">
        <f>_xll.BDP(AN75,"HIGH_52WEEK")</f>
        <v>0.69699999999999995</v>
      </c>
      <c r="AS75" s="10">
        <f t="shared" si="15"/>
        <v>10.185955727612194</v>
      </c>
      <c r="AT75" s="10">
        <f>_xll.BDP(AN75,"LOW_52WEEK")</f>
        <v>0.62549999999999994</v>
      </c>
      <c r="AU75" s="10">
        <f t="shared" si="16"/>
        <v>-0.63745235774359887</v>
      </c>
      <c r="AV75" s="10">
        <f>_xll.BDP(AN75,"CHG_PCT_5D")</f>
        <v>0.59119999999999995</v>
      </c>
      <c r="AW75" s="10">
        <f>_xll.BDP(AN75,"CHG_PCT_1M")</f>
        <v>-1.0530999999999999</v>
      </c>
      <c r="AX75" s="10">
        <f>_xll.BDP(AN75,"CHG_PCT_3M")</f>
        <v>-6.0448000000000004</v>
      </c>
      <c r="AY75" s="10">
        <f>_xll.BDP(AN75,"CHG_PCT_6M")</f>
        <v>-7.3856000000000002</v>
      </c>
      <c r="AZ75" s="10">
        <f>_xll.BDP(AN75,"PR064")</f>
        <v>-6.0448000000000004</v>
      </c>
      <c r="BA75" s="10">
        <f>_xll.BDP(AN75,"CHG_PCT_1YR")</f>
        <v>-4.8806000000000003</v>
      </c>
    </row>
    <row r="76" spans="1:53" ht="17.25" thickBot="1" x14ac:dyDescent="0.3">
      <c r="A76" t="s">
        <v>403</v>
      </c>
      <c r="B76" s="5" t="s">
        <v>749</v>
      </c>
      <c r="C76" s="5" t="str">
        <f>_xll.BDP(A76,"DS003")</f>
        <v>TA</v>
      </c>
      <c r="D76" s="6">
        <f>_xll.BDP(A76,"PX_LAST")</f>
        <v>95.06</v>
      </c>
      <c r="E76" s="6">
        <f>_xll.BDP(A76,"CHG_PCT_1D")</f>
        <v>-0.24136850000000001</v>
      </c>
      <c r="F76" s="6">
        <f>_xll.BDP(A76,"HIGH_52WEEK")</f>
        <v>96.89</v>
      </c>
      <c r="G76" s="6">
        <f t="shared" si="17"/>
        <v>1.9068043211049375</v>
      </c>
      <c r="H76" s="6">
        <f>_xll.BDP(A76,"LOW_52WEEK")</f>
        <v>79.83</v>
      </c>
      <c r="I76" s="6">
        <f t="shared" si="18"/>
        <v>-17.460889752815589</v>
      </c>
      <c r="J76" s="6">
        <f>_xll.BDP(A76,"CHG_PCT_5D")</f>
        <v>1.170712</v>
      </c>
      <c r="K76" s="6">
        <f>_xll.BDP(A76,"CHG_PCT_1M")</f>
        <v>4.1867599999999996</v>
      </c>
      <c r="L76" s="6">
        <f>_xll.BDP(A76,"CHG_PCT_3M")</f>
        <v>0.48625699999999999</v>
      </c>
      <c r="M76" s="6">
        <f>_xll.BDP(A76,"CHG_PCT_6M")</f>
        <v>3.13551</v>
      </c>
      <c r="N76" s="6">
        <f>_xll.BDP(A76,"PR064")</f>
        <v>0.48625699999999999</v>
      </c>
      <c r="O76" s="6">
        <f>_xll.BDP(A76,"CHG_PCT_1YR")</f>
        <v>2.8899210000000002</v>
      </c>
      <c r="P76" s="6">
        <f>_xll.BDP(A76,"INTERVAL_HIGH", "MARKET_DATA_OVERRIDE=PE_RATIO", "CALC_INTERVAL=5y", "BEST_FPERIOD_OVERRIDE=BF")</f>
        <v>19.463182984287673</v>
      </c>
      <c r="Q76" s="6">
        <f>_xll.BDP(A76,"INTERVAL_Low", "MARKET_DATA_OVERRIDE=PE_RATIO", "CALC_INTERVAL=5y", "BEST_FPERIOD_OVERRIDE=BF")</f>
        <v>10.350866381081849</v>
      </c>
      <c r="R76" s="6">
        <f>_xll.BDP(A76,"PE_RATIO")</f>
        <v>14.69364674166081</v>
      </c>
      <c r="S76" s="43">
        <f t="shared" si="19"/>
        <v>0.47658356811824537</v>
      </c>
      <c r="T76" s="6">
        <f>_xll.BDP(A76,"RR902")</f>
        <v>1660019387940.05</v>
      </c>
      <c r="U76" s="5" t="s">
        <v>562</v>
      </c>
      <c r="V76" s="39" t="s">
        <v>844</v>
      </c>
      <c r="W76" s="39" t="str">
        <f>_xll.BDP(U76,"DS003")</f>
        <v>NE</v>
      </c>
      <c r="X76" s="40">
        <f>_xll.BDP(U76,"PX_LAST")</f>
        <v>9.43</v>
      </c>
      <c r="Y76" s="40">
        <f>_xll.BDP(U76,"CHG_PCT_1D")</f>
        <v>-0.15881419999999999</v>
      </c>
      <c r="Z76" s="40">
        <f>_xll.BDP(U76,"HIGH_52WEEK")</f>
        <v>12.14</v>
      </c>
      <c r="AA76" s="40">
        <f t="shared" si="20"/>
        <v>25.260968898598623</v>
      </c>
      <c r="AB76" s="40">
        <f>_xll.BDP(U76,"LOW_52WEEK")</f>
        <v>8.1969999999999992</v>
      </c>
      <c r="AC76" s="40">
        <f t="shared" si="21"/>
        <v>-14.012786297447255</v>
      </c>
      <c r="AD76" s="40">
        <f>_xll.BDP(U76,"CHG_PCT_5D")</f>
        <v>-2.0565020000000001</v>
      </c>
      <c r="AE76" s="40">
        <f>_xll.BDP(U76,"CHG_PCT_1M")</f>
        <v>11.00648</v>
      </c>
      <c r="AF76" s="40">
        <f>_xll.BDP(U76,"CHG_PCT_3M")</f>
        <v>-7.421951</v>
      </c>
      <c r="AG76" s="40">
        <f>_xll.BDP(U76,"CHG_PCT_6M")</f>
        <v>-12.26275</v>
      </c>
      <c r="AH76" s="40">
        <f>_xll.BDP(U76,"PR064")</f>
        <v>-7.421951</v>
      </c>
      <c r="AI76" s="40">
        <f>_xll.BDP(U76,"CHG_PCT_1YR")</f>
        <v>-18.916599999999999</v>
      </c>
      <c r="AJ76" s="40">
        <f>_xll.BDP(U76,"INTERVAL_HIGH", "MARKET_DATA_OVERRIDE=PE_RATIO", "CALC_INTERVAL=5y", "BEST_FPERIOD_OVERRIDE=BF")</f>
        <v>21.447740345401058</v>
      </c>
      <c r="AK76" s="40">
        <f>_xll.BDP(U76,"INTERVAL_Low", "MARKET_DATA_OVERRIDE=PE_RATIO", "CALC_INTERVAL=5y", "BEST_FPERIOD_OVERRIDE=BF")</f>
        <v>6.5126493455575085</v>
      </c>
      <c r="AL76" s="40">
        <f>_xll.BDP(U76,"PE_RATIO")</f>
        <v>7.9243700043493961</v>
      </c>
      <c r="AM76" s="48">
        <f t="shared" si="22"/>
        <v>9.452374001649376E-2</v>
      </c>
      <c r="AN76" s="9" t="s">
        <v>619</v>
      </c>
      <c r="AO76" s="9" t="s">
        <v>874</v>
      </c>
      <c r="AP76" s="10">
        <f>_xll.BDP(AN76,"PX_LAST")</f>
        <v>7.8388</v>
      </c>
      <c r="AQ76" s="10">
        <f>_xll.BDP(AN76,"CHG_PCT_1D")</f>
        <v>-7.7000000000000002E-3</v>
      </c>
      <c r="AR76" s="10">
        <f>_xll.BDP(AN76,"HIGH_52WEEK")</f>
        <v>7.8503999999999996</v>
      </c>
      <c r="AS76" s="10">
        <f t="shared" si="15"/>
        <v>0.14787244873846886</v>
      </c>
      <c r="AT76" s="10">
        <f>_xll.BDP(AN76,"LOW_52WEEK")</f>
        <v>7.7827000000000002</v>
      </c>
      <c r="AU76" s="10">
        <f t="shared" si="16"/>
        <v>-0.71824397363988612</v>
      </c>
      <c r="AV76" s="10">
        <f>_xll.BDP(AN76,"CHG_PCT_5D")</f>
        <v>-2.6800000000000001E-2</v>
      </c>
      <c r="AW76" s="10">
        <f>_xll.BDP(AN76,"CHG_PCT_1M")</f>
        <v>0.1084</v>
      </c>
      <c r="AX76" s="10">
        <f>_xll.BDP(AN76,"CHG_PCT_3M")</f>
        <v>-0.30109999999999998</v>
      </c>
      <c r="AY76" s="10">
        <f>_xll.BDP(AN76,"CHG_PCT_6M")</f>
        <v>0.1263</v>
      </c>
      <c r="AZ76" s="10">
        <f>_xll.BDP(AN76,"PR064")</f>
        <v>-0.30109999999999998</v>
      </c>
      <c r="BA76" s="10">
        <f>_xll.BDP(AN76,"CHG_PCT_1YR")</f>
        <v>-0.29599999999999999</v>
      </c>
    </row>
    <row r="77" spans="1:53" x14ac:dyDescent="0.25">
      <c r="A77" t="s">
        <v>410</v>
      </c>
      <c r="B77" s="5" t="s">
        <v>762</v>
      </c>
      <c r="C77" s="5" t="str">
        <f>_xll.BDP(A77,"DS003")</f>
        <v>TA</v>
      </c>
      <c r="D77" s="6">
        <f>_xll.BDP(A77,"PX_LAST")</f>
        <v>282.66000000000003</v>
      </c>
      <c r="E77" s="6">
        <f>_xll.BDP(A77,"CHG_PCT_1D")</f>
        <v>6.0179120000000003E-2</v>
      </c>
      <c r="F77" s="6">
        <f>_xll.BDP(A77,"HIGH_52WEEK")</f>
        <v>290.86</v>
      </c>
      <c r="G77" s="6">
        <f t="shared" si="17"/>
        <v>2.8597289809559268</v>
      </c>
      <c r="H77" s="6">
        <f>_xll.BDP(A77,"LOW_52WEEK")</f>
        <v>214.6</v>
      </c>
      <c r="I77" s="6">
        <f t="shared" si="18"/>
        <v>-27.546893174340671</v>
      </c>
      <c r="J77" s="6">
        <f>_xll.BDP(A77,"CHG_PCT_5D")</f>
        <v>0.17364940000000001</v>
      </c>
      <c r="K77" s="6">
        <f>_xll.BDP(A77,"CHG_PCT_1M")</f>
        <v>2.950177</v>
      </c>
      <c r="L77" s="6">
        <f>_xll.BDP(A77,"CHG_PCT_3M")</f>
        <v>-0.92187059999999998</v>
      </c>
      <c r="M77" s="6">
        <f>_xll.BDP(A77,"CHG_PCT_6M")</f>
        <v>4.1296710000000001</v>
      </c>
      <c r="N77" s="6">
        <f>_xll.BDP(A77,"PR064")</f>
        <v>-0.92187059999999998</v>
      </c>
      <c r="O77" s="6">
        <f>_xll.BDP(A77,"CHG_PCT_1YR")</f>
        <v>13.874790000000001</v>
      </c>
      <c r="P77" s="6">
        <f>_xll.BDP(A77,"INTERVAL_HIGH", "MARKET_DATA_OVERRIDE=PE_RATIO", "CALC_INTERVAL=5y", "BEST_FPERIOD_OVERRIDE=BF")</f>
        <v>18.250603993045466</v>
      </c>
      <c r="Q77" s="6">
        <f>_xll.BDP(A77,"INTERVAL_Low", "MARKET_DATA_OVERRIDE=PE_RATIO", "CALC_INTERVAL=5y", "BEST_FPERIOD_OVERRIDE=BF")</f>
        <v>10.17836155433236</v>
      </c>
      <c r="R77" s="6">
        <f>_xll.BDP(A77,"PE_RATIO")</f>
        <v>14.762208805103784</v>
      </c>
      <c r="S77" s="43">
        <f t="shared" si="19"/>
        <v>0.56785302046777852</v>
      </c>
      <c r="T77" s="6">
        <f>_xll.BDP(A77,"RR902")</f>
        <v>1247634447283.26</v>
      </c>
      <c r="U77" s="5" t="s">
        <v>514</v>
      </c>
      <c r="V77" s="37" t="s">
        <v>845</v>
      </c>
      <c r="W77" s="37" t="str">
        <f>_xll.BDP(U77,"DS003")</f>
        <v>JN</v>
      </c>
      <c r="X77" s="38">
        <f>_xll.BDP(U77,"PX_LAST")</f>
        <v>7426</v>
      </c>
      <c r="Y77" s="38">
        <f>_xll.BDP(U77,"CHG_PCT_1D")</f>
        <v>1.144102</v>
      </c>
      <c r="Z77" s="38">
        <f>_xll.BDP(U77,"HIGH_52WEEK")</f>
        <v>7494</v>
      </c>
      <c r="AA77" s="38">
        <f t="shared" si="20"/>
        <v>0.91153446166072261</v>
      </c>
      <c r="AB77" s="38">
        <f>_xll.BDP(U77,"LOW_52WEEK")</f>
        <v>6045</v>
      </c>
      <c r="AC77" s="38">
        <f t="shared" si="21"/>
        <v>-20.575587168813239</v>
      </c>
      <c r="AD77" s="38">
        <f>_xll.BDP(U77,"CHG_PCT_5D")</f>
        <v>8.0862530000000002E-2</v>
      </c>
      <c r="AE77" s="38">
        <f>_xll.BDP(U77,"CHG_PCT_1M")</f>
        <v>7.3276490000000001</v>
      </c>
      <c r="AF77" s="38">
        <f>_xll.BDP(U77,"CHG_PCT_3M")</f>
        <v>11.267609999999999</v>
      </c>
      <c r="AG77" s="38">
        <f>_xll.BDP(U77,"CHG_PCT_6M")</f>
        <v>12.124409999999999</v>
      </c>
      <c r="AH77" s="38">
        <f>_xll.BDP(U77,"PR064")</f>
        <v>11.267609999999999</v>
      </c>
      <c r="AI77" s="38">
        <f>_xll.BDP(U77,"CHG_PCT_1YR")</f>
        <v>5.9646119999999998</v>
      </c>
      <c r="AJ77" s="38">
        <f>_xll.BDP(U77,"INTERVAL_HIGH", "MARKET_DATA_OVERRIDE=PE_RATIO", "CALC_INTERVAL=5y", "BEST_FPERIOD_OVERRIDE=BF")</f>
        <v>11.811404825045409</v>
      </c>
      <c r="AK77" s="38">
        <f>_xll.BDP(U77,"INTERVAL_Low", "MARKET_DATA_OVERRIDE=PE_RATIO", "CALC_INTERVAL=5y", "BEST_FPERIOD_OVERRIDE=BF")</f>
        <v>6.0863799752964836</v>
      </c>
      <c r="AL77" s="38">
        <f>_xll.BDP(U77,"PE_RATIO")</f>
        <v>11.176497147931309</v>
      </c>
      <c r="AM77" s="47">
        <f t="shared" si="22"/>
        <v>0.88909957707136511</v>
      </c>
      <c r="AN77" s="9" t="s">
        <v>620</v>
      </c>
      <c r="AO77" s="9" t="s">
        <v>875</v>
      </c>
      <c r="AP77" s="10">
        <f>_xll.BDP(AN77,"PX_LAST")</f>
        <v>7.1325000000000003</v>
      </c>
      <c r="AQ77" s="10">
        <f>_xll.BDP(AN77,"CHG_PCT_1D")</f>
        <v>-1.4E-2</v>
      </c>
      <c r="AR77" s="10">
        <f>_xll.BDP(AN77,"HIGH_52WEEK")</f>
        <v>7.1875999999999998</v>
      </c>
      <c r="AS77" s="10">
        <f t="shared" si="15"/>
        <v>0.76955149646435594</v>
      </c>
      <c r="AT77" s="10">
        <f>_xll.BDP(AN77,"LOW_52WEEK")</f>
        <v>6.6546000000000003</v>
      </c>
      <c r="AU77" s="10">
        <f t="shared" si="16"/>
        <v>-6.9353459248904183</v>
      </c>
      <c r="AV77" s="10">
        <f>_xll.BDP(AN77,"CHG_PCT_5D")</f>
        <v>-0.50470000000000004</v>
      </c>
      <c r="AW77" s="10">
        <f>_xll.BDP(AN77,"CHG_PCT_1M")</f>
        <v>0.26219999999999999</v>
      </c>
      <c r="AX77" s="10">
        <f>_xll.BDP(AN77,"CHG_PCT_3M")</f>
        <v>-3.5400999999999998</v>
      </c>
      <c r="AY77" s="10">
        <f>_xll.BDP(AN77,"CHG_PCT_6M")</f>
        <v>-5.8437000000000001</v>
      </c>
      <c r="AZ77" s="10">
        <f>_xll.BDP(AN77,"PR064")</f>
        <v>-3.5400999999999998</v>
      </c>
      <c r="BA77" s="10">
        <f>_xll.BDP(AN77,"CHG_PCT_1YR")</f>
        <v>-3.5598000000000001</v>
      </c>
    </row>
    <row r="78" spans="1:53" x14ac:dyDescent="0.25">
      <c r="A78" t="s">
        <v>405</v>
      </c>
      <c r="B78" s="5" t="s">
        <v>761</v>
      </c>
      <c r="C78" s="5" t="str">
        <f>_xll.BDP(A78,"DS003")</f>
        <v>TA</v>
      </c>
      <c r="D78" s="6">
        <f>_xll.BDP(A78,"PX_LAST")</f>
        <v>37.94</v>
      </c>
      <c r="E78" s="6">
        <f>_xll.BDP(A78,"CHG_PCT_1D")</f>
        <v>1.0924590000000001</v>
      </c>
      <c r="F78" s="6">
        <f>_xll.BDP(A78,"HIGH_52WEEK")</f>
        <v>42.89</v>
      </c>
      <c r="G78" s="6">
        <f t="shared" si="17"/>
        <v>12.2632734021921</v>
      </c>
      <c r="H78" s="6">
        <f>_xll.BDP(A78,"LOW_52WEEK")</f>
        <v>30.36</v>
      </c>
      <c r="I78" s="6">
        <f t="shared" si="18"/>
        <v>-22.288001197943899</v>
      </c>
      <c r="J78" s="6">
        <f>_xll.BDP(A78,"CHG_PCT_5D")</f>
        <v>0.23778479999999999</v>
      </c>
      <c r="K78" s="6">
        <f>_xll.BDP(A78,"CHG_PCT_1M")</f>
        <v>8.5240270000000002</v>
      </c>
      <c r="L78" s="6">
        <f>_xll.BDP(A78,"CHG_PCT_3M")</f>
        <v>5.7118950000000002</v>
      </c>
      <c r="M78" s="6">
        <f>_xll.BDP(A78,"CHG_PCT_6M")</f>
        <v>-7.4182550000000003</v>
      </c>
      <c r="N78" s="6">
        <f>_xll.BDP(A78,"PR064")</f>
        <v>5.7118950000000002</v>
      </c>
      <c r="O78" s="6">
        <f>_xll.BDP(A78,"CHG_PCT_1YR")</f>
        <v>1.8523449999999999</v>
      </c>
      <c r="P78" s="6">
        <f>_xll.BDP(A78,"INTERVAL_HIGH", "MARKET_DATA_OVERRIDE=PE_RATIO", "CALC_INTERVAL=5y", "BEST_FPERIOD_OVERRIDE=BF")</f>
        <v>119.02605297831853</v>
      </c>
      <c r="Q78" s="6">
        <f>_xll.BDP(A78,"INTERVAL_Low", "MARKET_DATA_OVERRIDE=PE_RATIO", "CALC_INTERVAL=5y", "BEST_FPERIOD_OVERRIDE=BF")</f>
        <v>11.244277597708177</v>
      </c>
      <c r="R78" s="6">
        <f>_xll.BDP(A78,"PE_RATIO")</f>
        <v>37.737448012654987</v>
      </c>
      <c r="S78" s="43">
        <f t="shared" si="19"/>
        <v>0.24580380422748963</v>
      </c>
      <c r="T78" s="6">
        <f>_xll.BDP(A78,"RR902")</f>
        <v>1236068028541.95</v>
      </c>
      <c r="U78" s="5" t="s">
        <v>541</v>
      </c>
      <c r="V78" s="5" t="s">
        <v>846</v>
      </c>
      <c r="W78" s="5" t="str">
        <f>_xll.BDP(U78,"DS003")</f>
        <v>JN</v>
      </c>
      <c r="X78" s="6">
        <f>_xll.BDP(U78,"PX_LAST")</f>
        <v>6440</v>
      </c>
      <c r="Y78" s="6">
        <f>_xll.BDP(U78,"CHG_PCT_1D")</f>
        <v>-1.348039</v>
      </c>
      <c r="Z78" s="6">
        <f>_xll.BDP(U78,"HIGH_52WEEK")</f>
        <v>6973</v>
      </c>
      <c r="AA78" s="6">
        <f t="shared" si="20"/>
        <v>7.9517008122611479</v>
      </c>
      <c r="AB78" s="6">
        <f>_xll.BDP(U78,"LOW_52WEEK")</f>
        <v>4507</v>
      </c>
      <c r="AC78" s="6">
        <f t="shared" si="21"/>
        <v>-35.689679640775104</v>
      </c>
      <c r="AD78" s="6">
        <f>_xll.BDP(U78,"CHG_PCT_5D")</f>
        <v>0.67219010000000001</v>
      </c>
      <c r="AE78" s="6">
        <f>_xll.BDP(U78,"CHG_PCT_1M")</f>
        <v>9.4865689999999994</v>
      </c>
      <c r="AF78" s="6">
        <f>_xll.BDP(U78,"CHG_PCT_3M")</f>
        <v>13.740729999999999</v>
      </c>
      <c r="AG78" s="6">
        <f>_xll.BDP(U78,"CHG_PCT_6M")</f>
        <v>35.152149999999999</v>
      </c>
      <c r="AH78" s="6">
        <f>_xll.BDP(U78,"PR064")</f>
        <v>13.740729999999999</v>
      </c>
      <c r="AI78" s="6">
        <f>_xll.BDP(U78,"CHG_PCT_1YR")</f>
        <v>-3.3758439999999998</v>
      </c>
      <c r="AJ78" s="6">
        <f>_xll.BDP(U78,"INTERVAL_HIGH", "MARKET_DATA_OVERRIDE=PE_RATIO", "CALC_INTERVAL=5y", "BEST_FPERIOD_OVERRIDE=BF")</f>
        <v>74.37036031186679</v>
      </c>
      <c r="AK78" s="6">
        <f>_xll.BDP(U78,"INTERVAL_Low", "MARKET_DATA_OVERRIDE=PE_RATIO", "CALC_INTERVAL=5y", "BEST_FPERIOD_OVERRIDE=BF")</f>
        <v>6.407414642516156</v>
      </c>
      <c r="AL78" s="6">
        <f>_xll.BDP(U78,"PE_RATIO")</f>
        <v>9.6724290713566923</v>
      </c>
      <c r="AM78" s="43">
        <f t="shared" si="22"/>
        <v>4.8041096463436038E-2</v>
      </c>
      <c r="AN78" s="9" t="s">
        <v>621</v>
      </c>
      <c r="AO78" s="9" t="s">
        <v>876</v>
      </c>
      <c r="AP78" s="10">
        <f>_xll.BDP(AN78,"PX_LAST")</f>
        <v>4.1692999999999998</v>
      </c>
      <c r="AQ78" s="10">
        <f>_xll.BDP(AN78,"CHG_PCT_1D")</f>
        <v>-0.51090000000000002</v>
      </c>
      <c r="AR78" s="10">
        <f>_xll.BDP(AN78,"HIGH_52WEEK")</f>
        <v>4.1939000000000002</v>
      </c>
      <c r="AS78" s="10">
        <f t="shared" si="15"/>
        <v>0.58829325971389157</v>
      </c>
      <c r="AT78" s="10">
        <f>_xll.BDP(AN78,"LOW_52WEEK")</f>
        <v>3.5863999999999998</v>
      </c>
      <c r="AU78" s="10">
        <f t="shared" si="16"/>
        <v>-15.059924215315847</v>
      </c>
      <c r="AV78" s="10">
        <f>_xll.BDP(AN78,"CHG_PCT_5D")</f>
        <v>-4.3200000000000002E-2</v>
      </c>
      <c r="AW78" s="10">
        <f>_xll.BDP(AN78,"CHG_PCT_1M")</f>
        <v>-0.30940000000000001</v>
      </c>
      <c r="AX78" s="10">
        <f>_xll.BDP(AN78,"CHG_PCT_3M")</f>
        <v>-7.7735000000000003</v>
      </c>
      <c r="AY78" s="10">
        <f>_xll.BDP(AN78,"CHG_PCT_6M")</f>
        <v>-7.0803000000000003</v>
      </c>
      <c r="AZ78" s="10">
        <f>_xll.BDP(AN78,"PR064")</f>
        <v>-7.7735000000000003</v>
      </c>
      <c r="BA78" s="10">
        <f>_xll.BDP(AN78,"CHG_PCT_1YR")</f>
        <v>-3.2643</v>
      </c>
    </row>
    <row r="79" spans="1:53" x14ac:dyDescent="0.25">
      <c r="A79" t="s">
        <v>406</v>
      </c>
      <c r="B79" s="5" t="s">
        <v>759</v>
      </c>
      <c r="C79" s="5" t="str">
        <f>_xll.BDP(A79,"DS003")</f>
        <v>TA</v>
      </c>
      <c r="D79" s="6">
        <f>_xll.BDP(A79,"PX_LAST")</f>
        <v>126.27</v>
      </c>
      <c r="E79" s="6">
        <f>_xll.BDP(A79,"CHG_PCT_1D")</f>
        <v>-1.1430359999999999</v>
      </c>
      <c r="F79" s="6">
        <f>_xll.BDP(A79,"HIGH_52WEEK")</f>
        <v>188.57</v>
      </c>
      <c r="G79" s="6">
        <f t="shared" si="17"/>
        <v>40.104681928824235</v>
      </c>
      <c r="H79" s="6">
        <f>_xll.BDP(A79,"LOW_52WEEK")</f>
        <v>120.47</v>
      </c>
      <c r="I79" s="6">
        <f t="shared" si="18"/>
        <v>-4.7021712171827597</v>
      </c>
      <c r="J79" s="6">
        <f>_xll.BDP(A79,"CHG_PCT_5D")</f>
        <v>-1.1120699999999999</v>
      </c>
      <c r="K79" s="6">
        <f>_xll.BDP(A79,"CHG_PCT_1M")</f>
        <v>3.2376740000000002</v>
      </c>
      <c r="L79" s="6">
        <f>_xll.BDP(A79,"CHG_PCT_3M")</f>
        <v>-10.81368</v>
      </c>
      <c r="M79" s="6">
        <f>_xll.BDP(A79,"CHG_PCT_6M")</f>
        <v>-12.56146</v>
      </c>
      <c r="N79" s="6">
        <f>_xll.BDP(A79,"PR064")</f>
        <v>-10.81368</v>
      </c>
      <c r="O79" s="6">
        <f>_xll.BDP(A79,"CHG_PCT_1YR")</f>
        <v>-31.738569999999999</v>
      </c>
      <c r="P79" s="6">
        <f>_xll.BDP(A79,"INTERVAL_HIGH", "MARKET_DATA_OVERRIDE=PE_RATIO", "CALC_INTERVAL=5y", "BEST_FPERIOD_OVERRIDE=BF")</f>
        <v>177.90342258365945</v>
      </c>
      <c r="Q79" s="6">
        <f>_xll.BDP(A79,"INTERVAL_Low", "MARKET_DATA_OVERRIDE=PE_RATIO", "CALC_INTERVAL=5y", "BEST_FPERIOD_OVERRIDE=BF")</f>
        <v>11.255553564082204</v>
      </c>
      <c r="R79" s="6">
        <f>_xll.BDP(A79,"PE_RATIO")</f>
        <v>26.997662200383218</v>
      </c>
      <c r="S79" s="43">
        <f t="shared" si="19"/>
        <v>9.4463305945134413E-2</v>
      </c>
      <c r="T79" s="6">
        <f>_xll.BDP(A79,"RR902")</f>
        <v>1005913407294.33</v>
      </c>
      <c r="U79" s="5" t="s">
        <v>549</v>
      </c>
      <c r="V79" s="5" t="s">
        <v>847</v>
      </c>
      <c r="W79" s="5" t="str">
        <f>_xll.BDP(U79,"DS003")</f>
        <v>JN</v>
      </c>
      <c r="X79" s="6">
        <f>_xll.BDP(U79,"PX_LAST")</f>
        <v>567.1</v>
      </c>
      <c r="Y79" s="6">
        <f>_xll.BDP(U79,"CHG_PCT_1D")</f>
        <v>0.28293550000000001</v>
      </c>
      <c r="Z79" s="6">
        <f>_xll.BDP(U79,"HIGH_52WEEK")</f>
        <v>740.9</v>
      </c>
      <c r="AA79" s="6">
        <f t="shared" si="20"/>
        <v>26.733000840262889</v>
      </c>
      <c r="AB79" s="6">
        <f>_xll.BDP(U79,"LOW_52WEEK")</f>
        <v>480</v>
      </c>
      <c r="AC79" s="6">
        <f t="shared" si="21"/>
        <v>-16.674955111804568</v>
      </c>
      <c r="AD79" s="6">
        <f>_xll.BDP(U79,"CHG_PCT_5D")</f>
        <v>0.1943463</v>
      </c>
      <c r="AE79" s="6">
        <f>_xll.BDP(U79,"CHG_PCT_1M")</f>
        <v>14.058730000000001</v>
      </c>
      <c r="AF79" s="6">
        <f>_xll.BDP(U79,"CHG_PCT_3M")</f>
        <v>10.76172</v>
      </c>
      <c r="AG79" s="6">
        <f>_xll.BDP(U79,"CHG_PCT_6M")</f>
        <v>2.4385880000000002</v>
      </c>
      <c r="AH79" s="6">
        <f>_xll.BDP(U79,"PR064")</f>
        <v>10.76172</v>
      </c>
      <c r="AI79" s="6">
        <f>_xll.BDP(U79,"CHG_PCT_1YR")</f>
        <v>-19.583100000000002</v>
      </c>
      <c r="AJ79" s="6">
        <f>_xll.BDP(U79,"INTERVAL_HIGH", "MARKET_DATA_OVERRIDE=PE_RATIO", "CALC_INTERVAL=5y", "BEST_FPERIOD_OVERRIDE=BF")</f>
        <v>11.357071276153155</v>
      </c>
      <c r="AK79" s="6">
        <f>_xll.BDP(U79,"INTERVAL_Low", "MARKET_DATA_OVERRIDE=PE_RATIO", "CALC_INTERVAL=5y", "BEST_FPERIOD_OVERRIDE=BF")</f>
        <v>5.6876746841712027</v>
      </c>
      <c r="AL79" s="6">
        <f>_xll.BDP(U79,"PE_RATIO")</f>
        <v>7.7738173486763191</v>
      </c>
      <c r="AM79" s="43">
        <f t="shared" si="22"/>
        <v>0.36796555518015478</v>
      </c>
      <c r="AN79" s="9" t="s">
        <v>622</v>
      </c>
      <c r="AO79" s="9" t="s">
        <v>877</v>
      </c>
      <c r="AP79" s="10">
        <f>_xll.BDP(AN79,"PX_LAST")</f>
        <v>5.6689999999999996</v>
      </c>
      <c r="AQ79" s="10">
        <f>_xll.BDP(AN79,"CHG_PCT_1D")</f>
        <v>-3.1800000000000002E-2</v>
      </c>
      <c r="AR79" s="10">
        <f>_xll.BDP(AN79,"HIGH_52WEEK")</f>
        <v>6.3960999999999997</v>
      </c>
      <c r="AS79" s="10">
        <f t="shared" si="15"/>
        <v>12.067569427905175</v>
      </c>
      <c r="AT79" s="10">
        <f>_xll.BDP(AN79,"LOW_52WEEK")</f>
        <v>5.1344000000000003</v>
      </c>
      <c r="AU79" s="10">
        <f t="shared" si="16"/>
        <v>-9.9049743968711148</v>
      </c>
      <c r="AV79" s="10">
        <f>_xll.BDP(AN79,"CHG_PCT_5D")</f>
        <v>1.3052999999999999</v>
      </c>
      <c r="AW79" s="10">
        <f>_xll.BDP(AN79,"CHG_PCT_1M")</f>
        <v>2.8012000000000001</v>
      </c>
      <c r="AX79" s="10">
        <f>_xll.BDP(AN79,"CHG_PCT_3M")</f>
        <v>1.8150999999999999</v>
      </c>
      <c r="AY79" s="10">
        <f>_xll.BDP(AN79,"CHG_PCT_6M")</f>
        <v>-6.0011000000000001</v>
      </c>
      <c r="AZ79" s="10">
        <f>_xll.BDP(AN79,"PR064")</f>
        <v>1.8150999999999999</v>
      </c>
      <c r="BA79" s="10">
        <f>_xll.BDP(AN79,"CHG_PCT_1YR")</f>
        <v>6.0221999999999998</v>
      </c>
    </row>
    <row r="80" spans="1:53" x14ac:dyDescent="0.25">
      <c r="A80" t="s">
        <v>415</v>
      </c>
      <c r="B80" s="5" t="s">
        <v>755</v>
      </c>
      <c r="C80" s="5" t="str">
        <f>_xll.BDP(A80,"DS003")</f>
        <v>TA</v>
      </c>
      <c r="D80" s="6">
        <f>_xll.BDP(A80,"PX_LAST")</f>
        <v>1783.79</v>
      </c>
      <c r="E80" s="6">
        <f>_xll.BDP(A80,"CHG_PCT_1D")</f>
        <v>-0.44259150000000003</v>
      </c>
      <c r="F80" s="6">
        <f>_xll.BDP(A80,"HIGH_52WEEK")</f>
        <v>1944.96</v>
      </c>
      <c r="G80" s="6">
        <f t="shared" si="17"/>
        <v>8.65010970816226</v>
      </c>
      <c r="H80" s="6">
        <f>_xll.BDP(A80,"LOW_52WEEK")</f>
        <v>1555.15</v>
      </c>
      <c r="I80" s="6">
        <f t="shared" si="18"/>
        <v>-13.716831022316653</v>
      </c>
      <c r="J80" s="6">
        <f>_xll.BDP(A80,"CHG_PCT_5D")</f>
        <v>-0.90165770000000001</v>
      </c>
      <c r="K80" s="6">
        <f>_xll.BDP(A80,"CHG_PCT_1M")</f>
        <v>0.63638729999999999</v>
      </c>
      <c r="L80" s="6">
        <f>_xll.BDP(A80,"CHG_PCT_3M")</f>
        <v>-7.133928</v>
      </c>
      <c r="M80" s="6">
        <f>_xll.BDP(A80,"CHG_PCT_6M")</f>
        <v>4.0080460000000002</v>
      </c>
      <c r="N80" s="6">
        <f>_xll.BDP(A80,"PR064")</f>
        <v>-7.133928</v>
      </c>
      <c r="O80" s="6">
        <f>_xll.BDP(A80,"CHG_PCT_1YR")</f>
        <v>-0.6886911</v>
      </c>
      <c r="P80" s="6">
        <f>_xll.BDP(A80,"INTERVAL_HIGH", "MARKET_DATA_OVERRIDE=PE_RATIO", "CALC_INTERVAL=5y", "BEST_FPERIOD_OVERRIDE=BF")</f>
        <v>26.814044953543636</v>
      </c>
      <c r="Q80" s="6">
        <f>_xll.BDP(A80,"INTERVAL_Low", "MARKET_DATA_OVERRIDE=PE_RATIO", "CALC_INTERVAL=5y", "BEST_FPERIOD_OVERRIDE=BF")</f>
        <v>10.985440475391437</v>
      </c>
      <c r="R80" s="6">
        <f>_xll.BDP(A80,"PE_RATIO")</f>
        <v>19.588322857914875</v>
      </c>
      <c r="S80" s="43">
        <f t="shared" si="19"/>
        <v>0.54350226480153496</v>
      </c>
      <c r="T80" s="6">
        <f>_xll.BDP(A80,"RR902")</f>
        <v>699461721992.16492</v>
      </c>
      <c r="U80" s="5" t="s">
        <v>555</v>
      </c>
      <c r="V80" s="5" t="s">
        <v>848</v>
      </c>
      <c r="W80" s="5" t="str">
        <f>_xll.BDP(U80,"DS003")</f>
        <v>JN</v>
      </c>
      <c r="X80" s="6">
        <f>_xll.BDP(U80,"PX_LAST")</f>
        <v>2898.5</v>
      </c>
      <c r="Y80" s="6">
        <f>_xll.BDP(U80,"CHG_PCT_1D")</f>
        <v>1.3461540000000001</v>
      </c>
      <c r="Z80" s="6">
        <f>_xll.BDP(U80,"HIGH_52WEEK")</f>
        <v>3502</v>
      </c>
      <c r="AA80" s="6">
        <f t="shared" si="20"/>
        <v>18.914087206600964</v>
      </c>
      <c r="AB80" s="6">
        <f>_xll.BDP(U80,"LOW_52WEEK")</f>
        <v>2412</v>
      </c>
      <c r="AC80" s="6">
        <f t="shared" si="21"/>
        <v>-18.37370829327115</v>
      </c>
      <c r="AD80" s="6">
        <f>_xll.BDP(U80,"CHG_PCT_5D")</f>
        <v>5.1777700000000003E-2</v>
      </c>
      <c r="AE80" s="6">
        <f>_xll.BDP(U80,"CHG_PCT_1M")</f>
        <v>16.686800000000002</v>
      </c>
      <c r="AF80" s="6">
        <f>_xll.BDP(U80,"CHG_PCT_3M")</f>
        <v>3.9447730000000001</v>
      </c>
      <c r="AG80" s="6">
        <f>_xll.BDP(U80,"CHG_PCT_6M")</f>
        <v>-4.3714950000000004</v>
      </c>
      <c r="AH80" s="6">
        <f>_xll.BDP(U80,"PR064")</f>
        <v>3.9447730000000001</v>
      </c>
      <c r="AI80" s="6">
        <f>_xll.BDP(U80,"CHG_PCT_1YR")</f>
        <v>-14.92515</v>
      </c>
      <c r="AJ80" s="6">
        <f>_xll.BDP(U80,"INTERVAL_HIGH", "MARKET_DATA_OVERRIDE=PE_RATIO", "CALC_INTERVAL=5y", "BEST_FPERIOD_OVERRIDE=BF")</f>
        <v>15.591504833572056</v>
      </c>
      <c r="AK80" s="6">
        <f>_xll.BDP(U80,"INTERVAL_Low", "MARKET_DATA_OVERRIDE=PE_RATIO", "CALC_INTERVAL=5y", "BEST_FPERIOD_OVERRIDE=BF")</f>
        <v>4.1630522807231394</v>
      </c>
      <c r="AL80" s="6">
        <f>_xll.BDP(U80,"PE_RATIO")</f>
        <v>9.4787272311063155</v>
      </c>
      <c r="AM80" s="43">
        <f t="shared" si="22"/>
        <v>0.46512639622921387</v>
      </c>
      <c r="AN80" s="9" t="s">
        <v>656</v>
      </c>
      <c r="AO80" s="9" t="s">
        <v>878</v>
      </c>
      <c r="AP80" s="10">
        <f>_xll.BDP(AN80,"PX_LAST")</f>
        <v>15.0343</v>
      </c>
      <c r="AQ80" s="10">
        <f>_xll.BDP(AN80,"CHG_PCT_1D")</f>
        <v>-0.1676</v>
      </c>
      <c r="AR80" s="10">
        <f>_xll.BDP(AN80,"HIGH_52WEEK")</f>
        <v>15.499499999999999</v>
      </c>
      <c r="AS80" s="10">
        <f t="shared" ref="AS80:AS81" si="23">LN(AR80/AP80)*100</f>
        <v>3.0473508015009076</v>
      </c>
      <c r="AT80" s="10">
        <f>_xll.BDP(AN80,"LOW_52WEEK")</f>
        <v>13.2362</v>
      </c>
      <c r="AU80" s="10">
        <f t="shared" ref="AU80:AU81" si="24">LN(AT80/AP80)*100</f>
        <v>-12.737875707493886</v>
      </c>
      <c r="AV80" s="10">
        <f>_xll.BDP(AN80,"CHG_PCT_5D")</f>
        <v>-0.66049999999999998</v>
      </c>
      <c r="AW80" s="10">
        <f>_xll.BDP(AN80,"CHG_PCT_1M")</f>
        <v>1.8358000000000001</v>
      </c>
      <c r="AX80" s="10">
        <f>_xll.BDP(AN80,"CHG_PCT_3M")</f>
        <v>-5.7568000000000001</v>
      </c>
      <c r="AY80" s="10">
        <f>_xll.BDP(AN80,"CHG_PCT_6M")</f>
        <v>-2.8921000000000001</v>
      </c>
      <c r="AZ80" s="10">
        <f>_xll.BDP(AN80,"PR064")</f>
        <v>-5.7568000000000001</v>
      </c>
      <c r="BA80" s="10">
        <f>_xll.BDP(AN80,"CHG_PCT_1YR")</f>
        <v>-6.0461999999999998</v>
      </c>
    </row>
    <row r="81" spans="1:53" x14ac:dyDescent="0.25">
      <c r="A81" t="s">
        <v>408</v>
      </c>
      <c r="B81" s="5" t="s">
        <v>767</v>
      </c>
      <c r="C81" s="5" t="str">
        <f>_xll.BDP(A81,"DS003")</f>
        <v>TA</v>
      </c>
      <c r="D81" s="6">
        <f>_xll.BDP(A81,"PX_LAST")</f>
        <v>100.06</v>
      </c>
      <c r="E81" s="6">
        <f>_xll.BDP(A81,"CHG_PCT_1D")</f>
        <v>-0.26911190000000001</v>
      </c>
      <c r="F81" s="6">
        <f>_xll.BDP(A81,"HIGH_52WEEK")</f>
        <v>115.69</v>
      </c>
      <c r="G81" s="6">
        <f t="shared" si="17"/>
        <v>14.514419398073844</v>
      </c>
      <c r="H81" s="6">
        <f>_xll.BDP(A81,"LOW_52WEEK")</f>
        <v>99.47</v>
      </c>
      <c r="I81" s="6">
        <f t="shared" si="18"/>
        <v>-0.59139148957364762</v>
      </c>
      <c r="J81" s="6">
        <f>_xll.BDP(A81,"CHG_PCT_5D")</f>
        <v>-1.5060500000000001</v>
      </c>
      <c r="K81" s="6">
        <f>_xll.BDP(A81,"CHG_PCT_1M")</f>
        <v>0.39129069999999999</v>
      </c>
      <c r="L81" s="6">
        <f>_xll.BDP(A81,"CHG_PCT_3M")</f>
        <v>-8.0330929999999992</v>
      </c>
      <c r="M81" s="6">
        <f>_xll.BDP(A81,"CHG_PCT_6M")</f>
        <v>-8.5374809999999997</v>
      </c>
      <c r="N81" s="6">
        <f>_xll.BDP(A81,"PR064")</f>
        <v>-8.0330929999999992</v>
      </c>
      <c r="O81" s="6">
        <f>_xll.BDP(A81,"CHG_PCT_1YR")</f>
        <v>-13.4504</v>
      </c>
      <c r="P81" s="6">
        <f>_xll.BDP(A81,"INTERVAL_HIGH", "MARKET_DATA_OVERRIDE=PE_RATIO", "CALC_INTERVAL=5y", "BEST_FPERIOD_OVERRIDE=BF")</f>
        <v>91.753318948073684</v>
      </c>
      <c r="Q81" s="6">
        <f>_xll.BDP(A81,"INTERVAL_Low", "MARKET_DATA_OVERRIDE=PE_RATIO", "CALC_INTERVAL=5y", "BEST_FPERIOD_OVERRIDE=BF")</f>
        <v>12.582371123200621</v>
      </c>
      <c r="R81" s="6">
        <f>_xll.BDP(A81,"PE_RATIO")</f>
        <v>16.771376364095232</v>
      </c>
      <c r="S81" s="43">
        <f t="shared" si="19"/>
        <v>5.2910889107463166E-2</v>
      </c>
      <c r="T81" s="6">
        <f>_xll.BDP(A81,"RR902")</f>
        <v>607252324552.34998</v>
      </c>
      <c r="U81" s="5" t="s">
        <v>570</v>
      </c>
      <c r="V81" s="5" t="s">
        <v>849</v>
      </c>
      <c r="W81" s="5" t="str">
        <f>_xll.BDP(U81,"DS003")</f>
        <v>JN</v>
      </c>
      <c r="X81" s="6">
        <f>_xll.BDP(U81,"PX_LAST")</f>
        <v>2887</v>
      </c>
      <c r="Y81" s="6">
        <f>_xll.BDP(U81,"CHG_PCT_1D")</f>
        <v>0.41739130000000002</v>
      </c>
      <c r="Z81" s="6">
        <f>_xll.BDP(U81,"HIGH_52WEEK")</f>
        <v>3679</v>
      </c>
      <c r="AA81" s="6">
        <f t="shared" si="20"/>
        <v>24.242307544183923</v>
      </c>
      <c r="AB81" s="6">
        <f>_xll.BDP(U81,"LOW_52WEEK")</f>
        <v>2687.5</v>
      </c>
      <c r="AC81" s="6">
        <f t="shared" si="21"/>
        <v>-7.1606507227016811</v>
      </c>
      <c r="AD81" s="6">
        <f>_xll.BDP(U81,"CHG_PCT_5D")</f>
        <v>-1.231611</v>
      </c>
      <c r="AE81" s="6">
        <f>_xll.BDP(U81,"CHG_PCT_1M")</f>
        <v>5.1538880000000002</v>
      </c>
      <c r="AF81" s="6">
        <f>_xll.BDP(U81,"CHG_PCT_3M")</f>
        <v>-8.9848680000000005</v>
      </c>
      <c r="AG81" s="6">
        <f>_xll.BDP(U81,"CHG_PCT_6M")</f>
        <v>-11.169230000000001</v>
      </c>
      <c r="AH81" s="6">
        <f>_xll.BDP(U81,"PR064")</f>
        <v>-8.9848680000000005</v>
      </c>
      <c r="AI81" s="6">
        <f>_xll.BDP(U81,"CHG_PCT_1YR")</f>
        <v>-19.222159999999999</v>
      </c>
      <c r="AJ81" s="6">
        <f>_xll.BDP(U81,"INTERVAL_HIGH", "MARKET_DATA_OVERRIDE=PE_RATIO", "CALC_INTERVAL=5y", "BEST_FPERIOD_OVERRIDE=BF")</f>
        <v>22.905481351816768</v>
      </c>
      <c r="AK81" s="6">
        <f>_xll.BDP(U81,"INTERVAL_Low", "MARKET_DATA_OVERRIDE=PE_RATIO", "CALC_INTERVAL=5y", "BEST_FPERIOD_OVERRIDE=BF")</f>
        <v>11.390478661200531</v>
      </c>
      <c r="AL81" s="6">
        <f>_xll.BDP(U81,"PE_RATIO")</f>
        <v>16.935829222078173</v>
      </c>
      <c r="AM81" s="43">
        <f t="shared" si="22"/>
        <v>0.48157614113252778</v>
      </c>
      <c r="AN81" s="9" t="s">
        <v>657</v>
      </c>
      <c r="AO81" s="9" t="s">
        <v>879</v>
      </c>
      <c r="AP81" s="10">
        <f>_xll.BDP(AN81,"PX_LAST")</f>
        <v>57.212200000000003</v>
      </c>
      <c r="AQ81" s="10">
        <f>_xll.BDP(AN81,"CHG_PCT_1D")</f>
        <v>-0.25969999999999999</v>
      </c>
      <c r="AR81" s="10">
        <f>_xll.BDP(AN81,"HIGH_52WEEK")</f>
        <v>61.998699999999999</v>
      </c>
      <c r="AS81" s="10">
        <f t="shared" si="23"/>
        <v>8.0346254726668196</v>
      </c>
      <c r="AT81" s="10">
        <f>_xll.BDP(AN81,"LOW_52WEEK")</f>
        <v>35.353400000000001</v>
      </c>
      <c r="AU81" s="10">
        <f t="shared" si="24"/>
        <v>-48.137259359250415</v>
      </c>
      <c r="AV81" s="10">
        <f>_xll.BDP(AN81,"CHG_PCT_5D")</f>
        <v>-1.1146</v>
      </c>
      <c r="AW81" s="10">
        <f>_xll.BDP(AN81,"CHG_PCT_1M")</f>
        <v>-3.3458000000000001</v>
      </c>
      <c r="AX81" s="10">
        <f>_xll.BDP(AN81,"CHG_PCT_3M")</f>
        <v>-25.3796</v>
      </c>
      <c r="AY81" s="10">
        <f>_xll.BDP(AN81,"CHG_PCT_6M")</f>
        <v>-25.471299999999999</v>
      </c>
      <c r="AZ81" s="10">
        <f>_xll.BDP(AN81,"PR064")</f>
        <v>-25.3796</v>
      </c>
      <c r="BA81" s="10">
        <f>_xll.BDP(AN81,"CHG_PCT_1YR")</f>
        <v>-32.651299999999999</v>
      </c>
    </row>
    <row r="82" spans="1:53" x14ac:dyDescent="0.25">
      <c r="A82" t="s">
        <v>409</v>
      </c>
      <c r="B82" s="5" t="s">
        <v>770</v>
      </c>
      <c r="C82" s="5" t="str">
        <f>_xll.BDP(A82,"DS003")</f>
        <v>TA</v>
      </c>
      <c r="D82" s="6">
        <f>_xll.BDP(A82,"PX_LAST")</f>
        <v>65.77</v>
      </c>
      <c r="E82" s="6">
        <f>_xll.BDP(A82,"CHG_PCT_1D")</f>
        <v>-0.52934060000000005</v>
      </c>
      <c r="F82" s="6">
        <f>_xll.BDP(A82,"HIGH_52WEEK")</f>
        <v>72.680000000000007</v>
      </c>
      <c r="G82" s="6">
        <f t="shared" si="17"/>
        <v>9.9902436214710857</v>
      </c>
      <c r="H82" s="6">
        <f>_xll.BDP(A82,"LOW_52WEEK")</f>
        <v>60.03</v>
      </c>
      <c r="I82" s="6">
        <f t="shared" si="18"/>
        <v>-9.1319370049507889</v>
      </c>
      <c r="J82" s="6">
        <f>_xll.BDP(A82,"CHG_PCT_5D")</f>
        <v>-1.2758970000000001</v>
      </c>
      <c r="K82" s="6">
        <f>_xll.BDP(A82,"CHG_PCT_1M")</f>
        <v>0.1522742</v>
      </c>
      <c r="L82" s="6">
        <f>_xll.BDP(A82,"CHG_PCT_3M")</f>
        <v>-6.9336380000000002</v>
      </c>
      <c r="M82" s="6">
        <f>_xll.BDP(A82,"CHG_PCT_6M")</f>
        <v>1.496904</v>
      </c>
      <c r="N82" s="6">
        <f>_xll.BDP(A82,"PR064")</f>
        <v>-6.9336380000000002</v>
      </c>
      <c r="O82" s="6">
        <f>_xll.BDP(A82,"CHG_PCT_1YR")</f>
        <v>2.3020619999999998</v>
      </c>
      <c r="P82" s="6">
        <f>_xll.BDP(A82,"INTERVAL_HIGH", "MARKET_DATA_OVERRIDE=PE_RATIO", "CALC_INTERVAL=5y", "BEST_FPERIOD_OVERRIDE=BF")</f>
        <v>121.90336424603748</v>
      </c>
      <c r="Q82" s="6">
        <f>_xll.BDP(A82,"INTERVAL_Low", "MARKET_DATA_OVERRIDE=PE_RATIO", "CALC_INTERVAL=5y", "BEST_FPERIOD_OVERRIDE=BF")</f>
        <v>12.882763401416449</v>
      </c>
      <c r="R82" s="6">
        <f>_xll.BDP(A82,"PE_RATIO")</f>
        <v>26.153282209139295</v>
      </c>
      <c r="S82" s="43">
        <f t="shared" si="19"/>
        <v>0.12172487314242866</v>
      </c>
      <c r="T82" s="6">
        <f>_xll.BDP(A82,"RR902")</f>
        <v>599336210995.09802</v>
      </c>
      <c r="U82" s="5" t="s">
        <v>572</v>
      </c>
      <c r="V82" s="5" t="s">
        <v>850</v>
      </c>
      <c r="W82" s="5" t="str">
        <f>_xll.BDP(U82,"DS003")</f>
        <v>JN</v>
      </c>
      <c r="X82" s="6">
        <f>_xll.BDP(U82,"PX_LAST")</f>
        <v>4159</v>
      </c>
      <c r="Y82" s="6">
        <f>_xll.BDP(U82,"CHG_PCT_1D")</f>
        <v>-0.57375089999999995</v>
      </c>
      <c r="Z82" s="6">
        <f>_xll.BDP(U82,"HIGH_52WEEK")</f>
        <v>5203</v>
      </c>
      <c r="AA82" s="6">
        <f t="shared" si="20"/>
        <v>22.39607215473918</v>
      </c>
      <c r="AB82" s="6">
        <f>_xll.BDP(U82,"LOW_52WEEK")</f>
        <v>3573</v>
      </c>
      <c r="AC82" s="6">
        <f t="shared" si="21"/>
        <v>-15.18690817195019</v>
      </c>
      <c r="AD82" s="6">
        <f>_xll.BDP(U82,"CHG_PCT_5D")</f>
        <v>1.4637720000000001</v>
      </c>
      <c r="AE82" s="6">
        <f>_xll.BDP(U82,"CHG_PCT_1M")</f>
        <v>12.557510000000001</v>
      </c>
      <c r="AF82" s="6">
        <f>_xll.BDP(U82,"CHG_PCT_3M")</f>
        <v>13.324249999999999</v>
      </c>
      <c r="AG82" s="6">
        <f>_xll.BDP(U82,"CHG_PCT_6M")</f>
        <v>-2.8724889999999998</v>
      </c>
      <c r="AH82" s="6">
        <f>_xll.BDP(U82,"PR064")</f>
        <v>13.324249999999999</v>
      </c>
      <c r="AI82" s="6">
        <f>_xll.BDP(U82,"CHG_PCT_1YR")</f>
        <v>-18.24258</v>
      </c>
      <c r="AJ82" s="6">
        <f>_xll.BDP(U82,"INTERVAL_HIGH", "MARKET_DATA_OVERRIDE=PE_RATIO", "CALC_INTERVAL=5y", "BEST_FPERIOD_OVERRIDE=BF")</f>
        <v>46.2825277103071</v>
      </c>
      <c r="AK82" s="6">
        <f>_xll.BDP(U82,"INTERVAL_Low", "MARKET_DATA_OVERRIDE=PE_RATIO", "CALC_INTERVAL=5y", "BEST_FPERIOD_OVERRIDE=BF")</f>
        <v>14.775067749062108</v>
      </c>
      <c r="AL82" s="6">
        <f>_xll.BDP(U82,"PE_RATIO")</f>
        <v>17.336390162567735</v>
      </c>
      <c r="AM82" s="43">
        <f t="shared" si="22"/>
        <v>8.1292570605695322E-2</v>
      </c>
      <c r="AN82" s="9" t="s">
        <v>623</v>
      </c>
      <c r="AO82" s="9" t="s">
        <v>880</v>
      </c>
      <c r="AP82" s="10">
        <f>_xll.BDP(AN82,"PX_LAST")</f>
        <v>70.881200000000007</v>
      </c>
      <c r="AQ82" s="10">
        <f>_xll.BDP(AN82,"CHG_PCT_1D")</f>
        <v>0.22220000000000001</v>
      </c>
      <c r="AR82" s="10">
        <f>_xll.BDP(AN82,"HIGH_52WEEK")</f>
        <v>74.482500000000002</v>
      </c>
      <c r="AS82" s="10">
        <f>LN(AR82/AP82)*100</f>
        <v>4.955896228739852</v>
      </c>
      <c r="AT82" s="10">
        <f>_xll.BDP(AN82,"LOW_52WEEK")</f>
        <v>68.290000000000006</v>
      </c>
      <c r="AU82" s="10">
        <f>LN(AT82/AP82)*100</f>
        <v>-3.7241893203089771</v>
      </c>
      <c r="AV82" s="10">
        <f>_xll.BDP(AN82,"CHG_PCT_5D")</f>
        <v>0.62609999999999999</v>
      </c>
      <c r="AW82" s="10">
        <f>_xll.BDP(AN82,"CHG_PCT_1M")</f>
        <v>1.6120000000000001</v>
      </c>
      <c r="AX82" s="10">
        <f>_xll.BDP(AN82,"CHG_PCT_3M")</f>
        <v>-2.4352999999999998</v>
      </c>
      <c r="AY82" s="10">
        <f>_xll.BDP(AN82,"CHG_PCT_6M")</f>
        <v>-2.8515000000000001</v>
      </c>
      <c r="AZ82" s="10">
        <f>_xll.BDP(AN82,"PR064")</f>
        <v>-2.4352999999999998</v>
      </c>
      <c r="BA82" s="10">
        <f>_xll.BDP(AN82,"CHG_PCT_1YR")</f>
        <v>2.4478</v>
      </c>
    </row>
    <row r="83" spans="1:53" x14ac:dyDescent="0.25">
      <c r="A83" t="s">
        <v>419</v>
      </c>
      <c r="B83" s="5" t="s">
        <v>742</v>
      </c>
      <c r="C83" s="5" t="str">
        <f>_xll.BDP(A83,"DS003")</f>
        <v>TA</v>
      </c>
      <c r="D83" s="6">
        <f>_xll.BDP(A83,"PX_LAST")</f>
        <v>292.2</v>
      </c>
      <c r="E83" s="6">
        <f>_xll.BDP(A83,"CHG_PCT_1D")</f>
        <v>0.83511630000000003</v>
      </c>
      <c r="F83" s="6">
        <f>_xll.BDP(A83,"HIGH_52WEEK")</f>
        <v>310.58</v>
      </c>
      <c r="G83" s="6">
        <f t="shared" si="17"/>
        <v>6.1003017824443901</v>
      </c>
      <c r="H83" s="6">
        <f>_xll.BDP(A83,"LOW_52WEEK")</f>
        <v>174.28</v>
      </c>
      <c r="I83" s="6">
        <f t="shared" si="18"/>
        <v>-51.67752980673577</v>
      </c>
      <c r="J83" s="6">
        <f>_xll.BDP(A83,"CHG_PCT_5D")</f>
        <v>2.5227149999999998</v>
      </c>
      <c r="K83" s="6">
        <f>_xll.BDP(A83,"CHG_PCT_1M")</f>
        <v>5.5140359999999999</v>
      </c>
      <c r="L83" s="6">
        <f>_xll.BDP(A83,"CHG_PCT_3M")</f>
        <v>-4.7153169999999998</v>
      </c>
      <c r="M83" s="6">
        <f>_xll.BDP(A83,"CHG_PCT_6M")</f>
        <v>19.221520000000002</v>
      </c>
      <c r="N83" s="6">
        <f>_xll.BDP(A83,"PR064")</f>
        <v>-4.7153169999999998</v>
      </c>
      <c r="O83" s="6">
        <f>_xll.BDP(A83,"CHG_PCT_1YR")</f>
        <v>38.871729999999999</v>
      </c>
      <c r="P83" s="6">
        <f>_xll.BDP(A83,"INTERVAL_HIGH", "MARKET_DATA_OVERRIDE=PE_RATIO", "CALC_INTERVAL=5y", "BEST_FPERIOD_OVERRIDE=BF")</f>
        <v>25.236183241697976</v>
      </c>
      <c r="Q83" s="6">
        <f>_xll.BDP(A83,"INTERVAL_Low", "MARKET_DATA_OVERRIDE=PE_RATIO", "CALC_INTERVAL=5y", "BEST_FPERIOD_OVERRIDE=BF")</f>
        <v>10.5966445423448</v>
      </c>
      <c r="R83" s="6">
        <f>_xll.BDP(A83,"PE_RATIO")</f>
        <v>19.918773896966115</v>
      </c>
      <c r="S83" s="43">
        <f t="shared" si="19"/>
        <v>0.63677753418782235</v>
      </c>
      <c r="T83" s="6">
        <f>_xll.BDP(A83,"RR902")</f>
        <v>576398671355.80103</v>
      </c>
      <c r="U83" s="5" t="s">
        <v>574</v>
      </c>
      <c r="V83" s="5" t="s">
        <v>851</v>
      </c>
      <c r="W83" s="5" t="str">
        <f>_xll.BDP(U83,"DS003")</f>
        <v>JN</v>
      </c>
      <c r="X83" s="6">
        <f>_xll.BDP(U83,"PX_LAST")</f>
        <v>4293</v>
      </c>
      <c r="Y83" s="6">
        <f>_xll.BDP(U83,"CHG_PCT_1D")</f>
        <v>-0.25557619999999998</v>
      </c>
      <c r="Z83" s="6">
        <f>_xll.BDP(U83,"HIGH_52WEEK")</f>
        <v>4661</v>
      </c>
      <c r="AA83" s="6">
        <f t="shared" si="20"/>
        <v>8.2244228148180252</v>
      </c>
      <c r="AB83" s="6">
        <f>_xll.BDP(U83,"LOW_52WEEK")</f>
        <v>3888</v>
      </c>
      <c r="AC83" s="6">
        <f t="shared" si="21"/>
        <v>-9.9090902644230887</v>
      </c>
      <c r="AD83" s="6">
        <f>_xll.BDP(U83,"CHG_PCT_5D")</f>
        <v>0.49157299999999998</v>
      </c>
      <c r="AE83" s="6">
        <f>_xll.BDP(U83,"CHG_PCT_1M")</f>
        <v>7.2713640000000002</v>
      </c>
      <c r="AF83" s="6">
        <f>_xll.BDP(U83,"CHG_PCT_3M")</f>
        <v>1.393481</v>
      </c>
      <c r="AG83" s="6">
        <f>_xll.BDP(U83,"CHG_PCT_6M")</f>
        <v>0.37409399999999998</v>
      </c>
      <c r="AH83" s="6">
        <f>_xll.BDP(U83,"PR064")</f>
        <v>1.393481</v>
      </c>
      <c r="AI83" s="6">
        <f>_xll.BDP(U83,"CHG_PCT_1YR")</f>
        <v>0.139958</v>
      </c>
      <c r="AJ83" s="6">
        <f>_xll.BDP(U83,"INTERVAL_HIGH", "MARKET_DATA_OVERRIDE=PE_RATIO", "CALC_INTERVAL=5y", "BEST_FPERIOD_OVERRIDE=BF")</f>
        <v>14.403489059450566</v>
      </c>
      <c r="AK83" s="6">
        <f>_xll.BDP(U83,"INTERVAL_Low", "MARKET_DATA_OVERRIDE=PE_RATIO", "CALC_INTERVAL=5y", "BEST_FPERIOD_OVERRIDE=BF")</f>
        <v>8.1663877218244405</v>
      </c>
      <c r="AL83" s="6">
        <f>_xll.BDP(U83,"PE_RATIO")</f>
        <v>11.596121120445151</v>
      </c>
      <c r="AM83" s="43">
        <f t="shared" si="22"/>
        <v>0.54989220359951463</v>
      </c>
      <c r="AN83" s="9" t="s">
        <v>624</v>
      </c>
      <c r="AO83" s="9" t="s">
        <v>881</v>
      </c>
      <c r="AP83" s="10">
        <f>_xll.BDP(AN83,"PX_LAST")</f>
        <v>64.241600000000005</v>
      </c>
      <c r="AQ83" s="10">
        <f>_xll.BDP(AN83,"CHG_PCT_1D")</f>
        <v>6.1000000000000004E-3</v>
      </c>
      <c r="AR83" s="10">
        <f>_xll.BDP(AN83,"HIGH_52WEEK")</f>
        <v>69.818100000000001</v>
      </c>
      <c r="AS83" s="10">
        <f>LN(AR83/AP83)*100</f>
        <v>8.3242312545023776</v>
      </c>
      <c r="AT83" s="10">
        <f>_xll.BDP(AN83,"LOW_52WEEK")</f>
        <v>62.499000000000002</v>
      </c>
      <c r="AU83" s="10">
        <f>LN(AT83/AP83)*100</f>
        <v>-2.7500419314236648</v>
      </c>
      <c r="AV83" s="10">
        <f>_xll.BDP(AN83,"CHG_PCT_5D")</f>
        <v>-0.39650000000000002</v>
      </c>
      <c r="AW83" s="10">
        <f>_xll.BDP(AN83,"CHG_PCT_1M")</f>
        <v>3.4565999999999999</v>
      </c>
      <c r="AX83" s="10">
        <f>_xll.BDP(AN83,"CHG_PCT_3M")</f>
        <v>-1.8331999999999999</v>
      </c>
      <c r="AY83" s="10">
        <f>_xll.BDP(AN83,"CHG_PCT_6M")</f>
        <v>0.94889999999999997</v>
      </c>
      <c r="AZ83" s="10">
        <f>_xll.BDP(AN83,"PR064")</f>
        <v>-1.8331999999999999</v>
      </c>
      <c r="BA83" s="10">
        <f>_xll.BDP(AN83,"CHG_PCT_1YR")</f>
        <v>2.1417999999999999</v>
      </c>
    </row>
    <row r="84" spans="1:53" ht="17.25" thickBot="1" x14ac:dyDescent="0.3">
      <c r="A84" t="s">
        <v>412</v>
      </c>
      <c r="B84" s="5" t="s">
        <v>768</v>
      </c>
      <c r="C84" s="5" t="str">
        <f>_xll.BDP(A84,"DS003")</f>
        <v>TA</v>
      </c>
      <c r="D84" s="6">
        <f>_xll.BDP(A84,"PX_LAST")</f>
        <v>533.61</v>
      </c>
      <c r="E84" s="6">
        <f>_xll.BDP(A84,"CHG_PCT_1D")</f>
        <v>-0.54794520000000002</v>
      </c>
      <c r="F84" s="6">
        <f>_xll.BDP(A84,"HIGH_52WEEK")</f>
        <v>595.20000000000005</v>
      </c>
      <c r="G84" s="6">
        <f t="shared" si="17"/>
        <v>10.923224846338636</v>
      </c>
      <c r="H84" s="6">
        <f>_xll.BDP(A84,"LOW_52WEEK")</f>
        <v>495.51</v>
      </c>
      <c r="I84" s="6">
        <f t="shared" si="18"/>
        <v>-7.4077699854387076</v>
      </c>
      <c r="J84" s="6">
        <f>_xll.BDP(A84,"CHG_PCT_5D")</f>
        <v>0.13699049999999999</v>
      </c>
      <c r="K84" s="6">
        <f>_xll.BDP(A84,"CHG_PCT_1M")</f>
        <v>1.8398030000000001</v>
      </c>
      <c r="L84" s="6">
        <f>_xll.BDP(A84,"CHG_PCT_3M")</f>
        <v>-9.5392309999999991</v>
      </c>
      <c r="M84" s="6">
        <f>_xll.BDP(A84,"CHG_PCT_6M")</f>
        <v>-5.5022330000000004</v>
      </c>
      <c r="N84" s="6">
        <f>_xll.BDP(A84,"PR064")</f>
        <v>-9.5392309999999991</v>
      </c>
      <c r="O84" s="6">
        <f>_xll.BDP(A84,"CHG_PCT_1YR")</f>
        <v>-7.3625970000000001</v>
      </c>
      <c r="P84" s="6">
        <f>_xll.BDP(A84,"INTERVAL_HIGH", "MARKET_DATA_OVERRIDE=PE_RATIO", "CALC_INTERVAL=5y", "BEST_FPERIOD_OVERRIDE=BF")</f>
        <v>28.06568909388951</v>
      </c>
      <c r="Q84" s="6">
        <f>_xll.BDP(A84,"INTERVAL_Low", "MARKET_DATA_OVERRIDE=PE_RATIO", "CALC_INTERVAL=5y", "BEST_FPERIOD_OVERRIDE=BF")</f>
        <v>14.413719473019768</v>
      </c>
      <c r="R84" s="6">
        <f>_xll.BDP(A84,"PE_RATIO")</f>
        <v>18.23229425976929</v>
      </c>
      <c r="S84" s="43">
        <f t="shared" si="19"/>
        <v>0.27970870817878718</v>
      </c>
      <c r="T84" s="6">
        <f>_xll.BDP(A84,"RR902")</f>
        <v>532914599877.005</v>
      </c>
      <c r="U84" s="5" t="s">
        <v>577</v>
      </c>
      <c r="V84" s="5" t="s">
        <v>852</v>
      </c>
      <c r="W84" s="5" t="str">
        <f>_xll.BDP(U84,"DS003")</f>
        <v>JN</v>
      </c>
      <c r="X84" s="6">
        <f>_xll.BDP(U84,"PX_LAST")</f>
        <v>901.9</v>
      </c>
      <c r="Y84" s="6">
        <f>_xll.BDP(U84,"CHG_PCT_1D")</f>
        <v>0.70343900000000004</v>
      </c>
      <c r="Z84" s="6">
        <f>_xll.BDP(U84,"HIGH_52WEEK")</f>
        <v>1386</v>
      </c>
      <c r="AA84" s="6">
        <f t="shared" si="20"/>
        <v>42.967353057818599</v>
      </c>
      <c r="AB84" s="6">
        <f>_xll.BDP(U84,"LOW_52WEEK")</f>
        <v>787.7</v>
      </c>
      <c r="AC84" s="6">
        <f t="shared" si="21"/>
        <v>-13.53863424623837</v>
      </c>
      <c r="AD84" s="6">
        <f>_xll.BDP(U84,"CHG_PCT_5D")</f>
        <v>0.12211370000000001</v>
      </c>
      <c r="AE84" s="6">
        <f>_xll.BDP(U84,"CHG_PCT_1M")</f>
        <v>11.483309999999999</v>
      </c>
      <c r="AF84" s="6">
        <f>_xll.BDP(U84,"CHG_PCT_3M")</f>
        <v>0.49025069999999998</v>
      </c>
      <c r="AG84" s="6">
        <f>_xll.BDP(U84,"CHG_PCT_6M")</f>
        <v>-6.625947</v>
      </c>
      <c r="AH84" s="6">
        <f>_xll.BDP(U84,"PR064")</f>
        <v>0.49025069999999998</v>
      </c>
      <c r="AI84" s="6">
        <f>_xll.BDP(U84,"CHG_PCT_1YR")</f>
        <v>-32.543010000000002</v>
      </c>
      <c r="AJ84" s="6">
        <f>_xll.BDP(U84,"INTERVAL_HIGH", "MARKET_DATA_OVERRIDE=PE_RATIO", "CALC_INTERVAL=5y", "BEST_FPERIOD_OVERRIDE=BF")</f>
        <v>183.72929679286716</v>
      </c>
      <c r="AK84" s="6">
        <f>_xll.BDP(U84,"INTERVAL_Low", "MARKET_DATA_OVERRIDE=PE_RATIO", "CALC_INTERVAL=5y", "BEST_FPERIOD_OVERRIDE=BF")</f>
        <v>6.6425887038286389</v>
      </c>
      <c r="AL84" s="6">
        <f>_xll.BDP(U84,"PE_RATIO")</f>
        <v>7.6058359286056882</v>
      </c>
      <c r="AM84" s="43">
        <f t="shared" si="22"/>
        <v>5.4394100786645848E-3</v>
      </c>
      <c r="AN84" s="9" t="s">
        <v>625</v>
      </c>
      <c r="AO84" s="34" t="s">
        <v>882</v>
      </c>
      <c r="AP84" s="35">
        <f>_xll.BDP(AN84,"PX_LAST")</f>
        <v>8102.03</v>
      </c>
      <c r="AQ84" s="35">
        <f>_xll.BDP(AN84,"CHG_PCT_1D")</f>
        <v>9.7699999999999995E-2</v>
      </c>
      <c r="AR84" s="35">
        <f>_xll.BDP(AN84,"HIGH_52WEEK")</f>
        <v>13851.6</v>
      </c>
      <c r="AS84" s="35">
        <f>LN(AR84/AP84)*100</f>
        <v>53.628610186365158</v>
      </c>
      <c r="AT84" s="35">
        <f>_xll.BDP(AN84,"LOW_52WEEK")</f>
        <v>3136.04</v>
      </c>
      <c r="AU84" s="35">
        <f>LN(AT84/AP84)*100</f>
        <v>-94.915379005422167</v>
      </c>
      <c r="AV84" s="35">
        <f>_xll.BDP(AN84,"CHG_PCT_5D")</f>
        <v>-20.066299999999998</v>
      </c>
      <c r="AW84" s="35">
        <f>_xll.BDP(AN84,"CHG_PCT_1M")</f>
        <v>-20.122599999999998</v>
      </c>
      <c r="AX84" s="35">
        <f>_xll.BDP(AN84,"CHG_PCT_3M")</f>
        <v>-24.181899999999999</v>
      </c>
      <c r="AY84" s="35">
        <f>_xll.BDP(AN84,"CHG_PCT_6M")</f>
        <v>102.09699999999999</v>
      </c>
      <c r="AZ84" s="35">
        <f>_xll.BDP(AN84,"PR064")</f>
        <v>-24.181899999999999</v>
      </c>
      <c r="BA84" s="35">
        <f>_xll.BDP(AN84,"CHG_PCT_1YR")</f>
        <v>21.032800000000002</v>
      </c>
    </row>
    <row r="85" spans="1:53" x14ac:dyDescent="0.25">
      <c r="A85" t="s">
        <v>417</v>
      </c>
      <c r="B85" s="5" t="s">
        <v>750</v>
      </c>
      <c r="C85" s="5" t="str">
        <f>_xll.BDP(A85,"DS003")</f>
        <v>TA</v>
      </c>
      <c r="D85" s="6">
        <f>_xll.BDP(A85,"PX_LAST")</f>
        <v>239.36</v>
      </c>
      <c r="E85" s="6">
        <f>_xll.BDP(A85,"CHG_PCT_1D")</f>
        <v>-0.70109940000000004</v>
      </c>
      <c r="F85" s="6">
        <f>_xll.BDP(A85,"HIGH_52WEEK")</f>
        <v>278.26</v>
      </c>
      <c r="G85" s="6">
        <f t="shared" si="17"/>
        <v>15.058723362761818</v>
      </c>
      <c r="H85" s="6">
        <f>_xll.BDP(A85,"LOW_52WEEK")</f>
        <v>231.61</v>
      </c>
      <c r="I85" s="6">
        <f t="shared" si="18"/>
        <v>-3.2913772126491776</v>
      </c>
      <c r="J85" s="6">
        <f>_xll.BDP(A85,"CHG_PCT_5D")</f>
        <v>-1.3517969999999999</v>
      </c>
      <c r="K85" s="6">
        <f>_xll.BDP(A85,"CHG_PCT_1M")</f>
        <v>2.2774869999999998</v>
      </c>
      <c r="L85" s="6">
        <f>_xll.BDP(A85,"CHG_PCT_3M")</f>
        <v>-2.5049869999999999</v>
      </c>
      <c r="M85" s="6">
        <f>_xll.BDP(A85,"CHG_PCT_6M")</f>
        <v>-0.1959727</v>
      </c>
      <c r="N85" s="6">
        <f>_xll.BDP(A85,"PR064")</f>
        <v>-2.5049869999999999</v>
      </c>
      <c r="O85" s="6">
        <f>_xll.BDP(A85,"CHG_PCT_1YR")</f>
        <v>-13.57596</v>
      </c>
      <c r="P85" s="6">
        <f>_xll.BDP(A85,"INTERVAL_HIGH", "MARKET_DATA_OVERRIDE=PE_RATIO", "CALC_INTERVAL=5y", "BEST_FPERIOD_OVERRIDE=BF")</f>
        <v>23.64633869949224</v>
      </c>
      <c r="Q85" s="6">
        <f>_xll.BDP(A85,"INTERVAL_Low", "MARKET_DATA_OVERRIDE=PE_RATIO", "CALC_INTERVAL=5y", "BEST_FPERIOD_OVERRIDE=BF")</f>
        <v>6.2744757486186273</v>
      </c>
      <c r="R85" s="6">
        <f>_xll.BDP(A85,"PE_RATIO")</f>
        <v>19.073343613492174</v>
      </c>
      <c r="S85" s="43">
        <f t="shared" si="19"/>
        <v>0.73675851007274407</v>
      </c>
      <c r="T85" s="6">
        <f>_xll.BDP(A85,"RR902")</f>
        <v>504124396094.86597</v>
      </c>
      <c r="U85" s="5" t="s">
        <v>579</v>
      </c>
      <c r="V85" s="5" t="s">
        <v>853</v>
      </c>
      <c r="W85" s="5" t="str">
        <f>_xll.BDP(U85,"DS003")</f>
        <v>JN</v>
      </c>
      <c r="X85" s="6">
        <f>_xll.BDP(U85,"PX_LAST")</f>
        <v>711.8</v>
      </c>
      <c r="Y85" s="6">
        <f>_xll.BDP(U85,"CHG_PCT_1D")</f>
        <v>0.86438999999999999</v>
      </c>
      <c r="Z85" s="6">
        <f>_xll.BDP(U85,"HIGH_52WEEK")</f>
        <v>1063.5</v>
      </c>
      <c r="AA85" s="6">
        <f t="shared" si="20"/>
        <v>40.152366156419966</v>
      </c>
      <c r="AB85" s="6">
        <f>_xll.BDP(U85,"LOW_52WEEK")</f>
        <v>635.1</v>
      </c>
      <c r="AC85" s="6">
        <f t="shared" si="21"/>
        <v>-11.401450626716301</v>
      </c>
      <c r="AD85" s="6">
        <f>_xll.BDP(U85,"CHG_PCT_5D")</f>
        <v>-0.2941588</v>
      </c>
      <c r="AE85" s="6">
        <f>_xll.BDP(U85,"CHG_PCT_1M")</f>
        <v>9.9644700000000004</v>
      </c>
      <c r="AF85" s="6">
        <f>_xll.BDP(U85,"CHG_PCT_3M")</f>
        <v>-8.4854699999999994</v>
      </c>
      <c r="AG85" s="6">
        <f>_xll.BDP(U85,"CHG_PCT_6M")</f>
        <v>-23.048649999999999</v>
      </c>
      <c r="AH85" s="6">
        <f>_xll.BDP(U85,"PR064")</f>
        <v>-8.4854699999999994</v>
      </c>
      <c r="AI85" s="6">
        <f>_xll.BDP(U85,"CHG_PCT_1YR")</f>
        <v>-32.434739999999998</v>
      </c>
      <c r="AJ85" s="6">
        <f>_xll.BDP(U85,"INTERVAL_HIGH", "MARKET_DATA_OVERRIDE=PE_RATIO", "CALC_INTERVAL=5y", "BEST_FPERIOD_OVERRIDE=BF")</f>
        <v>14.729969219289245</v>
      </c>
      <c r="AK85" s="6">
        <f>_xll.BDP(U85,"INTERVAL_Low", "MARKET_DATA_OVERRIDE=PE_RATIO", "CALC_INTERVAL=5y", "BEST_FPERIOD_OVERRIDE=BF")</f>
        <v>4.4376892809587218</v>
      </c>
      <c r="AL85" s="6">
        <f>_xll.BDP(U85,"PE_RATIO")</f>
        <v>13.278611842047733</v>
      </c>
      <c r="AM85" s="43">
        <f t="shared" si="22"/>
        <v>0.85898582374966648</v>
      </c>
      <c r="AN85" s="9"/>
      <c r="AO85" s="32" t="s">
        <v>671</v>
      </c>
      <c r="AP85" s="32" t="s">
        <v>680</v>
      </c>
      <c r="AQ85" s="36" t="s">
        <v>679</v>
      </c>
      <c r="AR85" s="32" t="s">
        <v>672</v>
      </c>
      <c r="AS85" s="32" t="s">
        <v>673</v>
      </c>
      <c r="AT85" s="32" t="s">
        <v>674</v>
      </c>
      <c r="AU85" s="32" t="s">
        <v>673</v>
      </c>
      <c r="AV85" s="32" t="s">
        <v>675</v>
      </c>
      <c r="AW85" s="32" t="s">
        <v>676</v>
      </c>
      <c r="AX85" s="32" t="s">
        <v>677</v>
      </c>
      <c r="AY85" s="32" t="s">
        <v>681</v>
      </c>
      <c r="AZ85" s="36" t="s">
        <v>678</v>
      </c>
      <c r="BA85" s="32" t="s">
        <v>699</v>
      </c>
    </row>
    <row r="86" spans="1:53" x14ac:dyDescent="0.25">
      <c r="A86" t="s">
        <v>411</v>
      </c>
      <c r="B86" s="5" t="s">
        <v>748</v>
      </c>
      <c r="C86" s="5" t="str">
        <f>_xll.BDP(A86,"DS003")</f>
        <v>TA</v>
      </c>
      <c r="D86" s="6">
        <f>_xll.BDP(A86,"PX_LAST")</f>
        <v>286.89</v>
      </c>
      <c r="E86" s="6">
        <f>_xll.BDP(A86,"CHG_PCT_1D")</f>
        <v>-0.42344939999999998</v>
      </c>
      <c r="F86" s="6">
        <f>_xll.BDP(A86,"HIGH_52WEEK")</f>
        <v>304.05</v>
      </c>
      <c r="G86" s="6">
        <f t="shared" si="17"/>
        <v>5.8093294536557902</v>
      </c>
      <c r="H86" s="6">
        <f>_xll.BDP(A86,"LOW_52WEEK")</f>
        <v>241.54</v>
      </c>
      <c r="I86" s="6">
        <f t="shared" si="18"/>
        <v>-17.206377618233184</v>
      </c>
      <c r="J86" s="6">
        <f>_xll.BDP(A86,"CHG_PCT_5D")</f>
        <v>-5.9220219999999997E-2</v>
      </c>
      <c r="K86" s="6">
        <f>_xll.BDP(A86,"CHG_PCT_1M")</f>
        <v>1.918372</v>
      </c>
      <c r="L86" s="6">
        <f>_xll.BDP(A86,"CHG_PCT_3M")</f>
        <v>-4.7383410000000001</v>
      </c>
      <c r="M86" s="6">
        <f>_xll.BDP(A86,"CHG_PCT_6M")</f>
        <v>1.324433</v>
      </c>
      <c r="N86" s="6">
        <f>_xll.BDP(A86,"PR064")</f>
        <v>-4.7383410000000001</v>
      </c>
      <c r="O86" s="6">
        <f>_xll.BDP(A86,"CHG_PCT_1YR")</f>
        <v>5.1881000000000004</v>
      </c>
      <c r="P86" s="6">
        <f>_xll.BDP(A86,"INTERVAL_HIGH", "MARKET_DATA_OVERRIDE=PE_RATIO", "CALC_INTERVAL=5y", "BEST_FPERIOD_OVERRIDE=BF")</f>
        <v>18.123170365825892</v>
      </c>
      <c r="Q86" s="6">
        <f>_xll.BDP(A86,"INTERVAL_Low", "MARKET_DATA_OVERRIDE=PE_RATIO", "CALC_INTERVAL=5y", "BEST_FPERIOD_OVERRIDE=BF")</f>
        <v>6.0684002467502953</v>
      </c>
      <c r="R86" s="6">
        <f>_xll.BDP(A86,"PE_RATIO")</f>
        <v>14.532770226768823</v>
      </c>
      <c r="S86" s="43">
        <f t="shared" si="19"/>
        <v>0.70215938557172641</v>
      </c>
      <c r="T86" s="6">
        <f>_xll.BDP(A86,"RR902")</f>
        <v>498671947374.79303</v>
      </c>
      <c r="U86" s="5" t="s">
        <v>510</v>
      </c>
      <c r="V86" s="5" t="s">
        <v>854</v>
      </c>
      <c r="W86" s="5" t="str">
        <f>_xll.BDP(U86,"DS003")</f>
        <v>SK</v>
      </c>
      <c r="X86" s="6">
        <f>_xll.BDP(U86,"PX_LAST")</f>
        <v>1026</v>
      </c>
      <c r="Y86" s="6">
        <f>_xll.BDP(U86,"CHG_PCT_1D")</f>
        <v>0.686948</v>
      </c>
      <c r="Z86" s="6">
        <f>_xll.BDP(U86,"HIGH_52WEEK")</f>
        <v>1072</v>
      </c>
      <c r="AA86" s="6">
        <f t="shared" si="20"/>
        <v>4.3858315900032396</v>
      </c>
      <c r="AB86" s="6">
        <f>_xll.BDP(U86,"LOW_52WEEK")</f>
        <v>832</v>
      </c>
      <c r="AC86" s="6">
        <f t="shared" si="21"/>
        <v>-20.959058490950628</v>
      </c>
      <c r="AD86" s="6">
        <f>_xll.BDP(U86,"CHG_PCT_5D")</f>
        <v>-0.38834950000000001</v>
      </c>
      <c r="AE86" s="6">
        <f>_xll.BDP(U86,"CHG_PCT_1M")</f>
        <v>14.829319999999999</v>
      </c>
      <c r="AF86" s="6">
        <f>_xll.BDP(U86,"CHG_PCT_3M")</f>
        <v>4.2682929999999999</v>
      </c>
      <c r="AG86" s="6">
        <f>_xll.BDP(U86,"CHG_PCT_6M")</f>
        <v>3.951368</v>
      </c>
      <c r="AH86" s="6">
        <f>_xll.BDP(U86,"PR064")</f>
        <v>4.2682929999999999</v>
      </c>
      <c r="AI86" s="6">
        <f>_xll.BDP(U86,"CHG_PCT_1YR")</f>
        <v>-3.661972</v>
      </c>
      <c r="AJ86" s="6" t="str">
        <f>_xll.BDP(U86,"INTERVAL_HIGH", "MARKET_DATA_OVERRIDE=PE_RATIO", "CALC_INTERVAL=5y", "BEST_FPERIOD_OVERRIDE=BF")</f>
        <v>#N/A N/A</v>
      </c>
      <c r="AK86" s="6" t="str">
        <f>_xll.BDP(U86,"INTERVAL_Low", "MARKET_DATA_OVERRIDE=PE_RATIO", "CALC_INTERVAL=5y", "BEST_FPERIOD_OVERRIDE=BF")</f>
        <v>#N/A N/A</v>
      </c>
      <c r="AL86" s="6" t="str">
        <f>_xll.BDP(U86,"PE_RATIO")</f>
        <v>#N/A Field Not Applicable</v>
      </c>
      <c r="AM86" s="43" t="str">
        <f t="shared" si="22"/>
        <v/>
      </c>
      <c r="AN86" s="9"/>
      <c r="AO86" s="9" t="s">
        <v>682</v>
      </c>
      <c r="AP86" s="10">
        <f>_xll.BDP("TSM Equity","PX_LAST")</f>
        <v>46.46</v>
      </c>
      <c r="AQ86" s="10">
        <f>_xll.BDP("TSM Equity","CHG_PCT_1D")</f>
        <v>3.2215060000000002</v>
      </c>
      <c r="AR86" s="10">
        <f>_xll.BDP("TSM Equity","HIGH_52WEEK")</f>
        <v>46.51</v>
      </c>
      <c r="AS86" s="10">
        <f>LN(AR86/AP86)*100</f>
        <v>0.10756158937424096</v>
      </c>
      <c r="AT86" s="10">
        <f>_xll.BDP("TSM Equity","LOW_52WEEK")</f>
        <v>34.214500000000001</v>
      </c>
      <c r="AU86" s="10">
        <f t="shared" ref="AU86:AU89" si="25">LN(AT86/AP86)*100</f>
        <v>-30.594219651820254</v>
      </c>
      <c r="AV86" s="10">
        <f>ADR!D4</f>
        <v>268</v>
      </c>
      <c r="AW86" s="10">
        <f>AP86*AP69/5</f>
        <v>288.42367999999999</v>
      </c>
      <c r="AX86" s="13">
        <f>(AW86-AV86)/AV86</f>
        <v>7.6207761194029819E-2</v>
      </c>
      <c r="AY86" s="10">
        <f>_xll.BDP("TSM Equity","PX_VOLUME")*5/_xll.BDP("2330 TT Equity","PX_VOLUME")</f>
        <v>2.326285759275867</v>
      </c>
      <c r="AZ86" s="13">
        <f>ADR!H1</f>
        <v>4.4168798364155423E-2</v>
      </c>
      <c r="BA86" s="13">
        <f>AX86-AZ86</f>
        <v>3.2038962829874396E-2</v>
      </c>
    </row>
    <row r="87" spans="1:53" x14ac:dyDescent="0.25">
      <c r="A87" t="s">
        <v>420</v>
      </c>
      <c r="B87" s="5" t="s">
        <v>758</v>
      </c>
      <c r="C87" s="5" t="str">
        <f>_xll.BDP(A87,"DS003")</f>
        <v>TA</v>
      </c>
      <c r="D87" s="6">
        <f>_xll.BDP(A87,"PX_LAST")</f>
        <v>170.47</v>
      </c>
      <c r="E87" s="6">
        <f>_xll.BDP(A87,"CHG_PCT_1D")</f>
        <v>-0.49033919999999998</v>
      </c>
      <c r="F87" s="6">
        <f>_xll.BDP(A87,"HIGH_52WEEK")</f>
        <v>189.95</v>
      </c>
      <c r="G87" s="6">
        <f t="shared" si="17"/>
        <v>10.820155147080111</v>
      </c>
      <c r="H87" s="6">
        <f>_xll.BDP(A87,"LOW_52WEEK")</f>
        <v>147.51</v>
      </c>
      <c r="I87" s="6">
        <f t="shared" si="18"/>
        <v>-14.466335807087582</v>
      </c>
      <c r="J87" s="6">
        <f>_xll.BDP(A87,"CHG_PCT_5D")</f>
        <v>0.43598910000000002</v>
      </c>
      <c r="K87" s="6">
        <f>_xll.BDP(A87,"CHG_PCT_1M")</f>
        <v>4.756348</v>
      </c>
      <c r="L87" s="6">
        <f>_xll.BDP(A87,"CHG_PCT_3M")</f>
        <v>0.90564619999999996</v>
      </c>
      <c r="M87" s="6">
        <f>_xll.BDP(A87,"CHG_PCT_6M")</f>
        <v>-4.6214930000000001</v>
      </c>
      <c r="N87" s="6">
        <f>_xll.BDP(A87,"PR064")</f>
        <v>0.90564619999999996</v>
      </c>
      <c r="O87" s="6">
        <f>_xll.BDP(A87,"CHG_PCT_1YR")</f>
        <v>-4.364655</v>
      </c>
      <c r="P87" s="6">
        <f>_xll.BDP(A87,"INTERVAL_HIGH", "MARKET_DATA_OVERRIDE=PE_RATIO", "CALC_INTERVAL=5y", "BEST_FPERIOD_OVERRIDE=BF")</f>
        <v>36.387525932818207</v>
      </c>
      <c r="Q87" s="6">
        <f>_xll.BDP(A87,"INTERVAL_Low", "MARKET_DATA_OVERRIDE=PE_RATIO", "CALC_INTERVAL=5y", "BEST_FPERIOD_OVERRIDE=BF")</f>
        <v>15.300060221431234</v>
      </c>
      <c r="R87" s="6">
        <f>_xll.BDP(A87,"PE_RATIO")</f>
        <v>35.361954292795829</v>
      </c>
      <c r="S87" s="43">
        <f t="shared" si="19"/>
        <v>0.95136581825152267</v>
      </c>
      <c r="T87" s="6">
        <f>_xll.BDP(A87,"RR902")</f>
        <v>482918666062.81195</v>
      </c>
      <c r="U87" s="5" t="s">
        <v>582</v>
      </c>
      <c r="V87" s="5" t="s">
        <v>855</v>
      </c>
      <c r="W87" s="5" t="str">
        <f>_xll.BDP(U87,"DS003")</f>
        <v>TA</v>
      </c>
      <c r="X87" s="6">
        <f>_xll.BDP(U87,"PX_LAST")</f>
        <v>268</v>
      </c>
      <c r="Y87" s="6">
        <f>_xll.BDP(U87,"CHG_PCT_1D")</f>
        <v>0.75187970000000004</v>
      </c>
      <c r="Z87" s="6">
        <f>_xll.BDP(U87,"HIGH_52WEEK")</f>
        <v>270</v>
      </c>
      <c r="AA87" s="6">
        <f t="shared" si="20"/>
        <v>0.74349784875179903</v>
      </c>
      <c r="AB87" s="6">
        <f>_xll.BDP(U87,"LOW_52WEEK")</f>
        <v>206.5</v>
      </c>
      <c r="AC87" s="6">
        <f t="shared" si="21"/>
        <v>-26.068656810976918</v>
      </c>
      <c r="AD87" s="6">
        <f>_xll.BDP(U87,"CHG_PCT_5D")</f>
        <v>1.1320749999999999</v>
      </c>
      <c r="AE87" s="6">
        <f>_xll.BDP(U87,"CHG_PCT_1M")</f>
        <v>7.2</v>
      </c>
      <c r="AF87" s="6">
        <f>_xll.BDP(U87,"CHG_PCT_3M")</f>
        <v>11.43451</v>
      </c>
      <c r="AG87" s="6">
        <f>_xll.BDP(U87,"CHG_PCT_6M")</f>
        <v>10.97308</v>
      </c>
      <c r="AH87" s="6">
        <f>_xll.BDP(U87,"PR064")</f>
        <v>11.43451</v>
      </c>
      <c r="AI87" s="6">
        <f>_xll.BDP(U87,"CHG_PCT_1YR")</f>
        <v>1.1320749999999999</v>
      </c>
      <c r="AJ87" s="6">
        <f>_xll.BDP(U87,"INTERVAL_HIGH", "MARKET_DATA_OVERRIDE=PE_RATIO", "CALC_INTERVAL=5y", "BEST_FPERIOD_OVERRIDE=BF")</f>
        <v>21.902820617451958</v>
      </c>
      <c r="AK87" s="6">
        <f>_xll.BDP(U87,"INTERVAL_Low", "MARKET_DATA_OVERRIDE=PE_RATIO", "CALC_INTERVAL=5y", "BEST_FPERIOD_OVERRIDE=BF")</f>
        <v>8.1789630900333581</v>
      </c>
      <c r="AL87" s="6">
        <f>_xll.BDP(U87,"PE_RATIO")</f>
        <v>21.902820617451958</v>
      </c>
      <c r="AM87" s="43">
        <f t="shared" si="22"/>
        <v>1</v>
      </c>
      <c r="AN87" s="9"/>
      <c r="AO87" s="9" t="s">
        <v>683</v>
      </c>
      <c r="AP87" s="10">
        <f>_xll.BDP("EWT US Equity","PX_LAST")</f>
        <v>36.43</v>
      </c>
      <c r="AQ87" s="10">
        <f>ROUND(_xll.BDP("EWT US Equity","CHG_PCT_1D"),1)/100</f>
        <v>3.0000000000000001E-3</v>
      </c>
      <c r="AR87" s="10">
        <f>_xll.BDP("EWT US Equity","HIGH_52WEEK")</f>
        <v>37.94</v>
      </c>
      <c r="AS87" s="10">
        <f t="shared" ref="AS87:AS89" si="26">LN(AR87/AP87)*100</f>
        <v>4.0613353486395622</v>
      </c>
      <c r="AT87" s="10">
        <f>_xll.BDP("EWT US Equity","LOW_52WEEK")</f>
        <v>30.22</v>
      </c>
      <c r="AU87" s="10">
        <f t="shared" si="25"/>
        <v>-18.688865417587895</v>
      </c>
      <c r="AV87" s="41">
        <f>_xll.BDP("NDEUSTW Index","PX_LAST")</f>
        <v>320.81659999999999</v>
      </c>
      <c r="AW87" s="10"/>
      <c r="AX87" s="14" t="str">
        <f>ROUND(_xll.BDP("EWT US Equity","FUND_PCT_PREMIUM"),1) &amp; "%"</f>
        <v>-0.1%</v>
      </c>
      <c r="AY87" s="10"/>
      <c r="AZ87" s="13"/>
      <c r="BA87" s="13"/>
    </row>
    <row r="88" spans="1:53" x14ac:dyDescent="0.25">
      <c r="A88" t="s">
        <v>414</v>
      </c>
      <c r="B88" s="5" t="s">
        <v>745</v>
      </c>
      <c r="C88" s="5" t="str">
        <f>_xll.BDP(A88,"DS003")</f>
        <v>TA</v>
      </c>
      <c r="D88" s="6">
        <f>_xll.BDP(A88,"PX_LAST")</f>
        <v>157.91</v>
      </c>
      <c r="E88" s="6">
        <f>_xll.BDP(A88,"CHG_PCT_1D")</f>
        <v>0.52199379999999995</v>
      </c>
      <c r="F88" s="6">
        <f>_xll.BDP(A88,"HIGH_52WEEK")</f>
        <v>172.45</v>
      </c>
      <c r="G88" s="6">
        <f t="shared" si="17"/>
        <v>8.808208890429805</v>
      </c>
      <c r="H88" s="6">
        <f>_xll.BDP(A88,"LOW_52WEEK")</f>
        <v>119.37</v>
      </c>
      <c r="I88" s="6">
        <f t="shared" si="18"/>
        <v>-27.979733737160473</v>
      </c>
      <c r="J88" s="6">
        <f>_xll.BDP(A88,"CHG_PCT_5D")</f>
        <v>0.13951269999999999</v>
      </c>
      <c r="K88" s="6">
        <f>_xll.BDP(A88,"CHG_PCT_1M")</f>
        <v>5.2031960000000002</v>
      </c>
      <c r="L88" s="6">
        <f>_xll.BDP(A88,"CHG_PCT_3M")</f>
        <v>-8.0046549999999996</v>
      </c>
      <c r="M88" s="6">
        <f>_xll.BDP(A88,"CHG_PCT_6M")</f>
        <v>7.2976869999999998</v>
      </c>
      <c r="N88" s="6">
        <f>_xll.BDP(A88,"PR064")</f>
        <v>-8.0046549999999996</v>
      </c>
      <c r="O88" s="6">
        <f>_xll.BDP(A88,"CHG_PCT_1YR")</f>
        <v>6.8258669999999997</v>
      </c>
      <c r="P88" s="6">
        <f>_xll.BDP(A88,"INTERVAL_HIGH", "MARKET_DATA_OVERRIDE=PE_RATIO", "CALC_INTERVAL=5y", "BEST_FPERIOD_OVERRIDE=BF")</f>
        <v>30.420736494767642</v>
      </c>
      <c r="Q88" s="6">
        <f>_xll.BDP(A88,"INTERVAL_Low", "MARKET_DATA_OVERRIDE=PE_RATIO", "CALC_INTERVAL=5y", "BEST_FPERIOD_OVERRIDE=BF")</f>
        <v>9.012971332743744</v>
      </c>
      <c r="R88" s="6">
        <f>_xll.BDP(A88,"PE_RATIO")</f>
        <v>10.495640357530148</v>
      </c>
      <c r="S88" s="43">
        <f t="shared" si="19"/>
        <v>6.9258468297128478E-2</v>
      </c>
      <c r="T88" s="6">
        <f>_xll.BDP(A88,"RR902")</f>
        <v>409029929426.96198</v>
      </c>
      <c r="U88" t="s">
        <v>700</v>
      </c>
      <c r="V88" s="5" t="s">
        <v>856</v>
      </c>
      <c r="W88" s="5" t="str">
        <f>_xll.BDP(U88,"DS003")</f>
        <v>CH</v>
      </c>
      <c r="X88" s="6">
        <f>_xll.BDP(U88,"PX_LAST")</f>
        <v>88.35</v>
      </c>
      <c r="Y88" s="6">
        <f>_xll.BDP(U88,"CHG_PCT_1D")</f>
        <v>-0.48434329999999998</v>
      </c>
      <c r="Z88" s="6">
        <f>_xll.BDP(U88,"HIGH_52WEEK")</f>
        <v>92.5</v>
      </c>
      <c r="AA88" s="6">
        <f t="shared" si="20"/>
        <v>4.5902445752674206</v>
      </c>
      <c r="AB88" s="6">
        <f>_xll.BDP(U88,"LOW_52WEEK")</f>
        <v>54.94</v>
      </c>
      <c r="AC88" s="6">
        <f t="shared" si="21"/>
        <v>-47.506451809857758</v>
      </c>
      <c r="AD88" s="6">
        <f>_xll.BDP(U88,"CHG_PCT_5D")</f>
        <v>-1.395089</v>
      </c>
      <c r="AE88" s="6">
        <f>_xll.BDP(U88,"CHG_PCT_1M")</f>
        <v>0.76414199999999999</v>
      </c>
      <c r="AF88" s="6">
        <f>_xll.BDP(U88,"CHG_PCT_3M")</f>
        <v>0.34071200000000001</v>
      </c>
      <c r="AG88" s="6">
        <f>_xll.BDP(U88,"CHG_PCT_6M")</f>
        <v>19.037990000000001</v>
      </c>
      <c r="AH88" s="6">
        <f>_xll.BDP(U88,"PR064")</f>
        <v>0.34071200000000001</v>
      </c>
      <c r="AI88" s="6">
        <f>_xll.BDP(U88,"CHG_PCT_1YR")</f>
        <v>31.473220000000001</v>
      </c>
      <c r="AJ88" s="6">
        <f>_xll.BDP(U88,"INTERVAL_HIGH", "MARKET_DATA_OVERRIDE=PE_RATIO", "CALC_INTERVAL=5y", "BEST_FPERIOD_OVERRIDE=BF")</f>
        <v>18.383979457747369</v>
      </c>
      <c r="AK88" s="6">
        <f>_xll.BDP(U88,"INTERVAL_Low", "MARKET_DATA_OVERRIDE=PE_RATIO", "CALC_INTERVAL=5y", "BEST_FPERIOD_OVERRIDE=BF")</f>
        <v>7.5767020242197267</v>
      </c>
      <c r="AL88" s="6">
        <f>_xll.BDP(U88,"PE_RATIO")</f>
        <v>10.709242600667316</v>
      </c>
      <c r="AM88" s="43">
        <f t="shared" si="22"/>
        <v>0.28985473869019446</v>
      </c>
      <c r="AN88" s="9"/>
      <c r="AO88" s="9" t="s">
        <v>684</v>
      </c>
      <c r="AP88" s="10">
        <f>_xll.BDP("EWY US Equity","PX_LAST")</f>
        <v>56.51</v>
      </c>
      <c r="AQ88" s="10">
        <f>ROUND(_xll.BDP("EWY US Equity","CHG_PCT_1D"),1)/100</f>
        <v>0</v>
      </c>
      <c r="AR88" s="10">
        <f>_xll.BDP("EWY US Equity","HIGH_52WEEK")</f>
        <v>68.86</v>
      </c>
      <c r="AS88" s="10">
        <f t="shared" si="26"/>
        <v>19.765784426862574</v>
      </c>
      <c r="AT88" s="10">
        <f>_xll.BDP("EWY US Equity","LOW_52WEEK")</f>
        <v>50.72</v>
      </c>
      <c r="AU88" s="10">
        <f t="shared" si="25"/>
        <v>-10.809730351278146</v>
      </c>
      <c r="AV88" s="41">
        <f>_xll.BDP("M1KR2550 Index","PX_LAST")</f>
        <v>9311</v>
      </c>
      <c r="AW88" s="10"/>
      <c r="AX88" s="14" t="str">
        <f>ROUND(_xll.BDP("EWY US Equity","FD018"),1) &amp; "%"</f>
        <v>-0.3%</v>
      </c>
      <c r="AY88" s="10"/>
      <c r="AZ88" s="13"/>
      <c r="BA88" s="13"/>
    </row>
    <row r="89" spans="1:53" x14ac:dyDescent="0.25">
      <c r="A89" t="s">
        <v>416</v>
      </c>
      <c r="B89" s="5" t="s">
        <v>765</v>
      </c>
      <c r="C89" s="5" t="str">
        <f>_xll.BDP(A89,"DS003")</f>
        <v>TA</v>
      </c>
      <c r="D89" s="6">
        <f>_xll.BDP(A89,"PX_LAST")</f>
        <v>272.32</v>
      </c>
      <c r="E89" s="6">
        <f>_xll.BDP(A89,"CHG_PCT_1D")</f>
        <v>0.18025969999999999</v>
      </c>
      <c r="F89" s="6">
        <f>_xll.BDP(A89,"HIGH_52WEEK")</f>
        <v>274.38</v>
      </c>
      <c r="G89" s="6">
        <f t="shared" si="17"/>
        <v>0.75361615130094539</v>
      </c>
      <c r="H89" s="6">
        <f>_xll.BDP(A89,"LOW_52WEEK")</f>
        <v>231.19</v>
      </c>
      <c r="I89" s="6">
        <f t="shared" si="18"/>
        <v>-16.373796211736305</v>
      </c>
      <c r="J89" s="6">
        <f>_xll.BDP(A89,"CHG_PCT_5D")</f>
        <v>1.596773</v>
      </c>
      <c r="K89" s="6">
        <f>_xll.BDP(A89,"CHG_PCT_1M")</f>
        <v>5.5462959999999999</v>
      </c>
      <c r="L89" s="6">
        <f>_xll.BDP(A89,"CHG_PCT_3M")</f>
        <v>7.0566550000000001</v>
      </c>
      <c r="M89" s="6">
        <f>_xll.BDP(A89,"CHG_PCT_6M")</f>
        <v>6.0849219999999997</v>
      </c>
      <c r="N89" s="6">
        <f>_xll.BDP(A89,"PR064")</f>
        <v>7.0566550000000001</v>
      </c>
      <c r="O89" s="6">
        <f>_xll.BDP(A89,"CHG_PCT_1YR")</f>
        <v>-0.4641942</v>
      </c>
      <c r="P89" s="6">
        <f>_xll.BDP(A89,"INTERVAL_HIGH", "MARKET_DATA_OVERRIDE=PE_RATIO", "CALC_INTERVAL=5y", "BEST_FPERIOD_OVERRIDE=BF")</f>
        <v>33.46374097222381</v>
      </c>
      <c r="Q89" s="6">
        <f>_xll.BDP(A89,"INTERVAL_Low", "MARKET_DATA_OVERRIDE=PE_RATIO", "CALC_INTERVAL=5y", "BEST_FPERIOD_OVERRIDE=BF")</f>
        <v>10.486098112803656</v>
      </c>
      <c r="R89" s="6">
        <f>_xll.BDP(A89,"PE_RATIO")</f>
        <v>28.892322578174742</v>
      </c>
      <c r="S89" s="43">
        <f t="shared" si="19"/>
        <v>0.80104928856203705</v>
      </c>
      <c r="T89" s="6">
        <f>_xll.BDP(A89,"RR902")</f>
        <v>308158263367.065</v>
      </c>
      <c r="U89" t="s">
        <v>701</v>
      </c>
      <c r="V89" s="5" t="s">
        <v>857</v>
      </c>
      <c r="W89" s="5" t="str">
        <f>_xll.BDP(U89,"DS003")</f>
        <v>CH</v>
      </c>
      <c r="X89" s="6">
        <f>_xll.BDP(U89,"PX_LAST")</f>
        <v>1167</v>
      </c>
      <c r="Y89" s="6">
        <f>_xll.BDP(U89,"CHG_PCT_1D")</f>
        <v>-0.59625209999999995</v>
      </c>
      <c r="Z89" s="6">
        <f>_xll.BDP(U89,"HIGH_52WEEK")</f>
        <v>1188.8699999999999</v>
      </c>
      <c r="AA89" s="6">
        <f t="shared" si="20"/>
        <v>1.8566922850541463</v>
      </c>
      <c r="AB89" s="6">
        <f>_xll.BDP(U89,"LOW_52WEEK")</f>
        <v>509.02</v>
      </c>
      <c r="AC89" s="6">
        <f t="shared" si="21"/>
        <v>-82.970432377712768</v>
      </c>
      <c r="AD89" s="6">
        <f>_xll.BDP(U89,"CHG_PCT_5D")</f>
        <v>1.921397</v>
      </c>
      <c r="AE89" s="6">
        <f>_xll.BDP(U89,"CHG_PCT_1M")</f>
        <v>5.2299369999999996</v>
      </c>
      <c r="AF89" s="6">
        <f>_xll.BDP(U89,"CHG_PCT_3M")</f>
        <v>17.127520000000001</v>
      </c>
      <c r="AG89" s="6">
        <f>_xll.BDP(U89,"CHG_PCT_6M")</f>
        <v>48.002540000000003</v>
      </c>
      <c r="AH89" s="6">
        <f>_xll.BDP(U89,"PR064")</f>
        <v>17.127520000000001</v>
      </c>
      <c r="AI89" s="6">
        <f>_xll.BDP(U89,"CHG_PCT_1YR")</f>
        <v>61.187849999999997</v>
      </c>
      <c r="AJ89" s="6">
        <f>_xll.BDP(U89,"INTERVAL_HIGH", "MARKET_DATA_OVERRIDE=PE_RATIO", "CALC_INTERVAL=5y", "BEST_FPERIOD_OVERRIDE=BF")</f>
        <v>37.762384786453715</v>
      </c>
      <c r="AK89" s="6">
        <f>_xll.BDP(U89,"INTERVAL_Low", "MARKET_DATA_OVERRIDE=PE_RATIO", "CALC_INTERVAL=5y", "BEST_FPERIOD_OVERRIDE=BF")</f>
        <v>10.627165207409977</v>
      </c>
      <c r="AL89" s="6">
        <f>_xll.BDP(U89,"PE_RATIO")</f>
        <v>37.220188383269836</v>
      </c>
      <c r="AM89" s="43">
        <f t="shared" si="22"/>
        <v>0.98001872062967887</v>
      </c>
      <c r="AN89" s="9"/>
      <c r="AO89" s="9" t="s">
        <v>685</v>
      </c>
      <c r="AP89" s="10">
        <f>_xll.BDP("EEM US Equity","PX_LAST")</f>
        <v>41.17</v>
      </c>
      <c r="AQ89" s="10">
        <f>ROUND(_xll.BDP("EEM US Equity","CHG_PCT_1D"),1)/100</f>
        <v>0</v>
      </c>
      <c r="AR89" s="10">
        <f>_xll.BDP("EEM US Equity","HIGH_52WEEK")</f>
        <v>44.84</v>
      </c>
      <c r="AS89" s="10">
        <f t="shared" si="26"/>
        <v>8.5390762422145929</v>
      </c>
      <c r="AT89" s="10">
        <f>_xll.BDP("EEM US Equity","LOW_52WEEK")</f>
        <v>37.575000000000003</v>
      </c>
      <c r="AU89" s="10">
        <f t="shared" si="25"/>
        <v>-9.1370900142775131</v>
      </c>
      <c r="AV89" s="41">
        <f>_xll.BDP("NDUEEGF Index","PX_LAST")</f>
        <v>475.47399999999999</v>
      </c>
      <c r="AW89" s="10"/>
      <c r="AX89" s="13"/>
      <c r="AY89" s="10"/>
      <c r="AZ89" s="13"/>
      <c r="BA89" s="13"/>
    </row>
    <row r="90" spans="1:53" x14ac:dyDescent="0.25">
      <c r="A90" t="s">
        <v>413</v>
      </c>
      <c r="B90" s="5" t="s">
        <v>746</v>
      </c>
      <c r="C90" s="5" t="str">
        <f>_xll.BDP(A90,"DS003")</f>
        <v>TA</v>
      </c>
      <c r="D90" s="6">
        <f>_xll.BDP(A90,"PX_LAST")</f>
        <v>103.08</v>
      </c>
      <c r="E90" s="6">
        <f>_xll.BDP(A90,"CHG_PCT_1D")</f>
        <v>-0.26124819999999999</v>
      </c>
      <c r="F90" s="6">
        <f>_xll.BDP(A90,"HIGH_52WEEK")</f>
        <v>114.2</v>
      </c>
      <c r="G90" s="6">
        <f t="shared" si="17"/>
        <v>10.244591143774553</v>
      </c>
      <c r="H90" s="6">
        <f>_xll.BDP(A90,"LOW_52WEEK")</f>
        <v>98</v>
      </c>
      <c r="I90" s="6">
        <f t="shared" si="18"/>
        <v>-5.0537907113592375</v>
      </c>
      <c r="J90" s="6">
        <f>_xll.BDP(A90,"CHG_PCT_5D")</f>
        <v>-0.36729079999999997</v>
      </c>
      <c r="K90" s="6">
        <f>_xll.BDP(A90,"CHG_PCT_1M")</f>
        <v>1.797353</v>
      </c>
      <c r="L90" s="6">
        <f>_xll.BDP(A90,"CHG_PCT_3M")</f>
        <v>-5.1963590000000002</v>
      </c>
      <c r="M90" s="6">
        <f>_xll.BDP(A90,"CHG_PCT_6M")</f>
        <v>-4.5908910000000001</v>
      </c>
      <c r="N90" s="6">
        <f>_xll.BDP(A90,"PR064")</f>
        <v>-5.1963590000000002</v>
      </c>
      <c r="O90" s="6">
        <f>_xll.BDP(A90,"CHG_PCT_1YR")</f>
        <v>-7.9067259999999999</v>
      </c>
      <c r="P90" s="6">
        <f>_xll.BDP(A90,"INTERVAL_HIGH", "MARKET_DATA_OVERRIDE=PE_RATIO", "CALC_INTERVAL=5y", "BEST_FPERIOD_OVERRIDE=BF")</f>
        <v>144.09576524899694</v>
      </c>
      <c r="Q90" s="6">
        <f>_xll.BDP(A90,"INTERVAL_Low", "MARKET_DATA_OVERRIDE=PE_RATIO", "CALC_INTERVAL=5y", "BEST_FPERIOD_OVERRIDE=BF")</f>
        <v>10.267243081807322</v>
      </c>
      <c r="R90" s="6">
        <f>_xll.BDP(A90,"PE_RATIO")</f>
        <v>19.203546332625965</v>
      </c>
      <c r="S90" s="43">
        <f t="shared" si="19"/>
        <v>6.6774280296203803E-2</v>
      </c>
      <c r="T90" s="6">
        <f>_xll.BDP(A90,"RR902")</f>
        <v>275858796437.63501</v>
      </c>
      <c r="U90" t="s">
        <v>702</v>
      </c>
      <c r="V90" s="5" t="s">
        <v>858</v>
      </c>
      <c r="W90" s="5" t="str">
        <f>_xll.BDP(U90,"DS003")</f>
        <v>CH</v>
      </c>
      <c r="X90" s="6">
        <f>_xll.BDP(U90,"PX_LAST")</f>
        <v>35.22</v>
      </c>
      <c r="Y90" s="6">
        <f>_xll.BDP(U90,"CHG_PCT_1D")</f>
        <v>2.5327510000000002</v>
      </c>
      <c r="Z90" s="6">
        <f>_xll.BDP(U90,"HIGH_52WEEK")</f>
        <v>38.5</v>
      </c>
      <c r="AA90" s="6">
        <f t="shared" si="20"/>
        <v>8.904413822567852</v>
      </c>
      <c r="AB90" s="6">
        <f>_xll.BDP(U90,"LOW_52WEEK")</f>
        <v>24.38</v>
      </c>
      <c r="AC90" s="6">
        <f t="shared" si="21"/>
        <v>-36.785097901493465</v>
      </c>
      <c r="AD90" s="6">
        <f>_xll.BDP(U90,"CHG_PCT_5D")</f>
        <v>2.057375</v>
      </c>
      <c r="AE90" s="6">
        <f>_xll.BDP(U90,"CHG_PCT_1M")</f>
        <v>1.3525180000000001</v>
      </c>
      <c r="AF90" s="6">
        <f>_xll.BDP(U90,"CHG_PCT_3M")</f>
        <v>-3.3744879999999999</v>
      </c>
      <c r="AG90" s="6">
        <f>_xll.BDP(U90,"CHG_PCT_6M")</f>
        <v>8.7036990000000003</v>
      </c>
      <c r="AH90" s="6">
        <f>_xll.BDP(U90,"PR064")</f>
        <v>-3.3744879999999999</v>
      </c>
      <c r="AI90" s="6">
        <f>_xll.BDP(U90,"CHG_PCT_1YR")</f>
        <v>15.74104</v>
      </c>
      <c r="AJ90" s="6">
        <f>_xll.BDP(U90,"INTERVAL_HIGH", "MARKET_DATA_OVERRIDE=PE_RATIO", "CALC_INTERVAL=5y", "BEST_FPERIOD_OVERRIDE=BF")</f>
        <v>11.817119562972172</v>
      </c>
      <c r="AK90" s="6">
        <f>_xll.BDP(U90,"INTERVAL_Low", "MARKET_DATA_OVERRIDE=PE_RATIO", "CALC_INTERVAL=5y", "BEST_FPERIOD_OVERRIDE=BF")</f>
        <v>3.7292946804538869</v>
      </c>
      <c r="AL90" s="6">
        <f>_xll.BDP(U90,"PE_RATIO")</f>
        <v>10.332603387844941</v>
      </c>
      <c r="AM90" s="43">
        <f t="shared" si="22"/>
        <v>0.81645050471654113</v>
      </c>
      <c r="AN90" s="9"/>
      <c r="AO90" s="16" t="s">
        <v>698</v>
      </c>
      <c r="AP90" s="18" t="s">
        <v>692</v>
      </c>
      <c r="AQ90" s="19" t="s">
        <v>693</v>
      </c>
      <c r="AR90" s="20" t="s">
        <v>686</v>
      </c>
      <c r="AS90" s="21" t="s">
        <v>991</v>
      </c>
      <c r="AT90" s="17" t="s">
        <v>690</v>
      </c>
      <c r="AU90" s="17" t="s">
        <v>691</v>
      </c>
      <c r="AV90" s="9"/>
      <c r="AW90" s="9"/>
      <c r="AX90" s="9"/>
      <c r="AY90" s="9"/>
      <c r="AZ90" s="9"/>
      <c r="BA90" s="9"/>
    </row>
    <row r="91" spans="1:53" x14ac:dyDescent="0.25">
      <c r="A91" t="s">
        <v>418</v>
      </c>
      <c r="B91" s="5" t="s">
        <v>754</v>
      </c>
      <c r="C91" s="5" t="str">
        <f>_xll.BDP(A91,"DS003")</f>
        <v>TA</v>
      </c>
      <c r="D91" s="6">
        <f>_xll.BDP(A91,"PX_LAST")</f>
        <v>114.32</v>
      </c>
      <c r="E91" s="6">
        <f>_xll.BDP(A91,"CHG_PCT_1D")</f>
        <v>-0.27913470000000001</v>
      </c>
      <c r="F91" s="6">
        <f>_xll.BDP(A91,"HIGH_52WEEK")</f>
        <v>119.34</v>
      </c>
      <c r="G91" s="6">
        <f t="shared" si="17"/>
        <v>4.2975028472323862</v>
      </c>
      <c r="H91" s="6">
        <f>_xll.BDP(A91,"LOW_52WEEK")</f>
        <v>99.92</v>
      </c>
      <c r="I91" s="6">
        <f t="shared" si="18"/>
        <v>-13.46316678042896</v>
      </c>
      <c r="J91" s="6">
        <f>_xll.BDP(A91,"CHG_PCT_5D")</f>
        <v>-0.86715200000000003</v>
      </c>
      <c r="K91" s="6">
        <f>_xll.BDP(A91,"CHG_PCT_1M")</f>
        <v>0.90917000000000003</v>
      </c>
      <c r="L91" s="6">
        <f>_xll.BDP(A91,"CHG_PCT_3M")</f>
        <v>-2.5737139999999998</v>
      </c>
      <c r="M91" s="6">
        <f>_xll.BDP(A91,"CHG_PCT_6M")</f>
        <v>-0.53941430000000001</v>
      </c>
      <c r="N91" s="6">
        <f>_xll.BDP(A91,"PR064")</f>
        <v>-2.5737139999999998</v>
      </c>
      <c r="O91" s="6">
        <f>_xll.BDP(A91,"CHG_PCT_1YR")</f>
        <v>-0.6517771</v>
      </c>
      <c r="P91" s="6">
        <f>_xll.BDP(A91,"INTERVAL_HIGH", "MARKET_DATA_OVERRIDE=PE_RATIO", "CALC_INTERVAL=5y", "BEST_FPERIOD_OVERRIDE=BF")</f>
        <v>13.427589275797292</v>
      </c>
      <c r="Q91" s="6">
        <f>_xll.BDP(A91,"INTERVAL_Low", "MARKET_DATA_OVERRIDE=PE_RATIO", "CALC_INTERVAL=5y", "BEST_FPERIOD_OVERRIDE=BF")</f>
        <v>8.2795517106297574</v>
      </c>
      <c r="R91" s="6">
        <f>_xll.BDP(A91,"PE_RATIO")</f>
        <v>10.461526545122599</v>
      </c>
      <c r="S91" s="43">
        <f t="shared" si="19"/>
        <v>0.42384594262801045</v>
      </c>
      <c r="T91" s="6">
        <f>_xll.BDP(A91,"RR902")</f>
        <v>250101565787.647</v>
      </c>
      <c r="U91" t="s">
        <v>703</v>
      </c>
      <c r="V91" s="5" t="s">
        <v>859</v>
      </c>
      <c r="W91" s="5" t="str">
        <f>_xll.BDP(U91,"DS003")</f>
        <v>CH</v>
      </c>
      <c r="X91" s="6">
        <f>_xll.BDP(U91,"PX_LAST")</f>
        <v>57.62</v>
      </c>
      <c r="Y91" s="6">
        <f>_xll.BDP(U91,"CHG_PCT_1D")</f>
        <v>-0.34590110000000002</v>
      </c>
      <c r="Z91" s="6">
        <f>_xll.BDP(U91,"HIGH_52WEEK")</f>
        <v>65.400000000000006</v>
      </c>
      <c r="AA91" s="6">
        <f t="shared" si="20"/>
        <v>12.665252880677071</v>
      </c>
      <c r="AB91" s="6">
        <f>_xll.BDP(U91,"LOW_52WEEK")</f>
        <v>35.35</v>
      </c>
      <c r="AC91" s="6">
        <f t="shared" si="21"/>
        <v>-48.85713373138006</v>
      </c>
      <c r="AD91" s="6">
        <f>_xll.BDP(U91,"CHG_PCT_5D")</f>
        <v>-1.4874339999999999</v>
      </c>
      <c r="AE91" s="6">
        <f>_xll.BDP(U91,"CHG_PCT_1M")</f>
        <v>4.1011769999999999</v>
      </c>
      <c r="AF91" s="6">
        <f>_xll.BDP(U91,"CHG_PCT_3M")</f>
        <v>4.7826849999999999</v>
      </c>
      <c r="AG91" s="6">
        <f>_xll.BDP(U91,"CHG_PCT_6M")</f>
        <v>26.359649999999998</v>
      </c>
      <c r="AH91" s="6">
        <f>_xll.BDP(U91,"PR064")</f>
        <v>4.7826849999999999</v>
      </c>
      <c r="AI91" s="6">
        <f>_xll.BDP(U91,"CHG_PCT_1YR")</f>
        <v>45.799590000000002</v>
      </c>
      <c r="AJ91" s="6">
        <f>_xll.BDP(U91,"INTERVAL_HIGH", "MARKET_DATA_OVERRIDE=PE_RATIO", "CALC_INTERVAL=5y", "BEST_FPERIOD_OVERRIDE=BF")</f>
        <v>14.768067398836882</v>
      </c>
      <c r="AK91" s="6">
        <f>_xll.BDP(U91,"INTERVAL_Low", "MARKET_DATA_OVERRIDE=PE_RATIO", "CALC_INTERVAL=5y", "BEST_FPERIOD_OVERRIDE=BF")</f>
        <v>4.860270795353407</v>
      </c>
      <c r="AL91" s="6">
        <f>_xll.BDP(U91,"PE_RATIO")</f>
        <v>12.768479656054284</v>
      </c>
      <c r="AM91" s="43">
        <f t="shared" si="22"/>
        <v>0.79818038027955018</v>
      </c>
      <c r="AN91" s="9"/>
      <c r="AO91" s="22" t="s">
        <v>687</v>
      </c>
      <c r="AP91" s="15">
        <f>_xll.BDP("dm1 Index","PX_LAST")</f>
        <v>26894</v>
      </c>
      <c r="AQ91" s="15">
        <f>_xll.BDP("dm1 Index","CHG_PCT_1D")</f>
        <v>7.4371560315335417E-3</v>
      </c>
      <c r="AR91" s="23">
        <f>_xll.BDP("dm1 Index","OPEN_INT")</f>
        <v>104644</v>
      </c>
      <c r="AS91" s="24" t="str">
        <f>_xll.BDP("dm1 Index","FUT_LAST_TRADE_DT")</f>
        <v>2019/12/20</v>
      </c>
      <c r="AT91" s="15">
        <f>_xll.BDP("INDU INDEX","PX_LAST")</f>
        <v>26891.119999999999</v>
      </c>
      <c r="AU91" s="15">
        <f>(AP91-AT91)/AT91*100</f>
        <v>1.0709855149212895E-2</v>
      </c>
      <c r="AV91" s="9"/>
      <c r="AW91" s="9"/>
      <c r="AX91" s="9"/>
      <c r="AY91" s="9"/>
      <c r="AZ91" s="9"/>
      <c r="BA91" s="9"/>
    </row>
    <row r="92" spans="1:53" x14ac:dyDescent="0.25">
      <c r="A92" t="s">
        <v>424</v>
      </c>
      <c r="B92" s="5" t="s">
        <v>744</v>
      </c>
      <c r="C92" s="5" t="str">
        <f>_xll.BDP(A92,"DS003")</f>
        <v>TA</v>
      </c>
      <c r="D92" s="6">
        <f>_xll.BDP(A92,"PX_LAST")</f>
        <v>62.85</v>
      </c>
      <c r="E92" s="6">
        <f>_xll.BDP(A92,"CHG_PCT_1D")</f>
        <v>-0.66382169999999996</v>
      </c>
      <c r="F92" s="6">
        <f>_xll.BDP(A92,"HIGH_52WEEK")</f>
        <v>69.17</v>
      </c>
      <c r="G92" s="6">
        <f t="shared" si="17"/>
        <v>9.5816307576236923</v>
      </c>
      <c r="H92" s="6">
        <f>_xll.BDP(A92,"LOW_52WEEK")</f>
        <v>52.12</v>
      </c>
      <c r="I92" s="6">
        <f t="shared" si="18"/>
        <v>-18.720218277961216</v>
      </c>
      <c r="J92" s="6">
        <f>_xll.BDP(A92,"CHG_PCT_5D")</f>
        <v>-0.6795177</v>
      </c>
      <c r="K92" s="6">
        <f>_xll.BDP(A92,"CHG_PCT_1M")</f>
        <v>1.0775140000000001</v>
      </c>
      <c r="L92" s="6">
        <f>_xll.BDP(A92,"CHG_PCT_3M")</f>
        <v>-1.1481650000000001</v>
      </c>
      <c r="M92" s="6">
        <f>_xll.BDP(A92,"CHG_PCT_6M")</f>
        <v>-0.7736054</v>
      </c>
      <c r="N92" s="6">
        <f>_xll.BDP(A92,"PR064")</f>
        <v>-1.1481650000000001</v>
      </c>
      <c r="O92" s="6">
        <f>_xll.BDP(A92,"CHG_PCT_1YR")</f>
        <v>-6.8613</v>
      </c>
      <c r="P92" s="6">
        <f>_xll.BDP(A92,"INTERVAL_HIGH", "MARKET_DATA_OVERRIDE=PE_RATIO", "CALC_INTERVAL=5y", "BEST_FPERIOD_OVERRIDE=BF")</f>
        <v>58.552287764321292</v>
      </c>
      <c r="Q92" s="6">
        <f>_xll.BDP(A92,"INTERVAL_Low", "MARKET_DATA_OVERRIDE=PE_RATIO", "CALC_INTERVAL=5y", "BEST_FPERIOD_OVERRIDE=BF")</f>
        <v>23.322916618352391</v>
      </c>
      <c r="R92" s="6">
        <f>_xll.BDP(A92,"PE_RATIO")</f>
        <v>32.283388855477391</v>
      </c>
      <c r="S92" s="43">
        <f t="shared" si="19"/>
        <v>0.25434664161328058</v>
      </c>
      <c r="T92" s="6">
        <f>_xll.BDP(A92,"RR902")</f>
        <v>242287680447.543</v>
      </c>
      <c r="U92" t="s">
        <v>704</v>
      </c>
      <c r="V92" s="5" t="s">
        <v>860</v>
      </c>
      <c r="W92" s="5" t="str">
        <f>_xll.BDP(U92,"DS003")</f>
        <v>CH</v>
      </c>
      <c r="X92" s="6">
        <f>_xll.BDP(U92,"PX_LAST")</f>
        <v>17.510000000000002</v>
      </c>
      <c r="Y92" s="6">
        <f>_xll.BDP(U92,"CHG_PCT_1D")</f>
        <v>1.0969979999999999</v>
      </c>
      <c r="Z92" s="6">
        <f>_xll.BDP(U92,"HIGH_52WEEK")</f>
        <v>20.66</v>
      </c>
      <c r="AA92" s="6">
        <f t="shared" si="20"/>
        <v>16.542731739373188</v>
      </c>
      <c r="AB92" s="6">
        <f>_xll.BDP(U92,"LOW_52WEEK")</f>
        <v>14.6</v>
      </c>
      <c r="AC92" s="6">
        <f t="shared" si="21"/>
        <v>-18.175061758346985</v>
      </c>
      <c r="AD92" s="6">
        <f>_xll.BDP(U92,"CHG_PCT_5D")</f>
        <v>0.28636879999999998</v>
      </c>
      <c r="AE92" s="6">
        <f>_xll.BDP(U92,"CHG_PCT_1M")</f>
        <v>-4.1598269999999999</v>
      </c>
      <c r="AF92" s="6">
        <f>_xll.BDP(U92,"CHG_PCT_3M")</f>
        <v>-4.5256280000000002</v>
      </c>
      <c r="AG92" s="6">
        <f>_xll.BDP(U92,"CHG_PCT_6M")</f>
        <v>-0.68065319999999996</v>
      </c>
      <c r="AH92" s="6">
        <f>_xll.BDP(U92,"PR064")</f>
        <v>-4.5256280000000002</v>
      </c>
      <c r="AI92" s="6">
        <f>_xll.BDP(U92,"CHG_PCT_1YR")</f>
        <v>11.956519999999999</v>
      </c>
      <c r="AJ92" s="6">
        <f>_xll.BDP(U92,"INTERVAL_HIGH", "MARKET_DATA_OVERRIDE=PE_RATIO", "CALC_INTERVAL=5y", "BEST_FPERIOD_OVERRIDE=BF")</f>
        <v>6.9339805487872956</v>
      </c>
      <c r="AK92" s="6">
        <f>_xll.BDP(U92,"INTERVAL_Low", "MARKET_DATA_OVERRIDE=PE_RATIO", "CALC_INTERVAL=5y", "BEST_FPERIOD_OVERRIDE=BF")</f>
        <v>3.4192282398897191</v>
      </c>
      <c r="AL92" s="6">
        <f>_xll.BDP(U92,"PE_RATIO")</f>
        <v>5.9320159906557492</v>
      </c>
      <c r="AM92" s="43">
        <f t="shared" si="22"/>
        <v>0.71492598337724156</v>
      </c>
      <c r="AN92" s="9"/>
      <c r="AO92" s="22" t="s">
        <v>688</v>
      </c>
      <c r="AP92" s="15">
        <f>_xll.BDP("ES1 Index","PX_LAST")</f>
        <v>2981</v>
      </c>
      <c r="AQ92" s="15">
        <f>_xll.BDP("ES1 Index","CHG_PCT_1D")</f>
        <v>1.6775708773695688E-2</v>
      </c>
      <c r="AR92" s="23">
        <f>_xll.BDP("ES1 Index","OPEN_INT")</f>
        <v>2454854</v>
      </c>
      <c r="AS92" s="24" t="str">
        <f>_xll.BDP("ES1 Index","FUT_LAST_TRADE_DT")</f>
        <v>2019/12/20</v>
      </c>
      <c r="AT92" s="15">
        <f>_xll.BDP("SPX INDEX","PX_LAST")</f>
        <v>2977.62</v>
      </c>
      <c r="AU92" s="15">
        <f t="shared" ref="AU92:AU95" si="27">(AP92-AT92)/AT92*100</f>
        <v>0.11351347720663178</v>
      </c>
      <c r="AV92" s="5"/>
      <c r="AW92" s="5"/>
      <c r="AX92" s="5"/>
      <c r="AY92" s="9"/>
      <c r="AZ92" s="9"/>
      <c r="BA92" s="9"/>
    </row>
    <row r="93" spans="1:53" x14ac:dyDescent="0.25">
      <c r="A93" t="s">
        <v>422</v>
      </c>
      <c r="B93" s="5" t="s">
        <v>769</v>
      </c>
      <c r="C93" s="5" t="str">
        <f>_xll.BDP(A93,"DS003")</f>
        <v>TA</v>
      </c>
      <c r="D93" s="6">
        <f>_xll.BDP(A93,"PX_LAST")</f>
        <v>100.97</v>
      </c>
      <c r="E93" s="6">
        <f>_xll.BDP(A93,"CHG_PCT_1D")</f>
        <v>-0.60051189999999999</v>
      </c>
      <c r="F93" s="6">
        <f>_xll.BDP(A93,"HIGH_52WEEK")</f>
        <v>112.78</v>
      </c>
      <c r="G93" s="6">
        <f t="shared" si="17"/>
        <v>11.061557536280644</v>
      </c>
      <c r="H93" s="6">
        <f>_xll.BDP(A93,"LOW_52WEEK")</f>
        <v>95.44</v>
      </c>
      <c r="I93" s="6">
        <f t="shared" si="18"/>
        <v>-5.6325665226569015</v>
      </c>
      <c r="J93" s="6">
        <f>_xll.BDP(A93,"CHG_PCT_5D")</f>
        <v>1.5488280000000001</v>
      </c>
      <c r="K93" s="6">
        <f>_xll.BDP(A93,"CHG_PCT_1M")</f>
        <v>3.2307570000000001</v>
      </c>
      <c r="L93" s="6">
        <f>_xll.BDP(A93,"CHG_PCT_3M")</f>
        <v>-5.9782089999999997</v>
      </c>
      <c r="M93" s="6">
        <f>_xll.BDP(A93,"CHG_PCT_6M")</f>
        <v>-1.2711410000000001</v>
      </c>
      <c r="N93" s="6">
        <f>_xll.BDP(A93,"PR064")</f>
        <v>-5.9782089999999997</v>
      </c>
      <c r="O93" s="6">
        <f>_xll.BDP(A93,"CHG_PCT_1YR")</f>
        <v>-7.7899529999999997</v>
      </c>
      <c r="P93" s="6">
        <f>_xll.BDP(A93,"INTERVAL_HIGH", "MARKET_DATA_OVERRIDE=PE_RATIO", "CALC_INTERVAL=5y", "BEST_FPERIOD_OVERRIDE=BF")</f>
        <v>33.698015082546384</v>
      </c>
      <c r="Q93" s="6">
        <f>_xll.BDP(A93,"INTERVAL_Low", "MARKET_DATA_OVERRIDE=PE_RATIO", "CALC_INTERVAL=5y", "BEST_FPERIOD_OVERRIDE=BF")</f>
        <v>17.010047453753256</v>
      </c>
      <c r="R93" s="6">
        <f>_xll.BDP(A93,"PE_RATIO")</f>
        <v>19.51518793005069</v>
      </c>
      <c r="S93" s="43">
        <f t="shared" si="19"/>
        <v>0.15011657093432448</v>
      </c>
      <c r="T93" s="6">
        <f>_xll.BDP(A93,"RR902")</f>
        <v>129288871430.20599</v>
      </c>
      <c r="U93" t="s">
        <v>705</v>
      </c>
      <c r="V93" s="5" t="s">
        <v>861</v>
      </c>
      <c r="W93" s="5" t="str">
        <f>_xll.BDP(U93,"DS003")</f>
        <v>CH</v>
      </c>
      <c r="X93" s="6">
        <f>_xll.BDP(U93,"PX_LAST")</f>
        <v>134.1</v>
      </c>
      <c r="Y93" s="6">
        <f>_xll.BDP(U93,"CHG_PCT_1D")</f>
        <v>-1.7870220000000001</v>
      </c>
      <c r="Z93" s="6">
        <f>_xll.BDP(U93,"HIGH_52WEEK")</f>
        <v>143.1</v>
      </c>
      <c r="AA93" s="6">
        <f t="shared" si="20"/>
        <v>6.4957896274772287</v>
      </c>
      <c r="AB93" s="6">
        <f>_xll.BDP(U93,"LOW_52WEEK")</f>
        <v>46.06</v>
      </c>
      <c r="AC93" s="6">
        <f t="shared" si="21"/>
        <v>-106.86408958950938</v>
      </c>
      <c r="AD93" s="6">
        <f>_xll.BDP(U93,"CHG_PCT_5D")</f>
        <v>-0.60776759999999996</v>
      </c>
      <c r="AE93" s="6">
        <f>_xll.BDP(U93,"CHG_PCT_1M")</f>
        <v>1.2992859999999999</v>
      </c>
      <c r="AF93" s="6">
        <f>_xll.BDP(U93,"CHG_PCT_3M")</f>
        <v>14.32225</v>
      </c>
      <c r="AG93" s="6">
        <f>_xll.BDP(U93,"CHG_PCT_6M")</f>
        <v>52.420999999999999</v>
      </c>
      <c r="AH93" s="6">
        <f>_xll.BDP(U93,"PR064")</f>
        <v>14.32225</v>
      </c>
      <c r="AI93" s="6">
        <f>_xll.BDP(U93,"CHG_PCT_1YR")</f>
        <v>99.05001</v>
      </c>
      <c r="AJ93" s="6">
        <f>_xll.BDP(U93,"INTERVAL_HIGH", "MARKET_DATA_OVERRIDE=PE_RATIO", "CALC_INTERVAL=5y", "BEST_FPERIOD_OVERRIDE=BF")</f>
        <v>35.286706667717802</v>
      </c>
      <c r="AK93" s="6">
        <f>_xll.BDP(U93,"INTERVAL_Low", "MARKET_DATA_OVERRIDE=PE_RATIO", "CALC_INTERVAL=5y", "BEST_FPERIOD_OVERRIDE=BF")</f>
        <v>10.258389889458458</v>
      </c>
      <c r="AL93" s="6">
        <f>_xll.BDP(U93,"PE_RATIO")</f>
        <v>33.34940855249787</v>
      </c>
      <c r="AM93" s="43">
        <f t="shared" si="22"/>
        <v>0.92259574895173335</v>
      </c>
      <c r="AN93" s="9"/>
      <c r="AO93" s="22" t="s">
        <v>689</v>
      </c>
      <c r="AP93" s="15">
        <f>_xll.BDP("NQ1 Index","PX_LAST")</f>
        <v>7787</v>
      </c>
      <c r="AQ93" s="15">
        <f>_xll.BDP("NQ1 Index","CHG_PCT_1D")</f>
        <v>-3.2103759350219909E-3</v>
      </c>
      <c r="AR93" s="23">
        <f>_xll.BDP("NQ1 Index","OPEN_INT")</f>
        <v>202601</v>
      </c>
      <c r="AS93" s="24" t="str">
        <f>_xll.BDP("NQ1 Index","FUT_LAST_TRADE_DT")</f>
        <v>2019/12/20</v>
      </c>
      <c r="AT93" s="15">
        <f>_xll.BDP("NDX INDEX","PX_LAST")</f>
        <v>7771.9920000000002</v>
      </c>
      <c r="AU93" s="15">
        <f t="shared" si="27"/>
        <v>0.19310364704441038</v>
      </c>
      <c r="AV93" s="5"/>
      <c r="AW93" s="5"/>
      <c r="AX93" s="5"/>
      <c r="AY93" s="9"/>
      <c r="AZ93" s="9"/>
      <c r="BA93" s="9"/>
    </row>
    <row r="94" spans="1:53" x14ac:dyDescent="0.25">
      <c r="A94" t="s">
        <v>421</v>
      </c>
      <c r="B94" s="5" t="s">
        <v>751</v>
      </c>
      <c r="C94" s="5" t="str">
        <f>_xll.BDP(A94,"DS003")</f>
        <v>TA</v>
      </c>
      <c r="D94" s="6">
        <f>_xll.BDP(A94,"PX_LAST")</f>
        <v>45.99</v>
      </c>
      <c r="E94" s="6">
        <f>_xll.BDP(A94,"CHG_PCT_1D")</f>
        <v>0.52459020000000001</v>
      </c>
      <c r="F94" s="6">
        <f>_xll.BDP(A94,"HIGH_52WEEK")</f>
        <v>55.22</v>
      </c>
      <c r="G94" s="6">
        <f t="shared" si="17"/>
        <v>18.290122495017577</v>
      </c>
      <c r="H94" s="6">
        <f>_xll.BDP(A94,"LOW_52WEEK")</f>
        <v>41.91</v>
      </c>
      <c r="I94" s="6">
        <f t="shared" si="18"/>
        <v>-9.2899519614852419</v>
      </c>
      <c r="J94" s="6">
        <f>_xll.BDP(A94,"CHG_PCT_5D")</f>
        <v>0.152443</v>
      </c>
      <c r="K94" s="6">
        <f>_xll.BDP(A94,"CHG_PCT_1M")</f>
        <v>5.5300589999999996</v>
      </c>
      <c r="L94" s="6">
        <f>_xll.BDP(A94,"CHG_PCT_3M")</f>
        <v>-0.17364450000000001</v>
      </c>
      <c r="M94" s="6">
        <f>_xll.BDP(A94,"CHG_PCT_6M")</f>
        <v>-8.2951149999999991</v>
      </c>
      <c r="N94" s="6">
        <f>_xll.BDP(A94,"PR064")</f>
        <v>-0.17364450000000001</v>
      </c>
      <c r="O94" s="6">
        <f>_xll.BDP(A94,"CHG_PCT_1YR")</f>
        <v>-14.88062</v>
      </c>
      <c r="P94" s="6">
        <f>_xll.BDP(A94,"INTERVAL_HIGH", "MARKET_DATA_OVERRIDE=PE_RATIO", "CALC_INTERVAL=5y", "BEST_FPERIOD_OVERRIDE=BF")</f>
        <v>51.866206373208911</v>
      </c>
      <c r="Q94" s="6">
        <f>_xll.BDP(A94,"INTERVAL_Low", "MARKET_DATA_OVERRIDE=PE_RATIO", "CALC_INTERVAL=5y", "BEST_FPERIOD_OVERRIDE=BF")</f>
        <v>6.4405724378755638</v>
      </c>
      <c r="R94" s="6">
        <f>_xll.BDP(A94,"PE_RATIO")</f>
        <v>11.377928937498091</v>
      </c>
      <c r="S94" s="43">
        <f t="shared" si="19"/>
        <v>0.10869097625915818</v>
      </c>
      <c r="T94" s="6">
        <f>_xll.BDP(A94,"RR902")</f>
        <v>102285600141.099</v>
      </c>
      <c r="U94" t="s">
        <v>706</v>
      </c>
      <c r="V94" s="5" t="s">
        <v>862</v>
      </c>
      <c r="W94" s="5" t="str">
        <f>_xll.BDP(U94,"DS003")</f>
        <v>CH</v>
      </c>
      <c r="X94" s="6">
        <f>_xll.BDP(U94,"PX_LAST")</f>
        <v>22.72</v>
      </c>
      <c r="Y94" s="6">
        <f>_xll.BDP(U94,"CHG_PCT_1D")</f>
        <v>-0.61242339999999995</v>
      </c>
      <c r="Z94" s="6">
        <f>_xll.BDP(U94,"HIGH_52WEEK")</f>
        <v>27.88</v>
      </c>
      <c r="AA94" s="6">
        <f t="shared" si="20"/>
        <v>20.466399203937254</v>
      </c>
      <c r="AB94" s="6">
        <f>_xll.BDP(U94,"LOW_52WEEK")</f>
        <v>14.72</v>
      </c>
      <c r="AC94" s="6">
        <f t="shared" si="21"/>
        <v>-43.403848055222042</v>
      </c>
      <c r="AD94" s="6">
        <f>_xll.BDP(U94,"CHG_PCT_5D")</f>
        <v>-3.6880030000000001</v>
      </c>
      <c r="AE94" s="6">
        <f>_xll.BDP(U94,"CHG_PCT_1M")</f>
        <v>-0.21958920000000001</v>
      </c>
      <c r="AF94" s="6">
        <f>_xll.BDP(U94,"CHG_PCT_3M")</f>
        <v>-5.0167229999999998</v>
      </c>
      <c r="AG94" s="6">
        <f>_xll.BDP(U94,"CHG_PCT_6M")</f>
        <v>-1.088373</v>
      </c>
      <c r="AH94" s="6">
        <f>_xll.BDP(U94,"PR064")</f>
        <v>-5.0167229999999998</v>
      </c>
      <c r="AI94" s="6">
        <f>_xll.BDP(U94,"CHG_PCT_1YR")</f>
        <v>37.44706</v>
      </c>
      <c r="AJ94" s="6">
        <f>_xll.BDP(U94,"INTERVAL_HIGH", "MARKET_DATA_OVERRIDE=PE_RATIO", "CALC_INTERVAL=5y", "BEST_FPERIOD_OVERRIDE=BF")</f>
        <v>41.85208932261154</v>
      </c>
      <c r="AK94" s="6">
        <f>_xll.BDP(U94,"INTERVAL_Low", "MARKET_DATA_OVERRIDE=PE_RATIO", "CALC_INTERVAL=5y", "BEST_FPERIOD_OVERRIDE=BF")</f>
        <v>6.6343354103146472</v>
      </c>
      <c r="AL94" s="6">
        <f>_xll.BDP(U94,"PE_RATIO")</f>
        <v>26.988179976663886</v>
      </c>
      <c r="AM94" s="43">
        <f t="shared" si="22"/>
        <v>0.57794272221438681</v>
      </c>
      <c r="AN94" s="9"/>
      <c r="AO94" s="22" t="s">
        <v>694</v>
      </c>
      <c r="AP94" s="15">
        <f>_xll.BDP("xu1 elec Index","PX_LAST")</f>
        <v>13692.5</v>
      </c>
      <c r="AQ94" s="15">
        <f>(AP94-AP96)/AP96*100</f>
        <v>-0.23679417122040072</v>
      </c>
      <c r="AR94" s="23">
        <f>_xll.BDP("xu1 elec Index","OPEN_INT")</f>
        <v>121989</v>
      </c>
      <c r="AS94" s="24" t="str">
        <f>_xll.BDP("xu1 elec Index","FUT_LAST_TRADE_DT")</f>
        <v>2019/9/27</v>
      </c>
      <c r="AT94" s="15">
        <f>_xll.BDP("XIN9I INDEX","PX_LAST")</f>
        <v>13712.56</v>
      </c>
      <c r="AU94" s="15">
        <f t="shared" si="27"/>
        <v>-0.14628924139620531</v>
      </c>
      <c r="AV94" s="5"/>
      <c r="AW94" s="5"/>
      <c r="AX94" s="5"/>
      <c r="AY94" s="9"/>
      <c r="AZ94" s="9"/>
      <c r="BA94" s="9"/>
    </row>
    <row r="95" spans="1:53" x14ac:dyDescent="0.25">
      <c r="A95" t="s">
        <v>423</v>
      </c>
      <c r="B95" s="5" t="s">
        <v>764</v>
      </c>
      <c r="C95" s="5" t="str">
        <f>_xll.BDP(A95,"DS003")</f>
        <v>TA</v>
      </c>
      <c r="D95" s="6">
        <f>_xll.BDP(A95,"PX_LAST")</f>
        <v>183.97</v>
      </c>
      <c r="E95" s="6">
        <f>_xll.BDP(A95,"CHG_PCT_1D")</f>
        <v>-0.1953019</v>
      </c>
      <c r="F95" s="6">
        <f>_xll.BDP(A95,"HIGH_52WEEK")</f>
        <v>226.09</v>
      </c>
      <c r="G95" s="6">
        <f t="shared" si="17"/>
        <v>20.616044925053291</v>
      </c>
      <c r="H95" s="6">
        <f>_xll.BDP(A95,"LOW_52WEEK")</f>
        <v>177.43</v>
      </c>
      <c r="I95" s="6">
        <f t="shared" si="18"/>
        <v>-3.6196535902203895</v>
      </c>
      <c r="J95" s="6">
        <f>_xll.BDP(A95,"CHG_PCT_5D")</f>
        <v>-1.7621640000000001</v>
      </c>
      <c r="K95" s="6">
        <f>_xll.BDP(A95,"CHG_PCT_1M")</f>
        <v>2.0581420000000001</v>
      </c>
      <c r="L95" s="6">
        <f>_xll.BDP(A95,"CHG_PCT_3M")</f>
        <v>-3.7813789999999998</v>
      </c>
      <c r="M95" s="6">
        <f>_xll.BDP(A95,"CHG_PCT_6M")</f>
        <v>-7.5341810000000002</v>
      </c>
      <c r="N95" s="6">
        <f>_xll.BDP(A95,"PR064")</f>
        <v>-3.7813789999999998</v>
      </c>
      <c r="O95" s="6">
        <f>_xll.BDP(A95,"CHG_PCT_1YR")</f>
        <v>-18.020589999999999</v>
      </c>
      <c r="P95" s="6">
        <f>_xll.BDP(A95,"INTERVAL_HIGH", "MARKET_DATA_OVERRIDE=PE_RATIO", "CALC_INTERVAL=5y", "BEST_FPERIOD_OVERRIDE=BF")</f>
        <v>79.077492365581321</v>
      </c>
      <c r="Q95" s="6">
        <f>_xll.BDP(A95,"INTERVAL_Low", "MARKET_DATA_OVERRIDE=PE_RATIO", "CALC_INTERVAL=5y", "BEST_FPERIOD_OVERRIDE=BF")</f>
        <v>9.8142311309716188</v>
      </c>
      <c r="R95" s="6">
        <f>_xll.BDP(A95,"PE_RATIO")</f>
        <v>20.40009188401832</v>
      </c>
      <c r="S95" s="43">
        <f t="shared" si="19"/>
        <v>0.15283514758553013</v>
      </c>
      <c r="T95" s="6">
        <f>_xll.BDP(A95,"RR902")</f>
        <v>84942479390.143509</v>
      </c>
      <c r="U95" t="s">
        <v>707</v>
      </c>
      <c r="V95" s="5" t="s">
        <v>863</v>
      </c>
      <c r="W95" s="5" t="str">
        <f>_xll.BDP(U95,"DS003")</f>
        <v>CH</v>
      </c>
      <c r="X95" s="6">
        <f>_xll.BDP(U95,"PX_LAST")</f>
        <v>26.22</v>
      </c>
      <c r="Y95" s="6">
        <f>_xll.BDP(U95,"CHG_PCT_1D")</f>
        <v>0.76863950000000003</v>
      </c>
      <c r="Z95" s="6">
        <f>_xll.BDP(U95,"HIGH_52WEEK")</f>
        <v>33.6</v>
      </c>
      <c r="AA95" s="6">
        <f t="shared" si="20"/>
        <v>24.800358863360483</v>
      </c>
      <c r="AB95" s="6">
        <f>_xll.BDP(U95,"LOW_52WEEK")</f>
        <v>20.399999999999999</v>
      </c>
      <c r="AC95" s="6">
        <f t="shared" si="21"/>
        <v>-25.098757748538315</v>
      </c>
      <c r="AD95" s="6">
        <f>_xll.BDP(U95,"CHG_PCT_5D")</f>
        <v>-1.907969</v>
      </c>
      <c r="AE95" s="6">
        <f>_xll.BDP(U95,"CHG_PCT_1M")</f>
        <v>-1.1312230000000001</v>
      </c>
      <c r="AF95" s="6">
        <f>_xll.BDP(U95,"CHG_PCT_3M")</f>
        <v>-5.8189659999999996</v>
      </c>
      <c r="AG95" s="6">
        <f>_xll.BDP(U95,"CHG_PCT_6M")</f>
        <v>-9.4300540000000002</v>
      </c>
      <c r="AH95" s="6">
        <f>_xll.BDP(U95,"PR064")</f>
        <v>-5.8189659999999996</v>
      </c>
      <c r="AI95" s="6">
        <f>_xll.BDP(U95,"CHG_PCT_1YR")</f>
        <v>7.2392599999999998</v>
      </c>
      <c r="AJ95" s="6">
        <f>_xll.BDP(U95,"INTERVAL_HIGH", "MARKET_DATA_OVERRIDE=PE_RATIO", "CALC_INTERVAL=5y", "BEST_FPERIOD_OVERRIDE=BF")</f>
        <v>14.977686169053737</v>
      </c>
      <c r="AK95" s="6">
        <f>_xll.BDP(U95,"INTERVAL_Low", "MARKET_DATA_OVERRIDE=PE_RATIO", "CALC_INTERVAL=5y", "BEST_FPERIOD_OVERRIDE=BF")</f>
        <v>5.2072062391631571</v>
      </c>
      <c r="AL95" s="6">
        <f>_xll.BDP(U95,"PE_RATIO")</f>
        <v>7.9682871018757053</v>
      </c>
      <c r="AM95" s="43">
        <f t="shared" si="22"/>
        <v>0.28259419010376796</v>
      </c>
      <c r="AN95" s="9"/>
      <c r="AO95" s="22" t="s">
        <v>695</v>
      </c>
      <c r="AP95" s="15">
        <f>_xll.BDP("tw1 elec Index","PX_LAST")</f>
        <v>406.70000000000005</v>
      </c>
      <c r="AQ95" s="15">
        <f>(AP95-AP97)/AP97*100</f>
        <v>0.56874381800198104</v>
      </c>
      <c r="AR95" s="23">
        <f>_xll.BDP("tw1 elec Index","OPEN_INT")</f>
        <v>30901</v>
      </c>
      <c r="AS95" s="24" t="str">
        <f>_xll.BDP("te1 elec Index","FUT_LAST_TRADE_DT")</f>
        <v>2019/10/16</v>
      </c>
      <c r="AT95" s="15">
        <f>_xll.BDP("TAMSCI INDEX","PX_LAST")</f>
        <v>404.46</v>
      </c>
      <c r="AU95" s="15">
        <f t="shared" si="27"/>
        <v>0.55382485289028982</v>
      </c>
      <c r="AV95" s="5"/>
      <c r="AW95" s="5"/>
      <c r="AX95" s="5"/>
      <c r="AY95" s="9"/>
      <c r="AZ95" s="9"/>
      <c r="BA95" s="9"/>
    </row>
    <row r="96" spans="1:53" x14ac:dyDescent="0.25">
      <c r="A96" t="s">
        <v>426</v>
      </c>
      <c r="B96" s="5" t="s">
        <v>757</v>
      </c>
      <c r="C96" s="5" t="str">
        <f>_xll.BDP(A96,"DS003")</f>
        <v>TA</v>
      </c>
      <c r="D96" s="6">
        <f>_xll.BDP(A96,"PX_LAST")</f>
        <v>118.96</v>
      </c>
      <c r="E96" s="6">
        <f>_xll.BDP(A96,"CHG_PCT_1D")</f>
        <v>-0.46854079999999998</v>
      </c>
      <c r="F96" s="6">
        <f>_xll.BDP(A96,"HIGH_52WEEK")</f>
        <v>120.94</v>
      </c>
      <c r="G96" s="6">
        <f t="shared" si="17"/>
        <v>1.6507252693167336</v>
      </c>
      <c r="H96" s="6">
        <f>_xll.BDP(A96,"LOW_52WEEK")</f>
        <v>84.09</v>
      </c>
      <c r="I96" s="6">
        <f t="shared" si="18"/>
        <v>-34.689964830709293</v>
      </c>
      <c r="J96" s="6">
        <f>_xll.BDP(A96,"CHG_PCT_5D")</f>
        <v>-0.18459500000000001</v>
      </c>
      <c r="K96" s="6">
        <f>_xll.BDP(A96,"CHG_PCT_1M")</f>
        <v>2.5252089999999998</v>
      </c>
      <c r="L96" s="6">
        <f>_xll.BDP(A96,"CHG_PCT_3M")</f>
        <v>6.9207229999999997</v>
      </c>
      <c r="M96" s="6">
        <f>_xll.BDP(A96,"CHG_PCT_6M")</f>
        <v>14.81517</v>
      </c>
      <c r="N96" s="6">
        <f>_xll.BDP(A96,"PR064")</f>
        <v>6.9207229999999997</v>
      </c>
      <c r="O96" s="6">
        <f>_xll.BDP(A96,"CHG_PCT_1YR")</f>
        <v>28.898040000000002</v>
      </c>
      <c r="P96" s="6">
        <f>_xll.BDP(A96,"INTERVAL_HIGH", "MARKET_DATA_OVERRIDE=PE_RATIO", "CALC_INTERVAL=5y", "BEST_FPERIOD_OVERRIDE=BF")</f>
        <v>22.225123987742048</v>
      </c>
      <c r="Q96" s="6">
        <f>_xll.BDP(A96,"INTERVAL_Low", "MARKET_DATA_OVERRIDE=PE_RATIO", "CALC_INTERVAL=5y", "BEST_FPERIOD_OVERRIDE=BF")</f>
        <v>15.027741538710721</v>
      </c>
      <c r="R96" s="6">
        <f>_xll.BDP(A96,"PE_RATIO")</f>
        <v>21.026472446031587</v>
      </c>
      <c r="S96" s="43">
        <f t="shared" si="19"/>
        <v>0.83346007382561915</v>
      </c>
      <c r="T96" s="6">
        <f>_xll.BDP(A96,"RR902")</f>
        <v>69871862195.224991</v>
      </c>
      <c r="U96" t="s">
        <v>708</v>
      </c>
      <c r="V96" s="5" t="s">
        <v>864</v>
      </c>
      <c r="W96" s="5" t="str">
        <f>_xll.BDP(U96,"DS003")</f>
        <v>CH</v>
      </c>
      <c r="X96" s="6">
        <f>_xll.BDP(U96,"PX_LAST")</f>
        <v>11.97</v>
      </c>
      <c r="Y96" s="6">
        <f>_xll.BDP(U96,"CHG_PCT_1D")</f>
        <v>1.354784</v>
      </c>
      <c r="Z96" s="6">
        <f>_xll.BDP(U96,"HIGH_52WEEK")</f>
        <v>12.38</v>
      </c>
      <c r="AA96" s="6">
        <f t="shared" si="20"/>
        <v>3.367874768656832</v>
      </c>
      <c r="AB96" s="6">
        <f>_xll.BDP(U96,"LOW_52WEEK")</f>
        <v>9.58</v>
      </c>
      <c r="AC96" s="6">
        <f t="shared" si="21"/>
        <v>-22.272592758711266</v>
      </c>
      <c r="AD96" s="6">
        <f>_xll.BDP(U96,"CHG_PCT_5D")</f>
        <v>0.25125629999999999</v>
      </c>
      <c r="AE96" s="6">
        <f>_xll.BDP(U96,"CHG_PCT_1M")</f>
        <v>5.9292020000000001</v>
      </c>
      <c r="AF96" s="6">
        <f>_xll.BDP(U96,"CHG_PCT_3M")</f>
        <v>2.8350490000000002</v>
      </c>
      <c r="AG96" s="6">
        <f>_xll.BDP(U96,"CHG_PCT_6M")</f>
        <v>8.0324919999999995</v>
      </c>
      <c r="AH96" s="6">
        <f>_xll.BDP(U96,"PR064")</f>
        <v>2.8350490000000002</v>
      </c>
      <c r="AI96" s="6">
        <f>_xll.BDP(U96,"CHG_PCT_1YR")</f>
        <v>14.217560000000001</v>
      </c>
      <c r="AJ96" s="6">
        <f>_xll.BDP(U96,"INTERVAL_HIGH", "MARKET_DATA_OVERRIDE=PE_RATIO", "CALC_INTERVAL=5y", "BEST_FPERIOD_OVERRIDE=BF")</f>
        <v>7.4524533897791336</v>
      </c>
      <c r="AK96" s="6">
        <f>_xll.BDP(U96,"INTERVAL_Low", "MARKET_DATA_OVERRIDE=PE_RATIO", "CALC_INTERVAL=5y", "BEST_FPERIOD_OVERRIDE=BF")</f>
        <v>3.3837206627338423</v>
      </c>
      <c r="AL96" s="6">
        <f>_xll.BDP(U96,"PE_RATIO")</f>
        <v>6.0905555517823444</v>
      </c>
      <c r="AM96" s="43">
        <f t="shared" si="22"/>
        <v>0.66527714417216155</v>
      </c>
      <c r="AN96" s="9"/>
      <c r="AO96" s="25" t="s">
        <v>696</v>
      </c>
      <c r="AP96" s="15">
        <f>_xll.BDP("xu1 pit Index","PX_LAST")</f>
        <v>13725</v>
      </c>
      <c r="AQ96" s="15">
        <f>_xll.BDP("xu1 pit Index","CHG_PCT_1D")</f>
        <v>0.25566106647187731</v>
      </c>
      <c r="AR96" s="20">
        <f>_xll.BDP("xu1 pit Index","OPEN_INT")</f>
        <v>121989</v>
      </c>
      <c r="AS96" s="24" t="str">
        <f>_xll.BDP("xu1 PIT Index","FUT_LAST_TRADE_DT")</f>
        <v>2019/9/27</v>
      </c>
      <c r="AT96" s="15"/>
      <c r="AU96" s="15"/>
      <c r="AV96" s="5"/>
      <c r="AW96" s="5"/>
      <c r="AX96" s="5"/>
      <c r="AY96" s="9"/>
      <c r="AZ96" s="9"/>
      <c r="BA96" s="9"/>
    </row>
    <row r="97" spans="1:53" x14ac:dyDescent="0.25">
      <c r="A97" t="s">
        <v>425</v>
      </c>
      <c r="B97" s="5" t="s">
        <v>756</v>
      </c>
      <c r="C97" s="5" t="str">
        <f>_xll.BDP(A97,"DS003")</f>
        <v>TA</v>
      </c>
      <c r="D97" s="6">
        <f>_xll.BDP(A97,"PX_LAST")</f>
        <v>32.65</v>
      </c>
      <c r="E97" s="6">
        <f>_xll.BDP(A97,"CHG_PCT_1D")</f>
        <v>-0.6390749</v>
      </c>
      <c r="F97" s="6">
        <f>_xll.BDP(A97,"HIGH_52WEEK")</f>
        <v>43.1</v>
      </c>
      <c r="G97" s="6">
        <f t="shared" si="17"/>
        <v>27.767814138726216</v>
      </c>
      <c r="H97" s="6">
        <f>_xll.BDP(A97,"LOW_52WEEK")</f>
        <v>31.35</v>
      </c>
      <c r="I97" s="6">
        <f t="shared" si="18"/>
        <v>-4.0630588643510226</v>
      </c>
      <c r="J97" s="6">
        <f>_xll.BDP(A97,"CHG_PCT_5D")</f>
        <v>-0.60882340000000001</v>
      </c>
      <c r="K97" s="6">
        <f>_xll.BDP(A97,"CHG_PCT_1M")</f>
        <v>0.9897918</v>
      </c>
      <c r="L97" s="6">
        <f>_xll.BDP(A97,"CHG_PCT_3M")</f>
        <v>-3.857472</v>
      </c>
      <c r="M97" s="6">
        <f>_xll.BDP(A97,"CHG_PCT_6M")</f>
        <v>-9.4564609999999991</v>
      </c>
      <c r="N97" s="6">
        <f>_xll.BDP(A97,"PR064")</f>
        <v>-3.857472</v>
      </c>
      <c r="O97" s="6">
        <f>_xll.BDP(A97,"CHG_PCT_1YR")</f>
        <v>-23.892769999999999</v>
      </c>
      <c r="P97" s="6">
        <f>_xll.BDP(A97,"INTERVAL_HIGH", "MARKET_DATA_OVERRIDE=PE_RATIO", "CALC_INTERVAL=5y", "BEST_FPERIOD_OVERRIDE=BF")</f>
        <v>420.62638128689446</v>
      </c>
      <c r="Q97" s="6">
        <f>_xll.BDP(A97,"INTERVAL_Low", "MARKET_DATA_OVERRIDE=PE_RATIO", "CALC_INTERVAL=5y", "BEST_FPERIOD_OVERRIDE=BF")</f>
        <v>18.524415781457467</v>
      </c>
      <c r="R97" s="6" t="str">
        <f>_xll.BDP(A97,"PE_RATIO")</f>
        <v>#N/A N/A</v>
      </c>
      <c r="S97" s="43" t="str">
        <f t="shared" si="19"/>
        <v/>
      </c>
      <c r="T97" s="6">
        <f>_xll.BDP(A97,"RR902")</f>
        <v>44968068417.421394</v>
      </c>
      <c r="U97" t="s">
        <v>709</v>
      </c>
      <c r="V97" s="5" t="s">
        <v>865</v>
      </c>
      <c r="W97" s="5" t="str">
        <f>_xll.BDP(U97,"DS003")</f>
        <v>CH</v>
      </c>
      <c r="X97" s="6">
        <f>_xll.BDP(U97,"PX_LAST")</f>
        <v>6.06</v>
      </c>
      <c r="Y97" s="6">
        <f>_xll.BDP(U97,"CHG_PCT_1D")</f>
        <v>0.49751240000000002</v>
      </c>
      <c r="Z97" s="6">
        <f>_xll.BDP(U97,"HIGH_52WEEK")</f>
        <v>6.92</v>
      </c>
      <c r="AA97" s="6">
        <f t="shared" si="20"/>
        <v>13.270596954835515</v>
      </c>
      <c r="AB97" s="6">
        <f>_xll.BDP(U97,"LOW_52WEEK")</f>
        <v>5.58</v>
      </c>
      <c r="AC97" s="6">
        <f t="shared" si="21"/>
        <v>-8.2521023688003474</v>
      </c>
      <c r="AD97" s="6">
        <f>_xll.BDP(U97,"CHG_PCT_5D")</f>
        <v>-0.3289474</v>
      </c>
      <c r="AE97" s="6">
        <f>_xll.BDP(U97,"CHG_PCT_1M")</f>
        <v>4.1237079999999997</v>
      </c>
      <c r="AF97" s="6">
        <f>_xll.BDP(U97,"CHG_PCT_3M")</f>
        <v>-4.7169829999999999</v>
      </c>
      <c r="AG97" s="6">
        <f>_xll.BDP(U97,"CHG_PCT_6M")</f>
        <v>-3.04</v>
      </c>
      <c r="AH97" s="6">
        <f>_xll.BDP(U97,"PR064")</f>
        <v>-4.7169829999999999</v>
      </c>
      <c r="AI97" s="6">
        <f>_xll.BDP(U97,"CHG_PCT_1YR")</f>
        <v>-3.3492820000000001</v>
      </c>
      <c r="AJ97" s="6">
        <f>_xll.BDP(U97,"INTERVAL_HIGH", "MARKET_DATA_OVERRIDE=PE_RATIO", "CALC_INTERVAL=5y", "BEST_FPERIOD_OVERRIDE=BF")</f>
        <v>7.4761300232089942</v>
      </c>
      <c r="AK97" s="6">
        <f>_xll.BDP(U97,"INTERVAL_Low", "MARKET_DATA_OVERRIDE=PE_RATIO", "CALC_INTERVAL=5y", "BEST_FPERIOD_OVERRIDE=BF")</f>
        <v>4.0276767825217803</v>
      </c>
      <c r="AL97" s="6">
        <f>_xll.BDP(U97,"PE_RATIO")</f>
        <v>5.1090348500081282</v>
      </c>
      <c r="AM97" s="43">
        <f t="shared" si="22"/>
        <v>0.31357770919661737</v>
      </c>
      <c r="AN97" s="9"/>
      <c r="AO97" s="22" t="s">
        <v>697</v>
      </c>
      <c r="AP97" s="15">
        <f>_xll.BDP("tw1 pit Index","PX_LAST")</f>
        <v>404.40000000000003</v>
      </c>
      <c r="AQ97" s="15">
        <f>_xll.BDP("TW1 pit Index","CHG_PCT_1D")</f>
        <v>0.19821605550048427</v>
      </c>
      <c r="AR97" s="23">
        <f>_xll.BDP("tw1  Index","OPEN_INT")</f>
        <v>30901</v>
      </c>
      <c r="AS97" s="24" t="str">
        <f>_xll.BDP("tW1  Index","FUT_LAST_TRADE_DT")</f>
        <v>2019/9/27</v>
      </c>
      <c r="AT97" s="15"/>
      <c r="AU97" s="15"/>
      <c r="AV97" s="9"/>
      <c r="AW97" s="9"/>
      <c r="AX97" s="9"/>
      <c r="AY97" s="9"/>
      <c r="AZ97" s="9"/>
      <c r="BA97" s="9"/>
    </row>
  </sheetData>
  <sortState ref="A70:T98">
    <sortCondition descending="1" ref="T70:T98"/>
  </sortState>
  <phoneticPr fontId="4" type="noConversion"/>
  <printOptions horizontalCentered="1" verticalCentered="1"/>
  <pageMargins left="0.19685039370078741" right="0.19685039370078741" top="0.19685039370078741" bottom="0.19685039370078741" header="0" footer="0"/>
  <pageSetup paperSize="9" scale="35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H32"/>
  <sheetViews>
    <sheetView zoomScale="80" zoomScaleNormal="80" workbookViewId="0">
      <selection activeCell="E33" sqref="E33"/>
    </sheetView>
  </sheetViews>
  <sheetFormatPr defaultRowHeight="16.5" x14ac:dyDescent="0.25"/>
  <cols>
    <col min="1" max="1" width="11" style="7" bestFit="1" customWidth="1"/>
    <col min="2" max="2" width="9.5" style="7" bestFit="1" customWidth="1"/>
    <col min="3" max="3" width="11" style="7" bestFit="1" customWidth="1"/>
    <col min="4" max="4" width="9" style="7"/>
    <col min="5" max="5" width="11" style="7" bestFit="1" customWidth="1"/>
    <col min="6" max="6" width="9" style="7"/>
    <col min="7" max="7" width="9.875" bestFit="1" customWidth="1"/>
  </cols>
  <sheetData>
    <row r="1" spans="1:8" x14ac:dyDescent="0.25">
      <c r="A1" s="7" t="s">
        <v>664</v>
      </c>
      <c r="B1" s="7" t="s">
        <v>669</v>
      </c>
      <c r="C1" s="7" t="s">
        <v>581</v>
      </c>
      <c r="D1" s="7" t="s">
        <v>670</v>
      </c>
      <c r="E1" s="7" t="s">
        <v>667</v>
      </c>
      <c r="F1" s="7" t="s">
        <v>668</v>
      </c>
      <c r="H1">
        <f>AVERAGE(H3:H32)</f>
        <v>4.4168798364155423E-2</v>
      </c>
    </row>
    <row r="2" spans="1:8" x14ac:dyDescent="0.25">
      <c r="A2" s="7" t="s">
        <v>665</v>
      </c>
      <c r="B2" s="7" t="s">
        <v>666</v>
      </c>
      <c r="C2" s="7" t="s">
        <v>665</v>
      </c>
      <c r="D2" s="7" t="s">
        <v>666</v>
      </c>
      <c r="E2" s="7" t="s">
        <v>665</v>
      </c>
      <c r="F2" s="7" t="s">
        <v>666</v>
      </c>
    </row>
    <row r="3" spans="1:8" x14ac:dyDescent="0.25">
      <c r="A3" s="8">
        <f>_xll.BDH("TSM Equity","PX_LAST","ED-60AD","","Points=30","Sort=D","Per=d","Days=A","Fill=E","QtTyp=P","Dts=S","cols=2;rows=30")</f>
        <v>43735</v>
      </c>
      <c r="B3" s="7" t="s">
        <v>355</v>
      </c>
      <c r="C3" s="8">
        <f>_xll.BDH("2330 TT Equity","PX_LAST","ED-60AD","","Points=30","Sort=D","Per=d","Days=A","Fill=E","QtTyp=P","Dts=S","cols=2;rows=30")</f>
        <v>43735</v>
      </c>
      <c r="D3" s="7" t="s">
        <v>355</v>
      </c>
      <c r="E3" s="8">
        <f>_xll.BDH("TWD Curncy","PX_LAST","ED-60AD","","Points=30","Sort=D","Per=d","Days=A","Fill=E","QtTyp=P","Dts=S","cols=2;rows=30")</f>
        <v>43735</v>
      </c>
      <c r="F3" s="7" t="s">
        <v>355</v>
      </c>
      <c r="G3" t="e">
        <f>(B3*F3-5*D3)/(5*D3)</f>
        <v>#VALUE!</v>
      </c>
      <c r="H3" t="b">
        <f>IF(ISNUMBER(G3),G3)</f>
        <v>0</v>
      </c>
    </row>
    <row r="4" spans="1:8" x14ac:dyDescent="0.25">
      <c r="A4" s="8">
        <v>43734</v>
      </c>
      <c r="B4" s="7">
        <v>46.46</v>
      </c>
      <c r="C4" s="8">
        <v>43734</v>
      </c>
      <c r="D4" s="7">
        <v>268</v>
      </c>
      <c r="E4" s="8">
        <v>43734</v>
      </c>
      <c r="F4" s="7">
        <v>31.033999999999999</v>
      </c>
      <c r="G4">
        <f t="shared" ref="G4:G32" si="0">(B4*F4-5*D4)/(5*D4)</f>
        <v>7.5999731343283514E-2</v>
      </c>
      <c r="H4">
        <f t="shared" ref="H4:H32" si="1">IF(ISNUMBER(G4),G4)</f>
        <v>7.5999731343283514E-2</v>
      </c>
    </row>
    <row r="5" spans="1:8" x14ac:dyDescent="0.25">
      <c r="A5" s="8">
        <v>43733</v>
      </c>
      <c r="B5" s="7">
        <v>45.01</v>
      </c>
      <c r="C5" s="8">
        <v>43733</v>
      </c>
      <c r="D5" s="7">
        <v>266</v>
      </c>
      <c r="E5" s="8">
        <v>43733</v>
      </c>
      <c r="F5" s="7">
        <v>31.038</v>
      </c>
      <c r="G5">
        <f t="shared" si="0"/>
        <v>5.0391263157894689E-2</v>
      </c>
      <c r="H5">
        <f t="shared" si="1"/>
        <v>5.0391263157894689E-2</v>
      </c>
    </row>
    <row r="6" spans="1:8" x14ac:dyDescent="0.25">
      <c r="A6" s="8">
        <v>43732</v>
      </c>
      <c r="B6" s="7">
        <v>44.12</v>
      </c>
      <c r="C6" s="8">
        <v>43732</v>
      </c>
      <c r="D6" s="7">
        <v>265</v>
      </c>
      <c r="E6" s="8">
        <v>43732</v>
      </c>
      <c r="F6" s="7">
        <v>31.01</v>
      </c>
      <c r="G6">
        <f t="shared" si="0"/>
        <v>3.2574490566037742E-2</v>
      </c>
      <c r="H6">
        <f t="shared" si="1"/>
        <v>3.2574490566037742E-2</v>
      </c>
    </row>
    <row r="7" spans="1:8" x14ac:dyDescent="0.25">
      <c r="A7" s="8">
        <v>43731</v>
      </c>
      <c r="B7" s="7">
        <v>44.07</v>
      </c>
      <c r="C7" s="8">
        <v>43731</v>
      </c>
      <c r="D7" s="7">
        <v>264</v>
      </c>
      <c r="E7" s="8">
        <v>43731</v>
      </c>
      <c r="F7" s="7">
        <v>31.013999999999999</v>
      </c>
      <c r="G7">
        <f t="shared" si="0"/>
        <v>3.5444681818181882E-2</v>
      </c>
      <c r="H7">
        <f t="shared" si="1"/>
        <v>3.5444681818181882E-2</v>
      </c>
    </row>
    <row r="8" spans="1:8" x14ac:dyDescent="0.25">
      <c r="A8" s="8">
        <v>43730</v>
      </c>
      <c r="B8" s="7" t="s">
        <v>355</v>
      </c>
      <c r="C8" s="8">
        <v>43730</v>
      </c>
      <c r="D8" s="7" t="s">
        <v>355</v>
      </c>
      <c r="E8" s="8">
        <v>43730</v>
      </c>
      <c r="F8" s="7" t="s">
        <v>355</v>
      </c>
      <c r="G8" t="e">
        <f t="shared" si="0"/>
        <v>#VALUE!</v>
      </c>
      <c r="H8" t="b">
        <f t="shared" si="1"/>
        <v>0</v>
      </c>
    </row>
    <row r="9" spans="1:8" x14ac:dyDescent="0.25">
      <c r="A9" s="8">
        <v>43729</v>
      </c>
      <c r="B9" s="7" t="s">
        <v>355</v>
      </c>
      <c r="C9" s="8">
        <v>43729</v>
      </c>
      <c r="D9" s="7" t="s">
        <v>355</v>
      </c>
      <c r="E9" s="8">
        <v>43729</v>
      </c>
      <c r="F9" s="7" t="s">
        <v>355</v>
      </c>
      <c r="G9" t="e">
        <f t="shared" si="0"/>
        <v>#VALUE!</v>
      </c>
      <c r="H9" t="b">
        <f t="shared" si="1"/>
        <v>0</v>
      </c>
    </row>
    <row r="10" spans="1:8" x14ac:dyDescent="0.25">
      <c r="A10" s="8">
        <v>43728</v>
      </c>
      <c r="B10" s="7">
        <v>43.87</v>
      </c>
      <c r="C10" s="8">
        <v>43728</v>
      </c>
      <c r="D10" s="7">
        <v>264</v>
      </c>
      <c r="E10" s="8">
        <v>43728</v>
      </c>
      <c r="F10" s="7">
        <v>30.943000000000001</v>
      </c>
      <c r="G10">
        <f t="shared" si="0"/>
        <v>2.8385916666666611E-2</v>
      </c>
      <c r="H10">
        <f t="shared" si="1"/>
        <v>2.8385916666666611E-2</v>
      </c>
    </row>
    <row r="11" spans="1:8" x14ac:dyDescent="0.25">
      <c r="A11" s="8">
        <v>43727</v>
      </c>
      <c r="B11" s="7">
        <v>44.9</v>
      </c>
      <c r="C11" s="8">
        <v>43727</v>
      </c>
      <c r="D11" s="7">
        <v>265</v>
      </c>
      <c r="E11" s="8">
        <v>43727</v>
      </c>
      <c r="F11" s="7">
        <v>30.981000000000002</v>
      </c>
      <c r="G11">
        <f t="shared" si="0"/>
        <v>4.9846716981132112E-2</v>
      </c>
      <c r="H11">
        <f t="shared" si="1"/>
        <v>4.9846716981132112E-2</v>
      </c>
    </row>
    <row r="12" spans="1:8" x14ac:dyDescent="0.25">
      <c r="A12" s="8">
        <v>43726</v>
      </c>
      <c r="B12" s="7">
        <v>44.7179</v>
      </c>
      <c r="C12" s="8">
        <v>43726</v>
      </c>
      <c r="D12" s="7">
        <v>265</v>
      </c>
      <c r="E12" s="8">
        <v>43726</v>
      </c>
      <c r="F12" s="7">
        <v>30.978000000000002</v>
      </c>
      <c r="G12">
        <f t="shared" si="0"/>
        <v>4.5487627320754773E-2</v>
      </c>
      <c r="H12">
        <f t="shared" si="1"/>
        <v>4.5487627320754773E-2</v>
      </c>
    </row>
    <row r="13" spans="1:8" x14ac:dyDescent="0.25">
      <c r="A13" s="8">
        <v>43725</v>
      </c>
      <c r="B13" s="7">
        <v>44.807200000000002</v>
      </c>
      <c r="C13" s="8">
        <v>43725</v>
      </c>
      <c r="D13" s="7">
        <v>263.01</v>
      </c>
      <c r="E13" s="8">
        <v>43725</v>
      </c>
      <c r="F13" s="7">
        <v>31.007000000000001</v>
      </c>
      <c r="G13">
        <f t="shared" si="0"/>
        <v>5.648975354549278E-2</v>
      </c>
      <c r="H13">
        <f t="shared" si="1"/>
        <v>5.648975354549278E-2</v>
      </c>
    </row>
    <row r="14" spans="1:8" x14ac:dyDescent="0.25">
      <c r="A14" s="8">
        <v>43724</v>
      </c>
      <c r="B14" s="7">
        <v>44.280999999999999</v>
      </c>
      <c r="C14" s="8">
        <v>43724</v>
      </c>
      <c r="D14" s="7">
        <v>263.51</v>
      </c>
      <c r="E14" s="8">
        <v>43724</v>
      </c>
      <c r="F14" s="7">
        <v>30.925000000000001</v>
      </c>
      <c r="G14">
        <f t="shared" si="0"/>
        <v>3.934569845546658E-2</v>
      </c>
      <c r="H14">
        <f t="shared" si="1"/>
        <v>3.934569845546658E-2</v>
      </c>
    </row>
    <row r="15" spans="1:8" x14ac:dyDescent="0.25">
      <c r="A15" s="8">
        <v>43723</v>
      </c>
      <c r="B15" s="7" t="s">
        <v>355</v>
      </c>
      <c r="C15" s="8">
        <v>43723</v>
      </c>
      <c r="D15" s="7" t="s">
        <v>355</v>
      </c>
      <c r="E15" s="8">
        <v>43723</v>
      </c>
      <c r="F15" s="7" t="s">
        <v>355</v>
      </c>
      <c r="G15" t="e">
        <f t="shared" si="0"/>
        <v>#VALUE!</v>
      </c>
      <c r="H15" t="b">
        <f t="shared" si="1"/>
        <v>0</v>
      </c>
    </row>
    <row r="16" spans="1:8" x14ac:dyDescent="0.25">
      <c r="A16" s="8">
        <v>43722</v>
      </c>
      <c r="B16" s="7" t="s">
        <v>355</v>
      </c>
      <c r="C16" s="8">
        <v>43722</v>
      </c>
      <c r="D16" s="7" t="s">
        <v>355</v>
      </c>
      <c r="E16" s="8">
        <v>43722</v>
      </c>
      <c r="F16" s="7" t="s">
        <v>355</v>
      </c>
      <c r="G16" t="e">
        <f t="shared" si="0"/>
        <v>#VALUE!</v>
      </c>
      <c r="H16" t="b">
        <f t="shared" si="1"/>
        <v>0</v>
      </c>
    </row>
    <row r="17" spans="1:8" x14ac:dyDescent="0.25">
      <c r="A17" s="8">
        <v>43721</v>
      </c>
      <c r="B17" s="7">
        <v>44.42</v>
      </c>
      <c r="C17" s="8">
        <v>43721</v>
      </c>
      <c r="D17" s="7" t="s">
        <v>355</v>
      </c>
      <c r="E17" s="8">
        <v>43721</v>
      </c>
      <c r="F17" s="7">
        <v>30.890999999999998</v>
      </c>
      <c r="G17" t="e">
        <f t="shared" si="0"/>
        <v>#VALUE!</v>
      </c>
      <c r="H17" t="b">
        <f t="shared" si="1"/>
        <v>0</v>
      </c>
    </row>
    <row r="18" spans="1:8" x14ac:dyDescent="0.25">
      <c r="A18" s="8">
        <v>43720</v>
      </c>
      <c r="B18" s="7">
        <v>43.754800000000003</v>
      </c>
      <c r="C18" s="8">
        <v>43720</v>
      </c>
      <c r="D18" s="7">
        <v>260.52999999999997</v>
      </c>
      <c r="E18" s="8">
        <v>43720</v>
      </c>
      <c r="F18" s="7">
        <v>31.042999999999999</v>
      </c>
      <c r="G18">
        <f t="shared" si="0"/>
        <v>4.2705451502706208E-2</v>
      </c>
      <c r="H18">
        <f t="shared" si="1"/>
        <v>4.2705451502706208E-2</v>
      </c>
    </row>
    <row r="19" spans="1:8" x14ac:dyDescent="0.25">
      <c r="A19" s="8">
        <v>43719</v>
      </c>
      <c r="B19" s="7">
        <v>43.903700000000001</v>
      </c>
      <c r="C19" s="8">
        <v>43719</v>
      </c>
      <c r="D19" s="7">
        <v>261.02999999999997</v>
      </c>
      <c r="E19" s="8">
        <v>43719</v>
      </c>
      <c r="F19" s="7">
        <v>31.166</v>
      </c>
      <c r="G19">
        <f t="shared" si="0"/>
        <v>4.838732268321666E-2</v>
      </c>
      <c r="H19">
        <f t="shared" si="1"/>
        <v>4.838732268321666E-2</v>
      </c>
    </row>
    <row r="20" spans="1:8" x14ac:dyDescent="0.25">
      <c r="A20" s="8">
        <v>43718</v>
      </c>
      <c r="B20" s="7">
        <v>43.784599999999998</v>
      </c>
      <c r="C20" s="8">
        <v>43718</v>
      </c>
      <c r="D20" s="7">
        <v>259.54000000000002</v>
      </c>
      <c r="E20" s="8">
        <v>43718</v>
      </c>
      <c r="F20" s="7">
        <v>31.215</v>
      </c>
      <c r="G20">
        <f t="shared" si="0"/>
        <v>5.3198958927332896E-2</v>
      </c>
      <c r="H20">
        <f t="shared" si="1"/>
        <v>5.3198958927332896E-2</v>
      </c>
    </row>
    <row r="21" spans="1:8" x14ac:dyDescent="0.25">
      <c r="A21" s="8">
        <v>43717</v>
      </c>
      <c r="B21" s="7">
        <v>43.5364</v>
      </c>
      <c r="C21" s="8">
        <v>43717</v>
      </c>
      <c r="D21" s="7">
        <v>263.01</v>
      </c>
      <c r="E21" s="8">
        <v>43717</v>
      </c>
      <c r="F21" s="7">
        <v>31.212</v>
      </c>
      <c r="G21">
        <f t="shared" si="0"/>
        <v>3.3312890612524321E-2</v>
      </c>
      <c r="H21">
        <f t="shared" si="1"/>
        <v>3.3312890612524321E-2</v>
      </c>
    </row>
    <row r="22" spans="1:8" x14ac:dyDescent="0.25">
      <c r="A22" s="8">
        <v>43716</v>
      </c>
      <c r="B22" s="7" t="s">
        <v>355</v>
      </c>
      <c r="C22" s="8">
        <v>43716</v>
      </c>
      <c r="D22" s="7" t="s">
        <v>355</v>
      </c>
      <c r="E22" s="8">
        <v>43716</v>
      </c>
      <c r="F22" s="7" t="s">
        <v>355</v>
      </c>
      <c r="G22" t="e">
        <f t="shared" si="0"/>
        <v>#VALUE!</v>
      </c>
      <c r="H22" t="b">
        <f t="shared" si="1"/>
        <v>0</v>
      </c>
    </row>
    <row r="23" spans="1:8" x14ac:dyDescent="0.25">
      <c r="A23" s="8">
        <v>43715</v>
      </c>
      <c r="B23" s="7" t="s">
        <v>355</v>
      </c>
      <c r="C23" s="8">
        <v>43715</v>
      </c>
      <c r="D23" s="7" t="s">
        <v>355</v>
      </c>
      <c r="E23" s="8">
        <v>43715</v>
      </c>
      <c r="F23" s="7" t="s">
        <v>355</v>
      </c>
      <c r="G23" t="e">
        <f t="shared" si="0"/>
        <v>#VALUE!</v>
      </c>
      <c r="H23" t="b">
        <f t="shared" si="1"/>
        <v>0</v>
      </c>
    </row>
    <row r="24" spans="1:8" x14ac:dyDescent="0.25">
      <c r="A24" s="8">
        <v>43714</v>
      </c>
      <c r="B24" s="7">
        <v>43.397399999999998</v>
      </c>
      <c r="C24" s="8">
        <v>43714</v>
      </c>
      <c r="D24" s="7">
        <v>261.52999999999997</v>
      </c>
      <c r="E24" s="8">
        <v>43714</v>
      </c>
      <c r="F24" s="7">
        <v>31.238</v>
      </c>
      <c r="G24">
        <f t="shared" si="0"/>
        <v>3.6705526096432642E-2</v>
      </c>
      <c r="H24">
        <f t="shared" si="1"/>
        <v>3.6705526096432642E-2</v>
      </c>
    </row>
    <row r="25" spans="1:8" x14ac:dyDescent="0.25">
      <c r="A25" s="8">
        <v>43713</v>
      </c>
      <c r="B25" s="7">
        <v>43.9236</v>
      </c>
      <c r="C25" s="8">
        <v>43713</v>
      </c>
      <c r="D25" s="7">
        <v>261.02999999999997</v>
      </c>
      <c r="E25" s="8">
        <v>43713</v>
      </c>
      <c r="F25" s="7">
        <v>31.27</v>
      </c>
      <c r="G25">
        <f t="shared" si="0"/>
        <v>5.2362542236524694E-2</v>
      </c>
      <c r="H25">
        <f t="shared" si="1"/>
        <v>5.2362542236524694E-2</v>
      </c>
    </row>
    <row r="26" spans="1:8" x14ac:dyDescent="0.25">
      <c r="A26" s="8">
        <v>43712</v>
      </c>
      <c r="B26" s="7">
        <v>42.8414</v>
      </c>
      <c r="C26" s="8">
        <v>43712</v>
      </c>
      <c r="D26" s="7">
        <v>255.57</v>
      </c>
      <c r="E26" s="8">
        <v>43712</v>
      </c>
      <c r="F26" s="7">
        <v>31.297999999999998</v>
      </c>
      <c r="G26">
        <f t="shared" si="0"/>
        <v>4.9301668583949548E-2</v>
      </c>
      <c r="H26">
        <f t="shared" si="1"/>
        <v>4.9301668583949548E-2</v>
      </c>
    </row>
    <row r="27" spans="1:8" x14ac:dyDescent="0.25">
      <c r="A27" s="8">
        <v>43711</v>
      </c>
      <c r="B27" s="7">
        <v>41.421599999999998</v>
      </c>
      <c r="C27" s="8">
        <v>43711</v>
      </c>
      <c r="D27" s="7">
        <v>252.1</v>
      </c>
      <c r="E27" s="8">
        <v>43711</v>
      </c>
      <c r="F27" s="7">
        <v>31.41</v>
      </c>
      <c r="G27">
        <f t="shared" si="0"/>
        <v>3.2171722332407691E-2</v>
      </c>
      <c r="H27">
        <f t="shared" si="1"/>
        <v>3.2171722332407691E-2</v>
      </c>
    </row>
    <row r="28" spans="1:8" x14ac:dyDescent="0.25">
      <c r="A28" s="8">
        <v>43710</v>
      </c>
      <c r="B28" s="7" t="s">
        <v>355</v>
      </c>
      <c r="C28" s="8">
        <v>43710</v>
      </c>
      <c r="D28" s="7">
        <v>255.57</v>
      </c>
      <c r="E28" s="8">
        <v>43710</v>
      </c>
      <c r="F28" s="7">
        <v>31.367000000000001</v>
      </c>
      <c r="G28" t="e">
        <f t="shared" si="0"/>
        <v>#VALUE!</v>
      </c>
      <c r="H28" t="b">
        <f t="shared" si="1"/>
        <v>0</v>
      </c>
    </row>
    <row r="29" spans="1:8" x14ac:dyDescent="0.25">
      <c r="A29" s="8">
        <v>43709</v>
      </c>
      <c r="B29" s="7" t="s">
        <v>355</v>
      </c>
      <c r="C29" s="8">
        <v>43709</v>
      </c>
      <c r="D29" s="7" t="s">
        <v>355</v>
      </c>
      <c r="E29" s="8">
        <v>43709</v>
      </c>
      <c r="F29" s="7" t="s">
        <v>355</v>
      </c>
      <c r="G29" t="e">
        <f t="shared" si="0"/>
        <v>#VALUE!</v>
      </c>
      <c r="H29" t="b">
        <f t="shared" si="1"/>
        <v>0</v>
      </c>
    </row>
    <row r="30" spans="1:8" x14ac:dyDescent="0.25">
      <c r="A30" s="8">
        <v>43708</v>
      </c>
      <c r="B30" s="7" t="s">
        <v>355</v>
      </c>
      <c r="C30" s="8">
        <v>43708</v>
      </c>
      <c r="D30" s="7" t="s">
        <v>355</v>
      </c>
      <c r="E30" s="8">
        <v>43708</v>
      </c>
      <c r="F30" s="7" t="s">
        <v>355</v>
      </c>
      <c r="G30" t="e">
        <f t="shared" si="0"/>
        <v>#VALUE!</v>
      </c>
      <c r="H30" t="b">
        <f t="shared" si="1"/>
        <v>0</v>
      </c>
    </row>
    <row r="31" spans="1:8" x14ac:dyDescent="0.25">
      <c r="A31" s="8">
        <v>43707</v>
      </c>
      <c r="B31" s="7">
        <v>42.325099999999999</v>
      </c>
      <c r="C31" s="8">
        <v>43707</v>
      </c>
      <c r="D31" s="7">
        <v>257.06</v>
      </c>
      <c r="E31" s="8">
        <v>43707</v>
      </c>
      <c r="F31" s="7">
        <v>31.329000000000001</v>
      </c>
      <c r="G31">
        <f t="shared" si="0"/>
        <v>3.1668138100054442E-2</v>
      </c>
      <c r="H31">
        <f t="shared" si="1"/>
        <v>3.1668138100054442E-2</v>
      </c>
    </row>
    <row r="32" spans="1:8" x14ac:dyDescent="0.25">
      <c r="A32" s="8">
        <v>43706</v>
      </c>
      <c r="B32" s="7">
        <v>41.977600000000002</v>
      </c>
      <c r="C32" s="8">
        <v>43706</v>
      </c>
      <c r="D32" s="7">
        <v>252.1</v>
      </c>
      <c r="E32" s="8">
        <v>43706</v>
      </c>
      <c r="F32" s="7">
        <v>31.391999999999999</v>
      </c>
      <c r="G32">
        <f t="shared" si="0"/>
        <v>4.5427067988893309E-2</v>
      </c>
      <c r="H32">
        <f t="shared" si="1"/>
        <v>4.5427067988893309E-2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97"/>
  <sheetViews>
    <sheetView zoomScale="80" zoomScaleNormal="80" workbookViewId="0">
      <selection activeCell="M28" sqref="M28"/>
    </sheetView>
  </sheetViews>
  <sheetFormatPr defaultRowHeight="16.5" x14ac:dyDescent="0.25"/>
  <cols>
    <col min="1" max="1" width="17.875" bestFit="1" customWidth="1"/>
    <col min="2" max="2" width="31.25" bestFit="1" customWidth="1"/>
    <col min="3" max="3" width="6.75" bestFit="1" customWidth="1"/>
    <col min="4" max="4" width="11.75" bestFit="1" customWidth="1"/>
    <col min="5" max="5" width="6.25" bestFit="1" customWidth="1"/>
    <col min="6" max="6" width="11.75" bestFit="1" customWidth="1"/>
    <col min="7" max="7" width="6.625" bestFit="1" customWidth="1"/>
    <col min="8" max="8" width="10.625" bestFit="1" customWidth="1"/>
    <col min="9" max="9" width="8.25" bestFit="1" customWidth="1"/>
    <col min="10" max="10" width="6.25" bestFit="1" customWidth="1"/>
    <col min="11" max="11" width="6.625" bestFit="1" customWidth="1"/>
    <col min="12" max="15" width="7.25" bestFit="1" customWidth="1"/>
    <col min="16" max="16" width="9.625" hidden="1" customWidth="1"/>
    <col min="17" max="18" width="9.5" hidden="1" customWidth="1"/>
    <col min="19" max="19" width="7.625" bestFit="1" customWidth="1"/>
    <col min="22" max="22" width="27" style="49" customWidth="1"/>
    <col min="23" max="23" width="5.875" style="49" bestFit="1" customWidth="1"/>
    <col min="24" max="24" width="11.25" style="49" customWidth="1"/>
    <col min="25" max="25" width="7.125" style="49" customWidth="1"/>
    <col min="26" max="26" width="11.25" style="49" customWidth="1"/>
    <col min="27" max="27" width="7.125" style="49" customWidth="1"/>
    <col min="28" max="28" width="11.25" style="49" customWidth="1"/>
    <col min="29" max="35" width="7.125" style="49" customWidth="1"/>
    <col min="36" max="37" width="9.875" style="49" hidden="1" customWidth="1"/>
    <col min="38" max="38" width="0.5" style="49" hidden="1" customWidth="1"/>
    <col min="39" max="39" width="7.25" style="50" customWidth="1"/>
  </cols>
  <sheetData>
    <row r="1" spans="1:39" x14ac:dyDescent="0.25">
      <c r="A1" t="s">
        <v>337</v>
      </c>
      <c r="B1" t="s">
        <v>338</v>
      </c>
      <c r="C1" t="s">
        <v>339</v>
      </c>
      <c r="D1" s="1" t="s">
        <v>319</v>
      </c>
      <c r="E1" s="2" t="s">
        <v>322</v>
      </c>
      <c r="F1" s="1" t="s">
        <v>321</v>
      </c>
      <c r="G1" s="1" t="s">
        <v>322</v>
      </c>
      <c r="H1" s="1" t="s">
        <v>323</v>
      </c>
      <c r="I1" s="1" t="s">
        <v>322</v>
      </c>
      <c r="J1" s="1" t="s">
        <v>340</v>
      </c>
      <c r="K1" s="1" t="s">
        <v>341</v>
      </c>
      <c r="L1" s="1" t="s">
        <v>342</v>
      </c>
      <c r="M1" s="1" t="s">
        <v>343</v>
      </c>
      <c r="N1" s="4" t="s">
        <v>344</v>
      </c>
      <c r="O1" s="1" t="s">
        <v>345</v>
      </c>
      <c r="P1" s="1" t="s">
        <v>346</v>
      </c>
      <c r="Q1" s="1" t="s">
        <v>347</v>
      </c>
      <c r="R1" s="1" t="s">
        <v>348</v>
      </c>
      <c r="S1" s="1" t="s">
        <v>332</v>
      </c>
      <c r="V1" s="49" t="s">
        <v>338</v>
      </c>
      <c r="W1" s="49" t="s">
        <v>339</v>
      </c>
      <c r="X1" s="49" t="s">
        <v>319</v>
      </c>
      <c r="Y1" s="49" t="s">
        <v>322</v>
      </c>
      <c r="Z1" s="49" t="s">
        <v>321</v>
      </c>
      <c r="AA1" s="49" t="s">
        <v>322</v>
      </c>
      <c r="AB1" s="49" t="s">
        <v>323</v>
      </c>
      <c r="AC1" s="49" t="s">
        <v>322</v>
      </c>
      <c r="AD1" s="49" t="s">
        <v>340</v>
      </c>
      <c r="AE1" s="49" t="s">
        <v>341</v>
      </c>
      <c r="AF1" s="49" t="s">
        <v>342</v>
      </c>
      <c r="AG1" s="49" t="s">
        <v>343</v>
      </c>
      <c r="AH1" s="49" t="s">
        <v>344</v>
      </c>
      <c r="AI1" s="49" t="s">
        <v>345</v>
      </c>
      <c r="AJ1" s="49" t="s">
        <v>346</v>
      </c>
      <c r="AK1" s="49" t="s">
        <v>347</v>
      </c>
      <c r="AL1" s="49" t="s">
        <v>348</v>
      </c>
      <c r="AM1" s="50" t="s">
        <v>332</v>
      </c>
    </row>
    <row r="2" spans="1:39" x14ac:dyDescent="0.25">
      <c r="A2" t="s">
        <v>135</v>
      </c>
      <c r="B2" t="s">
        <v>1135</v>
      </c>
      <c r="C2" t="s">
        <v>392</v>
      </c>
      <c r="D2" s="2">
        <v>3163.54</v>
      </c>
      <c r="E2" s="2">
        <v>-1.3570059999999999</v>
      </c>
      <c r="F2" s="2">
        <v>3238.44</v>
      </c>
      <c r="G2" s="2">
        <v>2.3400078625293204</v>
      </c>
      <c r="H2" s="2">
        <v>2693.99</v>
      </c>
      <c r="I2" s="2">
        <v>-16.066828771923912</v>
      </c>
      <c r="J2" s="2">
        <v>-1.458407</v>
      </c>
      <c r="K2" s="2">
        <v>3.6655250000000001</v>
      </c>
      <c r="L2" s="2">
        <v>1.019601</v>
      </c>
      <c r="M2" s="2">
        <v>3.5908470000000001</v>
      </c>
      <c r="N2" s="2">
        <v>1.019601</v>
      </c>
      <c r="O2" s="2">
        <v>-0.45280710000000002</v>
      </c>
      <c r="P2" s="2">
        <v>1399.7962799603306</v>
      </c>
      <c r="Q2" s="2">
        <v>13.610129999428297</v>
      </c>
      <c r="R2" s="2">
        <v>16.554956041653302</v>
      </c>
      <c r="S2" s="3">
        <v>2.1244087904846434E-3</v>
      </c>
      <c r="V2" s="49" t="s">
        <v>819</v>
      </c>
      <c r="W2" s="49" t="s">
        <v>1126</v>
      </c>
      <c r="X2" s="2">
        <v>4176.5</v>
      </c>
      <c r="Y2" s="2">
        <v>0.93040120000000004</v>
      </c>
      <c r="Z2" s="2">
        <v>4977.3429999999998</v>
      </c>
      <c r="AA2" s="2">
        <v>17.542263930620877</v>
      </c>
      <c r="AB2" s="2">
        <v>3300.623</v>
      </c>
      <c r="AC2" s="2">
        <v>-23.536233668079053</v>
      </c>
      <c r="AD2" s="2">
        <v>-2.0405769999999999</v>
      </c>
      <c r="AE2" s="2">
        <v>6.4211999999999998</v>
      </c>
      <c r="AF2" s="2">
        <v>-11.41344</v>
      </c>
      <c r="AG2" s="2">
        <v>-1.6574739999999999</v>
      </c>
      <c r="AH2" s="2">
        <v>-11.41344</v>
      </c>
      <c r="AI2" s="2">
        <v>11.57105</v>
      </c>
      <c r="AJ2" s="2">
        <v>1119.5825616814698</v>
      </c>
      <c r="AK2" s="2">
        <v>5.1456190291979391</v>
      </c>
      <c r="AL2" s="2">
        <v>6.4692285034581474</v>
      </c>
      <c r="AM2" s="51">
        <v>1.1876934652849198E-3</v>
      </c>
    </row>
    <row r="3" spans="1:39" x14ac:dyDescent="0.25">
      <c r="A3" t="s">
        <v>112</v>
      </c>
      <c r="B3" t="s">
        <v>1060</v>
      </c>
      <c r="C3" t="s">
        <v>1061</v>
      </c>
      <c r="D3" s="2">
        <v>8695.49</v>
      </c>
      <c r="E3" s="2">
        <v>0.1843426</v>
      </c>
      <c r="F3" s="2">
        <v>9026.8799999999992</v>
      </c>
      <c r="G3" s="2">
        <v>3.7402292329711013</v>
      </c>
      <c r="H3" s="2">
        <v>7113.91015625</v>
      </c>
      <c r="I3" s="2">
        <v>-20.07524561452113</v>
      </c>
      <c r="J3" s="2">
        <v>-1.4597169999999999</v>
      </c>
      <c r="K3" s="2">
        <v>2.075914</v>
      </c>
      <c r="L3" s="2">
        <v>0.15168670000000001</v>
      </c>
      <c r="M3" s="2">
        <v>3.186442</v>
      </c>
      <c r="N3" s="2">
        <v>0.15168670000000001</v>
      </c>
      <c r="O3" s="2">
        <v>-2.7645900000000001</v>
      </c>
      <c r="P3" s="2">
        <v>30.182000300832041</v>
      </c>
      <c r="Q3" s="2">
        <v>14.034340024267941</v>
      </c>
      <c r="R3" s="2">
        <v>16.158178269340269</v>
      </c>
      <c r="S3" s="3">
        <v>0.13152606685407914</v>
      </c>
      <c r="V3" s="49" t="s">
        <v>773</v>
      </c>
      <c r="W3" s="49" t="s">
        <v>391</v>
      </c>
      <c r="X3" s="2">
        <v>1768.33</v>
      </c>
      <c r="Y3" s="2">
        <v>1.534213</v>
      </c>
      <c r="Z3" s="2">
        <v>2035.8</v>
      </c>
      <c r="AA3" s="2">
        <v>14.085326365417991</v>
      </c>
      <c r="AB3" s="2">
        <v>1307</v>
      </c>
      <c r="AC3" s="2">
        <v>-30.230116373983755</v>
      </c>
      <c r="AD3" s="2">
        <v>-2.7032229999999999</v>
      </c>
      <c r="AE3" s="2">
        <v>1.069375</v>
      </c>
      <c r="AF3" s="2">
        <v>-5.8532599999999997</v>
      </c>
      <c r="AG3" s="2">
        <v>-0.33422439999999998</v>
      </c>
      <c r="AH3" s="2">
        <v>-5.8532599999999997</v>
      </c>
      <c r="AI3" s="2">
        <v>-10.443899999999999</v>
      </c>
      <c r="AJ3" s="2">
        <v>1005.4869505623872</v>
      </c>
      <c r="AK3" s="2">
        <v>72.265975103734448</v>
      </c>
      <c r="AL3" s="2">
        <v>73.374686973223561</v>
      </c>
      <c r="AM3" s="51">
        <v>1.1880485958260974E-3</v>
      </c>
    </row>
    <row r="4" spans="1:39" x14ac:dyDescent="0.25">
      <c r="A4" t="s">
        <v>106</v>
      </c>
      <c r="B4" t="s">
        <v>1134</v>
      </c>
      <c r="C4" t="s">
        <v>1061</v>
      </c>
      <c r="D4" s="2">
        <v>1135.79</v>
      </c>
      <c r="E4" s="2">
        <v>-0.62905739999999999</v>
      </c>
      <c r="F4" s="2">
        <v>1176.94</v>
      </c>
      <c r="G4" s="2">
        <v>3.5589405862971915</v>
      </c>
      <c r="H4" s="2">
        <v>967.14</v>
      </c>
      <c r="I4" s="2">
        <v>-16.074046040071266</v>
      </c>
      <c r="J4" s="2">
        <v>-1.4704090000000001</v>
      </c>
      <c r="K4" s="2">
        <v>4.3838359999999996</v>
      </c>
      <c r="L4" s="2">
        <v>0.10488840000000001</v>
      </c>
      <c r="M4" s="2">
        <v>5.3862759999999996</v>
      </c>
      <c r="N4" s="2">
        <v>0.10488840000000001</v>
      </c>
      <c r="O4" s="2">
        <v>-3.110255</v>
      </c>
      <c r="P4" s="2">
        <v>24.409749576261074</v>
      </c>
      <c r="Q4" s="2">
        <v>11.977994038067958</v>
      </c>
      <c r="R4" s="2">
        <v>19.38489901182059</v>
      </c>
      <c r="S4" s="3">
        <v>0.59580523048389855</v>
      </c>
      <c r="V4" s="49" t="s">
        <v>798</v>
      </c>
      <c r="W4" s="49" t="s">
        <v>391</v>
      </c>
      <c r="X4" s="2">
        <v>9.16</v>
      </c>
      <c r="Y4" s="2">
        <v>2.1181719999999999</v>
      </c>
      <c r="Z4" s="2">
        <v>13.246</v>
      </c>
      <c r="AA4" s="2">
        <v>36.884944137674886</v>
      </c>
      <c r="AB4" s="2">
        <v>6.4019000000000004</v>
      </c>
      <c r="AC4" s="2">
        <v>-35.82513573790758</v>
      </c>
      <c r="AD4" s="2">
        <v>-2.3454160000000002</v>
      </c>
      <c r="AE4" s="2">
        <v>14.93099</v>
      </c>
      <c r="AF4" s="2">
        <v>-10.37182</v>
      </c>
      <c r="AG4" s="2">
        <v>-7.2874499999999998</v>
      </c>
      <c r="AH4" s="2">
        <v>-10.37182</v>
      </c>
      <c r="AI4" s="2">
        <v>-15.445919999999999</v>
      </c>
      <c r="AJ4" s="2">
        <v>784.53475420287282</v>
      </c>
      <c r="AK4" s="2">
        <v>13.030135595757418</v>
      </c>
      <c r="AL4" s="2">
        <v>15.067474400775266</v>
      </c>
      <c r="AM4" s="51">
        <v>2.6407344245016787E-3</v>
      </c>
    </row>
    <row r="5" spans="1:39" x14ac:dyDescent="0.25">
      <c r="A5" t="s">
        <v>108</v>
      </c>
      <c r="B5" t="s">
        <v>1072</v>
      </c>
      <c r="C5" t="s">
        <v>1061</v>
      </c>
      <c r="D5" s="2">
        <v>25565.31</v>
      </c>
      <c r="E5" s="2">
        <v>-0.2988075</v>
      </c>
      <c r="F5" s="2">
        <v>26404.37</v>
      </c>
      <c r="G5" s="2">
        <v>3.2293172344776071</v>
      </c>
      <c r="H5" s="2">
        <v>21160.7109375</v>
      </c>
      <c r="I5" s="2">
        <v>-18.909014980567409</v>
      </c>
      <c r="J5" s="2">
        <v>-1.4742999999999999</v>
      </c>
      <c r="K5" s="2">
        <v>2.2625920000000002</v>
      </c>
      <c r="L5" s="2">
        <v>1.069553</v>
      </c>
      <c r="M5" s="2">
        <v>2.9620440000000001</v>
      </c>
      <c r="N5" s="2">
        <v>1.069553</v>
      </c>
      <c r="O5" s="2">
        <v>-2.3445399999999998</v>
      </c>
      <c r="P5" s="2">
        <v>24.441609805915174</v>
      </c>
      <c r="Q5" s="2">
        <v>15.161549502444776</v>
      </c>
      <c r="R5" s="2">
        <v>16.632983054756277</v>
      </c>
      <c r="S5" s="3">
        <v>0.15855861968496468</v>
      </c>
      <c r="V5" s="49" t="s">
        <v>852</v>
      </c>
      <c r="W5" s="49" t="s">
        <v>375</v>
      </c>
      <c r="X5" s="2">
        <v>895.6</v>
      </c>
      <c r="Y5" s="2">
        <v>1.083521</v>
      </c>
      <c r="Z5" s="2">
        <v>1386</v>
      </c>
      <c r="AA5" s="2">
        <v>43.66832950252487</v>
      </c>
      <c r="AB5" s="2">
        <v>787.7</v>
      </c>
      <c r="AC5" s="2">
        <v>-12.837657801532105</v>
      </c>
      <c r="AD5" s="2">
        <v>-0.65446479999999996</v>
      </c>
      <c r="AE5" s="2">
        <v>10.99268</v>
      </c>
      <c r="AF5" s="2">
        <v>1.3810249999999999</v>
      </c>
      <c r="AG5" s="2">
        <v>-8.4815020000000008</v>
      </c>
      <c r="AH5" s="2">
        <v>1.3810249999999999</v>
      </c>
      <c r="AI5" s="2">
        <v>-33.585470000000001</v>
      </c>
      <c r="AJ5" s="2">
        <v>186.83667088468582</v>
      </c>
      <c r="AK5" s="2">
        <v>6.7549333783100014</v>
      </c>
      <c r="AL5" s="2">
        <v>7.5527068273396649</v>
      </c>
      <c r="AM5" s="51">
        <v>4.4300630373550138E-3</v>
      </c>
    </row>
    <row r="6" spans="1:39" x14ac:dyDescent="0.25">
      <c r="A6" t="s">
        <v>118</v>
      </c>
      <c r="B6" t="s">
        <v>1132</v>
      </c>
      <c r="C6" t="s">
        <v>1133</v>
      </c>
      <c r="D6" s="2">
        <v>10413.620000000001</v>
      </c>
      <c r="E6" s="2">
        <v>-1.087094</v>
      </c>
      <c r="F6" s="2">
        <v>12558.8203125</v>
      </c>
      <c r="G6" s="2">
        <v>18.73086677312056</v>
      </c>
      <c r="H6" s="2">
        <v>9379.36</v>
      </c>
      <c r="I6" s="2">
        <v>-10.460303432052715</v>
      </c>
      <c r="J6" s="2">
        <v>-1.4863690000000001</v>
      </c>
      <c r="K6" s="2">
        <v>1.1204799999999999</v>
      </c>
      <c r="L6" s="2">
        <v>-3.0762770000000002</v>
      </c>
      <c r="M6" s="2">
        <v>-0.52423830000000005</v>
      </c>
      <c r="N6" s="2">
        <v>-3.0762770000000002</v>
      </c>
      <c r="O6" s="2">
        <v>-16.799669999999999</v>
      </c>
      <c r="P6" s="2">
        <v>514.70279850736108</v>
      </c>
      <c r="Q6" s="2">
        <v>13.021137611857018</v>
      </c>
      <c r="R6" s="2">
        <v>127.10697961155428</v>
      </c>
      <c r="S6" s="3">
        <v>0.22740684161357128</v>
      </c>
      <c r="V6" s="49" t="s">
        <v>814</v>
      </c>
      <c r="W6" s="49" t="s">
        <v>1126</v>
      </c>
      <c r="X6" s="2">
        <v>508.7</v>
      </c>
      <c r="Y6" s="2">
        <v>-0.46957539999999998</v>
      </c>
      <c r="Z6" s="2">
        <v>603.20000000000005</v>
      </c>
      <c r="AA6" s="2">
        <v>17.039036486502699</v>
      </c>
      <c r="AB6" s="2">
        <v>481.35</v>
      </c>
      <c r="AC6" s="2">
        <v>-5.5263795604743651</v>
      </c>
      <c r="AD6" s="2">
        <v>-1.2424770000000001</v>
      </c>
      <c r="AE6" s="2">
        <v>4.241803</v>
      </c>
      <c r="AF6" s="2">
        <v>-7.6769509999999999</v>
      </c>
      <c r="AG6" s="2">
        <v>-7.2054020000000003</v>
      </c>
      <c r="AH6" s="2">
        <v>-7.6769509999999999</v>
      </c>
      <c r="AI6" s="2">
        <v>-13.294700000000001</v>
      </c>
      <c r="AJ6" s="2">
        <v>1154.757711715592</v>
      </c>
      <c r="AK6" s="2">
        <v>8.598080055901292</v>
      </c>
      <c r="AL6" s="2">
        <v>14.268077055956633</v>
      </c>
      <c r="AM6" s="51">
        <v>4.9469522773585477E-3</v>
      </c>
    </row>
    <row r="7" spans="1:39" x14ac:dyDescent="0.25">
      <c r="A7" t="s">
        <v>92</v>
      </c>
      <c r="B7" t="s">
        <v>1131</v>
      </c>
      <c r="C7" t="s">
        <v>1065</v>
      </c>
      <c r="D7" s="2">
        <v>127.44</v>
      </c>
      <c r="E7" s="2">
        <v>-0.98671430000000004</v>
      </c>
      <c r="F7" s="2">
        <v>136.87</v>
      </c>
      <c r="G7" s="2">
        <v>7.1385904621381933</v>
      </c>
      <c r="H7" s="2">
        <v>114.1</v>
      </c>
      <c r="I7" s="2">
        <v>-11.057040873376318</v>
      </c>
      <c r="J7" s="2">
        <v>-1.491841</v>
      </c>
      <c r="K7" s="2">
        <v>2.1481249999999998</v>
      </c>
      <c r="L7" s="2">
        <v>-3.4911020000000001</v>
      </c>
      <c r="M7" s="2">
        <v>-0.90972569999999997</v>
      </c>
      <c r="N7" s="2">
        <v>-3.4911020000000001</v>
      </c>
      <c r="O7" s="2">
        <v>-6.876144</v>
      </c>
      <c r="P7" s="2">
        <v>29.290085608847587</v>
      </c>
      <c r="Q7" s="2">
        <v>13.599399923959067</v>
      </c>
      <c r="R7" s="2">
        <v>15.567242686566725</v>
      </c>
      <c r="S7" s="3">
        <v>0.12541470794376181</v>
      </c>
      <c r="V7" s="49" t="s">
        <v>816</v>
      </c>
      <c r="W7" s="49" t="s">
        <v>1126</v>
      </c>
      <c r="X7" s="2">
        <v>1680</v>
      </c>
      <c r="Y7" s="2">
        <v>-1.176471</v>
      </c>
      <c r="Z7" s="2">
        <v>1767</v>
      </c>
      <c r="AA7" s="2">
        <v>5.0489399922391831</v>
      </c>
      <c r="AB7" s="2">
        <v>1408.8</v>
      </c>
      <c r="AC7" s="2">
        <v>-17.605551521530831</v>
      </c>
      <c r="AD7" s="2">
        <v>2.0036429999999998</v>
      </c>
      <c r="AE7" s="2">
        <v>-0.66224879999999997</v>
      </c>
      <c r="AF7" s="2">
        <v>4.6337830000000002</v>
      </c>
      <c r="AG7" s="2">
        <v>8.4010809999999996</v>
      </c>
      <c r="AH7" s="2">
        <v>4.6337830000000002</v>
      </c>
      <c r="AI7" s="2">
        <v>9.4319989999999994</v>
      </c>
      <c r="AJ7" s="2">
        <v>2437.012674464489</v>
      </c>
      <c r="AK7" s="2">
        <v>4.9164696399794883</v>
      </c>
      <c r="AL7" s="2">
        <v>18.70824053452116</v>
      </c>
      <c r="AM7" s="51">
        <v>5.6707341046719944E-3</v>
      </c>
    </row>
    <row r="8" spans="1:39" x14ac:dyDescent="0.25">
      <c r="A8" t="s">
        <v>149</v>
      </c>
      <c r="B8" t="s">
        <v>1009</v>
      </c>
      <c r="C8" t="s">
        <v>995</v>
      </c>
      <c r="D8" s="2">
        <v>3955.9540000000002</v>
      </c>
      <c r="E8" s="2">
        <v>-0.5047256</v>
      </c>
      <c r="F8" s="2">
        <v>4387.44921875</v>
      </c>
      <c r="G8" s="2">
        <v>10.352622886504566</v>
      </c>
      <c r="H8" s="2">
        <v>3629.49</v>
      </c>
      <c r="I8" s="2">
        <v>-8.6129643247362537</v>
      </c>
      <c r="J8" s="2">
        <v>-1.510443</v>
      </c>
      <c r="K8" s="2">
        <v>4.732005</v>
      </c>
      <c r="L8" s="2">
        <v>-8.3245520000000003E-2</v>
      </c>
      <c r="M8" s="2">
        <v>-3.58182</v>
      </c>
      <c r="N8" s="2">
        <v>-8.3245520000000003E-2</v>
      </c>
      <c r="O8" s="2">
        <v>-8.5354550000000007</v>
      </c>
      <c r="P8" s="2">
        <v>26.18938883805507</v>
      </c>
      <c r="Q8" s="2">
        <v>14.284915622146739</v>
      </c>
      <c r="R8" s="2">
        <v>17.718931423398473</v>
      </c>
      <c r="S8" s="3">
        <v>0.2884643225256493</v>
      </c>
      <c r="V8" s="49" t="s">
        <v>823</v>
      </c>
      <c r="W8" s="49" t="s">
        <v>1126</v>
      </c>
      <c r="X8" s="2">
        <v>148.12</v>
      </c>
      <c r="Y8" s="2">
        <v>0.73449399999999998</v>
      </c>
      <c r="Z8" s="2">
        <v>181</v>
      </c>
      <c r="AA8" s="2">
        <v>20.047427522041382</v>
      </c>
      <c r="AB8" s="2">
        <v>134.69999999999999</v>
      </c>
      <c r="AC8" s="2">
        <v>-9.4972672629093715</v>
      </c>
      <c r="AD8" s="2">
        <v>8.108108E-2</v>
      </c>
      <c r="AE8" s="2">
        <v>7.3022359999999997</v>
      </c>
      <c r="AF8" s="2">
        <v>0.83050109999999999</v>
      </c>
      <c r="AG8" s="2">
        <v>-4.770473</v>
      </c>
      <c r="AH8" s="2">
        <v>0.83050109999999999</v>
      </c>
      <c r="AI8" s="2">
        <v>-15.417999999999999</v>
      </c>
      <c r="AJ8" s="2">
        <v>92.752418571346354</v>
      </c>
      <c r="AK8" s="2">
        <v>7.4736321918768613</v>
      </c>
      <c r="AL8" s="2">
        <v>8.2033215986391017</v>
      </c>
      <c r="AM8" s="51">
        <v>8.5565172505540025E-3</v>
      </c>
    </row>
    <row r="9" spans="1:39" x14ac:dyDescent="0.25">
      <c r="A9" t="s">
        <v>259</v>
      </c>
      <c r="B9" t="s">
        <v>1064</v>
      </c>
      <c r="C9" t="s">
        <v>1065</v>
      </c>
      <c r="D9" s="2">
        <v>1175.3399999999999</v>
      </c>
      <c r="E9" s="2">
        <v>-0.4531249</v>
      </c>
      <c r="F9" s="2">
        <v>1310.5</v>
      </c>
      <c r="G9" s="2">
        <v>10.885127634009701</v>
      </c>
      <c r="H9" s="2">
        <v>1050.92</v>
      </c>
      <c r="I9" s="2">
        <v>-11.189149642640693</v>
      </c>
      <c r="J9" s="2">
        <v>-1.5413730000000001</v>
      </c>
      <c r="K9" s="2">
        <v>4.7409369999999997</v>
      </c>
      <c r="L9" s="2">
        <v>-2.711697</v>
      </c>
      <c r="M9" s="2">
        <v>-4.4959309999999997</v>
      </c>
      <c r="N9" s="2">
        <v>-2.711697</v>
      </c>
      <c r="O9" s="2">
        <v>-5.6262650000000001</v>
      </c>
      <c r="P9" s="2">
        <v>15.806526892508847</v>
      </c>
      <c r="Q9" s="2">
        <v>8.9299917860238107</v>
      </c>
      <c r="R9" s="2">
        <v>13.010745604979835</v>
      </c>
      <c r="S9" s="3">
        <v>0.59343168554576242</v>
      </c>
      <c r="V9" s="49" t="s">
        <v>822</v>
      </c>
      <c r="W9" s="49" t="s">
        <v>1126</v>
      </c>
      <c r="X9" s="2">
        <v>1841.6</v>
      </c>
      <c r="Y9" s="2">
        <v>0.51304439999999996</v>
      </c>
      <c r="Z9" s="2">
        <v>2294</v>
      </c>
      <c r="AA9" s="2">
        <v>21.966225972169788</v>
      </c>
      <c r="AB9" s="2">
        <v>1529.8</v>
      </c>
      <c r="AC9" s="2">
        <v>-18.549775107985255</v>
      </c>
      <c r="AD9" s="2">
        <v>-3.7021540000000002</v>
      </c>
      <c r="AE9" s="2">
        <v>10.50042</v>
      </c>
      <c r="AF9" s="2">
        <v>-15.65835</v>
      </c>
      <c r="AG9" s="2">
        <v>-5.8967809999999998</v>
      </c>
      <c r="AH9" s="2">
        <v>-15.65835</v>
      </c>
      <c r="AI9" s="2">
        <v>5.0661769999999997</v>
      </c>
      <c r="AJ9" s="2">
        <v>252.56850702722608</v>
      </c>
      <c r="AK9" s="2">
        <v>3.9715520335996688</v>
      </c>
      <c r="AL9" s="2">
        <v>6.9778235530913912</v>
      </c>
      <c r="AM9" s="51">
        <v>1.2092953912363077E-2</v>
      </c>
    </row>
    <row r="10" spans="1:39" x14ac:dyDescent="0.25">
      <c r="A10" t="s">
        <v>249</v>
      </c>
      <c r="B10" t="s">
        <v>383</v>
      </c>
      <c r="C10" t="s">
        <v>380</v>
      </c>
      <c r="D10" s="2">
        <v>1628.38</v>
      </c>
      <c r="E10" s="2">
        <v>-0.13002150000000001</v>
      </c>
      <c r="F10" s="2">
        <v>1765.06</v>
      </c>
      <c r="G10" s="2">
        <v>8.0599028565076853</v>
      </c>
      <c r="H10" s="2">
        <v>1546.62</v>
      </c>
      <c r="I10" s="2">
        <v>-5.1513750875601918</v>
      </c>
      <c r="J10" s="2">
        <v>-1.5573060000000001</v>
      </c>
      <c r="K10" s="2">
        <v>0.3481802</v>
      </c>
      <c r="L10" s="2">
        <v>-5.4482299999999997</v>
      </c>
      <c r="M10" s="2">
        <v>-0.24137069999999999</v>
      </c>
      <c r="N10" s="2">
        <v>-5.4482299999999997</v>
      </c>
      <c r="O10" s="2">
        <v>-6.9459939999999998</v>
      </c>
      <c r="P10" s="2">
        <v>24.097280737762425</v>
      </c>
      <c r="Q10" s="2">
        <v>14.691348141665483</v>
      </c>
      <c r="R10" s="2">
        <v>18.603986715146242</v>
      </c>
      <c r="S10" s="3">
        <v>0.41597561257289212</v>
      </c>
      <c r="V10" s="49" t="s">
        <v>813</v>
      </c>
      <c r="W10" s="49" t="s">
        <v>1126</v>
      </c>
      <c r="X10" s="2">
        <v>615.79999999999995</v>
      </c>
      <c r="Y10" s="2">
        <v>0.73613609999999996</v>
      </c>
      <c r="Z10" s="2">
        <v>687.7</v>
      </c>
      <c r="AA10" s="2">
        <v>11.043046083539048</v>
      </c>
      <c r="AB10" s="2">
        <v>578.20000000000005</v>
      </c>
      <c r="AC10" s="2">
        <v>-6.3002405908154175</v>
      </c>
      <c r="AD10" s="2">
        <v>1.0170600000000001</v>
      </c>
      <c r="AE10" s="2">
        <v>5.0136380000000003</v>
      </c>
      <c r="AF10" s="2">
        <v>-4.939794</v>
      </c>
      <c r="AG10" s="2">
        <v>0.26049949999999999</v>
      </c>
      <c r="AH10" s="2">
        <v>-4.939794</v>
      </c>
      <c r="AI10" s="2">
        <v>-8.8648830000000007</v>
      </c>
      <c r="AJ10" s="2">
        <v>197.31251377012006</v>
      </c>
      <c r="AK10" s="2">
        <v>6.9829748821107938</v>
      </c>
      <c r="AL10" s="2">
        <v>11.191259189919867</v>
      </c>
      <c r="AM10" s="51">
        <v>2.2110515962975384E-2</v>
      </c>
    </row>
    <row r="11" spans="1:39" x14ac:dyDescent="0.25">
      <c r="A11" t="s">
        <v>97</v>
      </c>
      <c r="B11" t="s">
        <v>1130</v>
      </c>
      <c r="C11" t="s">
        <v>369</v>
      </c>
      <c r="D11" s="2">
        <v>1143.3900000000001</v>
      </c>
      <c r="E11" s="2">
        <v>-0.90567149999999996</v>
      </c>
      <c r="F11" s="2">
        <v>1256.07</v>
      </c>
      <c r="G11" s="2">
        <v>9.3990265013320631</v>
      </c>
      <c r="H11" s="2">
        <v>1085.57</v>
      </c>
      <c r="I11" s="2">
        <v>-5.1892339294923593</v>
      </c>
      <c r="J11" s="2">
        <v>-1.5583419999999999</v>
      </c>
      <c r="K11" s="2">
        <v>2.9552450000000001</v>
      </c>
      <c r="L11" s="2">
        <v>-2.6064940000000001</v>
      </c>
      <c r="M11" s="2">
        <v>-4.5432949999999996</v>
      </c>
      <c r="N11" s="2">
        <v>-2.6064940000000001</v>
      </c>
      <c r="O11" s="2">
        <v>-6.5705200000000001</v>
      </c>
      <c r="P11" s="2">
        <v>66.760241186121434</v>
      </c>
      <c r="Q11" s="2">
        <v>9.8113545853836346</v>
      </c>
      <c r="R11" s="2">
        <v>10.240406201119319</v>
      </c>
      <c r="S11" s="3">
        <v>7.5339772442561768E-3</v>
      </c>
      <c r="V11" s="49" t="s">
        <v>811</v>
      </c>
      <c r="W11" s="49" t="s">
        <v>1133</v>
      </c>
      <c r="X11" s="2">
        <v>14.175000000000001</v>
      </c>
      <c r="Y11" s="2">
        <v>-0.5263158</v>
      </c>
      <c r="Z11" s="2">
        <v>15.25</v>
      </c>
      <c r="AA11" s="2">
        <v>7.3099653439604912</v>
      </c>
      <c r="AB11" s="2">
        <v>13.08</v>
      </c>
      <c r="AC11" s="2">
        <v>-8.0395503584763226</v>
      </c>
      <c r="AD11" s="2">
        <v>1.5401149999999999</v>
      </c>
      <c r="AE11" s="2">
        <v>5.7835850000000004</v>
      </c>
      <c r="AF11" s="2">
        <v>2.125359</v>
      </c>
      <c r="AG11" s="2">
        <v>-1.0471189999999999</v>
      </c>
      <c r="AH11" s="2">
        <v>2.125359</v>
      </c>
      <c r="AI11" s="2">
        <v>3.580559</v>
      </c>
      <c r="AJ11" s="2">
        <v>217.90925079513622</v>
      </c>
      <c r="AK11" s="2">
        <v>13.893838062590129</v>
      </c>
      <c r="AL11" s="2">
        <v>19.712414566653496</v>
      </c>
      <c r="AM11" s="51">
        <v>2.8520279061911992E-2</v>
      </c>
    </row>
    <row r="12" spans="1:39" x14ac:dyDescent="0.25">
      <c r="A12" t="s">
        <v>215</v>
      </c>
      <c r="B12" t="s">
        <v>1128</v>
      </c>
      <c r="C12" t="s">
        <v>1129</v>
      </c>
      <c r="D12" s="2">
        <v>2210.4299999999998</v>
      </c>
      <c r="E12" s="2">
        <v>-0.1855916</v>
      </c>
      <c r="F12" s="2">
        <v>2973.4490000000001</v>
      </c>
      <c r="G12" s="2">
        <v>29.653549177336796</v>
      </c>
      <c r="H12" s="2">
        <v>2210.4299999999998</v>
      </c>
      <c r="I12" s="2">
        <v>0</v>
      </c>
      <c r="J12" s="2">
        <v>-1.5666169999999999</v>
      </c>
      <c r="K12" s="2">
        <v>-3.0134650000000001</v>
      </c>
      <c r="L12" s="2">
        <v>-6.7710699999999999</v>
      </c>
      <c r="M12" s="2">
        <v>-8.740202</v>
      </c>
      <c r="N12" s="2">
        <v>-6.7710699999999999</v>
      </c>
      <c r="O12" s="2">
        <v>-21.99175</v>
      </c>
      <c r="P12" s="2">
        <v>379.95021940427159</v>
      </c>
      <c r="Q12" s="2">
        <v>15.300627669638352</v>
      </c>
      <c r="R12" s="2">
        <v>15.300627669638352</v>
      </c>
      <c r="S12" s="3">
        <v>0</v>
      </c>
      <c r="V12" s="49" t="s">
        <v>839</v>
      </c>
      <c r="W12" s="49" t="s">
        <v>1124</v>
      </c>
      <c r="X12" s="2">
        <v>11.095000000000001</v>
      </c>
      <c r="Y12" s="2">
        <v>-0.80464910000000001</v>
      </c>
      <c r="Z12" s="2">
        <v>15.236000000000001</v>
      </c>
      <c r="AA12" s="2">
        <v>31.716649223180028</v>
      </c>
      <c r="AB12" s="2">
        <v>9.86</v>
      </c>
      <c r="AC12" s="2">
        <v>-11.800838777001333</v>
      </c>
      <c r="AD12" s="2">
        <v>-2.1604939999999999</v>
      </c>
      <c r="AE12" s="2">
        <v>7.2498760000000004</v>
      </c>
      <c r="AF12" s="2">
        <v>-1.7271920000000001</v>
      </c>
      <c r="AG12" s="2">
        <v>-0.94248319999999997</v>
      </c>
      <c r="AH12" s="2">
        <v>-1.7271920000000001</v>
      </c>
      <c r="AI12" s="2">
        <v>-26.561879999999999</v>
      </c>
      <c r="AJ12" s="2">
        <v>65.853164848507944</v>
      </c>
      <c r="AK12" s="2">
        <v>6.731480345227455</v>
      </c>
      <c r="AL12" s="2">
        <v>9.2095043492445097</v>
      </c>
      <c r="AM12" s="51">
        <v>4.191396143118277E-2</v>
      </c>
    </row>
    <row r="13" spans="1:39" x14ac:dyDescent="0.25">
      <c r="A13" t="s">
        <v>32</v>
      </c>
      <c r="B13" t="s">
        <v>1127</v>
      </c>
      <c r="C13" t="s">
        <v>391</v>
      </c>
      <c r="D13" s="2">
        <v>2531.8449999999998</v>
      </c>
      <c r="E13" s="2">
        <v>-0.61549940000000003</v>
      </c>
      <c r="F13" s="2">
        <v>2765.5509999999999</v>
      </c>
      <c r="G13" s="2">
        <v>8.8291605815606005</v>
      </c>
      <c r="H13" s="2">
        <v>2192.24609375</v>
      </c>
      <c r="I13" s="2">
        <v>-14.402165414782353</v>
      </c>
      <c r="J13" s="2">
        <v>-1.5750919999999999</v>
      </c>
      <c r="K13" s="2">
        <v>6.4537069999999996</v>
      </c>
      <c r="L13" s="2">
        <v>-1.114055</v>
      </c>
      <c r="M13" s="2">
        <v>-1.544537E-2</v>
      </c>
      <c r="N13" s="2">
        <v>-1.114055</v>
      </c>
      <c r="O13" s="2">
        <v>-6.3926100000000003</v>
      </c>
      <c r="P13" s="2">
        <v>555.04433258450172</v>
      </c>
      <c r="Q13" s="2">
        <v>20.010223243328312</v>
      </c>
      <c r="R13" s="2">
        <v>23.81051491739758</v>
      </c>
      <c r="S13" s="3">
        <v>7.1028960728295324E-3</v>
      </c>
      <c r="V13" s="49" t="s">
        <v>840</v>
      </c>
      <c r="W13" s="49" t="s">
        <v>1124</v>
      </c>
      <c r="X13" s="2">
        <v>12.13</v>
      </c>
      <c r="Y13" s="2">
        <v>-1.9005259999999999</v>
      </c>
      <c r="Z13" s="2">
        <v>15.052199999999999</v>
      </c>
      <c r="AA13" s="2">
        <v>21.58424369577515</v>
      </c>
      <c r="AB13" s="2">
        <v>10.159000000000001</v>
      </c>
      <c r="AC13" s="2">
        <v>-17.732171084655089</v>
      </c>
      <c r="AD13" s="2">
        <v>-4.4129240000000003</v>
      </c>
      <c r="AE13" s="2">
        <v>8.0623570000000004</v>
      </c>
      <c r="AF13" s="2">
        <v>7.1081700000000003</v>
      </c>
      <c r="AG13" s="2">
        <v>8.5087170000000008</v>
      </c>
      <c r="AH13" s="2">
        <v>7.1081700000000003</v>
      </c>
      <c r="AI13" s="2">
        <v>-18.511240000000001</v>
      </c>
      <c r="AJ13" s="2">
        <v>113.36863281398429</v>
      </c>
      <c r="AK13" s="2">
        <v>8.4207318311338977</v>
      </c>
      <c r="AL13" s="2">
        <v>13.029085165361881</v>
      </c>
      <c r="AM13" s="51">
        <v>4.3910867116637588E-2</v>
      </c>
    </row>
    <row r="14" spans="1:39" x14ac:dyDescent="0.25">
      <c r="A14" t="s">
        <v>199</v>
      </c>
      <c r="B14" t="s">
        <v>1068</v>
      </c>
      <c r="C14" t="s">
        <v>1069</v>
      </c>
      <c r="D14" s="2">
        <v>65.72</v>
      </c>
      <c r="E14" s="2">
        <v>-0.68006650000000002</v>
      </c>
      <c r="F14" s="2">
        <v>73.88</v>
      </c>
      <c r="G14" s="2">
        <v>11.703886216197191</v>
      </c>
      <c r="H14" s="2">
        <v>60.12</v>
      </c>
      <c r="I14" s="2">
        <v>-8.9060728284293642</v>
      </c>
      <c r="J14" s="2">
        <v>-1.6903490000000001</v>
      </c>
      <c r="K14" s="2">
        <v>-6.621194</v>
      </c>
      <c r="L14" s="2">
        <v>-6.3417380000000003</v>
      </c>
      <c r="M14" s="2">
        <v>1.0299739999999999</v>
      </c>
      <c r="N14" s="2">
        <v>-6.3417380000000003</v>
      </c>
      <c r="O14" s="2">
        <v>-9.5762230000000006</v>
      </c>
      <c r="P14" s="2">
        <v>688.75380975202631</v>
      </c>
      <c r="Q14" s="2">
        <v>1.4807297367932395</v>
      </c>
      <c r="R14" s="2">
        <v>1.7495113469847241</v>
      </c>
      <c r="S14" s="3">
        <v>3.91084152729403E-4</v>
      </c>
      <c r="V14" s="49" t="s">
        <v>834</v>
      </c>
      <c r="W14" s="49" t="s">
        <v>381</v>
      </c>
      <c r="X14" s="2">
        <v>4.6760000000000002</v>
      </c>
      <c r="Y14" s="2">
        <v>0.1284797</v>
      </c>
      <c r="Z14" s="2">
        <v>5.6790000000000003</v>
      </c>
      <c r="AA14" s="2">
        <v>19.433211728547359</v>
      </c>
      <c r="AB14" s="2">
        <v>4.1870000000000003</v>
      </c>
      <c r="AC14" s="2">
        <v>-11.045855657281562</v>
      </c>
      <c r="AD14" s="2">
        <v>-0.35162490000000002</v>
      </c>
      <c r="AE14" s="2">
        <v>10.28302</v>
      </c>
      <c r="AF14" s="2">
        <v>-4.1410369999999999</v>
      </c>
      <c r="AG14" s="2">
        <v>-10.076919999999999</v>
      </c>
      <c r="AH14" s="2">
        <v>-4.1410369999999999</v>
      </c>
      <c r="AI14" s="2">
        <v>-16.47017</v>
      </c>
      <c r="AJ14" s="2">
        <v>23.12572425195723</v>
      </c>
      <c r="AK14" s="2">
        <v>6.61224310170312</v>
      </c>
      <c r="AL14" s="2">
        <v>7.349381869621741</v>
      </c>
      <c r="AM14" s="51">
        <v>4.4638605343808924E-2</v>
      </c>
    </row>
    <row r="15" spans="1:39" x14ac:dyDescent="0.25">
      <c r="A15" t="s">
        <v>103</v>
      </c>
      <c r="B15" t="s">
        <v>1125</v>
      </c>
      <c r="C15" t="s">
        <v>1126</v>
      </c>
      <c r="D15" s="2">
        <v>5288.87</v>
      </c>
      <c r="E15" s="2">
        <v>-0.94970019999999999</v>
      </c>
      <c r="F15" s="2">
        <v>5421.12</v>
      </c>
      <c r="G15" s="2">
        <v>2.4697823704238542</v>
      </c>
      <c r="H15" s="2">
        <v>4200.08</v>
      </c>
      <c r="I15" s="2">
        <v>-23.050103973923935</v>
      </c>
      <c r="J15" s="2">
        <v>-1.71177</v>
      </c>
      <c r="K15" s="2">
        <v>-1.0062420000000001</v>
      </c>
      <c r="L15" s="2">
        <v>3.1531820000000002</v>
      </c>
      <c r="M15" s="2">
        <v>12.307639999999999</v>
      </c>
      <c r="N15" s="2">
        <v>3.1531820000000002</v>
      </c>
      <c r="O15" s="2">
        <v>12.49732</v>
      </c>
      <c r="P15" s="2">
        <v>178.09074367803041</v>
      </c>
      <c r="Q15" s="2">
        <v>19.418896160381973</v>
      </c>
      <c r="R15" s="2">
        <v>46.801724460036574</v>
      </c>
      <c r="S15" s="3">
        <v>0.17257521562928116</v>
      </c>
      <c r="V15" s="49" t="s">
        <v>797</v>
      </c>
      <c r="W15" s="49" t="s">
        <v>391</v>
      </c>
      <c r="X15" s="2">
        <v>49.84</v>
      </c>
      <c r="Y15" s="2">
        <v>-0.33993200000000001</v>
      </c>
      <c r="Z15" s="2">
        <v>63.69</v>
      </c>
      <c r="AA15" s="2">
        <v>24.520968990407653</v>
      </c>
      <c r="AB15" s="2">
        <v>42.48</v>
      </c>
      <c r="AC15" s="2">
        <v>-15.978449754551447</v>
      </c>
      <c r="AD15" s="2">
        <v>-4.0112309999999998E-2</v>
      </c>
      <c r="AE15" s="2">
        <v>6.9987079999999997</v>
      </c>
      <c r="AF15" s="2">
        <v>8.8922860000000004</v>
      </c>
      <c r="AG15" s="2">
        <v>4.9484060000000003</v>
      </c>
      <c r="AH15" s="2">
        <v>8.8922860000000004</v>
      </c>
      <c r="AI15" s="2">
        <v>-19.37884</v>
      </c>
      <c r="AJ15" s="2">
        <v>43.889309220016536</v>
      </c>
      <c r="AK15" s="2">
        <v>9.9504964546267143</v>
      </c>
      <c r="AL15" s="2">
        <v>11.595341239581966</v>
      </c>
      <c r="AM15" s="51">
        <v>4.846500660838185E-2</v>
      </c>
    </row>
    <row r="16" spans="1:39" x14ac:dyDescent="0.25">
      <c r="A16" t="s">
        <v>309</v>
      </c>
      <c r="B16" t="s">
        <v>379</v>
      </c>
      <c r="C16" t="s">
        <v>380</v>
      </c>
      <c r="D16" s="2">
        <v>1081.53</v>
      </c>
      <c r="E16" s="2">
        <v>-0.27937600000000001</v>
      </c>
      <c r="F16" s="2">
        <v>1164.92</v>
      </c>
      <c r="G16" s="2">
        <v>7.4275709854616307</v>
      </c>
      <c r="H16" s="2">
        <v>1031.45</v>
      </c>
      <c r="I16" s="2">
        <v>-4.7411126020410643</v>
      </c>
      <c r="J16" s="2">
        <v>-1.7273369999999999</v>
      </c>
      <c r="K16" s="2">
        <v>0.91347149999999999</v>
      </c>
      <c r="L16" s="2">
        <v>-5.5572549999999996</v>
      </c>
      <c r="M16" s="2">
        <v>-0.63758680000000001</v>
      </c>
      <c r="N16" s="2">
        <v>-5.5572549999999996</v>
      </c>
      <c r="O16" s="2">
        <v>-6.410463</v>
      </c>
      <c r="P16" s="2">
        <v>22.611309645644422</v>
      </c>
      <c r="Q16" s="2">
        <v>13.897593471737848</v>
      </c>
      <c r="R16" s="2">
        <v>17.870477184519729</v>
      </c>
      <c r="S16" s="3">
        <v>0.45593448690453953</v>
      </c>
      <c r="V16" s="49" t="s">
        <v>846</v>
      </c>
      <c r="W16" s="49" t="s">
        <v>375</v>
      </c>
      <c r="X16" s="2">
        <v>6528</v>
      </c>
      <c r="Y16" s="2">
        <v>1.7773620000000001</v>
      </c>
      <c r="Z16" s="2">
        <v>6973</v>
      </c>
      <c r="AA16" s="2">
        <v>6.5944930577067753</v>
      </c>
      <c r="AB16" s="2">
        <v>4507</v>
      </c>
      <c r="AC16" s="2">
        <v>-37.046887395329463</v>
      </c>
      <c r="AD16" s="2">
        <v>-0.21400179999999999</v>
      </c>
      <c r="AE16" s="2">
        <v>11.79997</v>
      </c>
      <c r="AF16" s="2">
        <v>15.88851</v>
      </c>
      <c r="AG16" s="2">
        <v>36.884039999999999</v>
      </c>
      <c r="AH16" s="2">
        <v>15.88851</v>
      </c>
      <c r="AI16" s="2">
        <v>-3.5460989999999999</v>
      </c>
      <c r="AJ16" s="2">
        <v>74.602044421020722</v>
      </c>
      <c r="AK16" s="2">
        <v>6.4273754998685471</v>
      </c>
      <c r="AL16" s="2">
        <v>9.804598909598834</v>
      </c>
      <c r="AM16" s="51">
        <v>4.9537804336625899E-2</v>
      </c>
    </row>
    <row r="17" spans="1:39" x14ac:dyDescent="0.25">
      <c r="A17" t="s">
        <v>126</v>
      </c>
      <c r="B17" t="s">
        <v>1123</v>
      </c>
      <c r="C17" t="s">
        <v>1124</v>
      </c>
      <c r="D17" s="2">
        <v>603.55999999999995</v>
      </c>
      <c r="E17" s="2">
        <v>-0.69596409999999997</v>
      </c>
      <c r="F17" s="2">
        <v>619.24</v>
      </c>
      <c r="G17" s="2">
        <v>2.5647464026814193</v>
      </c>
      <c r="H17" s="2">
        <v>498.56</v>
      </c>
      <c r="I17" s="2">
        <v>-19.112151240312176</v>
      </c>
      <c r="J17" s="2">
        <v>-1.757925</v>
      </c>
      <c r="K17" s="2">
        <v>2.6916679999999999</v>
      </c>
      <c r="L17" s="2">
        <v>0.73940430000000001</v>
      </c>
      <c r="M17" s="2">
        <v>5.8097570000000003</v>
      </c>
      <c r="N17" s="2">
        <v>0.73940430000000001</v>
      </c>
      <c r="O17" s="2">
        <v>3.0071330000000001</v>
      </c>
      <c r="P17" s="2">
        <v>30.031419053232526</v>
      </c>
      <c r="Q17" s="2">
        <v>11.882080109358121</v>
      </c>
      <c r="R17" s="2">
        <v>19.357253368261944</v>
      </c>
      <c r="S17" s="3">
        <v>0.41187027703985735</v>
      </c>
      <c r="V17" s="49" t="s">
        <v>842</v>
      </c>
      <c r="W17" s="49" t="s">
        <v>1105</v>
      </c>
      <c r="X17" s="2">
        <v>2338.5</v>
      </c>
      <c r="Y17" s="2">
        <v>0.3002359</v>
      </c>
      <c r="Z17" s="2">
        <v>2687</v>
      </c>
      <c r="AA17" s="2">
        <v>13.891563144955038</v>
      </c>
      <c r="AB17" s="2">
        <v>2209.5</v>
      </c>
      <c r="AC17" s="2">
        <v>-5.6743452595146211</v>
      </c>
      <c r="AD17" s="2">
        <v>4.2780749999999999E-2</v>
      </c>
      <c r="AE17" s="2">
        <v>3.176704</v>
      </c>
      <c r="AF17" s="2">
        <v>-9.9191059999999993</v>
      </c>
      <c r="AG17" s="2">
        <v>-1.867394</v>
      </c>
      <c r="AH17" s="2">
        <v>-9.9191059999999993</v>
      </c>
      <c r="AI17" s="2">
        <v>-11.87111</v>
      </c>
      <c r="AJ17" s="2">
        <v>75.796402948167881</v>
      </c>
      <c r="AK17" s="2">
        <v>8.1705729263178224</v>
      </c>
      <c r="AL17" s="2">
        <v>11.606097590361445</v>
      </c>
      <c r="AM17" s="51">
        <v>5.0801959294748719E-2</v>
      </c>
    </row>
    <row r="18" spans="1:39" x14ac:dyDescent="0.25">
      <c r="A18" t="s">
        <v>231</v>
      </c>
      <c r="B18" t="s">
        <v>1056</v>
      </c>
      <c r="C18" t="s">
        <v>997</v>
      </c>
      <c r="D18" s="2">
        <v>3187.09</v>
      </c>
      <c r="E18" s="2">
        <v>0.3302273</v>
      </c>
      <c r="F18" s="2">
        <v>3419.69</v>
      </c>
      <c r="G18" s="2">
        <v>7.0441628930965967</v>
      </c>
      <c r="H18" s="2">
        <v>179.82</v>
      </c>
      <c r="I18" s="2">
        <v>-287.49072031858543</v>
      </c>
      <c r="J18" s="2">
        <v>-1.7827740000000001</v>
      </c>
      <c r="K18" s="2">
        <v>1.479004</v>
      </c>
      <c r="L18" s="2">
        <v>2.2686570000000001</v>
      </c>
      <c r="M18" s="2">
        <v>-1.0377209999999999</v>
      </c>
      <c r="N18" s="2">
        <v>2.2686570000000001</v>
      </c>
      <c r="O18" s="2">
        <v>-1.230936</v>
      </c>
      <c r="P18" s="2">
        <v>29.181804074301894</v>
      </c>
      <c r="Q18" s="2">
        <v>8.0897789057352014</v>
      </c>
      <c r="R18" s="2">
        <v>11.1737612651412</v>
      </c>
      <c r="S18" s="3">
        <v>0.1462155641650778</v>
      </c>
      <c r="V18" s="49" t="s">
        <v>805</v>
      </c>
      <c r="W18" s="49" t="s">
        <v>1133</v>
      </c>
      <c r="X18" s="2">
        <v>47.19</v>
      </c>
      <c r="Y18" s="2">
        <v>-1.162425</v>
      </c>
      <c r="Z18" s="2">
        <v>56.82</v>
      </c>
      <c r="AA18" s="2">
        <v>18.570637068774573</v>
      </c>
      <c r="AB18" s="2">
        <v>42.65</v>
      </c>
      <c r="AC18" s="2">
        <v>-10.115473180060807</v>
      </c>
      <c r="AD18" s="2">
        <v>-1.7284459999999999</v>
      </c>
      <c r="AE18" s="2">
        <v>8.2836119999999998</v>
      </c>
      <c r="AF18" s="2">
        <v>-3.5856569999999999</v>
      </c>
      <c r="AG18" s="2">
        <v>-4.182741</v>
      </c>
      <c r="AH18" s="2">
        <v>-3.5856569999999999</v>
      </c>
      <c r="AI18" s="2">
        <v>-15.11063</v>
      </c>
      <c r="AJ18" s="2">
        <v>99.647383808422305</v>
      </c>
      <c r="AK18" s="2">
        <v>7.2250926664140422</v>
      </c>
      <c r="AL18" s="2">
        <v>12.727933003984651</v>
      </c>
      <c r="AM18" s="51">
        <v>5.9540185268891578E-2</v>
      </c>
    </row>
    <row r="19" spans="1:39" x14ac:dyDescent="0.25">
      <c r="A19" t="s">
        <v>173</v>
      </c>
      <c r="B19" t="s">
        <v>1120</v>
      </c>
      <c r="C19" t="s">
        <v>1121</v>
      </c>
      <c r="D19" s="2">
        <v>1031.06</v>
      </c>
      <c r="E19" s="2">
        <v>-1.576028</v>
      </c>
      <c r="F19" s="2">
        <v>1113.68</v>
      </c>
      <c r="G19" s="2">
        <v>7.7082447830384062</v>
      </c>
      <c r="H19" s="2">
        <v>975.31</v>
      </c>
      <c r="I19" s="2">
        <v>-5.5587309069114221</v>
      </c>
      <c r="J19" s="2">
        <v>-1.805682</v>
      </c>
      <c r="K19" s="2">
        <v>-0.79760589999999998</v>
      </c>
      <c r="L19" s="2">
        <v>-0.35563830000000002</v>
      </c>
      <c r="M19" s="2">
        <v>-4.0294059999999998</v>
      </c>
      <c r="N19" s="2">
        <v>-0.35563830000000002</v>
      </c>
      <c r="O19" s="2">
        <v>-6.3328360000000004</v>
      </c>
      <c r="P19" s="2">
        <v>114.33998199076478</v>
      </c>
      <c r="Q19" s="2">
        <v>11.102458037283428</v>
      </c>
      <c r="R19" s="2">
        <v>11.619695744666966</v>
      </c>
      <c r="S19" s="3">
        <v>5.0101715691728962E-3</v>
      </c>
      <c r="V19" s="49" t="s">
        <v>835</v>
      </c>
      <c r="W19" s="49" t="s">
        <v>381</v>
      </c>
      <c r="X19" s="2">
        <v>6.89</v>
      </c>
      <c r="Y19" s="2">
        <v>0.34954849999999998</v>
      </c>
      <c r="Z19" s="2">
        <v>8.0589999999999993</v>
      </c>
      <c r="AA19" s="2">
        <v>15.671839431680706</v>
      </c>
      <c r="AB19" s="2">
        <v>5.8609999999999998</v>
      </c>
      <c r="AC19" s="2">
        <v>-16.175084753127507</v>
      </c>
      <c r="AD19" s="2">
        <v>2.468769</v>
      </c>
      <c r="AE19" s="2">
        <v>16.012789999999999</v>
      </c>
      <c r="AF19" s="2">
        <v>-5.3311330000000003</v>
      </c>
      <c r="AG19" s="2">
        <v>-8.669143</v>
      </c>
      <c r="AH19" s="2">
        <v>-5.3311330000000003</v>
      </c>
      <c r="AI19" s="2">
        <v>1.6224160000000001</v>
      </c>
      <c r="AJ19" s="2">
        <v>54.664727201426999</v>
      </c>
      <c r="AK19" s="2">
        <v>9.5671863603504974</v>
      </c>
      <c r="AL19" s="2">
        <v>12.586060830471046</v>
      </c>
      <c r="AM19" s="51">
        <v>6.6940999748945226E-2</v>
      </c>
    </row>
    <row r="20" spans="1:39" x14ac:dyDescent="0.25">
      <c r="A20" t="s">
        <v>21</v>
      </c>
      <c r="B20" t="s">
        <v>1051</v>
      </c>
      <c r="C20" t="s">
        <v>391</v>
      </c>
      <c r="D20" s="2">
        <v>5044.8810000000003</v>
      </c>
      <c r="E20" s="2">
        <v>1.2197819999999999</v>
      </c>
      <c r="F20" s="2">
        <v>5649.6080000000002</v>
      </c>
      <c r="G20" s="2">
        <v>11.321209640366234</v>
      </c>
      <c r="H20" s="2">
        <v>4348.203125</v>
      </c>
      <c r="I20" s="2">
        <v>-14.861138076768507</v>
      </c>
      <c r="J20" s="2">
        <v>-1.826568</v>
      </c>
      <c r="K20" s="2">
        <v>7.2085359999999996</v>
      </c>
      <c r="L20" s="2">
        <v>0.75183199999999994</v>
      </c>
      <c r="M20" s="2">
        <v>2.6465480000000001</v>
      </c>
      <c r="N20" s="2">
        <v>0.75183199999999994</v>
      </c>
      <c r="O20" s="2">
        <v>-9.9592259999999992</v>
      </c>
      <c r="P20" s="2">
        <v>83.738463893611964</v>
      </c>
      <c r="Q20" s="2">
        <v>5.7670992902497593</v>
      </c>
      <c r="R20" s="2">
        <v>13.832857581928819</v>
      </c>
      <c r="S20" s="3">
        <v>0.10344513441196407</v>
      </c>
      <c r="V20" s="49" t="s">
        <v>843</v>
      </c>
      <c r="W20" s="49" t="s">
        <v>1105</v>
      </c>
      <c r="X20" s="2">
        <v>44.335000000000001</v>
      </c>
      <c r="Y20" s="2">
        <v>0.7842692</v>
      </c>
      <c r="Z20" s="2">
        <v>44.45</v>
      </c>
      <c r="AA20" s="2">
        <v>0.25905291279433335</v>
      </c>
      <c r="AB20" s="2">
        <v>29.045000000000002</v>
      </c>
      <c r="AC20" s="2">
        <v>-42.292808138747453</v>
      </c>
      <c r="AD20" s="2">
        <v>0.9219212</v>
      </c>
      <c r="AE20" s="2">
        <v>6.2297820000000002</v>
      </c>
      <c r="AF20" s="2">
        <v>17.040649999999999</v>
      </c>
      <c r="AG20" s="2">
        <v>25.399519999999999</v>
      </c>
      <c r="AH20" s="2">
        <v>17.040649999999999</v>
      </c>
      <c r="AI20" s="2">
        <v>12.14114</v>
      </c>
      <c r="AJ20" s="2">
        <v>138.63533486305616</v>
      </c>
      <c r="AK20" s="2">
        <v>19.876373049059289</v>
      </c>
      <c r="AL20" s="2">
        <v>28.155623462409942</v>
      </c>
      <c r="AM20" s="51">
        <v>6.9714742255138712E-2</v>
      </c>
    </row>
    <row r="21" spans="1:39" x14ac:dyDescent="0.25">
      <c r="A21" t="s">
        <v>134</v>
      </c>
      <c r="B21" t="s">
        <v>1118</v>
      </c>
      <c r="C21" t="s">
        <v>1119</v>
      </c>
      <c r="D21" s="2">
        <v>2244.4299999999998</v>
      </c>
      <c r="E21" s="2">
        <v>-0.47976940000000001</v>
      </c>
      <c r="F21" s="2">
        <v>2314.98</v>
      </c>
      <c r="G21" s="2">
        <v>3.0949456785356588</v>
      </c>
      <c r="H21" s="2">
        <v>1853.39</v>
      </c>
      <c r="I21" s="2">
        <v>-19.143519674013898</v>
      </c>
      <c r="J21" s="2">
        <v>-1.831345</v>
      </c>
      <c r="K21" s="2">
        <v>5.6853870000000004</v>
      </c>
      <c r="L21" s="2">
        <v>3.172736</v>
      </c>
      <c r="M21" s="2">
        <v>2.5186199999999999</v>
      </c>
      <c r="N21" s="2">
        <v>3.172736</v>
      </c>
      <c r="O21" s="2">
        <v>-0.54812640000000001</v>
      </c>
      <c r="P21" s="2">
        <v>647.03727312391584</v>
      </c>
      <c r="Q21" s="2">
        <v>10.853505322267505</v>
      </c>
      <c r="R21" s="2">
        <v>13.444241717541926</v>
      </c>
      <c r="S21" s="3">
        <v>4.0723082329289645E-3</v>
      </c>
      <c r="V21" s="49" t="s">
        <v>829</v>
      </c>
      <c r="W21" s="49" t="s">
        <v>1061</v>
      </c>
      <c r="X21" s="2">
        <v>15.282</v>
      </c>
      <c r="Y21" s="2">
        <v>-0.19592480000000001</v>
      </c>
      <c r="Z21" s="2">
        <v>15.88</v>
      </c>
      <c r="AA21" s="2">
        <v>3.8384790593614717</v>
      </c>
      <c r="AB21" s="2">
        <v>13.755000000000001</v>
      </c>
      <c r="AC21" s="2">
        <v>-10.527327084883705</v>
      </c>
      <c r="AD21" s="2">
        <v>0.59241710000000003</v>
      </c>
      <c r="AE21" s="2">
        <v>4.0724600000000004</v>
      </c>
      <c r="AF21" s="2">
        <v>-0.20896000000000001</v>
      </c>
      <c r="AG21" s="2">
        <v>-2.1951999999999998</v>
      </c>
      <c r="AH21" s="2">
        <v>-0.20896000000000001</v>
      </c>
      <c r="AI21" s="2">
        <v>10.45898</v>
      </c>
      <c r="AJ21" s="2">
        <v>264.49661857175067</v>
      </c>
      <c r="AK21" s="2">
        <v>9.9910842292649296</v>
      </c>
      <c r="AL21" s="2">
        <v>28.922584651862866</v>
      </c>
      <c r="AM21" s="51">
        <v>7.4385417478277663E-2</v>
      </c>
    </row>
    <row r="22" spans="1:39" x14ac:dyDescent="0.25">
      <c r="A22" t="s">
        <v>94</v>
      </c>
      <c r="B22" t="s">
        <v>1070</v>
      </c>
      <c r="C22" t="s">
        <v>369</v>
      </c>
      <c r="D22" s="2">
        <v>2662.76</v>
      </c>
      <c r="E22" s="2">
        <v>-0.74883049999999995</v>
      </c>
      <c r="F22" s="2">
        <v>2774.11</v>
      </c>
      <c r="G22" s="2">
        <v>4.0966796185787437</v>
      </c>
      <c r="H22" s="2">
        <v>2220.06</v>
      </c>
      <c r="I22" s="2">
        <v>-18.182895630400857</v>
      </c>
      <c r="J22" s="2">
        <v>-1.86629</v>
      </c>
      <c r="K22" s="2">
        <v>2.7426249999999999</v>
      </c>
      <c r="L22" s="2">
        <v>2.093826</v>
      </c>
      <c r="M22" s="2">
        <v>4.3687519999999997</v>
      </c>
      <c r="N22" s="2">
        <v>2.093826</v>
      </c>
      <c r="O22" s="2">
        <v>-2.6957499999999999</v>
      </c>
      <c r="P22" s="2">
        <v>358.61583098838508</v>
      </c>
      <c r="Q22" s="2">
        <v>17.830302077589224</v>
      </c>
      <c r="R22" s="2">
        <v>21.742012477545277</v>
      </c>
      <c r="S22" s="3">
        <v>1.1478510875912175E-2</v>
      </c>
      <c r="V22" s="49" t="s">
        <v>780</v>
      </c>
      <c r="W22" s="49" t="s">
        <v>391</v>
      </c>
      <c r="X22" s="2">
        <v>123.51</v>
      </c>
      <c r="Y22" s="2">
        <v>-0.1858736</v>
      </c>
      <c r="Z22" s="2">
        <v>127.6</v>
      </c>
      <c r="AA22" s="2">
        <v>3.2578246460766431</v>
      </c>
      <c r="AB22" s="2">
        <v>100.22</v>
      </c>
      <c r="AC22" s="2">
        <v>-20.895435491834448</v>
      </c>
      <c r="AD22" s="2">
        <v>-0.5395394</v>
      </c>
      <c r="AE22" s="2">
        <v>7.2321580000000001</v>
      </c>
      <c r="AF22" s="2">
        <v>-0.1051435</v>
      </c>
      <c r="AG22" s="2">
        <v>0.50451670000000004</v>
      </c>
      <c r="AH22" s="2">
        <v>-0.1051435</v>
      </c>
      <c r="AI22" s="2">
        <v>0.1134775</v>
      </c>
      <c r="AJ22" s="2">
        <v>104.97562443767117</v>
      </c>
      <c r="AK22" s="2">
        <v>7.9141457714400056</v>
      </c>
      <c r="AL22" s="2">
        <v>15.86995887074027</v>
      </c>
      <c r="AM22" s="51">
        <v>8.1966741168844212E-2</v>
      </c>
    </row>
    <row r="23" spans="1:39" x14ac:dyDescent="0.25">
      <c r="A23" t="s">
        <v>20</v>
      </c>
      <c r="B23" t="s">
        <v>1050</v>
      </c>
      <c r="C23" t="s">
        <v>391</v>
      </c>
      <c r="D23" s="2">
        <v>6424.9</v>
      </c>
      <c r="E23" s="2">
        <v>0.87672260000000002</v>
      </c>
      <c r="F23" s="2">
        <v>6798.9369999999999</v>
      </c>
      <c r="G23" s="2">
        <v>5.6585209975027455</v>
      </c>
      <c r="H23" s="2">
        <v>5039.5680000000002</v>
      </c>
      <c r="I23" s="2">
        <v>-24.286070233394167</v>
      </c>
      <c r="J23" s="2">
        <v>-1.9191</v>
      </c>
      <c r="K23" s="2">
        <v>1.309247</v>
      </c>
      <c r="L23" s="2">
        <v>-1.0465390000000001</v>
      </c>
      <c r="M23" s="2">
        <v>3.1997399999999998</v>
      </c>
      <c r="N23" s="2">
        <v>-1.0465390000000001</v>
      </c>
      <c r="O23" s="2">
        <v>-0.70337459999999996</v>
      </c>
      <c r="P23" s="2">
        <v>576.94867221981133</v>
      </c>
      <c r="Q23" s="2">
        <v>2.0842595521344922</v>
      </c>
      <c r="R23" s="2">
        <v>32.28897342718512</v>
      </c>
      <c r="S23" s="3">
        <v>5.2542326867799458E-2</v>
      </c>
      <c r="V23" s="49" t="s">
        <v>850</v>
      </c>
      <c r="W23" s="49" t="s">
        <v>375</v>
      </c>
      <c r="X23" s="2">
        <v>4183</v>
      </c>
      <c r="Y23" s="2">
        <v>-0.59410649999999998</v>
      </c>
      <c r="Z23" s="2">
        <v>5203</v>
      </c>
      <c r="AA23" s="2">
        <v>21.820668984810514</v>
      </c>
      <c r="AB23" s="2">
        <v>3573</v>
      </c>
      <c r="AC23" s="2">
        <v>-15.762311341878856</v>
      </c>
      <c r="AD23" s="2">
        <v>0.9167672</v>
      </c>
      <c r="AE23" s="2">
        <v>14.63415</v>
      </c>
      <c r="AF23" s="2">
        <v>14.41466</v>
      </c>
      <c r="AG23" s="2">
        <v>-3.8611810000000002</v>
      </c>
      <c r="AH23" s="2">
        <v>14.41466</v>
      </c>
      <c r="AI23" s="2">
        <v>-17.73845</v>
      </c>
      <c r="AJ23" s="2">
        <v>46.2825277103071</v>
      </c>
      <c r="AK23" s="2">
        <v>14.775067749062108</v>
      </c>
      <c r="AL23" s="2">
        <v>17.436431846602751</v>
      </c>
      <c r="AM23" s="51">
        <v>8.446774512493839E-2</v>
      </c>
    </row>
    <row r="24" spans="1:39" x14ac:dyDescent="0.25">
      <c r="A24" t="s">
        <v>178</v>
      </c>
      <c r="B24" t="s">
        <v>1067</v>
      </c>
      <c r="C24" t="s">
        <v>1055</v>
      </c>
      <c r="D24" s="2">
        <v>1982.81</v>
      </c>
      <c r="E24" s="2">
        <v>-0.36230790000000002</v>
      </c>
      <c r="F24" s="2">
        <v>2092.6</v>
      </c>
      <c r="G24" s="2">
        <v>5.3892281440238055</v>
      </c>
      <c r="H24" s="2">
        <v>1505.56</v>
      </c>
      <c r="I24" s="2">
        <v>-27.535010850991831</v>
      </c>
      <c r="J24" s="2">
        <v>-1.924112</v>
      </c>
      <c r="K24" s="2">
        <v>6.1978850000000003</v>
      </c>
      <c r="L24" s="2">
        <v>-3.4584009999999998</v>
      </c>
      <c r="M24" s="2">
        <v>9.8187259999999998</v>
      </c>
      <c r="N24" s="2">
        <v>-3.4584009999999998</v>
      </c>
      <c r="O24" s="2">
        <v>16.561150000000001</v>
      </c>
      <c r="P24" s="2">
        <v>11.196728787778104</v>
      </c>
      <c r="Q24" s="2">
        <v>3.0484158954592382</v>
      </c>
      <c r="R24" s="2">
        <v>5.4229501361874792</v>
      </c>
      <c r="S24" s="3">
        <v>0.29141421937375928</v>
      </c>
      <c r="V24" s="49" t="s">
        <v>844</v>
      </c>
      <c r="W24" s="49" t="s">
        <v>1105</v>
      </c>
      <c r="X24" s="2">
        <v>9.4450000000000003</v>
      </c>
      <c r="Y24" s="2">
        <v>0.37194470000000002</v>
      </c>
      <c r="Z24" s="2">
        <v>12.14</v>
      </c>
      <c r="AA24" s="2">
        <v>25.102028467787939</v>
      </c>
      <c r="AB24" s="2">
        <v>8.1969999999999992</v>
      </c>
      <c r="AC24" s="2">
        <v>-14.171726728257935</v>
      </c>
      <c r="AD24" s="2">
        <v>7.416826E-2</v>
      </c>
      <c r="AE24" s="2">
        <v>12.28008</v>
      </c>
      <c r="AF24" s="2">
        <v>-2.929081</v>
      </c>
      <c r="AG24" s="2">
        <v>-9.9790279999999996</v>
      </c>
      <c r="AH24" s="2">
        <v>-2.929081</v>
      </c>
      <c r="AI24" s="2">
        <v>-18.71773</v>
      </c>
      <c r="AJ24" s="2">
        <v>21.649082565898784</v>
      </c>
      <c r="AK24" s="2">
        <v>6.5126493455575085</v>
      </c>
      <c r="AL24" s="2">
        <v>7.9369745334657305</v>
      </c>
      <c r="AM24" s="51">
        <v>9.4099129377066562E-2</v>
      </c>
    </row>
    <row r="25" spans="1:39" x14ac:dyDescent="0.25">
      <c r="A25" t="s">
        <v>175</v>
      </c>
      <c r="B25" t="s">
        <v>1058</v>
      </c>
      <c r="C25" t="s">
        <v>1055</v>
      </c>
      <c r="D25" s="2">
        <v>4765.47</v>
      </c>
      <c r="E25" s="2">
        <v>0.2471748</v>
      </c>
      <c r="F25" s="2">
        <v>4947.17</v>
      </c>
      <c r="G25" s="2">
        <v>3.7419527787662381</v>
      </c>
      <c r="H25" s="2">
        <v>4025.98</v>
      </c>
      <c r="I25" s="2">
        <v>-16.862780863326506</v>
      </c>
      <c r="J25" s="2">
        <v>-1.944658</v>
      </c>
      <c r="K25" s="2">
        <v>4.0750209999999996</v>
      </c>
      <c r="L25" s="2">
        <v>-0.92412570000000005</v>
      </c>
      <c r="M25" s="2">
        <v>6.3213119999999998</v>
      </c>
      <c r="N25" s="2">
        <v>-0.92412570000000005</v>
      </c>
      <c r="O25" s="2">
        <v>7.1289379999999998</v>
      </c>
      <c r="P25" s="2">
        <v>12.455847296594678</v>
      </c>
      <c r="Q25" s="2">
        <v>4.7296335680919626</v>
      </c>
      <c r="R25" s="2">
        <v>5.027560391933247</v>
      </c>
      <c r="S25" s="3">
        <v>3.8560520626319837E-2</v>
      </c>
      <c r="V25" s="49" t="s">
        <v>796</v>
      </c>
      <c r="W25" s="49" t="s">
        <v>391</v>
      </c>
      <c r="X25" s="2">
        <v>164</v>
      </c>
      <c r="Y25" s="2">
        <v>-0.4491927</v>
      </c>
      <c r="Z25" s="2">
        <v>219.75</v>
      </c>
      <c r="AA25" s="2">
        <v>29.262410874108792</v>
      </c>
      <c r="AB25" s="2">
        <v>154</v>
      </c>
      <c r="AC25" s="2">
        <v>-6.2913825410569322</v>
      </c>
      <c r="AD25" s="2">
        <v>-2.0544669999999998</v>
      </c>
      <c r="AE25" s="2">
        <v>5.2293830000000003</v>
      </c>
      <c r="AF25" s="2">
        <v>-4.6677900000000001</v>
      </c>
      <c r="AG25" s="2">
        <v>-19.295310000000001</v>
      </c>
      <c r="AH25" s="2">
        <v>-4.6677900000000001</v>
      </c>
      <c r="AI25" s="2">
        <v>-22.142040000000001</v>
      </c>
      <c r="AJ25" s="2">
        <v>28.957854969317175</v>
      </c>
      <c r="AK25" s="2">
        <v>15.959108947149133</v>
      </c>
      <c r="AL25" s="2">
        <v>17.25041437809416</v>
      </c>
      <c r="AM25" s="51">
        <v>9.9340769389819325E-2</v>
      </c>
    </row>
    <row r="26" spans="1:39" x14ac:dyDescent="0.25">
      <c r="A26" t="s">
        <v>85</v>
      </c>
      <c r="B26" t="s">
        <v>1117</v>
      </c>
      <c r="C26" t="s">
        <v>369</v>
      </c>
      <c r="D26" s="2">
        <v>192.6</v>
      </c>
      <c r="E26" s="2">
        <v>-0.57302149999999996</v>
      </c>
      <c r="F26" s="2">
        <v>211.89</v>
      </c>
      <c r="G26" s="2">
        <v>9.5451772724915305</v>
      </c>
      <c r="H26" s="2">
        <v>185.87</v>
      </c>
      <c r="I26" s="2">
        <v>-3.5567994743763522</v>
      </c>
      <c r="J26" s="2">
        <v>-1.9547969999999999</v>
      </c>
      <c r="K26" s="2">
        <v>1.331088</v>
      </c>
      <c r="L26" s="2">
        <v>-5.8466909999999999</v>
      </c>
      <c r="M26" s="2">
        <v>-7.0149169999999996</v>
      </c>
      <c r="N26" s="2">
        <v>-5.8466909999999999</v>
      </c>
      <c r="O26" s="2">
        <v>-4.7289260000000004</v>
      </c>
      <c r="P26" s="2">
        <v>46.331284184660781</v>
      </c>
      <c r="Q26" s="2">
        <v>6.0612826885987658</v>
      </c>
      <c r="R26" s="2">
        <v>10.66755950099963</v>
      </c>
      <c r="S26" s="3">
        <v>0.11438481850693027</v>
      </c>
      <c r="V26" s="49" t="s">
        <v>831</v>
      </c>
      <c r="W26" s="49" t="s">
        <v>1061</v>
      </c>
      <c r="X26" s="2">
        <v>232.9</v>
      </c>
      <c r="Y26" s="2">
        <v>-0.34231919999999999</v>
      </c>
      <c r="Z26" s="2">
        <v>234.8</v>
      </c>
      <c r="AA26" s="2">
        <v>0.81249110636461197</v>
      </c>
      <c r="AB26" s="2">
        <v>181.2</v>
      </c>
      <c r="AC26" s="2">
        <v>-25.100778328141647</v>
      </c>
      <c r="AD26" s="2">
        <v>1.172893</v>
      </c>
      <c r="AE26" s="2">
        <v>7.277749</v>
      </c>
      <c r="AF26" s="2">
        <v>4.6271310000000003</v>
      </c>
      <c r="AG26" s="2">
        <v>12.07892</v>
      </c>
      <c r="AH26" s="2">
        <v>4.6271310000000003</v>
      </c>
      <c r="AI26" s="2">
        <v>22.064990000000002</v>
      </c>
      <c r="AJ26" s="2">
        <v>89.753912487984195</v>
      </c>
      <c r="AK26" s="2">
        <v>5.5609974180003023</v>
      </c>
      <c r="AL26" s="2">
        <v>14.221211214697515</v>
      </c>
      <c r="AM26" s="51">
        <v>0.10286155063639929</v>
      </c>
    </row>
    <row r="27" spans="1:39" x14ac:dyDescent="0.25">
      <c r="A27" t="s">
        <v>180</v>
      </c>
      <c r="B27" t="s">
        <v>1116</v>
      </c>
      <c r="C27" t="s">
        <v>367</v>
      </c>
      <c r="D27" s="2">
        <v>4563.6899999999996</v>
      </c>
      <c r="E27" s="2">
        <v>-1.0950930000000001</v>
      </c>
      <c r="F27" s="2">
        <v>5493.33</v>
      </c>
      <c r="G27" s="2">
        <v>18.540312219862042</v>
      </c>
      <c r="H27" s="2">
        <v>4451.3599999999997</v>
      </c>
      <c r="I27" s="2">
        <v>-2.4921839354279154</v>
      </c>
      <c r="J27" s="2">
        <v>-2.0040719999999999</v>
      </c>
      <c r="K27" s="2">
        <v>-0.64745149999999996</v>
      </c>
      <c r="L27" s="2">
        <v>-7.4657020000000003</v>
      </c>
      <c r="M27" s="2">
        <v>-13.5745</v>
      </c>
      <c r="N27" s="2">
        <v>-7.4657020000000003</v>
      </c>
      <c r="O27" s="2">
        <v>-5.5126910000000002</v>
      </c>
      <c r="P27" s="2">
        <v>22407.499069679201</v>
      </c>
      <c r="Q27" s="2">
        <v>9.4539356321995456</v>
      </c>
      <c r="R27" s="2">
        <v>9.7976677053466386</v>
      </c>
      <c r="S27" s="3">
        <v>1.5346521140123516E-5</v>
      </c>
      <c r="V27" s="49" t="s">
        <v>800</v>
      </c>
      <c r="W27" s="49" t="s">
        <v>391</v>
      </c>
      <c r="X27" s="2">
        <v>126.61</v>
      </c>
      <c r="Y27" s="2">
        <v>0.4921025</v>
      </c>
      <c r="Z27" s="2">
        <v>159.37</v>
      </c>
      <c r="AA27" s="2">
        <v>23.01170473393805</v>
      </c>
      <c r="AB27" s="2">
        <v>111.75</v>
      </c>
      <c r="AC27" s="2">
        <v>-12.484726203848361</v>
      </c>
      <c r="AD27" s="2">
        <v>-3.4027620000000001</v>
      </c>
      <c r="AE27" s="2">
        <v>11.002980000000001</v>
      </c>
      <c r="AF27" s="2">
        <v>-5.3100040000000002</v>
      </c>
      <c r="AG27" s="2">
        <v>-3.6306929999999999</v>
      </c>
      <c r="AH27" s="2">
        <v>-5.3100040000000002</v>
      </c>
      <c r="AI27" s="2">
        <v>-17.833729999999999</v>
      </c>
      <c r="AJ27" s="2">
        <v>28.118591479822204</v>
      </c>
      <c r="AK27" s="2">
        <v>8.8367030889534366</v>
      </c>
      <c r="AL27" s="2">
        <v>10.954801740270016</v>
      </c>
      <c r="AM27" s="51">
        <v>0.10984912931658899</v>
      </c>
    </row>
    <row r="28" spans="1:39" x14ac:dyDescent="0.25">
      <c r="A28" t="s">
        <v>176</v>
      </c>
      <c r="B28" t="s">
        <v>1059</v>
      </c>
      <c r="C28" t="s">
        <v>1055</v>
      </c>
      <c r="D28" s="2">
        <v>1354.01</v>
      </c>
      <c r="E28" s="2">
        <v>-0.35251690000000002</v>
      </c>
      <c r="F28" s="2">
        <v>1413.82</v>
      </c>
      <c r="G28" s="2">
        <v>4.3224700939933678</v>
      </c>
      <c r="H28" s="2">
        <v>1033.31</v>
      </c>
      <c r="I28" s="2">
        <v>-27.03033180642997</v>
      </c>
      <c r="J28" s="2">
        <v>-2.03667</v>
      </c>
      <c r="K28" s="2">
        <v>6.7620740000000001</v>
      </c>
      <c r="L28" s="2">
        <v>-2.3524660000000002</v>
      </c>
      <c r="M28" s="2">
        <v>10.085699999999999</v>
      </c>
      <c r="N28" s="2">
        <v>-2.3524660000000002</v>
      </c>
      <c r="O28" s="2">
        <v>16.646560000000001</v>
      </c>
      <c r="P28" s="2">
        <v>10.358925115268477</v>
      </c>
      <c r="Q28" s="2">
        <v>3.2663366151584183</v>
      </c>
      <c r="R28" s="2">
        <v>5.7960561741910404</v>
      </c>
      <c r="S28" s="3">
        <v>0.35667084858981563</v>
      </c>
      <c r="V28" s="49" t="s">
        <v>824</v>
      </c>
      <c r="W28" s="49" t="s">
        <v>1126</v>
      </c>
      <c r="X28" s="2">
        <v>675</v>
      </c>
      <c r="Y28" s="2">
        <v>0</v>
      </c>
      <c r="Z28" s="2">
        <v>742.6</v>
      </c>
      <c r="AA28" s="2">
        <v>9.5444850870449827</v>
      </c>
      <c r="AB28" s="2">
        <v>514.20000000000005</v>
      </c>
      <c r="AC28" s="2">
        <v>-27.210039604074058</v>
      </c>
      <c r="AD28" s="2">
        <v>-0.76448099999999997</v>
      </c>
      <c r="AE28" s="2">
        <v>9.8632770000000001</v>
      </c>
      <c r="AF28" s="2">
        <v>-3.9009149999999999</v>
      </c>
      <c r="AG28" s="2">
        <v>16.23902</v>
      </c>
      <c r="AH28" s="2">
        <v>-3.9009149999999999</v>
      </c>
      <c r="AI28" s="2">
        <v>6.2490180000000004</v>
      </c>
      <c r="AJ28" s="2">
        <v>351.70068720953878</v>
      </c>
      <c r="AK28" s="2">
        <v>7.4475105408753128</v>
      </c>
      <c r="AL28" s="2">
        <v>48.389931780211626</v>
      </c>
      <c r="AM28" s="51">
        <v>0.1189311356122722</v>
      </c>
    </row>
    <row r="29" spans="1:39" x14ac:dyDescent="0.25">
      <c r="A29" t="s">
        <v>170</v>
      </c>
      <c r="B29" t="s">
        <v>1115</v>
      </c>
      <c r="C29" t="s">
        <v>372</v>
      </c>
      <c r="D29" s="2">
        <v>2159.6799999999998</v>
      </c>
      <c r="E29" s="2">
        <v>-0.71532340000000005</v>
      </c>
      <c r="F29" s="2">
        <v>2420.94</v>
      </c>
      <c r="G29" s="2">
        <v>11.419583192844993</v>
      </c>
      <c r="H29" s="2">
        <v>2044.86</v>
      </c>
      <c r="I29" s="2">
        <v>-5.4630735079310506</v>
      </c>
      <c r="J29" s="2">
        <v>-2.0562179999999999</v>
      </c>
      <c r="K29" s="2">
        <v>2.9198309999999998</v>
      </c>
      <c r="L29" s="2">
        <v>-6.7966530000000001</v>
      </c>
      <c r="M29" s="2">
        <v>-7.106941</v>
      </c>
      <c r="N29" s="2">
        <v>-6.7966530000000001</v>
      </c>
      <c r="O29" s="2">
        <v>-6.2821939999999996</v>
      </c>
      <c r="P29" s="2">
        <v>61.979235827572943</v>
      </c>
      <c r="Q29" s="2">
        <v>10.714997137550277</v>
      </c>
      <c r="R29" s="2">
        <v>12.19167876489027</v>
      </c>
      <c r="S29" s="3">
        <v>2.8805297124745805E-2</v>
      </c>
      <c r="V29" s="49" t="s">
        <v>790</v>
      </c>
      <c r="W29" s="49" t="s">
        <v>391</v>
      </c>
      <c r="X29" s="2">
        <v>166.93</v>
      </c>
      <c r="Y29" s="2">
        <v>0.70583980000000002</v>
      </c>
      <c r="Z29" s="2">
        <v>178.47</v>
      </c>
      <c r="AA29" s="2">
        <v>6.6845957000627276</v>
      </c>
      <c r="AB29" s="2">
        <v>123.48</v>
      </c>
      <c r="AC29" s="2">
        <v>-30.14953632333382</v>
      </c>
      <c r="AD29" s="2">
        <v>-0.61915819999999999</v>
      </c>
      <c r="AE29" s="2">
        <v>6.6713490000000002</v>
      </c>
      <c r="AF29" s="2">
        <v>-4.0301270000000002</v>
      </c>
      <c r="AG29" s="2">
        <v>7.0544529999999996</v>
      </c>
      <c r="AH29" s="2">
        <v>-4.0301270000000002</v>
      </c>
      <c r="AI29" s="2">
        <v>5.3081389999999997</v>
      </c>
      <c r="AJ29" s="2">
        <v>53.511993622980867</v>
      </c>
      <c r="AK29" s="2">
        <v>12.967485101915271</v>
      </c>
      <c r="AL29" s="2">
        <v>18.870026699939462</v>
      </c>
      <c r="AM29" s="51">
        <v>0.14558177699841704</v>
      </c>
    </row>
    <row r="30" spans="1:39" x14ac:dyDescent="0.25">
      <c r="A30" t="s">
        <v>174</v>
      </c>
      <c r="B30" t="s">
        <v>1057</v>
      </c>
      <c r="C30" t="s">
        <v>1055</v>
      </c>
      <c r="D30" s="2">
        <v>2760.29</v>
      </c>
      <c r="E30" s="2">
        <v>0.20911009999999999</v>
      </c>
      <c r="F30" s="2">
        <v>2848.4</v>
      </c>
      <c r="G30" s="2">
        <v>3.1421686452730606</v>
      </c>
      <c r="H30" s="2">
        <v>2258.27</v>
      </c>
      <c r="I30" s="2">
        <v>-20.073671324913814</v>
      </c>
      <c r="J30" s="2">
        <v>-2.0687609999999999</v>
      </c>
      <c r="K30" s="2">
        <v>3.8390080000000002</v>
      </c>
      <c r="L30" s="2">
        <v>-0.53510290000000005</v>
      </c>
      <c r="M30" s="2">
        <v>9.8566099999999999</v>
      </c>
      <c r="N30" s="2">
        <v>-0.53510290000000005</v>
      </c>
      <c r="O30" s="2">
        <v>13.718999999999999</v>
      </c>
      <c r="P30" s="2">
        <v>10.20860786213475</v>
      </c>
      <c r="Q30" s="2">
        <v>4.8451370023350826</v>
      </c>
      <c r="R30" s="2">
        <v>5.6692033636301895</v>
      </c>
      <c r="S30" s="3">
        <v>0.15364423203482955</v>
      </c>
      <c r="V30" s="49" t="s">
        <v>812</v>
      </c>
      <c r="W30" s="49" t="s">
        <v>1133</v>
      </c>
      <c r="X30" s="2">
        <v>24.914999999999999</v>
      </c>
      <c r="Y30" s="2">
        <v>-0.37984810000000002</v>
      </c>
      <c r="Z30" s="2">
        <v>38.44</v>
      </c>
      <c r="AA30" s="2">
        <v>43.362855236872392</v>
      </c>
      <c r="AB30" s="2">
        <v>20.81</v>
      </c>
      <c r="AC30" s="2">
        <v>-18.003639132782489</v>
      </c>
      <c r="AD30" s="2">
        <v>-1.560648</v>
      </c>
      <c r="AE30" s="2">
        <v>11.55138</v>
      </c>
      <c r="AF30" s="2">
        <v>16.289390000000001</v>
      </c>
      <c r="AG30" s="2">
        <v>-1.9094469999999999</v>
      </c>
      <c r="AH30" s="2">
        <v>16.289390000000001</v>
      </c>
      <c r="AI30" s="2">
        <v>-34.554769999999998</v>
      </c>
      <c r="AJ30" s="2">
        <v>12.745826277933627</v>
      </c>
      <c r="AK30" s="2">
        <v>4.3878173575957016</v>
      </c>
      <c r="AL30" s="2">
        <v>5.8514666749478907</v>
      </c>
      <c r="AM30" s="51">
        <v>0.17511937727065882</v>
      </c>
    </row>
    <row r="31" spans="1:39" x14ac:dyDescent="0.25">
      <c r="A31" t="s">
        <v>250</v>
      </c>
      <c r="B31" t="s">
        <v>1010</v>
      </c>
      <c r="C31" t="s">
        <v>1011</v>
      </c>
      <c r="D31" s="2">
        <v>6146.4040000000005</v>
      </c>
      <c r="E31" s="2">
        <v>0.1433132</v>
      </c>
      <c r="F31" s="2">
        <v>6636.33203125</v>
      </c>
      <c r="G31" s="2">
        <v>7.6692210565767525</v>
      </c>
      <c r="H31" s="2">
        <v>5623.8429999999998</v>
      </c>
      <c r="I31" s="2">
        <v>-8.8851957313795076</v>
      </c>
      <c r="J31" s="2">
        <v>-2.0748199999999999</v>
      </c>
      <c r="K31" s="2">
        <v>-1.0959179999999999</v>
      </c>
      <c r="L31" s="2">
        <v>-2.6001940000000001</v>
      </c>
      <c r="M31" s="2">
        <v>-5.0014719999999997</v>
      </c>
      <c r="N31" s="2">
        <v>-2.6001940000000001</v>
      </c>
      <c r="O31" s="2">
        <v>4.6504380000000003</v>
      </c>
      <c r="P31" s="2">
        <v>30.525795326342628</v>
      </c>
      <c r="Q31" s="2">
        <v>18.422369589693112</v>
      </c>
      <c r="R31" s="2">
        <v>19.404511842319454</v>
      </c>
      <c r="S31" s="3">
        <v>8.1145807310767232E-2</v>
      </c>
      <c r="V31" s="49" t="s">
        <v>818</v>
      </c>
      <c r="W31" s="49" t="s">
        <v>1126</v>
      </c>
      <c r="X31" s="2">
        <v>54.39</v>
      </c>
      <c r="Y31" s="2">
        <v>-0.54854639999999999</v>
      </c>
      <c r="Z31" s="2">
        <v>57.77</v>
      </c>
      <c r="AA31" s="2">
        <v>6.0289296358304831</v>
      </c>
      <c r="AB31" s="2">
        <v>45.3</v>
      </c>
      <c r="AC31" s="2">
        <v>-18.287328094588112</v>
      </c>
      <c r="AD31" s="2">
        <v>-0.45754030000000001</v>
      </c>
      <c r="AE31" s="2">
        <v>0.46176689999999998</v>
      </c>
      <c r="AF31" s="2">
        <v>-0.38461260000000003</v>
      </c>
      <c r="AG31" s="2">
        <v>6.230467</v>
      </c>
      <c r="AH31" s="2">
        <v>-0.38461260000000003</v>
      </c>
      <c r="AI31" s="2">
        <v>14.50526</v>
      </c>
      <c r="AJ31" s="2">
        <v>26.01925813823037</v>
      </c>
      <c r="AK31" s="2">
        <v>12.777893608458452</v>
      </c>
      <c r="AL31" s="2">
        <v>15.29552919737657</v>
      </c>
      <c r="AM31" s="51">
        <v>0.19013414994032224</v>
      </c>
    </row>
    <row r="32" spans="1:39" x14ac:dyDescent="0.25">
      <c r="A32" t="s">
        <v>169</v>
      </c>
      <c r="B32" t="s">
        <v>1114</v>
      </c>
      <c r="C32" t="s">
        <v>372</v>
      </c>
      <c r="D32" s="2">
        <v>57085.05</v>
      </c>
      <c r="E32" s="2">
        <v>-0.65734720000000002</v>
      </c>
      <c r="F32" s="2">
        <v>62009.8984375</v>
      </c>
      <c r="G32" s="2">
        <v>8.275176350503207</v>
      </c>
      <c r="H32" s="2">
        <v>54027.3203125</v>
      </c>
      <c r="I32" s="2">
        <v>-5.5052410677803252</v>
      </c>
      <c r="J32" s="2">
        <v>-2.0793889999999999</v>
      </c>
      <c r="K32" s="2">
        <v>2.103402</v>
      </c>
      <c r="L32" s="2">
        <v>-4.6241000000000003</v>
      </c>
      <c r="M32" s="2">
        <v>-4.8995519999999999</v>
      </c>
      <c r="N32" s="2">
        <v>-4.6241000000000003</v>
      </c>
      <c r="O32" s="2">
        <v>-3.9789500000000002</v>
      </c>
      <c r="P32" s="2">
        <v>43.098386026923841</v>
      </c>
      <c r="Q32" s="2">
        <v>11.58650788740864</v>
      </c>
      <c r="R32" s="2">
        <v>12.926679917836879</v>
      </c>
      <c r="S32" s="3">
        <v>4.2529106786170653E-2</v>
      </c>
      <c r="V32" s="49" t="s">
        <v>801</v>
      </c>
      <c r="W32" s="49" t="s">
        <v>391</v>
      </c>
      <c r="X32" s="2">
        <v>43.04</v>
      </c>
      <c r="Y32" s="2">
        <v>1.1753640000000001</v>
      </c>
      <c r="Z32" s="2">
        <v>49.19</v>
      </c>
      <c r="AA32" s="2">
        <v>13.356043495371953</v>
      </c>
      <c r="AB32" s="2">
        <v>36.74</v>
      </c>
      <c r="AC32" s="2">
        <v>-15.826383606654936</v>
      </c>
      <c r="AD32" s="2">
        <v>-2.975654</v>
      </c>
      <c r="AE32" s="2">
        <v>9.4329979999999995</v>
      </c>
      <c r="AF32" s="2">
        <v>0.89076449999999996</v>
      </c>
      <c r="AG32" s="2">
        <v>4.3393940000000004</v>
      </c>
      <c r="AH32" s="2">
        <v>0.89076449999999996</v>
      </c>
      <c r="AI32" s="2">
        <v>-10.853350000000001</v>
      </c>
      <c r="AJ32" s="2">
        <v>17.743075986241042</v>
      </c>
      <c r="AK32" s="2">
        <v>7.231540814178202</v>
      </c>
      <c r="AL32" s="2">
        <v>9.3176430597042135</v>
      </c>
      <c r="AM32" s="51">
        <v>0.19845838037724262</v>
      </c>
    </row>
    <row r="33" spans="1:39" x14ac:dyDescent="0.25">
      <c r="A33" t="s">
        <v>159</v>
      </c>
      <c r="B33" t="s">
        <v>1113</v>
      </c>
      <c r="C33" t="s">
        <v>986</v>
      </c>
      <c r="D33" s="2">
        <v>1620.673</v>
      </c>
      <c r="E33" s="2">
        <v>-0.76033779999999995</v>
      </c>
      <c r="F33" s="2">
        <v>1700.35</v>
      </c>
      <c r="G33" s="2">
        <v>4.7992617149213155</v>
      </c>
      <c r="H33" s="2">
        <v>1378.202</v>
      </c>
      <c r="I33" s="2">
        <v>-16.206174396692731</v>
      </c>
      <c r="J33" s="2">
        <v>-2.0805959999999999</v>
      </c>
      <c r="K33" s="2">
        <v>6.563701</v>
      </c>
      <c r="L33" s="2">
        <v>1.0251619999999999</v>
      </c>
      <c r="M33" s="2">
        <v>2.9547140000000001</v>
      </c>
      <c r="N33" s="2">
        <v>1.0251619999999999</v>
      </c>
      <c r="O33" s="2">
        <v>-2.2683599999999999</v>
      </c>
      <c r="P33" s="2">
        <v>23.425352018099943</v>
      </c>
      <c r="Q33" s="2">
        <v>14.109565821007928</v>
      </c>
      <c r="R33" s="2">
        <v>17.156348736479135</v>
      </c>
      <c r="S33" s="3">
        <v>0.32705590821977865</v>
      </c>
      <c r="V33" s="49" t="s">
        <v>793</v>
      </c>
      <c r="W33" s="49" t="s">
        <v>391</v>
      </c>
      <c r="X33" s="2">
        <v>75.28</v>
      </c>
      <c r="Y33" s="2">
        <v>5.1984349999999999</v>
      </c>
      <c r="Z33" s="2">
        <v>92.74</v>
      </c>
      <c r="AA33" s="2">
        <v>20.858538368619044</v>
      </c>
      <c r="AB33" s="2">
        <v>64.67</v>
      </c>
      <c r="AC33" s="2">
        <v>-15.191707981862274</v>
      </c>
      <c r="AD33" s="2">
        <v>5.1984349999999999</v>
      </c>
      <c r="AE33" s="2">
        <v>-7.3134709999999998</v>
      </c>
      <c r="AF33" s="2">
        <v>-4.4912460000000003</v>
      </c>
      <c r="AG33" s="2">
        <v>-14.71621</v>
      </c>
      <c r="AH33" s="2">
        <v>-4.4912460000000003</v>
      </c>
      <c r="AI33" s="2">
        <v>-5.7940230000000001</v>
      </c>
      <c r="AJ33" s="2">
        <v>23.976970202551726</v>
      </c>
      <c r="AK33" s="2">
        <v>11.336444846240973</v>
      </c>
      <c r="AL33" s="2">
        <v>14.297991724580729</v>
      </c>
      <c r="AM33" s="51">
        <v>0.23428985701620472</v>
      </c>
    </row>
    <row r="34" spans="1:39" x14ac:dyDescent="0.25">
      <c r="A34" t="s">
        <v>177</v>
      </c>
      <c r="B34" t="s">
        <v>1054</v>
      </c>
      <c r="C34" t="s">
        <v>1055</v>
      </c>
      <c r="D34" s="2">
        <v>18696.98</v>
      </c>
      <c r="E34" s="2">
        <v>0.27566849999999998</v>
      </c>
      <c r="F34" s="2">
        <v>19361.990000000002</v>
      </c>
      <c r="G34" s="2">
        <v>3.4949852329935438</v>
      </c>
      <c r="H34" s="2">
        <v>15019.42</v>
      </c>
      <c r="I34" s="2">
        <v>-21.901798308159727</v>
      </c>
      <c r="J34" s="2">
        <v>-2.0820560000000001</v>
      </c>
      <c r="K34" s="2">
        <v>3.784872</v>
      </c>
      <c r="L34" s="2">
        <v>-0.76633850000000003</v>
      </c>
      <c r="M34" s="2">
        <v>10.92221</v>
      </c>
      <c r="N34" s="2">
        <v>-0.76633850000000003</v>
      </c>
      <c r="O34" s="2">
        <v>15.252750000000001</v>
      </c>
      <c r="P34" s="2">
        <v>10.974592873661361</v>
      </c>
      <c r="Q34" s="2">
        <v>4.6373405654013595</v>
      </c>
      <c r="R34" s="2">
        <v>5.5941563758380459</v>
      </c>
      <c r="S34" s="3">
        <v>0.15098275465371144</v>
      </c>
      <c r="V34" s="49" t="s">
        <v>778</v>
      </c>
      <c r="W34" s="49" t="s">
        <v>391</v>
      </c>
      <c r="X34" s="2">
        <v>71.349999999999994</v>
      </c>
      <c r="Y34" s="2">
        <v>0.29519260000000003</v>
      </c>
      <c r="Z34" s="2">
        <v>87.36</v>
      </c>
      <c r="AA34" s="2">
        <v>20.244016807374958</v>
      </c>
      <c r="AB34" s="2">
        <v>64.650000000000006</v>
      </c>
      <c r="AC34" s="2">
        <v>-9.8609238704978743</v>
      </c>
      <c r="AD34" s="2">
        <v>-2.0186760000000001</v>
      </c>
      <c r="AE34" s="2">
        <v>5.7193690000000004</v>
      </c>
      <c r="AF34" s="2">
        <v>-6.4507630000000002</v>
      </c>
      <c r="AG34" s="2">
        <v>-10.72322</v>
      </c>
      <c r="AH34" s="2">
        <v>-6.4507630000000002</v>
      </c>
      <c r="AI34" s="2">
        <v>-17.51445</v>
      </c>
      <c r="AJ34" s="2">
        <v>38.648400894325071</v>
      </c>
      <c r="AK34" s="2">
        <v>9.0677964951144379</v>
      </c>
      <c r="AL34" s="2">
        <v>16.824111858799387</v>
      </c>
      <c r="AM34" s="51">
        <v>0.26220949575634528</v>
      </c>
    </row>
    <row r="35" spans="1:39" x14ac:dyDescent="0.25">
      <c r="A35" t="s">
        <v>28</v>
      </c>
      <c r="B35" t="s">
        <v>1052</v>
      </c>
      <c r="C35" t="s">
        <v>391</v>
      </c>
      <c r="D35" s="2">
        <v>3206.34</v>
      </c>
      <c r="E35" s="2">
        <v>-0.2441054</v>
      </c>
      <c r="F35" s="2">
        <v>3865.8829999999998</v>
      </c>
      <c r="G35" s="2">
        <v>18.706001677116578</v>
      </c>
      <c r="H35" s="2">
        <v>2801.1370000000002</v>
      </c>
      <c r="I35" s="2">
        <v>-13.510469353338134</v>
      </c>
      <c r="J35" s="2">
        <v>-2.1404420000000002</v>
      </c>
      <c r="K35" s="2">
        <v>-1.094536</v>
      </c>
      <c r="L35" s="2">
        <v>-3.514742</v>
      </c>
      <c r="M35" s="2">
        <v>-7.4771359999999998</v>
      </c>
      <c r="N35" s="2">
        <v>-3.514742</v>
      </c>
      <c r="O35" s="2">
        <v>-15.495290000000001</v>
      </c>
      <c r="P35" s="2">
        <v>69141.109566536077</v>
      </c>
      <c r="Q35" s="2">
        <v>61.077178076076009</v>
      </c>
      <c r="R35" s="2">
        <v>512.29507365408961</v>
      </c>
      <c r="S35" s="3">
        <v>6.5318136077392851E-3</v>
      </c>
      <c r="V35" s="49" t="s">
        <v>863</v>
      </c>
      <c r="W35" s="49" t="s">
        <v>384</v>
      </c>
      <c r="X35" s="2">
        <v>26.02</v>
      </c>
      <c r="Y35" s="2">
        <v>-0.42097210000000002</v>
      </c>
      <c r="Z35" s="2">
        <v>33.6</v>
      </c>
      <c r="AA35" s="2">
        <v>25.566059388479946</v>
      </c>
      <c r="AB35" s="2">
        <v>20.399999999999999</v>
      </c>
      <c r="AC35" s="2">
        <v>-24.333057223418862</v>
      </c>
      <c r="AD35" s="2">
        <v>-3.4149959999999999</v>
      </c>
      <c r="AE35" s="2">
        <v>-1.625712</v>
      </c>
      <c r="AF35" s="2">
        <v>-6.3692010000000003</v>
      </c>
      <c r="AG35" s="2">
        <v>-8.0240399999999994</v>
      </c>
      <c r="AH35" s="2">
        <v>-6.3692010000000003</v>
      </c>
      <c r="AI35" s="2">
        <v>5.4722330000000001</v>
      </c>
      <c r="AJ35" s="2">
        <v>14.977686169053737</v>
      </c>
      <c r="AK35" s="2">
        <v>5.2072062391631571</v>
      </c>
      <c r="AL35" s="2">
        <v>7.9075072260889598</v>
      </c>
      <c r="AM35" s="51">
        <v>0.27637342344513094</v>
      </c>
    </row>
    <row r="36" spans="1:39" x14ac:dyDescent="0.25">
      <c r="A36" t="s">
        <v>157</v>
      </c>
      <c r="B36" t="s">
        <v>1112</v>
      </c>
      <c r="C36" t="s">
        <v>1101</v>
      </c>
      <c r="D36" s="2">
        <v>840.64559999999994</v>
      </c>
      <c r="E36" s="2">
        <v>-1.195417</v>
      </c>
      <c r="F36" s="2">
        <v>909.19600000000003</v>
      </c>
      <c r="G36" s="2">
        <v>7.8390524430491837</v>
      </c>
      <c r="H36" s="2">
        <v>753.81510000000003</v>
      </c>
      <c r="I36" s="2">
        <v>-10.902305559507083</v>
      </c>
      <c r="J36" s="2">
        <v>-2.1449560000000001</v>
      </c>
      <c r="K36" s="2">
        <v>6.2085619999999997</v>
      </c>
      <c r="L36" s="2">
        <v>1.9514100000000001</v>
      </c>
      <c r="M36" s="2">
        <v>1.5467340000000001</v>
      </c>
      <c r="N36" s="2">
        <v>1.9514100000000001</v>
      </c>
      <c r="O36" s="2">
        <v>-6.7489189999999999</v>
      </c>
      <c r="P36" s="2">
        <v>36.140133785368029</v>
      </c>
      <c r="Q36" s="2">
        <v>16.738804722125042</v>
      </c>
      <c r="R36" s="2">
        <v>19.057157958616759</v>
      </c>
      <c r="S36" s="3">
        <v>0.11949455776635323</v>
      </c>
      <c r="V36" s="49" t="s">
        <v>781</v>
      </c>
      <c r="W36" s="49" t="s">
        <v>391</v>
      </c>
      <c r="X36" s="2">
        <v>83.1</v>
      </c>
      <c r="Y36" s="2">
        <v>-0.59808609999999995</v>
      </c>
      <c r="Z36" s="2">
        <v>87.35</v>
      </c>
      <c r="AA36" s="2">
        <v>4.9878334718663053</v>
      </c>
      <c r="AB36" s="2">
        <v>66.099999999999994</v>
      </c>
      <c r="AC36" s="2">
        <v>-22.887595500376197</v>
      </c>
      <c r="AD36" s="2">
        <v>9.6362320000000001E-2</v>
      </c>
      <c r="AE36" s="2">
        <v>-2.1662379999999999</v>
      </c>
      <c r="AF36" s="2">
        <v>-2.5105559999999998</v>
      </c>
      <c r="AG36" s="2">
        <v>0.91074869999999997</v>
      </c>
      <c r="AH36" s="2">
        <v>-2.5105559999999998</v>
      </c>
      <c r="AI36" s="2">
        <v>17.62208</v>
      </c>
      <c r="AJ36" s="2">
        <v>29.414208742524025</v>
      </c>
      <c r="AK36" s="2">
        <v>12.293424788902355</v>
      </c>
      <c r="AL36" s="2">
        <v>17.199338782506409</v>
      </c>
      <c r="AM36" s="51">
        <v>0.28654727534052404</v>
      </c>
    </row>
    <row r="37" spans="1:39" x14ac:dyDescent="0.25">
      <c r="A37" t="s">
        <v>158</v>
      </c>
      <c r="B37" t="s">
        <v>1111</v>
      </c>
      <c r="C37" t="s">
        <v>1101</v>
      </c>
      <c r="D37" s="2">
        <v>581.44870000000003</v>
      </c>
      <c r="E37" s="2">
        <v>-1.1954279999999999</v>
      </c>
      <c r="F37" s="2">
        <v>655.43830000000003</v>
      </c>
      <c r="G37" s="2">
        <v>11.978142420594898</v>
      </c>
      <c r="H37" s="2">
        <v>534.22429999999997</v>
      </c>
      <c r="I37" s="2">
        <v>-8.4706959724375057</v>
      </c>
      <c r="J37" s="2">
        <v>-2.1449579999999999</v>
      </c>
      <c r="K37" s="2">
        <v>6.0745310000000003</v>
      </c>
      <c r="L37" s="2">
        <v>1.434021</v>
      </c>
      <c r="M37" s="2">
        <v>-1.4828159999999999</v>
      </c>
      <c r="N37" s="2">
        <v>1.434021</v>
      </c>
      <c r="O37" s="2">
        <v>-10.529859999999999</v>
      </c>
      <c r="P37" s="2">
        <v>52.114739139486737</v>
      </c>
      <c r="Q37" s="2">
        <v>14.379675547349658</v>
      </c>
      <c r="R37" s="2">
        <v>15.812224689956453</v>
      </c>
      <c r="S37" s="3">
        <v>3.7963342478778764E-2</v>
      </c>
      <c r="V37" s="49" t="s">
        <v>776</v>
      </c>
      <c r="W37" s="49" t="s">
        <v>391</v>
      </c>
      <c r="X37" s="2">
        <v>1245.94</v>
      </c>
      <c r="Y37" s="2">
        <v>2.2662170000000001</v>
      </c>
      <c r="Z37" s="2">
        <v>1296.9749999999999</v>
      </c>
      <c r="AA37" s="2">
        <v>4.0144364785240523</v>
      </c>
      <c r="AB37" s="2">
        <v>977.66</v>
      </c>
      <c r="AC37" s="2">
        <v>-24.248358276546252</v>
      </c>
      <c r="AD37" s="2">
        <v>1.078165</v>
      </c>
      <c r="AE37" s="2">
        <v>8.0063840000000006</v>
      </c>
      <c r="AF37" s="2">
        <v>14.56077</v>
      </c>
      <c r="AG37" s="2">
        <v>4.0555209999999997</v>
      </c>
      <c r="AH37" s="2">
        <v>14.56077</v>
      </c>
      <c r="AI37" s="2">
        <v>4.3596969999999997</v>
      </c>
      <c r="AJ37" s="2">
        <v>38.095470234783079</v>
      </c>
      <c r="AK37" s="2">
        <v>24.251415162568861</v>
      </c>
      <c r="AL37" s="2">
        <v>28.301031949572174</v>
      </c>
      <c r="AM37" s="51">
        <v>0.29251666263095971</v>
      </c>
    </row>
    <row r="38" spans="1:39" x14ac:dyDescent="0.25">
      <c r="A38" t="s">
        <v>155</v>
      </c>
      <c r="B38" t="s">
        <v>1110</v>
      </c>
      <c r="C38" t="s">
        <v>1101</v>
      </c>
      <c r="D38" s="2">
        <v>863.82</v>
      </c>
      <c r="E38" s="2">
        <v>-1.2449840000000001</v>
      </c>
      <c r="F38" s="2">
        <v>916.09</v>
      </c>
      <c r="G38" s="2">
        <v>5.8750199356383677</v>
      </c>
      <c r="H38" s="2">
        <v>759.47</v>
      </c>
      <c r="I38" s="2">
        <v>-12.874359218145996</v>
      </c>
      <c r="J38" s="2">
        <v>-2.147764</v>
      </c>
      <c r="K38" s="2">
        <v>5.0339270000000003</v>
      </c>
      <c r="L38" s="2">
        <v>2.6170460000000002</v>
      </c>
      <c r="M38" s="2">
        <v>2.2962250000000002</v>
      </c>
      <c r="N38" s="2">
        <v>2.6170460000000002</v>
      </c>
      <c r="O38" s="2">
        <v>-4.8016839999999998</v>
      </c>
      <c r="P38" s="2">
        <v>32.626110442276861</v>
      </c>
      <c r="Q38" s="2">
        <v>11.661586825444445</v>
      </c>
      <c r="R38" s="2">
        <v>19.693278026854919</v>
      </c>
      <c r="S38" s="3">
        <v>0.38310869105376805</v>
      </c>
      <c r="V38" s="49" t="s">
        <v>856</v>
      </c>
      <c r="W38" s="49" t="s">
        <v>384</v>
      </c>
      <c r="X38" s="2">
        <v>88.78</v>
      </c>
      <c r="Y38" s="2">
        <v>-0.1911186</v>
      </c>
      <c r="Z38" s="2">
        <v>92.5</v>
      </c>
      <c r="AA38" s="2">
        <v>4.1047245112490316</v>
      </c>
      <c r="AB38" s="2">
        <v>54.94</v>
      </c>
      <c r="AC38" s="2">
        <v>-47.991971873876146</v>
      </c>
      <c r="AD38" s="2">
        <v>-1.355556</v>
      </c>
      <c r="AE38" s="2">
        <v>1.4628570000000001</v>
      </c>
      <c r="AF38" s="2">
        <v>2.7546279999999999</v>
      </c>
      <c r="AG38" s="2">
        <v>22.135090000000002</v>
      </c>
      <c r="AH38" s="2">
        <v>2.7546279999999999</v>
      </c>
      <c r="AI38" s="2">
        <v>30.635670000000001</v>
      </c>
      <c r="AJ38" s="2">
        <v>18.383979457747369</v>
      </c>
      <c r="AK38" s="2">
        <v>7.5767020242197267</v>
      </c>
      <c r="AL38" s="2">
        <v>10.761364588964094</v>
      </c>
      <c r="AM38" s="51">
        <v>0.29467759889873119</v>
      </c>
    </row>
    <row r="39" spans="1:39" x14ac:dyDescent="0.25">
      <c r="A39" t="s">
        <v>154</v>
      </c>
      <c r="B39" t="s">
        <v>1109</v>
      </c>
      <c r="C39" t="s">
        <v>1101</v>
      </c>
      <c r="D39" s="2">
        <v>880.16</v>
      </c>
      <c r="E39" s="2">
        <v>-1.198868</v>
      </c>
      <c r="F39" s="2">
        <v>948.48</v>
      </c>
      <c r="G39" s="2">
        <v>7.4756994100464738</v>
      </c>
      <c r="H39" s="2">
        <v>783.58</v>
      </c>
      <c r="I39" s="2">
        <v>-11.623054660862104</v>
      </c>
      <c r="J39" s="2">
        <v>-2.1489940000000001</v>
      </c>
      <c r="K39" s="2">
        <v>5.5689479999999998</v>
      </c>
      <c r="L39" s="2">
        <v>2.2573850000000002</v>
      </c>
      <c r="M39" s="2">
        <v>1.427792</v>
      </c>
      <c r="N39" s="2">
        <v>2.2573850000000002</v>
      </c>
      <c r="O39" s="2">
        <v>-6.519107</v>
      </c>
      <c r="P39" s="2">
        <v>38.721885132670586</v>
      </c>
      <c r="Q39" s="2">
        <v>12.04630630335153</v>
      </c>
      <c r="R39" s="2">
        <v>17.287952118563737</v>
      </c>
      <c r="S39" s="3">
        <v>0.19649604789273131</v>
      </c>
      <c r="V39" s="49" t="s">
        <v>865</v>
      </c>
      <c r="W39" s="49" t="s">
        <v>384</v>
      </c>
      <c r="X39" s="2">
        <v>6.03</v>
      </c>
      <c r="Y39" s="2">
        <v>-0.16556290000000001</v>
      </c>
      <c r="Z39" s="2">
        <v>6.92</v>
      </c>
      <c r="AA39" s="2">
        <v>13.766875889048402</v>
      </c>
      <c r="AB39" s="2">
        <v>5.58</v>
      </c>
      <c r="AC39" s="2">
        <v>-7.7558234345874499</v>
      </c>
      <c r="AD39" s="2">
        <v>-0.3305785</v>
      </c>
      <c r="AE39" s="2">
        <v>4.3252560000000004</v>
      </c>
      <c r="AF39" s="2">
        <v>-4.8895920000000004</v>
      </c>
      <c r="AG39" s="2">
        <v>-3.6741250000000001</v>
      </c>
      <c r="AH39" s="2">
        <v>-4.8895920000000004</v>
      </c>
      <c r="AI39" s="2">
        <v>-3.3653810000000002</v>
      </c>
      <c r="AJ39" s="2">
        <v>7.4761300232089942</v>
      </c>
      <c r="AK39" s="2">
        <v>4.0276767825217803</v>
      </c>
      <c r="AL39" s="2">
        <v>5.083742823161927</v>
      </c>
      <c r="AM39" s="51">
        <v>0.3062433986866796</v>
      </c>
    </row>
    <row r="40" spans="1:39" x14ac:dyDescent="0.25">
      <c r="A40" t="s">
        <v>160</v>
      </c>
      <c r="B40" t="s">
        <v>1108</v>
      </c>
      <c r="C40" t="s">
        <v>986</v>
      </c>
      <c r="D40" s="2">
        <v>1100.356</v>
      </c>
      <c r="E40" s="2">
        <v>-0.83050120000000005</v>
      </c>
      <c r="F40" s="2">
        <v>1136.163</v>
      </c>
      <c r="G40" s="2">
        <v>3.2023032112323291</v>
      </c>
      <c r="H40" s="2">
        <v>902.69889999999998</v>
      </c>
      <c r="I40" s="2">
        <v>-19.799998905430279</v>
      </c>
      <c r="J40" s="2">
        <v>-2.161203</v>
      </c>
      <c r="K40" s="2">
        <v>5.35893</v>
      </c>
      <c r="L40" s="2">
        <v>0.74351869999999998</v>
      </c>
      <c r="M40" s="2">
        <v>6.0050739999999996</v>
      </c>
      <c r="N40" s="2">
        <v>0.74351869999999998</v>
      </c>
      <c r="O40" s="2">
        <v>2.3176679999999998</v>
      </c>
      <c r="P40" s="2">
        <v>24.436249591988407</v>
      </c>
      <c r="Q40" s="2">
        <v>13.688657452690132</v>
      </c>
      <c r="R40" s="2">
        <v>19.679037660094448</v>
      </c>
      <c r="S40" s="3">
        <v>0.55736951400497003</v>
      </c>
      <c r="V40" s="49" t="s">
        <v>779</v>
      </c>
      <c r="W40" s="49" t="s">
        <v>391</v>
      </c>
      <c r="X40" s="2">
        <v>51.02</v>
      </c>
      <c r="Y40" s="2">
        <v>2.408671</v>
      </c>
      <c r="Z40" s="2">
        <v>59.59</v>
      </c>
      <c r="AA40" s="2">
        <v>15.527006204522223</v>
      </c>
      <c r="AB40" s="2">
        <v>42.36</v>
      </c>
      <c r="AC40" s="2">
        <v>-18.601319198045967</v>
      </c>
      <c r="AD40" s="2">
        <v>-1.3915729999999999</v>
      </c>
      <c r="AE40" s="2">
        <v>13.47865</v>
      </c>
      <c r="AF40" s="2">
        <v>8.9007509999999996</v>
      </c>
      <c r="AG40" s="2">
        <v>-3.3345940000000001</v>
      </c>
      <c r="AH40" s="2">
        <v>8.9007509999999996</v>
      </c>
      <c r="AI40" s="2">
        <v>11.130470000000001</v>
      </c>
      <c r="AJ40" s="2">
        <v>17.778017143492281</v>
      </c>
      <c r="AK40" s="2">
        <v>9.0009265392172875</v>
      </c>
      <c r="AL40" s="2">
        <v>11.689957327248614</v>
      </c>
      <c r="AM40" s="51">
        <v>0.306369263947395</v>
      </c>
    </row>
    <row r="41" spans="1:39" x14ac:dyDescent="0.25">
      <c r="A41" t="s">
        <v>152</v>
      </c>
      <c r="B41" t="s">
        <v>1107</v>
      </c>
      <c r="C41" t="s">
        <v>1101</v>
      </c>
      <c r="D41" s="2">
        <v>461.15</v>
      </c>
      <c r="E41" s="2">
        <v>-1.204019</v>
      </c>
      <c r="F41" s="2">
        <v>523.69000000000005</v>
      </c>
      <c r="G41" s="2">
        <v>12.717653651974297</v>
      </c>
      <c r="H41" s="2">
        <v>425.29</v>
      </c>
      <c r="I41" s="2">
        <v>-8.0952080513054412</v>
      </c>
      <c r="J41" s="2">
        <v>-2.1785269999999999</v>
      </c>
      <c r="K41" s="2">
        <v>5.6302510000000003</v>
      </c>
      <c r="L41" s="2">
        <v>1.0695429999999999</v>
      </c>
      <c r="M41" s="2">
        <v>-1.866279</v>
      </c>
      <c r="N41" s="2">
        <v>1.0695429999999999</v>
      </c>
      <c r="O41" s="2">
        <v>-11.22682</v>
      </c>
      <c r="P41" s="2">
        <v>45.803963874636729</v>
      </c>
      <c r="Q41" s="2">
        <v>11.818344072734781</v>
      </c>
      <c r="R41" s="2">
        <v>16.261741851616762</v>
      </c>
      <c r="S41" s="3">
        <v>0.13074346752485336</v>
      </c>
      <c r="V41" s="49" t="s">
        <v>799</v>
      </c>
      <c r="W41" s="49" t="s">
        <v>391</v>
      </c>
      <c r="X41" s="2">
        <v>210.03</v>
      </c>
      <c r="Y41" s="2">
        <v>1.0974729999999999</v>
      </c>
      <c r="Z41" s="2">
        <v>234.64</v>
      </c>
      <c r="AA41" s="2">
        <v>11.08020470119796</v>
      </c>
      <c r="AB41" s="2">
        <v>151.69999999999999</v>
      </c>
      <c r="AC41" s="2">
        <v>-32.534549130272936</v>
      </c>
      <c r="AD41" s="2">
        <v>-3.2476509999999998</v>
      </c>
      <c r="AE41" s="2">
        <v>7.0489309999999996</v>
      </c>
      <c r="AF41" s="2">
        <v>7.1253710000000003</v>
      </c>
      <c r="AG41" s="2">
        <v>11.415839999999999</v>
      </c>
      <c r="AH41" s="2">
        <v>7.1253710000000003</v>
      </c>
      <c r="AI41" s="2">
        <v>-9.6645160000000008</v>
      </c>
      <c r="AJ41" s="2">
        <v>14.715084861798699</v>
      </c>
      <c r="AK41" s="2">
        <v>6.0027753212509483</v>
      </c>
      <c r="AL41" s="2">
        <v>8.687884142156209</v>
      </c>
      <c r="AM41" s="51">
        <v>0.30819713285077399</v>
      </c>
    </row>
    <row r="42" spans="1:39" x14ac:dyDescent="0.25">
      <c r="A42" t="s">
        <v>151</v>
      </c>
      <c r="B42" t="s">
        <v>1106</v>
      </c>
      <c r="C42" t="s">
        <v>1101</v>
      </c>
      <c r="D42" s="2">
        <v>809.09</v>
      </c>
      <c r="E42" s="2">
        <v>-1.205187</v>
      </c>
      <c r="F42" s="2">
        <v>882.06</v>
      </c>
      <c r="G42" s="2">
        <v>8.6349921578205926</v>
      </c>
      <c r="H42" s="2">
        <v>726.16</v>
      </c>
      <c r="I42" s="2">
        <v>-10.813978310735205</v>
      </c>
      <c r="J42" s="2">
        <v>-2.1798519999999999</v>
      </c>
      <c r="K42" s="2">
        <v>5.7606349999999997</v>
      </c>
      <c r="L42" s="2">
        <v>1.539873</v>
      </c>
      <c r="M42" s="2">
        <v>1.1590130000000001</v>
      </c>
      <c r="N42" s="2">
        <v>1.539873</v>
      </c>
      <c r="O42" s="2">
        <v>-7.5283429999999996</v>
      </c>
      <c r="P42" s="2">
        <v>47.664397775266885</v>
      </c>
      <c r="Q42" s="2">
        <v>11.818292714356573</v>
      </c>
      <c r="R42" s="2">
        <v>16.261654483068334</v>
      </c>
      <c r="S42" s="3">
        <v>0.12395661289173607</v>
      </c>
      <c r="V42" s="49" t="s">
        <v>847</v>
      </c>
      <c r="W42" s="49" t="s">
        <v>375</v>
      </c>
      <c r="X42" s="2">
        <v>565.5</v>
      </c>
      <c r="Y42" s="2">
        <v>-0.1236312</v>
      </c>
      <c r="Z42" s="2">
        <v>740.9</v>
      </c>
      <c r="AA42" s="2">
        <v>27.015536786643612</v>
      </c>
      <c r="AB42" s="2">
        <v>480</v>
      </c>
      <c r="AC42" s="2">
        <v>-16.392419165423849</v>
      </c>
      <c r="AD42" s="2">
        <v>-1.0844849999999999</v>
      </c>
      <c r="AE42" s="2">
        <v>14.08109</v>
      </c>
      <c r="AF42" s="2">
        <v>12.024570000000001</v>
      </c>
      <c r="AG42" s="2">
        <v>0.69444879999999998</v>
      </c>
      <c r="AH42" s="2">
        <v>12.024570000000001</v>
      </c>
      <c r="AI42" s="2">
        <v>-21.052630000000001</v>
      </c>
      <c r="AJ42" s="2">
        <v>11.613046036898472</v>
      </c>
      <c r="AK42" s="2">
        <v>5.8158680476781237</v>
      </c>
      <c r="AL42" s="2">
        <v>7.7518848526387938</v>
      </c>
      <c r="AM42" s="51">
        <v>0.33395848955485341</v>
      </c>
    </row>
    <row r="43" spans="1:39" x14ac:dyDescent="0.25">
      <c r="A43" t="s">
        <v>140</v>
      </c>
      <c r="B43" t="s">
        <v>1104</v>
      </c>
      <c r="C43" t="s">
        <v>1105</v>
      </c>
      <c r="D43" s="2">
        <v>819.2</v>
      </c>
      <c r="E43" s="2">
        <v>-0.85325260000000003</v>
      </c>
      <c r="F43" s="2">
        <v>843.09</v>
      </c>
      <c r="G43" s="2">
        <v>2.8745459583837998</v>
      </c>
      <c r="H43" s="2">
        <v>624.55999999999995</v>
      </c>
      <c r="I43" s="2">
        <v>-27.128085247320794</v>
      </c>
      <c r="J43" s="2">
        <v>-2.199087</v>
      </c>
      <c r="K43" s="2">
        <v>3.3899569999999999</v>
      </c>
      <c r="L43" s="2">
        <v>5.8138189999999996</v>
      </c>
      <c r="M43" s="2">
        <v>8.6299290000000006</v>
      </c>
      <c r="N43" s="2">
        <v>5.8138189999999996</v>
      </c>
      <c r="O43" s="2">
        <v>4.9032590000000003</v>
      </c>
      <c r="P43" s="2">
        <v>176.60851022257557</v>
      </c>
      <c r="Q43" s="2">
        <v>0.45743595698663647</v>
      </c>
      <c r="R43" s="2">
        <v>16.156371828933043</v>
      </c>
      <c r="S43" s="3">
        <v>8.9121999042007488E-2</v>
      </c>
      <c r="V43" s="49" t="s">
        <v>788</v>
      </c>
      <c r="W43" s="49" t="s">
        <v>391</v>
      </c>
      <c r="X43" s="2">
        <v>69.38</v>
      </c>
      <c r="Y43" s="2">
        <v>2.1796760000000002</v>
      </c>
      <c r="Z43" s="2">
        <v>74.53</v>
      </c>
      <c r="AA43" s="2">
        <v>7.1603087351998855</v>
      </c>
      <c r="AB43" s="2">
        <v>48.42</v>
      </c>
      <c r="AC43" s="2">
        <v>-35.968569003169115</v>
      </c>
      <c r="AD43" s="2">
        <v>-1.012983</v>
      </c>
      <c r="AE43" s="2">
        <v>11.993539999999999</v>
      </c>
      <c r="AF43" s="2">
        <v>4.2681079999999998</v>
      </c>
      <c r="AG43" s="2">
        <v>15.000830000000001</v>
      </c>
      <c r="AH43" s="2">
        <v>4.2681079999999998</v>
      </c>
      <c r="AI43" s="2">
        <v>-5.6182860000000003</v>
      </c>
      <c r="AJ43" s="2">
        <v>14.191071255257791</v>
      </c>
      <c r="AK43" s="2">
        <v>5.6542363165566654</v>
      </c>
      <c r="AL43" s="2">
        <v>9.1322826934440737</v>
      </c>
      <c r="AM43" s="51">
        <v>0.40741637877053655</v>
      </c>
    </row>
    <row r="44" spans="1:39" x14ac:dyDescent="0.25">
      <c r="A44" t="s">
        <v>161</v>
      </c>
      <c r="B44" t="s">
        <v>1103</v>
      </c>
      <c r="C44" t="s">
        <v>986</v>
      </c>
      <c r="D44" s="2">
        <v>613.68790000000001</v>
      </c>
      <c r="E44" s="2">
        <v>-0.90791259999999996</v>
      </c>
      <c r="F44" s="2">
        <v>632.15660000000003</v>
      </c>
      <c r="G44" s="2">
        <v>2.9650655536566086</v>
      </c>
      <c r="H44" s="2">
        <v>513.36249999999995</v>
      </c>
      <c r="I44" s="2">
        <v>-17.850426941954044</v>
      </c>
      <c r="J44" s="2">
        <v>-2.237066</v>
      </c>
      <c r="K44" s="2">
        <v>4.4812580000000004</v>
      </c>
      <c r="L44" s="2">
        <v>0.73937459999999999</v>
      </c>
      <c r="M44" s="2">
        <v>4.3380450000000002</v>
      </c>
      <c r="N44" s="2">
        <v>0.73937459999999999</v>
      </c>
      <c r="O44" s="2">
        <v>0.26780530000000002</v>
      </c>
      <c r="P44" s="2">
        <v>22.964951469395778</v>
      </c>
      <c r="Q44" s="2">
        <v>11.312193547962334</v>
      </c>
      <c r="R44" s="2">
        <v>17.142743106290645</v>
      </c>
      <c r="S44" s="3">
        <v>0.50035790648357314</v>
      </c>
      <c r="V44" s="49" t="s">
        <v>833</v>
      </c>
      <c r="W44" s="49" t="s">
        <v>381</v>
      </c>
      <c r="X44" s="2">
        <v>3.6429999999999998</v>
      </c>
      <c r="Y44" s="2">
        <v>0.38578119999999999</v>
      </c>
      <c r="Z44" s="2">
        <v>4.6820000000000004</v>
      </c>
      <c r="AA44" s="2">
        <v>25.091785104229242</v>
      </c>
      <c r="AB44" s="2">
        <v>3.3855</v>
      </c>
      <c r="AC44" s="2">
        <v>-7.330591208286366</v>
      </c>
      <c r="AD44" s="2">
        <v>0.62146109999999999</v>
      </c>
      <c r="AE44" s="2">
        <v>5.0612839999999997</v>
      </c>
      <c r="AF44" s="2">
        <v>-8.8908369999999994</v>
      </c>
      <c r="AG44" s="2">
        <v>-12.142770000000001</v>
      </c>
      <c r="AH44" s="2">
        <v>-8.8908369999999994</v>
      </c>
      <c r="AI44" s="2">
        <v>-18.61036</v>
      </c>
      <c r="AJ44" s="2">
        <v>14.560895983286251</v>
      </c>
      <c r="AK44" s="2">
        <v>4.5909181594788615</v>
      </c>
      <c r="AL44" s="2">
        <v>8.6532063835307138</v>
      </c>
      <c r="AM44" s="51">
        <v>0.40745208222544704</v>
      </c>
    </row>
    <row r="45" spans="1:39" x14ac:dyDescent="0.25">
      <c r="A45" t="s">
        <v>136</v>
      </c>
      <c r="B45" t="s">
        <v>1003</v>
      </c>
      <c r="C45" t="s">
        <v>392</v>
      </c>
      <c r="D45" s="2">
        <v>4875.4399999999996</v>
      </c>
      <c r="E45" s="2">
        <v>-1.622924</v>
      </c>
      <c r="F45" s="2">
        <v>5429.32</v>
      </c>
      <c r="G45" s="2">
        <v>10.760353911410714</v>
      </c>
      <c r="H45" s="2">
        <v>4551.83984375</v>
      </c>
      <c r="I45" s="2">
        <v>-6.8678844292590524</v>
      </c>
      <c r="J45" s="2">
        <v>-2.3300450000000001</v>
      </c>
      <c r="K45" s="2">
        <v>1.3975949999999999</v>
      </c>
      <c r="L45" s="2">
        <v>-4.0163849999999996</v>
      </c>
      <c r="M45" s="2">
        <v>-5.244415</v>
      </c>
      <c r="N45" s="2">
        <v>-4.0163849999999996</v>
      </c>
      <c r="O45" s="2">
        <v>-9.5437159999999999</v>
      </c>
      <c r="P45" s="2">
        <v>178.02337902317771</v>
      </c>
      <c r="Q45" s="2">
        <v>11.992741938111015</v>
      </c>
      <c r="R45" s="2">
        <v>14.205213348692993</v>
      </c>
      <c r="S45" s="3">
        <v>1.3325681629760935E-2</v>
      </c>
      <c r="V45" s="49" t="s">
        <v>841</v>
      </c>
      <c r="W45" s="49" t="s">
        <v>1124</v>
      </c>
      <c r="X45" s="2">
        <v>102.45</v>
      </c>
      <c r="Y45" s="2">
        <v>4.8828120000000003E-2</v>
      </c>
      <c r="Z45" s="2">
        <v>103.55</v>
      </c>
      <c r="AA45" s="2">
        <v>1.0679713156684241</v>
      </c>
      <c r="AB45" s="2">
        <v>85.88</v>
      </c>
      <c r="AC45" s="2">
        <v>-17.64239016743285</v>
      </c>
      <c r="AD45" s="2">
        <v>0.34280119999999997</v>
      </c>
      <c r="AE45" s="2">
        <v>3.6943290000000002</v>
      </c>
      <c r="AF45" s="2">
        <v>3.4848479999999999</v>
      </c>
      <c r="AG45" s="2">
        <v>6.0120040000000001</v>
      </c>
      <c r="AH45" s="2">
        <v>3.4848479999999999</v>
      </c>
      <c r="AI45" s="2">
        <v>13.004630000000001</v>
      </c>
      <c r="AJ45" s="2">
        <v>181.57892739177541</v>
      </c>
      <c r="AK45" s="2">
        <v>4.4699054083630569</v>
      </c>
      <c r="AL45" s="2">
        <v>81.948539793451801</v>
      </c>
      <c r="AM45" s="51">
        <v>0.43746294523801965</v>
      </c>
    </row>
    <row r="46" spans="1:39" x14ac:dyDescent="0.25">
      <c r="A46" t="s">
        <v>153</v>
      </c>
      <c r="B46" t="s">
        <v>1100</v>
      </c>
      <c r="C46" t="s">
        <v>1101</v>
      </c>
      <c r="D46" s="2">
        <v>981.46</v>
      </c>
      <c r="E46" s="2">
        <v>-1.3717079999999999</v>
      </c>
      <c r="F46" s="2">
        <v>1080.3399999999999</v>
      </c>
      <c r="G46" s="2">
        <v>9.5989826451281672</v>
      </c>
      <c r="H46" s="2">
        <v>884.35</v>
      </c>
      <c r="I46" s="2">
        <v>-10.418834705720972</v>
      </c>
      <c r="J46" s="2">
        <v>-2.3384040000000001</v>
      </c>
      <c r="K46" s="2">
        <v>6.1806939999999999</v>
      </c>
      <c r="L46" s="2">
        <v>1.7700309999999999</v>
      </c>
      <c r="M46" s="2">
        <v>-0.1099147</v>
      </c>
      <c r="N46" s="2">
        <v>1.7700309999999999</v>
      </c>
      <c r="O46" s="2">
        <v>-8.453576</v>
      </c>
      <c r="P46" s="2">
        <v>2318.5174344361321</v>
      </c>
      <c r="Q46" s="2">
        <v>4.8103315352401728</v>
      </c>
      <c r="R46" s="2">
        <v>17.571861188562938</v>
      </c>
      <c r="S46" s="3">
        <v>5.5156202085054522E-3</v>
      </c>
      <c r="V46" s="49" t="s">
        <v>848</v>
      </c>
      <c r="W46" s="49" t="s">
        <v>375</v>
      </c>
      <c r="X46" s="2">
        <v>2860</v>
      </c>
      <c r="Y46" s="2">
        <v>5.2475069999999999E-2</v>
      </c>
      <c r="Z46" s="2">
        <v>3502</v>
      </c>
      <c r="AA46" s="2">
        <v>20.251260903189895</v>
      </c>
      <c r="AB46" s="2">
        <v>2412</v>
      </c>
      <c r="AC46" s="2">
        <v>-17.036534596682216</v>
      </c>
      <c r="AD46" s="2">
        <v>-2.3224040000000001</v>
      </c>
      <c r="AE46" s="2">
        <v>16.591930000000001</v>
      </c>
      <c r="AF46" s="2">
        <v>4.7235440000000004</v>
      </c>
      <c r="AG46" s="2">
        <v>-6.3829789999999997</v>
      </c>
      <c r="AH46" s="2">
        <v>4.7235440000000004</v>
      </c>
      <c r="AI46" s="2">
        <v>-16.545079999999999</v>
      </c>
      <c r="AJ46" s="2">
        <v>15.743591072046238</v>
      </c>
      <c r="AK46" s="2">
        <v>4.2036604817085408</v>
      </c>
      <c r="AL46" s="2">
        <v>9.3528238333496851</v>
      </c>
      <c r="AM46" s="51">
        <v>0.44620401408241595</v>
      </c>
    </row>
    <row r="47" spans="1:39" x14ac:dyDescent="0.25">
      <c r="A47" t="s">
        <v>84</v>
      </c>
      <c r="B47" t="s">
        <v>1098</v>
      </c>
      <c r="C47" t="s">
        <v>369</v>
      </c>
      <c r="D47" s="2">
        <v>1527.81</v>
      </c>
      <c r="E47" s="2">
        <v>-0.82440230000000003</v>
      </c>
      <c r="F47" s="2">
        <v>1709.35</v>
      </c>
      <c r="G47" s="2">
        <v>11.22778438296984</v>
      </c>
      <c r="H47" s="2">
        <v>1454.79</v>
      </c>
      <c r="I47" s="2">
        <v>-4.8973777153054971</v>
      </c>
      <c r="J47" s="2">
        <v>-2.383842</v>
      </c>
      <c r="K47" s="2">
        <v>1.963444</v>
      </c>
      <c r="L47" s="2">
        <v>-6.6456</v>
      </c>
      <c r="M47" s="2">
        <v>-8.5581750000000003</v>
      </c>
      <c r="N47" s="2">
        <v>-6.6456</v>
      </c>
      <c r="O47" s="2">
        <v>-4.4873940000000001</v>
      </c>
      <c r="P47" s="2">
        <v>185.5476434622386</v>
      </c>
      <c r="Q47" s="2">
        <v>9.3763901419560902</v>
      </c>
      <c r="R47" s="2">
        <v>9.801162903177044</v>
      </c>
      <c r="S47" s="3">
        <v>2.4111354901285129E-3</v>
      </c>
      <c r="V47" s="49" t="s">
        <v>804</v>
      </c>
      <c r="W47" s="49" t="s">
        <v>1008</v>
      </c>
      <c r="X47" s="2">
        <v>36.53</v>
      </c>
      <c r="Y47" s="2">
        <v>-1.9328860000000001</v>
      </c>
      <c r="Z47" s="2">
        <v>42.33</v>
      </c>
      <c r="AA47" s="2">
        <v>14.73622137256412</v>
      </c>
      <c r="AB47" s="2">
        <v>29.054600000000001</v>
      </c>
      <c r="AC47" s="2">
        <v>-22.895702236852092</v>
      </c>
      <c r="AD47" s="2">
        <v>-3.3342149999999999</v>
      </c>
      <c r="AE47" s="2">
        <v>5.3041260000000001</v>
      </c>
      <c r="AF47" s="2">
        <v>-11.24878</v>
      </c>
      <c r="AG47" s="2">
        <v>-2.7163759999999999</v>
      </c>
      <c r="AH47" s="2">
        <v>-11.24878</v>
      </c>
      <c r="AI47" s="2">
        <v>10.458970000000001</v>
      </c>
      <c r="AJ47" s="2">
        <v>24.979431632831275</v>
      </c>
      <c r="AK47" s="2">
        <v>6.2879647935294409</v>
      </c>
      <c r="AL47" s="2">
        <v>14.746249057459558</v>
      </c>
      <c r="AM47" s="51">
        <v>0.45252116041236556</v>
      </c>
    </row>
    <row r="48" spans="1:39" x14ac:dyDescent="0.25">
      <c r="A48" t="s">
        <v>111</v>
      </c>
      <c r="B48" t="s">
        <v>1097</v>
      </c>
      <c r="C48" t="s">
        <v>1061</v>
      </c>
      <c r="D48" s="2">
        <v>3286.49</v>
      </c>
      <c r="E48" s="2">
        <v>-1.745066</v>
      </c>
      <c r="F48" s="2">
        <v>3487.08</v>
      </c>
      <c r="G48" s="2">
        <v>5.9244583821451391</v>
      </c>
      <c r="H48" s="2">
        <v>2727.92</v>
      </c>
      <c r="I48" s="2">
        <v>-18.628071192820013</v>
      </c>
      <c r="J48" s="2">
        <v>-2.5494659999999998</v>
      </c>
      <c r="K48" s="2">
        <v>2.6127039999999999</v>
      </c>
      <c r="L48" s="2">
        <v>-0.2973054</v>
      </c>
      <c r="M48" s="2">
        <v>2.0462060000000002</v>
      </c>
      <c r="N48" s="2">
        <v>-0.2973054</v>
      </c>
      <c r="O48" s="2">
        <v>-0.56036200000000003</v>
      </c>
      <c r="P48" s="2">
        <v>1738.5696777241008</v>
      </c>
      <c r="Q48" s="2">
        <v>31.032425164024872</v>
      </c>
      <c r="R48" s="2">
        <v>51.770609662525708</v>
      </c>
      <c r="S48" s="3">
        <v>1.2145084663545993E-2</v>
      </c>
      <c r="V48" s="49" t="s">
        <v>802</v>
      </c>
      <c r="W48" s="49" t="s">
        <v>391</v>
      </c>
      <c r="X48" s="2">
        <v>64.459999999999994</v>
      </c>
      <c r="Y48" s="2">
        <v>0.73448979999999997</v>
      </c>
      <c r="Z48" s="2">
        <v>79.7</v>
      </c>
      <c r="AA48" s="2">
        <v>21.222470940887771</v>
      </c>
      <c r="AB48" s="2">
        <v>55.384999999999998</v>
      </c>
      <c r="AC48" s="2">
        <v>-15.173607741839554</v>
      </c>
      <c r="AD48" s="2">
        <v>-0.69326759999999998</v>
      </c>
      <c r="AE48" s="2">
        <v>13.087719999999999</v>
      </c>
      <c r="AF48" s="2">
        <v>-1.271253</v>
      </c>
      <c r="AG48" s="2">
        <v>-3.038513</v>
      </c>
      <c r="AH48" s="2">
        <v>-1.271253</v>
      </c>
      <c r="AI48" s="2">
        <v>-16.513400000000001</v>
      </c>
      <c r="AJ48" s="2">
        <v>26.533525891404306</v>
      </c>
      <c r="AK48" s="2">
        <v>10.838263980225889</v>
      </c>
      <c r="AL48" s="2">
        <v>18.020440615846375</v>
      </c>
      <c r="AM48" s="51">
        <v>0.45760157914314414</v>
      </c>
    </row>
    <row r="49" spans="1:39" x14ac:dyDescent="0.25">
      <c r="A49" t="s">
        <v>162</v>
      </c>
      <c r="B49" t="s">
        <v>1066</v>
      </c>
      <c r="C49" t="s">
        <v>986</v>
      </c>
      <c r="D49" s="2">
        <v>1248.42</v>
      </c>
      <c r="E49" s="2">
        <v>-0.90253139999999998</v>
      </c>
      <c r="F49" s="2">
        <v>1317.58</v>
      </c>
      <c r="G49" s="2">
        <v>5.391796886014145</v>
      </c>
      <c r="H49" s="2">
        <v>1046.3900000000001</v>
      </c>
      <c r="I49" s="2">
        <v>-17.653260669219897</v>
      </c>
      <c r="J49" s="2">
        <v>-2.5935139999999999</v>
      </c>
      <c r="K49" s="2">
        <v>6.2973689999999998</v>
      </c>
      <c r="L49" s="2">
        <v>-0.1192078</v>
      </c>
      <c r="M49" s="2">
        <v>3.1845889999999999</v>
      </c>
      <c r="N49" s="2">
        <v>-0.1192078</v>
      </c>
      <c r="O49" s="2">
        <v>-1.7595479999999999</v>
      </c>
      <c r="P49" s="2">
        <v>23.022336551552222</v>
      </c>
      <c r="Q49" s="2">
        <v>2.3547444516866487</v>
      </c>
      <c r="R49" s="2">
        <v>16.52187480554873</v>
      </c>
      <c r="S49" s="3">
        <v>0.68547561251483324</v>
      </c>
      <c r="V49" s="49" t="s">
        <v>775</v>
      </c>
      <c r="W49" s="49" t="s">
        <v>391</v>
      </c>
      <c r="X49" s="2">
        <v>130.99</v>
      </c>
      <c r="Y49" s="2">
        <v>-0.42569370000000001</v>
      </c>
      <c r="Z49" s="2">
        <v>148.99</v>
      </c>
      <c r="AA49" s="2">
        <v>12.875820518969039</v>
      </c>
      <c r="AB49" s="2">
        <v>121</v>
      </c>
      <c r="AC49" s="2">
        <v>-7.9330438812816553</v>
      </c>
      <c r="AD49" s="2">
        <v>0.44475120000000001</v>
      </c>
      <c r="AE49" s="2">
        <v>2.5522559999999999</v>
      </c>
      <c r="AF49" s="2">
        <v>-9.1860820000000007</v>
      </c>
      <c r="AG49" s="2">
        <v>-4.1139010000000003</v>
      </c>
      <c r="AH49" s="2">
        <v>-9.1860820000000007</v>
      </c>
      <c r="AI49" s="2">
        <v>-5.5178880000000001</v>
      </c>
      <c r="AJ49" s="2">
        <v>22.040356621741743</v>
      </c>
      <c r="AK49" s="2">
        <v>14.192962286655332</v>
      </c>
      <c r="AL49" s="2">
        <v>17.911362822767771</v>
      </c>
      <c r="AM49" s="51">
        <v>0.47383887916618805</v>
      </c>
    </row>
    <row r="50" spans="1:39" x14ac:dyDescent="0.25">
      <c r="A50" t="s">
        <v>296</v>
      </c>
      <c r="B50" t="s">
        <v>378</v>
      </c>
      <c r="C50" t="s">
        <v>354</v>
      </c>
      <c r="D50" s="2">
        <v>17737.71</v>
      </c>
      <c r="E50" s="2">
        <v>-0.84183520000000001</v>
      </c>
      <c r="F50" s="2">
        <v>20804.4609375</v>
      </c>
      <c r="G50" s="2">
        <v>15.947455012176107</v>
      </c>
      <c r="H50" s="2">
        <v>16844.099999999999</v>
      </c>
      <c r="I50" s="2">
        <v>-5.1692434625379304</v>
      </c>
      <c r="J50" s="2">
        <v>-2.59416</v>
      </c>
      <c r="K50" s="2">
        <v>2.0803159999999998</v>
      </c>
      <c r="L50" s="2">
        <v>-5.7126159999999997</v>
      </c>
      <c r="M50" s="2">
        <v>-9.8879029999999997</v>
      </c>
      <c r="N50" s="2">
        <v>-5.7126159999999997</v>
      </c>
      <c r="O50" s="2">
        <v>-7.4416760000000002</v>
      </c>
      <c r="P50" s="2">
        <v>12.107977235671687</v>
      </c>
      <c r="Q50" s="2">
        <v>6.8730907332608489</v>
      </c>
      <c r="R50" s="2">
        <v>9.6182758852037864</v>
      </c>
      <c r="S50" s="3">
        <v>0.52440203826361642</v>
      </c>
      <c r="V50" s="49" t="s">
        <v>849</v>
      </c>
      <c r="W50" s="49" t="s">
        <v>375</v>
      </c>
      <c r="X50" s="2">
        <v>2875</v>
      </c>
      <c r="Y50" s="2">
        <v>0.20913209999999999</v>
      </c>
      <c r="Z50" s="2">
        <v>3679</v>
      </c>
      <c r="AA50" s="2">
        <v>24.658830187332359</v>
      </c>
      <c r="AB50" s="2">
        <v>2687.5</v>
      </c>
      <c r="AC50" s="2">
        <v>-6.7441280795532537</v>
      </c>
      <c r="AD50" s="2">
        <v>-2.3769100000000001</v>
      </c>
      <c r="AE50" s="2">
        <v>6.599926</v>
      </c>
      <c r="AF50" s="2">
        <v>-8.5850559999999998</v>
      </c>
      <c r="AG50" s="2">
        <v>-10.464029999999999</v>
      </c>
      <c r="AH50" s="2">
        <v>-8.5850559999999998</v>
      </c>
      <c r="AI50" s="2">
        <v>-20.536210000000001</v>
      </c>
      <c r="AJ50" s="2">
        <v>22.905481351816768</v>
      </c>
      <c r="AK50" s="2">
        <v>11.390478661200531</v>
      </c>
      <c r="AL50" s="2">
        <v>16.865434365595686</v>
      </c>
      <c r="AM50" s="51">
        <v>0.47546282458594524</v>
      </c>
    </row>
    <row r="51" spans="1:39" x14ac:dyDescent="0.25">
      <c r="A51" t="s">
        <v>242</v>
      </c>
      <c r="B51" t="s">
        <v>1096</v>
      </c>
      <c r="C51" t="s">
        <v>374</v>
      </c>
      <c r="D51" s="2">
        <v>626.76</v>
      </c>
      <c r="E51" s="2">
        <v>-2.3510170000000001</v>
      </c>
      <c r="F51" s="2">
        <v>834.29</v>
      </c>
      <c r="G51" s="2">
        <v>28.60173715038588</v>
      </c>
      <c r="H51" s="2">
        <v>540.83000000000004</v>
      </c>
      <c r="I51" s="2">
        <v>-14.745869567326281</v>
      </c>
      <c r="J51" s="2">
        <v>-2.8459810000000001</v>
      </c>
      <c r="K51" s="2">
        <v>7.5226090000000001</v>
      </c>
      <c r="L51" s="2">
        <v>-11.64554</v>
      </c>
      <c r="M51" s="2">
        <v>-14.93601</v>
      </c>
      <c r="N51" s="2">
        <v>-11.64554</v>
      </c>
      <c r="O51" s="2">
        <v>-24.289719999999999</v>
      </c>
      <c r="P51" s="2">
        <v>179.7911197052828</v>
      </c>
      <c r="Q51" s="2">
        <v>7.3313242960340936</v>
      </c>
      <c r="R51" s="2">
        <v>78.18528700497059</v>
      </c>
      <c r="S51" s="3">
        <v>0.41084336520752202</v>
      </c>
      <c r="V51" s="49" t="s">
        <v>838</v>
      </c>
      <c r="W51" s="49" t="s">
        <v>1124</v>
      </c>
      <c r="X51" s="2">
        <v>282.5</v>
      </c>
      <c r="Y51" s="2">
        <v>-0.29998239999999998</v>
      </c>
      <c r="Z51" s="2">
        <v>285.35000000000002</v>
      </c>
      <c r="AA51" s="2">
        <v>1.003794639622162</v>
      </c>
      <c r="AB51" s="2">
        <v>229.2</v>
      </c>
      <c r="AC51" s="2">
        <v>-20.908356574591124</v>
      </c>
      <c r="AD51" s="2">
        <v>0.33741789999999999</v>
      </c>
      <c r="AE51" s="2">
        <v>3.9175990000000001</v>
      </c>
      <c r="AF51" s="2">
        <v>2.2439420000000001</v>
      </c>
      <c r="AG51" s="2">
        <v>5.1162789999999996</v>
      </c>
      <c r="AH51" s="2">
        <v>2.2439420000000001</v>
      </c>
      <c r="AI51" s="2">
        <v>19.627359999999999</v>
      </c>
      <c r="AJ51" s="2">
        <v>23.510922479412269</v>
      </c>
      <c r="AK51" s="2">
        <v>17.309194590193069</v>
      </c>
      <c r="AL51" s="2">
        <v>20.461326499467571</v>
      </c>
      <c r="AM51" s="51">
        <v>0.50826672269094941</v>
      </c>
    </row>
    <row r="52" spans="1:39" x14ac:dyDescent="0.25">
      <c r="A52" t="s">
        <v>277</v>
      </c>
      <c r="B52" t="s">
        <v>382</v>
      </c>
      <c r="C52" t="s">
        <v>354</v>
      </c>
      <c r="D52" s="2">
        <v>8886.25</v>
      </c>
      <c r="E52" s="2">
        <v>-1.0548949999999999</v>
      </c>
      <c r="F52" s="2">
        <v>10561.46</v>
      </c>
      <c r="G52" s="2">
        <v>17.270638803561923</v>
      </c>
      <c r="H52" s="2">
        <v>8431.91015625</v>
      </c>
      <c r="I52" s="2">
        <v>-5.2481801613005867</v>
      </c>
      <c r="J52" s="2">
        <v>-2.8683939999999999</v>
      </c>
      <c r="K52" s="2">
        <v>2.1020780000000001</v>
      </c>
      <c r="L52" s="2">
        <v>-6.3148749999999998</v>
      </c>
      <c r="M52" s="2">
        <v>-10.48926</v>
      </c>
      <c r="N52" s="2">
        <v>-6.3148749999999998</v>
      </c>
      <c r="O52" s="2">
        <v>-8.8331689999999998</v>
      </c>
      <c r="P52" s="2">
        <v>12.076279207642763</v>
      </c>
      <c r="Q52" s="2">
        <v>7.3101534325587947</v>
      </c>
      <c r="R52" s="2">
        <v>7.8833595150472808</v>
      </c>
      <c r="S52" s="3">
        <v>0.12026667140952392</v>
      </c>
      <c r="V52" s="49" t="s">
        <v>774</v>
      </c>
      <c r="W52" s="49" t="s">
        <v>391</v>
      </c>
      <c r="X52" s="2">
        <v>118</v>
      </c>
      <c r="Y52" s="2">
        <v>0.57103890000000002</v>
      </c>
      <c r="Z52" s="2">
        <v>120.4</v>
      </c>
      <c r="AA52" s="2">
        <v>2.0134908409056025</v>
      </c>
      <c r="AB52" s="2">
        <v>91.11</v>
      </c>
      <c r="AC52" s="2">
        <v>-25.861705673989764</v>
      </c>
      <c r="AD52" s="2">
        <v>-1.469606</v>
      </c>
      <c r="AE52" s="2">
        <v>11.299759999999999</v>
      </c>
      <c r="AF52" s="2">
        <v>9.5025960000000005</v>
      </c>
      <c r="AG52" s="2">
        <v>19.276260000000001</v>
      </c>
      <c r="AH52" s="2">
        <v>9.5025960000000005</v>
      </c>
      <c r="AI52" s="2">
        <v>1.383281</v>
      </c>
      <c r="AJ52" s="2">
        <v>16.716027079117147</v>
      </c>
      <c r="AK52" s="2">
        <v>7.569732446859005</v>
      </c>
      <c r="AL52" s="2">
        <v>12.353198462927109</v>
      </c>
      <c r="AM52" s="51">
        <v>0.52299496226562159</v>
      </c>
    </row>
    <row r="53" spans="1:39" x14ac:dyDescent="0.25">
      <c r="A53" t="s">
        <v>239</v>
      </c>
      <c r="B53" t="s">
        <v>376</v>
      </c>
      <c r="C53" t="s">
        <v>354</v>
      </c>
      <c r="D53" s="2">
        <v>10168.780000000001</v>
      </c>
      <c r="E53" s="2">
        <v>-0.99551849999999997</v>
      </c>
      <c r="F53" s="2">
        <v>11881.6796875</v>
      </c>
      <c r="G53" s="2">
        <v>15.567544958090206</v>
      </c>
      <c r="H53" s="2">
        <v>9731.89</v>
      </c>
      <c r="I53" s="2">
        <v>-4.3914120256789184</v>
      </c>
      <c r="J53" s="2">
        <v>-2.9557669999999998</v>
      </c>
      <c r="K53" s="2">
        <v>1.55061</v>
      </c>
      <c r="L53" s="2">
        <v>-5.5477990000000004</v>
      </c>
      <c r="M53" s="2">
        <v>-9.4638159999999996</v>
      </c>
      <c r="N53" s="2">
        <v>-5.5477990000000004</v>
      </c>
      <c r="O53" s="2">
        <v>-7.4353639999999999</v>
      </c>
      <c r="P53" s="2">
        <v>10.657841018813665</v>
      </c>
      <c r="Q53" s="2">
        <v>5.6292568922183577</v>
      </c>
      <c r="R53" s="2">
        <v>8.1122873935898117</v>
      </c>
      <c r="S53" s="3">
        <v>0.49378322781538792</v>
      </c>
      <c r="V53" s="49" t="s">
        <v>838</v>
      </c>
      <c r="W53" s="49" t="s">
        <v>1124</v>
      </c>
      <c r="X53" s="2">
        <v>281.60000000000002</v>
      </c>
      <c r="Y53" s="2">
        <v>-0.2126152</v>
      </c>
      <c r="Z53" s="2">
        <v>283.60000000000002</v>
      </c>
      <c r="AA53" s="2">
        <v>0.70771703740850789</v>
      </c>
      <c r="AB53" s="2">
        <v>229.2</v>
      </c>
      <c r="AC53" s="2">
        <v>-20.589263944330291</v>
      </c>
      <c r="AD53" s="2">
        <v>0.85959890000000005</v>
      </c>
      <c r="AE53" s="2">
        <v>4.0650380000000004</v>
      </c>
      <c r="AF53" s="2">
        <v>1.8076620000000001</v>
      </c>
      <c r="AG53" s="2">
        <v>5.7851189999999999</v>
      </c>
      <c r="AH53" s="2">
        <v>1.8076620000000001</v>
      </c>
      <c r="AI53" s="2">
        <v>18.818570000000001</v>
      </c>
      <c r="AJ53" s="2">
        <v>23.463946594496257</v>
      </c>
      <c r="AK53" s="2">
        <v>16.792526427119387</v>
      </c>
      <c r="AL53" s="2">
        <v>20.396140414641042</v>
      </c>
      <c r="AM53" s="51">
        <v>0.54015695265953501</v>
      </c>
    </row>
    <row r="54" spans="1:39" x14ac:dyDescent="0.25">
      <c r="A54" t="s">
        <v>274</v>
      </c>
      <c r="B54" t="s">
        <v>988</v>
      </c>
      <c r="C54" t="s">
        <v>354</v>
      </c>
      <c r="D54" s="2">
        <v>33598.89</v>
      </c>
      <c r="E54" s="2">
        <v>-1.2453780000000001</v>
      </c>
      <c r="F54" s="2">
        <v>38786.5390625</v>
      </c>
      <c r="G54" s="2">
        <v>14.358022434656666</v>
      </c>
      <c r="H54" s="2">
        <v>31599.9296875</v>
      </c>
      <c r="I54" s="2">
        <v>-6.1338135197904586</v>
      </c>
      <c r="J54" s="2">
        <v>-2.9884919999999999</v>
      </c>
      <c r="K54" s="2">
        <v>0.70638230000000002</v>
      </c>
      <c r="L54" s="2">
        <v>-7.4885289999999998</v>
      </c>
      <c r="M54" s="2">
        <v>-8.0383169999999993</v>
      </c>
      <c r="N54" s="2">
        <v>-7.4885289999999998</v>
      </c>
      <c r="O54" s="2">
        <v>-7.0760579999999997</v>
      </c>
      <c r="P54" s="2">
        <v>16.392208822043923</v>
      </c>
      <c r="Q54" s="2">
        <v>9.3790916487931018</v>
      </c>
      <c r="R54" s="2">
        <v>12.380683159010518</v>
      </c>
      <c r="S54" s="3">
        <v>0.42799677177303957</v>
      </c>
      <c r="V54" s="49" t="s">
        <v>783</v>
      </c>
      <c r="W54" s="49" t="s">
        <v>391</v>
      </c>
      <c r="X54" s="2">
        <v>35.9</v>
      </c>
      <c r="Y54" s="2">
        <v>-0.30547069999999998</v>
      </c>
      <c r="Z54" s="2">
        <v>46.47</v>
      </c>
      <c r="AA54" s="2">
        <v>25.806964760265387</v>
      </c>
      <c r="AB54" s="2">
        <v>33.97</v>
      </c>
      <c r="AC54" s="2">
        <v>-5.5259513321740581</v>
      </c>
      <c r="AD54" s="2">
        <v>-1.3194060000000001</v>
      </c>
      <c r="AE54" s="2">
        <v>4.5428069999999998</v>
      </c>
      <c r="AF54" s="2">
        <v>-17.96161</v>
      </c>
      <c r="AG54" s="2">
        <v>-14.29935</v>
      </c>
      <c r="AH54" s="2">
        <v>-17.96161</v>
      </c>
      <c r="AI54" s="2">
        <v>-18.017810000000001</v>
      </c>
      <c r="AJ54" s="2">
        <v>26.357689202190624</v>
      </c>
      <c r="AK54" s="2">
        <v>12.461413510206155</v>
      </c>
      <c r="AL54" s="2">
        <v>20.129841128952602</v>
      </c>
      <c r="AM54" s="51">
        <v>0.55183329610894838</v>
      </c>
    </row>
    <row r="55" spans="1:39" x14ac:dyDescent="0.25">
      <c r="A55" t="s">
        <v>172</v>
      </c>
      <c r="B55" t="s">
        <v>373</v>
      </c>
      <c r="C55" t="s">
        <v>372</v>
      </c>
      <c r="D55" s="2">
        <v>3706.13</v>
      </c>
      <c r="E55" s="2">
        <v>-0.63088860000000002</v>
      </c>
      <c r="F55" s="2">
        <v>4299.3100000000004</v>
      </c>
      <c r="G55" s="2">
        <v>14.846633920790882</v>
      </c>
      <c r="H55" s="2">
        <v>3640.17</v>
      </c>
      <c r="I55" s="2">
        <v>-1.7957821644637051</v>
      </c>
      <c r="J55" s="2">
        <v>-2.9887579999999998</v>
      </c>
      <c r="K55" s="2">
        <v>-0.82712940000000001</v>
      </c>
      <c r="L55" s="2">
        <v>-9.0502409999999998</v>
      </c>
      <c r="M55" s="2">
        <v>-11.48357</v>
      </c>
      <c r="N55" s="2">
        <v>-9.0502409999999998</v>
      </c>
      <c r="O55" s="2">
        <v>-11.62204</v>
      </c>
      <c r="P55" s="2">
        <v>60.856805098859219</v>
      </c>
      <c r="Q55" s="2">
        <v>12.342325176466705</v>
      </c>
      <c r="R55" s="2">
        <v>13.043653959479778</v>
      </c>
      <c r="S55" s="3">
        <v>1.4456071344781447E-2</v>
      </c>
      <c r="V55" s="49" t="s">
        <v>851</v>
      </c>
      <c r="W55" s="49" t="s">
        <v>375</v>
      </c>
      <c r="X55" s="2">
        <v>4304</v>
      </c>
      <c r="Y55" s="2">
        <v>-0.50855289999999997</v>
      </c>
      <c r="Z55" s="2">
        <v>4661</v>
      </c>
      <c r="AA55" s="2">
        <v>7.9685194531120507</v>
      </c>
      <c r="AB55" s="2">
        <v>3888</v>
      </c>
      <c r="AC55" s="2">
        <v>-10.164993626129062</v>
      </c>
      <c r="AD55" s="2">
        <v>0.8671198</v>
      </c>
      <c r="AE55" s="2">
        <v>8.9896180000000001</v>
      </c>
      <c r="AF55" s="2">
        <v>2.6227939999999998</v>
      </c>
      <c r="AG55" s="2">
        <v>0.51377859999999997</v>
      </c>
      <c r="AH55" s="2">
        <v>2.6227939999999998</v>
      </c>
      <c r="AI55" s="2">
        <v>-0.50855289999999997</v>
      </c>
      <c r="AJ55" s="2">
        <v>14.403489059450566</v>
      </c>
      <c r="AK55" s="2">
        <v>8.1663877218244405</v>
      </c>
      <c r="AL55" s="2">
        <v>11.625833986115987</v>
      </c>
      <c r="AM55" s="51">
        <v>0.55465609375656399</v>
      </c>
    </row>
    <row r="56" spans="1:39" x14ac:dyDescent="0.25">
      <c r="A56" t="s">
        <v>235</v>
      </c>
      <c r="B56" t="s">
        <v>922</v>
      </c>
      <c r="C56" t="s">
        <v>354</v>
      </c>
      <c r="D56" s="2">
        <v>25945.35</v>
      </c>
      <c r="E56" s="2">
        <v>-1.277158</v>
      </c>
      <c r="F56" s="2">
        <v>30280.12</v>
      </c>
      <c r="G56" s="2">
        <v>15.449898876941266</v>
      </c>
      <c r="H56" s="2">
        <v>24540.63</v>
      </c>
      <c r="I56" s="2">
        <v>-5.566229147899775</v>
      </c>
      <c r="J56" s="2">
        <v>-3.0229710000000001</v>
      </c>
      <c r="K56" s="2">
        <v>1.0319940000000001</v>
      </c>
      <c r="L56" s="2">
        <v>-8.0668710000000008</v>
      </c>
      <c r="M56" s="2">
        <v>-9.1769130000000008</v>
      </c>
      <c r="N56" s="2">
        <v>-8.0668710000000008</v>
      </c>
      <c r="O56" s="2">
        <v>-6.7280030000000002</v>
      </c>
      <c r="P56" s="2">
        <v>14.18282045003129</v>
      </c>
      <c r="Q56" s="2">
        <v>8.9401353446496312</v>
      </c>
      <c r="R56" s="2">
        <v>10.104245356829598</v>
      </c>
      <c r="S56" s="3">
        <v>0.22204461812611975</v>
      </c>
      <c r="V56" s="49" t="s">
        <v>862</v>
      </c>
      <c r="W56" s="49" t="s">
        <v>384</v>
      </c>
      <c r="X56" s="2">
        <v>22.86</v>
      </c>
      <c r="Y56" s="2">
        <v>-0.43554009999999999</v>
      </c>
      <c r="Z56" s="2">
        <v>27.88</v>
      </c>
      <c r="AA56" s="2">
        <v>19.852092752565856</v>
      </c>
      <c r="AB56" s="2">
        <v>14.72</v>
      </c>
      <c r="AC56" s="2">
        <v>-44.01815450659344</v>
      </c>
      <c r="AD56" s="2">
        <v>-2.4327779999999999</v>
      </c>
      <c r="AE56" s="2">
        <v>2.8802910000000002</v>
      </c>
      <c r="AF56" s="2">
        <v>-1.84629</v>
      </c>
      <c r="AG56" s="2">
        <v>-0.21824460000000001</v>
      </c>
      <c r="AH56" s="2">
        <v>-1.84629</v>
      </c>
      <c r="AI56" s="2">
        <v>38.043480000000002</v>
      </c>
      <c r="AJ56" s="2">
        <v>41.85208932261154</v>
      </c>
      <c r="AK56" s="2">
        <v>6.6343354103146472</v>
      </c>
      <c r="AL56" s="2">
        <v>27.154481927126643</v>
      </c>
      <c r="AM56" s="51">
        <v>0.58266482774323169</v>
      </c>
    </row>
    <row r="57" spans="1:39" x14ac:dyDescent="0.25">
      <c r="A57" t="s">
        <v>280</v>
      </c>
      <c r="B57" t="s">
        <v>992</v>
      </c>
      <c r="C57" t="s">
        <v>354</v>
      </c>
      <c r="D57" s="2">
        <v>2958.71</v>
      </c>
      <c r="E57" s="2">
        <v>-1.1786909999999999</v>
      </c>
      <c r="F57" s="2">
        <v>3526.11</v>
      </c>
      <c r="G57" s="2">
        <v>17.544191778063748</v>
      </c>
      <c r="H57" s="2">
        <v>2775.26</v>
      </c>
      <c r="I57" s="2">
        <v>-6.4008926028914823</v>
      </c>
      <c r="J57" s="2">
        <v>-3.0312649999999999</v>
      </c>
      <c r="K57" s="2">
        <v>-0.65308619999999995</v>
      </c>
      <c r="L57" s="2">
        <v>-11.077489999999999</v>
      </c>
      <c r="M57" s="2">
        <v>-11.06091</v>
      </c>
      <c r="N57" s="2">
        <v>-11.077489999999999</v>
      </c>
      <c r="O57" s="2">
        <v>-6.168317</v>
      </c>
      <c r="P57" s="2">
        <v>16.829540738685676</v>
      </c>
      <c r="Q57" s="2">
        <v>9.1163605088815594</v>
      </c>
      <c r="R57" s="2">
        <v>12.401307826032447</v>
      </c>
      <c r="S57" s="3">
        <v>0.42588753526822642</v>
      </c>
      <c r="V57" s="49" t="s">
        <v>815</v>
      </c>
      <c r="W57" s="49" t="s">
        <v>1126</v>
      </c>
      <c r="X57" s="2">
        <v>7328</v>
      </c>
      <c r="Y57" s="2">
        <v>1.145618</v>
      </c>
      <c r="Z57" s="2">
        <v>7583</v>
      </c>
      <c r="AA57" s="2">
        <v>3.4206272346969357</v>
      </c>
      <c r="AB57" s="2">
        <v>5312</v>
      </c>
      <c r="AC57" s="2">
        <v>-32.17342151976964</v>
      </c>
      <c r="AD57" s="2">
        <v>5.4843820000000001</v>
      </c>
      <c r="AE57" s="2">
        <v>0.2051142</v>
      </c>
      <c r="AF57" s="2">
        <v>13.753489999999999</v>
      </c>
      <c r="AG57" s="2">
        <v>14.93099</v>
      </c>
      <c r="AH57" s="2">
        <v>13.753489999999999</v>
      </c>
      <c r="AI57" s="2">
        <v>26.497499999999999</v>
      </c>
      <c r="AJ57" s="2">
        <v>74.912006932067385</v>
      </c>
      <c r="AK57" s="2">
        <v>16.854742435546118</v>
      </c>
      <c r="AL57" s="2">
        <v>52.650827906976751</v>
      </c>
      <c r="AM57" s="51">
        <v>0.61656514101823545</v>
      </c>
    </row>
    <row r="58" spans="1:39" x14ac:dyDescent="0.25">
      <c r="A58" t="s">
        <v>310</v>
      </c>
      <c r="B58" t="s">
        <v>1053</v>
      </c>
      <c r="C58" t="s">
        <v>1011</v>
      </c>
      <c r="D58" s="2">
        <v>961.12599999999998</v>
      </c>
      <c r="E58" s="2">
        <v>-4.2224280000000003E-2</v>
      </c>
      <c r="F58" s="2">
        <v>1059.6479999999999</v>
      </c>
      <c r="G58" s="2">
        <v>9.7586542685949649</v>
      </c>
      <c r="H58" s="2">
        <v>871.05100000000004</v>
      </c>
      <c r="I58" s="2">
        <v>-9.840498527396413</v>
      </c>
      <c r="J58" s="2">
        <v>-3.0968619999999998</v>
      </c>
      <c r="K58" s="2">
        <v>-0.69884369999999996</v>
      </c>
      <c r="L58" s="2">
        <v>-3.9962680000000002</v>
      </c>
      <c r="M58" s="2">
        <v>-5.5477759999999998</v>
      </c>
      <c r="N58" s="2">
        <v>-3.9962680000000002</v>
      </c>
      <c r="O58" s="2">
        <v>3.8492670000000002</v>
      </c>
      <c r="P58" s="2">
        <v>22.001303118964582</v>
      </c>
      <c r="Q58" s="2">
        <v>14.357142419987722</v>
      </c>
      <c r="R58" s="2">
        <v>15.863079666958271</v>
      </c>
      <c r="S58" s="3">
        <v>0.19700491738381584</v>
      </c>
      <c r="V58" s="49" t="s">
        <v>809</v>
      </c>
      <c r="W58" s="49" t="s">
        <v>1133</v>
      </c>
      <c r="X58" s="2">
        <v>77.62</v>
      </c>
      <c r="Y58" s="2">
        <v>-0.94435939999999996</v>
      </c>
      <c r="Z58" s="2">
        <v>82.2</v>
      </c>
      <c r="AA58" s="2">
        <v>5.7330176121373873</v>
      </c>
      <c r="AB58" s="2">
        <v>57.54</v>
      </c>
      <c r="AC58" s="2">
        <v>-29.934476781735853</v>
      </c>
      <c r="AD58" s="2">
        <v>-3.6255280000000001</v>
      </c>
      <c r="AE58" s="2">
        <v>5.8935839999999997</v>
      </c>
      <c r="AF58" s="2">
        <v>-0.56366590000000005</v>
      </c>
      <c r="AG58" s="2">
        <v>13.64568</v>
      </c>
      <c r="AH58" s="2">
        <v>-0.56366590000000005</v>
      </c>
      <c r="AI58" s="2">
        <v>11.747769999999999</v>
      </c>
      <c r="AJ58" s="2">
        <v>22.655480176554857</v>
      </c>
      <c r="AK58" s="2">
        <v>13.110823516672513</v>
      </c>
      <c r="AL58" s="2">
        <v>19.06152627923834</v>
      </c>
      <c r="AM58" s="51">
        <v>0.62345906978273435</v>
      </c>
    </row>
    <row r="59" spans="1:39" x14ac:dyDescent="0.25">
      <c r="A59" t="s">
        <v>279</v>
      </c>
      <c r="B59" t="s">
        <v>987</v>
      </c>
      <c r="C59" t="s">
        <v>354</v>
      </c>
      <c r="D59" s="2">
        <v>7671.93</v>
      </c>
      <c r="E59" s="2">
        <v>-1.125494</v>
      </c>
      <c r="F59" s="2">
        <v>8978.1200000000008</v>
      </c>
      <c r="G59" s="2">
        <v>15.722229282428696</v>
      </c>
      <c r="H59" s="2">
        <v>7249.03</v>
      </c>
      <c r="I59" s="2">
        <v>-5.6700546639881697</v>
      </c>
      <c r="J59" s="2">
        <v>-3.187449</v>
      </c>
      <c r="K59" s="2">
        <v>1.406652</v>
      </c>
      <c r="L59" s="2">
        <v>-5.2927660000000003</v>
      </c>
      <c r="M59" s="2">
        <v>-9.0974500000000003</v>
      </c>
      <c r="N59" s="2">
        <v>-5.2927660000000003</v>
      </c>
      <c r="O59" s="2">
        <v>-7.3929340000000003</v>
      </c>
      <c r="P59" s="2">
        <v>12.950524318465996</v>
      </c>
      <c r="Q59" s="2">
        <v>7.7714086908008477</v>
      </c>
      <c r="R59" s="2">
        <v>8.5253785887012352</v>
      </c>
      <c r="S59" s="3">
        <v>0.14557888877261707</v>
      </c>
      <c r="V59" s="49" t="s">
        <v>864</v>
      </c>
      <c r="W59" s="49" t="s">
        <v>384</v>
      </c>
      <c r="X59" s="2">
        <v>11.81</v>
      </c>
      <c r="Y59" s="2">
        <v>0.51063829999999999</v>
      </c>
      <c r="Z59" s="2">
        <v>12.38</v>
      </c>
      <c r="AA59" s="2">
        <v>4.7135637047179122</v>
      </c>
      <c r="AB59" s="2">
        <v>9.58</v>
      </c>
      <c r="AC59" s="2">
        <v>-20.926903822650182</v>
      </c>
      <c r="AD59" s="2">
        <v>-1.005868</v>
      </c>
      <c r="AE59" s="2">
        <v>4.5132729999999999</v>
      </c>
      <c r="AF59" s="2">
        <v>1.286451</v>
      </c>
      <c r="AG59" s="2">
        <v>6.4923339999999996</v>
      </c>
      <c r="AH59" s="2">
        <v>1.286451</v>
      </c>
      <c r="AI59" s="2">
        <v>13.44861</v>
      </c>
      <c r="AJ59" s="2">
        <v>7.4524533897791336</v>
      </c>
      <c r="AK59" s="2">
        <v>3.3837206627338423</v>
      </c>
      <c r="AL59" s="2">
        <v>6.0091446965441566</v>
      </c>
      <c r="AM59" s="51">
        <v>0.64526824688160189</v>
      </c>
    </row>
    <row r="60" spans="1:39" x14ac:dyDescent="0.25">
      <c r="A60" t="s">
        <v>278</v>
      </c>
      <c r="B60" t="s">
        <v>989</v>
      </c>
      <c r="C60" t="s">
        <v>354</v>
      </c>
      <c r="D60" s="2">
        <v>15641.22</v>
      </c>
      <c r="E60" s="2">
        <v>-0.80353019999999997</v>
      </c>
      <c r="F60" s="2">
        <v>18717.859375</v>
      </c>
      <c r="G60" s="2">
        <v>17.956837769494697</v>
      </c>
      <c r="H60" s="2">
        <v>14846.53</v>
      </c>
      <c r="I60" s="2">
        <v>-5.2143569280071116</v>
      </c>
      <c r="J60" s="2">
        <v>-3.3012280000000001</v>
      </c>
      <c r="K60" s="2">
        <v>1.6702779999999999</v>
      </c>
      <c r="L60" s="2">
        <v>-5.6531890000000002</v>
      </c>
      <c r="M60" s="2">
        <v>-9.7267580000000002</v>
      </c>
      <c r="N60" s="2">
        <v>-5.6531890000000002</v>
      </c>
      <c r="O60" s="2">
        <v>-4.9828539999999997</v>
      </c>
      <c r="P60" s="2">
        <v>9.7353069674717876</v>
      </c>
      <c r="Q60" s="2">
        <v>4.8988329821816539</v>
      </c>
      <c r="R60" s="2">
        <v>6.3874271027728255</v>
      </c>
      <c r="S60" s="3">
        <v>0.30778499483686833</v>
      </c>
      <c r="V60" s="49" t="s">
        <v>803</v>
      </c>
      <c r="W60" s="49" t="s">
        <v>391</v>
      </c>
      <c r="X60" s="2">
        <v>9.1999999999999993</v>
      </c>
      <c r="Y60" s="2">
        <v>0.98792539999999995</v>
      </c>
      <c r="Z60" s="2">
        <v>10.56</v>
      </c>
      <c r="AA60" s="2">
        <v>13.786979422312081</v>
      </c>
      <c r="AB60" s="2">
        <v>7.41</v>
      </c>
      <c r="AC60" s="2">
        <v>-21.637304474699903</v>
      </c>
      <c r="AD60" s="2">
        <v>-0.54054049999999998</v>
      </c>
      <c r="AE60" s="2">
        <v>4.903073</v>
      </c>
      <c r="AF60" s="2">
        <v>-6.5040659999999999</v>
      </c>
      <c r="AG60" s="2">
        <v>8.1081050000000001</v>
      </c>
      <c r="AH60" s="2">
        <v>-6.5040659999999999</v>
      </c>
      <c r="AI60" s="2">
        <v>-2.0234329999999998</v>
      </c>
      <c r="AJ60" s="2">
        <v>8.6446222986009538</v>
      </c>
      <c r="AK60" s="2">
        <v>4.428517911897969</v>
      </c>
      <c r="AL60" s="2">
        <v>7.1888421426072036</v>
      </c>
      <c r="AM60" s="51">
        <v>0.65470965078922594</v>
      </c>
    </row>
    <row r="61" spans="1:39" x14ac:dyDescent="0.25">
      <c r="A61" t="s">
        <v>276</v>
      </c>
      <c r="B61" t="s">
        <v>377</v>
      </c>
      <c r="C61" t="s">
        <v>354</v>
      </c>
      <c r="D61" s="2">
        <v>4159.33</v>
      </c>
      <c r="E61" s="2">
        <v>-1.173281</v>
      </c>
      <c r="F61" s="2">
        <v>4788.57</v>
      </c>
      <c r="G61" s="2">
        <v>14.087782461948741</v>
      </c>
      <c r="H61" s="2">
        <v>3941.07</v>
      </c>
      <c r="I61" s="2">
        <v>-5.3901743565214124</v>
      </c>
      <c r="J61" s="2">
        <v>-3.4640200000000001</v>
      </c>
      <c r="K61" s="2">
        <v>1.2712060000000001</v>
      </c>
      <c r="L61" s="2">
        <v>-5.3460760000000001</v>
      </c>
      <c r="M61" s="2">
        <v>-7.4423019999999998</v>
      </c>
      <c r="N61" s="2">
        <v>-5.3460760000000001</v>
      </c>
      <c r="O61" s="2">
        <v>-5.7819770000000004</v>
      </c>
      <c r="P61" s="2">
        <v>15.922664350263908</v>
      </c>
      <c r="Q61" s="2">
        <v>8.749214284603271</v>
      </c>
      <c r="R61" s="2">
        <v>9.4013910142933526</v>
      </c>
      <c r="S61" s="3">
        <v>9.0915350873083625E-2</v>
      </c>
      <c r="V61" s="49" t="s">
        <v>820</v>
      </c>
      <c r="W61" s="49" t="s">
        <v>1126</v>
      </c>
      <c r="X61" s="2">
        <v>194.41</v>
      </c>
      <c r="Y61" s="2">
        <v>0.93977149999999998</v>
      </c>
      <c r="Z61" s="2">
        <v>198.61</v>
      </c>
      <c r="AA61" s="2">
        <v>2.1373771778151793</v>
      </c>
      <c r="AB61" s="2">
        <v>135.30000000000001</v>
      </c>
      <c r="AC61" s="2">
        <v>-36.247479585580592</v>
      </c>
      <c r="AD61" s="2">
        <v>0.15455150000000001</v>
      </c>
      <c r="AE61" s="2">
        <v>2.7971680000000001</v>
      </c>
      <c r="AF61" s="2">
        <v>0.60025870000000003</v>
      </c>
      <c r="AG61" s="2">
        <v>16.664670000000001</v>
      </c>
      <c r="AH61" s="2">
        <v>0.60025870000000003</v>
      </c>
      <c r="AI61" s="2">
        <v>24.773759999999999</v>
      </c>
      <c r="AJ61" s="2">
        <v>33.598759379373313</v>
      </c>
      <c r="AK61" s="2">
        <v>15.901033402920278</v>
      </c>
      <c r="AL61" s="2">
        <v>27.78562317517725</v>
      </c>
      <c r="AM61" s="51">
        <v>0.67153202553082314</v>
      </c>
    </row>
    <row r="62" spans="1:39" x14ac:dyDescent="0.25">
      <c r="A62" t="s">
        <v>109</v>
      </c>
      <c r="B62" t="s">
        <v>1071</v>
      </c>
      <c r="C62" t="s">
        <v>1061</v>
      </c>
      <c r="D62" s="2">
        <v>2794.09</v>
      </c>
      <c r="E62" s="2">
        <v>-1.727625</v>
      </c>
      <c r="F62" s="2">
        <v>2971.04</v>
      </c>
      <c r="G62" s="2">
        <v>6.140558767156425</v>
      </c>
      <c r="H62" s="2">
        <v>2375.59</v>
      </c>
      <c r="I62" s="2">
        <v>-16.226064451074844</v>
      </c>
      <c r="J62" s="2">
        <v>-3.4960010000000001</v>
      </c>
      <c r="K62" s="2">
        <v>2.724278</v>
      </c>
      <c r="L62" s="2">
        <v>-0.81115870000000001</v>
      </c>
      <c r="M62" s="2">
        <v>2.6703030000000001</v>
      </c>
      <c r="N62" s="2">
        <v>-0.81115870000000001</v>
      </c>
      <c r="O62" s="2">
        <v>-2.0105710000000001</v>
      </c>
      <c r="P62" s="2">
        <v>51.058563954047258</v>
      </c>
      <c r="Q62" s="2">
        <v>26.405020094841976</v>
      </c>
      <c r="R62" s="2">
        <v>29.916224615064266</v>
      </c>
      <c r="S62" s="3">
        <v>0.14242189846111133</v>
      </c>
      <c r="V62" s="49" t="s">
        <v>794</v>
      </c>
      <c r="W62" s="49" t="s">
        <v>391</v>
      </c>
      <c r="X62" s="2">
        <v>136.83000000000001</v>
      </c>
      <c r="Y62" s="2">
        <v>0.99645700000000004</v>
      </c>
      <c r="Z62" s="2">
        <v>144.4</v>
      </c>
      <c r="AA62" s="2">
        <v>5.3847947067007054</v>
      </c>
      <c r="AB62" s="2">
        <v>100.48</v>
      </c>
      <c r="AC62" s="2">
        <v>-30.878057667183036</v>
      </c>
      <c r="AD62" s="2">
        <v>-0.60293479999999999</v>
      </c>
      <c r="AE62" s="2">
        <v>10.86534</v>
      </c>
      <c r="AF62" s="2">
        <v>6.0533219999999996</v>
      </c>
      <c r="AG62" s="2">
        <v>9.1148310000000006</v>
      </c>
      <c r="AH62" s="2">
        <v>6.0533219999999996</v>
      </c>
      <c r="AI62" s="2">
        <v>-2.0614180000000002</v>
      </c>
      <c r="AJ62" s="2">
        <v>19.56581294515308</v>
      </c>
      <c r="AK62" s="2">
        <v>11.800876674207302</v>
      </c>
      <c r="AL62" s="2">
        <v>17.053310798866487</v>
      </c>
      <c r="AM62" s="51">
        <v>0.67642977886532385</v>
      </c>
    </row>
    <row r="63" spans="1:39" x14ac:dyDescent="0.25">
      <c r="A63" t="s">
        <v>209</v>
      </c>
      <c r="B63" t="s">
        <v>998</v>
      </c>
      <c r="C63" t="s">
        <v>999</v>
      </c>
      <c r="D63" s="2">
        <v>1240.94</v>
      </c>
      <c r="E63" s="2">
        <v>-1.2894239999999999</v>
      </c>
      <c r="F63" s="2">
        <v>1410.31</v>
      </c>
      <c r="G63" s="2">
        <v>12.794038143354584</v>
      </c>
      <c r="H63" s="2">
        <v>1160.49</v>
      </c>
      <c r="I63" s="2">
        <v>-6.7026827227510228</v>
      </c>
      <c r="J63" s="2">
        <v>-3.5316429999999999</v>
      </c>
      <c r="K63" s="2">
        <v>6.1966669999999997</v>
      </c>
      <c r="L63" s="2">
        <v>-10.39109</v>
      </c>
      <c r="M63" s="2">
        <v>-4.5225150000000003</v>
      </c>
      <c r="N63" s="2">
        <v>-10.39109</v>
      </c>
      <c r="O63" s="2">
        <v>-5.8553129999999998</v>
      </c>
      <c r="P63" s="2">
        <v>74.598773117321585</v>
      </c>
      <c r="Q63" s="2">
        <v>8.3139225391248832</v>
      </c>
      <c r="R63" s="2">
        <v>8.7634939991897216</v>
      </c>
      <c r="S63" s="3">
        <v>6.7824164366860245E-3</v>
      </c>
      <c r="V63" s="49" t="s">
        <v>789</v>
      </c>
      <c r="W63" s="49" t="s">
        <v>391</v>
      </c>
      <c r="X63" s="2">
        <v>143.16</v>
      </c>
      <c r="Y63" s="2">
        <v>1.044608</v>
      </c>
      <c r="Z63" s="2">
        <v>154.36000000000001</v>
      </c>
      <c r="AA63" s="2">
        <v>7.5324650771593031</v>
      </c>
      <c r="AB63" s="2">
        <v>105.94</v>
      </c>
      <c r="AC63" s="2">
        <v>-30.108998978144442</v>
      </c>
      <c r="AD63" s="2">
        <v>0.66094779999999997</v>
      </c>
      <c r="AE63" s="2">
        <v>10.488530000000001</v>
      </c>
      <c r="AF63" s="2">
        <v>3.4692099999999999</v>
      </c>
      <c r="AG63" s="2">
        <v>2.8596119999999998</v>
      </c>
      <c r="AH63" s="2">
        <v>3.4692099999999999</v>
      </c>
      <c r="AI63" s="2">
        <v>-3.8613949999999999</v>
      </c>
      <c r="AJ63" s="2">
        <v>11.857260352451069</v>
      </c>
      <c r="AK63" s="2">
        <v>6.6843142114229668</v>
      </c>
      <c r="AL63" s="2">
        <v>10.213019035131497</v>
      </c>
      <c r="AM63" s="51">
        <v>0.68214605903614023</v>
      </c>
    </row>
    <row r="64" spans="1:39" x14ac:dyDescent="0.25">
      <c r="A64" t="s">
        <v>202</v>
      </c>
      <c r="B64" t="s">
        <v>1049</v>
      </c>
      <c r="C64" t="s">
        <v>1047</v>
      </c>
      <c r="D64" s="2">
        <v>54876.83</v>
      </c>
      <c r="E64" s="2">
        <v>-1.3411230000000001</v>
      </c>
      <c r="F64" s="2">
        <v>59544.80078125</v>
      </c>
      <c r="G64" s="2">
        <v>8.1637764171777736</v>
      </c>
      <c r="H64" s="2">
        <v>50032.73828125</v>
      </c>
      <c r="I64" s="2">
        <v>-9.2413662570989903</v>
      </c>
      <c r="J64" s="2">
        <v>-3.547574</v>
      </c>
      <c r="K64" s="2">
        <v>1.9790000000000001</v>
      </c>
      <c r="L64" s="2">
        <v>-6.0677620000000001</v>
      </c>
      <c r="M64" s="2">
        <v>-1.368841</v>
      </c>
      <c r="N64" s="2">
        <v>-6.0677620000000001</v>
      </c>
      <c r="O64" s="2">
        <v>-2.9933109999999998</v>
      </c>
      <c r="P64" s="2">
        <v>34.443008689872528</v>
      </c>
      <c r="Q64" s="2">
        <v>14.344846613155632</v>
      </c>
      <c r="R64" s="2">
        <v>14.344846613155632</v>
      </c>
      <c r="S64" s="3">
        <v>0</v>
      </c>
      <c r="V64" s="49" t="s">
        <v>821</v>
      </c>
      <c r="W64" s="49" t="s">
        <v>1126</v>
      </c>
      <c r="X64" s="2">
        <v>1418.5</v>
      </c>
      <c r="Y64" s="2">
        <v>-0.1056338</v>
      </c>
      <c r="Z64" s="2">
        <v>1814</v>
      </c>
      <c r="AA64" s="2">
        <v>24.59343764261758</v>
      </c>
      <c r="AB64" s="2">
        <v>1299.5</v>
      </c>
      <c r="AC64" s="2">
        <v>-8.7620400167361119</v>
      </c>
      <c r="AD64" s="2">
        <v>-3.3060670000000001</v>
      </c>
      <c r="AE64" s="2">
        <v>4.1100919999999999</v>
      </c>
      <c r="AF64" s="2">
        <v>-15.66587</v>
      </c>
      <c r="AG64" s="2">
        <v>-8.1282379999999996</v>
      </c>
      <c r="AH64" s="2">
        <v>-15.66587</v>
      </c>
      <c r="AI64" s="2">
        <v>-21.238199999999999</v>
      </c>
      <c r="AJ64" s="2">
        <v>25.766006807000988</v>
      </c>
      <c r="AK64" s="2">
        <v>9.5162630465807361</v>
      </c>
      <c r="AL64" s="2">
        <v>20.658388747622503</v>
      </c>
      <c r="AM64" s="51">
        <v>0.68568008611808462</v>
      </c>
    </row>
    <row r="65" spans="1:39" x14ac:dyDescent="0.25">
      <c r="A65" t="s">
        <v>201</v>
      </c>
      <c r="B65" t="s">
        <v>1048</v>
      </c>
      <c r="C65" t="s">
        <v>1047</v>
      </c>
      <c r="D65" s="2">
        <v>48865.06</v>
      </c>
      <c r="E65" s="2">
        <v>-1.4009659999999999</v>
      </c>
      <c r="F65" s="2">
        <v>53234.08984375</v>
      </c>
      <c r="G65" s="2">
        <v>8.5636356005466023</v>
      </c>
      <c r="H65" s="2">
        <v>43771.0390625</v>
      </c>
      <c r="I65" s="2">
        <v>-11.009023159390269</v>
      </c>
      <c r="J65" s="2">
        <v>-3.9486840000000001</v>
      </c>
      <c r="K65" s="2">
        <v>1.7112130000000001</v>
      </c>
      <c r="L65" s="2">
        <v>-6.7590620000000001</v>
      </c>
      <c r="M65" s="2">
        <v>-1.0272019999999999</v>
      </c>
      <c r="N65" s="2">
        <v>-6.7590620000000001</v>
      </c>
      <c r="O65" s="2">
        <v>-2.972092</v>
      </c>
      <c r="P65" s="2">
        <v>50.735265535950397</v>
      </c>
      <c r="Q65" s="2">
        <v>13.035313042757046</v>
      </c>
      <c r="R65" s="2">
        <v>13.035313042757046</v>
      </c>
      <c r="S65" s="3">
        <v>0</v>
      </c>
      <c r="V65" s="49" t="s">
        <v>860</v>
      </c>
      <c r="W65" s="49" t="s">
        <v>384</v>
      </c>
      <c r="X65" s="2">
        <v>17.32</v>
      </c>
      <c r="Y65" s="2">
        <v>-0.28785260000000001</v>
      </c>
      <c r="Z65" s="2">
        <v>20.66</v>
      </c>
      <c r="AA65" s="2">
        <v>17.63375605572034</v>
      </c>
      <c r="AB65" s="2">
        <v>14.6</v>
      </c>
      <c r="AC65" s="2">
        <v>-17.084037441999836</v>
      </c>
      <c r="AD65" s="2">
        <v>-0.68807339999999995</v>
      </c>
      <c r="AE65" s="2">
        <v>-4.3093940000000002</v>
      </c>
      <c r="AF65" s="2">
        <v>-4.4150150000000004</v>
      </c>
      <c r="AG65" s="2">
        <v>-1.1979500000000001</v>
      </c>
      <c r="AH65" s="2">
        <v>-4.4150150000000004</v>
      </c>
      <c r="AI65" s="2">
        <v>10.31847</v>
      </c>
      <c r="AJ65" s="2">
        <v>6.9339805487872956</v>
      </c>
      <c r="AK65" s="2">
        <v>3.4192282398897191</v>
      </c>
      <c r="AL65" s="2">
        <v>5.8676478472216997</v>
      </c>
      <c r="AM65" s="51">
        <v>0.69661227652765734</v>
      </c>
    </row>
    <row r="66" spans="1:39" x14ac:dyDescent="0.25">
      <c r="A66" t="s">
        <v>203</v>
      </c>
      <c r="B66" t="s">
        <v>1046</v>
      </c>
      <c r="C66" t="s">
        <v>1047</v>
      </c>
      <c r="D66" s="2">
        <v>69657.649999999994</v>
      </c>
      <c r="E66" s="2">
        <v>-1.3813169999999999</v>
      </c>
      <c r="F66" s="2">
        <v>74743.5625</v>
      </c>
      <c r="G66" s="2">
        <v>7.0470559077749115</v>
      </c>
      <c r="H66" s="2">
        <v>59860.66015625</v>
      </c>
      <c r="I66" s="2">
        <v>-15.157299838244015</v>
      </c>
      <c r="J66" s="2">
        <v>-4.6288600000000004</v>
      </c>
      <c r="K66" s="2">
        <v>0.6039274</v>
      </c>
      <c r="L66" s="2">
        <v>-3.1863389999999998</v>
      </c>
      <c r="M66" s="2">
        <v>3.2261099999999998</v>
      </c>
      <c r="N66" s="2">
        <v>-3.1863389999999998</v>
      </c>
      <c r="O66" s="2">
        <v>-0.69410260000000001</v>
      </c>
      <c r="P66" s="2">
        <v>33.5194945805423</v>
      </c>
      <c r="Q66" s="2">
        <v>13.012269467730261</v>
      </c>
      <c r="R66" s="2">
        <v>18.862538945067833</v>
      </c>
      <c r="S66" s="3">
        <v>0.28527845406459079</v>
      </c>
      <c r="V66" s="49" t="s">
        <v>817</v>
      </c>
      <c r="W66" s="49" t="s">
        <v>1126</v>
      </c>
      <c r="X66" s="2">
        <v>3233</v>
      </c>
      <c r="Y66" s="2">
        <v>-0.81300810000000001</v>
      </c>
      <c r="Z66" s="2">
        <v>3633.5</v>
      </c>
      <c r="AA66" s="2">
        <v>11.678587233125755</v>
      </c>
      <c r="AB66" s="2">
        <v>2513</v>
      </c>
      <c r="AC66" s="2">
        <v>-25.193324018184089</v>
      </c>
      <c r="AD66" s="2">
        <v>-1.116379</v>
      </c>
      <c r="AE66" s="2">
        <v>-5.4125220000000001</v>
      </c>
      <c r="AF66" s="2">
        <v>-5.5506869999999999</v>
      </c>
      <c r="AG66" s="2">
        <v>4.6447649999999996</v>
      </c>
      <c r="AH66" s="2">
        <v>-5.5506869999999999</v>
      </c>
      <c r="AI66" s="2">
        <v>20.634329999999999</v>
      </c>
      <c r="AJ66" s="2">
        <v>28.227173623971478</v>
      </c>
      <c r="AK66" s="2">
        <v>15.609652808256044</v>
      </c>
      <c r="AL66" s="2">
        <v>24.801123069723907</v>
      </c>
      <c r="AM66" s="51">
        <v>0.72846880109915568</v>
      </c>
    </row>
    <row r="67" spans="1:39" x14ac:dyDescent="0.25">
      <c r="A67" t="s">
        <v>56</v>
      </c>
      <c r="B67" t="s">
        <v>1042</v>
      </c>
      <c r="C67" t="s">
        <v>1040</v>
      </c>
      <c r="D67" s="2">
        <v>24657.86</v>
      </c>
      <c r="E67" s="2">
        <v>1.293223</v>
      </c>
      <c r="F67" s="2">
        <v>39737.94140625</v>
      </c>
      <c r="G67" s="2">
        <v>47.721072046836383</v>
      </c>
      <c r="H67" s="2">
        <v>19555.63</v>
      </c>
      <c r="I67" s="2">
        <v>-23.183248924684172</v>
      </c>
      <c r="J67" s="2">
        <v>-6.0220469999999997</v>
      </c>
      <c r="K67" s="2">
        <v>9.1515489999999993</v>
      </c>
      <c r="L67" s="2">
        <v>-30.284929999999999</v>
      </c>
      <c r="M67" s="2">
        <v>-14.74226</v>
      </c>
      <c r="N67" s="2">
        <v>-30.284929999999999</v>
      </c>
      <c r="O67" s="2">
        <v>-21.304739999999999</v>
      </c>
      <c r="P67" s="2">
        <v>223.62623931235223</v>
      </c>
      <c r="Q67" s="2">
        <v>3.4826930011240882</v>
      </c>
      <c r="R67" s="2">
        <v>4.1960784146701027</v>
      </c>
      <c r="S67" s="3">
        <v>3.2405465683625592E-3</v>
      </c>
      <c r="V67" s="49" t="s">
        <v>791</v>
      </c>
      <c r="W67" s="49" t="s">
        <v>391</v>
      </c>
      <c r="X67" s="2">
        <v>127.74</v>
      </c>
      <c r="Y67" s="2">
        <v>1.5340590000000001</v>
      </c>
      <c r="Z67" s="2">
        <v>130.91999999999999</v>
      </c>
      <c r="AA67" s="2">
        <v>2.4589501499536595</v>
      </c>
      <c r="AB67" s="2">
        <v>87.7</v>
      </c>
      <c r="AC67" s="2">
        <v>-37.607504875530573</v>
      </c>
      <c r="AD67" s="2">
        <v>-1.214137</v>
      </c>
      <c r="AE67" s="2">
        <v>6.193365</v>
      </c>
      <c r="AF67" s="2">
        <v>14.585570000000001</v>
      </c>
      <c r="AG67" s="2">
        <v>19.260570000000001</v>
      </c>
      <c r="AH67" s="2">
        <v>14.585570000000001</v>
      </c>
      <c r="AI67" s="2">
        <v>18.772659999999998</v>
      </c>
      <c r="AJ67" s="2">
        <v>26.341144608288094</v>
      </c>
      <c r="AK67" s="2">
        <v>13.344375675128758</v>
      </c>
      <c r="AL67" s="2">
        <v>22.970295933403321</v>
      </c>
      <c r="AM67" s="51">
        <v>0.7406394856890508</v>
      </c>
    </row>
    <row r="68" spans="1:39" x14ac:dyDescent="0.25">
      <c r="A68" t="s">
        <v>55</v>
      </c>
      <c r="B68" t="s">
        <v>1041</v>
      </c>
      <c r="C68" t="s">
        <v>1040</v>
      </c>
      <c r="D68" s="2">
        <v>28212.41</v>
      </c>
      <c r="E68" s="2">
        <v>1.4112610000000001</v>
      </c>
      <c r="F68" s="2">
        <v>44470.76171875</v>
      </c>
      <c r="G68" s="2">
        <v>45.50699811354658</v>
      </c>
      <c r="H68" s="2">
        <v>22484.400000000001</v>
      </c>
      <c r="I68" s="2">
        <v>-22.694021665291444</v>
      </c>
      <c r="J68" s="2">
        <v>-6.1809830000000003</v>
      </c>
      <c r="K68" s="2">
        <v>9.1462649999999996</v>
      </c>
      <c r="L68" s="2">
        <v>-29.321909999999999</v>
      </c>
      <c r="M68" s="2">
        <v>-13.53204</v>
      </c>
      <c r="N68" s="2">
        <v>-29.321909999999999</v>
      </c>
      <c r="O68" s="2">
        <v>-16.883669999999999</v>
      </c>
      <c r="P68" s="2">
        <v>263.26679566112466</v>
      </c>
      <c r="Q68" s="2">
        <v>3.7169773465656961</v>
      </c>
      <c r="R68" s="2">
        <v>4.4295670707421104</v>
      </c>
      <c r="S68" s="3">
        <v>2.7454834251234104E-3</v>
      </c>
      <c r="V68" s="49" t="s">
        <v>858</v>
      </c>
      <c r="W68" s="49" t="s">
        <v>384</v>
      </c>
      <c r="X68" s="2">
        <v>34.35</v>
      </c>
      <c r="Y68" s="2">
        <v>0.79225350000000005</v>
      </c>
      <c r="Z68" s="2">
        <v>38.5</v>
      </c>
      <c r="AA68" s="2">
        <v>11.405622262538023</v>
      </c>
      <c r="AB68" s="2">
        <v>24.38</v>
      </c>
      <c r="AC68" s="2">
        <v>-34.283889461523295</v>
      </c>
      <c r="AD68" s="2">
        <v>-1.2931029999999999</v>
      </c>
      <c r="AE68" s="2">
        <v>-1.857143</v>
      </c>
      <c r="AF68" s="2">
        <v>-3.1576010000000001</v>
      </c>
      <c r="AG68" s="2">
        <v>9.0822489999999991</v>
      </c>
      <c r="AH68" s="2">
        <v>-3.1576010000000001</v>
      </c>
      <c r="AI68" s="2">
        <v>12.807880000000001</v>
      </c>
      <c r="AJ68" s="2">
        <v>11.817119562972172</v>
      </c>
      <c r="AK68" s="2">
        <v>3.7292946804538869</v>
      </c>
      <c r="AL68" s="2">
        <v>10.077367924608112</v>
      </c>
      <c r="AM68" s="51">
        <v>0.78489251886196154</v>
      </c>
    </row>
    <row r="69" spans="1:39" x14ac:dyDescent="0.25">
      <c r="A69" t="s">
        <v>57</v>
      </c>
      <c r="B69" t="s">
        <v>1039</v>
      </c>
      <c r="C69" t="s">
        <v>1040</v>
      </c>
      <c r="D69" s="2">
        <v>1207562</v>
      </c>
      <c r="E69" s="2">
        <v>1.3109759999999999</v>
      </c>
      <c r="F69" s="2">
        <v>1912998</v>
      </c>
      <c r="G69" s="2">
        <v>46.00681939971269</v>
      </c>
      <c r="H69" s="2">
        <v>971926.375</v>
      </c>
      <c r="I69" s="2">
        <v>-21.707867425747217</v>
      </c>
      <c r="J69" s="2">
        <v>-6.2273670000000001</v>
      </c>
      <c r="K69" s="2">
        <v>7.9976779999999996</v>
      </c>
      <c r="L69" s="2">
        <v>-29.617930000000001</v>
      </c>
      <c r="M69" s="2">
        <v>-14.741210000000001</v>
      </c>
      <c r="N69" s="2">
        <v>-29.617930000000001</v>
      </c>
      <c r="O69" s="2">
        <v>-20.567260000000001</v>
      </c>
      <c r="P69" s="2">
        <v>38.68367039811713</v>
      </c>
      <c r="Q69" s="2">
        <v>4.2046109838184318</v>
      </c>
      <c r="R69" s="2">
        <v>5.097688279155741</v>
      </c>
      <c r="S69" s="3">
        <v>2.5902020255429127E-2</v>
      </c>
      <c r="V69" s="49" t="s">
        <v>826</v>
      </c>
      <c r="W69" s="49" t="s">
        <v>1061</v>
      </c>
      <c r="X69" s="2">
        <v>96.08</v>
      </c>
      <c r="Y69" s="2">
        <v>1.1155550000000001</v>
      </c>
      <c r="Z69" s="2">
        <v>112.12</v>
      </c>
      <c r="AA69" s="2">
        <v>15.438854852485957</v>
      </c>
      <c r="AB69" s="2">
        <v>84.42</v>
      </c>
      <c r="AC69" s="2">
        <v>-12.937683741737537</v>
      </c>
      <c r="AD69" s="2">
        <v>-0.64115820000000001</v>
      </c>
      <c r="AE69" s="2">
        <v>9.7555390000000006</v>
      </c>
      <c r="AF69" s="2">
        <v>-8.3381030000000003</v>
      </c>
      <c r="AG69" s="2">
        <v>1.2220839999999999</v>
      </c>
      <c r="AH69" s="2">
        <v>-8.3381030000000003</v>
      </c>
      <c r="AI69" s="2">
        <v>-13.44144</v>
      </c>
      <c r="AJ69" s="2">
        <v>19.700182815356492</v>
      </c>
      <c r="AK69" s="2">
        <v>9.9521960500927484</v>
      </c>
      <c r="AL69" s="2">
        <v>17.629358134138474</v>
      </c>
      <c r="AM69" s="51">
        <v>0.78756385999648115</v>
      </c>
    </row>
    <row r="70" spans="1:39" x14ac:dyDescent="0.25">
      <c r="A70" t="s">
        <v>204</v>
      </c>
      <c r="B70" t="s">
        <v>1001</v>
      </c>
      <c r="C70" t="s">
        <v>1002</v>
      </c>
      <c r="D70" s="2">
        <v>1251.894</v>
      </c>
      <c r="E70" s="2">
        <v>2.8738079999999999</v>
      </c>
      <c r="F70" s="2">
        <v>1467.13</v>
      </c>
      <c r="G70" s="2">
        <v>15.865050690132335</v>
      </c>
      <c r="H70" s="2">
        <v>1186.7190000000001</v>
      </c>
      <c r="I70" s="2">
        <v>-5.3465248209922338</v>
      </c>
      <c r="J70" s="2">
        <v>-7.6274490000000004</v>
      </c>
      <c r="K70" s="2">
        <v>-6.4930070000000004</v>
      </c>
      <c r="L70" s="2">
        <v>-6.1889060000000002</v>
      </c>
      <c r="M70" s="2">
        <v>-11.686199999999999</v>
      </c>
      <c r="N70" s="2">
        <v>-6.1889060000000002</v>
      </c>
      <c r="O70" s="2">
        <v>-9.6215630000000001</v>
      </c>
      <c r="P70" s="2">
        <v>35.692548087362262</v>
      </c>
      <c r="Q70" s="2">
        <v>10.273782508219641</v>
      </c>
      <c r="R70" s="2">
        <v>11.678209056633046</v>
      </c>
      <c r="S70" s="3">
        <v>5.5251563811808672E-2</v>
      </c>
      <c r="V70" s="49" t="s">
        <v>859</v>
      </c>
      <c r="W70" s="49" t="s">
        <v>384</v>
      </c>
      <c r="X70" s="2">
        <v>57.82</v>
      </c>
      <c r="Y70" s="2">
        <v>-0.58459419999999995</v>
      </c>
      <c r="Z70" s="2">
        <v>65.400000000000006</v>
      </c>
      <c r="AA70" s="2">
        <v>12.318752187495319</v>
      </c>
      <c r="AB70" s="2">
        <v>35.35</v>
      </c>
      <c r="AC70" s="2">
        <v>-49.203634424561812</v>
      </c>
      <c r="AD70" s="2">
        <v>-0.68704909999999997</v>
      </c>
      <c r="AE70" s="2">
        <v>6.7380500000000003</v>
      </c>
      <c r="AF70" s="2">
        <v>6.1501720000000004</v>
      </c>
      <c r="AG70" s="2">
        <v>29.0625</v>
      </c>
      <c r="AH70" s="2">
        <v>6.1501720000000004</v>
      </c>
      <c r="AI70" s="2">
        <v>47.012450000000001</v>
      </c>
      <c r="AJ70" s="2">
        <v>14.768067398836882</v>
      </c>
      <c r="AK70" s="2">
        <v>4.860270795353407</v>
      </c>
      <c r="AL70" s="2">
        <v>12.812799435994</v>
      </c>
      <c r="AM70" s="51">
        <v>0.80265360290547028</v>
      </c>
    </row>
    <row r="71" spans="1:39" x14ac:dyDescent="0.25">
      <c r="A71" t="s">
        <v>205</v>
      </c>
      <c r="B71" t="s">
        <v>1038</v>
      </c>
      <c r="C71" t="s">
        <v>1002</v>
      </c>
      <c r="D71" s="2">
        <v>13594.61</v>
      </c>
      <c r="E71" s="2">
        <v>3.222502</v>
      </c>
      <c r="F71" s="2">
        <v>15321.23046875</v>
      </c>
      <c r="G71" s="2">
        <v>11.956608823500002</v>
      </c>
      <c r="H71" s="2">
        <v>12076.83</v>
      </c>
      <c r="I71" s="2">
        <v>-11.83846498049652</v>
      </c>
      <c r="J71" s="2">
        <v>-7.8025219999999997</v>
      </c>
      <c r="K71" s="2">
        <v>-4.8731260000000001</v>
      </c>
      <c r="L71" s="2">
        <v>-2.9441009999999999</v>
      </c>
      <c r="M71" s="2">
        <v>-7.1241469999999998</v>
      </c>
      <c r="N71" s="2">
        <v>-2.9441009999999999</v>
      </c>
      <c r="O71" s="2">
        <v>-6.9638439999999999</v>
      </c>
      <c r="P71" s="2">
        <v>50.105007952907876</v>
      </c>
      <c r="Q71" s="2">
        <v>11.120908775080254</v>
      </c>
      <c r="R71" s="2">
        <v>11.478781470305902</v>
      </c>
      <c r="S71" s="3">
        <v>9.1799657494507341E-3</v>
      </c>
      <c r="V71" s="49" t="s">
        <v>795</v>
      </c>
      <c r="W71" s="49" t="s">
        <v>391</v>
      </c>
      <c r="X71" s="2">
        <v>222.04</v>
      </c>
      <c r="Y71" s="2">
        <v>-1.3856809999999999</v>
      </c>
      <c r="Z71" s="2">
        <v>242</v>
      </c>
      <c r="AA71" s="2">
        <v>8.6080180334725842</v>
      </c>
      <c r="AB71" s="2">
        <v>140.39500000000001</v>
      </c>
      <c r="AC71" s="2">
        <v>-45.839766740000357</v>
      </c>
      <c r="AD71" s="2">
        <v>0.1940346</v>
      </c>
      <c r="AE71" s="2">
        <v>-1.999385</v>
      </c>
      <c r="AF71" s="2">
        <v>5.3270730000000004</v>
      </c>
      <c r="AG71" s="2">
        <v>13.465170000000001</v>
      </c>
      <c r="AH71" s="2">
        <v>5.3270730000000004</v>
      </c>
      <c r="AI71" s="2">
        <v>52.395339999999997</v>
      </c>
      <c r="AJ71" s="2">
        <v>71.384873051773653</v>
      </c>
      <c r="AK71" s="2">
        <v>42.604333726531365</v>
      </c>
      <c r="AL71" s="2">
        <v>65.749768669462256</v>
      </c>
      <c r="AM71" s="51">
        <v>0.80420435077222241</v>
      </c>
    </row>
    <row r="72" spans="1:39" x14ac:dyDescent="0.25">
      <c r="V72" s="49" t="s">
        <v>825</v>
      </c>
      <c r="W72" s="49" t="s">
        <v>1061</v>
      </c>
      <c r="X72" s="2">
        <v>208.9</v>
      </c>
      <c r="Y72" s="2">
        <v>-9.564802E-2</v>
      </c>
      <c r="Z72" s="2">
        <v>219.05</v>
      </c>
      <c r="AA72" s="2">
        <v>4.7444345697387291</v>
      </c>
      <c r="AB72" s="2">
        <v>170.46</v>
      </c>
      <c r="AC72" s="2">
        <v>-20.335500346836852</v>
      </c>
      <c r="AD72" s="2">
        <v>-0.73651699999999998</v>
      </c>
      <c r="AE72" s="2">
        <v>5.9975630000000004</v>
      </c>
      <c r="AF72" s="2">
        <v>-1.229314</v>
      </c>
      <c r="AG72" s="2">
        <v>6.397068</v>
      </c>
      <c r="AH72" s="2">
        <v>-1.229314</v>
      </c>
      <c r="AI72" s="2">
        <v>7.4588510000000001</v>
      </c>
      <c r="AJ72" s="2">
        <v>12.396133538605168</v>
      </c>
      <c r="AK72" s="2">
        <v>6.8394758116704795</v>
      </c>
      <c r="AL72" s="2">
        <v>11.405556875729294</v>
      </c>
      <c r="AM72" s="51">
        <v>0.8217315675078799</v>
      </c>
    </row>
    <row r="73" spans="1:39" x14ac:dyDescent="0.25">
      <c r="V73" s="49" t="s">
        <v>772</v>
      </c>
      <c r="W73" s="49" t="s">
        <v>391</v>
      </c>
      <c r="X73" s="2">
        <v>221.03</v>
      </c>
      <c r="Y73" s="2">
        <v>1.538956</v>
      </c>
      <c r="Z73" s="2">
        <v>233.47</v>
      </c>
      <c r="AA73" s="2">
        <v>5.4755150285995455</v>
      </c>
      <c r="AB73" s="2">
        <v>142</v>
      </c>
      <c r="AC73" s="2">
        <v>-44.247138131009017</v>
      </c>
      <c r="AD73" s="2">
        <v>-0.78107470000000001</v>
      </c>
      <c r="AE73" s="2">
        <v>9.0752079999999999</v>
      </c>
      <c r="AF73" s="2">
        <v>13.01835</v>
      </c>
      <c r="AG73" s="2">
        <v>17.10819</v>
      </c>
      <c r="AH73" s="2">
        <v>13.01835</v>
      </c>
      <c r="AI73" s="2">
        <v>-0.52207680000000001</v>
      </c>
      <c r="AJ73" s="2">
        <v>20.63015068289489</v>
      </c>
      <c r="AK73" s="2">
        <v>9.3372364311458007</v>
      </c>
      <c r="AL73" s="2">
        <v>18.821078141262642</v>
      </c>
      <c r="AM73" s="51">
        <v>0.83980463312629416</v>
      </c>
    </row>
    <row r="74" spans="1:39" x14ac:dyDescent="0.25">
      <c r="V74" s="49" t="s">
        <v>853</v>
      </c>
      <c r="W74" s="49" t="s">
        <v>375</v>
      </c>
      <c r="X74" s="2">
        <v>705.7</v>
      </c>
      <c r="Y74" s="2">
        <v>0.49843349999999997</v>
      </c>
      <c r="Z74" s="2">
        <v>1064</v>
      </c>
      <c r="AA74" s="2">
        <v>41.060045189480505</v>
      </c>
      <c r="AB74" s="2">
        <v>635.1</v>
      </c>
      <c r="AC74" s="2">
        <v>-10.540775119785538</v>
      </c>
      <c r="AD74" s="2">
        <v>-1.5348120000000001</v>
      </c>
      <c r="AE74" s="2">
        <v>8.7700390000000006</v>
      </c>
      <c r="AF74" s="2">
        <v>-7.2911210000000004</v>
      </c>
      <c r="AG74" s="2">
        <v>-26.37454</v>
      </c>
      <c r="AH74" s="2">
        <v>-7.2911210000000004</v>
      </c>
      <c r="AI74" s="2">
        <v>-33.077289999999998</v>
      </c>
      <c r="AJ74" s="2">
        <v>14.729969219289245</v>
      </c>
      <c r="AK74" s="2">
        <v>4.4376892809587218</v>
      </c>
      <c r="AL74" s="2">
        <v>13.164816942580565</v>
      </c>
      <c r="AM74" s="51">
        <v>0.8479294883070817</v>
      </c>
    </row>
    <row r="75" spans="1:39" x14ac:dyDescent="0.25">
      <c r="V75" s="49" t="s">
        <v>787</v>
      </c>
      <c r="W75" s="49" t="s">
        <v>391</v>
      </c>
      <c r="X75" s="2">
        <v>82.86</v>
      </c>
      <c r="Y75" s="2">
        <v>0.50946139999999995</v>
      </c>
      <c r="Z75" s="2">
        <v>88.76</v>
      </c>
      <c r="AA75" s="2">
        <v>6.878366141513756</v>
      </c>
      <c r="AB75" s="2">
        <v>65.44</v>
      </c>
      <c r="AC75" s="2">
        <v>-23.601874435476418</v>
      </c>
      <c r="AD75" s="2">
        <v>-0.93256810000000001</v>
      </c>
      <c r="AE75" s="2">
        <v>1.1351150000000001</v>
      </c>
      <c r="AF75" s="2">
        <v>-1.638174</v>
      </c>
      <c r="AG75" s="2">
        <v>5.9184409999999996</v>
      </c>
      <c r="AH75" s="2">
        <v>-1.638174</v>
      </c>
      <c r="AI75" s="2">
        <v>14.76455</v>
      </c>
      <c r="AJ75" s="2">
        <v>41.313635111210615</v>
      </c>
      <c r="AK75" s="2">
        <v>17.69465258887848</v>
      </c>
      <c r="AL75" s="2">
        <v>37.922683041408106</v>
      </c>
      <c r="AM75" s="51">
        <v>0.85643106909468647</v>
      </c>
    </row>
    <row r="76" spans="1:39" x14ac:dyDescent="0.25">
      <c r="V76" s="49" t="s">
        <v>771</v>
      </c>
      <c r="W76" s="49" t="s">
        <v>391</v>
      </c>
      <c r="X76" s="2">
        <v>139.36000000000001</v>
      </c>
      <c r="Y76" s="2">
        <v>1.4412579999999999</v>
      </c>
      <c r="Z76" s="2">
        <v>142.37</v>
      </c>
      <c r="AA76" s="2">
        <v>2.13687895214616</v>
      </c>
      <c r="AB76" s="2">
        <v>93.96</v>
      </c>
      <c r="AC76" s="2">
        <v>-39.419135331348073</v>
      </c>
      <c r="AD76" s="2">
        <v>0.60641060000000002</v>
      </c>
      <c r="AE76" s="2">
        <v>4.4755979999999997</v>
      </c>
      <c r="AF76" s="2">
        <v>4.4442839999999997</v>
      </c>
      <c r="AG76" s="2">
        <v>18.442969999999999</v>
      </c>
      <c r="AH76" s="2">
        <v>4.4442839999999997</v>
      </c>
      <c r="AI76" s="2">
        <v>21.764970000000002</v>
      </c>
      <c r="AJ76" s="2">
        <v>31.862906357813902</v>
      </c>
      <c r="AK76" s="2">
        <v>13.817185476417913</v>
      </c>
      <c r="AL76" s="2">
        <v>29.334124349312578</v>
      </c>
      <c r="AM76" s="51">
        <v>0.85986805264685551</v>
      </c>
    </row>
    <row r="77" spans="1:39" x14ac:dyDescent="0.25">
      <c r="V77" s="49" t="s">
        <v>837</v>
      </c>
      <c r="W77" s="49" t="s">
        <v>1124</v>
      </c>
      <c r="X77" s="2">
        <v>84.93</v>
      </c>
      <c r="Y77" s="2">
        <v>-0.88691799999999998</v>
      </c>
      <c r="Z77" s="2">
        <v>94.4</v>
      </c>
      <c r="AA77" s="2">
        <v>10.571368535953701</v>
      </c>
      <c r="AB77" s="2">
        <v>71.691640000000007</v>
      </c>
      <c r="AC77" s="2">
        <v>-16.94532439159536</v>
      </c>
      <c r="AD77" s="2">
        <v>-0.99090699999999998</v>
      </c>
      <c r="AE77" s="2">
        <v>-2.7593269999999999</v>
      </c>
      <c r="AF77" s="2">
        <v>-6.5676579999999998</v>
      </c>
      <c r="AG77" s="2">
        <v>3.8431380000000002</v>
      </c>
      <c r="AH77" s="2">
        <v>-6.5676579999999998</v>
      </c>
      <c r="AI77" s="2">
        <v>15.50333</v>
      </c>
      <c r="AJ77" s="2">
        <v>32.090501314155219</v>
      </c>
      <c r="AK77" s="2">
        <v>10.73889663864715</v>
      </c>
      <c r="AL77" s="2">
        <v>29.117312885824255</v>
      </c>
      <c r="AM77" s="51">
        <v>0.86075105484968817</v>
      </c>
    </row>
    <row r="78" spans="1:39" x14ac:dyDescent="0.25">
      <c r="V78" s="49" t="s">
        <v>845</v>
      </c>
      <c r="W78" s="49" t="s">
        <v>375</v>
      </c>
      <c r="X78" s="2">
        <v>7342</v>
      </c>
      <c r="Y78" s="2">
        <v>-1.5949599999999999</v>
      </c>
      <c r="Z78" s="2">
        <v>7494</v>
      </c>
      <c r="AA78" s="2">
        <v>2.0491415296853055</v>
      </c>
      <c r="AB78" s="2">
        <v>6045</v>
      </c>
      <c r="AC78" s="2">
        <v>-19.43798010078865</v>
      </c>
      <c r="AD78" s="2">
        <v>-1.3834789999999999</v>
      </c>
      <c r="AE78" s="2">
        <v>6.8860099999999997</v>
      </c>
      <c r="AF78" s="2">
        <v>11.02374</v>
      </c>
      <c r="AG78" s="2">
        <v>8.6094670000000004</v>
      </c>
      <c r="AH78" s="2">
        <v>11.02374</v>
      </c>
      <c r="AI78" s="2">
        <v>4.4381219999999999</v>
      </c>
      <c r="AJ78" s="2">
        <v>11.811404825045409</v>
      </c>
      <c r="AK78" s="2">
        <v>6.0863799752964836</v>
      </c>
      <c r="AL78" s="2">
        <v>11.050072994897882</v>
      </c>
      <c r="AM78" s="51">
        <v>0.86701685143237128</v>
      </c>
    </row>
    <row r="79" spans="1:39" x14ac:dyDescent="0.25">
      <c r="V79" s="49" t="s">
        <v>830</v>
      </c>
      <c r="W79" s="49" t="s">
        <v>1061</v>
      </c>
      <c r="X79" s="2">
        <v>45.51</v>
      </c>
      <c r="Y79" s="2">
        <v>0.68584069999999997</v>
      </c>
      <c r="Z79" s="2">
        <v>60</v>
      </c>
      <c r="AA79" s="2">
        <v>27.641248019355018</v>
      </c>
      <c r="AB79" s="2">
        <v>40.31</v>
      </c>
      <c r="AC79" s="2">
        <v>-12.133250489947608</v>
      </c>
      <c r="AD79" s="2">
        <v>-4.007593</v>
      </c>
      <c r="AE79" s="2">
        <v>12.676410000000001</v>
      </c>
      <c r="AF79" s="2">
        <v>-3.7029169999999998</v>
      </c>
      <c r="AG79" s="2">
        <v>-10.39575</v>
      </c>
      <c r="AH79" s="2">
        <v>-3.7029169999999998</v>
      </c>
      <c r="AI79" s="2">
        <v>-16.831140000000001</v>
      </c>
      <c r="AJ79" s="2">
        <v>13.157226192829178</v>
      </c>
      <c r="AK79" s="2">
        <v>5.1928453691793388</v>
      </c>
      <c r="AL79" s="2">
        <v>12.10645656998966</v>
      </c>
      <c r="AM79" s="51">
        <v>0.86806637626878558</v>
      </c>
    </row>
    <row r="80" spans="1:39" x14ac:dyDescent="0.25">
      <c r="V80" s="49" t="s">
        <v>808</v>
      </c>
      <c r="W80" s="49" t="s">
        <v>1133</v>
      </c>
      <c r="X80" s="2">
        <v>246.3</v>
      </c>
      <c r="Y80" s="2">
        <v>-1.004823</v>
      </c>
      <c r="Z80" s="2">
        <v>257.8</v>
      </c>
      <c r="AA80" s="2">
        <v>4.5633785378594762</v>
      </c>
      <c r="AB80" s="2">
        <v>182</v>
      </c>
      <c r="AC80" s="2">
        <v>-30.254361804969687</v>
      </c>
      <c r="AD80" s="2">
        <v>-0.28340080000000001</v>
      </c>
      <c r="AE80" s="2">
        <v>4.320201</v>
      </c>
      <c r="AF80" s="2">
        <v>-3.0696599999999998</v>
      </c>
      <c r="AG80" s="2">
        <v>4.8977839999999997</v>
      </c>
      <c r="AH80" s="2">
        <v>-3.0696599999999998</v>
      </c>
      <c r="AI80" s="2">
        <v>20.85378</v>
      </c>
      <c r="AJ80" s="2">
        <v>36.693654782765229</v>
      </c>
      <c r="AK80" s="2">
        <v>22.637863557451713</v>
      </c>
      <c r="AL80" s="2">
        <v>34.957085395454726</v>
      </c>
      <c r="AM80" s="51">
        <v>0.87645168034489151</v>
      </c>
    </row>
    <row r="81" spans="22:39" x14ac:dyDescent="0.25">
      <c r="V81" s="49" t="s">
        <v>792</v>
      </c>
      <c r="W81" s="49" t="s">
        <v>391</v>
      </c>
      <c r="X81" s="2">
        <v>90.81</v>
      </c>
      <c r="Y81" s="2">
        <v>4.163799</v>
      </c>
      <c r="Z81" s="2">
        <v>92.79</v>
      </c>
      <c r="AA81" s="2">
        <v>2.1569463663350983</v>
      </c>
      <c r="AB81" s="2">
        <v>66.53</v>
      </c>
      <c r="AC81" s="2">
        <v>-31.111643794794077</v>
      </c>
      <c r="AD81" s="2">
        <v>3.0994549999999998</v>
      </c>
      <c r="AE81" s="2">
        <v>12.891590000000001</v>
      </c>
      <c r="AF81" s="2">
        <v>9.9128500000000006</v>
      </c>
      <c r="AG81" s="2">
        <v>10.30001</v>
      </c>
      <c r="AH81" s="2">
        <v>9.9128500000000006</v>
      </c>
      <c r="AI81" s="2">
        <v>7.0998929999999998</v>
      </c>
      <c r="AJ81" s="2">
        <v>35.843147342971889</v>
      </c>
      <c r="AK81" s="2">
        <v>19.837877968244531</v>
      </c>
      <c r="AL81" s="2">
        <v>33.884327447236473</v>
      </c>
      <c r="AM81" s="51">
        <v>0.8776140626018808</v>
      </c>
    </row>
    <row r="82" spans="22:39" x14ac:dyDescent="0.25">
      <c r="V82" s="49" t="s">
        <v>806</v>
      </c>
      <c r="W82" s="49" t="s">
        <v>1133</v>
      </c>
      <c r="X82" s="2">
        <v>361.2</v>
      </c>
      <c r="Y82" s="2">
        <v>-2.3915690000000001</v>
      </c>
      <c r="Z82" s="2">
        <v>392.65</v>
      </c>
      <c r="AA82" s="2">
        <v>8.3486808278053264</v>
      </c>
      <c r="AB82" s="2">
        <v>242.3</v>
      </c>
      <c r="AC82" s="2">
        <v>-39.925519372035026</v>
      </c>
      <c r="AD82" s="2">
        <v>-0.95969289999999996</v>
      </c>
      <c r="AE82" s="2">
        <v>1.6033759999999999</v>
      </c>
      <c r="AF82" s="2">
        <v>-2.824862</v>
      </c>
      <c r="AG82" s="2">
        <v>13.692159999999999</v>
      </c>
      <c r="AH82" s="2">
        <v>-2.824862</v>
      </c>
      <c r="AI82" s="2">
        <v>18.854890000000001</v>
      </c>
      <c r="AJ82" s="2">
        <v>29.424724082850268</v>
      </c>
      <c r="AK82" s="2">
        <v>10.148077330949947</v>
      </c>
      <c r="AL82" s="2">
        <v>27.463015956607162</v>
      </c>
      <c r="AM82" s="51">
        <v>0.89823395368026226</v>
      </c>
    </row>
    <row r="83" spans="22:39" x14ac:dyDescent="0.25">
      <c r="V83" s="49" t="s">
        <v>828</v>
      </c>
      <c r="W83" s="49" t="s">
        <v>1061</v>
      </c>
      <c r="X83" s="2">
        <v>61.77</v>
      </c>
      <c r="Y83" s="2">
        <v>0.3248335</v>
      </c>
      <c r="Z83" s="2">
        <v>81.05</v>
      </c>
      <c r="AA83" s="2">
        <v>27.164843847387722</v>
      </c>
      <c r="AB83" s="2">
        <v>55.64</v>
      </c>
      <c r="AC83" s="2">
        <v>-10.451544265256569</v>
      </c>
      <c r="AD83" s="2">
        <v>-2.8926270000000001</v>
      </c>
      <c r="AE83" s="2">
        <v>7.1465709999999998</v>
      </c>
      <c r="AF83" s="2">
        <v>0.3085388</v>
      </c>
      <c r="AG83" s="2">
        <v>-5.6370290000000001</v>
      </c>
      <c r="AH83" s="2">
        <v>0.3085388</v>
      </c>
      <c r="AI83" s="2">
        <v>-22.64245</v>
      </c>
      <c r="AJ83" s="2">
        <v>23.721106424834513</v>
      </c>
      <c r="AK83" s="2">
        <v>9.8857764477456804</v>
      </c>
      <c r="AL83" s="2">
        <v>22.370271064437993</v>
      </c>
      <c r="AM83" s="51">
        <v>0.90236334351016645</v>
      </c>
    </row>
    <row r="84" spans="22:39" x14ac:dyDescent="0.25">
      <c r="V84" s="49" t="s">
        <v>836</v>
      </c>
      <c r="W84" s="49" t="s">
        <v>1124</v>
      </c>
      <c r="X84" s="2">
        <v>106.76</v>
      </c>
      <c r="Y84" s="2">
        <v>-1.3308690000000001</v>
      </c>
      <c r="Z84" s="2">
        <v>113.2</v>
      </c>
      <c r="AA84" s="2">
        <v>5.857284123275921</v>
      </c>
      <c r="AB84" s="2">
        <v>77.739999999999995</v>
      </c>
      <c r="AC84" s="2">
        <v>-31.721339911224639</v>
      </c>
      <c r="AD84" s="2">
        <v>-0.16831869999999999</v>
      </c>
      <c r="AE84" s="2">
        <v>-1.056535</v>
      </c>
      <c r="AF84" s="2">
        <v>5.7029699999999997</v>
      </c>
      <c r="AG84" s="2">
        <v>13.50202</v>
      </c>
      <c r="AH84" s="2">
        <v>5.7029699999999997</v>
      </c>
      <c r="AI84" s="2">
        <v>33.583590000000001</v>
      </c>
      <c r="AJ84" s="2">
        <v>36.281737305478451</v>
      </c>
      <c r="AK84" s="2">
        <v>12.320356977775166</v>
      </c>
      <c r="AL84" s="2">
        <v>34.217653288330666</v>
      </c>
      <c r="AM84" s="51">
        <v>0.91385788343915375</v>
      </c>
    </row>
    <row r="85" spans="22:39" x14ac:dyDescent="0.25">
      <c r="V85" s="49" t="s">
        <v>785</v>
      </c>
      <c r="W85" s="49" t="s">
        <v>391</v>
      </c>
      <c r="X85" s="2">
        <v>212.63</v>
      </c>
      <c r="Y85" s="2">
        <v>0.28770869999999998</v>
      </c>
      <c r="Z85" s="2">
        <v>221.93</v>
      </c>
      <c r="AA85" s="2">
        <v>4.2808450816027657</v>
      </c>
      <c r="AB85" s="2">
        <v>161.82</v>
      </c>
      <c r="AC85" s="2">
        <v>-27.306895963891648</v>
      </c>
      <c r="AD85" s="2">
        <v>1.0454779999999999</v>
      </c>
      <c r="AE85" s="2">
        <v>-0.94568319999999995</v>
      </c>
      <c r="AF85" s="2">
        <v>3.3639559999999999</v>
      </c>
      <c r="AG85" s="2">
        <v>14.489549999999999</v>
      </c>
      <c r="AH85" s="2">
        <v>3.3639559999999999</v>
      </c>
      <c r="AI85" s="2">
        <v>27.77477</v>
      </c>
      <c r="AJ85" s="2">
        <v>28.704255243095805</v>
      </c>
      <c r="AK85" s="2">
        <v>14.460632614168746</v>
      </c>
      <c r="AL85" s="2">
        <v>27.738880754883233</v>
      </c>
      <c r="AM85" s="51">
        <v>0.93222408980058113</v>
      </c>
    </row>
    <row r="86" spans="22:39" x14ac:dyDescent="0.25">
      <c r="V86" s="49" t="s">
        <v>784</v>
      </c>
      <c r="W86" s="49" t="s">
        <v>391</v>
      </c>
      <c r="X86" s="2">
        <v>135.09</v>
      </c>
      <c r="Y86" s="2">
        <v>-0.19946810000000001</v>
      </c>
      <c r="Z86" s="2">
        <v>139.18</v>
      </c>
      <c r="AA86" s="2">
        <v>2.9826836435114124</v>
      </c>
      <c r="AB86" s="2">
        <v>104.53</v>
      </c>
      <c r="AC86" s="2">
        <v>-25.64671114369742</v>
      </c>
      <c r="AD86" s="2">
        <v>-0.30258299999999999</v>
      </c>
      <c r="AE86" s="2">
        <v>3.7000039999999998</v>
      </c>
      <c r="AF86" s="2">
        <v>0.95658209999999999</v>
      </c>
      <c r="AG86" s="2">
        <v>11.783200000000001</v>
      </c>
      <c r="AH86" s="2">
        <v>0.95658209999999999</v>
      </c>
      <c r="AI86" s="2">
        <v>20.648389999999999</v>
      </c>
      <c r="AJ86" s="2">
        <v>25.040719755577786</v>
      </c>
      <c r="AK86" s="2">
        <v>16.69001060650902</v>
      </c>
      <c r="AL86" s="2">
        <v>24.47809797035822</v>
      </c>
      <c r="AM86" s="51">
        <v>0.93262586743518583</v>
      </c>
    </row>
    <row r="87" spans="22:39" x14ac:dyDescent="0.25">
      <c r="V87" s="49" t="s">
        <v>782</v>
      </c>
      <c r="W87" s="49" t="s">
        <v>391</v>
      </c>
      <c r="X87" s="2">
        <v>54.17</v>
      </c>
      <c r="Y87" s="2">
        <v>-0.2394107</v>
      </c>
      <c r="Z87" s="2">
        <v>55.92</v>
      </c>
      <c r="AA87" s="2">
        <v>3.1794848255747223</v>
      </c>
      <c r="AB87" s="2">
        <v>44.25</v>
      </c>
      <c r="AC87" s="2">
        <v>-20.227187821586902</v>
      </c>
      <c r="AD87" s="2">
        <v>-0.1106399</v>
      </c>
      <c r="AE87" s="2">
        <v>0.80014569999999996</v>
      </c>
      <c r="AF87" s="2">
        <v>4.6561079999999997</v>
      </c>
      <c r="AG87" s="2">
        <v>17.68412</v>
      </c>
      <c r="AH87" s="2">
        <v>4.6561079999999997</v>
      </c>
      <c r="AI87" s="2">
        <v>18.585809999999999</v>
      </c>
      <c r="AJ87" s="2">
        <v>25.673428270016764</v>
      </c>
      <c r="AK87" s="2">
        <v>15.719764327116904</v>
      </c>
      <c r="AL87" s="2">
        <v>25.119195930173234</v>
      </c>
      <c r="AM87" s="51">
        <v>0.94431876110918189</v>
      </c>
    </row>
    <row r="88" spans="22:39" x14ac:dyDescent="0.25">
      <c r="V88" s="49" t="s">
        <v>861</v>
      </c>
      <c r="W88" s="49" t="s">
        <v>384</v>
      </c>
      <c r="X88" s="2">
        <v>136.54</v>
      </c>
      <c r="Y88" s="2">
        <v>2.1976409999999998E-2</v>
      </c>
      <c r="Z88" s="2">
        <v>143.1</v>
      </c>
      <c r="AA88" s="2">
        <v>4.6926074572271013</v>
      </c>
      <c r="AB88" s="2">
        <v>46.06</v>
      </c>
      <c r="AC88" s="2">
        <v>-108.6672717597595</v>
      </c>
      <c r="AD88" s="2">
        <v>0.72292710000000004</v>
      </c>
      <c r="AE88" s="2">
        <v>7.1574340000000003</v>
      </c>
      <c r="AF88" s="2">
        <v>19.96134</v>
      </c>
      <c r="AG88" s="2">
        <v>61.643180000000001</v>
      </c>
      <c r="AH88" s="2">
        <v>19.96134</v>
      </c>
      <c r="AI88" s="2">
        <v>103.1845</v>
      </c>
      <c r="AJ88" s="2">
        <v>35.286706667717802</v>
      </c>
      <c r="AK88" s="2">
        <v>10.208348963168417</v>
      </c>
      <c r="AL88" s="2">
        <v>33.956210384804614</v>
      </c>
      <c r="AM88" s="51">
        <v>0.94694643490662755</v>
      </c>
    </row>
    <row r="89" spans="22:39" x14ac:dyDescent="0.25">
      <c r="V89" s="49" t="s">
        <v>827</v>
      </c>
      <c r="W89" s="49" t="s">
        <v>1061</v>
      </c>
      <c r="X89" s="2">
        <v>66.13</v>
      </c>
      <c r="Y89" s="2">
        <v>0.93101339999999999</v>
      </c>
      <c r="Z89" s="2">
        <v>79.95</v>
      </c>
      <c r="AA89" s="2">
        <v>18.977893759339238</v>
      </c>
      <c r="AB89" s="2">
        <v>51.9</v>
      </c>
      <c r="AC89" s="2">
        <v>-24.230371151472806</v>
      </c>
      <c r="AD89" s="2">
        <v>-0.6758786</v>
      </c>
      <c r="AE89" s="2">
        <v>0.40995959999999998</v>
      </c>
      <c r="AF89" s="2">
        <v>20.039929999999998</v>
      </c>
      <c r="AG89" s="2">
        <v>15.49075</v>
      </c>
      <c r="AH89" s="2">
        <v>20.039929999999998</v>
      </c>
      <c r="AI89" s="2">
        <v>-12.49173</v>
      </c>
      <c r="AJ89" s="2">
        <v>105.49618320610689</v>
      </c>
      <c r="AK89" s="2">
        <v>9.5500465891557749</v>
      </c>
      <c r="AL89" s="2">
        <v>100.96182786781372</v>
      </c>
      <c r="AM89" s="51">
        <v>0.95274061574364566</v>
      </c>
    </row>
    <row r="90" spans="22:39" x14ac:dyDescent="0.25">
      <c r="V90" s="49" t="s">
        <v>810</v>
      </c>
      <c r="W90" s="49" t="s">
        <v>1133</v>
      </c>
      <c r="X90" s="2">
        <v>22.984999999999999</v>
      </c>
      <c r="Y90" s="2">
        <v>6.5302570000000004E-2</v>
      </c>
      <c r="Z90" s="2">
        <v>23.984999999999999</v>
      </c>
      <c r="AA90" s="2">
        <v>4.2586805695835919</v>
      </c>
      <c r="AB90" s="2">
        <v>18.398</v>
      </c>
      <c r="AC90" s="2">
        <v>-22.259986620322586</v>
      </c>
      <c r="AD90" s="2">
        <v>1.546278</v>
      </c>
      <c r="AE90" s="2">
        <v>8.1647060000000007</v>
      </c>
      <c r="AF90" s="2">
        <v>-0.58391360000000003</v>
      </c>
      <c r="AG90" s="2">
        <v>3.0948639999999998</v>
      </c>
      <c r="AH90" s="2">
        <v>-0.58391360000000003</v>
      </c>
      <c r="AI90" s="2">
        <v>-2.087329</v>
      </c>
      <c r="AJ90" s="2">
        <v>38.702086314728341</v>
      </c>
      <c r="AK90" s="2">
        <v>5.7765731230847965</v>
      </c>
      <c r="AL90" s="2">
        <v>37.251569412307781</v>
      </c>
      <c r="AM90" s="51">
        <v>0.95594550359844654</v>
      </c>
    </row>
    <row r="91" spans="22:39" x14ac:dyDescent="0.25">
      <c r="V91" s="49" t="s">
        <v>807</v>
      </c>
      <c r="W91" s="49" t="s">
        <v>1133</v>
      </c>
      <c r="X91" s="2">
        <v>84.87</v>
      </c>
      <c r="Y91" s="2">
        <v>-0.2585498</v>
      </c>
      <c r="Z91" s="2">
        <v>85.53</v>
      </c>
      <c r="AA91" s="2">
        <v>0.77465176111048673</v>
      </c>
      <c r="AB91" s="2">
        <v>71.739999999999995</v>
      </c>
      <c r="AC91" s="2">
        <v>-16.80722018774491</v>
      </c>
      <c r="AD91" s="2">
        <v>5.7965590000000002</v>
      </c>
      <c r="AE91" s="2">
        <v>10.60862</v>
      </c>
      <c r="AF91" s="2">
        <v>10.14925</v>
      </c>
      <c r="AG91" s="2">
        <v>8.8635210000000004</v>
      </c>
      <c r="AH91" s="2">
        <v>10.14925</v>
      </c>
      <c r="AI91" s="2">
        <v>13.75151</v>
      </c>
      <c r="AJ91" s="2">
        <v>29.738136173054876</v>
      </c>
      <c r="AK91" s="2">
        <v>16.94158368917665</v>
      </c>
      <c r="AL91" s="2">
        <v>29.482355832459508</v>
      </c>
      <c r="AM91" s="51">
        <v>0.98001177731911671</v>
      </c>
    </row>
    <row r="92" spans="22:39" x14ac:dyDescent="0.25">
      <c r="V92" s="49" t="s">
        <v>857</v>
      </c>
      <c r="W92" s="49" t="s">
        <v>384</v>
      </c>
      <c r="X92" s="2">
        <v>1174</v>
      </c>
      <c r="Y92" s="2">
        <v>-0.84459459999999997</v>
      </c>
      <c r="Z92" s="2">
        <v>1188.8699999999999</v>
      </c>
      <c r="AA92" s="2">
        <v>1.2586554749055723</v>
      </c>
      <c r="AB92" s="2">
        <v>509.02</v>
      </c>
      <c r="AC92" s="2">
        <v>-83.568469187861339</v>
      </c>
      <c r="AD92" s="2">
        <v>2.184698</v>
      </c>
      <c r="AE92" s="2">
        <v>6.4418199999999999</v>
      </c>
      <c r="AF92" s="2">
        <v>19.813040000000001</v>
      </c>
      <c r="AG92" s="2">
        <v>51.875810000000001</v>
      </c>
      <c r="AH92" s="2">
        <v>19.813040000000001</v>
      </c>
      <c r="AI92" s="2">
        <v>61.946669999999997</v>
      </c>
      <c r="AJ92" s="2">
        <v>37.762384786453715</v>
      </c>
      <c r="AK92" s="2">
        <v>10.627165207409977</v>
      </c>
      <c r="AL92" s="2">
        <v>37.443445725757314</v>
      </c>
      <c r="AM92" s="51">
        <v>0.98824630625275223</v>
      </c>
    </row>
    <row r="93" spans="22:39" x14ac:dyDescent="0.25">
      <c r="V93" s="49" t="s">
        <v>777</v>
      </c>
      <c r="W93" s="49" t="s">
        <v>391</v>
      </c>
      <c r="X93" s="2">
        <v>123.02</v>
      </c>
      <c r="Y93" s="2">
        <v>-0.4773077</v>
      </c>
      <c r="Z93" s="2">
        <v>124.73</v>
      </c>
      <c r="AA93" s="2">
        <v>1.3804457357395625</v>
      </c>
      <c r="AB93" s="2">
        <v>78.489999999999995</v>
      </c>
      <c r="AC93" s="2">
        <v>-44.937571564149998</v>
      </c>
      <c r="AD93" s="2">
        <v>1.326085</v>
      </c>
      <c r="AE93" s="2">
        <v>4.8585070000000004</v>
      </c>
      <c r="AF93" s="2">
        <v>10.114570000000001</v>
      </c>
      <c r="AG93" s="2">
        <v>20.655159999999999</v>
      </c>
      <c r="AH93" s="2">
        <v>10.114570000000001</v>
      </c>
      <c r="AI93" s="2">
        <v>48.002879999999998</v>
      </c>
      <c r="AJ93" s="2">
        <v>28.611935720940462</v>
      </c>
      <c r="AK93" s="2">
        <v>15.20373662432813</v>
      </c>
      <c r="AL93" s="2">
        <v>28.47536798270146</v>
      </c>
      <c r="AM93" s="51">
        <v>0.98981460990734349</v>
      </c>
    </row>
    <row r="94" spans="22:39" x14ac:dyDescent="0.25">
      <c r="V94" s="49" t="s">
        <v>786</v>
      </c>
      <c r="W94" s="49" t="s">
        <v>391</v>
      </c>
      <c r="X94" s="2">
        <v>118.47</v>
      </c>
      <c r="Y94" s="2">
        <v>5.912162E-2</v>
      </c>
      <c r="Z94" s="2">
        <v>119.86</v>
      </c>
      <c r="AA94" s="2">
        <v>1.1664631063371413</v>
      </c>
      <c r="AB94" s="2">
        <v>85.78</v>
      </c>
      <c r="AC94" s="2">
        <v>-32.287388487793329</v>
      </c>
      <c r="AD94" s="2">
        <v>1.1181289999999999</v>
      </c>
      <c r="AE94" s="2">
        <v>6.8934389999999999</v>
      </c>
      <c r="AF94" s="2">
        <v>6.999638</v>
      </c>
      <c r="AG94" s="2">
        <v>20.678419999999999</v>
      </c>
      <c r="AH94" s="2">
        <v>6.999638</v>
      </c>
      <c r="AI94" s="2">
        <v>24.57413</v>
      </c>
      <c r="AJ94" s="2">
        <v>24.226994114663217</v>
      </c>
      <c r="AK94" s="2">
        <v>10.729548340116821</v>
      </c>
      <c r="AL94" s="2">
        <v>24.226994114663217</v>
      </c>
      <c r="AM94" s="51">
        <v>1</v>
      </c>
    </row>
    <row r="95" spans="22:39" x14ac:dyDescent="0.25">
      <c r="V95" s="49" t="s">
        <v>855</v>
      </c>
      <c r="W95" s="49" t="s">
        <v>1005</v>
      </c>
      <c r="X95" s="2">
        <v>266</v>
      </c>
      <c r="Y95" s="2">
        <v>0.37735849999999999</v>
      </c>
      <c r="Z95" s="2">
        <v>270</v>
      </c>
      <c r="AA95" s="2">
        <v>1.4925650216675792</v>
      </c>
      <c r="AB95" s="2">
        <v>206.5</v>
      </c>
      <c r="AC95" s="2">
        <v>-25.319589638061167</v>
      </c>
      <c r="AD95" s="2">
        <v>-0.37453180000000003</v>
      </c>
      <c r="AE95" s="2">
        <v>7.0422539999999998</v>
      </c>
      <c r="AF95" s="2">
        <v>13.432840000000001</v>
      </c>
      <c r="AG95" s="2">
        <v>9.0163930000000008</v>
      </c>
      <c r="AH95" s="2">
        <v>13.432840000000001</v>
      </c>
      <c r="AI95" s="2">
        <v>0.94876660000000002</v>
      </c>
      <c r="AJ95" s="2">
        <v>21.739366732247092</v>
      </c>
      <c r="AK95" s="2">
        <v>8.1789630900333581</v>
      </c>
      <c r="AL95" s="2">
        <v>21.739366732247092</v>
      </c>
      <c r="AM95" s="51">
        <v>1</v>
      </c>
    </row>
    <row r="96" spans="22:39" x14ac:dyDescent="0.25">
      <c r="V96" s="49" t="s">
        <v>854</v>
      </c>
      <c r="W96" s="49" t="s">
        <v>374</v>
      </c>
      <c r="X96" s="2">
        <v>1019</v>
      </c>
      <c r="Y96" s="2">
        <v>-1.3552759999999999</v>
      </c>
      <c r="Z96" s="2">
        <v>1072</v>
      </c>
      <c r="AA96" s="2">
        <v>5.0704308408022456</v>
      </c>
      <c r="AB96" s="2">
        <v>832</v>
      </c>
      <c r="AC96" s="2">
        <v>-20.274459240151625</v>
      </c>
      <c r="AD96" s="2">
        <v>1.696607</v>
      </c>
      <c r="AE96" s="2">
        <v>14.04589</v>
      </c>
      <c r="AF96" s="2">
        <v>3.9795919999999998</v>
      </c>
      <c r="AG96" s="2">
        <v>2.0020020000000001</v>
      </c>
      <c r="AH96" s="2">
        <v>3.9795919999999998</v>
      </c>
      <c r="AI96" s="2">
        <v>-2.488038</v>
      </c>
      <c r="AJ96" s="2" t="s">
        <v>355</v>
      </c>
      <c r="AK96" s="2" t="s">
        <v>355</v>
      </c>
      <c r="AL96" s="2" t="s">
        <v>1136</v>
      </c>
      <c r="AM96" s="51" t="s">
        <v>349</v>
      </c>
    </row>
    <row r="97" spans="22:39" x14ac:dyDescent="0.25">
      <c r="V97" s="49" t="s">
        <v>832</v>
      </c>
      <c r="W97" s="49" t="s">
        <v>1061</v>
      </c>
      <c r="X97" s="2">
        <v>6.9109999999999996</v>
      </c>
      <c r="Y97" s="2">
        <v>0.7434402</v>
      </c>
      <c r="Z97" s="2">
        <v>10.568</v>
      </c>
      <c r="AA97" s="2">
        <v>42.471622211076699</v>
      </c>
      <c r="AB97" s="2">
        <v>5.7770000000000001</v>
      </c>
      <c r="AC97" s="2">
        <v>-17.922982831012881</v>
      </c>
      <c r="AD97" s="2">
        <v>-4.9773129999999997</v>
      </c>
      <c r="AE97" s="2">
        <v>10.39936</v>
      </c>
      <c r="AF97" s="2">
        <v>10.753209999999999</v>
      </c>
      <c r="AG97" s="2">
        <v>-4.3327790000000004</v>
      </c>
      <c r="AH97" s="2">
        <v>10.753209999999999</v>
      </c>
      <c r="AI97" s="2">
        <v>-33.084820000000001</v>
      </c>
      <c r="AJ97" s="2">
        <v>963.17606359910371</v>
      </c>
      <c r="AK97" s="2">
        <v>15.216718172121396</v>
      </c>
      <c r="AL97" s="2" t="s">
        <v>355</v>
      </c>
      <c r="AM97" s="51" t="s">
        <v>349</v>
      </c>
    </row>
  </sheetData>
  <autoFilter ref="A1:S97">
    <sortState ref="A2:S97">
      <sortCondition descending="1" ref="J1:J97"/>
    </sortState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全球指數</vt:lpstr>
      <vt:lpstr>指數排序</vt:lpstr>
      <vt:lpstr>主要產業</vt:lpstr>
      <vt:lpstr>ADR</vt:lpstr>
      <vt:lpstr>工作表1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jsidc0813</dc:creator>
  <cp:lastModifiedBy>jsidc0813</cp:lastModifiedBy>
  <cp:lastPrinted>2019-09-26T23:47:43Z</cp:lastPrinted>
  <dcterms:created xsi:type="dcterms:W3CDTF">2019-09-06T04:04:48Z</dcterms:created>
  <dcterms:modified xsi:type="dcterms:W3CDTF">2019-09-26T23:47:46Z</dcterms:modified>
</cp:coreProperties>
</file>