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queryTables/queryTable1.xml" ContentType="application/vnd.openxmlformats-officedocument.spreadsheetml.queryTab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T:\個人類\廖昱霖\"/>
    </mc:Choice>
  </mc:AlternateContent>
  <bookViews>
    <workbookView xWindow="360" yWindow="165" windowWidth="28035" windowHeight="13995"/>
  </bookViews>
  <sheets>
    <sheet name="Chart1" sheetId="15" r:id="rId1"/>
    <sheet name="近月選" sheetId="10" r:id="rId2"/>
    <sheet name="遠月選" sheetId="22" r:id="rId3"/>
    <sheet name="次遠月選" sheetId="23" r:id="rId4"/>
    <sheet name="週選" sheetId="16" r:id="rId5"/>
    <sheet name="結算日" sheetId="11" r:id="rId6"/>
    <sheet name="波動率儲存" sheetId="18" r:id="rId7"/>
    <sheet name="cp" sheetId="24" r:id="rId8"/>
  </sheets>
  <functionGroups builtInGroupCount="18"/>
  <definedNames>
    <definedName name="holidaySchedule" localSheetId="5">結算日!$H$3:$K$25</definedName>
  </definedNames>
  <calcPr calcId="152511" calcMode="manual"/>
</workbook>
</file>

<file path=xl/calcChain.xml><?xml version="1.0" encoding="utf-8"?>
<calcChain xmlns="http://schemas.openxmlformats.org/spreadsheetml/2006/main">
  <c r="A2" i="24" l="1"/>
  <c r="A1" i="24"/>
  <c r="C2" i="10"/>
  <c r="A3" i="16" l="1"/>
  <c r="A2" i="16"/>
  <c r="B2" i="23"/>
  <c r="B2" i="16"/>
  <c r="C2" i="23"/>
  <c r="B2" i="22"/>
  <c r="C2" i="22"/>
  <c r="A2" i="23"/>
  <c r="R17" i="23" l="1"/>
  <c r="R16" i="23" s="1"/>
  <c r="R15" i="23" s="1"/>
  <c r="R14" i="23" s="1"/>
  <c r="R13" i="23" s="1"/>
  <c r="R12" i="23" s="1"/>
  <c r="R11" i="23" s="1"/>
  <c r="R10" i="23" s="1"/>
  <c r="R9" i="23" s="1"/>
  <c r="R8" i="23" s="1"/>
  <c r="R7" i="23" s="1"/>
  <c r="R6" i="23" s="1"/>
  <c r="R5" i="23" s="1"/>
  <c r="R4" i="23" s="1"/>
  <c r="A2" i="22"/>
  <c r="R18" i="23" l="1"/>
  <c r="R19" i="23" s="1"/>
  <c r="R20" i="23" s="1"/>
  <c r="R21" i="23" s="1"/>
  <c r="R22" i="23" s="1"/>
  <c r="R23" i="23" s="1"/>
  <c r="R24" i="23" s="1"/>
  <c r="R25" i="23" s="1"/>
  <c r="R26" i="23" s="1"/>
  <c r="R27" i="23" s="1"/>
  <c r="R28" i="23" s="1"/>
  <c r="R29" i="23" s="1"/>
  <c r="R30" i="23" s="1"/>
  <c r="R31" i="23" s="1"/>
  <c r="R17" i="22"/>
  <c r="B3" i="11"/>
  <c r="F10" i="11" l="1"/>
  <c r="A3" i="11"/>
  <c r="A4" i="11" s="1"/>
  <c r="A5" i="11" s="1"/>
  <c r="A6" i="11" s="1"/>
  <c r="D2" i="11"/>
  <c r="E11" i="11" s="1"/>
  <c r="C2" i="11"/>
  <c r="R16" i="22"/>
  <c r="R15" i="22" s="1"/>
  <c r="R14" i="22" s="1"/>
  <c r="R13" i="22" s="1"/>
  <c r="R12" i="22" s="1"/>
  <c r="R11" i="22" s="1"/>
  <c r="R10" i="22" s="1"/>
  <c r="R9" i="22" s="1"/>
  <c r="R8" i="22" s="1"/>
  <c r="R7" i="22" s="1"/>
  <c r="R6" i="22" s="1"/>
  <c r="R5" i="22" s="1"/>
  <c r="R4" i="22" s="1"/>
  <c r="R18" i="22"/>
  <c r="R19" i="22" s="1"/>
  <c r="R20" i="22" s="1"/>
  <c r="R21" i="22" s="1"/>
  <c r="R22" i="22" s="1"/>
  <c r="R23" i="22" s="1"/>
  <c r="R24" i="22" s="1"/>
  <c r="R25" i="22" s="1"/>
  <c r="R26" i="22" s="1"/>
  <c r="R27" i="22" s="1"/>
  <c r="R28" i="22" s="1"/>
  <c r="R29" i="22" s="1"/>
  <c r="R30" i="22" s="1"/>
  <c r="R31" i="22" s="1"/>
  <c r="G19" i="11"/>
  <c r="G5" i="11"/>
  <c r="G6" i="11"/>
  <c r="G7" i="11"/>
  <c r="G8" i="11"/>
  <c r="G9" i="11"/>
  <c r="G10" i="11"/>
  <c r="G11" i="11"/>
  <c r="G12" i="11"/>
  <c r="G13" i="11"/>
  <c r="G14" i="11"/>
  <c r="G15" i="11"/>
  <c r="G16" i="11"/>
  <c r="G17" i="11"/>
  <c r="G18" i="11"/>
  <c r="G20" i="11"/>
  <c r="G21" i="11"/>
  <c r="G22" i="11"/>
  <c r="G23" i="11"/>
  <c r="G24" i="11"/>
  <c r="G25" i="11"/>
  <c r="G4" i="11"/>
  <c r="A2" i="10"/>
  <c r="B2" i="10"/>
  <c r="E10" i="11" l="1"/>
  <c r="E2" i="16" s="1"/>
  <c r="B2" i="11"/>
  <c r="D2" i="16" s="1"/>
  <c r="F3" i="16"/>
  <c r="F2" i="16" s="1"/>
  <c r="A19" i="10"/>
  <c r="A18" i="10"/>
  <c r="C19" i="10"/>
  <c r="C18" i="10"/>
  <c r="C3" i="11"/>
  <c r="C4" i="11" s="1"/>
  <c r="C4" i="16"/>
  <c r="C5" i="11" l="1"/>
  <c r="D5" i="11" s="1"/>
  <c r="D4" i="11"/>
  <c r="D3" i="11"/>
  <c r="B10" i="11" s="1"/>
  <c r="R17" i="10"/>
  <c r="C3" i="16"/>
  <c r="C10" i="11" l="1"/>
  <c r="B11" i="11"/>
  <c r="D2" i="10"/>
  <c r="C2" i="16"/>
  <c r="A15" i="16"/>
  <c r="A16" i="16"/>
  <c r="T17" i="16"/>
  <c r="C6" i="11"/>
  <c r="D6" i="11" s="1"/>
  <c r="R18" i="10"/>
  <c r="R16" i="10"/>
  <c r="R17" i="16"/>
  <c r="C11" i="11" l="1"/>
  <c r="D10" i="11"/>
  <c r="D11" i="11" s="1"/>
  <c r="D2" i="22"/>
  <c r="T16" i="16"/>
  <c r="T15" i="16" s="1"/>
  <c r="T18" i="16"/>
  <c r="R19" i="10"/>
  <c r="R15" i="10"/>
  <c r="U30" i="22"/>
  <c r="W27" i="22"/>
  <c r="U10" i="22"/>
  <c r="S27" i="22"/>
  <c r="S10" i="22"/>
  <c r="S4" i="22"/>
  <c r="P29" i="22"/>
  <c r="Q17" i="22"/>
  <c r="T24" i="22"/>
  <c r="N21" i="22"/>
  <c r="Q12" i="22"/>
  <c r="T27" i="22"/>
  <c r="W23" i="22"/>
  <c r="Q11" i="22"/>
  <c r="S23" i="22"/>
  <c r="N28" i="22"/>
  <c r="S20" i="22"/>
  <c r="Q29" i="22"/>
  <c r="P15" i="22"/>
  <c r="Y17" i="16"/>
  <c r="U29" i="22"/>
  <c r="P17" i="22"/>
  <c r="U27" i="22"/>
  <c r="N25" i="22"/>
  <c r="P23" i="22"/>
  <c r="L25" i="22"/>
  <c r="N7" i="22"/>
  <c r="L15" i="22"/>
  <c r="T29" i="22"/>
  <c r="S9" i="22"/>
  <c r="L4" i="22"/>
  <c r="U22" i="22"/>
  <c r="P4" i="22"/>
  <c r="W26" i="22"/>
  <c r="N12" i="22"/>
  <c r="T7" i="22"/>
  <c r="Q8" i="22"/>
  <c r="W5" i="22"/>
  <c r="Q7" i="22"/>
  <c r="T18" i="22"/>
  <c r="S22" i="22"/>
  <c r="U4" i="22"/>
  <c r="P30" i="22"/>
  <c r="E3" i="23" l="1"/>
  <c r="E2" i="23" s="1"/>
  <c r="T19" i="16"/>
  <c r="T14" i="16"/>
  <c r="D2" i="23"/>
  <c r="E3" i="22"/>
  <c r="E2" i="22" s="1"/>
  <c r="E3" i="10"/>
  <c r="E2" i="10" s="1"/>
  <c r="R14" i="10"/>
  <c r="R20" i="10"/>
  <c r="T20" i="16" l="1"/>
  <c r="T13" i="16"/>
  <c r="T21" i="16" l="1"/>
  <c r="T12" i="16"/>
  <c r="R13" i="10"/>
  <c r="R21" i="10"/>
  <c r="N30" i="22"/>
  <c r="V17" i="16"/>
  <c r="T25" i="22"/>
  <c r="U28" i="22"/>
  <c r="P7" i="22"/>
  <c r="W7" i="22"/>
  <c r="P15" i="16"/>
  <c r="U12" i="22"/>
  <c r="N13" i="22"/>
  <c r="W9" i="22"/>
  <c r="W18" i="22"/>
  <c r="Q6" i="22"/>
  <c r="Q13" i="22"/>
  <c r="P17" i="10"/>
  <c r="R14" i="16"/>
  <c r="T12" i="22"/>
  <c r="Z17" i="16"/>
  <c r="R15" i="16"/>
  <c r="N14" i="22"/>
  <c r="S19" i="22"/>
  <c r="U14" i="16"/>
  <c r="S16" i="10"/>
  <c r="L24" i="22"/>
  <c r="N4" i="22"/>
  <c r="S5" i="22"/>
  <c r="L8" i="22"/>
  <c r="L21" i="22"/>
  <c r="T14" i="22"/>
  <c r="L7" i="22"/>
  <c r="Q28" i="22"/>
  <c r="W29" i="22"/>
  <c r="W28" i="22"/>
  <c r="U15" i="16"/>
  <c r="T11" i="22"/>
  <c r="W19" i="22"/>
  <c r="Q19" i="10"/>
  <c r="U18" i="10"/>
  <c r="P18" i="16"/>
  <c r="Y16" i="16"/>
  <c r="W16" i="10"/>
  <c r="X5" i="22"/>
  <c r="M25" i="22"/>
  <c r="T13" i="22"/>
  <c r="U5" i="22"/>
  <c r="S17" i="22"/>
  <c r="L11" i="22"/>
  <c r="Q17" i="10"/>
  <c r="W11" i="22"/>
  <c r="W21" i="22"/>
  <c r="W25" i="22"/>
  <c r="N15" i="22"/>
  <c r="S31" i="22"/>
  <c r="N6" i="22"/>
  <c r="Y18" i="16"/>
  <c r="U13" i="22"/>
  <c r="S18" i="16"/>
  <c r="N16" i="22"/>
  <c r="U11" i="22"/>
  <c r="S16" i="22"/>
  <c r="X26" i="22"/>
  <c r="S19" i="16"/>
  <c r="X25" i="22"/>
  <c r="T19" i="10"/>
  <c r="L18" i="10"/>
  <c r="U16" i="16"/>
  <c r="S26" i="22"/>
  <c r="T31" i="22"/>
  <c r="L12" i="22"/>
  <c r="W12" i="22"/>
  <c r="S17" i="16"/>
  <c r="S16" i="16"/>
  <c r="M12" i="22"/>
  <c r="N19" i="16"/>
  <c r="N7" i="23"/>
  <c r="T27" i="23"/>
  <c r="P12" i="23"/>
  <c r="L19" i="23"/>
  <c r="P26" i="23"/>
  <c r="N18" i="23"/>
  <c r="N28" i="23"/>
  <c r="N20" i="23"/>
  <c r="S10" i="23"/>
  <c r="U28" i="23"/>
  <c r="L24" i="23"/>
  <c r="U8" i="23"/>
  <c r="Q12" i="23"/>
  <c r="Z16" i="16"/>
  <c r="P25" i="23"/>
  <c r="T6" i="23"/>
  <c r="T20" i="23"/>
  <c r="L30" i="23"/>
  <c r="S7" i="23"/>
  <c r="Q8" i="23"/>
  <c r="L29" i="23"/>
  <c r="P14" i="23"/>
  <c r="N12" i="23"/>
  <c r="T23" i="23"/>
  <c r="T22" i="23"/>
  <c r="L17" i="23"/>
  <c r="U4" i="23"/>
  <c r="W16" i="23"/>
  <c r="S12" i="23"/>
  <c r="U15" i="23"/>
  <c r="T9" i="23"/>
  <c r="L27" i="22"/>
  <c r="M27" i="22" s="1"/>
  <c r="Q16" i="22"/>
  <c r="Q10" i="22"/>
  <c r="W6" i="22"/>
  <c r="Q14" i="22"/>
  <c r="U20" i="22"/>
  <c r="T23" i="22"/>
  <c r="P16" i="22"/>
  <c r="Q31" i="22"/>
  <c r="T8" i="22"/>
  <c r="U15" i="22"/>
  <c r="T5" i="22"/>
  <c r="Q16" i="10"/>
  <c r="T16" i="10"/>
  <c r="P19" i="10"/>
  <c r="S14" i="10"/>
  <c r="U18" i="16"/>
  <c r="W17" i="10"/>
  <c r="Q15" i="22"/>
  <c r="T22" i="22"/>
  <c r="U9" i="22"/>
  <c r="P19" i="22"/>
  <c r="S17" i="10"/>
  <c r="V29" i="22"/>
  <c r="S15" i="10"/>
  <c r="L26" i="22"/>
  <c r="L30" i="22"/>
  <c r="M30" i="22" s="1"/>
  <c r="S15" i="22"/>
  <c r="W10" i="22"/>
  <c r="N29" i="22"/>
  <c r="S7" i="22"/>
  <c r="N5" i="22"/>
  <c r="O5" i="22" s="1"/>
  <c r="P20" i="22"/>
  <c r="Q23" i="22"/>
  <c r="P17" i="16"/>
  <c r="P21" i="22"/>
  <c r="T19" i="22"/>
  <c r="W18" i="10"/>
  <c r="Q18" i="10"/>
  <c r="N16" i="16"/>
  <c r="P14" i="16"/>
  <c r="X18" i="10"/>
  <c r="Y14" i="16"/>
  <c r="M15" i="22"/>
  <c r="U19" i="10"/>
  <c r="Q15" i="10"/>
  <c r="V15" i="16"/>
  <c r="L10" i="22"/>
  <c r="L20" i="22"/>
  <c r="S24" i="22"/>
  <c r="Y19" i="16"/>
  <c r="Q5" i="22"/>
  <c r="T6" i="22"/>
  <c r="P22" i="22"/>
  <c r="Q22" i="22"/>
  <c r="Q4" i="22"/>
  <c r="L6" i="22"/>
  <c r="W4" i="22"/>
  <c r="X4" i="22" s="1"/>
  <c r="P12" i="22"/>
  <c r="S6" i="22"/>
  <c r="L18" i="22"/>
  <c r="S18" i="10"/>
  <c r="N18" i="22"/>
  <c r="Q30" i="22"/>
  <c r="V4" i="22"/>
  <c r="V28" i="22"/>
  <c r="M20" i="22"/>
  <c r="V5" i="22"/>
  <c r="N19" i="10"/>
  <c r="O7" i="22"/>
  <c r="W16" i="16"/>
  <c r="U31" i="22"/>
  <c r="P11" i="22"/>
  <c r="S11" i="22"/>
  <c r="Q25" i="22"/>
  <c r="P5" i="22"/>
  <c r="X23" i="22"/>
  <c r="L19" i="10"/>
  <c r="N16" i="10"/>
  <c r="L17" i="10"/>
  <c r="Q17" i="16"/>
  <c r="W18" i="23"/>
  <c r="T8" i="23"/>
  <c r="S24" i="23"/>
  <c r="S16" i="23"/>
  <c r="Q21" i="23"/>
  <c r="W14" i="16"/>
  <c r="T17" i="23"/>
  <c r="V18" i="10"/>
  <c r="T14" i="23"/>
  <c r="P16" i="23"/>
  <c r="T25" i="23"/>
  <c r="U16" i="23"/>
  <c r="T7" i="23"/>
  <c r="L4" i="23"/>
  <c r="Q17" i="23"/>
  <c r="Z19" i="16"/>
  <c r="P15" i="23"/>
  <c r="W26" i="23"/>
  <c r="S25" i="23"/>
  <c r="U10" i="23"/>
  <c r="W31" i="23"/>
  <c r="W22" i="23"/>
  <c r="P7" i="23"/>
  <c r="L20" i="23"/>
  <c r="L22" i="23"/>
  <c r="T18" i="23"/>
  <c r="U22" i="23"/>
  <c r="Q31" i="23"/>
  <c r="W4" i="23"/>
  <c r="S8" i="23"/>
  <c r="L5" i="23"/>
  <c r="Q19" i="23"/>
  <c r="L28" i="23"/>
  <c r="P9" i="23"/>
  <c r="L18" i="23"/>
  <c r="W19" i="23"/>
  <c r="L27" i="23"/>
  <c r="P24" i="22"/>
  <c r="U24" i="22"/>
  <c r="U21" i="22"/>
  <c r="L19" i="22"/>
  <c r="N8" i="22"/>
  <c r="O8" i="22" s="1"/>
  <c r="W31" i="22"/>
  <c r="S8" i="22"/>
  <c r="W16" i="22"/>
  <c r="S25" i="22"/>
  <c r="S13" i="22"/>
  <c r="U25" i="22"/>
  <c r="W17" i="22"/>
  <c r="X17" i="22" s="1"/>
  <c r="T16" i="22"/>
  <c r="W15" i="10"/>
  <c r="S14" i="16"/>
  <c r="U15" i="10"/>
  <c r="O28" i="22"/>
  <c r="X18" i="22"/>
  <c r="R16" i="16"/>
  <c r="P8" i="22"/>
  <c r="Q27" i="22"/>
  <c r="P13" i="22"/>
  <c r="U23" i="22"/>
  <c r="V10" i="22"/>
  <c r="N24" i="22"/>
  <c r="S15" i="16"/>
  <c r="P28" i="22"/>
  <c r="S30" i="22"/>
  <c r="W30" i="22"/>
  <c r="N26" i="22"/>
  <c r="L31" i="22"/>
  <c r="M31" i="22" s="1"/>
  <c r="N19" i="22"/>
  <c r="L9" i="22"/>
  <c r="M9" i="22" s="1"/>
  <c r="W14" i="22"/>
  <c r="N17" i="10"/>
  <c r="L29" i="22"/>
  <c r="N22" i="22"/>
  <c r="O22" i="22" s="1"/>
  <c r="U19" i="16"/>
  <c r="O12" i="22"/>
  <c r="X31" i="22"/>
  <c r="V21" i="22"/>
  <c r="O21" i="22"/>
  <c r="Y15" i="16"/>
  <c r="O19" i="22"/>
  <c r="X30" i="22"/>
  <c r="V12" i="22"/>
  <c r="L23" i="22"/>
  <c r="M23" i="22" s="1"/>
  <c r="U16" i="22"/>
  <c r="U17" i="16"/>
  <c r="X27" i="22"/>
  <c r="M4" i="22"/>
  <c r="O17" i="10"/>
  <c r="N23" i="22"/>
  <c r="O23" i="22" s="1"/>
  <c r="W8" i="22"/>
  <c r="L5" i="22"/>
  <c r="W22" i="22"/>
  <c r="X22" i="22" s="1"/>
  <c r="S14" i="22"/>
  <c r="S18" i="22"/>
  <c r="U17" i="22"/>
  <c r="S21" i="22"/>
  <c r="T26" i="22"/>
  <c r="N17" i="22"/>
  <c r="W24" i="22"/>
  <c r="U19" i="22"/>
  <c r="U14" i="22"/>
  <c r="V16" i="16"/>
  <c r="P16" i="16"/>
  <c r="X9" i="22"/>
  <c r="M11" i="22"/>
  <c r="X19" i="22"/>
  <c r="M5" i="22"/>
  <c r="V9" i="22"/>
  <c r="Q15" i="16"/>
  <c r="X24" i="22"/>
  <c r="T4" i="22"/>
  <c r="Q26" i="22"/>
  <c r="U18" i="22"/>
  <c r="T17" i="22"/>
  <c r="P25" i="22"/>
  <c r="X7" i="22"/>
  <c r="X8" i="22"/>
  <c r="V18" i="16"/>
  <c r="V24" i="22"/>
  <c r="V15" i="22"/>
  <c r="P19" i="23"/>
  <c r="Q5" i="23"/>
  <c r="X16" i="10"/>
  <c r="P18" i="23"/>
  <c r="S20" i="23"/>
  <c r="T24" i="23"/>
  <c r="P5" i="23"/>
  <c r="N31" i="23"/>
  <c r="T11" i="23"/>
  <c r="U14" i="23"/>
  <c r="U7" i="23"/>
  <c r="S23" i="23"/>
  <c r="N16" i="23"/>
  <c r="P21" i="23"/>
  <c r="L15" i="23"/>
  <c r="N13" i="23"/>
  <c r="W8" i="23"/>
  <c r="O16" i="16"/>
  <c r="N19" i="23"/>
  <c r="N11" i="23"/>
  <c r="Q6" i="23"/>
  <c r="W29" i="23"/>
  <c r="U13" i="16"/>
  <c r="L6" i="23"/>
  <c r="S15" i="23"/>
  <c r="P20" i="23"/>
  <c r="P11" i="23"/>
  <c r="N8" i="23"/>
  <c r="S18" i="23"/>
  <c r="V15" i="10"/>
  <c r="T10" i="23"/>
  <c r="N9" i="23"/>
  <c r="L21" i="23"/>
  <c r="U25" i="23"/>
  <c r="L16" i="23"/>
  <c r="U31" i="23"/>
  <c r="Q28" i="23"/>
  <c r="W20" i="23"/>
  <c r="P14" i="22"/>
  <c r="L22" i="22"/>
  <c r="M22" i="22" s="1"/>
  <c r="N10" i="22"/>
  <c r="O10" i="22" s="1"/>
  <c r="W20" i="22"/>
  <c r="X20" i="22" s="1"/>
  <c r="W13" i="22"/>
  <c r="X13" i="22" s="1"/>
  <c r="U6" i="22"/>
  <c r="V6" i="22" s="1"/>
  <c r="W17" i="16"/>
  <c r="X17" i="16" s="1"/>
  <c r="N17" i="16"/>
  <c r="O17" i="16" s="1"/>
  <c r="L13" i="22"/>
  <c r="M13" i="22" s="1"/>
  <c r="L16" i="22"/>
  <c r="M16" i="22" s="1"/>
  <c r="L28" i="22"/>
  <c r="M28" i="22" s="1"/>
  <c r="P26" i="22"/>
  <c r="N11" i="22"/>
  <c r="X16" i="22"/>
  <c r="P18" i="10"/>
  <c r="M19" i="22"/>
  <c r="V25" i="22"/>
  <c r="U16" i="10"/>
  <c r="T18" i="10"/>
  <c r="N15" i="16"/>
  <c r="O15" i="16" s="1"/>
  <c r="T20" i="22"/>
  <c r="T28" i="22"/>
  <c r="N18" i="16"/>
  <c r="V30" i="22"/>
  <c r="O13" i="22"/>
  <c r="N9" i="22"/>
  <c r="O9" i="22" s="1"/>
  <c r="P6" i="22"/>
  <c r="Q19" i="22"/>
  <c r="L17" i="22"/>
  <c r="Q20" i="22"/>
  <c r="S29" i="22"/>
  <c r="U26" i="22"/>
  <c r="Q18" i="22"/>
  <c r="P31" i="22"/>
  <c r="W15" i="22"/>
  <c r="U8" i="22"/>
  <c r="V8" i="22" s="1"/>
  <c r="T21" i="22"/>
  <c r="W15" i="16"/>
  <c r="V20" i="22"/>
  <c r="L16" i="10"/>
  <c r="M16" i="10" s="1"/>
  <c r="M29" i="22"/>
  <c r="N15" i="10"/>
  <c r="N18" i="10"/>
  <c r="P19" i="16"/>
  <c r="V27" i="22"/>
  <c r="X14" i="22"/>
  <c r="X6" i="22"/>
  <c r="V14" i="16"/>
  <c r="N20" i="22"/>
  <c r="Q21" i="22"/>
  <c r="S12" i="22"/>
  <c r="R19" i="16"/>
  <c r="L15" i="10"/>
  <c r="O30" i="22"/>
  <c r="Q9" i="22"/>
  <c r="P27" i="22"/>
  <c r="S28" i="22"/>
  <c r="N27" i="22"/>
  <c r="N31" i="22"/>
  <c r="Q24" i="22"/>
  <c r="P18" i="22"/>
  <c r="U17" i="10"/>
  <c r="P9" i="22"/>
  <c r="P16" i="10"/>
  <c r="W18" i="16"/>
  <c r="X18" i="16" s="1"/>
  <c r="T30" i="22"/>
  <c r="T10" i="22"/>
  <c r="M18" i="22"/>
  <c r="V26" i="22"/>
  <c r="V14" i="22"/>
  <c r="O11" i="22"/>
  <c r="V11" i="22"/>
  <c r="V22" i="22"/>
  <c r="M24" i="22"/>
  <c r="W19" i="16"/>
  <c r="O25" i="22"/>
  <c r="V19" i="16"/>
  <c r="M7" i="22"/>
  <c r="P10" i="22"/>
  <c r="L14" i="22"/>
  <c r="U7" i="22"/>
  <c r="T15" i="22"/>
  <c r="T9" i="22"/>
  <c r="M6" i="22"/>
  <c r="R18" i="16"/>
  <c r="W19" i="10"/>
  <c r="T17" i="10"/>
  <c r="T15" i="10"/>
  <c r="X17" i="10"/>
  <c r="Q16" i="16"/>
  <c r="U6" i="23"/>
  <c r="S19" i="23"/>
  <c r="M15" i="10"/>
  <c r="S22" i="23"/>
  <c r="P22" i="23"/>
  <c r="S11" i="23"/>
  <c r="Q7" i="23"/>
  <c r="P23" i="23"/>
  <c r="W24" i="23"/>
  <c r="U30" i="23"/>
  <c r="P10" i="23"/>
  <c r="N23" i="23"/>
  <c r="Q16" i="23"/>
  <c r="U26" i="23"/>
  <c r="S26" i="23"/>
  <c r="W11" i="23"/>
  <c r="S19" i="10"/>
  <c r="W9" i="23"/>
  <c r="O19" i="16"/>
  <c r="W6" i="23"/>
  <c r="N24" i="23"/>
  <c r="Q30" i="23"/>
  <c r="L13" i="23"/>
  <c r="N5" i="23"/>
  <c r="S28" i="23"/>
  <c r="T28" i="23"/>
  <c r="W13" i="23"/>
  <c r="W28" i="23"/>
  <c r="L11" i="23"/>
  <c r="Q19" i="16"/>
  <c r="N17" i="23"/>
  <c r="Q14" i="23"/>
  <c r="U14" i="10"/>
  <c r="N27" i="23"/>
  <c r="S29" i="23"/>
  <c r="P29" i="23"/>
  <c r="N10" i="23"/>
  <c r="P17" i="23"/>
  <c r="T12" i="23"/>
  <c r="U20" i="10"/>
  <c r="W5" i="23"/>
  <c r="Q22" i="23"/>
  <c r="T30" i="23"/>
  <c r="T4" i="23"/>
  <c r="Q20" i="23"/>
  <c r="T13" i="23"/>
  <c r="Q11" i="23"/>
  <c r="S4" i="23"/>
  <c r="Q25" i="23"/>
  <c r="P13" i="23"/>
  <c r="U5" i="23"/>
  <c r="Q4" i="23"/>
  <c r="X16" i="16"/>
  <c r="Q15" i="23"/>
  <c r="W27" i="23"/>
  <c r="L25" i="23"/>
  <c r="N25" i="23"/>
  <c r="L8" i="23"/>
  <c r="N15" i="23"/>
  <c r="L7" i="23"/>
  <c r="S9" i="23"/>
  <c r="Q24" i="23"/>
  <c r="S31" i="23"/>
  <c r="V19" i="10"/>
  <c r="U9" i="23"/>
  <c r="T19" i="23"/>
  <c r="U12" i="23"/>
  <c r="W21" i="23"/>
  <c r="Q13" i="23"/>
  <c r="T14" i="10"/>
  <c r="Q14" i="16"/>
  <c r="Q27" i="23"/>
  <c r="T29" i="23"/>
  <c r="L9" i="23"/>
  <c r="W12" i="23"/>
  <c r="S5" i="23"/>
  <c r="S30" i="23"/>
  <c r="Q26" i="23"/>
  <c r="U24" i="23"/>
  <c r="Z15" i="16"/>
  <c r="N14" i="23"/>
  <c r="N26" i="23"/>
  <c r="U11" i="23"/>
  <c r="X14" i="16"/>
  <c r="N6" i="23"/>
  <c r="X15" i="16"/>
  <c r="W17" i="23"/>
  <c r="Q18" i="16"/>
  <c r="N4" i="23"/>
  <c r="L23" i="23"/>
  <c r="U27" i="23"/>
  <c r="T5" i="23"/>
  <c r="X19" i="16"/>
  <c r="M18" i="10"/>
  <c r="Q23" i="23"/>
  <c r="O16" i="10"/>
  <c r="U29" i="23"/>
  <c r="S6" i="23"/>
  <c r="U21" i="23"/>
  <c r="P15" i="10"/>
  <c r="T21" i="23"/>
  <c r="Q29" i="23"/>
  <c r="T16" i="23"/>
  <c r="N29" i="23"/>
  <c r="N14" i="16"/>
  <c r="U23" i="23"/>
  <c r="S13" i="23"/>
  <c r="W15" i="23"/>
  <c r="P6" i="23"/>
  <c r="W30" i="23"/>
  <c r="W14" i="23"/>
  <c r="P24" i="23"/>
  <c r="T31" i="23"/>
  <c r="P27" i="23"/>
  <c r="W23" i="23"/>
  <c r="Q9" i="23"/>
  <c r="Z14" i="16"/>
  <c r="N21" i="23"/>
  <c r="W25" i="23"/>
  <c r="P30" i="23"/>
  <c r="S14" i="23"/>
  <c r="X19" i="10"/>
  <c r="L12" i="23"/>
  <c r="W10" i="23"/>
  <c r="U17" i="23"/>
  <c r="S21" i="23"/>
  <c r="U13" i="23"/>
  <c r="U18" i="23"/>
  <c r="O18" i="10"/>
  <c r="S17" i="23"/>
  <c r="N30" i="23"/>
  <c r="P31" i="23"/>
  <c r="S27" i="23"/>
  <c r="U20" i="23"/>
  <c r="T26" i="23"/>
  <c r="L10" i="23"/>
  <c r="W7" i="23"/>
  <c r="L31" i="23"/>
  <c r="Q10" i="23"/>
  <c r="P4" i="23"/>
  <c r="U19" i="23"/>
  <c r="Q18" i="23"/>
  <c r="L14" i="23"/>
  <c r="P8" i="23"/>
  <c r="L26" i="23"/>
  <c r="P28" i="23"/>
  <c r="T15" i="23"/>
  <c r="N22" i="23"/>
  <c r="Y13" i="16"/>
  <c r="V13" i="16"/>
  <c r="W20" i="16"/>
  <c r="S13" i="16"/>
  <c r="N13" i="16"/>
  <c r="R20" i="16"/>
  <c r="P13" i="16"/>
  <c r="N20" i="16"/>
  <c r="Z13" i="16"/>
  <c r="O14" i="16"/>
  <c r="U20" i="16"/>
  <c r="W13" i="16"/>
  <c r="X13" i="16" s="1"/>
  <c r="M17" i="10"/>
  <c r="Y20" i="16"/>
  <c r="S20" i="16"/>
  <c r="P20" i="16"/>
  <c r="R13" i="16"/>
  <c r="V20" i="16"/>
  <c r="V16" i="10"/>
  <c r="X20" i="16"/>
  <c r="X18" i="23"/>
  <c r="M30" i="23"/>
  <c r="O4" i="23"/>
  <c r="M31" i="23"/>
  <c r="X7" i="23"/>
  <c r="O30" i="23"/>
  <c r="O27" i="23"/>
  <c r="X6" i="23"/>
  <c r="O12" i="23"/>
  <c r="O11" i="23"/>
  <c r="V21" i="23"/>
  <c r="M13" i="23"/>
  <c r="X8" i="23"/>
  <c r="V8" i="23"/>
  <c r="W12" i="16"/>
  <c r="O25" i="23"/>
  <c r="X27" i="23"/>
  <c r="X24" i="23"/>
  <c r="X17" i="23"/>
  <c r="V15" i="23"/>
  <c r="O26" i="23"/>
  <c r="V18" i="23"/>
  <c r="V12" i="16"/>
  <c r="O5" i="23"/>
  <c r="X26" i="23"/>
  <c r="V20" i="10"/>
  <c r="M21" i="23"/>
  <c r="V14" i="10"/>
  <c r="X19" i="23"/>
  <c r="X14" i="23"/>
  <c r="O8" i="23"/>
  <c r="O9" i="23"/>
  <c r="X29" i="23"/>
  <c r="X30" i="23"/>
  <c r="V28" i="23"/>
  <c r="O21" i="23"/>
  <c r="N21" i="16"/>
  <c r="M4" i="23"/>
  <c r="V31" i="23"/>
  <c r="O19" i="10"/>
  <c r="Q13" i="16"/>
  <c r="M18" i="23"/>
  <c r="X15" i="23"/>
  <c r="M17" i="23"/>
  <c r="O17" i="23"/>
  <c r="O20" i="23"/>
  <c r="M24" i="23"/>
  <c r="O13" i="16"/>
  <c r="M5" i="23"/>
  <c r="O23" i="23"/>
  <c r="M23" i="23"/>
  <c r="X23" i="23"/>
  <c r="O16" i="23"/>
  <c r="M20" i="23"/>
  <c r="O29" i="23"/>
  <c r="Z20" i="16"/>
  <c r="V24" i="23"/>
  <c r="X4" i="23"/>
  <c r="M14" i="23"/>
  <c r="M10" i="23"/>
  <c r="L14" i="10"/>
  <c r="O31" i="23"/>
  <c r="M8" i="23"/>
  <c r="O14" i="23"/>
  <c r="X10" i="23"/>
  <c r="V22" i="23"/>
  <c r="R12" i="16"/>
  <c r="M6" i="23"/>
  <c r="V23" i="23"/>
  <c r="V26" i="23"/>
  <c r="V4" i="23"/>
  <c r="M19" i="23"/>
  <c r="M16" i="23"/>
  <c r="U21" i="16"/>
  <c r="V20" i="23"/>
  <c r="O22" i="23"/>
  <c r="X5" i="23"/>
  <c r="M27" i="23"/>
  <c r="X16" i="23"/>
  <c r="V25" i="23"/>
  <c r="V19" i="23"/>
  <c r="M12" i="23"/>
  <c r="O24" i="23"/>
  <c r="X9" i="23"/>
  <c r="V14" i="23"/>
  <c r="M9" i="23"/>
  <c r="O20" i="16"/>
  <c r="V27" i="23"/>
  <c r="V17" i="23"/>
  <c r="O28" i="23"/>
  <c r="V9" i="23"/>
  <c r="X22" i="23"/>
  <c r="Q20" i="16"/>
  <c r="M11" i="23"/>
  <c r="X13" i="23"/>
  <c r="X25" i="23"/>
  <c r="X20" i="23"/>
  <c r="V5" i="23"/>
  <c r="V11" i="23"/>
  <c r="O19" i="23"/>
  <c r="M26" i="23"/>
  <c r="V30" i="23"/>
  <c r="V10" i="23"/>
  <c r="X12" i="23"/>
  <c r="O6" i="23"/>
  <c r="X21" i="23"/>
  <c r="V29" i="23"/>
  <c r="M22" i="23"/>
  <c r="M15" i="23"/>
  <c r="X28" i="23"/>
  <c r="O7" i="23"/>
  <c r="V6" i="23"/>
  <c r="O13" i="23"/>
  <c r="V13" i="23"/>
  <c r="V12" i="23"/>
  <c r="M7" i="23"/>
  <c r="V16" i="23"/>
  <c r="O10" i="23"/>
  <c r="O18" i="23"/>
  <c r="V7" i="23"/>
  <c r="M25" i="23"/>
  <c r="M28" i="23"/>
  <c r="X31" i="23"/>
  <c r="M29" i="23"/>
  <c r="O15" i="23"/>
  <c r="X11" i="23"/>
  <c r="P21" i="16"/>
  <c r="S21" i="16"/>
  <c r="P12" i="16"/>
  <c r="I16" i="10" l="1"/>
  <c r="G17" i="10"/>
  <c r="J13" i="16"/>
  <c r="H14" i="16"/>
  <c r="K13" i="16"/>
  <c r="H18" i="10"/>
  <c r="J19" i="10"/>
  <c r="K14" i="16"/>
  <c r="M14" i="16" s="1"/>
  <c r="H16" i="10"/>
  <c r="G18" i="10"/>
  <c r="J19" i="16"/>
  <c r="I18" i="16"/>
  <c r="J15" i="16"/>
  <c r="J14" i="16"/>
  <c r="K15" i="16"/>
  <c r="M15" i="16" s="1"/>
  <c r="I14" i="16"/>
  <c r="I19" i="10"/>
  <c r="J16" i="16"/>
  <c r="I19" i="16"/>
  <c r="H19" i="16"/>
  <c r="I16" i="16"/>
  <c r="J17" i="10"/>
  <c r="H25" i="22"/>
  <c r="G24" i="22"/>
  <c r="I11" i="22"/>
  <c r="I14" i="22"/>
  <c r="G18" i="22"/>
  <c r="J18" i="16"/>
  <c r="H30" i="22"/>
  <c r="J6" i="22"/>
  <c r="J14" i="22"/>
  <c r="G29" i="22"/>
  <c r="G16" i="10"/>
  <c r="I8" i="22"/>
  <c r="H15" i="16"/>
  <c r="G19" i="22"/>
  <c r="J16" i="22"/>
  <c r="G28" i="22"/>
  <c r="G16" i="22"/>
  <c r="H17" i="16"/>
  <c r="J17" i="16"/>
  <c r="I6" i="22"/>
  <c r="K6" i="22" s="1"/>
  <c r="J13" i="22"/>
  <c r="G22" i="22"/>
  <c r="I15" i="10"/>
  <c r="H16" i="16"/>
  <c r="L16" i="16" s="1"/>
  <c r="J16" i="10"/>
  <c r="I15" i="22"/>
  <c r="J8" i="22"/>
  <c r="J7" i="22"/>
  <c r="I15" i="16"/>
  <c r="L15" i="16" s="1"/>
  <c r="I9" i="22"/>
  <c r="J19" i="22"/>
  <c r="J9" i="22"/>
  <c r="H23" i="22"/>
  <c r="K23" i="22" s="1"/>
  <c r="H17" i="10"/>
  <c r="G23" i="22"/>
  <c r="I12" i="22"/>
  <c r="H19" i="22"/>
  <c r="H21" i="22"/>
  <c r="H22" i="22"/>
  <c r="G31" i="22"/>
  <c r="I10" i="22"/>
  <c r="J18" i="22"/>
  <c r="H28" i="22"/>
  <c r="J17" i="22"/>
  <c r="K19" i="16"/>
  <c r="I18" i="10"/>
  <c r="I17" i="16"/>
  <c r="I5" i="22"/>
  <c r="G20" i="22"/>
  <c r="I4" i="22"/>
  <c r="K4" i="22" s="1"/>
  <c r="J4" i="22"/>
  <c r="G15" i="22"/>
  <c r="J18" i="10"/>
  <c r="G30" i="22"/>
  <c r="K30" i="22" s="1"/>
  <c r="G27" i="22"/>
  <c r="K16" i="16"/>
  <c r="M16" i="16" s="1"/>
  <c r="B2" i="24"/>
  <c r="B1" i="24"/>
  <c r="A21" i="10"/>
  <c r="G25" i="22"/>
  <c r="J5" i="22"/>
  <c r="K5" i="22" s="1"/>
  <c r="K17" i="16"/>
  <c r="M17" i="16" s="1"/>
  <c r="H13" i="16"/>
  <c r="J20" i="16"/>
  <c r="K20" i="16"/>
  <c r="I20" i="16"/>
  <c r="H20" i="16"/>
  <c r="I13" i="16"/>
  <c r="T22" i="16"/>
  <c r="M13" i="16"/>
  <c r="T11" i="16"/>
  <c r="H27" i="23"/>
  <c r="H15" i="23"/>
  <c r="J16" i="23"/>
  <c r="G21" i="23"/>
  <c r="G22" i="23"/>
  <c r="I18" i="23"/>
  <c r="G20" i="23"/>
  <c r="H25" i="23"/>
  <c r="J10" i="23"/>
  <c r="I16" i="23"/>
  <c r="H30" i="23"/>
  <c r="G18" i="23"/>
  <c r="H31" i="23"/>
  <c r="G29" i="23"/>
  <c r="J17" i="23"/>
  <c r="J19" i="23"/>
  <c r="I8" i="23"/>
  <c r="G24" i="23"/>
  <c r="H19" i="23"/>
  <c r="J9" i="23"/>
  <c r="G19" i="23"/>
  <c r="H20" i="23"/>
  <c r="J5" i="23"/>
  <c r="G16" i="23"/>
  <c r="H23" i="23"/>
  <c r="I9" i="23"/>
  <c r="I15" i="23"/>
  <c r="J6" i="23"/>
  <c r="I19" i="23"/>
  <c r="I5" i="23"/>
  <c r="G25" i="23"/>
  <c r="H22" i="23"/>
  <c r="G23" i="23"/>
  <c r="G26" i="23"/>
  <c r="I14" i="23"/>
  <c r="J7" i="23"/>
  <c r="I12" i="23"/>
  <c r="J15" i="23"/>
  <c r="H16" i="23"/>
  <c r="I10" i="23"/>
  <c r="G28" i="23"/>
  <c r="J18" i="23"/>
  <c r="G30" i="23"/>
  <c r="H29" i="23"/>
  <c r="H18" i="23"/>
  <c r="J13" i="23"/>
  <c r="G15" i="23"/>
  <c r="J11" i="23"/>
  <c r="H24" i="23"/>
  <c r="I17" i="23"/>
  <c r="I6" i="23"/>
  <c r="J8" i="23"/>
  <c r="J12" i="23"/>
  <c r="J4" i="23"/>
  <c r="G17" i="23"/>
  <c r="I4" i="23"/>
  <c r="H17" i="23"/>
  <c r="I13" i="23"/>
  <c r="G31" i="23"/>
  <c r="I11" i="23"/>
  <c r="H26" i="23"/>
  <c r="J14" i="23"/>
  <c r="G27" i="23"/>
  <c r="H28" i="23"/>
  <c r="H21" i="23"/>
  <c r="I7" i="23"/>
  <c r="I14" i="10"/>
  <c r="H19" i="10"/>
  <c r="Z17" i="10"/>
  <c r="AF19" i="16"/>
  <c r="AF13" i="16"/>
  <c r="AD14" i="16"/>
  <c r="AG13" i="16"/>
  <c r="AG14" i="16"/>
  <c r="AE19" i="16"/>
  <c r="AD19" i="16"/>
  <c r="V7" i="22"/>
  <c r="Z7" i="22"/>
  <c r="AD22" i="22"/>
  <c r="V17" i="10"/>
  <c r="O20" i="22"/>
  <c r="AE14" i="22"/>
  <c r="AD8" i="22"/>
  <c r="M17" i="22"/>
  <c r="AA28" i="22"/>
  <c r="AB13" i="22"/>
  <c r="AB17" i="16"/>
  <c r="AE17" i="16"/>
  <c r="Z22" i="22"/>
  <c r="AC16" i="16"/>
  <c r="V18" i="22"/>
  <c r="AB5" i="22"/>
  <c r="AB11" i="22"/>
  <c r="AE9" i="22"/>
  <c r="AE22" i="22"/>
  <c r="AB23" i="22"/>
  <c r="AB9" i="22"/>
  <c r="O26" i="22"/>
  <c r="AG19" i="16"/>
  <c r="AD5" i="22"/>
  <c r="M10" i="22"/>
  <c r="X10" i="22"/>
  <c r="AB30" i="22"/>
  <c r="AA12" i="22"/>
  <c r="AE25" i="22"/>
  <c r="Z18" i="16"/>
  <c r="X11" i="22"/>
  <c r="Z25" i="22"/>
  <c r="X29" i="22"/>
  <c r="O14" i="22"/>
  <c r="Y21" i="16"/>
  <c r="AB20" i="23"/>
  <c r="AC31" i="23"/>
  <c r="AB10" i="23"/>
  <c r="AB21" i="23"/>
  <c r="AD17" i="23"/>
  <c r="AA25" i="23"/>
  <c r="AE18" i="23"/>
  <c r="AD24" i="23"/>
  <c r="AC22" i="23"/>
  <c r="AA7" i="23"/>
  <c r="AE6" i="23"/>
  <c r="AC12" i="23"/>
  <c r="AG20" i="16"/>
  <c r="AB26" i="23"/>
  <c r="Z4" i="23"/>
  <c r="AE31" i="23"/>
  <c r="AE19" i="23"/>
  <c r="P14" i="10"/>
  <c r="AA18" i="10"/>
  <c r="AB8" i="23"/>
  <c r="AB31" i="23"/>
  <c r="AE9" i="23"/>
  <c r="U21" i="10"/>
  <c r="W21" i="16"/>
  <c r="AD10" i="23"/>
  <c r="AB15" i="23"/>
  <c r="AB7" i="23"/>
  <c r="Z20" i="23"/>
  <c r="W20" i="10"/>
  <c r="AD28" i="23"/>
  <c r="AA23" i="23"/>
  <c r="AC10" i="23"/>
  <c r="R21" i="16"/>
  <c r="AB4" i="23"/>
  <c r="Q12" i="16"/>
  <c r="AD19" i="23"/>
  <c r="AA10" i="23"/>
  <c r="AB17" i="23"/>
  <c r="AE26" i="23"/>
  <c r="AD25" i="23"/>
  <c r="AA22" i="23"/>
  <c r="AC6" i="23"/>
  <c r="AA11" i="23"/>
  <c r="AB30" i="23"/>
  <c r="AE15" i="23"/>
  <c r="AC13" i="23"/>
  <c r="AB6" i="23"/>
  <c r="AA24" i="23"/>
  <c r="AD31" i="23"/>
  <c r="AB17" i="10"/>
  <c r="AC14" i="16"/>
  <c r="AE15" i="16"/>
  <c r="AE14" i="16"/>
  <c r="AG15" i="16"/>
  <c r="AF16" i="16"/>
  <c r="AB19" i="16"/>
  <c r="M14" i="22"/>
  <c r="AD14" i="22"/>
  <c r="AC26" i="22"/>
  <c r="AE18" i="16"/>
  <c r="O31" i="22"/>
  <c r="AD27" i="22"/>
  <c r="AD20" i="22"/>
  <c r="AC8" i="22"/>
  <c r="AC30" i="22"/>
  <c r="AD15" i="16"/>
  <c r="AD25" i="22"/>
  <c r="AA19" i="22"/>
  <c r="Z28" i="22"/>
  <c r="AA13" i="22"/>
  <c r="AC6" i="22"/>
  <c r="AB22" i="22"/>
  <c r="AA17" i="10"/>
  <c r="AE13" i="16"/>
  <c r="AB14" i="16"/>
  <c r="AF15" i="16"/>
  <c r="AF14" i="16"/>
  <c r="AE16" i="16"/>
  <c r="AB7" i="22"/>
  <c r="AD26" i="22"/>
  <c r="AF18" i="16"/>
  <c r="O27" i="22"/>
  <c r="AE6" i="22"/>
  <c r="AC27" i="22"/>
  <c r="AC20" i="22"/>
  <c r="AD30" i="22"/>
  <c r="AC15" i="16"/>
  <c r="AC25" i="22"/>
  <c r="AB19" i="22"/>
  <c r="Z13" i="22"/>
  <c r="AD17" i="16"/>
  <c r="AF17" i="16"/>
  <c r="AD6" i="22"/>
  <c r="AE20" i="22"/>
  <c r="AA22" i="22"/>
  <c r="AD16" i="16"/>
  <c r="AD24" i="22"/>
  <c r="Z11" i="22"/>
  <c r="O17" i="22"/>
  <c r="AE27" i="22"/>
  <c r="AA9" i="22"/>
  <c r="V23" i="22"/>
  <c r="AA30" i="22"/>
  <c r="M26" i="22"/>
  <c r="AB12" i="22"/>
  <c r="O16" i="22"/>
  <c r="O15" i="22"/>
  <c r="AB25" i="22"/>
  <c r="AE5" i="22"/>
  <c r="M8" i="22"/>
  <c r="AG17" i="16"/>
  <c r="N12" i="16"/>
  <c r="O12" i="16" s="1"/>
  <c r="O18" i="16"/>
  <c r="AB28" i="22"/>
  <c r="AC17" i="16"/>
  <c r="AB16" i="16"/>
  <c r="AD9" i="22"/>
  <c r="AA5" i="22"/>
  <c r="V19" i="22"/>
  <c r="AC4" i="22"/>
  <c r="Z30" i="22"/>
  <c r="Z12" i="22"/>
  <c r="O6" i="22"/>
  <c r="X28" i="22"/>
  <c r="Y12" i="16"/>
  <c r="Z22" i="23"/>
  <c r="AB28" i="23"/>
  <c r="AE27" i="23"/>
  <c r="AB11" i="23"/>
  <c r="Z12" i="16"/>
  <c r="AE22" i="23"/>
  <c r="Y11" i="16"/>
  <c r="Z8" i="23"/>
  <c r="AD29" i="23"/>
  <c r="AB12" i="23"/>
  <c r="AD16" i="23"/>
  <c r="AA14" i="23"/>
  <c r="AC19" i="23"/>
  <c r="Z27" i="23"/>
  <c r="AD7" i="23"/>
  <c r="AE21" i="23"/>
  <c r="Z21" i="16"/>
  <c r="AB27" i="23"/>
  <c r="AA30" i="23"/>
  <c r="AA15" i="23"/>
  <c r="AE8" i="23"/>
  <c r="Z30" i="23"/>
  <c r="Z6" i="23"/>
  <c r="AC13" i="16"/>
  <c r="U13" i="10"/>
  <c r="AC11" i="23"/>
  <c r="AB29" i="23"/>
  <c r="L20" i="10"/>
  <c r="AE4" i="23"/>
  <c r="Z29" i="23"/>
  <c r="Z12" i="23"/>
  <c r="O21" i="16"/>
  <c r="AA19" i="23"/>
  <c r="AA17" i="23"/>
  <c r="Z7" i="23"/>
  <c r="AA16" i="23"/>
  <c r="AC16" i="10"/>
  <c r="Z17" i="23"/>
  <c r="AA8" i="23"/>
  <c r="AA6" i="23"/>
  <c r="AB24" i="23"/>
  <c r="Z31" i="23"/>
  <c r="AC21" i="23"/>
  <c r="Z5" i="23"/>
  <c r="AC22" i="22"/>
  <c r="AC14" i="22"/>
  <c r="AC24" i="22"/>
  <c r="V17" i="22"/>
  <c r="Z23" i="22"/>
  <c r="AE30" i="22"/>
  <c r="V31" i="22"/>
  <c r="AE4" i="22"/>
  <c r="X12" i="22"/>
  <c r="X21" i="22"/>
  <c r="M21" i="22"/>
  <c r="S12" i="16"/>
  <c r="AB20" i="16"/>
  <c r="AD22" i="23"/>
  <c r="AA5" i="23"/>
  <c r="Z21" i="23"/>
  <c r="AD27" i="23"/>
  <c r="AE28" i="23"/>
  <c r="AC17" i="23"/>
  <c r="AE16" i="23"/>
  <c r="AC28" i="23"/>
  <c r="AD8" i="23"/>
  <c r="T20" i="10"/>
  <c r="Z14" i="23"/>
  <c r="U11" i="16"/>
  <c r="AA9" i="23"/>
  <c r="V21" i="16"/>
  <c r="AB18" i="23"/>
  <c r="AD13" i="23"/>
  <c r="AA28" i="23"/>
  <c r="AD26" i="23"/>
  <c r="Z28" i="23"/>
  <c r="T13" i="10"/>
  <c r="AD14" i="23"/>
  <c r="AC18" i="23"/>
  <c r="AD20" i="23"/>
  <c r="AC25" i="23"/>
  <c r="Z18" i="23"/>
  <c r="Z16" i="23"/>
  <c r="AD30" i="23"/>
  <c r="AD13" i="16"/>
  <c r="AB9" i="23"/>
  <c r="X12" i="16"/>
  <c r="AE23" i="23"/>
  <c r="AD9" i="23"/>
  <c r="AD21" i="23"/>
  <c r="AC19" i="16"/>
  <c r="AA7" i="22"/>
  <c r="AB15" i="16"/>
  <c r="AE24" i="22"/>
  <c r="AC9" i="22"/>
  <c r="AA11" i="22"/>
  <c r="V16" i="22"/>
  <c r="Z9" i="22"/>
  <c r="O24" i="22"/>
  <c r="AD4" i="22"/>
  <c r="O29" i="22"/>
  <c r="AE26" i="22"/>
  <c r="AA25" i="22"/>
  <c r="O4" i="22"/>
  <c r="W22" i="16"/>
  <c r="AC14" i="23"/>
  <c r="AD23" i="23"/>
  <c r="AD12" i="23"/>
  <c r="AB5" i="23"/>
  <c r="AE5" i="23"/>
  <c r="AA18" i="23"/>
  <c r="AD5" i="23"/>
  <c r="W11" i="16"/>
  <c r="N14" i="10"/>
  <c r="AA26" i="23"/>
  <c r="AC30" i="23"/>
  <c r="AA13" i="23"/>
  <c r="AA27" i="23"/>
  <c r="R11" i="16"/>
  <c r="S22" i="16"/>
  <c r="AC29" i="23"/>
  <c r="AC7" i="23"/>
  <c r="N20" i="10"/>
  <c r="AD4" i="23"/>
  <c r="Z25" i="23"/>
  <c r="AC23" i="23"/>
  <c r="Q21" i="16"/>
  <c r="X15" i="10"/>
  <c r="AE24" i="23"/>
  <c r="X15" i="22"/>
  <c r="Z19" i="22"/>
  <c r="AE8" i="22"/>
  <c r="Z5" i="22"/>
  <c r="AA23" i="22"/>
  <c r="AC5" i="22"/>
  <c r="O18" i="22"/>
  <c r="AG16" i="16"/>
  <c r="V13" i="22"/>
  <c r="AB22" i="23"/>
  <c r="AC27" i="23"/>
  <c r="AE29" i="23"/>
  <c r="AC20" i="16"/>
  <c r="AC15" i="23"/>
  <c r="AD6" i="23"/>
  <c r="AB14" i="23"/>
  <c r="Z15" i="23"/>
  <c r="U12" i="16"/>
  <c r="AF20" i="16"/>
  <c r="AC8" i="23"/>
  <c r="Z26" i="23"/>
  <c r="AC4" i="23"/>
  <c r="V11" i="16"/>
  <c r="S13" i="10"/>
  <c r="AA20" i="23"/>
  <c r="AA31" i="23"/>
  <c r="AC20" i="23"/>
  <c r="AE30" i="23"/>
  <c r="AA12" i="23"/>
  <c r="AB23" i="23"/>
  <c r="N11" i="16"/>
  <c r="Z13" i="23"/>
  <c r="AC16" i="23"/>
  <c r="Z11" i="16"/>
  <c r="Z11" i="23"/>
  <c r="Z24" i="23"/>
  <c r="AA21" i="23"/>
  <c r="AC24" i="23"/>
  <c r="AB16" i="23"/>
  <c r="AB25" i="23"/>
  <c r="AB13" i="23"/>
  <c r="AB19" i="23"/>
  <c r="Z9" i="23"/>
  <c r="AD18" i="23"/>
  <c r="AE20" i="23"/>
  <c r="AC9" i="23"/>
  <c r="Z23" i="23"/>
  <c r="AE11" i="23"/>
  <c r="AA29" i="23"/>
  <c r="AD11" i="23"/>
  <c r="Z10" i="23"/>
  <c r="AE12" i="23"/>
  <c r="AE13" i="23"/>
  <c r="AB13" i="16"/>
  <c r="AD20" i="16"/>
  <c r="AE7" i="23"/>
  <c r="AC5" i="23"/>
  <c r="AE17" i="23"/>
  <c r="AD15" i="23"/>
  <c r="AE25" i="23"/>
  <c r="AC26" i="23"/>
  <c r="AE10" i="23"/>
  <c r="AE20" i="16"/>
  <c r="AD18" i="10"/>
  <c r="AA4" i="23"/>
  <c r="Z19" i="23"/>
  <c r="AE14" i="23"/>
  <c r="P11" i="16"/>
  <c r="S11" i="16"/>
  <c r="L19" i="16" l="1"/>
  <c r="K8" i="22"/>
  <c r="K25" i="22"/>
  <c r="L17" i="16"/>
  <c r="K22" i="22"/>
  <c r="K28" i="22"/>
  <c r="I13" i="22"/>
  <c r="K13" i="22"/>
  <c r="H18" i="22"/>
  <c r="J15" i="22"/>
  <c r="H29" i="22"/>
  <c r="K29" i="22" s="1"/>
  <c r="H24" i="22"/>
  <c r="K24" i="22" s="1"/>
  <c r="I16" i="22"/>
  <c r="G21" i="22"/>
  <c r="K21" i="22" s="1"/>
  <c r="J12" i="22"/>
  <c r="K12" i="22" s="1"/>
  <c r="I17" i="22"/>
  <c r="I19" i="22"/>
  <c r="K19" i="22" s="1"/>
  <c r="H18" i="16"/>
  <c r="L18" i="16" s="1"/>
  <c r="H15" i="22"/>
  <c r="H16" i="22"/>
  <c r="G26" i="22"/>
  <c r="H17" i="22"/>
  <c r="H27" i="22"/>
  <c r="K27" i="22" s="1"/>
  <c r="H31" i="22"/>
  <c r="K31" i="22" s="1"/>
  <c r="J11" i="22"/>
  <c r="K11" i="22" s="1"/>
  <c r="K18" i="16"/>
  <c r="M18" i="16" s="1"/>
  <c r="J10" i="22"/>
  <c r="K10" i="22" s="1"/>
  <c r="H26" i="22"/>
  <c r="I18" i="22"/>
  <c r="G17" i="22"/>
  <c r="H20" i="22"/>
  <c r="K20" i="22" s="1"/>
  <c r="I17" i="10"/>
  <c r="K17" i="10" s="1"/>
  <c r="I7" i="22"/>
  <c r="K7" i="22" s="1"/>
  <c r="M19" i="16"/>
  <c r="K9" i="22"/>
  <c r="K14" i="22"/>
  <c r="K18" i="10"/>
  <c r="L14" i="16"/>
  <c r="K16" i="10"/>
  <c r="M20" i="16"/>
  <c r="L13" i="16"/>
  <c r="K12" i="16"/>
  <c r="H12" i="16"/>
  <c r="I12" i="16"/>
  <c r="L20" i="16"/>
  <c r="J12" i="16"/>
  <c r="K9" i="23"/>
  <c r="H21" i="16"/>
  <c r="K21" i="16"/>
  <c r="I21" i="16"/>
  <c r="T23" i="16"/>
  <c r="K11" i="16"/>
  <c r="T10" i="16"/>
  <c r="K13" i="23"/>
  <c r="K11" i="23"/>
  <c r="K23" i="23"/>
  <c r="K14" i="23"/>
  <c r="K20" i="23"/>
  <c r="K29" i="23"/>
  <c r="K8" i="23"/>
  <c r="K22" i="23"/>
  <c r="K31" i="23"/>
  <c r="K5" i="23"/>
  <c r="K7" i="23"/>
  <c r="K16" i="23"/>
  <c r="K25" i="23"/>
  <c r="K21" i="23"/>
  <c r="K15" i="23"/>
  <c r="K6" i="23"/>
  <c r="K4" i="23"/>
  <c r="K24" i="23"/>
  <c r="K26" i="23"/>
  <c r="K17" i="23"/>
  <c r="K19" i="23"/>
  <c r="K10" i="23"/>
  <c r="K27" i="23"/>
  <c r="K12" i="23"/>
  <c r="K30" i="23"/>
  <c r="K28" i="23"/>
  <c r="K18" i="23"/>
  <c r="J15" i="10"/>
  <c r="AD13" i="22"/>
  <c r="AE13" i="22"/>
  <c r="AD15" i="22"/>
  <c r="AB4" i="22"/>
  <c r="Z24" i="22"/>
  <c r="AC16" i="22"/>
  <c r="Z21" i="22"/>
  <c r="AC21" i="22"/>
  <c r="AD31" i="22"/>
  <c r="AC17" i="22"/>
  <c r="AC28" i="22"/>
  <c r="AD18" i="16"/>
  <c r="Z8" i="22"/>
  <c r="Z15" i="22"/>
  <c r="Z16" i="22"/>
  <c r="AB26" i="22"/>
  <c r="AD23" i="22"/>
  <c r="AB27" i="22"/>
  <c r="AB31" i="22"/>
  <c r="AB14" i="22"/>
  <c r="AC29" i="22"/>
  <c r="AD11" i="22"/>
  <c r="AE10" i="22"/>
  <c r="AE18" i="22"/>
  <c r="AA17" i="22"/>
  <c r="Z20" i="22"/>
  <c r="AC17" i="10"/>
  <c r="AC7" i="22"/>
  <c r="AF12" i="16"/>
  <c r="P20" i="10"/>
  <c r="V22" i="16"/>
  <c r="M19" i="10"/>
  <c r="AB18" i="10"/>
  <c r="AE16" i="10"/>
  <c r="Q11" i="16"/>
  <c r="AA21" i="22"/>
  <c r="AB6" i="22"/>
  <c r="AA15" i="22"/>
  <c r="Z31" i="22"/>
  <c r="AE11" i="22"/>
  <c r="AC10" i="22"/>
  <c r="R22" i="16"/>
  <c r="AC12" i="16"/>
  <c r="V13" i="10"/>
  <c r="N10" i="16"/>
  <c r="AB29" i="22"/>
  <c r="AE12" i="22"/>
  <c r="AA6" i="22"/>
  <c r="AB18" i="16"/>
  <c r="AB15" i="22"/>
  <c r="AC23" i="22"/>
  <c r="AD29" i="22"/>
  <c r="AB17" i="22"/>
  <c r="AD7" i="22"/>
  <c r="V21" i="10"/>
  <c r="Y22" i="16"/>
  <c r="V23" i="16"/>
  <c r="AC13" i="22"/>
  <c r="AA18" i="22"/>
  <c r="AC15" i="22"/>
  <c r="Z29" i="22"/>
  <c r="AA24" i="22"/>
  <c r="AE16" i="22"/>
  <c r="AB21" i="22"/>
  <c r="AD21" i="22"/>
  <c r="AC12" i="22"/>
  <c r="AE31" i="22"/>
  <c r="AE17" i="22"/>
  <c r="Z6" i="22"/>
  <c r="AC19" i="22"/>
  <c r="AC18" i="16"/>
  <c r="Z26" i="22"/>
  <c r="AE23" i="22"/>
  <c r="Z27" i="22"/>
  <c r="AA31" i="22"/>
  <c r="Z14" i="22"/>
  <c r="AA10" i="22"/>
  <c r="AD18" i="22"/>
  <c r="AB20" i="22"/>
  <c r="AE17" i="10"/>
  <c r="X11" i="16"/>
  <c r="X21" i="16"/>
  <c r="AB21" i="16"/>
  <c r="AC21" i="16"/>
  <c r="AG12" i="16"/>
  <c r="AE12" i="16"/>
  <c r="U22" i="16"/>
  <c r="Z18" i="22"/>
  <c r="AA4" i="22"/>
  <c r="AA29" i="22"/>
  <c r="AD12" i="22"/>
  <c r="AD17" i="22"/>
  <c r="AE28" i="22"/>
  <c r="AD19" i="22"/>
  <c r="AA8" i="22"/>
  <c r="AA16" i="22"/>
  <c r="AA27" i="22"/>
  <c r="AE29" i="22"/>
  <c r="AG18" i="16"/>
  <c r="Z10" i="22"/>
  <c r="Z17" i="22"/>
  <c r="AE7" i="22"/>
  <c r="O11" i="16"/>
  <c r="AD12" i="16"/>
  <c r="AD16" i="10"/>
  <c r="P22" i="16"/>
  <c r="AB18" i="22"/>
  <c r="AE15" i="22"/>
  <c r="Z4" i="22"/>
  <c r="AB24" i="22"/>
  <c r="AD16" i="22"/>
  <c r="AE21" i="22"/>
  <c r="AC31" i="22"/>
  <c r="AD28" i="22"/>
  <c r="AE19" i="22"/>
  <c r="AB8" i="22"/>
  <c r="AB16" i="22"/>
  <c r="AA26" i="22"/>
  <c r="AA14" i="22"/>
  <c r="AC11" i="22"/>
  <c r="AD10" i="22"/>
  <c r="AB10" i="22"/>
  <c r="AC18" i="22"/>
  <c r="AA20" i="22"/>
  <c r="AD17" i="10"/>
  <c r="X22" i="16"/>
  <c r="AD21" i="16"/>
  <c r="N22" i="16"/>
  <c r="AB12" i="16"/>
  <c r="K17" i="22" l="1"/>
  <c r="K26" i="22"/>
  <c r="K15" i="22"/>
  <c r="K16" i="22"/>
  <c r="K18" i="22"/>
  <c r="H11" i="16"/>
  <c r="M12" i="16"/>
  <c r="L12" i="16"/>
  <c r="L21" i="16"/>
  <c r="J21" i="16"/>
  <c r="M21" i="16" s="1"/>
  <c r="J11" i="16"/>
  <c r="M11" i="16" s="1"/>
  <c r="I11" i="16"/>
  <c r="J22" i="16"/>
  <c r="T24" i="16"/>
  <c r="T9" i="16"/>
  <c r="I13" i="10"/>
  <c r="G19" i="10"/>
  <c r="K19" i="10" s="1"/>
  <c r="U10" i="16"/>
  <c r="U23" i="16"/>
  <c r="S20" i="10"/>
  <c r="AA16" i="10"/>
  <c r="AE21" i="16"/>
  <c r="Z22" i="16"/>
  <c r="S9" i="16"/>
  <c r="Y9" i="16"/>
  <c r="AG21" i="16"/>
  <c r="Z18" i="10"/>
  <c r="Y10" i="16"/>
  <c r="R23" i="16"/>
  <c r="W9" i="16"/>
  <c r="AF11" i="16"/>
  <c r="R9" i="16"/>
  <c r="AB11" i="16"/>
  <c r="N23" i="16"/>
  <c r="R10" i="16"/>
  <c r="S10" i="16"/>
  <c r="AD11" i="16"/>
  <c r="V10" i="16"/>
  <c r="Q14" i="10"/>
  <c r="Q22" i="16"/>
  <c r="P10" i="16"/>
  <c r="O15" i="10"/>
  <c r="W10" i="16"/>
  <c r="AE18" i="10"/>
  <c r="Z16" i="10"/>
  <c r="AE11" i="16"/>
  <c r="Y23" i="16"/>
  <c r="O22" i="16"/>
  <c r="AF21" i="16"/>
  <c r="V9" i="16"/>
  <c r="W14" i="10"/>
  <c r="U24" i="16"/>
  <c r="W23" i="16"/>
  <c r="O10" i="16"/>
  <c r="S23" i="16"/>
  <c r="AC11" i="16"/>
  <c r="AG11" i="16"/>
  <c r="P23" i="16"/>
  <c r="L11" i="16" l="1"/>
  <c r="K22" i="16"/>
  <c r="M22" i="16" s="1"/>
  <c r="H22" i="16"/>
  <c r="I22" i="16"/>
  <c r="H10" i="16"/>
  <c r="Z10" i="16"/>
  <c r="AF22" i="16"/>
  <c r="AG22" i="16"/>
  <c r="W24" i="16"/>
  <c r="N9" i="16"/>
  <c r="AC22" i="16"/>
  <c r="X10" i="16"/>
  <c r="R24" i="16"/>
  <c r="Z23" i="16"/>
  <c r="Z9" i="16"/>
  <c r="AD22" i="16"/>
  <c r="S24" i="16"/>
  <c r="U9" i="16"/>
  <c r="AB22" i="16"/>
  <c r="N24" i="16"/>
  <c r="V24" i="16"/>
  <c r="X23" i="16"/>
  <c r="AE22" i="16"/>
  <c r="O23" i="16"/>
  <c r="Q23" i="16"/>
  <c r="P9" i="16"/>
  <c r="P24" i="16"/>
  <c r="X9" i="16"/>
  <c r="Q10" i="16"/>
  <c r="Y24" i="16"/>
  <c r="AC10" i="16"/>
  <c r="AD10" i="16"/>
  <c r="K10" i="16" l="1"/>
  <c r="L22" i="16"/>
  <c r="I10" i="16"/>
  <c r="L10" i="16" s="1"/>
  <c r="H23" i="16"/>
  <c r="I23" i="16"/>
  <c r="K23" i="16"/>
  <c r="J23" i="16"/>
  <c r="J10" i="16"/>
  <c r="M10" i="16" s="1"/>
  <c r="T25" i="16"/>
  <c r="K9" i="16"/>
  <c r="J9" i="16"/>
  <c r="T8" i="16"/>
  <c r="G15" i="10"/>
  <c r="H15" i="10"/>
  <c r="Q9" i="16"/>
  <c r="X24" i="16"/>
  <c r="AG10" i="16"/>
  <c r="AE23" i="16"/>
  <c r="AG23" i="16"/>
  <c r="AC23" i="16"/>
  <c r="Q24" i="16"/>
  <c r="N25" i="16"/>
  <c r="AD23" i="16"/>
  <c r="Q20" i="10"/>
  <c r="Z24" i="16"/>
  <c r="AF9" i="16"/>
  <c r="AB23" i="16"/>
  <c r="O9" i="16"/>
  <c r="AG9" i="16"/>
  <c r="AE9" i="16"/>
  <c r="S25" i="16"/>
  <c r="AB10" i="16"/>
  <c r="AE10" i="16"/>
  <c r="AF23" i="16"/>
  <c r="AF10" i="16"/>
  <c r="AC18" i="10"/>
  <c r="O24" i="16"/>
  <c r="P25" i="16"/>
  <c r="V25" i="16"/>
  <c r="S8" i="16"/>
  <c r="L23" i="16" l="1"/>
  <c r="I24" i="16"/>
  <c r="K24" i="16"/>
  <c r="H24" i="16"/>
  <c r="K15" i="10"/>
  <c r="M23" i="16"/>
  <c r="J24" i="16"/>
  <c r="H9" i="16"/>
  <c r="I9" i="16"/>
  <c r="T26" i="16"/>
  <c r="M9" i="16"/>
  <c r="T7" i="16"/>
  <c r="R12" i="10"/>
  <c r="R22" i="10"/>
  <c r="Z19" i="10"/>
  <c r="L21" i="10"/>
  <c r="T21" i="10"/>
  <c r="W25" i="16"/>
  <c r="V8" i="16"/>
  <c r="O20" i="10"/>
  <c r="AB9" i="16"/>
  <c r="Y25" i="16"/>
  <c r="R8" i="16"/>
  <c r="L13" i="10"/>
  <c r="AD9" i="16"/>
  <c r="N26" i="16"/>
  <c r="W8" i="16"/>
  <c r="N8" i="16"/>
  <c r="U25" i="16"/>
  <c r="Z15" i="10"/>
  <c r="AE19" i="10"/>
  <c r="AC19" i="10"/>
  <c r="AD24" i="16"/>
  <c r="Q13" i="10"/>
  <c r="U12" i="10"/>
  <c r="AB16" i="10"/>
  <c r="AC9" i="16"/>
  <c r="N13" i="10"/>
  <c r="R25" i="16"/>
  <c r="P26" i="16"/>
  <c r="Q21" i="10"/>
  <c r="AC24" i="16"/>
  <c r="AF24" i="16"/>
  <c r="W13" i="10"/>
  <c r="P8" i="16"/>
  <c r="N7" i="16"/>
  <c r="Y8" i="16"/>
  <c r="Z8" i="16" s="1"/>
  <c r="W21" i="10"/>
  <c r="O14" i="10"/>
  <c r="AD15" i="10"/>
  <c r="X20" i="10"/>
  <c r="Y26" i="16"/>
  <c r="AE24" i="16"/>
  <c r="AB15" i="10"/>
  <c r="P21" i="10"/>
  <c r="Q25" i="16"/>
  <c r="AB24" i="16"/>
  <c r="AA15" i="10"/>
  <c r="AG24" i="16"/>
  <c r="U22" i="10"/>
  <c r="M20" i="10"/>
  <c r="M14" i="10"/>
  <c r="S21" i="10"/>
  <c r="O25" i="16"/>
  <c r="W26" i="16"/>
  <c r="AD19" i="10"/>
  <c r="V26" i="16"/>
  <c r="U8" i="16"/>
  <c r="P7" i="16"/>
  <c r="L24" i="16" l="1"/>
  <c r="M24" i="16"/>
  <c r="L9" i="16"/>
  <c r="I25" i="16"/>
  <c r="K8" i="16"/>
  <c r="H25" i="16"/>
  <c r="R7" i="16"/>
  <c r="AB25" i="16"/>
  <c r="AC25" i="16"/>
  <c r="AD25" i="16"/>
  <c r="Q8" i="16"/>
  <c r="O7" i="16"/>
  <c r="X26" i="16"/>
  <c r="Z25" i="16"/>
  <c r="Q7" i="16"/>
  <c r="U26" i="16"/>
  <c r="R26" i="16"/>
  <c r="Z26" i="16"/>
  <c r="U7" i="16"/>
  <c r="Y7" i="16"/>
  <c r="Z7" i="16" s="1"/>
  <c r="S26" i="16"/>
  <c r="Q26" i="16"/>
  <c r="V7" i="16"/>
  <c r="X8" i="16"/>
  <c r="S7" i="16"/>
  <c r="W7" i="16"/>
  <c r="O8" i="16"/>
  <c r="X25" i="16"/>
  <c r="S12" i="10"/>
  <c r="O26" i="16"/>
  <c r="T12" i="10"/>
  <c r="K25" i="16" l="1"/>
  <c r="H8" i="16"/>
  <c r="I8" i="16"/>
  <c r="J8" i="16"/>
  <c r="M8" i="16" s="1"/>
  <c r="J25" i="16"/>
  <c r="L25" i="16"/>
  <c r="K26" i="16"/>
  <c r="H26" i="16"/>
  <c r="I26" i="16"/>
  <c r="J26" i="16"/>
  <c r="T27" i="16"/>
  <c r="H7" i="16"/>
  <c r="K7" i="16"/>
  <c r="I7" i="16"/>
  <c r="T6" i="16"/>
  <c r="H20" i="10"/>
  <c r="G20" i="10"/>
  <c r="AG25" i="16"/>
  <c r="AB26" i="16"/>
  <c r="AC8" i="16"/>
  <c r="AB7" i="16"/>
  <c r="AA19" i="10"/>
  <c r="AC15" i="10"/>
  <c r="X7" i="16"/>
  <c r="AG7" i="16" s="1"/>
  <c r="AC7" i="16"/>
  <c r="AB19" i="10"/>
  <c r="AF8" i="16"/>
  <c r="AF26" i="16"/>
  <c r="V12" i="10"/>
  <c r="AD8" i="16"/>
  <c r="X14" i="10"/>
  <c r="AE26" i="16"/>
  <c r="AB8" i="16"/>
  <c r="AE15" i="10"/>
  <c r="P6" i="16"/>
  <c r="N21" i="10"/>
  <c r="AE25" i="16"/>
  <c r="V22" i="10"/>
  <c r="W6" i="16"/>
  <c r="AD26" i="16"/>
  <c r="AF25" i="16"/>
  <c r="AG26" i="16"/>
  <c r="AC26" i="16"/>
  <c r="AE8" i="16"/>
  <c r="P13" i="10"/>
  <c r="AG8" i="16"/>
  <c r="V6" i="16"/>
  <c r="AD7" i="16"/>
  <c r="R6" i="16"/>
  <c r="S27" i="16"/>
  <c r="S6" i="16"/>
  <c r="J7" i="16" l="1"/>
  <c r="M7" i="16" s="1"/>
  <c r="M25" i="16"/>
  <c r="L8" i="16"/>
  <c r="M26" i="16"/>
  <c r="L26" i="16"/>
  <c r="T28" i="16"/>
  <c r="L7" i="16"/>
  <c r="T5" i="16"/>
  <c r="I12" i="10"/>
  <c r="K20" i="10"/>
  <c r="J14" i="10"/>
  <c r="K14" i="10" s="1"/>
  <c r="R23" i="10"/>
  <c r="R11" i="10"/>
  <c r="N6" i="16"/>
  <c r="O6" i="16"/>
  <c r="R5" i="16"/>
  <c r="Y27" i="16"/>
  <c r="O21" i="10"/>
  <c r="N27" i="16"/>
  <c r="N28" i="16"/>
  <c r="W27" i="16"/>
  <c r="U6" i="16"/>
  <c r="R27" i="16"/>
  <c r="R28" i="16"/>
  <c r="AE7" i="16"/>
  <c r="U28" i="16"/>
  <c r="U27" i="16"/>
  <c r="Y28" i="16"/>
  <c r="Q6" i="16"/>
  <c r="X6" i="16"/>
  <c r="S5" i="16"/>
  <c r="T22" i="10"/>
  <c r="S28" i="16"/>
  <c r="P27" i="16"/>
  <c r="Q27" i="16" s="1"/>
  <c r="N22" i="10"/>
  <c r="V27" i="16"/>
  <c r="Y6" i="16"/>
  <c r="P28" i="16"/>
  <c r="W28" i="16"/>
  <c r="Y5" i="16"/>
  <c r="V28" i="16"/>
  <c r="AF7" i="16"/>
  <c r="W5" i="16"/>
  <c r="J6" i="16" l="1"/>
  <c r="I6" i="16"/>
  <c r="I27" i="16"/>
  <c r="H6" i="16"/>
  <c r="X27" i="16"/>
  <c r="O27" i="16"/>
  <c r="AD6" i="16"/>
  <c r="U5" i="16"/>
  <c r="X5" i="16"/>
  <c r="X28" i="16"/>
  <c r="Q28" i="16"/>
  <c r="AB6" i="16"/>
  <c r="Z27" i="16"/>
  <c r="AC6" i="16"/>
  <c r="Z6" i="16"/>
  <c r="V5" i="16"/>
  <c r="AE6" i="16"/>
  <c r="Z28" i="16"/>
  <c r="AF6" i="16"/>
  <c r="O28" i="16"/>
  <c r="Z5" i="16"/>
  <c r="N5" i="16"/>
  <c r="O5" i="16" s="1"/>
  <c r="P5" i="16"/>
  <c r="Q5" i="16" s="1"/>
  <c r="K27" i="16" l="1"/>
  <c r="J27" i="16"/>
  <c r="K6" i="16"/>
  <c r="M6" i="16" s="1"/>
  <c r="H27" i="16"/>
  <c r="L27" i="16" s="1"/>
  <c r="H28" i="16"/>
  <c r="J28" i="16"/>
  <c r="I28" i="16"/>
  <c r="K28" i="16"/>
  <c r="T29" i="16"/>
  <c r="L6" i="16"/>
  <c r="H5" i="16"/>
  <c r="I5" i="16"/>
  <c r="J5" i="16"/>
  <c r="K5" i="16"/>
  <c r="T4" i="16"/>
  <c r="R10" i="10"/>
  <c r="H21" i="10"/>
  <c r="AG27" i="16"/>
  <c r="AE27" i="16"/>
  <c r="X13" i="10"/>
  <c r="Y29" i="16"/>
  <c r="U11" i="10"/>
  <c r="AD5" i="16"/>
  <c r="AE28" i="16"/>
  <c r="AG28" i="16"/>
  <c r="AE5" i="16"/>
  <c r="V29" i="16"/>
  <c r="AC27" i="16"/>
  <c r="AG5" i="16"/>
  <c r="V4" i="16"/>
  <c r="M13" i="10"/>
  <c r="AF5" i="16"/>
  <c r="AF28" i="16"/>
  <c r="W4" i="16"/>
  <c r="AG6" i="16"/>
  <c r="L22" i="10"/>
  <c r="X21" i="10"/>
  <c r="S4" i="16"/>
  <c r="AC28" i="16"/>
  <c r="Z14" i="10"/>
  <c r="AB28" i="16"/>
  <c r="S11" i="10"/>
  <c r="AF27" i="16"/>
  <c r="P29" i="16"/>
  <c r="N29" i="16"/>
  <c r="AD27" i="16"/>
  <c r="W29" i="16"/>
  <c r="AB27" i="16"/>
  <c r="P12" i="10"/>
  <c r="AD28" i="16"/>
  <c r="S29" i="16"/>
  <c r="AC5" i="16"/>
  <c r="Q12" i="10"/>
  <c r="AB5" i="16"/>
  <c r="U23" i="10"/>
  <c r="T11" i="10"/>
  <c r="W10" i="10"/>
  <c r="M27" i="16" l="1"/>
  <c r="M28" i="16"/>
  <c r="L28" i="16"/>
  <c r="M5" i="16"/>
  <c r="L5" i="16"/>
  <c r="R9" i="10"/>
  <c r="J13" i="10"/>
  <c r="K13" i="10" s="1"/>
  <c r="T9" i="10"/>
  <c r="M21" i="10"/>
  <c r="R4" i="16"/>
  <c r="U10" i="10"/>
  <c r="Y4" i="16"/>
  <c r="N12" i="10"/>
  <c r="U29" i="16"/>
  <c r="O29" i="16"/>
  <c r="Z29" i="16"/>
  <c r="S9" i="10"/>
  <c r="AA14" i="10"/>
  <c r="AD14" i="10"/>
  <c r="AA20" i="10"/>
  <c r="U9" i="10"/>
  <c r="X4" i="16"/>
  <c r="S10" i="10"/>
  <c r="L10" i="10"/>
  <c r="V23" i="10"/>
  <c r="N10" i="10"/>
  <c r="Q29" i="16"/>
  <c r="N4" i="16"/>
  <c r="V11" i="10"/>
  <c r="W12" i="10"/>
  <c r="Q10" i="10"/>
  <c r="T10" i="10"/>
  <c r="W22" i="10"/>
  <c r="AC14" i="10"/>
  <c r="P4" i="16"/>
  <c r="L12" i="10"/>
  <c r="AC20" i="10"/>
  <c r="Q4" i="16"/>
  <c r="P10" i="10"/>
  <c r="R29" i="16"/>
  <c r="X29" i="16"/>
  <c r="O13" i="10"/>
  <c r="U4" i="16"/>
  <c r="X10" i="10"/>
  <c r="Q22" i="10"/>
  <c r="S22" i="10"/>
  <c r="I29" i="16" l="1"/>
  <c r="K29" i="16"/>
  <c r="J4" i="16"/>
  <c r="J29" i="16"/>
  <c r="H29" i="16"/>
  <c r="I4" i="16"/>
  <c r="R8" i="10"/>
  <c r="I11" i="10"/>
  <c r="J10" i="10"/>
  <c r="G21" i="10"/>
  <c r="K21" i="10" s="1"/>
  <c r="O4" i="16"/>
  <c r="T8" i="10"/>
  <c r="L9" i="10"/>
  <c r="AE29" i="16"/>
  <c r="AB29" i="16"/>
  <c r="AF29" i="16"/>
  <c r="AG29" i="16"/>
  <c r="O10" i="10"/>
  <c r="Q9" i="10"/>
  <c r="N8" i="10"/>
  <c r="Z4" i="16"/>
  <c r="N9" i="10"/>
  <c r="V9" i="10"/>
  <c r="AD29" i="16"/>
  <c r="P9" i="10"/>
  <c r="Z20" i="10"/>
  <c r="W8" i="10"/>
  <c r="AC29" i="16"/>
  <c r="P8" i="10"/>
  <c r="AD20" i="10"/>
  <c r="W9" i="10"/>
  <c r="U8" i="10"/>
  <c r="M10" i="10"/>
  <c r="P22" i="10"/>
  <c r="S8" i="10"/>
  <c r="V10" i="10"/>
  <c r="AE4" i="16"/>
  <c r="O12" i="10"/>
  <c r="L8" i="10"/>
  <c r="AF4" i="16"/>
  <c r="K4" i="16" l="1"/>
  <c r="H4" i="16"/>
  <c r="L4" i="16" s="1"/>
  <c r="L29" i="16"/>
  <c r="M4" i="16"/>
  <c r="M29" i="16"/>
  <c r="I10" i="10"/>
  <c r="K10" i="10" s="1"/>
  <c r="R7" i="10"/>
  <c r="I9" i="10"/>
  <c r="R24" i="10"/>
  <c r="AD4" i="16"/>
  <c r="AA21" i="10"/>
  <c r="AE14" i="10"/>
  <c r="AC10" i="10"/>
  <c r="X12" i="10"/>
  <c r="V8" i="10"/>
  <c r="O22" i="10"/>
  <c r="AB20" i="10"/>
  <c r="X8" i="10"/>
  <c r="Z10" i="10"/>
  <c r="N23" i="10"/>
  <c r="AE20" i="10"/>
  <c r="O9" i="10"/>
  <c r="X9" i="10"/>
  <c r="AE10" i="10"/>
  <c r="AG4" i="16"/>
  <c r="M8" i="10"/>
  <c r="M22" i="10"/>
  <c r="AB14" i="10"/>
  <c r="S7" i="10"/>
  <c r="AB4" i="16"/>
  <c r="Q8" i="10"/>
  <c r="O8" i="10"/>
  <c r="AD10" i="10"/>
  <c r="AA10" i="10"/>
  <c r="Q7" i="10"/>
  <c r="AC4" i="16"/>
  <c r="M9" i="10"/>
  <c r="M12" i="10"/>
  <c r="S23" i="10"/>
  <c r="T7" i="10"/>
  <c r="I8" i="10" l="1"/>
  <c r="R6" i="10"/>
  <c r="J9" i="10"/>
  <c r="K9" i="10" s="1"/>
  <c r="J8" i="10"/>
  <c r="J12" i="10"/>
  <c r="K12" i="10" s="1"/>
  <c r="H22" i="10"/>
  <c r="G22" i="10"/>
  <c r="U24" i="10"/>
  <c r="S6" i="10"/>
  <c r="AB8" i="10"/>
  <c r="W6" i="10"/>
  <c r="U6" i="10"/>
  <c r="T6" i="10"/>
  <c r="P6" i="10"/>
  <c r="P7" i="10"/>
  <c r="Q11" i="10"/>
  <c r="P11" i="10"/>
  <c r="L6" i="10"/>
  <c r="L23" i="10"/>
  <c r="W7" i="10"/>
  <c r="AC9" i="10"/>
  <c r="Z9" i="10"/>
  <c r="N6" i="10"/>
  <c r="AB10" i="10"/>
  <c r="L11" i="10"/>
  <c r="AA9" i="10"/>
  <c r="AA8" i="10"/>
  <c r="AC8" i="10"/>
  <c r="X22" i="10"/>
  <c r="L7" i="10"/>
  <c r="AD9" i="10"/>
  <c r="U7" i="10"/>
  <c r="AD8" i="10"/>
  <c r="AC21" i="10"/>
  <c r="N7" i="10"/>
  <c r="Z8" i="10"/>
  <c r="Q6" i="10"/>
  <c r="K8" i="10" l="1"/>
  <c r="R5" i="10"/>
  <c r="R4" i="10" s="1"/>
  <c r="K22" i="10"/>
  <c r="U5" i="10"/>
  <c r="M7" i="10"/>
  <c r="AA13" i="10"/>
  <c r="O6" i="10"/>
  <c r="W11" i="10"/>
  <c r="U4" i="10"/>
  <c r="AB9" i="10"/>
  <c r="O7" i="10"/>
  <c r="AD13" i="10"/>
  <c r="X6" i="10"/>
  <c r="AD21" i="10"/>
  <c r="X7" i="10"/>
  <c r="W23" i="10"/>
  <c r="M6" i="10"/>
  <c r="AE8" i="10"/>
  <c r="Z21" i="10"/>
  <c r="V7" i="10"/>
  <c r="S5" i="10"/>
  <c r="P23" i="10"/>
  <c r="V6" i="10"/>
  <c r="T5" i="10"/>
  <c r="T23" i="10"/>
  <c r="Z13" i="10"/>
  <c r="AB13" i="10"/>
  <c r="Q23" i="10"/>
  <c r="AE9" i="10"/>
  <c r="Q5" i="10"/>
  <c r="N11" i="10"/>
  <c r="I7" i="10" l="1"/>
  <c r="J7" i="10"/>
  <c r="I6" i="10"/>
  <c r="J6" i="10"/>
  <c r="R25" i="10"/>
  <c r="T24" i="10"/>
  <c r="AA12" i="10"/>
  <c r="X23" i="10"/>
  <c r="N5" i="10"/>
  <c r="AA6" i="10"/>
  <c r="AD6" i="10"/>
  <c r="AC6" i="10"/>
  <c r="AD22" i="10"/>
  <c r="O23" i="10"/>
  <c r="AE7" i="10"/>
  <c r="P24" i="10"/>
  <c r="T4" i="10"/>
  <c r="Z12" i="10"/>
  <c r="Z22" i="10"/>
  <c r="AC7" i="10"/>
  <c r="N4" i="10"/>
  <c r="Q24" i="10"/>
  <c r="M11" i="10"/>
  <c r="O11" i="10"/>
  <c r="AD7" i="10"/>
  <c r="AA7" i="10"/>
  <c r="S24" i="10"/>
  <c r="L5" i="10"/>
  <c r="S4" i="10"/>
  <c r="AC22" i="10"/>
  <c r="AB7" i="10"/>
  <c r="AB21" i="10"/>
  <c r="P5" i="10"/>
  <c r="W24" i="10"/>
  <c r="Z6" i="10"/>
  <c r="AE13" i="10"/>
  <c r="V5" i="10"/>
  <c r="AC13" i="10"/>
  <c r="V4" i="10"/>
  <c r="N24" i="10"/>
  <c r="W5" i="10"/>
  <c r="W4" i="10"/>
  <c r="Q4" i="10"/>
  <c r="AE21" i="10"/>
  <c r="Z7" i="10"/>
  <c r="K7" i="10" l="1"/>
  <c r="I5" i="10"/>
  <c r="K6" i="10"/>
  <c r="I4" i="10"/>
  <c r="H23" i="10"/>
  <c r="L4" i="10"/>
  <c r="AE6" i="10"/>
  <c r="AB22" i="10"/>
  <c r="AE22" i="10"/>
  <c r="P4" i="10"/>
  <c r="AD12" i="10"/>
  <c r="M23" i="10"/>
  <c r="X11" i="10"/>
  <c r="X5" i="10"/>
  <c r="U25" i="10"/>
  <c r="O5" i="10"/>
  <c r="AC12" i="10"/>
  <c r="AB12" i="10"/>
  <c r="AA22" i="10"/>
  <c r="AB6" i="10"/>
  <c r="M5" i="10"/>
  <c r="L24" i="10"/>
  <c r="J5" i="10" l="1"/>
  <c r="K5" i="10" s="1"/>
  <c r="J11" i="10"/>
  <c r="K11" i="10" s="1"/>
  <c r="G23" i="10"/>
  <c r="K23" i="10" s="1"/>
  <c r="R26" i="10"/>
  <c r="AE5" i="10"/>
  <c r="AA5" i="10"/>
  <c r="P25" i="10"/>
  <c r="AA23" i="10"/>
  <c r="AB5" i="10"/>
  <c r="O4" i="10"/>
  <c r="AA11" i="10"/>
  <c r="AE12" i="10"/>
  <c r="AC5" i="10"/>
  <c r="Z5" i="10"/>
  <c r="AD5" i="10"/>
  <c r="M24" i="10"/>
  <c r="M4" i="10"/>
  <c r="Q25" i="10"/>
  <c r="G24" i="10" l="1"/>
  <c r="AC23" i="10"/>
  <c r="AC11" i="10"/>
  <c r="W25" i="10"/>
  <c r="Z11" i="10"/>
  <c r="AD11" i="10"/>
  <c r="AD23" i="10"/>
  <c r="U26" i="10"/>
  <c r="T25" i="10"/>
  <c r="V24" i="10"/>
  <c r="S25" i="10"/>
  <c r="X24" i="10"/>
  <c r="O24" i="10"/>
  <c r="H24" i="10" l="1"/>
  <c r="K24" i="10" s="1"/>
  <c r="Z23" i="10"/>
  <c r="AB11" i="10"/>
  <c r="AE11" i="10"/>
  <c r="L25" i="10"/>
  <c r="AB23" i="10"/>
  <c r="X4" i="10"/>
  <c r="N25" i="10"/>
  <c r="J4" i="10" l="1"/>
  <c r="K4" i="10" s="1"/>
  <c r="R27" i="10"/>
  <c r="V25" i="10"/>
  <c r="AA24" i="10"/>
  <c r="Q26" i="10"/>
  <c r="AE23" i="10"/>
  <c r="O25" i="10"/>
  <c r="AD4" i="10"/>
  <c r="T26" i="10"/>
  <c r="H25" i="10" l="1"/>
  <c r="AD24" i="10"/>
  <c r="S26" i="10"/>
  <c r="U27" i="10"/>
  <c r="AA4" i="10"/>
  <c r="P26" i="10"/>
  <c r="AC4" i="10"/>
  <c r="W26" i="10"/>
  <c r="M25" i="10"/>
  <c r="N26" i="10"/>
  <c r="Z24" i="10"/>
  <c r="Z4" i="10"/>
  <c r="X25" i="10"/>
  <c r="G25" i="10" l="1"/>
  <c r="K25" i="10" s="1"/>
  <c r="L26" i="10"/>
  <c r="AE24" i="10"/>
  <c r="AB4" i="10"/>
  <c r="AB24" i="10"/>
  <c r="AE4" i="10"/>
  <c r="R28" i="10" l="1"/>
  <c r="V26" i="10"/>
  <c r="S27" i="10"/>
  <c r="O26" i="10"/>
  <c r="AA25" i="10"/>
  <c r="W27" i="10"/>
  <c r="X26" i="10"/>
  <c r="AC24" i="10"/>
  <c r="P27" i="10"/>
  <c r="U28" i="10"/>
  <c r="H26" i="10" l="1"/>
  <c r="M26" i="10"/>
  <c r="G26" i="10" l="1"/>
  <c r="K26" i="10" s="1"/>
  <c r="T27" i="10"/>
  <c r="L27" i="10"/>
  <c r="Z25" i="10"/>
  <c r="AD25" i="10"/>
  <c r="AC25" i="10"/>
  <c r="Q27" i="10"/>
  <c r="N27" i="10"/>
  <c r="R29" i="10" l="1"/>
  <c r="N28" i="10"/>
  <c r="Z26" i="10"/>
  <c r="AB25" i="10"/>
  <c r="Q28" i="10"/>
  <c r="AC26" i="10"/>
  <c r="V27" i="10"/>
  <c r="AA26" i="10"/>
  <c r="L28" i="10"/>
  <c r="AE25" i="10"/>
  <c r="O27" i="10"/>
  <c r="M27" i="10"/>
  <c r="U29" i="10"/>
  <c r="T28" i="10"/>
  <c r="P28" i="10"/>
  <c r="AD26" i="10"/>
  <c r="X27" i="10"/>
  <c r="S28" i="10"/>
  <c r="W28" i="10"/>
  <c r="H27" i="10" l="1"/>
  <c r="G27" i="10"/>
  <c r="R30" i="10"/>
  <c r="Q29" i="10"/>
  <c r="W29" i="10"/>
  <c r="U30" i="10"/>
  <c r="O28" i="10"/>
  <c r="Z27" i="10"/>
  <c r="AE26" i="10"/>
  <c r="M28" i="10"/>
  <c r="AB26" i="10"/>
  <c r="AD27" i="10"/>
  <c r="AA27" i="10"/>
  <c r="X28" i="10"/>
  <c r="K27" i="10" l="1"/>
  <c r="H28" i="10"/>
  <c r="G28" i="10"/>
  <c r="T29" i="10"/>
  <c r="V28" i="10"/>
  <c r="AC27" i="10"/>
  <c r="N29" i="10"/>
  <c r="L29" i="10"/>
  <c r="S29" i="10"/>
  <c r="P29" i="10"/>
  <c r="K28" i="10" l="1"/>
  <c r="R31" i="10"/>
  <c r="V29" i="10"/>
  <c r="AB27" i="10"/>
  <c r="AE27" i="10"/>
  <c r="M29" i="10"/>
  <c r="Q30" i="10"/>
  <c r="L30" i="10"/>
  <c r="G29" i="10" l="1"/>
  <c r="AD28" i="10"/>
  <c r="T30" i="10"/>
  <c r="AA28" i="10"/>
  <c r="O29" i="10"/>
  <c r="M30" i="10"/>
  <c r="Z28" i="10"/>
  <c r="X29" i="10"/>
  <c r="U31" i="10"/>
  <c r="P30" i="10"/>
  <c r="S30" i="10"/>
  <c r="N30" i="10"/>
  <c r="H29" i="10" l="1"/>
  <c r="K29" i="10" s="1"/>
  <c r="V30" i="10"/>
  <c r="AE28" i="10"/>
  <c r="W31" i="10"/>
  <c r="AA29" i="10"/>
  <c r="N31" i="10"/>
  <c r="S31" i="10"/>
  <c r="L31" i="10"/>
  <c r="W30" i="10"/>
  <c r="T31" i="10"/>
  <c r="O30" i="10"/>
  <c r="AC28" i="10"/>
  <c r="P31" i="10"/>
  <c r="Q31" i="10"/>
  <c r="H30" i="10" l="1"/>
  <c r="G30" i="10"/>
  <c r="X31" i="10"/>
  <c r="O31" i="10"/>
  <c r="AE29" i="10"/>
  <c r="AB28" i="10"/>
  <c r="AC29" i="10"/>
  <c r="Z29" i="10"/>
  <c r="Z30" i="10"/>
  <c r="X30" i="10"/>
  <c r="V31" i="10"/>
  <c r="M31" i="10"/>
  <c r="AA30" i="10"/>
  <c r="AD29" i="10"/>
  <c r="K30" i="10" l="1"/>
  <c r="H31" i="10"/>
  <c r="G31" i="10"/>
  <c r="AB31" i="10"/>
  <c r="AD30" i="10"/>
  <c r="AC30" i="10"/>
  <c r="Z31" i="10"/>
  <c r="AC31" i="10"/>
  <c r="AE30" i="10"/>
  <c r="AD31" i="10"/>
  <c r="AA31" i="10"/>
  <c r="AB30" i="10"/>
  <c r="AB29" i="10"/>
  <c r="AE31" i="10"/>
  <c r="K31" i="10" l="1"/>
</calcChain>
</file>

<file path=xl/connections.xml><?xml version="1.0" encoding="utf-8"?>
<connections xmlns="http://schemas.openxmlformats.org/spreadsheetml/2006/main">
  <connection id="1" name="連線2" type="4" refreshedVersion="5" background="1" saveData="1">
    <webPr sourceData="1" parsePre="1" consecutive="1" xl2000="1" url="https://www.twse.com.tw/zh/holidaySchedule/holidaySchedule" htmlTables="1"/>
  </connection>
</connections>
</file>

<file path=xl/sharedStrings.xml><?xml version="1.0" encoding="utf-8"?>
<sst xmlns="http://schemas.openxmlformats.org/spreadsheetml/2006/main" count="215" uniqueCount="111">
  <si>
    <t>商品</t>
  </si>
  <si>
    <t>成交</t>
  </si>
  <si>
    <t>昨收</t>
  </si>
  <si>
    <t>Volume</t>
  </si>
  <si>
    <t>月份</t>
    <phoneticPr fontId="2" type="noConversion"/>
  </si>
  <si>
    <t>T</t>
    <phoneticPr fontId="2" type="noConversion"/>
  </si>
  <si>
    <t>R</t>
    <phoneticPr fontId="2" type="noConversion"/>
  </si>
  <si>
    <t>C</t>
    <phoneticPr fontId="2" type="noConversion"/>
  </si>
  <si>
    <t>P</t>
    <phoneticPr fontId="2" type="noConversion"/>
  </si>
  <si>
    <t>C</t>
    <phoneticPr fontId="2" type="noConversion"/>
  </si>
  <si>
    <t>bid</t>
    <phoneticPr fontId="2" type="noConversion"/>
  </si>
  <si>
    <t>ask</t>
    <phoneticPr fontId="2" type="noConversion"/>
  </si>
  <si>
    <t>成交</t>
    <phoneticPr fontId="2" type="noConversion"/>
  </si>
  <si>
    <t>履約價</t>
    <phoneticPr fontId="2" type="noConversion"/>
  </si>
  <si>
    <t>bid</t>
    <phoneticPr fontId="2" type="noConversion"/>
  </si>
  <si>
    <t>delta</t>
    <phoneticPr fontId="2" type="noConversion"/>
  </si>
  <si>
    <t>gamma</t>
    <phoneticPr fontId="2" type="noConversion"/>
  </si>
  <si>
    <t>theta</t>
    <phoneticPr fontId="2" type="noConversion"/>
  </si>
  <si>
    <t>今天日期</t>
    <phoneticPr fontId="2" type="noConversion"/>
  </si>
  <si>
    <t>本月月初</t>
    <phoneticPr fontId="2" type="noConversion"/>
  </si>
  <si>
    <t>本月到期日</t>
    <phoneticPr fontId="2" type="noConversion"/>
  </si>
  <si>
    <t>國定假日</t>
    <phoneticPr fontId="2" type="noConversion"/>
  </si>
  <si>
    <t>名稱</t>
  </si>
  <si>
    <t>日期</t>
  </si>
  <si>
    <t>星期</t>
  </si>
  <si>
    <t>說明</t>
  </si>
  <si>
    <t>中華民國開國紀念日</t>
  </si>
  <si>
    <t>三</t>
  </si>
  <si>
    <t>依規定放假1日。</t>
  </si>
  <si>
    <t>國曆新年開始交易日</t>
  </si>
  <si>
    <t>四</t>
  </si>
  <si>
    <t>國曆新年開始交易。</t>
  </si>
  <si>
    <t>農曆春節前最後交易日</t>
  </si>
  <si>
    <t>一</t>
  </si>
  <si>
    <t>1月21日及1月22日市場無交易，僅辦理結算交割作業。</t>
  </si>
  <si>
    <t>農曆除夕前一日</t>
  </si>
  <si>
    <t>1月23日（星期四）調整放假，於2月15日（星期六）補行上班，但不交易亦不交割。</t>
  </si>
  <si>
    <t>農曆除夕</t>
  </si>
  <si>
    <t>五</t>
  </si>
  <si>
    <t>農曆春節</t>
  </si>
  <si>
    <t>1月25日</t>
  </si>
  <si>
    <t>1月26日</t>
  </si>
  <si>
    <t>1月27日</t>
  </si>
  <si>
    <t>1月28日</t>
  </si>
  <si>
    <t>1月29日</t>
  </si>
  <si>
    <t>六</t>
  </si>
  <si>
    <t>日</t>
  </si>
  <si>
    <t>二</t>
  </si>
  <si>
    <t>依規定於1月25日至1月27日放假3日。</t>
  </si>
  <si>
    <t>1月25日及1月26日適逢星期六及日，1月28日（星期二）及1月29日（星期三）補假1日。</t>
  </si>
  <si>
    <t>農曆春節後開始交易日</t>
  </si>
  <si>
    <t>1月30日</t>
  </si>
  <si>
    <t>農曆春節後開始交易。</t>
  </si>
  <si>
    <t>和平紀念日</t>
  </si>
  <si>
    <t>2月28日</t>
  </si>
  <si>
    <t>兒童節</t>
  </si>
  <si>
    <t>民族掃墓節</t>
  </si>
  <si>
    <t>4月2日</t>
  </si>
  <si>
    <t>4月3日</t>
  </si>
  <si>
    <t>4月4日</t>
  </si>
  <si>
    <t>依規定放假1日。因兒童節與民族掃墓節為同一日且適逢星期六，於前一日4月3日（星期五）放假1日，且4月2日（星期四）補假1日。</t>
  </si>
  <si>
    <t>勞動節</t>
  </si>
  <si>
    <t>5月1日</t>
  </si>
  <si>
    <t>端午節</t>
  </si>
  <si>
    <t>6月25日</t>
  </si>
  <si>
    <t>6月26日</t>
  </si>
  <si>
    <t>6月26日（星期五）調整放假，於6月20日（星期六）補行上班，但不交易亦不交割。</t>
  </si>
  <si>
    <t>中秋節</t>
  </si>
  <si>
    <t>10月1日</t>
  </si>
  <si>
    <t>10月2日</t>
  </si>
  <si>
    <t>10月2日（星期五）調整放假，於9月26日（星期六）補行上班，但不交易亦不交割。</t>
  </si>
  <si>
    <t>國慶日</t>
  </si>
  <si>
    <t>10月9日</t>
  </si>
  <si>
    <t>10月10日</t>
  </si>
  <si>
    <t>10月10日適逢星期六，10月9日（星期五）補假1日。</t>
  </si>
  <si>
    <t>近月</t>
    <phoneticPr fontId="2" type="noConversion"/>
  </si>
  <si>
    <t>遠月</t>
    <phoneticPr fontId="2" type="noConversion"/>
  </si>
  <si>
    <t>距到期日</t>
    <phoneticPr fontId="2" type="noConversion"/>
  </si>
  <si>
    <t>月份</t>
    <phoneticPr fontId="2" type="noConversion"/>
  </si>
  <si>
    <t>次遠月</t>
    <phoneticPr fontId="2" type="noConversion"/>
  </si>
  <si>
    <t>1月1日</t>
  </si>
  <si>
    <t>1月2日</t>
  </si>
  <si>
    <t>1月20日</t>
  </si>
  <si>
    <t>1月23日</t>
  </si>
  <si>
    <t>1月24日</t>
  </si>
  <si>
    <t>時間開始</t>
    <phoneticPr fontId="2" type="noConversion"/>
  </si>
  <si>
    <t>vol</t>
    <phoneticPr fontId="2" type="noConversion"/>
  </si>
  <si>
    <t>昨收</t>
    <phoneticPr fontId="2" type="noConversion"/>
  </si>
  <si>
    <t>月選</t>
    <phoneticPr fontId="2" type="noConversion"/>
  </si>
  <si>
    <t>W</t>
    <phoneticPr fontId="2" type="noConversion"/>
  </si>
  <si>
    <t>月份</t>
    <phoneticPr fontId="2" type="noConversion"/>
  </si>
  <si>
    <t>W</t>
    <phoneticPr fontId="2" type="noConversion"/>
  </si>
  <si>
    <t>T</t>
    <phoneticPr fontId="2" type="noConversion"/>
  </si>
  <si>
    <t>R</t>
    <phoneticPr fontId="2" type="noConversion"/>
  </si>
  <si>
    <t>C</t>
    <phoneticPr fontId="2" type="noConversion"/>
  </si>
  <si>
    <t>週選</t>
    <phoneticPr fontId="2" type="noConversion"/>
  </si>
  <si>
    <t>P</t>
    <phoneticPr fontId="2" type="noConversion"/>
  </si>
  <si>
    <t>bid</t>
    <phoneticPr fontId="2" type="noConversion"/>
  </si>
  <si>
    <t>ask</t>
    <phoneticPr fontId="2" type="noConversion"/>
  </si>
  <si>
    <t>成交</t>
    <phoneticPr fontId="2" type="noConversion"/>
  </si>
  <si>
    <t>履約價</t>
    <phoneticPr fontId="2" type="noConversion"/>
  </si>
  <si>
    <t>bid</t>
    <phoneticPr fontId="2" type="noConversion"/>
  </si>
  <si>
    <t>delta</t>
    <phoneticPr fontId="2" type="noConversion"/>
  </si>
  <si>
    <t>gamma</t>
    <phoneticPr fontId="2" type="noConversion"/>
  </si>
  <si>
    <t>theta</t>
    <phoneticPr fontId="2" type="noConversion"/>
  </si>
  <si>
    <t>週選</t>
    <phoneticPr fontId="2" type="noConversion"/>
  </si>
  <si>
    <t>vol</t>
  </si>
  <si>
    <t>call</t>
    <phoneticPr fontId="2" type="noConversion"/>
  </si>
  <si>
    <t>put</t>
    <phoneticPr fontId="2" type="noConversion"/>
  </si>
  <si>
    <t>次遠月</t>
    <phoneticPr fontId="2" type="noConversion"/>
  </si>
  <si>
    <t>n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</si>
</sst>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6" formatCode="0.0%"/>
    <numFmt numFmtId="177" formatCode="0.0_);[Red]\(0.0\)"/>
    <numFmt numFmtId="178" formatCode="&quot;$&quot;#,##0_);[Red]\(&quot;$&quot;#,##0\)"/>
    <numFmt numFmtId="179" formatCode="m&quot;月&quot;d&quot;日&quot;"/>
    <numFmt numFmtId="180" formatCode="[$-F400]h:mm:ss\ AM/PM"/>
  </numFmts>
  <fonts count="4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</fills>
  <borders count="1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68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2" borderId="2" xfId="0" applyFill="1" applyBorder="1">
      <alignment vertical="center"/>
    </xf>
    <xf numFmtId="0" fontId="0" fillId="0" borderId="0" xfId="0" applyBorder="1">
      <alignment vertical="center"/>
    </xf>
    <xf numFmtId="176" fontId="0" fillId="0" borderId="6" xfId="1" applyNumberFormat="1" applyFont="1" applyBorder="1">
      <alignment vertical="center"/>
    </xf>
    <xf numFmtId="0" fontId="0" fillId="0" borderId="8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7" xfId="0" applyBorder="1">
      <alignment vertical="center"/>
    </xf>
    <xf numFmtId="0" fontId="0" fillId="0" borderId="9" xfId="0" applyBorder="1">
      <alignment vertical="center"/>
    </xf>
    <xf numFmtId="177" fontId="0" fillId="0" borderId="5" xfId="0" applyNumberFormat="1" applyBorder="1">
      <alignment vertical="center"/>
    </xf>
    <xf numFmtId="177" fontId="0" fillId="0" borderId="10" xfId="0" applyNumberFormat="1" applyBorder="1">
      <alignment vertical="center"/>
    </xf>
    <xf numFmtId="176" fontId="0" fillId="0" borderId="12" xfId="1" applyNumberFormat="1" applyFont="1" applyBorder="1">
      <alignment vertical="center"/>
    </xf>
    <xf numFmtId="0" fontId="0" fillId="5" borderId="3" xfId="0" applyFill="1" applyBorder="1">
      <alignment vertical="center"/>
    </xf>
    <xf numFmtId="0" fontId="0" fillId="5" borderId="2" xfId="0" applyFill="1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178" fontId="0" fillId="0" borderId="5" xfId="0" applyNumberFormat="1" applyBorder="1">
      <alignment vertical="center"/>
    </xf>
    <xf numFmtId="178" fontId="0" fillId="0" borderId="0" xfId="0" applyNumberFormat="1" applyBorder="1">
      <alignment vertical="center"/>
    </xf>
    <xf numFmtId="178" fontId="0" fillId="0" borderId="6" xfId="0" applyNumberFormat="1" applyBorder="1">
      <alignment vertical="center"/>
    </xf>
    <xf numFmtId="176" fontId="0" fillId="0" borderId="0" xfId="1" applyNumberFormat="1" applyFont="1" applyFill="1" applyBorder="1">
      <alignment vertical="center"/>
    </xf>
    <xf numFmtId="177" fontId="0" fillId="0" borderId="5" xfId="0" applyNumberFormat="1" applyFill="1" applyBorder="1">
      <alignment vertical="center"/>
    </xf>
    <xf numFmtId="176" fontId="0" fillId="0" borderId="6" xfId="1" applyNumberFormat="1" applyFont="1" applyFill="1" applyBorder="1">
      <alignment vertical="center"/>
    </xf>
    <xf numFmtId="0" fontId="0" fillId="5" borderId="13" xfId="0" applyFill="1" applyBorder="1">
      <alignment vertical="center"/>
    </xf>
    <xf numFmtId="176" fontId="0" fillId="0" borderId="11" xfId="1" applyNumberFormat="1" applyFont="1" applyBorder="1">
      <alignment vertical="center"/>
    </xf>
    <xf numFmtId="177" fontId="0" fillId="0" borderId="11" xfId="0" applyNumberFormat="1" applyBorder="1">
      <alignment vertical="center"/>
    </xf>
    <xf numFmtId="176" fontId="0" fillId="0" borderId="0" xfId="1" applyNumberFormat="1" applyFont="1" applyBorder="1">
      <alignment vertical="center"/>
    </xf>
    <xf numFmtId="177" fontId="0" fillId="0" borderId="0" xfId="0" applyNumberFormat="1" applyBorder="1">
      <alignment vertical="center"/>
    </xf>
    <xf numFmtId="14" fontId="0" fillId="0" borderId="0" xfId="0" applyNumberFormat="1">
      <alignment vertical="center"/>
    </xf>
    <xf numFmtId="14" fontId="0" fillId="0" borderId="8" xfId="0" applyNumberFormat="1" applyBorder="1">
      <alignment vertical="center"/>
    </xf>
    <xf numFmtId="14" fontId="0" fillId="0" borderId="9" xfId="0" applyNumberFormat="1" applyBorder="1">
      <alignment vertical="center"/>
    </xf>
    <xf numFmtId="14" fontId="0" fillId="2" borderId="0" xfId="0" applyNumberFormat="1" applyFill="1">
      <alignment vertical="center"/>
    </xf>
    <xf numFmtId="0" fontId="0" fillId="2" borderId="3" xfId="0" applyFill="1" applyBorder="1">
      <alignment vertical="center"/>
    </xf>
    <xf numFmtId="0" fontId="0" fillId="2" borderId="4" xfId="0" applyFill="1" applyBorder="1">
      <alignment vertical="center"/>
    </xf>
    <xf numFmtId="0" fontId="0" fillId="2" borderId="0" xfId="0" applyFill="1" applyBorder="1">
      <alignment vertical="center"/>
    </xf>
    <xf numFmtId="0" fontId="0" fillId="2" borderId="6" xfId="0" applyFill="1" applyBorder="1">
      <alignment vertical="center"/>
    </xf>
    <xf numFmtId="14" fontId="0" fillId="0" borderId="0" xfId="0" applyNumberFormat="1" applyBorder="1">
      <alignment vertical="center"/>
    </xf>
    <xf numFmtId="14" fontId="0" fillId="0" borderId="6" xfId="0" applyNumberFormat="1" applyBorder="1">
      <alignment vertical="center"/>
    </xf>
    <xf numFmtId="10" fontId="0" fillId="0" borderId="0" xfId="0" applyNumberFormat="1">
      <alignment vertical="center"/>
    </xf>
    <xf numFmtId="0" fontId="0" fillId="0" borderId="0" xfId="1" applyNumberFormat="1" applyFont="1" applyFill="1" applyBorder="1">
      <alignment vertical="center"/>
    </xf>
    <xf numFmtId="0" fontId="0" fillId="2" borderId="8" xfId="0" applyFill="1" applyBorder="1">
      <alignment vertical="center"/>
    </xf>
    <xf numFmtId="178" fontId="0" fillId="0" borderId="0" xfId="0" applyNumberFormat="1">
      <alignment vertical="center"/>
    </xf>
    <xf numFmtId="0" fontId="0" fillId="0" borderId="0" xfId="0" applyNumberFormat="1">
      <alignment vertical="center"/>
    </xf>
    <xf numFmtId="0" fontId="0" fillId="6" borderId="5" xfId="0" applyFill="1" applyBorder="1">
      <alignment vertical="center"/>
    </xf>
    <xf numFmtId="0" fontId="0" fillId="6" borderId="0" xfId="0" applyFill="1" applyBorder="1">
      <alignment vertical="center"/>
    </xf>
    <xf numFmtId="14" fontId="0" fillId="6" borderId="6" xfId="0" applyNumberFormat="1" applyFill="1" applyBorder="1">
      <alignment vertical="center"/>
    </xf>
    <xf numFmtId="14" fontId="0" fillId="6" borderId="0" xfId="0" applyNumberFormat="1" applyFill="1">
      <alignment vertical="center"/>
    </xf>
    <xf numFmtId="0" fontId="0" fillId="2" borderId="1" xfId="0" applyFill="1" applyBorder="1">
      <alignment vertical="center"/>
    </xf>
    <xf numFmtId="0" fontId="0" fillId="2" borderId="5" xfId="0" applyFill="1" applyBorder="1">
      <alignment vertical="center"/>
    </xf>
    <xf numFmtId="0" fontId="0" fillId="2" borderId="7" xfId="0" applyFill="1" applyBorder="1">
      <alignment vertical="center"/>
    </xf>
    <xf numFmtId="0" fontId="0" fillId="2" borderId="7" xfId="0" applyNumberFormat="1" applyFill="1" applyBorder="1">
      <alignment vertical="center"/>
    </xf>
    <xf numFmtId="0" fontId="0" fillId="2" borderId="9" xfId="0" applyNumberFormat="1" applyFill="1" applyBorder="1">
      <alignment vertical="center"/>
    </xf>
    <xf numFmtId="180" fontId="0" fillId="0" borderId="0" xfId="0" applyNumberFormat="1">
      <alignment vertical="center"/>
    </xf>
    <xf numFmtId="179" fontId="0" fillId="0" borderId="0" xfId="0" applyNumberFormat="1">
      <alignment vertical="center"/>
    </xf>
    <xf numFmtId="9" fontId="0" fillId="0" borderId="0" xfId="1" applyFont="1">
      <alignment vertical="center"/>
    </xf>
    <xf numFmtId="0" fontId="0" fillId="5" borderId="1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0" fontId="0" fillId="3" borderId="12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</cellXfs>
  <cellStyles count="2">
    <cellStyle name="一般" xfId="0" builtinId="0"/>
    <cellStyle name="百分比" xfId="1" builtinId="5"/>
  </cellStyles>
  <dxfs count="8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xqrtd.rtdserverxqlite">
      <tp>
        <v>456</v>
        <stp/>
        <stp>TXON01P14500.TF-Price</stp>
        <tr r="S21" s="10"/>
      </tp>
      <tp t="s">
        <v>--</v>
        <stp/>
        <stp>TXON02P14600.TF-Price</stp>
        <tr r="S22" s="22"/>
      </tp>
      <tp>
        <v>389</v>
        <stp/>
        <stp>TXON01P14400.TF-Price</stp>
        <tr r="S20" s="10"/>
      </tp>
      <tp t="s">
        <v>--</v>
        <stp/>
        <stp>TXON02P14700.TF-Price</stp>
        <tr r="S23" s="22"/>
      </tp>
      <tp t="s">
        <v>--</v>
        <stp/>
        <stp>TXON03P14600.TF-Price</stp>
        <tr r="S20" s="23"/>
      </tp>
      <tp>
        <v>600</v>
        <stp/>
        <stp>TXON01P14700.TF-Price</stp>
        <tr r="S23" s="10"/>
      </tp>
      <tp t="s">
        <v>--</v>
        <stp/>
        <stp>TXON02P14400.TF-Price</stp>
        <tr r="S20" s="22"/>
      </tp>
      <tp>
        <v>525</v>
        <stp/>
        <stp>TXON01P14600.TF-Price</stp>
        <tr r="S22" s="10"/>
      </tp>
      <tp t="s">
        <v>--</v>
        <stp/>
        <stp>TXON02P14500.TF-Price</stp>
        <tr r="S21" s="22"/>
      </tp>
      <tp t="s">
        <v>--</v>
        <stp/>
        <stp>TXON03P14400.TF-Price</stp>
        <tr r="S19" s="23"/>
      </tp>
      <tp>
        <v>229</v>
        <stp/>
        <stp>TXON01P14100.TF-Price</stp>
        <tr r="S17" s="10"/>
      </tp>
      <tp>
        <v>390</v>
        <stp/>
        <stp>TXON02P14200.TF-Price</stp>
        <tr r="S18" s="22"/>
      </tp>
      <tp>
        <v>189</v>
        <stp/>
        <stp>TXON01P14000.TF-Price</stp>
        <tr r="S16" s="10"/>
      </tp>
      <tp t="s">
        <v>--</v>
        <stp/>
        <stp>TXON02P14300.TF-Price</stp>
        <tr r="S19" s="22"/>
      </tp>
      <tp t="s">
        <v>--</v>
        <stp/>
        <stp>TXON03P14200.TF-Price</stp>
        <tr r="S18" s="23"/>
      </tp>
      <tp>
        <v>326</v>
        <stp/>
        <stp>TXON01P14300.TF-Price</stp>
        <tr r="S19" s="10"/>
      </tp>
      <tp t="s">
        <v>--</v>
        <stp/>
        <stp>TXON02P14000.TF-Price</stp>
        <tr r="S16" s="22"/>
      </tp>
      <tp>
        <v>277</v>
        <stp/>
        <stp>TXON01P14200.TF-Price</stp>
        <tr r="S18" s="10"/>
      </tp>
      <tp t="s">
        <v>--</v>
        <stp/>
        <stp>TXON02P14100.TF-Price</stp>
        <tr r="S17" s="22"/>
      </tp>
      <tp t="s">
        <v>--</v>
        <stp/>
        <stp>TXON03P14000.TF-Price</stp>
        <tr r="S17" s="23"/>
      </tp>
      <tp>
        <v>775</v>
        <stp/>
        <stp>TXON01P14900.TF-Price</stp>
        <tr r="S25" s="10"/>
      </tp>
      <tp t="s">
        <v>--</v>
        <stp/>
        <stp>TXON01P14800.TF-Price</stp>
        <tr r="S24" s="10"/>
      </tp>
      <tp t="s">
        <v>--</v>
        <stp/>
        <stp>TXON02P14800.TF-Price</stp>
        <tr r="S24" s="22"/>
      </tp>
      <tp t="s">
        <v>--</v>
        <stp/>
        <stp>TXON02P14900.TF-Price</stp>
        <tr r="S25" s="22"/>
      </tp>
      <tp t="s">
        <v>--</v>
        <stp/>
        <stp>TXON03P14800.TF-Price</stp>
        <tr r="S21" s="23"/>
      </tp>
      <tp t="s">
        <v>#N/A</v>
        <stp/>
        <stp>TXON01P15500.TF-Price</stp>
        <tr r="S31" s="10"/>
      </tp>
      <tp t="s">
        <v>--</v>
        <stp/>
        <stp>TXON01P15400.TF-Price</stp>
        <tr r="S30" s="10"/>
      </tp>
      <tp t="s">
        <v>--</v>
        <stp/>
        <stp>TXON03P15600.TF-Price</stp>
        <tr r="S25" s="23"/>
      </tp>
      <tp t="s">
        <v>--</v>
        <stp/>
        <stp>TXON02P15400.TF-Price</stp>
        <tr r="S30" s="22"/>
      </tp>
      <tp t="s">
        <v>#N/A</v>
        <stp/>
        <stp>TXON02P15500.TF-Price</stp>
        <tr r="S31" s="22"/>
      </tp>
      <tp t="s">
        <v>--</v>
        <stp/>
        <stp>TXON03P15400.TF-Price</stp>
        <tr r="S24" s="23"/>
      </tp>
      <tp t="s">
        <v>#N/A</v>
        <stp/>
        <stp>TXON01P15100.TF-Price</stp>
        <tr r="S27" s="10"/>
      </tp>
      <tp t="s">
        <v>--</v>
        <stp/>
        <stp>TXON02P15200.TF-Price</stp>
        <tr r="S28" s="22"/>
      </tp>
      <tp t="s">
        <v>--</v>
        <stp/>
        <stp>TXON01P15000.TF-Price</stp>
        <tr r="S26" s="10"/>
      </tp>
      <tp t="s">
        <v>#N/A</v>
        <stp/>
        <stp>TXON02P15300.TF-Price</stp>
        <tr r="S29" s="22"/>
      </tp>
      <tp t="s">
        <v>--</v>
        <stp/>
        <stp>TXON03P15200.TF-Price</stp>
        <tr r="S23" s="23"/>
      </tp>
      <tp t="s">
        <v>#N/A</v>
        <stp/>
        <stp>TXON01P15300.TF-Price</stp>
        <tr r="S29" s="10"/>
      </tp>
      <tp t="s">
        <v>--</v>
        <stp/>
        <stp>TXON02P15000.TF-Price</stp>
        <tr r="S26" s="22"/>
      </tp>
      <tp t="s">
        <v>--</v>
        <stp/>
        <stp>TXON01P15200.TF-Price</stp>
        <tr r="S28" s="10"/>
      </tp>
      <tp t="s">
        <v>#N/A</v>
        <stp/>
        <stp>TXON02P15100.TF-Price</stp>
        <tr r="S27" s="22"/>
      </tp>
      <tp t="s">
        <v>--</v>
        <stp/>
        <stp>TXON03P15000.TF-Price</stp>
        <tr r="S22" s="23"/>
      </tp>
      <tp t="s">
        <v>--</v>
        <stp/>
        <stp>TXON03P15800.TF-Price</stp>
        <tr r="S26" s="23"/>
      </tp>
      <tp t="s">
        <v>--</v>
        <stp/>
        <stp>TXON03P16600.TF-Price</stp>
        <tr r="S30" s="23"/>
      </tp>
      <tp t="s">
        <v>--</v>
        <stp/>
        <stp>TXON03P16400.TF-Price</stp>
        <tr r="S29" s="23"/>
      </tp>
      <tp t="s">
        <v>--</v>
        <stp/>
        <stp>TXON03P16200.TF-Price</stp>
        <tr r="S28" s="23"/>
      </tp>
      <tp t="s">
        <v>--</v>
        <stp/>
        <stp>TXON03P16000.TF-Price</stp>
        <tr r="S27" s="23"/>
      </tp>
      <tp t="s">
        <v>#N/A</v>
        <stp/>
        <stp>TXON03P16800.TF-Price</stp>
        <tr r="S31" s="23"/>
      </tp>
      <tp t="s">
        <v>--</v>
        <stp/>
        <stp>TXON03P11600.TF-Price</stp>
        <tr r="S5" s="23"/>
      </tp>
      <tp>
        <v>40.5</v>
        <stp/>
        <stp>TXON03P11400.TF-Price</stp>
        <tr r="S4" s="23"/>
      </tp>
      <tp t="s">
        <v>--</v>
        <stp/>
        <stp>TXON03P11800.TF-Price</stp>
        <tr r="S6" s="23"/>
      </tp>
      <tp t="s">
        <v>--</v>
        <stp/>
        <stp>TXON03P12600.TF-Price</stp>
        <tr r="S10" s="23"/>
      </tp>
      <tp t="s">
        <v>--</v>
        <stp/>
        <stp>TXON03P12400.TF-Price</stp>
        <tr r="S9" s="23"/>
      </tp>
      <tp t="s">
        <v>--</v>
        <stp/>
        <stp>TXON03P12200.TF-Price</stp>
        <tr r="S8" s="23"/>
      </tp>
      <tp t="s">
        <v>--</v>
        <stp/>
        <stp>TXON03P12000.TF-Price</stp>
        <tr r="S7" s="23"/>
      </tp>
      <tp>
        <v>27.5</v>
        <stp/>
        <stp>TXON01P12900.TF-Price</stp>
        <tr r="S5" s="10"/>
      </tp>
      <tp>
        <v>24</v>
        <stp/>
        <stp>TXON01P12800.TF-Price</stp>
        <tr r="S4" s="10"/>
      </tp>
      <tp>
        <v>62</v>
        <stp/>
        <stp>TXON02P12800.TF-Price</stp>
        <tr r="S4" s="22"/>
      </tp>
      <tp t="s">
        <v>--</v>
        <stp/>
        <stp>TXON02P12900.TF-Price</stp>
        <tr r="S5" s="22"/>
      </tp>
      <tp t="s">
        <v>--</v>
        <stp/>
        <stp>TXON03P12800.TF-Price</stp>
        <tr r="S11" s="23"/>
      </tp>
      <tp>
        <v>72</v>
        <stp/>
        <stp>TXON01P13500.TF-Price</stp>
        <tr r="S11" s="10"/>
      </tp>
      <tp>
        <v>174</v>
        <stp/>
        <stp>TXON02P13600.TF-Price</stp>
        <tr r="S12" s="22"/>
      </tp>
      <tp>
        <v>61</v>
        <stp/>
        <stp>TXON01P13400.TF-Price</stp>
        <tr r="S10" s="10"/>
      </tp>
      <tp>
        <v>195</v>
        <stp/>
        <stp>TXON02P13700.TF-Price</stp>
        <tr r="S13" s="22"/>
      </tp>
      <tp t="s">
        <v>--</v>
        <stp/>
        <stp>TXON03P13600.TF-Price</stp>
        <tr r="S15" s="23"/>
      </tp>
      <tp>
        <v>105</v>
        <stp/>
        <stp>TXON01P13700.TF-Price</stp>
        <tr r="S13" s="10"/>
      </tp>
      <tp>
        <v>130</v>
        <stp/>
        <stp>TXON02P13400.TF-Price</stp>
        <tr r="S10" s="22"/>
      </tp>
      <tp>
        <v>88</v>
        <stp/>
        <stp>TXON01P13600.TF-Price</stp>
        <tr r="S12" s="10"/>
      </tp>
      <tp>
        <v>150</v>
        <stp/>
        <stp>TXON02P13500.TF-Price</stp>
        <tr r="S11" s="22"/>
      </tp>
      <tp t="s">
        <v>--</v>
        <stp/>
        <stp>TXON03P13400.TF-Price</stp>
        <tr r="S14" s="23"/>
      </tp>
      <tp>
        <v>38</v>
        <stp/>
        <stp>TXON01P13100.TF-Price</stp>
        <tr r="S7" s="10"/>
      </tp>
      <tp>
        <v>97</v>
        <stp/>
        <stp>TXON02P13200.TF-Price</stp>
        <tr r="S8" s="22"/>
      </tp>
      <tp>
        <v>31.5</v>
        <stp/>
        <stp>TXON01P13000.TF-Price</stp>
        <tr r="S6" s="10"/>
      </tp>
      <tp>
        <v>115</v>
        <stp/>
        <stp>TXON02P13300.TF-Price</stp>
        <tr r="S9" s="22"/>
      </tp>
      <tp t="s">
        <v>--</v>
        <stp/>
        <stp>TXON03P13200.TF-Price</stp>
        <tr r="S13" s="23"/>
      </tp>
      <tp>
        <v>51</v>
        <stp/>
        <stp>TXON01P13300.TF-Price</stp>
        <tr r="S9" s="10"/>
      </tp>
      <tp>
        <v>73</v>
        <stp/>
        <stp>TXON02P13000.TF-Price</stp>
        <tr r="S6" s="22"/>
      </tp>
      <tp>
        <v>43</v>
        <stp/>
        <stp>TXON01P13200.TF-Price</stp>
        <tr r="S8" s="10"/>
      </tp>
      <tp t="s">
        <v>--</v>
        <stp/>
        <stp>TXON02P13100.TF-Price</stp>
        <tr r="S7" s="22"/>
      </tp>
      <tp t="s">
        <v>--</v>
        <stp/>
        <stp>TXON03P13000.TF-Price</stp>
        <tr r="S12" s="23"/>
      </tp>
      <tp>
        <v>156</v>
        <stp/>
        <stp>TXON01P13900.TF-Price</stp>
        <tr r="S15" s="10"/>
      </tp>
      <tp>
        <v>129</v>
        <stp/>
        <stp>TXON01P13800.TF-Price</stp>
        <tr r="S14" s="10"/>
      </tp>
      <tp>
        <v>218</v>
        <stp/>
        <stp>TXON02P13800.TF-Price</stp>
        <tr r="S14" s="22"/>
      </tp>
      <tp>
        <v>265</v>
        <stp/>
        <stp>TXON02P13900.TF-Price</stp>
        <tr r="S15" s="22"/>
      </tp>
      <tp t="s">
        <v>--</v>
        <stp/>
        <stp>TXON03P13800.TF-Price</stp>
        <tr r="S16" s="23"/>
      </tp>
      <tp>
        <v>14070</v>
        <stp/>
        <stp>FITXN*2.TF-PreClose</stp>
        <tr r="B2" s="22"/>
      </tp>
      <tp>
        <v>13992</v>
        <stp/>
        <stp>FITXN*3.TF-PreClose</stp>
        <tr r="B2" s="23"/>
      </tp>
      <tp>
        <v>14136</v>
        <stp/>
        <stp>FITXN*1.TF-PreClose</stp>
        <tr r="B2" s="10"/>
      </tp>
      <tp>
        <v>104</v>
        <stp/>
        <stp>TXON01C14500.TF-Price</stp>
        <tr r="Q21" s="10"/>
      </tp>
      <tp t="s">
        <v>--</v>
        <stp/>
        <stp>TXON02C14600.TF-Price</stp>
        <tr r="Q22" s="22"/>
      </tp>
      <tp>
        <v>139</v>
        <stp/>
        <stp>TXON01C14400.TF-Price</stp>
        <tr r="Q20" s="10"/>
      </tp>
      <tp>
        <v>96</v>
        <stp/>
        <stp>TXON02C14700.TF-Price</stp>
        <tr r="Q23" s="22"/>
      </tp>
      <tp>
        <v>185</v>
        <stp/>
        <stp>TXON03C14600.TF-Price</stp>
        <tr r="Q20" s="23"/>
      </tp>
      <tp>
        <v>57</v>
        <stp/>
        <stp>TXON01C14700.TF-Price</stp>
        <tr r="Q23" s="10"/>
      </tp>
      <tp>
        <v>205</v>
        <stp/>
        <stp>TXON02C14400.TF-Price</stp>
        <tr r="Q20" s="22"/>
      </tp>
      <tp>
        <v>78</v>
        <stp/>
        <stp>TXON01C14600.TF-Price</stp>
        <tr r="Q22" s="10"/>
      </tp>
      <tp>
        <v>171</v>
        <stp/>
        <stp>TXON02C14500.TF-Price</stp>
        <tr r="Q21" s="22"/>
      </tp>
      <tp>
        <v>250</v>
        <stp/>
        <stp>TXON03C14400.TF-Price</stp>
        <tr r="Q19" s="23"/>
      </tp>
      <tp>
        <v>281</v>
        <stp/>
        <stp>TXON01C14100.TF-Price</stp>
        <tr r="Q17" s="10"/>
      </tp>
      <tp t="s">
        <v>--</v>
        <stp/>
        <stp>TXON02C14200.TF-Price</stp>
        <tr r="Q18" s="22"/>
      </tp>
      <tp>
        <v>339</v>
        <stp/>
        <stp>TXON01C14000.TF-Price</stp>
        <tr r="Q16" s="10"/>
      </tp>
      <tp t="s">
        <v>--</v>
        <stp/>
        <stp>TXON02C14300.TF-Price</stp>
        <tr r="Q19" s="22"/>
      </tp>
      <tp t="s">
        <v>--</v>
        <stp/>
        <stp>TXON03C14200.TF-Price</stp>
        <tr r="Q18" s="23"/>
      </tp>
      <tp>
        <v>176</v>
        <stp/>
        <stp>TXON01C14300.TF-Price</stp>
        <tr r="Q19" s="10"/>
      </tp>
      <tp t="s">
        <v>--</v>
        <stp/>
        <stp>TXON02C14000.TF-Price</stp>
        <tr r="Q16" s="22"/>
      </tp>
      <tp>
        <v>223</v>
        <stp/>
        <stp>TXON01C14200.TF-Price</stp>
        <tr r="Q18" s="10"/>
      </tp>
      <tp>
        <v>343</v>
        <stp/>
        <stp>TXON02C14100.TF-Price</stp>
        <tr r="Q17" s="22"/>
      </tp>
      <tp t="s">
        <v>--</v>
        <stp/>
        <stp>TXON03C14000.TF-Price</stp>
        <tr r="Q17" s="23"/>
      </tp>
      <tp>
        <v>28.5</v>
        <stp/>
        <stp>TXON01C14900.TF-Price</stp>
        <tr r="Q25" s="10"/>
      </tp>
      <tp>
        <v>39.5</v>
        <stp/>
        <stp>TXON01C14800.TF-Price</stp>
        <tr r="Q24" s="10"/>
      </tp>
      <tp>
        <v>88</v>
        <stp/>
        <stp>TXON02C14800.TF-Price</stp>
        <tr r="Q24" s="22"/>
      </tp>
      <tp>
        <v>69</v>
        <stp/>
        <stp>TXON02C14900.TF-Price</stp>
        <tr r="Q25" s="22"/>
      </tp>
      <tp t="s">
        <v>--</v>
        <stp/>
        <stp>TXON03C14800.TF-Price</stp>
        <tr r="Q21" s="23"/>
      </tp>
      <tp t="s">
        <v>#N/A</v>
        <stp/>
        <stp>TXON01C15500.TF-Price</stp>
        <tr r="Q31" s="10"/>
      </tp>
      <tp>
        <v>6.6</v>
        <stp/>
        <stp>TXON01C15400.TF-Price</stp>
        <tr r="Q30" s="10"/>
      </tp>
      <tp t="s">
        <v>--</v>
        <stp/>
        <stp>TXON03C15600.TF-Price</stp>
        <tr r="Q25" s="23"/>
      </tp>
      <tp>
        <v>20</v>
        <stp/>
        <stp>TXON02C15400.TF-Price</stp>
        <tr r="Q30" s="22"/>
      </tp>
      <tp t="s">
        <v>#N/A</v>
        <stp/>
        <stp>TXON02C15500.TF-Price</stp>
        <tr r="Q31" s="22"/>
      </tp>
      <tp t="s">
        <v>--</v>
        <stp/>
        <stp>TXON03C15400.TF-Price</stp>
        <tr r="Q24" s="23"/>
      </tp>
      <tp t="s">
        <v>#N/A</v>
        <stp/>
        <stp>TXON01C15100.TF-Price</stp>
        <tr r="Q27" s="10"/>
      </tp>
      <tp>
        <v>34</v>
        <stp/>
        <stp>TXON02C15200.TF-Price</stp>
        <tr r="Q28" s="22"/>
      </tp>
      <tp>
        <v>20.5</v>
        <stp/>
        <stp>TXON01C15000.TF-Price</stp>
        <tr r="Q26" s="10"/>
      </tp>
      <tp t="s">
        <v>#N/A</v>
        <stp/>
        <stp>TXON02C15300.TF-Price</stp>
        <tr r="Q29" s="22"/>
      </tp>
      <tp>
        <v>63</v>
        <stp/>
        <stp>TXON03C15200.TF-Price</stp>
        <tr r="Q23" s="23"/>
      </tp>
      <tp t="s">
        <v>#N/A</v>
        <stp/>
        <stp>TXON01C15300.TF-Price</stp>
        <tr r="Q29" s="10"/>
      </tp>
      <tp>
        <v>52</v>
        <stp/>
        <stp>TXON02C15000.TF-Price</stp>
        <tr r="Q26" s="22"/>
      </tp>
      <tp>
        <v>11</v>
        <stp/>
        <stp>TXON01C15200.TF-Price</stp>
        <tr r="Q28" s="10"/>
      </tp>
      <tp t="s">
        <v>#N/A</v>
        <stp/>
        <stp>TXON02C15100.TF-Price</stp>
        <tr r="Q27" s="22"/>
      </tp>
      <tp t="s">
        <v>--</v>
        <stp/>
        <stp>TXON03C15000.TF-Price</stp>
        <tr r="Q22" s="23"/>
      </tp>
      <tp t="s">
        <v>--</v>
        <stp/>
        <stp>TXON03C15800.TF-Price</stp>
        <tr r="Q26" s="23"/>
      </tp>
      <tp t="s">
        <v>--</v>
        <stp/>
        <stp>TXON03C16600.TF-Price</stp>
        <tr r="Q30" s="23"/>
      </tp>
      <tp t="s">
        <v>--</v>
        <stp/>
        <stp>TXON03C16400.TF-Price</stp>
        <tr r="Q29" s="23"/>
      </tp>
      <tp t="s">
        <v>--</v>
        <stp/>
        <stp>TXON03C16200.TF-Price</stp>
        <tr r="Q28" s="23"/>
      </tp>
      <tp t="s">
        <v>--</v>
        <stp/>
        <stp>TXON03C16000.TF-Price</stp>
        <tr r="Q27" s="23"/>
      </tp>
      <tp t="s">
        <v>#N/A</v>
        <stp/>
        <stp>TXON03C16800.TF-Price</stp>
        <tr r="Q31" s="23"/>
      </tp>
      <tp t="s">
        <v>--</v>
        <stp/>
        <stp>TXON03C11600.TF-Price</stp>
        <tr r="Q5" s="23"/>
      </tp>
      <tp t="s">
        <v>--</v>
        <stp/>
        <stp>TXON03C11400.TF-Price</stp>
        <tr r="Q4" s="23"/>
      </tp>
      <tp t="s">
        <v>--</v>
        <stp/>
        <stp>TXON03C11800.TF-Price</stp>
        <tr r="Q6" s="23"/>
      </tp>
      <tp t="s">
        <v>--</v>
        <stp/>
        <stp>TXON03C12600.TF-Price</stp>
        <tr r="Q10" s="23"/>
      </tp>
      <tp t="s">
        <v>--</v>
        <stp/>
        <stp>TXON03C12400.TF-Price</stp>
        <tr r="Q9" s="23"/>
      </tp>
      <tp t="s">
        <v>--</v>
        <stp/>
        <stp>TXON03C12200.TF-Price</stp>
        <tr r="Q8" s="23"/>
      </tp>
      <tp t="s">
        <v>--</v>
        <stp/>
        <stp>TXON03C12000.TF-Price</stp>
        <tr r="Q7" s="23"/>
      </tp>
      <tp t="s">
        <v>--</v>
        <stp/>
        <stp>TXON01C12900.TF-Price</stp>
        <tr r="Q5" s="10"/>
      </tp>
      <tp t="s">
        <v>--</v>
        <stp/>
        <stp>TXON01C12800.TF-Price</stp>
        <tr r="Q4" s="10"/>
      </tp>
      <tp t="s">
        <v>--</v>
        <stp/>
        <stp>TXON02C12800.TF-Price</stp>
        <tr r="Q4" s="22"/>
      </tp>
      <tp t="s">
        <v>--</v>
        <stp/>
        <stp>TXON02C12900.TF-Price</stp>
        <tr r="Q5" s="22"/>
      </tp>
      <tp t="s">
        <v>--</v>
        <stp/>
        <stp>TXON03C12800.TF-Price</stp>
        <tr r="Q11" s="23"/>
      </tp>
      <tp>
        <v>715</v>
        <stp/>
        <stp>TXON01C13500.TF-Price</stp>
        <tr r="Q11" s="10"/>
      </tp>
      <tp t="s">
        <v>--</v>
        <stp/>
        <stp>TXON02C13600.TF-Price</stp>
        <tr r="Q12" s="22"/>
      </tp>
      <tp t="s">
        <v>--</v>
        <stp/>
        <stp>TXON01C13400.TF-Price</stp>
        <tr r="Q10" s="10"/>
      </tp>
      <tp t="s">
        <v>--</v>
        <stp/>
        <stp>TXON02C13700.TF-Price</stp>
        <tr r="Q13" s="22"/>
      </tp>
      <tp>
        <v>685</v>
        <stp/>
        <stp>TXON03C13600.TF-Price</stp>
        <tr r="Q15" s="23"/>
      </tp>
      <tp>
        <v>550</v>
        <stp/>
        <stp>TXON01C13700.TF-Price</stp>
        <tr r="Q13" s="10"/>
      </tp>
      <tp t="s">
        <v>--</v>
        <stp/>
        <stp>TXON02C13400.TF-Price</stp>
        <tr r="Q10" s="22"/>
      </tp>
      <tp>
        <v>640</v>
        <stp/>
        <stp>TXON01C13600.TF-Price</stp>
        <tr r="Q12" s="10"/>
      </tp>
      <tp t="s">
        <v>--</v>
        <stp/>
        <stp>TXON02C13500.TF-Price</stp>
        <tr r="Q11" s="22"/>
      </tp>
      <tp t="s">
        <v>--</v>
        <stp/>
        <stp>TXON03C13400.TF-Price</stp>
        <tr r="Q14" s="23"/>
      </tp>
      <tp t="s">
        <v>--</v>
        <stp/>
        <stp>TXON01C13100.TF-Price</stp>
        <tr r="Q7" s="10"/>
      </tp>
      <tp t="s">
        <v>--</v>
        <stp/>
        <stp>TXON02C13200.TF-Price</stp>
        <tr r="Q8" s="22"/>
      </tp>
      <tp t="s">
        <v>--</v>
        <stp/>
        <stp>TXON01C13000.TF-Price</stp>
        <tr r="Q6" s="10"/>
      </tp>
      <tp t="s">
        <v>--</v>
        <stp/>
        <stp>TXON02C13300.TF-Price</stp>
        <tr r="Q9" s="22"/>
      </tp>
      <tp t="s">
        <v>--</v>
        <stp/>
        <stp>TXON03C13200.TF-Price</stp>
        <tr r="Q13" s="23"/>
      </tp>
      <tp t="s">
        <v>--</v>
        <stp/>
        <stp>TXON01C13300.TF-Price</stp>
        <tr r="Q9" s="10"/>
      </tp>
      <tp t="s">
        <v>--</v>
        <stp/>
        <stp>TXON02C13000.TF-Price</stp>
        <tr r="Q6" s="22"/>
      </tp>
      <tp t="s">
        <v>--</v>
        <stp/>
        <stp>TXON01C13200.TF-Price</stp>
        <tr r="Q8" s="10"/>
      </tp>
      <tp t="s">
        <v>--</v>
        <stp/>
        <stp>TXON02C13100.TF-Price</stp>
        <tr r="Q7" s="22"/>
      </tp>
      <tp t="s">
        <v>--</v>
        <stp/>
        <stp>TXON03C13000.TF-Price</stp>
        <tr r="Q12" s="23"/>
      </tp>
      <tp>
        <v>401</v>
        <stp/>
        <stp>TXON01C13900.TF-Price</stp>
        <tr r="Q15" s="10"/>
      </tp>
      <tp>
        <v>484</v>
        <stp/>
        <stp>TXON01C13800.TF-Price</stp>
        <tr r="Q14" s="10"/>
      </tp>
      <tp t="s">
        <v>--</v>
        <stp/>
        <stp>TXON02C13800.TF-Price</stp>
        <tr r="Q14" s="22"/>
      </tp>
      <tp t="s">
        <v>--</v>
        <stp/>
        <stp>TXON02C13900.TF-Price</stp>
        <tr r="Q15" s="22"/>
      </tp>
      <tp t="s">
        <v>--</v>
        <stp/>
        <stp>TXON03C13800.TF-Price</stp>
        <tr r="Q16" s="23"/>
      </tp>
      <tp>
        <v>0.9</v>
        <stp/>
        <stp>TX4N12C14650.TF-Price</stp>
        <tr r="S26" s="16"/>
      </tp>
      <tp t="s">
        <v>#N/A</v>
        <stp/>
        <stp>TX4N12C14750.TF-Price</stp>
        <tr r="S28" s="16"/>
      </tp>
      <tp>
        <v>9.8000000000000007</v>
        <stp/>
        <stp>TX4N12C14450.TF-Price</stp>
        <tr r="S22" s="16"/>
      </tp>
      <tp>
        <v>3.2</v>
        <stp/>
        <stp>TX4N12C14550.TF-Price</stp>
        <tr r="S24" s="16"/>
      </tp>
      <tp>
        <v>71</v>
        <stp/>
        <stp>TX4N12C14250.TF-Price</stp>
        <tr r="S18" s="16"/>
      </tp>
      <tp>
        <v>30.5</v>
        <stp/>
        <stp>TX4N12C14350.TF-Price</stp>
        <tr r="S20" s="16"/>
      </tp>
      <tp>
        <v>214</v>
        <stp/>
        <stp>TX4N12C14050.TF-Price</stp>
        <tr r="S14" s="16"/>
      </tp>
      <tp>
        <v>137</v>
        <stp/>
        <stp>TX4N12C14150.TF-Price</stp>
        <tr r="S16" s="16"/>
      </tp>
      <tp t="s">
        <v>--</v>
        <stp/>
        <stp>TX4N12C13650.TF-Price</stp>
        <tr r="S6" s="16"/>
      </tp>
      <tp>
        <v>495</v>
        <stp/>
        <stp>TX4N12C13750.TF-Price</stp>
        <tr r="S8" s="16"/>
      </tp>
      <tp t="s">
        <v>#N/A</v>
        <stp/>
        <stp>TX4N12C13550.TF-Price</stp>
        <tr r="S4" s="16"/>
      </tp>
      <tp t="s">
        <v>--</v>
        <stp/>
        <stp>TX4N12C13850.TF-Price</stp>
        <tr r="S10" s="16"/>
      </tp>
      <tp>
        <v>305</v>
        <stp/>
        <stp>TX4N12C13950.TF-Price</stp>
        <tr r="S12" s="16"/>
      </tp>
      <tp>
        <v>1.7</v>
        <stp/>
        <stp>TX4N12C14600.TF-Price</stp>
        <tr r="S25" s="16"/>
      </tp>
      <tp>
        <v>0.7</v>
        <stp/>
        <stp>TX4N12C14700.TF-Price</stp>
        <tr r="S27" s="16"/>
      </tp>
      <tp>
        <v>18</v>
        <stp/>
        <stp>TX4N12C14400.TF-Price</stp>
        <tr r="S21" s="16"/>
      </tp>
      <tp>
        <v>5.4</v>
        <stp/>
        <stp>TX4N12C14500.TF-Price</stp>
        <tr r="S23" s="16"/>
      </tp>
      <tp>
        <v>100</v>
        <stp/>
        <stp>TX4N12C14200.TF-Price</stp>
        <tr r="S17" s="16"/>
      </tp>
      <tp>
        <v>48</v>
        <stp/>
        <stp>TX4N12C14300.TF-Price</stp>
        <tr r="S19" s="16"/>
      </tp>
      <tp>
        <v>262</v>
        <stp/>
        <stp>TX4N12C14000.TF-Price</stp>
        <tr r="S13" s="16"/>
      </tp>
      <tp>
        <v>170</v>
        <stp/>
        <stp>TX4N12C14100.TF-Price</stp>
        <tr r="S15" s="16"/>
      </tp>
      <tp>
        <v>0.3</v>
        <stp/>
        <stp>TX4N12C14800.TF-Price</stp>
        <tr r="S29" s="16"/>
      </tp>
      <tp t="s">
        <v>--</v>
        <stp/>
        <stp>TX4N12C13600.TF-Price</stp>
        <tr r="S5" s="16"/>
      </tp>
      <tp>
        <v>555</v>
        <stp/>
        <stp>TX4N12C13700.TF-Price</stp>
        <tr r="S7" s="16"/>
      </tp>
      <tp>
        <v>440</v>
        <stp/>
        <stp>TX4N12C13800.TF-Price</stp>
        <tr r="S9" s="16"/>
      </tp>
      <tp t="s">
        <v>--</v>
        <stp/>
        <stp>TX4N12C13900.TF-Price</stp>
        <tr r="S11" s="16"/>
      </tp>
      <tp>
        <v>264</v>
        <stp/>
        <stp>TXON02P13900.TF-Bid</stp>
        <tr r="U15" s="22"/>
      </tp>
      <tp>
        <v>341</v>
        <stp/>
        <stp>TXON03P13800.TF-Bid</stp>
        <tr r="U16" s="23"/>
      </tp>
      <tp>
        <v>438</v>
        <stp/>
        <stp>TXON02C13900.TF-Bid</stp>
        <tr r="L15" s="22"/>
      </tp>
      <tp>
        <v>540</v>
        <stp/>
        <stp>TXON03C13800.TF-Bid</stp>
        <tr r="L16" s="23"/>
      </tp>
      <tp>
        <v>228</v>
        <stp/>
        <stp>TXON02P13800.TF-Bid</stp>
        <tr r="U14" s="22"/>
      </tp>
      <tp>
        <v>500</v>
        <stp/>
        <stp>TXON02C13800.TF-Bid</stp>
        <tr r="L14" s="22"/>
      </tp>
      <tp>
        <v>128</v>
        <stp/>
        <stp>TXON01P13800.TF-Bid</stp>
        <tr r="U14" s="10"/>
      </tp>
      <tp>
        <v>474</v>
        <stp/>
        <stp>TXON01C13800.TF-Bid</stp>
        <tr r="L14" s="10"/>
      </tp>
      <tp>
        <v>156</v>
        <stp/>
        <stp>TXON01P13900.TF-Bid</stp>
        <tr r="U15" s="10"/>
      </tp>
      <tp>
        <v>402</v>
        <stp/>
        <stp>TXON01C13900.TF-Bid</stp>
        <tr r="L15" s="10"/>
      </tp>
      <tp>
        <v>87</v>
        <stp/>
        <stp>TXON01P13600.TF-Bid</stp>
        <tr r="U12" s="10"/>
      </tp>
      <tp>
        <v>145</v>
        <stp/>
        <stp>TXON02P13500.TF-Bid</stp>
        <tr r="U11" s="22"/>
      </tp>
      <tp>
        <v>217</v>
        <stp/>
        <stp>TXON03P13400.TF-Bid</stp>
        <tr r="U14" s="23"/>
      </tp>
      <tp>
        <v>630</v>
        <stp/>
        <stp>TXON01C13600.TF-Bid</stp>
        <tr r="L12" s="10"/>
      </tp>
      <tp>
        <v>720</v>
        <stp/>
        <stp>TXON02C13500.TF-Bid</stp>
        <tr r="L11" s="22"/>
      </tp>
      <tp>
        <v>810</v>
        <stp/>
        <stp>TXON03C13400.TF-Bid</stp>
        <tr r="L14" s="23"/>
      </tp>
      <tp>
        <v>105</v>
        <stp/>
        <stp>TXON01P13700.TF-Bid</stp>
        <tr r="U13" s="10"/>
      </tp>
      <tp>
        <v>126</v>
        <stp/>
        <stp>TXON02P13400.TF-Bid</stp>
        <tr r="U10" s="22"/>
      </tp>
      <tp>
        <v>550</v>
        <stp/>
        <stp>TXON01C13700.TF-Bid</stp>
        <tr r="L13" s="10"/>
      </tp>
      <tp>
        <v>800</v>
        <stp/>
        <stp>TXON02C13400.TF-Bid</stp>
        <tr r="L10" s="22"/>
      </tp>
      <tp>
        <v>59</v>
        <stp/>
        <stp>TXON01P13400.TF-Bid</stp>
        <tr r="U10" s="10"/>
      </tp>
      <tp>
        <v>198</v>
        <stp/>
        <stp>TXON02P13700.TF-Bid</stp>
        <tr r="U13" s="22"/>
      </tp>
      <tp>
        <v>272</v>
        <stp/>
        <stp>TXON03P13600.TF-Bid</stp>
        <tr r="U15" s="23"/>
      </tp>
      <tp>
        <v>800</v>
        <stp/>
        <stp>TXON01C13400.TF-Bid</stp>
        <tr r="L10" s="10"/>
      </tp>
      <tp>
        <v>570</v>
        <stp/>
        <stp>TXON02C13700.TF-Bid</stp>
        <tr r="L13" s="22"/>
      </tp>
      <tp>
        <v>675</v>
        <stp/>
        <stp>TXON03C13600.TF-Bid</stp>
        <tr r="L15" s="23"/>
      </tp>
      <tp>
        <v>72</v>
        <stp/>
        <stp>TXON01P13500.TF-Bid</stp>
        <tr r="U11" s="10"/>
      </tp>
      <tp>
        <v>172</v>
        <stp/>
        <stp>TXON02P13600.TF-Bid</stp>
        <tr r="U12" s="22"/>
      </tp>
      <tp>
        <v>715</v>
        <stp/>
        <stp>TXON01C13500.TF-Bid</stp>
        <tr r="L11" s="10"/>
      </tp>
      <tp>
        <v>645</v>
        <stp/>
        <stp>TXON02C13600.TF-Bid</stp>
        <tr r="L12" s="22"/>
      </tp>
      <tp>
        <v>42.5</v>
        <stp/>
        <stp>TXON01P13200.TF-Bid</stp>
        <tr r="U8" s="10"/>
      </tp>
      <tp>
        <v>84</v>
        <stp/>
        <stp>TXON02P13100.TF-Bid</stp>
        <tr r="U7" s="22"/>
      </tp>
      <tp>
        <v>143</v>
        <stp/>
        <stp>TXON03P13000.TF-Bid</stp>
        <tr r="U12" s="23"/>
      </tp>
      <tp>
        <v>985</v>
        <stp/>
        <stp>TXON01C13200.TF-Bid</stp>
        <tr r="L8" s="10"/>
      </tp>
      <tp>
        <v>1050</v>
        <stp/>
        <stp>TXON02C13100.TF-Bid</stp>
        <tr r="L7" s="22"/>
      </tp>
      <tp>
        <v>1080</v>
        <stp/>
        <stp>TXON03C13000.TF-Bid</stp>
        <tr r="L12" s="23"/>
      </tp>
      <tp>
        <v>50</v>
        <stp/>
        <stp>TXON01P13300.TF-Bid</stp>
        <tr r="U9" s="10"/>
      </tp>
      <tp>
        <v>73</v>
        <stp/>
        <stp>TXON02P13000.TF-Bid</stp>
        <tr r="U6" s="22"/>
      </tp>
      <tp>
        <v>890</v>
        <stp/>
        <stp>TXON01C13300.TF-Bid</stp>
        <tr r="L9" s="10"/>
      </tp>
      <tp>
        <v>1050</v>
        <stp/>
        <stp>TXON02C13000.TF-Bid</stp>
        <tr r="L6" s="22"/>
      </tp>
      <tp>
        <v>31.5</v>
        <stp/>
        <stp>TXON01P13000.TF-Bid</stp>
        <tr r="U6" s="10"/>
      </tp>
      <tp>
        <v>111</v>
        <stp/>
        <stp>TXON02P13300.TF-Bid</stp>
        <tr r="U9" s="22"/>
      </tp>
      <tp>
        <v>173</v>
        <stp/>
        <stp>TXON03P13200.TF-Bid</stp>
        <tr r="U13" s="23"/>
      </tp>
      <tp>
        <v>1170</v>
        <stp/>
        <stp>TXON01C13000.TF-Bid</stp>
        <tr r="L6" s="10"/>
      </tp>
      <tp>
        <v>890</v>
        <stp/>
        <stp>TXON02C13300.TF-Bid</stp>
        <tr r="L9" s="22"/>
      </tp>
      <tp>
        <v>970</v>
        <stp/>
        <stp>TXON03C13200.TF-Bid</stp>
        <tr r="L13" s="23"/>
      </tp>
      <tp>
        <v>36</v>
        <stp/>
        <stp>TXON01P13100.TF-Bid</stp>
        <tr r="U7" s="10"/>
      </tp>
      <tp>
        <v>97</v>
        <stp/>
        <stp>TXON02P13200.TF-Bid</stp>
        <tr r="U8" s="22"/>
      </tp>
      <tp>
        <v>1070</v>
        <stp/>
        <stp>TXON01C13100.TF-Bid</stp>
        <tr r="L7" s="10"/>
      </tp>
      <tp>
        <v>970</v>
        <stp/>
        <stp>TXON02C13200.TF-Bid</stp>
        <tr r="L8" s="22"/>
      </tp>
      <tp>
        <v>47.5</v>
        <stp/>
        <stp>TXON03P11600.TF-Ask</stp>
        <tr r="W5" s="23"/>
      </tp>
      <tp>
        <v>2540</v>
        <stp/>
        <stp>TXON03C11600.TF-Ask</stp>
        <tr r="N5" s="23"/>
      </tp>
      <tp>
        <v>42.5</v>
        <stp/>
        <stp>TXON03P11400.TF-Ask</stp>
        <tr r="W4" s="23"/>
      </tp>
      <tp>
        <v>2740</v>
        <stp/>
        <stp>TXON03C11400.TF-Ask</stp>
        <tr r="N4" s="23"/>
      </tp>
      <tp>
        <v>55</v>
        <stp/>
        <stp>TXON03P11800.TF-Ask</stp>
        <tr r="W6" s="23"/>
      </tp>
      <tp>
        <v>2280</v>
        <stp/>
        <stp>TXON03C11800.TF-Ask</stp>
        <tr r="N6" s="23"/>
      </tp>
      <tp>
        <v>64</v>
        <stp/>
        <stp>TXON02P12900.TF-Bid</stp>
        <tr r="U5" s="22"/>
      </tp>
      <tp>
        <v>110</v>
        <stp/>
        <stp>TXON03P12800.TF-Bid</stp>
        <tr r="U11" s="23"/>
      </tp>
      <tp>
        <v>1140</v>
        <stp/>
        <stp>TXON02C12900.TF-Bid</stp>
        <tr r="L5" s="22"/>
      </tp>
      <tp>
        <v>1300</v>
        <stp/>
        <stp>TXON03C12800.TF-Bid</stp>
        <tr r="L11" s="23"/>
      </tp>
      <tp>
        <v>344</v>
        <stp/>
        <stp>TX4N12C13900.TF-Bid</stp>
        <tr r="N11" s="16"/>
      </tp>
      <tp>
        <v>299</v>
        <stp/>
        <stp>TX4N12C13950.TF-Bid</stp>
        <tr r="N12" s="16"/>
      </tp>
      <tp>
        <v>5.5</v>
        <stp/>
        <stp>TX4N12P13900.TF-Bid</stp>
        <tr r="W11" s="16"/>
      </tp>
      <tp>
        <v>8.3000000000000007</v>
        <stp/>
        <stp>TX4N12P13950.TF-Bid</stp>
        <tr r="W12" s="16"/>
      </tp>
      <tp>
        <v>56</v>
        <stp/>
        <stp>TXON02P12800.TF-Bid</stp>
        <tr r="U4" s="22"/>
      </tp>
      <tp>
        <v>1240</v>
        <stp/>
        <stp>TXON02C12800.TF-Bid</stp>
        <tr r="L4" s="22"/>
      </tp>
      <tp>
        <v>440</v>
        <stp/>
        <stp>TX4N12C13800.TF-Bid</stp>
        <tr r="N9" s="16"/>
      </tp>
      <tp>
        <v>392</v>
        <stp/>
        <stp>TX4N12C13850.TF-Bid</stp>
        <tr r="N10" s="16"/>
      </tp>
      <tp>
        <v>2.7</v>
        <stp/>
        <stp>TX4N12P13800.TF-Bid</stp>
        <tr r="W9" s="16"/>
      </tp>
      <tp>
        <v>3.6</v>
        <stp/>
        <stp>TX4N12P13850.TF-Bid</stp>
        <tr r="W10" s="16"/>
      </tp>
      <tp>
        <v>24</v>
        <stp/>
        <stp>TXON01P12800.TF-Bid</stp>
        <tr r="U4" s="10"/>
      </tp>
      <tp>
        <v>1360</v>
        <stp/>
        <stp>TXON01C12800.TF-Bid</stp>
        <tr r="L4" s="10"/>
      </tp>
      <tp>
        <v>27</v>
        <stp/>
        <stp>TXON01P12900.TF-Bid</stp>
        <tr r="U5" s="10"/>
      </tp>
      <tp>
        <v>1260</v>
        <stp/>
        <stp>TXON01C12900.TF-Bid</stp>
        <tr r="L5" s="10"/>
      </tp>
      <tp>
        <v>75</v>
        <stp/>
        <stp>TXON03P12400.TF-Bid</stp>
        <tr r="U9" s="23"/>
      </tp>
      <tp>
        <v>1650</v>
        <stp/>
        <stp>TXON03C12400.TF-Bid</stp>
        <tr r="L9" s="23"/>
      </tp>
      <tp t="s">
        <v>#N/A</v>
        <stp/>
        <stp>TX4N12C13550.TF-Bid</stp>
        <tr r="N4" s="16"/>
      </tp>
      <tp t="s">
        <v>#N/A</v>
        <stp/>
        <stp>TX4N12P13550.TF-Bid</stp>
        <tr r="W4" s="16"/>
      </tp>
      <tp>
        <v>93</v>
        <stp/>
        <stp>TXON03P12600.TF-Bid</stp>
        <tr r="U10" s="23"/>
      </tp>
      <tp>
        <v>1480</v>
        <stp/>
        <stp>TXON03C12600.TF-Bid</stp>
        <tr r="L10" s="23"/>
      </tp>
      <tp>
        <v>540</v>
        <stp/>
        <stp>TX4N12C13700.TF-Bid</stp>
        <tr r="N7" s="16"/>
      </tp>
      <tp>
        <v>490</v>
        <stp/>
        <stp>TX4N12C13750.TF-Bid</stp>
        <tr r="N8" s="16"/>
      </tp>
      <tp>
        <v>1.6</v>
        <stp/>
        <stp>TX4N12P13700.TF-Bid</stp>
        <tr r="W7" s="16"/>
      </tp>
      <tp>
        <v>2</v>
        <stp/>
        <stp>TX4N12P13750.TF-Bid</stp>
        <tr r="W8" s="16"/>
      </tp>
      <tp>
        <v>640</v>
        <stp/>
        <stp>TX4N12C13600.TF-Bid</stp>
        <tr r="N5" s="16"/>
      </tp>
      <tp>
        <v>590</v>
        <stp/>
        <stp>TX4N12C13650.TF-Bid</stp>
        <tr r="N6" s="16"/>
      </tp>
      <tp>
        <v>1.1000000000000001</v>
        <stp/>
        <stp>TX4N12P13600.TF-Bid</stp>
        <tr r="W5" s="16"/>
      </tp>
      <tp>
        <v>1.3</v>
        <stp/>
        <stp>TX4N12P13650.TF-Bid</stp>
        <tr r="W6" s="16"/>
      </tp>
      <tp>
        <v>57</v>
        <stp/>
        <stp>TXON03P12000.TF-Bid</stp>
        <tr r="U7" s="23"/>
      </tp>
      <tp>
        <v>2020</v>
        <stp/>
        <stp>TXON03C12000.TF-Bid</stp>
        <tr r="L7" s="23"/>
      </tp>
      <tp>
        <v>62</v>
        <stp/>
        <stp>TXON03P12200.TF-Bid</stp>
        <tr r="U8" s="23"/>
      </tp>
      <tp>
        <v>1840</v>
        <stp/>
        <stp>TXON03C12200.TF-Bid</stp>
        <tr r="L8" s="23"/>
      </tp>
      <tp>
        <v>105</v>
        <stp/>
        <stp>TXON03P12600.TF-Ask</stp>
        <tr r="W10" s="23"/>
      </tp>
      <tp>
        <v>1520</v>
        <stp/>
        <stp>TXON03C12600.TF-Ask</stp>
        <tr r="N10" s="23"/>
      </tp>
      <tp>
        <v>500</v>
        <stp/>
        <stp>TX4N12C13750.TF-Ask</stp>
        <tr r="P8" s="16"/>
      </tp>
      <tp>
        <v>550</v>
        <stp/>
        <stp>TX4N12C13700.TF-Ask</stp>
        <tr r="P7" s="16"/>
      </tp>
      <tp>
        <v>2.2000000000000002</v>
        <stp/>
        <stp>TX4N12P13750.TF-Ask</stp>
        <tr r="Y8" s="16"/>
      </tp>
      <tp>
        <v>1.7</v>
        <stp/>
        <stp>TX4N12P13700.TF-Ask</stp>
        <tr r="Y7" s="16"/>
      </tp>
      <tp>
        <v>600</v>
        <stp/>
        <stp>TX4N12C13650.TF-Ask</stp>
        <tr r="P6" s="16"/>
      </tp>
      <tp>
        <v>650</v>
        <stp/>
        <stp>TX4N12C13600.TF-Ask</stp>
        <tr r="P5" s="16"/>
      </tp>
      <tp>
        <v>1.5</v>
        <stp/>
        <stp>TX4N12P13650.TF-Ask</stp>
        <tr r="Y6" s="16"/>
      </tp>
      <tp>
        <v>1.2</v>
        <stp/>
        <stp>TX4N12P13600.TF-Ask</stp>
        <tr r="Y5" s="16"/>
      </tp>
      <tp>
        <v>87</v>
        <stp/>
        <stp>TXON03P12400.TF-Ask</stp>
        <tr r="W9" s="23"/>
      </tp>
      <tp>
        <v>1700</v>
        <stp/>
        <stp>TXON03C12400.TF-Ask</stp>
        <tr r="N9" s="23"/>
      </tp>
      <tp t="s">
        <v>#N/A</v>
        <stp/>
        <stp>TX4N12C13550.TF-Ask</stp>
        <tr r="P4" s="16"/>
      </tp>
      <tp t="s">
        <v>#N/A</v>
        <stp/>
        <stp>TX4N12P13550.TF-Ask</stp>
        <tr r="Y4" s="16"/>
      </tp>
      <tp>
        <v>74</v>
        <stp/>
        <stp>TXON03P12200.TF-Ask</stp>
        <tr r="W8" s="23"/>
      </tp>
      <tp>
        <v>1890</v>
        <stp/>
        <stp>TXON03C12200.TF-Ask</stp>
        <tr r="N8" s="23"/>
      </tp>
      <tp>
        <v>65</v>
        <stp/>
        <stp>TXON03P12000.TF-Ask</stp>
        <tr r="W7" s="23"/>
      </tp>
      <tp>
        <v>2080</v>
        <stp/>
        <stp>TXON03C12000.TF-Ask</stp>
        <tr r="N7" s="23"/>
      </tp>
      <tp>
        <v>24.5</v>
        <stp/>
        <stp>TXON01P12800.TF-Ask</stp>
        <tr r="W4" s="10"/>
      </tp>
      <tp>
        <v>1380</v>
        <stp/>
        <stp>TXON01C12800.TF-Ask</stp>
        <tr r="N4" s="10"/>
      </tp>
      <tp>
        <v>28</v>
        <stp/>
        <stp>TXON01P12900.TF-Ask</stp>
        <tr r="W5" s="10"/>
      </tp>
      <tp>
        <v>1290</v>
        <stp/>
        <stp>TXON01C12900.TF-Ask</stp>
        <tr r="N5" s="10"/>
      </tp>
      <tp>
        <v>72</v>
        <stp/>
        <stp>TXON02P12900.TF-Ask</stp>
        <tr r="W5" s="22"/>
      </tp>
      <tp>
        <v>125</v>
        <stp/>
        <stp>TXON03P12800.TF-Ask</stp>
        <tr r="W11" s="23"/>
      </tp>
      <tp>
        <v>1340</v>
        <stp/>
        <stp>TXON02C12900.TF-Ask</stp>
        <tr r="N5" s="22"/>
      </tp>
      <tp>
        <v>1330</v>
        <stp/>
        <stp>TXON03C12800.TF-Ask</stp>
        <tr r="N11" s="23"/>
      </tp>
      <tp>
        <v>305</v>
        <stp/>
        <stp>TX4N12C13950.TF-Ask</stp>
        <tr r="P12" s="16"/>
      </tp>
      <tp>
        <v>353</v>
        <stp/>
        <stp>TX4N12C13900.TF-Ask</stp>
        <tr r="P11" s="16"/>
      </tp>
      <tp>
        <v>8.6</v>
        <stp/>
        <stp>TX4N12P13950.TF-Ask</stp>
        <tr r="Y12" s="16"/>
      </tp>
      <tp>
        <v>5.8</v>
        <stp/>
        <stp>TX4N12P13900.TF-Ask</stp>
        <tr r="Y11" s="16"/>
      </tp>
      <tp>
        <v>63</v>
        <stp/>
        <stp>TXON02P12800.TF-Ask</stp>
        <tr r="W4" s="22"/>
      </tp>
      <tp>
        <v>1440</v>
        <stp/>
        <stp>TXON02C12800.TF-Ask</stp>
        <tr r="N4" s="22"/>
      </tp>
      <tp>
        <v>401</v>
        <stp/>
        <stp>TX4N12C13850.TF-Ask</stp>
        <tr r="P10" s="16"/>
      </tp>
      <tp>
        <v>450</v>
        <stp/>
        <stp>TX4N12C13800.TF-Ask</stp>
        <tr r="P9" s="16"/>
      </tp>
      <tp>
        <v>3.9</v>
        <stp/>
        <stp>TX4N12P13850.TF-Ask</stp>
        <tr r="Y10" s="16"/>
      </tp>
      <tp>
        <v>2.8</v>
        <stp/>
        <stp>TX4N12P13800.TF-Ask</stp>
        <tr r="Y9" s="16"/>
      </tp>
      <tp>
        <v>47.5</v>
        <stp/>
        <stp>TXON03P11800.TF-Bid</stp>
        <tr r="U6" s="23"/>
      </tp>
      <tp>
        <v>2210</v>
        <stp/>
        <stp>TXON03C11800.TF-Bid</stp>
        <tr r="L6" s="23"/>
      </tp>
      <tp>
        <v>34.5</v>
        <stp/>
        <stp>TXON03P11400.TF-Bid</stp>
        <tr r="U4" s="23"/>
      </tp>
      <tp>
        <v>2540</v>
        <stp/>
        <stp>TXON03C11400.TF-Bid</stp>
        <tr r="L4" s="23"/>
      </tp>
      <tp>
        <v>39.5</v>
        <stp/>
        <stp>TXON03P11600.TF-Bid</stp>
        <tr r="U5" s="23"/>
      </tp>
      <tp>
        <v>2340</v>
        <stp/>
        <stp>TXON03C11600.TF-Bid</stp>
        <tr r="L5" s="23"/>
      </tp>
      <tp>
        <v>61</v>
        <stp/>
        <stp>TXON01P13400.TF-Ask</stp>
        <tr r="W10" s="10"/>
      </tp>
      <tp>
        <v>203</v>
        <stp/>
        <stp>TXON02P13700.TF-Ask</stp>
        <tr r="W13" s="22"/>
      </tp>
      <tp>
        <v>287</v>
        <stp/>
        <stp>TXON03P13600.TF-Ask</stp>
        <tr r="W15" s="23"/>
      </tp>
      <tp>
        <v>810</v>
        <stp/>
        <stp>TXON01C13400.TF-Ask</stp>
        <tr r="N10" s="10"/>
      </tp>
      <tp>
        <v>585</v>
        <stp/>
        <stp>TXON02C13700.TF-Ask</stp>
        <tr r="N13" s="22"/>
      </tp>
      <tp>
        <v>690</v>
        <stp/>
        <stp>TXON03C13600.TF-Ask</stp>
        <tr r="N15" s="23"/>
      </tp>
      <tp>
        <v>73</v>
        <stp/>
        <stp>TXON01P13500.TF-Ask</stp>
        <tr r="W11" s="10"/>
      </tp>
      <tp>
        <v>176</v>
        <stp/>
        <stp>TXON02P13600.TF-Ask</stp>
        <tr r="W12" s="22"/>
      </tp>
      <tp>
        <v>725</v>
        <stp/>
        <stp>TXON01C13500.TF-Ask</stp>
        <tr r="N11" s="10"/>
      </tp>
      <tp>
        <v>660</v>
        <stp/>
        <stp>TXON02C13600.TF-Ask</stp>
        <tr r="N12" s="22"/>
      </tp>
      <tp>
        <v>89</v>
        <stp/>
        <stp>TXON01P13600.TF-Ask</stp>
        <tr r="W12" s="10"/>
      </tp>
      <tp>
        <v>155</v>
        <stp/>
        <stp>TXON02P13500.TF-Ask</stp>
        <tr r="W11" s="22"/>
      </tp>
      <tp>
        <v>231</v>
        <stp/>
        <stp>TXON03P13400.TF-Ask</stp>
        <tr r="W14" s="23"/>
      </tp>
      <tp>
        <v>640</v>
        <stp/>
        <stp>TXON01C13600.TF-Ask</stp>
        <tr r="N12" s="10"/>
      </tp>
      <tp>
        <v>735</v>
        <stp/>
        <stp>TXON02C13500.TF-Ask</stp>
        <tr r="N11" s="22"/>
      </tp>
      <tp>
        <v>835</v>
        <stp/>
        <stp>TXON03C13400.TF-Ask</stp>
        <tr r="N14" s="23"/>
      </tp>
      <tp>
        <v>107</v>
        <stp/>
        <stp>TXON01P13700.TF-Ask</stp>
        <tr r="W13" s="10"/>
      </tp>
      <tp>
        <v>136</v>
        <stp/>
        <stp>TXON02P13400.TF-Ask</stp>
        <tr r="W10" s="22"/>
      </tp>
      <tp>
        <v>555</v>
        <stp/>
        <stp>TXON01C13700.TF-Ask</stp>
        <tr r="N13" s="10"/>
      </tp>
      <tp>
        <v>815</v>
        <stp/>
        <stp>TXON02C13400.TF-Ask</stp>
        <tr r="N10" s="22"/>
      </tp>
      <tp>
        <v>32</v>
        <stp/>
        <stp>TXON01P13000.TF-Ask</stp>
        <tr r="W6" s="10"/>
      </tp>
      <tp>
        <v>119</v>
        <stp/>
        <stp>TXON02P13300.TF-Ask</stp>
        <tr r="W9" s="22"/>
      </tp>
      <tp>
        <v>187</v>
        <stp/>
        <stp>TXON03P13200.TF-Ask</stp>
        <tr r="W13" s="23"/>
      </tp>
      <tp>
        <v>1190</v>
        <stp/>
        <stp>TXON01C13000.TF-Ask</stp>
        <tr r="N6" s="10"/>
      </tp>
      <tp>
        <v>900</v>
        <stp/>
        <stp>TXON02C13300.TF-Ask</stp>
        <tr r="N9" s="22"/>
      </tp>
      <tp>
        <v>995</v>
        <stp/>
        <stp>TXON03C13200.TF-Ask</stp>
        <tr r="N13" s="23"/>
      </tp>
      <tp>
        <v>37</v>
        <stp/>
        <stp>TXON01P13100.TF-Ask</stp>
        <tr r="W7" s="10"/>
      </tp>
      <tp>
        <v>105</v>
        <stp/>
        <stp>TXON02P13200.TF-Ask</stp>
        <tr r="W8" s="22"/>
      </tp>
      <tp>
        <v>1090</v>
        <stp/>
        <stp>TXON01C13100.TF-Ask</stp>
        <tr r="N7" s="10"/>
      </tp>
      <tp>
        <v>985</v>
        <stp/>
        <stp>TXON02C13200.TF-Ask</stp>
        <tr r="N8" s="22"/>
      </tp>
      <tp>
        <v>43.5</v>
        <stp/>
        <stp>TXON01P13200.TF-Ask</stp>
        <tr r="W8" s="10"/>
      </tp>
      <tp>
        <v>92</v>
        <stp/>
        <stp>TXON02P13100.TF-Ask</stp>
        <tr r="W7" s="22"/>
      </tp>
      <tp>
        <v>152</v>
        <stp/>
        <stp>TXON03P13000.TF-Ask</stp>
        <tr r="W12" s="23"/>
      </tp>
      <tp>
        <v>995</v>
        <stp/>
        <stp>TXON01C13200.TF-Ask</stp>
        <tr r="N8" s="10"/>
      </tp>
      <tp>
        <v>1070</v>
        <stp/>
        <stp>TXON02C13100.TF-Ask</stp>
        <tr r="N7" s="22"/>
      </tp>
      <tp>
        <v>1200</v>
        <stp/>
        <stp>TXON03C13000.TF-Ask</stp>
        <tr r="N12" s="23"/>
      </tp>
      <tp>
        <v>51</v>
        <stp/>
        <stp>TXON01P13300.TF-Ask</stp>
        <tr r="W9" s="10"/>
      </tp>
      <tp>
        <v>81</v>
        <stp/>
        <stp>TXON02P13000.TF-Ask</stp>
        <tr r="W6" s="22"/>
      </tp>
      <tp>
        <v>905</v>
        <stp/>
        <stp>TXON01C13300.TF-Ask</stp>
        <tr r="N9" s="10"/>
      </tp>
      <tp>
        <v>1250</v>
        <stp/>
        <stp>TXON02C13000.TF-Ask</stp>
        <tr r="N6" s="22"/>
      </tp>
      <tp>
        <v>130</v>
        <stp/>
        <stp>TXON01P13800.TF-Ask</stp>
        <tr r="W14" s="10"/>
      </tp>
      <tp>
        <v>477</v>
        <stp/>
        <stp>TXON01C13800.TF-Ask</stp>
        <tr r="N14" s="10"/>
      </tp>
      <tp>
        <v>157</v>
        <stp/>
        <stp>TXON01P13900.TF-Ask</stp>
        <tr r="W15" s="10"/>
      </tp>
      <tp>
        <v>405</v>
        <stp/>
        <stp>TXON01C13900.TF-Ask</stp>
        <tr r="N15" s="10"/>
      </tp>
      <tp>
        <v>269</v>
        <stp/>
        <stp>TXON02P13900.TF-Ask</stp>
        <tr r="W15" s="22"/>
      </tp>
      <tp>
        <v>352</v>
        <stp/>
        <stp>TXON03P13800.TF-Ask</stp>
        <tr r="W16" s="23"/>
      </tp>
      <tp>
        <v>450</v>
        <stp/>
        <stp>TXON02C13900.TF-Ask</stp>
        <tr r="N15" s="22"/>
      </tp>
      <tp>
        <v>555</v>
        <stp/>
        <stp>TXON03C13800.TF-Ask</stp>
        <tr r="N16" s="23"/>
      </tp>
      <tp>
        <v>234</v>
        <stp/>
        <stp>TXON02P13800.TF-Ask</stp>
        <tr r="W14" s="22"/>
      </tp>
      <tp>
        <v>515</v>
        <stp/>
        <stp>TXON02C13800.TF-Ask</stp>
        <tr r="N14" s="22"/>
      </tp>
      <tp t="s">
        <v>#N/A</v>
        <stp/>
        <stp>FIMX1N09.TF-PreClose</stp>
        <tr r="B2" s="16"/>
      </tp>
      <tp>
        <v>391</v>
        <stp/>
        <stp>TXON01P14400.TF-Ask</stp>
        <tr r="W20" s="10"/>
      </tp>
      <tp>
        <v>740</v>
        <stp/>
        <stp>TXON02P14700.TF-Ask</stp>
        <tr r="W23" s="22"/>
      </tp>
      <tp>
        <v>875</v>
        <stp/>
        <stp>TXON03P14600.TF-Ask</stp>
        <tr r="W20" s="23"/>
      </tp>
      <tp>
        <v>138</v>
        <stp/>
        <stp>TXON01C14400.TF-Ask</stp>
        <tr r="N20" s="10"/>
      </tp>
      <tp>
        <v>110</v>
        <stp/>
        <stp>TXON02C14700.TF-Ask</stp>
        <tr r="N23" s="22"/>
      </tp>
      <tp>
        <v>189</v>
        <stp/>
        <stp>TXON03C14600.TF-Ask</stp>
        <tr r="N20" s="23"/>
      </tp>
      <tp>
        <v>458</v>
        <stp/>
        <stp>TXON01P14500.TF-Ask</stp>
        <tr r="W21" s="10"/>
      </tp>
      <tp>
        <v>660</v>
        <stp/>
        <stp>TXON02P14600.TF-Ask</stp>
        <tr r="W22" s="22"/>
      </tp>
      <tp>
        <v>105</v>
        <stp/>
        <stp>TXON01C14500.TF-Ask</stp>
        <tr r="N21" s="10"/>
      </tp>
      <tp>
        <v>135</v>
        <stp/>
        <stp>TXON02C14600.TF-Ask</stp>
        <tr r="N22" s="22"/>
      </tp>
      <tp>
        <v>535</v>
        <stp/>
        <stp>TXON01P14600.TF-Ask</stp>
        <tr r="W22" s="10"/>
      </tp>
      <tp>
        <v>590</v>
        <stp/>
        <stp>TXON02P14500.TF-Ask</stp>
        <tr r="W21" s="22"/>
      </tp>
      <tp>
        <v>655</v>
        <stp/>
        <stp>TXON03P14400.TF-Ask</stp>
        <tr r="W19" s="23"/>
      </tp>
      <tp>
        <v>78</v>
        <stp/>
        <stp>TXON01C14600.TF-Ask</stp>
        <tr r="N22" s="10"/>
      </tp>
      <tp>
        <v>162</v>
        <stp/>
        <stp>TXON02C14500.TF-Ask</stp>
        <tr r="N21" s="22"/>
      </tp>
      <tp>
        <v>256</v>
        <stp/>
        <stp>TXON03C14400.TF-Ask</stp>
        <tr r="N19" s="23"/>
      </tp>
      <tp>
        <v>615</v>
        <stp/>
        <stp>TXON01P14700.TF-Ask</stp>
        <tr r="W23" s="10"/>
      </tp>
      <tp>
        <v>525</v>
        <stp/>
        <stp>TXON02P14400.TF-Ask</stp>
        <tr r="W20" s="22"/>
      </tp>
      <tp>
        <v>57</v>
        <stp/>
        <stp>TXON01C14700.TF-Ask</stp>
        <tr r="N23" s="10"/>
      </tp>
      <tp>
        <v>196</v>
        <stp/>
        <stp>TXON02C14400.TF-Ask</stp>
        <tr r="N20" s="22"/>
      </tp>
      <tp>
        <v>191</v>
        <stp/>
        <stp>TXON01P14000.TF-Ask</stp>
        <tr r="W16" s="10"/>
      </tp>
      <tp>
        <v>462</v>
        <stp/>
        <stp>TXON02P14300.TF-Ask</stp>
        <tr r="W19" s="22"/>
      </tp>
      <tp>
        <v>540</v>
        <stp/>
        <stp>TXON03P14200.TF-Ask</stp>
        <tr r="W18" s="23"/>
      </tp>
      <tp>
        <v>338</v>
        <stp/>
        <stp>TXON01C14000.TF-Ask</stp>
        <tr r="N16" s="10"/>
      </tp>
      <tp>
        <v>236</v>
        <stp/>
        <stp>TXON02C14300.TF-Ask</stp>
        <tr r="N19" s="22"/>
      </tp>
      <tp>
        <v>336</v>
        <stp/>
        <stp>TXON03C14200.TF-Ask</stp>
        <tr r="N18" s="23"/>
      </tp>
      <tp>
        <v>231</v>
        <stp/>
        <stp>TXON01P14100.TF-Ask</stp>
        <tr r="W17" s="10"/>
      </tp>
      <tp>
        <v>406</v>
        <stp/>
        <stp>TXON02P14200.TF-Ask</stp>
        <tr r="W18" s="22"/>
      </tp>
      <tp>
        <v>277</v>
        <stp/>
        <stp>TXON01C14100.TF-Ask</stp>
        <tr r="N17" s="10"/>
      </tp>
      <tp>
        <v>281</v>
        <stp/>
        <stp>TXON02C14200.TF-Ask</stp>
        <tr r="N18" s="22"/>
      </tp>
      <tp>
        <v>277</v>
        <stp/>
        <stp>TXON01P14200.TF-Ask</stp>
        <tr r="W18" s="10"/>
      </tp>
      <tp>
        <v>354</v>
        <stp/>
        <stp>TXON02P14100.TF-Ask</stp>
        <tr r="W17" s="22"/>
      </tp>
      <tp>
        <v>439</v>
        <stp/>
        <stp>TXON03P14000.TF-Ask</stp>
        <tr r="W17" s="23"/>
      </tp>
      <tp>
        <v>224</v>
        <stp/>
        <stp>TXON01C14200.TF-Ask</stp>
        <tr r="N18" s="10"/>
      </tp>
      <tp>
        <v>332</v>
        <stp/>
        <stp>TXON02C14100.TF-Ask</stp>
        <tr r="N17" s="22"/>
      </tp>
      <tp>
        <v>440</v>
        <stp/>
        <stp>TXON03C14000.TF-Ask</stp>
        <tr r="N17" s="23"/>
      </tp>
      <tp>
        <v>331</v>
        <stp/>
        <stp>TXON01P14300.TF-Ask</stp>
        <tr r="W19" s="10"/>
      </tp>
      <tp>
        <v>309</v>
        <stp/>
        <stp>TXON02P14000.TF-Ask</stp>
        <tr r="W16" s="22"/>
      </tp>
      <tp>
        <v>177</v>
        <stp/>
        <stp>TXON01C14300.TF-Ask</stp>
        <tr r="N19" s="10"/>
      </tp>
      <tp>
        <v>390</v>
        <stp/>
        <stp>TXON02C14000.TF-Ask</stp>
        <tr r="N16" s="22"/>
      </tp>
      <tp>
        <v>700</v>
        <stp/>
        <stp>TXON01P14800.TF-Ask</stp>
        <tr r="W24" s="10"/>
      </tp>
      <tp>
        <v>40.5</v>
        <stp/>
        <stp>TXON01C14800.TF-Ask</stp>
        <tr r="N24" s="10"/>
      </tp>
      <tp>
        <v>785</v>
        <stp/>
        <stp>TXON01P14900.TF-Ask</stp>
        <tr r="W25" s="10"/>
      </tp>
      <tp>
        <v>28.5</v>
        <stp/>
        <stp>TXON01C14900.TF-Ask</stp>
        <tr r="N25" s="10"/>
      </tp>
      <tp>
        <v>895</v>
        <stp/>
        <stp>TXON02P14900.TF-Ask</stp>
        <tr r="W25" s="22"/>
      </tp>
      <tp>
        <v>1030</v>
        <stp/>
        <stp>TXON03P14800.TF-Ask</stp>
        <tr r="W21" s="23"/>
      </tp>
      <tp>
        <v>71</v>
        <stp/>
        <stp>TXON02C14900.TF-Ask</stp>
        <tr r="N25" s="22"/>
      </tp>
      <tp>
        <v>139</v>
        <stp/>
        <stp>TXON03C14800.TF-Ask</stp>
        <tr r="N21" s="23"/>
      </tp>
      <tp>
        <v>815</v>
        <stp/>
        <stp>TXON02P14800.TF-Ask</stp>
        <tr r="W24" s="22"/>
      </tp>
      <tp>
        <v>88</v>
        <stp/>
        <stp>TXON02C14800.TF-Ask</stp>
        <tr r="N24" s="22"/>
      </tp>
      <tp>
        <v>1270</v>
        <stp/>
        <stp>TXON01P15400.TF-Ask</stp>
        <tr r="W30" s="10"/>
      </tp>
      <tp>
        <v>1730</v>
        <stp/>
        <stp>TXON03P15600.TF-Ask</stp>
        <tr r="W25" s="23"/>
      </tp>
      <tp>
        <v>6.8</v>
        <stp/>
        <stp>TXON01C15400.TF-Ask</stp>
        <tr r="N30" s="10"/>
      </tp>
      <tp>
        <v>39.5</v>
        <stp/>
        <stp>TXON03C15600.TF-Ask</stp>
        <tr r="N25" s="23"/>
      </tp>
      <tp t="s">
        <v>#N/A</v>
        <stp/>
        <stp>TX4N12C14750.TF-Ask</stp>
        <tr r="P28" s="16"/>
      </tp>
      <tp>
        <v>0.7</v>
        <stp/>
        <stp>TX4N12C14700.TF-Ask</stp>
        <tr r="P27" s="16"/>
      </tp>
      <tp t="s">
        <v>#N/A</v>
        <stp/>
        <stp>TX4N12P14750.TF-Ask</stp>
        <tr r="Y28" s="16"/>
      </tp>
      <tp>
        <v>463</v>
        <stp/>
        <stp>TX4N12P14700.TF-Ask</stp>
        <tr r="Y27" s="16"/>
      </tp>
      <tp t="s">
        <v>#N/A</v>
        <stp/>
        <stp>TXON01P15500.TF-Ask</stp>
        <tr r="W31" s="10"/>
      </tp>
      <tp t="s">
        <v>#N/A</v>
        <stp/>
        <stp>TXON01C15500.TF-Ask</stp>
        <tr r="N31" s="10"/>
      </tp>
      <tp>
        <v>1</v>
        <stp/>
        <stp>TX4N12C14650.TF-Ask</stp>
        <tr r="P26" s="16"/>
      </tp>
      <tp>
        <v>1.7</v>
        <stp/>
        <stp>TX4N12C14600.TF-Ask</stp>
        <tr r="P25" s="16"/>
      </tp>
      <tp>
        <v>415</v>
        <stp/>
        <stp>TX4N12P14650.TF-Ask</stp>
        <tr r="Y26" s="16"/>
      </tp>
      <tp>
        <v>364</v>
        <stp/>
        <stp>TX4N12P14600.TF-Ask</stp>
        <tr r="Y25" s="16"/>
      </tp>
      <tp t="s">
        <v>#N/A</v>
        <stp/>
        <stp>TXON02P15500.TF-Ask</stp>
        <tr r="W31" s="22"/>
      </tp>
      <tp>
        <v>1550</v>
        <stp/>
        <stp>TXON03P15400.TF-Ask</stp>
        <tr r="W24" s="23"/>
      </tp>
      <tp t="s">
        <v>#N/A</v>
        <stp/>
        <stp>TXON02C15500.TF-Ask</stp>
        <tr r="N31" s="22"/>
      </tp>
      <tp>
        <v>52</v>
        <stp/>
        <stp>TXON03C15400.TF-Ask</stp>
        <tr r="N24" s="23"/>
      </tp>
      <tp>
        <v>3</v>
        <stp/>
        <stp>TX4N12C14550.TF-Ask</stp>
        <tr r="P24" s="16"/>
      </tp>
      <tp>
        <v>5.5</v>
        <stp/>
        <stp>TX4N12C14500.TF-Ask</stp>
        <tr r="P23" s="16"/>
      </tp>
      <tp>
        <v>317</v>
        <stp/>
        <stp>TX4N12P14550.TF-Ask</stp>
        <tr r="Y24" s="16"/>
      </tp>
      <tp>
        <v>271</v>
        <stp/>
        <stp>TX4N12P14500.TF-Ask</stp>
        <tr r="Y23" s="16"/>
      </tp>
      <tp>
        <v>1440</v>
        <stp/>
        <stp>TXON02P15400.TF-Ask</stp>
        <tr r="W30" s="22"/>
      </tp>
      <tp>
        <v>24.5</v>
        <stp/>
        <stp>TXON02C15400.TF-Ask</stp>
        <tr r="N30" s="22"/>
      </tp>
      <tp>
        <v>10</v>
        <stp/>
        <stp>TX4N12C14450.TF-Ask</stp>
        <tr r="P22" s="16"/>
      </tp>
      <tp>
        <v>18.5</v>
        <stp/>
        <stp>TX4N12C14400.TF-Ask</stp>
        <tr r="P21" s="16"/>
      </tp>
      <tp>
        <v>219</v>
        <stp/>
        <stp>TX4N12P14450.TF-Ask</stp>
        <tr r="Y22" s="16"/>
      </tp>
      <tp>
        <v>177</v>
        <stp/>
        <stp>TX4N12P14400.TF-Ask</stp>
        <tr r="Y21" s="16"/>
      </tp>
      <tp>
        <v>880</v>
        <stp/>
        <stp>TXON01P15000.TF-Ask</stp>
        <tr r="W26" s="10"/>
      </tp>
      <tp t="s">
        <v>#N/A</v>
        <stp/>
        <stp>TXON02P15300.TF-Ask</stp>
        <tr r="W29" s="22"/>
      </tp>
      <tp>
        <v>1370</v>
        <stp/>
        <stp>TXON03P15200.TF-Ask</stp>
        <tr r="W23" s="23"/>
      </tp>
      <tp>
        <v>21</v>
        <stp/>
        <stp>TXON01C15000.TF-Ask</stp>
        <tr r="N26" s="10"/>
      </tp>
      <tp t="s">
        <v>#N/A</v>
        <stp/>
        <stp>TXON02C15300.TF-Ask</stp>
        <tr r="N29" s="22"/>
      </tp>
      <tp>
        <v>72</v>
        <stp/>
        <stp>TXON03C15200.TF-Ask</stp>
        <tr r="N23" s="23"/>
      </tp>
      <tp>
        <v>31</v>
        <stp/>
        <stp>TX4N12C14350.TF-Ask</stp>
        <tr r="P20" s="16"/>
      </tp>
      <tp>
        <v>48</v>
        <stp/>
        <stp>TX4N12C14300.TF-Ask</stp>
        <tr r="P19" s="16"/>
      </tp>
      <tp>
        <v>139</v>
        <stp/>
        <stp>TX4N12P14350.TF-Ask</stp>
        <tr r="Y20" s="16"/>
      </tp>
      <tp>
        <v>107</v>
        <stp/>
        <stp>TX4N12P14300.TF-Ask</stp>
        <tr r="Y19" s="16"/>
      </tp>
      <tp t="s">
        <v>#N/A</v>
        <stp/>
        <stp>TXON01P15100.TF-Ask</stp>
        <tr r="W27" s="10"/>
      </tp>
      <tp>
        <v>1240</v>
        <stp/>
        <stp>TXON02P15200.TF-Ask</stp>
        <tr r="W28" s="22"/>
      </tp>
      <tp t="s">
        <v>#N/A</v>
        <stp/>
        <stp>TXON01C15100.TF-Ask</stp>
        <tr r="N27" s="10"/>
      </tp>
      <tp>
        <v>36</v>
        <stp/>
        <stp>TXON02C15200.TF-Ask</stp>
        <tr r="N28" s="22"/>
      </tp>
      <tp>
        <v>72</v>
        <stp/>
        <stp>TX4N12C14250.TF-Ask</stp>
        <tr r="P18" s="16"/>
      </tp>
      <tp>
        <v>100</v>
        <stp/>
        <stp>TX4N12C14200.TF-Ask</stp>
        <tr r="P17" s="16"/>
      </tp>
      <tp>
        <v>79</v>
        <stp/>
        <stp>TX4N12P14250.TF-Ask</stp>
        <tr r="Y18" s="16"/>
      </tp>
      <tp>
        <v>58</v>
        <stp/>
        <stp>TX4N12P14200.TF-Ask</stp>
        <tr r="Y17" s="16"/>
      </tp>
      <tp>
        <v>1070</v>
        <stp/>
        <stp>TXON01P15200.TF-Ask</stp>
        <tr r="W28" s="10"/>
      </tp>
      <tp t="s">
        <v>#N/A</v>
        <stp/>
        <stp>TXON02P15100.TF-Ask</stp>
        <tr r="W27" s="22"/>
      </tp>
      <tp>
        <v>1190</v>
        <stp/>
        <stp>TXON03P15000.TF-Ask</stp>
        <tr r="W22" s="23"/>
      </tp>
      <tp>
        <v>11</v>
        <stp/>
        <stp>TXON01C15200.TF-Ask</stp>
        <tr r="N28" s="10"/>
      </tp>
      <tp t="s">
        <v>#N/A</v>
        <stp/>
        <stp>TXON02C15100.TF-Ask</stp>
        <tr r="N27" s="22"/>
      </tp>
      <tp>
        <v>100</v>
        <stp/>
        <stp>TXON03C15000.TF-Ask</stp>
        <tr r="N22" s="23"/>
      </tp>
      <tp>
        <v>134</v>
        <stp/>
        <stp>TX4N12C14150.TF-Ask</stp>
        <tr r="P16" s="16"/>
      </tp>
      <tp>
        <v>171</v>
        <stp/>
        <stp>TX4N12C14100.TF-Ask</stp>
        <tr r="P15" s="16"/>
      </tp>
      <tp>
        <v>40.5</v>
        <stp/>
        <stp>TX4N12P14150.TF-Ask</stp>
        <tr r="Y16" s="16"/>
      </tp>
      <tp>
        <v>28.5</v>
        <stp/>
        <stp>TX4N12P14100.TF-Ask</stp>
        <tr r="Y15" s="16"/>
      </tp>
      <tp t="s">
        <v>#N/A</v>
        <stp/>
        <stp>TXON01P15300.TF-Ask</stp>
        <tr r="W29" s="10"/>
      </tp>
      <tp>
        <v>985</v>
        <stp/>
        <stp>TXON02P15000.TF-Ask</stp>
        <tr r="W26" s="22"/>
      </tp>
      <tp t="s">
        <v>#N/A</v>
        <stp/>
        <stp>TXON01C15300.TF-Ask</stp>
        <tr r="N29" s="10"/>
      </tp>
      <tp>
        <v>59</v>
        <stp/>
        <stp>TXON02C15000.TF-Ask</stp>
        <tr r="N26" s="22"/>
      </tp>
      <tp>
        <v>212</v>
        <stp/>
        <stp>TX4N12C14050.TF-Ask</stp>
        <tr r="P14" s="16"/>
      </tp>
      <tp>
        <v>259</v>
        <stp/>
        <stp>TX4N12C14000.TF-Ask</stp>
        <tr r="P13" s="16"/>
      </tp>
      <tp>
        <v>19.5</v>
        <stp/>
        <stp>TX4N12P14050.TF-Ask</stp>
        <tr r="Y14" s="16"/>
      </tp>
      <tp>
        <v>13</v>
        <stp/>
        <stp>TX4N12P14000.TF-Ask</stp>
        <tr r="Y13" s="16"/>
      </tp>
      <tp>
        <v>1900</v>
        <stp/>
        <stp>TXON03P15800.TF-Ask</stp>
        <tr r="W26" s="23"/>
      </tp>
      <tp>
        <v>31</v>
        <stp/>
        <stp>TXON03C15800.TF-Ask</stp>
        <tr r="N26" s="23"/>
      </tp>
      <tp>
        <v>0.4</v>
        <stp/>
        <stp>TX4N12C14800.TF-Ask</stp>
        <tr r="P29" s="16"/>
      </tp>
      <tp>
        <v>565</v>
        <stp/>
        <stp>TX4N12P14800.TF-Ask</stp>
        <tr r="Y29" s="16"/>
      </tp>
      <tp t="s">
        <v>#N/A</v>
        <stp/>
        <stp>TXON03P16800.TF-Bid</stp>
        <tr r="U31" s="23"/>
      </tp>
      <tp t="s">
        <v>#N/A</v>
        <stp/>
        <stp>TXON03C16800.TF-Bid</stp>
        <tr r="L31" s="23"/>
      </tp>
      <tp>
        <v>2270</v>
        <stp/>
        <stp>TXON03P16400.TF-Bid</stp>
        <tr r="U29" s="23"/>
      </tp>
      <tp>
        <v>11</v>
        <stp/>
        <stp>TXON03C16400.TF-Bid</stp>
        <tr r="L29" s="23"/>
      </tp>
      <tp>
        <v>2460</v>
        <stp/>
        <stp>TXON03P16600.TF-Bid</stp>
        <tr r="U30" s="23"/>
      </tp>
      <tp>
        <v>8.5</v>
        <stp/>
        <stp>TXON03C16600.TF-Bid</stp>
        <tr r="L30" s="23"/>
      </tp>
      <tp>
        <v>1920</v>
        <stp/>
        <stp>TXON03P16000.TF-Bid</stp>
        <tr r="U27" s="23"/>
      </tp>
      <tp>
        <v>17</v>
        <stp/>
        <stp>TXON03C16000.TF-Bid</stp>
        <tr r="L27" s="23"/>
      </tp>
      <tp>
        <v>2040</v>
        <stp/>
        <stp>TXON03P16200.TF-Bid</stp>
        <tr r="U28" s="23"/>
      </tp>
      <tp>
        <v>12.5</v>
        <stp/>
        <stp>TXON03C16200.TF-Bid</stp>
        <tr r="L28" s="23"/>
      </tp>
      <tp>
        <v>14007</v>
        <stp/>
        <stp>FITXN*3.TF-Price</stp>
        <tr r="C2" s="23"/>
      </tp>
      <tp>
        <v>14078</v>
        <stp/>
        <stp>FITXN*2.TF-Price</stp>
        <tr r="C2" s="22"/>
      </tp>
      <tp>
        <v>14148</v>
        <stp/>
        <stp>FITXN*1.TF-Price</stp>
        <tr r="C2" s="10"/>
      </tp>
      <tp t="s">
        <v>台股指數近月</v>
        <stp/>
        <stp>FITXN*1.TF-Name</stp>
        <tr r="A2" s="10"/>
        <tr r="A2" s="22"/>
        <tr r="A2" s="23"/>
        <tr r="A2" s="16"/>
      </tp>
      <tp>
        <v>2730</v>
        <stp/>
        <stp>TXON03P16600.TF-Ask</stp>
        <tr r="W30" s="23"/>
      </tp>
      <tp>
        <v>14.5</v>
        <stp/>
        <stp>TXON03C16600.TF-Ask</stp>
        <tr r="N30" s="23"/>
      </tp>
      <tp>
        <v>2520</v>
        <stp/>
        <stp>TXON03P16400.TF-Ask</stp>
        <tr r="W29" s="23"/>
      </tp>
      <tp>
        <v>17</v>
        <stp/>
        <stp>TXON03C16400.TF-Ask</stp>
        <tr r="N29" s="23"/>
      </tp>
      <tp>
        <v>2340</v>
        <stp/>
        <stp>TXON03P16200.TF-Ask</stp>
        <tr r="W28" s="23"/>
      </tp>
      <tp>
        <v>18.5</v>
        <stp/>
        <stp>TXON03C16200.TF-Ask</stp>
        <tr r="N28" s="23"/>
      </tp>
      <tp>
        <v>2120</v>
        <stp/>
        <stp>TXON03P16000.TF-Ask</stp>
        <tr r="W27" s="23"/>
      </tp>
      <tp>
        <v>25</v>
        <stp/>
        <stp>TXON03C16000.TF-Ask</stp>
        <tr r="N27" s="23"/>
      </tp>
      <tp t="s">
        <v>#N/A</v>
        <stp/>
        <stp>TXON03P16800.TF-Ask</stp>
        <tr r="W31" s="23"/>
      </tp>
      <tp t="s">
        <v>#N/A</v>
        <stp/>
        <stp>TXON03C16800.TF-Ask</stp>
        <tr r="N31" s="23"/>
      </tp>
      <tp>
        <v>1740</v>
        <stp/>
        <stp>TXON03P15800.TF-Bid</stp>
        <tr r="U26" s="23"/>
      </tp>
      <tp>
        <v>23</v>
        <stp/>
        <stp>TXON03C15800.TF-Bid</stp>
        <tr r="L26" s="23"/>
      </tp>
      <tp>
        <v>0.2</v>
        <stp/>
        <stp>TX4N12C14800.TF-Bid</stp>
        <tr r="N29" s="16"/>
      </tp>
      <tp>
        <v>550</v>
        <stp/>
        <stp>TX4N12P14800.TF-Bid</stp>
        <tr r="W29" s="16"/>
      </tp>
      <tp t="s">
        <v>#N/A</v>
        <stp/>
        <stp>TXON02P15500.TF-Bid</stp>
        <tr r="U31" s="22"/>
      </tp>
      <tp>
        <v>1350</v>
        <stp/>
        <stp>TXON03P15400.TF-Bid</stp>
        <tr r="U24" s="23"/>
      </tp>
      <tp t="s">
        <v>#N/A</v>
        <stp/>
        <stp>TXON02C15500.TF-Bid</stp>
        <tr r="L31" s="22"/>
      </tp>
      <tp>
        <v>44</v>
        <stp/>
        <stp>TXON03C15400.TF-Bid</stp>
        <tr r="L24" s="23"/>
      </tp>
      <tp>
        <v>5.3</v>
        <stp/>
        <stp>TX4N12C14500.TF-Bid</stp>
        <tr r="N23" s="16"/>
      </tp>
      <tp>
        <v>2.8</v>
        <stp/>
        <stp>TX4N12C14550.TF-Bid</stp>
        <tr r="N24" s="16"/>
      </tp>
      <tp>
        <v>258</v>
        <stp/>
        <stp>TX4N12P14500.TF-Bid</stp>
        <tr r="W23" s="16"/>
      </tp>
      <tp>
        <v>307</v>
        <stp/>
        <stp>TX4N12P14550.TF-Bid</stp>
        <tr r="W24" s="16"/>
      </tp>
      <tp>
        <v>1240</v>
        <stp/>
        <stp>TXON02P15400.TF-Bid</stp>
        <tr r="U30" s="22"/>
      </tp>
      <tp>
        <v>20.5</v>
        <stp/>
        <stp>TXON02C15400.TF-Bid</stp>
        <tr r="L30" s="22"/>
      </tp>
      <tp>
        <v>17.5</v>
        <stp/>
        <stp>TX4N12C14400.TF-Bid</stp>
        <tr r="N21" s="16"/>
      </tp>
      <tp>
        <v>9.8000000000000007</v>
        <stp/>
        <stp>TX4N12C14450.TF-Bid</stp>
        <tr r="N22" s="16"/>
      </tp>
      <tp>
        <v>175</v>
        <stp/>
        <stp>TX4N12P14400.TF-Bid</stp>
        <tr r="W21" s="16"/>
      </tp>
      <tp>
        <v>217</v>
        <stp/>
        <stp>TX4N12P14450.TF-Bid</stp>
        <tr r="W22" s="16"/>
      </tp>
      <tp>
        <v>1250</v>
        <stp/>
        <stp>TXON01P15400.TF-Bid</stp>
        <tr r="U30" s="10"/>
      </tp>
      <tp>
        <v>1530</v>
        <stp/>
        <stp>TXON03P15600.TF-Bid</stp>
        <tr r="U25" s="23"/>
      </tp>
      <tp>
        <v>6.5</v>
        <stp/>
        <stp>TXON01C15400.TF-Bid</stp>
        <tr r="L30" s="10"/>
      </tp>
      <tp>
        <v>31.5</v>
        <stp/>
        <stp>TXON03C15600.TF-Bid</stp>
        <tr r="L25" s="23"/>
      </tp>
      <tp>
        <v>0.6</v>
        <stp/>
        <stp>TX4N12C14700.TF-Bid</stp>
        <tr r="N27" s="16"/>
      </tp>
      <tp t="s">
        <v>#N/A</v>
        <stp/>
        <stp>TX4N12C14750.TF-Bid</stp>
        <tr r="N28" s="16"/>
      </tp>
      <tp>
        <v>453</v>
        <stp/>
        <stp>TX4N12P14700.TF-Bid</stp>
        <tr r="W27" s="16"/>
      </tp>
      <tp t="s">
        <v>#N/A</v>
        <stp/>
        <stp>TX4N12P14750.TF-Bid</stp>
        <tr r="W28" s="16"/>
      </tp>
      <tp t="s">
        <v>#N/A</v>
        <stp/>
        <stp>TXON01P15500.TF-Bid</stp>
        <tr r="U31" s="10"/>
      </tp>
      <tp t="s">
        <v>#N/A</v>
        <stp/>
        <stp>TXON01C15500.TF-Bid</stp>
        <tr r="L31" s="10"/>
      </tp>
      <tp>
        <v>1.6</v>
        <stp/>
        <stp>TX4N12C14600.TF-Bid</stp>
        <tr r="N25" s="16"/>
      </tp>
      <tp>
        <v>0.9</v>
        <stp/>
        <stp>TX4N12C14650.TF-Bid</stp>
        <tr r="N26" s="16"/>
      </tp>
      <tp>
        <v>354</v>
        <stp/>
        <stp>TX4N12P14600.TF-Bid</stp>
        <tr r="W25" s="16"/>
      </tp>
      <tp>
        <v>405</v>
        <stp/>
        <stp>TX4N12P14650.TF-Bid</stp>
        <tr r="W26" s="16"/>
      </tp>
      <tp>
        <v>1050</v>
        <stp/>
        <stp>TXON01P15200.TF-Bid</stp>
        <tr r="U28" s="10"/>
      </tp>
      <tp t="s">
        <v>#N/A</v>
        <stp/>
        <stp>TXON02P15100.TF-Bid</stp>
        <tr r="U27" s="22"/>
      </tp>
      <tp>
        <v>995</v>
        <stp/>
        <stp>TXON03P15000.TF-Bid</stp>
        <tr r="U22" s="23"/>
      </tp>
      <tp>
        <v>10.5</v>
        <stp/>
        <stp>TXON01C15200.TF-Bid</stp>
        <tr r="L28" s="10"/>
      </tp>
      <tp t="s">
        <v>#N/A</v>
        <stp/>
        <stp>TXON02C15100.TF-Bid</stp>
        <tr r="L27" s="22"/>
      </tp>
      <tp>
        <v>88</v>
        <stp/>
        <stp>TXON03C15000.TF-Bid</stp>
        <tr r="L22" s="23"/>
      </tp>
      <tp>
        <v>169</v>
        <stp/>
        <stp>TX4N12C14100.TF-Bid</stp>
        <tr r="N15" s="16"/>
      </tp>
      <tp>
        <v>132</v>
        <stp/>
        <stp>TX4N12C14150.TF-Bid</stp>
        <tr r="N16" s="16"/>
      </tp>
      <tp>
        <v>27.5</v>
        <stp/>
        <stp>TX4N12P14100.TF-Bid</stp>
        <tr r="W15" s="16"/>
      </tp>
      <tp>
        <v>40</v>
        <stp/>
        <stp>TX4N12P14150.TF-Bid</stp>
        <tr r="W16" s="16"/>
      </tp>
      <tp t="s">
        <v>#N/A</v>
        <stp/>
        <stp>TXON01P15300.TF-Bid</stp>
        <tr r="U29" s="10"/>
      </tp>
      <tp>
        <v>965</v>
        <stp/>
        <stp>TXON02P15000.TF-Bid</stp>
        <tr r="U26" s="22"/>
      </tp>
      <tp t="s">
        <v>#N/A</v>
        <stp/>
        <stp>TXON01C15300.TF-Bid</stp>
        <tr r="L29" s="10"/>
      </tp>
      <tp>
        <v>52</v>
        <stp/>
        <stp>TXON02C15000.TF-Bid</stp>
        <tr r="L26" s="22"/>
      </tp>
      <tp>
        <v>254</v>
        <stp/>
        <stp>TX4N12C14000.TF-Bid</stp>
        <tr r="N13" s="16"/>
      </tp>
      <tp>
        <v>210</v>
        <stp/>
        <stp>TX4N12C14050.TF-Bid</stp>
        <tr r="N14" s="16"/>
      </tp>
      <tp>
        <v>12</v>
        <stp/>
        <stp>TX4N12P14000.TF-Bid</stp>
        <tr r="W13" s="16"/>
      </tp>
      <tp>
        <v>18.5</v>
        <stp/>
        <stp>TX4N12P14050.TF-Bid</stp>
        <tr r="W14" s="16"/>
      </tp>
      <tp>
        <v>865</v>
        <stp/>
        <stp>TXON01P15000.TF-Bid</stp>
        <tr r="U26" s="10"/>
      </tp>
      <tp t="s">
        <v>#N/A</v>
        <stp/>
        <stp>TXON02P15300.TF-Bid</stp>
        <tr r="U29" s="22"/>
      </tp>
      <tp>
        <v>1170</v>
        <stp/>
        <stp>TXON03P15200.TF-Bid</stp>
        <tr r="U23" s="23"/>
      </tp>
      <tp>
        <v>20</v>
        <stp/>
        <stp>TXON01C15000.TF-Bid</stp>
        <tr r="L26" s="10"/>
      </tp>
      <tp t="s">
        <v>#N/A</v>
        <stp/>
        <stp>TXON02C15300.TF-Bid</stp>
        <tr r="L29" s="22"/>
      </tp>
      <tp>
        <v>60</v>
        <stp/>
        <stp>TXON03C15200.TF-Bid</stp>
        <tr r="L23" s="23"/>
      </tp>
      <tp>
        <v>47.5</v>
        <stp/>
        <stp>TX4N12C14300.TF-Bid</stp>
        <tr r="N19" s="16"/>
      </tp>
      <tp>
        <v>30</v>
        <stp/>
        <stp>TX4N12C14350.TF-Bid</stp>
        <tr r="N20" s="16"/>
      </tp>
      <tp>
        <v>105</v>
        <stp/>
        <stp>TX4N12P14300.TF-Bid</stp>
        <tr r="W19" s="16"/>
      </tp>
      <tp>
        <v>137</v>
        <stp/>
        <stp>TX4N12P14350.TF-Bid</stp>
        <tr r="W20" s="16"/>
      </tp>
      <tp t="s">
        <v>#N/A</v>
        <stp/>
        <stp>TXON01P15100.TF-Bid</stp>
        <tr r="U27" s="10"/>
      </tp>
      <tp>
        <v>1070</v>
        <stp/>
        <stp>TXON02P15200.TF-Bid</stp>
        <tr r="U28" s="22"/>
      </tp>
      <tp t="s">
        <v>#N/A</v>
        <stp/>
        <stp>TXON01C15100.TF-Bid</stp>
        <tr r="L27" s="10"/>
      </tp>
      <tp>
        <v>33.5</v>
        <stp/>
        <stp>TXON02C15200.TF-Bid</stp>
        <tr r="L28" s="22"/>
      </tp>
      <tp>
        <v>99</v>
        <stp/>
        <stp>TX4N12C14200.TF-Bid</stp>
        <tr r="N17" s="16"/>
      </tp>
      <tp>
        <v>70</v>
        <stp/>
        <stp>TX4N12C14250.TF-Bid</stp>
        <tr r="N18" s="16"/>
      </tp>
      <tp>
        <v>56</v>
        <stp/>
        <stp>TX4N12P14200.TF-Bid</stp>
        <tr r="W17" s="16"/>
      </tp>
      <tp>
        <v>78</v>
        <stp/>
        <stp>TX4N12P14250.TF-Bid</stp>
        <tr r="W18" s="16"/>
      </tp>
      <tp>
        <v>880</v>
        <stp/>
        <stp>TXON02P14900.TF-Bid</stp>
        <tr r="U25" s="22"/>
      </tp>
      <tp>
        <v>830</v>
        <stp/>
        <stp>TXON03P14800.TF-Bid</stp>
        <tr r="U21" s="23"/>
      </tp>
      <tp>
        <v>63</v>
        <stp/>
        <stp>TXON02C14900.TF-Bid</stp>
        <tr r="L25" s="22"/>
      </tp>
      <tp>
        <v>125</v>
        <stp/>
        <stp>TXON03C14800.TF-Bid</stp>
        <tr r="L21" s="23"/>
      </tp>
      <tp>
        <v>800</v>
        <stp/>
        <stp>TXON02P14800.TF-Bid</stp>
        <tr r="U24" s="22"/>
      </tp>
      <tp>
        <v>80</v>
        <stp/>
        <stp>TXON02C14800.TF-Bid</stp>
        <tr r="L24" s="22"/>
      </tp>
      <tp>
        <v>690</v>
        <stp/>
        <stp>TXON01P14800.TF-Bid</stp>
        <tr r="U24" s="10"/>
      </tp>
      <tp>
        <v>39.5</v>
        <stp/>
        <stp>TXON01C14800.TF-Bid</stp>
        <tr r="L24" s="10"/>
      </tp>
      <tp>
        <v>775</v>
        <stp/>
        <stp>TXON01P14900.TF-Bid</stp>
        <tr r="U25" s="10"/>
      </tp>
      <tp>
        <v>28</v>
        <stp/>
        <stp>TXON01C14900.TF-Bid</stp>
        <tr r="L25" s="10"/>
      </tp>
      <tp>
        <v>525</v>
        <stp/>
        <stp>TXON01P14600.TF-Bid</stp>
        <tr r="U22" s="10"/>
      </tp>
      <tp>
        <v>575</v>
        <stp/>
        <stp>TXON02P14500.TF-Bid</stp>
        <tr r="U21" s="22"/>
      </tp>
      <tp>
        <v>640</v>
        <stp/>
        <stp>TXON03P14400.TF-Bid</stp>
        <tr r="U19" s="23"/>
      </tp>
      <tp>
        <v>77</v>
        <stp/>
        <stp>TXON01C14600.TF-Bid</stp>
        <tr r="L22" s="10"/>
      </tp>
      <tp>
        <v>157</v>
        <stp/>
        <stp>TXON02C14500.TF-Bid</stp>
        <tr r="L21" s="22"/>
      </tp>
      <tp>
        <v>247</v>
        <stp/>
        <stp>TXON03C14400.TF-Bid</stp>
        <tr r="L19" s="23"/>
      </tp>
      <tp>
        <v>605</v>
        <stp/>
        <stp>TXON01P14700.TF-Bid</stp>
        <tr r="U23" s="10"/>
      </tp>
      <tp>
        <v>510</v>
        <stp/>
        <stp>TXON02P14400.TF-Bid</stp>
        <tr r="U20" s="22"/>
      </tp>
      <tp>
        <v>56</v>
        <stp/>
        <stp>TXON01C14700.TF-Bid</stp>
        <tr r="L23" s="10"/>
      </tp>
      <tp>
        <v>192</v>
        <stp/>
        <stp>TXON02C14400.TF-Bid</stp>
        <tr r="L20" s="22"/>
      </tp>
      <tp>
        <v>389</v>
        <stp/>
        <stp>TXON01P14400.TF-Bid</stp>
        <tr r="U20" s="10"/>
      </tp>
      <tp>
        <v>720</v>
        <stp/>
        <stp>TXON02P14700.TF-Bid</stp>
        <tr r="U23" s="22"/>
      </tp>
      <tp>
        <v>695</v>
        <stp/>
        <stp>TXON03P14600.TF-Bid</stp>
        <tr r="U20" s="23"/>
      </tp>
      <tp>
        <v>136</v>
        <stp/>
        <stp>TXON01C14400.TF-Bid</stp>
        <tr r="L20" s="10"/>
      </tp>
      <tp>
        <v>102</v>
        <stp/>
        <stp>TXON02C14700.TF-Bid</stp>
        <tr r="L23" s="22"/>
      </tp>
      <tp>
        <v>176</v>
        <stp/>
        <stp>TXON03C14600.TF-Bid</stp>
        <tr r="L20" s="23"/>
      </tp>
      <tp>
        <v>455</v>
        <stp/>
        <stp>TXON01P14500.TF-Bid</stp>
        <tr r="U21" s="10"/>
      </tp>
      <tp>
        <v>645</v>
        <stp/>
        <stp>TXON02P14600.TF-Bid</stp>
        <tr r="U22" s="22"/>
      </tp>
      <tp>
        <v>103</v>
        <stp/>
        <stp>TXON01C14500.TF-Bid</stp>
        <tr r="L21" s="10"/>
      </tp>
      <tp>
        <v>124</v>
        <stp/>
        <stp>TXON02C14600.TF-Bid</stp>
        <tr r="L22" s="22"/>
      </tp>
      <tp>
        <v>275</v>
        <stp/>
        <stp>TXON01P14200.TF-Bid</stp>
        <tr r="U18" s="10"/>
      </tp>
      <tp>
        <v>348</v>
        <stp/>
        <stp>TXON02P14100.TF-Bid</stp>
        <tr r="U17" s="22"/>
      </tp>
      <tp>
        <v>423</v>
        <stp/>
        <stp>TXON03P14000.TF-Bid</stp>
        <tr r="U17" s="23"/>
      </tp>
      <tp>
        <v>222</v>
        <stp/>
        <stp>TXON01C14200.TF-Bid</stp>
        <tr r="L18" s="10"/>
      </tp>
      <tp>
        <v>325</v>
        <stp/>
        <stp>TXON02C14100.TF-Bid</stp>
        <tr r="L17" s="22"/>
      </tp>
      <tp>
        <v>422</v>
        <stp/>
        <stp>TXON03C14000.TF-Bid</stp>
        <tr r="L17" s="23"/>
      </tp>
      <tp>
        <v>329</v>
        <stp/>
        <stp>TXON01P14300.TF-Bid</stp>
        <tr r="U19" s="10"/>
      </tp>
      <tp>
        <v>304</v>
        <stp/>
        <stp>TXON02P14000.TF-Bid</stp>
        <tr r="U16" s="22"/>
      </tp>
      <tp>
        <v>175</v>
        <stp/>
        <stp>TXON01C14300.TF-Bid</stp>
        <tr r="L19" s="10"/>
      </tp>
      <tp>
        <v>378</v>
        <stp/>
        <stp>TXON02C14000.TF-Bid</stp>
        <tr r="L16" s="22"/>
      </tp>
      <tp>
        <v>189</v>
        <stp/>
        <stp>TXON01P14000.TF-Bid</stp>
        <tr r="U16" s="10"/>
      </tp>
      <tp>
        <v>448</v>
        <stp/>
        <stp>TXON02P14300.TF-Bid</stp>
        <tr r="U19" s="22"/>
      </tp>
      <tp>
        <v>520</v>
        <stp/>
        <stp>TXON03P14200.TF-Bid</stp>
        <tr r="U18" s="23"/>
      </tp>
      <tp>
        <v>336</v>
        <stp/>
        <stp>TXON01C14000.TF-Bid</stp>
        <tr r="L16" s="10"/>
      </tp>
      <tp>
        <v>230</v>
        <stp/>
        <stp>TXON02C14300.TF-Bid</stp>
        <tr r="L19" s="22"/>
      </tp>
      <tp>
        <v>322</v>
        <stp/>
        <stp>TXON03C14200.TF-Bid</stp>
        <tr r="L18" s="23"/>
      </tp>
      <tp>
        <v>228</v>
        <stp/>
        <stp>TXON01P14100.TF-Bid</stp>
        <tr r="U17" s="10"/>
      </tp>
      <tp>
        <v>393</v>
        <stp/>
        <stp>TXON02P14200.TF-Bid</stp>
        <tr r="U18" s="22"/>
      </tp>
      <tp>
        <v>275</v>
        <stp/>
        <stp>TXON01C14100.TF-Bid</stp>
        <tr r="L17" s="10"/>
      </tp>
      <tp>
        <v>275</v>
        <stp/>
        <stp>TXON02C14200.TF-Bid</stp>
        <tr r="L18" s="22"/>
      </tp>
      <tp>
        <v>506</v>
        <stp/>
        <stp>TXON01C14300.TF-TotalVolume</stp>
        <tr r="P19" s="10"/>
      </tp>
      <tp>
        <v>0</v>
        <stp/>
        <stp>TXON02C14000.TF-TotalVolume</stp>
        <tr r="P16" s="22"/>
      </tp>
      <tp>
        <v>114</v>
        <stp/>
        <stp>TXON01P14300.TF-TotalVolume</stp>
        <tr r="T19" s="10"/>
      </tp>
      <tp>
        <v>0</v>
        <stp/>
        <stp>TXON02P14000.TF-TotalVolume</stp>
        <tr r="T16" s="22"/>
      </tp>
      <tp>
        <v>678</v>
        <stp/>
        <stp>TXON01C14200.TF-TotalVolume</stp>
        <tr r="P18" s="10"/>
      </tp>
      <tp>
        <v>1</v>
        <stp/>
        <stp>TXON02C14100.TF-TotalVolume</stp>
        <tr r="P17" s="22"/>
      </tp>
      <tp>
        <v>0</v>
        <stp/>
        <stp>TXON03C14000.TF-TotalVolume</stp>
        <tr r="P17" s="23"/>
      </tp>
      <tp>
        <v>370</v>
        <stp/>
        <stp>TXON01P14200.TF-TotalVolume</stp>
        <tr r="T18" s="10"/>
      </tp>
      <tp>
        <v>0</v>
        <stp/>
        <stp>TXON02P14100.TF-TotalVolume</stp>
        <tr r="T17" s="22"/>
      </tp>
      <tp>
        <v>0</v>
        <stp/>
        <stp>TXON03P14000.TF-TotalVolume</stp>
        <tr r="T17" s="23"/>
      </tp>
      <tp>
        <v>440</v>
        <stp/>
        <stp>TXON01C14100.TF-TotalVolume</stp>
        <tr r="P17" s="10"/>
      </tp>
      <tp>
        <v>0</v>
        <stp/>
        <stp>TXON02C14200.TF-TotalVolume</stp>
        <tr r="P18" s="22"/>
      </tp>
      <tp>
        <v>363</v>
        <stp/>
        <stp>TXON01P14100.TF-TotalVolume</stp>
        <tr r="T17" s="10"/>
      </tp>
      <tp>
        <v>3</v>
        <stp/>
        <stp>TXON02P14200.TF-TotalVolume</stp>
        <tr r="T18" s="22"/>
      </tp>
      <tp>
        <v>156</v>
        <stp/>
        <stp>TXON01C14000.TF-TotalVolume</stp>
        <tr r="P16" s="10"/>
      </tp>
      <tp>
        <v>0</v>
        <stp/>
        <stp>TXON02C14300.TF-TotalVolume</stp>
        <tr r="P19" s="22"/>
      </tp>
      <tp>
        <v>0</v>
        <stp/>
        <stp>TXON03C14200.TF-TotalVolume</stp>
        <tr r="P18" s="23"/>
      </tp>
      <tp>
        <v>439</v>
        <stp/>
        <stp>TXON01P14000.TF-TotalVolume</stp>
        <tr r="T16" s="10"/>
      </tp>
      <tp>
        <v>0</v>
        <stp/>
        <stp>TXON02P14300.TF-TotalVolume</stp>
        <tr r="T19" s="22"/>
      </tp>
      <tp>
        <v>0</v>
        <stp/>
        <stp>TXON03P14200.TF-TotalVolume</stp>
        <tr r="T18" s="23"/>
      </tp>
      <tp>
        <v>586</v>
        <stp/>
        <stp>TXON01C14700.TF-TotalVolume</stp>
        <tr r="P23" s="10"/>
      </tp>
      <tp>
        <v>3</v>
        <stp/>
        <stp>TXON02C14400.TF-TotalVolume</stp>
        <tr r="P20" s="22"/>
      </tp>
      <tp>
        <v>8</v>
        <stp/>
        <stp>TXON01P14700.TF-TotalVolume</stp>
        <tr r="T23" s="10"/>
      </tp>
      <tp>
        <v>0</v>
        <stp/>
        <stp>TXON02P14400.TF-TotalVolume</stp>
        <tr r="T20" s="22"/>
      </tp>
      <tp>
        <v>530</v>
        <stp/>
        <stp>TXON01C14600.TF-TotalVolume</stp>
        <tr r="P22" s="10"/>
      </tp>
      <tp>
        <v>3</v>
        <stp/>
        <stp>TXON02C14500.TF-TotalVolume</stp>
        <tr r="P21" s="22"/>
      </tp>
      <tp>
        <v>13</v>
        <stp/>
        <stp>TXON03C14400.TF-TotalVolume</stp>
        <tr r="P19" s="23"/>
      </tp>
      <tp>
        <v>48</v>
        <stp/>
        <stp>TXON01P14600.TF-TotalVolume</stp>
        <tr r="T22" s="10"/>
      </tp>
      <tp>
        <v>0</v>
        <stp/>
        <stp>TXON02P14500.TF-TotalVolume</stp>
        <tr r="T21" s="22"/>
      </tp>
      <tp>
        <v>0</v>
        <stp/>
        <stp>TXON03P14400.TF-TotalVolume</stp>
        <tr r="T19" s="23"/>
      </tp>
      <tp>
        <v>681</v>
        <stp/>
        <stp>TXON01C14500.TF-TotalVolume</stp>
        <tr r="P21" s="10"/>
      </tp>
      <tp>
        <v>0</v>
        <stp/>
        <stp>TXON02C14600.TF-TotalVolume</stp>
        <tr r="P22" s="22"/>
      </tp>
      <tp>
        <v>21</v>
        <stp/>
        <stp>TXON01P14500.TF-TotalVolume</stp>
        <tr r="T21" s="10"/>
      </tp>
      <tp>
        <v>0</v>
        <stp/>
        <stp>TXON02P14600.TF-TotalVolume</stp>
        <tr r="T22" s="22"/>
      </tp>
      <tp>
        <v>777</v>
        <stp/>
        <stp>TXON01C14400.TF-TotalVolume</stp>
        <tr r="P20" s="10"/>
      </tp>
      <tp>
        <v>21</v>
        <stp/>
        <stp>TXON02C14700.TF-TotalVolume</stp>
        <tr r="P23" s="22"/>
      </tp>
      <tp>
        <v>1</v>
        <stp/>
        <stp>TXON03C14600.TF-TotalVolume</stp>
        <tr r="P20" s="23"/>
      </tp>
      <tp>
        <v>88</v>
        <stp/>
        <stp>TXON01P14400.TF-TotalVolume</stp>
        <tr r="T20" s="10"/>
      </tp>
      <tp>
        <v>0</v>
        <stp/>
        <stp>TXON02P14700.TF-TotalVolume</stp>
        <tr r="T23" s="22"/>
      </tp>
      <tp>
        <v>0</v>
        <stp/>
        <stp>TXON03P14600.TF-TotalVolume</stp>
        <tr r="T20" s="23"/>
      </tp>
      <tp>
        <v>5</v>
        <stp/>
        <stp>TXON02C14800.TF-TotalVolume</stp>
        <tr r="P24" s="22"/>
      </tp>
      <tp>
        <v>0</v>
        <stp/>
        <stp>TXON02P14800.TF-TotalVolume</stp>
        <tr r="T24" s="22"/>
      </tp>
      <tp>
        <v>6</v>
        <stp/>
        <stp>TXON02C14900.TF-TotalVolume</stp>
        <tr r="P25" s="22"/>
      </tp>
      <tp>
        <v>0</v>
        <stp/>
        <stp>TXON03C14800.TF-TotalVolume</stp>
        <tr r="P21" s="23"/>
      </tp>
      <tp>
        <v>0</v>
        <stp/>
        <stp>TXON02P14900.TF-TotalVolume</stp>
        <tr r="T25" s="22"/>
      </tp>
      <tp>
        <v>0</v>
        <stp/>
        <stp>TXON03P14800.TF-TotalVolume</stp>
        <tr r="T21" s="23"/>
      </tp>
      <tp>
        <v>273</v>
        <stp/>
        <stp>TXON01C14900.TF-TotalVolume</stp>
        <tr r="P25" s="10"/>
      </tp>
      <tp>
        <v>1</v>
        <stp/>
        <stp>TXON01P14900.TF-TotalVolume</stp>
        <tr r="T25" s="10"/>
      </tp>
      <tp>
        <v>621</v>
        <stp/>
        <stp>TXON01C14800.TF-TotalVolume</stp>
        <tr r="P24" s="10"/>
      </tp>
      <tp>
        <v>0</v>
        <stp/>
        <stp>TXON01P14800.TF-TotalVolume</stp>
        <tr r="T24" s="10"/>
      </tp>
      <tp t="s">
        <v>#N/A</v>
        <stp/>
        <stp>TXON01C15300.TF-TotalVolume</stp>
        <tr r="P29" s="10"/>
      </tp>
      <tp>
        <v>16</v>
        <stp/>
        <stp>TXON02C15000.TF-TotalVolume</stp>
        <tr r="P26" s="22"/>
      </tp>
      <tp t="s">
        <v>#N/A</v>
        <stp/>
        <stp>TXON01P15300.TF-TotalVolume</stp>
        <tr r="T29" s="10"/>
      </tp>
      <tp>
        <v>0</v>
        <stp/>
        <stp>TXON02P15000.TF-TotalVolume</stp>
        <tr r="T26" s="22"/>
      </tp>
      <tp>
        <v>7053</v>
        <stp/>
        <stp>TX4N12P14000.TF-TotalVolume</stp>
        <tr r="V13" s="16"/>
      </tp>
      <tp>
        <v>5752</v>
        <stp/>
        <stp>TX4N12P14050.TF-TotalVolume</stp>
        <tr r="V14" s="16"/>
      </tp>
      <tp>
        <v>116</v>
        <stp/>
        <stp>TX4N12C14000.TF-TotalVolume</stp>
        <tr r="R13" s="16"/>
      </tp>
      <tp>
        <v>184</v>
        <stp/>
        <stp>TX4N12C14050.TF-TotalVolume</stp>
        <tr r="R14" s="16"/>
      </tp>
      <tp>
        <v>152</v>
        <stp/>
        <stp>TXON01C15200.TF-TotalVolume</stp>
        <tr r="P28" s="10"/>
      </tp>
      <tp t="s">
        <v>#N/A</v>
        <stp/>
        <stp>TXON02C15100.TF-TotalVolume</stp>
        <tr r="P27" s="22"/>
      </tp>
      <tp>
        <v>0</v>
        <stp/>
        <stp>TXON03C15000.TF-TotalVolume</stp>
        <tr r="P22" s="23"/>
      </tp>
      <tp>
        <v>0</v>
        <stp/>
        <stp>TXON01P15200.TF-TotalVolume</stp>
        <tr r="T28" s="10"/>
      </tp>
      <tp t="s">
        <v>#N/A</v>
        <stp/>
        <stp>TXON02P15100.TF-TotalVolume</stp>
        <tr r="T27" s="22"/>
      </tp>
      <tp>
        <v>0</v>
        <stp/>
        <stp>TXON03P15000.TF-TotalVolume</stp>
        <tr r="T22" s="23"/>
      </tp>
      <tp>
        <v>10087</v>
        <stp/>
        <stp>TX4N12P14100.TF-TotalVolume</stp>
        <tr r="V15" s="16"/>
      </tp>
      <tp>
        <v>8733</v>
        <stp/>
        <stp>TX4N12P14150.TF-TotalVolume</stp>
        <tr r="V16" s="16"/>
      </tp>
      <tp>
        <v>744</v>
        <stp/>
        <stp>TX4N12C14100.TF-TotalVolume</stp>
        <tr r="R15" s="16"/>
      </tp>
      <tp>
        <v>1466</v>
        <stp/>
        <stp>TX4N12C14150.TF-TotalVolume</stp>
        <tr r="R16" s="16"/>
      </tp>
      <tp t="s">
        <v>#N/A</v>
        <stp/>
        <stp>TXON01C15100.TF-TotalVolume</stp>
        <tr r="P27" s="10"/>
      </tp>
      <tp>
        <v>2</v>
        <stp/>
        <stp>TXON02C15200.TF-TotalVolume</stp>
        <tr r="P28" s="22"/>
      </tp>
      <tp t="s">
        <v>#N/A</v>
        <stp/>
        <stp>TXON01P15100.TF-TotalVolume</stp>
        <tr r="T27" s="10"/>
      </tp>
      <tp>
        <v>0</v>
        <stp/>
        <stp>TXON02P15200.TF-TotalVolume</stp>
        <tr r="T28" s="22"/>
      </tp>
      <tp>
        <v>9194</v>
        <stp/>
        <stp>TX4N12P14200.TF-TotalVolume</stp>
        <tr r="V17" s="16"/>
      </tp>
      <tp>
        <v>7196</v>
        <stp/>
        <stp>TX4N12P14250.TF-TotalVolume</stp>
        <tr r="V18" s="16"/>
      </tp>
      <tp>
        <v>4727</v>
        <stp/>
        <stp>TX4N12C14200.TF-TotalVolume</stp>
        <tr r="R17" s="16"/>
      </tp>
      <tp>
        <v>7729</v>
        <stp/>
        <stp>TX4N12C14250.TF-TotalVolume</stp>
        <tr r="R18" s="16"/>
      </tp>
      <tp>
        <v>679</v>
        <stp/>
        <stp>TXON01C15000.TF-TotalVolume</stp>
        <tr r="P26" s="10"/>
      </tp>
      <tp t="s">
        <v>#N/A</v>
        <stp/>
        <stp>TXON02C15300.TF-TotalVolume</stp>
        <tr r="P29" s="22"/>
      </tp>
      <tp>
        <v>4</v>
        <stp/>
        <stp>TXON03C15200.TF-TotalVolume</stp>
        <tr r="P23" s="23"/>
      </tp>
      <tp>
        <v>0</v>
        <stp/>
        <stp>TXON01P15000.TF-TotalVolume</stp>
        <tr r="T26" s="10"/>
      </tp>
      <tp t="s">
        <v>#N/A</v>
        <stp/>
        <stp>TXON02P15300.TF-TotalVolume</stp>
        <tr r="T29" s="22"/>
      </tp>
      <tp>
        <v>0</v>
        <stp/>
        <stp>TXON03P15200.TF-TotalVolume</stp>
        <tr r="T23" s="23"/>
      </tp>
      <tp>
        <v>3772</v>
        <stp/>
        <stp>TX4N12P14300.TF-TotalVolume</stp>
        <tr r="V19" s="16"/>
      </tp>
      <tp>
        <v>1540</v>
        <stp/>
        <stp>TX4N12P14350.TF-TotalVolume</stp>
        <tr r="V20" s="16"/>
      </tp>
      <tp>
        <v>10544</v>
        <stp/>
        <stp>TX4N12C14300.TF-TotalVolume</stp>
        <tr r="R19" s="16"/>
      </tp>
      <tp>
        <v>8896</v>
        <stp/>
        <stp>TX4N12C14350.TF-TotalVolume</stp>
        <tr r="R20" s="16"/>
      </tp>
      <tp>
        <v>1</v>
        <stp/>
        <stp>TXON02C15400.TF-TotalVolume</stp>
        <tr r="P30" s="22"/>
      </tp>
      <tp>
        <v>0</v>
        <stp/>
        <stp>TXON02P15400.TF-TotalVolume</stp>
        <tr r="T30" s="22"/>
      </tp>
      <tp>
        <v>843</v>
        <stp/>
        <stp>TX4N12P14400.TF-TotalVolume</stp>
        <tr r="V21" s="16"/>
      </tp>
      <tp>
        <v>150</v>
        <stp/>
        <stp>TX4N12P14450.TF-TotalVolume</stp>
        <tr r="V22" s="16"/>
      </tp>
      <tp>
        <v>8861</v>
        <stp/>
        <stp>TX4N12C14400.TF-TotalVolume</stp>
        <tr r="R21" s="16"/>
      </tp>
      <tp>
        <v>6233</v>
        <stp/>
        <stp>TX4N12C14450.TF-TotalVolume</stp>
        <tr r="R22" s="16"/>
      </tp>
      <tp t="s">
        <v>#N/A</v>
        <stp/>
        <stp>TXON02C15500.TF-TotalVolume</stp>
        <tr r="P31" s="22"/>
      </tp>
      <tp>
        <v>0</v>
        <stp/>
        <stp>TXON03C15400.TF-TotalVolume</stp>
        <tr r="P24" s="23"/>
      </tp>
      <tp t="s">
        <v>#N/A</v>
        <stp/>
        <stp>TXON02P15500.TF-TotalVolume</stp>
        <tr r="T31" s="22"/>
      </tp>
      <tp>
        <v>0</v>
        <stp/>
        <stp>TXON03P15400.TF-TotalVolume</stp>
        <tr r="T24" s="23"/>
      </tp>
      <tp>
        <v>258</v>
        <stp/>
        <stp>TX4N12P14500.TF-TotalVolume</stp>
        <tr r="V23" s="16"/>
      </tp>
      <tp>
        <v>0</v>
        <stp/>
        <stp>TX4N12P14550.TF-TotalVolume</stp>
        <tr r="V24" s="16"/>
      </tp>
      <tp>
        <v>5046</v>
        <stp/>
        <stp>TX4N12C14500.TF-TotalVolume</stp>
        <tr r="R23" s="16"/>
      </tp>
      <tp>
        <v>4575</v>
        <stp/>
        <stp>TX4N12C14550.TF-TotalVolume</stp>
        <tr r="R24" s="16"/>
      </tp>
      <tp t="s">
        <v>#N/A</v>
        <stp/>
        <stp>TXON01C15500.TF-TotalVolume</stp>
        <tr r="P31" s="10"/>
      </tp>
      <tp t="s">
        <v>#N/A</v>
        <stp/>
        <stp>TXON01P15500.TF-TotalVolume</stp>
        <tr r="T31" s="10"/>
      </tp>
      <tp>
        <v>4</v>
        <stp/>
        <stp>TX4N12P14600.TF-TotalVolume</stp>
        <tr r="V25" s="16"/>
      </tp>
      <tp>
        <v>0</v>
        <stp/>
        <stp>TX4N12P14650.TF-TotalVolume</stp>
        <tr r="V26" s="16"/>
      </tp>
      <tp>
        <v>1904</v>
        <stp/>
        <stp>TX4N12C14600.TF-TotalVolume</stp>
        <tr r="R25" s="16"/>
      </tp>
      <tp>
        <v>274</v>
        <stp/>
        <stp>TX4N12C14650.TF-TotalVolume</stp>
        <tr r="R26" s="16"/>
      </tp>
      <tp>
        <v>13</v>
        <stp/>
        <stp>TXON01C15400.TF-TotalVolume</stp>
        <tr r="P30" s="10"/>
      </tp>
      <tp>
        <v>0</v>
        <stp/>
        <stp>TXON03C15600.TF-TotalVolume</stp>
        <tr r="P25" s="23"/>
      </tp>
      <tp>
        <v>0</v>
        <stp/>
        <stp>TXON01P15400.TF-TotalVolume</stp>
        <tr r="T30" s="10"/>
      </tp>
      <tp>
        <v>0</v>
        <stp/>
        <stp>TXON03P15600.TF-TotalVolume</stp>
        <tr r="T25" s="23"/>
      </tp>
      <tp>
        <v>0</v>
        <stp/>
        <stp>TX4N12P14700.TF-TotalVolume</stp>
        <tr r="V27" s="16"/>
      </tp>
      <tp t="s">
        <v>#N/A</v>
        <stp/>
        <stp>TX4N12P14750.TF-TotalVolume</stp>
        <tr r="V28" s="16"/>
      </tp>
      <tp>
        <v>114</v>
        <stp/>
        <stp>TX4N12C14700.TF-TotalVolume</stp>
        <tr r="R27" s="16"/>
      </tp>
      <tp t="s">
        <v>#N/A</v>
        <stp/>
        <stp>TX4N12C14750.TF-TotalVolume</stp>
        <tr r="R28" s="16"/>
      </tp>
      <tp>
        <v>0</v>
        <stp/>
        <stp>TX4N12P14800.TF-TotalVolume</stp>
        <tr r="V29" s="16"/>
      </tp>
      <tp>
        <v>140</v>
        <stp/>
        <stp>TX4N12C14800.TF-TotalVolume</stp>
        <tr r="R29" s="16"/>
      </tp>
      <tp>
        <v>0</v>
        <stp/>
        <stp>TXON03C15800.TF-TotalVolume</stp>
        <tr r="P26" s="23"/>
      </tp>
      <tp>
        <v>0</v>
        <stp/>
        <stp>TXON03P15800.TF-TotalVolume</stp>
        <tr r="T26" s="23"/>
      </tp>
      <tp>
        <v>0</v>
        <stp/>
        <stp>TXON03C16000.TF-TotalVolume</stp>
        <tr r="P27" s="23"/>
      </tp>
      <tp>
        <v>0</v>
        <stp/>
        <stp>TXON03P16000.TF-TotalVolume</stp>
        <tr r="T27" s="23"/>
      </tp>
      <tp>
        <v>0</v>
        <stp/>
        <stp>TXON03C16200.TF-TotalVolume</stp>
        <tr r="P28" s="23"/>
      </tp>
      <tp>
        <v>0</v>
        <stp/>
        <stp>TXON03P16200.TF-TotalVolume</stp>
        <tr r="T28" s="23"/>
      </tp>
      <tp>
        <v>0</v>
        <stp/>
        <stp>TXON03C16400.TF-TotalVolume</stp>
        <tr r="P29" s="23"/>
      </tp>
      <tp>
        <v>0</v>
        <stp/>
        <stp>TXON03P16400.TF-TotalVolume</stp>
        <tr r="T29" s="23"/>
      </tp>
      <tp>
        <v>0</v>
        <stp/>
        <stp>TXON03C16600.TF-TotalVolume</stp>
        <tr r="P30" s="23"/>
      </tp>
      <tp>
        <v>0</v>
        <stp/>
        <stp>TXON03P16600.TF-TotalVolume</stp>
        <tr r="T30" s="23"/>
      </tp>
      <tp t="s">
        <v>#N/A</v>
        <stp/>
        <stp>TXON03C16800.TF-TotalVolume</stp>
        <tr r="P31" s="23"/>
      </tp>
      <tp t="s">
        <v>#N/A</v>
        <stp/>
        <stp>TXON03P16800.TF-TotalVolume</stp>
        <tr r="T31" s="23"/>
      </tp>
      <tp t="s">
        <v>--</v>
        <stp/>
        <stp>TX4N12P14650.TF-Price</stp>
        <tr r="U26" s="16"/>
      </tp>
      <tp t="s">
        <v>#N/A</v>
        <stp/>
        <stp>TX4N12P14750.TF-Price</stp>
        <tr r="U28" s="16"/>
      </tp>
      <tp>
        <v>215</v>
        <stp/>
        <stp>TX4N12P14450.TF-Price</stp>
        <tr r="U22" s="16"/>
      </tp>
      <tp t="s">
        <v>--</v>
        <stp/>
        <stp>TX4N12P14550.TF-Price</stp>
        <tr r="U24" s="16"/>
      </tp>
      <tp>
        <v>78</v>
        <stp/>
        <stp>TX4N12P14250.TF-Price</stp>
        <tr r="U18" s="16"/>
      </tp>
      <tp>
        <v>138</v>
        <stp/>
        <stp>TX4N12P14350.TF-Price</stp>
        <tr r="U20" s="16"/>
      </tp>
      <tp>
        <v>19</v>
        <stp/>
        <stp>TX4N12P14050.TF-Price</stp>
        <tr r="U14" s="16"/>
      </tp>
      <tp>
        <v>40</v>
        <stp/>
        <stp>TX4N12P14150.TF-Price</stp>
        <tr r="U16" s="16"/>
      </tp>
      <tp>
        <v>1.4</v>
        <stp/>
        <stp>TX4N12P13650.TF-Price</stp>
        <tr r="U6" s="16"/>
      </tp>
      <tp>
        <v>2.2000000000000002</v>
        <stp/>
        <stp>TX4N12P13750.TF-Price</stp>
        <tr r="U8" s="16"/>
      </tp>
      <tp t="s">
        <v>#N/A</v>
        <stp/>
        <stp>TX4N12P13550.TF-Price</stp>
        <tr r="U4" s="16"/>
      </tp>
      <tp>
        <v>3.8</v>
        <stp/>
        <stp>TX4N12P13850.TF-Price</stp>
        <tr r="U10" s="16"/>
      </tp>
      <tp>
        <v>8.3000000000000007</v>
        <stp/>
        <stp>TX4N12P13950.TF-Price</stp>
        <tr r="U12" s="16"/>
      </tp>
      <tp>
        <v>0</v>
        <stp/>
        <stp>TXON03C11400.TF-TotalVolume</stp>
        <tr r="P4" s="23"/>
      </tp>
      <tp>
        <v>2</v>
        <stp/>
        <stp>TXON03P11400.TF-TotalVolume</stp>
        <tr r="T4" s="23"/>
      </tp>
      <tp>
        <v>0</v>
        <stp/>
        <stp>TXON03C11600.TF-TotalVolume</stp>
        <tr r="P5" s="23"/>
      </tp>
      <tp>
        <v>0</v>
        <stp/>
        <stp>TXON03P11600.TF-TotalVolume</stp>
        <tr r="T5" s="23"/>
      </tp>
      <tp>
        <v>0</v>
        <stp/>
        <stp>TXON03C11800.TF-TotalVolume</stp>
        <tr r="P6" s="23"/>
      </tp>
      <tp>
        <v>0</v>
        <stp/>
        <stp>TXON03P11800.TF-TotalVolume</stp>
        <tr r="T6" s="23"/>
      </tp>
      <tp>
        <v>0</v>
        <stp/>
        <stp>TXON03C12000.TF-TotalVolume</stp>
        <tr r="P7" s="23"/>
      </tp>
      <tp>
        <v>0</v>
        <stp/>
        <stp>TXON03P12000.TF-TotalVolume</stp>
        <tr r="T7" s="23"/>
      </tp>
      <tp>
        <v>0</v>
        <stp/>
        <stp>TXON03C12200.TF-TotalVolume</stp>
        <tr r="P8" s="23"/>
      </tp>
      <tp>
        <v>0</v>
        <stp/>
        <stp>TXON03P12200.TF-TotalVolume</stp>
        <tr r="T8" s="23"/>
      </tp>
      <tp>
        <v>0</v>
        <stp/>
        <stp>TXON03C12400.TF-TotalVolume</stp>
        <tr r="P9" s="23"/>
      </tp>
      <tp>
        <v>0</v>
        <stp/>
        <stp>TXON03P12400.TF-TotalVolume</stp>
        <tr r="T9" s="23"/>
      </tp>
      <tp t="s">
        <v>#N/A</v>
        <stp/>
        <stp>TX4N12P13550.TF-TotalVolume</stp>
        <tr r="V4" s="16"/>
      </tp>
      <tp t="s">
        <v>#N/A</v>
        <stp/>
        <stp>TX4N12C13550.TF-TotalVolume</stp>
        <tr r="R4" s="16"/>
      </tp>
      <tp>
        <v>905</v>
        <stp/>
        <stp>TX4N12P13600.TF-TotalVolume</stp>
        <tr r="V5" s="16"/>
      </tp>
      <tp>
        <v>518</v>
        <stp/>
        <stp>TX4N12P13650.TF-TotalVolume</stp>
        <tr r="V6" s="16"/>
      </tp>
      <tp>
        <v>0</v>
        <stp/>
        <stp>TX4N12C13600.TF-TotalVolume</stp>
        <tr r="R5" s="16"/>
      </tp>
      <tp>
        <v>0</v>
        <stp/>
        <stp>TX4N12C13650.TF-TotalVolume</stp>
        <tr r="R6" s="16"/>
      </tp>
      <tp>
        <v>0</v>
        <stp/>
        <stp>TXON03C12600.TF-TotalVolume</stp>
        <tr r="P10" s="23"/>
      </tp>
      <tp>
        <v>0</v>
        <stp/>
        <stp>TXON03P12600.TF-TotalVolume</stp>
        <tr r="T10" s="23"/>
      </tp>
      <tp>
        <v>644</v>
        <stp/>
        <stp>TX4N12P13700.TF-TotalVolume</stp>
        <tr r="V7" s="16"/>
      </tp>
      <tp>
        <v>1061</v>
        <stp/>
        <stp>TX4N12P13750.TF-TotalVolume</stp>
        <tr r="V8" s="16"/>
      </tp>
      <tp>
        <v>15</v>
        <stp/>
        <stp>TX4N12C13700.TF-TotalVolume</stp>
        <tr r="R7" s="16"/>
      </tp>
      <tp>
        <v>15</v>
        <stp/>
        <stp>TX4N12C13750.TF-TotalVolume</stp>
        <tr r="R8" s="16"/>
      </tp>
      <tp>
        <v>0</v>
        <stp/>
        <stp>TXON02C12800.TF-TotalVolume</stp>
        <tr r="P4" s="22"/>
      </tp>
      <tp>
        <v>5</v>
        <stp/>
        <stp>TXON02P12800.TF-TotalVolume</stp>
        <tr r="T4" s="22"/>
      </tp>
      <tp>
        <v>1441</v>
        <stp/>
        <stp>TX4N12P13800.TF-TotalVolume</stp>
        <tr r="V9" s="16"/>
      </tp>
      <tp>
        <v>1597</v>
        <stp/>
        <stp>TX4N12P13850.TF-TotalVolume</stp>
        <tr r="V10" s="16"/>
      </tp>
      <tp>
        <v>1</v>
        <stp/>
        <stp>TX4N12C13800.TF-TotalVolume</stp>
        <tr r="R9" s="16"/>
      </tp>
      <tp>
        <v>0</v>
        <stp/>
        <stp>TX4N12C13850.TF-TotalVolume</stp>
        <tr r="R10" s="16"/>
      </tp>
      <tp>
        <v>0</v>
        <stp/>
        <stp>TXON02C12900.TF-TotalVolume</stp>
        <tr r="P5" s="22"/>
      </tp>
      <tp>
        <v>0</v>
        <stp/>
        <stp>TXON03C12800.TF-TotalVolume</stp>
        <tr r="P11" s="23"/>
      </tp>
      <tp>
        <v>0</v>
        <stp/>
        <stp>TXON02P12900.TF-TotalVolume</stp>
        <tr r="T5" s="22"/>
      </tp>
      <tp>
        <v>0</v>
        <stp/>
        <stp>TXON03P12800.TF-TotalVolume</stp>
        <tr r="T11" s="23"/>
      </tp>
      <tp>
        <v>4195</v>
        <stp/>
        <stp>TX4N12P13900.TF-TotalVolume</stp>
        <tr r="V11" s="16"/>
      </tp>
      <tp>
        <v>4308</v>
        <stp/>
        <stp>TX4N12P13950.TF-TotalVolume</stp>
        <tr r="V12" s="16"/>
      </tp>
      <tp>
        <v>0</v>
        <stp/>
        <stp>TX4N12C13900.TF-TotalVolume</stp>
        <tr r="R11" s="16"/>
      </tp>
      <tp>
        <v>8</v>
        <stp/>
        <stp>TX4N12C13950.TF-TotalVolume</stp>
        <tr r="R12" s="16"/>
      </tp>
      <tp>
        <v>0</v>
        <stp/>
        <stp>TXON01C12900.TF-TotalVolume</stp>
        <tr r="P5" s="10"/>
      </tp>
      <tp>
        <v>108</v>
        <stp/>
        <stp>TXON01P12900.TF-TotalVolume</stp>
        <tr r="T5" s="10"/>
      </tp>
      <tp>
        <v>0</v>
        <stp/>
        <stp>TXON01C12800.TF-TotalVolume</stp>
        <tr r="P4" s="10"/>
      </tp>
      <tp>
        <v>58</v>
        <stp/>
        <stp>TXON01P12800.TF-TotalVolume</stp>
        <tr r="T4" s="10"/>
      </tp>
      <tp>
        <v>340</v>
        <stp/>
        <stp>TX4N12P14600.TF-Price</stp>
        <tr r="U25" s="16"/>
      </tp>
      <tp t="s">
        <v>--</v>
        <stp/>
        <stp>TX4N12P14700.TF-Price</stp>
        <tr r="U27" s="16"/>
      </tp>
      <tp>
        <v>176</v>
        <stp/>
        <stp>TX4N12P14400.TF-Price</stp>
        <tr r="U21" s="16"/>
      </tp>
      <tp>
        <v>256</v>
        <stp/>
        <stp>TX4N12P14500.TF-Price</stp>
        <tr r="U23" s="16"/>
      </tp>
      <tp>
        <v>57</v>
        <stp/>
        <stp>TX4N12P14200.TF-Price</stp>
        <tr r="U17" s="16"/>
      </tp>
      <tp>
        <v>105</v>
        <stp/>
        <stp>TX4N12P14300.TF-Price</stp>
        <tr r="U19" s="16"/>
      </tp>
      <tp>
        <v>12.5</v>
        <stp/>
        <stp>TX4N12P14000.TF-Price</stp>
        <tr r="U13" s="16"/>
      </tp>
      <tp>
        <v>28</v>
        <stp/>
        <stp>TX4N12P14100.TF-Price</stp>
        <tr r="U15" s="16"/>
      </tp>
      <tp t="s">
        <v>--</v>
        <stp/>
        <stp>TX4N12P14800.TF-Price</stp>
        <tr r="U29" s="16"/>
      </tp>
      <tp>
        <v>1.2</v>
        <stp/>
        <stp>TX4N12P13600.TF-Price</stp>
        <tr r="U5" s="16"/>
      </tp>
      <tp>
        <v>1.6</v>
        <stp/>
        <stp>TX4N12P13700.TF-Price</stp>
        <tr r="U7" s="16"/>
      </tp>
      <tp>
        <v>2.8</v>
        <stp/>
        <stp>TX4N12P13800.TF-Price</stp>
        <tr r="U9" s="16"/>
      </tp>
      <tp>
        <v>5.5</v>
        <stp/>
        <stp>TX4N12P13900.TF-Price</stp>
        <tr r="U11" s="16"/>
      </tp>
      <tp>
        <v>0</v>
        <stp/>
        <stp>TXON01C13300.TF-TotalVolume</stp>
        <tr r="P9" s="10"/>
      </tp>
      <tp>
        <v>0</v>
        <stp/>
        <stp>TXON02C13000.TF-TotalVolume</stp>
        <tr r="P6" s="22"/>
      </tp>
      <tp>
        <v>345</v>
        <stp/>
        <stp>TXON01P13300.TF-TotalVolume</stp>
        <tr r="T9" s="10"/>
      </tp>
      <tp>
        <v>7</v>
        <stp/>
        <stp>TXON02P13000.TF-TotalVolume</stp>
        <tr r="T6" s="22"/>
      </tp>
      <tp>
        <v>0</v>
        <stp/>
        <stp>TXON01C13200.TF-TotalVolume</stp>
        <tr r="P8" s="10"/>
      </tp>
      <tp>
        <v>0</v>
        <stp/>
        <stp>TXON02C13100.TF-TotalVolume</stp>
        <tr r="P7" s="22"/>
      </tp>
      <tp>
        <v>0</v>
        <stp/>
        <stp>TXON03C13000.TF-TotalVolume</stp>
        <tr r="P12" s="23"/>
      </tp>
      <tp>
        <v>190</v>
        <stp/>
        <stp>TXON01P13200.TF-TotalVolume</stp>
        <tr r="T8" s="10"/>
      </tp>
      <tp>
        <v>0</v>
        <stp/>
        <stp>TXON02P13100.TF-TotalVolume</stp>
        <tr r="T7" s="22"/>
      </tp>
      <tp>
        <v>0</v>
        <stp/>
        <stp>TXON03P13000.TF-TotalVolume</stp>
        <tr r="T12" s="23"/>
      </tp>
      <tp>
        <v>0</v>
        <stp/>
        <stp>TXON01C13100.TF-TotalVolume</stp>
        <tr r="P7" s="10"/>
      </tp>
      <tp>
        <v>0</v>
        <stp/>
        <stp>TXON02C13200.TF-TotalVolume</stp>
        <tr r="P8" s="22"/>
      </tp>
      <tp>
        <v>98</v>
        <stp/>
        <stp>TXON01P13100.TF-TotalVolume</stp>
        <tr r="T7" s="10"/>
      </tp>
      <tp>
        <v>3</v>
        <stp/>
        <stp>TXON02P13200.TF-TotalVolume</stp>
        <tr r="T8" s="22"/>
      </tp>
      <tp>
        <v>0</v>
        <stp/>
        <stp>TXON01C13000.TF-TotalVolume</stp>
        <tr r="P6" s="10"/>
      </tp>
      <tp>
        <v>0</v>
        <stp/>
        <stp>TXON02C13300.TF-TotalVolume</stp>
        <tr r="P9" s="22"/>
      </tp>
      <tp>
        <v>0</v>
        <stp/>
        <stp>TXON03C13200.TF-TotalVolume</stp>
        <tr r="P13" s="23"/>
      </tp>
      <tp>
        <v>393</v>
        <stp/>
        <stp>TXON01P13000.TF-TotalVolume</stp>
        <tr r="T6" s="10"/>
      </tp>
      <tp>
        <v>4</v>
        <stp/>
        <stp>TXON02P13300.TF-TotalVolume</stp>
        <tr r="T9" s="22"/>
      </tp>
      <tp>
        <v>0</v>
        <stp/>
        <stp>TXON03P13200.TF-TotalVolume</stp>
        <tr r="T13" s="23"/>
      </tp>
      <tp>
        <v>50</v>
        <stp/>
        <stp>TXON01C13700.TF-TotalVolume</stp>
        <tr r="P13" s="10"/>
      </tp>
      <tp>
        <v>0</v>
        <stp/>
        <stp>TXON02C13400.TF-TotalVolume</stp>
        <tr r="P10" s="22"/>
      </tp>
      <tp>
        <v>491</v>
        <stp/>
        <stp>TXON01P13700.TF-TotalVolume</stp>
        <tr r="T13" s="10"/>
      </tp>
      <tp>
        <v>11</v>
        <stp/>
        <stp>TXON02P13400.TF-TotalVolume</stp>
        <tr r="T10" s="22"/>
      </tp>
      <tp>
        <v>33</v>
        <stp/>
        <stp>TXON01C13600.TF-TotalVolume</stp>
        <tr r="P12" s="10"/>
      </tp>
      <tp>
        <v>0</v>
        <stp/>
        <stp>TXON02C13500.TF-TotalVolume</stp>
        <tr r="P11" s="22"/>
      </tp>
      <tp>
        <v>0</v>
        <stp/>
        <stp>TXON03C13400.TF-TotalVolume</stp>
        <tr r="P14" s="23"/>
      </tp>
      <tp>
        <v>446</v>
        <stp/>
        <stp>TXON01P13600.TF-TotalVolume</stp>
        <tr r="T12" s="10"/>
      </tp>
      <tp>
        <v>21</v>
        <stp/>
        <stp>TXON02P13500.TF-TotalVolume</stp>
        <tr r="T11" s="22"/>
      </tp>
      <tp>
        <v>0</v>
        <stp/>
        <stp>TXON03P13400.TF-TotalVolume</stp>
        <tr r="T14" s="23"/>
      </tp>
      <tp>
        <v>6</v>
        <stp/>
        <stp>TXON01C13500.TF-TotalVolume</stp>
        <tr r="P11" s="10"/>
      </tp>
      <tp>
        <v>0</v>
        <stp/>
        <stp>TXON02C13600.TF-TotalVolume</stp>
        <tr r="P12" s="22"/>
      </tp>
      <tp>
        <v>246</v>
        <stp/>
        <stp>TXON01P13500.TF-TotalVolume</stp>
        <tr r="T11" s="10"/>
      </tp>
      <tp>
        <v>4</v>
        <stp/>
        <stp>TXON02P13600.TF-TotalVolume</stp>
        <tr r="T12" s="22"/>
      </tp>
      <tp>
        <v>0</v>
        <stp/>
        <stp>TXON01C13400.TF-TotalVolume</stp>
        <tr r="P10" s="10"/>
      </tp>
      <tp>
        <v>0</v>
        <stp/>
        <stp>TXON02C13700.TF-TotalVolume</stp>
        <tr r="P13" s="22"/>
      </tp>
      <tp>
        <v>1</v>
        <stp/>
        <stp>TXON03C13600.TF-TotalVolume</stp>
        <tr r="P15" s="23"/>
      </tp>
      <tp>
        <v>248</v>
        <stp/>
        <stp>TXON01P13400.TF-TotalVolume</stp>
        <tr r="T10" s="10"/>
      </tp>
      <tp>
        <v>2</v>
        <stp/>
        <stp>TXON02P13700.TF-TotalVolume</stp>
        <tr r="T13" s="22"/>
      </tp>
      <tp>
        <v>0</v>
        <stp/>
        <stp>TXON03P13600.TF-TotalVolume</stp>
        <tr r="T15" s="23"/>
      </tp>
      <tp>
        <v>0</v>
        <stp/>
        <stp>TXON02C13800.TF-TotalVolume</stp>
        <tr r="P14" s="22"/>
      </tp>
      <tp>
        <v>7</v>
        <stp/>
        <stp>TXON02P13800.TF-TotalVolume</stp>
        <tr r="T14" s="22"/>
      </tp>
      <tp>
        <v>0</v>
        <stp/>
        <stp>TXON02C13900.TF-TotalVolume</stp>
        <tr r="P15" s="22"/>
      </tp>
      <tp>
        <v>0</v>
        <stp/>
        <stp>TXON03C13800.TF-TotalVolume</stp>
        <tr r="P16" s="23"/>
      </tp>
      <tp>
        <v>2</v>
        <stp/>
        <stp>TXON02P13900.TF-TotalVolume</stp>
        <tr r="T15" s="22"/>
      </tp>
      <tp>
        <v>0</v>
        <stp/>
        <stp>TXON03P13800.TF-TotalVolume</stp>
        <tr r="T16" s="23"/>
      </tp>
      <tp>
        <v>55</v>
        <stp/>
        <stp>TXON01C13900.TF-TotalVolume</stp>
        <tr r="P15" s="10"/>
      </tp>
      <tp>
        <v>360</v>
        <stp/>
        <stp>TXON01P13900.TF-TotalVolume</stp>
        <tr r="T15" s="10"/>
      </tp>
      <tp>
        <v>49</v>
        <stp/>
        <stp>TXON01C13800.TF-TotalVolume</stp>
        <tr r="P14" s="10"/>
      </tp>
      <tp>
        <v>441</v>
        <stp/>
        <stp>TXON01P13800.TF-TotalVolume</stp>
        <tr r="T14" s="10"/>
      </tp>
      <tp>
        <v>14239</v>
        <stp/>
        <stp>FIMX4N12.TF-Bid</stp>
        <tr r="C3" s="16"/>
      </tp>
      <tp>
        <v>14246</v>
        <stp/>
        <stp>FIMX4N12.TF-Ask</stp>
        <tr r="C4" s="16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calcChain" Target="calcChain.xml"/><Relationship Id="rId3" Type="http://schemas.openxmlformats.org/officeDocument/2006/relationships/worksheet" Target="worksheets/sheet2.xml"/><Relationship Id="rId7" Type="http://schemas.openxmlformats.org/officeDocument/2006/relationships/worksheet" Target="worksheets/sheet6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11" Type="http://schemas.openxmlformats.org/officeDocument/2006/relationships/styles" Target="styles.xml"/><Relationship Id="rId5" Type="http://schemas.openxmlformats.org/officeDocument/2006/relationships/worksheet" Target="worksheets/sheet4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3.xml"/><Relationship Id="rId9" Type="http://schemas.openxmlformats.org/officeDocument/2006/relationships/theme" Target="theme/theme1.xml"/><Relationship Id="rId14" Type="http://schemas.openxmlformats.org/officeDocument/2006/relationships/volatileDependencies" Target="volatileDependenci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7107192640509133E-2"/>
          <c:y val="2.3079525734745046E-2"/>
          <c:w val="0.80352089976110752"/>
          <c:h val="0.898873349078735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近月選!$R$2</c:f>
              <c:strCache>
                <c:ptCount val="1"/>
                <c:pt idx="0">
                  <c:v>月選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dLbls>
            <c:dLbl>
              <c:idx val="16"/>
              <c:delete val="1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zh-TW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近月選!$R$4:$R$31</c:f>
              <c:numCache>
                <c:formatCode>General</c:formatCode>
                <c:ptCount val="28"/>
                <c:pt idx="0">
                  <c:v>12800</c:v>
                </c:pt>
                <c:pt idx="1">
                  <c:v>12900</c:v>
                </c:pt>
                <c:pt idx="2">
                  <c:v>13000</c:v>
                </c:pt>
                <c:pt idx="3">
                  <c:v>13100</c:v>
                </c:pt>
                <c:pt idx="4">
                  <c:v>13200</c:v>
                </c:pt>
                <c:pt idx="5">
                  <c:v>13300</c:v>
                </c:pt>
                <c:pt idx="6">
                  <c:v>13400</c:v>
                </c:pt>
                <c:pt idx="7">
                  <c:v>13500</c:v>
                </c:pt>
                <c:pt idx="8">
                  <c:v>13600</c:v>
                </c:pt>
                <c:pt idx="9">
                  <c:v>13700</c:v>
                </c:pt>
                <c:pt idx="10">
                  <c:v>13800</c:v>
                </c:pt>
                <c:pt idx="11">
                  <c:v>13900</c:v>
                </c:pt>
                <c:pt idx="12">
                  <c:v>14000</c:v>
                </c:pt>
                <c:pt idx="13">
                  <c:v>14100</c:v>
                </c:pt>
                <c:pt idx="14">
                  <c:v>14200</c:v>
                </c:pt>
                <c:pt idx="15">
                  <c:v>14300</c:v>
                </c:pt>
                <c:pt idx="16">
                  <c:v>14400</c:v>
                </c:pt>
                <c:pt idx="17">
                  <c:v>14500</c:v>
                </c:pt>
                <c:pt idx="18">
                  <c:v>14600</c:v>
                </c:pt>
                <c:pt idx="19">
                  <c:v>14700</c:v>
                </c:pt>
                <c:pt idx="20">
                  <c:v>14800</c:v>
                </c:pt>
                <c:pt idx="21">
                  <c:v>14900</c:v>
                </c:pt>
                <c:pt idx="22">
                  <c:v>15000</c:v>
                </c:pt>
                <c:pt idx="23">
                  <c:v>15100</c:v>
                </c:pt>
                <c:pt idx="24">
                  <c:v>15200</c:v>
                </c:pt>
                <c:pt idx="25">
                  <c:v>15300</c:v>
                </c:pt>
                <c:pt idx="26">
                  <c:v>15400</c:v>
                </c:pt>
                <c:pt idx="27">
                  <c:v>15500</c:v>
                </c:pt>
              </c:numCache>
            </c:numRef>
          </c:xVal>
          <c:yVal>
            <c:numRef>
              <c:f>近月選!$K$4:$K$31</c:f>
              <c:numCache>
                <c:formatCode>0.00%</c:formatCode>
                <c:ptCount val="28"/>
                <c:pt idx="0">
                  <c:v>0.21612480269670487</c:v>
                </c:pt>
                <c:pt idx="1">
                  <c:v>0.20872084552049641</c:v>
                </c:pt>
                <c:pt idx="2">
                  <c:v>0.20202173762917522</c:v>
                </c:pt>
                <c:pt idx="3">
                  <c:v>0.19491853045225144</c:v>
                </c:pt>
                <c:pt idx="4">
                  <c:v>0.18891139788627626</c:v>
                </c:pt>
                <c:pt idx="5">
                  <c:v>0.18258319115340713</c:v>
                </c:pt>
                <c:pt idx="6">
                  <c:v>0.17676165817081932</c:v>
                </c:pt>
                <c:pt idx="7">
                  <c:v>0.17190275167226793</c:v>
                </c:pt>
                <c:pt idx="8">
                  <c:v>0.16739007124304772</c:v>
                </c:pt>
                <c:pt idx="9">
                  <c:v>0.16241166340708735</c:v>
                </c:pt>
                <c:pt idx="10">
                  <c:v>0.15840065018832686</c:v>
                </c:pt>
                <c:pt idx="11">
                  <c:v>0.15414237946420911</c:v>
                </c:pt>
                <c:pt idx="12">
                  <c:v>0.15080131875574593</c:v>
                </c:pt>
                <c:pt idx="13">
                  <c:v>0.14745620513409377</c:v>
                </c:pt>
                <c:pt idx="14">
                  <c:v>0.14496512376368048</c:v>
                </c:pt>
                <c:pt idx="15">
                  <c:v>0.14270705510079859</c:v>
                </c:pt>
                <c:pt idx="16">
                  <c:v>0.14040148391127588</c:v>
                </c:pt>
                <c:pt idx="17">
                  <c:v>0.13851157473027709</c:v>
                </c:pt>
                <c:pt idx="18">
                  <c:v>0.13704769824743271</c:v>
                </c:pt>
                <c:pt idx="19">
                  <c:v>0.13575380571186541</c:v>
                </c:pt>
                <c:pt idx="20">
                  <c:v>0.1343199684679508</c:v>
                </c:pt>
                <c:pt idx="21">
                  <c:v>0.13383981745839119</c:v>
                </c:pt>
                <c:pt idx="22">
                  <c:v>0.13492850146293639</c:v>
                </c:pt>
                <c:pt idx="23">
                  <c:v>0</c:v>
                </c:pt>
                <c:pt idx="24">
                  <c:v>0.13777746102809907</c:v>
                </c:pt>
                <c:pt idx="25">
                  <c:v>0</c:v>
                </c:pt>
                <c:pt idx="26">
                  <c:v>#N/A</c:v>
                </c:pt>
                <c:pt idx="27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近月選!$A$2</c:f>
              <c:strCache>
                <c:ptCount val="1"/>
                <c:pt idx="0">
                  <c:v>台股指數近月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zh-TW"/>
              </a:p>
            </c:txPr>
            <c:dLblPos val="ct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xVal>
            <c:numRef>
              <c:f>近月選!$C$18:$C$19</c:f>
              <c:numCache>
                <c:formatCode>General</c:formatCode>
                <c:ptCount val="2"/>
                <c:pt idx="0">
                  <c:v>14148</c:v>
                </c:pt>
                <c:pt idx="1">
                  <c:v>14148</c:v>
                </c:pt>
              </c:numCache>
            </c:numRef>
          </c:xVal>
          <c:yVal>
            <c:numRef>
              <c:f>近月選!$D$18:$D$19</c:f>
              <c:numCache>
                <c:formatCode>0.00%</c:formatCode>
                <c:ptCount val="2"/>
                <c:pt idx="0">
                  <c:v>1</c:v>
                </c:pt>
                <c:pt idx="1">
                  <c:v>0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近月選!$A$17</c:f>
              <c:strCache>
                <c:ptCount val="1"/>
                <c:pt idx="0">
                  <c:v>昨收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3">
                      <a:shade val="51000"/>
                      <a:satMod val="130000"/>
                    </a:schemeClr>
                  </a:gs>
                  <a:gs pos="80000">
                    <a:schemeClr val="accent3">
                      <a:shade val="93000"/>
                      <a:satMod val="130000"/>
                    </a:schemeClr>
                  </a:gs>
                  <a:gs pos="100000">
                    <a:schemeClr val="accent3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3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xVal>
            <c:numRef>
              <c:f>近月選!$A$18:$A$19</c:f>
              <c:numCache>
                <c:formatCode>General</c:formatCode>
                <c:ptCount val="2"/>
                <c:pt idx="0">
                  <c:v>14136</c:v>
                </c:pt>
                <c:pt idx="1">
                  <c:v>14136</c:v>
                </c:pt>
              </c:numCache>
            </c:numRef>
          </c:xVal>
          <c:yVal>
            <c:numRef>
              <c:f>近月選!$B$18:$B$19</c:f>
              <c:numCache>
                <c:formatCode>0.00%</c:formatCode>
                <c:ptCount val="2"/>
                <c:pt idx="0">
                  <c:v>1</c:v>
                </c:pt>
                <c:pt idx="1">
                  <c:v>0</c:v>
                </c:pt>
              </c:numCache>
            </c:numRef>
          </c:yVal>
          <c:smooth val="1"/>
        </c:ser>
        <c:ser>
          <c:idx val="4"/>
          <c:order val="4"/>
          <c:tx>
            <c:v>遠月</c:v>
          </c:tx>
          <c:spPr>
            <a:ln w="9525" cap="rnd">
              <a:solidFill>
                <a:schemeClr val="accent5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5">
                      <a:shade val="51000"/>
                      <a:satMod val="130000"/>
                    </a:schemeClr>
                  </a:gs>
                  <a:gs pos="80000">
                    <a:schemeClr val="accent5">
                      <a:shade val="93000"/>
                      <a:satMod val="130000"/>
                    </a:schemeClr>
                  </a:gs>
                  <a:gs pos="100000">
                    <a:schemeClr val="accent5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5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xVal>
            <c:numRef>
              <c:f>遠月選!$R$4:$R$31</c:f>
              <c:numCache>
                <c:formatCode>General</c:formatCode>
                <c:ptCount val="28"/>
                <c:pt idx="0">
                  <c:v>12800</c:v>
                </c:pt>
                <c:pt idx="1">
                  <c:v>12900</c:v>
                </c:pt>
                <c:pt idx="2">
                  <c:v>13000</c:v>
                </c:pt>
                <c:pt idx="3">
                  <c:v>13100</c:v>
                </c:pt>
                <c:pt idx="4">
                  <c:v>13200</c:v>
                </c:pt>
                <c:pt idx="5">
                  <c:v>13300</c:v>
                </c:pt>
                <c:pt idx="6">
                  <c:v>13400</c:v>
                </c:pt>
                <c:pt idx="7">
                  <c:v>13500</c:v>
                </c:pt>
                <c:pt idx="8">
                  <c:v>13600</c:v>
                </c:pt>
                <c:pt idx="9">
                  <c:v>13700</c:v>
                </c:pt>
                <c:pt idx="10">
                  <c:v>13800</c:v>
                </c:pt>
                <c:pt idx="11">
                  <c:v>13900</c:v>
                </c:pt>
                <c:pt idx="12">
                  <c:v>14000</c:v>
                </c:pt>
                <c:pt idx="13">
                  <c:v>14100</c:v>
                </c:pt>
                <c:pt idx="14">
                  <c:v>14200</c:v>
                </c:pt>
                <c:pt idx="15">
                  <c:v>14300</c:v>
                </c:pt>
                <c:pt idx="16">
                  <c:v>14400</c:v>
                </c:pt>
                <c:pt idx="17">
                  <c:v>14500</c:v>
                </c:pt>
                <c:pt idx="18">
                  <c:v>14600</c:v>
                </c:pt>
                <c:pt idx="19">
                  <c:v>14700</c:v>
                </c:pt>
                <c:pt idx="20">
                  <c:v>14800</c:v>
                </c:pt>
                <c:pt idx="21">
                  <c:v>14900</c:v>
                </c:pt>
                <c:pt idx="22">
                  <c:v>15000</c:v>
                </c:pt>
                <c:pt idx="23">
                  <c:v>15100</c:v>
                </c:pt>
                <c:pt idx="24">
                  <c:v>15200</c:v>
                </c:pt>
                <c:pt idx="25">
                  <c:v>15300</c:v>
                </c:pt>
                <c:pt idx="26">
                  <c:v>15400</c:v>
                </c:pt>
                <c:pt idx="27">
                  <c:v>15500</c:v>
                </c:pt>
              </c:numCache>
            </c:numRef>
          </c:xVal>
          <c:yVal>
            <c:numRef>
              <c:f>遠月選!$K$4:$K$31</c:f>
              <c:numCache>
                <c:formatCode>0.00%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0</c:v>
                </c:pt>
                <c:pt idx="24">
                  <c:v>#N/A</c:v>
                </c:pt>
                <c:pt idx="25">
                  <c:v>0</c:v>
                </c:pt>
                <c:pt idx="26">
                  <c:v>#N/A</c:v>
                </c:pt>
                <c:pt idx="27">
                  <c:v>0</c:v>
                </c:pt>
              </c:numCache>
            </c:numRef>
          </c:yVal>
          <c:smooth val="1"/>
        </c:ser>
        <c:ser>
          <c:idx val="6"/>
          <c:order val="6"/>
          <c:tx>
            <c:strRef>
              <c:f>次遠月選!$A$3</c:f>
              <c:strCache>
                <c:ptCount val="1"/>
                <c:pt idx="0">
                  <c:v>次遠月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</a:schemeClr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1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1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1">
                    <a:lumMod val="60000"/>
                  </a:schemeClr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xVal>
            <c:numRef>
              <c:f>次遠月選!$R$4:$R$31</c:f>
              <c:numCache>
                <c:formatCode>General</c:formatCode>
                <c:ptCount val="28"/>
                <c:pt idx="0">
                  <c:v>11400</c:v>
                </c:pt>
                <c:pt idx="1">
                  <c:v>11600</c:v>
                </c:pt>
                <c:pt idx="2">
                  <c:v>11800</c:v>
                </c:pt>
                <c:pt idx="3">
                  <c:v>12000</c:v>
                </c:pt>
                <c:pt idx="4">
                  <c:v>12200</c:v>
                </c:pt>
                <c:pt idx="5">
                  <c:v>12400</c:v>
                </c:pt>
                <c:pt idx="6">
                  <c:v>12600</c:v>
                </c:pt>
                <c:pt idx="7">
                  <c:v>12800</c:v>
                </c:pt>
                <c:pt idx="8">
                  <c:v>13000</c:v>
                </c:pt>
                <c:pt idx="9">
                  <c:v>13200</c:v>
                </c:pt>
                <c:pt idx="10">
                  <c:v>13400</c:v>
                </c:pt>
                <c:pt idx="11">
                  <c:v>13600</c:v>
                </c:pt>
                <c:pt idx="12">
                  <c:v>13800</c:v>
                </c:pt>
                <c:pt idx="13">
                  <c:v>14000</c:v>
                </c:pt>
                <c:pt idx="14">
                  <c:v>14200</c:v>
                </c:pt>
                <c:pt idx="15">
                  <c:v>14400</c:v>
                </c:pt>
                <c:pt idx="16">
                  <c:v>14600</c:v>
                </c:pt>
                <c:pt idx="17">
                  <c:v>14800</c:v>
                </c:pt>
                <c:pt idx="18">
                  <c:v>15000</c:v>
                </c:pt>
                <c:pt idx="19">
                  <c:v>15200</c:v>
                </c:pt>
                <c:pt idx="20">
                  <c:v>15400</c:v>
                </c:pt>
                <c:pt idx="21">
                  <c:v>15600</c:v>
                </c:pt>
                <c:pt idx="22">
                  <c:v>15800</c:v>
                </c:pt>
                <c:pt idx="23">
                  <c:v>16000</c:v>
                </c:pt>
                <c:pt idx="24">
                  <c:v>16200</c:v>
                </c:pt>
                <c:pt idx="25">
                  <c:v>16400</c:v>
                </c:pt>
                <c:pt idx="26">
                  <c:v>16600</c:v>
                </c:pt>
                <c:pt idx="27">
                  <c:v>16800</c:v>
                </c:pt>
              </c:numCache>
            </c:numRef>
          </c:xVal>
          <c:yVal>
            <c:numRef>
              <c:f>次遠月選!$K$4:$K$31</c:f>
              <c:numCache>
                <c:formatCode>0.00%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2622104"/>
        <c:axId val="372623280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週選!$T$2</c15:sqref>
                        </c15:formulaRef>
                      </c:ext>
                    </c:extLst>
                    <c:strCache>
                      <c:ptCount val="1"/>
                      <c:pt idx="0">
                        <c:v>週選</c:v>
                      </c:pt>
                    </c:strCache>
                  </c:strRef>
                </c:tx>
                <c:spPr>
                  <a:ln w="9525" cap="rnd">
                    <a:solidFill>
                      <a:schemeClr val="accent4"/>
                    </a:solidFill>
                    <a:round/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</c:spPr>
                <c:marker>
                  <c:symbol val="circle"/>
                  <c:size val="5"/>
                  <c:spPr>
                    <a:gradFill rotWithShape="1">
                      <a:gsLst>
                        <a:gs pos="0">
                          <a:schemeClr val="accent4">
                            <a:shade val="51000"/>
                            <a:satMod val="130000"/>
                          </a:schemeClr>
                        </a:gs>
                        <a:gs pos="80000">
                          <a:schemeClr val="accent4">
                            <a:shade val="93000"/>
                            <a:satMod val="130000"/>
                          </a:schemeClr>
                        </a:gs>
                        <a:gs pos="100000">
                          <a:schemeClr val="accent4">
                            <a:shade val="94000"/>
                            <a:satMod val="135000"/>
                          </a:schemeClr>
                        </a:gs>
                      </a:gsLst>
                      <a:lin ang="16200000" scaled="0"/>
                    </a:gradFill>
                    <a:ln w="9525">
                      <a:solidFill>
                        <a:schemeClr val="accent4"/>
                      </a:solidFill>
                      <a:round/>
                    </a:ln>
                    <a:effectLst>
                      <a:outerShdw blurRad="40000" dist="23000" dir="5400000" rotWithShape="0">
                        <a:srgbClr val="000000">
                          <a:alpha val="35000"/>
                        </a:srgbClr>
                      </a:outerShdw>
                    </a:effectLst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週選!$T$4:$T$29</c15:sqref>
                        </c15:formulaRef>
                      </c:ext>
                    </c:extLst>
                    <c:numCache>
                      <c:formatCode>General</c:formatCode>
                      <c:ptCount val="26"/>
                      <c:pt idx="0">
                        <c:v>13550</c:v>
                      </c:pt>
                      <c:pt idx="1">
                        <c:v>13600</c:v>
                      </c:pt>
                      <c:pt idx="2">
                        <c:v>13650</c:v>
                      </c:pt>
                      <c:pt idx="3">
                        <c:v>13700</c:v>
                      </c:pt>
                      <c:pt idx="4">
                        <c:v>13750</c:v>
                      </c:pt>
                      <c:pt idx="5">
                        <c:v>13800</c:v>
                      </c:pt>
                      <c:pt idx="6">
                        <c:v>13850</c:v>
                      </c:pt>
                      <c:pt idx="7">
                        <c:v>13900</c:v>
                      </c:pt>
                      <c:pt idx="8">
                        <c:v>13950</c:v>
                      </c:pt>
                      <c:pt idx="9">
                        <c:v>14000</c:v>
                      </c:pt>
                      <c:pt idx="10">
                        <c:v>14050</c:v>
                      </c:pt>
                      <c:pt idx="11">
                        <c:v>14100</c:v>
                      </c:pt>
                      <c:pt idx="12">
                        <c:v>14150</c:v>
                      </c:pt>
                      <c:pt idx="13">
                        <c:v>14200</c:v>
                      </c:pt>
                      <c:pt idx="14">
                        <c:v>14250</c:v>
                      </c:pt>
                      <c:pt idx="15">
                        <c:v>14300</c:v>
                      </c:pt>
                      <c:pt idx="16">
                        <c:v>14350</c:v>
                      </c:pt>
                      <c:pt idx="17">
                        <c:v>14400</c:v>
                      </c:pt>
                      <c:pt idx="18">
                        <c:v>14450</c:v>
                      </c:pt>
                      <c:pt idx="19">
                        <c:v>14500</c:v>
                      </c:pt>
                      <c:pt idx="20">
                        <c:v>14550</c:v>
                      </c:pt>
                      <c:pt idx="21">
                        <c:v>14600</c:v>
                      </c:pt>
                      <c:pt idx="22">
                        <c:v>14650</c:v>
                      </c:pt>
                      <c:pt idx="23">
                        <c:v>14700</c:v>
                      </c:pt>
                      <c:pt idx="24">
                        <c:v>14750</c:v>
                      </c:pt>
                      <c:pt idx="25">
                        <c:v>14800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週選!$M$4:$M$29</c15:sqref>
                        </c15:formulaRef>
                      </c:ext>
                    </c:extLst>
                    <c:numCache>
                      <c:formatCode>0.00%</c:formatCode>
                      <c:ptCount val="26"/>
                      <c:pt idx="0">
                        <c:v>#N/A</c:v>
                      </c:pt>
                      <c:pt idx="1">
                        <c:v>0.18532480812072755</c:v>
                      </c:pt>
                      <c:pt idx="2">
                        <c:v>0.17704542169570925</c:v>
                      </c:pt>
                      <c:pt idx="3">
                        <c:v>0.16770941696166991</c:v>
                      </c:pt>
                      <c:pt idx="4">
                        <c:v>0.15987918868064882</c:v>
                      </c:pt>
                      <c:pt idx="5">
                        <c:v>0.15243947050571444</c:v>
                      </c:pt>
                      <c:pt idx="6">
                        <c:v>0.14568970119953162</c:v>
                      </c:pt>
                      <c:pt idx="7">
                        <c:v>0.14159387481212615</c:v>
                      </c:pt>
                      <c:pt idx="8">
                        <c:v>0.13741889741420749</c:v>
                      </c:pt>
                      <c:pt idx="9">
                        <c:v>0.13305963166952128</c:v>
                      </c:pt>
                      <c:pt idx="10">
                        <c:v>0.13035371609926222</c:v>
                      </c:pt>
                      <c:pt idx="11">
                        <c:v>0.12714559690356256</c:v>
                      </c:pt>
                      <c:pt idx="12">
                        <c:v>0.12361157580614091</c:v>
                      </c:pt>
                      <c:pt idx="13">
                        <c:v>0.12053779876232149</c:v>
                      </c:pt>
                      <c:pt idx="14">
                        <c:v>0.11703298248052597</c:v>
                      </c:pt>
                      <c:pt idx="15">
                        <c:v>0.11450384544730186</c:v>
                      </c:pt>
                      <c:pt idx="16">
                        <c:v>0.10996279462575914</c:v>
                      </c:pt>
                      <c:pt idx="17">
                        <c:v>0.10669209368228913</c:v>
                      </c:pt>
                      <c:pt idx="18">
                        <c:v>0.10170605683326721</c:v>
                      </c:pt>
                      <c:pt idx="19">
                        <c:v>0.13066865129470823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</c:numCache>
                  </c:numRef>
                </c:yVal>
                <c:smooth val="1"/>
              </c15:ser>
            </c15:filteredScatterSeries>
            <c15:filteredScatterSeries>
              <c15:ser>
                <c:idx val="5"/>
                <c:order val="5"/>
                <c:tx>
                  <c:v>昨收</c:v>
                </c:tx>
                <c:spPr>
                  <a:ln w="9525" cap="rnd">
                    <a:solidFill>
                      <a:schemeClr val="accent6"/>
                    </a:solidFill>
                    <a:round/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</c:spPr>
                <c:marker>
                  <c:symbol val="circle"/>
                  <c:size val="5"/>
                  <c:spPr>
                    <a:gradFill rotWithShape="1">
                      <a:gsLst>
                        <a:gs pos="0">
                          <a:schemeClr val="accent6">
                            <a:shade val="51000"/>
                            <a:satMod val="130000"/>
                          </a:schemeClr>
                        </a:gs>
                        <a:gs pos="80000">
                          <a:schemeClr val="accent6">
                            <a:shade val="93000"/>
                            <a:satMod val="130000"/>
                          </a:schemeClr>
                        </a:gs>
                        <a:gs pos="100000">
                          <a:schemeClr val="accent6">
                            <a:shade val="94000"/>
                            <a:satMod val="135000"/>
                          </a:schemeClr>
                        </a:gs>
                      </a:gsLst>
                      <a:lin ang="16200000" scaled="0"/>
                    </a:gradFill>
                    <a:ln w="9525">
                      <a:solidFill>
                        <a:schemeClr val="accent6"/>
                      </a:solidFill>
                      <a:round/>
                    </a:ln>
                    <a:effectLst>
                      <a:outerShdw blurRad="40000" dist="23000" dir="5400000" rotWithShape="0">
                        <a:srgbClr val="000000">
                          <a:alpha val="35000"/>
                        </a:srgbClr>
                      </a:outerShdw>
                    </a:effectLst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波動率儲存!$R$2:$R$29</c15:sqref>
                        </c15:formulaRef>
                      </c:ext>
                    </c:extLst>
                    <c:numCache>
                      <c:formatCode>General</c:formatCode>
                      <c:ptCount val="28"/>
                      <c:pt idx="0">
                        <c:v>11300</c:v>
                      </c:pt>
                      <c:pt idx="1">
                        <c:v>11400</c:v>
                      </c:pt>
                      <c:pt idx="2">
                        <c:v>11500</c:v>
                      </c:pt>
                      <c:pt idx="3">
                        <c:v>11600</c:v>
                      </c:pt>
                      <c:pt idx="4">
                        <c:v>11700</c:v>
                      </c:pt>
                      <c:pt idx="5">
                        <c:v>11800</c:v>
                      </c:pt>
                      <c:pt idx="6">
                        <c:v>11900</c:v>
                      </c:pt>
                      <c:pt idx="7">
                        <c:v>12000</c:v>
                      </c:pt>
                      <c:pt idx="8">
                        <c:v>12100</c:v>
                      </c:pt>
                      <c:pt idx="9">
                        <c:v>12200</c:v>
                      </c:pt>
                      <c:pt idx="10">
                        <c:v>12300</c:v>
                      </c:pt>
                      <c:pt idx="11">
                        <c:v>12400</c:v>
                      </c:pt>
                      <c:pt idx="12">
                        <c:v>12500</c:v>
                      </c:pt>
                      <c:pt idx="13">
                        <c:v>12600</c:v>
                      </c:pt>
                      <c:pt idx="14">
                        <c:v>12700</c:v>
                      </c:pt>
                      <c:pt idx="15">
                        <c:v>12800</c:v>
                      </c:pt>
                      <c:pt idx="16">
                        <c:v>12900</c:v>
                      </c:pt>
                      <c:pt idx="17">
                        <c:v>13000</c:v>
                      </c:pt>
                      <c:pt idx="18">
                        <c:v>13100</c:v>
                      </c:pt>
                      <c:pt idx="19">
                        <c:v>13200</c:v>
                      </c:pt>
                      <c:pt idx="20">
                        <c:v>13300</c:v>
                      </c:pt>
                      <c:pt idx="21">
                        <c:v>13400</c:v>
                      </c:pt>
                      <c:pt idx="22">
                        <c:v>13500</c:v>
                      </c:pt>
                      <c:pt idx="23">
                        <c:v>13600</c:v>
                      </c:pt>
                      <c:pt idx="24">
                        <c:v>13700</c:v>
                      </c:pt>
                      <c:pt idx="25">
                        <c:v>13800</c:v>
                      </c:pt>
                      <c:pt idx="26">
                        <c:v>13900</c:v>
                      </c:pt>
                      <c:pt idx="27">
                        <c:v>14000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波動率儲存!$Q$2:$Q$29</c15:sqref>
                        </c15:formulaRef>
                      </c:ext>
                    </c:extLst>
                    <c:numCache>
                      <c:formatCode>General</c:formatCode>
                      <c:ptCount val="28"/>
                      <c:pt idx="0">
                        <c:v>0.32954748554229735</c:v>
                      </c:pt>
                      <c:pt idx="1">
                        <c:v>0.31530793266296392</c:v>
                      </c:pt>
                      <c:pt idx="2">
                        <c:v>0.30044852247238168</c:v>
                      </c:pt>
                      <c:pt idx="3">
                        <c:v>0.28946131322383883</c:v>
                      </c:pt>
                      <c:pt idx="4">
                        <c:v>0.2778346973180772</c:v>
                      </c:pt>
                      <c:pt idx="5">
                        <c:v>0.26717124431133271</c:v>
                      </c:pt>
                      <c:pt idx="6">
                        <c:v>0.25671663553714752</c:v>
                      </c:pt>
                      <c:pt idx="7">
                        <c:v>0.24719562723636629</c:v>
                      </c:pt>
                      <c:pt idx="8">
                        <c:v>0.23778094830513005</c:v>
                      </c:pt>
                      <c:pt idx="9">
                        <c:v>0.22721393079161645</c:v>
                      </c:pt>
                      <c:pt idx="10">
                        <c:v>0.21664619805812835</c:v>
                      </c:pt>
                      <c:pt idx="11">
                        <c:v>0.20766655167639259</c:v>
                      </c:pt>
                      <c:pt idx="12">
                        <c:v>0.19692722575068472</c:v>
                      </c:pt>
                      <c:pt idx="13">
                        <c:v>0.18677765829563142</c:v>
                      </c:pt>
                      <c:pt idx="14">
                        <c:v>0.17690649021565916</c:v>
                      </c:pt>
                      <c:pt idx="15">
                        <c:v>0.16867573874890804</c:v>
                      </c:pt>
                      <c:pt idx="16">
                        <c:v>0.16333835008740424</c:v>
                      </c:pt>
                      <c:pt idx="17">
                        <c:v>0.15982077904939651</c:v>
                      </c:pt>
                      <c:pt idx="18">
                        <c:v>0.16091482720375061</c:v>
                      </c:pt>
                      <c:pt idx="19">
                        <c:v>0.16679774990081786</c:v>
                      </c:pt>
                      <c:pt idx="20">
                        <c:v>0.17488450374603276</c:v>
                      </c:pt>
                      <c:pt idx="21">
                        <c:v>0.18788052749633788</c:v>
                      </c:pt>
                      <c:pt idx="22">
                        <c:v>0.20115310297012329</c:v>
                      </c:pt>
                      <c:pt idx="23">
                        <c:v>0.21098880805969239</c:v>
                      </c:pt>
                      <c:pt idx="24">
                        <c:v>0.22371209459304808</c:v>
                      </c:pt>
                      <c:pt idx="25">
                        <c:v>0.23934012784957889</c:v>
                      </c:pt>
                      <c:pt idx="26">
                        <c:v>#N/A</c:v>
                      </c:pt>
                      <c:pt idx="27">
                        <c:v>0.26200401840209964</c:v>
                      </c:pt>
                    </c:numCache>
                  </c:numRef>
                </c:yVal>
                <c:smooth val="1"/>
              </c15:ser>
            </c15:filteredScatterSeries>
          </c:ext>
        </c:extLst>
      </c:scatterChart>
      <c:valAx>
        <c:axId val="372622104"/>
        <c:scaling>
          <c:orientation val="minMax"/>
          <c:max val="13900"/>
          <c:min val="11300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372623280"/>
        <c:crossesAt val="0"/>
        <c:crossBetween val="midCat"/>
        <c:majorUnit val="100"/>
        <c:minorUnit val="50"/>
      </c:valAx>
      <c:valAx>
        <c:axId val="372623280"/>
        <c:scaling>
          <c:orientation val="minMax"/>
          <c:max val="0.33000000000000007"/>
          <c:min val="8.0000000000000016E-2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372622104"/>
        <c:crosses val="autoZero"/>
        <c:crossBetween val="midCat"/>
        <c:majorUnit val="1.0000000000000002E-2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週選!$L$3</c:f>
              <c:strCache>
                <c:ptCount val="1"/>
                <c:pt idx="0">
                  <c:v>call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TW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週選!$T$4:$T$29</c:f>
              <c:numCache>
                <c:formatCode>General</c:formatCode>
                <c:ptCount val="26"/>
                <c:pt idx="0">
                  <c:v>13550</c:v>
                </c:pt>
                <c:pt idx="1">
                  <c:v>13600</c:v>
                </c:pt>
                <c:pt idx="2">
                  <c:v>13650</c:v>
                </c:pt>
                <c:pt idx="3">
                  <c:v>13700</c:v>
                </c:pt>
                <c:pt idx="4">
                  <c:v>13750</c:v>
                </c:pt>
                <c:pt idx="5">
                  <c:v>13800</c:v>
                </c:pt>
                <c:pt idx="6">
                  <c:v>13850</c:v>
                </c:pt>
                <c:pt idx="7">
                  <c:v>13900</c:v>
                </c:pt>
                <c:pt idx="8">
                  <c:v>13950</c:v>
                </c:pt>
                <c:pt idx="9">
                  <c:v>14000</c:v>
                </c:pt>
                <c:pt idx="10">
                  <c:v>14050</c:v>
                </c:pt>
                <c:pt idx="11">
                  <c:v>14100</c:v>
                </c:pt>
                <c:pt idx="12">
                  <c:v>14150</c:v>
                </c:pt>
                <c:pt idx="13">
                  <c:v>14200</c:v>
                </c:pt>
                <c:pt idx="14">
                  <c:v>14250</c:v>
                </c:pt>
                <c:pt idx="15">
                  <c:v>14300</c:v>
                </c:pt>
                <c:pt idx="16">
                  <c:v>14350</c:v>
                </c:pt>
                <c:pt idx="17">
                  <c:v>14400</c:v>
                </c:pt>
                <c:pt idx="18">
                  <c:v>14450</c:v>
                </c:pt>
                <c:pt idx="19">
                  <c:v>14500</c:v>
                </c:pt>
                <c:pt idx="20">
                  <c:v>14550</c:v>
                </c:pt>
                <c:pt idx="21">
                  <c:v>14600</c:v>
                </c:pt>
                <c:pt idx="22">
                  <c:v>14650</c:v>
                </c:pt>
                <c:pt idx="23">
                  <c:v>14700</c:v>
                </c:pt>
                <c:pt idx="24">
                  <c:v>14750</c:v>
                </c:pt>
                <c:pt idx="25">
                  <c:v>14800</c:v>
                </c:pt>
              </c:numCache>
            </c:numRef>
          </c:xVal>
          <c:yVal>
            <c:numRef>
              <c:f>週選!$L$4:$L$29</c:f>
              <c:numCache>
                <c:formatCode>0.00%</c:formatCode>
                <c:ptCount val="2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0.14773189263343811</c:v>
                </c:pt>
                <c:pt idx="10">
                  <c:v>0.13768567446470265</c:v>
                </c:pt>
                <c:pt idx="11">
                  <c:v>0.13328027703166007</c:v>
                </c:pt>
                <c:pt idx="12">
                  <c:v>0.13030555795431137</c:v>
                </c:pt>
                <c:pt idx="13">
                  <c:v>0.12628780974745751</c:v>
                </c:pt>
                <c:pt idx="14">
                  <c:v>0.12266247889995577</c:v>
                </c:pt>
                <c:pt idx="15">
                  <c:v>0.11917029817104341</c:v>
                </c:pt>
                <c:pt idx="16">
                  <c:v>0.1167845627427101</c:v>
                </c:pt>
                <c:pt idx="17">
                  <c:v>0.1140996269583702</c:v>
                </c:pt>
                <c:pt idx="18">
                  <c:v>0.11200808534622192</c:v>
                </c:pt>
                <c:pt idx="19">
                  <c:v>0.11201094622612</c:v>
                </c:pt>
                <c:pt idx="20">
                  <c:v>0.11293501043319702</c:v>
                </c:pt>
                <c:pt idx="21">
                  <c:v>0.11568908414840698</c:v>
                </c:pt>
                <c:pt idx="22">
                  <c:v>0.11880458235740662</c:v>
                </c:pt>
                <c:pt idx="23">
                  <c:v>0.12459595689773562</c:v>
                </c:pt>
                <c:pt idx="24">
                  <c:v>#N/A</c:v>
                </c:pt>
                <c:pt idx="25">
                  <c:v>0.13445836353302004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週選!$M$3</c:f>
              <c:strCache>
                <c:ptCount val="1"/>
                <c:pt idx="0">
                  <c:v>put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TW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週選!$T$4:$T$29</c:f>
              <c:numCache>
                <c:formatCode>General</c:formatCode>
                <c:ptCount val="26"/>
                <c:pt idx="0">
                  <c:v>13550</c:v>
                </c:pt>
                <c:pt idx="1">
                  <c:v>13600</c:v>
                </c:pt>
                <c:pt idx="2">
                  <c:v>13650</c:v>
                </c:pt>
                <c:pt idx="3">
                  <c:v>13700</c:v>
                </c:pt>
                <c:pt idx="4">
                  <c:v>13750</c:v>
                </c:pt>
                <c:pt idx="5">
                  <c:v>13800</c:v>
                </c:pt>
                <c:pt idx="6">
                  <c:v>13850</c:v>
                </c:pt>
                <c:pt idx="7">
                  <c:v>13900</c:v>
                </c:pt>
                <c:pt idx="8">
                  <c:v>13950</c:v>
                </c:pt>
                <c:pt idx="9">
                  <c:v>14000</c:v>
                </c:pt>
                <c:pt idx="10">
                  <c:v>14050</c:v>
                </c:pt>
                <c:pt idx="11">
                  <c:v>14100</c:v>
                </c:pt>
                <c:pt idx="12">
                  <c:v>14150</c:v>
                </c:pt>
                <c:pt idx="13">
                  <c:v>14200</c:v>
                </c:pt>
                <c:pt idx="14">
                  <c:v>14250</c:v>
                </c:pt>
                <c:pt idx="15">
                  <c:v>14300</c:v>
                </c:pt>
                <c:pt idx="16">
                  <c:v>14350</c:v>
                </c:pt>
                <c:pt idx="17">
                  <c:v>14400</c:v>
                </c:pt>
                <c:pt idx="18">
                  <c:v>14450</c:v>
                </c:pt>
                <c:pt idx="19">
                  <c:v>14500</c:v>
                </c:pt>
                <c:pt idx="20">
                  <c:v>14550</c:v>
                </c:pt>
                <c:pt idx="21">
                  <c:v>14600</c:v>
                </c:pt>
                <c:pt idx="22">
                  <c:v>14650</c:v>
                </c:pt>
                <c:pt idx="23">
                  <c:v>14700</c:v>
                </c:pt>
                <c:pt idx="24">
                  <c:v>14750</c:v>
                </c:pt>
                <c:pt idx="25">
                  <c:v>14800</c:v>
                </c:pt>
              </c:numCache>
            </c:numRef>
          </c:xVal>
          <c:yVal>
            <c:numRef>
              <c:f>週選!$M$4:$M$29</c:f>
              <c:numCache>
                <c:formatCode>0.00%</c:formatCode>
                <c:ptCount val="26"/>
                <c:pt idx="0">
                  <c:v>#N/A</c:v>
                </c:pt>
                <c:pt idx="1">
                  <c:v>0.18532480812072755</c:v>
                </c:pt>
                <c:pt idx="2">
                  <c:v>0.17704542169570925</c:v>
                </c:pt>
                <c:pt idx="3">
                  <c:v>0.16770941696166991</c:v>
                </c:pt>
                <c:pt idx="4">
                  <c:v>0.15987918868064882</c:v>
                </c:pt>
                <c:pt idx="5">
                  <c:v>0.15243947050571444</c:v>
                </c:pt>
                <c:pt idx="6">
                  <c:v>0.14568970119953162</c:v>
                </c:pt>
                <c:pt idx="7">
                  <c:v>0.14159387481212615</c:v>
                </c:pt>
                <c:pt idx="8">
                  <c:v>0.13741889741420749</c:v>
                </c:pt>
                <c:pt idx="9">
                  <c:v>0.13305963166952128</c:v>
                </c:pt>
                <c:pt idx="10">
                  <c:v>0.13035371609926222</c:v>
                </c:pt>
                <c:pt idx="11">
                  <c:v>0.12714559690356256</c:v>
                </c:pt>
                <c:pt idx="12">
                  <c:v>0.12361157580614091</c:v>
                </c:pt>
                <c:pt idx="13">
                  <c:v>0.12053779876232149</c:v>
                </c:pt>
                <c:pt idx="14">
                  <c:v>0.11703298248052597</c:v>
                </c:pt>
                <c:pt idx="15">
                  <c:v>0.11450384544730186</c:v>
                </c:pt>
                <c:pt idx="16">
                  <c:v>0.10996279462575914</c:v>
                </c:pt>
                <c:pt idx="17">
                  <c:v>0.10669209368228913</c:v>
                </c:pt>
                <c:pt idx="18">
                  <c:v>0.10170605683326721</c:v>
                </c:pt>
                <c:pt idx="19">
                  <c:v>0.13066865129470823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週選!$A$14</c:f>
              <c:strCache>
                <c:ptCount val="1"/>
                <c:pt idx="0">
                  <c:v>成交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週選!$A$15:$A$16</c:f>
              <c:numCache>
                <c:formatCode>General</c:formatCode>
                <c:ptCount val="2"/>
                <c:pt idx="0">
                  <c:v>14239</c:v>
                </c:pt>
                <c:pt idx="1">
                  <c:v>14239</c:v>
                </c:pt>
              </c:numCache>
            </c:numRef>
          </c:xVal>
          <c:yVal>
            <c:numRef>
              <c:f>週選!$B$15:$B$16</c:f>
              <c:numCache>
                <c:formatCode>General</c:formatCode>
                <c:ptCount val="2"/>
                <c:pt idx="0" formatCode="0.00%">
                  <c:v>1</c:v>
                </c:pt>
                <c:pt idx="1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2624848"/>
        <c:axId val="372625240"/>
      </c:scatterChart>
      <c:valAx>
        <c:axId val="372624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vert="eaVert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372625240"/>
        <c:crosses val="autoZero"/>
        <c:crossBetween val="midCat"/>
        <c:majorUnit val="50"/>
        <c:minorUnit val="10"/>
      </c:valAx>
      <c:valAx>
        <c:axId val="372625240"/>
        <c:scaling>
          <c:orientation val="minMax"/>
          <c:max val="0.25"/>
          <c:min val="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372624848"/>
        <c:crosses val="autoZero"/>
        <c:crossBetween val="midCat"/>
        <c:majorUnit val="1.0000000000000002E-2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cp!$A$3:$A$989</c:f>
              <c:numCache>
                <c:formatCode>[$-F400]h:mm:ss\ AM/PM</c:formatCode>
                <c:ptCount val="987"/>
                <c:pt idx="0">
                  <c:v>44133.382549421294</c:v>
                </c:pt>
                <c:pt idx="1">
                  <c:v>44133.383244444442</c:v>
                </c:pt>
                <c:pt idx="2">
                  <c:v>44133.38394097222</c:v>
                </c:pt>
                <c:pt idx="3">
                  <c:v>44133.384634490743</c:v>
                </c:pt>
                <c:pt idx="4">
                  <c:v>44133.385330671299</c:v>
                </c:pt>
                <c:pt idx="5">
                  <c:v>44133.386019097219</c:v>
                </c:pt>
                <c:pt idx="6">
                  <c:v>44133.38671377315</c:v>
                </c:pt>
                <c:pt idx="7">
                  <c:v>44133.387408564813</c:v>
                </c:pt>
                <c:pt idx="8">
                  <c:v>44133.388103356483</c:v>
                </c:pt>
                <c:pt idx="9">
                  <c:v>44133.388798032407</c:v>
                </c:pt>
                <c:pt idx="10">
                  <c:v>44133.389492708331</c:v>
                </c:pt>
                <c:pt idx="11">
                  <c:v>44133.390187500001</c:v>
                </c:pt>
                <c:pt idx="12">
                  <c:v>44133.390882175925</c:v>
                </c:pt>
                <c:pt idx="13">
                  <c:v>44133.391579745374</c:v>
                </c:pt>
                <c:pt idx="14">
                  <c:v>44133.392274537036</c:v>
                </c:pt>
                <c:pt idx="15">
                  <c:v>44133.392969328706</c:v>
                </c:pt>
                <c:pt idx="16">
                  <c:v>44133.393663773146</c:v>
                </c:pt>
                <c:pt idx="17">
                  <c:v>44133.394358449077</c:v>
                </c:pt>
                <c:pt idx="18">
                  <c:v>44133.395052893517</c:v>
                </c:pt>
                <c:pt idx="19">
                  <c:v>44133.395747222225</c:v>
                </c:pt>
                <c:pt idx="20">
                  <c:v>44133.396441550925</c:v>
                </c:pt>
                <c:pt idx="21">
                  <c:v>44133.397136342595</c:v>
                </c:pt>
                <c:pt idx="22">
                  <c:v>44133.397830555557</c:v>
                </c:pt>
                <c:pt idx="23">
                  <c:v>44133.398524999997</c:v>
                </c:pt>
                <c:pt idx="24">
                  <c:v>44133.399213194447</c:v>
                </c:pt>
                <c:pt idx="25">
                  <c:v>44133.399909953703</c:v>
                </c:pt>
                <c:pt idx="26">
                  <c:v>44133.400604861112</c:v>
                </c:pt>
                <c:pt idx="27">
                  <c:v>44133.40129976852</c:v>
                </c:pt>
                <c:pt idx="28">
                  <c:v>44133.401994444444</c:v>
                </c:pt>
                <c:pt idx="29">
                  <c:v>44133.402689120368</c:v>
                </c:pt>
                <c:pt idx="30">
                  <c:v>44133.403383912038</c:v>
                </c:pt>
                <c:pt idx="31">
                  <c:v>44133.404078703701</c:v>
                </c:pt>
                <c:pt idx="32">
                  <c:v>44133.404770486108</c:v>
                </c:pt>
                <c:pt idx="33">
                  <c:v>44133.405468634257</c:v>
                </c:pt>
                <c:pt idx="34">
                  <c:v>44133.406163425927</c:v>
                </c:pt>
                <c:pt idx="35">
                  <c:v>44133.406857986112</c:v>
                </c:pt>
                <c:pt idx="36">
                  <c:v>44133.407552430559</c:v>
                </c:pt>
                <c:pt idx="37">
                  <c:v>44133.408246990744</c:v>
                </c:pt>
                <c:pt idx="38">
                  <c:v>44133.408941319445</c:v>
                </c:pt>
                <c:pt idx="39">
                  <c:v>44133.40962997685</c:v>
                </c:pt>
                <c:pt idx="40">
                  <c:v>44133.410324652781</c:v>
                </c:pt>
                <c:pt idx="41">
                  <c:v>44133.411019328705</c:v>
                </c:pt>
                <c:pt idx="42">
                  <c:v>44133.411714236114</c:v>
                </c:pt>
                <c:pt idx="43">
                  <c:v>44133.412408912038</c:v>
                </c:pt>
                <c:pt idx="44">
                  <c:v>44133.4131037037</c:v>
                </c:pt>
                <c:pt idx="45">
                  <c:v>44133.41379849537</c:v>
                </c:pt>
                <c:pt idx="46">
                  <c:v>44133.41449328704</c:v>
                </c:pt>
                <c:pt idx="47">
                  <c:v>44133.415189467596</c:v>
                </c:pt>
                <c:pt idx="48">
                  <c:v>44133.415884259259</c:v>
                </c:pt>
                <c:pt idx="49">
                  <c:v>44133.416578935183</c:v>
                </c:pt>
                <c:pt idx="50">
                  <c:v>44133.417273726853</c:v>
                </c:pt>
                <c:pt idx="51">
                  <c:v>44133.417968518515</c:v>
                </c:pt>
                <c:pt idx="52">
                  <c:v>44133.418663310185</c:v>
                </c:pt>
                <c:pt idx="53">
                  <c:v>44133.419357754632</c:v>
                </c:pt>
                <c:pt idx="54">
                  <c:v>44133.420052199072</c:v>
                </c:pt>
                <c:pt idx="55">
                  <c:v>44133.420746643518</c:v>
                </c:pt>
                <c:pt idx="56">
                  <c:v>44133.421441087965</c:v>
                </c:pt>
                <c:pt idx="57">
                  <c:v>44133.422135416666</c:v>
                </c:pt>
                <c:pt idx="58">
                  <c:v>44133.422829976851</c:v>
                </c:pt>
                <c:pt idx="59">
                  <c:v>44133.423524305559</c:v>
                </c:pt>
                <c:pt idx="60">
                  <c:v>44133.424218749999</c:v>
                </c:pt>
                <c:pt idx="61">
                  <c:v>44133.424907638888</c:v>
                </c:pt>
                <c:pt idx="62">
                  <c:v>44133.425602430558</c:v>
                </c:pt>
                <c:pt idx="63">
                  <c:v>44133.426297106482</c:v>
                </c:pt>
                <c:pt idx="64">
                  <c:v>44133.42699201389</c:v>
                </c:pt>
                <c:pt idx="65">
                  <c:v>44133.427686689814</c:v>
                </c:pt>
                <c:pt idx="66">
                  <c:v>44133.428381481484</c:v>
                </c:pt>
                <c:pt idx="67">
                  <c:v>44133.429076388886</c:v>
                </c:pt>
                <c:pt idx="68">
                  <c:v>44133.429771064817</c:v>
                </c:pt>
                <c:pt idx="69">
                  <c:v>44133.430466203703</c:v>
                </c:pt>
                <c:pt idx="70">
                  <c:v>44133.43116064815</c:v>
                </c:pt>
                <c:pt idx="71">
                  <c:v>44133.431855439812</c:v>
                </c:pt>
                <c:pt idx="72">
                  <c:v>44133.432550115744</c:v>
                </c:pt>
                <c:pt idx="73">
                  <c:v>44133.433244907406</c:v>
                </c:pt>
                <c:pt idx="74">
                  <c:v>44133.43393958333</c:v>
                </c:pt>
                <c:pt idx="75">
                  <c:v>44133.434634259262</c:v>
                </c:pt>
                <c:pt idx="76">
                  <c:v>44133.435329050924</c:v>
                </c:pt>
                <c:pt idx="77">
                  <c:v>44133.436023726848</c:v>
                </c:pt>
                <c:pt idx="78">
                  <c:v>44133.436718518518</c:v>
                </c:pt>
                <c:pt idx="79">
                  <c:v>44133.437412847219</c:v>
                </c:pt>
                <c:pt idx="80">
                  <c:v>44133.438107407404</c:v>
                </c:pt>
                <c:pt idx="81">
                  <c:v>44133.438801851851</c:v>
                </c:pt>
                <c:pt idx="82">
                  <c:v>44133.439496180552</c:v>
                </c:pt>
                <c:pt idx="83">
                  <c:v>44133.440190624999</c:v>
                </c:pt>
                <c:pt idx="84">
                  <c:v>44133.440885069445</c:v>
                </c:pt>
                <c:pt idx="85">
                  <c:v>44133.441579513892</c:v>
                </c:pt>
                <c:pt idx="86">
                  <c:v>44133.442273958331</c:v>
                </c:pt>
                <c:pt idx="87">
                  <c:v>44133.442968402778</c:v>
                </c:pt>
                <c:pt idx="88">
                  <c:v>44133.443662847225</c:v>
                </c:pt>
                <c:pt idx="89">
                  <c:v>44133.444352314815</c:v>
                </c:pt>
                <c:pt idx="90">
                  <c:v>44133.445046990739</c:v>
                </c:pt>
                <c:pt idx="91">
                  <c:v>44133.445742245371</c:v>
                </c:pt>
                <c:pt idx="92">
                  <c:v>44133.446436574071</c:v>
                </c:pt>
                <c:pt idx="93">
                  <c:v>44133.447132175927</c:v>
                </c:pt>
                <c:pt idx="94">
                  <c:v>44133.447826851851</c:v>
                </c:pt>
                <c:pt idx="95">
                  <c:v>44133.448521643521</c:v>
                </c:pt>
                <c:pt idx="96">
                  <c:v>44133.449216435183</c:v>
                </c:pt>
                <c:pt idx="97">
                  <c:v>44133.449911111114</c:v>
                </c:pt>
                <c:pt idx="98">
                  <c:v>44133.450605902777</c:v>
                </c:pt>
                <c:pt idx="99">
                  <c:v>44133.451300578701</c:v>
                </c:pt>
                <c:pt idx="100">
                  <c:v>44133.451995370371</c:v>
                </c:pt>
                <c:pt idx="101">
                  <c:v>44133.452690162034</c:v>
                </c:pt>
                <c:pt idx="102">
                  <c:v>44133.453384837965</c:v>
                </c:pt>
                <c:pt idx="103">
                  <c:v>44133.454079282405</c:v>
                </c:pt>
                <c:pt idx="104">
                  <c:v>44133.454773726851</c:v>
                </c:pt>
                <c:pt idx="105">
                  <c:v>44133.455468171298</c:v>
                </c:pt>
                <c:pt idx="106">
                  <c:v>44133.456162615737</c:v>
                </c:pt>
                <c:pt idx="107">
                  <c:v>44133.456857060184</c:v>
                </c:pt>
                <c:pt idx="108">
                  <c:v>44133.457551388892</c:v>
                </c:pt>
                <c:pt idx="109">
                  <c:v>44133.458245833332</c:v>
                </c:pt>
                <c:pt idx="110">
                  <c:v>44133.458940277778</c:v>
                </c:pt>
                <c:pt idx="111">
                  <c:v>44133.459634837964</c:v>
                </c:pt>
                <c:pt idx="112">
                  <c:v>44133.460329050926</c:v>
                </c:pt>
                <c:pt idx="113">
                  <c:v>44133.461023495373</c:v>
                </c:pt>
                <c:pt idx="114">
                  <c:v>44133.461717939812</c:v>
                </c:pt>
                <c:pt idx="115">
                  <c:v>44133.462412384259</c:v>
                </c:pt>
                <c:pt idx="116">
                  <c:v>44133.46310497685</c:v>
                </c:pt>
                <c:pt idx="117">
                  <c:v>44133.463796643518</c:v>
                </c:pt>
                <c:pt idx="118">
                  <c:v>44133.464491435188</c:v>
                </c:pt>
                <c:pt idx="119">
                  <c:v>44133.465186226851</c:v>
                </c:pt>
                <c:pt idx="120">
                  <c:v>44133.465881018521</c:v>
                </c:pt>
                <c:pt idx="121">
                  <c:v>44133.466576041668</c:v>
                </c:pt>
                <c:pt idx="122">
                  <c:v>44133.467270833331</c:v>
                </c:pt>
                <c:pt idx="123">
                  <c:v>44133.467965509262</c:v>
                </c:pt>
                <c:pt idx="124">
                  <c:v>44133.468660300925</c:v>
                </c:pt>
                <c:pt idx="125">
                  <c:v>44133.469355092595</c:v>
                </c:pt>
                <c:pt idx="126">
                  <c:v>44133.470049768519</c:v>
                </c:pt>
                <c:pt idx="127">
                  <c:v>44133.470744675928</c:v>
                </c:pt>
                <c:pt idx="128">
                  <c:v>44133.471439351852</c:v>
                </c:pt>
                <c:pt idx="129">
                  <c:v>44133.472134143522</c:v>
                </c:pt>
                <c:pt idx="130">
                  <c:v>44133.472828819446</c:v>
                </c:pt>
                <c:pt idx="131">
                  <c:v>44133.473523379631</c:v>
                </c:pt>
                <c:pt idx="132">
                  <c:v>44133.474217824078</c:v>
                </c:pt>
                <c:pt idx="133">
                  <c:v>44133.474912384256</c:v>
                </c:pt>
                <c:pt idx="134">
                  <c:v>44133.475606712964</c:v>
                </c:pt>
                <c:pt idx="135">
                  <c:v>44133.47630115741</c:v>
                </c:pt>
                <c:pt idx="136">
                  <c:v>44133.476995717596</c:v>
                </c:pt>
                <c:pt idx="137">
                  <c:v>44133.477690046297</c:v>
                </c:pt>
                <c:pt idx="138">
                  <c:v>44133.478384490743</c:v>
                </c:pt>
                <c:pt idx="139">
                  <c:v>44133.479078935183</c:v>
                </c:pt>
                <c:pt idx="140">
                  <c:v>44133.479773379629</c:v>
                </c:pt>
                <c:pt idx="141">
                  <c:v>44133.480467824076</c:v>
                </c:pt>
                <c:pt idx="142">
                  <c:v>44133.481162268516</c:v>
                </c:pt>
                <c:pt idx="143">
                  <c:v>44133.481856597224</c:v>
                </c:pt>
                <c:pt idx="144">
                  <c:v>44133.482551041663</c:v>
                </c:pt>
                <c:pt idx="145">
                  <c:v>44133.48324548611</c:v>
                </c:pt>
                <c:pt idx="146">
                  <c:v>44133.483939930557</c:v>
                </c:pt>
                <c:pt idx="147">
                  <c:v>44133.484629976854</c:v>
                </c:pt>
                <c:pt idx="148">
                  <c:v>44133.485324652778</c:v>
                </c:pt>
                <c:pt idx="149">
                  <c:v>44133.486019560187</c:v>
                </c:pt>
                <c:pt idx="150">
                  <c:v>44133.48671435185</c:v>
                </c:pt>
                <c:pt idx="151">
                  <c:v>44133.487409027781</c:v>
                </c:pt>
                <c:pt idx="152">
                  <c:v>44133.488103819443</c:v>
                </c:pt>
                <c:pt idx="153">
                  <c:v>44133.488798495368</c:v>
                </c:pt>
                <c:pt idx="154">
                  <c:v>44133.489493171299</c:v>
                </c:pt>
                <c:pt idx="155">
                  <c:v>44133.490187962961</c:v>
                </c:pt>
                <c:pt idx="156">
                  <c:v>44133.490882754631</c:v>
                </c:pt>
                <c:pt idx="157">
                  <c:v>44133.491577430555</c:v>
                </c:pt>
                <c:pt idx="158">
                  <c:v>44133.492272222225</c:v>
                </c:pt>
                <c:pt idx="159">
                  <c:v>44133.492967013888</c:v>
                </c:pt>
                <c:pt idx="160">
                  <c:v>44133.493661805558</c:v>
                </c:pt>
                <c:pt idx="161">
                  <c:v>44133.494357754629</c:v>
                </c:pt>
                <c:pt idx="162">
                  <c:v>44133.495046643518</c:v>
                </c:pt>
                <c:pt idx="163">
                  <c:v>44133.49574525463</c:v>
                </c:pt>
                <c:pt idx="164">
                  <c:v>44133.496439699076</c:v>
                </c:pt>
                <c:pt idx="165">
                  <c:v>44133.497134027777</c:v>
                </c:pt>
                <c:pt idx="166">
                  <c:v>44133.497828472224</c:v>
                </c:pt>
                <c:pt idx="167">
                  <c:v>44133.498523032409</c:v>
                </c:pt>
                <c:pt idx="168">
                  <c:v>44133.49921736111</c:v>
                </c:pt>
                <c:pt idx="169">
                  <c:v>44133.499911805557</c:v>
                </c:pt>
                <c:pt idx="170">
                  <c:v>44133.500606250003</c:v>
                </c:pt>
                <c:pt idx="171">
                  <c:v>44133.501300694443</c:v>
                </c:pt>
                <c:pt idx="172">
                  <c:v>44133.501995138889</c:v>
                </c:pt>
                <c:pt idx="173">
                  <c:v>44133.502689583336</c:v>
                </c:pt>
                <c:pt idx="174">
                  <c:v>44133.503384027776</c:v>
                </c:pt>
                <c:pt idx="175">
                  <c:v>44133.504078472222</c:v>
                </c:pt>
                <c:pt idx="176">
                  <c:v>44133.504772916669</c:v>
                </c:pt>
                <c:pt idx="177">
                  <c:v>44133.50546724537</c:v>
                </c:pt>
                <c:pt idx="178">
                  <c:v>44133.506161689817</c:v>
                </c:pt>
                <c:pt idx="179">
                  <c:v>44133.50685208333</c:v>
                </c:pt>
                <c:pt idx="180">
                  <c:v>44133.507546990739</c:v>
                </c:pt>
                <c:pt idx="181">
                  <c:v>44133.508241550924</c:v>
                </c:pt>
                <c:pt idx="182">
                  <c:v>44133.508936342594</c:v>
                </c:pt>
                <c:pt idx="183">
                  <c:v>44133.509631018518</c:v>
                </c:pt>
                <c:pt idx="184">
                  <c:v>44133.510326620373</c:v>
                </c:pt>
                <c:pt idx="185">
                  <c:v>44133.511021296297</c:v>
                </c:pt>
                <c:pt idx="186">
                  <c:v>44133.511715972221</c:v>
                </c:pt>
                <c:pt idx="187">
                  <c:v>44133.512410763891</c:v>
                </c:pt>
                <c:pt idx="188">
                  <c:v>44133.513105439815</c:v>
                </c:pt>
                <c:pt idx="189">
                  <c:v>44133.513800231478</c:v>
                </c:pt>
                <c:pt idx="190">
                  <c:v>44133.514494791663</c:v>
                </c:pt>
                <c:pt idx="191">
                  <c:v>44133.51518923611</c:v>
                </c:pt>
                <c:pt idx="192">
                  <c:v>44133.515883680557</c:v>
                </c:pt>
                <c:pt idx="193">
                  <c:v>44133.516578125003</c:v>
                </c:pt>
                <c:pt idx="194">
                  <c:v>44133.517272569443</c:v>
                </c:pt>
                <c:pt idx="195">
                  <c:v>44133.517966898151</c:v>
                </c:pt>
                <c:pt idx="196">
                  <c:v>44133.518661458336</c:v>
                </c:pt>
                <c:pt idx="197">
                  <c:v>44133.519355902776</c:v>
                </c:pt>
                <c:pt idx="198">
                  <c:v>44133.520050231484</c:v>
                </c:pt>
                <c:pt idx="199">
                  <c:v>44133.520744791669</c:v>
                </c:pt>
                <c:pt idx="200">
                  <c:v>44133.52143912037</c:v>
                </c:pt>
                <c:pt idx="201">
                  <c:v>44133.522133564817</c:v>
                </c:pt>
                <c:pt idx="202">
                  <c:v>44133.522828009256</c:v>
                </c:pt>
                <c:pt idx="203">
                  <c:v>44133.523522453703</c:v>
                </c:pt>
                <c:pt idx="204">
                  <c:v>44133.524216898149</c:v>
                </c:pt>
                <c:pt idx="205">
                  <c:v>44133.524911342596</c:v>
                </c:pt>
                <c:pt idx="206">
                  <c:v>44133.525605787036</c:v>
                </c:pt>
                <c:pt idx="207">
                  <c:v>44133.526300231482</c:v>
                </c:pt>
                <c:pt idx="208">
                  <c:v>44133.526994560183</c:v>
                </c:pt>
                <c:pt idx="209">
                  <c:v>44133.527685416666</c:v>
                </c:pt>
                <c:pt idx="210">
                  <c:v>44133.528380208336</c:v>
                </c:pt>
                <c:pt idx="211">
                  <c:v>44133.52907488426</c:v>
                </c:pt>
                <c:pt idx="212">
                  <c:v>44133.529769560184</c:v>
                </c:pt>
                <c:pt idx="213">
                  <c:v>44133.530464351854</c:v>
                </c:pt>
                <c:pt idx="214">
                  <c:v>44133.531159027778</c:v>
                </c:pt>
                <c:pt idx="215">
                  <c:v>44133.531853703702</c:v>
                </c:pt>
                <c:pt idx="216">
                  <c:v>44133.532548495372</c:v>
                </c:pt>
                <c:pt idx="217">
                  <c:v>44133.533243287035</c:v>
                </c:pt>
                <c:pt idx="218">
                  <c:v>44133.533937962966</c:v>
                </c:pt>
                <c:pt idx="219">
                  <c:v>44133.53463321759</c:v>
                </c:pt>
                <c:pt idx="220">
                  <c:v>44133.535327662037</c:v>
                </c:pt>
                <c:pt idx="221">
                  <c:v>44133.536022106484</c:v>
                </c:pt>
                <c:pt idx="222">
                  <c:v>44133.536716550923</c:v>
                </c:pt>
                <c:pt idx="223">
                  <c:v>44133.53741099537</c:v>
                </c:pt>
                <c:pt idx="224">
                  <c:v>44133.538105324071</c:v>
                </c:pt>
                <c:pt idx="225">
                  <c:v>44133.538799768517</c:v>
                </c:pt>
                <c:pt idx="226">
                  <c:v>44133.539498148151</c:v>
                </c:pt>
                <c:pt idx="227">
                  <c:v>44133.540188657411</c:v>
                </c:pt>
                <c:pt idx="228">
                  <c:v>44133.54088310185</c:v>
                </c:pt>
                <c:pt idx="229">
                  <c:v>44133.541577546297</c:v>
                </c:pt>
                <c:pt idx="230">
                  <c:v>44133.542271990744</c:v>
                </c:pt>
                <c:pt idx="231">
                  <c:v>44133.542966319445</c:v>
                </c:pt>
                <c:pt idx="232">
                  <c:v>44133.543661226853</c:v>
                </c:pt>
                <c:pt idx="233">
                  <c:v>44133.544355324077</c:v>
                </c:pt>
                <c:pt idx="234">
                  <c:v>44133.545046643521</c:v>
                </c:pt>
                <c:pt idx="235">
                  <c:v>44133.545741319445</c:v>
                </c:pt>
                <c:pt idx="236">
                  <c:v>44133.546436111108</c:v>
                </c:pt>
                <c:pt idx="237">
                  <c:v>44133.547130787039</c:v>
                </c:pt>
                <c:pt idx="238">
                  <c:v>44133.547825578702</c:v>
                </c:pt>
                <c:pt idx="239">
                  <c:v>44133.548520370372</c:v>
                </c:pt>
                <c:pt idx="240">
                  <c:v>44133.549215046296</c:v>
                </c:pt>
                <c:pt idx="241">
                  <c:v>44133.549909837966</c:v>
                </c:pt>
                <c:pt idx="242">
                  <c:v>44133.550605208336</c:v>
                </c:pt>
                <c:pt idx="243">
                  <c:v>44133.551299652776</c:v>
                </c:pt>
                <c:pt idx="244">
                  <c:v>44133.551994097223</c:v>
                </c:pt>
                <c:pt idx="245">
                  <c:v>44133.552688541669</c:v>
                </c:pt>
                <c:pt idx="246">
                  <c:v>44133.553382986109</c:v>
                </c:pt>
                <c:pt idx="247">
                  <c:v>44133.554077430555</c:v>
                </c:pt>
                <c:pt idx="248">
                  <c:v>44133.554771875002</c:v>
                </c:pt>
                <c:pt idx="249">
                  <c:v>44133.555466319442</c:v>
                </c:pt>
                <c:pt idx="250">
                  <c:v>44133.556160763888</c:v>
                </c:pt>
                <c:pt idx="251">
                  <c:v>44133.556855208335</c:v>
                </c:pt>
                <c:pt idx="252">
                  <c:v>44133.557549652774</c:v>
                </c:pt>
                <c:pt idx="253">
                  <c:v>44133.558243981483</c:v>
                </c:pt>
                <c:pt idx="254">
                  <c:v>44133.558938541668</c:v>
                </c:pt>
                <c:pt idx="255">
                  <c:v>44133.559632870369</c:v>
                </c:pt>
                <c:pt idx="256">
                  <c:v>44133.560327430554</c:v>
                </c:pt>
                <c:pt idx="257">
                  <c:v>44133.561021875001</c:v>
                </c:pt>
                <c:pt idx="258">
                  <c:v>44133.561716203702</c:v>
                </c:pt>
                <c:pt idx="259">
                  <c:v>44133.562410648148</c:v>
                </c:pt>
                <c:pt idx="260">
                  <c:v>44133.563105092595</c:v>
                </c:pt>
                <c:pt idx="261">
                  <c:v>44133.563796759256</c:v>
                </c:pt>
                <c:pt idx="262">
                  <c:v>44133.564491435187</c:v>
                </c:pt>
                <c:pt idx="263">
                  <c:v>44133.56518622685</c:v>
                </c:pt>
                <c:pt idx="264">
                  <c:v>44133.565880902781</c:v>
                </c:pt>
                <c:pt idx="265">
                  <c:v>44133.566575694444</c:v>
                </c:pt>
                <c:pt idx="266">
                  <c:v>44133.567270486114</c:v>
                </c:pt>
                <c:pt idx="267">
                  <c:v>44133.567965162038</c:v>
                </c:pt>
                <c:pt idx="268">
                  <c:v>44133.5686599537</c:v>
                </c:pt>
                <c:pt idx="269">
                  <c:v>44133.56935474537</c:v>
                </c:pt>
                <c:pt idx="270">
                  <c:v>44133.57004953704</c:v>
                </c:pt>
                <c:pt idx="271">
                  <c:v>44133.57074398148</c:v>
                </c:pt>
                <c:pt idx="272">
                  <c:v>44133.571438425926</c:v>
                </c:pt>
                <c:pt idx="273">
                  <c:v>44133.572132870373</c:v>
                </c:pt>
                <c:pt idx="274">
                  <c:v>44133.572827314812</c:v>
                </c:pt>
                <c:pt idx="275">
                  <c:v>44133.573521759259</c:v>
                </c:pt>
                <c:pt idx="276">
                  <c:v>44133.574216203706</c:v>
                </c:pt>
                <c:pt idx="277">
                  <c:v>44133.574910648145</c:v>
                </c:pt>
                <c:pt idx="278">
                  <c:v>44133.575604976853</c:v>
                </c:pt>
                <c:pt idx="279">
                  <c:v>44133.576299421293</c:v>
                </c:pt>
                <c:pt idx="280">
                  <c:v>44133.576993981478</c:v>
                </c:pt>
                <c:pt idx="281">
                  <c:v>44133.577688194448</c:v>
                </c:pt>
                <c:pt idx="282">
                  <c:v>44133.578382638887</c:v>
                </c:pt>
                <c:pt idx="283">
                  <c:v>44133.579076967595</c:v>
                </c:pt>
                <c:pt idx="284">
                  <c:v>44133.579771296296</c:v>
                </c:pt>
                <c:pt idx="285">
                  <c:v>44133.580465740743</c:v>
                </c:pt>
                <c:pt idx="286">
                  <c:v>44133.581160185182</c:v>
                </c:pt>
                <c:pt idx="287">
                  <c:v>44133.58185451389</c:v>
                </c:pt>
                <c:pt idx="288">
                  <c:v>44133.582549074075</c:v>
                </c:pt>
                <c:pt idx="289">
                  <c:v>44133.583243402776</c:v>
                </c:pt>
                <c:pt idx="290">
                  <c:v>44133.583937847223</c:v>
                </c:pt>
                <c:pt idx="291">
                  <c:v>44133.584632175924</c:v>
                </c:pt>
                <c:pt idx="292">
                  <c:v>44133.58532662037</c:v>
                </c:pt>
                <c:pt idx="293">
                  <c:v>44133.586021064817</c:v>
                </c:pt>
                <c:pt idx="294">
                  <c:v>44133.586715509256</c:v>
                </c:pt>
                <c:pt idx="295">
                  <c:v>44133.587409953703</c:v>
                </c:pt>
                <c:pt idx="296">
                  <c:v>44133.58810439815</c:v>
                </c:pt>
                <c:pt idx="297">
                  <c:v>44133.588796643518</c:v>
                </c:pt>
                <c:pt idx="298">
                  <c:v>44133.589491435188</c:v>
                </c:pt>
                <c:pt idx="299">
                  <c:v>44133.590186111112</c:v>
                </c:pt>
                <c:pt idx="300">
                  <c:v>44133.590880902775</c:v>
                </c:pt>
                <c:pt idx="301">
                  <c:v>44133.591575578706</c:v>
                </c:pt>
                <c:pt idx="302">
                  <c:v>44133.592270370369</c:v>
                </c:pt>
                <c:pt idx="303">
                  <c:v>44133.592965162039</c:v>
                </c:pt>
                <c:pt idx="304">
                  <c:v>44133.593659837963</c:v>
                </c:pt>
                <c:pt idx="305">
                  <c:v>44133.59435428241</c:v>
                </c:pt>
                <c:pt idx="306">
                  <c:v>44133.595048726849</c:v>
                </c:pt>
                <c:pt idx="307">
                  <c:v>44133.595743171296</c:v>
                </c:pt>
                <c:pt idx="308">
                  <c:v>44133.596437499997</c:v>
                </c:pt>
                <c:pt idx="309">
                  <c:v>44133.597131944443</c:v>
                </c:pt>
                <c:pt idx="310">
                  <c:v>44133.59782638889</c:v>
                </c:pt>
                <c:pt idx="311">
                  <c:v>44133.598520833337</c:v>
                </c:pt>
                <c:pt idx="312">
                  <c:v>44133.599215277776</c:v>
                </c:pt>
                <c:pt idx="313">
                  <c:v>44133.599909722223</c:v>
                </c:pt>
                <c:pt idx="314">
                  <c:v>44133.60060416667</c:v>
                </c:pt>
                <c:pt idx="315">
                  <c:v>44133.601298611109</c:v>
                </c:pt>
                <c:pt idx="316">
                  <c:v>44133.601993055556</c:v>
                </c:pt>
                <c:pt idx="317">
                  <c:v>44133.602687500003</c:v>
                </c:pt>
                <c:pt idx="318">
                  <c:v>44133.603381944442</c:v>
                </c:pt>
                <c:pt idx="319">
                  <c:v>44133.604076388889</c:v>
                </c:pt>
                <c:pt idx="320">
                  <c:v>44133.604770833335</c:v>
                </c:pt>
                <c:pt idx="321">
                  <c:v>44133.605465277775</c:v>
                </c:pt>
                <c:pt idx="322">
                  <c:v>44133.606159722221</c:v>
                </c:pt>
                <c:pt idx="323">
                  <c:v>44133.606854166668</c:v>
                </c:pt>
                <c:pt idx="324">
                  <c:v>44133.607548611108</c:v>
                </c:pt>
                <c:pt idx="325">
                  <c:v>44133.608240856483</c:v>
                </c:pt>
                <c:pt idx="326">
                  <c:v>44133.608935648146</c:v>
                </c:pt>
                <c:pt idx="327">
                  <c:v>44133.609630324077</c:v>
                </c:pt>
                <c:pt idx="328">
                  <c:v>44133.61032511574</c:v>
                </c:pt>
                <c:pt idx="329">
                  <c:v>44133.61101990741</c:v>
                </c:pt>
                <c:pt idx="330">
                  <c:v>44133.611714699073</c:v>
                </c:pt>
                <c:pt idx="331">
                  <c:v>44133.612409490743</c:v>
                </c:pt>
                <c:pt idx="332">
                  <c:v>44133.613104050928</c:v>
                </c:pt>
                <c:pt idx="333">
                  <c:v>44133.613798495368</c:v>
                </c:pt>
                <c:pt idx="334">
                  <c:v>44133.614492939814</c:v>
                </c:pt>
                <c:pt idx="335">
                  <c:v>44133.615187384261</c:v>
                </c:pt>
                <c:pt idx="336">
                  <c:v>44133.6158818287</c:v>
                </c:pt>
                <c:pt idx="337">
                  <c:v>44133.616576273147</c:v>
                </c:pt>
                <c:pt idx="338">
                  <c:v>44133.617270717594</c:v>
                </c:pt>
                <c:pt idx="339">
                  <c:v>44133.61796516204</c:v>
                </c:pt>
                <c:pt idx="340">
                  <c:v>44133.61865960648</c:v>
                </c:pt>
                <c:pt idx="341">
                  <c:v>44133.619354050927</c:v>
                </c:pt>
                <c:pt idx="342">
                  <c:v>44133.620048495373</c:v>
                </c:pt>
                <c:pt idx="343">
                  <c:v>44133.620742939813</c:v>
                </c:pt>
                <c:pt idx="344">
                  <c:v>44133.621437384259</c:v>
                </c:pt>
                <c:pt idx="345">
                  <c:v>44133.622131828706</c:v>
                </c:pt>
                <c:pt idx="346">
                  <c:v>44133.622826157407</c:v>
                </c:pt>
                <c:pt idx="347">
                  <c:v>44133.623520601854</c:v>
                </c:pt>
                <c:pt idx="348">
                  <c:v>44133.624214930554</c:v>
                </c:pt>
                <c:pt idx="349">
                  <c:v>44133.624909375001</c:v>
                </c:pt>
                <c:pt idx="350">
                  <c:v>44133.625604050925</c:v>
                </c:pt>
                <c:pt idx="351">
                  <c:v>44133.626298495372</c:v>
                </c:pt>
                <c:pt idx="352">
                  <c:v>44133.626992824073</c:v>
                </c:pt>
                <c:pt idx="353">
                  <c:v>44186.370377662039</c:v>
                </c:pt>
              </c:numCache>
            </c:numRef>
          </c:xVal>
          <c:yVal>
            <c:numRef>
              <c:f>cp!$B$3:$B$989</c:f>
              <c:numCache>
                <c:formatCode>General</c:formatCode>
                <c:ptCount val="987"/>
                <c:pt idx="0">
                  <c:v>538</c:v>
                </c:pt>
                <c:pt idx="1">
                  <c:v>533</c:v>
                </c:pt>
                <c:pt idx="2">
                  <c:v>530</c:v>
                </c:pt>
                <c:pt idx="3">
                  <c:v>527</c:v>
                </c:pt>
                <c:pt idx="4">
                  <c:v>533</c:v>
                </c:pt>
                <c:pt idx="5">
                  <c:v>537</c:v>
                </c:pt>
                <c:pt idx="6">
                  <c:v>534</c:v>
                </c:pt>
                <c:pt idx="7">
                  <c:v>534</c:v>
                </c:pt>
                <c:pt idx="8">
                  <c:v>530</c:v>
                </c:pt>
                <c:pt idx="9">
                  <c:v>532</c:v>
                </c:pt>
                <c:pt idx="10">
                  <c:v>530</c:v>
                </c:pt>
                <c:pt idx="11">
                  <c:v>505</c:v>
                </c:pt>
                <c:pt idx="12">
                  <c:v>507</c:v>
                </c:pt>
                <c:pt idx="13">
                  <c:v>508</c:v>
                </c:pt>
                <c:pt idx="14">
                  <c:v>508</c:v>
                </c:pt>
                <c:pt idx="15">
                  <c:v>509</c:v>
                </c:pt>
                <c:pt idx="16">
                  <c:v>510</c:v>
                </c:pt>
                <c:pt idx="17">
                  <c:v>511</c:v>
                </c:pt>
                <c:pt idx="18">
                  <c:v>509</c:v>
                </c:pt>
                <c:pt idx="19">
                  <c:v>509</c:v>
                </c:pt>
                <c:pt idx="20">
                  <c:v>506</c:v>
                </c:pt>
                <c:pt idx="21">
                  <c:v>505</c:v>
                </c:pt>
                <c:pt idx="22">
                  <c:v>508</c:v>
                </c:pt>
                <c:pt idx="23">
                  <c:v>506</c:v>
                </c:pt>
                <c:pt idx="24">
                  <c:v>514</c:v>
                </c:pt>
                <c:pt idx="25">
                  <c:v>505</c:v>
                </c:pt>
                <c:pt idx="26">
                  <c:v>510</c:v>
                </c:pt>
                <c:pt idx="27">
                  <c:v>526</c:v>
                </c:pt>
                <c:pt idx="28">
                  <c:v>530</c:v>
                </c:pt>
                <c:pt idx="29">
                  <c:v>510</c:v>
                </c:pt>
                <c:pt idx="30">
                  <c:v>514</c:v>
                </c:pt>
                <c:pt idx="31">
                  <c:v>512</c:v>
                </c:pt>
                <c:pt idx="32">
                  <c:v>507</c:v>
                </c:pt>
                <c:pt idx="33">
                  <c:v>506</c:v>
                </c:pt>
                <c:pt idx="34">
                  <c:v>507</c:v>
                </c:pt>
                <c:pt idx="35">
                  <c:v>506</c:v>
                </c:pt>
                <c:pt idx="36">
                  <c:v>507</c:v>
                </c:pt>
                <c:pt idx="37">
                  <c:v>507</c:v>
                </c:pt>
                <c:pt idx="38">
                  <c:v>502</c:v>
                </c:pt>
                <c:pt idx="39">
                  <c:v>499</c:v>
                </c:pt>
                <c:pt idx="40">
                  <c:v>500</c:v>
                </c:pt>
                <c:pt idx="41">
                  <c:v>496</c:v>
                </c:pt>
                <c:pt idx="42">
                  <c:v>498</c:v>
                </c:pt>
                <c:pt idx="43">
                  <c:v>499</c:v>
                </c:pt>
                <c:pt idx="44">
                  <c:v>496</c:v>
                </c:pt>
                <c:pt idx="45">
                  <c:v>498</c:v>
                </c:pt>
                <c:pt idx="46">
                  <c:v>498</c:v>
                </c:pt>
                <c:pt idx="47">
                  <c:v>500</c:v>
                </c:pt>
                <c:pt idx="48">
                  <c:v>496</c:v>
                </c:pt>
                <c:pt idx="49">
                  <c:v>494</c:v>
                </c:pt>
                <c:pt idx="50">
                  <c:v>501</c:v>
                </c:pt>
                <c:pt idx="51">
                  <c:v>499</c:v>
                </c:pt>
                <c:pt idx="52">
                  <c:v>500</c:v>
                </c:pt>
                <c:pt idx="53">
                  <c:v>499</c:v>
                </c:pt>
                <c:pt idx="54">
                  <c:v>502</c:v>
                </c:pt>
                <c:pt idx="55">
                  <c:v>500</c:v>
                </c:pt>
                <c:pt idx="56">
                  <c:v>499</c:v>
                </c:pt>
                <c:pt idx="57">
                  <c:v>500</c:v>
                </c:pt>
                <c:pt idx="58">
                  <c:v>500</c:v>
                </c:pt>
                <c:pt idx="59">
                  <c:v>500</c:v>
                </c:pt>
                <c:pt idx="60">
                  <c:v>500</c:v>
                </c:pt>
                <c:pt idx="61">
                  <c:v>499</c:v>
                </c:pt>
                <c:pt idx="62">
                  <c:v>500</c:v>
                </c:pt>
                <c:pt idx="63">
                  <c:v>500</c:v>
                </c:pt>
                <c:pt idx="64">
                  <c:v>500</c:v>
                </c:pt>
                <c:pt idx="65">
                  <c:v>498</c:v>
                </c:pt>
                <c:pt idx="66">
                  <c:v>499</c:v>
                </c:pt>
                <c:pt idx="67">
                  <c:v>497</c:v>
                </c:pt>
                <c:pt idx="68">
                  <c:v>498</c:v>
                </c:pt>
                <c:pt idx="69">
                  <c:v>499</c:v>
                </c:pt>
                <c:pt idx="70">
                  <c:v>497</c:v>
                </c:pt>
                <c:pt idx="71">
                  <c:v>497</c:v>
                </c:pt>
                <c:pt idx="72">
                  <c:v>498</c:v>
                </c:pt>
                <c:pt idx="73">
                  <c:v>499</c:v>
                </c:pt>
                <c:pt idx="74">
                  <c:v>500</c:v>
                </c:pt>
                <c:pt idx="75">
                  <c:v>499</c:v>
                </c:pt>
                <c:pt idx="76">
                  <c:v>500</c:v>
                </c:pt>
                <c:pt idx="77">
                  <c:v>496</c:v>
                </c:pt>
                <c:pt idx="78">
                  <c:v>496</c:v>
                </c:pt>
                <c:pt idx="79">
                  <c:v>496</c:v>
                </c:pt>
                <c:pt idx="80">
                  <c:v>497</c:v>
                </c:pt>
                <c:pt idx="81">
                  <c:v>494</c:v>
                </c:pt>
                <c:pt idx="82">
                  <c:v>492</c:v>
                </c:pt>
                <c:pt idx="83">
                  <c:v>494</c:v>
                </c:pt>
                <c:pt idx="84">
                  <c:v>494</c:v>
                </c:pt>
                <c:pt idx="85">
                  <c:v>491</c:v>
                </c:pt>
                <c:pt idx="86">
                  <c:v>494</c:v>
                </c:pt>
                <c:pt idx="87">
                  <c:v>494</c:v>
                </c:pt>
                <c:pt idx="88">
                  <c:v>494</c:v>
                </c:pt>
                <c:pt idx="89">
                  <c:v>494</c:v>
                </c:pt>
                <c:pt idx="90">
                  <c:v>494</c:v>
                </c:pt>
                <c:pt idx="91">
                  <c:v>498</c:v>
                </c:pt>
                <c:pt idx="92">
                  <c:v>498</c:v>
                </c:pt>
                <c:pt idx="93">
                  <c:v>496</c:v>
                </c:pt>
                <c:pt idx="94">
                  <c:v>497</c:v>
                </c:pt>
                <c:pt idx="95">
                  <c:v>500</c:v>
                </c:pt>
                <c:pt idx="96">
                  <c:v>500</c:v>
                </c:pt>
                <c:pt idx="97">
                  <c:v>498</c:v>
                </c:pt>
                <c:pt idx="98">
                  <c:v>498</c:v>
                </c:pt>
                <c:pt idx="99">
                  <c:v>497</c:v>
                </c:pt>
                <c:pt idx="100">
                  <c:v>497</c:v>
                </c:pt>
                <c:pt idx="101">
                  <c:v>498</c:v>
                </c:pt>
                <c:pt idx="102">
                  <c:v>498</c:v>
                </c:pt>
                <c:pt idx="103">
                  <c:v>498</c:v>
                </c:pt>
                <c:pt idx="104">
                  <c:v>500</c:v>
                </c:pt>
                <c:pt idx="105">
                  <c:v>499</c:v>
                </c:pt>
                <c:pt idx="106">
                  <c:v>499</c:v>
                </c:pt>
                <c:pt idx="107">
                  <c:v>501</c:v>
                </c:pt>
                <c:pt idx="108">
                  <c:v>501</c:v>
                </c:pt>
                <c:pt idx="109">
                  <c:v>498</c:v>
                </c:pt>
                <c:pt idx="110">
                  <c:v>498</c:v>
                </c:pt>
                <c:pt idx="111">
                  <c:v>504</c:v>
                </c:pt>
                <c:pt idx="112">
                  <c:v>503</c:v>
                </c:pt>
                <c:pt idx="113">
                  <c:v>503</c:v>
                </c:pt>
                <c:pt idx="114">
                  <c:v>503</c:v>
                </c:pt>
                <c:pt idx="115">
                  <c:v>502</c:v>
                </c:pt>
                <c:pt idx="116">
                  <c:v>505</c:v>
                </c:pt>
                <c:pt idx="117">
                  <c:v>502</c:v>
                </c:pt>
                <c:pt idx="118">
                  <c:v>504</c:v>
                </c:pt>
                <c:pt idx="119">
                  <c:v>504</c:v>
                </c:pt>
                <c:pt idx="120">
                  <c:v>503</c:v>
                </c:pt>
                <c:pt idx="121">
                  <c:v>503</c:v>
                </c:pt>
                <c:pt idx="122">
                  <c:v>503</c:v>
                </c:pt>
                <c:pt idx="123">
                  <c:v>503</c:v>
                </c:pt>
                <c:pt idx="124">
                  <c:v>505</c:v>
                </c:pt>
                <c:pt idx="125">
                  <c:v>506</c:v>
                </c:pt>
                <c:pt idx="126">
                  <c:v>504</c:v>
                </c:pt>
                <c:pt idx="127">
                  <c:v>504</c:v>
                </c:pt>
                <c:pt idx="128">
                  <c:v>504</c:v>
                </c:pt>
                <c:pt idx="129">
                  <c:v>504</c:v>
                </c:pt>
                <c:pt idx="130">
                  <c:v>504</c:v>
                </c:pt>
                <c:pt idx="131">
                  <c:v>503</c:v>
                </c:pt>
                <c:pt idx="132">
                  <c:v>500</c:v>
                </c:pt>
                <c:pt idx="133">
                  <c:v>503</c:v>
                </c:pt>
                <c:pt idx="134">
                  <c:v>506</c:v>
                </c:pt>
                <c:pt idx="135">
                  <c:v>506</c:v>
                </c:pt>
                <c:pt idx="136">
                  <c:v>506</c:v>
                </c:pt>
                <c:pt idx="137">
                  <c:v>506</c:v>
                </c:pt>
                <c:pt idx="138">
                  <c:v>506</c:v>
                </c:pt>
                <c:pt idx="139">
                  <c:v>506</c:v>
                </c:pt>
                <c:pt idx="140">
                  <c:v>505</c:v>
                </c:pt>
                <c:pt idx="141">
                  <c:v>501</c:v>
                </c:pt>
                <c:pt idx="142">
                  <c:v>501</c:v>
                </c:pt>
                <c:pt idx="143">
                  <c:v>499</c:v>
                </c:pt>
                <c:pt idx="144">
                  <c:v>496</c:v>
                </c:pt>
                <c:pt idx="145">
                  <c:v>494</c:v>
                </c:pt>
                <c:pt idx="146">
                  <c:v>498</c:v>
                </c:pt>
                <c:pt idx="147">
                  <c:v>500</c:v>
                </c:pt>
                <c:pt idx="148">
                  <c:v>500</c:v>
                </c:pt>
                <c:pt idx="149">
                  <c:v>500</c:v>
                </c:pt>
                <c:pt idx="150">
                  <c:v>502</c:v>
                </c:pt>
                <c:pt idx="151">
                  <c:v>501</c:v>
                </c:pt>
                <c:pt idx="152">
                  <c:v>501</c:v>
                </c:pt>
                <c:pt idx="153">
                  <c:v>503</c:v>
                </c:pt>
                <c:pt idx="154">
                  <c:v>502</c:v>
                </c:pt>
                <c:pt idx="155">
                  <c:v>500</c:v>
                </c:pt>
                <c:pt idx="156">
                  <c:v>500</c:v>
                </c:pt>
                <c:pt idx="157">
                  <c:v>501</c:v>
                </c:pt>
                <c:pt idx="158">
                  <c:v>501</c:v>
                </c:pt>
                <c:pt idx="159">
                  <c:v>502</c:v>
                </c:pt>
                <c:pt idx="160">
                  <c:v>503</c:v>
                </c:pt>
                <c:pt idx="161">
                  <c:v>502</c:v>
                </c:pt>
                <c:pt idx="162">
                  <c:v>498</c:v>
                </c:pt>
                <c:pt idx="163">
                  <c:v>498</c:v>
                </c:pt>
                <c:pt idx="164">
                  <c:v>496</c:v>
                </c:pt>
                <c:pt idx="165">
                  <c:v>496</c:v>
                </c:pt>
                <c:pt idx="166">
                  <c:v>494</c:v>
                </c:pt>
                <c:pt idx="167">
                  <c:v>500</c:v>
                </c:pt>
                <c:pt idx="168">
                  <c:v>499</c:v>
                </c:pt>
                <c:pt idx="169">
                  <c:v>500</c:v>
                </c:pt>
                <c:pt idx="170">
                  <c:v>501</c:v>
                </c:pt>
                <c:pt idx="171">
                  <c:v>502</c:v>
                </c:pt>
                <c:pt idx="172">
                  <c:v>500</c:v>
                </c:pt>
                <c:pt idx="173">
                  <c:v>497</c:v>
                </c:pt>
                <c:pt idx="174">
                  <c:v>497</c:v>
                </c:pt>
                <c:pt idx="175">
                  <c:v>498</c:v>
                </c:pt>
                <c:pt idx="176">
                  <c:v>498</c:v>
                </c:pt>
                <c:pt idx="177">
                  <c:v>498</c:v>
                </c:pt>
                <c:pt idx="178">
                  <c:v>497</c:v>
                </c:pt>
                <c:pt idx="179">
                  <c:v>496</c:v>
                </c:pt>
                <c:pt idx="180">
                  <c:v>496</c:v>
                </c:pt>
                <c:pt idx="181">
                  <c:v>496</c:v>
                </c:pt>
                <c:pt idx="182">
                  <c:v>496</c:v>
                </c:pt>
                <c:pt idx="183">
                  <c:v>496</c:v>
                </c:pt>
                <c:pt idx="184">
                  <c:v>501</c:v>
                </c:pt>
                <c:pt idx="185">
                  <c:v>504</c:v>
                </c:pt>
                <c:pt idx="186">
                  <c:v>505</c:v>
                </c:pt>
                <c:pt idx="187">
                  <c:v>505</c:v>
                </c:pt>
                <c:pt idx="188">
                  <c:v>505</c:v>
                </c:pt>
                <c:pt idx="189">
                  <c:v>505</c:v>
                </c:pt>
                <c:pt idx="190">
                  <c:v>505</c:v>
                </c:pt>
                <c:pt idx="191">
                  <c:v>501</c:v>
                </c:pt>
                <c:pt idx="192">
                  <c:v>502</c:v>
                </c:pt>
                <c:pt idx="193">
                  <c:v>502</c:v>
                </c:pt>
                <c:pt idx="194">
                  <c:v>503</c:v>
                </c:pt>
                <c:pt idx="195">
                  <c:v>503</c:v>
                </c:pt>
                <c:pt idx="196">
                  <c:v>503</c:v>
                </c:pt>
                <c:pt idx="197">
                  <c:v>501</c:v>
                </c:pt>
                <c:pt idx="198">
                  <c:v>501</c:v>
                </c:pt>
                <c:pt idx="199">
                  <c:v>501</c:v>
                </c:pt>
                <c:pt idx="200">
                  <c:v>501</c:v>
                </c:pt>
                <c:pt idx="201">
                  <c:v>498</c:v>
                </c:pt>
                <c:pt idx="202">
                  <c:v>500</c:v>
                </c:pt>
                <c:pt idx="203">
                  <c:v>500</c:v>
                </c:pt>
                <c:pt idx="204">
                  <c:v>501</c:v>
                </c:pt>
                <c:pt idx="205">
                  <c:v>501</c:v>
                </c:pt>
                <c:pt idx="206">
                  <c:v>501</c:v>
                </c:pt>
                <c:pt idx="207">
                  <c:v>501</c:v>
                </c:pt>
                <c:pt idx="208">
                  <c:v>501</c:v>
                </c:pt>
                <c:pt idx="209">
                  <c:v>501</c:v>
                </c:pt>
                <c:pt idx="210">
                  <c:v>501</c:v>
                </c:pt>
                <c:pt idx="211">
                  <c:v>501</c:v>
                </c:pt>
                <c:pt idx="212">
                  <c:v>501</c:v>
                </c:pt>
                <c:pt idx="213">
                  <c:v>501</c:v>
                </c:pt>
                <c:pt idx="214">
                  <c:v>501</c:v>
                </c:pt>
                <c:pt idx="215">
                  <c:v>501</c:v>
                </c:pt>
                <c:pt idx="216">
                  <c:v>498</c:v>
                </c:pt>
                <c:pt idx="217">
                  <c:v>497</c:v>
                </c:pt>
                <c:pt idx="218">
                  <c:v>496</c:v>
                </c:pt>
                <c:pt idx="219">
                  <c:v>497</c:v>
                </c:pt>
                <c:pt idx="220">
                  <c:v>495</c:v>
                </c:pt>
                <c:pt idx="221">
                  <c:v>491</c:v>
                </c:pt>
                <c:pt idx="222">
                  <c:v>493</c:v>
                </c:pt>
                <c:pt idx="223">
                  <c:v>492</c:v>
                </c:pt>
                <c:pt idx="224">
                  <c:v>495</c:v>
                </c:pt>
                <c:pt idx="225">
                  <c:v>497</c:v>
                </c:pt>
                <c:pt idx="226">
                  <c:v>497</c:v>
                </c:pt>
                <c:pt idx="227">
                  <c:v>491</c:v>
                </c:pt>
                <c:pt idx="228">
                  <c:v>492</c:v>
                </c:pt>
                <c:pt idx="229">
                  <c:v>493</c:v>
                </c:pt>
                <c:pt idx="230">
                  <c:v>494</c:v>
                </c:pt>
                <c:pt idx="231">
                  <c:v>494</c:v>
                </c:pt>
                <c:pt idx="232">
                  <c:v>493</c:v>
                </c:pt>
                <c:pt idx="233">
                  <c:v>493</c:v>
                </c:pt>
                <c:pt idx="234">
                  <c:v>496</c:v>
                </c:pt>
                <c:pt idx="235">
                  <c:v>495</c:v>
                </c:pt>
                <c:pt idx="236">
                  <c:v>495</c:v>
                </c:pt>
                <c:pt idx="237">
                  <c:v>496</c:v>
                </c:pt>
                <c:pt idx="238">
                  <c:v>495</c:v>
                </c:pt>
                <c:pt idx="239">
                  <c:v>497</c:v>
                </c:pt>
                <c:pt idx="240">
                  <c:v>496</c:v>
                </c:pt>
                <c:pt idx="241">
                  <c:v>496</c:v>
                </c:pt>
                <c:pt idx="242">
                  <c:v>496</c:v>
                </c:pt>
                <c:pt idx="243">
                  <c:v>496</c:v>
                </c:pt>
                <c:pt idx="244">
                  <c:v>496</c:v>
                </c:pt>
                <c:pt idx="245">
                  <c:v>498</c:v>
                </c:pt>
                <c:pt idx="246">
                  <c:v>498</c:v>
                </c:pt>
                <c:pt idx="247">
                  <c:v>496</c:v>
                </c:pt>
                <c:pt idx="248">
                  <c:v>497</c:v>
                </c:pt>
                <c:pt idx="249">
                  <c:v>498</c:v>
                </c:pt>
                <c:pt idx="250">
                  <c:v>498</c:v>
                </c:pt>
                <c:pt idx="251">
                  <c:v>500</c:v>
                </c:pt>
                <c:pt idx="252">
                  <c:v>500</c:v>
                </c:pt>
                <c:pt idx="253">
                  <c:v>500</c:v>
                </c:pt>
                <c:pt idx="254">
                  <c:v>498</c:v>
                </c:pt>
                <c:pt idx="255">
                  <c:v>498</c:v>
                </c:pt>
                <c:pt idx="256">
                  <c:v>498</c:v>
                </c:pt>
                <c:pt idx="257">
                  <c:v>498</c:v>
                </c:pt>
                <c:pt idx="258">
                  <c:v>500</c:v>
                </c:pt>
                <c:pt idx="259">
                  <c:v>499</c:v>
                </c:pt>
                <c:pt idx="260">
                  <c:v>498</c:v>
                </c:pt>
                <c:pt idx="261">
                  <c:v>500</c:v>
                </c:pt>
                <c:pt idx="262">
                  <c:v>500</c:v>
                </c:pt>
                <c:pt idx="263">
                  <c:v>497</c:v>
                </c:pt>
                <c:pt idx="264">
                  <c:v>498</c:v>
                </c:pt>
                <c:pt idx="265">
                  <c:v>498</c:v>
                </c:pt>
                <c:pt idx="266">
                  <c:v>499</c:v>
                </c:pt>
                <c:pt idx="267">
                  <c:v>496</c:v>
                </c:pt>
                <c:pt idx="268">
                  <c:v>498</c:v>
                </c:pt>
                <c:pt idx="269">
                  <c:v>498</c:v>
                </c:pt>
                <c:pt idx="270">
                  <c:v>497</c:v>
                </c:pt>
                <c:pt idx="271">
                  <c:v>500</c:v>
                </c:pt>
                <c:pt idx="272">
                  <c:v>502</c:v>
                </c:pt>
                <c:pt idx="273">
                  <c:v>502</c:v>
                </c:pt>
                <c:pt idx="274">
                  <c:v>501</c:v>
                </c:pt>
                <c:pt idx="275">
                  <c:v>501</c:v>
                </c:pt>
                <c:pt idx="276">
                  <c:v>501</c:v>
                </c:pt>
                <c:pt idx="277">
                  <c:v>501</c:v>
                </c:pt>
                <c:pt idx="278">
                  <c:v>501</c:v>
                </c:pt>
                <c:pt idx="279">
                  <c:v>501</c:v>
                </c:pt>
                <c:pt idx="280">
                  <c:v>501</c:v>
                </c:pt>
                <c:pt idx="281">
                  <c:v>501</c:v>
                </c:pt>
                <c:pt idx="282">
                  <c:v>501</c:v>
                </c:pt>
                <c:pt idx="283">
                  <c:v>501</c:v>
                </c:pt>
                <c:pt idx="284">
                  <c:v>501</c:v>
                </c:pt>
                <c:pt idx="285">
                  <c:v>501</c:v>
                </c:pt>
                <c:pt idx="286">
                  <c:v>501</c:v>
                </c:pt>
                <c:pt idx="287">
                  <c:v>501</c:v>
                </c:pt>
                <c:pt idx="288">
                  <c:v>501</c:v>
                </c:pt>
                <c:pt idx="289">
                  <c:v>501</c:v>
                </c:pt>
                <c:pt idx="290">
                  <c:v>501</c:v>
                </c:pt>
                <c:pt idx="291">
                  <c:v>501</c:v>
                </c:pt>
                <c:pt idx="292">
                  <c:v>501</c:v>
                </c:pt>
                <c:pt idx="293">
                  <c:v>501</c:v>
                </c:pt>
                <c:pt idx="294">
                  <c:v>501</c:v>
                </c:pt>
                <c:pt idx="295">
                  <c:v>501</c:v>
                </c:pt>
                <c:pt idx="296">
                  <c:v>501</c:v>
                </c:pt>
                <c:pt idx="297">
                  <c:v>501</c:v>
                </c:pt>
                <c:pt idx="298">
                  <c:v>501</c:v>
                </c:pt>
                <c:pt idx="299">
                  <c:v>501</c:v>
                </c:pt>
                <c:pt idx="300">
                  <c:v>501</c:v>
                </c:pt>
                <c:pt idx="301">
                  <c:v>501</c:v>
                </c:pt>
                <c:pt idx="302">
                  <c:v>501</c:v>
                </c:pt>
                <c:pt idx="303">
                  <c:v>501</c:v>
                </c:pt>
                <c:pt idx="304">
                  <c:v>501</c:v>
                </c:pt>
                <c:pt idx="305">
                  <c:v>501</c:v>
                </c:pt>
                <c:pt idx="306">
                  <c:v>501</c:v>
                </c:pt>
                <c:pt idx="307">
                  <c:v>501</c:v>
                </c:pt>
                <c:pt idx="308">
                  <c:v>501</c:v>
                </c:pt>
                <c:pt idx="309">
                  <c:v>501</c:v>
                </c:pt>
                <c:pt idx="310">
                  <c:v>501</c:v>
                </c:pt>
                <c:pt idx="311">
                  <c:v>501</c:v>
                </c:pt>
                <c:pt idx="312">
                  <c:v>501</c:v>
                </c:pt>
                <c:pt idx="313">
                  <c:v>501</c:v>
                </c:pt>
                <c:pt idx="314">
                  <c:v>501</c:v>
                </c:pt>
                <c:pt idx="315">
                  <c:v>501</c:v>
                </c:pt>
                <c:pt idx="316">
                  <c:v>501</c:v>
                </c:pt>
                <c:pt idx="317">
                  <c:v>501</c:v>
                </c:pt>
                <c:pt idx="318">
                  <c:v>501</c:v>
                </c:pt>
                <c:pt idx="319">
                  <c:v>501</c:v>
                </c:pt>
                <c:pt idx="320">
                  <c:v>501</c:v>
                </c:pt>
                <c:pt idx="321">
                  <c:v>501</c:v>
                </c:pt>
                <c:pt idx="322">
                  <c:v>501</c:v>
                </c:pt>
                <c:pt idx="323">
                  <c:v>501</c:v>
                </c:pt>
                <c:pt idx="324">
                  <c:v>501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2621320"/>
        <c:axId val="372622888"/>
      </c:scatterChart>
      <c:valAx>
        <c:axId val="3726213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-F400]h:mm:ss\ AM/P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372622888"/>
        <c:crosses val="autoZero"/>
        <c:crossBetween val="midCat"/>
      </c:valAx>
      <c:valAx>
        <c:axId val="372622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372621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圖表1">
    <tabColor rgb="FFFFC000"/>
  </sheetPr>
  <sheetViews>
    <sheetView tabSelected="1" zoomScale="124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4556" cy="6052984"/>
    <xdr:graphicFrame macro="">
      <xdr:nvGraphicFramePr>
        <xdr:cNvPr id="2" name="圖表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3</xdr:row>
          <xdr:rowOff>171450</xdr:rowOff>
        </xdr:from>
        <xdr:to>
          <xdr:col>1</xdr:col>
          <xdr:colOff>600075</xdr:colOff>
          <xdr:row>5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time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414617</xdr:colOff>
      <xdr:row>33</xdr:row>
      <xdr:rowOff>17926</xdr:rowOff>
    </xdr:from>
    <xdr:to>
      <xdr:col>26</xdr:col>
      <xdr:colOff>33617</xdr:colOff>
      <xdr:row>60</xdr:row>
      <xdr:rowOff>134471</xdr:rowOff>
    </xdr:to>
    <xdr:graphicFrame macro="">
      <xdr:nvGraphicFramePr>
        <xdr:cNvPr id="2" name="圖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828674</xdr:colOff>
      <xdr:row>1</xdr:row>
      <xdr:rowOff>95249</xdr:rowOff>
    </xdr:from>
    <xdr:to>
      <xdr:col>22</xdr:col>
      <xdr:colOff>247650</xdr:colOff>
      <xdr:row>30</xdr:row>
      <xdr:rowOff>142875</xdr:rowOff>
    </xdr:to>
    <xdr:graphicFrame macro="">
      <xdr:nvGraphicFramePr>
        <xdr:cNvPr id="5" name="圖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holidaySchedule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tabColor rgb="FF92D050"/>
  </sheetPr>
  <dimension ref="A1:AE33"/>
  <sheetViews>
    <sheetView zoomScaleNormal="100" workbookViewId="0">
      <selection activeCell="E3" sqref="E3"/>
    </sheetView>
  </sheetViews>
  <sheetFormatPr defaultRowHeight="16.5" x14ac:dyDescent="0.25"/>
  <cols>
    <col min="1" max="1" width="14.5" bestFit="1" customWidth="1"/>
    <col min="2" max="2" width="9" bestFit="1" customWidth="1"/>
    <col min="3" max="3" width="6.875" bestFit="1" customWidth="1"/>
    <col min="4" max="4" width="9" bestFit="1" customWidth="1"/>
    <col min="5" max="5" width="6.875" bestFit="1" customWidth="1"/>
    <col min="6" max="6" width="3.125" bestFit="1" customWidth="1"/>
    <col min="7" max="8" width="9.625" hidden="1" customWidth="1"/>
    <col min="9" max="10" width="6.75" hidden="1" customWidth="1"/>
    <col min="11" max="11" width="9.625" bestFit="1" customWidth="1"/>
    <col min="12" max="12" width="7.875" bestFit="1" customWidth="1"/>
    <col min="13" max="13" width="9.625" bestFit="1" customWidth="1"/>
    <col min="14" max="14" width="7.875" bestFit="1" customWidth="1"/>
    <col min="15" max="15" width="9.625" bestFit="1" customWidth="1"/>
    <col min="16" max="16" width="8.125" bestFit="1" customWidth="1"/>
    <col min="17" max="17" width="5.875" bestFit="1" customWidth="1"/>
    <col min="18" max="18" width="7.875" bestFit="1" customWidth="1"/>
    <col min="19" max="19" width="6" bestFit="1" customWidth="1"/>
    <col min="20" max="20" width="8.125" bestFit="1" customWidth="1"/>
    <col min="21" max="23" width="7.875" bestFit="1" customWidth="1"/>
    <col min="24" max="24" width="9.625" bestFit="1" customWidth="1"/>
    <col min="26" max="26" width="10" bestFit="1" customWidth="1"/>
    <col min="27" max="28" width="9.625" bestFit="1" customWidth="1"/>
    <col min="29" max="29" width="10.625" bestFit="1" customWidth="1"/>
    <col min="30" max="31" width="9.625" bestFit="1" customWidth="1"/>
    <col min="32" max="32" width="6.875" bestFit="1" customWidth="1"/>
    <col min="33" max="33" width="6" bestFit="1" customWidth="1"/>
  </cols>
  <sheetData>
    <row r="1" spans="1:31" ht="17.25" thickBot="1" x14ac:dyDescent="0.3">
      <c r="A1" s="6" t="s">
        <v>0</v>
      </c>
      <c r="B1" s="7" t="s">
        <v>2</v>
      </c>
      <c r="C1" s="8" t="s">
        <v>1</v>
      </c>
      <c r="D1" s="1" t="s">
        <v>4</v>
      </c>
      <c r="E1" s="1" t="s">
        <v>5</v>
      </c>
      <c r="F1" s="1" t="s">
        <v>6</v>
      </c>
    </row>
    <row r="2" spans="1:31" ht="17.25" thickBot="1" x14ac:dyDescent="0.3">
      <c r="A2" s="9" t="str">
        <f>RTD("xqrtd.rtdserverxqlite",,"FITXN*1.TF-Name")</f>
        <v>台股指數近月</v>
      </c>
      <c r="B2" s="5">
        <f>RTD("xqrtd.rtdserverxqlite",,"FITXN*1.TF-PreClose")</f>
        <v>14136</v>
      </c>
      <c r="C2" s="10">
        <f>RTD("xqrtd.rtdserverxqlite",,"FITXN*1.TF-Price")</f>
        <v>14148</v>
      </c>
      <c r="D2" s="1">
        <f ca="1">結算日!B10</f>
        <v>1</v>
      </c>
      <c r="E2" s="1">
        <f ca="1">E3/250</f>
        <v>9.1999999999999998E-2</v>
      </c>
      <c r="F2" s="1">
        <v>0</v>
      </c>
      <c r="G2">
        <v>1</v>
      </c>
      <c r="H2">
        <v>2</v>
      </c>
      <c r="I2">
        <v>3</v>
      </c>
      <c r="J2">
        <v>4</v>
      </c>
      <c r="L2" s="56" t="s">
        <v>7</v>
      </c>
      <c r="M2" s="57"/>
      <c r="N2" s="57"/>
      <c r="O2" s="57"/>
      <c r="P2" s="57"/>
      <c r="Q2" s="57"/>
      <c r="R2" s="14" t="s">
        <v>88</v>
      </c>
      <c r="S2" s="57" t="s">
        <v>8</v>
      </c>
      <c r="T2" s="57"/>
      <c r="U2" s="57"/>
      <c r="V2" s="57"/>
      <c r="W2" s="57"/>
      <c r="X2" s="58"/>
      <c r="Z2" s="59" t="s">
        <v>9</v>
      </c>
      <c r="AA2" s="60"/>
      <c r="AB2" s="61"/>
      <c r="AC2" s="59" t="s">
        <v>8</v>
      </c>
      <c r="AD2" s="60"/>
      <c r="AE2" s="61"/>
    </row>
    <row r="3" spans="1:31" ht="17.25" thickBot="1" x14ac:dyDescent="0.3">
      <c r="E3">
        <f ca="1">結算日!B11</f>
        <v>23</v>
      </c>
      <c r="L3" s="62" t="s">
        <v>10</v>
      </c>
      <c r="M3" s="63"/>
      <c r="N3" s="64" t="s">
        <v>11</v>
      </c>
      <c r="O3" s="65"/>
      <c r="P3" s="7" t="s">
        <v>3</v>
      </c>
      <c r="Q3" s="7" t="s">
        <v>12</v>
      </c>
      <c r="R3" s="24" t="s">
        <v>13</v>
      </c>
      <c r="S3" s="7" t="s">
        <v>12</v>
      </c>
      <c r="T3" s="7" t="s">
        <v>3</v>
      </c>
      <c r="U3" s="66" t="s">
        <v>14</v>
      </c>
      <c r="V3" s="67"/>
      <c r="W3" s="64" t="s">
        <v>11</v>
      </c>
      <c r="X3" s="65"/>
      <c r="Z3" s="16" t="s">
        <v>15</v>
      </c>
      <c r="AA3" s="3" t="s">
        <v>16</v>
      </c>
      <c r="AB3" s="17" t="s">
        <v>17</v>
      </c>
      <c r="AC3" s="16" t="s">
        <v>15</v>
      </c>
      <c r="AD3" s="3" t="s">
        <v>16</v>
      </c>
      <c r="AE3" s="17" t="s">
        <v>17</v>
      </c>
    </row>
    <row r="4" spans="1:31" x14ac:dyDescent="0.25">
      <c r="A4" t="s">
        <v>85</v>
      </c>
      <c r="I4" t="b">
        <f ca="1">AND(V4&lt;1,V4&gt;0.05)</f>
        <v>1</v>
      </c>
      <c r="J4" t="b">
        <f ca="1">AND(X4&lt;1,X4&gt;0.05)</f>
        <v>1</v>
      </c>
      <c r="K4" s="39">
        <f t="shared" ref="K4:K14" ca="1" si="0">IF((V4*I4+X4*J4)/COUNTIF(I4:J4,TRUE)*(T4&gt;=30)=0,NA(),(V4*I4+X4*J4)/COUNTIF(I4:J4,TRUE)*(T4&gt;=30))</f>
        <v>0.21612480269670487</v>
      </c>
      <c r="L4" s="12">
        <f ca="1">RTD("xqrtd.rtdserverxqlite",,"TXON"&amp;TEXT($D$2,"00")&amp;$L$2 &amp;TEXT(R4,"0")&amp;".TF-Bid")</f>
        <v>1360</v>
      </c>
      <c r="M4" s="13">
        <f ca="1">GBSNewtonImpVolCall(L4,$C$2,R4,$E$2,$F$2,0)</f>
        <v>0.18742374033927919</v>
      </c>
      <c r="N4" s="12">
        <f ca="1">RTD("xqrtd.rtdserverxqlite",,"TXON"&amp;TEXT($D$2,"00")&amp;$L$2 &amp;TEXT(R4,"0")&amp;".TF-Ask")</f>
        <v>1380</v>
      </c>
      <c r="O4" s="25">
        <f t="shared" ref="O4:O31" ca="1" si="1">GBSNewtonImpVolCall(N4,$C$2,R4,$E$2,$F$2,0)</f>
        <v>0.23033050183057782</v>
      </c>
      <c r="P4" s="6">
        <f ca="1">RTD("xqrtd.rtdserverxqlite",,"TXON"&amp;TEXT($D$2,"00")&amp;$L$2 &amp;TEXT(R4,"0")&amp;".TF-TotalVolume")</f>
        <v>0</v>
      </c>
      <c r="Q4" s="7" t="str">
        <f ca="1">RTD("xqrtd.rtdserverxqlite",,"TXON"&amp;TEXT($D$2,"00")&amp;$L$2 &amp;TEXT(R4,"0")&amp;".TF-Price")</f>
        <v>--</v>
      </c>
      <c r="R4" s="24">
        <f>R5-100</f>
        <v>12800</v>
      </c>
      <c r="S4" s="7">
        <f ca="1">RTD("xqrtd.rtdserverxqlite",,"TXON"&amp;TEXT($D$2,"00")&amp;$S$2 &amp;TEXT(R4,"0")&amp;".TF-Price")</f>
        <v>24</v>
      </c>
      <c r="T4" s="8">
        <f ca="1">RTD("xqrtd.rtdserverxqlite",,"TXON"&amp;TEXT($D$2,"00")&amp;$S$2 &amp;TEXT(R4,"0")&amp;".TF-TotalVolume")</f>
        <v>58</v>
      </c>
      <c r="U4" s="26">
        <f ca="1">RTD("xqrtd.rtdserverxqlite",,"TXON"&amp;TEXT($D$2,"00")&amp;$S$2 &amp;TEXT(R4,"0")&amp;".TF-Bid")</f>
        <v>24</v>
      </c>
      <c r="V4" s="13">
        <f t="shared" ref="V4:V23" ca="1" si="2">GBSNewtonImpVolPut(U4,$C$2,R4,$E$2,$F$2,0)</f>
        <v>0.21563201613426211</v>
      </c>
      <c r="W4" s="12">
        <f ca="1">RTD("xqrtd.rtdserverxqlite",,"TXON"&amp;TEXT($D$2,"00")&amp;$S$2 &amp;TEXT(R4,"0")&amp;".TF-Ask")</f>
        <v>24.5</v>
      </c>
      <c r="X4" s="13">
        <f t="shared" ref="X4:X31" ca="1" si="3">GBSNewtonImpVolPut(W4,$C$2,R4,$E$2,$F$2,0)</f>
        <v>0.21661758925914765</v>
      </c>
      <c r="Z4" s="18">
        <f t="shared" ref="Z4:Z31" ca="1" si="4">gDelta($L$2,$C$2,R4,$E$2,$F$2,0,AVERAGE(M4,O4))*$C$2*50</f>
        <v>669575.96409488318</v>
      </c>
      <c r="AA4" s="19">
        <f ca="1">gGamma($C$2,R4,$E$2,$F$2,0,AVERAGE(M4,O4))*$C$2^2*0.01*50</f>
        <v>12146.708121150283</v>
      </c>
      <c r="AB4" s="20">
        <f t="shared" ref="AB4:AB31" ca="1" si="5">(-BlackScholes($L$2,$C$2,$R4,$E$2,$F$2,0,AVERAGE(M4,O4))+BlackScholes($L$2,$C$2,$R4,$E$2-1/250,$F$2,0,AVERAGE(M4,O4)))*50</f>
        <v>-104.27958246051503</v>
      </c>
      <c r="AC4" s="18">
        <f t="shared" ref="AC4:AC31" ca="1" si="6">gDelta($S$2,$C$2,R4,$E$2,$F$2,0,AVERAGE(V4,X4))*$C$2*50</f>
        <v>-41986.774220268417</v>
      </c>
      <c r="AD4" s="19">
        <f ca="1">gGamma($C$2,R4,$E$2,$F$2,0,AVERAGE(V4,X4))*$C$2^2*0.01*50</f>
        <v>12746.649975286624</v>
      </c>
      <c r="AE4" s="20">
        <f t="shared" ref="AE4:AE31" ca="1" si="7">(-BlackScholes($S$2,$C$2,$R4,$E$2,$F$2,0,AVERAGE(X4,V4))+BlackScholes($S$2,$C$2,$R4,$E$2-1/250,$F$2,0,AVERAGE(X4,V4)))*50</f>
        <v>-117.38822628407863</v>
      </c>
    </row>
    <row r="5" spans="1:31" x14ac:dyDescent="0.25">
      <c r="A5" t="s">
        <v>110</v>
      </c>
      <c r="I5" t="b">
        <f t="shared" ref="I5:I17" ca="1" si="8">AND(V5&lt;1,V5&gt;0.05)</f>
        <v>1</v>
      </c>
      <c r="J5" t="b">
        <f t="shared" ref="J5:J17" ca="1" si="9">AND(X5&lt;1,X5&gt;0.05)</f>
        <v>1</v>
      </c>
      <c r="K5" s="39">
        <f t="shared" ca="1" si="0"/>
        <v>0.20872084552049641</v>
      </c>
      <c r="L5" s="11">
        <f ca="1">RTD("xqrtd.rtdserverxqlite",,"TXON"&amp;TEXT($D$2,"00")&amp;$L$2 &amp;TEXT(R5,"0")&amp;".TF-Bid")</f>
        <v>1260</v>
      </c>
      <c r="M5" s="4">
        <f t="shared" ref="M5:M10" ca="1" si="10">GBSNewtonImpVolCall(L5,$C$2,R5,$E$2,$F$2,0)</f>
        <v>0.17536608519554139</v>
      </c>
      <c r="N5" s="11">
        <f ca="1">RTD("xqrtd.rtdserverxqlite",,"TXON"&amp;TEXT($D$2,"00")&amp;$L$2 &amp;TEXT(R5,"0")&amp;".TF-Ask")</f>
        <v>1290</v>
      </c>
      <c r="O5" s="27">
        <f t="shared" ref="O5:O10" ca="1" si="11">GBSNewtonImpVolCall(N5,$C$2,R5,$E$2,$F$2,0)</f>
        <v>0.23179431871175765</v>
      </c>
      <c r="P5" s="16">
        <f ca="1">RTD("xqrtd.rtdserverxqlite",,"TXON"&amp;TEXT($D$2,"00")&amp;$L$2 &amp;TEXT(R5,"0")&amp;".TF-TotalVolume")</f>
        <v>0</v>
      </c>
      <c r="Q5" s="3" t="str">
        <f ca="1">RTD("xqrtd.rtdserverxqlite",,"TXON"&amp;TEXT($D$2,"00")&amp;$L$2 &amp;TEXT(R5,"0")&amp;".TF-Price")</f>
        <v>--</v>
      </c>
      <c r="R5" s="15">
        <f t="shared" ref="R5:R10" si="12">R6-100</f>
        <v>12900</v>
      </c>
      <c r="S5" s="3">
        <f ca="1">RTD("xqrtd.rtdserverxqlite",,"TXON"&amp;TEXT($D$2,"00")&amp;$S$2 &amp;TEXT(R5,"0")&amp;".TF-Price")</f>
        <v>27.5</v>
      </c>
      <c r="T5" s="17">
        <f ca="1">RTD("xqrtd.rtdserverxqlite",,"TXON"&amp;TEXT($D$2,"00")&amp;$S$2 &amp;TEXT(R5,"0")&amp;".TF-TotalVolume")</f>
        <v>108</v>
      </c>
      <c r="U5" s="28">
        <f ca="1">RTD("xqrtd.rtdserverxqlite",,"TXON"&amp;TEXT($D$2,"00")&amp;$S$2 &amp;TEXT(R5,"0")&amp;".TF-Bid")</f>
        <v>27</v>
      </c>
      <c r="V5" s="4">
        <f t="shared" ref="V5:V10" ca="1" si="13">GBSNewtonImpVolPut(U5,$C$2,R5,$E$2,$F$2,0)</f>
        <v>0.20783492637872703</v>
      </c>
      <c r="W5" s="11">
        <f ca="1">RTD("xqrtd.rtdserverxqlite",,"TXON"&amp;TEXT($D$2,"00")&amp;$S$2 &amp;TEXT(R5,"0")&amp;".TF-Ask")</f>
        <v>28</v>
      </c>
      <c r="X5" s="4">
        <f t="shared" ref="X5:X10" ca="1" si="14">GBSNewtonImpVolPut(W5,$C$2,R5,$E$2,$F$2,0)</f>
        <v>0.2096067646622658</v>
      </c>
      <c r="Z5" s="18">
        <f t="shared" ca="1" si="4"/>
        <v>662513.38992715254</v>
      </c>
      <c r="AA5" s="19">
        <f t="shared" ref="AA5:AA10" ca="1" si="15">gGamma($C$2,R5,$E$2,$F$2,0,AVERAGE(M5,O5))*$C$2^2*0.01*50</f>
        <v>14256.971000469688</v>
      </c>
      <c r="AB5" s="20">
        <f t="shared" ca="1" si="5"/>
        <v>-116.63142356281924</v>
      </c>
      <c r="AC5" s="18">
        <f t="shared" ca="1" si="6"/>
        <v>-48148.075869436783</v>
      </c>
      <c r="AD5" s="19">
        <f t="shared" ref="AD5:AD10" ca="1" si="16">gGamma($C$2,R5,$E$2,$F$2,0,AVERAGE(V5,X5))*$C$2^2*0.01*50</f>
        <v>14682.994708784609</v>
      </c>
      <c r="AE5" s="20">
        <f t="shared" ca="1" si="7"/>
        <v>-126.42154399257547</v>
      </c>
    </row>
    <row r="6" spans="1:31" x14ac:dyDescent="0.25">
      <c r="I6" t="b">
        <f t="shared" ca="1" si="8"/>
        <v>1</v>
      </c>
      <c r="J6" t="b">
        <f t="shared" ca="1" si="9"/>
        <v>1</v>
      </c>
      <c r="K6" s="39">
        <f t="shared" ca="1" si="0"/>
        <v>0.20202173762917522</v>
      </c>
      <c r="L6" s="11">
        <f ca="1">RTD("xqrtd.rtdserverxqlite",,"TXON"&amp;TEXT($D$2,"00")&amp;$L$2 &amp;TEXT(R6,"0")&amp;".TF-Bid")</f>
        <v>1170</v>
      </c>
      <c r="M6" s="4">
        <f t="shared" ca="1" si="10"/>
        <v>0.18524470348358157</v>
      </c>
      <c r="N6" s="11">
        <f ca="1">RTD("xqrtd.rtdserverxqlite",,"TXON"&amp;TEXT($D$2,"00")&amp;$L$2 &amp;TEXT(R6,"0")&amp;".TF-Ask")</f>
        <v>1190</v>
      </c>
      <c r="O6" s="27">
        <f t="shared" ca="1" si="11"/>
        <v>0.21716997748613359</v>
      </c>
      <c r="P6" s="16">
        <f ca="1">RTD("xqrtd.rtdserverxqlite",,"TXON"&amp;TEXT($D$2,"00")&amp;$L$2 &amp;TEXT(R6,"0")&amp;".TF-TotalVolume")</f>
        <v>0</v>
      </c>
      <c r="Q6" s="3" t="str">
        <f ca="1">RTD("xqrtd.rtdserverxqlite",,"TXON"&amp;TEXT($D$2,"00")&amp;$L$2 &amp;TEXT(R6,"0")&amp;".TF-Price")</f>
        <v>--</v>
      </c>
      <c r="R6" s="15">
        <f t="shared" si="12"/>
        <v>13000</v>
      </c>
      <c r="S6" s="3">
        <f ca="1">RTD("xqrtd.rtdserverxqlite",,"TXON"&amp;TEXT($D$2,"00")&amp;$S$2 &amp;TEXT(R6,"0")&amp;".TF-Price")</f>
        <v>31.5</v>
      </c>
      <c r="T6" s="17">
        <f ca="1">RTD("xqrtd.rtdserverxqlite",,"TXON"&amp;TEXT($D$2,"00")&amp;$S$2 &amp;TEXT(R6,"0")&amp;".TF-TotalVolume")</f>
        <v>393</v>
      </c>
      <c r="U6" s="28">
        <f ca="1">RTD("xqrtd.rtdserverxqlite",,"TXON"&amp;TEXT($D$2,"00")&amp;$S$2 &amp;TEXT(R6,"0")&amp;".TF-Bid")</f>
        <v>31.5</v>
      </c>
      <c r="V6" s="4">
        <f t="shared" ca="1" si="13"/>
        <v>0.20162657859325411</v>
      </c>
      <c r="W6" s="11">
        <f ca="1">RTD("xqrtd.rtdserverxqlite",,"TXON"&amp;TEXT($D$2,"00")&amp;$S$2 &amp;TEXT(R6,"0")&amp;".TF-Ask")</f>
        <v>32</v>
      </c>
      <c r="X6" s="4">
        <f t="shared" ca="1" si="14"/>
        <v>0.20241689666509632</v>
      </c>
      <c r="Z6" s="18">
        <f t="shared" ca="1" si="4"/>
        <v>652070.57642980234</v>
      </c>
      <c r="AA6" s="19">
        <f t="shared" ca="1" si="15"/>
        <v>16941.470040196375</v>
      </c>
      <c r="AB6" s="20">
        <f t="shared" ca="1" si="5"/>
        <v>-135.87754869406581</v>
      </c>
      <c r="AC6" s="18">
        <f t="shared" ca="1" si="6"/>
        <v>-55896.691284567598</v>
      </c>
      <c r="AD6" s="19">
        <f t="shared" ca="1" si="16"/>
        <v>17004.134578446221</v>
      </c>
      <c r="AE6" s="20">
        <f t="shared" ca="1" si="7"/>
        <v>-137.51082742657078</v>
      </c>
    </row>
    <row r="7" spans="1:31" x14ac:dyDescent="0.25">
      <c r="I7" t="b">
        <f t="shared" ca="1" si="8"/>
        <v>1</v>
      </c>
      <c r="J7" t="b">
        <f t="shared" ca="1" si="9"/>
        <v>1</v>
      </c>
      <c r="K7" s="39">
        <f t="shared" ca="1" si="0"/>
        <v>0.19491853045225144</v>
      </c>
      <c r="L7" s="11">
        <f ca="1">RTD("xqrtd.rtdserverxqlite",,"TXON"&amp;TEXT($D$2,"00")&amp;$L$2 &amp;TEXT(R7,"0")&amp;".TF-Bid")</f>
        <v>1070</v>
      </c>
      <c r="M7" s="4">
        <f t="shared" ca="1" si="10"/>
        <v>0.17199739911556244</v>
      </c>
      <c r="N7" s="11">
        <f ca="1">RTD("xqrtd.rtdserverxqlite",,"TXON"&amp;TEXT($D$2,"00")&amp;$L$2 &amp;TEXT(R7,"0")&amp;".TF-Ask")</f>
        <v>1090</v>
      </c>
      <c r="O7" s="27">
        <f ca="1">GBSNewtonImpVolCall(N7,$C$2,R7,$E$2,$F$2,0)</f>
        <v>0.20246314755678183</v>
      </c>
      <c r="P7" s="16">
        <f ca="1">RTD("xqrtd.rtdserverxqlite",,"TXON"&amp;TEXT($D$2,"00")&amp;$L$2 &amp;TEXT(R7,"0")&amp;".TF-TotalVolume")</f>
        <v>0</v>
      </c>
      <c r="Q7" s="3" t="str">
        <f ca="1">RTD("xqrtd.rtdserverxqlite",,"TXON"&amp;TEXT($D$2,"00")&amp;$L$2 &amp;TEXT(R7,"0")&amp;".TF-Price")</f>
        <v>--</v>
      </c>
      <c r="R7" s="15">
        <f t="shared" si="12"/>
        <v>13100</v>
      </c>
      <c r="S7" s="3">
        <f ca="1">RTD("xqrtd.rtdserverxqlite",,"TXON"&amp;TEXT($D$2,"00")&amp;$S$2 &amp;TEXT(R7,"0")&amp;".TF-Price")</f>
        <v>38</v>
      </c>
      <c r="T7" s="17">
        <f ca="1">RTD("xqrtd.rtdserverxqlite",,"TXON"&amp;TEXT($D$2,"00")&amp;$S$2 &amp;TEXT(R7,"0")&amp;".TF-TotalVolume")</f>
        <v>98</v>
      </c>
      <c r="U7" s="28">
        <f ca="1">RTD("xqrtd.rtdserverxqlite",,"TXON"&amp;TEXT($D$2,"00")&amp;$S$2 &amp;TEXT(R7,"0")&amp;".TF-Bid")</f>
        <v>36</v>
      </c>
      <c r="V7" s="4">
        <f t="shared" ca="1" si="13"/>
        <v>0.19421070108413696</v>
      </c>
      <c r="W7" s="11">
        <f ca="1">RTD("xqrtd.rtdserverxqlite",,"TXON"&amp;TEXT($D$2,"00")&amp;$S$2 &amp;TEXT(R7,"0")&amp;".TF-Ask")</f>
        <v>37</v>
      </c>
      <c r="X7" s="4">
        <f t="shared" ca="1" si="14"/>
        <v>0.19562635982036591</v>
      </c>
      <c r="Z7" s="18">
        <f t="shared" ca="1" si="4"/>
        <v>648520.20389903791</v>
      </c>
      <c r="AA7" s="19">
        <f t="shared" ca="1" si="15"/>
        <v>19081.706077539988</v>
      </c>
      <c r="AB7" s="20">
        <f t="shared" ca="1" si="5"/>
        <v>-132.64954134925802</v>
      </c>
      <c r="AC7" s="18">
        <f t="shared" ca="1" si="6"/>
        <v>-64752.472355162317</v>
      </c>
      <c r="AD7" s="19">
        <f t="shared" ca="1" si="16"/>
        <v>19677.285476485951</v>
      </c>
      <c r="AE7" s="20">
        <f t="shared" ca="1" si="7"/>
        <v>-148.49235618153534</v>
      </c>
    </row>
    <row r="8" spans="1:31" x14ac:dyDescent="0.25">
      <c r="I8" t="b">
        <f t="shared" ca="1" si="8"/>
        <v>1</v>
      </c>
      <c r="J8" t="b">
        <f t="shared" ca="1" si="9"/>
        <v>1</v>
      </c>
      <c r="K8" s="39">
        <f t="shared" ca="1" si="0"/>
        <v>0.18891139788627626</v>
      </c>
      <c r="L8" s="11">
        <f ca="1">RTD("xqrtd.rtdserverxqlite",,"TXON"&amp;TEXT($D$2,"00")&amp;$L$2 &amp;TEXT(R8,"0")&amp;".TF-Bid")</f>
        <v>985</v>
      </c>
      <c r="M8" s="4">
        <f t="shared" ca="1" si="10"/>
        <v>0.18112932775020602</v>
      </c>
      <c r="N8" s="11">
        <f ca="1">RTD("xqrtd.rtdserverxqlite",,"TXON"&amp;TEXT($D$2,"00")&amp;$L$2 &amp;TEXT(R8,"0")&amp;".TF-Ask")</f>
        <v>995</v>
      </c>
      <c r="O8" s="27">
        <f t="shared" ca="1" si="11"/>
        <v>0.19384927659034726</v>
      </c>
      <c r="P8" s="16">
        <f ca="1">RTD("xqrtd.rtdserverxqlite",,"TXON"&amp;TEXT($D$2,"00")&amp;$L$2 &amp;TEXT(R8,"0")&amp;".TF-TotalVolume")</f>
        <v>0</v>
      </c>
      <c r="Q8" s="3" t="str">
        <f ca="1">RTD("xqrtd.rtdserverxqlite",,"TXON"&amp;TEXT($D$2,"00")&amp;$L$2 &amp;TEXT(R8,"0")&amp;".TF-Price")</f>
        <v>--</v>
      </c>
      <c r="R8" s="15">
        <f t="shared" si="12"/>
        <v>13200</v>
      </c>
      <c r="S8" s="3">
        <f ca="1">RTD("xqrtd.rtdserverxqlite",,"TXON"&amp;TEXT($D$2,"00")&amp;$S$2 &amp;TEXT(R8,"0")&amp;".TF-Price")</f>
        <v>43</v>
      </c>
      <c r="T8" s="17">
        <f ca="1">RTD("xqrtd.rtdserverxqlite",,"TXON"&amp;TEXT($D$2,"00")&amp;$S$2 &amp;TEXT(R8,"0")&amp;".TF-TotalVolume")</f>
        <v>190</v>
      </c>
      <c r="U8" s="28">
        <f ca="1">RTD("xqrtd.rtdserverxqlite",,"TXON"&amp;TEXT($D$2,"00")&amp;$S$2 &amp;TEXT(R8,"0")&amp;".TF-Bid")</f>
        <v>42.5</v>
      </c>
      <c r="V8" s="4">
        <f t="shared" ca="1" si="13"/>
        <v>0.18828271952867512</v>
      </c>
      <c r="W8" s="11">
        <f ca="1">RTD("xqrtd.rtdserverxqlite",,"TXON"&amp;TEXT($D$2,"00")&amp;$S$2 &amp;TEXT(R8,"0")&amp;".TF-Ask")</f>
        <v>43.5</v>
      </c>
      <c r="X8" s="4">
        <f t="shared" ca="1" si="14"/>
        <v>0.18954007624387739</v>
      </c>
      <c r="Z8" s="18">
        <f t="shared" ca="1" si="4"/>
        <v>632415.89375183231</v>
      </c>
      <c r="AA8" s="19">
        <f t="shared" ca="1" si="15"/>
        <v>22776.136282030078</v>
      </c>
      <c r="AB8" s="20">
        <f t="shared" ca="1" si="5"/>
        <v>-159.3885364163782</v>
      </c>
      <c r="AC8" s="18">
        <f t="shared" ca="1" si="6"/>
        <v>-76151.801635882526</v>
      </c>
      <c r="AD8" s="19">
        <f t="shared" ca="1" si="16"/>
        <v>22858.104949236102</v>
      </c>
      <c r="AE8" s="20">
        <f t="shared" ca="1" si="7"/>
        <v>-162.43727274622552</v>
      </c>
    </row>
    <row r="9" spans="1:31" x14ac:dyDescent="0.25">
      <c r="I9" t="b">
        <f t="shared" ca="1" si="8"/>
        <v>1</v>
      </c>
      <c r="J9" t="b">
        <f t="shared" ca="1" si="9"/>
        <v>1</v>
      </c>
      <c r="K9" s="39">
        <f t="shared" ca="1" si="0"/>
        <v>0.18258319115340713</v>
      </c>
      <c r="L9" s="11">
        <f ca="1">RTD("xqrtd.rtdserverxqlite",,"TXON"&amp;TEXT($D$2,"00")&amp;$L$2 &amp;TEXT(R9,"0")&amp;".TF-Bid")</f>
        <v>890</v>
      </c>
      <c r="M9" s="4">
        <f t="shared" ca="1" si="10"/>
        <v>0.17269902991056441</v>
      </c>
      <c r="N9" s="11">
        <f ca="1">RTD("xqrtd.rtdserverxqlite",,"TXON"&amp;TEXT($D$2,"00")&amp;$L$2 &amp;TEXT(R9,"0")&amp;".TF-Ask")</f>
        <v>905</v>
      </c>
      <c r="O9" s="27">
        <f t="shared" ca="1" si="11"/>
        <v>0.18971196744441987</v>
      </c>
      <c r="P9" s="16">
        <f ca="1">RTD("xqrtd.rtdserverxqlite",,"TXON"&amp;TEXT($D$2,"00")&amp;$L$2 &amp;TEXT(R9,"0")&amp;".TF-TotalVolume")</f>
        <v>0</v>
      </c>
      <c r="Q9" s="3" t="str">
        <f ca="1">RTD("xqrtd.rtdserverxqlite",,"TXON"&amp;TEXT($D$2,"00")&amp;$L$2 &amp;TEXT(R9,"0")&amp;".TF-Price")</f>
        <v>--</v>
      </c>
      <c r="R9" s="15">
        <f t="shared" si="12"/>
        <v>13300</v>
      </c>
      <c r="S9" s="3">
        <f ca="1">RTD("xqrtd.rtdserverxqlite",,"TXON"&amp;TEXT($D$2,"00")&amp;$S$2 &amp;TEXT(R9,"0")&amp;".TF-Price")</f>
        <v>51</v>
      </c>
      <c r="T9" s="17">
        <f ca="1">RTD("xqrtd.rtdserverxqlite",,"TXON"&amp;TEXT($D$2,"00")&amp;$S$2 &amp;TEXT(R9,"0")&amp;".TF-TotalVolume")</f>
        <v>345</v>
      </c>
      <c r="U9" s="28">
        <f ca="1">RTD("xqrtd.rtdserverxqlite",,"TXON"&amp;TEXT($D$2,"00")&amp;$S$2 &amp;TEXT(R9,"0")&amp;".TF-Bid")</f>
        <v>50</v>
      </c>
      <c r="V9" s="4">
        <f t="shared" ca="1" si="13"/>
        <v>0.18202192227840425</v>
      </c>
      <c r="W9" s="11">
        <f ca="1">RTD("xqrtd.rtdserverxqlite",,"TXON"&amp;TEXT($D$2,"00")&amp;$S$2 &amp;TEXT(R9,"0")&amp;".TF-Ask")</f>
        <v>51</v>
      </c>
      <c r="X9" s="4">
        <f t="shared" ca="1" si="14"/>
        <v>0.18314446002841001</v>
      </c>
      <c r="Z9" s="18">
        <f t="shared" ca="1" si="4"/>
        <v>619230.24029392179</v>
      </c>
      <c r="AA9" s="19">
        <f t="shared" ca="1" si="15"/>
        <v>26442.663062826574</v>
      </c>
      <c r="AB9" s="20">
        <f t="shared" ca="1" si="5"/>
        <v>-173.26227019480029</v>
      </c>
      <c r="AC9" s="18">
        <f t="shared" ca="1" si="6"/>
        <v>-89378.442233023219</v>
      </c>
      <c r="AD9" s="19">
        <f t="shared" ca="1" si="16"/>
        <v>26493.658803862651</v>
      </c>
      <c r="AE9" s="20">
        <f t="shared" ca="1" si="7"/>
        <v>-176.281188008171</v>
      </c>
    </row>
    <row r="10" spans="1:31" x14ac:dyDescent="0.25">
      <c r="I10" t="b">
        <f t="shared" ca="1" si="8"/>
        <v>1</v>
      </c>
      <c r="J10" t="b">
        <f t="shared" ca="1" si="9"/>
        <v>1</v>
      </c>
      <c r="K10" s="39">
        <f t="shared" ca="1" si="0"/>
        <v>0.17676165817081932</v>
      </c>
      <c r="L10" s="11">
        <f ca="1">RTD("xqrtd.rtdserverxqlite",,"TXON"&amp;TEXT($D$2,"00")&amp;$L$2 &amp;TEXT(R10,"0")&amp;".TF-Bid")</f>
        <v>800</v>
      </c>
      <c r="M10" s="4">
        <f t="shared" ca="1" si="10"/>
        <v>0.16854312504529953</v>
      </c>
      <c r="N10" s="11">
        <f ca="1">RTD("xqrtd.rtdserverxqlite",,"TXON"&amp;TEXT($D$2,"00")&amp;$L$2 &amp;TEXT(R10,"0")&amp;".TF-Ask")</f>
        <v>810</v>
      </c>
      <c r="O10" s="27">
        <f t="shared" ca="1" si="11"/>
        <v>0.17875801592469215</v>
      </c>
      <c r="P10" s="16">
        <f ca="1">RTD("xqrtd.rtdserverxqlite",,"TXON"&amp;TEXT($D$2,"00")&amp;$L$2 &amp;TEXT(R10,"0")&amp;".TF-TotalVolume")</f>
        <v>0</v>
      </c>
      <c r="Q10" s="3" t="str">
        <f ca="1">RTD("xqrtd.rtdserverxqlite",,"TXON"&amp;TEXT($D$2,"00")&amp;$L$2 &amp;TEXT(R10,"0")&amp;".TF-Price")</f>
        <v>--</v>
      </c>
      <c r="R10" s="15">
        <f t="shared" si="12"/>
        <v>13400</v>
      </c>
      <c r="S10" s="3">
        <f ca="1">RTD("xqrtd.rtdserverxqlite",,"TXON"&amp;TEXT($D$2,"00")&amp;$S$2 &amp;TEXT(R10,"0")&amp;".TF-Price")</f>
        <v>61</v>
      </c>
      <c r="T10" s="17">
        <f ca="1">RTD("xqrtd.rtdserverxqlite",,"TXON"&amp;TEXT($D$2,"00")&amp;$S$2 &amp;TEXT(R10,"0")&amp;".TF-TotalVolume")</f>
        <v>248</v>
      </c>
      <c r="U10" s="28">
        <f ca="1">RTD("xqrtd.rtdserverxqlite",,"TXON"&amp;TEXT($D$2,"00")&amp;$S$2 &amp;TEXT(R10,"0")&amp;".TF-Bid")</f>
        <v>59</v>
      </c>
      <c r="V10" s="4">
        <f t="shared" ca="1" si="13"/>
        <v>0.17575921777486803</v>
      </c>
      <c r="W10" s="11">
        <f ca="1">RTD("xqrtd.rtdserverxqlite",,"TXON"&amp;TEXT($D$2,"00")&amp;$S$2 &amp;TEXT(R10,"0")&amp;".TF-Ask")</f>
        <v>61</v>
      </c>
      <c r="X10" s="4">
        <f t="shared" ca="1" si="14"/>
        <v>0.17776409856677061</v>
      </c>
      <c r="Z10" s="18">
        <f t="shared" ca="1" si="4"/>
        <v>604751.8409579799</v>
      </c>
      <c r="AA10" s="19">
        <f t="shared" ca="1" si="15"/>
        <v>30627.614144591047</v>
      </c>
      <c r="AB10" s="20">
        <f t="shared" ca="1" si="5"/>
        <v>-184.67998178466587</v>
      </c>
      <c r="AC10" s="18">
        <f t="shared" ca="1" si="6"/>
        <v>-105527.15899971599</v>
      </c>
      <c r="AD10" s="19">
        <f t="shared" ca="1" si="16"/>
        <v>30651.649189367155</v>
      </c>
      <c r="AE10" s="20">
        <f t="shared" ca="1" si="7"/>
        <v>-191.57834732982371</v>
      </c>
    </row>
    <row r="11" spans="1:31" x14ac:dyDescent="0.25">
      <c r="I11" t="b">
        <f t="shared" ca="1" si="8"/>
        <v>1</v>
      </c>
      <c r="J11" t="b">
        <f t="shared" ca="1" si="9"/>
        <v>1</v>
      </c>
      <c r="K11" s="39">
        <f t="shared" ca="1" si="0"/>
        <v>0.17190275167226793</v>
      </c>
      <c r="L11" s="11">
        <f ca="1">RTD("xqrtd.rtdserverxqlite",,"TXON"&amp;TEXT($D$2,"00")&amp;$L$2 &amp;TEXT(R11,"0")&amp;".TF-Bid")</f>
        <v>715</v>
      </c>
      <c r="M11" s="4">
        <f t="shared" ref="M11:M31" ca="1" si="17">GBSNewtonImpVolCall(L11,$C$2,R11,$E$2,$F$2,0)</f>
        <v>0.1669163572132587</v>
      </c>
      <c r="N11" s="11">
        <f ca="1">RTD("xqrtd.rtdserverxqlite",,"TXON"&amp;TEXT($D$2,"00")&amp;$L$2 &amp;TEXT(R11,"0")&amp;".TF-Ask")</f>
        <v>725</v>
      </c>
      <c r="O11" s="27">
        <f t="shared" ca="1" si="1"/>
        <v>0.1758979704499245</v>
      </c>
      <c r="P11" s="16">
        <f ca="1">RTD("xqrtd.rtdserverxqlite",,"TXON"&amp;TEXT($D$2,"00")&amp;$L$2 &amp;TEXT(R11,"0")&amp;".TF-TotalVolume")</f>
        <v>6</v>
      </c>
      <c r="Q11" s="3">
        <f ca="1">RTD("xqrtd.rtdserverxqlite",,"TXON"&amp;TEXT($D$2,"00")&amp;$L$2 &amp;TEXT(R11,"0")&amp;".TF-Price")</f>
        <v>715</v>
      </c>
      <c r="R11" s="15">
        <f t="shared" ref="R11:R16" si="18">R12-100</f>
        <v>13500</v>
      </c>
      <c r="S11" s="3">
        <f ca="1">RTD("xqrtd.rtdserverxqlite",,"TXON"&amp;TEXT($D$2,"00")&amp;$S$2 &amp;TEXT(R11,"0")&amp;".TF-Price")</f>
        <v>72</v>
      </c>
      <c r="T11" s="17">
        <f ca="1">RTD("xqrtd.rtdserverxqlite",,"TXON"&amp;TEXT($D$2,"00")&amp;$S$2 &amp;TEXT(R11,"0")&amp;".TF-TotalVolume")</f>
        <v>246</v>
      </c>
      <c r="U11" s="28">
        <f ca="1">RTD("xqrtd.rtdserverxqlite",,"TXON"&amp;TEXT($D$2,"00")&amp;$S$2 &amp;TEXT(R11,"0")&amp;".TF-Bid")</f>
        <v>72</v>
      </c>
      <c r="V11" s="4">
        <f t="shared" ca="1" si="2"/>
        <v>0.17145478556156163</v>
      </c>
      <c r="W11" s="11">
        <f ca="1">RTD("xqrtd.rtdserverxqlite",,"TXON"&amp;TEXT($D$2,"00")&amp;$S$2 &amp;TEXT(R11,"0")&amp;".TF-Ask")</f>
        <v>73</v>
      </c>
      <c r="X11" s="4">
        <f t="shared" ca="1" si="3"/>
        <v>0.17235071778297426</v>
      </c>
      <c r="Z11" s="18">
        <f t="shared" ca="1" si="4"/>
        <v>582360.14482822479</v>
      </c>
      <c r="AA11" s="19">
        <f ca="1">gGamma($C$2,R11,$E$2,$F$2,0,AVERAGE(M11,O11))*$C$2^2*0.01*50</f>
        <v>35297.287367333549</v>
      </c>
      <c r="AB11" s="20">
        <f t="shared" ca="1" si="5"/>
        <v>-207.88611316453398</v>
      </c>
      <c r="AC11" s="18">
        <f t="shared" ca="1" si="6"/>
        <v>-125503.77238855294</v>
      </c>
      <c r="AD11" s="19">
        <f t="shared" ref="AD11:AD31" ca="1" si="19">gGamma($C$2,R11,$E$2,$F$2,0,AVERAGE(V11,X11))*$C$2^2*0.01*50</f>
        <v>35277.94820996729</v>
      </c>
      <c r="AE11" s="20">
        <f t="shared" ca="1" si="7"/>
        <v>-208.98484039907643</v>
      </c>
    </row>
    <row r="12" spans="1:31" x14ac:dyDescent="0.25">
      <c r="I12" t="b">
        <f t="shared" ca="1" si="8"/>
        <v>1</v>
      </c>
      <c r="J12" t="b">
        <f t="shared" ca="1" si="9"/>
        <v>1</v>
      </c>
      <c r="K12" s="39">
        <f t="shared" ca="1" si="0"/>
        <v>0.16739007124304772</v>
      </c>
      <c r="L12" s="11">
        <f ca="1">RTD("xqrtd.rtdserverxqlite",,"TXON"&amp;TEXT($D$2,"00")&amp;$L$2 &amp;TEXT(R12,"0")&amp;".TF-Bid")</f>
        <v>630</v>
      </c>
      <c r="M12" s="23">
        <f t="shared" ca="1" si="17"/>
        <v>0.16250738368034362</v>
      </c>
      <c r="N12" s="22">
        <f ca="1">RTD("xqrtd.rtdserverxqlite",,"TXON"&amp;TEXT($D$2,"00")&amp;$L$2 &amp;TEXT(R12,"0")&amp;".TF-Ask")</f>
        <v>640</v>
      </c>
      <c r="O12" s="21">
        <f ca="1">GBSNewtonImpVolCall(N12,$C$2,R12,$E$2,$F$2,0)</f>
        <v>0.17059962087869646</v>
      </c>
      <c r="P12" s="16">
        <f ca="1">RTD("xqrtd.rtdserverxqlite",,"TXON"&amp;TEXT($D$2,"00")&amp;$L$2 &amp;TEXT(R12,"0")&amp;".TF-TotalVolume")</f>
        <v>33</v>
      </c>
      <c r="Q12" s="3">
        <f ca="1">RTD("xqrtd.rtdserverxqlite",,"TXON"&amp;TEXT($D$2,"00")&amp;$L$2 &amp;TEXT(R12,"0")&amp;".TF-Price")</f>
        <v>640</v>
      </c>
      <c r="R12" s="15">
        <f t="shared" si="18"/>
        <v>13600</v>
      </c>
      <c r="S12" s="3">
        <f ca="1">RTD("xqrtd.rtdserverxqlite",,"TXON"&amp;TEXT($D$2,"00")&amp;$S$2 &amp;TEXT(R12,"0")&amp;".TF-Price")</f>
        <v>88</v>
      </c>
      <c r="T12" s="17">
        <f ca="1">RTD("xqrtd.rtdserverxqlite",,"TXON"&amp;TEXT($D$2,"00")&amp;$S$2 &amp;TEXT(R12,"0")&amp;".TF-TotalVolume")</f>
        <v>446</v>
      </c>
      <c r="U12" s="28">
        <f ca="1">RTD("xqrtd.rtdserverxqlite",,"TXON"&amp;TEXT($D$2,"00")&amp;$S$2 &amp;TEXT(R12,"0")&amp;".TF-Bid")</f>
        <v>87</v>
      </c>
      <c r="V12" s="4">
        <f t="shared" ca="1" si="2"/>
        <v>0.16658342231512069</v>
      </c>
      <c r="W12" s="11">
        <f ca="1">RTD("xqrtd.rtdserverxqlite",,"TXON"&amp;TEXT($D$2,"00")&amp;$S$2 &amp;TEXT(R12,"0")&amp;".TF-Ask")</f>
        <v>89</v>
      </c>
      <c r="X12" s="4">
        <f t="shared" ca="1" si="3"/>
        <v>0.16819672017097473</v>
      </c>
      <c r="Z12" s="18">
        <f t="shared" ca="1" si="4"/>
        <v>559008.32696946396</v>
      </c>
      <c r="AA12" s="19">
        <f t="shared" ref="AA12:AA31" ca="1" si="20">gGamma($C$2,R12,$E$2,$F$2,0,AVERAGE(M12,O12))*$C$2^2*0.01*50</f>
        <v>40330.327600743149</v>
      </c>
      <c r="AB12" s="20">
        <f t="shared" ca="1" si="5"/>
        <v>-224.69678980334606</v>
      </c>
      <c r="AC12" s="18">
        <f t="shared" ca="1" si="6"/>
        <v>-149163.36496924682</v>
      </c>
      <c r="AD12" s="19">
        <f t="shared" ca="1" si="19"/>
        <v>40251.150557170811</v>
      </c>
      <c r="AE12" s="20">
        <f t="shared" ca="1" si="7"/>
        <v>-226.52708010966904</v>
      </c>
    </row>
    <row r="13" spans="1:31" x14ac:dyDescent="0.25">
      <c r="I13" t="b">
        <f t="shared" ca="1" si="8"/>
        <v>1</v>
      </c>
      <c r="J13" t="b">
        <f t="shared" ca="1" si="9"/>
        <v>1</v>
      </c>
      <c r="K13" s="39">
        <f t="shared" ca="1" si="0"/>
        <v>0.16241166340708735</v>
      </c>
      <c r="L13" s="11">
        <f ca="1">RTD("xqrtd.rtdserverxqlite",,"TXON"&amp;TEXT($D$2,"00")&amp;$L$2 &amp;TEXT(R13,"0")&amp;".TF-Bid")</f>
        <v>550</v>
      </c>
      <c r="M13" s="23">
        <f t="shared" ca="1" si="17"/>
        <v>0.15945995057225226</v>
      </c>
      <c r="N13" s="22">
        <f ca="1">RTD("xqrtd.rtdserverxqlite",,"TXON"&amp;TEXT($D$2,"00")&amp;$L$2 &amp;TEXT(R13,"0")&amp;".TF-Ask")</f>
        <v>555</v>
      </c>
      <c r="O13" s="21">
        <f t="shared" ca="1" si="1"/>
        <v>0.16314690954089167</v>
      </c>
      <c r="P13" s="16">
        <f ca="1">RTD("xqrtd.rtdserverxqlite",,"TXON"&amp;TEXT($D$2,"00")&amp;$L$2 &amp;TEXT(R13,"0")&amp;".TF-TotalVolume")</f>
        <v>50</v>
      </c>
      <c r="Q13" s="3">
        <f ca="1">RTD("xqrtd.rtdserverxqlite",,"TXON"&amp;TEXT($D$2,"00")&amp;$L$2 &amp;TEXT(R13,"0")&amp;".TF-Price")</f>
        <v>550</v>
      </c>
      <c r="R13" s="15">
        <f t="shared" si="18"/>
        <v>13700</v>
      </c>
      <c r="S13" s="3">
        <f ca="1">RTD("xqrtd.rtdserverxqlite",,"TXON"&amp;TEXT($D$2,"00")&amp;$S$2 &amp;TEXT(R13,"0")&amp;".TF-Price")</f>
        <v>105</v>
      </c>
      <c r="T13" s="17">
        <f ca="1">RTD("xqrtd.rtdserverxqlite",,"TXON"&amp;TEXT($D$2,"00")&amp;$S$2 &amp;TEXT(R13,"0")&amp;".TF-TotalVolume")</f>
        <v>491</v>
      </c>
      <c r="U13" s="28">
        <f ca="1">RTD("xqrtd.rtdserverxqlite",,"TXON"&amp;TEXT($D$2,"00")&amp;$S$2 &amp;TEXT(R13,"0")&amp;".TF-Bid")</f>
        <v>105</v>
      </c>
      <c r="V13" s="4">
        <f t="shared" ca="1" si="2"/>
        <v>0.16167641727328302</v>
      </c>
      <c r="W13" s="11">
        <f ca="1">RTD("xqrtd.rtdserverxqlite",,"TXON"&amp;TEXT($D$2,"00")&amp;$S$2 &amp;TEXT(R13,"0")&amp;".TF-Ask")</f>
        <v>107</v>
      </c>
      <c r="X13" s="4">
        <f t="shared" ca="1" si="3"/>
        <v>0.16314690954089167</v>
      </c>
      <c r="Z13" s="18">
        <f t="shared" ca="1" si="4"/>
        <v>532260.09467425128</v>
      </c>
      <c r="AA13" s="19">
        <f t="shared" ca="1" si="20"/>
        <v>45708.313252271982</v>
      </c>
      <c r="AB13" s="20">
        <f t="shared" ca="1" si="5"/>
        <v>-239.25971988466017</v>
      </c>
      <c r="AC13" s="18">
        <f t="shared" ca="1" si="6"/>
        <v>-176107.46472453425</v>
      </c>
      <c r="AD13" s="19">
        <f t="shared" ca="1" si="19"/>
        <v>45529.956542597174</v>
      </c>
      <c r="AE13" s="20">
        <f t="shared" ca="1" si="7"/>
        <v>-241.62571215301654</v>
      </c>
    </row>
    <row r="14" spans="1:31" x14ac:dyDescent="0.25">
      <c r="I14" t="b">
        <f t="shared" ca="1" si="8"/>
        <v>1</v>
      </c>
      <c r="J14" t="b">
        <f t="shared" ca="1" si="9"/>
        <v>1</v>
      </c>
      <c r="K14" s="39">
        <f t="shared" ca="1" si="0"/>
        <v>0.15840065018832686</v>
      </c>
      <c r="L14" s="11">
        <f ca="1">RTD("xqrtd.rtdserverxqlite",,"TXON"&amp;TEXT($D$2,"00")&amp;$L$2 &amp;TEXT(R14,"0")&amp;".TF-Bid")</f>
        <v>474</v>
      </c>
      <c r="M14" s="23">
        <f t="shared" ca="1" si="17"/>
        <v>0.15636638577580453</v>
      </c>
      <c r="N14" s="22">
        <f ca="1">RTD("xqrtd.rtdserverxqlite",,"TXON"&amp;TEXT($D$2,"00")&amp;$L$2 &amp;TEXT(R14,"0")&amp;".TF-Ask")</f>
        <v>477</v>
      </c>
      <c r="O14" s="21">
        <f t="shared" ca="1" si="1"/>
        <v>0.15840106739997864</v>
      </c>
      <c r="P14" s="16">
        <f ca="1">RTD("xqrtd.rtdserverxqlite",,"TXON"&amp;TEXT($D$2,"00")&amp;$L$2 &amp;TEXT(R14,"0")&amp;".TF-TotalVolume")</f>
        <v>49</v>
      </c>
      <c r="Q14" s="3">
        <f ca="1">RTD("xqrtd.rtdserverxqlite",,"TXON"&amp;TEXT($D$2,"00")&amp;$L$2 &amp;TEXT(R14,"0")&amp;".TF-Price")</f>
        <v>484</v>
      </c>
      <c r="R14" s="15">
        <f t="shared" si="18"/>
        <v>13800</v>
      </c>
      <c r="S14" s="3">
        <f ca="1">RTD("xqrtd.rtdserverxqlite",,"TXON"&amp;TEXT($D$2,"00")&amp;$S$2 &amp;TEXT(R14,"0")&amp;".TF-Price")</f>
        <v>129</v>
      </c>
      <c r="T14" s="17">
        <f ca="1">RTD("xqrtd.rtdserverxqlite",,"TXON"&amp;TEXT($D$2,"00")&amp;$S$2 &amp;TEXT(R14,"0")&amp;".TF-TotalVolume")</f>
        <v>441</v>
      </c>
      <c r="U14" s="28">
        <f ca="1">RTD("xqrtd.rtdserverxqlite",,"TXON"&amp;TEXT($D$2,"00")&amp;$S$2 &amp;TEXT(R14,"0")&amp;".TF-Bid")</f>
        <v>128</v>
      </c>
      <c r="V14" s="4">
        <f t="shared" ca="1" si="2"/>
        <v>0.15772363488078123</v>
      </c>
      <c r="W14" s="11">
        <f ca="1">RTD("xqrtd.rtdserverxqlite",,"TXON"&amp;TEXT($D$2,"00")&amp;$S$2 &amp;TEXT(R14,"0")&amp;".TF-Ask")</f>
        <v>130</v>
      </c>
      <c r="X14" s="4">
        <f t="shared" ca="1" si="3"/>
        <v>0.15907766549587249</v>
      </c>
      <c r="Z14" s="18">
        <f t="shared" ca="1" si="4"/>
        <v>500350.9925058863</v>
      </c>
      <c r="AA14" s="19">
        <f t="shared" ca="1" si="20"/>
        <v>50943.26762582321</v>
      </c>
      <c r="AB14" s="20">
        <f t="shared" ca="1" si="5"/>
        <v>-254.26039228246395</v>
      </c>
      <c r="AC14" s="18">
        <f t="shared" ca="1" si="6"/>
        <v>-207826.70751122132</v>
      </c>
      <c r="AD14" s="19">
        <f t="shared" ca="1" si="19"/>
        <v>50704.265712300279</v>
      </c>
      <c r="AE14" s="20">
        <f t="shared" ca="1" si="7"/>
        <v>-256.35777878101817</v>
      </c>
    </row>
    <row r="15" spans="1:31" x14ac:dyDescent="0.25">
      <c r="G15" t="b">
        <f t="shared" ref="G15" ca="1" si="21">AND(M15&lt;1,M15&gt;0.05)</f>
        <v>1</v>
      </c>
      <c r="H15" t="b">
        <f t="shared" ref="H15" ca="1" si="22">AND(O15&lt;1,O15&gt;0.05)</f>
        <v>1</v>
      </c>
      <c r="I15" t="b">
        <f t="shared" ca="1" si="8"/>
        <v>1</v>
      </c>
      <c r="J15" t="b">
        <f t="shared" ca="1" si="9"/>
        <v>1</v>
      </c>
      <c r="K15" s="39">
        <f ca="1">IF((M15*G15+O15*H15+V15*I15+X15*J15)/COUNTIF(G15:J15,TRUE)*AND(P15&gt;=30,T15&gt;=30)=0,NA(),(M15*G15+O15*H15+V15*I15+X15*J15)/COUNTIF(G15:J15,TRUE)*AND(P15&gt;=30,T15&gt;=30))</f>
        <v>0.15414237946420911</v>
      </c>
      <c r="L15" s="11">
        <f ca="1">RTD("xqrtd.rtdserverxqlite",,"TXON"&amp;TEXT($D$2,"00")&amp;$L$2 &amp;TEXT(R15,"0")&amp;".TF-Bid")</f>
        <v>402</v>
      </c>
      <c r="M15" s="23">
        <f ca="1">GBSNewtonImpVolCall(L15,$C$2,R15,$E$2,$F$2,0)</f>
        <v>0.15287492026686672</v>
      </c>
      <c r="N15" s="22">
        <f ca="1">RTD("xqrtd.rtdserverxqlite",,"TXON"&amp;TEXT($D$2,"00")&amp;$L$2 &amp;TEXT(R15,"0")&amp;".TF-Ask")</f>
        <v>405</v>
      </c>
      <c r="O15" s="21">
        <f t="shared" ca="1" si="1"/>
        <v>0.15477597495913509</v>
      </c>
      <c r="P15" s="16">
        <f ca="1">RTD("xqrtd.rtdserverxqlite",,"TXON"&amp;TEXT($D$2,"00")&amp;$L$2 &amp;TEXT(R15,"0")&amp;".TF-TotalVolume")</f>
        <v>55</v>
      </c>
      <c r="Q15" s="3">
        <f ca="1">RTD("xqrtd.rtdserverxqlite",,"TXON"&amp;TEXT($D$2,"00")&amp;$L$2 &amp;TEXT(R15,"0")&amp;".TF-Price")</f>
        <v>401</v>
      </c>
      <c r="R15" s="15">
        <f>R16-100</f>
        <v>13900</v>
      </c>
      <c r="S15" s="3">
        <f ca="1">RTD("xqrtd.rtdserverxqlite",,"TXON"&amp;TEXT($D$2,"00")&amp;$S$2 &amp;TEXT(R15,"0")&amp;".TF-Price")</f>
        <v>156</v>
      </c>
      <c r="T15" s="17">
        <f ca="1">RTD("xqrtd.rtdserverxqlite",,"TXON"&amp;TEXT($D$2,"00")&amp;$S$2 &amp;TEXT(R15,"0")&amp;".TF-TotalVolume")</f>
        <v>360</v>
      </c>
      <c r="U15" s="28">
        <f ca="1">RTD("xqrtd.rtdserverxqlite",,"TXON"&amp;TEXT($D$2,"00")&amp;$S$2 &amp;TEXT(R15,"0")&amp;".TF-Bid")</f>
        <v>156</v>
      </c>
      <c r="V15" s="4">
        <f ca="1">GBSNewtonImpVolPut(U15,$C$2,R15,$E$2,$F$2,0)</f>
        <v>0.15414264767169955</v>
      </c>
      <c r="W15" s="11">
        <f ca="1">RTD("xqrtd.rtdserverxqlite",,"TXON"&amp;TEXT($D$2,"00")&amp;$S$2 &amp;TEXT(R15,"0")&amp;".TF-Ask")</f>
        <v>157</v>
      </c>
      <c r="X15" s="4">
        <f t="shared" ca="1" si="3"/>
        <v>0.15477597495913509</v>
      </c>
      <c r="Z15" s="18">
        <f t="shared" ca="1" si="4"/>
        <v>464252.41004142963</v>
      </c>
      <c r="AA15" s="19">
        <f t="shared" ca="1" si="20"/>
        <v>55782.656265899888</v>
      </c>
      <c r="AB15" s="20">
        <f t="shared" ca="1" si="5"/>
        <v>-266.35922808821419</v>
      </c>
      <c r="AC15" s="18">
        <f t="shared" ca="1" si="6"/>
        <v>-243527.46156519305</v>
      </c>
      <c r="AD15" s="19">
        <f t="shared" ca="1" si="19"/>
        <v>55586.306859661068</v>
      </c>
      <c r="AE15" s="20">
        <f t="shared" ca="1" si="7"/>
        <v>-267.61773672946418</v>
      </c>
    </row>
    <row r="16" spans="1:31" x14ac:dyDescent="0.25">
      <c r="G16" t="b">
        <f t="shared" ref="G16" ca="1" si="23">AND(M16&lt;1,M16&gt;0.05)</f>
        <v>1</v>
      </c>
      <c r="H16" t="b">
        <f t="shared" ref="H16" ca="1" si="24">AND(O16&lt;1,O16&gt;0.05)</f>
        <v>1</v>
      </c>
      <c r="I16" t="b">
        <f t="shared" ca="1" si="8"/>
        <v>1</v>
      </c>
      <c r="J16" t="b">
        <f t="shared" ca="1" si="9"/>
        <v>1</v>
      </c>
      <c r="K16" s="39">
        <f ca="1">IF((M16*G16+O16*H16+V16*I16+X16*J16)/COUNTIF(G16:J16,TRUE)*AND(P16&gt;=30,T16&gt;=30)=0,NA(),(M16*G16+O16*H16+V16*I16+X16*J16)/COUNTIF(G16:J16,TRUE)*AND(P16&gt;=30,T16&gt;=30))</f>
        <v>0.15080131875574593</v>
      </c>
      <c r="L16" s="11">
        <f ca="1">RTD("xqrtd.rtdserverxqlite",,"TXON"&amp;TEXT($D$2,"00")&amp;$L$2 &amp;TEXT(R16,"0")&amp;".TF-Bid")</f>
        <v>336</v>
      </c>
      <c r="M16" s="23">
        <f t="shared" ca="1" si="17"/>
        <v>0.14989650588631637</v>
      </c>
      <c r="N16" s="22">
        <f ca="1">RTD("xqrtd.rtdserverxqlite",,"TXON"&amp;TEXT($D$2,"00")&amp;$L$2 &amp;TEXT(R16,"0")&amp;".TF-Ask")</f>
        <v>338</v>
      </c>
      <c r="O16" s="21">
        <f t="shared" ca="1" si="1"/>
        <v>0.1511029627799988</v>
      </c>
      <c r="P16" s="16">
        <f ca="1">RTD("xqrtd.rtdserverxqlite",,"TXON"&amp;TEXT($D$2,"00")&amp;$L$2 &amp;TEXT(R16,"0")&amp;".TF-TotalVolume")</f>
        <v>156</v>
      </c>
      <c r="Q16" s="3">
        <f ca="1">RTD("xqrtd.rtdserverxqlite",,"TXON"&amp;TEXT($D$2,"00")&amp;$L$2 &amp;TEXT(R16,"0")&amp;".TF-Price")</f>
        <v>339</v>
      </c>
      <c r="R16" s="15">
        <f t="shared" si="18"/>
        <v>14000</v>
      </c>
      <c r="S16" s="3">
        <f ca="1">RTD("xqrtd.rtdserverxqlite",,"TXON"&amp;TEXT($D$2,"00")&amp;$S$2 &amp;TEXT(R16,"0")&amp;".TF-Price")</f>
        <v>189</v>
      </c>
      <c r="T16" s="17">
        <f ca="1">RTD("xqrtd.rtdserverxqlite",,"TXON"&amp;TEXT($D$2,"00")&amp;$S$2 &amp;TEXT(R16,"0")&amp;".TF-TotalVolume")</f>
        <v>439</v>
      </c>
      <c r="U16" s="28">
        <f ca="1">RTD("xqrtd.rtdserverxqlite",,"TXON"&amp;TEXT($D$2,"00")&amp;$S$2 &amp;TEXT(R16,"0")&amp;".TF-Bid")</f>
        <v>189</v>
      </c>
      <c r="V16" s="4">
        <f t="shared" ca="1" si="2"/>
        <v>0.1504997939348221</v>
      </c>
      <c r="W16" s="11">
        <f ca="1">RTD("xqrtd.rtdserverxqlite",,"TXON"&amp;TEXT($D$2,"00")&amp;$S$2 &amp;TEXT(R16,"0")&amp;".TF-Ask")</f>
        <v>191</v>
      </c>
      <c r="X16" s="4">
        <f t="shared" ca="1" si="3"/>
        <v>0.15170601242184639</v>
      </c>
      <c r="Z16" s="18">
        <f t="shared" ca="1" si="4"/>
        <v>424398.56239806104</v>
      </c>
      <c r="AA16" s="19">
        <f t="shared" ca="1" si="20"/>
        <v>59872.191966000028</v>
      </c>
      <c r="AB16" s="20">
        <f t="shared" ca="1" si="5"/>
        <v>-274.04110247467486</v>
      </c>
      <c r="AC16" s="18">
        <f t="shared" ca="1" si="6"/>
        <v>-283227.73817075661</v>
      </c>
      <c r="AD16" s="19">
        <f t="shared" ca="1" si="19"/>
        <v>59645.679519127654</v>
      </c>
      <c r="AE16" s="20">
        <f t="shared" ca="1" si="7"/>
        <v>-275.19924123835722</v>
      </c>
    </row>
    <row r="17" spans="1:31" x14ac:dyDescent="0.25">
      <c r="A17" t="s">
        <v>87</v>
      </c>
      <c r="G17" t="b">
        <f t="shared" ref="G17:G31" ca="1" si="25">AND(M17&lt;1,M17&gt;0.05)</f>
        <v>1</v>
      </c>
      <c r="H17" t="b">
        <f t="shared" ref="H17:H31" ca="1" si="26">AND(O17&lt;1,O17&gt;0.05)</f>
        <v>1</v>
      </c>
      <c r="I17" t="b">
        <f t="shared" ca="1" si="8"/>
        <v>1</v>
      </c>
      <c r="J17" t="b">
        <f t="shared" ca="1" si="9"/>
        <v>1</v>
      </c>
      <c r="K17" s="39">
        <f ca="1">IF((M17*G17+O17*H17+V17*I17+X17*J17)/COUNTIF(G17:J17,TRUE)*AND(P17&gt;=30,T17&gt;=30)=0,NA(),(M17*G17+O17*H17+V17*I17+X17*J17)/COUNTIF(G17:J17,TRUE)*AND(P17&gt;=30,T17&gt;=30))</f>
        <v>0.14745620513409377</v>
      </c>
      <c r="L17" s="22">
        <f ca="1">RTD("xqrtd.rtdserverxqlite",,"TXON"&amp;TEXT($D$2,"00")&amp;$L$2 &amp;TEXT(R17,"0")&amp;".TF-Bid")</f>
        <v>275</v>
      </c>
      <c r="M17" s="23">
        <f t="shared" ca="1" si="17"/>
        <v>0.14642947705984116</v>
      </c>
      <c r="N17" s="22">
        <f ca="1">RTD("xqrtd.rtdserverxqlite",,"TXON"&amp;TEXT($D$2,"00")&amp;$L$2 &amp;TEXT(R17,"0")&amp;".TF-Ask")</f>
        <v>277</v>
      </c>
      <c r="O17" s="21">
        <f t="shared" ca="1" si="1"/>
        <v>0.14760291463136674</v>
      </c>
      <c r="P17" s="16">
        <f ca="1">RTD("xqrtd.rtdserverxqlite",,"TXON"&amp;TEXT($D$2,"00")&amp;$L$2 &amp;TEXT(R17,"0")&amp;".TF-TotalVolume")</f>
        <v>440</v>
      </c>
      <c r="Q17" s="3">
        <f ca="1">RTD("xqrtd.rtdserverxqlite",,"TXON"&amp;TEXT($D$2,"00")&amp;$L$2 &amp;TEXT(R17,"0")&amp;".TF-Price")</f>
        <v>281</v>
      </c>
      <c r="R17" s="2">
        <f>ROUND(C2/100,0)*100</f>
        <v>14100</v>
      </c>
      <c r="S17" s="3">
        <f ca="1">RTD("xqrtd.rtdserverxqlite",,"TXON"&amp;TEXT($D$2,"00")&amp;$S$2 &amp;TEXT(R17,"0")&amp;".TF-Price")</f>
        <v>229</v>
      </c>
      <c r="T17" s="17">
        <f ca="1">RTD("xqrtd.rtdserverxqlite",,"TXON"&amp;TEXT($D$2,"00")&amp;$S$2 &amp;TEXT(R17,"0")&amp;".TF-TotalVolume")</f>
        <v>363</v>
      </c>
      <c r="U17" s="28">
        <f ca="1">RTD("xqrtd.rtdserverxqlite",,"TXON"&amp;TEXT($D$2,"00")&amp;$S$2 &amp;TEXT(R17,"0")&amp;".TF-Bid")</f>
        <v>228</v>
      </c>
      <c r="V17" s="4">
        <f t="shared" ca="1" si="2"/>
        <v>0.14701619584560394</v>
      </c>
      <c r="W17" s="11">
        <f ca="1">RTD("xqrtd.rtdserverxqlite",,"TXON"&amp;TEXT($D$2,"00")&amp;$S$2 &amp;TEXT(R17,"0")&amp;".TF-Ask")</f>
        <v>231</v>
      </c>
      <c r="X17" s="4">
        <f t="shared" ca="1" si="3"/>
        <v>0.14877623299956327</v>
      </c>
      <c r="Z17" s="18">
        <f t="shared" ca="1" si="4"/>
        <v>381462.7813053655</v>
      </c>
      <c r="AA17" s="19">
        <f t="shared" ca="1" si="20"/>
        <v>62980.898456529794</v>
      </c>
      <c r="AB17" s="20">
        <f t="shared" ca="1" si="5"/>
        <v>-275.38656169563183</v>
      </c>
      <c r="AC17" s="18">
        <f t="shared" ca="1" si="6"/>
        <v>-326027.09857508511</v>
      </c>
      <c r="AD17" s="19">
        <f t="shared" ca="1" si="19"/>
        <v>62608.117200035573</v>
      </c>
      <c r="AE17" s="20">
        <f t="shared" ca="1" si="7"/>
        <v>-277.04436944520836</v>
      </c>
    </row>
    <row r="18" spans="1:31" x14ac:dyDescent="0.25">
      <c r="A18">
        <f>B2</f>
        <v>14136</v>
      </c>
      <c r="B18" s="39">
        <v>1</v>
      </c>
      <c r="C18">
        <f>C2</f>
        <v>14148</v>
      </c>
      <c r="D18" s="39">
        <v>1</v>
      </c>
      <c r="G18" t="b">
        <f t="shared" ca="1" si="25"/>
        <v>1</v>
      </c>
      <c r="H18" t="b">
        <f t="shared" ca="1" si="26"/>
        <v>1</v>
      </c>
      <c r="I18" t="b">
        <f t="shared" ref="I18:I19" ca="1" si="27">AND(V18&lt;1,V18&gt;0.05)</f>
        <v>1</v>
      </c>
      <c r="J18" t="b">
        <f t="shared" ref="J18:J19" ca="1" si="28">AND(X18&lt;1,X18&gt;0.05)</f>
        <v>1</v>
      </c>
      <c r="K18" s="39">
        <f ca="1">IF((M18*G18+O18*H18+V18*I18+X18*J18)/COUNTIF(G18:J18,TRUE)*AND(P18&gt;=30,T18&gt;=30)=0,NA(),(M18*G18+O18*H18+V18*I18+X18*J18)/COUNTIF(G18:J18,TRUE)*AND(P18&gt;=30,T18&gt;=30))</f>
        <v>0.14496512376368048</v>
      </c>
      <c r="L18" s="22">
        <f ca="1">RTD("xqrtd.rtdserverxqlite",,"TXON"&amp;TEXT($D$2,"00")&amp;$L$2 &amp;TEXT(R18,"0")&amp;".TF-Bid")</f>
        <v>222</v>
      </c>
      <c r="M18" s="23">
        <f t="shared" ca="1" si="17"/>
        <v>0.14408772765994077</v>
      </c>
      <c r="N18" s="22">
        <f ca="1">RTD("xqrtd.rtdserverxqlite",,"TXON"&amp;TEXT($D$2,"00")&amp;$L$2 &amp;TEXT(R18,"0")&amp;".TF-Ask")</f>
        <v>224</v>
      </c>
      <c r="O18" s="21">
        <f t="shared" ca="1" si="1"/>
        <v>0.1452575891315937</v>
      </c>
      <c r="P18" s="16">
        <f ca="1">RTD("xqrtd.rtdserverxqlite",,"TXON"&amp;TEXT($D$2,"00")&amp;$L$2 &amp;TEXT(R18,"0")&amp;".TF-TotalVolume")</f>
        <v>678</v>
      </c>
      <c r="Q18" s="3">
        <f ca="1">RTD("xqrtd.rtdserverxqlite",,"TXON"&amp;TEXT($D$2,"00")&amp;$L$2 &amp;TEXT(R18,"0")&amp;".TF-Price")</f>
        <v>223</v>
      </c>
      <c r="R18" s="15">
        <f t="shared" ref="R18:R31" si="29">R17+100</f>
        <v>14200</v>
      </c>
      <c r="S18" s="3">
        <f ca="1">RTD("xqrtd.rtdserverxqlite",,"TXON"&amp;TEXT($D$2,"00")&amp;$S$2 &amp;TEXT(R18,"0")&amp;".TF-Price")</f>
        <v>277</v>
      </c>
      <c r="T18" s="17">
        <f ca="1">RTD("xqrtd.rtdserverxqlite",,"TXON"&amp;TEXT($D$2,"00")&amp;$S$2 &amp;TEXT(R18,"0")&amp;".TF-TotalVolume")</f>
        <v>370</v>
      </c>
      <c r="U18" s="28">
        <f ca="1">RTD("xqrtd.rtdserverxqlite",,"TXON"&amp;TEXT($D$2,"00")&amp;$S$2 &amp;TEXT(R18,"0")&amp;".TF-Bid")</f>
        <v>275</v>
      </c>
      <c r="V18" s="4">
        <f t="shared" ca="1" si="2"/>
        <v>0.14467265839576723</v>
      </c>
      <c r="W18" s="11">
        <f ca="1">RTD("xqrtd.rtdserverxqlite",,"TXON"&amp;TEXT($D$2,"00")&amp;$S$2 &amp;TEXT(R18,"0")&amp;".TF-Ask")</f>
        <v>277</v>
      </c>
      <c r="X18" s="4">
        <f t="shared" ca="1" si="3"/>
        <v>0.14584251986742022</v>
      </c>
      <c r="Z18" s="18">
        <f t="shared" ca="1" si="4"/>
        <v>336302.26007758413</v>
      </c>
      <c r="AA18" s="19">
        <f t="shared" ca="1" si="20"/>
        <v>64190.247865279765</v>
      </c>
      <c r="AB18" s="20">
        <f t="shared" ca="1" si="5"/>
        <v>-271.78731681243562</v>
      </c>
      <c r="AC18" s="18">
        <f t="shared" ca="1" si="6"/>
        <v>-370977.89911803766</v>
      </c>
      <c r="AD18" s="19">
        <f t="shared" ca="1" si="19"/>
        <v>63933.434454668939</v>
      </c>
      <c r="AE18" s="20">
        <f t="shared" ca="1" si="7"/>
        <v>-272.8938317045106</v>
      </c>
    </row>
    <row r="19" spans="1:31" x14ac:dyDescent="0.25">
      <c r="A19">
        <f>B2</f>
        <v>14136</v>
      </c>
      <c r="B19" s="39">
        <v>0</v>
      </c>
      <c r="C19">
        <f>C2</f>
        <v>14148</v>
      </c>
      <c r="D19" s="39">
        <v>0</v>
      </c>
      <c r="G19" t="b">
        <f t="shared" ca="1" si="25"/>
        <v>1</v>
      </c>
      <c r="H19" t="b">
        <f t="shared" ca="1" si="26"/>
        <v>1</v>
      </c>
      <c r="I19" t="b">
        <f t="shared" ca="1" si="27"/>
        <v>1</v>
      </c>
      <c r="J19" t="b">
        <f t="shared" ca="1" si="28"/>
        <v>1</v>
      </c>
      <c r="K19" s="39">
        <f ca="1">IF((M19*G19+O19*H19+V19*I19+X19*J19)/COUNTIF(G19:J19,TRUE)*AND(P19&gt;=30,T19&gt;=30)=0,NA(),(M19*G19+O19*H19+V19*I19+X19*J19)/COUNTIF(G19:J19,TRUE)*AND(P19&gt;=30,T19&gt;=30))</f>
        <v>0.14270705510079859</v>
      </c>
      <c r="L19" s="22">
        <f ca="1">RTD("xqrtd.rtdserverxqlite",,"TXON"&amp;TEXT($D$2,"00")&amp;$L$2 &amp;TEXT(R19,"0")&amp;".TF-Bid")</f>
        <v>175</v>
      </c>
      <c r="M19" s="23">
        <f t="shared" ca="1" si="17"/>
        <v>0.14150840602517128</v>
      </c>
      <c r="N19" s="22">
        <f ca="1">RTD("xqrtd.rtdserverxqlite",,"TXON"&amp;TEXT($D$2,"00")&amp;$L$2 &amp;TEXT(R19,"0")&amp;".TF-Ask")</f>
        <v>177</v>
      </c>
      <c r="O19" s="21">
        <f t="shared" ca="1" si="1"/>
        <v>0.14270723390579221</v>
      </c>
      <c r="P19" s="16">
        <f ca="1">RTD("xqrtd.rtdserverxqlite",,"TXON"&amp;TEXT($D$2,"00")&amp;$L$2 &amp;TEXT(R19,"0")&amp;".TF-TotalVolume")</f>
        <v>506</v>
      </c>
      <c r="Q19" s="3">
        <f ca="1">RTD("xqrtd.rtdserverxqlite",,"TXON"&amp;TEXT($D$2,"00")&amp;$L$2 &amp;TEXT(R19,"0")&amp;".TF-Price")</f>
        <v>176</v>
      </c>
      <c r="R19" s="15">
        <f t="shared" si="29"/>
        <v>14300</v>
      </c>
      <c r="S19" s="3">
        <f ca="1">RTD("xqrtd.rtdserverxqlite",,"TXON"&amp;TEXT($D$2,"00")&amp;$S$2 &amp;TEXT(R19,"0")&amp;".TF-Price")</f>
        <v>326</v>
      </c>
      <c r="T19" s="17">
        <f ca="1">RTD("xqrtd.rtdserverxqlite",,"TXON"&amp;TEXT($D$2,"00")&amp;$S$2 &amp;TEXT(R19,"0")&amp;".TF-TotalVolume")</f>
        <v>114</v>
      </c>
      <c r="U19" s="28">
        <f ca="1">RTD("xqrtd.rtdserverxqlite",,"TXON"&amp;TEXT($D$2,"00")&amp;$S$2 &amp;TEXT(R19,"0")&amp;".TF-Bid")</f>
        <v>329</v>
      </c>
      <c r="V19" s="4">
        <f t="shared" ca="1" si="2"/>
        <v>0.14270723390579221</v>
      </c>
      <c r="W19" s="11">
        <f ca="1">RTD("xqrtd.rtdserverxqlite",,"TXON"&amp;TEXT($D$2,"00")&amp;$S$2 &amp;TEXT(R19,"0")&amp;".TF-Ask")</f>
        <v>331</v>
      </c>
      <c r="X19" s="4">
        <f ca="1">GBSNewtonImpVolPut(W19,$C$2,R19,$E$2,$F$2,0)</f>
        <v>0.14390534656643866</v>
      </c>
      <c r="Z19" s="18">
        <f t="shared" ca="1" si="4"/>
        <v>290354.29012455395</v>
      </c>
      <c r="AA19" s="19">
        <f t="shared" ca="1" si="20"/>
        <v>63816.928803540191</v>
      </c>
      <c r="AB19" s="20">
        <f t="shared" ca="1" si="5"/>
        <v>-260.38906908113546</v>
      </c>
      <c r="AC19" s="18">
        <f t="shared" ca="1" si="6"/>
        <v>-416425.35911947262</v>
      </c>
      <c r="AD19" s="19">
        <f t="shared" ca="1" si="19"/>
        <v>63315.380744739545</v>
      </c>
      <c r="AE19" s="20">
        <f t="shared" ca="1" si="7"/>
        <v>-262.72340392991964</v>
      </c>
    </row>
    <row r="20" spans="1:31" x14ac:dyDescent="0.25">
      <c r="G20" t="b">
        <f t="shared" ca="1" si="25"/>
        <v>1</v>
      </c>
      <c r="H20" t="b">
        <f t="shared" ca="1" si="26"/>
        <v>1</v>
      </c>
      <c r="K20" s="39">
        <f ca="1">IF((M20*G20+O20*H20)/COUNTIF(G20:H20,TRUE)*(P20&gt;=30)=0,NA(),(M20*G20+O20*H20)/COUNTIF(G20:H20,TRUE)*(P20&gt;=30))</f>
        <v>0.14040148391127588</v>
      </c>
      <c r="L20" s="22">
        <f ca="1">RTD("xqrtd.rtdserverxqlite",,"TXON"&amp;TEXT($D$2,"00")&amp;$L$2 &amp;TEXT(R20,"0")&amp;".TF-Bid")</f>
        <v>136</v>
      </c>
      <c r="M20" s="23">
        <f t="shared" ca="1" si="17"/>
        <v>0.13977006387710572</v>
      </c>
      <c r="N20" s="22">
        <f ca="1">RTD("xqrtd.rtdserverxqlite",,"TXON"&amp;TEXT($D$2,"00")&amp;$L$2 &amp;TEXT(R20,"0")&amp;".TF-Ask")</f>
        <v>138</v>
      </c>
      <c r="O20" s="21">
        <f t="shared" ca="1" si="1"/>
        <v>0.14103290394544601</v>
      </c>
      <c r="P20" s="16">
        <f ca="1">RTD("xqrtd.rtdserverxqlite",,"TXON"&amp;TEXT($D$2,"00")&amp;$L$2 &amp;TEXT(R20,"0")&amp;".TF-TotalVolume")</f>
        <v>777</v>
      </c>
      <c r="Q20" s="3">
        <f ca="1">RTD("xqrtd.rtdserverxqlite",,"TXON"&amp;TEXT($D$2,"00")&amp;$L$2 &amp;TEXT(R20,"0")&amp;".TF-Price")</f>
        <v>139</v>
      </c>
      <c r="R20" s="15">
        <f t="shared" si="29"/>
        <v>14400</v>
      </c>
      <c r="S20" s="3">
        <f ca="1">RTD("xqrtd.rtdserverxqlite",,"TXON"&amp;TEXT($D$2,"00")&amp;$S$2 &amp;TEXT(R20,"0")&amp;".TF-Price")</f>
        <v>389</v>
      </c>
      <c r="T20" s="17">
        <f ca="1">RTD("xqrtd.rtdserverxqlite",,"TXON"&amp;TEXT($D$2,"00")&amp;$S$2 &amp;TEXT(R20,"0")&amp;".TF-TotalVolume")</f>
        <v>88</v>
      </c>
      <c r="U20" s="28">
        <f ca="1">RTD("xqrtd.rtdserverxqlite",,"TXON"&amp;TEXT($D$2,"00")&amp;$S$2 &amp;TEXT(R20,"0")&amp;".TF-Bid")</f>
        <v>389</v>
      </c>
      <c r="V20" s="4">
        <f t="shared" ca="1" si="2"/>
        <v>0.14040172231793402</v>
      </c>
      <c r="W20" s="11">
        <f ca="1">RTD("xqrtd.rtdserverxqlite",,"TXON"&amp;TEXT($D$2,"00")&amp;$S$2 &amp;TEXT(R20,"0")&amp;".TF-Ask")</f>
        <v>391</v>
      </c>
      <c r="X20" s="4">
        <f t="shared" ca="1" si="3"/>
        <v>0.14166360875964168</v>
      </c>
      <c r="Z20" s="18">
        <f t="shared" ca="1" si="4"/>
        <v>245513.54214816503</v>
      </c>
      <c r="AA20" s="19">
        <f t="shared" ca="1" si="20"/>
        <v>61337.150924365131</v>
      </c>
      <c r="AB20" s="20">
        <f t="shared" ca="1" si="5"/>
        <v>-243.9071386465443</v>
      </c>
      <c r="AC20" s="18">
        <f t="shared" ca="1" si="6"/>
        <v>-461376.68417877395</v>
      </c>
      <c r="AD20" s="19">
        <f t="shared" ca="1" si="19"/>
        <v>61109.397926549653</v>
      </c>
      <c r="AE20" s="20">
        <f t="shared" ca="1" si="7"/>
        <v>-245.19583805526111</v>
      </c>
    </row>
    <row r="21" spans="1:31" x14ac:dyDescent="0.25">
      <c r="A21">
        <f ca="1">Q17+S17</f>
        <v>510</v>
      </c>
      <c r="G21" t="b">
        <f t="shared" ca="1" si="25"/>
        <v>1</v>
      </c>
      <c r="H21" t="b">
        <f t="shared" ca="1" si="26"/>
        <v>1</v>
      </c>
      <c r="K21" s="39">
        <f ca="1">IF((M21*G21+O21*H21)/COUNTIF(G21:H21,TRUE)*(P21&gt;=30)=0,NA(),(M21*G21+O21*H21)/COUNTIF(G21:H21,TRUE)*(P21&gt;=30))</f>
        <v>0.13851157473027709</v>
      </c>
      <c r="L21" s="22">
        <f ca="1">RTD("xqrtd.rtdserverxqlite",,"TXON"&amp;TEXT($D$2,"00")&amp;$L$2 &amp;TEXT(R21,"0")&amp;".TF-Bid")</f>
        <v>103</v>
      </c>
      <c r="M21" s="23">
        <f t="shared" ca="1" si="17"/>
        <v>0.13782645359635354</v>
      </c>
      <c r="N21" s="22">
        <f ca="1">RTD("xqrtd.rtdserverxqlite",,"TXON"&amp;TEXT($D$2,"00")&amp;$L$2 &amp;TEXT(R21,"0")&amp;".TF-Ask")</f>
        <v>105</v>
      </c>
      <c r="O21" s="21">
        <f t="shared" ca="1" si="1"/>
        <v>0.13919669586420064</v>
      </c>
      <c r="P21" s="16">
        <f ca="1">RTD("xqrtd.rtdserverxqlite",,"TXON"&amp;TEXT($D$2,"00")&amp;$L$2 &amp;TEXT(R21,"0")&amp;".TF-TotalVolume")</f>
        <v>681</v>
      </c>
      <c r="Q21" s="3">
        <f ca="1">RTD("xqrtd.rtdserverxqlite",,"TXON"&amp;TEXT($D$2,"00")&amp;$L$2 &amp;TEXT(R21,"0")&amp;".TF-Price")</f>
        <v>104</v>
      </c>
      <c r="R21" s="15">
        <f t="shared" si="29"/>
        <v>14500</v>
      </c>
      <c r="S21" s="3">
        <f ca="1">RTD("xqrtd.rtdserverxqlite",,"TXON"&amp;TEXT($D$2,"00")&amp;$S$2 &amp;TEXT(R21,"0")&amp;".TF-Price")</f>
        <v>456</v>
      </c>
      <c r="T21" s="17">
        <f ca="1">RTD("xqrtd.rtdserverxqlite",,"TXON"&amp;TEXT($D$2,"00")&amp;$S$2 &amp;TEXT(R21,"0")&amp;".TF-TotalVolume")</f>
        <v>21</v>
      </c>
      <c r="U21" s="28">
        <f ca="1">RTD("xqrtd.rtdserverxqlite",,"TXON"&amp;TEXT($D$2,"00")&amp;$S$2 &amp;TEXT(R21,"0")&amp;".TF-Bid")</f>
        <v>455</v>
      </c>
      <c r="V21" s="4">
        <f t="shared" ca="1" si="2"/>
        <v>0.13782645359635354</v>
      </c>
      <c r="W21" s="11">
        <f ca="1">RTD("xqrtd.rtdserverxqlite",,"TXON"&amp;TEXT($D$2,"00")&amp;$S$2 &amp;TEXT(R21,"0")&amp;".TF-Ask")</f>
        <v>458</v>
      </c>
      <c r="X21" s="4">
        <f t="shared" ca="1" si="3"/>
        <v>0.1398800885498524</v>
      </c>
      <c r="Z21" s="18">
        <f t="shared" ca="1" si="4"/>
        <v>202604.19330685437</v>
      </c>
      <c r="AA21" s="19">
        <f t="shared" ca="1" si="20"/>
        <v>57297.381840603033</v>
      </c>
      <c r="AB21" s="20">
        <f t="shared" ca="1" si="5"/>
        <v>-221.34598837476815</v>
      </c>
      <c r="AC21" s="18">
        <f t="shared" ca="1" si="6"/>
        <v>-504436.65557483636</v>
      </c>
      <c r="AD21" s="19">
        <f t="shared" ca="1" si="19"/>
        <v>57204.407600686958</v>
      </c>
      <c r="AE21" s="20">
        <f t="shared" ca="1" si="7"/>
        <v>-222.08215796513571</v>
      </c>
    </row>
    <row r="22" spans="1:31" x14ac:dyDescent="0.25">
      <c r="G22" t="b">
        <f t="shared" ca="1" si="25"/>
        <v>1</v>
      </c>
      <c r="H22" t="b">
        <f t="shared" ca="1" si="26"/>
        <v>1</v>
      </c>
      <c r="K22" s="39">
        <f t="shared" ref="K22:K24" ca="1" si="30">IF((M22*G22+O22*H22)/COUNTIF(G22:H22,TRUE)*(P22&gt;=30)=0,NA(),(M22*G22+O22*H22)/COUNTIF(G22:H22,TRUE)*(P22&gt;=30))</f>
        <v>0.13704769824743271</v>
      </c>
      <c r="L22" s="22">
        <f ca="1">RTD("xqrtd.rtdserverxqlite",,"TXON"&amp;TEXT($D$2,"00")&amp;$L$2 &amp;TEXT(R22,"0")&amp;".TF-Bid")</f>
        <v>77</v>
      </c>
      <c r="M22" s="23">
        <f t="shared" ca="1" si="17"/>
        <v>0.13666481715440751</v>
      </c>
      <c r="N22" s="22">
        <f ca="1">RTD("xqrtd.rtdserverxqlite",,"TXON"&amp;TEXT($D$2,"00")&amp;$L$2 &amp;TEXT(R22,"0")&amp;".TF-Ask")</f>
        <v>78</v>
      </c>
      <c r="O22" s="21">
        <f ca="1">GBSNewtonImpVolCall(N22,$C$2,R22,$E$2,$F$2,0)</f>
        <v>0.13743057934045791</v>
      </c>
      <c r="P22" s="16">
        <f ca="1">RTD("xqrtd.rtdserverxqlite",,"TXON"&amp;TEXT($D$2,"00")&amp;$L$2 &amp;TEXT(R22,"0")&amp;".TF-TotalVolume")</f>
        <v>530</v>
      </c>
      <c r="Q22" s="3">
        <f ca="1">RTD("xqrtd.rtdserverxqlite",,"TXON"&amp;TEXT($D$2,"00")&amp;$L$2 &amp;TEXT(R22,"0")&amp;".TF-Price")</f>
        <v>78</v>
      </c>
      <c r="R22" s="15">
        <f t="shared" si="29"/>
        <v>14600</v>
      </c>
      <c r="S22" s="3">
        <f ca="1">RTD("xqrtd.rtdserverxqlite",,"TXON"&amp;TEXT($D$2,"00")&amp;$S$2 &amp;TEXT(R22,"0")&amp;".TF-Price")</f>
        <v>525</v>
      </c>
      <c r="T22" s="17">
        <f ca="1">RTD("xqrtd.rtdserverxqlite",,"TXON"&amp;TEXT($D$2,"00")&amp;$S$2 &amp;TEXT(R22,"0")&amp;".TF-TotalVolume")</f>
        <v>48</v>
      </c>
      <c r="U22" s="28">
        <f ca="1">RTD("xqrtd.rtdserverxqlite",,"TXON"&amp;TEXT($D$2,"00")&amp;$S$2 &amp;TEXT(R22,"0")&amp;".TF-Bid")</f>
        <v>525</v>
      </c>
      <c r="V22" s="4">
        <f t="shared" ca="1" si="2"/>
        <v>0.13357661650776864</v>
      </c>
      <c r="W22" s="11">
        <f ca="1">RTD("xqrtd.rtdserverxqlite",,"TXON"&amp;TEXT($D$2,"00")&amp;$S$2 &amp;TEXT(R22,"0")&amp;".TF-Ask")</f>
        <v>535</v>
      </c>
      <c r="X22" s="4">
        <f t="shared" ca="1" si="3"/>
        <v>0.14122422528862955</v>
      </c>
      <c r="Z22" s="18">
        <f t="shared" ca="1" si="4"/>
        <v>163371.02840717061</v>
      </c>
      <c r="AA22" s="19">
        <f t="shared" ca="1" si="20"/>
        <v>51791.714603375491</v>
      </c>
      <c r="AB22" s="20">
        <f t="shared" ca="1" si="5"/>
        <v>-195.44284718458229</v>
      </c>
      <c r="AC22" s="18">
        <f t="shared" ca="1" si="6"/>
        <v>-543598.95173213969</v>
      </c>
      <c r="AD22" s="19">
        <f t="shared" ca="1" si="19"/>
        <v>51734.561586102151</v>
      </c>
      <c r="AE22" s="20">
        <f t="shared" ca="1" si="7"/>
        <v>-196.23878351206372</v>
      </c>
    </row>
    <row r="23" spans="1:31" x14ac:dyDescent="0.25">
      <c r="G23" t="b">
        <f t="shared" ca="1" si="25"/>
        <v>1</v>
      </c>
      <c r="H23" t="b">
        <f t="shared" ca="1" si="26"/>
        <v>1</v>
      </c>
      <c r="K23" s="39">
        <f t="shared" ca="1" si="30"/>
        <v>0.13575380571186541</v>
      </c>
      <c r="L23" s="22">
        <f ca="1">RTD("xqrtd.rtdserverxqlite",,"TXON"&amp;TEXT($D$2,"00")&amp;$L$2 &amp;TEXT(R23,"0")&amp;".TF-Bid")</f>
        <v>56</v>
      </c>
      <c r="M23" s="23">
        <f t="shared" ca="1" si="17"/>
        <v>0.13531257458925247</v>
      </c>
      <c r="N23" s="22">
        <f ca="1">RTD("xqrtd.rtdserverxqlite",,"TXON"&amp;TEXT($D$2,"00")&amp;$L$2 &amp;TEXT(R23,"0")&amp;".TF-Ask")</f>
        <v>57</v>
      </c>
      <c r="O23" s="21">
        <f t="shared" ca="1" si="1"/>
        <v>0.13619503683447837</v>
      </c>
      <c r="P23" s="16">
        <f ca="1">RTD("xqrtd.rtdserverxqlite",,"TXON"&amp;TEXT($D$2,"00")&amp;$L$2 &amp;TEXT(R23,"0")&amp;".TF-TotalVolume")</f>
        <v>586</v>
      </c>
      <c r="Q23" s="3">
        <f ca="1">RTD("xqrtd.rtdserverxqlite",,"TXON"&amp;TEXT($D$2,"00")&amp;$L$2 &amp;TEXT(R23,"0")&amp;".TF-Price")</f>
        <v>57</v>
      </c>
      <c r="R23" s="15">
        <f t="shared" si="29"/>
        <v>14700</v>
      </c>
      <c r="S23" s="3">
        <f ca="1">RTD("xqrtd.rtdserverxqlite",,"TXON"&amp;TEXT($D$2,"00")&amp;$S$2 &amp;TEXT(R23,"0")&amp;".TF-Price")</f>
        <v>600</v>
      </c>
      <c r="T23" s="17">
        <f ca="1">RTD("xqrtd.rtdserverxqlite",,"TXON"&amp;TEXT($D$2,"00")&amp;$S$2 &amp;TEXT(R23,"0")&amp;".TF-TotalVolume")</f>
        <v>8</v>
      </c>
      <c r="U23" s="28">
        <f ca="1">RTD("xqrtd.rtdserverxqlite",,"TXON"&amp;TEXT($D$2,"00")&amp;$S$2 &amp;TEXT(R23,"0")&amp;".TF-Bid")</f>
        <v>605</v>
      </c>
      <c r="V23" s="4">
        <f t="shared" ca="1" si="2"/>
        <v>0.13263419498801227</v>
      </c>
      <c r="W23" s="11">
        <f ca="1">RTD("xqrtd.rtdserverxqlite",,"TXON"&amp;TEXT($D$2,"00")&amp;$S$2 &amp;TEXT(R23,"0")&amp;".TF-Ask")</f>
        <v>615</v>
      </c>
      <c r="X23" s="4">
        <f ca="1">GBSNewtonImpVolPut(W23,$C$2,R23,$E$2,$F$2,0)</f>
        <v>0.14139277879595757</v>
      </c>
      <c r="Z23" s="18">
        <f t="shared" ca="1" si="4"/>
        <v>128526.89101189139</v>
      </c>
      <c r="AA23" s="19">
        <f t="shared" ca="1" si="20"/>
        <v>45345.060552777351</v>
      </c>
      <c r="AB23" s="20">
        <f t="shared" ca="1" si="5"/>
        <v>-167.43479227224219</v>
      </c>
      <c r="AC23" s="18">
        <f t="shared" ca="1" si="6"/>
        <v>-577235.04758791416</v>
      </c>
      <c r="AD23" s="19">
        <f t="shared" ca="1" si="19"/>
        <v>45284.645698536755</v>
      </c>
      <c r="AE23" s="20">
        <f t="shared" ca="1" si="7"/>
        <v>-170.35544220265137</v>
      </c>
    </row>
    <row r="24" spans="1:31" x14ac:dyDescent="0.25">
      <c r="G24" t="b">
        <f t="shared" ca="1" si="25"/>
        <v>1</v>
      </c>
      <c r="H24" t="b">
        <f t="shared" ca="1" si="26"/>
        <v>1</v>
      </c>
      <c r="K24" s="39">
        <f t="shared" ca="1" si="30"/>
        <v>0.1343199684679508</v>
      </c>
      <c r="L24" s="22">
        <f ca="1">RTD("xqrtd.rtdserverxqlite",,"TXON"&amp;TEXT($D$2,"00")&amp;$L$2 &amp;TEXT(R24,"0")&amp;".TF-Bid")</f>
        <v>39.5</v>
      </c>
      <c r="M24" s="23">
        <f t="shared" ca="1" si="17"/>
        <v>0.13379392417669295</v>
      </c>
      <c r="N24" s="22">
        <f ca="1">RTD("xqrtd.rtdserverxqlite",,"TXON"&amp;TEXT($D$2,"00")&amp;$L$2 &amp;TEXT(R24,"0")&amp;".TF-Ask")</f>
        <v>40.5</v>
      </c>
      <c r="O24" s="21">
        <f t="shared" ca="1" si="1"/>
        <v>0.13484601275920866</v>
      </c>
      <c r="P24" s="16">
        <f ca="1">RTD("xqrtd.rtdserverxqlite",,"TXON"&amp;TEXT($D$2,"00")&amp;$L$2 &amp;TEXT(R24,"0")&amp;".TF-TotalVolume")</f>
        <v>621</v>
      </c>
      <c r="Q24" s="3">
        <f ca="1">RTD("xqrtd.rtdserverxqlite",,"TXON"&amp;TEXT($D$2,"00")&amp;$L$2 &amp;TEXT(R24,"0")&amp;".TF-Price")</f>
        <v>39.5</v>
      </c>
      <c r="R24" s="15">
        <f t="shared" si="29"/>
        <v>14800</v>
      </c>
      <c r="S24" s="3" t="str">
        <f ca="1">RTD("xqrtd.rtdserverxqlite",,"TXON"&amp;TEXT($D$2,"00")&amp;$S$2 &amp;TEXT(R24,"0")&amp;".TF-Price")</f>
        <v>--</v>
      </c>
      <c r="T24" s="17">
        <f ca="1">RTD("xqrtd.rtdserverxqlite",,"TXON"&amp;TEXT($D$2,"00")&amp;$S$2 &amp;TEXT(R24,"0")&amp;".TF-TotalVolume")</f>
        <v>0</v>
      </c>
      <c r="U24" s="28">
        <f ca="1">RTD("xqrtd.rtdserverxqlite",,"TXON"&amp;TEXT($D$2,"00")&amp;$S$2 &amp;TEXT(R24,"0")&amp;".TF-Bid")</f>
        <v>690</v>
      </c>
      <c r="V24" s="4">
        <f t="shared" ref="V24:V31" ca="1" si="31">GBSNewtonImpVolPut(U24,$C$2,R24,$E$2,$F$2,0)</f>
        <v>0.13219659956693647</v>
      </c>
      <c r="W24" s="11">
        <f ca="1">RTD("xqrtd.rtdserverxqlite",,"TXON"&amp;TEXT($D$2,"00")&amp;$S$2 &amp;TEXT(R24,"0")&amp;".TF-Ask")</f>
        <v>700</v>
      </c>
      <c r="X24" s="4">
        <f t="shared" ca="1" si="3"/>
        <v>0.14244737064838409</v>
      </c>
      <c r="Z24" s="18">
        <f t="shared" ca="1" si="4"/>
        <v>98218.771405214764</v>
      </c>
      <c r="AA24" s="19">
        <f t="shared" ca="1" si="20"/>
        <v>38430.976075774342</v>
      </c>
      <c r="AB24" s="20">
        <f t="shared" ca="1" si="5"/>
        <v>-138.42246484445155</v>
      </c>
      <c r="AC24" s="18">
        <f t="shared" ca="1" si="6"/>
        <v>-605272.74383534119</v>
      </c>
      <c r="AD24" s="19">
        <f t="shared" ca="1" si="19"/>
        <v>38597.706907170847</v>
      </c>
      <c r="AE24" s="20">
        <f t="shared" ca="1" si="7"/>
        <v>-145.38626075039929</v>
      </c>
    </row>
    <row r="25" spans="1:31" x14ac:dyDescent="0.25">
      <c r="G25" t="b">
        <f t="shared" ca="1" si="25"/>
        <v>1</v>
      </c>
      <c r="H25" t="b">
        <f t="shared" ca="1" si="26"/>
        <v>1</v>
      </c>
      <c r="K25" s="39">
        <f t="shared" ref="K25:K31" ca="1" si="32">IF((M25*G25+O25*H25)/COUNTIF(G25:H25,TRUE)*(P25&gt;=30)=0,NA(),(M25*G25+O25*H25)/COUNTIF(G25:H25,TRUE)*(P25&gt;=30))</f>
        <v>0.13383981745839119</v>
      </c>
      <c r="L25" s="11">
        <f ca="1">RTD("xqrtd.rtdserverxqlite",,"TXON"&amp;TEXT($D$2,"00")&amp;$L$2 &amp;TEXT(R25,"0")&amp;".TF-Bid")</f>
        <v>28</v>
      </c>
      <c r="M25" s="4">
        <f t="shared" ca="1" si="17"/>
        <v>0.13351904129981992</v>
      </c>
      <c r="N25" s="11">
        <f ca="1">RTD("xqrtd.rtdserverxqlite",,"TXON"&amp;TEXT($D$2,"00")&amp;$L$2 &amp;TEXT(R25,"0")&amp;".TF-Ask")</f>
        <v>28.5</v>
      </c>
      <c r="O25" s="27">
        <f t="shared" ca="1" si="1"/>
        <v>0.13416059361696245</v>
      </c>
      <c r="P25" s="16">
        <f ca="1">RTD("xqrtd.rtdserverxqlite",,"TXON"&amp;TEXT($D$2,"00")&amp;$L$2 &amp;TEXT(R25,"0")&amp;".TF-TotalVolume")</f>
        <v>273</v>
      </c>
      <c r="Q25" s="3">
        <f ca="1">RTD("xqrtd.rtdserverxqlite",,"TXON"&amp;TEXT($D$2,"00")&amp;$L$2 &amp;TEXT(R25,"0")&amp;".TF-Price")</f>
        <v>28.5</v>
      </c>
      <c r="R25" s="15">
        <f t="shared" si="29"/>
        <v>14900</v>
      </c>
      <c r="S25" s="3">
        <f ca="1">RTD("xqrtd.rtdserverxqlite",,"TXON"&amp;TEXT($D$2,"00")&amp;$S$2 &amp;TEXT(R25,"0")&amp;".TF-Price")</f>
        <v>775</v>
      </c>
      <c r="T25" s="17">
        <f ca="1">RTD("xqrtd.rtdserverxqlite",,"TXON"&amp;TEXT($D$2,"00")&amp;$S$2 &amp;TEXT(R25,"0")&amp;".TF-TotalVolume")</f>
        <v>1</v>
      </c>
      <c r="U25" s="28">
        <f ca="1">RTD("xqrtd.rtdserverxqlite",,"TXON"&amp;TEXT($D$2,"00")&amp;$S$2 &amp;TEXT(R25,"0")&amp;".TF-Bid")</f>
        <v>775</v>
      </c>
      <c r="V25" s="4">
        <f t="shared" ca="1" si="31"/>
        <v>0.12679478150606158</v>
      </c>
      <c r="W25" s="11">
        <f ca="1">RTD("xqrtd.rtdserverxqlite",,"TXON"&amp;TEXT($D$2,"00")&amp;$S$2 &amp;TEXT(R25,"0")&amp;".TF-Ask")</f>
        <v>785</v>
      </c>
      <c r="X25" s="4">
        <f t="shared" ca="1" si="3"/>
        <v>0.13972905793190007</v>
      </c>
      <c r="Z25" s="18">
        <f t="shared" ca="1" si="4"/>
        <v>74033.495893162835</v>
      </c>
      <c r="AA25" s="19">
        <f t="shared" ca="1" si="20"/>
        <v>31612.798491071011</v>
      </c>
      <c r="AB25" s="20">
        <f t="shared" ca="1" si="5"/>
        <v>-112.56124891778879</v>
      </c>
      <c r="AC25" s="18">
        <f t="shared" ca="1" si="6"/>
        <v>-634085.14848177205</v>
      </c>
      <c r="AD25" s="19">
        <f t="shared" ca="1" si="19"/>
        <v>31526.180357922847</v>
      </c>
      <c r="AE25" s="20">
        <f t="shared" ca="1" si="7"/>
        <v>-111.26808345102859</v>
      </c>
    </row>
    <row r="26" spans="1:31" x14ac:dyDescent="0.25">
      <c r="G26" t="b">
        <f t="shared" ca="1" si="25"/>
        <v>1</v>
      </c>
      <c r="H26" t="b">
        <f t="shared" ca="1" si="26"/>
        <v>1</v>
      </c>
      <c r="K26" s="39">
        <f t="shared" ca="1" si="32"/>
        <v>0.13492850146293639</v>
      </c>
      <c r="L26" s="11">
        <f ca="1">RTD("xqrtd.rtdserverxqlite",,"TXON"&amp;TEXT($D$2,"00")&amp;$L$2 &amp;TEXT(R26,"0")&amp;".TF-Bid")</f>
        <v>20</v>
      </c>
      <c r="M26" s="4">
        <f t="shared" ca="1" si="17"/>
        <v>0.13414175949096679</v>
      </c>
      <c r="N26" s="11">
        <f ca="1">RTD("xqrtd.rtdserverxqlite",,"TXON"&amp;TEXT($D$2,"00")&amp;$L$2 &amp;TEXT(R26,"0")&amp;".TF-Ask")</f>
        <v>21</v>
      </c>
      <c r="O26" s="27">
        <f t="shared" ca="1" si="1"/>
        <v>0.13571524343490599</v>
      </c>
      <c r="P26" s="16">
        <f ca="1">RTD("xqrtd.rtdserverxqlite",,"TXON"&amp;TEXT($D$2,"00")&amp;$L$2 &amp;TEXT(R26,"0")&amp;".TF-TotalVolume")</f>
        <v>679</v>
      </c>
      <c r="Q26" s="3">
        <f ca="1">RTD("xqrtd.rtdserverxqlite",,"TXON"&amp;TEXT($D$2,"00")&amp;$L$2 &amp;TEXT(R26,"0")&amp;".TF-Price")</f>
        <v>20.5</v>
      </c>
      <c r="R26" s="15">
        <f t="shared" si="29"/>
        <v>15000</v>
      </c>
      <c r="S26" s="3" t="str">
        <f ca="1">RTD("xqrtd.rtdserverxqlite",,"TXON"&amp;TEXT($D$2,"00")&amp;$S$2 &amp;TEXT(R26,"0")&amp;".TF-Price")</f>
        <v>--</v>
      </c>
      <c r="T26" s="17">
        <f ca="1">RTD("xqrtd.rtdserverxqlite",,"TXON"&amp;TEXT($D$2,"00")&amp;$S$2 &amp;TEXT(R26,"0")&amp;".TF-TotalVolume")</f>
        <v>0</v>
      </c>
      <c r="U26" s="28">
        <f ca="1">RTD("xqrtd.rtdserverxqlite",,"TXON"&amp;TEXT($D$2,"00")&amp;$S$2 &amp;TEXT(R26,"0")&amp;".TF-Bid")</f>
        <v>865</v>
      </c>
      <c r="V26" s="4">
        <f t="shared" ca="1" si="31"/>
        <v>0.12178800327777865</v>
      </c>
      <c r="W26" s="11">
        <f ca="1">RTD("xqrtd.rtdserverxqlite",,"TXON"&amp;TEXT($D$2,"00")&amp;$S$2 &amp;TEXT(R26,"0")&amp;".TF-Ask")</f>
        <v>880</v>
      </c>
      <c r="X26" s="4">
        <f t="shared" ca="1" si="3"/>
        <v>0.14585372498035437</v>
      </c>
      <c r="Z26" s="18">
        <f t="shared" ca="1" si="4"/>
        <v>56238.515016860023</v>
      </c>
      <c r="AA26" s="19">
        <f t="shared" ca="1" si="20"/>
        <v>25577.233417705378</v>
      </c>
      <c r="AB26" s="20">
        <f t="shared" ca="1" si="5"/>
        <v>-92.123491957071479</v>
      </c>
      <c r="AC26" s="18">
        <f t="shared" ca="1" si="6"/>
        <v>-652406.26300188829</v>
      </c>
      <c r="AD26" s="19">
        <f t="shared" ca="1" si="19"/>
        <v>25355.11774057657</v>
      </c>
      <c r="AE26" s="20">
        <f t="shared" ca="1" si="7"/>
        <v>-89.794732856410064</v>
      </c>
    </row>
    <row r="27" spans="1:31" x14ac:dyDescent="0.25">
      <c r="G27" t="e">
        <f t="shared" ca="1" si="25"/>
        <v>#VALUE!</v>
      </c>
      <c r="H27" t="e">
        <f t="shared" ca="1" si="26"/>
        <v>#VALUE!</v>
      </c>
      <c r="K27" s="39" t="e">
        <f t="shared" ca="1" si="32"/>
        <v>#VALUE!</v>
      </c>
      <c r="L27" s="11" t="str">
        <f ca="1">RTD("xqrtd.rtdserverxqlite",,"TXON"&amp;TEXT($D$2,"00")&amp;$L$2 &amp;TEXT(R27,"0")&amp;".TF-Bid")</f>
        <v>#N/A</v>
      </c>
      <c r="M27" s="4" t="e">
        <f t="shared" ca="1" si="17"/>
        <v>#VALUE!</v>
      </c>
      <c r="N27" s="11" t="str">
        <f ca="1">RTD("xqrtd.rtdserverxqlite",,"TXON"&amp;TEXT($D$2,"00")&amp;$L$2 &amp;TEXT(R27,"0")&amp;".TF-Ask")</f>
        <v>#N/A</v>
      </c>
      <c r="O27" s="27" t="e">
        <f t="shared" ca="1" si="1"/>
        <v>#VALUE!</v>
      </c>
      <c r="P27" s="16" t="str">
        <f ca="1">RTD("xqrtd.rtdserverxqlite",,"TXON"&amp;TEXT($D$2,"00")&amp;$L$2 &amp;TEXT(R27,"0")&amp;".TF-TotalVolume")</f>
        <v>#N/A</v>
      </c>
      <c r="Q27" s="3" t="str">
        <f ca="1">RTD("xqrtd.rtdserverxqlite",,"TXON"&amp;TEXT($D$2,"00")&amp;$L$2 &amp;TEXT(R27,"0")&amp;".TF-Price")</f>
        <v>#N/A</v>
      </c>
      <c r="R27" s="15">
        <f t="shared" si="29"/>
        <v>15100</v>
      </c>
      <c r="S27" s="3" t="str">
        <f ca="1">RTD("xqrtd.rtdserverxqlite",,"TXON"&amp;TEXT($D$2,"00")&amp;$S$2 &amp;TEXT(R27,"0")&amp;".TF-Price")</f>
        <v>#N/A</v>
      </c>
      <c r="T27" s="17" t="str">
        <f ca="1">RTD("xqrtd.rtdserverxqlite",,"TXON"&amp;TEXT($D$2,"00")&amp;$S$2 &amp;TEXT(R27,"0")&amp;".TF-TotalVolume")</f>
        <v>#N/A</v>
      </c>
      <c r="U27" s="28" t="str">
        <f ca="1">RTD("xqrtd.rtdserverxqlite",,"TXON"&amp;TEXT($D$2,"00")&amp;$S$2 &amp;TEXT(R27,"0")&amp;".TF-Bid")</f>
        <v>#N/A</v>
      </c>
      <c r="V27" s="4" t="e">
        <f t="shared" ca="1" si="31"/>
        <v>#VALUE!</v>
      </c>
      <c r="W27" s="11" t="str">
        <f ca="1">RTD("xqrtd.rtdserverxqlite",,"TXON"&amp;TEXT($D$2,"00")&amp;$S$2 &amp;TEXT(R27,"0")&amp;".TF-Ask")</f>
        <v>#N/A</v>
      </c>
      <c r="X27" s="4" t="e">
        <f t="shared" ca="1" si="3"/>
        <v>#VALUE!</v>
      </c>
      <c r="Z27" s="18" t="e">
        <f t="shared" ca="1" si="4"/>
        <v>#VALUE!</v>
      </c>
      <c r="AA27" s="19" t="e">
        <f t="shared" ca="1" si="20"/>
        <v>#VALUE!</v>
      </c>
      <c r="AB27" s="20" t="e">
        <f t="shared" ca="1" si="5"/>
        <v>#VALUE!</v>
      </c>
      <c r="AC27" s="18" t="e">
        <f t="shared" ca="1" si="6"/>
        <v>#VALUE!</v>
      </c>
      <c r="AD27" s="19" t="e">
        <f t="shared" ca="1" si="19"/>
        <v>#VALUE!</v>
      </c>
      <c r="AE27" s="20" t="e">
        <f t="shared" ca="1" si="7"/>
        <v>#VALUE!</v>
      </c>
    </row>
    <row r="28" spans="1:31" x14ac:dyDescent="0.25">
      <c r="G28" t="b">
        <f t="shared" ca="1" si="25"/>
        <v>1</v>
      </c>
      <c r="H28" t="b">
        <f t="shared" ca="1" si="26"/>
        <v>1</v>
      </c>
      <c r="K28" s="39">
        <f t="shared" ca="1" si="32"/>
        <v>0.13777746102809907</v>
      </c>
      <c r="L28" s="11">
        <f ca="1">RTD("xqrtd.rtdserverxqlite",,"TXON"&amp;TEXT($D$2,"00")&amp;$L$2 &amp;TEXT(R28,"0")&amp;".TF-Bid")</f>
        <v>10.5</v>
      </c>
      <c r="M28" s="4">
        <f ca="1">GBSNewtonImpVolCall(L28,$C$2,R28,$E$2,$F$2,0)</f>
        <v>0.13716284866333006</v>
      </c>
      <c r="N28" s="11">
        <f ca="1">RTD("xqrtd.rtdserverxqlite",,"TXON"&amp;TEXT($D$2,"00")&amp;$L$2 &amp;TEXT(R28,"0")&amp;".TF-Ask")</f>
        <v>11</v>
      </c>
      <c r="O28" s="27">
        <f t="shared" ca="1" si="1"/>
        <v>0.13839207339286805</v>
      </c>
      <c r="P28" s="16">
        <f ca="1">RTD("xqrtd.rtdserverxqlite",,"TXON"&amp;TEXT($D$2,"00")&amp;$L$2 &amp;TEXT(R28,"0")&amp;".TF-TotalVolume")</f>
        <v>152</v>
      </c>
      <c r="Q28" s="3">
        <f ca="1">RTD("xqrtd.rtdserverxqlite",,"TXON"&amp;TEXT($D$2,"00")&amp;$L$2 &amp;TEXT(R28,"0")&amp;".TF-Price")</f>
        <v>11</v>
      </c>
      <c r="R28" s="15">
        <f t="shared" si="29"/>
        <v>15200</v>
      </c>
      <c r="S28" s="3" t="str">
        <f ca="1">RTD("xqrtd.rtdserverxqlite",,"TXON"&amp;TEXT($D$2,"00")&amp;$S$2 &amp;TEXT(R28,"0")&amp;".TF-Price")</f>
        <v>--</v>
      </c>
      <c r="T28" s="17">
        <f ca="1">RTD("xqrtd.rtdserverxqlite",,"TXON"&amp;TEXT($D$2,"00")&amp;$S$2 &amp;TEXT(R28,"0")&amp;".TF-TotalVolume")</f>
        <v>0</v>
      </c>
      <c r="U28" s="28">
        <f ca="1">RTD("xqrtd.rtdserverxqlite",,"TXON"&amp;TEXT($D$2,"00")&amp;$S$2 &amp;TEXT(R28,"0")&amp;".TF-Bid")</f>
        <v>1050</v>
      </c>
      <c r="V28" s="4">
        <f t="shared" ca="1" si="31"/>
        <v>1.0000000000000002E-4</v>
      </c>
      <c r="W28" s="11">
        <f ca="1">RTD("xqrtd.rtdserverxqlite",,"TXON"&amp;TEXT($D$2,"00")&amp;$S$2 &amp;TEXT(R28,"0")&amp;".TF-Ask")</f>
        <v>1070</v>
      </c>
      <c r="X28" s="4">
        <f t="shared" ca="1" si="3"/>
        <v>0.15310367145538334</v>
      </c>
      <c r="Z28" s="18">
        <f t="shared" ca="1" si="4"/>
        <v>31836.340698938409</v>
      </c>
      <c r="AA28" s="19">
        <f t="shared" ca="1" si="20"/>
        <v>16046.125484793538</v>
      </c>
      <c r="AB28" s="20">
        <f t="shared" ca="1" si="5"/>
        <v>-59.606980000488541</v>
      </c>
      <c r="AC28" s="18">
        <f t="shared" ca="1" si="6"/>
        <v>-706653.07089203992</v>
      </c>
      <c r="AD28" s="19">
        <f t="shared" ca="1" si="19"/>
        <v>1073.5529696379131</v>
      </c>
      <c r="AE28" s="20">
        <f t="shared" ca="1" si="7"/>
        <v>-1.1323521006829651</v>
      </c>
    </row>
    <row r="29" spans="1:31" x14ac:dyDescent="0.25">
      <c r="G29" t="e">
        <f t="shared" ca="1" si="25"/>
        <v>#VALUE!</v>
      </c>
      <c r="H29" t="e">
        <f t="shared" ca="1" si="26"/>
        <v>#VALUE!</v>
      </c>
      <c r="K29" s="39" t="e">
        <f t="shared" ca="1" si="32"/>
        <v>#VALUE!</v>
      </c>
      <c r="L29" s="11" t="str">
        <f ca="1">RTD("xqrtd.rtdserverxqlite",,"TXON"&amp;TEXT($D$2,"00")&amp;$L$2 &amp;TEXT(R29,"0")&amp;".TF-Bid")</f>
        <v>#N/A</v>
      </c>
      <c r="M29" s="4" t="e">
        <f ca="1">GBSNewtonImpVolCall(L29,$C$2,R29,$E$2,$F$2,0)</f>
        <v>#VALUE!</v>
      </c>
      <c r="N29" s="11" t="str">
        <f ca="1">RTD("xqrtd.rtdserverxqlite",,"TXON"&amp;TEXT($D$2,"00")&amp;$L$2 &amp;TEXT(R29,"0")&amp;".TF-Ask")</f>
        <v>#N/A</v>
      </c>
      <c r="O29" s="27" t="e">
        <f t="shared" ca="1" si="1"/>
        <v>#VALUE!</v>
      </c>
      <c r="P29" s="16" t="str">
        <f ca="1">RTD("xqrtd.rtdserverxqlite",,"TXON"&amp;TEXT($D$2,"00")&amp;$L$2 &amp;TEXT(R29,"0")&amp;".TF-TotalVolume")</f>
        <v>#N/A</v>
      </c>
      <c r="Q29" s="3" t="str">
        <f ca="1">RTD("xqrtd.rtdserverxqlite",,"TXON"&amp;TEXT($D$2,"00")&amp;$L$2 &amp;TEXT(R29,"0")&amp;".TF-Price")</f>
        <v>#N/A</v>
      </c>
      <c r="R29" s="15">
        <f t="shared" si="29"/>
        <v>15300</v>
      </c>
      <c r="S29" s="3" t="str">
        <f ca="1">RTD("xqrtd.rtdserverxqlite",,"TXON"&amp;TEXT($D$2,"00")&amp;$S$2 &amp;TEXT(R29,"0")&amp;".TF-Price")</f>
        <v>#N/A</v>
      </c>
      <c r="T29" s="17" t="str">
        <f ca="1">RTD("xqrtd.rtdserverxqlite",,"TXON"&amp;TEXT($D$2,"00")&amp;$S$2 &amp;TEXT(R29,"0")&amp;".TF-TotalVolume")</f>
        <v>#N/A</v>
      </c>
      <c r="U29" s="28" t="str">
        <f ca="1">RTD("xqrtd.rtdserverxqlite",,"TXON"&amp;TEXT($D$2,"00")&amp;$S$2 &amp;TEXT(R29,"0")&amp;".TF-Bid")</f>
        <v>#N/A</v>
      </c>
      <c r="V29" s="4" t="e">
        <f t="shared" ca="1" si="31"/>
        <v>#VALUE!</v>
      </c>
      <c r="W29" s="11" t="str">
        <f ca="1">RTD("xqrtd.rtdserverxqlite",,"TXON"&amp;TEXT($D$2,"00")&amp;$S$2 &amp;TEXT(R29,"0")&amp;".TF-Ask")</f>
        <v>#N/A</v>
      </c>
      <c r="X29" s="4" t="e">
        <f t="shared" ca="1" si="3"/>
        <v>#VALUE!</v>
      </c>
      <c r="Z29" s="18" t="e">
        <f t="shared" ca="1" si="4"/>
        <v>#VALUE!</v>
      </c>
      <c r="AA29" s="19" t="e">
        <f t="shared" ca="1" si="20"/>
        <v>#VALUE!</v>
      </c>
      <c r="AB29" s="20" t="e">
        <f t="shared" ca="1" si="5"/>
        <v>#VALUE!</v>
      </c>
      <c r="AC29" s="18" t="e">
        <f t="shared" ca="1" si="6"/>
        <v>#VALUE!</v>
      </c>
      <c r="AD29" s="19" t="e">
        <f t="shared" ca="1" si="19"/>
        <v>#VALUE!</v>
      </c>
      <c r="AE29" s="20" t="e">
        <f t="shared" ca="1" si="7"/>
        <v>#VALUE!</v>
      </c>
    </row>
    <row r="30" spans="1:31" x14ac:dyDescent="0.25">
      <c r="G30" t="b">
        <f t="shared" ca="1" si="25"/>
        <v>1</v>
      </c>
      <c r="H30" t="b">
        <f t="shared" ca="1" si="26"/>
        <v>1</v>
      </c>
      <c r="K30" s="39" t="e">
        <f t="shared" ca="1" si="32"/>
        <v>#N/A</v>
      </c>
      <c r="L30" s="11">
        <f ca="1">RTD("xqrtd.rtdserverxqlite",,"TXON"&amp;TEXT($D$2,"00")&amp;$L$2 &amp;TEXT(R30,"0")&amp;".TF-Bid")</f>
        <v>6.5</v>
      </c>
      <c r="M30" s="4">
        <f ca="1">GBSNewtonImpVolCall(L30,$C$2,R30,$E$2,$F$2,0)</f>
        <v>0.14446858229637147</v>
      </c>
      <c r="N30" s="11">
        <f ca="1">RTD("xqrtd.rtdserverxqlite",,"TXON"&amp;TEXT($D$2,"00")&amp;$L$2 &amp;TEXT(R30,"0")&amp;".TF-Ask")</f>
        <v>6.8</v>
      </c>
      <c r="O30" s="27">
        <f t="shared" ca="1" si="1"/>
        <v>0.14554713401794439</v>
      </c>
      <c r="P30" s="16">
        <f ca="1">RTD("xqrtd.rtdserverxqlite",,"TXON"&amp;TEXT($D$2,"00")&amp;$L$2 &amp;TEXT(R30,"0")&amp;".TF-TotalVolume")</f>
        <v>13</v>
      </c>
      <c r="Q30" s="3">
        <f ca="1">RTD("xqrtd.rtdserverxqlite",,"TXON"&amp;TEXT($D$2,"00")&amp;$L$2 &amp;TEXT(R30,"0")&amp;".TF-Price")</f>
        <v>6.6</v>
      </c>
      <c r="R30" s="15">
        <f t="shared" si="29"/>
        <v>15400</v>
      </c>
      <c r="S30" s="3" t="str">
        <f ca="1">RTD("xqrtd.rtdserverxqlite",,"TXON"&amp;TEXT($D$2,"00")&amp;$S$2 &amp;TEXT(R30,"0")&amp;".TF-Price")</f>
        <v>--</v>
      </c>
      <c r="T30" s="17">
        <f ca="1">RTD("xqrtd.rtdserverxqlite",,"TXON"&amp;TEXT($D$2,"00")&amp;$S$2 &amp;TEXT(R30,"0")&amp;".TF-TotalVolume")</f>
        <v>0</v>
      </c>
      <c r="U30" s="28">
        <f ca="1">RTD("xqrtd.rtdserverxqlite",,"TXON"&amp;TEXT($D$2,"00")&amp;$S$2 &amp;TEXT(R30,"0")&amp;".TF-Bid")</f>
        <v>1250</v>
      </c>
      <c r="V30" s="4">
        <f t="shared" ca="1" si="31"/>
        <v>1.0000500000000003</v>
      </c>
      <c r="W30" s="11">
        <f ca="1">RTD("xqrtd.rtdserverxqlite",,"TXON"&amp;TEXT($D$2,"00")&amp;$S$2 &amp;TEXT(R30,"0")&amp;".TF-Ask")</f>
        <v>1270</v>
      </c>
      <c r="X30" s="4">
        <f t="shared" ca="1" si="3"/>
        <v>1.0000500000000003</v>
      </c>
      <c r="Z30" s="18">
        <f t="shared" ca="1" si="4"/>
        <v>20046.937788087944</v>
      </c>
      <c r="AA30" s="19">
        <f t="shared" ca="1" si="20"/>
        <v>10435.623303175795</v>
      </c>
      <c r="AB30" s="20">
        <f t="shared" ca="1" si="5"/>
        <v>-42.525189214016734</v>
      </c>
      <c r="AC30" s="18">
        <f t="shared" ca="1" si="6"/>
        <v>-389698.16169501777</v>
      </c>
      <c r="AD30" s="19">
        <f t="shared" ca="1" si="19"/>
        <v>9228.0186177156029</v>
      </c>
      <c r="AE30" s="20">
        <f t="shared" ca="1" si="7"/>
        <v>-1864.9938150210573</v>
      </c>
    </row>
    <row r="31" spans="1:31" x14ac:dyDescent="0.25">
      <c r="G31" t="e">
        <f t="shared" ca="1" si="25"/>
        <v>#VALUE!</v>
      </c>
      <c r="H31" t="e">
        <f t="shared" ca="1" si="26"/>
        <v>#VALUE!</v>
      </c>
      <c r="K31" s="39" t="e">
        <f t="shared" ca="1" si="32"/>
        <v>#VALUE!</v>
      </c>
      <c r="L31" s="11" t="str">
        <f ca="1">RTD("xqrtd.rtdserverxqlite",,"TXON"&amp;TEXT($D$2,"00")&amp;$L$2 &amp;TEXT(R31,"0")&amp;".TF-Bid")</f>
        <v>#N/A</v>
      </c>
      <c r="M31" s="4" t="e">
        <f t="shared" ca="1" si="17"/>
        <v>#VALUE!</v>
      </c>
      <c r="N31" s="11" t="str">
        <f ca="1">RTD("xqrtd.rtdserverxqlite",,"TXON"&amp;TEXT($D$2,"00")&amp;$L$2 &amp;TEXT(R31,"0")&amp;".TF-Ask")</f>
        <v>#N/A</v>
      </c>
      <c r="O31" s="27" t="e">
        <f t="shared" ca="1" si="1"/>
        <v>#VALUE!</v>
      </c>
      <c r="P31" s="16" t="str">
        <f ca="1">RTD("xqrtd.rtdserverxqlite",,"TXON"&amp;TEXT($D$2,"00")&amp;$L$2 &amp;TEXT(R31,"0")&amp;".TF-TotalVolume")</f>
        <v>#N/A</v>
      </c>
      <c r="Q31" s="3" t="str">
        <f ca="1">RTD("xqrtd.rtdserverxqlite",,"TXON"&amp;TEXT($D$2,"00")&amp;$L$2 &amp;TEXT(R31,"0")&amp;".TF-Price")</f>
        <v>#N/A</v>
      </c>
      <c r="R31" s="15">
        <f t="shared" si="29"/>
        <v>15500</v>
      </c>
      <c r="S31" s="3" t="str">
        <f ca="1">RTD("xqrtd.rtdserverxqlite",,"TXON"&amp;TEXT($D$2,"00")&amp;$S$2 &amp;TEXT(R31,"0")&amp;".TF-Price")</f>
        <v>#N/A</v>
      </c>
      <c r="T31" s="17" t="str">
        <f ca="1">RTD("xqrtd.rtdserverxqlite",,"TXON"&amp;TEXT($D$2,"00")&amp;$S$2 &amp;TEXT(R31,"0")&amp;".TF-TotalVolume")</f>
        <v>#N/A</v>
      </c>
      <c r="U31" s="28" t="str">
        <f ca="1">RTD("xqrtd.rtdserverxqlite",,"TXON"&amp;TEXT($D$2,"00")&amp;$S$2 &amp;TEXT(R31,"0")&amp;".TF-Bid")</f>
        <v>#N/A</v>
      </c>
      <c r="V31" s="4" t="e">
        <f t="shared" ca="1" si="31"/>
        <v>#VALUE!</v>
      </c>
      <c r="W31" s="11" t="str">
        <f ca="1">RTD("xqrtd.rtdserverxqlite",,"TXON"&amp;TEXT($D$2,"00")&amp;$S$2 &amp;TEXT(R31,"0")&amp;".TF-Ask")</f>
        <v>#N/A</v>
      </c>
      <c r="X31" s="4" t="e">
        <f t="shared" ca="1" si="3"/>
        <v>#VALUE!</v>
      </c>
      <c r="Z31" s="18" t="e">
        <f t="shared" ca="1" si="4"/>
        <v>#VALUE!</v>
      </c>
      <c r="AA31" s="19" t="e">
        <f t="shared" ca="1" si="20"/>
        <v>#VALUE!</v>
      </c>
      <c r="AB31" s="20" t="e">
        <f t="shared" ca="1" si="5"/>
        <v>#VALUE!</v>
      </c>
      <c r="AC31" s="18" t="e">
        <f t="shared" ca="1" si="6"/>
        <v>#VALUE!</v>
      </c>
      <c r="AD31" s="19" t="e">
        <f t="shared" ca="1" si="19"/>
        <v>#VALUE!</v>
      </c>
      <c r="AE31" s="20" t="e">
        <f t="shared" ca="1" si="7"/>
        <v>#VALUE!</v>
      </c>
    </row>
    <row r="32" spans="1:31" x14ac:dyDescent="0.25">
      <c r="O32" s="21"/>
    </row>
    <row r="33" spans="13:15" x14ac:dyDescent="0.25">
      <c r="M33" s="40"/>
      <c r="O33" s="21"/>
    </row>
  </sheetData>
  <mergeCells count="8">
    <mergeCell ref="L2:Q2"/>
    <mergeCell ref="S2:X2"/>
    <mergeCell ref="Z2:AB2"/>
    <mergeCell ref="AC2:AE2"/>
    <mergeCell ref="L3:M3"/>
    <mergeCell ref="N3:O3"/>
    <mergeCell ref="U3:V3"/>
    <mergeCell ref="W3:X3"/>
  </mergeCells>
  <phoneticPr fontId="2" type="noConversion"/>
  <conditionalFormatting sqref="P4:Q31">
    <cfRule type="expression" dxfId="7" priority="5">
      <formula>$P4&gt;10</formula>
    </cfRule>
  </conditionalFormatting>
  <conditionalFormatting sqref="S4:T31">
    <cfRule type="expression" dxfId="6" priority="4">
      <formula>$T4&gt;=10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freshtime">
                <anchor moveWithCells="1">
                  <from>
                    <xdr:col>1</xdr:col>
                    <xdr:colOff>104775</xdr:colOff>
                    <xdr:row>3</xdr:row>
                    <xdr:rowOff>171450</xdr:rowOff>
                  </from>
                  <to>
                    <xdr:col>1</xdr:col>
                    <xdr:colOff>600075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>
    <tabColor rgb="FF92D050"/>
  </sheetPr>
  <dimension ref="A1:AE35"/>
  <sheetViews>
    <sheetView workbookViewId="0">
      <selection activeCell="K7" sqref="K7"/>
    </sheetView>
  </sheetViews>
  <sheetFormatPr defaultRowHeight="16.5" x14ac:dyDescent="0.25"/>
  <cols>
    <col min="1" max="1" width="13.875" bestFit="1" customWidth="1"/>
    <col min="2" max="3" width="6.5" bestFit="1" customWidth="1"/>
    <col min="4" max="4" width="5.5" bestFit="1" customWidth="1"/>
    <col min="5" max="5" width="6.5" bestFit="1" customWidth="1"/>
    <col min="6" max="6" width="2.75" bestFit="1" customWidth="1"/>
    <col min="7" max="7" width="9.625" hidden="1" customWidth="1"/>
    <col min="8" max="8" width="9" hidden="1" customWidth="1"/>
    <col min="9" max="10" width="9.625" hidden="1" customWidth="1"/>
    <col min="11" max="11" width="11" bestFit="1" customWidth="1"/>
    <col min="12" max="12" width="7.875" bestFit="1" customWidth="1"/>
    <col min="13" max="13" width="9" bestFit="1" customWidth="1"/>
    <col min="14" max="14" width="7.625" bestFit="1" customWidth="1"/>
    <col min="15" max="15" width="9.5" bestFit="1" customWidth="1"/>
    <col min="16" max="16" width="7.75" bestFit="1" customWidth="1"/>
    <col min="17" max="17" width="5.5" bestFit="1" customWidth="1"/>
    <col min="18" max="18" width="13.875" bestFit="1" customWidth="1"/>
    <col min="19" max="19" width="5.5" bestFit="1" customWidth="1"/>
    <col min="20" max="20" width="7.75" bestFit="1" customWidth="1"/>
    <col min="21" max="21" width="7.625" bestFit="1" customWidth="1"/>
    <col min="22" max="22" width="9.5" bestFit="1" customWidth="1"/>
    <col min="23" max="23" width="7.625" bestFit="1" customWidth="1"/>
    <col min="24" max="24" width="9.5" bestFit="1" customWidth="1"/>
    <col min="26" max="26" width="9.625" bestFit="1" customWidth="1"/>
    <col min="27" max="28" width="9.5" bestFit="1" customWidth="1"/>
    <col min="29" max="29" width="10.25" bestFit="1" customWidth="1"/>
  </cols>
  <sheetData>
    <row r="1" spans="1:31" ht="17.25" thickBot="1" x14ac:dyDescent="0.3">
      <c r="A1" s="6" t="s">
        <v>0</v>
      </c>
      <c r="B1" s="7" t="s">
        <v>2</v>
      </c>
      <c r="C1" s="8" t="s">
        <v>1</v>
      </c>
      <c r="D1" s="1" t="s">
        <v>4</v>
      </c>
      <c r="E1" s="1" t="s">
        <v>5</v>
      </c>
      <c r="F1" s="1" t="s">
        <v>6</v>
      </c>
    </row>
    <row r="2" spans="1:31" ht="17.25" thickBot="1" x14ac:dyDescent="0.3">
      <c r="A2" s="9" t="str">
        <f>RTD("xqrtd.rtdserverxqlite",,"FITXN*1.TF-Name")</f>
        <v>台股指數近月</v>
      </c>
      <c r="B2" s="5">
        <f>RTD("xqrtd.rtdserverxqlite",,"FITXN*2.TF-PreClose")</f>
        <v>14070</v>
      </c>
      <c r="C2" s="10">
        <f>RTD("xqrtd.rtdserverxqlite",,"FITXN*2.TF-Price")</f>
        <v>14078</v>
      </c>
      <c r="D2" s="1">
        <f ca="1">結算日!C10</f>
        <v>2</v>
      </c>
      <c r="E2" s="1">
        <f ca="1">E3/250</f>
        <v>0.17199999999999999</v>
      </c>
      <c r="F2" s="1">
        <v>0</v>
      </c>
      <c r="L2" s="56" t="s">
        <v>7</v>
      </c>
      <c r="M2" s="57"/>
      <c r="N2" s="57"/>
      <c r="O2" s="57"/>
      <c r="P2" s="57"/>
      <c r="Q2" s="57"/>
      <c r="R2" s="14" t="s">
        <v>88</v>
      </c>
      <c r="S2" s="57" t="s">
        <v>8</v>
      </c>
      <c r="T2" s="57"/>
      <c r="U2" s="57"/>
      <c r="V2" s="57"/>
      <c r="W2" s="57"/>
      <c r="X2" s="58"/>
      <c r="Z2" s="59" t="s">
        <v>7</v>
      </c>
      <c r="AA2" s="60"/>
      <c r="AB2" s="61"/>
      <c r="AC2" s="59" t="s">
        <v>8</v>
      </c>
      <c r="AD2" s="60"/>
      <c r="AE2" s="61"/>
    </row>
    <row r="3" spans="1:31" ht="17.25" thickBot="1" x14ac:dyDescent="0.3">
      <c r="E3">
        <f ca="1">結算日!C11</f>
        <v>43</v>
      </c>
      <c r="L3" s="62" t="s">
        <v>10</v>
      </c>
      <c r="M3" s="63"/>
      <c r="N3" s="64" t="s">
        <v>11</v>
      </c>
      <c r="O3" s="65"/>
      <c r="P3" s="7" t="s">
        <v>3</v>
      </c>
      <c r="Q3" s="7" t="s">
        <v>12</v>
      </c>
      <c r="R3" s="24" t="s">
        <v>13</v>
      </c>
      <c r="S3" s="7" t="s">
        <v>12</v>
      </c>
      <c r="T3" s="7" t="s">
        <v>3</v>
      </c>
      <c r="U3" s="66" t="s">
        <v>10</v>
      </c>
      <c r="V3" s="67"/>
      <c r="W3" s="64" t="s">
        <v>11</v>
      </c>
      <c r="X3" s="65"/>
      <c r="Z3" s="16" t="s">
        <v>15</v>
      </c>
      <c r="AA3" s="3" t="s">
        <v>16</v>
      </c>
      <c r="AB3" s="17" t="s">
        <v>17</v>
      </c>
      <c r="AC3" s="16" t="s">
        <v>15</v>
      </c>
      <c r="AD3" s="3" t="s">
        <v>16</v>
      </c>
      <c r="AE3" s="17" t="s">
        <v>17</v>
      </c>
    </row>
    <row r="4" spans="1:31" x14ac:dyDescent="0.25">
      <c r="I4" t="b">
        <f ca="1">AND(V4&lt;1,V4&gt;0.05)</f>
        <v>1</v>
      </c>
      <c r="J4" t="b">
        <f ca="1">AND(X4&lt;1,X4&gt;0.05)</f>
        <v>1</v>
      </c>
      <c r="K4" s="39" t="e">
        <f ca="1">IF((V4*I4+X4*J4)/COUNTIF(I4:J4,TRUE)*(T4&gt;=30)=0,NA(),(V4*I4+X4*J4)/COUNTIF(I4:J4,TRUE)*(T4&gt;=30))</f>
        <v>#N/A</v>
      </c>
      <c r="L4" s="12">
        <f ca="1">RTD("xqrtd.rtdserverxqlite",,"TXON"&amp;TEXT($D$2,"00")&amp;$L$2 &amp;TEXT(R4,"0")&amp;".TF-Bid")</f>
        <v>1240</v>
      </c>
      <c r="M4" s="13">
        <f ca="1">GBSNewtonImpVolCall(L4,$C$2,R4,$E$2,$F$2,0)</f>
        <v>1.0000000000000002E-4</v>
      </c>
      <c r="N4" s="12">
        <f ca="1">RTD("xqrtd.rtdserverxqlite",,"TXON"&amp;TEXT($D$2,"00")&amp;$L$2 &amp;TEXT(R4,"0")&amp;".TF-Ask")</f>
        <v>1440</v>
      </c>
      <c r="O4" s="25">
        <f t="shared" ref="O4:O31" ca="1" si="0">GBSNewtonImpVolCall(N4,$C$2,R4,$E$2,$F$2,0)</f>
        <v>0.26788837153911593</v>
      </c>
      <c r="P4" s="6">
        <f ca="1">RTD("xqrtd.rtdserverxqlite",,"TXON"&amp;TEXT($D$2,"00")&amp;$L$2 &amp;TEXT(R4,"0")&amp;".TF-TotalVolume")</f>
        <v>0</v>
      </c>
      <c r="Q4" s="7" t="str">
        <f ca="1">RTD("xqrtd.rtdserverxqlite",,"TXON"&amp;TEXT($D$2,"00")&amp;$L$2 &amp;TEXT(R4,"0")&amp;".TF-Price")</f>
        <v>--</v>
      </c>
      <c r="R4" s="24">
        <f>R5-100</f>
        <v>12800</v>
      </c>
      <c r="S4" s="7">
        <f ca="1">RTD("xqrtd.rtdserverxqlite",,"TXON"&amp;TEXT($D$2,"00")&amp;$S$2 &amp;TEXT(R4,"0")&amp;".TF-Price")</f>
        <v>62</v>
      </c>
      <c r="T4" s="8">
        <f ca="1">RTD("xqrtd.rtdserverxqlite",,"TXON"&amp;TEXT($D$2,"00")&amp;$S$2 &amp;TEXT(R4,"0")&amp;".TF-TotalVolume")</f>
        <v>5</v>
      </c>
      <c r="U4" s="26">
        <f ca="1">RTD("xqrtd.rtdserverxqlite",,"TXON"&amp;TEXT($D$2,"00")&amp;$S$2 &amp;TEXT(R4,"0")&amp;".TF-Bid")</f>
        <v>56</v>
      </c>
      <c r="V4" s="13">
        <f t="shared" ref="V4:V31" ca="1" si="1">GBSNewtonImpVolPut(U4,$C$2,R4,$E$2,$F$2,0)</f>
        <v>0.18774821180105211</v>
      </c>
      <c r="W4" s="12">
        <f ca="1">RTD("xqrtd.rtdserverxqlite",,"TXON"&amp;TEXT($D$2,"00")&amp;$S$2 &amp;TEXT(R4,"0")&amp;".TF-Ask")</f>
        <v>63</v>
      </c>
      <c r="X4" s="13">
        <f t="shared" ref="X4:X31" ca="1" si="2">GBSNewtonImpVolPut(W4,$C$2,R4,$E$2,$F$2,0)</f>
        <v>0.19423430334329606</v>
      </c>
      <c r="Z4" s="18">
        <f t="shared" ref="Z4:Z31" ca="1" si="3">gDelta($L$2,$C$2,R4,$E$2,$F$2,0,AVERAGE(M4,O4))*$C$2*50</f>
        <v>675108.33396233851</v>
      </c>
      <c r="AA4" s="19">
        <f ca="1">gGamma($C$2,R4,$E$2,$F$2,0,AVERAGE(M4,O4))*$C$2^2*0.01*50</f>
        <v>11114.449720692093</v>
      </c>
      <c r="AB4" s="20">
        <f t="shared" ref="AB4:AB31" ca="1" si="4">(-BlackScholes($L$2,$C$2,$R4,$E$2,$F$2,0,AVERAGE(M4,O4))+BlackScholes($L$2,$C$2,$R4,$E$2-1/250,$F$2,0,AVERAGE(M4,O4)))*50</f>
        <v>-39.462219304687096</v>
      </c>
      <c r="AC4" s="18">
        <f t="shared" ref="AC4:AC31" ca="1" si="5">gDelta($S$2,$C$2,R4,$E$2,$F$2,0,AVERAGE(V4,X4))*$C$2*50</f>
        <v>-75513.247823565718</v>
      </c>
      <c r="AD4" s="19">
        <f ca="1">gGamma($C$2,R4,$E$2,$F$2,0,AVERAGE(V4,X4))*$C$2^2*0.01*50</f>
        <v>16412.599690349693</v>
      </c>
      <c r="AE4" s="20">
        <f t="shared" ref="AE4:AE31" ca="1" si="6">(-BlackScholes($S$2,$C$2,$R4,$E$2,$F$2,0,AVERAGE(X4,V4))+BlackScholes($S$2,$C$2,$R4,$E$2-1/250,$F$2,0,AVERAGE(X4,V4)))*50</f>
        <v>-119.53650195318488</v>
      </c>
    </row>
    <row r="5" spans="1:31" x14ac:dyDescent="0.25">
      <c r="I5" t="b">
        <f t="shared" ref="I5:I19" ca="1" si="7">AND(V5&lt;1,V5&gt;0.05)</f>
        <v>1</v>
      </c>
      <c r="J5" t="b">
        <f t="shared" ref="J5:J19" ca="1" si="8">AND(X5&lt;1,X5&gt;0.05)</f>
        <v>1</v>
      </c>
      <c r="K5" s="39" t="e">
        <f ca="1">IF((V5*I5+X5*J5)/COUNTIF(I5:J5,TRUE)*(T5&gt;=30)=0,NA(),(V5*I5+X5*J5)/COUNTIF(I5:J5,TRUE)*(T5&gt;=30))</f>
        <v>#N/A</v>
      </c>
      <c r="L5" s="11">
        <f ca="1">RTD("xqrtd.rtdserverxqlite",,"TXON"&amp;TEXT($D$2,"00")&amp;$L$2 &amp;TEXT(R5,"0")&amp;".TF-Bid")</f>
        <v>1140</v>
      </c>
      <c r="M5" s="4">
        <f t="shared" ref="M5:M31" ca="1" si="9">GBSNewtonImpVolCall(L5,$C$2,R5,$E$2,$F$2,0)</f>
        <v>1.0000000000000002E-4</v>
      </c>
      <c r="N5" s="11">
        <f ca="1">RTD("xqrtd.rtdserverxqlite",,"TXON"&amp;TEXT($D$2,"00")&amp;$L$2 &amp;TEXT(R5,"0")&amp;".TF-Ask")</f>
        <v>1340</v>
      </c>
      <c r="O5" s="27">
        <f t="shared" ca="1" si="0"/>
        <v>0.25408176515102388</v>
      </c>
      <c r="P5" s="16">
        <f ca="1">RTD("xqrtd.rtdserverxqlite",,"TXON"&amp;TEXT($D$2,"00")&amp;$L$2 &amp;TEXT(R5,"0")&amp;".TF-TotalVolume")</f>
        <v>0</v>
      </c>
      <c r="Q5" s="3" t="str">
        <f ca="1">RTD("xqrtd.rtdserverxqlite",,"TXON"&amp;TEXT($D$2,"00")&amp;$L$2 &amp;TEXT(R5,"0")&amp;".TF-Price")</f>
        <v>--</v>
      </c>
      <c r="R5" s="15">
        <f t="shared" ref="R5:R16" si="10">R6-100</f>
        <v>12900</v>
      </c>
      <c r="S5" s="3" t="str">
        <f ca="1">RTD("xqrtd.rtdserverxqlite",,"TXON"&amp;TEXT($D$2,"00")&amp;$S$2 &amp;TEXT(R5,"0")&amp;".TF-Price")</f>
        <v>--</v>
      </c>
      <c r="T5" s="17">
        <f ca="1">RTD("xqrtd.rtdserverxqlite",,"TXON"&amp;TEXT($D$2,"00")&amp;$S$2 &amp;TEXT(R5,"0")&amp;".TF-TotalVolume")</f>
        <v>0</v>
      </c>
      <c r="U5" s="28">
        <f ca="1">RTD("xqrtd.rtdserverxqlite",,"TXON"&amp;TEXT($D$2,"00")&amp;$S$2 &amp;TEXT(R5,"0")&amp;".TF-Bid")</f>
        <v>64</v>
      </c>
      <c r="V5" s="4">
        <f t="shared" ca="1" si="1"/>
        <v>0.18358110182285314</v>
      </c>
      <c r="W5" s="11">
        <f ca="1">RTD("xqrtd.rtdserverxqlite",,"TXON"&amp;TEXT($D$2,"00")&amp;$S$2 &amp;TEXT(R5,"0")&amp;".TF-Ask")</f>
        <v>72</v>
      </c>
      <c r="X5" s="4">
        <f t="shared" ca="1" si="2"/>
        <v>0.19035208932161332</v>
      </c>
      <c r="Z5" s="18">
        <f t="shared" ca="1" si="3"/>
        <v>671474.78683687525</v>
      </c>
      <c r="AA5" s="19">
        <f t="shared" ref="AA5:AA10" ca="1" si="11">gGamma($C$2,R5,$E$2,$F$2,0,AVERAGE(M5,O5))*$C$2^2*0.01*50</f>
        <v>12898.664617207001</v>
      </c>
      <c r="AB5" s="20">
        <f t="shared" ca="1" si="4"/>
        <v>-41.253596296132855</v>
      </c>
      <c r="AC5" s="18">
        <f t="shared" ca="1" si="5"/>
        <v>-85769.524129245474</v>
      </c>
      <c r="AD5" s="19">
        <f t="shared" ref="AD5:AD31" ca="1" si="12">gGamma($C$2,R5,$E$2,$F$2,0,AVERAGE(V5,X5))*$C$2^2*0.01*50</f>
        <v>18356.882868880144</v>
      </c>
      <c r="AE5" s="20">
        <f t="shared" ca="1" si="6"/>
        <v>-128.24052085210838</v>
      </c>
    </row>
    <row r="6" spans="1:31" x14ac:dyDescent="0.25">
      <c r="I6" t="b">
        <f t="shared" ca="1" si="7"/>
        <v>1</v>
      </c>
      <c r="J6" t="b">
        <f t="shared" ca="1" si="8"/>
        <v>1</v>
      </c>
      <c r="K6" s="39" t="e">
        <f ca="1">IF((V6*I6+X6*J6)/COUNTIF(I6:J6,TRUE)*(T6&gt;=30)=0,NA(),(V6*I6+X6*J6)/COUNTIF(I6:J6,TRUE)*(T6&gt;=30))</f>
        <v>#N/A</v>
      </c>
      <c r="L6" s="11">
        <f ca="1">RTD("xqrtd.rtdserverxqlite",,"TXON"&amp;TEXT($D$2,"00")&amp;$L$2 &amp;TEXT(R6,"0")&amp;".TF-Bid")</f>
        <v>1050</v>
      </c>
      <c r="M6" s="4">
        <f t="shared" ca="1" si="9"/>
        <v>1.0000000000000002E-4</v>
      </c>
      <c r="N6" s="11">
        <f ca="1">RTD("xqrtd.rtdserverxqlite",,"TXON"&amp;TEXT($D$2,"00")&amp;$L$2 &amp;TEXT(R6,"0")&amp;".TF-Ask")</f>
        <v>1250</v>
      </c>
      <c r="O6" s="27">
        <f t="shared" ca="1" si="0"/>
        <v>0.24629111237525944</v>
      </c>
      <c r="P6" s="16">
        <f ca="1">RTD("xqrtd.rtdserverxqlite",,"TXON"&amp;TEXT($D$2,"00")&amp;$L$2 &amp;TEXT(R6,"0")&amp;".TF-TotalVolume")</f>
        <v>0</v>
      </c>
      <c r="Q6" s="3" t="str">
        <f ca="1">RTD("xqrtd.rtdserverxqlite",,"TXON"&amp;TEXT($D$2,"00")&amp;$L$2 &amp;TEXT(R6,"0")&amp;".TF-Price")</f>
        <v>--</v>
      </c>
      <c r="R6" s="15">
        <f t="shared" si="10"/>
        <v>13000</v>
      </c>
      <c r="S6" s="3">
        <f ca="1">RTD("xqrtd.rtdserverxqlite",,"TXON"&amp;TEXT($D$2,"00")&amp;$S$2 &amp;TEXT(R6,"0")&amp;".TF-Price")</f>
        <v>73</v>
      </c>
      <c r="T6" s="17">
        <f ca="1">RTD("xqrtd.rtdserverxqlite",,"TXON"&amp;TEXT($D$2,"00")&amp;$S$2 &amp;TEXT(R6,"0")&amp;".TF-TotalVolume")</f>
        <v>7</v>
      </c>
      <c r="U6" s="28">
        <f ca="1">RTD("xqrtd.rtdserverxqlite",,"TXON"&amp;TEXT($D$2,"00")&amp;$S$2 &amp;TEXT(R6,"0")&amp;".TF-Bid")</f>
        <v>73</v>
      </c>
      <c r="V6" s="4">
        <f t="shared" ca="1" si="1"/>
        <v>0.17927213988304139</v>
      </c>
      <c r="W6" s="11">
        <f ca="1">RTD("xqrtd.rtdserverxqlite",,"TXON"&amp;TEXT($D$2,"00")&amp;$S$2 &amp;TEXT(R6,"0")&amp;".TF-Ask")</f>
        <v>81</v>
      </c>
      <c r="X6" s="4">
        <f t="shared" ca="1" si="2"/>
        <v>0.18549634171128271</v>
      </c>
      <c r="Z6" s="18">
        <f t="shared" ca="1" si="3"/>
        <v>664123.27597566659</v>
      </c>
      <c r="AA6" s="19">
        <f t="shared" ca="1" si="11"/>
        <v>15657.121981306742</v>
      </c>
      <c r="AB6" s="20">
        <f t="shared" ca="1" si="4"/>
        <v>-47.15649259944712</v>
      </c>
      <c r="AC6" s="18">
        <f t="shared" ca="1" si="5"/>
        <v>-96873.037165234069</v>
      </c>
      <c r="AD6" s="19">
        <f t="shared" ca="1" si="12"/>
        <v>20473.613080593237</v>
      </c>
      <c r="AE6" s="20">
        <f t="shared" ca="1" si="6"/>
        <v>-136.21314547353833</v>
      </c>
    </row>
    <row r="7" spans="1:31" x14ac:dyDescent="0.25">
      <c r="I7" t="b">
        <f t="shared" ca="1" si="7"/>
        <v>1</v>
      </c>
      <c r="J7" t="b">
        <f t="shared" ca="1" si="8"/>
        <v>1</v>
      </c>
      <c r="K7" s="39" t="e">
        <f t="shared" ref="K7:K10" ca="1" si="13">IF((V7*I7+X7*J7)/COUNTIF(I7:J7,TRUE)*(T7&gt;=30)=0,NA(),(V7*I7+X7*J7)/COUNTIF(I7:J7,TRUE)*(T7&gt;=30))</f>
        <v>#N/A</v>
      </c>
      <c r="L7" s="11">
        <f ca="1">RTD("xqrtd.rtdserverxqlite",,"TXON"&amp;TEXT($D$2,"00")&amp;$L$2 &amp;TEXT(R7,"0")&amp;".TF-Bid")</f>
        <v>1050</v>
      </c>
      <c r="M7" s="4">
        <f t="shared" ca="1" si="9"/>
        <v>0.16651118509769436</v>
      </c>
      <c r="N7" s="11">
        <f ca="1">RTD("xqrtd.rtdserverxqlite",,"TXON"&amp;TEXT($D$2,"00")&amp;$L$2 &amp;TEXT(R7,"0")&amp;".TF-Ask")</f>
        <v>1070</v>
      </c>
      <c r="O7" s="27">
        <f t="shared" ca="1" si="0"/>
        <v>0.1811766514718533</v>
      </c>
      <c r="P7" s="16">
        <f ca="1">RTD("xqrtd.rtdserverxqlite",,"TXON"&amp;TEXT($D$2,"00")&amp;$L$2 &amp;TEXT(R7,"0")&amp;".TF-TotalVolume")</f>
        <v>0</v>
      </c>
      <c r="Q7" s="3" t="str">
        <f ca="1">RTD("xqrtd.rtdserverxqlite",,"TXON"&amp;TEXT($D$2,"00")&amp;$L$2 &amp;TEXT(R7,"0")&amp;".TF-Price")</f>
        <v>--</v>
      </c>
      <c r="R7" s="15">
        <f t="shared" si="10"/>
        <v>13100</v>
      </c>
      <c r="S7" s="3" t="str">
        <f ca="1">RTD("xqrtd.rtdserverxqlite",,"TXON"&amp;TEXT($D$2,"00")&amp;$S$2 &amp;TEXT(R7,"0")&amp;".TF-Price")</f>
        <v>--</v>
      </c>
      <c r="T7" s="17">
        <f ca="1">RTD("xqrtd.rtdserverxqlite",,"TXON"&amp;TEXT($D$2,"00")&amp;$S$2 &amp;TEXT(R7,"0")&amp;".TF-TotalVolume")</f>
        <v>0</v>
      </c>
      <c r="U7" s="28">
        <f ca="1">RTD("xqrtd.rtdserverxqlite",,"TXON"&amp;TEXT($D$2,"00")&amp;$S$2 &amp;TEXT(R7,"0")&amp;".TF-Bid")</f>
        <v>84</v>
      </c>
      <c r="V7" s="4">
        <f t="shared" ca="1" si="1"/>
        <v>0.17545596450567247</v>
      </c>
      <c r="W7" s="11">
        <f ca="1">RTD("xqrtd.rtdserverxqlite",,"TXON"&amp;TEXT($D$2,"00")&amp;$S$2 &amp;TEXT(R7,"0")&amp;".TF-Ask")</f>
        <v>92</v>
      </c>
      <c r="X7" s="4">
        <f t="shared" ca="1" si="2"/>
        <v>0.1811766514718533</v>
      </c>
      <c r="Z7" s="18">
        <f t="shared" ca="1" si="3"/>
        <v>598036.22971676488</v>
      </c>
      <c r="AA7" s="19">
        <f t="shared" ca="1" si="11"/>
        <v>22804.316524844671</v>
      </c>
      <c r="AB7" s="20">
        <f t="shared" ca="1" si="4"/>
        <v>-137.91707240408186</v>
      </c>
      <c r="AC7" s="18">
        <f t="shared" ca="1" si="5"/>
        <v>-109879.49516344852</v>
      </c>
      <c r="AD7" s="19">
        <f t="shared" ca="1" si="12"/>
        <v>22787.563786149527</v>
      </c>
      <c r="AE7" s="20">
        <f t="shared" ca="1" si="6"/>
        <v>-145.03116572402703</v>
      </c>
    </row>
    <row r="8" spans="1:31" x14ac:dyDescent="0.25">
      <c r="I8" t="b">
        <f t="shared" ca="1" si="7"/>
        <v>1</v>
      </c>
      <c r="J8" t="b">
        <f t="shared" ca="1" si="8"/>
        <v>1</v>
      </c>
      <c r="K8" s="39" t="e">
        <f t="shared" ca="1" si="13"/>
        <v>#N/A</v>
      </c>
      <c r="L8" s="11">
        <f ca="1">RTD("xqrtd.rtdserverxqlite",,"TXON"&amp;TEXT($D$2,"00")&amp;$L$2 &amp;TEXT(R8,"0")&amp;".TF-Bid")</f>
        <v>970</v>
      </c>
      <c r="M8" s="4">
        <f t="shared" ca="1" si="9"/>
        <v>0.16851976119279863</v>
      </c>
      <c r="N8" s="11">
        <f ca="1">RTD("xqrtd.rtdserverxqlite",,"TXON"&amp;TEXT($D$2,"00")&amp;$L$2 &amp;TEXT(R8,"0")&amp;".TF-Ask")</f>
        <v>985</v>
      </c>
      <c r="O8" s="27">
        <f t="shared" ca="1" si="0"/>
        <v>0.17845225938558579</v>
      </c>
      <c r="P8" s="16">
        <f ca="1">RTD("xqrtd.rtdserverxqlite",,"TXON"&amp;TEXT($D$2,"00")&amp;$L$2 &amp;TEXT(R8,"0")&amp;".TF-TotalVolume")</f>
        <v>0</v>
      </c>
      <c r="Q8" s="3" t="str">
        <f ca="1">RTD("xqrtd.rtdserverxqlite",,"TXON"&amp;TEXT($D$2,"00")&amp;$L$2 &amp;TEXT(R8,"0")&amp;".TF-Price")</f>
        <v>--</v>
      </c>
      <c r="R8" s="15">
        <f t="shared" si="10"/>
        <v>13200</v>
      </c>
      <c r="S8" s="3">
        <f ca="1">RTD("xqrtd.rtdserverxqlite",,"TXON"&amp;TEXT($D$2,"00")&amp;$S$2 &amp;TEXT(R8,"0")&amp;".TF-Price")</f>
        <v>97</v>
      </c>
      <c r="T8" s="17">
        <f ca="1">RTD("xqrtd.rtdserverxqlite",,"TXON"&amp;TEXT($D$2,"00")&amp;$S$2 &amp;TEXT(R8,"0")&amp;".TF-TotalVolume")</f>
        <v>3</v>
      </c>
      <c r="U8" s="28">
        <f ca="1">RTD("xqrtd.rtdserverxqlite",,"TXON"&amp;TEXT($D$2,"00")&amp;$S$2 &amp;TEXT(R8,"0")&amp;".TF-Bid")</f>
        <v>97</v>
      </c>
      <c r="V8" s="4">
        <f t="shared" ca="1" si="1"/>
        <v>0.17188177188634873</v>
      </c>
      <c r="W8" s="11">
        <f ca="1">RTD("xqrtd.rtdserverxqlite",,"TXON"&amp;TEXT($D$2,"00")&amp;$S$2 &amp;TEXT(R8,"0")&amp;".TF-Ask")</f>
        <v>105</v>
      </c>
      <c r="X8" s="4">
        <f t="shared" ca="1" si="2"/>
        <v>0.17715341991186145</v>
      </c>
      <c r="Z8" s="18">
        <f t="shared" ca="1" si="3"/>
        <v>580067.17719345994</v>
      </c>
      <c r="AA8" s="19">
        <f t="shared" ca="1" si="11"/>
        <v>25303.417055162008</v>
      </c>
      <c r="AB8" s="20">
        <f t="shared" ca="1" si="4"/>
        <v>-152.5362245757151</v>
      </c>
      <c r="AC8" s="18">
        <f t="shared" ca="1" si="5"/>
        <v>-124759.39619732783</v>
      </c>
      <c r="AD8" s="19">
        <f t="shared" ca="1" si="12"/>
        <v>25272.68744962768</v>
      </c>
      <c r="AE8" s="20">
        <f t="shared" ca="1" si="6"/>
        <v>-154.17447860420666</v>
      </c>
    </row>
    <row r="9" spans="1:31" x14ac:dyDescent="0.25">
      <c r="I9" t="b">
        <f t="shared" ca="1" si="7"/>
        <v>1</v>
      </c>
      <c r="J9" t="b">
        <f t="shared" ca="1" si="8"/>
        <v>1</v>
      </c>
      <c r="K9" s="39" t="e">
        <f t="shared" ca="1" si="13"/>
        <v>#N/A</v>
      </c>
      <c r="L9" s="11">
        <f ca="1">RTD("xqrtd.rtdserverxqlite",,"TXON"&amp;TEXT($D$2,"00")&amp;$L$2 &amp;TEXT(R9,"0")&amp;".TF-Bid")</f>
        <v>890</v>
      </c>
      <c r="M9" s="4">
        <f t="shared" ca="1" si="9"/>
        <v>0.16835204210877419</v>
      </c>
      <c r="N9" s="11">
        <f ca="1">RTD("xqrtd.rtdserverxqlite",,"TXON"&amp;TEXT($D$2,"00")&amp;$L$2 &amp;TEXT(R9,"0")&amp;".TF-Ask")</f>
        <v>900</v>
      </c>
      <c r="O9" s="27">
        <f t="shared" ca="1" si="0"/>
        <v>0.17443772966861726</v>
      </c>
      <c r="P9" s="16">
        <f ca="1">RTD("xqrtd.rtdserverxqlite",,"TXON"&amp;TEXT($D$2,"00")&amp;$L$2 &amp;TEXT(R9,"0")&amp;".TF-TotalVolume")</f>
        <v>0</v>
      </c>
      <c r="Q9" s="3" t="str">
        <f ca="1">RTD("xqrtd.rtdserverxqlite",,"TXON"&amp;TEXT($D$2,"00")&amp;$L$2 &amp;TEXT(R9,"0")&amp;".TF-Price")</f>
        <v>--</v>
      </c>
      <c r="R9" s="15">
        <f t="shared" si="10"/>
        <v>13300</v>
      </c>
      <c r="S9" s="3">
        <f ca="1">RTD("xqrtd.rtdserverxqlite",,"TXON"&amp;TEXT($D$2,"00")&amp;$S$2 &amp;TEXT(R9,"0")&amp;".TF-Price")</f>
        <v>115</v>
      </c>
      <c r="T9" s="17">
        <f ca="1">RTD("xqrtd.rtdserverxqlite",,"TXON"&amp;TEXT($D$2,"00")&amp;$S$2 &amp;TEXT(R9,"0")&amp;".TF-TotalVolume")</f>
        <v>4</v>
      </c>
      <c r="U9" s="28">
        <f ca="1">RTD("xqrtd.rtdserverxqlite",,"TXON"&amp;TEXT($D$2,"00")&amp;$S$2 &amp;TEXT(R9,"0")&amp;".TF-Bid")</f>
        <v>111</v>
      </c>
      <c r="V9" s="4">
        <f t="shared" ca="1" si="1"/>
        <v>0.1677356416940689</v>
      </c>
      <c r="W9" s="11">
        <f ca="1">RTD("xqrtd.rtdserverxqlite",,"TXON"&amp;TEXT($D$2,"00")&amp;$S$2 &amp;TEXT(R9,"0")&amp;".TF-Ask")</f>
        <v>119</v>
      </c>
      <c r="X9" s="4">
        <f t="shared" ca="1" si="2"/>
        <v>0.17262631587982175</v>
      </c>
      <c r="Z9" s="18">
        <f t="shared" ca="1" si="3"/>
        <v>561871.922300576</v>
      </c>
      <c r="AA9" s="19">
        <f t="shared" ca="1" si="11"/>
        <v>27870.655140886895</v>
      </c>
      <c r="AB9" s="20">
        <f t="shared" ca="1" si="4"/>
        <v>-164.09784641256238</v>
      </c>
      <c r="AC9" s="18">
        <f t="shared" ca="1" si="5"/>
        <v>-140950.04004767354</v>
      </c>
      <c r="AD9" s="19">
        <f t="shared" ca="1" si="12"/>
        <v>27941.47764302211</v>
      </c>
      <c r="AE9" s="20">
        <f t="shared" ca="1" si="6"/>
        <v>-162.18660045930235</v>
      </c>
    </row>
    <row r="10" spans="1:31" x14ac:dyDescent="0.25">
      <c r="I10" t="b">
        <f t="shared" ca="1" si="7"/>
        <v>1</v>
      </c>
      <c r="J10" t="b">
        <f t="shared" ca="1" si="8"/>
        <v>1</v>
      </c>
      <c r="K10" s="39" t="e">
        <f t="shared" ca="1" si="13"/>
        <v>#N/A</v>
      </c>
      <c r="L10" s="11">
        <f ca="1">RTD("xqrtd.rtdserverxqlite",,"TXON"&amp;TEXT($D$2,"00")&amp;$L$2 &amp;TEXT(R10,"0")&amp;".TF-Bid")</f>
        <v>800</v>
      </c>
      <c r="M10" s="4">
        <f t="shared" ca="1" si="9"/>
        <v>0.16068166549205781</v>
      </c>
      <c r="N10" s="11">
        <f ca="1">RTD("xqrtd.rtdserverxqlite",,"TXON"&amp;TEXT($D$2,"00")&amp;$L$2 &amp;TEXT(R10,"0")&amp;".TF-Ask")</f>
        <v>815</v>
      </c>
      <c r="O10" s="27">
        <f t="shared" ca="1" si="0"/>
        <v>0.16925220604836938</v>
      </c>
      <c r="P10" s="16">
        <f ca="1">RTD("xqrtd.rtdserverxqlite",,"TXON"&amp;TEXT($D$2,"00")&amp;$L$2 &amp;TEXT(R10,"0")&amp;".TF-TotalVolume")</f>
        <v>0</v>
      </c>
      <c r="Q10" s="3" t="str">
        <f ca="1">RTD("xqrtd.rtdserverxqlite",,"TXON"&amp;TEXT($D$2,"00")&amp;$L$2 &amp;TEXT(R10,"0")&amp;".TF-Price")</f>
        <v>--</v>
      </c>
      <c r="R10" s="15">
        <f t="shared" si="10"/>
        <v>13400</v>
      </c>
      <c r="S10" s="3">
        <f ca="1">RTD("xqrtd.rtdserverxqlite",,"TXON"&amp;TEXT($D$2,"00")&amp;$S$2 &amp;TEXT(R10,"0")&amp;".TF-Price")</f>
        <v>130</v>
      </c>
      <c r="T10" s="17">
        <f ca="1">RTD("xqrtd.rtdserverxqlite",,"TXON"&amp;TEXT($D$2,"00")&amp;$S$2 &amp;TEXT(R10,"0")&amp;".TF-TotalVolume")</f>
        <v>11</v>
      </c>
      <c r="U10" s="28">
        <f ca="1">RTD("xqrtd.rtdserverxqlite",,"TXON"&amp;TEXT($D$2,"00")&amp;$S$2 &amp;TEXT(R10,"0")&amp;".TF-Bid")</f>
        <v>126</v>
      </c>
      <c r="V10" s="4">
        <f t="shared" ca="1" si="1"/>
        <v>0.16299003795981404</v>
      </c>
      <c r="W10" s="11">
        <f ca="1">RTD("xqrtd.rtdserverxqlite",,"TXON"&amp;TEXT($D$2,"00")&amp;$S$2 &amp;TEXT(R10,"0")&amp;".TF-Ask")</f>
        <v>136</v>
      </c>
      <c r="X10" s="4">
        <f t="shared" ca="1" si="2"/>
        <v>0.1686878378868103</v>
      </c>
      <c r="Z10" s="18">
        <f t="shared" ca="1" si="3"/>
        <v>545568.99076477659</v>
      </c>
      <c r="AA10" s="19">
        <f t="shared" ca="1" si="11"/>
        <v>30850.850188211138</v>
      </c>
      <c r="AB10" s="20">
        <f t="shared" ca="1" si="4"/>
        <v>-168.35749974501937</v>
      </c>
      <c r="AC10" s="18">
        <f t="shared" ca="1" si="5"/>
        <v>-159094.69061230597</v>
      </c>
      <c r="AD10" s="19">
        <f t="shared" ca="1" si="12"/>
        <v>30772.322222367591</v>
      </c>
      <c r="AE10" s="20">
        <f t="shared" ca="1" si="6"/>
        <v>-169.71277281229717</v>
      </c>
    </row>
    <row r="11" spans="1:31" x14ac:dyDescent="0.25">
      <c r="I11" t="b">
        <f t="shared" ca="1" si="7"/>
        <v>1</v>
      </c>
      <c r="J11" t="b">
        <f t="shared" ca="1" si="8"/>
        <v>1</v>
      </c>
      <c r="K11" s="39" t="e">
        <f t="shared" ref="K11:K14" ca="1" si="14">IF((V11*I11+X11*J11)/COUNTIF(I11:J11,TRUE)*(T11&gt;=30)=0,NA(),(V11*I11+X11*J11)/COUNTIF(I11:J11,TRUE)*(T11&gt;=30))</f>
        <v>#N/A</v>
      </c>
      <c r="L11" s="11">
        <f ca="1">RTD("xqrtd.rtdserverxqlite",,"TXON"&amp;TEXT($D$2,"00")&amp;$L$2 &amp;TEXT(R11,"0")&amp;".TF-Bid")</f>
        <v>720</v>
      </c>
      <c r="M11" s="4">
        <f t="shared" ca="1" si="9"/>
        <v>0.15760562358498575</v>
      </c>
      <c r="N11" s="11">
        <f ca="1">RTD("xqrtd.rtdserverxqlite",,"TXON"&amp;TEXT($D$2,"00")&amp;$L$2 &amp;TEXT(R11,"0")&amp;".TF-Ask")</f>
        <v>735</v>
      </c>
      <c r="O11" s="27">
        <f t="shared" ca="1" si="0"/>
        <v>0.16561131916642191</v>
      </c>
      <c r="P11" s="16">
        <f ca="1">RTD("xqrtd.rtdserverxqlite",,"TXON"&amp;TEXT($D$2,"00")&amp;$L$2 &amp;TEXT(R11,"0")&amp;".TF-TotalVolume")</f>
        <v>0</v>
      </c>
      <c r="Q11" s="3" t="str">
        <f ca="1">RTD("xqrtd.rtdserverxqlite",,"TXON"&amp;TEXT($D$2,"00")&amp;$L$2 &amp;TEXT(R11,"0")&amp;".TF-Price")</f>
        <v>--</v>
      </c>
      <c r="R11" s="15">
        <f t="shared" si="10"/>
        <v>13500</v>
      </c>
      <c r="S11" s="3">
        <f ca="1">RTD("xqrtd.rtdserverxqlite",,"TXON"&amp;TEXT($D$2,"00")&amp;$S$2 &amp;TEXT(R11,"0")&amp;".TF-Price")</f>
        <v>150</v>
      </c>
      <c r="T11" s="17">
        <f ca="1">RTD("xqrtd.rtdserverxqlite",,"TXON"&amp;TEXT($D$2,"00")&amp;$S$2 &amp;TEXT(R11,"0")&amp;".TF-TotalVolume")</f>
        <v>21</v>
      </c>
      <c r="U11" s="28">
        <f ca="1">RTD("xqrtd.rtdserverxqlite",,"TXON"&amp;TEXT($D$2,"00")&amp;$S$2 &amp;TEXT(R11,"0")&amp;".TF-Bid")</f>
        <v>145</v>
      </c>
      <c r="V11" s="4">
        <f t="shared" ca="1" si="1"/>
        <v>0.1592193982541561</v>
      </c>
      <c r="W11" s="11">
        <f ca="1">RTD("xqrtd.rtdserverxqlite",,"TXON"&amp;TEXT($D$2,"00")&amp;$S$2 &amp;TEXT(R11,"0")&amp;".TF-Ask")</f>
        <v>155</v>
      </c>
      <c r="X11" s="4">
        <f t="shared" ca="1" si="2"/>
        <v>0.16455267440080643</v>
      </c>
      <c r="Z11" s="18">
        <f t="shared" ca="1" si="3"/>
        <v>524439.62460952217</v>
      </c>
      <c r="AA11" s="19">
        <f ca="1">gGamma($C$2,R11,$E$2,$F$2,0,AVERAGE(M11,O11))*$C$2^2*0.01*50</f>
        <v>33719.811119758742</v>
      </c>
      <c r="AB11" s="20">
        <f t="shared" ca="1" si="4"/>
        <v>-176.69305177547585</v>
      </c>
      <c r="AC11" s="18">
        <f t="shared" ca="1" si="5"/>
        <v>-179689.85154409692</v>
      </c>
      <c r="AD11" s="19">
        <f t="shared" ca="1" si="12"/>
        <v>33684.500971163681</v>
      </c>
      <c r="AE11" s="20">
        <f t="shared" ca="1" si="6"/>
        <v>-177.11589091409508</v>
      </c>
    </row>
    <row r="12" spans="1:31" x14ac:dyDescent="0.25">
      <c r="I12" t="b">
        <f t="shared" ca="1" si="7"/>
        <v>1</v>
      </c>
      <c r="J12" t="b">
        <f t="shared" ca="1" si="8"/>
        <v>1</v>
      </c>
      <c r="K12" s="39" t="e">
        <f t="shared" ca="1" si="14"/>
        <v>#N/A</v>
      </c>
      <c r="L12" s="11">
        <f ca="1">RTD("xqrtd.rtdserverxqlite",,"TXON"&amp;TEXT($D$2,"00")&amp;$L$2 &amp;TEXT(R12,"0")&amp;".TF-Bid")</f>
        <v>645</v>
      </c>
      <c r="M12" s="23">
        <f t="shared" ca="1" si="9"/>
        <v>0.15557976300716397</v>
      </c>
      <c r="N12" s="22">
        <f ca="1">RTD("xqrtd.rtdserverxqlite",,"TXON"&amp;TEXT($D$2,"00")&amp;$L$2 &amp;TEXT(R12,"0")&amp;".TF-Ask")</f>
        <v>660</v>
      </c>
      <c r="O12" s="21">
        <f ca="1">GBSNewtonImpVolCall(N12,$C$2,R12,$E$2,$F$2,0)</f>
        <v>0.16309970502257348</v>
      </c>
      <c r="P12" s="16">
        <f ca="1">RTD("xqrtd.rtdserverxqlite",,"TXON"&amp;TEXT($D$2,"00")&amp;$L$2 &amp;TEXT(R12,"0")&amp;".TF-TotalVolume")</f>
        <v>0</v>
      </c>
      <c r="Q12" s="3" t="str">
        <f ca="1">RTD("xqrtd.rtdserverxqlite",,"TXON"&amp;TEXT($D$2,"00")&amp;$L$2 &amp;TEXT(R12,"0")&amp;".TF-Price")</f>
        <v>--</v>
      </c>
      <c r="R12" s="15">
        <f t="shared" si="10"/>
        <v>13600</v>
      </c>
      <c r="S12" s="3">
        <f ca="1">RTD("xqrtd.rtdserverxqlite",,"TXON"&amp;TEXT($D$2,"00")&amp;$S$2 &amp;TEXT(R12,"0")&amp;".TF-Price")</f>
        <v>174</v>
      </c>
      <c r="T12" s="17">
        <f ca="1">RTD("xqrtd.rtdserverxqlite",,"TXON"&amp;TEXT($D$2,"00")&amp;$S$2 &amp;TEXT(R12,"0")&amp;".TF-TotalVolume")</f>
        <v>4</v>
      </c>
      <c r="U12" s="28">
        <f ca="1">RTD("xqrtd.rtdserverxqlite",,"TXON"&amp;TEXT($D$2,"00")&amp;$S$2 &amp;TEXT(R12,"0")&amp;".TF-Bid")</f>
        <v>172</v>
      </c>
      <c r="V12" s="4">
        <f t="shared" ca="1" si="1"/>
        <v>0.15809721811413763</v>
      </c>
      <c r="W12" s="11">
        <f ca="1">RTD("xqrtd.rtdserverxqlite",,"TXON"&amp;TEXT($D$2,"00")&amp;$S$2 &amp;TEXT(R12,"0")&amp;".TF-Ask")</f>
        <v>176</v>
      </c>
      <c r="X12" s="4">
        <f t="shared" ca="1" si="2"/>
        <v>0.16010317173600197</v>
      </c>
      <c r="Z12" s="18">
        <f t="shared" ca="1" si="3"/>
        <v>500335.86025990389</v>
      </c>
      <c r="AA12" s="19">
        <f t="shared" ref="AA12:AA31" ca="1" si="15">gGamma($C$2,R12,$E$2,$F$2,0,AVERAGE(M12,O12))*$C$2^2*0.01*50</f>
        <v>36413.27129644448</v>
      </c>
      <c r="AB12" s="20">
        <f t="shared" ca="1" si="4"/>
        <v>-185.58942810618078</v>
      </c>
      <c r="AC12" s="18">
        <f t="shared" ca="1" si="5"/>
        <v>-203386.74433994258</v>
      </c>
      <c r="AD12" s="19">
        <f t="shared" ca="1" si="12"/>
        <v>36453.14331344598</v>
      </c>
      <c r="AE12" s="20">
        <f t="shared" ca="1" si="6"/>
        <v>-185.23366606363822</v>
      </c>
    </row>
    <row r="13" spans="1:31" x14ac:dyDescent="0.25">
      <c r="I13" t="b">
        <f t="shared" ca="1" si="7"/>
        <v>1</v>
      </c>
      <c r="J13" t="b">
        <f t="shared" ca="1" si="8"/>
        <v>1</v>
      </c>
      <c r="K13" s="39" t="e">
        <f t="shared" ca="1" si="14"/>
        <v>#N/A</v>
      </c>
      <c r="L13" s="11">
        <f ca="1">RTD("xqrtd.rtdserverxqlite",,"TXON"&amp;TEXT($D$2,"00")&amp;$L$2 &amp;TEXT(R13,"0")&amp;".TF-Bid")</f>
        <v>570</v>
      </c>
      <c r="M13" s="23">
        <f t="shared" ca="1" si="9"/>
        <v>0.15188487701714037</v>
      </c>
      <c r="N13" s="22">
        <f ca="1">RTD("xqrtd.rtdserverxqlite",,"TXON"&amp;TEXT($D$2,"00")&amp;$L$2 &amp;TEXT(R13,"0")&amp;".TF-Ask")</f>
        <v>585</v>
      </c>
      <c r="O13" s="21">
        <f t="shared" ca="1" si="0"/>
        <v>0.15902926894426345</v>
      </c>
      <c r="P13" s="16">
        <f ca="1">RTD("xqrtd.rtdserverxqlite",,"TXON"&amp;TEXT($D$2,"00")&amp;$L$2 &amp;TEXT(R13,"0")&amp;".TF-TotalVolume")</f>
        <v>0</v>
      </c>
      <c r="Q13" s="3" t="str">
        <f ca="1">RTD("xqrtd.rtdserverxqlite",,"TXON"&amp;TEXT($D$2,"00")&amp;$L$2 &amp;TEXT(R13,"0")&amp;".TF-Price")</f>
        <v>--</v>
      </c>
      <c r="R13" s="15">
        <f t="shared" si="10"/>
        <v>13700</v>
      </c>
      <c r="S13" s="3">
        <f ca="1">RTD("xqrtd.rtdserverxqlite",,"TXON"&amp;TEXT($D$2,"00")&amp;$S$2 &amp;TEXT(R13,"0")&amp;".TF-Price")</f>
        <v>195</v>
      </c>
      <c r="T13" s="17">
        <f ca="1">RTD("xqrtd.rtdserverxqlite",,"TXON"&amp;TEXT($D$2,"00")&amp;$S$2 &amp;TEXT(R13,"0")&amp;".TF-TotalVolume")</f>
        <v>2</v>
      </c>
      <c r="U13" s="28">
        <f ca="1">RTD("xqrtd.rtdserverxqlite",,"TXON"&amp;TEXT($D$2,"00")&amp;$S$2 &amp;TEXT(R13,"0")&amp;".TF-Bid")</f>
        <v>198</v>
      </c>
      <c r="V13" s="4">
        <f t="shared" ca="1" si="1"/>
        <v>0.154749631023407</v>
      </c>
      <c r="W13" s="11">
        <f ca="1">RTD("xqrtd.rtdserverxqlite",,"TXON"&amp;TEXT($D$2,"00")&amp;$S$2 &amp;TEXT(R13,"0")&amp;".TF-Ask")</f>
        <v>203</v>
      </c>
      <c r="X13" s="4">
        <f t="shared" ca="1" si="2"/>
        <v>0.15712976389527322</v>
      </c>
      <c r="Z13" s="18">
        <f t="shared" ca="1" si="3"/>
        <v>475284.65303709946</v>
      </c>
      <c r="AA13" s="19">
        <f t="shared" ca="1" si="15"/>
        <v>39283.61381937941</v>
      </c>
      <c r="AB13" s="20">
        <f t="shared" ca="1" si="4"/>
        <v>-190.68565880161827</v>
      </c>
      <c r="AC13" s="18">
        <f t="shared" ca="1" si="5"/>
        <v>-228920.97154337252</v>
      </c>
      <c r="AD13" s="19">
        <f t="shared" ca="1" si="12"/>
        <v>39183.479673583657</v>
      </c>
      <c r="AE13" s="20">
        <f t="shared" ca="1" si="6"/>
        <v>-191.38383731955599</v>
      </c>
    </row>
    <row r="14" spans="1:31" x14ac:dyDescent="0.25">
      <c r="I14" t="b">
        <f t="shared" ca="1" si="7"/>
        <v>1</v>
      </c>
      <c r="J14" t="b">
        <f t="shared" ca="1" si="8"/>
        <v>1</v>
      </c>
      <c r="K14" s="39" t="e">
        <f t="shared" ca="1" si="14"/>
        <v>#N/A</v>
      </c>
      <c r="L14" s="11">
        <f ca="1">RTD("xqrtd.rtdserverxqlite",,"TXON"&amp;TEXT($D$2,"00")&amp;$L$2 &amp;TEXT(R14,"0")&amp;".TF-Bid")</f>
        <v>500</v>
      </c>
      <c r="M14" s="23">
        <f t="shared" ca="1" si="9"/>
        <v>0.14888709209561352</v>
      </c>
      <c r="N14" s="22">
        <f ca="1">RTD("xqrtd.rtdserverxqlite",,"TXON"&amp;TEXT($D$2,"00")&amp;$L$2 &amp;TEXT(R14,"0")&amp;".TF-Ask")</f>
        <v>515</v>
      </c>
      <c r="O14" s="21">
        <f t="shared" ca="1" si="0"/>
        <v>0.15573001880347731</v>
      </c>
      <c r="P14" s="16">
        <f ca="1">RTD("xqrtd.rtdserverxqlite",,"TXON"&amp;TEXT($D$2,"00")&amp;$L$2 &amp;TEXT(R14,"0")&amp;".TF-TotalVolume")</f>
        <v>0</v>
      </c>
      <c r="Q14" s="3" t="str">
        <f ca="1">RTD("xqrtd.rtdserverxqlite",,"TXON"&amp;TEXT($D$2,"00")&amp;$L$2 &amp;TEXT(R14,"0")&amp;".TF-Price")</f>
        <v>--</v>
      </c>
      <c r="R14" s="15">
        <f t="shared" si="10"/>
        <v>13800</v>
      </c>
      <c r="S14" s="3">
        <f ca="1">RTD("xqrtd.rtdserverxqlite",,"TXON"&amp;TEXT($D$2,"00")&amp;$S$2 &amp;TEXT(R14,"0")&amp;".TF-Price")</f>
        <v>218</v>
      </c>
      <c r="T14" s="17">
        <f ca="1">RTD("xqrtd.rtdserverxqlite",,"TXON"&amp;TEXT($D$2,"00")&amp;$S$2 &amp;TEXT(R14,"0")&amp;".TF-TotalVolume")</f>
        <v>7</v>
      </c>
      <c r="U14" s="28">
        <f ca="1">RTD("xqrtd.rtdserverxqlite",,"TXON"&amp;TEXT($D$2,"00")&amp;$S$2 &amp;TEXT(R14,"0")&amp;".TF-Bid")</f>
        <v>228</v>
      </c>
      <c r="V14" s="4">
        <f t="shared" ca="1" si="1"/>
        <v>0.15162793424129484</v>
      </c>
      <c r="W14" s="11">
        <f ca="1">RTD("xqrtd.rtdserverxqlite",,"TXON"&amp;TEXT($D$2,"00")&amp;$S$2 &amp;TEXT(R14,"0")&amp;".TF-Ask")</f>
        <v>234</v>
      </c>
      <c r="X14" s="4">
        <f t="shared" ca="1" si="2"/>
        <v>0.15436382944881916</v>
      </c>
      <c r="Z14" s="18">
        <f t="shared" ca="1" si="3"/>
        <v>447555.77529252361</v>
      </c>
      <c r="AA14" s="19">
        <f t="shared" ca="1" si="15"/>
        <v>41853.929172075732</v>
      </c>
      <c r="AB14" s="20">
        <f t="shared" ca="1" si="4"/>
        <v>-195.13936062870414</v>
      </c>
      <c r="AC14" s="18">
        <f t="shared" ca="1" si="5"/>
        <v>-256681.57146360545</v>
      </c>
      <c r="AD14" s="19">
        <f t="shared" ca="1" si="12"/>
        <v>41684.337965641884</v>
      </c>
      <c r="AE14" s="20">
        <f t="shared" ca="1" si="6"/>
        <v>-196.10844784326957</v>
      </c>
    </row>
    <row r="15" spans="1:31" x14ac:dyDescent="0.25">
      <c r="G15" t="b">
        <f t="shared" ref="G15:G31" ca="1" si="16">AND(M15&lt;1,M15&gt;0.05)</f>
        <v>1</v>
      </c>
      <c r="H15" t="b">
        <f t="shared" ref="H15:H31" ca="1" si="17">AND(O15&lt;1,O15&gt;0.05)</f>
        <v>1</v>
      </c>
      <c r="I15" t="b">
        <f t="shared" ca="1" si="7"/>
        <v>1</v>
      </c>
      <c r="J15" t="b">
        <f t="shared" ca="1" si="8"/>
        <v>1</v>
      </c>
      <c r="K15" s="39" t="e">
        <f ca="1">IF((M15*G15+O15*H15+V15*I15+X15*J15)/COUNTIF(G15:J15,TRUE)*AND(P15&gt;=30,T15&gt;=30)=0,NA(),(M15*G15+O15*H15+V15*I15+X15*J15)/COUNTIF(G15:J15,TRUE)*AND(P15&gt;=30,T15&gt;=30))</f>
        <v>#N/A</v>
      </c>
      <c r="L15" s="11">
        <f ca="1">RTD("xqrtd.rtdserverxqlite",,"TXON"&amp;TEXT($D$2,"00")&amp;$L$2 &amp;TEXT(R15,"0")&amp;".TF-Bid")</f>
        <v>438</v>
      </c>
      <c r="M15" s="23">
        <f t="shared" ca="1" si="9"/>
        <v>0.14766370832920078</v>
      </c>
      <c r="N15" s="22">
        <f ca="1">RTD("xqrtd.rtdserverxqlite",,"TXON"&amp;TEXT($D$2,"00")&amp;$L$2 &amp;TEXT(R15,"0")&amp;".TF-Ask")</f>
        <v>450</v>
      </c>
      <c r="O15" s="21">
        <f t="shared" ca="1" si="0"/>
        <v>0.15296026985049249</v>
      </c>
      <c r="P15" s="16">
        <f ca="1">RTD("xqrtd.rtdserverxqlite",,"TXON"&amp;TEXT($D$2,"00")&amp;$L$2 &amp;TEXT(R15,"0")&amp;".TF-TotalVolume")</f>
        <v>0</v>
      </c>
      <c r="Q15" s="3" t="str">
        <f ca="1">RTD("xqrtd.rtdserverxqlite",,"TXON"&amp;TEXT($D$2,"00")&amp;$L$2 &amp;TEXT(R15,"0")&amp;".TF-Price")</f>
        <v>--</v>
      </c>
      <c r="R15" s="15">
        <f>R16-100</f>
        <v>13900</v>
      </c>
      <c r="S15" s="3">
        <f ca="1">RTD("xqrtd.rtdserverxqlite",,"TXON"&amp;TEXT($D$2,"00")&amp;$S$2 &amp;TEXT(R15,"0")&amp;".TF-Price")</f>
        <v>265</v>
      </c>
      <c r="T15" s="17">
        <f ca="1">RTD("xqrtd.rtdserverxqlite",,"TXON"&amp;TEXT($D$2,"00")&amp;$S$2 &amp;TEXT(R15,"0")&amp;".TF-TotalVolume")</f>
        <v>2</v>
      </c>
      <c r="U15" s="28">
        <f ca="1">RTD("xqrtd.rtdserverxqlite",,"TXON"&amp;TEXT($D$2,"00")&amp;$S$2 &amp;TEXT(R15,"0")&amp;".TF-Bid")</f>
        <v>264</v>
      </c>
      <c r="V15" s="4">
        <f t="shared" ca="1" si="1"/>
        <v>0.14943012286126617</v>
      </c>
      <c r="W15" s="11">
        <f ca="1">RTD("xqrtd.rtdserverxqlite",,"TXON"&amp;TEXT($D$2,"00")&amp;$S$2 &amp;TEXT(R15,"0")&amp;".TF-Ask")</f>
        <v>269</v>
      </c>
      <c r="X15" s="4">
        <f t="shared" ca="1" si="2"/>
        <v>0.15163687449097635</v>
      </c>
      <c r="Z15" s="18">
        <f t="shared" ca="1" si="3"/>
        <v>417420.15019661933</v>
      </c>
      <c r="AA15" s="19">
        <f t="shared" ca="1" si="15"/>
        <v>43816.923552186076</v>
      </c>
      <c r="AB15" s="20">
        <f t="shared" ca="1" si="4"/>
        <v>-199.1107702893089</v>
      </c>
      <c r="AC15" s="18">
        <f t="shared" ca="1" si="5"/>
        <v>-286549.33317741606</v>
      </c>
      <c r="AD15" s="19">
        <f t="shared" ca="1" si="12"/>
        <v>43755.064905421015</v>
      </c>
      <c r="AE15" s="20">
        <f t="shared" ca="1" si="6"/>
        <v>-199.41651009606574</v>
      </c>
    </row>
    <row r="16" spans="1:31" x14ac:dyDescent="0.25">
      <c r="G16" t="b">
        <f t="shared" ca="1" si="16"/>
        <v>1</v>
      </c>
      <c r="H16" t="b">
        <f t="shared" ca="1" si="17"/>
        <v>1</v>
      </c>
      <c r="I16" t="b">
        <f t="shared" ca="1" si="7"/>
        <v>1</v>
      </c>
      <c r="J16" t="b">
        <f t="shared" ca="1" si="8"/>
        <v>1</v>
      </c>
      <c r="K16" s="39" t="e">
        <f ca="1">IF((M16*G16+O16*H16+V16*I16+X16*J16)/COUNTIF(G16:J16,TRUE)*AND(P16&gt;=30,T16&gt;=30)=0,NA(),(M16*G16+O16*H16+V16*I16+X16*J16)/COUNTIF(G16:J16,TRUE)*AND(P16&gt;=30,T16&gt;=30))</f>
        <v>#N/A</v>
      </c>
      <c r="L16" s="11">
        <f ca="1">RTD("xqrtd.rtdserverxqlite",,"TXON"&amp;TEXT($D$2,"00")&amp;$L$2 &amp;TEXT(R16,"0")&amp;".TF-Bid")</f>
        <v>378</v>
      </c>
      <c r="M16" s="23">
        <f t="shared" ca="1" si="9"/>
        <v>0.1453423426985741</v>
      </c>
      <c r="N16" s="22">
        <f ca="1">RTD("xqrtd.rtdserverxqlite",,"TXON"&amp;TEXT($D$2,"00")&amp;$L$2 &amp;TEXT(R16,"0")&amp;".TF-Ask")</f>
        <v>390</v>
      </c>
      <c r="O16" s="21">
        <f t="shared" ca="1" si="0"/>
        <v>0.15053007158041004</v>
      </c>
      <c r="P16" s="16">
        <f ca="1">RTD("xqrtd.rtdserverxqlite",,"TXON"&amp;TEXT($D$2,"00")&amp;$L$2 &amp;TEXT(R16,"0")&amp;".TF-TotalVolume")</f>
        <v>0</v>
      </c>
      <c r="Q16" s="3" t="str">
        <f ca="1">RTD("xqrtd.rtdserverxqlite",,"TXON"&amp;TEXT($D$2,"00")&amp;$L$2 &amp;TEXT(R16,"0")&amp;".TF-Price")</f>
        <v>--</v>
      </c>
      <c r="R16" s="15">
        <f t="shared" si="10"/>
        <v>14000</v>
      </c>
      <c r="S16" s="3" t="str">
        <f ca="1">RTD("xqrtd.rtdserverxqlite",,"TXON"&amp;TEXT($D$2,"00")&amp;$S$2 &amp;TEXT(R16,"0")&amp;".TF-Price")</f>
        <v>--</v>
      </c>
      <c r="T16" s="17">
        <f ca="1">RTD("xqrtd.rtdserverxqlite",,"TXON"&amp;TEXT($D$2,"00")&amp;$S$2 &amp;TEXT(R16,"0")&amp;".TF-TotalVolume")</f>
        <v>0</v>
      </c>
      <c r="U16" s="28">
        <f ca="1">RTD("xqrtd.rtdserverxqlite",,"TXON"&amp;TEXT($D$2,"00")&amp;$S$2 &amp;TEXT(R16,"0")&amp;".TF-Bid")</f>
        <v>304</v>
      </c>
      <c r="V16" s="4">
        <f t="shared" ca="1" si="1"/>
        <v>0.14707174459695815</v>
      </c>
      <c r="W16" s="11">
        <f ca="1">RTD("xqrtd.rtdserverxqlite",,"TXON"&amp;TEXT($D$2,"00")&amp;$S$2 &amp;TEXT(R16,"0")&amp;".TF-Ask")</f>
        <v>309</v>
      </c>
      <c r="X16" s="4">
        <f t="shared" ca="1" si="2"/>
        <v>0.14923325856328012</v>
      </c>
      <c r="Z16" s="18">
        <f t="shared" ca="1" si="3"/>
        <v>385918.34495530004</v>
      </c>
      <c r="AA16" s="19">
        <f t="shared" ca="1" si="15"/>
        <v>45435.027473577422</v>
      </c>
      <c r="AB16" s="20">
        <f t="shared" ca="1" si="4"/>
        <v>-200.11642696943284</v>
      </c>
      <c r="AC16" s="18">
        <f t="shared" ca="1" si="5"/>
        <v>-318006.00528257358</v>
      </c>
      <c r="AD16" s="19">
        <f t="shared" ca="1" si="12"/>
        <v>45369.175157425714</v>
      </c>
      <c r="AE16" s="20">
        <f t="shared" ca="1" si="6"/>
        <v>-200.41126925808044</v>
      </c>
    </row>
    <row r="17" spans="7:31" x14ac:dyDescent="0.25">
      <c r="G17" t="b">
        <f t="shared" ca="1" si="16"/>
        <v>1</v>
      </c>
      <c r="H17" t="b">
        <f t="shared" ca="1" si="17"/>
        <v>1</v>
      </c>
      <c r="I17" t="b">
        <f t="shared" ca="1" si="7"/>
        <v>1</v>
      </c>
      <c r="J17" t="b">
        <f t="shared" ca="1" si="8"/>
        <v>1</v>
      </c>
      <c r="K17" s="39" t="e">
        <f ca="1">IF((M17*G17+O17*H17+V17*I17+X17*J17)/COUNTIF(G17:J17,TRUE)*AND(P17&gt;=30,T17&gt;=30)=0,NA(),(M17*G17+O17*H17+V17*I17+X17*J17)/COUNTIF(G17:J17,TRUE)*AND(P17&gt;=30,T17&gt;=30))</f>
        <v>#N/A</v>
      </c>
      <c r="L17" s="22">
        <f ca="1">RTD("xqrtd.rtdserverxqlite",,"TXON"&amp;TEXT($D$2,"00")&amp;$L$2 &amp;TEXT(R17,"0")&amp;".TF-Bid")</f>
        <v>325</v>
      </c>
      <c r="M17" s="23">
        <f t="shared" ca="1" si="9"/>
        <v>0.14405452953279024</v>
      </c>
      <c r="N17" s="22">
        <f ca="1">RTD("xqrtd.rtdserverxqlite",,"TXON"&amp;TEXT($D$2,"00")&amp;$L$2 &amp;TEXT(R17,"0")&amp;".TF-Ask")</f>
        <v>332</v>
      </c>
      <c r="O17" s="21">
        <f t="shared" ca="1" si="0"/>
        <v>0.14705827462077142</v>
      </c>
      <c r="P17" s="16">
        <f ca="1">RTD("xqrtd.rtdserverxqlite",,"TXON"&amp;TEXT($D$2,"00")&amp;$L$2 &amp;TEXT(R17,"0")&amp;".TF-TotalVolume")</f>
        <v>1</v>
      </c>
      <c r="Q17" s="3">
        <f ca="1">RTD("xqrtd.rtdserverxqlite",,"TXON"&amp;TEXT($D$2,"00")&amp;$L$2 &amp;TEXT(R17,"0")&amp;".TF-Price")</f>
        <v>343</v>
      </c>
      <c r="R17" s="2">
        <f>ROUND(C2/100,0)*100</f>
        <v>14100</v>
      </c>
      <c r="S17" s="3" t="str">
        <f ca="1">RTD("xqrtd.rtdserverxqlite",,"TXON"&amp;TEXT($D$2,"00")&amp;$S$2 &amp;TEXT(R17,"0")&amp;".TF-Price")</f>
        <v>--</v>
      </c>
      <c r="T17" s="17">
        <f ca="1">RTD("xqrtd.rtdserverxqlite",,"TXON"&amp;TEXT($D$2,"00")&amp;$S$2 &amp;TEXT(R17,"0")&amp;".TF-TotalVolume")</f>
        <v>0</v>
      </c>
      <c r="U17" s="28">
        <f ca="1">RTD("xqrtd.rtdserverxqlite",,"TXON"&amp;TEXT($D$2,"00")&amp;$S$2 &amp;TEXT(R17,"0")&amp;".TF-Bid")</f>
        <v>348</v>
      </c>
      <c r="V17" s="4">
        <f t="shared" ca="1" si="1"/>
        <v>0.14448360191583637</v>
      </c>
      <c r="W17" s="11">
        <f ca="1">RTD("xqrtd.rtdserverxqlite",,"TXON"&amp;TEXT($D$2,"00")&amp;$S$2 &amp;TEXT(R17,"0")&amp;".TF-Ask")</f>
        <v>354</v>
      </c>
      <c r="X17" s="4">
        <f t="shared" ca="1" si="2"/>
        <v>0.14705827462077142</v>
      </c>
      <c r="Z17" s="18">
        <f t="shared" ca="1" si="3"/>
        <v>353162.76745151816</v>
      </c>
      <c r="AA17" s="19">
        <f t="shared" ca="1" si="15"/>
        <v>46518.04455379337</v>
      </c>
      <c r="AB17" s="20">
        <f t="shared" ca="1" si="4"/>
        <v>-198.3774768215909</v>
      </c>
      <c r="AC17" s="18">
        <f t="shared" ca="1" si="5"/>
        <v>-350714.03682784818</v>
      </c>
      <c r="AD17" s="19">
        <f t="shared" ca="1" si="12"/>
        <v>46449.56561004035</v>
      </c>
      <c r="AE17" s="20">
        <f t="shared" ca="1" si="6"/>
        <v>-198.66959149921684</v>
      </c>
    </row>
    <row r="18" spans="7:31" x14ac:dyDescent="0.25">
      <c r="G18" t="b">
        <f t="shared" ca="1" si="16"/>
        <v>1</v>
      </c>
      <c r="H18" t="b">
        <f t="shared" ca="1" si="17"/>
        <v>1</v>
      </c>
      <c r="I18" t="b">
        <f t="shared" ca="1" si="7"/>
        <v>1</v>
      </c>
      <c r="J18" t="b">
        <f t="shared" ca="1" si="8"/>
        <v>1</v>
      </c>
      <c r="K18" s="39" t="e">
        <f ca="1">IF((M18*G18+O18*H18+V18*I18+X18*J18)/COUNTIF(G18:J18,TRUE)*AND(P18&gt;=30,T18&gt;=30)=0,NA(),(M18*G18+O18*H18+V18*I18+X18*J18)/COUNTIF(G18:J18,TRUE)*AND(P18&gt;=30,T18&gt;=30))</f>
        <v>#N/A</v>
      </c>
      <c r="L18" s="22">
        <f ca="1">RTD("xqrtd.rtdserverxqlite",,"TXON"&amp;TEXT($D$2,"00")&amp;$L$2 &amp;TEXT(R18,"0")&amp;".TF-Bid")</f>
        <v>275</v>
      </c>
      <c r="M18" s="23">
        <f t="shared" ca="1" si="9"/>
        <v>0.14214650144577029</v>
      </c>
      <c r="N18" s="22">
        <f ca="1">RTD("xqrtd.rtdserverxqlite",,"TXON"&amp;TEXT($D$2,"00")&amp;$L$2 &amp;TEXT(R18,"0")&amp;".TF-Ask")</f>
        <v>281</v>
      </c>
      <c r="O18" s="21">
        <f t="shared" ca="1" si="0"/>
        <v>0.14473905465006831</v>
      </c>
      <c r="P18" s="16">
        <f ca="1">RTD("xqrtd.rtdserverxqlite",,"TXON"&amp;TEXT($D$2,"00")&amp;$L$2 &amp;TEXT(R18,"0")&amp;".TF-TotalVolume")</f>
        <v>0</v>
      </c>
      <c r="Q18" s="3" t="str">
        <f ca="1">RTD("xqrtd.rtdserverxqlite",,"TXON"&amp;TEXT($D$2,"00")&amp;$L$2 &amp;TEXT(R18,"0")&amp;".TF-Price")</f>
        <v>--</v>
      </c>
      <c r="R18" s="15">
        <f t="shared" ref="R18:R31" si="18">R17+100</f>
        <v>14200</v>
      </c>
      <c r="S18" s="3">
        <f ca="1">RTD("xqrtd.rtdserverxqlite",,"TXON"&amp;TEXT($D$2,"00")&amp;$S$2 &amp;TEXT(R18,"0")&amp;".TF-Price")</f>
        <v>390</v>
      </c>
      <c r="T18" s="17">
        <f ca="1">RTD("xqrtd.rtdserverxqlite",,"TXON"&amp;TEXT($D$2,"00")&amp;$S$2 &amp;TEXT(R18,"0")&amp;".TF-TotalVolume")</f>
        <v>3</v>
      </c>
      <c r="U18" s="28">
        <f ca="1">RTD("xqrtd.rtdserverxqlite",,"TXON"&amp;TEXT($D$2,"00")&amp;$S$2 &amp;TEXT(R18,"0")&amp;".TF-Bid")</f>
        <v>393</v>
      </c>
      <c r="V18" s="4">
        <f t="shared" ca="1" si="1"/>
        <v>0.14041757636070254</v>
      </c>
      <c r="W18" s="11">
        <f ca="1">RTD("xqrtd.rtdserverxqlite",,"TXON"&amp;TEXT($D$2,"00")&amp;$S$2 &amp;TEXT(R18,"0")&amp;".TF-Ask")</f>
        <v>406</v>
      </c>
      <c r="X18" s="4">
        <f t="shared" ca="1" si="2"/>
        <v>0.14603497364223011</v>
      </c>
      <c r="Z18" s="18">
        <f t="shared" ca="1" si="3"/>
        <v>319636.33046284784</v>
      </c>
      <c r="AA18" s="19">
        <f t="shared" ca="1" si="15"/>
        <v>46891.202723400034</v>
      </c>
      <c r="AB18" s="20">
        <f t="shared" ca="1" si="4"/>
        <v>-194.11921618458905</v>
      </c>
      <c r="AC18" s="18">
        <f t="shared" ca="1" si="5"/>
        <v>-384337.35095872387</v>
      </c>
      <c r="AD18" s="19">
        <f t="shared" ca="1" si="12"/>
        <v>46960.652298162502</v>
      </c>
      <c r="AE18" s="20">
        <f t="shared" ca="1" si="6"/>
        <v>-193.82006105382743</v>
      </c>
    </row>
    <row r="19" spans="7:31" x14ac:dyDescent="0.25">
      <c r="G19" t="b">
        <f t="shared" ca="1" si="16"/>
        <v>1</v>
      </c>
      <c r="H19" t="b">
        <f t="shared" ca="1" si="17"/>
        <v>1</v>
      </c>
      <c r="I19" t="b">
        <f t="shared" ca="1" si="7"/>
        <v>1</v>
      </c>
      <c r="J19" t="b">
        <f t="shared" ca="1" si="8"/>
        <v>1</v>
      </c>
      <c r="K19" s="39" t="e">
        <f ca="1">IF((M19*G19+O19*H19+V19*I19+X19*J19)/COUNTIF(G19:J19,TRUE)*AND(P19&gt;=30,T19&gt;=30)=0,NA(),(M19*G19+O19*H19+V19*I19+X19*J19)/COUNTIF(G19:J19,TRUE)*AND(P19&gt;=30,T19&gt;=30))</f>
        <v>#N/A</v>
      </c>
      <c r="L19" s="22">
        <f ca="1">RTD("xqrtd.rtdserverxqlite",,"TXON"&amp;TEXT($D$2,"00")&amp;$L$2 &amp;TEXT(R19,"0")&amp;".TF-Bid")</f>
        <v>230</v>
      </c>
      <c r="M19" s="23">
        <f t="shared" ca="1" si="9"/>
        <v>0.14026189681291582</v>
      </c>
      <c r="N19" s="22">
        <f ca="1">RTD("xqrtd.rtdserverxqlite",,"TXON"&amp;TEXT($D$2,"00")&amp;$L$2 &amp;TEXT(R19,"0")&amp;".TF-Ask")</f>
        <v>236</v>
      </c>
      <c r="O19" s="21">
        <f t="shared" ca="1" si="0"/>
        <v>0.1429119060218334</v>
      </c>
      <c r="P19" s="16">
        <f ca="1">RTD("xqrtd.rtdserverxqlite",,"TXON"&amp;TEXT($D$2,"00")&amp;$L$2 &amp;TEXT(R19,"0")&amp;".TF-TotalVolume")</f>
        <v>0</v>
      </c>
      <c r="Q19" s="3" t="str">
        <f ca="1">RTD("xqrtd.rtdserverxqlite",,"TXON"&amp;TEXT($D$2,"00")&amp;$L$2 &amp;TEXT(R19,"0")&amp;".TF-Price")</f>
        <v>--</v>
      </c>
      <c r="R19" s="15">
        <f t="shared" si="18"/>
        <v>14300</v>
      </c>
      <c r="S19" s="3" t="str">
        <f ca="1">RTD("xqrtd.rtdserverxqlite",,"TXON"&amp;TEXT($D$2,"00")&amp;$S$2 &amp;TEXT(R19,"0")&amp;".TF-Price")</f>
        <v>--</v>
      </c>
      <c r="T19" s="17">
        <f ca="1">RTD("xqrtd.rtdserverxqlite",,"TXON"&amp;TEXT($D$2,"00")&amp;$S$2 &amp;TEXT(R19,"0")&amp;".TF-TotalVolume")</f>
        <v>0</v>
      </c>
      <c r="U19" s="28">
        <f ca="1">RTD("xqrtd.rtdserverxqlite",,"TXON"&amp;TEXT($D$2,"00")&amp;$S$2 &amp;TEXT(R19,"0")&amp;".TF-Bid")</f>
        <v>448</v>
      </c>
      <c r="V19" s="4">
        <f t="shared" ca="1" si="1"/>
        <v>0.13849327701926228</v>
      </c>
      <c r="W19" s="11">
        <f ca="1">RTD("xqrtd.rtdserverxqlite",,"TXON"&amp;TEXT($D$2,"00")&amp;$S$2 &amp;TEXT(R19,"0")&amp;".TF-Ask")</f>
        <v>462</v>
      </c>
      <c r="X19" s="4">
        <f ca="1">GBSNewtonImpVolPut(W19,$C$2,R19,$E$2,$F$2,0)</f>
        <v>0.14467671130895615</v>
      </c>
      <c r="Z19" s="18">
        <f t="shared" ca="1" si="3"/>
        <v>285986.52283237444</v>
      </c>
      <c r="AA19" s="19">
        <f t="shared" ca="1" si="15"/>
        <v>46497.23058633467</v>
      </c>
      <c r="AB19" s="20">
        <f t="shared" ca="1" si="4"/>
        <v>-187.39873534501186</v>
      </c>
      <c r="AC19" s="18">
        <f t="shared" ca="1" si="5"/>
        <v>-417914.56492175022</v>
      </c>
      <c r="AD19" s="19">
        <f t="shared" ca="1" si="12"/>
        <v>46497.813007378172</v>
      </c>
      <c r="AE19" s="20">
        <f t="shared" ca="1" si="6"/>
        <v>-187.39602960531272</v>
      </c>
    </row>
    <row r="20" spans="7:31" x14ac:dyDescent="0.25">
      <c r="G20" t="b">
        <f t="shared" ca="1" si="16"/>
        <v>1</v>
      </c>
      <c r="H20" t="b">
        <f t="shared" ca="1" si="17"/>
        <v>1</v>
      </c>
      <c r="K20" s="39" t="e">
        <f ca="1">IF((M20*G20+O20*H20)/COUNTIF(G20:H20,TRUE)*(P20&gt;=30)=0,NA(),(M20*G20+O20*H20)/COUNTIF(G20:H20,TRUE)*(P20&gt;=30))</f>
        <v>#N/A</v>
      </c>
      <c r="L20" s="22">
        <f ca="1">RTD("xqrtd.rtdserverxqlite",,"TXON"&amp;TEXT($D$2,"00")&amp;$L$2 &amp;TEXT(R20,"0")&amp;".TF-Bid")</f>
        <v>192</v>
      </c>
      <c r="M20" s="23">
        <f t="shared" ca="1" si="9"/>
        <v>0.13934593843221665</v>
      </c>
      <c r="N20" s="22">
        <f ca="1">RTD("xqrtd.rtdserverxqlite",,"TXON"&amp;TEXT($D$2,"00")&amp;$L$2 &amp;TEXT(R20,"0")&amp;".TF-Ask")</f>
        <v>196</v>
      </c>
      <c r="O20" s="21">
        <f t="shared" ca="1" si="0"/>
        <v>0.14117892802357673</v>
      </c>
      <c r="P20" s="16">
        <f ca="1">RTD("xqrtd.rtdserverxqlite",,"TXON"&amp;TEXT($D$2,"00")&amp;$L$2 &amp;TEXT(R20,"0")&amp;".TF-TotalVolume")</f>
        <v>3</v>
      </c>
      <c r="Q20" s="3">
        <f ca="1">RTD("xqrtd.rtdserverxqlite",,"TXON"&amp;TEXT($D$2,"00")&amp;$L$2 &amp;TEXT(R20,"0")&amp;".TF-Price")</f>
        <v>205</v>
      </c>
      <c r="R20" s="15">
        <f t="shared" si="18"/>
        <v>14400</v>
      </c>
      <c r="S20" s="3" t="str">
        <f ca="1">RTD("xqrtd.rtdserverxqlite",,"TXON"&amp;TEXT($D$2,"00")&amp;$S$2 &amp;TEXT(R20,"0")&amp;".TF-Price")</f>
        <v>--</v>
      </c>
      <c r="T20" s="17">
        <f ca="1">RTD("xqrtd.rtdserverxqlite",,"TXON"&amp;TEXT($D$2,"00")&amp;$S$2 &amp;TEXT(R20,"0")&amp;".TF-TotalVolume")</f>
        <v>0</v>
      </c>
      <c r="U20" s="28">
        <f ca="1">RTD("xqrtd.rtdserverxqlite",,"TXON"&amp;TEXT($D$2,"00")&amp;$S$2 &amp;TEXT(R20,"0")&amp;".TF-Bid")</f>
        <v>510</v>
      </c>
      <c r="V20" s="4">
        <f t="shared" ca="1" si="1"/>
        <v>0.13750925353765486</v>
      </c>
      <c r="W20" s="11">
        <f ca="1">RTD("xqrtd.rtdserverxqlite",,"TXON"&amp;TEXT($D$2,"00")&amp;$S$2 &amp;TEXT(R20,"0")&amp;".TF-Ask")</f>
        <v>525</v>
      </c>
      <c r="X20" s="4">
        <f t="shared" ca="1" si="2"/>
        <v>0.14437822617292406</v>
      </c>
      <c r="Z20" s="18">
        <f t="shared" ca="1" si="3"/>
        <v>253086.47855437343</v>
      </c>
      <c r="AA20" s="19">
        <f t="shared" ca="1" si="15"/>
        <v>45250.45329974933</v>
      </c>
      <c r="AB20" s="20">
        <f t="shared" ca="1" si="4"/>
        <v>-178.84386164824662</v>
      </c>
      <c r="AC20" s="18">
        <f t="shared" ca="1" si="5"/>
        <v>-450281.56178955524</v>
      </c>
      <c r="AD20" s="19">
        <f t="shared" ca="1" si="12"/>
        <v>45064.364226676684</v>
      </c>
      <c r="AE20" s="20">
        <f t="shared" ca="1" si="6"/>
        <v>-179.84485020350007</v>
      </c>
    </row>
    <row r="21" spans="7:31" x14ac:dyDescent="0.25">
      <c r="G21" t="b">
        <f t="shared" ca="1" si="16"/>
        <v>1</v>
      </c>
      <c r="H21" t="b">
        <f t="shared" ca="1" si="17"/>
        <v>1</v>
      </c>
      <c r="K21" s="39" t="e">
        <f ca="1">IF((M21*G21+O21*H21)/COUNTIF(G21:H21,TRUE)*(P21&gt;=30)=0,NA(),(M21*G21+O21*H21)/COUNTIF(G21:H21,TRUE)*(P21&gt;=30))</f>
        <v>#N/A</v>
      </c>
      <c r="L21" s="22">
        <f ca="1">RTD("xqrtd.rtdserverxqlite",,"TXON"&amp;TEXT($D$2,"00")&amp;$L$2 &amp;TEXT(R21,"0")&amp;".TF-Bid")</f>
        <v>157</v>
      </c>
      <c r="M21" s="23">
        <f t="shared" ca="1" si="9"/>
        <v>0.13766892639696598</v>
      </c>
      <c r="N21" s="22">
        <f ca="1">RTD("xqrtd.rtdserverxqlite",,"TXON"&amp;TEXT($D$2,"00")&amp;$L$2 &amp;TEXT(R21,"0")&amp;".TF-Ask")</f>
        <v>162</v>
      </c>
      <c r="O21" s="21">
        <f t="shared" ca="1" si="0"/>
        <v>0.14008362823426729</v>
      </c>
      <c r="P21" s="16">
        <f ca="1">RTD("xqrtd.rtdserverxqlite",,"TXON"&amp;TEXT($D$2,"00")&amp;$L$2 &amp;TEXT(R21,"0")&amp;".TF-TotalVolume")</f>
        <v>3</v>
      </c>
      <c r="Q21" s="3">
        <f ca="1">RTD("xqrtd.rtdserverxqlite",,"TXON"&amp;TEXT($D$2,"00")&amp;$L$2 &amp;TEXT(R21,"0")&amp;".TF-Price")</f>
        <v>171</v>
      </c>
      <c r="R21" s="15">
        <f t="shared" si="18"/>
        <v>14500</v>
      </c>
      <c r="S21" s="3" t="str">
        <f ca="1">RTD("xqrtd.rtdserverxqlite",,"TXON"&amp;TEXT($D$2,"00")&amp;$S$2 &amp;TEXT(R21,"0")&amp;".TF-Price")</f>
        <v>--</v>
      </c>
      <c r="T21" s="17">
        <f ca="1">RTD("xqrtd.rtdserverxqlite",,"TXON"&amp;TEXT($D$2,"00")&amp;$S$2 &amp;TEXT(R21,"0")&amp;".TF-TotalVolume")</f>
        <v>0</v>
      </c>
      <c r="U21" s="28">
        <f ca="1">RTD("xqrtd.rtdserverxqlite",,"TXON"&amp;TEXT($D$2,"00")&amp;$S$2 &amp;TEXT(R21,"0")&amp;".TF-Bid")</f>
        <v>575</v>
      </c>
      <c r="V21" s="4">
        <f t="shared" ca="1" si="1"/>
        <v>0.13572907102108001</v>
      </c>
      <c r="W21" s="11">
        <f ca="1">RTD("xqrtd.rtdserverxqlite",,"TXON"&amp;TEXT($D$2,"00")&amp;$S$2 &amp;TEXT(R21,"0")&amp;".TF-Ask")</f>
        <v>590</v>
      </c>
      <c r="X21" s="4">
        <f t="shared" ca="1" si="2"/>
        <v>0.14296721636652948</v>
      </c>
      <c r="Z21" s="18">
        <f t="shared" ca="1" si="3"/>
        <v>221167.23741620025</v>
      </c>
      <c r="AA21" s="19">
        <f t="shared" ca="1" si="15"/>
        <v>43367.042959293038</v>
      </c>
      <c r="AB21" s="20">
        <f t="shared" ca="1" si="4"/>
        <v>-167.9127514745943</v>
      </c>
      <c r="AC21" s="18">
        <f t="shared" ca="1" si="5"/>
        <v>-482274.40941762953</v>
      </c>
      <c r="AD21" s="19">
        <f t="shared" ca="1" si="12"/>
        <v>43258.507661673364</v>
      </c>
      <c r="AE21" s="20">
        <f t="shared" ca="1" si="6"/>
        <v>-168.63422499656053</v>
      </c>
    </row>
    <row r="22" spans="7:31" x14ac:dyDescent="0.25">
      <c r="G22" t="b">
        <f t="shared" ca="1" si="16"/>
        <v>1</v>
      </c>
      <c r="H22" t="b">
        <f t="shared" ca="1" si="17"/>
        <v>1</v>
      </c>
      <c r="K22" s="39" t="e">
        <f ca="1">IF((M22*G22+O22*H22)/COUNTIF(G22:H22,TRUE)*(P22&gt;=30)=0,NA(),(M22*G22+O22*H22)/COUNTIF(G22:H22,TRUE)*(P22&gt;=30))</f>
        <v>#N/A</v>
      </c>
      <c r="L22" s="22">
        <f ca="1">RTD("xqrtd.rtdserverxqlite",,"TXON"&amp;TEXT($D$2,"00")&amp;$L$2 &amp;TEXT(R22,"0")&amp;".TF-Bid")</f>
        <v>124</v>
      </c>
      <c r="M22" s="23">
        <f t="shared" ca="1" si="9"/>
        <v>0.13465945954918862</v>
      </c>
      <c r="N22" s="22">
        <f ca="1">RTD("xqrtd.rtdserverxqlite",,"TXON"&amp;TEXT($D$2,"00")&amp;$L$2 &amp;TEXT(R22,"0")&amp;".TF-Ask")</f>
        <v>135</v>
      </c>
      <c r="O22" s="21">
        <f ca="1">GBSNewtonImpVolCall(N22,$C$2,R22,$E$2,$F$2,0)</f>
        <v>0.14034992847144606</v>
      </c>
      <c r="P22" s="16">
        <f ca="1">RTD("xqrtd.rtdserverxqlite",,"TXON"&amp;TEXT($D$2,"00")&amp;$L$2 &amp;TEXT(R22,"0")&amp;".TF-TotalVolume")</f>
        <v>0</v>
      </c>
      <c r="Q22" s="3" t="str">
        <f ca="1">RTD("xqrtd.rtdserverxqlite",,"TXON"&amp;TEXT($D$2,"00")&amp;$L$2 &amp;TEXT(R22,"0")&amp;".TF-Price")</f>
        <v>--</v>
      </c>
      <c r="R22" s="15">
        <f t="shared" si="18"/>
        <v>14600</v>
      </c>
      <c r="S22" s="3" t="str">
        <f ca="1">RTD("xqrtd.rtdserverxqlite",,"TXON"&amp;TEXT($D$2,"00")&amp;$S$2 &amp;TEXT(R22,"0")&amp;".TF-Price")</f>
        <v>--</v>
      </c>
      <c r="T22" s="17">
        <f ca="1">RTD("xqrtd.rtdserverxqlite",,"TXON"&amp;TEXT($D$2,"00")&amp;$S$2 &amp;TEXT(R22,"0")&amp;".TF-TotalVolume")</f>
        <v>0</v>
      </c>
      <c r="U22" s="28">
        <f ca="1">RTD("xqrtd.rtdserverxqlite",,"TXON"&amp;TEXT($D$2,"00")&amp;$S$2 &amp;TEXT(R22,"0")&amp;".TF-Bid")</f>
        <v>645</v>
      </c>
      <c r="V22" s="4">
        <f t="shared" ca="1" si="1"/>
        <v>0.13413722976446152</v>
      </c>
      <c r="W22" s="11">
        <f ca="1">RTD("xqrtd.rtdserverxqlite",,"TXON"&amp;TEXT($D$2,"00")&amp;$S$2 &amp;TEXT(R22,"0")&amp;".TF-Ask")</f>
        <v>660</v>
      </c>
      <c r="X22" s="4">
        <f t="shared" ca="1" si="2"/>
        <v>0.14188592296838759</v>
      </c>
      <c r="Z22" s="18">
        <f t="shared" ca="1" si="3"/>
        <v>190733.49155439195</v>
      </c>
      <c r="AA22" s="19">
        <f t="shared" ca="1" si="15"/>
        <v>40884.54365201063</v>
      </c>
      <c r="AB22" s="20">
        <f t="shared" ca="1" si="4"/>
        <v>-155.08472073414623</v>
      </c>
      <c r="AC22" s="18">
        <f t="shared" ca="1" si="5"/>
        <v>-512594.82973140769</v>
      </c>
      <c r="AD22" s="19">
        <f t="shared" ca="1" si="12"/>
        <v>40795.176027758396</v>
      </c>
      <c r="AE22" s="20">
        <f t="shared" ca="1" si="6"/>
        <v>-155.89070784296837</v>
      </c>
    </row>
    <row r="23" spans="7:31" x14ac:dyDescent="0.25">
      <c r="G23" t="b">
        <f t="shared" ca="1" si="16"/>
        <v>1</v>
      </c>
      <c r="H23" t="b">
        <f t="shared" ca="1" si="17"/>
        <v>1</v>
      </c>
      <c r="K23" s="39" t="e">
        <f t="shared" ref="K23:K31" ca="1" si="19">IF((M23*G23+O23*H23)/COUNTIF(G23:H23,TRUE)*(P23&gt;=30)=0,NA(),(M23*G23+O23*H23)/COUNTIF(G23:H23,TRUE)*(P23&gt;=30))</f>
        <v>#N/A</v>
      </c>
      <c r="L23" s="22">
        <f ca="1">RTD("xqrtd.rtdserverxqlite",,"TXON"&amp;TEXT($D$2,"00")&amp;$L$2 &amp;TEXT(R23,"0")&amp;".TF-Bid")</f>
        <v>102</v>
      </c>
      <c r="M23" s="23">
        <f t="shared" ca="1" si="9"/>
        <v>0.13518836472034454</v>
      </c>
      <c r="N23" s="22">
        <f ca="1">RTD("xqrtd.rtdserverxqlite",,"TXON"&amp;TEXT($D$2,"00")&amp;$L$2 &amp;TEXT(R23,"0")&amp;".TF-Ask")</f>
        <v>110</v>
      </c>
      <c r="O23" s="21">
        <f t="shared" ca="1" si="0"/>
        <v>0.13967231714725498</v>
      </c>
      <c r="P23" s="16">
        <f ca="1">RTD("xqrtd.rtdserverxqlite",,"TXON"&amp;TEXT($D$2,"00")&amp;$L$2 &amp;TEXT(R23,"0")&amp;".TF-TotalVolume")</f>
        <v>21</v>
      </c>
      <c r="Q23" s="3">
        <f ca="1">RTD("xqrtd.rtdserverxqlite",,"TXON"&amp;TEXT($D$2,"00")&amp;$L$2 &amp;TEXT(R23,"0")&amp;".TF-Price")</f>
        <v>96</v>
      </c>
      <c r="R23" s="15">
        <f t="shared" si="18"/>
        <v>14700</v>
      </c>
      <c r="S23" s="3" t="str">
        <f ca="1">RTD("xqrtd.rtdserverxqlite",,"TXON"&amp;TEXT($D$2,"00")&amp;$S$2 &amp;TEXT(R23,"0")&amp;".TF-Price")</f>
        <v>--</v>
      </c>
      <c r="T23" s="17">
        <f ca="1">RTD("xqrtd.rtdserverxqlite",,"TXON"&amp;TEXT($D$2,"00")&amp;$S$2 &amp;TEXT(R23,"0")&amp;".TF-TotalVolume")</f>
        <v>0</v>
      </c>
      <c r="U23" s="28">
        <f ca="1">RTD("xqrtd.rtdserverxqlite",,"TXON"&amp;TEXT($D$2,"00")&amp;$S$2 &amp;TEXT(R23,"0")&amp;".TF-Bid")</f>
        <v>720</v>
      </c>
      <c r="V23" s="4">
        <f t="shared" ca="1" si="1"/>
        <v>0.1329133691847324</v>
      </c>
      <c r="W23" s="11">
        <f ca="1">RTD("xqrtd.rtdserverxqlite",,"TXON"&amp;TEXT($D$2,"00")&amp;$S$2 &amp;TEXT(R23,"0")&amp;".TF-Ask")</f>
        <v>740</v>
      </c>
      <c r="X23" s="4">
        <f ca="1">GBSNewtonImpVolPut(W23,$C$2,R23,$E$2,$F$2,0)</f>
        <v>0.1440778337836266</v>
      </c>
      <c r="Z23" s="18">
        <f t="shared" ca="1" si="3"/>
        <v>163788.38761511177</v>
      </c>
      <c r="AA23" s="19">
        <f t="shared" ca="1" si="15"/>
        <v>37743.485499242197</v>
      </c>
      <c r="AB23" s="20">
        <f t="shared" ca="1" si="4"/>
        <v>-142.91597117929626</v>
      </c>
      <c r="AC23" s="18">
        <f t="shared" ca="1" si="5"/>
        <v>-538805.88617240195</v>
      </c>
      <c r="AD23" s="19">
        <f t="shared" ca="1" si="12"/>
        <v>37618.421041950183</v>
      </c>
      <c r="AE23" s="20">
        <f t="shared" ca="1" si="6"/>
        <v>-144.66440565182666</v>
      </c>
    </row>
    <row r="24" spans="7:31" x14ac:dyDescent="0.25">
      <c r="G24" t="b">
        <f t="shared" ca="1" si="16"/>
        <v>1</v>
      </c>
      <c r="H24" t="b">
        <f t="shared" ca="1" si="17"/>
        <v>1</v>
      </c>
      <c r="K24" s="39" t="e">
        <f t="shared" ca="1" si="19"/>
        <v>#N/A</v>
      </c>
      <c r="L24" s="22">
        <f ca="1">RTD("xqrtd.rtdserverxqlite",,"TXON"&amp;TEXT($D$2,"00")&amp;$L$2 &amp;TEXT(R24,"0")&amp;".TF-Bid")</f>
        <v>80</v>
      </c>
      <c r="M24" s="23">
        <f t="shared" ca="1" si="9"/>
        <v>0.13362942358255386</v>
      </c>
      <c r="N24" s="22">
        <f ca="1">RTD("xqrtd.rtdserverxqlite",,"TXON"&amp;TEXT($D$2,"00")&amp;$L$2 &amp;TEXT(R24,"0")&amp;".TF-Ask")</f>
        <v>88</v>
      </c>
      <c r="O24" s="21">
        <f t="shared" ca="1" si="0"/>
        <v>0.13859042773246766</v>
      </c>
      <c r="P24" s="16">
        <f ca="1">RTD("xqrtd.rtdserverxqlite",,"TXON"&amp;TEXT($D$2,"00")&amp;$L$2 &amp;TEXT(R24,"0")&amp;".TF-TotalVolume")</f>
        <v>5</v>
      </c>
      <c r="Q24" s="3">
        <f ca="1">RTD("xqrtd.rtdserverxqlite",,"TXON"&amp;TEXT($D$2,"00")&amp;$L$2 &amp;TEXT(R24,"0")&amp;".TF-Price")</f>
        <v>88</v>
      </c>
      <c r="R24" s="15">
        <f t="shared" si="18"/>
        <v>14800</v>
      </c>
      <c r="S24" s="3" t="str">
        <f ca="1">RTD("xqrtd.rtdserverxqlite",,"TXON"&amp;TEXT($D$2,"00")&amp;$S$2 &amp;TEXT(R24,"0")&amp;".TF-Price")</f>
        <v>--</v>
      </c>
      <c r="T24" s="17">
        <f ca="1">RTD("xqrtd.rtdserverxqlite",,"TXON"&amp;TEXT($D$2,"00")&amp;$S$2 &amp;TEXT(R24,"0")&amp;".TF-TotalVolume")</f>
        <v>0</v>
      </c>
      <c r="U24" s="28">
        <f ca="1">RTD("xqrtd.rtdserverxqlite",,"TXON"&amp;TEXT($D$2,"00")&amp;$S$2 &amp;TEXT(R24,"0")&amp;".TF-Bid")</f>
        <v>800</v>
      </c>
      <c r="V24" s="4">
        <f t="shared" ca="1" si="1"/>
        <v>0.13236610670089721</v>
      </c>
      <c r="W24" s="11">
        <f ca="1">RTD("xqrtd.rtdserverxqlite",,"TXON"&amp;TEXT($D$2,"00")&amp;$S$2 &amp;TEXT(R24,"0")&amp;".TF-Ask")</f>
        <v>815</v>
      </c>
      <c r="X24" s="4">
        <f t="shared" ca="1" si="2"/>
        <v>0.14162343723773957</v>
      </c>
      <c r="Z24" s="18">
        <f t="shared" ca="1" si="3"/>
        <v>137616.71542771233</v>
      </c>
      <c r="AA24" s="19">
        <f t="shared" ca="1" si="15"/>
        <v>34434.394400585305</v>
      </c>
      <c r="AB24" s="20">
        <f t="shared" ca="1" si="4"/>
        <v>-127.78099182248681</v>
      </c>
      <c r="AC24" s="18">
        <f t="shared" ca="1" si="5"/>
        <v>-565132.14423092036</v>
      </c>
      <c r="AD24" s="19">
        <f t="shared" ca="1" si="12"/>
        <v>34385.148545472868</v>
      </c>
      <c r="AE24" s="20">
        <f t="shared" ca="1" si="6"/>
        <v>-129.2682732472656</v>
      </c>
    </row>
    <row r="25" spans="7:31" x14ac:dyDescent="0.25">
      <c r="G25" t="b">
        <f t="shared" ca="1" si="16"/>
        <v>1</v>
      </c>
      <c r="H25" t="b">
        <f t="shared" ca="1" si="17"/>
        <v>1</v>
      </c>
      <c r="K25" s="39" t="e">
        <f t="shared" ca="1" si="19"/>
        <v>#N/A</v>
      </c>
      <c r="L25" s="11">
        <f ca="1">RTD("xqrtd.rtdserverxqlite",,"TXON"&amp;TEXT($D$2,"00")&amp;$L$2 &amp;TEXT(R25,"0")&amp;".TF-Bid")</f>
        <v>63</v>
      </c>
      <c r="M25" s="4">
        <f t="shared" ca="1" si="9"/>
        <v>0.13299883797168732</v>
      </c>
      <c r="N25" s="11">
        <f ca="1">RTD("xqrtd.rtdserverxqlite",,"TXON"&amp;TEXT($D$2,"00")&amp;$L$2 &amp;TEXT(R25,"0")&amp;".TF-Ask")</f>
        <v>71</v>
      </c>
      <c r="O25" s="27">
        <f t="shared" ca="1" si="0"/>
        <v>0.13854596489071846</v>
      </c>
      <c r="P25" s="16">
        <f ca="1">RTD("xqrtd.rtdserverxqlite",,"TXON"&amp;TEXT($D$2,"00")&amp;$L$2 &amp;TEXT(R25,"0")&amp;".TF-TotalVolume")</f>
        <v>6</v>
      </c>
      <c r="Q25" s="3">
        <f ca="1">RTD("xqrtd.rtdserverxqlite",,"TXON"&amp;TEXT($D$2,"00")&amp;$L$2 &amp;TEXT(R25,"0")&amp;".TF-Price")</f>
        <v>69</v>
      </c>
      <c r="R25" s="15">
        <f t="shared" si="18"/>
        <v>14900</v>
      </c>
      <c r="S25" s="3" t="str">
        <f ca="1">RTD("xqrtd.rtdserverxqlite",,"TXON"&amp;TEXT($D$2,"00")&amp;$S$2 &amp;TEXT(R25,"0")&amp;".TF-Price")</f>
        <v>--</v>
      </c>
      <c r="T25" s="17">
        <f ca="1">RTD("xqrtd.rtdserverxqlite",,"TXON"&amp;TEXT($D$2,"00")&amp;$S$2 &amp;TEXT(R25,"0")&amp;".TF-TotalVolume")</f>
        <v>0</v>
      </c>
      <c r="U25" s="28">
        <f ca="1">RTD("xqrtd.rtdserverxqlite",,"TXON"&amp;TEXT($D$2,"00")&amp;$S$2 &amp;TEXT(R25,"0")&amp;".TF-Bid")</f>
        <v>880</v>
      </c>
      <c r="V25" s="4">
        <f t="shared" ca="1" si="1"/>
        <v>0.12940545361638073</v>
      </c>
      <c r="W25" s="11">
        <f ca="1">RTD("xqrtd.rtdserverxqlite",,"TXON"&amp;TEXT($D$2,"00")&amp;$S$2 &amp;TEXT(R25,"0")&amp;".TF-Ask")</f>
        <v>895</v>
      </c>
      <c r="X25" s="4">
        <f t="shared" ca="1" si="2"/>
        <v>0.13989856506586079</v>
      </c>
      <c r="Z25" s="18">
        <f t="shared" ca="1" si="3"/>
        <v>115175.46369115771</v>
      </c>
      <c r="AA25" s="19">
        <f t="shared" ca="1" si="15"/>
        <v>30863.703312375288</v>
      </c>
      <c r="AB25" s="20">
        <f t="shared" ca="1" si="4"/>
        <v>-113.84524122957274</v>
      </c>
      <c r="AC25" s="18">
        <f t="shared" ca="1" si="5"/>
        <v>-590216.13211299165</v>
      </c>
      <c r="AD25" s="19">
        <f t="shared" ca="1" si="12"/>
        <v>30857.735681667295</v>
      </c>
      <c r="AE25" s="20">
        <f t="shared" ca="1" si="6"/>
        <v>-111.94346471850167</v>
      </c>
    </row>
    <row r="26" spans="7:31" x14ac:dyDescent="0.25">
      <c r="G26" t="b">
        <f t="shared" ca="1" si="16"/>
        <v>1</v>
      </c>
      <c r="H26" t="b">
        <f t="shared" ca="1" si="17"/>
        <v>1</v>
      </c>
      <c r="K26" s="39" t="e">
        <f t="shared" ca="1" si="19"/>
        <v>#N/A</v>
      </c>
      <c r="L26" s="11">
        <f ca="1">RTD("xqrtd.rtdserverxqlite",,"TXON"&amp;TEXT($D$2,"00")&amp;$L$2 &amp;TEXT(R26,"0")&amp;".TF-Bid")</f>
        <v>52</v>
      </c>
      <c r="M26" s="4">
        <f t="shared" ca="1" si="9"/>
        <v>0.1347752059817314</v>
      </c>
      <c r="N26" s="11">
        <f ca="1">RTD("xqrtd.rtdserverxqlite",,"TXON"&amp;TEXT($D$2,"00")&amp;$L$2 &amp;TEXT(R26,"0")&amp;".TF-Ask")</f>
        <v>59</v>
      </c>
      <c r="O26" s="27">
        <f t="shared" ca="1" si="0"/>
        <v>0.14018012332916263</v>
      </c>
      <c r="P26" s="16">
        <f ca="1">RTD("xqrtd.rtdserverxqlite",,"TXON"&amp;TEXT($D$2,"00")&amp;$L$2 &amp;TEXT(R26,"0")&amp;".TF-TotalVolume")</f>
        <v>16</v>
      </c>
      <c r="Q26" s="3">
        <f ca="1">RTD("xqrtd.rtdserverxqlite",,"TXON"&amp;TEXT($D$2,"00")&amp;$L$2 &amp;TEXT(R26,"0")&amp;".TF-Price")</f>
        <v>52</v>
      </c>
      <c r="R26" s="15">
        <f t="shared" si="18"/>
        <v>15000</v>
      </c>
      <c r="S26" s="3" t="str">
        <f ca="1">RTD("xqrtd.rtdserverxqlite",,"TXON"&amp;TEXT($D$2,"00")&amp;$S$2 &amp;TEXT(R26,"0")&amp;".TF-Price")</f>
        <v>--</v>
      </c>
      <c r="T26" s="17">
        <f ca="1">RTD("xqrtd.rtdserverxqlite",,"TXON"&amp;TEXT($D$2,"00")&amp;$S$2 &amp;TEXT(R26,"0")&amp;".TF-TotalVolume")</f>
        <v>0</v>
      </c>
      <c r="U26" s="28">
        <f ca="1">RTD("xqrtd.rtdserverxqlite",,"TXON"&amp;TEXT($D$2,"00")&amp;$S$2 &amp;TEXT(R26,"0")&amp;".TF-Bid")</f>
        <v>965</v>
      </c>
      <c r="V26" s="4">
        <f t="shared" ca="1" si="1"/>
        <v>0.12738185790181161</v>
      </c>
      <c r="W26" s="11">
        <f ca="1">RTD("xqrtd.rtdserverxqlite",,"TXON"&amp;TEXT($D$2,"00")&amp;$S$2 &amp;TEXT(R26,"0")&amp;".TF-Ask")</f>
        <v>985</v>
      </c>
      <c r="X26" s="4">
        <f t="shared" ca="1" si="2"/>
        <v>0.14315925292968751</v>
      </c>
      <c r="Z26" s="18">
        <f t="shared" ca="1" si="3"/>
        <v>97947.21911550028</v>
      </c>
      <c r="AA26" s="19">
        <f t="shared" ca="1" si="15"/>
        <v>27366.12125882653</v>
      </c>
      <c r="AB26" s="20">
        <f t="shared" ca="1" si="4"/>
        <v>-103.38243287520186</v>
      </c>
      <c r="AC26" s="18">
        <f t="shared" ca="1" si="5"/>
        <v>-608827.72219233832</v>
      </c>
      <c r="AD26" s="19">
        <f t="shared" ca="1" si="12"/>
        <v>27252.367000115901</v>
      </c>
      <c r="AE26" s="20">
        <f t="shared" ca="1" si="6"/>
        <v>-99.652596305509178</v>
      </c>
    </row>
    <row r="27" spans="7:31" x14ac:dyDescent="0.25">
      <c r="G27" t="e">
        <f t="shared" ca="1" si="16"/>
        <v>#VALUE!</v>
      </c>
      <c r="H27" t="e">
        <f t="shared" ca="1" si="17"/>
        <v>#VALUE!</v>
      </c>
      <c r="K27" s="39" t="e">
        <f t="shared" ca="1" si="19"/>
        <v>#VALUE!</v>
      </c>
      <c r="L27" s="11" t="str">
        <f ca="1">RTD("xqrtd.rtdserverxqlite",,"TXON"&amp;TEXT($D$2,"00")&amp;$L$2 &amp;TEXT(R27,"0")&amp;".TF-Bid")</f>
        <v>#N/A</v>
      </c>
      <c r="M27" s="4" t="e">
        <f t="shared" ca="1" si="9"/>
        <v>#VALUE!</v>
      </c>
      <c r="N27" s="11" t="str">
        <f ca="1">RTD("xqrtd.rtdserverxqlite",,"TXON"&amp;TEXT($D$2,"00")&amp;$L$2 &amp;TEXT(R27,"0")&amp;".TF-Ask")</f>
        <v>#N/A</v>
      </c>
      <c r="O27" s="27" t="e">
        <f t="shared" ca="1" si="0"/>
        <v>#VALUE!</v>
      </c>
      <c r="P27" s="16" t="str">
        <f ca="1">RTD("xqrtd.rtdserverxqlite",,"TXON"&amp;TEXT($D$2,"00")&amp;$L$2 &amp;TEXT(R27,"0")&amp;".TF-TotalVolume")</f>
        <v>#N/A</v>
      </c>
      <c r="Q27" s="3" t="str">
        <f ca="1">RTD("xqrtd.rtdserverxqlite",,"TXON"&amp;TEXT($D$2,"00")&amp;$L$2 &amp;TEXT(R27,"0")&amp;".TF-Price")</f>
        <v>#N/A</v>
      </c>
      <c r="R27" s="15">
        <f t="shared" si="18"/>
        <v>15100</v>
      </c>
      <c r="S27" s="3" t="str">
        <f ca="1">RTD("xqrtd.rtdserverxqlite",,"TXON"&amp;TEXT($D$2,"00")&amp;$S$2 &amp;TEXT(R27,"0")&amp;".TF-Price")</f>
        <v>#N/A</v>
      </c>
      <c r="T27" s="17" t="str">
        <f ca="1">RTD("xqrtd.rtdserverxqlite",,"TXON"&amp;TEXT($D$2,"00")&amp;$S$2 &amp;TEXT(R27,"0")&amp;".TF-TotalVolume")</f>
        <v>#N/A</v>
      </c>
      <c r="U27" s="28" t="str">
        <f ca="1">RTD("xqrtd.rtdserverxqlite",,"TXON"&amp;TEXT($D$2,"00")&amp;$S$2 &amp;TEXT(R27,"0")&amp;".TF-Bid")</f>
        <v>#N/A</v>
      </c>
      <c r="V27" s="4" t="e">
        <f t="shared" ca="1" si="1"/>
        <v>#VALUE!</v>
      </c>
      <c r="W27" s="11" t="str">
        <f ca="1">RTD("xqrtd.rtdserverxqlite",,"TXON"&amp;TEXT($D$2,"00")&amp;$S$2 &amp;TEXT(R27,"0")&amp;".TF-Ask")</f>
        <v>#N/A</v>
      </c>
      <c r="X27" s="4" t="e">
        <f t="shared" ca="1" si="2"/>
        <v>#VALUE!</v>
      </c>
      <c r="Z27" s="18" t="e">
        <f t="shared" ca="1" si="3"/>
        <v>#VALUE!</v>
      </c>
      <c r="AA27" s="19" t="e">
        <f t="shared" ca="1" si="15"/>
        <v>#VALUE!</v>
      </c>
      <c r="AB27" s="20" t="e">
        <f t="shared" ca="1" si="4"/>
        <v>#VALUE!</v>
      </c>
      <c r="AC27" s="18" t="e">
        <f t="shared" ca="1" si="5"/>
        <v>#VALUE!</v>
      </c>
      <c r="AD27" s="19" t="e">
        <f t="shared" ca="1" si="12"/>
        <v>#VALUE!</v>
      </c>
      <c r="AE27" s="20" t="e">
        <f t="shared" ca="1" si="6"/>
        <v>#VALUE!</v>
      </c>
    </row>
    <row r="28" spans="7:31" x14ac:dyDescent="0.25">
      <c r="G28" t="b">
        <f t="shared" ca="1" si="16"/>
        <v>1</v>
      </c>
      <c r="H28" t="b">
        <f t="shared" ca="1" si="17"/>
        <v>1</v>
      </c>
      <c r="K28" s="39" t="e">
        <f t="shared" ca="1" si="19"/>
        <v>#N/A</v>
      </c>
      <c r="L28" s="11">
        <f ca="1">RTD("xqrtd.rtdserverxqlite",,"TXON"&amp;TEXT($D$2,"00")&amp;$L$2 &amp;TEXT(R28,"0")&amp;".TF-Bid")</f>
        <v>33.5</v>
      </c>
      <c r="M28" s="4">
        <f t="shared" ca="1" si="9"/>
        <v>0.13647885996103287</v>
      </c>
      <c r="N28" s="11">
        <f ca="1">RTD("xqrtd.rtdserverxqlite",,"TXON"&amp;TEXT($D$2,"00")&amp;$L$2 &amp;TEXT(R28,"0")&amp;".TF-Ask")</f>
        <v>36</v>
      </c>
      <c r="O28" s="27">
        <f t="shared" ca="1" si="0"/>
        <v>0.13902027493715288</v>
      </c>
      <c r="P28" s="16">
        <f ca="1">RTD("xqrtd.rtdserverxqlite",,"TXON"&amp;TEXT($D$2,"00")&amp;$L$2 &amp;TEXT(R28,"0")&amp;".TF-TotalVolume")</f>
        <v>2</v>
      </c>
      <c r="Q28" s="3">
        <f ca="1">RTD("xqrtd.rtdserverxqlite",,"TXON"&amp;TEXT($D$2,"00")&amp;$L$2 &amp;TEXT(R28,"0")&amp;".TF-Price")</f>
        <v>34</v>
      </c>
      <c r="R28" s="15">
        <f t="shared" si="18"/>
        <v>15200</v>
      </c>
      <c r="S28" s="3" t="str">
        <f ca="1">RTD("xqrtd.rtdserverxqlite",,"TXON"&amp;TEXT($D$2,"00")&amp;$S$2 &amp;TEXT(R28,"0")&amp;".TF-Price")</f>
        <v>--</v>
      </c>
      <c r="T28" s="17">
        <f ca="1">RTD("xqrtd.rtdserverxqlite",,"TXON"&amp;TEXT($D$2,"00")&amp;$S$2 &amp;TEXT(R28,"0")&amp;".TF-TotalVolume")</f>
        <v>0</v>
      </c>
      <c r="U28" s="28">
        <f ca="1">RTD("xqrtd.rtdserverxqlite",,"TXON"&amp;TEXT($D$2,"00")&amp;$S$2 &amp;TEXT(R28,"0")&amp;".TF-Bid")</f>
        <v>1070</v>
      </c>
      <c r="V28" s="4">
        <f t="shared" ca="1" si="1"/>
        <v>1.0000000000000002E-4</v>
      </c>
      <c r="W28" s="11">
        <f ca="1">RTD("xqrtd.rtdserverxqlite",,"TXON"&amp;TEXT($D$2,"00")&amp;$S$2 &amp;TEXT(R28,"0")&amp;".TF-Ask")</f>
        <v>1240</v>
      </c>
      <c r="X28" s="4">
        <f t="shared" ca="1" si="2"/>
        <v>0.200960708796978</v>
      </c>
      <c r="Z28" s="18">
        <f t="shared" ca="1" si="3"/>
        <v>66492.603993582292</v>
      </c>
      <c r="AA28" s="19">
        <f t="shared" ca="1" si="15"/>
        <v>20740.024405217486</v>
      </c>
      <c r="AB28" s="20">
        <f t="shared" ca="1" si="4"/>
        <v>-78.412675479427918</v>
      </c>
      <c r="AC28" s="18">
        <f t="shared" ca="1" si="5"/>
        <v>-679609.50312897598</v>
      </c>
      <c r="AD28" s="19">
        <f t="shared" ca="1" si="12"/>
        <v>12893.450951803152</v>
      </c>
      <c r="AE28" s="20">
        <f t="shared" ca="1" si="6"/>
        <v>-25.68390670177223</v>
      </c>
    </row>
    <row r="29" spans="7:31" x14ac:dyDescent="0.25">
      <c r="G29" t="e">
        <f t="shared" ca="1" si="16"/>
        <v>#VALUE!</v>
      </c>
      <c r="H29" t="e">
        <f t="shared" ca="1" si="17"/>
        <v>#VALUE!</v>
      </c>
      <c r="K29" s="39" t="e">
        <f t="shared" ca="1" si="19"/>
        <v>#VALUE!</v>
      </c>
      <c r="L29" s="11" t="str">
        <f ca="1">RTD("xqrtd.rtdserverxqlite",,"TXON"&amp;TEXT($D$2,"00")&amp;$L$2 &amp;TEXT(R29,"0")&amp;".TF-Bid")</f>
        <v>#N/A</v>
      </c>
      <c r="M29" s="4" t="e">
        <f t="shared" ca="1" si="9"/>
        <v>#VALUE!</v>
      </c>
      <c r="N29" s="11" t="str">
        <f ca="1">RTD("xqrtd.rtdserverxqlite",,"TXON"&amp;TEXT($D$2,"00")&amp;$L$2 &amp;TEXT(R29,"0")&amp;".TF-Ask")</f>
        <v>#N/A</v>
      </c>
      <c r="O29" s="27" t="e">
        <f t="shared" ca="1" si="0"/>
        <v>#VALUE!</v>
      </c>
      <c r="P29" s="16" t="str">
        <f ca="1">RTD("xqrtd.rtdserverxqlite",,"TXON"&amp;TEXT($D$2,"00")&amp;$L$2 &amp;TEXT(R29,"0")&amp;".TF-TotalVolume")</f>
        <v>#N/A</v>
      </c>
      <c r="Q29" s="3" t="str">
        <f ca="1">RTD("xqrtd.rtdserverxqlite",,"TXON"&amp;TEXT($D$2,"00")&amp;$L$2 &amp;TEXT(R29,"0")&amp;".TF-Price")</f>
        <v>#N/A</v>
      </c>
      <c r="R29" s="15">
        <f t="shared" si="18"/>
        <v>15300</v>
      </c>
      <c r="S29" s="3" t="str">
        <f ca="1">RTD("xqrtd.rtdserverxqlite",,"TXON"&amp;TEXT($D$2,"00")&amp;$S$2 &amp;TEXT(R29,"0")&amp;".TF-Price")</f>
        <v>#N/A</v>
      </c>
      <c r="T29" s="17" t="str">
        <f ca="1">RTD("xqrtd.rtdserverxqlite",,"TXON"&amp;TEXT($D$2,"00")&amp;$S$2 &amp;TEXT(R29,"0")&amp;".TF-TotalVolume")</f>
        <v>#N/A</v>
      </c>
      <c r="U29" s="28" t="str">
        <f ca="1">RTD("xqrtd.rtdserverxqlite",,"TXON"&amp;TEXT($D$2,"00")&amp;$S$2 &amp;TEXT(R29,"0")&amp;".TF-Bid")</f>
        <v>#N/A</v>
      </c>
      <c r="V29" s="4" t="e">
        <f t="shared" ca="1" si="1"/>
        <v>#VALUE!</v>
      </c>
      <c r="W29" s="11" t="str">
        <f ca="1">RTD("xqrtd.rtdserverxqlite",,"TXON"&amp;TEXT($D$2,"00")&amp;$S$2 &amp;TEXT(R29,"0")&amp;".TF-Ask")</f>
        <v>#N/A</v>
      </c>
      <c r="X29" s="4" t="e">
        <f t="shared" ca="1" si="2"/>
        <v>#VALUE!</v>
      </c>
      <c r="Z29" s="18" t="e">
        <f t="shared" ca="1" si="3"/>
        <v>#VALUE!</v>
      </c>
      <c r="AA29" s="19" t="e">
        <f t="shared" ca="1" si="15"/>
        <v>#VALUE!</v>
      </c>
      <c r="AB29" s="20" t="e">
        <f t="shared" ca="1" si="4"/>
        <v>#VALUE!</v>
      </c>
      <c r="AC29" s="18" t="e">
        <f t="shared" ca="1" si="5"/>
        <v>#VALUE!</v>
      </c>
      <c r="AD29" s="19" t="e">
        <f t="shared" ca="1" si="12"/>
        <v>#VALUE!</v>
      </c>
      <c r="AE29" s="20" t="e">
        <f t="shared" ca="1" si="6"/>
        <v>#VALUE!</v>
      </c>
    </row>
    <row r="30" spans="7:31" x14ac:dyDescent="0.25">
      <c r="G30" t="b">
        <f t="shared" ca="1" si="16"/>
        <v>1</v>
      </c>
      <c r="H30" t="b">
        <f t="shared" ca="1" si="17"/>
        <v>1</v>
      </c>
      <c r="K30" s="39" t="e">
        <f t="shared" ca="1" si="19"/>
        <v>#N/A</v>
      </c>
      <c r="L30" s="11">
        <f ca="1">RTD("xqrtd.rtdserverxqlite",,"TXON"&amp;TEXT($D$2,"00")&amp;$L$2 &amp;TEXT(R30,"0")&amp;".TF-Bid")</f>
        <v>20.5</v>
      </c>
      <c r="M30" s="4">
        <f t="shared" ca="1" si="9"/>
        <v>0.13719169586896895</v>
      </c>
      <c r="N30" s="11">
        <f ca="1">RTD("xqrtd.rtdserverxqlite",,"TXON"&amp;TEXT($D$2,"00")&amp;$L$2 &amp;TEXT(R30,"0")&amp;".TF-Ask")</f>
        <v>24.5</v>
      </c>
      <c r="O30" s="27">
        <f t="shared" ca="1" si="0"/>
        <v>0.14262236113548279</v>
      </c>
      <c r="P30" s="16">
        <f ca="1">RTD("xqrtd.rtdserverxqlite",,"TXON"&amp;TEXT($D$2,"00")&amp;$L$2 &amp;TEXT(R30,"0")&amp;".TF-TotalVolume")</f>
        <v>1</v>
      </c>
      <c r="Q30" s="3">
        <f ca="1">RTD("xqrtd.rtdserverxqlite",,"TXON"&amp;TEXT($D$2,"00")&amp;$L$2 &amp;TEXT(R30,"0")&amp;".TF-Price")</f>
        <v>20</v>
      </c>
      <c r="R30" s="15">
        <f t="shared" si="18"/>
        <v>15400</v>
      </c>
      <c r="S30" s="3" t="str">
        <f ca="1">RTD("xqrtd.rtdserverxqlite",,"TXON"&amp;TEXT($D$2,"00")&amp;$S$2 &amp;TEXT(R30,"0")&amp;".TF-Price")</f>
        <v>--</v>
      </c>
      <c r="T30" s="17">
        <f ca="1">RTD("xqrtd.rtdserverxqlite",,"TXON"&amp;TEXT($D$2,"00")&amp;$S$2 &amp;TEXT(R30,"0")&amp;".TF-TotalVolume")</f>
        <v>0</v>
      </c>
      <c r="U30" s="28">
        <f ca="1">RTD("xqrtd.rtdserverxqlite",,"TXON"&amp;TEXT($D$2,"00")&amp;$S$2 &amp;TEXT(R30,"0")&amp;".TF-Bid")</f>
        <v>1240</v>
      </c>
      <c r="V30" s="4">
        <f t="shared" ca="1" si="1"/>
        <v>1.0000000000000002E-4</v>
      </c>
      <c r="W30" s="11">
        <f ca="1">RTD("xqrtd.rtdserverxqlite",,"TXON"&amp;TEXT($D$2,"00")&amp;$S$2 &amp;TEXT(R30,"0")&amp;".TF-Ask")</f>
        <v>1440</v>
      </c>
      <c r="X30" s="4">
        <f t="shared" ca="1" si="2"/>
        <v>0.22170912105441093</v>
      </c>
      <c r="Z30" s="18">
        <f t="shared" ca="1" si="3"/>
        <v>45416.698726499482</v>
      </c>
      <c r="AA30" s="19">
        <f t="shared" ca="1" si="15"/>
        <v>15294.648817267531</v>
      </c>
      <c r="AB30" s="20">
        <f t="shared" ca="1" si="4"/>
        <v>-59.425212194576993</v>
      </c>
      <c r="AC30" s="18">
        <f t="shared" ca="1" si="5"/>
        <v>-684957.14883831656</v>
      </c>
      <c r="AD30" s="19">
        <f t="shared" ca="1" si="12"/>
        <v>9510.7189121929114</v>
      </c>
      <c r="AE30" s="20">
        <f t="shared" ca="1" si="6"/>
        <v>-22.984035340425635</v>
      </c>
    </row>
    <row r="31" spans="7:31" x14ac:dyDescent="0.25">
      <c r="G31" t="e">
        <f t="shared" ca="1" si="16"/>
        <v>#VALUE!</v>
      </c>
      <c r="H31" t="e">
        <f t="shared" ca="1" si="17"/>
        <v>#VALUE!</v>
      </c>
      <c r="K31" s="39" t="e">
        <f t="shared" ca="1" si="19"/>
        <v>#VALUE!</v>
      </c>
      <c r="L31" s="11" t="str">
        <f ca="1">RTD("xqrtd.rtdserverxqlite",,"TXON"&amp;TEXT($D$2,"00")&amp;$L$2 &amp;TEXT(R31,"0")&amp;".TF-Bid")</f>
        <v>#N/A</v>
      </c>
      <c r="M31" s="4" t="e">
        <f t="shared" ca="1" si="9"/>
        <v>#VALUE!</v>
      </c>
      <c r="N31" s="11" t="str">
        <f ca="1">RTD("xqrtd.rtdserverxqlite",,"TXON"&amp;TEXT($D$2,"00")&amp;$L$2 &amp;TEXT(R31,"0")&amp;".TF-Ask")</f>
        <v>#N/A</v>
      </c>
      <c r="O31" s="27" t="e">
        <f t="shared" ca="1" si="0"/>
        <v>#VALUE!</v>
      </c>
      <c r="P31" s="16" t="str">
        <f ca="1">RTD("xqrtd.rtdserverxqlite",,"TXON"&amp;TEXT($D$2,"00")&amp;$L$2 &amp;TEXT(R31,"0")&amp;".TF-TotalVolume")</f>
        <v>#N/A</v>
      </c>
      <c r="Q31" s="3" t="str">
        <f ca="1">RTD("xqrtd.rtdserverxqlite",,"TXON"&amp;TEXT($D$2,"00")&amp;$L$2 &amp;TEXT(R31,"0")&amp;".TF-Price")</f>
        <v>#N/A</v>
      </c>
      <c r="R31" s="15">
        <f t="shared" si="18"/>
        <v>15500</v>
      </c>
      <c r="S31" s="3" t="str">
        <f ca="1">RTD("xqrtd.rtdserverxqlite",,"TXON"&amp;TEXT($D$2,"00")&amp;$S$2 &amp;TEXT(R31,"0")&amp;".TF-Price")</f>
        <v>#N/A</v>
      </c>
      <c r="T31" s="17" t="str">
        <f ca="1">RTD("xqrtd.rtdserverxqlite",,"TXON"&amp;TEXT($D$2,"00")&amp;$S$2 &amp;TEXT(R31,"0")&amp;".TF-TotalVolume")</f>
        <v>#N/A</v>
      </c>
      <c r="U31" s="28" t="str">
        <f ca="1">RTD("xqrtd.rtdserverxqlite",,"TXON"&amp;TEXT($D$2,"00")&amp;$S$2 &amp;TEXT(R31,"0")&amp;".TF-Bid")</f>
        <v>#N/A</v>
      </c>
      <c r="V31" s="4" t="e">
        <f t="shared" ca="1" si="1"/>
        <v>#VALUE!</v>
      </c>
      <c r="W31" s="11" t="str">
        <f ca="1">RTD("xqrtd.rtdserverxqlite",,"TXON"&amp;TEXT($D$2,"00")&amp;$S$2 &amp;TEXT(R31,"0")&amp;".TF-Ask")</f>
        <v>#N/A</v>
      </c>
      <c r="X31" s="4" t="e">
        <f t="shared" ca="1" si="2"/>
        <v>#VALUE!</v>
      </c>
      <c r="Z31" s="18" t="e">
        <f t="shared" ca="1" si="3"/>
        <v>#VALUE!</v>
      </c>
      <c r="AA31" s="19" t="e">
        <f t="shared" ca="1" si="15"/>
        <v>#VALUE!</v>
      </c>
      <c r="AB31" s="20" t="e">
        <f t="shared" ca="1" si="4"/>
        <v>#VALUE!</v>
      </c>
      <c r="AC31" s="18" t="e">
        <f t="shared" ca="1" si="5"/>
        <v>#VALUE!</v>
      </c>
      <c r="AD31" s="19" t="e">
        <f t="shared" ca="1" si="12"/>
        <v>#VALUE!</v>
      </c>
      <c r="AE31" s="20" t="e">
        <f t="shared" ca="1" si="6"/>
        <v>#VALUE!</v>
      </c>
    </row>
    <row r="32" spans="7:31" x14ac:dyDescent="0.25">
      <c r="O32" s="21"/>
    </row>
    <row r="33" spans="8:15" x14ac:dyDescent="0.25">
      <c r="M33" s="40"/>
      <c r="O33" s="21"/>
    </row>
    <row r="34" spans="8:15" x14ac:dyDescent="0.25">
      <c r="H34" s="39"/>
      <c r="J34" s="39"/>
    </row>
    <row r="35" spans="8:15" x14ac:dyDescent="0.25">
      <c r="H35" s="39"/>
      <c r="J35" s="39"/>
    </row>
  </sheetData>
  <mergeCells count="8">
    <mergeCell ref="L2:Q2"/>
    <mergeCell ref="S2:X2"/>
    <mergeCell ref="Z2:AB2"/>
    <mergeCell ref="AC2:AE2"/>
    <mergeCell ref="L3:M3"/>
    <mergeCell ref="N3:O3"/>
    <mergeCell ref="U3:V3"/>
    <mergeCell ref="W3:X3"/>
  </mergeCells>
  <phoneticPr fontId="2" type="noConversion"/>
  <conditionalFormatting sqref="P4:Q31">
    <cfRule type="expression" dxfId="5" priority="2">
      <formula>$P4&gt;10</formula>
    </cfRule>
  </conditionalFormatting>
  <conditionalFormatting sqref="S4:T31">
    <cfRule type="expression" dxfId="4" priority="1">
      <formula>$T4&gt;=10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>
    <tabColor rgb="FF92D050"/>
  </sheetPr>
  <dimension ref="A1:AE35"/>
  <sheetViews>
    <sheetView workbookViewId="0">
      <selection activeCell="D16" sqref="D16"/>
    </sheetView>
  </sheetViews>
  <sheetFormatPr defaultRowHeight="16.5" x14ac:dyDescent="0.25"/>
  <cols>
    <col min="1" max="1" width="13.875" bestFit="1" customWidth="1"/>
    <col min="2" max="3" width="6.5" bestFit="1" customWidth="1"/>
    <col min="4" max="4" width="5.5" bestFit="1" customWidth="1"/>
    <col min="5" max="5" width="6.5" customWidth="1"/>
    <col min="6" max="6" width="2.75" bestFit="1" customWidth="1"/>
    <col min="7" max="7" width="9.625" hidden="1" customWidth="1"/>
    <col min="8" max="8" width="9" hidden="1" customWidth="1"/>
    <col min="9" max="10" width="9.625" hidden="1" customWidth="1"/>
    <col min="11" max="11" width="11" bestFit="1" customWidth="1"/>
    <col min="12" max="12" width="7.875" bestFit="1" customWidth="1"/>
    <col min="13" max="13" width="9" bestFit="1" customWidth="1"/>
    <col min="14" max="14" width="7.625" bestFit="1" customWidth="1"/>
    <col min="15" max="15" width="9.5" bestFit="1" customWidth="1"/>
    <col min="16" max="16" width="7.75" bestFit="1" customWidth="1"/>
    <col min="17" max="17" width="5.5" bestFit="1" customWidth="1"/>
    <col min="18" max="18" width="13.875" bestFit="1" customWidth="1"/>
    <col min="19" max="19" width="5.5" bestFit="1" customWidth="1"/>
    <col min="20" max="20" width="7.75" bestFit="1" customWidth="1"/>
    <col min="21" max="21" width="7.625" bestFit="1" customWidth="1"/>
    <col min="22" max="22" width="9.5" bestFit="1" customWidth="1"/>
    <col min="23" max="23" width="7.625" bestFit="1" customWidth="1"/>
    <col min="24" max="24" width="9.5" bestFit="1" customWidth="1"/>
    <col min="26" max="26" width="9.625" bestFit="1" customWidth="1"/>
    <col min="27" max="28" width="9.5" bestFit="1" customWidth="1"/>
    <col min="29" max="29" width="10.25" bestFit="1" customWidth="1"/>
  </cols>
  <sheetData>
    <row r="1" spans="1:31" ht="17.25" thickBot="1" x14ac:dyDescent="0.3">
      <c r="A1" s="6" t="s">
        <v>0</v>
      </c>
      <c r="B1" s="7" t="s">
        <v>2</v>
      </c>
      <c r="C1" s="8" t="s">
        <v>1</v>
      </c>
      <c r="D1" s="1" t="s">
        <v>4</v>
      </c>
      <c r="E1" s="1" t="s">
        <v>5</v>
      </c>
      <c r="F1" s="1" t="s">
        <v>6</v>
      </c>
    </row>
    <row r="2" spans="1:31" ht="17.25" thickBot="1" x14ac:dyDescent="0.3">
      <c r="A2" s="9" t="str">
        <f>RTD("xqrtd.rtdserverxqlite",,"FITXN*1.TF-Name")</f>
        <v>台股指數近月</v>
      </c>
      <c r="B2" s="5">
        <f>RTD("xqrtd.rtdserverxqlite",,"FITXN*3.TF-PreClose")</f>
        <v>13992</v>
      </c>
      <c r="C2" s="10">
        <f>RTD("xqrtd.rtdserverxqlite",,"FITXN*3.TF-Price")</f>
        <v>14007</v>
      </c>
      <c r="D2" s="1">
        <f ca="1">結算日!D10</f>
        <v>3</v>
      </c>
      <c r="E2" s="1">
        <f ca="1">E3/250</f>
        <v>0.252</v>
      </c>
      <c r="F2" s="1">
        <v>0</v>
      </c>
      <c r="L2" s="56" t="s">
        <v>7</v>
      </c>
      <c r="M2" s="57"/>
      <c r="N2" s="57"/>
      <c r="O2" s="57"/>
      <c r="P2" s="57"/>
      <c r="Q2" s="57"/>
      <c r="R2" s="14" t="s">
        <v>88</v>
      </c>
      <c r="S2" s="57" t="s">
        <v>8</v>
      </c>
      <c r="T2" s="57"/>
      <c r="U2" s="57"/>
      <c r="V2" s="57"/>
      <c r="W2" s="57"/>
      <c r="X2" s="58"/>
      <c r="Z2" s="59" t="s">
        <v>7</v>
      </c>
      <c r="AA2" s="60"/>
      <c r="AB2" s="61"/>
      <c r="AC2" s="59" t="s">
        <v>8</v>
      </c>
      <c r="AD2" s="60"/>
      <c r="AE2" s="61"/>
    </row>
    <row r="3" spans="1:31" ht="17.25" thickBot="1" x14ac:dyDescent="0.3">
      <c r="A3" t="s">
        <v>109</v>
      </c>
      <c r="E3">
        <f ca="1">結算日!D11</f>
        <v>63</v>
      </c>
      <c r="L3" s="62" t="s">
        <v>10</v>
      </c>
      <c r="M3" s="63"/>
      <c r="N3" s="64" t="s">
        <v>11</v>
      </c>
      <c r="O3" s="65"/>
      <c r="P3" s="7" t="s">
        <v>3</v>
      </c>
      <c r="Q3" s="7" t="s">
        <v>12</v>
      </c>
      <c r="R3" s="24" t="s">
        <v>13</v>
      </c>
      <c r="S3" s="7" t="s">
        <v>12</v>
      </c>
      <c r="T3" s="7" t="s">
        <v>3</v>
      </c>
      <c r="U3" s="66" t="s">
        <v>10</v>
      </c>
      <c r="V3" s="67"/>
      <c r="W3" s="64" t="s">
        <v>11</v>
      </c>
      <c r="X3" s="65"/>
      <c r="Z3" s="16" t="s">
        <v>15</v>
      </c>
      <c r="AA3" s="3" t="s">
        <v>16</v>
      </c>
      <c r="AB3" s="17" t="s">
        <v>17</v>
      </c>
      <c r="AC3" s="16" t="s">
        <v>15</v>
      </c>
      <c r="AD3" s="3" t="s">
        <v>16</v>
      </c>
      <c r="AE3" s="17" t="s">
        <v>17</v>
      </c>
    </row>
    <row r="4" spans="1:31" x14ac:dyDescent="0.25">
      <c r="I4" t="b">
        <f ca="1">AND(V4&lt;1,V4&gt;0.05)</f>
        <v>1</v>
      </c>
      <c r="J4" t="b">
        <f ca="1">AND(X4&lt;1,X4&gt;0.05)</f>
        <v>1</v>
      </c>
      <c r="K4" s="39" t="e">
        <f t="shared" ref="K4:K14" ca="1" si="0">IF((V4*I4+X4*J4)/COUNTIF(I4:J4,TRUE)*(T4&gt;=5)=0,NA(),(V4*I4+X4*J4)/COUNTIF(I4:J4,TRUE)*(T4&gt;=5))</f>
        <v>#N/A</v>
      </c>
      <c r="L4" s="12">
        <f ca="1">RTD("xqrtd.rtdserverxqlite",,"TXON"&amp;TEXT($D$2,"00")&amp;$L$2 &amp;TEXT(R4,"0")&amp;".TF-Bid")</f>
        <v>2540</v>
      </c>
      <c r="M4" s="13">
        <f ca="1">GBSNewtonImpVolCall(L4,$C$2,R4,$E$2,$F$2,0)</f>
        <v>1.0000000000000002E-4</v>
      </c>
      <c r="N4" s="12">
        <f ca="1">RTD("xqrtd.rtdserverxqlite",,"TXON"&amp;TEXT($D$2,"00")&amp;$L$2 &amp;TEXT(R4,"0")&amp;".TF-Ask")</f>
        <v>2740</v>
      </c>
      <c r="O4" s="25">
        <f t="shared" ref="O4:O31" ca="1" si="1">GBSNewtonImpVolCall(N4,$C$2,R4,$E$2,$F$2,0)</f>
        <v>0.35114319506287583</v>
      </c>
      <c r="P4" s="6">
        <f ca="1">RTD("xqrtd.rtdserverxqlite",,"TXON"&amp;TEXT($D$2,"00")&amp;$L$2 &amp;TEXT(R4,"0")&amp;".TF-TotalVolume")</f>
        <v>0</v>
      </c>
      <c r="Q4" s="7" t="str">
        <f ca="1">RTD("xqrtd.rtdserverxqlite",,"TXON"&amp;TEXT($D$2,"00")&amp;$L$2 &amp;TEXT(R4,"0")&amp;".TF-Price")</f>
        <v>--</v>
      </c>
      <c r="R4" s="15">
        <f t="shared" ref="R4:R15" si="2">R5-200</f>
        <v>11400</v>
      </c>
      <c r="S4" s="7">
        <f ca="1">RTD("xqrtd.rtdserverxqlite",,"TXON"&amp;TEXT($D$2,"00")&amp;$S$2 &amp;TEXT(R4,"0")&amp;".TF-Price")</f>
        <v>40.5</v>
      </c>
      <c r="T4" s="8">
        <f ca="1">RTD("xqrtd.rtdserverxqlite",,"TXON"&amp;TEXT($D$2,"00")&amp;$S$2 &amp;TEXT(R4,"0")&amp;".TF-TotalVolume")</f>
        <v>2</v>
      </c>
      <c r="U4" s="26">
        <f ca="1">RTD("xqrtd.rtdserverxqlite",,"TXON"&amp;TEXT($D$2,"00")&amp;$S$2 &amp;TEXT(R4,"0")&amp;".TF-Bid")</f>
        <v>34.5</v>
      </c>
      <c r="V4" s="13">
        <f t="shared" ref="V4:V31" ca="1" si="3">GBSNewtonImpVolPut(U4,$C$2,R4,$E$2,$F$2,0)</f>
        <v>0.25174537990093238</v>
      </c>
      <c r="W4" s="12">
        <f ca="1">RTD("xqrtd.rtdserverxqlite",,"TXON"&amp;TEXT($D$2,"00")&amp;$S$2 &amp;TEXT(R4,"0")&amp;".TF-Ask")</f>
        <v>42.5</v>
      </c>
      <c r="X4" s="13">
        <f t="shared" ref="X4:X31" ca="1" si="4">GBSNewtonImpVolPut(W4,$C$2,R4,$E$2,$F$2,0)</f>
        <v>0.2630232068657874</v>
      </c>
      <c r="Z4" s="18">
        <f t="shared" ref="Z4:Z31" ca="1" si="5">gDelta($L$2,$C$2,R4,$E$2,$F$2,0,AVERAGE(M4,O4))*$C$2*50</f>
        <v>694281.13577410567</v>
      </c>
      <c r="AA4" s="19">
        <f ca="1">gGamma($C$2,R4,$E$2,$F$2,0,AVERAGE(M4,O4))*$C$2^2*0.01*50</f>
        <v>1865.8084511728291</v>
      </c>
      <c r="AB4" s="20">
        <f ca="1">(-BlackScholes($L$2,$C$2,$R4,$E$2,$F$2,0,AVERAGE(M4,O4))+BlackScholes($L$2,$C$2,$R4,$E$2-1/250,$F$2,0,AVERAGE(M4,O4)))*50</f>
        <v>-11.257702733541919</v>
      </c>
      <c r="AC4" s="18">
        <f t="shared" ref="AC4:AC31" ca="1" si="6">gDelta($S$2,$C$2,R4,$E$2,$F$2,0,AVERAGE(V4,X4))*$C$2*50</f>
        <v>-34041.024562550527</v>
      </c>
      <c r="AD4" s="19">
        <f ca="1">gGamma($C$2,R4,$E$2,$F$2,0,AVERAGE(V4,X4))*$C$2^2*0.01*50</f>
        <v>5465.5811018305003</v>
      </c>
      <c r="AE4" s="20">
        <f t="shared" ref="AE4:AE31" ca="1" si="7">(-BlackScholes($S$2,$C$2,$R4,$E$2,$F$2,0,AVERAGE(X4,V4))+BlackScholes($S$2,$C$2,$R4,$E$2-1/250,$F$2,0,AVERAGE(X4,V4)))*50</f>
        <v>-72.011218915690378</v>
      </c>
    </row>
    <row r="5" spans="1:31" x14ac:dyDescent="0.25">
      <c r="I5" t="b">
        <f t="shared" ref="I5:I19" ca="1" si="8">AND(V5&lt;1,V5&gt;0.05)</f>
        <v>1</v>
      </c>
      <c r="J5" t="b">
        <f t="shared" ref="J5:J19" ca="1" si="9">AND(X5&lt;1,X5&gt;0.05)</f>
        <v>1</v>
      </c>
      <c r="K5" s="39" t="e">
        <f t="shared" ca="1" si="0"/>
        <v>#N/A</v>
      </c>
      <c r="L5" s="11">
        <f ca="1">RTD("xqrtd.rtdserverxqlite",,"TXON"&amp;TEXT($D$2,"00")&amp;$L$2 &amp;TEXT(R5,"0")&amp;".TF-Bid")</f>
        <v>2340</v>
      </c>
      <c r="M5" s="4">
        <f t="shared" ref="M5:M31" ca="1" si="10">GBSNewtonImpVolCall(L5,$C$2,R5,$E$2,$F$2,0)</f>
        <v>1.0000000000000002E-4</v>
      </c>
      <c r="N5" s="11">
        <f ca="1">RTD("xqrtd.rtdserverxqlite",,"TXON"&amp;TEXT($D$2,"00")&amp;$L$2 &amp;TEXT(R5,"0")&amp;".TF-Ask")</f>
        <v>2540</v>
      </c>
      <c r="O5" s="27">
        <f t="shared" ca="1" si="1"/>
        <v>0.32922527894377707</v>
      </c>
      <c r="P5" s="16">
        <f ca="1">RTD("xqrtd.rtdserverxqlite",,"TXON"&amp;TEXT($D$2,"00")&amp;$L$2 &amp;TEXT(R5,"0")&amp;".TF-TotalVolume")</f>
        <v>0</v>
      </c>
      <c r="Q5" s="3" t="str">
        <f ca="1">RTD("xqrtd.rtdserverxqlite",,"TXON"&amp;TEXT($D$2,"00")&amp;$L$2 &amp;TEXT(R5,"0")&amp;".TF-Price")</f>
        <v>--</v>
      </c>
      <c r="R5" s="15">
        <f t="shared" si="2"/>
        <v>11600</v>
      </c>
      <c r="S5" s="3" t="str">
        <f ca="1">RTD("xqrtd.rtdserverxqlite",,"TXON"&amp;TEXT($D$2,"00")&amp;$S$2 &amp;TEXT(R5,"0")&amp;".TF-Price")</f>
        <v>--</v>
      </c>
      <c r="T5" s="17">
        <f ca="1">RTD("xqrtd.rtdserverxqlite",,"TXON"&amp;TEXT($D$2,"00")&amp;$S$2 &amp;TEXT(R5,"0")&amp;".TF-TotalVolume")</f>
        <v>0</v>
      </c>
      <c r="U5" s="28">
        <f ca="1">RTD("xqrtd.rtdserverxqlite",,"TXON"&amp;TEXT($D$2,"00")&amp;$S$2 &amp;TEXT(R5,"0")&amp;".TF-Bid")</f>
        <v>39.5</v>
      </c>
      <c r="V5" s="4">
        <f t="shared" ca="1" si="3"/>
        <v>0.24112722415924076</v>
      </c>
      <c r="W5" s="11">
        <f ca="1">RTD("xqrtd.rtdserverxqlite",,"TXON"&amp;TEXT($D$2,"00")&amp;$S$2 &amp;TEXT(R5,"0")&amp;".TF-Ask")</f>
        <v>47.5</v>
      </c>
      <c r="X5" s="4">
        <f t="shared" ca="1" si="4"/>
        <v>0.25117844886779783</v>
      </c>
      <c r="Z5" s="18">
        <f t="shared" ca="1" si="5"/>
        <v>693264.55774322781</v>
      </c>
      <c r="AA5" s="19">
        <f t="shared" ref="AA5:AA10" ca="1" si="11">gGamma($C$2,R5,$E$2,$F$2,0,AVERAGE(M5,O5))*$C$2^2*0.01*50</f>
        <v>2279.0337069821981</v>
      </c>
      <c r="AB5" s="20">
        <f t="shared" ref="AB5:AB31" ca="1" si="12">(-BlackScholes($L$2,$C$2,$R5,$E$2,$F$2,0,AVERAGE(M5,O5))+BlackScholes($L$2,$C$2,$R5,$E$2-1/250,$F$2,0,AVERAGE(M5,O5)))*50</f>
        <v>-12.106727391960703</v>
      </c>
      <c r="AC5" s="18">
        <f t="shared" ca="1" si="6"/>
        <v>-39343.059458238393</v>
      </c>
      <c r="AD5" s="19">
        <f t="shared" ref="AD5:AD31" ca="1" si="13">gGamma($C$2,R5,$E$2,$F$2,0,AVERAGE(V5,X5))*$C$2^2*0.01*50</f>
        <v>6411.3257719062858</v>
      </c>
      <c r="AE5" s="20">
        <f t="shared" ca="1" si="7"/>
        <v>-77.340111061880279</v>
      </c>
    </row>
    <row r="6" spans="1:31" x14ac:dyDescent="0.25">
      <c r="I6" t="b">
        <f t="shared" ca="1" si="8"/>
        <v>1</v>
      </c>
      <c r="J6" t="b">
        <f t="shared" ca="1" si="9"/>
        <v>1</v>
      </c>
      <c r="K6" s="39" t="e">
        <f t="shared" ca="1" si="0"/>
        <v>#N/A</v>
      </c>
      <c r="L6" s="11">
        <f ca="1">RTD("xqrtd.rtdserverxqlite",,"TXON"&amp;TEXT($D$2,"00")&amp;$L$2 &amp;TEXT(R6,"0")&amp;".TF-Bid")</f>
        <v>2210</v>
      </c>
      <c r="M6" s="4">
        <f t="shared" ca="1" si="10"/>
        <v>0.14570543603897096</v>
      </c>
      <c r="N6" s="11">
        <f ca="1">RTD("xqrtd.rtdserverxqlite",,"TXON"&amp;TEXT($D$2,"00")&amp;$L$2 &amp;TEXT(R6,"0")&amp;".TF-Ask")</f>
        <v>2280</v>
      </c>
      <c r="O6" s="27">
        <f t="shared" ca="1" si="1"/>
        <v>0.25899127346277229</v>
      </c>
      <c r="P6" s="16">
        <f ca="1">RTD("xqrtd.rtdserverxqlite",,"TXON"&amp;TEXT($D$2,"00")&amp;$L$2 &amp;TEXT(R6,"0")&amp;".TF-TotalVolume")</f>
        <v>0</v>
      </c>
      <c r="Q6" s="3" t="str">
        <f ca="1">RTD("xqrtd.rtdserverxqlite",,"TXON"&amp;TEXT($D$2,"00")&amp;$L$2 &amp;TEXT(R6,"0")&amp;".TF-Price")</f>
        <v>--</v>
      </c>
      <c r="R6" s="15">
        <f t="shared" si="2"/>
        <v>11800</v>
      </c>
      <c r="S6" s="3" t="str">
        <f ca="1">RTD("xqrtd.rtdserverxqlite",,"TXON"&amp;TEXT($D$2,"00")&amp;$S$2 &amp;TEXT(R6,"0")&amp;".TF-Price")</f>
        <v>--</v>
      </c>
      <c r="T6" s="17">
        <f ca="1">RTD("xqrtd.rtdserverxqlite",,"TXON"&amp;TEXT($D$2,"00")&amp;$S$2 &amp;TEXT(R6,"0")&amp;".TF-TotalVolume")</f>
        <v>0</v>
      </c>
      <c r="U6" s="28">
        <f ca="1">RTD("xqrtd.rtdserverxqlite",,"TXON"&amp;TEXT($D$2,"00")&amp;$S$2 &amp;TEXT(R6,"0")&amp;".TF-Bid")</f>
        <v>47.5</v>
      </c>
      <c r="V6" s="4">
        <f t="shared" ca="1" si="3"/>
        <v>0.23297133238315587</v>
      </c>
      <c r="W6" s="11">
        <f ca="1">RTD("xqrtd.rtdserverxqlite",,"TXON"&amp;TEXT($D$2,"00")&amp;$S$2 &amp;TEXT(R6,"0")&amp;".TF-Ask")</f>
        <v>55</v>
      </c>
      <c r="X6" s="4">
        <f t="shared" ca="1" si="4"/>
        <v>0.2412016070365906</v>
      </c>
      <c r="Z6" s="18">
        <f t="shared" ca="1" si="5"/>
        <v>671605.16835751466</v>
      </c>
      <c r="AA6" s="19">
        <f t="shared" ca="1" si="11"/>
        <v>6066.6707748216613</v>
      </c>
      <c r="AB6" s="20">
        <f t="shared" ca="1" si="12"/>
        <v>-49.32487176226914</v>
      </c>
      <c r="AC6" s="18">
        <f t="shared" ca="1" si="6"/>
        <v>-46772.944202392246</v>
      </c>
      <c r="AD6" s="19">
        <f t="shared" ca="1" si="13"/>
        <v>7619.9542573214176</v>
      </c>
      <c r="AE6" s="20">
        <f t="shared" ca="1" si="7"/>
        <v>-85.373158113537428</v>
      </c>
    </row>
    <row r="7" spans="1:31" x14ac:dyDescent="0.25">
      <c r="I7" t="b">
        <f t="shared" ca="1" si="8"/>
        <v>1</v>
      </c>
      <c r="J7" t="b">
        <f t="shared" ca="1" si="9"/>
        <v>1</v>
      </c>
      <c r="K7" s="39" t="e">
        <f t="shared" ca="1" si="0"/>
        <v>#N/A</v>
      </c>
      <c r="L7" s="11">
        <f ca="1">RTD("xqrtd.rtdserverxqlite",,"TXON"&amp;TEXT($D$2,"00")&amp;$L$2 &amp;TEXT(R7,"0")&amp;".TF-Bid")</f>
        <v>2020</v>
      </c>
      <c r="M7" s="4">
        <f t="shared" ca="1" si="10"/>
        <v>0.16526956322193148</v>
      </c>
      <c r="N7" s="11">
        <f ca="1">RTD("xqrtd.rtdserverxqlite",,"TXON"&amp;TEXT($D$2,"00")&amp;$L$2 &amp;TEXT(R7,"0")&amp;".TF-Ask")</f>
        <v>2080</v>
      </c>
      <c r="O7" s="27">
        <f t="shared" ca="1" si="1"/>
        <v>0.23952727707624441</v>
      </c>
      <c r="P7" s="16">
        <f ca="1">RTD("xqrtd.rtdserverxqlite",,"TXON"&amp;TEXT($D$2,"00")&amp;$L$2 &amp;TEXT(R7,"0")&amp;".TF-TotalVolume")</f>
        <v>0</v>
      </c>
      <c r="Q7" s="3" t="str">
        <f ca="1">RTD("xqrtd.rtdserverxqlite",,"TXON"&amp;TEXT($D$2,"00")&amp;$L$2 &amp;TEXT(R7,"0")&amp;".TF-Price")</f>
        <v>--</v>
      </c>
      <c r="R7" s="15">
        <f t="shared" si="2"/>
        <v>12000</v>
      </c>
      <c r="S7" s="3" t="str">
        <f ca="1">RTD("xqrtd.rtdserverxqlite",,"TXON"&amp;TEXT($D$2,"00")&amp;$S$2 &amp;TEXT(R7,"0")&amp;".TF-Price")</f>
        <v>--</v>
      </c>
      <c r="T7" s="17">
        <f ca="1">RTD("xqrtd.rtdserverxqlite",,"TXON"&amp;TEXT($D$2,"00")&amp;$S$2 &amp;TEXT(R7,"0")&amp;".TF-TotalVolume")</f>
        <v>0</v>
      </c>
      <c r="U7" s="28">
        <f ca="1">RTD("xqrtd.rtdserverxqlite",,"TXON"&amp;TEXT($D$2,"00")&amp;$S$2 &amp;TEXT(R7,"0")&amp;".TF-Bid")</f>
        <v>57</v>
      </c>
      <c r="V7" s="4">
        <f t="shared" ca="1" si="3"/>
        <v>0.22463949649333953</v>
      </c>
      <c r="W7" s="11">
        <f ca="1">RTD("xqrtd.rtdserverxqlite",,"TXON"&amp;TEXT($D$2,"00")&amp;$S$2 &amp;TEXT(R7,"0")&amp;".TF-Ask")</f>
        <v>65</v>
      </c>
      <c r="X7" s="4">
        <f t="shared" ca="1" si="4"/>
        <v>0.23229318464398385</v>
      </c>
      <c r="Z7" s="18">
        <f t="shared" ca="1" si="5"/>
        <v>659822.56805314205</v>
      </c>
      <c r="AA7" s="19">
        <f t="shared" ca="1" si="11"/>
        <v>7981.5849454027702</v>
      </c>
      <c r="AB7" s="20">
        <f t="shared" ca="1" si="12"/>
        <v>-65.098777771538607</v>
      </c>
      <c r="AC7" s="18">
        <f t="shared" ca="1" si="6"/>
        <v>-55949.154104780886</v>
      </c>
      <c r="AD7" s="19">
        <f t="shared" ca="1" si="13"/>
        <v>9069.3203785871483</v>
      </c>
      <c r="AE7" s="20">
        <f t="shared" ca="1" si="7"/>
        <v>-94.462155234176848</v>
      </c>
    </row>
    <row r="8" spans="1:31" x14ac:dyDescent="0.25">
      <c r="I8" t="b">
        <f t="shared" ca="1" si="8"/>
        <v>1</v>
      </c>
      <c r="J8" t="b">
        <f t="shared" ca="1" si="9"/>
        <v>1</v>
      </c>
      <c r="K8" s="39" t="e">
        <f t="shared" ca="1" si="0"/>
        <v>#N/A</v>
      </c>
      <c r="L8" s="11">
        <f ca="1">RTD("xqrtd.rtdserverxqlite",,"TXON"&amp;TEXT($D$2,"00")&amp;$L$2 &amp;TEXT(R8,"0")&amp;".TF-Bid")</f>
        <v>1840</v>
      </c>
      <c r="M8" s="4">
        <f t="shared" ca="1" si="10"/>
        <v>0.18076909528970719</v>
      </c>
      <c r="N8" s="11">
        <f ca="1">RTD("xqrtd.rtdserverxqlite",,"TXON"&amp;TEXT($D$2,"00")&amp;$L$2 &amp;TEXT(R8,"0")&amp;".TF-Ask")</f>
        <v>1890</v>
      </c>
      <c r="O8" s="27">
        <f t="shared" ca="1" si="1"/>
        <v>0.22822990076541905</v>
      </c>
      <c r="P8" s="16">
        <f ca="1">RTD("xqrtd.rtdserverxqlite",,"TXON"&amp;TEXT($D$2,"00")&amp;$L$2 &amp;TEXT(R8,"0")&amp;".TF-TotalVolume")</f>
        <v>0</v>
      </c>
      <c r="Q8" s="3" t="str">
        <f ca="1">RTD("xqrtd.rtdserverxqlite",,"TXON"&amp;TEXT($D$2,"00")&amp;$L$2 &amp;TEXT(R8,"0")&amp;".TF-Price")</f>
        <v>--</v>
      </c>
      <c r="R8" s="15">
        <f t="shared" si="2"/>
        <v>12200</v>
      </c>
      <c r="S8" s="3" t="str">
        <f ca="1">RTD("xqrtd.rtdserverxqlite",,"TXON"&amp;TEXT($D$2,"00")&amp;$S$2 &amp;TEXT(R8,"0")&amp;".TF-Price")</f>
        <v>--</v>
      </c>
      <c r="T8" s="17">
        <f ca="1">RTD("xqrtd.rtdserverxqlite",,"TXON"&amp;TEXT($D$2,"00")&amp;$S$2 &amp;TEXT(R8,"0")&amp;".TF-TotalVolume")</f>
        <v>0</v>
      </c>
      <c r="U8" s="28">
        <f ca="1">RTD("xqrtd.rtdserverxqlite",,"TXON"&amp;TEXT($D$2,"00")&amp;$S$2 &amp;TEXT(R8,"0")&amp;".TF-Bid")</f>
        <v>62</v>
      </c>
      <c r="V8" s="4">
        <f t="shared" ca="1" si="3"/>
        <v>0.2106017548501492</v>
      </c>
      <c r="W8" s="11">
        <f ca="1">RTD("xqrtd.rtdserverxqlite",,"TXON"&amp;TEXT($D$2,"00")&amp;$S$2 &amp;TEXT(R8,"0")&amp;".TF-Ask")</f>
        <v>74</v>
      </c>
      <c r="X8" s="4">
        <f t="shared" ca="1" si="4"/>
        <v>0.22094359727501872</v>
      </c>
      <c r="Z8" s="18">
        <f t="shared" ca="1" si="5"/>
        <v>643459.32999342075</v>
      </c>
      <c r="AA8" s="19">
        <f t="shared" ca="1" si="11"/>
        <v>10260.758299123645</v>
      </c>
      <c r="AB8" s="20">
        <f t="shared" ca="1" si="12"/>
        <v>-85.628118366093986</v>
      </c>
      <c r="AC8" s="18">
        <f t="shared" ca="1" si="6"/>
        <v>-64335.920779118976</v>
      </c>
      <c r="AD8" s="19">
        <f t="shared" ca="1" si="13"/>
        <v>10661.339404998711</v>
      </c>
      <c r="AE8" s="20">
        <f t="shared" ca="1" si="7"/>
        <v>-99.124049206135112</v>
      </c>
    </row>
    <row r="9" spans="1:31" x14ac:dyDescent="0.25">
      <c r="I9" t="b">
        <f t="shared" ca="1" si="8"/>
        <v>1</v>
      </c>
      <c r="J9" t="b">
        <f t="shared" ca="1" si="9"/>
        <v>1</v>
      </c>
      <c r="K9" s="39" t="e">
        <f ca="1">IF((V9*I9+X9*J9)/COUNTIF(I9:J9,TRUE)*(T9&gt;=5)=0,NA(),(V9*I9+X9*J9)/COUNTIF(I9:J9,TRUE)*(T9&gt;=5))</f>
        <v>#N/A</v>
      </c>
      <c r="L9" s="11">
        <f ca="1">RTD("xqrtd.rtdserverxqlite",,"TXON"&amp;TEXT($D$2,"00")&amp;$L$2 &amp;TEXT(R9,"0")&amp;".TF-Bid")</f>
        <v>1650</v>
      </c>
      <c r="M9" s="4">
        <f t="shared" ca="1" si="10"/>
        <v>0.17437645915746691</v>
      </c>
      <c r="N9" s="11">
        <f ca="1">RTD("xqrtd.rtdserverxqlite",,"TXON"&amp;TEXT($D$2,"00")&amp;$L$2 &amp;TEXT(R9,"0")&amp;".TF-Ask")</f>
        <v>1700</v>
      </c>
      <c r="O9" s="27">
        <f t="shared" ca="1" si="1"/>
        <v>0.21566658509969716</v>
      </c>
      <c r="P9" s="16">
        <f ca="1">RTD("xqrtd.rtdserverxqlite",,"TXON"&amp;TEXT($D$2,"00")&amp;$L$2 &amp;TEXT(R9,"0")&amp;".TF-TotalVolume")</f>
        <v>0</v>
      </c>
      <c r="Q9" s="3" t="str">
        <f ca="1">RTD("xqrtd.rtdserverxqlite",,"TXON"&amp;TEXT($D$2,"00")&amp;$L$2 &amp;TEXT(R9,"0")&amp;".TF-Price")</f>
        <v>--</v>
      </c>
      <c r="R9" s="15">
        <f t="shared" si="2"/>
        <v>12400</v>
      </c>
      <c r="S9" s="3" t="str">
        <f ca="1">RTD("xqrtd.rtdserverxqlite",,"TXON"&amp;TEXT($D$2,"00")&amp;$S$2 &amp;TEXT(R9,"0")&amp;".TF-Price")</f>
        <v>--</v>
      </c>
      <c r="T9" s="17">
        <f ca="1">RTD("xqrtd.rtdserverxqlite",,"TXON"&amp;TEXT($D$2,"00")&amp;$S$2 &amp;TEXT(R9,"0")&amp;".TF-TotalVolume")</f>
        <v>0</v>
      </c>
      <c r="U9" s="28">
        <f ca="1">RTD("xqrtd.rtdserverxqlite",,"TXON"&amp;TEXT($D$2,"00")&amp;$S$2 &amp;TEXT(R9,"0")&amp;".TF-Bid")</f>
        <v>75</v>
      </c>
      <c r="V9" s="4">
        <f t="shared" ca="1" si="3"/>
        <v>0.2022638395905495</v>
      </c>
      <c r="W9" s="11">
        <f ca="1">RTD("xqrtd.rtdserverxqlite",,"TXON"&amp;TEXT($D$2,"00")&amp;$S$2 &amp;TEXT(R9,"0")&amp;".TF-Ask")</f>
        <v>87</v>
      </c>
      <c r="X9" s="4">
        <f t="shared" ca="1" si="4"/>
        <v>0.21132496144771579</v>
      </c>
      <c r="Z9" s="18">
        <f t="shared" ca="1" si="5"/>
        <v>631803.05640278058</v>
      </c>
      <c r="AA9" s="19">
        <f t="shared" ca="1" si="11"/>
        <v>12359.863374746121</v>
      </c>
      <c r="AB9" s="20">
        <f t="shared" ca="1" si="12"/>
        <v>-93.903088859167383</v>
      </c>
      <c r="AC9" s="18">
        <f t="shared" ca="1" si="6"/>
        <v>-77128.836247206724</v>
      </c>
      <c r="AD9" s="19">
        <f t="shared" ca="1" si="13"/>
        <v>12697.269401153408</v>
      </c>
      <c r="AE9" s="20">
        <f t="shared" ca="1" si="7"/>
        <v>-108.53226048040696</v>
      </c>
    </row>
    <row r="10" spans="1:31" x14ac:dyDescent="0.25">
      <c r="I10" t="b">
        <f t="shared" ca="1" si="8"/>
        <v>1</v>
      </c>
      <c r="J10" t="b">
        <f t="shared" ca="1" si="9"/>
        <v>1</v>
      </c>
      <c r="K10" s="39" t="e">
        <f t="shared" ca="1" si="0"/>
        <v>#N/A</v>
      </c>
      <c r="L10" s="11">
        <f ca="1">RTD("xqrtd.rtdserverxqlite",,"TXON"&amp;TEXT($D$2,"00")&amp;$L$2 &amp;TEXT(R10,"0")&amp;".TF-Bid")</f>
        <v>1480</v>
      </c>
      <c r="M10" s="4">
        <f t="shared" ca="1" si="10"/>
        <v>0.18122993535995491</v>
      </c>
      <c r="N10" s="11">
        <f ca="1">RTD("xqrtd.rtdserverxqlite",,"TXON"&amp;TEXT($D$2,"00")&amp;$L$2 &amp;TEXT(R10,"0")&amp;".TF-Ask")</f>
        <v>1520</v>
      </c>
      <c r="O10" s="27">
        <f t="shared" ca="1" si="1"/>
        <v>0.20830613713860519</v>
      </c>
      <c r="P10" s="16">
        <f ca="1">RTD("xqrtd.rtdserverxqlite",,"TXON"&amp;TEXT($D$2,"00")&amp;$L$2 &amp;TEXT(R10,"0")&amp;".TF-TotalVolume")</f>
        <v>0</v>
      </c>
      <c r="Q10" s="3" t="str">
        <f ca="1">RTD("xqrtd.rtdserverxqlite",,"TXON"&amp;TEXT($D$2,"00")&amp;$L$2 &amp;TEXT(R10,"0")&amp;".TF-Price")</f>
        <v>--</v>
      </c>
      <c r="R10" s="15">
        <f t="shared" si="2"/>
        <v>12600</v>
      </c>
      <c r="S10" s="3" t="str">
        <f ca="1">RTD("xqrtd.rtdserverxqlite",,"TXON"&amp;TEXT($D$2,"00")&amp;$S$2 &amp;TEXT(R10,"0")&amp;".TF-Price")</f>
        <v>--</v>
      </c>
      <c r="T10" s="17">
        <f ca="1">RTD("xqrtd.rtdserverxqlite",,"TXON"&amp;TEXT($D$2,"00")&amp;$S$2 &amp;TEXT(R10,"0")&amp;".TF-TotalVolume")</f>
        <v>0</v>
      </c>
      <c r="U10" s="28">
        <f ca="1">RTD("xqrtd.rtdserverxqlite",,"TXON"&amp;TEXT($D$2,"00")&amp;$S$2 &amp;TEXT(R10,"0")&amp;".TF-Bid")</f>
        <v>93</v>
      </c>
      <c r="V10" s="4">
        <f t="shared" ca="1" si="3"/>
        <v>0.19531726558804513</v>
      </c>
      <c r="W10" s="11">
        <f ca="1">RTD("xqrtd.rtdserverxqlite",,"TXON"&amp;TEXT($D$2,"00")&amp;$S$2 &amp;TEXT(R10,"0")&amp;".TF-Ask")</f>
        <v>105</v>
      </c>
      <c r="X10" s="4">
        <f t="shared" ca="1" si="4"/>
        <v>0.20321841984987263</v>
      </c>
      <c r="Z10" s="18">
        <f t="shared" ca="1" si="5"/>
        <v>610081.50128279242</v>
      </c>
      <c r="AA10" s="19">
        <f t="shared" ca="1" si="11"/>
        <v>15064.120930637057</v>
      </c>
      <c r="AB10" s="20">
        <f t="shared" ca="1" si="12"/>
        <v>-114.29941823248555</v>
      </c>
      <c r="AC10" s="18">
        <f t="shared" ca="1" si="6"/>
        <v>-93748.889572567627</v>
      </c>
      <c r="AD10" s="19">
        <f t="shared" ca="1" si="13"/>
        <v>15113.563137205721</v>
      </c>
      <c r="AE10" s="20">
        <f t="shared" ca="1" si="7"/>
        <v>-120.05373611083954</v>
      </c>
    </row>
    <row r="11" spans="1:31" x14ac:dyDescent="0.25">
      <c r="I11" t="b">
        <f t="shared" ca="1" si="8"/>
        <v>1</v>
      </c>
      <c r="J11" t="b">
        <f t="shared" ca="1" si="9"/>
        <v>1</v>
      </c>
      <c r="K11" s="39" t="e">
        <f t="shared" ca="1" si="0"/>
        <v>#N/A</v>
      </c>
      <c r="L11" s="11">
        <f ca="1">RTD("xqrtd.rtdserverxqlite",,"TXON"&amp;TEXT($D$2,"00")&amp;$L$2 &amp;TEXT(R11,"0")&amp;".TF-Bid")</f>
        <v>1300</v>
      </c>
      <c r="M11" s="4">
        <f t="shared" ca="1" si="10"/>
        <v>0.17482502128481869</v>
      </c>
      <c r="N11" s="11">
        <f ca="1">RTD("xqrtd.rtdserverxqlite",,"TXON"&amp;TEXT($D$2,"00")&amp;$L$2 &amp;TEXT(R11,"0")&amp;".TF-Ask")</f>
        <v>1330</v>
      </c>
      <c r="O11" s="27">
        <f t="shared" ca="1" si="1"/>
        <v>0.19286871000528338</v>
      </c>
      <c r="P11" s="16">
        <f ca="1">RTD("xqrtd.rtdserverxqlite",,"TXON"&amp;TEXT($D$2,"00")&amp;$L$2 &amp;TEXT(R11,"0")&amp;".TF-TotalVolume")</f>
        <v>0</v>
      </c>
      <c r="Q11" s="3" t="str">
        <f ca="1">RTD("xqrtd.rtdserverxqlite",,"TXON"&amp;TEXT($D$2,"00")&amp;$L$2 &amp;TEXT(R11,"0")&amp;".TF-Price")</f>
        <v>--</v>
      </c>
      <c r="R11" s="15">
        <f t="shared" si="2"/>
        <v>12800</v>
      </c>
      <c r="S11" s="3" t="str">
        <f ca="1">RTD("xqrtd.rtdserverxqlite",,"TXON"&amp;TEXT($D$2,"00")&amp;$S$2 &amp;TEXT(R11,"0")&amp;".TF-Price")</f>
        <v>--</v>
      </c>
      <c r="T11" s="17">
        <f ca="1">RTD("xqrtd.rtdserverxqlite",,"TXON"&amp;TEXT($D$2,"00")&amp;$S$2 &amp;TEXT(R11,"0")&amp;".TF-TotalVolume")</f>
        <v>0</v>
      </c>
      <c r="U11" s="28">
        <f ca="1">RTD("xqrtd.rtdserverxqlite",,"TXON"&amp;TEXT($D$2,"00")&amp;$S$2 &amp;TEXT(R11,"0")&amp;".TF-Bid")</f>
        <v>110</v>
      </c>
      <c r="V11" s="4">
        <f t="shared" ca="1" si="3"/>
        <v>0.18525388213992122</v>
      </c>
      <c r="W11" s="11">
        <f ca="1">RTD("xqrtd.rtdserverxqlite",,"TXON"&amp;TEXT($D$2,"00")&amp;$S$2 &amp;TEXT(R11,"0")&amp;".TF-Ask")</f>
        <v>125</v>
      </c>
      <c r="X11" s="4">
        <f t="shared" ca="1" si="4"/>
        <v>0.1940167572677135</v>
      </c>
      <c r="Z11" s="18">
        <f t="shared" ca="1" si="5"/>
        <v>593017.91194344754</v>
      </c>
      <c r="AA11" s="19">
        <f ca="1">gGamma($C$2,R11,$E$2,$F$2,0,AVERAGE(M11,O11))*$C$2^2*0.01*50</f>
        <v>17948.216821312792</v>
      </c>
      <c r="AB11" s="20">
        <f t="shared" ca="1" si="12"/>
        <v>-121.41546053218235</v>
      </c>
      <c r="AC11" s="18">
        <f t="shared" ca="1" si="6"/>
        <v>-112096.9917285377</v>
      </c>
      <c r="AD11" s="19">
        <f t="shared" ca="1" si="13"/>
        <v>17904.982738425118</v>
      </c>
      <c r="AE11" s="20">
        <f t="shared" ca="1" si="7"/>
        <v>-128.88975781759129</v>
      </c>
    </row>
    <row r="12" spans="1:31" x14ac:dyDescent="0.25">
      <c r="I12" t="b">
        <f t="shared" ca="1" si="8"/>
        <v>1</v>
      </c>
      <c r="J12" t="b">
        <f t="shared" ca="1" si="9"/>
        <v>1</v>
      </c>
      <c r="K12" s="39" t="e">
        <f t="shared" ca="1" si="0"/>
        <v>#N/A</v>
      </c>
      <c r="L12" s="11">
        <f ca="1">RTD("xqrtd.rtdserverxqlite",,"TXON"&amp;TEXT($D$2,"00")&amp;$L$2 &amp;TEXT(R12,"0")&amp;".TF-Bid")</f>
        <v>1080</v>
      </c>
      <c r="M12" s="23">
        <f t="shared" ca="1" si="10"/>
        <v>0.14182214918732639</v>
      </c>
      <c r="N12" s="22">
        <f ca="1">RTD("xqrtd.rtdserverxqlite",,"TXON"&amp;TEXT($D$2,"00")&amp;$L$2 &amp;TEXT(R12,"0")&amp;".TF-Ask")</f>
        <v>1200</v>
      </c>
      <c r="O12" s="21">
        <f ca="1">GBSNewtonImpVolCall(N12,$C$2,R12,$E$2,$F$2,0)</f>
        <v>0.20641223464608194</v>
      </c>
      <c r="P12" s="16">
        <f ca="1">RTD("xqrtd.rtdserverxqlite",,"TXON"&amp;TEXT($D$2,"00")&amp;$L$2 &amp;TEXT(R12,"0")&amp;".TF-TotalVolume")</f>
        <v>0</v>
      </c>
      <c r="Q12" s="3" t="str">
        <f ca="1">RTD("xqrtd.rtdserverxqlite",,"TXON"&amp;TEXT($D$2,"00")&amp;$L$2 &amp;TEXT(R12,"0")&amp;".TF-Price")</f>
        <v>--</v>
      </c>
      <c r="R12" s="15">
        <f t="shared" si="2"/>
        <v>13000</v>
      </c>
      <c r="S12" s="3" t="str">
        <f ca="1">RTD("xqrtd.rtdserverxqlite",,"TXON"&amp;TEXT($D$2,"00")&amp;$S$2 &amp;TEXT(R12,"0")&amp;".TF-Price")</f>
        <v>--</v>
      </c>
      <c r="T12" s="17">
        <f ca="1">RTD("xqrtd.rtdserverxqlite",,"TXON"&amp;TEXT($D$2,"00")&amp;$S$2 &amp;TEXT(R12,"0")&amp;".TF-TotalVolume")</f>
        <v>0</v>
      </c>
      <c r="U12" s="28">
        <f ca="1">RTD("xqrtd.rtdserverxqlite",,"TXON"&amp;TEXT($D$2,"00")&amp;$S$2 &amp;TEXT(R12,"0")&amp;".TF-Bid")</f>
        <v>143</v>
      </c>
      <c r="V12" s="4">
        <f t="shared" ca="1" si="3"/>
        <v>0.18154367852210998</v>
      </c>
      <c r="W12" s="11">
        <f ca="1">RTD("xqrtd.rtdserverxqlite",,"TXON"&amp;TEXT($D$2,"00")&amp;$S$2 &amp;TEXT(R12,"0")&amp;".TF-Ask")</f>
        <v>152</v>
      </c>
      <c r="X12" s="4">
        <f t="shared" ca="1" si="4"/>
        <v>0.18616578760743141</v>
      </c>
      <c r="Z12" s="18">
        <f t="shared" ca="1" si="5"/>
        <v>570937.64162066206</v>
      </c>
      <c r="AA12" s="19">
        <f t="shared" ref="AA12:AA31" ca="1" si="14">gGamma($C$2,R12,$E$2,$F$2,0,AVERAGE(M12,O12))*$C$2^2*0.01*50</f>
        <v>21372.514521773759</v>
      </c>
      <c r="AB12" s="20">
        <f t="shared" ca="1" si="12"/>
        <v>-129.75462843213563</v>
      </c>
      <c r="AC12" s="18">
        <f t="shared" ca="1" si="6"/>
        <v>-137555.24707719724</v>
      </c>
      <c r="AD12" s="19">
        <f t="shared" ca="1" si="13"/>
        <v>21013.084832540462</v>
      </c>
      <c r="AE12" s="20">
        <f t="shared" ca="1" si="7"/>
        <v>-142.26493345283018</v>
      </c>
    </row>
    <row r="13" spans="1:31" x14ac:dyDescent="0.25">
      <c r="I13" t="b">
        <f t="shared" ca="1" si="8"/>
        <v>1</v>
      </c>
      <c r="J13" t="b">
        <f t="shared" ca="1" si="9"/>
        <v>1</v>
      </c>
      <c r="K13" s="39" t="e">
        <f t="shared" ca="1" si="0"/>
        <v>#N/A</v>
      </c>
      <c r="L13" s="11">
        <f ca="1">RTD("xqrtd.rtdserverxqlite",,"TXON"&amp;TEXT($D$2,"00")&amp;$L$2 &amp;TEXT(R13,"0")&amp;".TF-Bid")</f>
        <v>970</v>
      </c>
      <c r="M13" s="23">
        <f t="shared" ca="1" si="10"/>
        <v>0.1680912252247333</v>
      </c>
      <c r="N13" s="22">
        <f ca="1">RTD("xqrtd.rtdserverxqlite",,"TXON"&amp;TEXT($D$2,"00")&amp;$L$2 &amp;TEXT(R13,"0")&amp;".TF-Ask")</f>
        <v>995</v>
      </c>
      <c r="O13" s="21">
        <f t="shared" ca="1" si="1"/>
        <v>0.1796751067370177</v>
      </c>
      <c r="P13" s="16">
        <f ca="1">RTD("xqrtd.rtdserverxqlite",,"TXON"&amp;TEXT($D$2,"00")&amp;$L$2 &amp;TEXT(R13,"0")&amp;".TF-TotalVolume")</f>
        <v>0</v>
      </c>
      <c r="Q13" s="3" t="str">
        <f ca="1">RTD("xqrtd.rtdserverxqlite",,"TXON"&amp;TEXT($D$2,"00")&amp;$L$2 &amp;TEXT(R13,"0")&amp;".TF-Price")</f>
        <v>--</v>
      </c>
      <c r="R13" s="15">
        <f t="shared" si="2"/>
        <v>13200</v>
      </c>
      <c r="S13" s="3" t="str">
        <f ca="1">RTD("xqrtd.rtdserverxqlite",,"TXON"&amp;TEXT($D$2,"00")&amp;$S$2 &amp;TEXT(R13,"0")&amp;".TF-Price")</f>
        <v>--</v>
      </c>
      <c r="T13" s="17">
        <f ca="1">RTD("xqrtd.rtdserverxqlite",,"TXON"&amp;TEXT($D$2,"00")&amp;$S$2 &amp;TEXT(R13,"0")&amp;".TF-TotalVolume")</f>
        <v>0</v>
      </c>
      <c r="U13" s="28">
        <f ca="1">RTD("xqrtd.rtdserverxqlite",,"TXON"&amp;TEXT($D$2,"00")&amp;$S$2 &amp;TEXT(R13,"0")&amp;".TF-Bid")</f>
        <v>173</v>
      </c>
      <c r="V13" s="4">
        <f t="shared" ca="1" si="3"/>
        <v>0.17276763142645357</v>
      </c>
      <c r="W13" s="11">
        <f ca="1">RTD("xqrtd.rtdserverxqlite",,"TXON"&amp;TEXT($D$2,"00")&amp;$S$2 &amp;TEXT(R13,"0")&amp;".TF-Ask")</f>
        <v>187</v>
      </c>
      <c r="X13" s="4">
        <f t="shared" ca="1" si="4"/>
        <v>0.17921825997829438</v>
      </c>
      <c r="Z13" s="18">
        <f t="shared" ca="1" si="5"/>
        <v>535974.94497558416</v>
      </c>
      <c r="AA13" s="19">
        <f t="shared" ca="1" si="14"/>
        <v>24638.434152109341</v>
      </c>
      <c r="AB13" s="20">
        <f t="shared" ca="1" si="12"/>
        <v>-149.26925559291817</v>
      </c>
      <c r="AC13" s="18">
        <f t="shared" ca="1" si="6"/>
        <v>-166018.6118333574</v>
      </c>
      <c r="AD13" s="19">
        <f t="shared" ca="1" si="13"/>
        <v>24476.930117214721</v>
      </c>
      <c r="AE13" s="20">
        <f t="shared" ca="1" si="7"/>
        <v>-151.91498677854298</v>
      </c>
    </row>
    <row r="14" spans="1:31" x14ac:dyDescent="0.25">
      <c r="I14" t="b">
        <f t="shared" ca="1" si="8"/>
        <v>1</v>
      </c>
      <c r="J14" t="b">
        <f t="shared" ca="1" si="9"/>
        <v>1</v>
      </c>
      <c r="K14" s="39" t="e">
        <f t="shared" ca="1" si="0"/>
        <v>#N/A</v>
      </c>
      <c r="L14" s="11">
        <f ca="1">RTD("xqrtd.rtdserverxqlite",,"TXON"&amp;TEXT($D$2,"00")&amp;$L$2 &amp;TEXT(R14,"0")&amp;".TF-Bid")</f>
        <v>810</v>
      </c>
      <c r="M14" s="23">
        <f t="shared" ca="1" si="10"/>
        <v>0.16103182527124887</v>
      </c>
      <c r="N14" s="22">
        <f ca="1">RTD("xqrtd.rtdserverxqlite",,"TXON"&amp;TEXT($D$2,"00")&amp;$L$2 &amp;TEXT(R14,"0")&amp;".TF-Ask")</f>
        <v>835</v>
      </c>
      <c r="O14" s="21">
        <f t="shared" ca="1" si="1"/>
        <v>0.17153775107860567</v>
      </c>
      <c r="P14" s="16">
        <f ca="1">RTD("xqrtd.rtdserverxqlite",,"TXON"&amp;TEXT($D$2,"00")&amp;$L$2 &amp;TEXT(R14,"0")&amp;".TF-TotalVolume")</f>
        <v>0</v>
      </c>
      <c r="Q14" s="3" t="str">
        <f ca="1">RTD("xqrtd.rtdserverxqlite",,"TXON"&amp;TEXT($D$2,"00")&amp;$L$2 &amp;TEXT(R14,"0")&amp;".TF-Price")</f>
        <v>--</v>
      </c>
      <c r="R14" s="15">
        <f t="shared" si="2"/>
        <v>13400</v>
      </c>
      <c r="S14" s="3" t="str">
        <f ca="1">RTD("xqrtd.rtdserverxqlite",,"TXON"&amp;TEXT($D$2,"00")&amp;$S$2 &amp;TEXT(R14,"0")&amp;".TF-Price")</f>
        <v>--</v>
      </c>
      <c r="T14" s="17">
        <f ca="1">RTD("xqrtd.rtdserverxqlite",,"TXON"&amp;TEXT($D$2,"00")&amp;$S$2 &amp;TEXT(R14,"0")&amp;".TF-TotalVolume")</f>
        <v>0</v>
      </c>
      <c r="U14" s="28">
        <f ca="1">RTD("xqrtd.rtdserverxqlite",,"TXON"&amp;TEXT($D$2,"00")&amp;$S$2 &amp;TEXT(R14,"0")&amp;".TF-Bid")</f>
        <v>217</v>
      </c>
      <c r="V14" s="4">
        <f t="shared" ca="1" si="3"/>
        <v>0.16693793301582335</v>
      </c>
      <c r="W14" s="11">
        <f ca="1">RTD("xqrtd.rtdserverxqlite",,"TXON"&amp;TEXT($D$2,"00")&amp;$S$2 &amp;TEXT(R14,"0")&amp;".TF-Ask")</f>
        <v>231</v>
      </c>
      <c r="X14" s="4">
        <f t="shared" ca="1" si="4"/>
        <v>0.17278652515411375</v>
      </c>
      <c r="Z14" s="18">
        <f t="shared" ca="1" si="5"/>
        <v>501791.53681336495</v>
      </c>
      <c r="AA14" s="19">
        <f t="shared" ca="1" si="14"/>
        <v>28412.448866068247</v>
      </c>
      <c r="AB14" s="20">
        <f t="shared" ca="1" si="12"/>
        <v>-157.49236110167999</v>
      </c>
      <c r="AC14" s="18">
        <f t="shared" ca="1" si="6"/>
        <v>-201003.76091804943</v>
      </c>
      <c r="AD14" s="19">
        <f t="shared" ca="1" si="13"/>
        <v>27976.744287300255</v>
      </c>
      <c r="AE14" s="20">
        <f t="shared" ca="1" si="7"/>
        <v>-161.82785268797062</v>
      </c>
    </row>
    <row r="15" spans="1:31" x14ac:dyDescent="0.25">
      <c r="G15" t="b">
        <f t="shared" ref="G15:G31" ca="1" si="15">AND(M15&lt;1,M15&gt;0.05)</f>
        <v>1</v>
      </c>
      <c r="H15" t="b">
        <f t="shared" ref="H15:H31" ca="1" si="16">AND(O15&lt;1,O15&gt;0.05)</f>
        <v>1</v>
      </c>
      <c r="I15" t="b">
        <f t="shared" ca="1" si="8"/>
        <v>1</v>
      </c>
      <c r="J15" t="b">
        <f t="shared" ca="1" si="9"/>
        <v>1</v>
      </c>
      <c r="K15" s="39" t="e">
        <f ca="1">IF((M15*G15+O15*H15+V15*I15+X15*J15)/COUNTIF(G15:J15,TRUE)*AND(P15&gt;=5,T15&gt;=5)=0,NA(),(M15*G15+O15*H15+V15*I15+X15*J15)/COUNTIF(G15:J15,TRUE)*AND(P15&gt;=5,T15&gt;=5))</f>
        <v>#N/A</v>
      </c>
      <c r="L15" s="11">
        <f ca="1">RTD("xqrtd.rtdserverxqlite",,"TXON"&amp;TEXT($D$2,"00")&amp;$L$2 &amp;TEXT(R15,"0")&amp;".TF-Bid")</f>
        <v>675</v>
      </c>
      <c r="M15" s="23">
        <f t="shared" ca="1" si="10"/>
        <v>0.15997490895390509</v>
      </c>
      <c r="N15" s="22">
        <f ca="1">RTD("xqrtd.rtdserverxqlite",,"TXON"&amp;TEXT($D$2,"00")&amp;$L$2 &amp;TEXT(R15,"0")&amp;".TF-Ask")</f>
        <v>690</v>
      </c>
      <c r="O15" s="21">
        <f t="shared" ca="1" si="1"/>
        <v>0.16577391250729556</v>
      </c>
      <c r="P15" s="16">
        <f ca="1">RTD("xqrtd.rtdserverxqlite",,"TXON"&amp;TEXT($D$2,"00")&amp;$L$2 &amp;TEXT(R15,"0")&amp;".TF-TotalVolume")</f>
        <v>1</v>
      </c>
      <c r="Q15" s="3">
        <f ca="1">RTD("xqrtd.rtdserverxqlite",,"TXON"&amp;TEXT($D$2,"00")&amp;$L$2 &amp;TEXT(R15,"0")&amp;".TF-Price")</f>
        <v>685</v>
      </c>
      <c r="R15" s="15">
        <f t="shared" si="2"/>
        <v>13600</v>
      </c>
      <c r="S15" s="3" t="str">
        <f ca="1">RTD("xqrtd.rtdserverxqlite",,"TXON"&amp;TEXT($D$2,"00")&amp;$S$2 &amp;TEXT(R15,"0")&amp;".TF-Price")</f>
        <v>--</v>
      </c>
      <c r="T15" s="17">
        <f ca="1">RTD("xqrtd.rtdserverxqlite",,"TXON"&amp;TEXT($D$2,"00")&amp;$S$2 &amp;TEXT(R15,"0")&amp;".TF-TotalVolume")</f>
        <v>0</v>
      </c>
      <c r="U15" s="28">
        <f ca="1">RTD("xqrtd.rtdserverxqlite",,"TXON"&amp;TEXT($D$2,"00")&amp;$S$2 &amp;TEXT(R15,"0")&amp;".TF-Bid")</f>
        <v>272</v>
      </c>
      <c r="V15" s="4">
        <f t="shared" ca="1" si="3"/>
        <v>0.16152395621538165</v>
      </c>
      <c r="W15" s="11">
        <f ca="1">RTD("xqrtd.rtdserverxqlite",,"TXON"&amp;TEXT($D$2,"00")&amp;$S$2 &amp;TEXT(R15,"0")&amp;".TF-Ask")</f>
        <v>287</v>
      </c>
      <c r="X15" s="4">
        <f t="shared" ca="1" si="4"/>
        <v>0.16731592677235602</v>
      </c>
      <c r="Z15" s="18">
        <f t="shared" ca="1" si="5"/>
        <v>459412.88668378274</v>
      </c>
      <c r="AA15" s="19">
        <f t="shared" ca="1" si="14"/>
        <v>31525.527601775218</v>
      </c>
      <c r="AB15" s="20">
        <f t="shared" ca="1" si="12"/>
        <v>-167.76670993966718</v>
      </c>
      <c r="AC15" s="18">
        <f t="shared" ca="1" si="6"/>
        <v>-241711.30532675033</v>
      </c>
      <c r="AD15" s="19">
        <f t="shared" ca="1" si="13"/>
        <v>31266.717633871132</v>
      </c>
      <c r="AE15" s="20">
        <f t="shared" ca="1" si="7"/>
        <v>-169.56490857722031</v>
      </c>
    </row>
    <row r="16" spans="1:31" x14ac:dyDescent="0.25">
      <c r="G16" t="b">
        <f t="shared" ca="1" si="15"/>
        <v>1</v>
      </c>
      <c r="H16" t="b">
        <f t="shared" ca="1" si="16"/>
        <v>1</v>
      </c>
      <c r="I16" t="b">
        <f t="shared" ca="1" si="8"/>
        <v>1</v>
      </c>
      <c r="J16" t="b">
        <f t="shared" ca="1" si="9"/>
        <v>1</v>
      </c>
      <c r="K16" s="39" t="e">
        <f ca="1">IF((M16*G16+O16*H16+V16*I16+X16*J16)/COUNTIF(G16:J16,TRUE)*AND(P16&gt;=5,T16&gt;=5)=0,NA(),(M16*G16+O16*H16+V16*I16+X16*J16)/COUNTIF(G16:J16,TRUE)*AND(P16&gt;=5,T16&gt;=5))</f>
        <v>#N/A</v>
      </c>
      <c r="L16" s="11">
        <f ca="1">RTD("xqrtd.rtdserverxqlite",,"TXON"&amp;TEXT($D$2,"00")&amp;$L$2 &amp;TEXT(R16,"0")&amp;".TF-Bid")</f>
        <v>540</v>
      </c>
      <c r="M16" s="23">
        <f t="shared" ca="1" si="10"/>
        <v>0.15398506087064745</v>
      </c>
      <c r="N16" s="22">
        <f ca="1">RTD("xqrtd.rtdserverxqlite",,"TXON"&amp;TEXT($D$2,"00")&amp;$L$2 &amp;TEXT(R16,"0")&amp;".TF-Ask")</f>
        <v>555</v>
      </c>
      <c r="O16" s="21">
        <f t="shared" ca="1" si="1"/>
        <v>0.15947365895509721</v>
      </c>
      <c r="P16" s="16">
        <f ca="1">RTD("xqrtd.rtdserverxqlite",,"TXON"&amp;TEXT($D$2,"00")&amp;$L$2 &amp;TEXT(R16,"0")&amp;".TF-TotalVolume")</f>
        <v>0</v>
      </c>
      <c r="Q16" s="3" t="str">
        <f ca="1">RTD("xqrtd.rtdserverxqlite",,"TXON"&amp;TEXT($D$2,"00")&amp;$L$2 &amp;TEXT(R16,"0")&amp;".TF-Price")</f>
        <v>--</v>
      </c>
      <c r="R16" s="15">
        <f>R17-200</f>
        <v>13800</v>
      </c>
      <c r="S16" s="3" t="str">
        <f ca="1">RTD("xqrtd.rtdserverxqlite",,"TXON"&amp;TEXT($D$2,"00")&amp;$S$2 &amp;TEXT(R16,"0")&amp;".TF-Price")</f>
        <v>--</v>
      </c>
      <c r="T16" s="17">
        <f ca="1">RTD("xqrtd.rtdserverxqlite",,"TXON"&amp;TEXT($D$2,"00")&amp;$S$2 &amp;TEXT(R16,"0")&amp;".TF-TotalVolume")</f>
        <v>0</v>
      </c>
      <c r="U16" s="28">
        <f ca="1">RTD("xqrtd.rtdserverxqlite",,"TXON"&amp;TEXT($D$2,"00")&amp;$S$2 &amp;TEXT(R16,"0")&amp;".TF-Bid")</f>
        <v>341</v>
      </c>
      <c r="V16" s="4">
        <f t="shared" ca="1" si="3"/>
        <v>0.15691317144632339</v>
      </c>
      <c r="W16" s="11">
        <f ca="1">RTD("xqrtd.rtdserverxqlite",,"TXON"&amp;TEXT($D$2,"00")&amp;$S$2 &amp;TEXT(R16,"0")&amp;".TF-Ask")</f>
        <v>352</v>
      </c>
      <c r="X16" s="4">
        <f t="shared" ca="1" si="4"/>
        <v>0.16093616459965709</v>
      </c>
      <c r="Z16" s="18">
        <f t="shared" ca="1" si="5"/>
        <v>413489.60579496616</v>
      </c>
      <c r="AA16" s="19">
        <f t="shared" ca="1" si="14"/>
        <v>34596.280504543422</v>
      </c>
      <c r="AB16" s="20">
        <f t="shared" ca="1" si="12"/>
        <v>-170.63042168889524</v>
      </c>
      <c r="AC16" s="18">
        <f t="shared" ca="1" si="6"/>
        <v>-287421.94438037137</v>
      </c>
      <c r="AD16" s="19">
        <f t="shared" ca="1" si="13"/>
        <v>34134.403931711655</v>
      </c>
      <c r="AE16" s="20">
        <f t="shared" ca="1" si="7"/>
        <v>-173.10430462895852</v>
      </c>
    </row>
    <row r="17" spans="7:31" x14ac:dyDescent="0.25">
      <c r="G17" t="b">
        <f t="shared" ca="1" si="15"/>
        <v>1</v>
      </c>
      <c r="H17" t="b">
        <f t="shared" ca="1" si="16"/>
        <v>1</v>
      </c>
      <c r="I17" t="b">
        <f t="shared" ca="1" si="8"/>
        <v>1</v>
      </c>
      <c r="J17" t="b">
        <f t="shared" ca="1" si="9"/>
        <v>1</v>
      </c>
      <c r="K17" s="39" t="e">
        <f ca="1">IF((M17*G17+O17*H17+V17*I17+X17*J17)/COUNTIF(G17:J17,TRUE)*AND(P17&gt;=5,T17&gt;=5)=0,NA(),(M17*G17+O17*H17+V17*I17+X17*J17)/COUNTIF(G17:J17,TRUE)*AND(P17&gt;=5,T17&gt;=5))</f>
        <v>#N/A</v>
      </c>
      <c r="L17" s="22">
        <f ca="1">RTD("xqrtd.rtdserverxqlite",,"TXON"&amp;TEXT($D$2,"00")&amp;$L$2 &amp;TEXT(R17,"0")&amp;".TF-Bid")</f>
        <v>422</v>
      </c>
      <c r="M17" s="23">
        <f t="shared" ca="1" si="10"/>
        <v>0.14919249102473259</v>
      </c>
      <c r="N17" s="22">
        <f ca="1">RTD("xqrtd.rtdserverxqlite",,"TXON"&amp;TEXT($D$2,"00")&amp;$L$2 &amp;TEXT(R17,"0")&amp;".TF-Ask")</f>
        <v>440</v>
      </c>
      <c r="O17" s="21">
        <f t="shared" ca="1" si="1"/>
        <v>0.15561361675262453</v>
      </c>
      <c r="P17" s="16">
        <f ca="1">RTD("xqrtd.rtdserverxqlite",,"TXON"&amp;TEXT($D$2,"00")&amp;$L$2 &amp;TEXT(R17,"0")&amp;".TF-TotalVolume")</f>
        <v>0</v>
      </c>
      <c r="Q17" s="3" t="str">
        <f ca="1">RTD("xqrtd.rtdserverxqlite",,"TXON"&amp;TEXT($D$2,"00")&amp;$L$2 &amp;TEXT(R17,"0")&amp;".TF-Price")</f>
        <v>--</v>
      </c>
      <c r="R17" s="2">
        <f>ROUND(C2/200,0)*200</f>
        <v>14000</v>
      </c>
      <c r="S17" s="3" t="str">
        <f ca="1">RTD("xqrtd.rtdserverxqlite",,"TXON"&amp;TEXT($D$2,"00")&amp;$S$2 &amp;TEXT(R17,"0")&amp;".TF-Price")</f>
        <v>--</v>
      </c>
      <c r="T17" s="17">
        <f ca="1">RTD("xqrtd.rtdserverxqlite",,"TXON"&amp;TEXT($D$2,"00")&amp;$S$2 &amp;TEXT(R17,"0")&amp;".TF-TotalVolume")</f>
        <v>0</v>
      </c>
      <c r="U17" s="28">
        <f ca="1">RTD("xqrtd.rtdserverxqlite",,"TXON"&amp;TEXT($D$2,"00")&amp;$S$2 &amp;TEXT(R17,"0")&amp;".TF-Bid")</f>
        <v>423</v>
      </c>
      <c r="V17" s="4">
        <f t="shared" ca="1" si="3"/>
        <v>0.15204627832472323</v>
      </c>
      <c r="W17" s="11">
        <f ca="1">RTD("xqrtd.rtdserverxqlite",,"TXON"&amp;TEXT($D$2,"00")&amp;$S$2 &amp;TEXT(R17,"0")&amp;".TF-Ask")</f>
        <v>439</v>
      </c>
      <c r="X17" s="4">
        <f t="shared" ca="1" si="4"/>
        <v>0.1577541509330273</v>
      </c>
      <c r="Z17" s="18">
        <f t="shared" ca="1" si="5"/>
        <v>362689.48735345691</v>
      </c>
      <c r="AA17" s="19">
        <f t="shared" ca="1" si="14"/>
        <v>36483.432746883002</v>
      </c>
      <c r="AB17" s="20">
        <f t="shared" ca="1" si="12"/>
        <v>-170.21151954927802</v>
      </c>
      <c r="AC17" s="18">
        <f t="shared" ca="1" si="6"/>
        <v>-337514.92804626428</v>
      </c>
      <c r="AD17" s="19">
        <f t="shared" ca="1" si="13"/>
        <v>35894.436771406996</v>
      </c>
      <c r="AE17" s="20">
        <f t="shared" ca="1" si="7"/>
        <v>-172.99571640220108</v>
      </c>
    </row>
    <row r="18" spans="7:31" x14ac:dyDescent="0.25">
      <c r="G18" t="b">
        <f t="shared" ca="1" si="15"/>
        <v>1</v>
      </c>
      <c r="H18" t="b">
        <f t="shared" ca="1" si="16"/>
        <v>1</v>
      </c>
      <c r="I18" t="b">
        <f t="shared" ca="1" si="8"/>
        <v>1</v>
      </c>
      <c r="J18" t="b">
        <f t="shared" ca="1" si="9"/>
        <v>1</v>
      </c>
      <c r="K18" s="39" t="e">
        <f ca="1">IF((M18*G18+O18*H18+V18*I18+X18*J18)/COUNTIF(G18:J18,TRUE)*AND(P18&gt;=5,T18&gt;=5)=0,NA(),(M18*G18+O18*H18+V18*I18+X18*J18)/COUNTIF(G18:J18,TRUE)*AND(P18&gt;=5,T18&gt;=5))</f>
        <v>#N/A</v>
      </c>
      <c r="L18" s="22">
        <f ca="1">RTD("xqrtd.rtdserverxqlite",,"TXON"&amp;TEXT($D$2,"00")&amp;$L$2 &amp;TEXT(R18,"0")&amp;".TF-Bid")</f>
        <v>322</v>
      </c>
      <c r="M18" s="23">
        <f t="shared" ca="1" si="10"/>
        <v>0.14568493306636815</v>
      </c>
      <c r="N18" s="22">
        <f ca="1">RTD("xqrtd.rtdserverxqlite",,"TXON"&amp;TEXT($D$2,"00")&amp;$L$2 &amp;TEXT(R18,"0")&amp;".TF-Ask")</f>
        <v>336</v>
      </c>
      <c r="O18" s="21">
        <f t="shared" ca="1" si="1"/>
        <v>0.15072943914830683</v>
      </c>
      <c r="P18" s="16">
        <f ca="1">RTD("xqrtd.rtdserverxqlite",,"TXON"&amp;TEXT($D$2,"00")&amp;$L$2 &amp;TEXT(R18,"0")&amp;".TF-TotalVolume")</f>
        <v>0</v>
      </c>
      <c r="Q18" s="3" t="str">
        <f ca="1">RTD("xqrtd.rtdserverxqlite",,"TXON"&amp;TEXT($D$2,"00")&amp;$L$2 &amp;TEXT(R18,"0")&amp;".TF-Price")</f>
        <v>--</v>
      </c>
      <c r="R18" s="15">
        <f>R17+200</f>
        <v>14200</v>
      </c>
      <c r="S18" s="3" t="str">
        <f ca="1">RTD("xqrtd.rtdserverxqlite",,"TXON"&amp;TEXT($D$2,"00")&amp;$S$2 &amp;TEXT(R18,"0")&amp;".TF-Price")</f>
        <v>--</v>
      </c>
      <c r="T18" s="17">
        <f ca="1">RTD("xqrtd.rtdserverxqlite",,"TXON"&amp;TEXT($D$2,"00")&amp;$S$2 &amp;TEXT(R18,"0")&amp;".TF-TotalVolume")</f>
        <v>0</v>
      </c>
      <c r="U18" s="28">
        <f ca="1">RTD("xqrtd.rtdserverxqlite",,"TXON"&amp;TEXT($D$2,"00")&amp;$S$2 &amp;TEXT(R18,"0")&amp;".TF-Bid")</f>
        <v>520</v>
      </c>
      <c r="V18" s="4">
        <f t="shared" ca="1" si="3"/>
        <v>0.1474871681988239</v>
      </c>
      <c r="W18" s="11">
        <f ca="1">RTD("xqrtd.rtdserverxqlite",,"TXON"&amp;TEXT($D$2,"00")&amp;$S$2 &amp;TEXT(R18,"0")&amp;".TF-Ask")</f>
        <v>540</v>
      </c>
      <c r="X18" s="4">
        <f t="shared" ca="1" si="4"/>
        <v>0.15468913533389567</v>
      </c>
      <c r="Z18" s="18">
        <f t="shared" ca="1" si="5"/>
        <v>309316.83755938563</v>
      </c>
      <c r="AA18" s="19">
        <f t="shared" ca="1" si="14"/>
        <v>37151.822887253191</v>
      </c>
      <c r="AB18" s="20">
        <f t="shared" ca="1" si="12"/>
        <v>-163.85371331512886</v>
      </c>
      <c r="AC18" s="18">
        <f t="shared" ca="1" si="6"/>
        <v>-389863.60641476477</v>
      </c>
      <c r="AD18" s="19">
        <f t="shared" ca="1" si="13"/>
        <v>36465.711132703887</v>
      </c>
      <c r="AE18" s="20">
        <f t="shared" ca="1" si="7"/>
        <v>-167.14442797219249</v>
      </c>
    </row>
    <row r="19" spans="7:31" x14ac:dyDescent="0.25">
      <c r="G19" t="b">
        <f t="shared" ca="1" si="15"/>
        <v>1</v>
      </c>
      <c r="H19" t="b">
        <f t="shared" ca="1" si="16"/>
        <v>1</v>
      </c>
      <c r="I19" t="b">
        <f t="shared" ca="1" si="8"/>
        <v>1</v>
      </c>
      <c r="J19" t="b">
        <f t="shared" ca="1" si="9"/>
        <v>1</v>
      </c>
      <c r="K19" s="39" t="e">
        <f ca="1">IF((M19*G19+O19*H19+V19*I19+X19*J19)/COUNTIF(G19:J19,TRUE)*AND(P19&gt;=5,T19&gt;=5)=0,NA(),(M19*G19+O19*H19+V19*I19+X19*J19)/COUNTIF(G19:J19,TRUE)*AND(P19&gt;=5,T19&gt;=5))</f>
        <v>#N/A</v>
      </c>
      <c r="L19" s="22">
        <f ca="1">RTD("xqrtd.rtdserverxqlite",,"TXON"&amp;TEXT($D$2,"00")&amp;$L$2 &amp;TEXT(R19,"0")&amp;".TF-Bid")</f>
        <v>247</v>
      </c>
      <c r="M19" s="23">
        <f t="shared" ca="1" si="10"/>
        <v>0.14567027105689051</v>
      </c>
      <c r="N19" s="22">
        <f ca="1">RTD("xqrtd.rtdserverxqlite",,"TXON"&amp;TEXT($D$2,"00")&amp;$L$2 &amp;TEXT(R19,"0")&amp;".TF-Ask")</f>
        <v>256</v>
      </c>
      <c r="O19" s="21">
        <f t="shared" ca="1" si="1"/>
        <v>0.14906792354583742</v>
      </c>
      <c r="P19" s="16">
        <f ca="1">RTD("xqrtd.rtdserverxqlite",,"TXON"&amp;TEXT($D$2,"00")&amp;$L$2 &amp;TEXT(R19,"0")&amp;".TF-TotalVolume")</f>
        <v>13</v>
      </c>
      <c r="Q19" s="3">
        <f ca="1">RTD("xqrtd.rtdserverxqlite",,"TXON"&amp;TEXT($D$2,"00")&amp;$L$2 &amp;TEXT(R19,"0")&amp;".TF-Price")</f>
        <v>250</v>
      </c>
      <c r="R19" s="15">
        <f>R18+200</f>
        <v>14400</v>
      </c>
      <c r="S19" s="3" t="str">
        <f ca="1">RTD("xqrtd.rtdserverxqlite",,"TXON"&amp;TEXT($D$2,"00")&amp;$S$2 &amp;TEXT(R19,"0")&amp;".TF-Price")</f>
        <v>--</v>
      </c>
      <c r="T19" s="17">
        <f ca="1">RTD("xqrtd.rtdserverxqlite",,"TXON"&amp;TEXT($D$2,"00")&amp;$S$2 &amp;TEXT(R19,"0")&amp;".TF-TotalVolume")</f>
        <v>0</v>
      </c>
      <c r="U19" s="28">
        <f ca="1">RTD("xqrtd.rtdserverxqlite",,"TXON"&amp;TEXT($D$2,"00")&amp;$S$2 &amp;TEXT(R19,"0")&amp;".TF-Bid")</f>
        <v>640</v>
      </c>
      <c r="V19" s="4">
        <f t="shared" ca="1" si="3"/>
        <v>0.14567027105689051</v>
      </c>
      <c r="W19" s="11">
        <f ca="1">RTD("xqrtd.rtdserverxqlite",,"TXON"&amp;TEXT($D$2,"00")&amp;$S$2 &amp;TEXT(R19,"0")&amp;".TF-Ask")</f>
        <v>655</v>
      </c>
      <c r="X19" s="4">
        <f ca="1">GBSNewtonImpVolPut(W19,$C$2,R19,$E$2,$F$2,0)</f>
        <v>0.15132706503868101</v>
      </c>
      <c r="Z19" s="18">
        <f t="shared" ca="1" si="5"/>
        <v>257759.64150068379</v>
      </c>
      <c r="AA19" s="19">
        <f t="shared" ca="1" si="14"/>
        <v>35682.056665704273</v>
      </c>
      <c r="AB19" s="20">
        <f t="shared" ca="1" si="12"/>
        <v>-155.4434842684671</v>
      </c>
      <c r="AC19" s="18">
        <f t="shared" ca="1" si="6"/>
        <v>-441764.19393982476</v>
      </c>
      <c r="AD19" s="19">
        <f t="shared" ca="1" si="13"/>
        <v>35447.825100337017</v>
      </c>
      <c r="AE19" s="20">
        <f t="shared" ca="1" si="7"/>
        <v>-156.80149289861447</v>
      </c>
    </row>
    <row r="20" spans="7:31" x14ac:dyDescent="0.25">
      <c r="G20" t="b">
        <f t="shared" ca="1" si="15"/>
        <v>1</v>
      </c>
      <c r="H20" t="b">
        <f t="shared" ca="1" si="16"/>
        <v>1</v>
      </c>
      <c r="K20" s="39" t="e">
        <f ca="1">IF((M20*G20+O20*H20)/COUNTIF(G20:H20,TRUE)*(P20&gt;=5)=0,NA(),(M20*G20+O20*H20)/COUNTIF(G20:H20,TRUE)*(P20&gt;=5))</f>
        <v>#N/A</v>
      </c>
      <c r="L20" s="22">
        <f ca="1">RTD("xqrtd.rtdserverxqlite",,"TXON"&amp;TEXT($D$2,"00")&amp;$L$2 &amp;TEXT(R20,"0")&amp;".TF-Bid")</f>
        <v>176</v>
      </c>
      <c r="M20" s="23">
        <f t="shared" ca="1" si="10"/>
        <v>0.14155590855181216</v>
      </c>
      <c r="N20" s="22">
        <f ca="1">RTD("xqrtd.rtdserverxqlite",,"TXON"&amp;TEXT($D$2,"00")&amp;$L$2 &amp;TEXT(R20,"0")&amp;".TF-Ask")</f>
        <v>189</v>
      </c>
      <c r="O20" s="21">
        <f t="shared" ca="1" si="1"/>
        <v>0.14691034328937536</v>
      </c>
      <c r="P20" s="16">
        <f ca="1">RTD("xqrtd.rtdserverxqlite",,"TXON"&amp;TEXT($D$2,"00")&amp;$L$2 &amp;TEXT(R20,"0")&amp;".TF-TotalVolume")</f>
        <v>1</v>
      </c>
      <c r="Q20" s="3">
        <f ca="1">RTD("xqrtd.rtdserverxqlite",,"TXON"&amp;TEXT($D$2,"00")&amp;$L$2 &amp;TEXT(R20,"0")&amp;".TF-Price")</f>
        <v>185</v>
      </c>
      <c r="R20" s="15">
        <f t="shared" ref="R20:R31" si="17">R19+200</f>
        <v>14600</v>
      </c>
      <c r="S20" s="3" t="str">
        <f ca="1">RTD("xqrtd.rtdserverxqlite",,"TXON"&amp;TEXT($D$2,"00")&amp;$S$2 &amp;TEXT(R20,"0")&amp;".TF-Price")</f>
        <v>--</v>
      </c>
      <c r="T20" s="17">
        <f ca="1">RTD("xqrtd.rtdserverxqlite",,"TXON"&amp;TEXT($D$2,"00")&amp;$S$2 &amp;TEXT(R20,"0")&amp;".TF-TotalVolume")</f>
        <v>0</v>
      </c>
      <c r="U20" s="28">
        <f ca="1">RTD("xqrtd.rtdserverxqlite",,"TXON"&amp;TEXT($D$2,"00")&amp;$S$2 &amp;TEXT(R20,"0")&amp;".TF-Bid")</f>
        <v>695</v>
      </c>
      <c r="V20" s="4">
        <f t="shared" ca="1" si="3"/>
        <v>0.10933685794472695</v>
      </c>
      <c r="W20" s="11">
        <f ca="1">RTD("xqrtd.rtdserverxqlite",,"TXON"&amp;TEXT($D$2,"00")&amp;$S$2 &amp;TEXT(R20,"0")&amp;".TF-Ask")</f>
        <v>875</v>
      </c>
      <c r="X20" s="4">
        <f t="shared" ca="1" si="4"/>
        <v>0.18380329682826996</v>
      </c>
      <c r="Z20" s="18">
        <f t="shared" ca="1" si="5"/>
        <v>207182.39695704015</v>
      </c>
      <c r="AA20" s="19">
        <f t="shared" ca="1" si="14"/>
        <v>33416.729697955314</v>
      </c>
      <c r="AB20" s="20">
        <f t="shared" ca="1" si="12"/>
        <v>-139.34111940516232</v>
      </c>
      <c r="AC20" s="18">
        <f t="shared" ca="1" si="6"/>
        <v>-490810.32593248546</v>
      </c>
      <c r="AD20" s="19">
        <f t="shared" ca="1" si="13"/>
        <v>33054.241193660557</v>
      </c>
      <c r="AE20" s="20">
        <f t="shared" ca="1" si="7"/>
        <v>-142.33638183961261</v>
      </c>
    </row>
    <row r="21" spans="7:31" x14ac:dyDescent="0.25">
      <c r="G21" t="b">
        <f t="shared" ca="1" si="15"/>
        <v>1</v>
      </c>
      <c r="H21" t="b">
        <f t="shared" ca="1" si="16"/>
        <v>1</v>
      </c>
      <c r="K21" s="39" t="e">
        <f t="shared" ref="K21:K31" ca="1" si="18">IF((M21*G21+O21*H21)/COUNTIF(G21:H21,TRUE)*(P21&gt;=5)=0,NA(),(M21*G21+O21*H21)/COUNTIF(G21:H21,TRUE)*(P21&gt;=5))</f>
        <v>#N/A</v>
      </c>
      <c r="L21" s="22">
        <f ca="1">RTD("xqrtd.rtdserverxqlite",,"TXON"&amp;TEXT($D$2,"00")&amp;$L$2 &amp;TEXT(R21,"0")&amp;".TF-Bid")</f>
        <v>125</v>
      </c>
      <c r="M21" s="23">
        <f t="shared" ca="1" si="10"/>
        <v>0.13990702850222592</v>
      </c>
      <c r="N21" s="22">
        <f ca="1">RTD("xqrtd.rtdserverxqlite",,"TXON"&amp;TEXT($D$2,"00")&amp;$L$2 &amp;TEXT(R21,"0")&amp;".TF-Ask")</f>
        <v>139</v>
      </c>
      <c r="O21" s="21">
        <f t="shared" ca="1" si="1"/>
        <v>0.14642435131669046</v>
      </c>
      <c r="P21" s="16">
        <f ca="1">RTD("xqrtd.rtdserverxqlite",,"TXON"&amp;TEXT($D$2,"00")&amp;$L$2 &amp;TEXT(R21,"0")&amp;".TF-TotalVolume")</f>
        <v>0</v>
      </c>
      <c r="Q21" s="3" t="str">
        <f ca="1">RTD("xqrtd.rtdserverxqlite",,"TXON"&amp;TEXT($D$2,"00")&amp;$L$2 &amp;TEXT(R21,"0")&amp;".TF-Price")</f>
        <v>--</v>
      </c>
      <c r="R21" s="15">
        <f t="shared" si="17"/>
        <v>14800</v>
      </c>
      <c r="S21" s="3" t="str">
        <f ca="1">RTD("xqrtd.rtdserverxqlite",,"TXON"&amp;TEXT($D$2,"00")&amp;$S$2 &amp;TEXT(R21,"0")&amp;".TF-Price")</f>
        <v>--</v>
      </c>
      <c r="T21" s="17">
        <f ca="1">RTD("xqrtd.rtdserverxqlite",,"TXON"&amp;TEXT($D$2,"00")&amp;$S$2 &amp;TEXT(R21,"0")&amp;".TF-TotalVolume")</f>
        <v>0</v>
      </c>
      <c r="U21" s="28">
        <f ca="1">RTD("xqrtd.rtdserverxqlite",,"TXON"&amp;TEXT($D$2,"00")&amp;$S$2 &amp;TEXT(R21,"0")&amp;".TF-Bid")</f>
        <v>830</v>
      </c>
      <c r="V21" s="4">
        <f t="shared" ca="1" si="3"/>
        <v>9.136659847497941E-2</v>
      </c>
      <c r="W21" s="11">
        <f ca="1">RTD("xqrtd.rtdserverxqlite",,"TXON"&amp;TEXT($D$2,"00")&amp;$S$2 &amp;TEXT(R21,"0")&amp;".TF-Ask")</f>
        <v>1030</v>
      </c>
      <c r="X21" s="4">
        <f t="shared" ca="1" si="4"/>
        <v>0.18871006346344948</v>
      </c>
      <c r="Z21" s="18">
        <f t="shared" ca="1" si="5"/>
        <v>162902.5500495047</v>
      </c>
      <c r="AA21" s="19">
        <f t="shared" ca="1" si="14"/>
        <v>29775.921167520581</v>
      </c>
      <c r="AB21" s="20">
        <f t="shared" ca="1" si="12"/>
        <v>-122.25442321978761</v>
      </c>
      <c r="AC21" s="18">
        <f t="shared" ca="1" si="6"/>
        <v>-541252.83947248489</v>
      </c>
      <c r="AD21" s="19">
        <f t="shared" ca="1" si="13"/>
        <v>30040.773968988771</v>
      </c>
      <c r="AE21" s="20">
        <f t="shared" ca="1" si="7"/>
        <v>-118.00517463914844</v>
      </c>
    </row>
    <row r="22" spans="7:31" x14ac:dyDescent="0.25">
      <c r="G22" t="b">
        <f t="shared" ca="1" si="15"/>
        <v>1</v>
      </c>
      <c r="H22" t="b">
        <f t="shared" ca="1" si="16"/>
        <v>1</v>
      </c>
      <c r="K22" s="39" t="e">
        <f t="shared" ca="1" si="18"/>
        <v>#N/A</v>
      </c>
      <c r="L22" s="22">
        <f ca="1">RTD("xqrtd.rtdserverxqlite",,"TXON"&amp;TEXT($D$2,"00")&amp;$L$2 &amp;TEXT(R22,"0")&amp;".TF-Bid")</f>
        <v>88</v>
      </c>
      <c r="M22" s="23">
        <f t="shared" ca="1" si="10"/>
        <v>0.13940530169010162</v>
      </c>
      <c r="N22" s="22">
        <f ca="1">RTD("xqrtd.rtdserverxqlite",,"TXON"&amp;TEXT($D$2,"00")&amp;$L$2 &amp;TEXT(R22,"0")&amp;".TF-Ask")</f>
        <v>100</v>
      </c>
      <c r="O22" s="21">
        <f ca="1">GBSNewtonImpVolCall(N22,$C$2,R22,$E$2,$F$2,0)</f>
        <v>0.14593800173401839</v>
      </c>
      <c r="P22" s="16">
        <f ca="1">RTD("xqrtd.rtdserverxqlite",,"TXON"&amp;TEXT($D$2,"00")&amp;$L$2 &amp;TEXT(R22,"0")&amp;".TF-TotalVolume")</f>
        <v>0</v>
      </c>
      <c r="Q22" s="3" t="str">
        <f ca="1">RTD("xqrtd.rtdserverxqlite",,"TXON"&amp;TEXT($D$2,"00")&amp;$L$2 &amp;TEXT(R22,"0")&amp;".TF-Price")</f>
        <v>--</v>
      </c>
      <c r="R22" s="15">
        <f t="shared" si="17"/>
        <v>15000</v>
      </c>
      <c r="S22" s="3" t="str">
        <f ca="1">RTD("xqrtd.rtdserverxqlite",,"TXON"&amp;TEXT($D$2,"00")&amp;$S$2 &amp;TEXT(R22,"0")&amp;".TF-Price")</f>
        <v>--</v>
      </c>
      <c r="T22" s="17">
        <f ca="1">RTD("xqrtd.rtdserverxqlite",,"TXON"&amp;TEXT($D$2,"00")&amp;$S$2 &amp;TEXT(R22,"0")&amp;".TF-TotalVolume")</f>
        <v>0</v>
      </c>
      <c r="U22" s="28">
        <f ca="1">RTD("xqrtd.rtdserverxqlite",,"TXON"&amp;TEXT($D$2,"00")&amp;$S$2 &amp;TEXT(R22,"0")&amp;".TF-Bid")</f>
        <v>995</v>
      </c>
      <c r="V22" s="4">
        <f t="shared" ca="1" si="3"/>
        <v>6.1247493314743037E-2</v>
      </c>
      <c r="W22" s="11">
        <f ca="1">RTD("xqrtd.rtdserverxqlite",,"TXON"&amp;TEXT($D$2,"00")&amp;$S$2 &amp;TEXT(R22,"0")&amp;".TF-Ask")</f>
        <v>1190</v>
      </c>
      <c r="X22" s="4">
        <f t="shared" ca="1" si="4"/>
        <v>0.19245710090994839</v>
      </c>
      <c r="Z22" s="18">
        <f t="shared" ca="1" si="5"/>
        <v>125115.37192041271</v>
      </c>
      <c r="AA22" s="19">
        <f t="shared" ca="1" si="14"/>
        <v>25537.932432923099</v>
      </c>
      <c r="AB22" s="20">
        <f t="shared" ca="1" si="12"/>
        <v>-104.05082771049692</v>
      </c>
      <c r="AC22" s="18">
        <f t="shared" ca="1" si="6"/>
        <v>-596493.66150661733</v>
      </c>
      <c r="AD22" s="19">
        <f t="shared" ca="1" si="13"/>
        <v>25448.505570760346</v>
      </c>
      <c r="AE22" s="20">
        <f t="shared" ca="1" si="7"/>
        <v>-81.911235860206943</v>
      </c>
    </row>
    <row r="23" spans="7:31" x14ac:dyDescent="0.25">
      <c r="G23" t="b">
        <f t="shared" ca="1" si="15"/>
        <v>1</v>
      </c>
      <c r="H23" t="b">
        <f t="shared" ca="1" si="16"/>
        <v>1</v>
      </c>
      <c r="K23" s="39" t="e">
        <f t="shared" ca="1" si="18"/>
        <v>#N/A</v>
      </c>
      <c r="L23" s="22">
        <f ca="1">RTD("xqrtd.rtdserverxqlite",,"TXON"&amp;TEXT($D$2,"00")&amp;$L$2 &amp;TEXT(R23,"0")&amp;".TF-Bid")</f>
        <v>60</v>
      </c>
      <c r="M23" s="23">
        <f t="shared" ca="1" si="10"/>
        <v>0.13862857279777527</v>
      </c>
      <c r="N23" s="22">
        <f ca="1">RTD("xqrtd.rtdserverxqlite",,"TXON"&amp;TEXT($D$2,"00")&amp;$L$2 &amp;TEXT(R23,"0")&amp;".TF-Ask")</f>
        <v>72</v>
      </c>
      <c r="O23" s="21">
        <f t="shared" ca="1" si="1"/>
        <v>0.14651232337355619</v>
      </c>
      <c r="P23" s="16">
        <f ca="1">RTD("xqrtd.rtdserverxqlite",,"TXON"&amp;TEXT($D$2,"00")&amp;$L$2 &amp;TEXT(R23,"0")&amp;".TF-TotalVolume")</f>
        <v>4</v>
      </c>
      <c r="Q23" s="3">
        <f ca="1">RTD("xqrtd.rtdserverxqlite",,"TXON"&amp;TEXT($D$2,"00")&amp;$L$2 &amp;TEXT(R23,"0")&amp;".TF-Price")</f>
        <v>63</v>
      </c>
      <c r="R23" s="15">
        <f t="shared" si="17"/>
        <v>15200</v>
      </c>
      <c r="S23" s="3" t="str">
        <f ca="1">RTD("xqrtd.rtdserverxqlite",,"TXON"&amp;TEXT($D$2,"00")&amp;$S$2 &amp;TEXT(R23,"0")&amp;".TF-Price")</f>
        <v>--</v>
      </c>
      <c r="T23" s="17">
        <f ca="1">RTD("xqrtd.rtdserverxqlite",,"TXON"&amp;TEXT($D$2,"00")&amp;$S$2 &amp;TEXT(R23,"0")&amp;".TF-TotalVolume")</f>
        <v>0</v>
      </c>
      <c r="U23" s="28">
        <f ca="1">RTD("xqrtd.rtdserverxqlite",,"TXON"&amp;TEXT($D$2,"00")&amp;$S$2 &amp;TEXT(R23,"0")&amp;".TF-Bid")</f>
        <v>1170</v>
      </c>
      <c r="V23" s="4">
        <f t="shared" ca="1" si="3"/>
        <v>1.0000000000000002E-4</v>
      </c>
      <c r="W23" s="11">
        <f ca="1">RTD("xqrtd.rtdserverxqlite",,"TXON"&amp;TEXT($D$2,"00")&amp;$S$2 &amp;TEXT(R23,"0")&amp;".TF-Ask")</f>
        <v>1370</v>
      </c>
      <c r="X23" s="4">
        <f ca="1">GBSNewtonImpVolPut(W23,$C$2,R23,$E$2,$F$2,0)</f>
        <v>0.20252024595141416</v>
      </c>
      <c r="Z23" s="18">
        <f t="shared" ca="1" si="5"/>
        <v>94050.478988747593</v>
      </c>
      <c r="AA23" s="19">
        <f t="shared" ca="1" si="14"/>
        <v>21170.579177495973</v>
      </c>
      <c r="AB23" s="20">
        <f t="shared" ca="1" si="12"/>
        <v>-86.03412938540913</v>
      </c>
      <c r="AC23" s="18">
        <f t="shared" ca="1" si="6"/>
        <v>-660537.04485529778</v>
      </c>
      <c r="AD23" s="19">
        <f t="shared" ca="1" si="13"/>
        <v>15724.037422668855</v>
      </c>
      <c r="AE23" s="20">
        <f t="shared" ca="1" si="7"/>
        <v>-32.090183264347161</v>
      </c>
    </row>
    <row r="24" spans="7:31" x14ac:dyDescent="0.25">
      <c r="G24" t="b">
        <f t="shared" ca="1" si="15"/>
        <v>1</v>
      </c>
      <c r="H24" t="b">
        <f t="shared" ca="1" si="16"/>
        <v>1</v>
      </c>
      <c r="K24" s="39" t="e">
        <f t="shared" ca="1" si="18"/>
        <v>#N/A</v>
      </c>
      <c r="L24" s="22">
        <f ca="1">RTD("xqrtd.rtdserverxqlite",,"TXON"&amp;TEXT($D$2,"00")&amp;$L$2 &amp;TEXT(R24,"0")&amp;".TF-Bid")</f>
        <v>44</v>
      </c>
      <c r="M24" s="23">
        <f t="shared" ca="1" si="10"/>
        <v>0.14144117534756656</v>
      </c>
      <c r="N24" s="22">
        <f ca="1">RTD("xqrtd.rtdserverxqlite",,"TXON"&amp;TEXT($D$2,"00")&amp;$L$2 &amp;TEXT(R24,"0")&amp;".TF-Ask")</f>
        <v>52</v>
      </c>
      <c r="O24" s="21">
        <f t="shared" ca="1" si="1"/>
        <v>0.14782034150362017</v>
      </c>
      <c r="P24" s="16">
        <f ca="1">RTD("xqrtd.rtdserverxqlite",,"TXON"&amp;TEXT($D$2,"00")&amp;$L$2 &amp;TEXT(R24,"0")&amp;".TF-TotalVolume")</f>
        <v>0</v>
      </c>
      <c r="Q24" s="3" t="str">
        <f ca="1">RTD("xqrtd.rtdserverxqlite",,"TXON"&amp;TEXT($D$2,"00")&amp;$L$2 &amp;TEXT(R24,"0")&amp;".TF-Price")</f>
        <v>--</v>
      </c>
      <c r="R24" s="15">
        <f t="shared" si="17"/>
        <v>15400</v>
      </c>
      <c r="S24" s="3" t="str">
        <f ca="1">RTD("xqrtd.rtdserverxqlite",,"TXON"&amp;TEXT($D$2,"00")&amp;$S$2 &amp;TEXT(R24,"0")&amp;".TF-Price")</f>
        <v>--</v>
      </c>
      <c r="T24" s="17">
        <f ca="1">RTD("xqrtd.rtdserverxqlite",,"TXON"&amp;TEXT($D$2,"00")&amp;$S$2 &amp;TEXT(R24,"0")&amp;".TF-TotalVolume")</f>
        <v>0</v>
      </c>
      <c r="U24" s="28">
        <f ca="1">RTD("xqrtd.rtdserverxqlite",,"TXON"&amp;TEXT($D$2,"00")&amp;$S$2 &amp;TEXT(R24,"0")&amp;".TF-Bid")</f>
        <v>1350</v>
      </c>
      <c r="V24" s="4">
        <f t="shared" ca="1" si="3"/>
        <v>1.0000000000000002E-4</v>
      </c>
      <c r="W24" s="11">
        <f ca="1">RTD("xqrtd.rtdserverxqlite",,"TXON"&amp;TEXT($D$2,"00")&amp;$S$2 &amp;TEXT(R24,"0")&amp;".TF-Ask")</f>
        <v>1550</v>
      </c>
      <c r="X24" s="4">
        <f t="shared" ca="1" si="4"/>
        <v>0.21070307767987251</v>
      </c>
      <c r="Z24" s="18">
        <f t="shared" ca="1" si="5"/>
        <v>71514.188007983423</v>
      </c>
      <c r="AA24" s="19">
        <f t="shared" ca="1" si="14"/>
        <v>17189.948488825783</v>
      </c>
      <c r="AB24" s="20">
        <f t="shared" ca="1" si="12"/>
        <v>-71.784879292671278</v>
      </c>
      <c r="AC24" s="18">
        <f t="shared" ca="1" si="6"/>
        <v>-673211.75803043612</v>
      </c>
      <c r="AD24" s="19">
        <f t="shared" ca="1" si="13"/>
        <v>11114.55280052054</v>
      </c>
      <c r="AE24" s="20">
        <f t="shared" ca="1" si="7"/>
        <v>-24.471680146677954</v>
      </c>
    </row>
    <row r="25" spans="7:31" x14ac:dyDescent="0.25">
      <c r="G25" t="b">
        <f t="shared" ca="1" si="15"/>
        <v>1</v>
      </c>
      <c r="H25" t="b">
        <f t="shared" ca="1" si="16"/>
        <v>1</v>
      </c>
      <c r="K25" s="39" t="e">
        <f t="shared" ca="1" si="18"/>
        <v>#N/A</v>
      </c>
      <c r="L25" s="11">
        <f ca="1">RTD("xqrtd.rtdserverxqlite",,"TXON"&amp;TEXT($D$2,"00")&amp;$L$2 &amp;TEXT(R25,"0")&amp;".TF-Bid")</f>
        <v>31.5</v>
      </c>
      <c r="M25" s="4">
        <f t="shared" ca="1" si="10"/>
        <v>0.14349183021783829</v>
      </c>
      <c r="N25" s="11">
        <f ca="1">RTD("xqrtd.rtdserverxqlite",,"TXON"&amp;TEXT($D$2,"00")&amp;$L$2 &amp;TEXT(R25,"0")&amp;".TF-Ask")</f>
        <v>39.5</v>
      </c>
      <c r="O25" s="27">
        <f t="shared" ca="1" si="1"/>
        <v>0.15128927758336069</v>
      </c>
      <c r="P25" s="16">
        <f ca="1">RTD("xqrtd.rtdserverxqlite",,"TXON"&amp;TEXT($D$2,"00")&amp;$L$2 &amp;TEXT(R25,"0")&amp;".TF-TotalVolume")</f>
        <v>0</v>
      </c>
      <c r="Q25" s="3" t="str">
        <f ca="1">RTD("xqrtd.rtdserverxqlite",,"TXON"&amp;TEXT($D$2,"00")&amp;$L$2 &amp;TEXT(R25,"0")&amp;".TF-Price")</f>
        <v>--</v>
      </c>
      <c r="R25" s="15">
        <f t="shared" si="17"/>
        <v>15600</v>
      </c>
      <c r="S25" s="3" t="str">
        <f ca="1">RTD("xqrtd.rtdserverxqlite",,"TXON"&amp;TEXT($D$2,"00")&amp;$S$2 &amp;TEXT(R25,"0")&amp;".TF-Price")</f>
        <v>--</v>
      </c>
      <c r="T25" s="17">
        <f ca="1">RTD("xqrtd.rtdserverxqlite",,"TXON"&amp;TEXT($D$2,"00")&amp;$S$2 &amp;TEXT(R25,"0")&amp;".TF-TotalVolume")</f>
        <v>0</v>
      </c>
      <c r="U25" s="28">
        <f ca="1">RTD("xqrtd.rtdserverxqlite",,"TXON"&amp;TEXT($D$2,"00")&amp;$S$2 &amp;TEXT(R25,"0")&amp;".TF-Bid")</f>
        <v>1530</v>
      </c>
      <c r="V25" s="4">
        <f t="shared" ca="1" si="3"/>
        <v>1.0000000000000002E-4</v>
      </c>
      <c r="W25" s="11">
        <f ca="1">RTD("xqrtd.rtdserverxqlite",,"TXON"&amp;TEXT($D$2,"00")&amp;$S$2 &amp;TEXT(R25,"0")&amp;".TF-Ask")</f>
        <v>1730</v>
      </c>
      <c r="X25" s="4">
        <f t="shared" ca="1" si="4"/>
        <v>0.21700988741517069</v>
      </c>
      <c r="Z25" s="18">
        <f t="shared" ca="1" si="5"/>
        <v>54606.768724453897</v>
      </c>
      <c r="AA25" s="19">
        <f t="shared" ca="1" si="14"/>
        <v>13801.85344582709</v>
      </c>
      <c r="AB25" s="20">
        <f t="shared" ca="1" si="12"/>
        <v>-59.750733339198092</v>
      </c>
      <c r="AC25" s="18">
        <f t="shared" ca="1" si="6"/>
        <v>-682397.39376546815</v>
      </c>
      <c r="AD25" s="19">
        <f t="shared" ca="1" si="13"/>
        <v>7668.5264128594836</v>
      </c>
      <c r="AE25" s="20">
        <f t="shared" ca="1" si="7"/>
        <v>-17.840240858708967</v>
      </c>
    </row>
    <row r="26" spans="7:31" x14ac:dyDescent="0.25">
      <c r="G26" t="b">
        <f t="shared" ca="1" si="15"/>
        <v>1</v>
      </c>
      <c r="H26" t="b">
        <f t="shared" ca="1" si="16"/>
        <v>1</v>
      </c>
      <c r="K26" s="39" t="e">
        <f t="shared" ca="1" si="18"/>
        <v>#N/A</v>
      </c>
      <c r="L26" s="11">
        <f ca="1">RTD("xqrtd.rtdserverxqlite",,"TXON"&amp;TEXT($D$2,"00")&amp;$L$2 &amp;TEXT(R26,"0")&amp;".TF-Bid")</f>
        <v>23</v>
      </c>
      <c r="M26" s="4">
        <f t="shared" ca="1" si="10"/>
        <v>0.14624614233970643</v>
      </c>
      <c r="N26" s="11">
        <f ca="1">RTD("xqrtd.rtdserverxqlite",,"TXON"&amp;TEXT($D$2,"00")&amp;$L$2 &amp;TEXT(R26,"0")&amp;".TF-Ask")</f>
        <v>31</v>
      </c>
      <c r="O26" s="27">
        <f t="shared" ca="1" si="1"/>
        <v>0.1557406875014305</v>
      </c>
      <c r="P26" s="16">
        <f ca="1">RTD("xqrtd.rtdserverxqlite",,"TXON"&amp;TEXT($D$2,"00")&amp;$L$2 &amp;TEXT(R26,"0")&amp;".TF-TotalVolume")</f>
        <v>0</v>
      </c>
      <c r="Q26" s="3" t="str">
        <f ca="1">RTD("xqrtd.rtdserverxqlite",,"TXON"&amp;TEXT($D$2,"00")&amp;$L$2 &amp;TEXT(R26,"0")&amp;".TF-Price")</f>
        <v>--</v>
      </c>
      <c r="R26" s="15">
        <f t="shared" si="17"/>
        <v>15800</v>
      </c>
      <c r="S26" s="3" t="str">
        <f ca="1">RTD("xqrtd.rtdserverxqlite",,"TXON"&amp;TEXT($D$2,"00")&amp;$S$2 &amp;TEXT(R26,"0")&amp;".TF-Price")</f>
        <v>--</v>
      </c>
      <c r="T26" s="17">
        <f ca="1">RTD("xqrtd.rtdserverxqlite",,"TXON"&amp;TEXT($D$2,"00")&amp;$S$2 &amp;TEXT(R26,"0")&amp;".TF-TotalVolume")</f>
        <v>0</v>
      </c>
      <c r="U26" s="28">
        <f ca="1">RTD("xqrtd.rtdserverxqlite",,"TXON"&amp;TEXT($D$2,"00")&amp;$S$2 &amp;TEXT(R26,"0")&amp;".TF-Bid")</f>
        <v>1740</v>
      </c>
      <c r="V26" s="4">
        <f t="shared" ca="1" si="3"/>
        <v>1.0000000000000002E-4</v>
      </c>
      <c r="W26" s="11">
        <f ca="1">RTD("xqrtd.rtdserverxqlite",,"TXON"&amp;TEXT($D$2,"00")&amp;$S$2 &amp;TEXT(R26,"0")&amp;".TF-Ask")</f>
        <v>1900</v>
      </c>
      <c r="X26" s="4">
        <f t="shared" ca="1" si="4"/>
        <v>0.21520777148604397</v>
      </c>
      <c r="Z26" s="18">
        <f t="shared" ca="1" si="5"/>
        <v>42315.076475660935</v>
      </c>
      <c r="AA26" s="19">
        <f t="shared" ca="1" si="14"/>
        <v>11067.366152590288</v>
      </c>
      <c r="AB26" s="20">
        <f t="shared" ca="1" si="12"/>
        <v>-50.186711927583261</v>
      </c>
      <c r="AC26" s="18">
        <f t="shared" ca="1" si="6"/>
        <v>-690651.26063499169</v>
      </c>
      <c r="AD26" s="19">
        <f t="shared" ca="1" si="13"/>
        <v>4578.524721617644</v>
      </c>
      <c r="AE26" s="20">
        <f t="shared" ca="1" si="7"/>
        <v>-10.4106540787825</v>
      </c>
    </row>
    <row r="27" spans="7:31" x14ac:dyDescent="0.25">
      <c r="G27" t="b">
        <f t="shared" ca="1" si="15"/>
        <v>1</v>
      </c>
      <c r="H27" t="b">
        <f t="shared" ca="1" si="16"/>
        <v>1</v>
      </c>
      <c r="K27" s="39" t="e">
        <f t="shared" ca="1" si="18"/>
        <v>#N/A</v>
      </c>
      <c r="L27" s="11">
        <f ca="1">RTD("xqrtd.rtdserverxqlite",,"TXON"&amp;TEXT($D$2,"00")&amp;$L$2 &amp;TEXT(R27,"0")&amp;".TF-Bid")</f>
        <v>17</v>
      </c>
      <c r="M27" s="4">
        <f t="shared" ca="1" si="10"/>
        <v>0.14929178739786153</v>
      </c>
      <c r="N27" s="11">
        <f ca="1">RTD("xqrtd.rtdserverxqlite",,"TXON"&amp;TEXT($D$2,"00")&amp;$L$2 &amp;TEXT(R27,"0")&amp;".TF-Ask")</f>
        <v>25</v>
      </c>
      <c r="O27" s="27">
        <f t="shared" ca="1" si="1"/>
        <v>0.16079705431461333</v>
      </c>
      <c r="P27" s="16">
        <f ca="1">RTD("xqrtd.rtdserverxqlite",,"TXON"&amp;TEXT($D$2,"00")&amp;$L$2 &amp;TEXT(R27,"0")&amp;".TF-TotalVolume")</f>
        <v>0</v>
      </c>
      <c r="Q27" s="3" t="str">
        <f ca="1">RTD("xqrtd.rtdserverxqlite",,"TXON"&amp;TEXT($D$2,"00")&amp;$L$2 &amp;TEXT(R27,"0")&amp;".TF-Price")</f>
        <v>--</v>
      </c>
      <c r="R27" s="15">
        <f t="shared" si="17"/>
        <v>16000</v>
      </c>
      <c r="S27" s="3" t="str">
        <f ca="1">RTD("xqrtd.rtdserverxqlite",,"TXON"&amp;TEXT($D$2,"00")&amp;$S$2 &amp;TEXT(R27,"0")&amp;".TF-Price")</f>
        <v>--</v>
      </c>
      <c r="T27" s="17">
        <f ca="1">RTD("xqrtd.rtdserverxqlite",,"TXON"&amp;TEXT($D$2,"00")&amp;$S$2 &amp;TEXT(R27,"0")&amp;".TF-TotalVolume")</f>
        <v>0</v>
      </c>
      <c r="U27" s="28">
        <f ca="1">RTD("xqrtd.rtdserverxqlite",,"TXON"&amp;TEXT($D$2,"00")&amp;$S$2 &amp;TEXT(R27,"0")&amp;".TF-Bid")</f>
        <v>1920</v>
      </c>
      <c r="V27" s="4">
        <f t="shared" ca="1" si="3"/>
        <v>1.0000000000000002E-4</v>
      </c>
      <c r="W27" s="11">
        <f ca="1">RTD("xqrtd.rtdserverxqlite",,"TXON"&amp;TEXT($D$2,"00")&amp;$S$2 &amp;TEXT(R27,"0")&amp;".TF-Ask")</f>
        <v>2120</v>
      </c>
      <c r="X27" s="4">
        <f t="shared" ca="1" si="4"/>
        <v>1.0000500000000003</v>
      </c>
      <c r="Z27" s="18">
        <f t="shared" ca="1" si="5"/>
        <v>33217.3677664731</v>
      </c>
      <c r="AA27" s="19">
        <f t="shared" ca="1" si="14"/>
        <v>8897.0443019521208</v>
      </c>
      <c r="AB27" s="20">
        <f t="shared" ca="1" si="12"/>
        <v>-42.45300265440477</v>
      </c>
      <c r="AC27" s="18">
        <f t="shared" ca="1" si="6"/>
        <v>-460155.68285356468</v>
      </c>
      <c r="AD27" s="19">
        <f t="shared" ca="1" si="13"/>
        <v>10255.93813221643</v>
      </c>
      <c r="AE27" s="20">
        <f t="shared" ca="1" si="7"/>
        <v>-514.19024698361682</v>
      </c>
    </row>
    <row r="28" spans="7:31" x14ac:dyDescent="0.25">
      <c r="G28" t="b">
        <f t="shared" ca="1" si="15"/>
        <v>1</v>
      </c>
      <c r="H28" t="b">
        <f t="shared" ca="1" si="16"/>
        <v>1</v>
      </c>
      <c r="K28" s="39" t="e">
        <f t="shared" ca="1" si="18"/>
        <v>#N/A</v>
      </c>
      <c r="L28" s="11">
        <f ca="1">RTD("xqrtd.rtdserverxqlite",,"TXON"&amp;TEXT($D$2,"00")&amp;$L$2 &amp;TEXT(R28,"0")&amp;".TF-Bid")</f>
        <v>12.5</v>
      </c>
      <c r="M28" s="4">
        <f t="shared" ca="1" si="10"/>
        <v>0.15209616491794586</v>
      </c>
      <c r="N28" s="11">
        <f ca="1">RTD("xqrtd.rtdserverxqlite",,"TXON"&amp;TEXT($D$2,"00")&amp;$L$2 &amp;TEXT(R28,"0")&amp;".TF-Ask")</f>
        <v>18.5</v>
      </c>
      <c r="O28" s="27">
        <f t="shared" ca="1" si="1"/>
        <v>0.16290886049270625</v>
      </c>
      <c r="P28" s="16">
        <f ca="1">RTD("xqrtd.rtdserverxqlite",,"TXON"&amp;TEXT($D$2,"00")&amp;$L$2 &amp;TEXT(R28,"0")&amp;".TF-TotalVolume")</f>
        <v>0</v>
      </c>
      <c r="Q28" s="3" t="str">
        <f ca="1">RTD("xqrtd.rtdserverxqlite",,"TXON"&amp;TEXT($D$2,"00")&amp;$L$2 &amp;TEXT(R28,"0")&amp;".TF-Price")</f>
        <v>--</v>
      </c>
      <c r="R28" s="15">
        <f t="shared" si="17"/>
        <v>16200</v>
      </c>
      <c r="S28" s="3" t="str">
        <f ca="1">RTD("xqrtd.rtdserverxqlite",,"TXON"&amp;TEXT($D$2,"00")&amp;$S$2 &amp;TEXT(R28,"0")&amp;".TF-Price")</f>
        <v>--</v>
      </c>
      <c r="T28" s="17">
        <f ca="1">RTD("xqrtd.rtdserverxqlite",,"TXON"&amp;TEXT($D$2,"00")&amp;$S$2 &amp;TEXT(R28,"0")&amp;".TF-TotalVolume")</f>
        <v>0</v>
      </c>
      <c r="U28" s="28">
        <f ca="1">RTD("xqrtd.rtdserverxqlite",,"TXON"&amp;TEXT($D$2,"00")&amp;$S$2 &amp;TEXT(R28,"0")&amp;".TF-Bid")</f>
        <v>2040</v>
      </c>
      <c r="V28" s="4">
        <f t="shared" ca="1" si="3"/>
        <v>1.0000500000000003</v>
      </c>
      <c r="W28" s="11">
        <f ca="1">RTD("xqrtd.rtdserverxqlite",,"TXON"&amp;TEXT($D$2,"00")&amp;$S$2 &amp;TEXT(R28,"0")&amp;".TF-Ask")</f>
        <v>2340</v>
      </c>
      <c r="X28" s="4">
        <f t="shared" ca="1" si="4"/>
        <v>1.0000500000000003</v>
      </c>
      <c r="Z28" s="18">
        <f t="shared" ca="1" si="5"/>
        <v>25159.539337036626</v>
      </c>
      <c r="AA28" s="19">
        <f t="shared" ca="1" si="14"/>
        <v>6991.6460845311021</v>
      </c>
      <c r="AB28" s="20">
        <f t="shared" ca="1" si="12"/>
        <v>-34.34170002495982</v>
      </c>
      <c r="AC28" s="18">
        <f t="shared" ca="1" si="6"/>
        <v>-360997.21356393088</v>
      </c>
      <c r="AD28" s="19">
        <f t="shared" ca="1" si="13"/>
        <v>5561.3157359062761</v>
      </c>
      <c r="AE28" s="20">
        <f t="shared" ca="1" si="7"/>
        <v>-1117.0843337004499</v>
      </c>
    </row>
    <row r="29" spans="7:31" x14ac:dyDescent="0.25">
      <c r="G29" t="b">
        <f t="shared" ca="1" si="15"/>
        <v>1</v>
      </c>
      <c r="H29" t="b">
        <f t="shared" ca="1" si="16"/>
        <v>1</v>
      </c>
      <c r="K29" s="39" t="e">
        <f t="shared" ca="1" si="18"/>
        <v>#N/A</v>
      </c>
      <c r="L29" s="11">
        <f ca="1">RTD("xqrtd.rtdserverxqlite",,"TXON"&amp;TEXT($D$2,"00")&amp;$L$2 &amp;TEXT(R29,"0")&amp;".TF-Bid")</f>
        <v>11</v>
      </c>
      <c r="M29" s="4">
        <f t="shared" ca="1" si="10"/>
        <v>0.15923024575710293</v>
      </c>
      <c r="N29" s="11">
        <f ca="1">RTD("xqrtd.rtdserverxqlite",,"TXON"&amp;TEXT($D$2,"00")&amp;$L$2 &amp;TEXT(R29,"0")&amp;".TF-Ask")</f>
        <v>17</v>
      </c>
      <c r="O29" s="27">
        <f t="shared" ca="1" si="1"/>
        <v>0.17129028496742252</v>
      </c>
      <c r="P29" s="16">
        <f ca="1">RTD("xqrtd.rtdserverxqlite",,"TXON"&amp;TEXT($D$2,"00")&amp;$L$2 &amp;TEXT(R29,"0")&amp;".TF-TotalVolume")</f>
        <v>0</v>
      </c>
      <c r="Q29" s="3" t="str">
        <f ca="1">RTD("xqrtd.rtdserverxqlite",,"TXON"&amp;TEXT($D$2,"00")&amp;$L$2 &amp;TEXT(R29,"0")&amp;".TF-Price")</f>
        <v>--</v>
      </c>
      <c r="R29" s="15">
        <f t="shared" si="17"/>
        <v>16400</v>
      </c>
      <c r="S29" s="3" t="str">
        <f ca="1">RTD("xqrtd.rtdserverxqlite",,"TXON"&amp;TEXT($D$2,"00")&amp;$S$2 &amp;TEXT(R29,"0")&amp;".TF-Price")</f>
        <v>--</v>
      </c>
      <c r="T29" s="17">
        <f ca="1">RTD("xqrtd.rtdserverxqlite",,"TXON"&amp;TEXT($D$2,"00")&amp;$S$2 &amp;TEXT(R29,"0")&amp;".TF-TotalVolume")</f>
        <v>0</v>
      </c>
      <c r="U29" s="28">
        <f ca="1">RTD("xqrtd.rtdserverxqlite",,"TXON"&amp;TEXT($D$2,"00")&amp;$S$2 &amp;TEXT(R29,"0")&amp;".TF-Bid")</f>
        <v>2270</v>
      </c>
      <c r="V29" s="4">
        <f t="shared" ca="1" si="3"/>
        <v>1.0000500000000003</v>
      </c>
      <c r="W29" s="11">
        <f ca="1">RTD("xqrtd.rtdserverxqlite",,"TXON"&amp;TEXT($D$2,"00")&amp;$S$2 &amp;TEXT(R29,"0")&amp;".TF-Ask")</f>
        <v>2520</v>
      </c>
      <c r="X29" s="4">
        <f t="shared" ca="1" si="4"/>
        <v>1.0000500000000003</v>
      </c>
      <c r="Z29" s="18">
        <f t="shared" ca="1" si="5"/>
        <v>22038.462642128314</v>
      </c>
      <c r="AA29" s="19">
        <f t="shared" ca="1" si="14"/>
        <v>5974.950672052445</v>
      </c>
      <c r="AB29" s="20">
        <f t="shared" ca="1" si="12"/>
        <v>-32.26878520555605</v>
      </c>
      <c r="AC29" s="18">
        <f t="shared" ca="1" si="6"/>
        <v>-367818.7291553503</v>
      </c>
      <c r="AD29" s="19">
        <f t="shared" ca="1" si="13"/>
        <v>5554.3950061627284</v>
      </c>
      <c r="AE29" s="20">
        <f t="shared" ca="1" si="7"/>
        <v>-1115.4717411324327</v>
      </c>
    </row>
    <row r="30" spans="7:31" x14ac:dyDescent="0.25">
      <c r="G30" t="b">
        <f t="shared" ca="1" si="15"/>
        <v>1</v>
      </c>
      <c r="H30" t="b">
        <f t="shared" ca="1" si="16"/>
        <v>1</v>
      </c>
      <c r="K30" s="39" t="e">
        <f t="shared" ca="1" si="18"/>
        <v>#N/A</v>
      </c>
      <c r="L30" s="11">
        <f ca="1">RTD("xqrtd.rtdserverxqlite",,"TXON"&amp;TEXT($D$2,"00")&amp;$L$2 &amp;TEXT(R30,"0")&amp;".TF-Bid")</f>
        <v>8.5</v>
      </c>
      <c r="M30" s="4">
        <f t="shared" ca="1" si="10"/>
        <v>0.16276533968448637</v>
      </c>
      <c r="N30" s="11">
        <f ca="1">RTD("xqrtd.rtdserverxqlite",,"TXON"&amp;TEXT($D$2,"00")&amp;$L$2 &amp;TEXT(R30,"0")&amp;".TF-Ask")</f>
        <v>14.5</v>
      </c>
      <c r="O30" s="27">
        <f t="shared" ca="1" si="1"/>
        <v>0.17705018982887274</v>
      </c>
      <c r="P30" s="16">
        <f ca="1">RTD("xqrtd.rtdserverxqlite",,"TXON"&amp;TEXT($D$2,"00")&amp;$L$2 &amp;TEXT(R30,"0")&amp;".TF-TotalVolume")</f>
        <v>0</v>
      </c>
      <c r="Q30" s="3" t="str">
        <f ca="1">RTD("xqrtd.rtdserverxqlite",,"TXON"&amp;TEXT($D$2,"00")&amp;$L$2 &amp;TEXT(R30,"0")&amp;".TF-Price")</f>
        <v>--</v>
      </c>
      <c r="R30" s="15">
        <f t="shared" si="17"/>
        <v>16600</v>
      </c>
      <c r="S30" s="3" t="str">
        <f ca="1">RTD("xqrtd.rtdserverxqlite",,"TXON"&amp;TEXT($D$2,"00")&amp;$S$2 &amp;TEXT(R30,"0")&amp;".TF-Price")</f>
        <v>--</v>
      </c>
      <c r="T30" s="17">
        <f ca="1">RTD("xqrtd.rtdserverxqlite",,"TXON"&amp;TEXT($D$2,"00")&amp;$S$2 &amp;TEXT(R30,"0")&amp;".TF-TotalVolume")</f>
        <v>0</v>
      </c>
      <c r="U30" s="28">
        <f ca="1">RTD("xqrtd.rtdserverxqlite",,"TXON"&amp;TEXT($D$2,"00")&amp;$S$2 &amp;TEXT(R30,"0")&amp;".TF-Bid")</f>
        <v>2460</v>
      </c>
      <c r="V30" s="4">
        <f t="shared" ca="1" si="3"/>
        <v>1.0000500000000003</v>
      </c>
      <c r="W30" s="11">
        <f ca="1">RTD("xqrtd.rtdserverxqlite",,"TXON"&amp;TEXT($D$2,"00")&amp;$S$2 &amp;TEXT(R30,"0")&amp;".TF-Ask")</f>
        <v>2730</v>
      </c>
      <c r="X30" s="4">
        <f t="shared" ca="1" si="4"/>
        <v>1.0000500000000003</v>
      </c>
      <c r="Z30" s="18">
        <f t="shared" ca="1" si="5"/>
        <v>17981.551139568473</v>
      </c>
      <c r="AA30" s="19">
        <f t="shared" ca="1" si="14"/>
        <v>4906.0772909279622</v>
      </c>
      <c r="AB30" s="20">
        <f t="shared" ca="1" si="12"/>
        <v>-27.951652194421417</v>
      </c>
      <c r="AC30" s="18">
        <f t="shared" ca="1" si="6"/>
        <v>-374546.42306495423</v>
      </c>
      <c r="AD30" s="19">
        <f t="shared" ca="1" si="13"/>
        <v>5544.3135763723103</v>
      </c>
      <c r="AE30" s="20">
        <f t="shared" ca="1" si="7"/>
        <v>-1113.2388526628802</v>
      </c>
    </row>
    <row r="31" spans="7:31" x14ac:dyDescent="0.25">
      <c r="G31" t="e">
        <f t="shared" ca="1" si="15"/>
        <v>#VALUE!</v>
      </c>
      <c r="H31" t="e">
        <f t="shared" ca="1" si="16"/>
        <v>#VALUE!</v>
      </c>
      <c r="K31" s="39" t="e">
        <f t="shared" ca="1" si="18"/>
        <v>#VALUE!</v>
      </c>
      <c r="L31" s="11" t="str">
        <f ca="1">RTD("xqrtd.rtdserverxqlite",,"TXON"&amp;TEXT($D$2,"00")&amp;$L$2 &amp;TEXT(R31,"0")&amp;".TF-Bid")</f>
        <v>#N/A</v>
      </c>
      <c r="M31" s="4" t="e">
        <f t="shared" ca="1" si="10"/>
        <v>#VALUE!</v>
      </c>
      <c r="N31" s="11" t="str">
        <f ca="1">RTD("xqrtd.rtdserverxqlite",,"TXON"&amp;TEXT($D$2,"00")&amp;$L$2 &amp;TEXT(R31,"0")&amp;".TF-Ask")</f>
        <v>#N/A</v>
      </c>
      <c r="O31" s="27" t="e">
        <f t="shared" ca="1" si="1"/>
        <v>#VALUE!</v>
      </c>
      <c r="P31" s="16" t="str">
        <f ca="1">RTD("xqrtd.rtdserverxqlite",,"TXON"&amp;TEXT($D$2,"00")&amp;$L$2 &amp;TEXT(R31,"0")&amp;".TF-TotalVolume")</f>
        <v>#N/A</v>
      </c>
      <c r="Q31" s="3" t="str">
        <f ca="1">RTD("xqrtd.rtdserverxqlite",,"TXON"&amp;TEXT($D$2,"00")&amp;$L$2 &amp;TEXT(R31,"0")&amp;".TF-Price")</f>
        <v>#N/A</v>
      </c>
      <c r="R31" s="15">
        <f t="shared" si="17"/>
        <v>16800</v>
      </c>
      <c r="S31" s="3" t="str">
        <f ca="1">RTD("xqrtd.rtdserverxqlite",,"TXON"&amp;TEXT($D$2,"00")&amp;$S$2 &amp;TEXT(R31,"0")&amp;".TF-Price")</f>
        <v>#N/A</v>
      </c>
      <c r="T31" s="17" t="str">
        <f ca="1">RTD("xqrtd.rtdserverxqlite",,"TXON"&amp;TEXT($D$2,"00")&amp;$S$2 &amp;TEXT(R31,"0")&amp;".TF-TotalVolume")</f>
        <v>#N/A</v>
      </c>
      <c r="U31" s="28" t="str">
        <f ca="1">RTD("xqrtd.rtdserverxqlite",,"TXON"&amp;TEXT($D$2,"00")&amp;$S$2 &amp;TEXT(R31,"0")&amp;".TF-Bid")</f>
        <v>#N/A</v>
      </c>
      <c r="V31" s="4" t="e">
        <f t="shared" ca="1" si="3"/>
        <v>#VALUE!</v>
      </c>
      <c r="W31" s="11" t="str">
        <f ca="1">RTD("xqrtd.rtdserverxqlite",,"TXON"&amp;TEXT($D$2,"00")&amp;$S$2 &amp;TEXT(R31,"0")&amp;".TF-Ask")</f>
        <v>#N/A</v>
      </c>
      <c r="X31" s="4" t="e">
        <f t="shared" ca="1" si="4"/>
        <v>#VALUE!</v>
      </c>
      <c r="Z31" s="18" t="e">
        <f t="shared" ca="1" si="5"/>
        <v>#VALUE!</v>
      </c>
      <c r="AA31" s="19" t="e">
        <f t="shared" ca="1" si="14"/>
        <v>#VALUE!</v>
      </c>
      <c r="AB31" s="20" t="e">
        <f t="shared" ca="1" si="12"/>
        <v>#VALUE!</v>
      </c>
      <c r="AC31" s="18" t="e">
        <f t="shared" ca="1" si="6"/>
        <v>#VALUE!</v>
      </c>
      <c r="AD31" s="19" t="e">
        <f t="shared" ca="1" si="13"/>
        <v>#VALUE!</v>
      </c>
      <c r="AE31" s="20" t="e">
        <f t="shared" ca="1" si="7"/>
        <v>#VALUE!</v>
      </c>
    </row>
    <row r="32" spans="7:31" x14ac:dyDescent="0.25">
      <c r="O32" s="21"/>
    </row>
    <row r="33" spans="8:15" x14ac:dyDescent="0.25">
      <c r="M33" s="40"/>
      <c r="O33" s="21"/>
    </row>
    <row r="34" spans="8:15" x14ac:dyDescent="0.25">
      <c r="H34" s="39"/>
      <c r="J34" s="39"/>
    </row>
    <row r="35" spans="8:15" x14ac:dyDescent="0.25">
      <c r="H35" s="39"/>
      <c r="J35" s="39"/>
    </row>
  </sheetData>
  <mergeCells count="8">
    <mergeCell ref="L2:Q2"/>
    <mergeCell ref="S2:X2"/>
    <mergeCell ref="Z2:AB2"/>
    <mergeCell ref="AC2:AE2"/>
    <mergeCell ref="L3:M3"/>
    <mergeCell ref="N3:O3"/>
    <mergeCell ref="U3:V3"/>
    <mergeCell ref="W3:X3"/>
  </mergeCells>
  <phoneticPr fontId="2" type="noConversion"/>
  <conditionalFormatting sqref="P4:Q31">
    <cfRule type="expression" dxfId="3" priority="2">
      <formula>$P4&gt;10</formula>
    </cfRule>
  </conditionalFormatting>
  <conditionalFormatting sqref="S4:T31">
    <cfRule type="expression" dxfId="2" priority="1">
      <formula>$T4&gt;=10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tabColor rgb="FF92D050"/>
  </sheetPr>
  <dimension ref="A1:AI33"/>
  <sheetViews>
    <sheetView topLeftCell="A28" zoomScale="85" zoomScaleNormal="85" workbookViewId="0">
      <selection activeCell="E2" sqref="E2"/>
    </sheetView>
  </sheetViews>
  <sheetFormatPr defaultRowHeight="16.5" x14ac:dyDescent="0.25"/>
  <cols>
    <col min="1" max="1" width="13.875" bestFit="1" customWidth="1"/>
    <col min="2" max="2" width="9" bestFit="1" customWidth="1"/>
    <col min="3" max="3" width="6.5" bestFit="1" customWidth="1"/>
    <col min="4" max="4" width="16.125" bestFit="1" customWidth="1"/>
    <col min="5" max="5" width="15.75" bestFit="1" customWidth="1"/>
    <col min="6" max="6" width="6.5" bestFit="1" customWidth="1"/>
    <col min="7" max="7" width="2.75" bestFit="1" customWidth="1"/>
    <col min="8" max="8" width="9.625" hidden="1" customWidth="1"/>
    <col min="9" max="9" width="9.5" hidden="1" customWidth="1"/>
    <col min="10" max="11" width="9.625" hidden="1" customWidth="1"/>
    <col min="12" max="12" width="9.625" customWidth="1"/>
    <col min="13" max="13" width="11" bestFit="1" customWidth="1"/>
    <col min="14" max="14" width="7.875" bestFit="1" customWidth="1"/>
    <col min="15" max="15" width="9.5" bestFit="1" customWidth="1"/>
    <col min="16" max="16" width="7.625" bestFit="1" customWidth="1"/>
    <col min="17" max="17" width="9.5" bestFit="1" customWidth="1"/>
    <col min="18" max="18" width="7.75" bestFit="1" customWidth="1"/>
    <col min="19" max="19" width="5.5" bestFit="1" customWidth="1"/>
    <col min="20" max="20" width="13.875" bestFit="1" customWidth="1"/>
    <col min="21" max="21" width="5.5" bestFit="1" customWidth="1"/>
    <col min="22" max="22" width="7.75" bestFit="1" customWidth="1"/>
    <col min="23" max="23" width="7.625" bestFit="1" customWidth="1"/>
    <col min="24" max="24" width="9.5" bestFit="1" customWidth="1"/>
    <col min="25" max="25" width="7.625" bestFit="1" customWidth="1"/>
    <col min="26" max="26" width="9.5" bestFit="1" customWidth="1"/>
    <col min="27" max="27" width="16.875" bestFit="1" customWidth="1"/>
    <col min="28" max="28" width="9.625" bestFit="1" customWidth="1"/>
    <col min="29" max="30" width="9.5" bestFit="1" customWidth="1"/>
    <col min="31" max="31" width="10.25" bestFit="1" customWidth="1"/>
    <col min="32" max="32" width="11.25" bestFit="1" customWidth="1"/>
    <col min="34" max="34" width="16.25" bestFit="1" customWidth="1"/>
    <col min="35" max="35" width="11.25" bestFit="1" customWidth="1"/>
  </cols>
  <sheetData>
    <row r="1" spans="1:35" ht="17.25" thickBot="1" x14ac:dyDescent="0.3">
      <c r="A1" s="6" t="s">
        <v>0</v>
      </c>
      <c r="B1" s="7" t="s">
        <v>2</v>
      </c>
      <c r="C1" s="8" t="s">
        <v>1</v>
      </c>
      <c r="D1" s="1" t="s">
        <v>90</v>
      </c>
      <c r="E1" s="1" t="s">
        <v>91</v>
      </c>
      <c r="F1" s="1" t="s">
        <v>92</v>
      </c>
      <c r="G1" s="1" t="s">
        <v>93</v>
      </c>
    </row>
    <row r="2" spans="1:35" ht="17.25" thickBot="1" x14ac:dyDescent="0.3">
      <c r="A2" s="9" t="str">
        <f>RTD("xqrtd.rtdserverxqlite",,"FITXN*1.TF-Name")</f>
        <v>台股指數近月</v>
      </c>
      <c r="B2" s="5" t="str">
        <f>RTD("xqrtd.rtdserverxqlite",,"FIMX1N09.TF-PreClose")</f>
        <v>#N/A</v>
      </c>
      <c r="C2">
        <f ca="1">(C3+C4)/2</f>
        <v>14242.5</v>
      </c>
      <c r="D2" s="1">
        <f ca="1">結算日!B2</f>
        <v>12</v>
      </c>
      <c r="E2" s="1">
        <f ca="1">結算日!E10</f>
        <v>4</v>
      </c>
      <c r="F2" s="1">
        <f ca="1">F3/250</f>
        <v>1.2E-2</v>
      </c>
      <c r="G2" s="1">
        <v>0</v>
      </c>
      <c r="H2">
        <v>1</v>
      </c>
      <c r="I2">
        <v>2</v>
      </c>
      <c r="J2">
        <v>3</v>
      </c>
      <c r="K2">
        <v>4</v>
      </c>
      <c r="N2" s="56" t="s">
        <v>94</v>
      </c>
      <c r="O2" s="57"/>
      <c r="P2" s="57"/>
      <c r="Q2" s="57"/>
      <c r="R2" s="57"/>
      <c r="S2" s="57"/>
      <c r="T2" s="14" t="s">
        <v>95</v>
      </c>
      <c r="U2" s="57" t="s">
        <v>96</v>
      </c>
      <c r="V2" s="57"/>
      <c r="W2" s="57"/>
      <c r="X2" s="57"/>
      <c r="Y2" s="57"/>
      <c r="Z2" s="58"/>
      <c r="AB2" s="59" t="s">
        <v>94</v>
      </c>
      <c r="AC2" s="60"/>
      <c r="AD2" s="61"/>
      <c r="AE2" s="59" t="s">
        <v>96</v>
      </c>
      <c r="AF2" s="60"/>
      <c r="AG2" s="61"/>
    </row>
    <row r="3" spans="1:35" ht="17.25" thickBot="1" x14ac:dyDescent="0.3">
      <c r="A3" s="29">
        <f ca="1">TODAY()</f>
        <v>44186</v>
      </c>
      <c r="C3" s="10">
        <f ca="1">RTD("xqrtd.rtdserverxqlite",,"FIMX"&amp;TEXT($E$2,"0")&amp;"N"&amp;TEXT(D2,"00")&amp;".TF-Bid")</f>
        <v>14239</v>
      </c>
      <c r="F3">
        <f ca="1">結算日!E11</f>
        <v>3</v>
      </c>
      <c r="L3" t="s">
        <v>107</v>
      </c>
      <c r="M3" t="s">
        <v>108</v>
      </c>
      <c r="N3" s="62" t="s">
        <v>97</v>
      </c>
      <c r="O3" s="63"/>
      <c r="P3" s="64" t="s">
        <v>98</v>
      </c>
      <c r="Q3" s="65"/>
      <c r="R3" s="7" t="s">
        <v>3</v>
      </c>
      <c r="S3" s="7" t="s">
        <v>99</v>
      </c>
      <c r="T3" s="24" t="s">
        <v>100</v>
      </c>
      <c r="U3" s="7" t="s">
        <v>99</v>
      </c>
      <c r="V3" s="7" t="s">
        <v>3</v>
      </c>
      <c r="W3" s="66" t="s">
        <v>101</v>
      </c>
      <c r="X3" s="67"/>
      <c r="Y3" s="64" t="s">
        <v>98</v>
      </c>
      <c r="Z3" s="65"/>
      <c r="AB3" s="16" t="s">
        <v>102</v>
      </c>
      <c r="AC3" s="3" t="s">
        <v>103</v>
      </c>
      <c r="AD3" s="17" t="s">
        <v>104</v>
      </c>
      <c r="AE3" s="16" t="s">
        <v>102</v>
      </c>
      <c r="AF3" s="3" t="s">
        <v>103</v>
      </c>
      <c r="AG3" s="17" t="s">
        <v>104</v>
      </c>
    </row>
    <row r="4" spans="1:35" x14ac:dyDescent="0.25">
      <c r="C4">
        <f ca="1">RTD("xqrtd.rtdserverxqlite",,"FIMX"&amp;TEXT($E$2,"0")&amp;"N"&amp;TEXT(D2,"00")&amp;".TF-Ask")</f>
        <v>14246</v>
      </c>
      <c r="H4" t="e">
        <f t="shared" ref="H4:H15" ca="1" si="0">AND(O4&lt;1,O4&gt;0.05)</f>
        <v>#VALUE!</v>
      </c>
      <c r="I4" t="e">
        <f t="shared" ref="I4:I15" ca="1" si="1">AND(Q4&lt;1,Q4&gt;0.05)</f>
        <v>#VALUE!</v>
      </c>
      <c r="J4" t="e">
        <f ca="1">AND(X4&lt;1,X4&gt;0.01)</f>
        <v>#VALUE!</v>
      </c>
      <c r="K4" t="e">
        <f ca="1">AND(Z4&lt;1,Z4&gt;0.01)</f>
        <v>#VALUE!</v>
      </c>
      <c r="L4" s="39" t="e">
        <f t="shared" ref="L4:L10" ca="1" si="2">IFERROR(IF((O4*H4+Q4*I4)/COUNTIF(H4:I4,TRUE)*(R4&gt;=30)=0,NA(),(O4*H4+Q4*H4)/COUNTIF(H4:I4,TRUE)*(R4&gt;=30)),NA())</f>
        <v>#N/A</v>
      </c>
      <c r="M4" s="39" t="e">
        <f ca="1">IFERROR(IF((X4*J4+Z4*K4)/COUNTIF(J4:K4,TRUE)*(V4&gt;=30)=0,NA(),(X4*J4+Z4*K4)/COUNTIF(J4:K4,TRUE)*(V4&gt;=30)),NA())</f>
        <v>#N/A</v>
      </c>
      <c r="N4" s="12" t="str">
        <f ca="1">RTD("xqrtd.rtdserverxqlite",,"TX"&amp;TEXT($E$2,"0")&amp;"N"&amp;TEXT($D$2,"00")&amp;$N$2 &amp;TEXT(T4,"0")&amp;".TF-Bid")</f>
        <v>#N/A</v>
      </c>
      <c r="O4" s="13" t="e">
        <f t="shared" ref="O4:O29" ca="1" si="3">GBSNewtonImpVolCall(N4,$C$3,T4,$F$2,$G$2,0)</f>
        <v>#VALUE!</v>
      </c>
      <c r="P4" s="12" t="str">
        <f ca="1">RTD("xqrtd.rtdserverxqlite",,"TX"&amp;TEXT($E$2,"0")&amp;"N"&amp;TEXT($D$2,"00")&amp;$N$2 &amp;TEXT(T4,"0")&amp;".TF-Ask")</f>
        <v>#N/A</v>
      </c>
      <c r="Q4" s="25" t="e">
        <f t="shared" ref="Q4:Q29" ca="1" si="4">GBSNewtonImpVolCall(P4,$C$3,T4,$F$2,$G$2,0)</f>
        <v>#VALUE!</v>
      </c>
      <c r="R4" s="6" t="str">
        <f ca="1">RTD("xqrtd.rtdserverxqlite",,"TX"&amp;TEXT($E$2,"0")&amp;"N"&amp;TEXT($D$2,"00")&amp;$N$2 &amp;TEXT(T4,"0")&amp;".TF-TotalVolume")</f>
        <v>#N/A</v>
      </c>
      <c r="S4" s="7" t="str">
        <f ca="1">RTD("xqrtd.rtdserverxqlite",,"TX"&amp;TEXT($E$2,"0")&amp;"N"&amp;TEXT($D$2,"00")&amp;$N$2 &amp;TEXT(T4,"0")&amp;".TF-Price")</f>
        <v>#N/A</v>
      </c>
      <c r="T4" s="24">
        <f ca="1">T5-50</f>
        <v>13550</v>
      </c>
      <c r="U4" s="7" t="str">
        <f ca="1">RTD("xqrtd.rtdserverxqlite",,"TX"&amp;TEXT($E$2,"0")&amp;"N"&amp;TEXT($D$2,"00")&amp;$U$2 &amp;TEXT(T4,"0")&amp;".TF-Price")</f>
        <v>#N/A</v>
      </c>
      <c r="V4" s="8" t="str">
        <f ca="1">RTD("xqrtd.rtdserverxqlite",,"TX"&amp;TEXT($E$2,"0")&amp;"N"&amp;TEXT($D$2,"00")&amp;$U$2 &amp;TEXT(T4,"0")&amp;".TF-TotalVolume")</f>
        <v>#N/A</v>
      </c>
      <c r="W4" s="26" t="str">
        <f ca="1">RTD("xqrtd.rtdserverxqlite",,"TX"&amp;TEXT($E$2,"0")&amp;"N"&amp;TEXT($D$2,"00")&amp;$U$2 &amp;TEXT(T4,"0")&amp;".TF-Bid")</f>
        <v>#N/A</v>
      </c>
      <c r="X4" s="13" t="e">
        <f t="shared" ref="X4:X29" ca="1" si="5">GBSNewtonImpVolPut(W4,$C$3,T4,$F$2,$G$2,0)</f>
        <v>#VALUE!</v>
      </c>
      <c r="Y4" s="12" t="str">
        <f ca="1">RTD("xqrtd.rtdserverxqlite",,"TX"&amp;TEXT($E$2,"0")&amp;"N"&amp;TEXT($D$2,"00")&amp;$U$2 &amp;TEXT(T4,"0")&amp;".TF-Ask")</f>
        <v>#N/A</v>
      </c>
      <c r="Z4" s="13" t="e">
        <f t="shared" ref="Z4:Z29" ca="1" si="6">GBSNewtonImpVolPut(Y4,$C$3,T4,$F$2,$G$2,0)</f>
        <v>#VALUE!</v>
      </c>
      <c r="AB4" s="18" t="e">
        <f t="shared" ref="AB4:AB29" ca="1" si="7">gDelta($N$2,$C$3,T4,$F$2,$G$2,0,AVERAGE(O4,Q4))*$C$3*50</f>
        <v>#VALUE!</v>
      </c>
      <c r="AC4" s="19" t="e">
        <f t="shared" ref="AC4:AC29" ca="1" si="8">gGamma($C$3,T4,$F$2,$G$2,0,AVERAGE(O4,Q4))*$C$3^2*0.01*50</f>
        <v>#VALUE!</v>
      </c>
      <c r="AD4" s="20" t="e">
        <f t="shared" ref="AD4:AD29" ca="1" si="9">(-BlackScholes($N$2,$C$3,$T4,$F$2,$G$2,0,AVERAGE(O4,Q4))+BlackScholes($N$2,$C$3,$T4,$F$2-1/250,$G$2,0,AVERAGE(O4,Q4)))*50</f>
        <v>#VALUE!</v>
      </c>
      <c r="AE4" s="18" t="e">
        <f t="shared" ref="AE4:AE29" ca="1" si="10">gDelta($U$2,$C$3,T4,$F$2,$G$2,0,AVERAGE(X4,Z4))*$C$3*50</f>
        <v>#VALUE!</v>
      </c>
      <c r="AF4" s="19" t="e">
        <f t="shared" ref="AF4:AF29" ca="1" si="11">gGamma($C$3,T4,$F$2,$G$2,0,AVERAGE(X4,Z4))*$C$3^2*0.01*50</f>
        <v>#VALUE!</v>
      </c>
      <c r="AG4" s="20" t="e">
        <f t="shared" ref="AG4:AG29" ca="1" si="12">(-BlackScholes($U$2,$C$3,$T4,$F$2,$G$2,0,AVERAGE(Z4,X4))+BlackScholes($U$2,$C$3,$T4,$F$2-1/250,$G$2,0,AVERAGE(Z4,X4)))*50</f>
        <v>#VALUE!</v>
      </c>
    </row>
    <row r="5" spans="1:35" x14ac:dyDescent="0.25">
      <c r="H5" t="b">
        <f t="shared" ca="1" si="0"/>
        <v>1</v>
      </c>
      <c r="I5" t="b">
        <f t="shared" ca="1" si="1"/>
        <v>1</v>
      </c>
      <c r="J5" t="b">
        <f ca="1">AND(X5&lt;1,X5&gt;0.01)</f>
        <v>1</v>
      </c>
      <c r="K5" t="b">
        <f ca="1">AND(Z5&lt;1,Z5&gt;0.01)</f>
        <v>1</v>
      </c>
      <c r="L5" s="39" t="e">
        <f t="shared" ca="1" si="2"/>
        <v>#N/A</v>
      </c>
      <c r="M5" s="39">
        <f ca="1">IFERROR(IF((X5*J5+Z5*K5)/COUNTIF(J5:K5,TRUE)*(V5&gt;=30)=0,NA(),(X5*J5+Z5*K5)/COUNTIF(J5:K5,TRUE)*(V5&gt;=30)),NA())</f>
        <v>0.18532480812072755</v>
      </c>
      <c r="N5" s="11">
        <f ca="1">RTD("xqrtd.rtdserverxqlite",,"TX"&amp;TEXT($E$2,"0")&amp;"N"&amp;TEXT($D$2,"00")&amp;$N$2 &amp;TEXT(T5,"0")&amp;".TF-Bid")</f>
        <v>640</v>
      </c>
      <c r="O5" s="4">
        <f t="shared" ca="1" si="3"/>
        <v>0.18199474391937259</v>
      </c>
      <c r="P5" s="11">
        <f ca="1">RTD("xqrtd.rtdserverxqlite",,"TX"&amp;TEXT($E$2,"0")&amp;"N"&amp;TEXT($D$2,"00")&amp;$N$2 &amp;TEXT(T5,"0")&amp;".TF-Ask")</f>
        <v>650</v>
      </c>
      <c r="Q5" s="27">
        <f t="shared" ca="1" si="4"/>
        <v>0.27173196368217456</v>
      </c>
      <c r="R5" s="16">
        <f ca="1">RTD("xqrtd.rtdserverxqlite",,"TX"&amp;TEXT($E$2,"0")&amp;"N"&amp;TEXT($D$2,"00")&amp;$N$2 &amp;TEXT(T5,"0")&amp;".TF-TotalVolume")</f>
        <v>0</v>
      </c>
      <c r="S5" s="3" t="str">
        <f ca="1">RTD("xqrtd.rtdserverxqlite",,"TX"&amp;TEXT($E$2,"0")&amp;"N"&amp;TEXT($D$2,"00")&amp;$N$2 &amp;TEXT(T5,"0")&amp;".TF-Price")</f>
        <v>--</v>
      </c>
      <c r="T5" s="15">
        <f ca="1">T6-50</f>
        <v>13600</v>
      </c>
      <c r="U5" s="3">
        <f ca="1">RTD("xqrtd.rtdserverxqlite",,"TX"&amp;TEXT($E$2,"0")&amp;"N"&amp;TEXT($D$2,"00")&amp;$U$2 &amp;TEXT(T5,"0")&amp;".TF-Price")</f>
        <v>1.2</v>
      </c>
      <c r="V5" s="17">
        <f ca="1">RTD("xqrtd.rtdserverxqlite",,"TX"&amp;TEXT($E$2,"0")&amp;"N"&amp;TEXT($D$2,"00")&amp;$U$2 &amp;TEXT(T5,"0")&amp;".TF-TotalVolume")</f>
        <v>905</v>
      </c>
      <c r="W5" s="28">
        <f ca="1">RTD("xqrtd.rtdserverxqlite",,"TX"&amp;TEXT($E$2,"0")&amp;"N"&amp;TEXT($D$2,"00")&amp;$U$2 &amp;TEXT(T5,"0")&amp;".TF-Bid")</f>
        <v>1.1000000000000001</v>
      </c>
      <c r="X5" s="4">
        <f t="shared" ca="1" si="5"/>
        <v>0.18426056079864506</v>
      </c>
      <c r="Y5" s="11">
        <f ca="1">RTD("xqrtd.rtdserverxqlite",,"TX"&amp;TEXT($E$2,"0")&amp;"N"&amp;TEXT($D$2,"00")&amp;$U$2 &amp;TEXT(T5,"0")&amp;".TF-Ask")</f>
        <v>1.2</v>
      </c>
      <c r="Z5" s="4">
        <f t="shared" ca="1" si="6"/>
        <v>0.18638905544281004</v>
      </c>
      <c r="AB5" s="18">
        <f t="shared" ca="1" si="7"/>
        <v>689559.53785742482</v>
      </c>
      <c r="AC5" s="19">
        <f t="shared" ca="1" si="8"/>
        <v>20266.25438131476</v>
      </c>
      <c r="AD5" s="20">
        <f t="shared" ca="1" si="9"/>
        <v>-160.91850631046327</v>
      </c>
      <c r="AE5" s="18">
        <f t="shared" ca="1" si="10"/>
        <v>-8229.8704348390638</v>
      </c>
      <c r="AF5" s="19">
        <f t="shared" ca="1" si="11"/>
        <v>10595.007734373599</v>
      </c>
      <c r="AG5" s="20">
        <f t="shared" ca="1" si="12"/>
        <v>-47.868254480767725</v>
      </c>
    </row>
    <row r="6" spans="1:35" x14ac:dyDescent="0.25">
      <c r="H6" t="b">
        <f t="shared" ca="1" si="0"/>
        <v>1</v>
      </c>
      <c r="I6" t="b">
        <f t="shared" ca="1" si="1"/>
        <v>1</v>
      </c>
      <c r="J6" t="b">
        <f ca="1">AND(X6&lt;1,X6&gt;0.01)</f>
        <v>1</v>
      </c>
      <c r="K6" t="b">
        <f ca="1">AND(Z6&lt;1,Z6&gt;0.01)</f>
        <v>1</v>
      </c>
      <c r="L6" s="39" t="e">
        <f t="shared" ca="1" si="2"/>
        <v>#N/A</v>
      </c>
      <c r="M6" s="39">
        <f ca="1">IFERROR(IF((X6*J6+Z6*K6)/COUNTIF(J6:K6,TRUE)*(V6&gt;=30)=0,NA(),(X6*J6+Z6*K6)/COUNTIF(J6:K6,TRUE)*(V6&gt;=30)),NA())</f>
        <v>0.17704542169570925</v>
      </c>
      <c r="N6" s="11">
        <f ca="1">RTD("xqrtd.rtdserverxqlite",,"TX"&amp;TEXT($E$2,"0")&amp;"N"&amp;TEXT($D$2,"00")&amp;$N$2 &amp;TEXT(T6,"0")&amp;".TF-Bid")</f>
        <v>590</v>
      </c>
      <c r="O6" s="4">
        <f t="shared" ca="1" si="3"/>
        <v>0.16922759056091308</v>
      </c>
      <c r="P6" s="11">
        <f ca="1">RTD("xqrtd.rtdserverxqlite",,"TX"&amp;TEXT($E$2,"0")&amp;"N"&amp;TEXT($D$2,"00")&amp;$N$2 &amp;TEXT(T6,"0")&amp;".TF-Ask")</f>
        <v>600</v>
      </c>
      <c r="Q6" s="27">
        <f t="shared" ca="1" si="4"/>
        <v>0.25455428714752193</v>
      </c>
      <c r="R6" s="16">
        <f ca="1">RTD("xqrtd.rtdserverxqlite",,"TX"&amp;TEXT($E$2,"0")&amp;"N"&amp;TEXT($D$2,"00")&amp;$N$2 &amp;TEXT(T6,"0")&amp;".TF-TotalVolume")</f>
        <v>0</v>
      </c>
      <c r="S6" s="3" t="str">
        <f ca="1">RTD("xqrtd.rtdserverxqlite",,"TX"&amp;TEXT($E$2,"0")&amp;"N"&amp;TEXT($D$2,"00")&amp;$N$2 &amp;TEXT(T6,"0")&amp;".TF-Price")</f>
        <v>--</v>
      </c>
      <c r="T6" s="15">
        <f t="shared" ref="T6:T15" ca="1" si="13">T7-50</f>
        <v>13650</v>
      </c>
      <c r="U6" s="3">
        <f ca="1">RTD("xqrtd.rtdserverxqlite",,"TX"&amp;TEXT($E$2,"0")&amp;"N"&amp;TEXT($D$2,"00")&amp;$U$2 &amp;TEXT(T6,"0")&amp;".TF-Price")</f>
        <v>1.4</v>
      </c>
      <c r="V6" s="17">
        <f ca="1">RTD("xqrtd.rtdserverxqlite",,"TX"&amp;TEXT($E$2,"0")&amp;"N"&amp;TEXT($D$2,"00")&amp;$U$2 &amp;TEXT(T6,"0")&amp;".TF-TotalVolume")</f>
        <v>518</v>
      </c>
      <c r="W6" s="28">
        <f ca="1">RTD("xqrtd.rtdserverxqlite",,"TX"&amp;TEXT($E$2,"0")&amp;"N"&amp;TEXT($D$2,"00")&amp;$U$2 &amp;TEXT(T6,"0")&amp;".TF-Bid")</f>
        <v>1.3</v>
      </c>
      <c r="X6" s="4">
        <f t="shared" ca="1" si="5"/>
        <v>0.17528121242523198</v>
      </c>
      <c r="Y6" s="11">
        <f ca="1">RTD("xqrtd.rtdserverxqlite",,"TX"&amp;TEXT($E$2,"0")&amp;"N"&amp;TEXT($D$2,"00")&amp;$U$2 &amp;TEXT(T6,"0")&amp;".TF-Ask")</f>
        <v>1.5</v>
      </c>
      <c r="Z6" s="4">
        <f t="shared" ca="1" si="6"/>
        <v>0.17880963096618652</v>
      </c>
      <c r="AB6" s="18">
        <f t="shared" ca="1" si="7"/>
        <v>688093.07021515479</v>
      </c>
      <c r="AC6" s="19">
        <f t="shared" ca="1" si="8"/>
        <v>22864.776994554195</v>
      </c>
      <c r="AD6" s="20">
        <f t="shared" ca="1" si="9"/>
        <v>-159.94846745961127</v>
      </c>
      <c r="AE6" s="18">
        <f t="shared" ca="1" si="10"/>
        <v>-10215.458610112521</v>
      </c>
      <c r="AF6" s="19">
        <f t="shared" ca="1" si="11"/>
        <v>13372.266943097187</v>
      </c>
      <c r="AG6" s="20">
        <f t="shared" ca="1" si="12"/>
        <v>-57.022954311128125</v>
      </c>
    </row>
    <row r="7" spans="1:35" x14ac:dyDescent="0.25">
      <c r="H7" t="b">
        <f t="shared" ca="1" si="0"/>
        <v>1</v>
      </c>
      <c r="I7" t="b">
        <f t="shared" ca="1" si="1"/>
        <v>1</v>
      </c>
      <c r="J7" t="b">
        <f t="shared" ref="J7:J14" ca="1" si="14">AND(X7&lt;1,X7&gt;0.01)</f>
        <v>1</v>
      </c>
      <c r="K7" t="b">
        <f ca="1">AND(Z7&lt;1,Z7&gt;0.01)</f>
        <v>1</v>
      </c>
      <c r="L7" s="39" t="e">
        <f t="shared" ca="1" si="2"/>
        <v>#N/A</v>
      </c>
      <c r="M7" s="39">
        <f ca="1">IFERROR(IF((X7*J7+Z7*K7)/COUNTIF(J7:K7,TRUE)*(V7&gt;=30)=0,NA(),(X7*J7+Z7*K7)/COUNTIF(J7:K7,TRUE)*(V7&gt;=30)),NA())</f>
        <v>0.16770941696166991</v>
      </c>
      <c r="N7" s="11">
        <f ca="1">RTD("xqrtd.rtdserverxqlite",,"TX"&amp;TEXT($E$2,"0")&amp;"N"&amp;TEXT($D$2,"00")&amp;$N$2 &amp;TEXT(T7,"0")&amp;".TF-Bid")</f>
        <v>540</v>
      </c>
      <c r="O7" s="4">
        <f t="shared" ca="1" si="3"/>
        <v>0.15639559059143066</v>
      </c>
      <c r="P7" s="11">
        <f ca="1">RTD("xqrtd.rtdserverxqlite",,"TX"&amp;TEXT($E$2,"0")&amp;"N"&amp;TEXT($D$2,"00")&amp;$N$2 &amp;TEXT(T7,"0")&amp;".TF-Ask")</f>
        <v>550</v>
      </c>
      <c r="Q7" s="27">
        <f t="shared" ca="1" si="4"/>
        <v>0.23722879848480227</v>
      </c>
      <c r="R7" s="16">
        <f ca="1">RTD("xqrtd.rtdserverxqlite",,"TX"&amp;TEXT($E$2,"0")&amp;"N"&amp;TEXT($D$2,"00")&amp;$N$2 &amp;TEXT(T7,"0")&amp;".TF-TotalVolume")</f>
        <v>15</v>
      </c>
      <c r="S7" s="3">
        <f ca="1">RTD("xqrtd.rtdserverxqlite",,"TX"&amp;TEXT($E$2,"0")&amp;"N"&amp;TEXT($D$2,"00")&amp;$N$2 &amp;TEXT(T7,"0")&amp;".TF-Price")</f>
        <v>555</v>
      </c>
      <c r="T7" s="15">
        <f t="shared" ca="1" si="13"/>
        <v>13700</v>
      </c>
      <c r="U7" s="3">
        <f ca="1">RTD("xqrtd.rtdserverxqlite",,"TX"&amp;TEXT($E$2,"0")&amp;"N"&amp;TEXT($D$2,"00")&amp;$U$2 &amp;TEXT(T7,"0")&amp;".TF-Price")</f>
        <v>1.6</v>
      </c>
      <c r="V7" s="17">
        <f ca="1">RTD("xqrtd.rtdserverxqlite",,"TX"&amp;TEXT($E$2,"0")&amp;"N"&amp;TEXT($D$2,"00")&amp;$U$2 &amp;TEXT(T7,"0")&amp;".TF-TotalVolume")</f>
        <v>644</v>
      </c>
      <c r="W7" s="28">
        <f ca="1">RTD("xqrtd.rtdserverxqlite",,"TX"&amp;TEXT($E$2,"0")&amp;"N"&amp;TEXT($D$2,"00")&amp;$U$2 &amp;TEXT(T7,"0")&amp;".TF-Bid")</f>
        <v>1.6</v>
      </c>
      <c r="X7" s="4">
        <f t="shared" ca="1" si="5"/>
        <v>0.16696368093490599</v>
      </c>
      <c r="Y7" s="11">
        <f ca="1">RTD("xqrtd.rtdserverxqlite",,"TX"&amp;TEXT($E$2,"0")&amp;"N"&amp;TEXT($D$2,"00")&amp;$U$2 &amp;TEXT(T7,"0")&amp;".TF-Ask")</f>
        <v>1.7</v>
      </c>
      <c r="Z7" s="4">
        <f t="shared" ca="1" si="6"/>
        <v>0.16845515298843383</v>
      </c>
      <c r="AB7" s="18">
        <f t="shared" ca="1" si="7"/>
        <v>686402.43979143538</v>
      </c>
      <c r="AC7" s="19">
        <f t="shared" ca="1" si="8"/>
        <v>26041.09660815978</v>
      </c>
      <c r="AD7" s="20">
        <f t="shared" ca="1" si="9"/>
        <v>-158.85048221020384</v>
      </c>
      <c r="AE7" s="18">
        <f t="shared" ca="1" si="10"/>
        <v>-12426.886355505643</v>
      </c>
      <c r="AF7" s="19">
        <f t="shared" ca="1" si="11"/>
        <v>16702.361197622933</v>
      </c>
      <c r="AG7" s="20">
        <f t="shared" ca="1" si="12"/>
        <v>-65.902353971134374</v>
      </c>
    </row>
    <row r="8" spans="1:35" x14ac:dyDescent="0.25">
      <c r="H8" t="b">
        <f t="shared" ca="1" si="0"/>
        <v>1</v>
      </c>
      <c r="I8" t="b">
        <f t="shared" ca="1" si="1"/>
        <v>1</v>
      </c>
      <c r="J8" t="b">
        <f t="shared" ca="1" si="14"/>
        <v>1</v>
      </c>
      <c r="K8" t="b">
        <f ca="1">AND(Z8&lt;1,Z8&gt;0.01)</f>
        <v>1</v>
      </c>
      <c r="L8" s="39" t="e">
        <f t="shared" ca="1" si="2"/>
        <v>#N/A</v>
      </c>
      <c r="M8" s="39">
        <f ca="1">IFERROR(IF((X8*J8+Z8*K8)/COUNTIF(J8:K8,TRUE)*(V8&gt;=30)=0,NA(),(X8*J8+Z8*K8)/COUNTIF(J8:K8,TRUE)*(V8&gt;=30)),NA())</f>
        <v>0.15987918868064882</v>
      </c>
      <c r="N8" s="11">
        <f ca="1">RTD("xqrtd.rtdserverxqlite",,"TX"&amp;TEXT($E$2,"0")&amp;"N"&amp;TEXT($D$2,"00")&amp;$N$2 &amp;TEXT(T8,"0")&amp;".TF-Bid")</f>
        <v>490</v>
      </c>
      <c r="O8" s="4">
        <f t="shared" ca="1" si="3"/>
        <v>0.14349111499786377</v>
      </c>
      <c r="P8" s="11">
        <f ca="1">RTD("xqrtd.rtdserverxqlite",,"TX"&amp;TEXT($E$2,"0")&amp;"N"&amp;TEXT($D$2,"00")&amp;$N$2 &amp;TEXT(T8,"0")&amp;".TF-Ask")</f>
        <v>500</v>
      </c>
      <c r="Q8" s="27">
        <f t="shared" ca="1" si="4"/>
        <v>0.21973070340156559</v>
      </c>
      <c r="R8" s="16">
        <f ca="1">RTD("xqrtd.rtdserverxqlite",,"TX"&amp;TEXT($E$2,"0")&amp;"N"&amp;TEXT($D$2,"00")&amp;$N$2 &amp;TEXT(T8,"0")&amp;".TF-TotalVolume")</f>
        <v>15</v>
      </c>
      <c r="S8" s="3">
        <f ca="1">RTD("xqrtd.rtdserverxqlite",,"TX"&amp;TEXT($E$2,"0")&amp;"N"&amp;TEXT($D$2,"00")&amp;$N$2 &amp;TEXT(T8,"0")&amp;".TF-Price")</f>
        <v>495</v>
      </c>
      <c r="T8" s="15">
        <f t="shared" ca="1" si="13"/>
        <v>13750</v>
      </c>
      <c r="U8" s="3">
        <f ca="1">RTD("xqrtd.rtdserverxqlite",,"TX"&amp;TEXT($E$2,"0")&amp;"N"&amp;TEXT($D$2,"00")&amp;$U$2 &amp;TEXT(T8,"0")&amp;".TF-Price")</f>
        <v>2.2000000000000002</v>
      </c>
      <c r="V8" s="17">
        <f ca="1">RTD("xqrtd.rtdserverxqlite",,"TX"&amp;TEXT($E$2,"0")&amp;"N"&amp;TEXT($D$2,"00")&amp;$U$2 &amp;TEXT(T8,"0")&amp;".TF-TotalVolume")</f>
        <v>1061</v>
      </c>
      <c r="W8" s="28">
        <f ca="1">RTD("xqrtd.rtdserverxqlite",,"TX"&amp;TEXT($E$2,"0")&amp;"N"&amp;TEXT($D$2,"00")&amp;$U$2 &amp;TEXT(T8,"0")&amp;".TF-Bid")</f>
        <v>2</v>
      </c>
      <c r="X8" s="4">
        <f t="shared" ca="1" si="5"/>
        <v>0.15868048000335694</v>
      </c>
      <c r="Y8" s="11">
        <f ca="1">RTD("xqrtd.rtdserverxqlite",,"TX"&amp;TEXT($E$2,"0")&amp;"N"&amp;TEXT($D$2,"00")&amp;$U$2 &amp;TEXT(T8,"0")&amp;".TF-Ask")</f>
        <v>2.2000000000000002</v>
      </c>
      <c r="Z8" s="4">
        <f t="shared" ca="1" si="6"/>
        <v>0.1610778973579407</v>
      </c>
      <c r="AB8" s="18">
        <f t="shared" ca="1" si="7"/>
        <v>684427.08939864335</v>
      </c>
      <c r="AC8" s="19">
        <f t="shared" ca="1" si="8"/>
        <v>29992.196641173276</v>
      </c>
      <c r="AD8" s="20">
        <f t="shared" ca="1" si="9"/>
        <v>-157.60643728096113</v>
      </c>
      <c r="AE8" s="18">
        <f t="shared" ca="1" si="10"/>
        <v>-16047.011036074991</v>
      </c>
      <c r="AF8" s="19">
        <f t="shared" ca="1" si="11"/>
        <v>21769.127938360332</v>
      </c>
      <c r="AG8" s="20">
        <f t="shared" ca="1" si="12"/>
        <v>-81.284225986822008</v>
      </c>
    </row>
    <row r="9" spans="1:35" x14ac:dyDescent="0.25">
      <c r="H9" t="b">
        <f t="shared" ca="1" si="0"/>
        <v>1</v>
      </c>
      <c r="I9" t="b">
        <f t="shared" ca="1" si="1"/>
        <v>1</v>
      </c>
      <c r="J9" t="b">
        <f t="shared" ca="1" si="14"/>
        <v>1</v>
      </c>
      <c r="K9" t="b">
        <f t="shared" ref="K9:K14" ca="1" si="15">AND(Z9&lt;1,Z9&gt;0.01)</f>
        <v>1</v>
      </c>
      <c r="L9" s="39" t="e">
        <f t="shared" ca="1" si="2"/>
        <v>#N/A</v>
      </c>
      <c r="M9" s="39">
        <f t="shared" ref="M9:M21" ca="1" si="16">IFERROR(IF((X9*J9+Z9*K9)/COUNTIF(J9:K9,TRUE)*(V9&gt;=30)=0,NA(),(X9*J9+Z9*K9)/COUNTIF(J9:K9,TRUE)*(V9&gt;=30)),NA())</f>
        <v>0.15243947050571444</v>
      </c>
      <c r="N9" s="11">
        <f ca="1">RTD("xqrtd.rtdserverxqlite",,"TX"&amp;TEXT($E$2,"0")&amp;"N"&amp;TEXT($D$2,"00")&amp;$N$2 &amp;TEXT(T9,"0")&amp;".TF-Bid")</f>
        <v>440</v>
      </c>
      <c r="O9" s="4">
        <f t="shared" ca="1" si="3"/>
        <v>0.13049890575408934</v>
      </c>
      <c r="P9" s="11">
        <f ca="1">RTD("xqrtd.rtdserverxqlite",,"TX"&amp;TEXT($E$2,"0")&amp;"N"&amp;TEXT($D$2,"00")&amp;$N$2 &amp;TEXT(T9,"0")&amp;".TF-Ask")</f>
        <v>450</v>
      </c>
      <c r="Q9" s="27">
        <f t="shared" ca="1" si="4"/>
        <v>0.20203043947219851</v>
      </c>
      <c r="R9" s="16">
        <f ca="1">RTD("xqrtd.rtdserverxqlite",,"TX"&amp;TEXT($E$2,"0")&amp;"N"&amp;TEXT($D$2,"00")&amp;$N$2 &amp;TEXT(T9,"0")&amp;".TF-TotalVolume")</f>
        <v>1</v>
      </c>
      <c r="S9" s="3">
        <f ca="1">RTD("xqrtd.rtdserverxqlite",,"TX"&amp;TEXT($E$2,"0")&amp;"N"&amp;TEXT($D$2,"00")&amp;$N$2 &amp;TEXT(T9,"0")&amp;".TF-Price")</f>
        <v>440</v>
      </c>
      <c r="T9" s="15">
        <f t="shared" ca="1" si="13"/>
        <v>13800</v>
      </c>
      <c r="U9" s="3">
        <f ca="1">RTD("xqrtd.rtdserverxqlite",,"TX"&amp;TEXT($E$2,"0")&amp;"N"&amp;TEXT($D$2,"00")&amp;$U$2 &amp;TEXT(T9,"0")&amp;".TF-Price")</f>
        <v>2.8</v>
      </c>
      <c r="V9" s="17">
        <f ca="1">RTD("xqrtd.rtdserverxqlite",,"TX"&amp;TEXT($E$2,"0")&amp;"N"&amp;TEXT($D$2,"00")&amp;$U$2 &amp;TEXT(T9,"0")&amp;".TF-TotalVolume")</f>
        <v>1441</v>
      </c>
      <c r="W9" s="28">
        <f ca="1">RTD("xqrtd.rtdserverxqlite",,"TX"&amp;TEXT($E$2,"0")&amp;"N"&amp;TEXT($D$2,"00")&amp;$U$2 &amp;TEXT(T9,"0")&amp;".TF-Bid")</f>
        <v>2.7</v>
      </c>
      <c r="X9" s="4">
        <f t="shared" ca="1" si="5"/>
        <v>0.15196504125595095</v>
      </c>
      <c r="Y9" s="11">
        <f ca="1">RTD("xqrtd.rtdserverxqlite",,"TX"&amp;TEXT($E$2,"0")&amp;"N"&amp;TEXT($D$2,"00")&amp;$U$2 &amp;TEXT(T9,"0")&amp;".TF-Ask")</f>
        <v>2.8</v>
      </c>
      <c r="Z9" s="4">
        <f t="shared" ca="1" si="6"/>
        <v>0.15291389975547795</v>
      </c>
      <c r="AB9" s="18">
        <f t="shared" ca="1" si="7"/>
        <v>682083.19479211967</v>
      </c>
      <c r="AC9" s="19">
        <f t="shared" ca="1" si="8"/>
        <v>35009.876837455202</v>
      </c>
      <c r="AD9" s="20">
        <f t="shared" ca="1" si="9"/>
        <v>-156.18268156672457</v>
      </c>
      <c r="AE9" s="18">
        <f t="shared" ca="1" si="10"/>
        <v>-21223.2072909997</v>
      </c>
      <c r="AF9" s="19">
        <f t="shared" ca="1" si="11"/>
        <v>28851.810354283738</v>
      </c>
      <c r="AG9" s="20">
        <f t="shared" ca="1" si="12"/>
        <v>-102.4007618564672</v>
      </c>
    </row>
    <row r="10" spans="1:35" x14ac:dyDescent="0.25">
      <c r="H10" t="b">
        <f t="shared" ca="1" si="0"/>
        <v>1</v>
      </c>
      <c r="I10" t="b">
        <f t="shared" ca="1" si="1"/>
        <v>1</v>
      </c>
      <c r="J10" t="b">
        <f t="shared" ca="1" si="14"/>
        <v>1</v>
      </c>
      <c r="K10" t="b">
        <f t="shared" ca="1" si="15"/>
        <v>1</v>
      </c>
      <c r="L10" s="39" t="e">
        <f t="shared" ca="1" si="2"/>
        <v>#N/A</v>
      </c>
      <c r="M10" s="39">
        <f t="shared" ca="1" si="16"/>
        <v>0.14568970119953162</v>
      </c>
      <c r="N10" s="11">
        <f ca="1">RTD("xqrtd.rtdserverxqlite",,"TX"&amp;TEXT($E$2,"0")&amp;"N"&amp;TEXT($D$2,"00")&amp;$N$2 &amp;TEXT(T10,"0")&amp;".TF-Bid")</f>
        <v>392</v>
      </c>
      <c r="O10" s="4">
        <f t="shared" ca="1" si="3"/>
        <v>0.13983681774139406</v>
      </c>
      <c r="P10" s="11">
        <f ca="1">RTD("xqrtd.rtdserverxqlite",,"TX"&amp;TEXT($E$2,"0")&amp;"N"&amp;TEXT($D$2,"00")&amp;$N$2 &amp;TEXT(T10,"0")&amp;".TF-Ask")</f>
        <v>401</v>
      </c>
      <c r="Q10" s="27">
        <f t="shared" ca="1" si="4"/>
        <v>0.18818282713890075</v>
      </c>
      <c r="R10" s="16">
        <f ca="1">RTD("xqrtd.rtdserverxqlite",,"TX"&amp;TEXT($E$2,"0")&amp;"N"&amp;TEXT($D$2,"00")&amp;$N$2 &amp;TEXT(T10,"0")&amp;".TF-TotalVolume")</f>
        <v>0</v>
      </c>
      <c r="S10" s="3" t="str">
        <f ca="1">RTD("xqrtd.rtdserverxqlite",,"TX"&amp;TEXT($E$2,"0")&amp;"N"&amp;TEXT($D$2,"00")&amp;$N$2 &amp;TEXT(T10,"0")&amp;".TF-Price")</f>
        <v>--</v>
      </c>
      <c r="T10" s="15">
        <f t="shared" ca="1" si="13"/>
        <v>13850</v>
      </c>
      <c r="U10" s="3">
        <f ca="1">RTD("xqrtd.rtdserverxqlite",,"TX"&amp;TEXT($E$2,"0")&amp;"N"&amp;TEXT($D$2,"00")&amp;$U$2 &amp;TEXT(T10,"0")&amp;".TF-Price")</f>
        <v>3.8</v>
      </c>
      <c r="V10" s="17">
        <f ca="1">RTD("xqrtd.rtdserverxqlite",,"TX"&amp;TEXT($E$2,"0")&amp;"N"&amp;TEXT($D$2,"00")&amp;$U$2 &amp;TEXT(T10,"0")&amp;".TF-TotalVolume")</f>
        <v>1597</v>
      </c>
      <c r="W10" s="28">
        <f ca="1">RTD("xqrtd.rtdserverxqlite",,"TX"&amp;TEXT($E$2,"0")&amp;"N"&amp;TEXT($D$2,"00")&amp;$U$2 &amp;TEXT(T10,"0")&amp;".TF-Bid")</f>
        <v>3.6</v>
      </c>
      <c r="X10" s="4">
        <f t="shared" ca="1" si="5"/>
        <v>0.14458778562545782</v>
      </c>
      <c r="Y10" s="11">
        <f ca="1">RTD("xqrtd.rtdserverxqlite",,"TX"&amp;TEXT($E$2,"0")&amp;"N"&amp;TEXT($D$2,"00")&amp;$U$2 &amp;TEXT(T10,"0")&amp;".TF-Ask")</f>
        <v>3.9</v>
      </c>
      <c r="Z10" s="4">
        <f t="shared" ca="1" si="6"/>
        <v>0.14679161677360539</v>
      </c>
      <c r="AB10" s="18">
        <f t="shared" ca="1" si="7"/>
        <v>668890.90737247572</v>
      </c>
      <c r="AC10" s="19">
        <f t="shared" ca="1" si="8"/>
        <v>47502.578197288938</v>
      </c>
      <c r="AD10" s="20">
        <f t="shared" ca="1" si="9"/>
        <v>-218.58268449919933</v>
      </c>
      <c r="AE10" s="18">
        <f t="shared" ca="1" si="10"/>
        <v>-28917.954046222007</v>
      </c>
      <c r="AF10" s="19">
        <f t="shared" ca="1" si="11"/>
        <v>38921.649453652855</v>
      </c>
      <c r="AG10" s="20">
        <f t="shared" ca="1" si="12"/>
        <v>-132.57936754911208</v>
      </c>
    </row>
    <row r="11" spans="1:35" x14ac:dyDescent="0.25">
      <c r="H11" t="b">
        <f t="shared" ca="1" si="0"/>
        <v>1</v>
      </c>
      <c r="I11" t="b">
        <f t="shared" ca="1" si="1"/>
        <v>1</v>
      </c>
      <c r="J11" t="b">
        <f t="shared" ca="1" si="14"/>
        <v>1</v>
      </c>
      <c r="K11" t="b">
        <f t="shared" ca="1" si="15"/>
        <v>1</v>
      </c>
      <c r="L11" s="39" t="e">
        <f t="shared" ref="L11:L18" ca="1" si="17">IFERROR(IF((O11*H11+Q11*I11)/COUNTIF(H11:I11,TRUE)*(R11&gt;=30)=0,NA(),(O11*H11+Q11*H11)/COUNTIF(H11:I11,TRUE)*(R11&gt;=30)),NA())</f>
        <v>#N/A</v>
      </c>
      <c r="M11" s="39">
        <f t="shared" ca="1" si="16"/>
        <v>0.14159387481212615</v>
      </c>
      <c r="N11" s="11">
        <f ca="1">RTD("xqrtd.rtdserverxqlite",,"TX"&amp;TEXT($E$2,"0")&amp;"N"&amp;TEXT($D$2,"00")&amp;$N$2 &amp;TEXT(T11,"0")&amp;".TF-Bid")</f>
        <v>344</v>
      </c>
      <c r="O11" s="4">
        <f t="shared" ca="1" si="3"/>
        <v>0.13795435876846313</v>
      </c>
      <c r="P11" s="11">
        <f ca="1">RTD("xqrtd.rtdserverxqlite",,"TX"&amp;TEXT($E$2,"0")&amp;"N"&amp;TEXT($D$2,"00")&amp;$N$2 &amp;TEXT(T11,"0")&amp;".TF-Ask")</f>
        <v>353</v>
      </c>
      <c r="Q11" s="27">
        <f t="shared" ca="1" si="4"/>
        <v>0.17695911848545082</v>
      </c>
      <c r="R11" s="16">
        <f ca="1">RTD("xqrtd.rtdserverxqlite",,"TX"&amp;TEXT($E$2,"0")&amp;"N"&amp;TEXT($D$2,"00")&amp;$N$2 &amp;TEXT(T11,"0")&amp;".TF-TotalVolume")</f>
        <v>0</v>
      </c>
      <c r="S11" s="3" t="str">
        <f ca="1">RTD("xqrtd.rtdserverxqlite",,"TX"&amp;TEXT($E$2,"0")&amp;"N"&amp;TEXT($D$2,"00")&amp;$N$2 &amp;TEXT(T11,"0")&amp;".TF-Price")</f>
        <v>--</v>
      </c>
      <c r="T11" s="15">
        <f t="shared" ca="1" si="13"/>
        <v>13900</v>
      </c>
      <c r="U11" s="3">
        <f ca="1">RTD("xqrtd.rtdserverxqlite",,"TX"&amp;TEXT($E$2,"0")&amp;"N"&amp;TEXT($D$2,"00")&amp;$U$2 &amp;TEXT(T11,"0")&amp;".TF-Price")</f>
        <v>5.5</v>
      </c>
      <c r="V11" s="17">
        <f ca="1">RTD("xqrtd.rtdserverxqlite",,"TX"&amp;TEXT($E$2,"0")&amp;"N"&amp;TEXT($D$2,"00")&amp;$U$2 &amp;TEXT(T11,"0")&amp;".TF-TotalVolume")</f>
        <v>4195</v>
      </c>
      <c r="W11" s="28">
        <f ca="1">RTD("xqrtd.rtdserverxqlite",,"TX"&amp;TEXT($E$2,"0")&amp;"N"&amp;TEXT($D$2,"00")&amp;$U$2 &amp;TEXT(T11,"0")&amp;".TF-Bid")</f>
        <v>5.5</v>
      </c>
      <c r="X11" s="4">
        <f t="shared" ca="1" si="5"/>
        <v>0.14077900085449219</v>
      </c>
      <c r="Y11" s="11">
        <f ca="1">RTD("xqrtd.rtdserverxqlite",,"TX"&amp;TEXT($E$2,"0")&amp;"N"&amp;TEXT($D$2,"00")&amp;$U$2 &amp;TEXT(T11,"0")&amp;".TF-Ask")</f>
        <v>5.8</v>
      </c>
      <c r="Z11" s="4">
        <f t="shared" ca="1" si="6"/>
        <v>0.14240874876976015</v>
      </c>
      <c r="AB11" s="18">
        <f t="shared" ca="1" si="7"/>
        <v>655055.94529730419</v>
      </c>
      <c r="AC11" s="19">
        <f t="shared" ca="1" si="8"/>
        <v>61317.55741924185</v>
      </c>
      <c r="AD11" s="20">
        <f t="shared" ca="1" si="9"/>
        <v>-271.65870594482158</v>
      </c>
      <c r="AE11" s="18">
        <f t="shared" ca="1" si="10"/>
        <v>-42168.907610624141</v>
      </c>
      <c r="AF11" s="19">
        <f t="shared" ca="1" si="11"/>
        <v>54129.559128571193</v>
      </c>
      <c r="AG11" s="20">
        <f t="shared" ca="1" si="12"/>
        <v>-184.95897295821905</v>
      </c>
    </row>
    <row r="12" spans="1:35" x14ac:dyDescent="0.25">
      <c r="H12" t="b">
        <f t="shared" ca="1" si="0"/>
        <v>1</v>
      </c>
      <c r="I12" t="b">
        <f t="shared" ca="1" si="1"/>
        <v>1</v>
      </c>
      <c r="J12" t="b">
        <f t="shared" ca="1" si="14"/>
        <v>1</v>
      </c>
      <c r="K12" t="b">
        <f t="shared" ca="1" si="15"/>
        <v>1</v>
      </c>
      <c r="L12" s="39" t="e">
        <f t="shared" ca="1" si="17"/>
        <v>#N/A</v>
      </c>
      <c r="M12" s="39">
        <f t="shared" ca="1" si="16"/>
        <v>0.13741889741420749</v>
      </c>
      <c r="N12" s="11">
        <f ca="1">RTD("xqrtd.rtdserverxqlite",,"TX"&amp;TEXT($E$2,"0")&amp;"N"&amp;TEXT($D$2,"00")&amp;$N$2 &amp;TEXT(T12,"0")&amp;".TF-Bid")</f>
        <v>299</v>
      </c>
      <c r="O12" s="23">
        <f t="shared" ca="1" si="3"/>
        <v>0.14353116731643678</v>
      </c>
      <c r="P12" s="11">
        <f ca="1">RTD("xqrtd.rtdserverxqlite",,"TX"&amp;TEXT($E$2,"0")&amp;"N"&amp;TEXT($D$2,"00")&amp;$N$2 &amp;TEXT(T12,"0")&amp;".TF-Ask")</f>
        <v>305</v>
      </c>
      <c r="Q12" s="21">
        <f t="shared" ca="1" si="4"/>
        <v>0.16398455133438111</v>
      </c>
      <c r="R12" s="16">
        <f ca="1">RTD("xqrtd.rtdserverxqlite",,"TX"&amp;TEXT($E$2,"0")&amp;"N"&amp;TEXT($D$2,"00")&amp;$N$2 &amp;TEXT(T12,"0")&amp;".TF-TotalVolume")</f>
        <v>8</v>
      </c>
      <c r="S12" s="3">
        <f ca="1">RTD("xqrtd.rtdserverxqlite",,"TX"&amp;TEXT($E$2,"0")&amp;"N"&amp;TEXT($D$2,"00")&amp;$N$2 &amp;TEXT(T12,"0")&amp;".TF-Price")</f>
        <v>305</v>
      </c>
      <c r="T12" s="15">
        <f t="shared" ca="1" si="13"/>
        <v>13950</v>
      </c>
      <c r="U12" s="3">
        <f ca="1">RTD("xqrtd.rtdserverxqlite",,"TX"&amp;TEXT($E$2,"0")&amp;"N"&amp;TEXT($D$2,"00")&amp;$U$2 &amp;TEXT(T12,"0")&amp;".TF-Price")</f>
        <v>8.3000000000000007</v>
      </c>
      <c r="V12" s="17">
        <f ca="1">RTD("xqrtd.rtdserverxqlite",,"TX"&amp;TEXT($E$2,"0")&amp;"N"&amp;TEXT($D$2,"00")&amp;$U$2 &amp;TEXT(T12,"0")&amp;".TF-TotalVolume")</f>
        <v>4308</v>
      </c>
      <c r="W12" s="28">
        <f ca="1">RTD("xqrtd.rtdserverxqlite",,"TX"&amp;TEXT($E$2,"0")&amp;"N"&amp;TEXT($D$2,"00")&amp;$U$2 &amp;TEXT(T12,"0")&amp;".TF-Bid")</f>
        <v>8.3000000000000007</v>
      </c>
      <c r="X12" s="4">
        <f t="shared" ca="1" si="5"/>
        <v>0.13680333142280579</v>
      </c>
      <c r="Y12" s="11">
        <f ca="1">RTD("xqrtd.rtdserverxqlite",,"TX"&amp;TEXT($E$2,"0")&amp;"N"&amp;TEXT($D$2,"00")&amp;$U$2 &amp;TEXT(T12,"0")&amp;".TF-Ask")</f>
        <v>8.6</v>
      </c>
      <c r="Z12" s="4">
        <f t="shared" ca="1" si="6"/>
        <v>0.13803446340560915</v>
      </c>
      <c r="AB12" s="18">
        <f t="shared" ca="1" si="7"/>
        <v>633549.01221283432</v>
      </c>
      <c r="AC12" s="19">
        <f t="shared" ca="1" si="8"/>
        <v>79548.969583337472</v>
      </c>
      <c r="AD12" s="20">
        <f t="shared" ca="1" si="9"/>
        <v>-352.91785304684424</v>
      </c>
      <c r="AE12" s="18">
        <f t="shared" ca="1" si="10"/>
        <v>-60789.57378107142</v>
      </c>
      <c r="AF12" s="19">
        <f t="shared" ca="1" si="11"/>
        <v>73849.673308435842</v>
      </c>
      <c r="AG12" s="20">
        <f t="shared" ca="1" si="12"/>
        <v>-251.69789939708318</v>
      </c>
    </row>
    <row r="13" spans="1:35" ht="17.25" thickBot="1" x14ac:dyDescent="0.3">
      <c r="H13" t="b">
        <f t="shared" ca="1" si="0"/>
        <v>1</v>
      </c>
      <c r="I13" t="b">
        <f t="shared" ca="1" si="1"/>
        <v>1</v>
      </c>
      <c r="J13" t="b">
        <f t="shared" ca="1" si="14"/>
        <v>1</v>
      </c>
      <c r="K13" t="b">
        <f t="shared" ca="1" si="15"/>
        <v>1</v>
      </c>
      <c r="L13" s="39">
        <f t="shared" ca="1" si="17"/>
        <v>0.14773189263343811</v>
      </c>
      <c r="M13" s="39">
        <f t="shared" ca="1" si="16"/>
        <v>0.13305963166952128</v>
      </c>
      <c r="N13" s="11">
        <f ca="1">RTD("xqrtd.rtdserverxqlite",,"TX"&amp;TEXT($E$2,"0")&amp;"N"&amp;TEXT($D$2,"00")&amp;$N$2 &amp;TEXT(T13,"0")&amp;".TF-Bid")</f>
        <v>254</v>
      </c>
      <c r="O13" s="23">
        <f t="shared" ca="1" si="3"/>
        <v>0.14072941226959229</v>
      </c>
      <c r="P13" s="11">
        <f ca="1">RTD("xqrtd.rtdserverxqlite",,"TX"&amp;TEXT($E$2,"0")&amp;"N"&amp;TEXT($D$2,"00")&amp;$N$2 &amp;TEXT(T13,"0")&amp;".TF-Ask")</f>
        <v>259</v>
      </c>
      <c r="Q13" s="21">
        <f t="shared" ca="1" si="4"/>
        <v>0.15473437299728393</v>
      </c>
      <c r="R13" s="16">
        <f ca="1">RTD("xqrtd.rtdserverxqlite",,"TX"&amp;TEXT($E$2,"0")&amp;"N"&amp;TEXT($D$2,"00")&amp;$N$2 &amp;TEXT(T13,"0")&amp;".TF-TotalVolume")</f>
        <v>116</v>
      </c>
      <c r="S13" s="3">
        <f ca="1">RTD("xqrtd.rtdserverxqlite",,"TX"&amp;TEXT($E$2,"0")&amp;"N"&amp;TEXT($D$2,"00")&amp;$N$2 &amp;TEXT(T13,"0")&amp;".TF-Price")</f>
        <v>262</v>
      </c>
      <c r="T13" s="15">
        <f t="shared" ca="1" si="13"/>
        <v>14000</v>
      </c>
      <c r="U13" s="3">
        <f ca="1">RTD("xqrtd.rtdserverxqlite",,"TX"&amp;TEXT($E$2,"0")&amp;"N"&amp;TEXT($D$2,"00")&amp;$U$2 &amp;TEXT(T13,"0")&amp;".TF-Price")</f>
        <v>12.5</v>
      </c>
      <c r="V13" s="17">
        <f ca="1">RTD("xqrtd.rtdserverxqlite",,"TX"&amp;TEXT($E$2,"0")&amp;"N"&amp;TEXT($D$2,"00")&amp;$U$2 &amp;TEXT(T13,"0")&amp;".TF-TotalVolume")</f>
        <v>7053</v>
      </c>
      <c r="W13" s="28">
        <f ca="1">RTD("xqrtd.rtdserverxqlite",,"TX"&amp;TEXT($E$2,"0")&amp;"N"&amp;TEXT($D$2,"00")&amp;$U$2 &amp;TEXT(T13,"0")&amp;".TF-Bid")</f>
        <v>12</v>
      </c>
      <c r="X13" s="4">
        <f t="shared" ca="1" si="5"/>
        <v>0.13147065129280086</v>
      </c>
      <c r="Y13" s="11">
        <f ca="1">RTD("xqrtd.rtdserverxqlite",,"TX"&amp;TEXT($E$2,"0")&amp;"N"&amp;TEXT($D$2,"00")&amp;$U$2 &amp;TEXT(T13,"0")&amp;".TF-Ask")</f>
        <v>13</v>
      </c>
      <c r="Z13" s="4">
        <f t="shared" ca="1" si="6"/>
        <v>0.13464861204624173</v>
      </c>
      <c r="AB13" s="18">
        <f t="shared" ca="1" si="7"/>
        <v>608064.77362631017</v>
      </c>
      <c r="AC13" s="19">
        <f t="shared" ca="1" si="8"/>
        <v>100699.84287356721</v>
      </c>
      <c r="AD13" s="20">
        <f t="shared" ca="1" si="9"/>
        <v>-429.65961943304052</v>
      </c>
      <c r="AE13" s="18">
        <f t="shared" ca="1" si="10"/>
        <v>-86338.616720337275</v>
      </c>
      <c r="AF13" s="19">
        <f t="shared" ca="1" si="11"/>
        <v>98441.113297339922</v>
      </c>
      <c r="AG13" s="20">
        <f t="shared" ca="1" si="12"/>
        <v>-331.68582511166233</v>
      </c>
    </row>
    <row r="14" spans="1:35" x14ac:dyDescent="0.25">
      <c r="A14" s="8" t="s">
        <v>1</v>
      </c>
      <c r="H14" t="b">
        <f t="shared" ca="1" si="0"/>
        <v>1</v>
      </c>
      <c r="I14" t="b">
        <f t="shared" ca="1" si="1"/>
        <v>1</v>
      </c>
      <c r="J14" t="b">
        <f t="shared" ca="1" si="14"/>
        <v>1</v>
      </c>
      <c r="K14" t="b">
        <f t="shared" ca="1" si="15"/>
        <v>1</v>
      </c>
      <c r="L14" s="39">
        <f t="shared" ca="1" si="17"/>
        <v>0.13768567446470265</v>
      </c>
      <c r="M14" s="39">
        <f t="shared" ca="1" si="16"/>
        <v>0.13035371609926222</v>
      </c>
      <c r="N14" s="11">
        <f ca="1">RTD("xqrtd.rtdserverxqlite",,"TX"&amp;TEXT($E$2,"0")&amp;"N"&amp;TEXT($D$2,"00")&amp;$N$2 &amp;TEXT(T14,"0")&amp;".TF-Bid")</f>
        <v>210</v>
      </c>
      <c r="O14" s="23">
        <f t="shared" ca="1" si="3"/>
        <v>0.13529087958335875</v>
      </c>
      <c r="P14" s="11">
        <f ca="1">RTD("xqrtd.rtdserverxqlite",,"TX"&amp;TEXT($E$2,"0")&amp;"N"&amp;TEXT($D$2,"00")&amp;$N$2 &amp;TEXT(T14,"0")&amp;".TF-Ask")</f>
        <v>212</v>
      </c>
      <c r="Q14" s="21">
        <f t="shared" ca="1" si="4"/>
        <v>0.14008046934604651</v>
      </c>
      <c r="R14" s="16">
        <f ca="1">RTD("xqrtd.rtdserverxqlite",,"TX"&amp;TEXT($E$2,"0")&amp;"N"&amp;TEXT($D$2,"00")&amp;$N$2 &amp;TEXT(T14,"0")&amp;".TF-TotalVolume")</f>
        <v>184</v>
      </c>
      <c r="S14" s="3">
        <f ca="1">RTD("xqrtd.rtdserverxqlite",,"TX"&amp;TEXT($E$2,"0")&amp;"N"&amp;TEXT($D$2,"00")&amp;$N$2 &amp;TEXT(T14,"0")&amp;".TF-Price")</f>
        <v>214</v>
      </c>
      <c r="T14" s="15">
        <f t="shared" ca="1" si="13"/>
        <v>14050</v>
      </c>
      <c r="U14" s="3">
        <f ca="1">RTD("xqrtd.rtdserverxqlite",,"TX"&amp;TEXT($E$2,"0")&amp;"N"&amp;TEXT($D$2,"00")&amp;$U$2 &amp;TEXT(T14,"0")&amp;".TF-Price")</f>
        <v>19</v>
      </c>
      <c r="V14" s="17">
        <f ca="1">RTD("xqrtd.rtdserverxqlite",,"TX"&amp;TEXT($E$2,"0")&amp;"N"&amp;TEXT($D$2,"00")&amp;$U$2 &amp;TEXT(T14,"0")&amp;".TF-TotalVolume")</f>
        <v>5752</v>
      </c>
      <c r="W14" s="28">
        <f ca="1">RTD("xqrtd.rtdserverxqlite",,"TX"&amp;TEXT($E$2,"0")&amp;"N"&amp;TEXT($D$2,"00")&amp;$U$2 &amp;TEXT(T14,"0")&amp;".TF-Bid")</f>
        <v>18.5</v>
      </c>
      <c r="X14" s="4">
        <f t="shared" ca="1" si="5"/>
        <v>0.12910088911056516</v>
      </c>
      <c r="Y14" s="11">
        <f ca="1">RTD("xqrtd.rtdserverxqlite",,"TX"&amp;TEXT($E$2,"0")&amp;"N"&amp;TEXT($D$2,"00")&amp;$U$2 &amp;TEXT(T14,"0")&amp;".TF-Ask")</f>
        <v>19.5</v>
      </c>
      <c r="Z14" s="4">
        <f t="shared" ca="1" si="6"/>
        <v>0.13160654308795927</v>
      </c>
      <c r="AA14" s="42"/>
      <c r="AB14" s="18">
        <f t="shared" ca="1" si="7"/>
        <v>579670.29321997589</v>
      </c>
      <c r="AC14" s="19">
        <f t="shared" ca="1" si="8"/>
        <v>126337.41669717499</v>
      </c>
      <c r="AD14" s="20">
        <f t="shared" ca="1" si="9"/>
        <v>-483.89132183216361</v>
      </c>
      <c r="AE14" s="18">
        <f t="shared" ca="1" si="10"/>
        <v>-123068.02331981518</v>
      </c>
      <c r="AF14" s="19">
        <f t="shared" ca="1" si="11"/>
        <v>127522.46654362501</v>
      </c>
      <c r="AG14" s="20">
        <f t="shared" ca="1" si="12"/>
        <v>-433.57643973547226</v>
      </c>
      <c r="AH14" s="42"/>
      <c r="AI14" s="42"/>
    </row>
    <row r="15" spans="1:35" x14ac:dyDescent="0.25">
      <c r="A15">
        <f ca="1">C3</f>
        <v>14239</v>
      </c>
      <c r="B15" s="39">
        <v>1</v>
      </c>
      <c r="H15" t="b">
        <f t="shared" ca="1" si="0"/>
        <v>1</v>
      </c>
      <c r="I15" t="b">
        <f t="shared" ca="1" si="1"/>
        <v>1</v>
      </c>
      <c r="J15" t="b">
        <f t="shared" ref="J15" ca="1" si="18">AND(X15&lt;1,X15&gt;0.01)</f>
        <v>1</v>
      </c>
      <c r="K15" t="b">
        <f t="shared" ref="K15" ca="1" si="19">AND(Z15&lt;1,Z15&gt;0.01)</f>
        <v>1</v>
      </c>
      <c r="L15" s="39">
        <f t="shared" ca="1" si="17"/>
        <v>0.13328027703166007</v>
      </c>
      <c r="M15" s="39">
        <f t="shared" ca="1" si="16"/>
        <v>0.12714559690356256</v>
      </c>
      <c r="N15" s="11">
        <f ca="1">RTD("xqrtd.rtdserverxqlite",,"TX"&amp;TEXT($E$2,"0")&amp;"N"&amp;TEXT($D$2,"00")&amp;$N$2 &amp;TEXT(T15,"0")&amp;".TF-Bid")</f>
        <v>169</v>
      </c>
      <c r="O15" s="23">
        <f t="shared" ca="1" si="3"/>
        <v>0.13125560848712919</v>
      </c>
      <c r="P15" s="11">
        <f ca="1">RTD("xqrtd.rtdserverxqlite",,"TX"&amp;TEXT($E$2,"0")&amp;"N"&amp;TEXT($D$2,"00")&amp;$N$2 &amp;TEXT(T15,"0")&amp;".TF-Ask")</f>
        <v>171</v>
      </c>
      <c r="Q15" s="21">
        <f t="shared" ca="1" si="4"/>
        <v>0.13530494557619091</v>
      </c>
      <c r="R15" s="16">
        <f ca="1">RTD("xqrtd.rtdserverxqlite",,"TX"&amp;TEXT($E$2,"0")&amp;"N"&amp;TEXT($D$2,"00")&amp;$N$2 &amp;TEXT(T15,"0")&amp;".TF-TotalVolume")</f>
        <v>744</v>
      </c>
      <c r="S15" s="3">
        <f ca="1">RTD("xqrtd.rtdserverxqlite",,"TX"&amp;TEXT($E$2,"0")&amp;"N"&amp;TEXT($D$2,"00")&amp;$N$2 &amp;TEXT(T15,"0")&amp;".TF-Price")</f>
        <v>170</v>
      </c>
      <c r="T15" s="15">
        <f t="shared" ca="1" si="13"/>
        <v>14100</v>
      </c>
      <c r="U15" s="3">
        <f ca="1">RTD("xqrtd.rtdserverxqlite",,"TX"&amp;TEXT($E$2,"0")&amp;"N"&amp;TEXT($D$2,"00")&amp;$U$2 &amp;TEXT(T15,"0")&amp;".TF-Price")</f>
        <v>28</v>
      </c>
      <c r="V15" s="17">
        <f ca="1">RTD("xqrtd.rtdserverxqlite",,"TX"&amp;TEXT($E$2,"0")&amp;"N"&amp;TEXT($D$2,"00")&amp;$U$2 &amp;TEXT(T15,"0")&amp;".TF-TotalVolume")</f>
        <v>10087</v>
      </c>
      <c r="W15" s="28">
        <f ca="1">RTD("xqrtd.rtdserverxqlite",,"TX"&amp;TEXT($E$2,"0")&amp;"N"&amp;TEXT($D$2,"00")&amp;$U$2 &amp;TEXT(T15,"0")&amp;".TF-Bid")</f>
        <v>27.5</v>
      </c>
      <c r="X15" s="4">
        <f t="shared" ca="1" si="5"/>
        <v>0.12611055439710619</v>
      </c>
      <c r="Y15" s="11">
        <f ca="1">RTD("xqrtd.rtdserverxqlite",,"TX"&amp;TEXT($E$2,"0")&amp;"N"&amp;TEXT($D$2,"00")&amp;$U$2 &amp;TEXT(T15,"0")&amp;".TF-Ask")</f>
        <v>28.5</v>
      </c>
      <c r="Z15" s="4">
        <f t="shared" ca="1" si="6"/>
        <v>0.12818063941001892</v>
      </c>
      <c r="AA15" s="42"/>
      <c r="AB15" s="18">
        <f t="shared" ca="1" si="7"/>
        <v>535021.64856161526</v>
      </c>
      <c r="AC15" s="19">
        <f t="shared" ca="1" si="8"/>
        <v>154464.63969717408</v>
      </c>
      <c r="AD15" s="20">
        <f t="shared" ca="1" si="9"/>
        <v>-574.55506125374291</v>
      </c>
      <c r="AE15" s="18">
        <f t="shared" ca="1" si="10"/>
        <v>-169771.52264262587</v>
      </c>
      <c r="AF15" s="19">
        <f t="shared" ca="1" si="11"/>
        <v>158345.78154524509</v>
      </c>
      <c r="AG15" s="20">
        <f t="shared" ca="1" si="12"/>
        <v>-533.44731712519081</v>
      </c>
      <c r="AH15" s="42"/>
    </row>
    <row r="16" spans="1:35" x14ac:dyDescent="0.25">
      <c r="A16">
        <f ca="1">C3</f>
        <v>14239</v>
      </c>
      <c r="B16">
        <v>0</v>
      </c>
      <c r="H16" t="b">
        <f t="shared" ref="H16:H29" ca="1" si="20">AND(O16&lt;1,O16&gt;0.05)</f>
        <v>1</v>
      </c>
      <c r="I16" t="b">
        <f t="shared" ref="I16:I29" ca="1" si="21">AND(Q16&lt;1,Q16&gt;0.05)</f>
        <v>1</v>
      </c>
      <c r="J16" t="b">
        <f t="shared" ref="J16:J18" ca="1" si="22">AND(X16&lt;1,X16&gt;0.05)</f>
        <v>1</v>
      </c>
      <c r="K16" t="b">
        <f t="shared" ref="K16:K18" ca="1" si="23">AND(Z16&lt;1,Z16&gt;0.05)</f>
        <v>1</v>
      </c>
      <c r="L16" s="39">
        <f t="shared" ca="1" si="17"/>
        <v>0.13030555795431137</v>
      </c>
      <c r="M16" s="39">
        <f t="shared" ca="1" si="16"/>
        <v>0.12361157580614091</v>
      </c>
      <c r="N16" s="11">
        <f ca="1">RTD("xqrtd.rtdserverxqlite",,"TX"&amp;TEXT($E$2,"0")&amp;"N"&amp;TEXT($D$2,"00")&amp;$N$2 &amp;TEXT(T16,"0")&amp;".TF-Bid")</f>
        <v>132</v>
      </c>
      <c r="O16" s="23">
        <f t="shared" ca="1" si="3"/>
        <v>0.12852918994426726</v>
      </c>
      <c r="P16" s="11">
        <f ca="1">RTD("xqrtd.rtdserverxqlite",,"TX"&amp;TEXT($E$2,"0")&amp;"N"&amp;TEXT($D$2,"00")&amp;$N$2 &amp;TEXT(T16,"0")&amp;".TF-Ask")</f>
        <v>134</v>
      </c>
      <c r="Q16" s="21">
        <f t="shared" ca="1" si="4"/>
        <v>0.13208192596435545</v>
      </c>
      <c r="R16" s="16">
        <f ca="1">RTD("xqrtd.rtdserverxqlite",,"TX"&amp;TEXT($E$2,"0")&amp;"N"&amp;TEXT($D$2,"00")&amp;$N$2 &amp;TEXT(T16,"0")&amp;".TF-TotalVolume")</f>
        <v>1466</v>
      </c>
      <c r="S16" s="3">
        <f ca="1">RTD("xqrtd.rtdserverxqlite",,"TX"&amp;TEXT($E$2,"0")&amp;"N"&amp;TEXT($D$2,"00")&amp;$N$2 &amp;TEXT(T16,"0")&amp;".TF-Price")</f>
        <v>137</v>
      </c>
      <c r="T16" s="15">
        <f ca="1">T17-50</f>
        <v>14150</v>
      </c>
      <c r="U16" s="3">
        <f ca="1">RTD("xqrtd.rtdserverxqlite",,"TX"&amp;TEXT($E$2,"0")&amp;"N"&amp;TEXT($D$2,"00")&amp;$U$2 &amp;TEXT(T16,"0")&amp;".TF-Price")</f>
        <v>40</v>
      </c>
      <c r="V16" s="17">
        <f ca="1">RTD("xqrtd.rtdserverxqlite",,"TX"&amp;TEXT($E$2,"0")&amp;"N"&amp;TEXT($D$2,"00")&amp;$U$2 &amp;TEXT(T16,"0")&amp;".TF-TotalVolume")</f>
        <v>8733</v>
      </c>
      <c r="W16" s="28">
        <f ca="1">RTD("xqrtd.rtdserverxqlite",,"TX"&amp;TEXT($E$2,"0")&amp;"N"&amp;TEXT($D$2,"00")&amp;$U$2 &amp;TEXT(T16,"0")&amp;".TF-Bid")</f>
        <v>40</v>
      </c>
      <c r="X16" s="4">
        <f t="shared" ca="1" si="5"/>
        <v>0.12316265606880189</v>
      </c>
      <c r="Y16" s="11">
        <f ca="1">RTD("xqrtd.rtdserverxqlite",,"TX"&amp;TEXT($E$2,"0")&amp;"N"&amp;TEXT($D$2,"00")&amp;$U$2 &amp;TEXT(T16,"0")&amp;".TF-Ask")</f>
        <v>40.5</v>
      </c>
      <c r="Z16" s="4">
        <f t="shared" ca="1" si="6"/>
        <v>0.12406049554347992</v>
      </c>
      <c r="AA16" s="42"/>
      <c r="AB16" s="18">
        <f t="shared" ca="1" si="7"/>
        <v>478667.50712892861</v>
      </c>
      <c r="AC16" s="19">
        <f t="shared" ca="1" si="8"/>
        <v>180109.13598258994</v>
      </c>
      <c r="AD16" s="20">
        <f t="shared" ca="1" si="9"/>
        <v>-658.67901572595997</v>
      </c>
      <c r="AE16" s="18">
        <f t="shared" ca="1" si="10"/>
        <v>-227293.58895294036</v>
      </c>
      <c r="AF16" s="19">
        <f t="shared" ca="1" si="11"/>
        <v>187836.49678755613</v>
      </c>
      <c r="AG16" s="20">
        <f t="shared" ca="1" si="12"/>
        <v>-616.7054961969742</v>
      </c>
    </row>
    <row r="17" spans="8:33" x14ac:dyDescent="0.25">
      <c r="H17" t="b">
        <f t="shared" ca="1" si="20"/>
        <v>1</v>
      </c>
      <c r="I17" t="b">
        <f t="shared" ca="1" si="21"/>
        <v>1</v>
      </c>
      <c r="J17" t="b">
        <f t="shared" ca="1" si="22"/>
        <v>1</v>
      </c>
      <c r="K17" t="b">
        <f t="shared" ca="1" si="23"/>
        <v>1</v>
      </c>
      <c r="L17" s="39">
        <f t="shared" ca="1" si="17"/>
        <v>0.12628780974745751</v>
      </c>
      <c r="M17" s="39">
        <f t="shared" ca="1" si="16"/>
        <v>0.12053779876232149</v>
      </c>
      <c r="N17" s="22">
        <f ca="1">RTD("xqrtd.rtdserverxqlite",,"TX"&amp;TEXT($E$2,"0")&amp;"N"&amp;TEXT($D$2,"00")&amp;$N$2 &amp;TEXT(T17,"0")&amp;".TF-Bid")</f>
        <v>99</v>
      </c>
      <c r="O17" s="23">
        <f t="shared" ca="1" si="3"/>
        <v>0.12546709482669832</v>
      </c>
      <c r="P17" s="11">
        <f ca="1">RTD("xqrtd.rtdserverxqlite",,"TX"&amp;TEXT($E$2,"0")&amp;"N"&amp;TEXT($D$2,"00")&amp;$N$2 &amp;TEXT(T17,"0")&amp;".TF-Ask")</f>
        <v>100</v>
      </c>
      <c r="Q17" s="21">
        <f t="shared" ca="1" si="4"/>
        <v>0.1271085246682167</v>
      </c>
      <c r="R17" s="16">
        <f ca="1">RTD("xqrtd.rtdserverxqlite",,"TX"&amp;TEXT($E$2,"0")&amp;"N"&amp;TEXT($D$2,"00")&amp;$N$2 &amp;TEXT(T17,"0")&amp;".TF-TotalVolume")</f>
        <v>4727</v>
      </c>
      <c r="S17" s="3">
        <f ca="1">RTD("xqrtd.rtdserverxqlite",,"TX"&amp;TEXT($E$2,"0")&amp;"N"&amp;TEXT($D$2,"00")&amp;$N$2 &amp;TEXT(T17,"0")&amp;".TF-Price")</f>
        <v>100</v>
      </c>
      <c r="T17" s="2">
        <f ca="1">ROUND(C3/100,0)*100</f>
        <v>14200</v>
      </c>
      <c r="U17" s="3">
        <f ca="1">RTD("xqrtd.rtdserverxqlite",,"TX"&amp;TEXT($E$2,"0")&amp;"N"&amp;TEXT($D$2,"00")&amp;$U$2 &amp;TEXT(T17,"0")&amp;".TF-Price")</f>
        <v>57</v>
      </c>
      <c r="V17" s="17">
        <f ca="1">RTD("xqrtd.rtdserverxqlite",,"TX"&amp;TEXT($E$2,"0")&amp;"N"&amp;TEXT($D$2,"00")&amp;$U$2 &amp;TEXT(T17,"0")&amp;".TF-TotalVolume")</f>
        <v>9194</v>
      </c>
      <c r="W17" s="28">
        <f ca="1">RTD("xqrtd.rtdserverxqlite",,"TX"&amp;TEXT($E$2,"0")&amp;"N"&amp;TEXT($D$2,"00")&amp;$U$2 &amp;TEXT(T17,"0")&amp;".TF-Bid")</f>
        <v>56</v>
      </c>
      <c r="X17" s="4">
        <f t="shared" ca="1" si="5"/>
        <v>0.11889326963424685</v>
      </c>
      <c r="Y17" s="11">
        <f ca="1">RTD("xqrtd.rtdserverxqlite",,"TX"&amp;TEXT($E$2,"0")&amp;"N"&amp;TEXT($D$2,"00")&amp;$U$2 &amp;TEXT(T17,"0")&amp;".TF-Ask")</f>
        <v>58</v>
      </c>
      <c r="Z17" s="4">
        <f t="shared" ca="1" si="6"/>
        <v>0.12218232789039613</v>
      </c>
      <c r="AB17" s="18">
        <f t="shared" ca="1" si="7"/>
        <v>413847.8401350326</v>
      </c>
      <c r="AC17" s="19">
        <f t="shared" ca="1" si="8"/>
        <v>201032.55414995353</v>
      </c>
      <c r="AD17" s="20">
        <f t="shared" ca="1" si="9"/>
        <v>-702.85501463109631</v>
      </c>
      <c r="AE17" s="18">
        <f t="shared" ca="1" si="10"/>
        <v>-295562.45542488917</v>
      </c>
      <c r="AF17" s="19">
        <f t="shared" ca="1" si="11"/>
        <v>210218.90198675691</v>
      </c>
      <c r="AG17" s="20">
        <f t="shared" ca="1" si="12"/>
        <v>-669.25440816855394</v>
      </c>
    </row>
    <row r="18" spans="8:33" x14ac:dyDescent="0.25">
      <c r="H18" t="b">
        <f t="shared" ca="1" si="20"/>
        <v>1</v>
      </c>
      <c r="I18" t="b">
        <f t="shared" ca="1" si="21"/>
        <v>1</v>
      </c>
      <c r="J18" t="b">
        <f t="shared" ca="1" si="22"/>
        <v>1</v>
      </c>
      <c r="K18" t="b">
        <f t="shared" ca="1" si="23"/>
        <v>1</v>
      </c>
      <c r="L18" s="39">
        <f t="shared" ca="1" si="17"/>
        <v>0.12266247889995577</v>
      </c>
      <c r="M18" s="39">
        <f t="shared" ca="1" si="16"/>
        <v>0.11703298248052597</v>
      </c>
      <c r="N18" s="22">
        <f ca="1">RTD("xqrtd.rtdserverxqlite",,"TX"&amp;TEXT($E$2,"0")&amp;"N"&amp;TEXT($D$2,"00")&amp;$N$2 &amp;TEXT(T18,"0")&amp;".TF-Bid")</f>
        <v>70</v>
      </c>
      <c r="O18" s="23">
        <f t="shared" ca="1" si="3"/>
        <v>0.12105418758392335</v>
      </c>
      <c r="P18" s="11">
        <f ca="1">RTD("xqrtd.rtdserverxqlite",,"TX"&amp;TEXT($E$2,"0")&amp;"N"&amp;TEXT($D$2,"00")&amp;$N$2 &amp;TEXT(T18,"0")&amp;".TF-Ask")</f>
        <v>72</v>
      </c>
      <c r="Q18" s="21">
        <f t="shared" ca="1" si="4"/>
        <v>0.12427077021598817</v>
      </c>
      <c r="R18" s="16">
        <f ca="1">RTD("xqrtd.rtdserverxqlite",,"TX"&amp;TEXT($E$2,"0")&amp;"N"&amp;TEXT($D$2,"00")&amp;$N$2 &amp;TEXT(T18,"0")&amp;".TF-TotalVolume")</f>
        <v>7729</v>
      </c>
      <c r="S18" s="3">
        <f ca="1">RTD("xqrtd.rtdserverxqlite",,"TX"&amp;TEXT($E$2,"0")&amp;"N"&amp;TEXT($D$2,"00")&amp;$N$2 &amp;TEXT(T18,"0")&amp;".TF-Price")</f>
        <v>71</v>
      </c>
      <c r="T18" s="15">
        <f ca="1">T17+50</f>
        <v>14250</v>
      </c>
      <c r="U18" s="3">
        <f ca="1">RTD("xqrtd.rtdserverxqlite",,"TX"&amp;TEXT($E$2,"0")&amp;"N"&amp;TEXT($D$2,"00")&amp;$U$2 &amp;TEXT(T18,"0")&amp;".TF-Price")</f>
        <v>78</v>
      </c>
      <c r="V18" s="17">
        <f ca="1">RTD("xqrtd.rtdserverxqlite",,"TX"&amp;TEXT($E$2,"0")&amp;"N"&amp;TEXT($D$2,"00")&amp;$U$2 &amp;TEXT(T18,"0")&amp;".TF-TotalVolume")</f>
        <v>7196</v>
      </c>
      <c r="W18" s="28">
        <f ca="1">RTD("xqrtd.rtdserverxqlite",,"TX"&amp;TEXT($E$2,"0")&amp;"N"&amp;TEXT($D$2,"00")&amp;$U$2 &amp;TEXT(T18,"0")&amp;".TF-Bid")</f>
        <v>78</v>
      </c>
      <c r="X18" s="4">
        <f t="shared" ca="1" si="5"/>
        <v>0.11622883682250977</v>
      </c>
      <c r="Y18" s="11">
        <f ca="1">RTD("xqrtd.rtdserverxqlite",,"TX"&amp;TEXT($E$2,"0")&amp;"N"&amp;TEXT($D$2,"00")&amp;$U$2 &amp;TEXT(T18,"0")&amp;".TF-Ask")</f>
        <v>79</v>
      </c>
      <c r="Z18" s="4">
        <f t="shared" ca="1" si="6"/>
        <v>0.11783712813854218</v>
      </c>
      <c r="AB18" s="18">
        <f t="shared" ca="1" si="7"/>
        <v>341560.49320821132</v>
      </c>
      <c r="AC18" s="19">
        <f t="shared" ca="1" si="8"/>
        <v>211104.69151174428</v>
      </c>
      <c r="AD18" s="20">
        <f t="shared" ca="1" si="9"/>
        <v>-699.51961565534828</v>
      </c>
      <c r="AE18" s="18">
        <f t="shared" ca="1" si="10"/>
        <v>-371261.26340742054</v>
      </c>
      <c r="AF18" s="19">
        <f t="shared" ca="1" si="11"/>
        <v>221223.65925645368</v>
      </c>
      <c r="AG18" s="20">
        <f t="shared" ca="1" si="12"/>
        <v>-667.27818816829438</v>
      </c>
    </row>
    <row r="19" spans="8:33" x14ac:dyDescent="0.25">
      <c r="H19" t="b">
        <f t="shared" ref="H19" ca="1" si="24">AND(O19&lt;1,O19&gt;0.05)</f>
        <v>1</v>
      </c>
      <c r="I19" t="b">
        <f t="shared" ref="I19" ca="1" si="25">AND(Q19&lt;1,Q19&gt;0.05)</f>
        <v>1</v>
      </c>
      <c r="J19" t="b">
        <f t="shared" ref="J19:J29" ca="1" si="26">AND(X19&lt;1,X19&gt;0.05)</f>
        <v>1</v>
      </c>
      <c r="K19" t="b">
        <f t="shared" ref="K19:K29" ca="1" si="27">AND(Z19&lt;1,Z19&gt;0.05)</f>
        <v>1</v>
      </c>
      <c r="L19" s="39">
        <f ca="1">IFERROR(IF((O19*H19+Q19*I19)/COUNTIF(H19:I19,TRUE)*(R19&gt;=30)=0,NA(),(O19*H19+Q19*H19)/COUNTIF(H19:I19,TRUE)*(R19&gt;=30)),NA())</f>
        <v>0.11917029817104341</v>
      </c>
      <c r="M19" s="39">
        <f t="shared" ca="1" si="16"/>
        <v>0.11450384544730186</v>
      </c>
      <c r="N19" s="22">
        <f ca="1">RTD("xqrtd.rtdserverxqlite",,"TX"&amp;TEXT($E$2,"0")&amp;"N"&amp;TEXT($D$2,"00")&amp;$N$2 &amp;TEXT(T19,"0")&amp;".TF-Bid")</f>
        <v>47.5</v>
      </c>
      <c r="O19" s="23">
        <f t="shared" ca="1" si="3"/>
        <v>0.11874712635278703</v>
      </c>
      <c r="P19" s="11">
        <f ca="1">RTD("xqrtd.rtdserverxqlite",,"TX"&amp;TEXT($E$2,"0")&amp;"N"&amp;TEXT($D$2,"00")&amp;$N$2 &amp;TEXT(T19,"0")&amp;".TF-Ask")</f>
        <v>48</v>
      </c>
      <c r="Q19" s="21">
        <f t="shared" ca="1" si="4"/>
        <v>0.11959346998929979</v>
      </c>
      <c r="R19" s="16">
        <f ca="1">RTD("xqrtd.rtdserverxqlite",,"TX"&amp;TEXT($E$2,"0")&amp;"N"&amp;TEXT($D$2,"00")&amp;$N$2 &amp;TEXT(T19,"0")&amp;".TF-TotalVolume")</f>
        <v>10544</v>
      </c>
      <c r="S19" s="3">
        <f ca="1">RTD("xqrtd.rtdserverxqlite",,"TX"&amp;TEXT($E$2,"0")&amp;"N"&amp;TEXT($D$2,"00")&amp;$N$2 &amp;TEXT(T19,"0")&amp;".TF-Price")</f>
        <v>48</v>
      </c>
      <c r="T19" s="15">
        <f t="shared" ref="T19:T29" ca="1" si="28">T18+50</f>
        <v>14300</v>
      </c>
      <c r="U19" s="3">
        <f ca="1">RTD("xqrtd.rtdserverxqlite",,"TX"&amp;TEXT($E$2,"0")&amp;"N"&amp;TEXT($D$2,"00")&amp;$U$2 &amp;TEXT(T19,"0")&amp;".TF-Price")</f>
        <v>105</v>
      </c>
      <c r="V19" s="17">
        <f ca="1">RTD("xqrtd.rtdserverxqlite",,"TX"&amp;TEXT($E$2,"0")&amp;"N"&amp;TEXT($D$2,"00")&amp;$U$2 &amp;TEXT(T19,"0")&amp;".TF-TotalVolume")</f>
        <v>3772</v>
      </c>
      <c r="W19" s="28">
        <f ca="1">RTD("xqrtd.rtdserverxqlite",,"TX"&amp;TEXT($E$2,"0")&amp;"N"&amp;TEXT($D$2,"00")&amp;$U$2 &amp;TEXT(T19,"0")&amp;".TF-Bid")</f>
        <v>105</v>
      </c>
      <c r="X19" s="4">
        <f t="shared" ca="1" si="5"/>
        <v>0.1128036483645439</v>
      </c>
      <c r="Y19" s="11">
        <f ca="1">RTD("xqrtd.rtdserverxqlite",,"TX"&amp;TEXT($E$2,"0")&amp;"N"&amp;TEXT($D$2,"00")&amp;$U$2 &amp;TEXT(T19,"0")&amp;".TF-Ask")</f>
        <v>107</v>
      </c>
      <c r="Z19" s="4">
        <f t="shared" ca="1" si="6"/>
        <v>0.11620404253005981</v>
      </c>
      <c r="AB19" s="18">
        <f t="shared" ca="1" si="7"/>
        <v>266363.87578696053</v>
      </c>
      <c r="AC19" s="19">
        <f t="shared" ca="1" si="8"/>
        <v>206649.66481471102</v>
      </c>
      <c r="AD19" s="20">
        <f t="shared" ca="1" si="9"/>
        <v>-638.22399197887489</v>
      </c>
      <c r="AE19" s="18">
        <f t="shared" ca="1" si="10"/>
        <v>-449246.43109884899</v>
      </c>
      <c r="AF19" s="19">
        <f t="shared" ca="1" si="11"/>
        <v>214114.8448672588</v>
      </c>
      <c r="AG19" s="20">
        <f t="shared" ca="1" si="12"/>
        <v>-609.88261660127205</v>
      </c>
    </row>
    <row r="20" spans="8:33" x14ac:dyDescent="0.25">
      <c r="H20" t="b">
        <f t="shared" ca="1" si="20"/>
        <v>1</v>
      </c>
      <c r="I20" t="b">
        <f t="shared" ca="1" si="21"/>
        <v>1</v>
      </c>
      <c r="J20" t="b">
        <f t="shared" ca="1" si="26"/>
        <v>1</v>
      </c>
      <c r="K20" t="b">
        <f t="shared" ca="1" si="27"/>
        <v>1</v>
      </c>
      <c r="L20" s="39">
        <f t="shared" ref="L20:L28" ca="1" si="29">IFERROR(IF((O20*H20+Q20*I20)/COUNTIF(H20:I20,TRUE)*(R20&gt;=30)=0,NA(),(O20*H20+Q20*H20)/COUNTIF(H20:I20,TRUE)*(R20&gt;=30)),NA())</f>
        <v>0.1167845627427101</v>
      </c>
      <c r="M20" s="39">
        <f t="shared" ca="1" si="16"/>
        <v>0.10996279462575914</v>
      </c>
      <c r="N20" s="22">
        <f ca="1">RTD("xqrtd.rtdserverxqlite",,"TX"&amp;TEXT($E$2,"0")&amp;"N"&amp;TEXT($D$2,"00")&amp;$N$2 &amp;TEXT(T20,"0")&amp;".TF-Bid")</f>
        <v>30</v>
      </c>
      <c r="O20" s="23">
        <f t="shared" ca="1" si="3"/>
        <v>0.11582163825035094</v>
      </c>
      <c r="P20" s="11">
        <f ca="1">RTD("xqrtd.rtdserverxqlite",,"TX"&amp;TEXT($E$2,"0")&amp;"N"&amp;TEXT($D$2,"00")&amp;$N$2 &amp;TEXT(T20,"0")&amp;".TF-Ask")</f>
        <v>31</v>
      </c>
      <c r="Q20" s="21">
        <f t="shared" ca="1" si="4"/>
        <v>0.11774748723506927</v>
      </c>
      <c r="R20" s="16">
        <f ca="1">RTD("xqrtd.rtdserverxqlite",,"TX"&amp;TEXT($E$2,"0")&amp;"N"&amp;TEXT($D$2,"00")&amp;$N$2 &amp;TEXT(T20,"0")&amp;".TF-TotalVolume")</f>
        <v>8896</v>
      </c>
      <c r="S20" s="3">
        <f ca="1">RTD("xqrtd.rtdserverxqlite",,"TX"&amp;TEXT($E$2,"0")&amp;"N"&amp;TEXT($D$2,"00")&amp;$N$2 &amp;TEXT(T20,"0")&amp;".TF-Price")</f>
        <v>30.5</v>
      </c>
      <c r="T20" s="15">
        <f t="shared" ca="1" si="28"/>
        <v>14350</v>
      </c>
      <c r="U20" s="3">
        <f ca="1">RTD("xqrtd.rtdserverxqlite",,"TX"&amp;TEXT($E$2,"0")&amp;"N"&amp;TEXT($D$2,"00")&amp;$U$2 &amp;TEXT(T20,"0")&amp;".TF-Price")</f>
        <v>138</v>
      </c>
      <c r="V20" s="17">
        <f ca="1">RTD("xqrtd.rtdserverxqlite",,"TX"&amp;TEXT($E$2,"0")&amp;"N"&amp;TEXT($D$2,"00")&amp;$U$2 &amp;TEXT(T20,"0")&amp;".TF-TotalVolume")</f>
        <v>1540</v>
      </c>
      <c r="W20" s="28">
        <f ca="1">RTD("xqrtd.rtdserverxqlite",,"TX"&amp;TEXT($E$2,"0")&amp;"N"&amp;TEXT($D$2,"00")&amp;$U$2 &amp;TEXT(T20,"0")&amp;".TF-Bid")</f>
        <v>137</v>
      </c>
      <c r="X20" s="4">
        <f t="shared" ca="1" si="5"/>
        <v>0.10799140996932985</v>
      </c>
      <c r="Y20" s="11">
        <f ca="1">RTD("xqrtd.rtdserverxqlite",,"TX"&amp;TEXT($E$2,"0")&amp;"N"&amp;TEXT($D$2,"00")&amp;$U$2 &amp;TEXT(T20,"0")&amp;".TF-Ask")</f>
        <v>139</v>
      </c>
      <c r="Z20" s="4">
        <f t="shared" ca="1" si="6"/>
        <v>0.11193417928218842</v>
      </c>
      <c r="AB20" s="18">
        <f t="shared" ca="1" si="7"/>
        <v>195121.76659619284</v>
      </c>
      <c r="AC20" s="19">
        <f t="shared" ca="1" si="8"/>
        <v>185377.18770766628</v>
      </c>
      <c r="AD20" s="20">
        <f t="shared" ca="1" si="9"/>
        <v>-534.19063827589548</v>
      </c>
      <c r="AE20" s="18">
        <f t="shared" ca="1" si="10"/>
        <v>-525743.50676180969</v>
      </c>
      <c r="AF20" s="19">
        <f t="shared" ca="1" si="11"/>
        <v>192292.59983625374</v>
      </c>
      <c r="AG20" s="20">
        <f t="shared" ca="1" si="12"/>
        <v>-488.77318422108686</v>
      </c>
    </row>
    <row r="21" spans="8:33" x14ac:dyDescent="0.25">
      <c r="H21" t="b">
        <f t="shared" ca="1" si="20"/>
        <v>1</v>
      </c>
      <c r="I21" t="b">
        <f t="shared" ca="1" si="21"/>
        <v>1</v>
      </c>
      <c r="J21" t="b">
        <f t="shared" ca="1" si="26"/>
        <v>1</v>
      </c>
      <c r="K21" t="b">
        <f t="shared" ca="1" si="27"/>
        <v>1</v>
      </c>
      <c r="L21" s="39">
        <f t="shared" ca="1" si="29"/>
        <v>0.1140996269583702</v>
      </c>
      <c r="M21" s="39">
        <f t="shared" ca="1" si="16"/>
        <v>0.10669209368228913</v>
      </c>
      <c r="N21" s="22">
        <f ca="1">RTD("xqrtd.rtdserverxqlite",,"TX"&amp;TEXT($E$2,"0")&amp;"N"&amp;TEXT($D$2,"00")&amp;$N$2 &amp;TEXT(T21,"0")&amp;".TF-Bid")</f>
        <v>17.5</v>
      </c>
      <c r="O21" s="23">
        <f t="shared" ca="1" si="3"/>
        <v>0.11290258712768553</v>
      </c>
      <c r="P21" s="11">
        <f ca="1">RTD("xqrtd.rtdserverxqlite",,"TX"&amp;TEXT($E$2,"0")&amp;"N"&amp;TEXT($D$2,"00")&amp;$N$2 &amp;TEXT(T21,"0")&amp;".TF-Ask")</f>
        <v>18.5</v>
      </c>
      <c r="Q21" s="21">
        <f t="shared" ca="1" si="4"/>
        <v>0.11529666678905486</v>
      </c>
      <c r="R21" s="16">
        <f ca="1">RTD("xqrtd.rtdserverxqlite",,"TX"&amp;TEXT($E$2,"0")&amp;"N"&amp;TEXT($D$2,"00")&amp;$N$2 &amp;TEXT(T21,"0")&amp;".TF-TotalVolume")</f>
        <v>8861</v>
      </c>
      <c r="S21" s="3">
        <f ca="1">RTD("xqrtd.rtdserverxqlite",,"TX"&amp;TEXT($E$2,"0")&amp;"N"&amp;TEXT($D$2,"00")&amp;$N$2 &amp;TEXT(T21,"0")&amp;".TF-Price")</f>
        <v>18</v>
      </c>
      <c r="T21" s="15">
        <f t="shared" ca="1" si="28"/>
        <v>14400</v>
      </c>
      <c r="U21" s="3">
        <f ca="1">RTD("xqrtd.rtdserverxqlite",,"TX"&amp;TEXT($E$2,"0")&amp;"N"&amp;TEXT($D$2,"00")&amp;$U$2 &amp;TEXT(T21,"0")&amp;".TF-Price")</f>
        <v>176</v>
      </c>
      <c r="V21" s="17">
        <f ca="1">RTD("xqrtd.rtdserverxqlite",,"TX"&amp;TEXT($E$2,"0")&amp;"N"&amp;TEXT($D$2,"00")&amp;$U$2 &amp;TEXT(T21,"0")&amp;".TF-TotalVolume")</f>
        <v>843</v>
      </c>
      <c r="W21" s="28">
        <f ca="1">RTD("xqrtd.rtdserverxqlite",,"TX"&amp;TEXT($E$2,"0")&amp;"N"&amp;TEXT($D$2,"00")&amp;$U$2 &amp;TEXT(T21,"0")&amp;".TF-Bid")</f>
        <v>175</v>
      </c>
      <c r="X21" s="4">
        <f t="shared" ca="1" si="5"/>
        <v>0.10415449321269991</v>
      </c>
      <c r="Y21" s="11">
        <f ca="1">RTD("xqrtd.rtdserverxqlite",,"TX"&amp;TEXT($E$2,"0")&amp;"N"&amp;TEXT($D$2,"00")&amp;$U$2 &amp;TEXT(T21,"0")&amp;".TF-Ask")</f>
        <v>177</v>
      </c>
      <c r="Z21" s="4">
        <f t="shared" ca="1" si="6"/>
        <v>0.10922969415187835</v>
      </c>
      <c r="AB21" s="18">
        <f t="shared" ca="1" si="7"/>
        <v>132312.03664705512</v>
      </c>
      <c r="AC21" s="19">
        <f t="shared" ca="1" si="8"/>
        <v>152476.29720459518</v>
      </c>
      <c r="AD21" s="20">
        <f t="shared" ca="1" si="9"/>
        <v>-400.01916791349845</v>
      </c>
      <c r="AE21" s="18">
        <f t="shared" ca="1" si="10"/>
        <v>-591282.24560629402</v>
      </c>
      <c r="AF21" s="19">
        <f t="shared" ca="1" si="11"/>
        <v>153854.0230422887</v>
      </c>
      <c r="AG21" s="20">
        <f t="shared" ca="1" si="12"/>
        <v>-348.57855962004152</v>
      </c>
    </row>
    <row r="22" spans="8:33" x14ac:dyDescent="0.25">
      <c r="H22" t="b">
        <f t="shared" ca="1" si="20"/>
        <v>1</v>
      </c>
      <c r="I22" t="b">
        <f t="shared" ca="1" si="21"/>
        <v>1</v>
      </c>
      <c r="J22" t="b">
        <f t="shared" ca="1" si="26"/>
        <v>1</v>
      </c>
      <c r="K22" t="b">
        <f t="shared" ca="1" si="27"/>
        <v>1</v>
      </c>
      <c r="L22" s="39">
        <f t="shared" ca="1" si="29"/>
        <v>0.11200808534622192</v>
      </c>
      <c r="M22" s="39">
        <f t="shared" ref="M22:M29" ca="1" si="30">IFERROR(IF((X22*J22+Z22*K22)/COUNTIF(J22:K22,TRUE)*(V22&gt;=30)=0,NA(),(X22*J22+Z22*K22)/COUNTIF(J22:K22,TRUE)*(V22&gt;=30)),NA())</f>
        <v>0.10170605683326721</v>
      </c>
      <c r="N22" s="22">
        <f ca="1">RTD("xqrtd.rtdserverxqlite",,"TX"&amp;TEXT($E$2,"0")&amp;"N"&amp;TEXT($D$2,"00")&amp;$N$2 &amp;TEXT(T22,"0")&amp;".TF-Bid")</f>
        <v>9.8000000000000007</v>
      </c>
      <c r="O22" s="23">
        <f t="shared" ca="1" si="3"/>
        <v>0.1116809914112091</v>
      </c>
      <c r="P22" s="11">
        <f ca="1">RTD("xqrtd.rtdserverxqlite",,"TX"&amp;TEXT($E$2,"0")&amp;"N"&amp;TEXT($D$2,"00")&amp;$N$2 &amp;TEXT(T22,"0")&amp;".TF-Ask")</f>
        <v>10</v>
      </c>
      <c r="Q22" s="21">
        <f t="shared" ca="1" si="4"/>
        <v>0.11233517928123474</v>
      </c>
      <c r="R22" s="16">
        <f ca="1">RTD("xqrtd.rtdserverxqlite",,"TX"&amp;TEXT($E$2,"0")&amp;"N"&amp;TEXT($D$2,"00")&amp;$N$2 &amp;TEXT(T22,"0")&amp;".TF-TotalVolume")</f>
        <v>6233</v>
      </c>
      <c r="S22" s="3">
        <f ca="1">RTD("xqrtd.rtdserverxqlite",,"TX"&amp;TEXT($E$2,"0")&amp;"N"&amp;TEXT($D$2,"00")&amp;$N$2 &amp;TEXT(T22,"0")&amp;".TF-Price")</f>
        <v>9.8000000000000007</v>
      </c>
      <c r="T22" s="15">
        <f t="shared" ca="1" si="28"/>
        <v>14450</v>
      </c>
      <c r="U22" s="3">
        <f ca="1">RTD("xqrtd.rtdserverxqlite",,"TX"&amp;TEXT($E$2,"0")&amp;"N"&amp;TEXT($D$2,"00")&amp;$U$2 &amp;TEXT(T22,"0")&amp;".TF-Price")</f>
        <v>215</v>
      </c>
      <c r="V22" s="17">
        <f ca="1">RTD("xqrtd.rtdserverxqlite",,"TX"&amp;TEXT($E$2,"0")&amp;"N"&amp;TEXT($D$2,"00")&amp;$U$2 &amp;TEXT(T22,"0")&amp;".TF-TotalVolume")</f>
        <v>150</v>
      </c>
      <c r="W22" s="28">
        <f ca="1">RTD("xqrtd.rtdserverxqlite",,"TX"&amp;TEXT($E$2,"0")&amp;"N"&amp;TEXT($D$2,"00")&amp;$U$2 &amp;TEXT(T22,"0")&amp;".TF-Bid")</f>
        <v>217</v>
      </c>
      <c r="X22" s="4">
        <f t="shared" ca="1" si="5"/>
        <v>9.7894411182403551E-2</v>
      </c>
      <c r="Y22" s="11">
        <f ca="1">RTD("xqrtd.rtdserverxqlite",,"TX"&amp;TEXT($E$2,"0")&amp;"N"&amp;TEXT($D$2,"00")&amp;$U$2 &amp;TEXT(T22,"0")&amp;".TF-Ask")</f>
        <v>219</v>
      </c>
      <c r="Z22" s="4">
        <f t="shared" ca="1" si="6"/>
        <v>0.10551770248413087</v>
      </c>
      <c r="AB22" s="18">
        <f t="shared" ca="1" si="7"/>
        <v>82928.091526465767</v>
      </c>
      <c r="AC22" s="19">
        <f t="shared" ca="1" si="8"/>
        <v>113661.27999747846</v>
      </c>
      <c r="AD22" s="20">
        <f t="shared" ca="1" si="9"/>
        <v>-268.85616055508967</v>
      </c>
      <c r="AE22" s="18">
        <f t="shared" ca="1" si="10"/>
        <v>-644817.72736907331</v>
      </c>
      <c r="AF22" s="19">
        <f t="shared" ca="1" si="11"/>
        <v>107421.01653857574</v>
      </c>
      <c r="AG22" s="20">
        <f t="shared" ca="1" si="12"/>
        <v>-202.90381031910982</v>
      </c>
    </row>
    <row r="23" spans="8:33" x14ac:dyDescent="0.25">
      <c r="H23" t="b">
        <f t="shared" ca="1" si="20"/>
        <v>1</v>
      </c>
      <c r="I23" t="b">
        <f t="shared" ca="1" si="21"/>
        <v>1</v>
      </c>
      <c r="J23" t="b">
        <f t="shared" ca="1" si="26"/>
        <v>0</v>
      </c>
      <c r="K23" t="b">
        <f t="shared" ca="1" si="27"/>
        <v>1</v>
      </c>
      <c r="L23" s="39">
        <f t="shared" ca="1" si="29"/>
        <v>0.11201094622612</v>
      </c>
      <c r="M23" s="39">
        <f t="shared" ca="1" si="30"/>
        <v>0.13066865129470823</v>
      </c>
      <c r="N23" s="22">
        <f ca="1">RTD("xqrtd.rtdserverxqlite",,"TX"&amp;TEXT($E$2,"0")&amp;"N"&amp;TEXT($D$2,"00")&amp;$N$2 &amp;TEXT(T23,"0")&amp;".TF-Bid")</f>
        <v>5.3</v>
      </c>
      <c r="O23" s="23">
        <f t="shared" ca="1" si="3"/>
        <v>0.11153508653640748</v>
      </c>
      <c r="P23" s="11">
        <f ca="1">RTD("xqrtd.rtdserverxqlite",,"TX"&amp;TEXT($E$2,"0")&amp;"N"&amp;TEXT($D$2,"00")&amp;$N$2 &amp;TEXT(T23,"0")&amp;".TF-Ask")</f>
        <v>5.5</v>
      </c>
      <c r="Q23" s="21">
        <f t="shared" ca="1" si="4"/>
        <v>0.11248680591583252</v>
      </c>
      <c r="R23" s="16">
        <f ca="1">RTD("xqrtd.rtdserverxqlite",,"TX"&amp;TEXT($E$2,"0")&amp;"N"&amp;TEXT($D$2,"00")&amp;$N$2 &amp;TEXT(T23,"0")&amp;".TF-TotalVolume")</f>
        <v>5046</v>
      </c>
      <c r="S23" s="3">
        <f ca="1">RTD("xqrtd.rtdserverxqlite",,"TX"&amp;TEXT($E$2,"0")&amp;"N"&amp;TEXT($D$2,"00")&amp;$N$2 &amp;TEXT(T23,"0")&amp;".TF-Price")</f>
        <v>5.4</v>
      </c>
      <c r="T23" s="15">
        <f t="shared" ca="1" si="28"/>
        <v>14500</v>
      </c>
      <c r="U23" s="3">
        <f ca="1">RTD("xqrtd.rtdserverxqlite",,"TX"&amp;TEXT($E$2,"0")&amp;"N"&amp;TEXT($D$2,"00")&amp;$U$2 &amp;TEXT(T23,"0")&amp;".TF-Price")</f>
        <v>256</v>
      </c>
      <c r="V23" s="17">
        <f ca="1">RTD("xqrtd.rtdserverxqlite",,"TX"&amp;TEXT($E$2,"0")&amp;"N"&amp;TEXT($D$2,"00")&amp;$U$2 &amp;TEXT(T23,"0")&amp;".TF-TotalVolume")</f>
        <v>258</v>
      </c>
      <c r="W23" s="28">
        <f ca="1">RTD("xqrtd.rtdserverxqlite",,"TX"&amp;TEXT($E$2,"0")&amp;"N"&amp;TEXT($D$2,"00")&amp;$U$2 &amp;TEXT(T23,"0")&amp;".TF-Bid")</f>
        <v>258</v>
      </c>
      <c r="X23" s="4">
        <f t="shared" ca="1" si="5"/>
        <v>1.0000000000000002E-4</v>
      </c>
      <c r="Y23" s="11">
        <f ca="1">RTD("xqrtd.rtdserverxqlite",,"TX"&amp;TEXT($E$2,"0")&amp;"N"&amp;TEXT($D$2,"00")&amp;$U$2 &amp;TEXT(T23,"0")&amp;".TF-Ask")</f>
        <v>271</v>
      </c>
      <c r="Z23" s="4">
        <f t="shared" ca="1" si="6"/>
        <v>0.13066865129470823</v>
      </c>
      <c r="AB23" s="18">
        <f t="shared" ca="1" si="7"/>
        <v>49984.562735073137</v>
      </c>
      <c r="AC23" s="19">
        <f t="shared" ca="1" si="8"/>
        <v>78089.125495475368</v>
      </c>
      <c r="AD23" s="20">
        <f t="shared" ca="1" si="9"/>
        <v>-170.80545429321438</v>
      </c>
      <c r="AE23" s="18">
        <f t="shared" ca="1" si="10"/>
        <v>-707910.41073512868</v>
      </c>
      <c r="AF23" s="19">
        <f t="shared" ca="1" si="11"/>
        <v>16058.91265234823</v>
      </c>
      <c r="AG23" s="20">
        <f t="shared" ca="1" si="12"/>
        <v>-8.0538941291763422</v>
      </c>
    </row>
    <row r="24" spans="8:33" x14ac:dyDescent="0.25">
      <c r="H24" t="b">
        <f t="shared" ca="1" si="20"/>
        <v>1</v>
      </c>
      <c r="I24" t="b">
        <f t="shared" ca="1" si="21"/>
        <v>1</v>
      </c>
      <c r="J24" t="b">
        <f t="shared" ca="1" si="26"/>
        <v>0</v>
      </c>
      <c r="K24" t="b">
        <f t="shared" ca="1" si="27"/>
        <v>1</v>
      </c>
      <c r="L24" s="39">
        <f t="shared" ca="1" si="29"/>
        <v>0.11293501043319702</v>
      </c>
      <c r="M24" s="39" t="e">
        <f t="shared" ca="1" si="30"/>
        <v>#N/A</v>
      </c>
      <c r="N24" s="22">
        <f ca="1">RTD("xqrtd.rtdserverxqlite",,"TX"&amp;TEXT($E$2,"0")&amp;"N"&amp;TEXT($D$2,"00")&amp;$N$2 &amp;TEXT(T24,"0")&amp;".TF-Bid")</f>
        <v>2.8</v>
      </c>
      <c r="O24" s="23">
        <f t="shared" ca="1" si="3"/>
        <v>0.11220453243255615</v>
      </c>
      <c r="P24" s="11">
        <f ca="1">RTD("xqrtd.rtdserverxqlite",,"TX"&amp;TEXT($E$2,"0")&amp;"N"&amp;TEXT($D$2,"00")&amp;$N$2 &amp;TEXT(T24,"0")&amp;".TF-Ask")</f>
        <v>3</v>
      </c>
      <c r="Q24" s="21">
        <f t="shared" ca="1" si="4"/>
        <v>0.11366548843383789</v>
      </c>
      <c r="R24" s="16">
        <f ca="1">RTD("xqrtd.rtdserverxqlite",,"TX"&amp;TEXT($E$2,"0")&amp;"N"&amp;TEXT($D$2,"00")&amp;$N$2 &amp;TEXT(T24,"0")&amp;".TF-TotalVolume")</f>
        <v>4575</v>
      </c>
      <c r="S24" s="3">
        <f ca="1">RTD("xqrtd.rtdserverxqlite",,"TX"&amp;TEXT($E$2,"0")&amp;"N"&amp;TEXT($D$2,"00")&amp;$N$2 &amp;TEXT(T24,"0")&amp;".TF-Price")</f>
        <v>3.2</v>
      </c>
      <c r="T24" s="15">
        <f t="shared" ca="1" si="28"/>
        <v>14550</v>
      </c>
      <c r="U24" s="3" t="str">
        <f ca="1">RTD("xqrtd.rtdserverxqlite",,"TX"&amp;TEXT($E$2,"0")&amp;"N"&amp;TEXT($D$2,"00")&amp;$U$2 &amp;TEXT(T24,"0")&amp;".TF-Price")</f>
        <v>--</v>
      </c>
      <c r="V24" s="17">
        <f ca="1">RTD("xqrtd.rtdserverxqlite",,"TX"&amp;TEXT($E$2,"0")&amp;"N"&amp;TEXT($D$2,"00")&amp;$U$2 &amp;TEXT(T24,"0")&amp;".TF-TotalVolume")</f>
        <v>0</v>
      </c>
      <c r="W24" s="28">
        <f ca="1">RTD("xqrtd.rtdserverxqlite",,"TX"&amp;TEXT($E$2,"0")&amp;"N"&amp;TEXT($D$2,"00")&amp;$U$2 &amp;TEXT(T24,"0")&amp;".TF-Bid")</f>
        <v>307</v>
      </c>
      <c r="X24" s="4">
        <f t="shared" ca="1" si="5"/>
        <v>1.0000000000000002E-4</v>
      </c>
      <c r="Y24" s="11">
        <f ca="1">RTD("xqrtd.rtdserverxqlite",,"TX"&amp;TEXT($E$2,"0")&amp;"N"&amp;TEXT($D$2,"00")&amp;$U$2 &amp;TEXT(T24,"0")&amp;".TF-Ask")</f>
        <v>317</v>
      </c>
      <c r="Z24" s="4">
        <f t="shared" ca="1" si="6"/>
        <v>0.13114069647789003</v>
      </c>
      <c r="AB24" s="18">
        <f t="shared" ca="1" si="7"/>
        <v>29123.57856009524</v>
      </c>
      <c r="AC24" s="19">
        <f t="shared" ca="1" si="8"/>
        <v>50499.774363081349</v>
      </c>
      <c r="AD24" s="20">
        <f t="shared" ca="1" si="9"/>
        <v>-102.97811380662412</v>
      </c>
      <c r="AE24" s="18">
        <f t="shared" ca="1" si="10"/>
        <v>-710992.14242064941</v>
      </c>
      <c r="AF24" s="19">
        <f t="shared" ca="1" si="11"/>
        <v>4361.2126069208734</v>
      </c>
      <c r="AG24" s="20">
        <f t="shared" ca="1" si="12"/>
        <v>-1.7942131568190689</v>
      </c>
    </row>
    <row r="25" spans="8:33" x14ac:dyDescent="0.25">
      <c r="H25" t="b">
        <f t="shared" ca="1" si="20"/>
        <v>1</v>
      </c>
      <c r="I25" t="b">
        <f t="shared" ca="1" si="21"/>
        <v>1</v>
      </c>
      <c r="J25" t="b">
        <f t="shared" ca="1" si="26"/>
        <v>0</v>
      </c>
      <c r="K25" t="b">
        <f t="shared" ca="1" si="27"/>
        <v>1</v>
      </c>
      <c r="L25" s="39">
        <f t="shared" ca="1" si="29"/>
        <v>0.11568908414840698</v>
      </c>
      <c r="M25" s="39" t="e">
        <f t="shared" ca="1" si="30"/>
        <v>#N/A</v>
      </c>
      <c r="N25" s="11">
        <f ca="1">RTD("xqrtd.rtdserverxqlite",,"TX"&amp;TEXT($E$2,"0")&amp;"N"&amp;TEXT($D$2,"00")&amp;$N$2 &amp;TEXT(T25,"0")&amp;".TF-Bid")</f>
        <v>1.6</v>
      </c>
      <c r="O25" s="4">
        <f t="shared" ca="1" si="3"/>
        <v>0.11513025894165038</v>
      </c>
      <c r="P25" s="11">
        <f ca="1">RTD("xqrtd.rtdserverxqlite",,"TX"&amp;TEXT($E$2,"0")&amp;"N"&amp;TEXT($D$2,"00")&amp;$N$2 &amp;TEXT(T25,"0")&amp;".TF-Ask")</f>
        <v>1.7</v>
      </c>
      <c r="Q25" s="27">
        <f t="shared" ca="1" si="4"/>
        <v>0.11624790935516358</v>
      </c>
      <c r="R25" s="16">
        <f ca="1">RTD("xqrtd.rtdserverxqlite",,"TX"&amp;TEXT($E$2,"0")&amp;"N"&amp;TEXT($D$2,"00")&amp;$N$2 &amp;TEXT(T25,"0")&amp;".TF-TotalVolume")</f>
        <v>1904</v>
      </c>
      <c r="S25" s="3">
        <f ca="1">RTD("xqrtd.rtdserverxqlite",,"TX"&amp;TEXT($E$2,"0")&amp;"N"&amp;TEXT($D$2,"00")&amp;$N$2 &amp;TEXT(T25,"0")&amp;".TF-Price")</f>
        <v>1.7</v>
      </c>
      <c r="T25" s="15">
        <f t="shared" ca="1" si="28"/>
        <v>14600</v>
      </c>
      <c r="U25" s="3">
        <f ca="1">RTD("xqrtd.rtdserverxqlite",,"TX"&amp;TEXT($E$2,"0")&amp;"N"&amp;TEXT($D$2,"00")&amp;$U$2 &amp;TEXT(T25,"0")&amp;".TF-Price")</f>
        <v>340</v>
      </c>
      <c r="V25" s="17">
        <f ca="1">RTD("xqrtd.rtdserverxqlite",,"TX"&amp;TEXT($E$2,"0")&amp;"N"&amp;TEXT($D$2,"00")&amp;$U$2 &amp;TEXT(T25,"0")&amp;".TF-TotalVolume")</f>
        <v>4</v>
      </c>
      <c r="W25" s="28">
        <f ca="1">RTD("xqrtd.rtdserverxqlite",,"TX"&amp;TEXT($E$2,"0")&amp;"N"&amp;TEXT($D$2,"00")&amp;$U$2 &amp;TEXT(T25,"0")&amp;".TF-Bid")</f>
        <v>354</v>
      </c>
      <c r="X25" s="4">
        <f t="shared" ca="1" si="5"/>
        <v>1.0000000000000002E-4</v>
      </c>
      <c r="Y25" s="11">
        <f ca="1">RTD("xqrtd.rtdserverxqlite",,"TX"&amp;TEXT($E$2,"0")&amp;"N"&amp;TEXT($D$2,"00")&amp;$U$2 &amp;TEXT(T25,"0")&amp;".TF-Ask")</f>
        <v>364</v>
      </c>
      <c r="Z25" s="4">
        <f t="shared" ca="1" si="6"/>
        <v>0.12811483917236327</v>
      </c>
      <c r="AB25" s="18">
        <f t="shared" ca="1" si="7"/>
        <v>17421.533930395755</v>
      </c>
      <c r="AC25" s="19">
        <f t="shared" ca="1" si="8"/>
        <v>32239.54973826867</v>
      </c>
      <c r="AD25" s="20">
        <f t="shared" ca="1" si="9"/>
        <v>-63.502429069662611</v>
      </c>
      <c r="AE25" s="18">
        <f t="shared" ca="1" si="10"/>
        <v>-711817.89950493397</v>
      </c>
      <c r="AF25" s="19">
        <f t="shared" ca="1" si="11"/>
        <v>711.6257291347348</v>
      </c>
      <c r="AG25" s="20">
        <f t="shared" ca="1" si="12"/>
        <v>-0.21814478331805276</v>
      </c>
    </row>
    <row r="26" spans="8:33" x14ac:dyDescent="0.25">
      <c r="H26" t="b">
        <f t="shared" ca="1" si="20"/>
        <v>1</v>
      </c>
      <c r="I26" t="b">
        <f t="shared" ca="1" si="21"/>
        <v>1</v>
      </c>
      <c r="J26" t="b">
        <f t="shared" ca="1" si="26"/>
        <v>0</v>
      </c>
      <c r="K26" t="b">
        <f t="shared" ca="1" si="27"/>
        <v>1</v>
      </c>
      <c r="L26" s="39">
        <f t="shared" ca="1" si="29"/>
        <v>0.11880458235740662</v>
      </c>
      <c r="M26" s="39" t="e">
        <f t="shared" ca="1" si="30"/>
        <v>#N/A</v>
      </c>
      <c r="N26" s="11">
        <f ca="1">RTD("xqrtd.rtdserverxqlite",,"TX"&amp;TEXT($E$2,"0")&amp;"N"&amp;TEXT($D$2,"00")&amp;$N$2 &amp;TEXT(T26,"0")&amp;".TF-Bid")</f>
        <v>0.9</v>
      </c>
      <c r="O26" s="4">
        <f t="shared" ca="1" si="3"/>
        <v>0.11793773574829101</v>
      </c>
      <c r="P26" s="11">
        <f ca="1">RTD("xqrtd.rtdserverxqlite",,"TX"&amp;TEXT($E$2,"0")&amp;"N"&amp;TEXT($D$2,"00")&amp;$N$2 &amp;TEXT(T26,"0")&amp;".TF-Ask")</f>
        <v>1</v>
      </c>
      <c r="Q26" s="27">
        <f t="shared" ca="1" si="4"/>
        <v>0.11967142896652225</v>
      </c>
      <c r="R26" s="16">
        <f ca="1">RTD("xqrtd.rtdserverxqlite",,"TX"&amp;TEXT($E$2,"0")&amp;"N"&amp;TEXT($D$2,"00")&amp;$N$2 &amp;TEXT(T26,"0")&amp;".TF-TotalVolume")</f>
        <v>274</v>
      </c>
      <c r="S26" s="3">
        <f ca="1">RTD("xqrtd.rtdserverxqlite",,"TX"&amp;TEXT($E$2,"0")&amp;"N"&amp;TEXT($D$2,"00")&amp;$N$2 &amp;TEXT(T26,"0")&amp;".TF-Price")</f>
        <v>0.9</v>
      </c>
      <c r="T26" s="15">
        <f t="shared" ca="1" si="28"/>
        <v>14650</v>
      </c>
      <c r="U26" s="3" t="str">
        <f ca="1">RTD("xqrtd.rtdserverxqlite",,"TX"&amp;TEXT($E$2,"0")&amp;"N"&amp;TEXT($D$2,"00")&amp;$U$2 &amp;TEXT(T26,"0")&amp;".TF-Price")</f>
        <v>--</v>
      </c>
      <c r="V26" s="17">
        <f ca="1">RTD("xqrtd.rtdserverxqlite",,"TX"&amp;TEXT($E$2,"0")&amp;"N"&amp;TEXT($D$2,"00")&amp;$U$2 &amp;TEXT(T26,"0")&amp;".TF-TotalVolume")</f>
        <v>0</v>
      </c>
      <c r="W26" s="28">
        <f ca="1">RTD("xqrtd.rtdserverxqlite",,"TX"&amp;TEXT($E$2,"0")&amp;"N"&amp;TEXT($D$2,"00")&amp;$U$2 &amp;TEXT(T26,"0")&amp;".TF-Bid")</f>
        <v>405</v>
      </c>
      <c r="X26" s="4">
        <f t="shared" ca="1" si="5"/>
        <v>1.0000000000000002E-4</v>
      </c>
      <c r="Y26" s="11">
        <f ca="1">RTD("xqrtd.rtdserverxqlite",,"TX"&amp;TEXT($E$2,"0")&amp;"N"&amp;TEXT($D$2,"00")&amp;$U$2 &amp;TEXT(T26,"0")&amp;".TF-Ask")</f>
        <v>415</v>
      </c>
      <c r="Z26" s="4">
        <f t="shared" ca="1" si="6"/>
        <v>0.14995002818107608</v>
      </c>
      <c r="AB26" s="18">
        <f t="shared" ca="1" si="7"/>
        <v>10423.338206850423</v>
      </c>
      <c r="AC26" s="19">
        <f t="shared" ca="1" si="8"/>
        <v>20276.562834416956</v>
      </c>
      <c r="AD26" s="20">
        <f t="shared" ca="1" si="9"/>
        <v>-38.806367801086594</v>
      </c>
      <c r="AE26" s="18">
        <f t="shared" ca="1" si="10"/>
        <v>-711755.2312497017</v>
      </c>
      <c r="AF26" s="19">
        <f t="shared" ca="1" si="11"/>
        <v>874.16753539349304</v>
      </c>
      <c r="AG26" s="20">
        <f t="shared" ca="1" si="12"/>
        <v>-0.3839681837405351</v>
      </c>
    </row>
    <row r="27" spans="8:33" x14ac:dyDescent="0.25">
      <c r="H27" t="b">
        <f t="shared" ca="1" si="20"/>
        <v>1</v>
      </c>
      <c r="I27" t="b">
        <f t="shared" ca="1" si="21"/>
        <v>1</v>
      </c>
      <c r="J27" t="b">
        <f t="shared" ca="1" si="26"/>
        <v>0</v>
      </c>
      <c r="K27" t="b">
        <f t="shared" ca="1" si="27"/>
        <v>0</v>
      </c>
      <c r="L27" s="39">
        <f t="shared" ca="1" si="29"/>
        <v>0.12459595689773562</v>
      </c>
      <c r="M27" s="39" t="e">
        <f t="shared" ca="1" si="30"/>
        <v>#N/A</v>
      </c>
      <c r="N27" s="11">
        <f ca="1">RTD("xqrtd.rtdserverxqlite",,"TX"&amp;TEXT($E$2,"0")&amp;"N"&amp;TEXT($D$2,"00")&amp;$N$2 &amp;TEXT(T27,"0")&amp;".TF-Bid")</f>
        <v>0.6</v>
      </c>
      <c r="O27" s="4">
        <f t="shared" ca="1" si="3"/>
        <v>0.12338485107421876</v>
      </c>
      <c r="P27" s="11">
        <f ca="1">RTD("xqrtd.rtdserverxqlite",,"TX"&amp;TEXT($E$2,"0")&amp;"N"&amp;TEXT($D$2,"00")&amp;$N$2 &amp;TEXT(T27,"0")&amp;".TF-Ask")</f>
        <v>0.7</v>
      </c>
      <c r="Q27" s="27">
        <f t="shared" ca="1" si="4"/>
        <v>0.12580706272125247</v>
      </c>
      <c r="R27" s="16">
        <f ca="1">RTD("xqrtd.rtdserverxqlite",,"TX"&amp;TEXT($E$2,"0")&amp;"N"&amp;TEXT($D$2,"00")&amp;$N$2 &amp;TEXT(T27,"0")&amp;".TF-TotalVolume")</f>
        <v>114</v>
      </c>
      <c r="S27" s="3">
        <f ca="1">RTD("xqrtd.rtdserverxqlite",,"TX"&amp;TEXT($E$2,"0")&amp;"N"&amp;TEXT($D$2,"00")&amp;$N$2 &amp;TEXT(T27,"0")&amp;".TF-Price")</f>
        <v>0.7</v>
      </c>
      <c r="T27" s="15">
        <f t="shared" ca="1" si="28"/>
        <v>14700</v>
      </c>
      <c r="U27" s="3" t="str">
        <f ca="1">RTD("xqrtd.rtdserverxqlite",,"TX"&amp;TEXT($E$2,"0")&amp;"N"&amp;TEXT($D$2,"00")&amp;$U$2 &amp;TEXT(T27,"0")&amp;".TF-Price")</f>
        <v>--</v>
      </c>
      <c r="V27" s="17">
        <f ca="1">RTD("xqrtd.rtdserverxqlite",,"TX"&amp;TEXT($E$2,"0")&amp;"N"&amp;TEXT($D$2,"00")&amp;$U$2 &amp;TEXT(T27,"0")&amp;".TF-TotalVolume")</f>
        <v>0</v>
      </c>
      <c r="W27" s="28">
        <f ca="1">RTD("xqrtd.rtdserverxqlite",,"TX"&amp;TEXT($E$2,"0")&amp;"N"&amp;TEXT($D$2,"00")&amp;$U$2 &amp;TEXT(T27,"0")&amp;".TF-Bid")</f>
        <v>453</v>
      </c>
      <c r="X27" s="4">
        <f t="shared" ca="1" si="5"/>
        <v>1.0000500000000003</v>
      </c>
      <c r="Y27" s="11">
        <f ca="1">RTD("xqrtd.rtdserverxqlite",,"TX"&amp;TEXT($E$2,"0")&amp;"N"&amp;TEXT($D$2,"00")&amp;$U$2 &amp;TEXT(T27,"0")&amp;".TF-Ask")</f>
        <v>463</v>
      </c>
      <c r="Z27" s="4">
        <f t="shared" ca="1" si="6"/>
        <v>1.0000500000000003</v>
      </c>
      <c r="AB27" s="18">
        <f t="shared" ca="1" si="7"/>
        <v>7102.5623046050696</v>
      </c>
      <c r="AC27" s="19">
        <f t="shared" ca="1" si="8"/>
        <v>13860.172978080845</v>
      </c>
      <c r="AD27" s="20">
        <f t="shared" ca="1" si="9"/>
        <v>-27.472470993649157</v>
      </c>
      <c r="AE27" s="18">
        <f t="shared" ca="1" si="10"/>
        <v>-422411.92502881301</v>
      </c>
      <c r="AF27" s="19">
        <f t="shared" ca="1" si="11"/>
        <v>25214.195366114036</v>
      </c>
      <c r="AG27" s="20">
        <f t="shared" ca="1" si="12"/>
        <v>-5499.7664938140242</v>
      </c>
    </row>
    <row r="28" spans="8:33" x14ac:dyDescent="0.25">
      <c r="H28" t="e">
        <f t="shared" ca="1" si="20"/>
        <v>#VALUE!</v>
      </c>
      <c r="I28" t="e">
        <f t="shared" ca="1" si="21"/>
        <v>#VALUE!</v>
      </c>
      <c r="J28" t="e">
        <f t="shared" ca="1" si="26"/>
        <v>#VALUE!</v>
      </c>
      <c r="K28" t="e">
        <f t="shared" ca="1" si="27"/>
        <v>#VALUE!</v>
      </c>
      <c r="L28" s="39" t="e">
        <f t="shared" ca="1" si="29"/>
        <v>#N/A</v>
      </c>
      <c r="M28" s="39" t="e">
        <f t="shared" ca="1" si="30"/>
        <v>#N/A</v>
      </c>
      <c r="N28" s="11" t="str">
        <f ca="1">RTD("xqrtd.rtdserverxqlite",,"TX"&amp;TEXT($E$2,"0")&amp;"N"&amp;TEXT($D$2,"00")&amp;$N$2 &amp;TEXT(T28,"0")&amp;".TF-Bid")</f>
        <v>#N/A</v>
      </c>
      <c r="O28" s="4" t="e">
        <f t="shared" ca="1" si="3"/>
        <v>#VALUE!</v>
      </c>
      <c r="P28" s="11" t="str">
        <f ca="1">RTD("xqrtd.rtdserverxqlite",,"TX"&amp;TEXT($E$2,"0")&amp;"N"&amp;TEXT($D$2,"00")&amp;$N$2 &amp;TEXT(T28,"0")&amp;".TF-Ask")</f>
        <v>#N/A</v>
      </c>
      <c r="Q28" s="27" t="e">
        <f t="shared" ca="1" si="4"/>
        <v>#VALUE!</v>
      </c>
      <c r="R28" s="16" t="str">
        <f ca="1">RTD("xqrtd.rtdserverxqlite",,"TX"&amp;TEXT($E$2,"0")&amp;"N"&amp;TEXT($D$2,"00")&amp;$N$2 &amp;TEXT(T28,"0")&amp;".TF-TotalVolume")</f>
        <v>#N/A</v>
      </c>
      <c r="S28" s="3" t="str">
        <f ca="1">RTD("xqrtd.rtdserverxqlite",,"TX"&amp;TEXT($E$2,"0")&amp;"N"&amp;TEXT($D$2,"00")&amp;$N$2 &amp;TEXT(T28,"0")&amp;".TF-Price")</f>
        <v>#N/A</v>
      </c>
      <c r="T28" s="15">
        <f t="shared" ca="1" si="28"/>
        <v>14750</v>
      </c>
      <c r="U28" s="3" t="str">
        <f ca="1">RTD("xqrtd.rtdserverxqlite",,"TX"&amp;TEXT($E$2,"0")&amp;"N"&amp;TEXT($D$2,"00")&amp;$U$2 &amp;TEXT(T28,"0")&amp;".TF-Price")</f>
        <v>#N/A</v>
      </c>
      <c r="V28" s="17" t="str">
        <f ca="1">RTD("xqrtd.rtdserverxqlite",,"TX"&amp;TEXT($E$2,"0")&amp;"N"&amp;TEXT($D$2,"00")&amp;$U$2 &amp;TEXT(T28,"0")&amp;".TF-TotalVolume")</f>
        <v>#N/A</v>
      </c>
      <c r="W28" s="28" t="str">
        <f ca="1">RTD("xqrtd.rtdserverxqlite",,"TX"&amp;TEXT($E$2,"0")&amp;"N"&amp;TEXT($D$2,"00")&amp;$U$2 &amp;TEXT(T28,"0")&amp;".TF-Bid")</f>
        <v>#N/A</v>
      </c>
      <c r="X28" s="4" t="e">
        <f t="shared" ca="1" si="5"/>
        <v>#VALUE!</v>
      </c>
      <c r="Y28" s="11" t="str">
        <f ca="1">RTD("xqrtd.rtdserverxqlite",,"TX"&amp;TEXT($E$2,"0")&amp;"N"&amp;TEXT($D$2,"00")&amp;$U$2 &amp;TEXT(T28,"0")&amp;".TF-Ask")</f>
        <v>#N/A</v>
      </c>
      <c r="Z28" s="4" t="e">
        <f t="shared" ca="1" si="6"/>
        <v>#VALUE!</v>
      </c>
      <c r="AB28" s="18" t="e">
        <f t="shared" ca="1" si="7"/>
        <v>#VALUE!</v>
      </c>
      <c r="AC28" s="19" t="e">
        <f t="shared" ca="1" si="8"/>
        <v>#VALUE!</v>
      </c>
      <c r="AD28" s="20" t="e">
        <f t="shared" ca="1" si="9"/>
        <v>#VALUE!</v>
      </c>
      <c r="AE28" s="18" t="e">
        <f t="shared" ca="1" si="10"/>
        <v>#VALUE!</v>
      </c>
      <c r="AF28" s="19" t="e">
        <f t="shared" ca="1" si="11"/>
        <v>#VALUE!</v>
      </c>
      <c r="AG28" s="20" t="e">
        <f t="shared" ca="1" si="12"/>
        <v>#VALUE!</v>
      </c>
    </row>
    <row r="29" spans="8:33" x14ac:dyDescent="0.25">
      <c r="H29" t="b">
        <f t="shared" ca="1" si="20"/>
        <v>1</v>
      </c>
      <c r="I29" t="b">
        <f t="shared" ca="1" si="21"/>
        <v>1</v>
      </c>
      <c r="J29" t="b">
        <f t="shared" ca="1" si="26"/>
        <v>0</v>
      </c>
      <c r="K29" t="b">
        <f t="shared" ca="1" si="27"/>
        <v>0</v>
      </c>
      <c r="L29" s="39">
        <f ca="1">IFERROR(IF((O29*H29+Q29*I29)/COUNTIF(H29:I29,TRUE)*(R29&gt;=30)=0,NA(),(O29*H29+Q29*H29)/COUNTIF(H29:I29,TRUE)*(R29&gt;=30)),NA())</f>
        <v>0.13445836353302004</v>
      </c>
      <c r="M29" s="39" t="e">
        <f t="shared" ca="1" si="30"/>
        <v>#N/A</v>
      </c>
      <c r="N29" s="11">
        <f ca="1">RTD("xqrtd.rtdserverxqlite",,"TX"&amp;TEXT($E$2,"0")&amp;"N"&amp;TEXT($D$2,"00")&amp;$N$2 &amp;TEXT(T29,"0")&amp;".TF-Bid")</f>
        <v>0.2</v>
      </c>
      <c r="O29" s="4">
        <f t="shared" ca="1" si="3"/>
        <v>0.12953383560180665</v>
      </c>
      <c r="P29" s="11">
        <f ca="1">RTD("xqrtd.rtdserverxqlite",,"TX"&amp;TEXT($E$2,"0")&amp;"N"&amp;TEXT($D$2,"00")&amp;$N$2 &amp;TEXT(T29,"0")&amp;".TF-Ask")</f>
        <v>0.4</v>
      </c>
      <c r="Q29" s="27">
        <f t="shared" ca="1" si="4"/>
        <v>0.13938289146423341</v>
      </c>
      <c r="R29" s="16">
        <f ca="1">RTD("xqrtd.rtdserverxqlite",,"TX"&amp;TEXT($E$2,"0")&amp;"N"&amp;TEXT($D$2,"00")&amp;$N$2 &amp;TEXT(T29,"0")&amp;".TF-TotalVolume")</f>
        <v>140</v>
      </c>
      <c r="S29" s="3">
        <f ca="1">RTD("xqrtd.rtdserverxqlite",,"TX"&amp;TEXT($E$2,"0")&amp;"N"&amp;TEXT($D$2,"00")&amp;$N$2 &amp;TEXT(T29,"0")&amp;".TF-Price")</f>
        <v>0.3</v>
      </c>
      <c r="T29" s="15">
        <f t="shared" ca="1" si="28"/>
        <v>14800</v>
      </c>
      <c r="U29" s="3" t="str">
        <f ca="1">RTD("xqrtd.rtdserverxqlite",,"TX"&amp;TEXT($E$2,"0")&amp;"N"&amp;TEXT($D$2,"00")&amp;$U$2 &amp;TEXT(T29,"0")&amp;".TF-Price")</f>
        <v>--</v>
      </c>
      <c r="V29" s="17">
        <f ca="1">RTD("xqrtd.rtdserverxqlite",,"TX"&amp;TEXT($E$2,"0")&amp;"N"&amp;TEXT($D$2,"00")&amp;$U$2 &amp;TEXT(T29,"0")&amp;".TF-TotalVolume")</f>
        <v>0</v>
      </c>
      <c r="W29" s="28">
        <f ca="1">RTD("xqrtd.rtdserverxqlite",,"TX"&amp;TEXT($E$2,"0")&amp;"N"&amp;TEXT($D$2,"00")&amp;$U$2 &amp;TEXT(T29,"0")&amp;".TF-Bid")</f>
        <v>550</v>
      </c>
      <c r="X29" s="4">
        <f t="shared" ca="1" si="5"/>
        <v>1.0000500000000003</v>
      </c>
      <c r="Y29" s="11">
        <f ca="1">RTD("xqrtd.rtdserverxqlite",,"TX"&amp;TEXT($E$2,"0")&amp;"N"&amp;TEXT($D$2,"00")&amp;$U$2 &amp;TEXT(T29,"0")&amp;".TF-Ask")</f>
        <v>565</v>
      </c>
      <c r="Z29" s="4">
        <f t="shared" ca="1" si="6"/>
        <v>1.0000500000000003</v>
      </c>
      <c r="AB29" s="18">
        <f t="shared" ca="1" si="7"/>
        <v>3171.8324241078253</v>
      </c>
      <c r="AC29" s="19">
        <f t="shared" ca="1" si="8"/>
        <v>6294.3427179351011</v>
      </c>
      <c r="AD29" s="20">
        <f t="shared" ca="1" si="9"/>
        <v>-12.85709591792769</v>
      </c>
      <c r="AE29" s="18">
        <f t="shared" ca="1" si="10"/>
        <v>-439367.64672968839</v>
      </c>
      <c r="AF29" s="19">
        <f t="shared" ca="1" si="11"/>
        <v>24800.954656258185</v>
      </c>
      <c r="AG29" s="20">
        <f t="shared" ca="1" si="12"/>
        <v>-5384.8996725057023</v>
      </c>
    </row>
    <row r="30" spans="8:33" x14ac:dyDescent="0.25">
      <c r="Q30" s="21"/>
    </row>
    <row r="31" spans="8:33" x14ac:dyDescent="0.25">
      <c r="O31" s="40"/>
      <c r="Q31" s="21"/>
    </row>
    <row r="32" spans="8:33" x14ac:dyDescent="0.25">
      <c r="K32" s="39"/>
      <c r="L32" s="39"/>
    </row>
    <row r="33" spans="11:12" x14ac:dyDescent="0.25">
      <c r="K33" s="39"/>
      <c r="L33" s="39"/>
    </row>
  </sheetData>
  <mergeCells count="8">
    <mergeCell ref="N2:S2"/>
    <mergeCell ref="U2:Z2"/>
    <mergeCell ref="AB2:AD2"/>
    <mergeCell ref="AE2:AG2"/>
    <mergeCell ref="N3:O3"/>
    <mergeCell ref="P3:Q3"/>
    <mergeCell ref="W3:X3"/>
    <mergeCell ref="Y3:Z3"/>
  </mergeCells>
  <phoneticPr fontId="2" type="noConversion"/>
  <conditionalFormatting sqref="R4:S29">
    <cfRule type="expression" dxfId="1" priority="2">
      <formula>$R4&gt;10</formula>
    </cfRule>
  </conditionalFormatting>
  <conditionalFormatting sqref="U4:V29">
    <cfRule type="expression" dxfId="0" priority="1">
      <formula>$V4&gt;=10</formula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rgb="FFFF0000"/>
  </sheetPr>
  <dimension ref="A1:K25"/>
  <sheetViews>
    <sheetView workbookViewId="0">
      <selection activeCell="E12" sqref="E12"/>
    </sheetView>
  </sheetViews>
  <sheetFormatPr defaultRowHeight="16.5" x14ac:dyDescent="0.25"/>
  <cols>
    <col min="2" max="2" width="15" bestFit="1" customWidth="1"/>
    <col min="3" max="3" width="10.5" bestFit="1" customWidth="1"/>
    <col min="4" max="4" width="11.625" bestFit="1" customWidth="1"/>
    <col min="7" max="7" width="10.5" bestFit="1" customWidth="1"/>
    <col min="8" max="8" width="22.75" bestFit="1" customWidth="1"/>
    <col min="9" max="9" width="15.625" customWidth="1"/>
    <col min="10" max="10" width="5.5" customWidth="1"/>
    <col min="11" max="11" width="81" bestFit="1" customWidth="1"/>
  </cols>
  <sheetData>
    <row r="1" spans="1:11" x14ac:dyDescent="0.25">
      <c r="A1" s="6" t="s">
        <v>78</v>
      </c>
      <c r="B1" s="7" t="s">
        <v>18</v>
      </c>
      <c r="C1" s="7" t="s">
        <v>19</v>
      </c>
      <c r="D1" s="8" t="s">
        <v>20</v>
      </c>
    </row>
    <row r="2" spans="1:11" x14ac:dyDescent="0.25">
      <c r="A2" s="44" t="s">
        <v>89</v>
      </c>
      <c r="B2" s="45">
        <f ca="1">IF(F10&gt;4,IF(A3=12,1,A3+1),A3)</f>
        <v>12</v>
      </c>
      <c r="C2" s="47">
        <f ca="1">B3-WEEKDAY(B3,14)</f>
        <v>44181.389702430555</v>
      </c>
      <c r="D2" s="46">
        <f ca="1">B3+7-WEEKDAY(B3,14)</f>
        <v>44188.389702430555</v>
      </c>
      <c r="F2" s="43"/>
      <c r="H2" t="s">
        <v>21</v>
      </c>
    </row>
    <row r="3" spans="1:11" x14ac:dyDescent="0.25">
      <c r="A3" s="16">
        <f ca="1">MONTH(B3)</f>
        <v>12</v>
      </c>
      <c r="B3" s="37">
        <f ca="1">NOW()</f>
        <v>44186.389702430555</v>
      </c>
      <c r="C3" s="37">
        <f ca="1">DATE(YEAR(B3),MONTH(B3),1)</f>
        <v>44166</v>
      </c>
      <c r="D3" s="38">
        <f ca="1">DATE(YEAR(C3),MONTH(C3),CHOOSE(WEEKDAY(DATE(YEAR(B3),MONTH(B3),1)),18,17,16,15,21,20,19))</f>
        <v>44181</v>
      </c>
      <c r="H3" t="s">
        <v>22</v>
      </c>
      <c r="I3" t="s">
        <v>23</v>
      </c>
      <c r="J3" t="s">
        <v>24</v>
      </c>
      <c r="K3" t="s">
        <v>25</v>
      </c>
    </row>
    <row r="4" spans="1:11" x14ac:dyDescent="0.25">
      <c r="A4" s="16">
        <f ca="1">IF(A3+1&gt;12,A3+1-12,A3+1)</f>
        <v>1</v>
      </c>
      <c r="B4" s="37"/>
      <c r="C4" s="37">
        <f ca="1">EDATE(C3,1)</f>
        <v>44197</v>
      </c>
      <c r="D4" s="38">
        <f ca="1">DATE(YEAR(C4),MONTH(C4),CHOOSE(WEEKDAY(DATE(YEAR(C4),MONTH(C4),1)),18,17,16,15,21,20,19))</f>
        <v>44216</v>
      </c>
      <c r="G4" s="32">
        <f>DATEVALUE(SUBSTITUTE(SUBSTITUTE(I4,"月","/"),"日",""))</f>
        <v>43831</v>
      </c>
      <c r="H4" t="s">
        <v>26</v>
      </c>
      <c r="I4" s="29" t="s">
        <v>80</v>
      </c>
      <c r="J4" t="s">
        <v>27</v>
      </c>
      <c r="K4" t="s">
        <v>28</v>
      </c>
    </row>
    <row r="5" spans="1:11" x14ac:dyDescent="0.25">
      <c r="A5" s="16">
        <f ca="1">IF(A4+1&gt;12,A4+1-12,A4+1)</f>
        <v>2</v>
      </c>
      <c r="B5" s="37"/>
      <c r="C5" s="37">
        <f ca="1">EDATE(C4,1)</f>
        <v>44228</v>
      </c>
      <c r="D5" s="38">
        <f ca="1">DATE(YEAR(C5),MONTH(C5),CHOOSE(WEEKDAY(DATE(YEAR(C5),MONTH(C5),1)),18,17,16,15,21,20,19))</f>
        <v>44244</v>
      </c>
      <c r="G5" s="32">
        <f t="shared" ref="G5:G25" si="0">DATEVALUE(SUBSTITUTE(SUBSTITUTE(I5,"月","/"),"日",""))</f>
        <v>43832</v>
      </c>
      <c r="H5" t="s">
        <v>29</v>
      </c>
      <c r="I5" s="29" t="s">
        <v>81</v>
      </c>
      <c r="J5" t="s">
        <v>30</v>
      </c>
      <c r="K5" t="s">
        <v>31</v>
      </c>
    </row>
    <row r="6" spans="1:11" ht="17.25" thickBot="1" x14ac:dyDescent="0.3">
      <c r="A6" s="16">
        <f ca="1">IF(A5+1&gt;12,A5+1-12,A5+1)</f>
        <v>3</v>
      </c>
      <c r="B6" s="30"/>
      <c r="C6" s="30">
        <f ca="1">EDATE(C5,1)</f>
        <v>44256</v>
      </c>
      <c r="D6" s="31">
        <f ca="1">DATE(YEAR(C6),MONTH(C6),CHOOSE(WEEKDAY(DATE(YEAR(C6),MONTH(C6),1)),18,17,16,15,21,20,19))</f>
        <v>44272</v>
      </c>
      <c r="G6" s="32">
        <f t="shared" si="0"/>
        <v>43850</v>
      </c>
      <c r="H6" t="s">
        <v>32</v>
      </c>
      <c r="I6" s="29" t="s">
        <v>82</v>
      </c>
      <c r="J6" t="s">
        <v>33</v>
      </c>
      <c r="K6" t="s">
        <v>34</v>
      </c>
    </row>
    <row r="7" spans="1:11" x14ac:dyDescent="0.25">
      <c r="G7" s="32">
        <f t="shared" si="0"/>
        <v>43853</v>
      </c>
      <c r="H7" t="s">
        <v>35</v>
      </c>
      <c r="I7" s="29" t="s">
        <v>83</v>
      </c>
      <c r="J7" t="s">
        <v>30</v>
      </c>
      <c r="K7" t="s">
        <v>36</v>
      </c>
    </row>
    <row r="8" spans="1:11" ht="17.25" thickBot="1" x14ac:dyDescent="0.3">
      <c r="G8" s="32">
        <f t="shared" si="0"/>
        <v>43854</v>
      </c>
      <c r="H8" t="s">
        <v>37</v>
      </c>
      <c r="I8" s="29" t="s">
        <v>84</v>
      </c>
      <c r="J8" t="s">
        <v>38</v>
      </c>
      <c r="K8" t="s">
        <v>28</v>
      </c>
    </row>
    <row r="9" spans="1:11" ht="17.25" thickBot="1" x14ac:dyDescent="0.3">
      <c r="A9" s="48"/>
      <c r="B9" s="48" t="s">
        <v>75</v>
      </c>
      <c r="C9" s="33" t="s">
        <v>76</v>
      </c>
      <c r="D9" s="33" t="s">
        <v>79</v>
      </c>
      <c r="E9" s="34" t="s">
        <v>105</v>
      </c>
      <c r="G9" s="32">
        <f t="shared" si="0"/>
        <v>43855</v>
      </c>
      <c r="H9" t="s">
        <v>39</v>
      </c>
      <c r="I9" s="29" t="s">
        <v>40</v>
      </c>
      <c r="J9" t="s">
        <v>45</v>
      </c>
      <c r="K9" t="s">
        <v>48</v>
      </c>
    </row>
    <row r="10" spans="1:11" x14ac:dyDescent="0.25">
      <c r="A10" s="49" t="s">
        <v>78</v>
      </c>
      <c r="B10" s="49">
        <f ca="1">IF(B3&gt;D3,A4,A3)</f>
        <v>1</v>
      </c>
      <c r="C10" s="35">
        <f ca="1">IF(B10+1&lt;=12,B10+1,B10+1-12)</f>
        <v>2</v>
      </c>
      <c r="D10" s="35">
        <f ca="1">IF(C10+1&lt;=12,C10+1,C10+1-12)</f>
        <v>3</v>
      </c>
      <c r="E10" s="1">
        <f ca="1">IF(F10&gt;4,1,F10)</f>
        <v>4</v>
      </c>
      <c r="F10" s="36">
        <f ca="1">WEEKNUM(B3,14)-WEEKNUM(DATE(YEAR(B3),MONTH(B3),1),14)+1</f>
        <v>4</v>
      </c>
      <c r="G10" s="32">
        <f t="shared" si="0"/>
        <v>43856</v>
      </c>
      <c r="I10" s="29" t="s">
        <v>41</v>
      </c>
      <c r="J10" t="s">
        <v>46</v>
      </c>
      <c r="K10" t="s">
        <v>49</v>
      </c>
    </row>
    <row r="11" spans="1:11" ht="17.25" thickBot="1" x14ac:dyDescent="0.3">
      <c r="A11" s="50" t="s">
        <v>77</v>
      </c>
      <c r="B11" s="51">
        <f ca="1">NETWORKDAYS(B3,VLOOKUP(B10,A3:D5,4,FALSE),G4:G25)</f>
        <v>23</v>
      </c>
      <c r="C11" s="41">
        <f ca="1">NETWORKDAYS(B3,VLOOKUP(C10,A3:D5,4,FALSE),G4:G25)</f>
        <v>43</v>
      </c>
      <c r="D11" s="41">
        <f ca="1">NETWORKDAYS(B3,VLOOKUP(D10,A3:D6,4,FALSE),G4:G25)</f>
        <v>63</v>
      </c>
      <c r="E11" s="52">
        <f ca="1">NETWORKDAYS(B3,D2,G4:G25)</f>
        <v>3</v>
      </c>
      <c r="G11" s="32">
        <f t="shared" si="0"/>
        <v>43857</v>
      </c>
      <c r="I11" s="29" t="s">
        <v>42</v>
      </c>
      <c r="J11" t="s">
        <v>33</v>
      </c>
    </row>
    <row r="12" spans="1:11" x14ac:dyDescent="0.25">
      <c r="C12" s="29"/>
      <c r="D12" s="29"/>
      <c r="G12" s="32">
        <f t="shared" si="0"/>
        <v>43858</v>
      </c>
      <c r="I12" s="29" t="s">
        <v>43</v>
      </c>
      <c r="J12" t="s">
        <v>47</v>
      </c>
    </row>
    <row r="13" spans="1:11" x14ac:dyDescent="0.25">
      <c r="B13" s="29"/>
      <c r="C13" s="29"/>
      <c r="D13" s="29"/>
      <c r="G13" s="32">
        <f t="shared" si="0"/>
        <v>43859</v>
      </c>
      <c r="I13" s="29" t="s">
        <v>44</v>
      </c>
      <c r="J13" t="s">
        <v>27</v>
      </c>
    </row>
    <row r="14" spans="1:11" x14ac:dyDescent="0.25">
      <c r="B14" s="29"/>
      <c r="C14" s="29"/>
      <c r="D14" s="29"/>
      <c r="G14" s="32">
        <f t="shared" si="0"/>
        <v>43860</v>
      </c>
      <c r="H14" t="s">
        <v>50</v>
      </c>
      <c r="I14" s="29" t="s">
        <v>51</v>
      </c>
      <c r="J14" t="s">
        <v>30</v>
      </c>
      <c r="K14" t="s">
        <v>52</v>
      </c>
    </row>
    <row r="15" spans="1:11" x14ac:dyDescent="0.25">
      <c r="C15" s="29"/>
      <c r="D15" s="29"/>
      <c r="G15" s="32">
        <f t="shared" si="0"/>
        <v>43889</v>
      </c>
      <c r="H15" t="s">
        <v>53</v>
      </c>
      <c r="I15" s="29" t="s">
        <v>54</v>
      </c>
      <c r="J15" t="s">
        <v>38</v>
      </c>
      <c r="K15" t="s">
        <v>28</v>
      </c>
    </row>
    <row r="16" spans="1:11" x14ac:dyDescent="0.25">
      <c r="B16" s="29"/>
      <c r="C16" s="29"/>
      <c r="D16" s="29"/>
      <c r="G16" s="32">
        <f t="shared" si="0"/>
        <v>43923</v>
      </c>
      <c r="H16" t="s">
        <v>55</v>
      </c>
      <c r="I16" s="29" t="s">
        <v>57</v>
      </c>
      <c r="J16" t="s">
        <v>30</v>
      </c>
      <c r="K16" t="s">
        <v>60</v>
      </c>
    </row>
    <row r="17" spans="2:11" x14ac:dyDescent="0.25">
      <c r="B17" s="29"/>
      <c r="C17" s="29"/>
      <c r="D17" s="29"/>
      <c r="G17" s="32">
        <f t="shared" si="0"/>
        <v>43924</v>
      </c>
      <c r="H17" t="s">
        <v>56</v>
      </c>
      <c r="I17" s="29" t="s">
        <v>58</v>
      </c>
      <c r="J17" t="s">
        <v>38</v>
      </c>
    </row>
    <row r="18" spans="2:11" x14ac:dyDescent="0.25">
      <c r="B18" s="29"/>
      <c r="C18" s="29"/>
      <c r="D18" s="29"/>
      <c r="G18" s="32">
        <f t="shared" si="0"/>
        <v>43925</v>
      </c>
      <c r="I18" s="29" t="s">
        <v>59</v>
      </c>
      <c r="J18" t="s">
        <v>45</v>
      </c>
    </row>
    <row r="19" spans="2:11" x14ac:dyDescent="0.25">
      <c r="B19" s="29"/>
      <c r="C19" s="29"/>
      <c r="D19" s="29"/>
      <c r="G19" s="32">
        <f t="shared" si="0"/>
        <v>43952</v>
      </c>
      <c r="H19" t="s">
        <v>61</v>
      </c>
      <c r="I19" s="29" t="s">
        <v>62</v>
      </c>
      <c r="J19" t="s">
        <v>38</v>
      </c>
      <c r="K19" t="s">
        <v>28</v>
      </c>
    </row>
    <row r="20" spans="2:11" x14ac:dyDescent="0.25">
      <c r="B20" s="29"/>
      <c r="C20" s="29"/>
      <c r="D20" s="29"/>
      <c r="G20" s="32">
        <f t="shared" si="0"/>
        <v>44007</v>
      </c>
      <c r="H20" t="s">
        <v>63</v>
      </c>
      <c r="I20" s="29" t="s">
        <v>64</v>
      </c>
      <c r="J20" t="s">
        <v>30</v>
      </c>
      <c r="K20" t="s">
        <v>28</v>
      </c>
    </row>
    <row r="21" spans="2:11" x14ac:dyDescent="0.25">
      <c r="B21" s="29"/>
      <c r="C21" s="29"/>
      <c r="D21" s="29"/>
      <c r="G21" s="32">
        <f t="shared" si="0"/>
        <v>44008</v>
      </c>
      <c r="I21" s="29" t="s">
        <v>65</v>
      </c>
      <c r="J21" t="s">
        <v>38</v>
      </c>
      <c r="K21" t="s">
        <v>66</v>
      </c>
    </row>
    <row r="22" spans="2:11" x14ac:dyDescent="0.25">
      <c r="B22" s="29"/>
      <c r="C22" s="29"/>
      <c r="D22" s="29"/>
      <c r="G22" s="32">
        <f t="shared" si="0"/>
        <v>44105</v>
      </c>
      <c r="H22" t="s">
        <v>67</v>
      </c>
      <c r="I22" s="29" t="s">
        <v>68</v>
      </c>
      <c r="J22" t="s">
        <v>30</v>
      </c>
      <c r="K22" t="s">
        <v>28</v>
      </c>
    </row>
    <row r="23" spans="2:11" x14ac:dyDescent="0.25">
      <c r="B23" s="29"/>
      <c r="C23" s="29"/>
      <c r="D23" s="29"/>
      <c r="G23" s="32">
        <f t="shared" si="0"/>
        <v>44106</v>
      </c>
      <c r="I23" s="29" t="s">
        <v>69</v>
      </c>
      <c r="J23" t="s">
        <v>38</v>
      </c>
      <c r="K23" t="s">
        <v>70</v>
      </c>
    </row>
    <row r="24" spans="2:11" x14ac:dyDescent="0.25">
      <c r="B24" s="29"/>
      <c r="C24" s="29"/>
      <c r="D24" s="29"/>
      <c r="G24" s="32">
        <f t="shared" si="0"/>
        <v>44113</v>
      </c>
      <c r="H24" t="s">
        <v>71</v>
      </c>
      <c r="I24" s="29" t="s">
        <v>72</v>
      </c>
      <c r="J24" t="s">
        <v>38</v>
      </c>
      <c r="K24" t="s">
        <v>74</v>
      </c>
    </row>
    <row r="25" spans="2:11" x14ac:dyDescent="0.25">
      <c r="B25" s="29"/>
      <c r="C25" s="29"/>
      <c r="D25" s="29"/>
      <c r="G25" s="32">
        <f t="shared" si="0"/>
        <v>44114</v>
      </c>
      <c r="I25" s="29" t="s">
        <v>73</v>
      </c>
      <c r="J25" t="s">
        <v>45</v>
      </c>
      <c r="K25" t="s">
        <v>28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X30"/>
  <sheetViews>
    <sheetView workbookViewId="0">
      <selection activeCell="X1" sqref="X1"/>
    </sheetView>
  </sheetViews>
  <sheetFormatPr defaultRowHeight="16.5" x14ac:dyDescent="0.25"/>
  <cols>
    <col min="11" max="11" width="9" style="55"/>
    <col min="24" max="24" width="10.5" bestFit="1" customWidth="1"/>
  </cols>
  <sheetData>
    <row r="1" spans="1:24" s="29" customFormat="1" x14ac:dyDescent="0.25">
      <c r="A1" s="29" t="s">
        <v>86</v>
      </c>
      <c r="B1" s="29">
        <v>44006.562503819441</v>
      </c>
      <c r="C1" s="29" t="s">
        <v>106</v>
      </c>
      <c r="D1" s="29">
        <v>44067.484981365742</v>
      </c>
      <c r="E1" s="29" t="s">
        <v>106</v>
      </c>
      <c r="F1" s="29">
        <v>44068.555559953704</v>
      </c>
      <c r="G1" s="29" t="s">
        <v>106</v>
      </c>
      <c r="H1" s="29">
        <v>44069.555558333333</v>
      </c>
      <c r="I1" s="29" t="s">
        <v>106</v>
      </c>
      <c r="J1" s="29">
        <v>44070.555540856483</v>
      </c>
      <c r="K1" s="55" t="s">
        <v>106</v>
      </c>
      <c r="L1" s="29">
        <v>44071.566412268519</v>
      </c>
      <c r="M1" s="29" t="s">
        <v>106</v>
      </c>
      <c r="N1" s="29">
        <v>44074.555428703701</v>
      </c>
      <c r="O1" s="29" t="s">
        <v>106</v>
      </c>
      <c r="P1" s="29">
        <v>44081.5689369213</v>
      </c>
      <c r="Q1" s="29" t="s">
        <v>106</v>
      </c>
      <c r="R1" s="29">
        <v>44083.569205324071</v>
      </c>
      <c r="S1" s="29" t="s">
        <v>106</v>
      </c>
      <c r="T1" s="29">
        <v>44092.568843171299</v>
      </c>
      <c r="U1" s="29" t="s">
        <v>106</v>
      </c>
      <c r="V1" s="29">
        <v>44097.569447222224</v>
      </c>
      <c r="W1" s="29" t="s">
        <v>106</v>
      </c>
      <c r="X1" s="29">
        <v>44133.569354976855</v>
      </c>
    </row>
    <row r="2" spans="1:24" x14ac:dyDescent="0.25">
      <c r="A2" s="39">
        <v>0.341568902873993</v>
      </c>
      <c r="B2">
        <v>10200</v>
      </c>
      <c r="C2">
        <v>0.28950065032243733</v>
      </c>
      <c r="D2">
        <v>11300</v>
      </c>
      <c r="E2">
        <v>0.29295301713943489</v>
      </c>
      <c r="F2">
        <v>11400</v>
      </c>
      <c r="G2">
        <v>0.28418918838500978</v>
      </c>
      <c r="H2">
        <v>11500</v>
      </c>
      <c r="I2">
        <v>0.28567183939218521</v>
      </c>
      <c r="J2">
        <v>11500</v>
      </c>
      <c r="K2" s="55">
        <v>0.29529369370937347</v>
      </c>
      <c r="L2">
        <v>11400</v>
      </c>
      <c r="M2">
        <v>0.30108030011653908</v>
      </c>
      <c r="N2">
        <v>11300</v>
      </c>
      <c r="O2">
        <v>0.34455995280742646</v>
      </c>
      <c r="P2">
        <v>11300</v>
      </c>
      <c r="Q2">
        <v>0.32954748554229735</v>
      </c>
      <c r="R2">
        <v>11300</v>
      </c>
      <c r="S2">
        <v>0.25946772916913041</v>
      </c>
      <c r="T2">
        <v>11500</v>
      </c>
      <c r="U2">
        <v>0.2839765296459198</v>
      </c>
      <c r="V2">
        <v>11200</v>
      </c>
      <c r="W2">
        <v>0.30963123172521595</v>
      </c>
      <c r="X2">
        <v>11300</v>
      </c>
    </row>
    <row r="3" spans="1:24" x14ac:dyDescent="0.25">
      <c r="A3" s="39">
        <v>0.33084751704931259</v>
      </c>
      <c r="B3">
        <v>10300</v>
      </c>
      <c r="C3">
        <v>0.28194399368166922</v>
      </c>
      <c r="D3">
        <v>11400</v>
      </c>
      <c r="E3">
        <v>0.28370426924228664</v>
      </c>
      <c r="F3">
        <v>11500</v>
      </c>
      <c r="G3">
        <v>0.2765945058822632</v>
      </c>
      <c r="H3">
        <v>11600</v>
      </c>
      <c r="I3">
        <v>0.27741796247959138</v>
      </c>
      <c r="J3">
        <v>11600</v>
      </c>
      <c r="K3" s="55">
        <v>0.28596960930824283</v>
      </c>
      <c r="L3">
        <v>11500</v>
      </c>
      <c r="M3">
        <v>0.2932002448439599</v>
      </c>
      <c r="N3">
        <v>11400</v>
      </c>
      <c r="O3">
        <v>0.33126067578792573</v>
      </c>
      <c r="P3">
        <v>11400</v>
      </c>
      <c r="Q3">
        <v>0.31530793266296392</v>
      </c>
      <c r="R3">
        <v>11400</v>
      </c>
      <c r="S3">
        <v>0.25363224939703943</v>
      </c>
      <c r="T3">
        <v>11600</v>
      </c>
      <c r="U3">
        <v>0.27695569196939473</v>
      </c>
      <c r="V3">
        <v>11300</v>
      </c>
      <c r="W3">
        <v>0.30141025493144991</v>
      </c>
      <c r="X3">
        <v>11400</v>
      </c>
    </row>
    <row r="4" spans="1:24" x14ac:dyDescent="0.25">
      <c r="A4" s="39">
        <v>0.31841413301229471</v>
      </c>
      <c r="B4">
        <v>10400</v>
      </c>
      <c r="C4">
        <v>0.2736796268761158</v>
      </c>
      <c r="D4">
        <v>11500</v>
      </c>
      <c r="E4">
        <v>0.27681479363441475</v>
      </c>
      <c r="F4">
        <v>11600</v>
      </c>
      <c r="G4">
        <v>0.26817910845875736</v>
      </c>
      <c r="H4">
        <v>11700</v>
      </c>
      <c r="I4">
        <v>0.26902223360538485</v>
      </c>
      <c r="J4">
        <v>11700</v>
      </c>
      <c r="K4" s="55">
        <v>0.27894746039509777</v>
      </c>
      <c r="L4">
        <v>11600</v>
      </c>
      <c r="M4">
        <v>0.28385470384359363</v>
      </c>
      <c r="N4">
        <v>11500</v>
      </c>
      <c r="O4">
        <v>0.32028634049892429</v>
      </c>
      <c r="P4">
        <v>11500</v>
      </c>
      <c r="Q4">
        <v>0.30044852247238168</v>
      </c>
      <c r="R4">
        <v>11500</v>
      </c>
      <c r="S4">
        <v>0.24737562426328663</v>
      </c>
      <c r="T4">
        <v>11700</v>
      </c>
      <c r="U4">
        <v>0.27142084299325941</v>
      </c>
      <c r="V4">
        <v>11400</v>
      </c>
      <c r="W4">
        <v>0.29339204300045968</v>
      </c>
      <c r="X4">
        <v>11500</v>
      </c>
    </row>
    <row r="5" spans="1:24" x14ac:dyDescent="0.25">
      <c r="A5" s="39">
        <v>0.30609518417119985</v>
      </c>
      <c r="B5">
        <v>10500</v>
      </c>
      <c r="C5">
        <v>0.26659656506180762</v>
      </c>
      <c r="D5">
        <v>11600</v>
      </c>
      <c r="E5">
        <v>0.26807444793581964</v>
      </c>
      <c r="F5">
        <v>11700</v>
      </c>
      <c r="G5">
        <v>0.25972723481655124</v>
      </c>
      <c r="H5">
        <v>11800</v>
      </c>
      <c r="I5">
        <v>0.2611271587133408</v>
      </c>
      <c r="J5">
        <v>11800</v>
      </c>
      <c r="K5" s="55">
        <v>0.27066354424357408</v>
      </c>
      <c r="L5">
        <v>11700</v>
      </c>
      <c r="M5">
        <v>0.27589192146062858</v>
      </c>
      <c r="N5">
        <v>11600</v>
      </c>
      <c r="O5">
        <v>0.31023344694375993</v>
      </c>
      <c r="P5">
        <v>11600</v>
      </c>
      <c r="Q5">
        <v>0.28946131322383883</v>
      </c>
      <c r="R5">
        <v>11600</v>
      </c>
      <c r="S5">
        <v>0.24092302885651593</v>
      </c>
      <c r="T5">
        <v>11800</v>
      </c>
      <c r="U5">
        <v>0.26302153801918027</v>
      </c>
      <c r="V5">
        <v>11500</v>
      </c>
      <c r="W5">
        <v>0.2847878275036812</v>
      </c>
      <c r="X5">
        <v>11600</v>
      </c>
    </row>
    <row r="6" spans="1:24" x14ac:dyDescent="0.25">
      <c r="A6" s="39">
        <v>0.29404825732707984</v>
      </c>
      <c r="B6">
        <v>10600</v>
      </c>
      <c r="C6">
        <v>0.259050040704012</v>
      </c>
      <c r="D6">
        <v>11700</v>
      </c>
      <c r="E6">
        <v>0.26029595389962201</v>
      </c>
      <c r="F6">
        <v>11800</v>
      </c>
      <c r="G6">
        <v>0.25204958679676059</v>
      </c>
      <c r="H6">
        <v>11900</v>
      </c>
      <c r="I6">
        <v>0.25281868667602542</v>
      </c>
      <c r="J6">
        <v>11900</v>
      </c>
      <c r="K6" s="55">
        <v>0.26286860014796254</v>
      </c>
      <c r="L6">
        <v>11800</v>
      </c>
      <c r="M6">
        <v>0.2679556022167206</v>
      </c>
      <c r="N6">
        <v>11700</v>
      </c>
      <c r="O6">
        <v>0.29937569251060492</v>
      </c>
      <c r="P6">
        <v>11700</v>
      </c>
      <c r="Q6">
        <v>0.2778346973180772</v>
      </c>
      <c r="R6">
        <v>11700</v>
      </c>
      <c r="S6">
        <v>0.23439283208250999</v>
      </c>
      <c r="T6">
        <v>11900</v>
      </c>
      <c r="U6">
        <v>0.25516460819244385</v>
      </c>
      <c r="V6">
        <v>11600</v>
      </c>
      <c r="W6">
        <v>0.27815749993324285</v>
      </c>
      <c r="X6">
        <v>11700</v>
      </c>
    </row>
    <row r="7" spans="1:24" x14ac:dyDescent="0.25">
      <c r="A7" s="39">
        <v>0.28183706829547883</v>
      </c>
      <c r="B7">
        <v>10700</v>
      </c>
      <c r="C7">
        <v>0.25085636147260665</v>
      </c>
      <c r="D7">
        <v>11800</v>
      </c>
      <c r="E7">
        <v>0.25192287365794186</v>
      </c>
      <c r="F7">
        <v>11900</v>
      </c>
      <c r="G7">
        <v>0.24457100833654405</v>
      </c>
      <c r="H7">
        <v>12000</v>
      </c>
      <c r="I7">
        <v>0.2456531361579895</v>
      </c>
      <c r="J7">
        <v>12000</v>
      </c>
      <c r="K7" s="55">
        <v>0.25500225325822828</v>
      </c>
      <c r="L7">
        <v>11900</v>
      </c>
      <c r="M7">
        <v>0.2608327264904976</v>
      </c>
      <c r="N7">
        <v>11800</v>
      </c>
      <c r="O7">
        <v>0.28864024069309241</v>
      </c>
      <c r="P7">
        <v>11800</v>
      </c>
      <c r="Q7">
        <v>0.26717124431133271</v>
      </c>
      <c r="R7">
        <v>11800</v>
      </c>
      <c r="S7">
        <v>0.22897051104903221</v>
      </c>
      <c r="T7">
        <v>12000</v>
      </c>
      <c r="U7">
        <v>0.24840649465322498</v>
      </c>
      <c r="V7">
        <v>11700</v>
      </c>
      <c r="W7">
        <v>0.26946721963286402</v>
      </c>
      <c r="X7">
        <v>11800</v>
      </c>
    </row>
    <row r="8" spans="1:24" x14ac:dyDescent="0.25">
      <c r="A8" s="39">
        <v>0.26873662242889401</v>
      </c>
      <c r="B8">
        <v>10800</v>
      </c>
      <c r="C8">
        <v>0.24302708681821827</v>
      </c>
      <c r="D8">
        <v>11900</v>
      </c>
      <c r="E8">
        <v>0.24398703122735027</v>
      </c>
      <c r="F8">
        <v>12000</v>
      </c>
      <c r="G8">
        <v>0.23595511091351512</v>
      </c>
      <c r="H8">
        <v>12100</v>
      </c>
      <c r="I8">
        <v>0.23726134099364282</v>
      </c>
      <c r="J8">
        <v>12100</v>
      </c>
      <c r="K8" s="55">
        <v>0.24732901576161387</v>
      </c>
      <c r="L8">
        <v>12000</v>
      </c>
      <c r="M8">
        <v>0.25193467478752141</v>
      </c>
      <c r="N8">
        <v>11900</v>
      </c>
      <c r="O8">
        <v>0.27671013311147691</v>
      </c>
      <c r="P8">
        <v>11900</v>
      </c>
      <c r="Q8">
        <v>0.25671663553714752</v>
      </c>
      <c r="R8">
        <v>11900</v>
      </c>
      <c r="S8">
        <v>0.2230011659383774</v>
      </c>
      <c r="T8">
        <v>12100</v>
      </c>
      <c r="U8">
        <v>0.24180155739188197</v>
      </c>
      <c r="V8">
        <v>11800</v>
      </c>
      <c r="W8">
        <v>0.26173736055493357</v>
      </c>
      <c r="X8">
        <v>11900</v>
      </c>
    </row>
    <row r="9" spans="1:24" x14ac:dyDescent="0.25">
      <c r="A9" s="39">
        <v>0.2577316518843174</v>
      </c>
      <c r="B9">
        <v>10900</v>
      </c>
      <c r="C9">
        <v>0.23564828154444695</v>
      </c>
      <c r="D9">
        <v>12000</v>
      </c>
      <c r="E9">
        <v>0.23656376311182978</v>
      </c>
      <c r="F9">
        <v>12100</v>
      </c>
      <c r="G9">
        <v>0.22718746765255929</v>
      </c>
      <c r="H9">
        <v>12200</v>
      </c>
      <c r="I9">
        <v>0.22987437029182911</v>
      </c>
      <c r="J9">
        <v>12200</v>
      </c>
      <c r="K9" s="55">
        <v>0.23993006512522702</v>
      </c>
      <c r="L9">
        <v>12100</v>
      </c>
      <c r="M9">
        <v>0.24523175238966946</v>
      </c>
      <c r="N9">
        <v>12000</v>
      </c>
      <c r="O9">
        <v>0.26610437451601027</v>
      </c>
      <c r="P9">
        <v>12000</v>
      </c>
      <c r="Q9">
        <v>0.24719562723636629</v>
      </c>
      <c r="R9">
        <v>12000</v>
      </c>
      <c r="S9">
        <v>0.21678918245136741</v>
      </c>
      <c r="T9">
        <v>12200</v>
      </c>
      <c r="U9">
        <v>0.23387763529419903</v>
      </c>
      <c r="V9">
        <v>11900</v>
      </c>
      <c r="W9">
        <v>0.25375848572254184</v>
      </c>
      <c r="X9">
        <v>12000</v>
      </c>
    </row>
    <row r="10" spans="1:24" x14ac:dyDescent="0.25">
      <c r="A10" s="39">
        <v>0.24644929519295694</v>
      </c>
      <c r="B10">
        <v>11000</v>
      </c>
      <c r="C10">
        <v>0.22824563560485839</v>
      </c>
      <c r="D10">
        <v>12100</v>
      </c>
      <c r="E10">
        <v>0.22815063055157658</v>
      </c>
      <c r="F10">
        <v>12200</v>
      </c>
      <c r="G10">
        <v>0.21885980387926102</v>
      </c>
      <c r="H10">
        <v>12300</v>
      </c>
      <c r="I10">
        <v>0.22168551879525189</v>
      </c>
      <c r="J10">
        <v>12300</v>
      </c>
      <c r="K10" s="55">
        <v>0.23112797210216524</v>
      </c>
      <c r="L10">
        <v>12200</v>
      </c>
      <c r="M10">
        <v>0.2374748341560364</v>
      </c>
      <c r="N10">
        <v>12100</v>
      </c>
      <c r="O10">
        <v>0.25381355766057967</v>
      </c>
      <c r="P10">
        <v>12100</v>
      </c>
      <c r="Q10">
        <v>0.23778094830513005</v>
      </c>
      <c r="R10">
        <v>12100</v>
      </c>
      <c r="S10">
        <v>0.21049435265064242</v>
      </c>
      <c r="T10">
        <v>12300</v>
      </c>
      <c r="U10">
        <v>0.22703703305125239</v>
      </c>
      <c r="V10">
        <v>12000</v>
      </c>
      <c r="W10">
        <v>0.24569849302470684</v>
      </c>
      <c r="X10">
        <v>12100</v>
      </c>
    </row>
    <row r="11" spans="1:24" x14ac:dyDescent="0.25">
      <c r="A11" s="39">
        <v>0.23376558416485788</v>
      </c>
      <c r="B11">
        <v>11100</v>
      </c>
      <c r="C11">
        <v>0.21954534222483635</v>
      </c>
      <c r="D11">
        <v>12200</v>
      </c>
      <c r="E11">
        <v>0.22039478514790534</v>
      </c>
      <c r="F11">
        <v>12300</v>
      </c>
      <c r="G11">
        <v>0.21175498745739463</v>
      </c>
      <c r="H11">
        <v>12400</v>
      </c>
      <c r="I11">
        <v>0.21430689232647421</v>
      </c>
      <c r="J11">
        <v>12400</v>
      </c>
      <c r="K11" s="55">
        <v>0.22377098103761672</v>
      </c>
      <c r="L11">
        <v>12300</v>
      </c>
      <c r="M11">
        <v>0.2294317087292671</v>
      </c>
      <c r="N11">
        <v>12200</v>
      </c>
      <c r="O11">
        <v>0.24090729401707653</v>
      </c>
      <c r="P11">
        <v>12200</v>
      </c>
      <c r="Q11">
        <v>0.22721393079161645</v>
      </c>
      <c r="R11">
        <v>12200</v>
      </c>
      <c r="S11">
        <v>0.20459271503090859</v>
      </c>
      <c r="T11">
        <v>12400</v>
      </c>
      <c r="U11">
        <v>0.22016788161098955</v>
      </c>
      <c r="V11">
        <v>12100</v>
      </c>
      <c r="W11">
        <v>0.23664637101888658</v>
      </c>
      <c r="X11">
        <v>12200</v>
      </c>
    </row>
    <row r="12" spans="1:24" x14ac:dyDescent="0.25">
      <c r="A12" s="39">
        <v>0.22146725749969484</v>
      </c>
      <c r="B12">
        <v>11200</v>
      </c>
      <c r="C12">
        <v>0.21227715764045718</v>
      </c>
      <c r="D12">
        <v>12300</v>
      </c>
      <c r="E12">
        <v>0.21227781325876716</v>
      </c>
      <c r="F12">
        <v>12400</v>
      </c>
      <c r="G12">
        <v>0.20381163521707057</v>
      </c>
      <c r="H12">
        <v>12500</v>
      </c>
      <c r="I12">
        <v>0.20699740378856663</v>
      </c>
      <c r="J12">
        <v>12500</v>
      </c>
      <c r="K12" s="55">
        <v>0.21648229348063469</v>
      </c>
      <c r="L12">
        <v>12400</v>
      </c>
      <c r="M12">
        <v>0.22154074635207652</v>
      </c>
      <c r="N12">
        <v>12300</v>
      </c>
      <c r="O12">
        <v>0.2291140318572521</v>
      </c>
      <c r="P12">
        <v>12300</v>
      </c>
      <c r="Q12">
        <v>0.21664619805812835</v>
      </c>
      <c r="R12">
        <v>12300</v>
      </c>
      <c r="S12">
        <v>0.19788401127159594</v>
      </c>
      <c r="T12">
        <v>12500</v>
      </c>
      <c r="U12">
        <v>0.21242806905508044</v>
      </c>
      <c r="V12">
        <v>12200</v>
      </c>
      <c r="W12">
        <v>0.22812726669907568</v>
      </c>
      <c r="X12">
        <v>12300</v>
      </c>
    </row>
    <row r="13" spans="1:24" x14ac:dyDescent="0.25">
      <c r="A13" s="39">
        <v>0.21039153977930547</v>
      </c>
      <c r="B13">
        <v>11300</v>
      </c>
      <c r="C13">
        <v>0.20533204387873413</v>
      </c>
      <c r="D13">
        <v>12400</v>
      </c>
      <c r="E13">
        <v>0.20498626482188703</v>
      </c>
      <c r="F13">
        <v>12500</v>
      </c>
      <c r="G13">
        <v>0.19622273407578467</v>
      </c>
      <c r="H13">
        <v>12600</v>
      </c>
      <c r="I13">
        <v>0.1993612981289625</v>
      </c>
      <c r="J13">
        <v>12600</v>
      </c>
      <c r="K13" s="55">
        <v>0.20930318358391525</v>
      </c>
      <c r="L13">
        <v>12500</v>
      </c>
      <c r="M13">
        <v>0.21402849295139315</v>
      </c>
      <c r="N13">
        <v>12400</v>
      </c>
      <c r="O13">
        <v>0.21625026420056823</v>
      </c>
      <c r="P13">
        <v>12400</v>
      </c>
      <c r="Q13">
        <v>0.20766655167639259</v>
      </c>
      <c r="R13">
        <v>12400</v>
      </c>
      <c r="S13">
        <v>0.19207767671346662</v>
      </c>
      <c r="T13">
        <v>12600</v>
      </c>
      <c r="U13">
        <v>0.20629073665291076</v>
      </c>
      <c r="V13">
        <v>12300</v>
      </c>
      <c r="W13">
        <v>0.22015754072219135</v>
      </c>
      <c r="X13">
        <v>12400</v>
      </c>
    </row>
    <row r="14" spans="1:24" x14ac:dyDescent="0.25">
      <c r="A14" s="39">
        <v>0.19864578014612194</v>
      </c>
      <c r="B14">
        <v>11400</v>
      </c>
      <c r="C14">
        <v>0.19817376476377246</v>
      </c>
      <c r="D14">
        <v>12500</v>
      </c>
      <c r="E14">
        <v>0.19747869015187025</v>
      </c>
      <c r="F14">
        <v>12600</v>
      </c>
      <c r="G14">
        <v>0.18811082832813264</v>
      </c>
      <c r="H14">
        <v>12700</v>
      </c>
      <c r="I14">
        <v>0.19180297264158727</v>
      </c>
      <c r="J14">
        <v>12700</v>
      </c>
      <c r="K14" s="55">
        <v>0.20177927805781368</v>
      </c>
      <c r="L14">
        <v>12600</v>
      </c>
      <c r="M14">
        <v>0.20679076481759551</v>
      </c>
      <c r="N14">
        <v>12500</v>
      </c>
      <c r="O14">
        <v>0.20472872602939607</v>
      </c>
      <c r="P14">
        <v>12500</v>
      </c>
      <c r="Q14">
        <v>0.19692722575068472</v>
      </c>
      <c r="R14">
        <v>12500</v>
      </c>
      <c r="S14">
        <v>0.18629044448882343</v>
      </c>
      <c r="T14">
        <v>12700</v>
      </c>
      <c r="U14">
        <v>0.19951232874691488</v>
      </c>
      <c r="V14">
        <v>12400</v>
      </c>
      <c r="W14">
        <v>0.21084451242983343</v>
      </c>
      <c r="X14">
        <v>12500</v>
      </c>
    </row>
    <row r="15" spans="1:24" x14ac:dyDescent="0.25">
      <c r="A15" s="39">
        <v>0.18790430856049062</v>
      </c>
      <c r="B15">
        <v>11500</v>
      </c>
      <c r="C15">
        <v>0.19083295555114743</v>
      </c>
      <c r="D15">
        <v>12600</v>
      </c>
      <c r="E15">
        <v>0.18975586407035588</v>
      </c>
      <c r="F15">
        <v>12700</v>
      </c>
      <c r="G15">
        <v>0.18145630248188976</v>
      </c>
      <c r="H15">
        <v>12800</v>
      </c>
      <c r="I15">
        <v>0.18546803092062469</v>
      </c>
      <c r="J15">
        <v>12800</v>
      </c>
      <c r="K15" s="55">
        <v>0.19472691110074522</v>
      </c>
      <c r="L15">
        <v>12700</v>
      </c>
      <c r="M15">
        <v>0.20014848711341621</v>
      </c>
      <c r="N15">
        <v>12600</v>
      </c>
      <c r="O15">
        <v>0.19290470941066742</v>
      </c>
      <c r="P15">
        <v>12600</v>
      </c>
      <c r="Q15">
        <v>0.18677765829563142</v>
      </c>
      <c r="R15">
        <v>12600</v>
      </c>
      <c r="S15">
        <v>0.18058820423781877</v>
      </c>
      <c r="T15">
        <v>12800</v>
      </c>
      <c r="U15">
        <v>0.19331509667187929</v>
      </c>
      <c r="V15">
        <v>12500</v>
      </c>
      <c r="W15">
        <v>0.20246779648661617</v>
      </c>
      <c r="X15">
        <v>12600</v>
      </c>
    </row>
    <row r="16" spans="1:24" x14ac:dyDescent="0.25">
      <c r="A16" s="39">
        <v>0.17939927023351196</v>
      </c>
      <c r="B16">
        <v>11600</v>
      </c>
      <c r="C16">
        <v>0.18460264455229047</v>
      </c>
      <c r="D16">
        <v>12700</v>
      </c>
      <c r="E16">
        <v>0.18436659215986734</v>
      </c>
      <c r="F16">
        <v>12800</v>
      </c>
      <c r="G16">
        <v>0.17464556067287926</v>
      </c>
      <c r="H16">
        <v>12900</v>
      </c>
      <c r="I16">
        <v>0.17943407760560512</v>
      </c>
      <c r="J16">
        <v>12900</v>
      </c>
      <c r="K16" s="55">
        <v>0.18915341044515371</v>
      </c>
      <c r="L16">
        <v>12800</v>
      </c>
      <c r="M16">
        <v>0.19388393495827913</v>
      </c>
      <c r="N16">
        <v>12700</v>
      </c>
      <c r="O16">
        <v>0.18225866008996966</v>
      </c>
      <c r="P16">
        <v>12700</v>
      </c>
      <c r="Q16">
        <v>0.17690649021565916</v>
      </c>
      <c r="R16">
        <v>12700</v>
      </c>
      <c r="S16">
        <v>0.17467413967102766</v>
      </c>
      <c r="T16">
        <v>12900</v>
      </c>
      <c r="U16">
        <v>0.18729154384732249</v>
      </c>
      <c r="V16">
        <v>12600</v>
      </c>
      <c r="W16">
        <v>0.19433389772474768</v>
      </c>
      <c r="X16">
        <v>12700</v>
      </c>
    </row>
    <row r="17" spans="1:24" x14ac:dyDescent="0.25">
      <c r="A17" s="39">
        <v>0.1727396186441183</v>
      </c>
      <c r="B17">
        <v>11700</v>
      </c>
      <c r="C17">
        <v>0.17846701079756022</v>
      </c>
      <c r="D17">
        <v>12800</v>
      </c>
      <c r="E17">
        <v>0.17845351102054122</v>
      </c>
      <c r="F17">
        <v>12900</v>
      </c>
      <c r="G17">
        <v>0.16927995062321424</v>
      </c>
      <c r="H17">
        <v>13000</v>
      </c>
      <c r="I17">
        <v>0.1738519049078226</v>
      </c>
      <c r="J17">
        <v>13000</v>
      </c>
      <c r="K17" s="55">
        <v>0.1837227451786399</v>
      </c>
      <c r="L17">
        <v>12900</v>
      </c>
      <c r="M17">
        <v>0.18854010931700471</v>
      </c>
      <c r="N17">
        <v>12800</v>
      </c>
      <c r="O17">
        <v>0.17255574750900271</v>
      </c>
      <c r="P17">
        <v>12800</v>
      </c>
      <c r="Q17">
        <v>0.16867573874890804</v>
      </c>
      <c r="R17">
        <v>12800</v>
      </c>
      <c r="S17">
        <v>0.16974213173091407</v>
      </c>
      <c r="T17">
        <v>13000</v>
      </c>
      <c r="U17">
        <v>0.18107973916530612</v>
      </c>
      <c r="V17">
        <v>12700</v>
      </c>
      <c r="W17">
        <v>0.18679911489486695</v>
      </c>
      <c r="X17">
        <v>12800</v>
      </c>
    </row>
    <row r="18" spans="1:24" x14ac:dyDescent="0.25">
      <c r="A18" s="39">
        <v>0.16719124009013175</v>
      </c>
      <c r="B18">
        <v>11800</v>
      </c>
      <c r="C18">
        <v>0.17338313781619072</v>
      </c>
      <c r="D18">
        <v>12900</v>
      </c>
      <c r="E18">
        <v>0.17289482137858869</v>
      </c>
      <c r="F18">
        <v>13000</v>
      </c>
      <c r="G18">
        <v>0.16373666801154613</v>
      </c>
      <c r="H18">
        <v>13100</v>
      </c>
      <c r="I18">
        <v>0.16872592335045339</v>
      </c>
      <c r="J18">
        <v>13100</v>
      </c>
      <c r="K18" s="55">
        <v>0.1796247433304787</v>
      </c>
      <c r="L18">
        <v>13000</v>
      </c>
      <c r="M18">
        <v>0.18397840651869776</v>
      </c>
      <c r="N18">
        <v>12900</v>
      </c>
      <c r="O18">
        <v>0.16408301328420638</v>
      </c>
      <c r="P18">
        <v>12900</v>
      </c>
      <c r="Q18">
        <v>0.16333835008740424</v>
      </c>
      <c r="R18">
        <v>12900</v>
      </c>
      <c r="S18">
        <v>0.16473857199251651</v>
      </c>
      <c r="T18">
        <v>13100</v>
      </c>
      <c r="U18">
        <v>0.17493009901940826</v>
      </c>
      <c r="V18">
        <v>12800</v>
      </c>
      <c r="W18">
        <v>0.18073130783438685</v>
      </c>
      <c r="X18">
        <v>12900</v>
      </c>
    </row>
    <row r="19" spans="1:24" x14ac:dyDescent="0.25">
      <c r="A19" s="39">
        <v>0.16262599099278446</v>
      </c>
      <c r="B19">
        <v>11900</v>
      </c>
      <c r="C19">
        <v>0.16845884829163554</v>
      </c>
      <c r="D19">
        <v>13000</v>
      </c>
      <c r="E19">
        <v>0.16796612133085725</v>
      </c>
      <c r="F19">
        <v>13100</v>
      </c>
      <c r="G19">
        <v>0.15864078529477119</v>
      </c>
      <c r="H19">
        <v>13200</v>
      </c>
      <c r="I19">
        <v>0.16440152457952498</v>
      </c>
      <c r="J19">
        <v>13200</v>
      </c>
      <c r="K19" s="55">
        <v>0.17563882241249087</v>
      </c>
      <c r="L19">
        <v>13100</v>
      </c>
      <c r="M19">
        <v>0.17986243476867678</v>
      </c>
      <c r="N19">
        <v>13000</v>
      </c>
      <c r="O19">
        <v>0.15860991163253785</v>
      </c>
      <c r="P19">
        <v>13000</v>
      </c>
      <c r="Q19">
        <v>0.15982077904939651</v>
      </c>
      <c r="R19">
        <v>13000</v>
      </c>
      <c r="S19">
        <v>0.1600124580025673</v>
      </c>
      <c r="T19">
        <v>13200</v>
      </c>
      <c r="U19">
        <v>0.17010373502969739</v>
      </c>
      <c r="V19">
        <v>12900</v>
      </c>
      <c r="W19">
        <v>0.17469985778927805</v>
      </c>
      <c r="X19">
        <v>13000</v>
      </c>
    </row>
    <row r="20" spans="1:24" x14ac:dyDescent="0.25">
      <c r="A20" s="39">
        <v>0.16097824337482453</v>
      </c>
      <c r="B20">
        <v>12000</v>
      </c>
      <c r="C20">
        <v>0.16396899529993531</v>
      </c>
      <c r="D20">
        <v>13100</v>
      </c>
      <c r="E20">
        <v>0.16333584681749341</v>
      </c>
      <c r="F20">
        <v>13200</v>
      </c>
      <c r="G20">
        <v>0.15550657216310498</v>
      </c>
      <c r="H20">
        <v>13300</v>
      </c>
      <c r="I20">
        <v>0.16131046305298807</v>
      </c>
      <c r="J20">
        <v>13300</v>
      </c>
      <c r="K20" s="55">
        <v>0.17311671837568282</v>
      </c>
      <c r="L20">
        <v>13200</v>
      </c>
      <c r="M20">
        <v>0.17644165683388713</v>
      </c>
      <c r="N20">
        <v>13100</v>
      </c>
      <c r="O20">
        <v>0.15825969225168229</v>
      </c>
      <c r="P20">
        <v>13100</v>
      </c>
      <c r="Q20">
        <v>0.16091482720375061</v>
      </c>
      <c r="R20">
        <v>13100</v>
      </c>
      <c r="S20">
        <v>0.15577871336340904</v>
      </c>
      <c r="T20">
        <v>13300</v>
      </c>
      <c r="U20">
        <v>0.16467676506638529</v>
      </c>
      <c r="V20">
        <v>13000</v>
      </c>
      <c r="W20">
        <v>0.1692999469816685</v>
      </c>
      <c r="X20">
        <v>13100</v>
      </c>
    </row>
    <row r="21" spans="1:24" x14ac:dyDescent="0.25">
      <c r="A21" s="39">
        <v>0.1588852713227272</v>
      </c>
      <c r="B21">
        <v>12100</v>
      </c>
      <c r="C21">
        <v>0.16134848891496659</v>
      </c>
      <c r="D21">
        <v>13200</v>
      </c>
      <c r="E21">
        <v>0.16011795294880865</v>
      </c>
      <c r="F21">
        <v>13300</v>
      </c>
      <c r="G21">
        <v>0.15429260545969009</v>
      </c>
      <c r="H21">
        <v>13400</v>
      </c>
      <c r="I21">
        <v>0.15959572316408155</v>
      </c>
      <c r="J21">
        <v>13400</v>
      </c>
      <c r="K21" s="55">
        <v>0.17181275315880776</v>
      </c>
      <c r="L21">
        <v>13300</v>
      </c>
      <c r="M21">
        <v>0.17505615653991702</v>
      </c>
      <c r="N21">
        <v>13200</v>
      </c>
      <c r="O21">
        <v>0.16251858879327771</v>
      </c>
      <c r="P21">
        <v>13200</v>
      </c>
      <c r="Q21">
        <v>0.16679774990081786</v>
      </c>
      <c r="R21">
        <v>13200</v>
      </c>
      <c r="S21">
        <v>0.15213419077992441</v>
      </c>
      <c r="T21">
        <v>13400</v>
      </c>
      <c r="U21">
        <v>0.16160704093575479</v>
      </c>
      <c r="V21">
        <v>13100</v>
      </c>
      <c r="W21">
        <v>0.1668825034677982</v>
      </c>
      <c r="X21">
        <v>13200</v>
      </c>
    </row>
    <row r="22" spans="1:24" x14ac:dyDescent="0.25">
      <c r="A22" s="39">
        <v>0.16001555728912353</v>
      </c>
      <c r="B22">
        <v>12200</v>
      </c>
      <c r="C22">
        <v>0.15989063220024111</v>
      </c>
      <c r="D22">
        <v>13300</v>
      </c>
      <c r="E22">
        <v>0.15970372138023375</v>
      </c>
      <c r="F22">
        <v>13400</v>
      </c>
      <c r="G22">
        <v>0.15502677876353266</v>
      </c>
      <c r="H22">
        <v>13500</v>
      </c>
      <c r="I22">
        <v>0.15927351656556127</v>
      </c>
      <c r="J22">
        <v>13500</v>
      </c>
      <c r="K22" s="55">
        <v>0.17240149840116503</v>
      </c>
      <c r="L22">
        <v>13400</v>
      </c>
      <c r="M22">
        <v>0.17559352514743806</v>
      </c>
      <c r="N22">
        <v>13300</v>
      </c>
      <c r="O22">
        <v>0.16890431113243101</v>
      </c>
      <c r="P22">
        <v>13300</v>
      </c>
      <c r="Q22">
        <v>0.17488450374603276</v>
      </c>
      <c r="R22">
        <v>13300</v>
      </c>
      <c r="S22">
        <v>0.15023182485103609</v>
      </c>
      <c r="T22">
        <v>13500</v>
      </c>
      <c r="U22">
        <v>0.15937328975200654</v>
      </c>
      <c r="V22">
        <v>13200</v>
      </c>
      <c r="W22">
        <v>0.16672861196994782</v>
      </c>
      <c r="X22">
        <v>13300</v>
      </c>
    </row>
    <row r="23" spans="1:24" x14ac:dyDescent="0.25">
      <c r="A23" s="39">
        <v>0.16205631828308104</v>
      </c>
      <c r="B23">
        <v>12300</v>
      </c>
      <c r="C23">
        <v>0.16107050675153733</v>
      </c>
      <c r="D23">
        <v>13400</v>
      </c>
      <c r="E23">
        <v>0.1605609125196934</v>
      </c>
      <c r="F23">
        <v>13500</v>
      </c>
      <c r="G23">
        <v>0.15644804005622864</v>
      </c>
      <c r="H23">
        <v>13600</v>
      </c>
      <c r="I23">
        <v>0.16069883077144623</v>
      </c>
      <c r="J23">
        <v>13600</v>
      </c>
      <c r="K23" s="55">
        <v>0.17477888959646226</v>
      </c>
      <c r="L23">
        <v>13500</v>
      </c>
      <c r="M23">
        <v>0.17668590445518498</v>
      </c>
      <c r="N23">
        <v>13400</v>
      </c>
      <c r="O23">
        <v>0.17680606141090396</v>
      </c>
      <c r="P23">
        <v>13400</v>
      </c>
      <c r="Q23">
        <v>0.18788052749633788</v>
      </c>
      <c r="R23">
        <v>13400</v>
      </c>
      <c r="S23">
        <v>0.1493381574928761</v>
      </c>
      <c r="T23">
        <v>13600</v>
      </c>
      <c r="U23">
        <v>0.15926243065595627</v>
      </c>
      <c r="V23">
        <v>13300</v>
      </c>
      <c r="W23">
        <v>0.16811685394048689</v>
      </c>
      <c r="X23">
        <v>13400</v>
      </c>
    </row>
    <row r="24" spans="1:24" x14ac:dyDescent="0.25">
      <c r="A24" s="39">
        <v>0.16696034324169157</v>
      </c>
      <c r="B24">
        <v>12400</v>
      </c>
      <c r="C24">
        <v>0.16340498474836346</v>
      </c>
      <c r="D24">
        <v>13500</v>
      </c>
      <c r="E24">
        <v>0.16242227250337601</v>
      </c>
      <c r="F24">
        <v>13600</v>
      </c>
      <c r="G24">
        <v>0.16036458463668823</v>
      </c>
      <c r="H24">
        <v>13700</v>
      </c>
      <c r="I24">
        <v>0.16437315418720244</v>
      </c>
      <c r="J24">
        <v>13700</v>
      </c>
      <c r="K24" s="55">
        <v>0.17701681289672855</v>
      </c>
      <c r="L24">
        <v>13600</v>
      </c>
      <c r="M24">
        <v>0.18037453227043154</v>
      </c>
      <c r="N24">
        <v>13500</v>
      </c>
      <c r="O24">
        <v>0.18683821358680727</v>
      </c>
      <c r="P24">
        <v>13500</v>
      </c>
      <c r="Q24">
        <v>0.20115310297012329</v>
      </c>
      <c r="R24">
        <v>13500</v>
      </c>
      <c r="S24">
        <v>0.14974476004838944</v>
      </c>
      <c r="T24">
        <v>13700</v>
      </c>
      <c r="U24">
        <v>0.16075271067619326</v>
      </c>
      <c r="V24">
        <v>13400</v>
      </c>
      <c r="W24">
        <v>0.17006272908449171</v>
      </c>
      <c r="X24">
        <v>13500</v>
      </c>
    </row>
    <row r="25" spans="1:24" x14ac:dyDescent="0.25">
      <c r="A25" s="39">
        <v>0.17197117438316345</v>
      </c>
      <c r="B25">
        <v>12500</v>
      </c>
      <c r="C25">
        <v>0.16640080281496045</v>
      </c>
      <c r="D25">
        <v>13600</v>
      </c>
      <c r="E25">
        <v>0.16557710781097412</v>
      </c>
      <c r="F25">
        <v>13700</v>
      </c>
      <c r="G25">
        <v>0.16527480816841125</v>
      </c>
      <c r="H25">
        <v>13800</v>
      </c>
      <c r="I25">
        <v>0.16932986701726913</v>
      </c>
      <c r="J25">
        <v>13800</v>
      </c>
      <c r="K25" s="55">
        <v>0.1822217070579529</v>
      </c>
      <c r="L25">
        <v>13700</v>
      </c>
      <c r="M25">
        <v>0.18462293891906739</v>
      </c>
      <c r="N25">
        <v>13600</v>
      </c>
      <c r="O25">
        <v>0.19631916956901552</v>
      </c>
      <c r="P25">
        <v>13600</v>
      </c>
      <c r="Q25">
        <v>0.21098880805969239</v>
      </c>
      <c r="R25">
        <v>13600</v>
      </c>
      <c r="S25">
        <v>0.1516069544553757</v>
      </c>
      <c r="T25">
        <v>13800</v>
      </c>
      <c r="U25">
        <v>0.16324572910070417</v>
      </c>
      <c r="V25">
        <v>13500</v>
      </c>
      <c r="W25">
        <v>0.17358542586565018</v>
      </c>
      <c r="X25">
        <v>13600</v>
      </c>
    </row>
    <row r="26" spans="1:24" x14ac:dyDescent="0.25">
      <c r="A26" s="39">
        <v>0.17794183073043823</v>
      </c>
      <c r="B26">
        <v>12600</v>
      </c>
      <c r="C26">
        <v>0.17102851445674899</v>
      </c>
      <c r="D26">
        <v>13700</v>
      </c>
      <c r="E26">
        <v>0.17101468687057497</v>
      </c>
      <c r="F26">
        <v>13800</v>
      </c>
      <c r="G26">
        <v>0.17112673799991607</v>
      </c>
      <c r="H26">
        <v>13900</v>
      </c>
      <c r="I26">
        <v>0.17350889732837677</v>
      </c>
      <c r="J26">
        <v>13900</v>
      </c>
      <c r="K26" s="55">
        <v>0.18753579146862032</v>
      </c>
      <c r="L26">
        <v>13800</v>
      </c>
      <c r="M26">
        <v>0.19019450252056119</v>
      </c>
      <c r="N26">
        <v>13700</v>
      </c>
      <c r="O26">
        <v>0.20880691032409671</v>
      </c>
      <c r="P26">
        <v>13700</v>
      </c>
      <c r="Q26">
        <v>0.22371209459304808</v>
      </c>
      <c r="R26">
        <v>13700</v>
      </c>
      <c r="S26">
        <v>0.15473937953710556</v>
      </c>
      <c r="T26">
        <v>13900</v>
      </c>
      <c r="U26">
        <v>0.16574160840511321</v>
      </c>
      <c r="V26">
        <v>13600</v>
      </c>
      <c r="W26">
        <v>0.17699106497764594</v>
      </c>
      <c r="X26">
        <v>13700</v>
      </c>
    </row>
    <row r="27" spans="1:24" x14ac:dyDescent="0.25">
      <c r="A27" s="39">
        <v>0.1840660209655762</v>
      </c>
      <c r="B27">
        <v>12700</v>
      </c>
      <c r="C27">
        <v>0.17669734797477726</v>
      </c>
      <c r="D27">
        <v>13800</v>
      </c>
      <c r="E27" t="e">
        <v>#N/A</v>
      </c>
      <c r="F27">
        <v>13900</v>
      </c>
      <c r="G27" t="e">
        <v>#N/A</v>
      </c>
      <c r="H27">
        <v>14000</v>
      </c>
      <c r="I27">
        <v>0.18163427305221561</v>
      </c>
      <c r="J27">
        <v>14000</v>
      </c>
      <c r="K27" s="55">
        <v>0.19233634793758392</v>
      </c>
      <c r="L27">
        <v>13900</v>
      </c>
      <c r="M27">
        <v>0.19709065351486207</v>
      </c>
      <c r="N27">
        <v>13800</v>
      </c>
      <c r="O27">
        <v>0.21958289127349856</v>
      </c>
      <c r="P27">
        <v>13800</v>
      </c>
      <c r="Q27">
        <v>0.23934012784957889</v>
      </c>
      <c r="R27">
        <v>13800</v>
      </c>
      <c r="S27">
        <v>0.15886905966997147</v>
      </c>
      <c r="T27">
        <v>14000</v>
      </c>
      <c r="U27">
        <v>0.17160498175621033</v>
      </c>
      <c r="V27">
        <v>13700</v>
      </c>
      <c r="W27">
        <v>0.1813653503417969</v>
      </c>
      <c r="X27">
        <v>13800</v>
      </c>
    </row>
    <row r="28" spans="1:24" x14ac:dyDescent="0.25">
      <c r="A28" s="39" t="e">
        <v>#N/A</v>
      </c>
      <c r="B28">
        <v>12800</v>
      </c>
      <c r="C28" t="e">
        <v>#N/A</v>
      </c>
      <c r="D28">
        <v>13900</v>
      </c>
      <c r="E28">
        <v>0.18496862857341767</v>
      </c>
      <c r="F28">
        <v>14000</v>
      </c>
      <c r="G28" t="e">
        <v>#N/A</v>
      </c>
      <c r="H28">
        <v>14100</v>
      </c>
      <c r="I28">
        <v>0.18870255365371705</v>
      </c>
      <c r="J28">
        <v>14100</v>
      </c>
      <c r="K28" s="55">
        <v>0.19967355124950409</v>
      </c>
      <c r="L28">
        <v>14000</v>
      </c>
      <c r="M28" t="e">
        <v>#N/A</v>
      </c>
      <c r="N28">
        <v>13900</v>
      </c>
      <c r="O28">
        <v>0.22896085557937623</v>
      </c>
      <c r="P28">
        <v>13900</v>
      </c>
      <c r="Q28" t="e">
        <v>#N/A</v>
      </c>
      <c r="R28">
        <v>13900</v>
      </c>
      <c r="S28">
        <v>0.16367796037197113</v>
      </c>
      <c r="T28">
        <v>14100</v>
      </c>
      <c r="U28">
        <v>0.17733532419204717</v>
      </c>
      <c r="V28">
        <v>13800</v>
      </c>
      <c r="W28">
        <v>0.18617019813060762</v>
      </c>
      <c r="X28">
        <v>13900</v>
      </c>
    </row>
    <row r="29" spans="1:24" x14ac:dyDescent="0.25">
      <c r="A29" s="39">
        <v>0.19767427301406859</v>
      </c>
      <c r="B29">
        <v>12900</v>
      </c>
      <c r="C29">
        <v>0.19047677600383761</v>
      </c>
      <c r="D29">
        <v>14000</v>
      </c>
      <c r="E29" t="e">
        <v>#N/A</v>
      </c>
      <c r="F29">
        <v>14100</v>
      </c>
      <c r="G29" t="e">
        <v>#N/A</v>
      </c>
      <c r="H29">
        <v>14200</v>
      </c>
      <c r="I29" t="e">
        <v>#N/A</v>
      </c>
      <c r="J29">
        <v>14200</v>
      </c>
      <c r="K29" s="55" t="e">
        <v>#N/A</v>
      </c>
      <c r="L29">
        <v>14100</v>
      </c>
      <c r="M29">
        <v>0.21217702684402467</v>
      </c>
      <c r="N29">
        <v>14000</v>
      </c>
      <c r="O29" t="e">
        <v>#N/A</v>
      </c>
      <c r="P29">
        <v>14000</v>
      </c>
      <c r="Q29">
        <v>0.26200401840209964</v>
      </c>
      <c r="R29">
        <v>14000</v>
      </c>
      <c r="S29">
        <v>0.16936586642265319</v>
      </c>
      <c r="T29">
        <v>14200</v>
      </c>
      <c r="U29">
        <v>0.17985862026214602</v>
      </c>
      <c r="V29">
        <v>13900</v>
      </c>
      <c r="W29">
        <v>0.19175988063812258</v>
      </c>
      <c r="X29">
        <v>14000</v>
      </c>
    </row>
    <row r="30" spans="1:24" x14ac:dyDescent="0.25">
      <c r="A30" s="39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E1612"/>
  <sheetViews>
    <sheetView workbookViewId="0">
      <selection activeCell="A356" sqref="A356:B356"/>
    </sheetView>
  </sheetViews>
  <sheetFormatPr defaultRowHeight="16.5" x14ac:dyDescent="0.25"/>
  <cols>
    <col min="1" max="1" width="13.375" style="53" bestFit="1" customWidth="1"/>
    <col min="3" max="3" width="13.375" bestFit="1" customWidth="1"/>
    <col min="5" max="5" width="13.375" bestFit="1" customWidth="1"/>
  </cols>
  <sheetData>
    <row r="1" spans="1:5" x14ac:dyDescent="0.25">
      <c r="A1" s="53">
        <f ca="1">NOW()</f>
        <v>44186.389702430555</v>
      </c>
      <c r="B1">
        <f ca="1">近月選!Q17+近月選!S17</f>
        <v>510</v>
      </c>
      <c r="C1" s="53"/>
      <c r="E1" s="54"/>
    </row>
    <row r="2" spans="1:5" x14ac:dyDescent="0.25">
      <c r="A2" s="53">
        <f ca="1">NOW()</f>
        <v>44186.389702430555</v>
      </c>
      <c r="B2">
        <f ca="1">近月選!Q17+近月選!S17</f>
        <v>510</v>
      </c>
      <c r="C2" s="53"/>
      <c r="E2" s="53"/>
    </row>
    <row r="3" spans="1:5" x14ac:dyDescent="0.25">
      <c r="A3" s="53">
        <v>44133.382549421294</v>
      </c>
      <c r="B3">
        <v>538</v>
      </c>
      <c r="C3" s="53"/>
      <c r="E3" s="53"/>
    </row>
    <row r="4" spans="1:5" x14ac:dyDescent="0.25">
      <c r="A4" s="53">
        <v>44133.383244444442</v>
      </c>
      <c r="B4">
        <v>533</v>
      </c>
      <c r="C4" s="53"/>
      <c r="E4" s="53"/>
    </row>
    <row r="5" spans="1:5" x14ac:dyDescent="0.25">
      <c r="A5" s="53">
        <v>44133.38394097222</v>
      </c>
      <c r="B5">
        <v>530</v>
      </c>
      <c r="C5" s="53"/>
      <c r="E5" s="53"/>
    </row>
    <row r="6" spans="1:5" x14ac:dyDescent="0.25">
      <c r="A6" s="53">
        <v>44133.384634490743</v>
      </c>
      <c r="B6">
        <v>527</v>
      </c>
      <c r="C6" s="53"/>
      <c r="E6" s="53"/>
    </row>
    <row r="7" spans="1:5" x14ac:dyDescent="0.25">
      <c r="A7" s="53">
        <v>44133.385330671299</v>
      </c>
      <c r="B7">
        <v>533</v>
      </c>
      <c r="C7" s="53"/>
      <c r="E7" s="53"/>
    </row>
    <row r="8" spans="1:5" x14ac:dyDescent="0.25">
      <c r="A8" s="53">
        <v>44133.386019097219</v>
      </c>
      <c r="B8">
        <v>537</v>
      </c>
      <c r="C8" s="53"/>
      <c r="E8" s="53"/>
    </row>
    <row r="9" spans="1:5" x14ac:dyDescent="0.25">
      <c r="A9" s="53">
        <v>44133.38671377315</v>
      </c>
      <c r="B9">
        <v>534</v>
      </c>
      <c r="C9" s="53"/>
      <c r="E9" s="53"/>
    </row>
    <row r="10" spans="1:5" x14ac:dyDescent="0.25">
      <c r="A10" s="53">
        <v>44133.387408564813</v>
      </c>
      <c r="B10">
        <v>534</v>
      </c>
      <c r="C10" s="53"/>
      <c r="E10" s="53"/>
    </row>
    <row r="11" spans="1:5" x14ac:dyDescent="0.25">
      <c r="A11" s="53">
        <v>44133.388103356483</v>
      </c>
      <c r="B11">
        <v>530</v>
      </c>
      <c r="C11" s="53"/>
      <c r="E11" s="53"/>
    </row>
    <row r="12" spans="1:5" x14ac:dyDescent="0.25">
      <c r="A12" s="53">
        <v>44133.388798032407</v>
      </c>
      <c r="B12">
        <v>532</v>
      </c>
      <c r="C12" s="53"/>
      <c r="E12" s="53"/>
    </row>
    <row r="13" spans="1:5" x14ac:dyDescent="0.25">
      <c r="A13" s="53">
        <v>44133.389492708331</v>
      </c>
      <c r="B13">
        <v>530</v>
      </c>
      <c r="C13" s="53"/>
      <c r="E13" s="53"/>
    </row>
    <row r="14" spans="1:5" x14ac:dyDescent="0.25">
      <c r="A14" s="53">
        <v>44133.390187500001</v>
      </c>
      <c r="B14">
        <v>505</v>
      </c>
      <c r="C14" s="53"/>
      <c r="E14" s="53"/>
    </row>
    <row r="15" spans="1:5" x14ac:dyDescent="0.25">
      <c r="A15" s="53">
        <v>44133.390882175925</v>
      </c>
      <c r="B15">
        <v>507</v>
      </c>
      <c r="C15" s="53"/>
      <c r="E15" s="53"/>
    </row>
    <row r="16" spans="1:5" x14ac:dyDescent="0.25">
      <c r="A16" s="53">
        <v>44133.391579745374</v>
      </c>
      <c r="B16">
        <v>508</v>
      </c>
      <c r="C16" s="53"/>
      <c r="E16" s="53"/>
    </row>
    <row r="17" spans="1:5" x14ac:dyDescent="0.25">
      <c r="A17" s="53">
        <v>44133.392274537036</v>
      </c>
      <c r="B17">
        <v>508</v>
      </c>
      <c r="C17" s="53"/>
      <c r="E17" s="53"/>
    </row>
    <row r="18" spans="1:5" x14ac:dyDescent="0.25">
      <c r="A18" s="53">
        <v>44133.392969328706</v>
      </c>
      <c r="B18">
        <v>509</v>
      </c>
      <c r="C18" s="53"/>
      <c r="E18" s="53"/>
    </row>
    <row r="19" spans="1:5" x14ac:dyDescent="0.25">
      <c r="A19" s="53">
        <v>44133.393663773146</v>
      </c>
      <c r="B19">
        <v>510</v>
      </c>
      <c r="C19" s="53"/>
      <c r="E19" s="53"/>
    </row>
    <row r="20" spans="1:5" x14ac:dyDescent="0.25">
      <c r="A20" s="53">
        <v>44133.394358449077</v>
      </c>
      <c r="B20">
        <v>511</v>
      </c>
      <c r="C20" s="53"/>
      <c r="E20" s="53"/>
    </row>
    <row r="21" spans="1:5" x14ac:dyDescent="0.25">
      <c r="A21" s="53">
        <v>44133.395052893517</v>
      </c>
      <c r="B21">
        <v>509</v>
      </c>
      <c r="C21" s="53"/>
      <c r="E21" s="53"/>
    </row>
    <row r="22" spans="1:5" x14ac:dyDescent="0.25">
      <c r="A22" s="53">
        <v>44133.395747222225</v>
      </c>
      <c r="B22">
        <v>509</v>
      </c>
      <c r="C22" s="53"/>
      <c r="E22" s="53"/>
    </row>
    <row r="23" spans="1:5" x14ac:dyDescent="0.25">
      <c r="A23" s="53">
        <v>44133.396441550925</v>
      </c>
      <c r="B23">
        <v>506</v>
      </c>
      <c r="C23" s="53"/>
      <c r="E23" s="53"/>
    </row>
    <row r="24" spans="1:5" x14ac:dyDescent="0.25">
      <c r="A24" s="53">
        <v>44133.397136342595</v>
      </c>
      <c r="B24">
        <v>505</v>
      </c>
      <c r="C24" s="53"/>
      <c r="E24" s="53"/>
    </row>
    <row r="25" spans="1:5" x14ac:dyDescent="0.25">
      <c r="A25" s="53">
        <v>44133.397830555557</v>
      </c>
      <c r="B25">
        <v>508</v>
      </c>
      <c r="C25" s="53"/>
      <c r="E25" s="53"/>
    </row>
    <row r="26" spans="1:5" x14ac:dyDescent="0.25">
      <c r="A26" s="53">
        <v>44133.398524999997</v>
      </c>
      <c r="B26">
        <v>506</v>
      </c>
      <c r="C26" s="53"/>
      <c r="E26" s="53"/>
    </row>
    <row r="27" spans="1:5" x14ac:dyDescent="0.25">
      <c r="A27" s="53">
        <v>44133.399213194447</v>
      </c>
      <c r="B27">
        <v>514</v>
      </c>
      <c r="C27" s="53"/>
      <c r="E27" s="53"/>
    </row>
    <row r="28" spans="1:5" x14ac:dyDescent="0.25">
      <c r="A28" s="53">
        <v>44133.399909953703</v>
      </c>
      <c r="B28">
        <v>505</v>
      </c>
      <c r="C28" s="53"/>
      <c r="E28" s="53"/>
    </row>
    <row r="29" spans="1:5" x14ac:dyDescent="0.25">
      <c r="A29" s="53">
        <v>44133.400604861112</v>
      </c>
      <c r="B29">
        <v>510</v>
      </c>
      <c r="C29" s="53"/>
      <c r="E29" s="53"/>
    </row>
    <row r="30" spans="1:5" x14ac:dyDescent="0.25">
      <c r="A30" s="53">
        <v>44133.40129976852</v>
      </c>
      <c r="B30">
        <v>526</v>
      </c>
      <c r="C30" s="53"/>
      <c r="E30" s="53"/>
    </row>
    <row r="31" spans="1:5" x14ac:dyDescent="0.25">
      <c r="A31" s="53">
        <v>44133.401994444444</v>
      </c>
      <c r="B31">
        <v>530</v>
      </c>
      <c r="C31" s="53"/>
      <c r="E31" s="53"/>
    </row>
    <row r="32" spans="1:5" x14ac:dyDescent="0.25">
      <c r="A32" s="53">
        <v>44133.402689120368</v>
      </c>
      <c r="B32">
        <v>510</v>
      </c>
      <c r="C32" s="53"/>
      <c r="E32" s="53"/>
    </row>
    <row r="33" spans="1:5" x14ac:dyDescent="0.25">
      <c r="A33" s="53">
        <v>44133.403383912038</v>
      </c>
      <c r="B33">
        <v>514</v>
      </c>
      <c r="C33" s="53"/>
      <c r="E33" s="53"/>
    </row>
    <row r="34" spans="1:5" x14ac:dyDescent="0.25">
      <c r="A34" s="53">
        <v>44133.404078703701</v>
      </c>
      <c r="B34">
        <v>512</v>
      </c>
      <c r="C34" s="53"/>
      <c r="E34" s="53"/>
    </row>
    <row r="35" spans="1:5" x14ac:dyDescent="0.25">
      <c r="A35" s="53">
        <v>44133.404770486108</v>
      </c>
      <c r="B35">
        <v>507</v>
      </c>
      <c r="C35" s="53"/>
      <c r="E35" s="53"/>
    </row>
    <row r="36" spans="1:5" x14ac:dyDescent="0.25">
      <c r="A36" s="53">
        <v>44133.405468634257</v>
      </c>
      <c r="B36">
        <v>506</v>
      </c>
      <c r="C36" s="53"/>
      <c r="E36" s="53"/>
    </row>
    <row r="37" spans="1:5" x14ac:dyDescent="0.25">
      <c r="A37" s="53">
        <v>44133.406163425927</v>
      </c>
      <c r="B37">
        <v>507</v>
      </c>
      <c r="C37" s="53"/>
      <c r="E37" s="53"/>
    </row>
    <row r="38" spans="1:5" x14ac:dyDescent="0.25">
      <c r="A38" s="53">
        <v>44133.406857986112</v>
      </c>
      <c r="B38">
        <v>506</v>
      </c>
      <c r="C38" s="53"/>
      <c r="E38" s="53"/>
    </row>
    <row r="39" spans="1:5" x14ac:dyDescent="0.25">
      <c r="A39" s="53">
        <v>44133.407552430559</v>
      </c>
      <c r="B39">
        <v>507</v>
      </c>
      <c r="C39" s="53"/>
      <c r="E39" s="53"/>
    </row>
    <row r="40" spans="1:5" x14ac:dyDescent="0.25">
      <c r="A40" s="53">
        <v>44133.408246990744</v>
      </c>
      <c r="B40">
        <v>507</v>
      </c>
      <c r="C40" s="53"/>
      <c r="E40" s="53"/>
    </row>
    <row r="41" spans="1:5" x14ac:dyDescent="0.25">
      <c r="A41" s="53">
        <v>44133.408941319445</v>
      </c>
      <c r="B41">
        <v>502</v>
      </c>
      <c r="C41" s="53"/>
      <c r="E41" s="53"/>
    </row>
    <row r="42" spans="1:5" x14ac:dyDescent="0.25">
      <c r="A42" s="53">
        <v>44133.40962997685</v>
      </c>
      <c r="B42">
        <v>499</v>
      </c>
      <c r="C42" s="53"/>
      <c r="E42" s="53"/>
    </row>
    <row r="43" spans="1:5" x14ac:dyDescent="0.25">
      <c r="A43" s="53">
        <v>44133.410324652781</v>
      </c>
      <c r="B43">
        <v>500</v>
      </c>
      <c r="C43" s="53"/>
      <c r="E43" s="53"/>
    </row>
    <row r="44" spans="1:5" x14ac:dyDescent="0.25">
      <c r="A44" s="53">
        <v>44133.411019328705</v>
      </c>
      <c r="B44">
        <v>496</v>
      </c>
      <c r="C44" s="53"/>
      <c r="E44" s="53"/>
    </row>
    <row r="45" spans="1:5" x14ac:dyDescent="0.25">
      <c r="A45" s="53">
        <v>44133.411714236114</v>
      </c>
      <c r="B45">
        <v>498</v>
      </c>
      <c r="C45" s="53"/>
      <c r="E45" s="53"/>
    </row>
    <row r="46" spans="1:5" x14ac:dyDescent="0.25">
      <c r="A46" s="53">
        <v>44133.412408912038</v>
      </c>
      <c r="B46">
        <v>499</v>
      </c>
      <c r="C46" s="53"/>
      <c r="E46" s="53"/>
    </row>
    <row r="47" spans="1:5" x14ac:dyDescent="0.25">
      <c r="A47" s="53">
        <v>44133.4131037037</v>
      </c>
      <c r="B47">
        <v>496</v>
      </c>
      <c r="C47" s="53"/>
      <c r="E47" s="53"/>
    </row>
    <row r="48" spans="1:5" x14ac:dyDescent="0.25">
      <c r="A48" s="53">
        <v>44133.41379849537</v>
      </c>
      <c r="B48">
        <v>498</v>
      </c>
      <c r="C48" s="53"/>
      <c r="E48" s="53"/>
    </row>
    <row r="49" spans="1:5" x14ac:dyDescent="0.25">
      <c r="A49" s="53">
        <v>44133.41449328704</v>
      </c>
      <c r="B49">
        <v>498</v>
      </c>
      <c r="C49" s="53"/>
      <c r="E49" s="53"/>
    </row>
    <row r="50" spans="1:5" x14ac:dyDescent="0.25">
      <c r="A50" s="53">
        <v>44133.415189467596</v>
      </c>
      <c r="B50">
        <v>500</v>
      </c>
      <c r="C50" s="53"/>
      <c r="E50" s="53"/>
    </row>
    <row r="51" spans="1:5" x14ac:dyDescent="0.25">
      <c r="A51" s="53">
        <v>44133.415884259259</v>
      </c>
      <c r="B51">
        <v>496</v>
      </c>
      <c r="C51" s="53"/>
      <c r="E51" s="53"/>
    </row>
    <row r="52" spans="1:5" x14ac:dyDescent="0.25">
      <c r="A52" s="53">
        <v>44133.416578935183</v>
      </c>
      <c r="B52">
        <v>494</v>
      </c>
      <c r="C52" s="53"/>
      <c r="E52" s="53"/>
    </row>
    <row r="53" spans="1:5" x14ac:dyDescent="0.25">
      <c r="A53" s="53">
        <v>44133.417273726853</v>
      </c>
      <c r="B53">
        <v>501</v>
      </c>
      <c r="C53" s="53"/>
      <c r="E53" s="53"/>
    </row>
    <row r="54" spans="1:5" x14ac:dyDescent="0.25">
      <c r="A54" s="53">
        <v>44133.417968518515</v>
      </c>
      <c r="B54">
        <v>499</v>
      </c>
      <c r="C54" s="53"/>
      <c r="E54" s="53"/>
    </row>
    <row r="55" spans="1:5" x14ac:dyDescent="0.25">
      <c r="A55" s="53">
        <v>44133.418663310185</v>
      </c>
      <c r="B55">
        <v>500</v>
      </c>
      <c r="C55" s="53"/>
      <c r="E55" s="53"/>
    </row>
    <row r="56" spans="1:5" x14ac:dyDescent="0.25">
      <c r="A56" s="53">
        <v>44133.419357754632</v>
      </c>
      <c r="B56">
        <v>499</v>
      </c>
      <c r="C56" s="53"/>
      <c r="E56" s="53"/>
    </row>
    <row r="57" spans="1:5" x14ac:dyDescent="0.25">
      <c r="A57" s="53">
        <v>44133.420052199072</v>
      </c>
      <c r="B57">
        <v>502</v>
      </c>
      <c r="C57" s="53"/>
      <c r="E57" s="53"/>
    </row>
    <row r="58" spans="1:5" x14ac:dyDescent="0.25">
      <c r="A58" s="53">
        <v>44133.420746643518</v>
      </c>
      <c r="B58">
        <v>500</v>
      </c>
      <c r="C58" s="53"/>
      <c r="E58" s="53"/>
    </row>
    <row r="59" spans="1:5" x14ac:dyDescent="0.25">
      <c r="A59" s="53">
        <v>44133.421441087965</v>
      </c>
      <c r="B59">
        <v>499</v>
      </c>
      <c r="C59" s="53"/>
      <c r="E59" s="53"/>
    </row>
    <row r="60" spans="1:5" x14ac:dyDescent="0.25">
      <c r="A60" s="53">
        <v>44133.422135416666</v>
      </c>
      <c r="B60">
        <v>500</v>
      </c>
      <c r="C60" s="53"/>
      <c r="E60" s="53"/>
    </row>
    <row r="61" spans="1:5" x14ac:dyDescent="0.25">
      <c r="A61" s="53">
        <v>44133.422829976851</v>
      </c>
      <c r="B61">
        <v>500</v>
      </c>
      <c r="C61" s="53"/>
      <c r="E61" s="53"/>
    </row>
    <row r="62" spans="1:5" x14ac:dyDescent="0.25">
      <c r="A62" s="53">
        <v>44133.423524305559</v>
      </c>
      <c r="B62">
        <v>500</v>
      </c>
      <c r="C62" s="53"/>
      <c r="E62" s="53"/>
    </row>
    <row r="63" spans="1:5" x14ac:dyDescent="0.25">
      <c r="A63" s="53">
        <v>44133.424218749999</v>
      </c>
      <c r="B63">
        <v>500</v>
      </c>
      <c r="C63" s="53"/>
      <c r="E63" s="53"/>
    </row>
    <row r="64" spans="1:5" x14ac:dyDescent="0.25">
      <c r="A64" s="53">
        <v>44133.424907638888</v>
      </c>
      <c r="B64">
        <v>499</v>
      </c>
      <c r="C64" s="53"/>
      <c r="E64" s="53"/>
    </row>
    <row r="65" spans="1:5" x14ac:dyDescent="0.25">
      <c r="A65" s="53">
        <v>44133.425602430558</v>
      </c>
      <c r="B65">
        <v>500</v>
      </c>
      <c r="C65" s="53"/>
      <c r="E65" s="53"/>
    </row>
    <row r="66" spans="1:5" x14ac:dyDescent="0.25">
      <c r="A66" s="53">
        <v>44133.426297106482</v>
      </c>
      <c r="B66">
        <v>500</v>
      </c>
      <c r="C66" s="53"/>
      <c r="E66" s="53"/>
    </row>
    <row r="67" spans="1:5" x14ac:dyDescent="0.25">
      <c r="A67" s="53">
        <v>44133.42699201389</v>
      </c>
      <c r="B67">
        <v>500</v>
      </c>
      <c r="C67" s="53"/>
      <c r="E67" s="53"/>
    </row>
    <row r="68" spans="1:5" x14ac:dyDescent="0.25">
      <c r="A68" s="53">
        <v>44133.427686689814</v>
      </c>
      <c r="B68">
        <v>498</v>
      </c>
      <c r="C68" s="53"/>
      <c r="E68" s="53"/>
    </row>
    <row r="69" spans="1:5" x14ac:dyDescent="0.25">
      <c r="A69" s="53">
        <v>44133.428381481484</v>
      </c>
      <c r="B69">
        <v>499</v>
      </c>
      <c r="C69" s="53"/>
      <c r="E69" s="53"/>
    </row>
    <row r="70" spans="1:5" x14ac:dyDescent="0.25">
      <c r="A70" s="53">
        <v>44133.429076388886</v>
      </c>
      <c r="B70">
        <v>497</v>
      </c>
      <c r="C70" s="53"/>
      <c r="E70" s="53"/>
    </row>
    <row r="71" spans="1:5" x14ac:dyDescent="0.25">
      <c r="A71" s="53">
        <v>44133.429771064817</v>
      </c>
      <c r="B71">
        <v>498</v>
      </c>
      <c r="C71" s="53"/>
      <c r="E71" s="53"/>
    </row>
    <row r="72" spans="1:5" x14ac:dyDescent="0.25">
      <c r="A72" s="53">
        <v>44133.430466203703</v>
      </c>
      <c r="B72">
        <v>499</v>
      </c>
      <c r="C72" s="53"/>
      <c r="E72" s="53"/>
    </row>
    <row r="73" spans="1:5" x14ac:dyDescent="0.25">
      <c r="A73" s="53">
        <v>44133.43116064815</v>
      </c>
      <c r="B73">
        <v>497</v>
      </c>
      <c r="C73" s="53"/>
      <c r="E73" s="53"/>
    </row>
    <row r="74" spans="1:5" x14ac:dyDescent="0.25">
      <c r="A74" s="53">
        <v>44133.431855439812</v>
      </c>
      <c r="B74">
        <v>497</v>
      </c>
      <c r="C74" s="53"/>
      <c r="E74" s="53"/>
    </row>
    <row r="75" spans="1:5" x14ac:dyDescent="0.25">
      <c r="A75" s="53">
        <v>44133.432550115744</v>
      </c>
      <c r="B75">
        <v>498</v>
      </c>
      <c r="C75" s="53"/>
      <c r="E75" s="53"/>
    </row>
    <row r="76" spans="1:5" x14ac:dyDescent="0.25">
      <c r="A76" s="53">
        <v>44133.433244907406</v>
      </c>
      <c r="B76">
        <v>499</v>
      </c>
      <c r="C76" s="53"/>
      <c r="E76" s="53"/>
    </row>
    <row r="77" spans="1:5" x14ac:dyDescent="0.25">
      <c r="A77" s="53">
        <v>44133.43393958333</v>
      </c>
      <c r="B77">
        <v>500</v>
      </c>
      <c r="C77" s="53"/>
      <c r="E77" s="53"/>
    </row>
    <row r="78" spans="1:5" x14ac:dyDescent="0.25">
      <c r="A78" s="53">
        <v>44133.434634259262</v>
      </c>
      <c r="B78">
        <v>499</v>
      </c>
      <c r="C78" s="53"/>
      <c r="E78" s="53"/>
    </row>
    <row r="79" spans="1:5" x14ac:dyDescent="0.25">
      <c r="A79" s="53">
        <v>44133.435329050924</v>
      </c>
      <c r="B79">
        <v>500</v>
      </c>
      <c r="C79" s="53"/>
      <c r="E79" s="53"/>
    </row>
    <row r="80" spans="1:5" x14ac:dyDescent="0.25">
      <c r="A80" s="53">
        <v>44133.436023726848</v>
      </c>
      <c r="B80">
        <v>496</v>
      </c>
      <c r="C80" s="53"/>
      <c r="E80" s="53"/>
    </row>
    <row r="81" spans="1:5" x14ac:dyDescent="0.25">
      <c r="A81" s="53">
        <v>44133.436718518518</v>
      </c>
      <c r="B81">
        <v>496</v>
      </c>
      <c r="C81" s="53"/>
      <c r="E81" s="53"/>
    </row>
    <row r="82" spans="1:5" x14ac:dyDescent="0.25">
      <c r="A82" s="53">
        <v>44133.437412847219</v>
      </c>
      <c r="B82">
        <v>496</v>
      </c>
      <c r="C82" s="53"/>
      <c r="E82" s="53"/>
    </row>
    <row r="83" spans="1:5" x14ac:dyDescent="0.25">
      <c r="A83" s="53">
        <v>44133.438107407404</v>
      </c>
      <c r="B83">
        <v>497</v>
      </c>
      <c r="C83" s="53"/>
      <c r="E83" s="53"/>
    </row>
    <row r="84" spans="1:5" x14ac:dyDescent="0.25">
      <c r="A84" s="53">
        <v>44133.438801851851</v>
      </c>
      <c r="B84">
        <v>494</v>
      </c>
      <c r="C84" s="53"/>
      <c r="E84" s="53"/>
    </row>
    <row r="85" spans="1:5" x14ac:dyDescent="0.25">
      <c r="A85" s="53">
        <v>44133.439496180552</v>
      </c>
      <c r="B85">
        <v>492</v>
      </c>
      <c r="C85" s="53"/>
      <c r="E85" s="53"/>
    </row>
    <row r="86" spans="1:5" x14ac:dyDescent="0.25">
      <c r="A86" s="53">
        <v>44133.440190624999</v>
      </c>
      <c r="B86">
        <v>494</v>
      </c>
      <c r="C86" s="53"/>
      <c r="E86" s="53"/>
    </row>
    <row r="87" spans="1:5" x14ac:dyDescent="0.25">
      <c r="A87" s="53">
        <v>44133.440885069445</v>
      </c>
      <c r="B87">
        <v>494</v>
      </c>
      <c r="C87" s="53"/>
      <c r="E87" s="53"/>
    </row>
    <row r="88" spans="1:5" x14ac:dyDescent="0.25">
      <c r="A88" s="53">
        <v>44133.441579513892</v>
      </c>
      <c r="B88">
        <v>491</v>
      </c>
      <c r="C88" s="53"/>
      <c r="E88" s="53"/>
    </row>
    <row r="89" spans="1:5" x14ac:dyDescent="0.25">
      <c r="A89" s="53">
        <v>44133.442273958331</v>
      </c>
      <c r="B89">
        <v>494</v>
      </c>
      <c r="C89" s="53"/>
      <c r="E89" s="53"/>
    </row>
    <row r="90" spans="1:5" x14ac:dyDescent="0.25">
      <c r="A90" s="53">
        <v>44133.442968402778</v>
      </c>
      <c r="B90">
        <v>494</v>
      </c>
      <c r="C90" s="53"/>
      <c r="E90" s="53"/>
    </row>
    <row r="91" spans="1:5" x14ac:dyDescent="0.25">
      <c r="A91" s="53">
        <v>44133.443662847225</v>
      </c>
      <c r="B91">
        <v>494</v>
      </c>
      <c r="C91" s="53"/>
      <c r="E91" s="53"/>
    </row>
    <row r="92" spans="1:5" x14ac:dyDescent="0.25">
      <c r="A92" s="53">
        <v>44133.444352314815</v>
      </c>
      <c r="B92">
        <v>494</v>
      </c>
      <c r="C92" s="53"/>
      <c r="E92" s="53"/>
    </row>
    <row r="93" spans="1:5" x14ac:dyDescent="0.25">
      <c r="A93" s="53">
        <v>44133.445046990739</v>
      </c>
      <c r="B93">
        <v>494</v>
      </c>
      <c r="C93" s="53"/>
      <c r="E93" s="53"/>
    </row>
    <row r="94" spans="1:5" x14ac:dyDescent="0.25">
      <c r="A94" s="53">
        <v>44133.445742245371</v>
      </c>
      <c r="B94">
        <v>498</v>
      </c>
      <c r="C94" s="53"/>
      <c r="E94" s="53"/>
    </row>
    <row r="95" spans="1:5" x14ac:dyDescent="0.25">
      <c r="A95" s="53">
        <v>44133.446436574071</v>
      </c>
      <c r="B95">
        <v>498</v>
      </c>
      <c r="C95" s="53"/>
      <c r="E95" s="53"/>
    </row>
    <row r="96" spans="1:5" x14ac:dyDescent="0.25">
      <c r="A96" s="53">
        <v>44133.447132175927</v>
      </c>
      <c r="B96">
        <v>496</v>
      </c>
      <c r="C96" s="53"/>
      <c r="E96" s="53"/>
    </row>
    <row r="97" spans="1:5" x14ac:dyDescent="0.25">
      <c r="A97" s="53">
        <v>44133.447826851851</v>
      </c>
      <c r="B97">
        <v>497</v>
      </c>
      <c r="C97" s="53"/>
      <c r="E97" s="53"/>
    </row>
    <row r="98" spans="1:5" x14ac:dyDescent="0.25">
      <c r="A98" s="53">
        <v>44133.448521643521</v>
      </c>
      <c r="B98">
        <v>500</v>
      </c>
      <c r="C98" s="53"/>
      <c r="E98" s="53"/>
    </row>
    <row r="99" spans="1:5" x14ac:dyDescent="0.25">
      <c r="A99" s="53">
        <v>44133.449216435183</v>
      </c>
      <c r="B99">
        <v>500</v>
      </c>
      <c r="C99" s="53"/>
      <c r="E99" s="53"/>
    </row>
    <row r="100" spans="1:5" x14ac:dyDescent="0.25">
      <c r="A100" s="53">
        <v>44133.449911111114</v>
      </c>
      <c r="B100">
        <v>498</v>
      </c>
      <c r="C100" s="53"/>
      <c r="E100" s="53"/>
    </row>
    <row r="101" spans="1:5" x14ac:dyDescent="0.25">
      <c r="A101" s="53">
        <v>44133.450605902777</v>
      </c>
      <c r="B101">
        <v>498</v>
      </c>
      <c r="C101" s="53"/>
      <c r="E101" s="53"/>
    </row>
    <row r="102" spans="1:5" x14ac:dyDescent="0.25">
      <c r="A102" s="53">
        <v>44133.451300578701</v>
      </c>
      <c r="B102">
        <v>497</v>
      </c>
      <c r="C102" s="53"/>
      <c r="E102" s="53"/>
    </row>
    <row r="103" spans="1:5" x14ac:dyDescent="0.25">
      <c r="A103" s="53">
        <v>44133.451995370371</v>
      </c>
      <c r="B103">
        <v>497</v>
      </c>
      <c r="C103" s="53"/>
      <c r="E103" s="53"/>
    </row>
    <row r="104" spans="1:5" x14ac:dyDescent="0.25">
      <c r="A104" s="53">
        <v>44133.452690162034</v>
      </c>
      <c r="B104">
        <v>498</v>
      </c>
      <c r="C104" s="53"/>
      <c r="E104" s="53"/>
    </row>
    <row r="105" spans="1:5" x14ac:dyDescent="0.25">
      <c r="A105" s="53">
        <v>44133.453384837965</v>
      </c>
      <c r="B105">
        <v>498</v>
      </c>
      <c r="C105" s="53"/>
      <c r="E105" s="53"/>
    </row>
    <row r="106" spans="1:5" x14ac:dyDescent="0.25">
      <c r="A106" s="53">
        <v>44133.454079282405</v>
      </c>
      <c r="B106">
        <v>498</v>
      </c>
      <c r="C106" s="53"/>
      <c r="E106" s="53"/>
    </row>
    <row r="107" spans="1:5" x14ac:dyDescent="0.25">
      <c r="A107" s="53">
        <v>44133.454773726851</v>
      </c>
      <c r="B107">
        <v>500</v>
      </c>
      <c r="C107" s="53"/>
      <c r="E107" s="53"/>
    </row>
    <row r="108" spans="1:5" x14ac:dyDescent="0.25">
      <c r="A108" s="53">
        <v>44133.455468171298</v>
      </c>
      <c r="B108">
        <v>499</v>
      </c>
      <c r="C108" s="53"/>
      <c r="E108" s="53"/>
    </row>
    <row r="109" spans="1:5" x14ac:dyDescent="0.25">
      <c r="A109" s="53">
        <v>44133.456162615737</v>
      </c>
      <c r="B109">
        <v>499</v>
      </c>
      <c r="C109" s="53"/>
      <c r="E109" s="53"/>
    </row>
    <row r="110" spans="1:5" x14ac:dyDescent="0.25">
      <c r="A110" s="53">
        <v>44133.456857060184</v>
      </c>
      <c r="B110">
        <v>501</v>
      </c>
      <c r="C110" s="53"/>
      <c r="E110" s="53"/>
    </row>
    <row r="111" spans="1:5" x14ac:dyDescent="0.25">
      <c r="A111" s="53">
        <v>44133.457551388892</v>
      </c>
      <c r="B111">
        <v>501</v>
      </c>
      <c r="C111" s="53"/>
      <c r="E111" s="53"/>
    </row>
    <row r="112" spans="1:5" x14ac:dyDescent="0.25">
      <c r="A112" s="53">
        <v>44133.458245833332</v>
      </c>
      <c r="B112">
        <v>498</v>
      </c>
      <c r="C112" s="53"/>
      <c r="E112" s="53"/>
    </row>
    <row r="113" spans="1:5" x14ac:dyDescent="0.25">
      <c r="A113" s="53">
        <v>44133.458940277778</v>
      </c>
      <c r="B113">
        <v>498</v>
      </c>
      <c r="C113" s="53"/>
      <c r="E113" s="53"/>
    </row>
    <row r="114" spans="1:5" x14ac:dyDescent="0.25">
      <c r="A114" s="53">
        <v>44133.459634837964</v>
      </c>
      <c r="B114">
        <v>504</v>
      </c>
      <c r="C114" s="53"/>
      <c r="E114" s="53"/>
    </row>
    <row r="115" spans="1:5" x14ac:dyDescent="0.25">
      <c r="A115" s="53">
        <v>44133.460329050926</v>
      </c>
      <c r="B115">
        <v>503</v>
      </c>
      <c r="C115" s="53"/>
      <c r="E115" s="53"/>
    </row>
    <row r="116" spans="1:5" x14ac:dyDescent="0.25">
      <c r="A116" s="53">
        <v>44133.461023495373</v>
      </c>
      <c r="B116">
        <v>503</v>
      </c>
      <c r="C116" s="53"/>
      <c r="E116" s="53"/>
    </row>
    <row r="117" spans="1:5" x14ac:dyDescent="0.25">
      <c r="A117" s="53">
        <v>44133.461717939812</v>
      </c>
      <c r="B117">
        <v>503</v>
      </c>
      <c r="C117" s="53"/>
      <c r="E117" s="53"/>
    </row>
    <row r="118" spans="1:5" x14ac:dyDescent="0.25">
      <c r="A118" s="53">
        <v>44133.462412384259</v>
      </c>
      <c r="B118">
        <v>502</v>
      </c>
      <c r="C118" s="53"/>
      <c r="E118" s="53"/>
    </row>
    <row r="119" spans="1:5" x14ac:dyDescent="0.25">
      <c r="A119" s="53">
        <v>44133.46310497685</v>
      </c>
      <c r="B119">
        <v>505</v>
      </c>
      <c r="C119" s="53"/>
      <c r="E119" s="53"/>
    </row>
    <row r="120" spans="1:5" x14ac:dyDescent="0.25">
      <c r="A120" s="53">
        <v>44133.463796643518</v>
      </c>
      <c r="B120">
        <v>502</v>
      </c>
      <c r="C120" s="53"/>
      <c r="E120" s="53"/>
    </row>
    <row r="121" spans="1:5" x14ac:dyDescent="0.25">
      <c r="A121" s="53">
        <v>44133.464491435188</v>
      </c>
      <c r="B121">
        <v>504</v>
      </c>
      <c r="C121" s="53"/>
      <c r="E121" s="53"/>
    </row>
    <row r="122" spans="1:5" x14ac:dyDescent="0.25">
      <c r="A122" s="53">
        <v>44133.465186226851</v>
      </c>
      <c r="B122">
        <v>504</v>
      </c>
      <c r="C122" s="53"/>
      <c r="E122" s="53"/>
    </row>
    <row r="123" spans="1:5" x14ac:dyDescent="0.25">
      <c r="A123" s="53">
        <v>44133.465881018521</v>
      </c>
      <c r="B123">
        <v>503</v>
      </c>
      <c r="C123" s="53"/>
      <c r="E123" s="53"/>
    </row>
    <row r="124" spans="1:5" x14ac:dyDescent="0.25">
      <c r="A124" s="53">
        <v>44133.466576041668</v>
      </c>
      <c r="B124">
        <v>503</v>
      </c>
      <c r="C124" s="53"/>
      <c r="E124" s="53"/>
    </row>
    <row r="125" spans="1:5" x14ac:dyDescent="0.25">
      <c r="A125" s="53">
        <v>44133.467270833331</v>
      </c>
      <c r="B125">
        <v>503</v>
      </c>
      <c r="C125" s="53"/>
      <c r="E125" s="53"/>
    </row>
    <row r="126" spans="1:5" x14ac:dyDescent="0.25">
      <c r="A126" s="53">
        <v>44133.467965509262</v>
      </c>
      <c r="B126">
        <v>503</v>
      </c>
      <c r="C126" s="53"/>
      <c r="E126" s="53"/>
    </row>
    <row r="127" spans="1:5" x14ac:dyDescent="0.25">
      <c r="A127" s="53">
        <v>44133.468660300925</v>
      </c>
      <c r="B127">
        <v>505</v>
      </c>
      <c r="C127" s="53"/>
      <c r="E127" s="53"/>
    </row>
    <row r="128" spans="1:5" x14ac:dyDescent="0.25">
      <c r="A128" s="53">
        <v>44133.469355092595</v>
      </c>
      <c r="B128">
        <v>506</v>
      </c>
      <c r="C128" s="53"/>
      <c r="E128" s="53"/>
    </row>
    <row r="129" spans="1:5" x14ac:dyDescent="0.25">
      <c r="A129" s="53">
        <v>44133.470049768519</v>
      </c>
      <c r="B129">
        <v>504</v>
      </c>
      <c r="C129" s="53"/>
      <c r="E129" s="53"/>
    </row>
    <row r="130" spans="1:5" x14ac:dyDescent="0.25">
      <c r="A130" s="53">
        <v>44133.470744675928</v>
      </c>
      <c r="B130">
        <v>504</v>
      </c>
      <c r="C130" s="53"/>
      <c r="E130" s="53"/>
    </row>
    <row r="131" spans="1:5" x14ac:dyDescent="0.25">
      <c r="A131" s="53">
        <v>44133.471439351852</v>
      </c>
      <c r="B131">
        <v>504</v>
      </c>
      <c r="C131" s="53"/>
      <c r="E131" s="53"/>
    </row>
    <row r="132" spans="1:5" x14ac:dyDescent="0.25">
      <c r="A132" s="53">
        <v>44133.472134143522</v>
      </c>
      <c r="B132">
        <v>504</v>
      </c>
      <c r="C132" s="53"/>
      <c r="E132" s="53"/>
    </row>
    <row r="133" spans="1:5" x14ac:dyDescent="0.25">
      <c r="A133" s="53">
        <v>44133.472828819446</v>
      </c>
      <c r="B133">
        <v>504</v>
      </c>
      <c r="C133" s="53"/>
      <c r="E133" s="53"/>
    </row>
    <row r="134" spans="1:5" x14ac:dyDescent="0.25">
      <c r="A134" s="53">
        <v>44133.473523379631</v>
      </c>
      <c r="B134">
        <v>503</v>
      </c>
      <c r="C134" s="53"/>
      <c r="E134" s="53"/>
    </row>
    <row r="135" spans="1:5" x14ac:dyDescent="0.25">
      <c r="A135" s="53">
        <v>44133.474217824078</v>
      </c>
      <c r="B135">
        <v>500</v>
      </c>
      <c r="C135" s="53"/>
      <c r="E135" s="53"/>
    </row>
    <row r="136" spans="1:5" x14ac:dyDescent="0.25">
      <c r="A136" s="53">
        <v>44133.474912384256</v>
      </c>
      <c r="B136">
        <v>503</v>
      </c>
      <c r="C136" s="53"/>
      <c r="E136" s="53"/>
    </row>
    <row r="137" spans="1:5" x14ac:dyDescent="0.25">
      <c r="A137" s="53">
        <v>44133.475606712964</v>
      </c>
      <c r="B137">
        <v>506</v>
      </c>
      <c r="C137" s="53"/>
      <c r="E137" s="53"/>
    </row>
    <row r="138" spans="1:5" x14ac:dyDescent="0.25">
      <c r="A138" s="53">
        <v>44133.47630115741</v>
      </c>
      <c r="B138">
        <v>506</v>
      </c>
      <c r="C138" s="53"/>
      <c r="E138" s="53"/>
    </row>
    <row r="139" spans="1:5" x14ac:dyDescent="0.25">
      <c r="A139" s="53">
        <v>44133.476995717596</v>
      </c>
      <c r="B139">
        <v>506</v>
      </c>
      <c r="C139" s="53"/>
      <c r="E139" s="53"/>
    </row>
    <row r="140" spans="1:5" x14ac:dyDescent="0.25">
      <c r="A140" s="53">
        <v>44133.477690046297</v>
      </c>
      <c r="B140">
        <v>506</v>
      </c>
      <c r="C140" s="53"/>
      <c r="E140" s="53"/>
    </row>
    <row r="141" spans="1:5" x14ac:dyDescent="0.25">
      <c r="A141" s="53">
        <v>44133.478384490743</v>
      </c>
      <c r="B141">
        <v>506</v>
      </c>
      <c r="C141" s="53"/>
      <c r="E141" s="53"/>
    </row>
    <row r="142" spans="1:5" x14ac:dyDescent="0.25">
      <c r="A142" s="53">
        <v>44133.479078935183</v>
      </c>
      <c r="B142">
        <v>506</v>
      </c>
      <c r="C142" s="53"/>
      <c r="E142" s="53"/>
    </row>
    <row r="143" spans="1:5" x14ac:dyDescent="0.25">
      <c r="A143" s="53">
        <v>44133.479773379629</v>
      </c>
      <c r="B143">
        <v>505</v>
      </c>
      <c r="C143" s="53"/>
      <c r="E143" s="53"/>
    </row>
    <row r="144" spans="1:5" x14ac:dyDescent="0.25">
      <c r="A144" s="53">
        <v>44133.480467824076</v>
      </c>
      <c r="B144">
        <v>501</v>
      </c>
      <c r="C144" s="53"/>
      <c r="E144" s="53"/>
    </row>
    <row r="145" spans="1:5" x14ac:dyDescent="0.25">
      <c r="A145" s="53">
        <v>44133.481162268516</v>
      </c>
      <c r="B145">
        <v>501</v>
      </c>
      <c r="C145" s="53"/>
      <c r="E145" s="53"/>
    </row>
    <row r="146" spans="1:5" x14ac:dyDescent="0.25">
      <c r="A146" s="53">
        <v>44133.481856597224</v>
      </c>
      <c r="B146">
        <v>499</v>
      </c>
      <c r="C146" s="53"/>
      <c r="E146" s="53"/>
    </row>
    <row r="147" spans="1:5" x14ac:dyDescent="0.25">
      <c r="A147" s="53">
        <v>44133.482551041663</v>
      </c>
      <c r="B147">
        <v>496</v>
      </c>
      <c r="C147" s="53"/>
      <c r="E147" s="53"/>
    </row>
    <row r="148" spans="1:5" x14ac:dyDescent="0.25">
      <c r="A148" s="53">
        <v>44133.48324548611</v>
      </c>
      <c r="B148">
        <v>494</v>
      </c>
      <c r="C148" s="53"/>
      <c r="E148" s="53"/>
    </row>
    <row r="149" spans="1:5" x14ac:dyDescent="0.25">
      <c r="A149" s="53">
        <v>44133.483939930557</v>
      </c>
      <c r="B149">
        <v>498</v>
      </c>
      <c r="C149" s="53"/>
      <c r="E149" s="53"/>
    </row>
    <row r="150" spans="1:5" x14ac:dyDescent="0.25">
      <c r="A150" s="53">
        <v>44133.484629976854</v>
      </c>
      <c r="B150">
        <v>500</v>
      </c>
      <c r="C150" s="53"/>
      <c r="E150" s="53"/>
    </row>
    <row r="151" spans="1:5" x14ac:dyDescent="0.25">
      <c r="A151" s="53">
        <v>44133.485324652778</v>
      </c>
      <c r="B151">
        <v>500</v>
      </c>
      <c r="C151" s="53"/>
      <c r="E151" s="53"/>
    </row>
    <row r="152" spans="1:5" x14ac:dyDescent="0.25">
      <c r="A152" s="53">
        <v>44133.486019560187</v>
      </c>
      <c r="B152">
        <v>500</v>
      </c>
      <c r="C152" s="53"/>
      <c r="E152" s="53"/>
    </row>
    <row r="153" spans="1:5" x14ac:dyDescent="0.25">
      <c r="A153" s="53">
        <v>44133.48671435185</v>
      </c>
      <c r="B153">
        <v>502</v>
      </c>
      <c r="C153" s="53"/>
      <c r="E153" s="53"/>
    </row>
    <row r="154" spans="1:5" x14ac:dyDescent="0.25">
      <c r="A154" s="53">
        <v>44133.487409027781</v>
      </c>
      <c r="B154">
        <v>501</v>
      </c>
      <c r="C154" s="53"/>
      <c r="E154" s="53"/>
    </row>
    <row r="155" spans="1:5" x14ac:dyDescent="0.25">
      <c r="A155" s="53">
        <v>44133.488103819443</v>
      </c>
      <c r="B155">
        <v>501</v>
      </c>
      <c r="C155" s="53"/>
      <c r="E155" s="53"/>
    </row>
    <row r="156" spans="1:5" x14ac:dyDescent="0.25">
      <c r="A156" s="53">
        <v>44133.488798495368</v>
      </c>
      <c r="B156">
        <v>503</v>
      </c>
      <c r="C156" s="53"/>
      <c r="E156" s="53"/>
    </row>
    <row r="157" spans="1:5" x14ac:dyDescent="0.25">
      <c r="A157" s="53">
        <v>44133.489493171299</v>
      </c>
      <c r="B157">
        <v>502</v>
      </c>
      <c r="C157" s="53"/>
      <c r="E157" s="53"/>
    </row>
    <row r="158" spans="1:5" x14ac:dyDescent="0.25">
      <c r="A158" s="53">
        <v>44133.490187962961</v>
      </c>
      <c r="B158">
        <v>500</v>
      </c>
      <c r="C158" s="53"/>
      <c r="E158" s="53"/>
    </row>
    <row r="159" spans="1:5" x14ac:dyDescent="0.25">
      <c r="A159" s="53">
        <v>44133.490882754631</v>
      </c>
      <c r="B159">
        <v>500</v>
      </c>
      <c r="C159" s="53"/>
      <c r="E159" s="53"/>
    </row>
    <row r="160" spans="1:5" x14ac:dyDescent="0.25">
      <c r="A160" s="53">
        <v>44133.491577430555</v>
      </c>
      <c r="B160">
        <v>501</v>
      </c>
      <c r="C160" s="53"/>
      <c r="E160" s="53"/>
    </row>
    <row r="161" spans="1:5" x14ac:dyDescent="0.25">
      <c r="A161" s="53">
        <v>44133.492272222225</v>
      </c>
      <c r="B161">
        <v>501</v>
      </c>
      <c r="C161" s="53"/>
      <c r="E161" s="53"/>
    </row>
    <row r="162" spans="1:5" x14ac:dyDescent="0.25">
      <c r="A162" s="53">
        <v>44133.492967013888</v>
      </c>
      <c r="B162">
        <v>502</v>
      </c>
      <c r="C162" s="53"/>
      <c r="E162" s="53"/>
    </row>
    <row r="163" spans="1:5" x14ac:dyDescent="0.25">
      <c r="A163" s="53">
        <v>44133.493661805558</v>
      </c>
      <c r="B163">
        <v>503</v>
      </c>
      <c r="C163" s="53"/>
      <c r="E163" s="53"/>
    </row>
    <row r="164" spans="1:5" x14ac:dyDescent="0.25">
      <c r="A164" s="53">
        <v>44133.494357754629</v>
      </c>
      <c r="B164">
        <v>502</v>
      </c>
      <c r="C164" s="53"/>
      <c r="E164" s="53"/>
    </row>
    <row r="165" spans="1:5" x14ac:dyDescent="0.25">
      <c r="A165" s="53">
        <v>44133.495046643518</v>
      </c>
      <c r="B165">
        <v>498</v>
      </c>
      <c r="C165" s="53"/>
      <c r="E165" s="53"/>
    </row>
    <row r="166" spans="1:5" x14ac:dyDescent="0.25">
      <c r="A166" s="53">
        <v>44133.49574525463</v>
      </c>
      <c r="B166">
        <v>498</v>
      </c>
      <c r="C166" s="53"/>
      <c r="E166" s="53"/>
    </row>
    <row r="167" spans="1:5" x14ac:dyDescent="0.25">
      <c r="A167" s="53">
        <v>44133.496439699076</v>
      </c>
      <c r="B167">
        <v>496</v>
      </c>
      <c r="C167" s="53"/>
      <c r="E167" s="53"/>
    </row>
    <row r="168" spans="1:5" x14ac:dyDescent="0.25">
      <c r="A168" s="53">
        <v>44133.497134027777</v>
      </c>
      <c r="B168">
        <v>496</v>
      </c>
      <c r="C168" s="53"/>
      <c r="E168" s="53"/>
    </row>
    <row r="169" spans="1:5" x14ac:dyDescent="0.25">
      <c r="A169" s="53">
        <v>44133.497828472224</v>
      </c>
      <c r="B169">
        <v>494</v>
      </c>
      <c r="C169" s="53"/>
      <c r="E169" s="53"/>
    </row>
    <row r="170" spans="1:5" x14ac:dyDescent="0.25">
      <c r="A170" s="53">
        <v>44133.498523032409</v>
      </c>
      <c r="B170">
        <v>500</v>
      </c>
      <c r="C170" s="53"/>
      <c r="E170" s="53"/>
    </row>
    <row r="171" spans="1:5" x14ac:dyDescent="0.25">
      <c r="A171" s="53">
        <v>44133.49921736111</v>
      </c>
      <c r="B171">
        <v>499</v>
      </c>
      <c r="C171" s="53"/>
      <c r="E171" s="53"/>
    </row>
    <row r="172" spans="1:5" x14ac:dyDescent="0.25">
      <c r="A172" s="53">
        <v>44133.499911805557</v>
      </c>
      <c r="B172">
        <v>500</v>
      </c>
      <c r="C172" s="53"/>
      <c r="E172" s="53"/>
    </row>
    <row r="173" spans="1:5" x14ac:dyDescent="0.25">
      <c r="A173" s="53">
        <v>44133.500606250003</v>
      </c>
      <c r="B173">
        <v>501</v>
      </c>
      <c r="C173" s="53"/>
      <c r="E173" s="53"/>
    </row>
    <row r="174" spans="1:5" x14ac:dyDescent="0.25">
      <c r="A174" s="53">
        <v>44133.501300694443</v>
      </c>
      <c r="B174">
        <v>502</v>
      </c>
      <c r="C174" s="53"/>
      <c r="E174" s="53"/>
    </row>
    <row r="175" spans="1:5" x14ac:dyDescent="0.25">
      <c r="A175" s="53">
        <v>44133.501995138889</v>
      </c>
      <c r="B175">
        <v>500</v>
      </c>
      <c r="C175" s="53"/>
      <c r="E175" s="53"/>
    </row>
    <row r="176" spans="1:5" x14ac:dyDescent="0.25">
      <c r="A176" s="53">
        <v>44133.502689583336</v>
      </c>
      <c r="B176">
        <v>497</v>
      </c>
      <c r="C176" s="53"/>
      <c r="E176" s="53"/>
    </row>
    <row r="177" spans="1:5" x14ac:dyDescent="0.25">
      <c r="A177" s="53">
        <v>44133.503384027776</v>
      </c>
      <c r="B177">
        <v>497</v>
      </c>
      <c r="C177" s="53"/>
      <c r="E177" s="53"/>
    </row>
    <row r="178" spans="1:5" x14ac:dyDescent="0.25">
      <c r="A178" s="53">
        <v>44133.504078472222</v>
      </c>
      <c r="B178">
        <v>498</v>
      </c>
      <c r="C178" s="53"/>
      <c r="E178" s="53"/>
    </row>
    <row r="179" spans="1:5" x14ac:dyDescent="0.25">
      <c r="A179" s="53">
        <v>44133.504772916669</v>
      </c>
      <c r="B179">
        <v>498</v>
      </c>
      <c r="C179" s="53"/>
      <c r="E179" s="53"/>
    </row>
    <row r="180" spans="1:5" x14ac:dyDescent="0.25">
      <c r="A180" s="53">
        <v>44133.50546724537</v>
      </c>
      <c r="B180">
        <v>498</v>
      </c>
      <c r="C180" s="53"/>
      <c r="E180" s="53"/>
    </row>
    <row r="181" spans="1:5" x14ac:dyDescent="0.25">
      <c r="A181" s="53">
        <v>44133.506161689817</v>
      </c>
      <c r="B181">
        <v>497</v>
      </c>
      <c r="C181" s="53"/>
      <c r="E181" s="53"/>
    </row>
    <row r="182" spans="1:5" x14ac:dyDescent="0.25">
      <c r="A182" s="53">
        <v>44133.50685208333</v>
      </c>
      <c r="B182">
        <v>496</v>
      </c>
      <c r="C182" s="53"/>
      <c r="E182" s="53"/>
    </row>
    <row r="183" spans="1:5" x14ac:dyDescent="0.25">
      <c r="A183" s="53">
        <v>44133.507546990739</v>
      </c>
      <c r="B183">
        <v>496</v>
      </c>
      <c r="C183" s="53"/>
      <c r="E183" s="53"/>
    </row>
    <row r="184" spans="1:5" x14ac:dyDescent="0.25">
      <c r="A184" s="53">
        <v>44133.508241550924</v>
      </c>
      <c r="B184">
        <v>496</v>
      </c>
      <c r="C184" s="53"/>
      <c r="E184" s="53"/>
    </row>
    <row r="185" spans="1:5" x14ac:dyDescent="0.25">
      <c r="A185" s="53">
        <v>44133.508936342594</v>
      </c>
      <c r="B185">
        <v>496</v>
      </c>
      <c r="C185" s="53"/>
      <c r="E185" s="53"/>
    </row>
    <row r="186" spans="1:5" x14ac:dyDescent="0.25">
      <c r="A186" s="53">
        <v>44133.509631018518</v>
      </c>
      <c r="B186">
        <v>496</v>
      </c>
      <c r="C186" s="53"/>
      <c r="E186" s="53"/>
    </row>
    <row r="187" spans="1:5" x14ac:dyDescent="0.25">
      <c r="A187" s="53">
        <v>44133.510326620373</v>
      </c>
      <c r="B187">
        <v>501</v>
      </c>
      <c r="C187" s="53"/>
      <c r="E187" s="53"/>
    </row>
    <row r="188" spans="1:5" x14ac:dyDescent="0.25">
      <c r="A188" s="53">
        <v>44133.511021296297</v>
      </c>
      <c r="B188">
        <v>504</v>
      </c>
      <c r="C188" s="53"/>
      <c r="E188" s="53"/>
    </row>
    <row r="189" spans="1:5" x14ac:dyDescent="0.25">
      <c r="A189" s="53">
        <v>44133.511715972221</v>
      </c>
      <c r="B189">
        <v>505</v>
      </c>
      <c r="C189" s="53"/>
      <c r="E189" s="53"/>
    </row>
    <row r="190" spans="1:5" x14ac:dyDescent="0.25">
      <c r="A190" s="53">
        <v>44133.512410763891</v>
      </c>
      <c r="B190">
        <v>505</v>
      </c>
      <c r="C190" s="53"/>
      <c r="E190" s="53"/>
    </row>
    <row r="191" spans="1:5" x14ac:dyDescent="0.25">
      <c r="A191" s="53">
        <v>44133.513105439815</v>
      </c>
      <c r="B191">
        <v>505</v>
      </c>
      <c r="C191" s="53"/>
      <c r="E191" s="53"/>
    </row>
    <row r="192" spans="1:5" x14ac:dyDescent="0.25">
      <c r="A192" s="53">
        <v>44133.513800231478</v>
      </c>
      <c r="B192">
        <v>505</v>
      </c>
      <c r="C192" s="53"/>
      <c r="E192" s="53"/>
    </row>
    <row r="193" spans="1:5" x14ac:dyDescent="0.25">
      <c r="A193" s="53">
        <v>44133.514494791663</v>
      </c>
      <c r="B193">
        <v>505</v>
      </c>
      <c r="C193" s="53"/>
      <c r="E193" s="53"/>
    </row>
    <row r="194" spans="1:5" x14ac:dyDescent="0.25">
      <c r="A194" s="53">
        <v>44133.51518923611</v>
      </c>
      <c r="B194">
        <v>501</v>
      </c>
      <c r="C194" s="53"/>
      <c r="E194" s="53"/>
    </row>
    <row r="195" spans="1:5" x14ac:dyDescent="0.25">
      <c r="A195" s="53">
        <v>44133.515883680557</v>
      </c>
      <c r="B195">
        <v>502</v>
      </c>
      <c r="C195" s="53"/>
      <c r="E195" s="53"/>
    </row>
    <row r="196" spans="1:5" x14ac:dyDescent="0.25">
      <c r="A196" s="53">
        <v>44133.516578125003</v>
      </c>
      <c r="B196">
        <v>502</v>
      </c>
      <c r="C196" s="53"/>
      <c r="E196" s="53"/>
    </row>
    <row r="197" spans="1:5" x14ac:dyDescent="0.25">
      <c r="A197" s="53">
        <v>44133.517272569443</v>
      </c>
      <c r="B197">
        <v>503</v>
      </c>
      <c r="C197" s="53"/>
      <c r="E197" s="53"/>
    </row>
    <row r="198" spans="1:5" x14ac:dyDescent="0.25">
      <c r="A198" s="53">
        <v>44133.517966898151</v>
      </c>
      <c r="B198">
        <v>503</v>
      </c>
      <c r="C198" s="53"/>
      <c r="E198" s="53"/>
    </row>
    <row r="199" spans="1:5" x14ac:dyDescent="0.25">
      <c r="A199" s="53">
        <v>44133.518661458336</v>
      </c>
      <c r="B199">
        <v>503</v>
      </c>
      <c r="C199" s="53"/>
      <c r="E199" s="53"/>
    </row>
    <row r="200" spans="1:5" x14ac:dyDescent="0.25">
      <c r="A200" s="53">
        <v>44133.519355902776</v>
      </c>
      <c r="B200">
        <v>501</v>
      </c>
      <c r="C200" s="53"/>
      <c r="E200" s="53"/>
    </row>
    <row r="201" spans="1:5" x14ac:dyDescent="0.25">
      <c r="A201" s="53">
        <v>44133.520050231484</v>
      </c>
      <c r="B201">
        <v>501</v>
      </c>
      <c r="C201" s="53"/>
      <c r="E201" s="53"/>
    </row>
    <row r="202" spans="1:5" x14ac:dyDescent="0.25">
      <c r="A202" s="53">
        <v>44133.520744791669</v>
      </c>
      <c r="B202">
        <v>501</v>
      </c>
      <c r="C202" s="53"/>
      <c r="E202" s="53"/>
    </row>
    <row r="203" spans="1:5" x14ac:dyDescent="0.25">
      <c r="A203" s="53">
        <v>44133.52143912037</v>
      </c>
      <c r="B203">
        <v>501</v>
      </c>
      <c r="C203" s="53"/>
      <c r="E203" s="53"/>
    </row>
    <row r="204" spans="1:5" x14ac:dyDescent="0.25">
      <c r="A204" s="53">
        <v>44133.522133564817</v>
      </c>
      <c r="B204">
        <v>498</v>
      </c>
      <c r="C204" s="53"/>
      <c r="E204" s="53"/>
    </row>
    <row r="205" spans="1:5" x14ac:dyDescent="0.25">
      <c r="A205" s="53">
        <v>44133.522828009256</v>
      </c>
      <c r="B205">
        <v>500</v>
      </c>
      <c r="C205" s="53"/>
      <c r="E205" s="53"/>
    </row>
    <row r="206" spans="1:5" x14ac:dyDescent="0.25">
      <c r="A206" s="53">
        <v>44133.523522453703</v>
      </c>
      <c r="B206">
        <v>500</v>
      </c>
      <c r="C206" s="53"/>
      <c r="E206" s="53"/>
    </row>
    <row r="207" spans="1:5" x14ac:dyDescent="0.25">
      <c r="A207" s="53">
        <v>44133.524216898149</v>
      </c>
      <c r="B207">
        <v>501</v>
      </c>
      <c r="C207" s="53"/>
      <c r="E207" s="53"/>
    </row>
    <row r="208" spans="1:5" x14ac:dyDescent="0.25">
      <c r="A208" s="53">
        <v>44133.524911342596</v>
      </c>
      <c r="B208">
        <v>501</v>
      </c>
      <c r="C208" s="53"/>
      <c r="E208" s="53"/>
    </row>
    <row r="209" spans="1:5" x14ac:dyDescent="0.25">
      <c r="A209" s="53">
        <v>44133.525605787036</v>
      </c>
      <c r="B209">
        <v>501</v>
      </c>
      <c r="C209" s="53"/>
      <c r="E209" s="53"/>
    </row>
    <row r="210" spans="1:5" x14ac:dyDescent="0.25">
      <c r="A210" s="53">
        <v>44133.526300231482</v>
      </c>
      <c r="B210">
        <v>501</v>
      </c>
      <c r="C210" s="53"/>
      <c r="E210" s="53"/>
    </row>
    <row r="211" spans="1:5" x14ac:dyDescent="0.25">
      <c r="A211" s="53">
        <v>44133.526994560183</v>
      </c>
      <c r="B211">
        <v>501</v>
      </c>
      <c r="C211" s="53"/>
      <c r="E211" s="53"/>
    </row>
    <row r="212" spans="1:5" x14ac:dyDescent="0.25">
      <c r="A212" s="53">
        <v>44133.527685416666</v>
      </c>
      <c r="B212">
        <v>501</v>
      </c>
      <c r="C212" s="53"/>
      <c r="E212" s="53"/>
    </row>
    <row r="213" spans="1:5" x14ac:dyDescent="0.25">
      <c r="A213" s="53">
        <v>44133.528380208336</v>
      </c>
      <c r="B213">
        <v>501</v>
      </c>
      <c r="C213" s="53"/>
      <c r="E213" s="53"/>
    </row>
    <row r="214" spans="1:5" x14ac:dyDescent="0.25">
      <c r="A214" s="53">
        <v>44133.52907488426</v>
      </c>
      <c r="B214">
        <v>501</v>
      </c>
      <c r="C214" s="53"/>
      <c r="E214" s="53"/>
    </row>
    <row r="215" spans="1:5" x14ac:dyDescent="0.25">
      <c r="A215" s="53">
        <v>44133.529769560184</v>
      </c>
      <c r="B215">
        <v>501</v>
      </c>
      <c r="C215" s="53"/>
      <c r="E215" s="53"/>
    </row>
    <row r="216" spans="1:5" x14ac:dyDescent="0.25">
      <c r="A216" s="53">
        <v>44133.530464351854</v>
      </c>
      <c r="B216">
        <v>501</v>
      </c>
      <c r="C216" s="53"/>
      <c r="E216" s="53"/>
    </row>
    <row r="217" spans="1:5" x14ac:dyDescent="0.25">
      <c r="A217" s="53">
        <v>44133.531159027778</v>
      </c>
      <c r="B217">
        <v>501</v>
      </c>
      <c r="C217" s="53"/>
      <c r="E217" s="53"/>
    </row>
    <row r="218" spans="1:5" x14ac:dyDescent="0.25">
      <c r="A218" s="53">
        <v>44133.531853703702</v>
      </c>
      <c r="B218">
        <v>501</v>
      </c>
      <c r="C218" s="53"/>
      <c r="E218" s="53"/>
    </row>
    <row r="219" spans="1:5" x14ac:dyDescent="0.25">
      <c r="A219" s="53">
        <v>44133.532548495372</v>
      </c>
      <c r="B219">
        <v>498</v>
      </c>
      <c r="C219" s="53"/>
      <c r="E219" s="53"/>
    </row>
    <row r="220" spans="1:5" x14ac:dyDescent="0.25">
      <c r="A220" s="53">
        <v>44133.533243287035</v>
      </c>
      <c r="B220">
        <v>497</v>
      </c>
      <c r="C220" s="53"/>
      <c r="E220" s="53"/>
    </row>
    <row r="221" spans="1:5" x14ac:dyDescent="0.25">
      <c r="A221" s="53">
        <v>44133.533937962966</v>
      </c>
      <c r="B221">
        <v>496</v>
      </c>
      <c r="C221" s="53"/>
      <c r="E221" s="53"/>
    </row>
    <row r="222" spans="1:5" x14ac:dyDescent="0.25">
      <c r="A222" s="53">
        <v>44133.53463321759</v>
      </c>
      <c r="B222">
        <v>497</v>
      </c>
      <c r="C222" s="53"/>
      <c r="E222" s="53"/>
    </row>
    <row r="223" spans="1:5" x14ac:dyDescent="0.25">
      <c r="A223" s="53">
        <v>44133.535327662037</v>
      </c>
      <c r="B223">
        <v>495</v>
      </c>
      <c r="C223" s="53"/>
      <c r="E223" s="53"/>
    </row>
    <row r="224" spans="1:5" x14ac:dyDescent="0.25">
      <c r="A224" s="53">
        <v>44133.536022106484</v>
      </c>
      <c r="B224">
        <v>491</v>
      </c>
      <c r="C224" s="53"/>
      <c r="E224" s="53"/>
    </row>
    <row r="225" spans="1:5" x14ac:dyDescent="0.25">
      <c r="A225" s="53">
        <v>44133.536716550923</v>
      </c>
      <c r="B225">
        <v>493</v>
      </c>
      <c r="C225" s="53"/>
      <c r="E225" s="53"/>
    </row>
    <row r="226" spans="1:5" x14ac:dyDescent="0.25">
      <c r="A226" s="53">
        <v>44133.53741099537</v>
      </c>
      <c r="B226">
        <v>492</v>
      </c>
      <c r="C226" s="53"/>
      <c r="E226" s="53"/>
    </row>
    <row r="227" spans="1:5" x14ac:dyDescent="0.25">
      <c r="A227" s="53">
        <v>44133.538105324071</v>
      </c>
      <c r="B227">
        <v>495</v>
      </c>
      <c r="C227" s="53"/>
      <c r="E227" s="53"/>
    </row>
    <row r="228" spans="1:5" x14ac:dyDescent="0.25">
      <c r="A228" s="53">
        <v>44133.538799768517</v>
      </c>
      <c r="B228">
        <v>497</v>
      </c>
      <c r="C228" s="53"/>
      <c r="E228" s="53"/>
    </row>
    <row r="229" spans="1:5" x14ac:dyDescent="0.25">
      <c r="A229" s="53">
        <v>44133.539498148151</v>
      </c>
      <c r="B229">
        <v>497</v>
      </c>
      <c r="C229" s="53"/>
      <c r="E229" s="53"/>
    </row>
    <row r="230" spans="1:5" x14ac:dyDescent="0.25">
      <c r="A230" s="53">
        <v>44133.540188657411</v>
      </c>
      <c r="B230">
        <v>491</v>
      </c>
      <c r="C230" s="53"/>
      <c r="E230" s="53"/>
    </row>
    <row r="231" spans="1:5" x14ac:dyDescent="0.25">
      <c r="A231" s="53">
        <v>44133.54088310185</v>
      </c>
      <c r="B231">
        <v>492</v>
      </c>
      <c r="C231" s="53"/>
      <c r="E231" s="53"/>
    </row>
    <row r="232" spans="1:5" x14ac:dyDescent="0.25">
      <c r="A232" s="53">
        <v>44133.541577546297</v>
      </c>
      <c r="B232">
        <v>493</v>
      </c>
      <c r="C232" s="53"/>
      <c r="E232" s="53"/>
    </row>
    <row r="233" spans="1:5" x14ac:dyDescent="0.25">
      <c r="A233" s="53">
        <v>44133.542271990744</v>
      </c>
      <c r="B233">
        <v>494</v>
      </c>
      <c r="C233" s="53"/>
      <c r="E233" s="53"/>
    </row>
    <row r="234" spans="1:5" x14ac:dyDescent="0.25">
      <c r="A234" s="53">
        <v>44133.542966319445</v>
      </c>
      <c r="B234">
        <v>494</v>
      </c>
      <c r="C234" s="53"/>
      <c r="E234" s="53"/>
    </row>
    <row r="235" spans="1:5" x14ac:dyDescent="0.25">
      <c r="A235" s="53">
        <v>44133.543661226853</v>
      </c>
      <c r="B235">
        <v>493</v>
      </c>
      <c r="C235" s="53"/>
      <c r="E235" s="53"/>
    </row>
    <row r="236" spans="1:5" x14ac:dyDescent="0.25">
      <c r="A236" s="53">
        <v>44133.544355324077</v>
      </c>
      <c r="B236">
        <v>493</v>
      </c>
      <c r="C236" s="53"/>
      <c r="E236" s="53"/>
    </row>
    <row r="237" spans="1:5" x14ac:dyDescent="0.25">
      <c r="A237" s="53">
        <v>44133.545046643521</v>
      </c>
      <c r="B237">
        <v>496</v>
      </c>
      <c r="C237" s="53"/>
      <c r="E237" s="53"/>
    </row>
    <row r="238" spans="1:5" x14ac:dyDescent="0.25">
      <c r="A238" s="53">
        <v>44133.545741319445</v>
      </c>
      <c r="B238">
        <v>495</v>
      </c>
      <c r="C238" s="53"/>
      <c r="E238" s="53"/>
    </row>
    <row r="239" spans="1:5" x14ac:dyDescent="0.25">
      <c r="A239" s="53">
        <v>44133.546436111108</v>
      </c>
      <c r="B239">
        <v>495</v>
      </c>
      <c r="C239" s="53"/>
      <c r="E239" s="53"/>
    </row>
    <row r="240" spans="1:5" x14ac:dyDescent="0.25">
      <c r="A240" s="53">
        <v>44133.547130787039</v>
      </c>
      <c r="B240">
        <v>496</v>
      </c>
      <c r="C240" s="53"/>
      <c r="E240" s="53"/>
    </row>
    <row r="241" spans="1:5" x14ac:dyDescent="0.25">
      <c r="A241" s="53">
        <v>44133.547825578702</v>
      </c>
      <c r="B241">
        <v>495</v>
      </c>
      <c r="C241" s="53"/>
      <c r="E241" s="53"/>
    </row>
    <row r="242" spans="1:5" x14ac:dyDescent="0.25">
      <c r="A242" s="53">
        <v>44133.548520370372</v>
      </c>
      <c r="B242">
        <v>497</v>
      </c>
      <c r="C242" s="53"/>
      <c r="E242" s="53"/>
    </row>
    <row r="243" spans="1:5" x14ac:dyDescent="0.25">
      <c r="A243" s="53">
        <v>44133.549215046296</v>
      </c>
      <c r="B243">
        <v>496</v>
      </c>
      <c r="C243" s="53"/>
      <c r="E243" s="53"/>
    </row>
    <row r="244" spans="1:5" x14ac:dyDescent="0.25">
      <c r="A244" s="53">
        <v>44133.549909837966</v>
      </c>
      <c r="B244">
        <v>496</v>
      </c>
      <c r="C244" s="53"/>
      <c r="E244" s="53"/>
    </row>
    <row r="245" spans="1:5" x14ac:dyDescent="0.25">
      <c r="A245" s="53">
        <v>44133.550605208336</v>
      </c>
      <c r="B245">
        <v>496</v>
      </c>
      <c r="C245" s="53"/>
      <c r="E245" s="53"/>
    </row>
    <row r="246" spans="1:5" x14ac:dyDescent="0.25">
      <c r="A246" s="53">
        <v>44133.551299652776</v>
      </c>
      <c r="B246">
        <v>496</v>
      </c>
      <c r="C246" s="53"/>
      <c r="E246" s="53"/>
    </row>
    <row r="247" spans="1:5" x14ac:dyDescent="0.25">
      <c r="A247" s="53">
        <v>44133.551994097223</v>
      </c>
      <c r="B247">
        <v>496</v>
      </c>
      <c r="C247" s="53"/>
      <c r="E247" s="53"/>
    </row>
    <row r="248" spans="1:5" x14ac:dyDescent="0.25">
      <c r="A248" s="53">
        <v>44133.552688541669</v>
      </c>
      <c r="B248">
        <v>498</v>
      </c>
      <c r="C248" s="53"/>
      <c r="E248" s="53"/>
    </row>
    <row r="249" spans="1:5" x14ac:dyDescent="0.25">
      <c r="A249" s="53">
        <v>44133.553382986109</v>
      </c>
      <c r="B249">
        <v>498</v>
      </c>
      <c r="C249" s="53"/>
      <c r="E249" s="53"/>
    </row>
    <row r="250" spans="1:5" x14ac:dyDescent="0.25">
      <c r="A250" s="53">
        <v>44133.554077430555</v>
      </c>
      <c r="B250">
        <v>496</v>
      </c>
      <c r="C250" s="53"/>
      <c r="E250" s="53"/>
    </row>
    <row r="251" spans="1:5" x14ac:dyDescent="0.25">
      <c r="A251" s="53">
        <v>44133.554771875002</v>
      </c>
      <c r="B251">
        <v>497</v>
      </c>
      <c r="C251" s="53"/>
      <c r="E251" s="53"/>
    </row>
    <row r="252" spans="1:5" x14ac:dyDescent="0.25">
      <c r="A252" s="53">
        <v>44133.555466319442</v>
      </c>
      <c r="B252">
        <v>498</v>
      </c>
      <c r="C252" s="53"/>
      <c r="E252" s="53"/>
    </row>
    <row r="253" spans="1:5" x14ac:dyDescent="0.25">
      <c r="A253" s="53">
        <v>44133.556160763888</v>
      </c>
      <c r="B253">
        <v>498</v>
      </c>
      <c r="C253" s="53"/>
      <c r="E253" s="53"/>
    </row>
    <row r="254" spans="1:5" x14ac:dyDescent="0.25">
      <c r="A254" s="53">
        <v>44133.556855208335</v>
      </c>
      <c r="B254">
        <v>500</v>
      </c>
      <c r="C254" s="53"/>
      <c r="E254" s="53"/>
    </row>
    <row r="255" spans="1:5" x14ac:dyDescent="0.25">
      <c r="A255" s="53">
        <v>44133.557549652774</v>
      </c>
      <c r="B255">
        <v>500</v>
      </c>
      <c r="C255" s="53"/>
      <c r="E255" s="53"/>
    </row>
    <row r="256" spans="1:5" x14ac:dyDescent="0.25">
      <c r="A256" s="53">
        <v>44133.558243981483</v>
      </c>
      <c r="B256">
        <v>500</v>
      </c>
      <c r="C256" s="53"/>
      <c r="E256" s="53"/>
    </row>
    <row r="257" spans="1:5" x14ac:dyDescent="0.25">
      <c r="A257" s="53">
        <v>44133.558938541668</v>
      </c>
      <c r="B257">
        <v>498</v>
      </c>
      <c r="C257" s="53"/>
      <c r="E257" s="53"/>
    </row>
    <row r="258" spans="1:5" x14ac:dyDescent="0.25">
      <c r="A258" s="53">
        <v>44133.559632870369</v>
      </c>
      <c r="B258">
        <v>498</v>
      </c>
      <c r="C258" s="53"/>
      <c r="E258" s="53"/>
    </row>
    <row r="259" spans="1:5" x14ac:dyDescent="0.25">
      <c r="A259" s="53">
        <v>44133.560327430554</v>
      </c>
      <c r="B259">
        <v>498</v>
      </c>
      <c r="C259" s="53"/>
      <c r="E259" s="53"/>
    </row>
    <row r="260" spans="1:5" x14ac:dyDescent="0.25">
      <c r="A260" s="53">
        <v>44133.561021875001</v>
      </c>
      <c r="B260">
        <v>498</v>
      </c>
      <c r="C260" s="53"/>
      <c r="E260" s="53"/>
    </row>
    <row r="261" spans="1:5" x14ac:dyDescent="0.25">
      <c r="A261" s="53">
        <v>44133.561716203702</v>
      </c>
      <c r="B261">
        <v>500</v>
      </c>
      <c r="C261" s="53"/>
      <c r="E261" s="53"/>
    </row>
    <row r="262" spans="1:5" x14ac:dyDescent="0.25">
      <c r="A262" s="53">
        <v>44133.562410648148</v>
      </c>
      <c r="B262">
        <v>499</v>
      </c>
      <c r="C262" s="53"/>
      <c r="E262" s="53"/>
    </row>
    <row r="263" spans="1:5" x14ac:dyDescent="0.25">
      <c r="A263" s="53">
        <v>44133.563105092595</v>
      </c>
      <c r="B263">
        <v>498</v>
      </c>
      <c r="C263" s="53"/>
      <c r="E263" s="53"/>
    </row>
    <row r="264" spans="1:5" x14ac:dyDescent="0.25">
      <c r="A264" s="53">
        <v>44133.563796759256</v>
      </c>
      <c r="B264">
        <v>500</v>
      </c>
      <c r="C264" s="53"/>
      <c r="E264" s="53"/>
    </row>
    <row r="265" spans="1:5" x14ac:dyDescent="0.25">
      <c r="A265" s="53">
        <v>44133.564491435187</v>
      </c>
      <c r="B265">
        <v>500</v>
      </c>
      <c r="C265" s="53"/>
      <c r="E265" s="53"/>
    </row>
    <row r="266" spans="1:5" x14ac:dyDescent="0.25">
      <c r="A266" s="53">
        <v>44133.56518622685</v>
      </c>
      <c r="B266">
        <v>497</v>
      </c>
      <c r="C266" s="53"/>
      <c r="E266" s="53"/>
    </row>
    <row r="267" spans="1:5" x14ac:dyDescent="0.25">
      <c r="A267" s="53">
        <v>44133.565880902781</v>
      </c>
      <c r="B267">
        <v>498</v>
      </c>
      <c r="C267" s="53"/>
      <c r="E267" s="53"/>
    </row>
    <row r="268" spans="1:5" x14ac:dyDescent="0.25">
      <c r="A268" s="53">
        <v>44133.566575694444</v>
      </c>
      <c r="B268">
        <v>498</v>
      </c>
      <c r="C268" s="53"/>
      <c r="E268" s="53"/>
    </row>
    <row r="269" spans="1:5" x14ac:dyDescent="0.25">
      <c r="A269" s="53">
        <v>44133.567270486114</v>
      </c>
      <c r="B269">
        <v>499</v>
      </c>
      <c r="C269" s="53"/>
      <c r="E269" s="53"/>
    </row>
    <row r="270" spans="1:5" x14ac:dyDescent="0.25">
      <c r="A270" s="53">
        <v>44133.567965162038</v>
      </c>
      <c r="B270">
        <v>496</v>
      </c>
      <c r="C270" s="53"/>
      <c r="E270" s="53"/>
    </row>
    <row r="271" spans="1:5" x14ac:dyDescent="0.25">
      <c r="A271" s="53">
        <v>44133.5686599537</v>
      </c>
      <c r="B271">
        <v>498</v>
      </c>
      <c r="C271" s="53"/>
      <c r="E271" s="53"/>
    </row>
    <row r="272" spans="1:5" x14ac:dyDescent="0.25">
      <c r="A272" s="53">
        <v>44133.56935474537</v>
      </c>
      <c r="B272">
        <v>498</v>
      </c>
      <c r="C272" s="53"/>
      <c r="E272" s="53"/>
    </row>
    <row r="273" spans="1:5" x14ac:dyDescent="0.25">
      <c r="A273" s="53">
        <v>44133.57004953704</v>
      </c>
      <c r="B273">
        <v>497</v>
      </c>
      <c r="C273" s="53"/>
      <c r="E273" s="53"/>
    </row>
    <row r="274" spans="1:5" x14ac:dyDescent="0.25">
      <c r="A274" s="53">
        <v>44133.57074398148</v>
      </c>
      <c r="B274">
        <v>500</v>
      </c>
      <c r="C274" s="53"/>
      <c r="E274" s="53"/>
    </row>
    <row r="275" spans="1:5" x14ac:dyDescent="0.25">
      <c r="A275" s="53">
        <v>44133.571438425926</v>
      </c>
      <c r="B275">
        <v>502</v>
      </c>
      <c r="C275" s="53"/>
      <c r="E275" s="53"/>
    </row>
    <row r="276" spans="1:5" x14ac:dyDescent="0.25">
      <c r="A276" s="53">
        <v>44133.572132870373</v>
      </c>
      <c r="B276">
        <v>502</v>
      </c>
      <c r="C276" s="53"/>
      <c r="E276" s="53"/>
    </row>
    <row r="277" spans="1:5" x14ac:dyDescent="0.25">
      <c r="A277" s="53">
        <v>44133.572827314812</v>
      </c>
      <c r="B277">
        <v>501</v>
      </c>
      <c r="C277" s="53"/>
      <c r="E277" s="53"/>
    </row>
    <row r="278" spans="1:5" x14ac:dyDescent="0.25">
      <c r="A278" s="53">
        <v>44133.573521759259</v>
      </c>
      <c r="B278">
        <v>501</v>
      </c>
      <c r="C278" s="53"/>
      <c r="E278" s="53"/>
    </row>
    <row r="279" spans="1:5" x14ac:dyDescent="0.25">
      <c r="A279" s="53">
        <v>44133.574216203706</v>
      </c>
      <c r="B279">
        <v>501</v>
      </c>
      <c r="C279" s="53"/>
      <c r="E279" s="53"/>
    </row>
    <row r="280" spans="1:5" x14ac:dyDescent="0.25">
      <c r="A280" s="53">
        <v>44133.574910648145</v>
      </c>
      <c r="B280">
        <v>501</v>
      </c>
      <c r="C280" s="53"/>
      <c r="E280" s="53"/>
    </row>
    <row r="281" spans="1:5" x14ac:dyDescent="0.25">
      <c r="A281" s="53">
        <v>44133.575604976853</v>
      </c>
      <c r="B281">
        <v>501</v>
      </c>
      <c r="C281" s="53"/>
      <c r="E281" s="53"/>
    </row>
    <row r="282" spans="1:5" x14ac:dyDescent="0.25">
      <c r="A282" s="53">
        <v>44133.576299421293</v>
      </c>
      <c r="B282">
        <v>501</v>
      </c>
      <c r="C282" s="53"/>
      <c r="E282" s="53"/>
    </row>
    <row r="283" spans="1:5" x14ac:dyDescent="0.25">
      <c r="A283" s="53">
        <v>44133.576993981478</v>
      </c>
      <c r="B283">
        <v>501</v>
      </c>
      <c r="C283" s="53"/>
      <c r="E283" s="53"/>
    </row>
    <row r="284" spans="1:5" x14ac:dyDescent="0.25">
      <c r="A284" s="53">
        <v>44133.577688194448</v>
      </c>
      <c r="B284">
        <v>501</v>
      </c>
      <c r="C284" s="53"/>
      <c r="E284" s="53"/>
    </row>
    <row r="285" spans="1:5" x14ac:dyDescent="0.25">
      <c r="A285" s="53">
        <v>44133.578382638887</v>
      </c>
      <c r="B285">
        <v>501</v>
      </c>
      <c r="C285" s="53"/>
      <c r="E285" s="53"/>
    </row>
    <row r="286" spans="1:5" x14ac:dyDescent="0.25">
      <c r="A286" s="53">
        <v>44133.579076967595</v>
      </c>
      <c r="B286">
        <v>501</v>
      </c>
      <c r="C286" s="53"/>
      <c r="E286" s="53"/>
    </row>
    <row r="287" spans="1:5" x14ac:dyDescent="0.25">
      <c r="A287" s="53">
        <v>44133.579771296296</v>
      </c>
      <c r="B287">
        <v>501</v>
      </c>
      <c r="C287" s="53"/>
      <c r="E287" s="53"/>
    </row>
    <row r="288" spans="1:5" x14ac:dyDescent="0.25">
      <c r="A288" s="53">
        <v>44133.580465740743</v>
      </c>
      <c r="B288">
        <v>501</v>
      </c>
      <c r="C288" s="53"/>
      <c r="E288" s="53"/>
    </row>
    <row r="289" spans="1:5" x14ac:dyDescent="0.25">
      <c r="A289" s="53">
        <v>44133.581160185182</v>
      </c>
      <c r="B289">
        <v>501</v>
      </c>
      <c r="C289" s="53"/>
      <c r="E289" s="53"/>
    </row>
    <row r="290" spans="1:5" x14ac:dyDescent="0.25">
      <c r="A290" s="53">
        <v>44133.58185451389</v>
      </c>
      <c r="B290">
        <v>501</v>
      </c>
      <c r="C290" s="53"/>
      <c r="E290" s="53"/>
    </row>
    <row r="291" spans="1:5" x14ac:dyDescent="0.25">
      <c r="A291" s="53">
        <v>44133.582549074075</v>
      </c>
      <c r="B291">
        <v>501</v>
      </c>
      <c r="C291" s="53"/>
      <c r="E291" s="53"/>
    </row>
    <row r="292" spans="1:5" x14ac:dyDescent="0.25">
      <c r="A292" s="53">
        <v>44133.583243402776</v>
      </c>
      <c r="B292">
        <v>501</v>
      </c>
      <c r="C292" s="53"/>
      <c r="E292" s="53"/>
    </row>
    <row r="293" spans="1:5" x14ac:dyDescent="0.25">
      <c r="A293" s="53">
        <v>44133.583937847223</v>
      </c>
      <c r="B293">
        <v>501</v>
      </c>
      <c r="C293" s="53"/>
      <c r="E293" s="53"/>
    </row>
    <row r="294" spans="1:5" x14ac:dyDescent="0.25">
      <c r="A294" s="53">
        <v>44133.584632175924</v>
      </c>
      <c r="B294">
        <v>501</v>
      </c>
      <c r="C294" s="53"/>
      <c r="E294" s="53"/>
    </row>
    <row r="295" spans="1:5" x14ac:dyDescent="0.25">
      <c r="A295" s="53">
        <v>44133.58532662037</v>
      </c>
      <c r="B295">
        <v>501</v>
      </c>
      <c r="C295" s="53"/>
      <c r="E295" s="53"/>
    </row>
    <row r="296" spans="1:5" x14ac:dyDescent="0.25">
      <c r="A296" s="53">
        <v>44133.586021064817</v>
      </c>
      <c r="B296">
        <v>501</v>
      </c>
      <c r="C296" s="53"/>
      <c r="E296" s="53"/>
    </row>
    <row r="297" spans="1:5" x14ac:dyDescent="0.25">
      <c r="A297" s="53">
        <v>44133.586715509256</v>
      </c>
      <c r="B297">
        <v>501</v>
      </c>
      <c r="C297" s="53"/>
      <c r="E297" s="53"/>
    </row>
    <row r="298" spans="1:5" x14ac:dyDescent="0.25">
      <c r="A298" s="53">
        <v>44133.587409953703</v>
      </c>
      <c r="B298">
        <v>501</v>
      </c>
      <c r="C298" s="53"/>
      <c r="E298" s="53"/>
    </row>
    <row r="299" spans="1:5" x14ac:dyDescent="0.25">
      <c r="A299" s="53">
        <v>44133.58810439815</v>
      </c>
      <c r="B299">
        <v>501</v>
      </c>
      <c r="C299" s="53"/>
      <c r="E299" s="53"/>
    </row>
    <row r="300" spans="1:5" x14ac:dyDescent="0.25">
      <c r="A300" s="53">
        <v>44133.588796643518</v>
      </c>
      <c r="B300">
        <v>501</v>
      </c>
      <c r="C300" s="53"/>
      <c r="E300" s="53"/>
    </row>
    <row r="301" spans="1:5" x14ac:dyDescent="0.25">
      <c r="A301" s="53">
        <v>44133.589491435188</v>
      </c>
      <c r="B301">
        <v>501</v>
      </c>
      <c r="C301" s="53"/>
      <c r="E301" s="53"/>
    </row>
    <row r="302" spans="1:5" x14ac:dyDescent="0.25">
      <c r="A302" s="53">
        <v>44133.590186111112</v>
      </c>
      <c r="B302">
        <v>501</v>
      </c>
      <c r="C302" s="53"/>
      <c r="E302" s="53"/>
    </row>
    <row r="303" spans="1:5" x14ac:dyDescent="0.25">
      <c r="A303" s="53">
        <v>44133.590880902775</v>
      </c>
      <c r="B303">
        <v>501</v>
      </c>
      <c r="C303" s="53"/>
      <c r="E303" s="53"/>
    </row>
    <row r="304" spans="1:5" x14ac:dyDescent="0.25">
      <c r="A304" s="53">
        <v>44133.591575578706</v>
      </c>
      <c r="B304">
        <v>501</v>
      </c>
      <c r="C304" s="53"/>
      <c r="E304" s="53"/>
    </row>
    <row r="305" spans="1:5" x14ac:dyDescent="0.25">
      <c r="A305" s="53">
        <v>44133.592270370369</v>
      </c>
      <c r="B305">
        <v>501</v>
      </c>
      <c r="C305" s="53"/>
      <c r="E305" s="53"/>
    </row>
    <row r="306" spans="1:5" x14ac:dyDescent="0.25">
      <c r="A306" s="53">
        <v>44133.592965162039</v>
      </c>
      <c r="B306">
        <v>501</v>
      </c>
      <c r="C306" s="53"/>
      <c r="E306" s="53"/>
    </row>
    <row r="307" spans="1:5" x14ac:dyDescent="0.25">
      <c r="A307" s="53">
        <v>44133.593659837963</v>
      </c>
      <c r="B307">
        <v>501</v>
      </c>
      <c r="C307" s="53"/>
      <c r="E307" s="53"/>
    </row>
    <row r="308" spans="1:5" x14ac:dyDescent="0.25">
      <c r="A308" s="53">
        <v>44133.59435428241</v>
      </c>
      <c r="B308">
        <v>501</v>
      </c>
      <c r="C308" s="53"/>
      <c r="E308" s="53"/>
    </row>
    <row r="309" spans="1:5" x14ac:dyDescent="0.25">
      <c r="A309" s="53">
        <v>44133.595048726849</v>
      </c>
      <c r="B309">
        <v>501</v>
      </c>
      <c r="C309" s="53"/>
      <c r="E309" s="53"/>
    </row>
    <row r="310" spans="1:5" x14ac:dyDescent="0.25">
      <c r="A310" s="53">
        <v>44133.595743171296</v>
      </c>
      <c r="B310">
        <v>501</v>
      </c>
      <c r="C310" s="53"/>
      <c r="E310" s="53"/>
    </row>
    <row r="311" spans="1:5" x14ac:dyDescent="0.25">
      <c r="A311" s="53">
        <v>44133.596437499997</v>
      </c>
      <c r="B311">
        <v>501</v>
      </c>
      <c r="C311" s="53"/>
      <c r="E311" s="53"/>
    </row>
    <row r="312" spans="1:5" x14ac:dyDescent="0.25">
      <c r="A312" s="53">
        <v>44133.597131944443</v>
      </c>
      <c r="B312">
        <v>501</v>
      </c>
      <c r="C312" s="53"/>
      <c r="E312" s="53"/>
    </row>
    <row r="313" spans="1:5" x14ac:dyDescent="0.25">
      <c r="A313" s="53">
        <v>44133.59782638889</v>
      </c>
      <c r="B313">
        <v>501</v>
      </c>
      <c r="C313" s="53"/>
      <c r="E313" s="53"/>
    </row>
    <row r="314" spans="1:5" x14ac:dyDescent="0.25">
      <c r="A314" s="53">
        <v>44133.598520833337</v>
      </c>
      <c r="B314">
        <v>501</v>
      </c>
      <c r="C314" s="53"/>
      <c r="E314" s="53"/>
    </row>
    <row r="315" spans="1:5" x14ac:dyDescent="0.25">
      <c r="A315" s="53">
        <v>44133.599215277776</v>
      </c>
      <c r="B315">
        <v>501</v>
      </c>
      <c r="C315" s="53"/>
      <c r="E315" s="53"/>
    </row>
    <row r="316" spans="1:5" x14ac:dyDescent="0.25">
      <c r="A316" s="53">
        <v>44133.599909722223</v>
      </c>
      <c r="B316">
        <v>501</v>
      </c>
      <c r="C316" s="53"/>
      <c r="E316" s="53"/>
    </row>
    <row r="317" spans="1:5" x14ac:dyDescent="0.25">
      <c r="A317" s="53">
        <v>44133.60060416667</v>
      </c>
      <c r="B317">
        <v>501</v>
      </c>
      <c r="C317" s="53"/>
      <c r="E317" s="53"/>
    </row>
    <row r="318" spans="1:5" x14ac:dyDescent="0.25">
      <c r="A318" s="53">
        <v>44133.601298611109</v>
      </c>
      <c r="B318">
        <v>501</v>
      </c>
      <c r="C318" s="53"/>
      <c r="E318" s="53"/>
    </row>
    <row r="319" spans="1:5" x14ac:dyDescent="0.25">
      <c r="A319" s="53">
        <v>44133.601993055556</v>
      </c>
      <c r="B319">
        <v>501</v>
      </c>
      <c r="C319" s="53"/>
      <c r="E319" s="53"/>
    </row>
    <row r="320" spans="1:5" x14ac:dyDescent="0.25">
      <c r="A320" s="53">
        <v>44133.602687500003</v>
      </c>
      <c r="B320">
        <v>501</v>
      </c>
      <c r="C320" s="53"/>
      <c r="E320" s="53"/>
    </row>
    <row r="321" spans="1:5" x14ac:dyDescent="0.25">
      <c r="A321" s="53">
        <v>44133.603381944442</v>
      </c>
      <c r="B321">
        <v>501</v>
      </c>
      <c r="C321" s="53"/>
      <c r="E321" s="53"/>
    </row>
    <row r="322" spans="1:5" x14ac:dyDescent="0.25">
      <c r="A322" s="53">
        <v>44133.604076388889</v>
      </c>
      <c r="B322">
        <v>501</v>
      </c>
      <c r="C322" s="53"/>
      <c r="E322" s="53"/>
    </row>
    <row r="323" spans="1:5" x14ac:dyDescent="0.25">
      <c r="A323" s="53">
        <v>44133.604770833335</v>
      </c>
      <c r="B323">
        <v>501</v>
      </c>
      <c r="C323" s="53"/>
      <c r="E323" s="53"/>
    </row>
    <row r="324" spans="1:5" x14ac:dyDescent="0.25">
      <c r="A324" s="53">
        <v>44133.605465277775</v>
      </c>
      <c r="B324">
        <v>501</v>
      </c>
      <c r="C324" s="53"/>
      <c r="E324" s="53"/>
    </row>
    <row r="325" spans="1:5" x14ac:dyDescent="0.25">
      <c r="A325" s="53">
        <v>44133.606159722221</v>
      </c>
      <c r="B325">
        <v>501</v>
      </c>
      <c r="C325" s="53"/>
      <c r="E325" s="53"/>
    </row>
    <row r="326" spans="1:5" x14ac:dyDescent="0.25">
      <c r="A326" s="53">
        <v>44133.606854166668</v>
      </c>
      <c r="B326">
        <v>501</v>
      </c>
      <c r="C326" s="53"/>
      <c r="E326" s="53"/>
    </row>
    <row r="327" spans="1:5" x14ac:dyDescent="0.25">
      <c r="A327" s="53">
        <v>44133.607548611108</v>
      </c>
      <c r="B327">
        <v>501</v>
      </c>
      <c r="C327" s="53"/>
      <c r="E327" s="53"/>
    </row>
    <row r="328" spans="1:5" x14ac:dyDescent="0.25">
      <c r="A328" s="53">
        <v>44133.608240856483</v>
      </c>
      <c r="B328" t="e">
        <v>#VALUE!</v>
      </c>
      <c r="C328" s="53"/>
      <c r="E328" s="53"/>
    </row>
    <row r="329" spans="1:5" x14ac:dyDescent="0.25">
      <c r="A329" s="53">
        <v>44133.608935648146</v>
      </c>
      <c r="B329" t="e">
        <v>#VALUE!</v>
      </c>
      <c r="C329" s="53"/>
      <c r="E329" s="53"/>
    </row>
    <row r="330" spans="1:5" x14ac:dyDescent="0.25">
      <c r="A330" s="53">
        <v>44133.609630324077</v>
      </c>
      <c r="B330" t="e">
        <v>#VALUE!</v>
      </c>
      <c r="C330" s="53"/>
      <c r="E330" s="53"/>
    </row>
    <row r="331" spans="1:5" x14ac:dyDescent="0.25">
      <c r="A331" s="53">
        <v>44133.61032511574</v>
      </c>
      <c r="B331" t="e">
        <v>#VALUE!</v>
      </c>
      <c r="C331" s="53"/>
      <c r="E331" s="53"/>
    </row>
    <row r="332" spans="1:5" x14ac:dyDescent="0.25">
      <c r="A332" s="53">
        <v>44133.61101990741</v>
      </c>
      <c r="B332" t="e">
        <v>#VALUE!</v>
      </c>
      <c r="C332" s="53"/>
      <c r="E332" s="53"/>
    </row>
    <row r="333" spans="1:5" x14ac:dyDescent="0.25">
      <c r="A333" s="53">
        <v>44133.611714699073</v>
      </c>
      <c r="B333" t="e">
        <v>#VALUE!</v>
      </c>
      <c r="C333" s="53"/>
      <c r="E333" s="53"/>
    </row>
    <row r="334" spans="1:5" x14ac:dyDescent="0.25">
      <c r="A334" s="53">
        <v>44133.612409490743</v>
      </c>
      <c r="B334" t="e">
        <v>#VALUE!</v>
      </c>
      <c r="C334" s="53"/>
      <c r="E334" s="53"/>
    </row>
    <row r="335" spans="1:5" x14ac:dyDescent="0.25">
      <c r="A335" s="53">
        <v>44133.613104050928</v>
      </c>
      <c r="B335" t="e">
        <v>#VALUE!</v>
      </c>
      <c r="C335" s="53"/>
      <c r="E335" s="53"/>
    </row>
    <row r="336" spans="1:5" x14ac:dyDescent="0.25">
      <c r="A336" s="53">
        <v>44133.613798495368</v>
      </c>
      <c r="B336" t="e">
        <v>#VALUE!</v>
      </c>
      <c r="C336" s="53"/>
      <c r="E336" s="53"/>
    </row>
    <row r="337" spans="1:5" x14ac:dyDescent="0.25">
      <c r="A337" s="53">
        <v>44133.614492939814</v>
      </c>
      <c r="B337" t="e">
        <v>#VALUE!</v>
      </c>
      <c r="C337" s="53"/>
      <c r="E337" s="53"/>
    </row>
    <row r="338" spans="1:5" x14ac:dyDescent="0.25">
      <c r="A338" s="53">
        <v>44133.615187384261</v>
      </c>
      <c r="B338" t="e">
        <v>#VALUE!</v>
      </c>
      <c r="C338" s="53"/>
      <c r="E338" s="53"/>
    </row>
    <row r="339" spans="1:5" x14ac:dyDescent="0.25">
      <c r="A339" s="53">
        <v>44133.6158818287</v>
      </c>
      <c r="B339" t="e">
        <v>#VALUE!</v>
      </c>
      <c r="C339" s="53"/>
      <c r="E339" s="53"/>
    </row>
    <row r="340" spans="1:5" x14ac:dyDescent="0.25">
      <c r="A340" s="53">
        <v>44133.616576273147</v>
      </c>
      <c r="B340" t="e">
        <v>#VALUE!</v>
      </c>
      <c r="C340" s="53"/>
      <c r="E340" s="53"/>
    </row>
    <row r="341" spans="1:5" x14ac:dyDescent="0.25">
      <c r="A341" s="53">
        <v>44133.617270717594</v>
      </c>
      <c r="B341" t="e">
        <v>#VALUE!</v>
      </c>
      <c r="C341" s="53"/>
      <c r="E341" s="53"/>
    </row>
    <row r="342" spans="1:5" x14ac:dyDescent="0.25">
      <c r="A342" s="53">
        <v>44133.61796516204</v>
      </c>
      <c r="B342" t="e">
        <v>#VALUE!</v>
      </c>
      <c r="C342" s="53"/>
      <c r="E342" s="53"/>
    </row>
    <row r="343" spans="1:5" x14ac:dyDescent="0.25">
      <c r="A343" s="53">
        <v>44133.61865960648</v>
      </c>
      <c r="B343">
        <v>0</v>
      </c>
      <c r="C343" s="53"/>
      <c r="E343" s="53"/>
    </row>
    <row r="344" spans="1:5" x14ac:dyDescent="0.25">
      <c r="A344" s="53">
        <v>44133.619354050927</v>
      </c>
      <c r="B344">
        <v>0</v>
      </c>
      <c r="C344" s="53"/>
      <c r="E344" s="53"/>
    </row>
    <row r="345" spans="1:5" x14ac:dyDescent="0.25">
      <c r="A345" s="53">
        <v>44133.620048495373</v>
      </c>
      <c r="B345">
        <v>0</v>
      </c>
      <c r="C345" s="53"/>
      <c r="E345" s="53"/>
    </row>
    <row r="346" spans="1:5" x14ac:dyDescent="0.25">
      <c r="A346" s="53">
        <v>44133.620742939813</v>
      </c>
      <c r="B346">
        <v>0</v>
      </c>
      <c r="C346" s="53"/>
      <c r="E346" s="53"/>
    </row>
    <row r="347" spans="1:5" x14ac:dyDescent="0.25">
      <c r="A347" s="53">
        <v>44133.621437384259</v>
      </c>
      <c r="B347">
        <v>0</v>
      </c>
      <c r="C347" s="53"/>
      <c r="E347" s="53"/>
    </row>
    <row r="348" spans="1:5" x14ac:dyDescent="0.25">
      <c r="A348" s="53">
        <v>44133.622131828706</v>
      </c>
      <c r="B348">
        <v>0</v>
      </c>
      <c r="C348" s="53"/>
      <c r="E348" s="53"/>
    </row>
    <row r="349" spans="1:5" x14ac:dyDescent="0.25">
      <c r="A349" s="53">
        <v>44133.622826157407</v>
      </c>
      <c r="B349">
        <v>0</v>
      </c>
      <c r="C349" s="53"/>
      <c r="E349" s="53"/>
    </row>
    <row r="350" spans="1:5" x14ac:dyDescent="0.25">
      <c r="A350" s="53">
        <v>44133.623520601854</v>
      </c>
      <c r="B350">
        <v>0</v>
      </c>
      <c r="C350" s="53"/>
      <c r="E350" s="53"/>
    </row>
    <row r="351" spans="1:5" x14ac:dyDescent="0.25">
      <c r="A351" s="53">
        <v>44133.624214930554</v>
      </c>
      <c r="B351">
        <v>0</v>
      </c>
      <c r="C351" s="53"/>
      <c r="E351" s="53"/>
    </row>
    <row r="352" spans="1:5" x14ac:dyDescent="0.25">
      <c r="A352" s="53">
        <v>44133.624909375001</v>
      </c>
      <c r="B352">
        <v>0</v>
      </c>
      <c r="C352" s="53"/>
      <c r="E352" s="53"/>
    </row>
    <row r="353" spans="1:5" x14ac:dyDescent="0.25">
      <c r="A353" s="53">
        <v>44133.625604050925</v>
      </c>
      <c r="B353" t="e">
        <v>#VALUE!</v>
      </c>
      <c r="C353" s="53"/>
      <c r="E353" s="53"/>
    </row>
    <row r="354" spans="1:5" x14ac:dyDescent="0.25">
      <c r="A354" s="53">
        <v>44133.626298495372</v>
      </c>
      <c r="B354" t="e">
        <v>#VALUE!</v>
      </c>
      <c r="C354" s="53"/>
      <c r="E354" s="53"/>
    </row>
    <row r="355" spans="1:5" x14ac:dyDescent="0.25">
      <c r="A355" s="53">
        <v>44133.626992824073</v>
      </c>
      <c r="B355" t="e">
        <v>#VALUE!</v>
      </c>
      <c r="C355" s="53"/>
      <c r="E355" s="53"/>
    </row>
    <row r="356" spans="1:5" x14ac:dyDescent="0.25">
      <c r="A356" s="53">
        <v>44186.370377662039</v>
      </c>
      <c r="B356">
        <v>0</v>
      </c>
      <c r="C356" s="53"/>
      <c r="E356" s="53"/>
    </row>
    <row r="357" spans="1:5" x14ac:dyDescent="0.25">
      <c r="C357" s="53"/>
      <c r="E357" s="53"/>
    </row>
    <row r="358" spans="1:5" x14ac:dyDescent="0.25">
      <c r="C358" s="53"/>
      <c r="E358" s="53"/>
    </row>
    <row r="359" spans="1:5" x14ac:dyDescent="0.25">
      <c r="C359" s="53"/>
      <c r="E359" s="53"/>
    </row>
    <row r="360" spans="1:5" x14ac:dyDescent="0.25">
      <c r="C360" s="53"/>
      <c r="E360" s="53"/>
    </row>
    <row r="361" spans="1:5" x14ac:dyDescent="0.25">
      <c r="C361" s="53"/>
      <c r="E361" s="53"/>
    </row>
    <row r="362" spans="1:5" x14ac:dyDescent="0.25">
      <c r="C362" s="53"/>
      <c r="E362" s="53"/>
    </row>
    <row r="363" spans="1:5" x14ac:dyDescent="0.25">
      <c r="C363" s="53"/>
      <c r="E363" s="53"/>
    </row>
    <row r="364" spans="1:5" x14ac:dyDescent="0.25">
      <c r="C364" s="53"/>
      <c r="E364" s="53"/>
    </row>
    <row r="365" spans="1:5" x14ac:dyDescent="0.25">
      <c r="C365" s="53"/>
      <c r="E365" s="53"/>
    </row>
    <row r="366" spans="1:5" x14ac:dyDescent="0.25">
      <c r="C366" s="53"/>
      <c r="E366" s="53"/>
    </row>
    <row r="367" spans="1:5" x14ac:dyDescent="0.25">
      <c r="C367" s="53"/>
      <c r="E367" s="53"/>
    </row>
    <row r="368" spans="1:5" x14ac:dyDescent="0.25">
      <c r="C368" s="53"/>
      <c r="E368" s="53"/>
    </row>
    <row r="369" spans="3:5" x14ac:dyDescent="0.25">
      <c r="C369" s="53"/>
      <c r="E369" s="53"/>
    </row>
    <row r="370" spans="3:5" x14ac:dyDescent="0.25">
      <c r="C370" s="53"/>
      <c r="E370" s="53"/>
    </row>
    <row r="371" spans="3:5" x14ac:dyDescent="0.25">
      <c r="C371" s="53"/>
      <c r="E371" s="53"/>
    </row>
    <row r="372" spans="3:5" x14ac:dyDescent="0.25">
      <c r="C372" s="53"/>
      <c r="E372" s="53"/>
    </row>
    <row r="373" spans="3:5" x14ac:dyDescent="0.25">
      <c r="C373" s="53"/>
      <c r="E373" s="53"/>
    </row>
    <row r="374" spans="3:5" x14ac:dyDescent="0.25">
      <c r="C374" s="53"/>
      <c r="E374" s="53"/>
    </row>
    <row r="375" spans="3:5" x14ac:dyDescent="0.25">
      <c r="C375" s="53"/>
      <c r="E375" s="53"/>
    </row>
    <row r="376" spans="3:5" x14ac:dyDescent="0.25">
      <c r="C376" s="53"/>
      <c r="E376" s="53"/>
    </row>
    <row r="377" spans="3:5" x14ac:dyDescent="0.25">
      <c r="C377" s="53"/>
      <c r="E377" s="53"/>
    </row>
    <row r="378" spans="3:5" x14ac:dyDescent="0.25">
      <c r="C378" s="53"/>
      <c r="E378" s="53"/>
    </row>
    <row r="379" spans="3:5" x14ac:dyDescent="0.25">
      <c r="C379" s="53"/>
      <c r="E379" s="53"/>
    </row>
    <row r="380" spans="3:5" x14ac:dyDescent="0.25">
      <c r="C380" s="53"/>
      <c r="E380" s="53"/>
    </row>
    <row r="381" spans="3:5" x14ac:dyDescent="0.25">
      <c r="C381" s="53"/>
      <c r="E381" s="53"/>
    </row>
    <row r="382" spans="3:5" x14ac:dyDescent="0.25">
      <c r="C382" s="53"/>
      <c r="E382" s="53"/>
    </row>
    <row r="383" spans="3:5" x14ac:dyDescent="0.25">
      <c r="C383" s="53"/>
      <c r="E383" s="53"/>
    </row>
    <row r="384" spans="3:5" x14ac:dyDescent="0.25">
      <c r="C384" s="53"/>
      <c r="E384" s="53"/>
    </row>
    <row r="385" spans="3:5" x14ac:dyDescent="0.25">
      <c r="C385" s="53"/>
      <c r="E385" s="53"/>
    </row>
    <row r="386" spans="3:5" x14ac:dyDescent="0.25">
      <c r="C386" s="53"/>
      <c r="E386" s="53"/>
    </row>
    <row r="387" spans="3:5" x14ac:dyDescent="0.25">
      <c r="C387" s="53"/>
      <c r="E387" s="53"/>
    </row>
    <row r="388" spans="3:5" x14ac:dyDescent="0.25">
      <c r="C388" s="53"/>
      <c r="E388" s="53"/>
    </row>
    <row r="389" spans="3:5" x14ac:dyDescent="0.25">
      <c r="C389" s="53"/>
      <c r="E389" s="53"/>
    </row>
    <row r="390" spans="3:5" x14ac:dyDescent="0.25">
      <c r="C390" s="53"/>
      <c r="E390" s="53"/>
    </row>
    <row r="391" spans="3:5" x14ac:dyDescent="0.25">
      <c r="C391" s="53"/>
      <c r="E391" s="53"/>
    </row>
    <row r="392" spans="3:5" x14ac:dyDescent="0.25">
      <c r="C392" s="53"/>
      <c r="E392" s="53"/>
    </row>
    <row r="393" spans="3:5" x14ac:dyDescent="0.25">
      <c r="C393" s="53"/>
      <c r="E393" s="53"/>
    </row>
    <row r="394" spans="3:5" x14ac:dyDescent="0.25">
      <c r="C394" s="53"/>
      <c r="E394" s="53"/>
    </row>
    <row r="395" spans="3:5" x14ac:dyDescent="0.25">
      <c r="C395" s="53"/>
      <c r="E395" s="53"/>
    </row>
    <row r="396" spans="3:5" x14ac:dyDescent="0.25">
      <c r="C396" s="53"/>
      <c r="E396" s="53"/>
    </row>
    <row r="397" spans="3:5" x14ac:dyDescent="0.25">
      <c r="C397" s="53"/>
      <c r="E397" s="53"/>
    </row>
    <row r="398" spans="3:5" x14ac:dyDescent="0.25">
      <c r="C398" s="53"/>
      <c r="E398" s="53"/>
    </row>
    <row r="399" spans="3:5" x14ac:dyDescent="0.25">
      <c r="C399" s="53"/>
      <c r="E399" s="53"/>
    </row>
    <row r="400" spans="3:5" x14ac:dyDescent="0.25">
      <c r="C400" s="53"/>
      <c r="E400" s="53"/>
    </row>
    <row r="401" spans="3:5" x14ac:dyDescent="0.25">
      <c r="C401" s="53"/>
      <c r="E401" s="53"/>
    </row>
    <row r="402" spans="3:5" x14ac:dyDescent="0.25">
      <c r="C402" s="53"/>
      <c r="E402" s="53"/>
    </row>
    <row r="403" spans="3:5" x14ac:dyDescent="0.25">
      <c r="C403" s="53"/>
      <c r="E403" s="53"/>
    </row>
    <row r="404" spans="3:5" x14ac:dyDescent="0.25">
      <c r="C404" s="53"/>
      <c r="E404" s="53"/>
    </row>
    <row r="405" spans="3:5" x14ac:dyDescent="0.25">
      <c r="C405" s="53"/>
      <c r="E405" s="53"/>
    </row>
    <row r="406" spans="3:5" x14ac:dyDescent="0.25">
      <c r="C406" s="53"/>
      <c r="E406" s="53"/>
    </row>
    <row r="407" spans="3:5" x14ac:dyDescent="0.25">
      <c r="C407" s="53"/>
      <c r="E407" s="53"/>
    </row>
    <row r="408" spans="3:5" x14ac:dyDescent="0.25">
      <c r="C408" s="53"/>
      <c r="E408" s="53"/>
    </row>
    <row r="409" spans="3:5" x14ac:dyDescent="0.25">
      <c r="C409" s="53"/>
      <c r="E409" s="53"/>
    </row>
    <row r="410" spans="3:5" x14ac:dyDescent="0.25">
      <c r="C410" s="53"/>
      <c r="E410" s="53"/>
    </row>
    <row r="411" spans="3:5" x14ac:dyDescent="0.25">
      <c r="C411" s="53"/>
      <c r="E411" s="53"/>
    </row>
    <row r="412" spans="3:5" x14ac:dyDescent="0.25">
      <c r="C412" s="53"/>
      <c r="E412" s="53"/>
    </row>
    <row r="413" spans="3:5" x14ac:dyDescent="0.25">
      <c r="C413" s="53"/>
      <c r="E413" s="53"/>
    </row>
    <row r="414" spans="3:5" x14ac:dyDescent="0.25">
      <c r="C414" s="53"/>
      <c r="E414" s="53"/>
    </row>
    <row r="415" spans="3:5" x14ac:dyDescent="0.25">
      <c r="C415" s="53"/>
      <c r="E415" s="53"/>
    </row>
    <row r="416" spans="3:5" x14ac:dyDescent="0.25">
      <c r="C416" s="53"/>
      <c r="E416" s="53"/>
    </row>
    <row r="417" spans="3:5" x14ac:dyDescent="0.25">
      <c r="C417" s="53"/>
      <c r="E417" s="53"/>
    </row>
    <row r="418" spans="3:5" x14ac:dyDescent="0.25">
      <c r="C418" s="53"/>
      <c r="E418" s="53"/>
    </row>
    <row r="419" spans="3:5" x14ac:dyDescent="0.25">
      <c r="C419" s="53"/>
      <c r="E419" s="53"/>
    </row>
    <row r="420" spans="3:5" x14ac:dyDescent="0.25">
      <c r="C420" s="53"/>
      <c r="E420" s="53"/>
    </row>
    <row r="421" spans="3:5" x14ac:dyDescent="0.25">
      <c r="C421" s="53"/>
      <c r="E421" s="53"/>
    </row>
    <row r="422" spans="3:5" x14ac:dyDescent="0.25">
      <c r="C422" s="53"/>
      <c r="E422" s="53"/>
    </row>
    <row r="423" spans="3:5" x14ac:dyDescent="0.25">
      <c r="C423" s="53"/>
      <c r="E423" s="53"/>
    </row>
    <row r="424" spans="3:5" x14ac:dyDescent="0.25">
      <c r="C424" s="53"/>
      <c r="E424" s="53"/>
    </row>
    <row r="425" spans="3:5" x14ac:dyDescent="0.25">
      <c r="C425" s="53"/>
      <c r="E425" s="53"/>
    </row>
    <row r="426" spans="3:5" x14ac:dyDescent="0.25">
      <c r="C426" s="53"/>
      <c r="E426" s="53"/>
    </row>
    <row r="427" spans="3:5" x14ac:dyDescent="0.25">
      <c r="C427" s="53"/>
      <c r="E427" s="53"/>
    </row>
    <row r="428" spans="3:5" x14ac:dyDescent="0.25">
      <c r="C428" s="53"/>
      <c r="E428" s="53"/>
    </row>
    <row r="429" spans="3:5" x14ac:dyDescent="0.25">
      <c r="C429" s="53"/>
      <c r="E429" s="53"/>
    </row>
    <row r="430" spans="3:5" x14ac:dyDescent="0.25">
      <c r="C430" s="53"/>
      <c r="E430" s="53"/>
    </row>
    <row r="431" spans="3:5" x14ac:dyDescent="0.25">
      <c r="C431" s="53"/>
      <c r="E431" s="53"/>
    </row>
    <row r="432" spans="3:5" x14ac:dyDescent="0.25">
      <c r="C432" s="53"/>
      <c r="E432" s="53"/>
    </row>
    <row r="433" spans="3:5" x14ac:dyDescent="0.25">
      <c r="C433" s="53"/>
      <c r="E433" s="53"/>
    </row>
    <row r="434" spans="3:5" x14ac:dyDescent="0.25">
      <c r="C434" s="53"/>
      <c r="E434" s="53"/>
    </row>
    <row r="435" spans="3:5" x14ac:dyDescent="0.25">
      <c r="C435" s="53"/>
      <c r="E435" s="53"/>
    </row>
    <row r="436" spans="3:5" x14ac:dyDescent="0.25">
      <c r="C436" s="53"/>
      <c r="E436" s="53"/>
    </row>
    <row r="437" spans="3:5" x14ac:dyDescent="0.25">
      <c r="C437" s="53"/>
      <c r="E437" s="53"/>
    </row>
    <row r="438" spans="3:5" x14ac:dyDescent="0.25">
      <c r="C438" s="53"/>
      <c r="E438" s="53"/>
    </row>
    <row r="439" spans="3:5" x14ac:dyDescent="0.25">
      <c r="C439" s="53"/>
      <c r="E439" s="53"/>
    </row>
    <row r="440" spans="3:5" x14ac:dyDescent="0.25">
      <c r="C440" s="53"/>
      <c r="E440" s="53"/>
    </row>
    <row r="441" spans="3:5" x14ac:dyDescent="0.25">
      <c r="C441" s="53"/>
      <c r="E441" s="53"/>
    </row>
    <row r="442" spans="3:5" x14ac:dyDescent="0.25">
      <c r="C442" s="53"/>
      <c r="E442" s="53"/>
    </row>
    <row r="443" spans="3:5" x14ac:dyDescent="0.25">
      <c r="C443" s="53"/>
      <c r="E443" s="53"/>
    </row>
    <row r="444" spans="3:5" x14ac:dyDescent="0.25">
      <c r="C444" s="53"/>
      <c r="E444" s="53"/>
    </row>
    <row r="445" spans="3:5" x14ac:dyDescent="0.25">
      <c r="C445" s="53"/>
      <c r="E445" s="53"/>
    </row>
    <row r="446" spans="3:5" x14ac:dyDescent="0.25">
      <c r="C446" s="53"/>
      <c r="E446" s="53"/>
    </row>
    <row r="447" spans="3:5" x14ac:dyDescent="0.25">
      <c r="C447" s="53"/>
      <c r="E447" s="53"/>
    </row>
    <row r="448" spans="3:5" x14ac:dyDescent="0.25">
      <c r="C448" s="53"/>
      <c r="E448" s="53"/>
    </row>
    <row r="449" spans="3:5" x14ac:dyDescent="0.25">
      <c r="C449" s="53"/>
      <c r="E449" s="53"/>
    </row>
    <row r="450" spans="3:5" x14ac:dyDescent="0.25">
      <c r="C450" s="53"/>
      <c r="E450" s="53"/>
    </row>
    <row r="451" spans="3:5" x14ac:dyDescent="0.25">
      <c r="C451" s="53"/>
      <c r="E451" s="53"/>
    </row>
    <row r="452" spans="3:5" x14ac:dyDescent="0.25">
      <c r="C452" s="53"/>
      <c r="E452" s="53"/>
    </row>
    <row r="453" spans="3:5" x14ac:dyDescent="0.25">
      <c r="C453" s="53"/>
      <c r="E453" s="53"/>
    </row>
    <row r="454" spans="3:5" x14ac:dyDescent="0.25">
      <c r="C454" s="53"/>
      <c r="E454" s="53"/>
    </row>
    <row r="455" spans="3:5" x14ac:dyDescent="0.25">
      <c r="C455" s="53"/>
      <c r="E455" s="53"/>
    </row>
    <row r="456" spans="3:5" x14ac:dyDescent="0.25">
      <c r="C456" s="53"/>
      <c r="E456" s="53"/>
    </row>
    <row r="457" spans="3:5" x14ac:dyDescent="0.25">
      <c r="C457" s="53"/>
      <c r="E457" s="53"/>
    </row>
    <row r="458" spans="3:5" x14ac:dyDescent="0.25">
      <c r="C458" s="53"/>
      <c r="E458" s="53"/>
    </row>
    <row r="459" spans="3:5" x14ac:dyDescent="0.25">
      <c r="C459" s="53"/>
      <c r="E459" s="53"/>
    </row>
    <row r="460" spans="3:5" x14ac:dyDescent="0.25">
      <c r="C460" s="53"/>
      <c r="E460" s="53"/>
    </row>
    <row r="461" spans="3:5" x14ac:dyDescent="0.25">
      <c r="C461" s="53"/>
      <c r="E461" s="53"/>
    </row>
    <row r="462" spans="3:5" x14ac:dyDescent="0.25">
      <c r="C462" s="53"/>
      <c r="E462" s="53"/>
    </row>
    <row r="463" spans="3:5" x14ac:dyDescent="0.25">
      <c r="C463" s="53"/>
      <c r="E463" s="53"/>
    </row>
    <row r="464" spans="3:5" x14ac:dyDescent="0.25">
      <c r="C464" s="53"/>
      <c r="E464" s="53"/>
    </row>
    <row r="465" spans="3:5" x14ac:dyDescent="0.25">
      <c r="C465" s="53"/>
      <c r="E465" s="53"/>
    </row>
    <row r="466" spans="3:5" x14ac:dyDescent="0.25">
      <c r="C466" s="53"/>
      <c r="E466" s="53"/>
    </row>
    <row r="467" spans="3:5" x14ac:dyDescent="0.25">
      <c r="C467" s="53"/>
      <c r="E467" s="53"/>
    </row>
    <row r="468" spans="3:5" x14ac:dyDescent="0.25">
      <c r="C468" s="53"/>
      <c r="E468" s="53"/>
    </row>
    <row r="469" spans="3:5" x14ac:dyDescent="0.25">
      <c r="C469" s="53"/>
      <c r="E469" s="53"/>
    </row>
    <row r="470" spans="3:5" x14ac:dyDescent="0.25">
      <c r="C470" s="53"/>
      <c r="E470" s="53"/>
    </row>
    <row r="471" spans="3:5" x14ac:dyDescent="0.25">
      <c r="C471" s="53"/>
      <c r="E471" s="53"/>
    </row>
    <row r="472" spans="3:5" x14ac:dyDescent="0.25">
      <c r="C472" s="53"/>
      <c r="E472" s="53"/>
    </row>
    <row r="473" spans="3:5" x14ac:dyDescent="0.25">
      <c r="C473" s="53"/>
      <c r="E473" s="53"/>
    </row>
    <row r="474" spans="3:5" x14ac:dyDescent="0.25">
      <c r="C474" s="53"/>
      <c r="E474" s="53"/>
    </row>
    <row r="475" spans="3:5" x14ac:dyDescent="0.25">
      <c r="C475" s="53"/>
      <c r="E475" s="53"/>
    </row>
    <row r="476" spans="3:5" x14ac:dyDescent="0.25">
      <c r="C476" s="53"/>
      <c r="E476" s="53"/>
    </row>
    <row r="477" spans="3:5" x14ac:dyDescent="0.25">
      <c r="C477" s="53"/>
      <c r="E477" s="53"/>
    </row>
    <row r="478" spans="3:5" x14ac:dyDescent="0.25">
      <c r="C478" s="53"/>
      <c r="E478" s="53"/>
    </row>
    <row r="479" spans="3:5" x14ac:dyDescent="0.25">
      <c r="C479" s="53"/>
      <c r="E479" s="53"/>
    </row>
    <row r="480" spans="3:5" x14ac:dyDescent="0.25">
      <c r="C480" s="53"/>
      <c r="E480" s="53"/>
    </row>
    <row r="481" spans="3:5" x14ac:dyDescent="0.25">
      <c r="C481" s="53"/>
      <c r="E481" s="53"/>
    </row>
    <row r="482" spans="3:5" x14ac:dyDescent="0.25">
      <c r="C482" s="53"/>
      <c r="E482" s="53"/>
    </row>
    <row r="483" spans="3:5" x14ac:dyDescent="0.25">
      <c r="C483" s="53"/>
      <c r="E483" s="53"/>
    </row>
    <row r="484" spans="3:5" x14ac:dyDescent="0.25">
      <c r="C484" s="53"/>
      <c r="E484" s="53"/>
    </row>
    <row r="485" spans="3:5" x14ac:dyDescent="0.25">
      <c r="C485" s="53"/>
      <c r="E485" s="53"/>
    </row>
    <row r="486" spans="3:5" x14ac:dyDescent="0.25">
      <c r="C486" s="53"/>
      <c r="E486" s="53"/>
    </row>
    <row r="487" spans="3:5" x14ac:dyDescent="0.25">
      <c r="C487" s="53"/>
      <c r="E487" s="53"/>
    </row>
    <row r="488" spans="3:5" x14ac:dyDescent="0.25">
      <c r="C488" s="53"/>
      <c r="E488" s="53"/>
    </row>
    <row r="489" spans="3:5" x14ac:dyDescent="0.25">
      <c r="C489" s="53"/>
      <c r="E489" s="53"/>
    </row>
    <row r="490" spans="3:5" x14ac:dyDescent="0.25">
      <c r="C490" s="53"/>
      <c r="E490" s="53"/>
    </row>
    <row r="491" spans="3:5" x14ac:dyDescent="0.25">
      <c r="C491" s="53"/>
      <c r="E491" s="53"/>
    </row>
    <row r="492" spans="3:5" x14ac:dyDescent="0.25">
      <c r="C492" s="53"/>
      <c r="E492" s="53"/>
    </row>
    <row r="493" spans="3:5" x14ac:dyDescent="0.25">
      <c r="C493" s="53"/>
      <c r="E493" s="53"/>
    </row>
    <row r="494" spans="3:5" x14ac:dyDescent="0.25">
      <c r="C494" s="53"/>
      <c r="E494" s="53"/>
    </row>
    <row r="495" spans="3:5" x14ac:dyDescent="0.25">
      <c r="C495" s="53"/>
      <c r="E495" s="53"/>
    </row>
    <row r="496" spans="3:5" x14ac:dyDescent="0.25">
      <c r="C496" s="53"/>
      <c r="E496" s="53"/>
    </row>
    <row r="497" spans="3:5" x14ac:dyDescent="0.25">
      <c r="C497" s="53"/>
      <c r="E497" s="53"/>
    </row>
    <row r="498" spans="3:5" x14ac:dyDescent="0.25">
      <c r="C498" s="53"/>
      <c r="E498" s="53"/>
    </row>
    <row r="499" spans="3:5" x14ac:dyDescent="0.25">
      <c r="C499" s="53"/>
      <c r="E499" s="53"/>
    </row>
    <row r="500" spans="3:5" x14ac:dyDescent="0.25">
      <c r="C500" s="53"/>
      <c r="E500" s="53"/>
    </row>
    <row r="501" spans="3:5" x14ac:dyDescent="0.25">
      <c r="C501" s="53"/>
      <c r="E501" s="53"/>
    </row>
    <row r="502" spans="3:5" x14ac:dyDescent="0.25">
      <c r="C502" s="53"/>
      <c r="E502" s="53"/>
    </row>
    <row r="503" spans="3:5" x14ac:dyDescent="0.25">
      <c r="C503" s="53"/>
      <c r="E503" s="53"/>
    </row>
    <row r="504" spans="3:5" x14ac:dyDescent="0.25">
      <c r="C504" s="53"/>
      <c r="E504" s="53"/>
    </row>
    <row r="505" spans="3:5" x14ac:dyDescent="0.25">
      <c r="C505" s="53"/>
      <c r="E505" s="53"/>
    </row>
    <row r="506" spans="3:5" x14ac:dyDescent="0.25">
      <c r="C506" s="53"/>
      <c r="E506" s="53"/>
    </row>
    <row r="507" spans="3:5" x14ac:dyDescent="0.25">
      <c r="C507" s="53"/>
      <c r="E507" s="53"/>
    </row>
    <row r="508" spans="3:5" x14ac:dyDescent="0.25">
      <c r="C508" s="53"/>
      <c r="E508" s="53"/>
    </row>
    <row r="509" spans="3:5" x14ac:dyDescent="0.25">
      <c r="C509" s="53"/>
      <c r="E509" s="53"/>
    </row>
    <row r="510" spans="3:5" x14ac:dyDescent="0.25">
      <c r="C510" s="53"/>
      <c r="E510" s="53"/>
    </row>
    <row r="511" spans="3:5" x14ac:dyDescent="0.25">
      <c r="C511" s="53"/>
      <c r="E511" s="53"/>
    </row>
    <row r="512" spans="3:5" x14ac:dyDescent="0.25">
      <c r="C512" s="53"/>
      <c r="E512" s="53"/>
    </row>
    <row r="513" spans="3:5" x14ac:dyDescent="0.25">
      <c r="C513" s="53"/>
      <c r="E513" s="53"/>
    </row>
    <row r="514" spans="3:5" x14ac:dyDescent="0.25">
      <c r="C514" s="53"/>
      <c r="E514" s="53"/>
    </row>
    <row r="515" spans="3:5" x14ac:dyDescent="0.25">
      <c r="C515" s="53"/>
      <c r="E515" s="53"/>
    </row>
    <row r="516" spans="3:5" x14ac:dyDescent="0.25">
      <c r="C516" s="53"/>
      <c r="E516" s="53"/>
    </row>
    <row r="517" spans="3:5" x14ac:dyDescent="0.25">
      <c r="C517" s="53"/>
      <c r="E517" s="53"/>
    </row>
    <row r="518" spans="3:5" x14ac:dyDescent="0.25">
      <c r="C518" s="53"/>
      <c r="E518" s="53"/>
    </row>
    <row r="519" spans="3:5" x14ac:dyDescent="0.25">
      <c r="C519" s="53"/>
      <c r="E519" s="53"/>
    </row>
    <row r="520" spans="3:5" x14ac:dyDescent="0.25">
      <c r="C520" s="53"/>
      <c r="E520" s="53"/>
    </row>
    <row r="521" spans="3:5" x14ac:dyDescent="0.25">
      <c r="C521" s="53"/>
      <c r="E521" s="53"/>
    </row>
    <row r="522" spans="3:5" x14ac:dyDescent="0.25">
      <c r="C522" s="53"/>
      <c r="E522" s="53"/>
    </row>
    <row r="523" spans="3:5" x14ac:dyDescent="0.25">
      <c r="C523" s="53"/>
      <c r="E523" s="53"/>
    </row>
    <row r="524" spans="3:5" x14ac:dyDescent="0.25">
      <c r="C524" s="53"/>
      <c r="E524" s="53"/>
    </row>
    <row r="525" spans="3:5" x14ac:dyDescent="0.25">
      <c r="C525" s="53"/>
      <c r="E525" s="53"/>
    </row>
    <row r="526" spans="3:5" x14ac:dyDescent="0.25">
      <c r="C526" s="53"/>
      <c r="E526" s="53"/>
    </row>
    <row r="527" spans="3:5" x14ac:dyDescent="0.25">
      <c r="C527" s="53"/>
      <c r="E527" s="53"/>
    </row>
    <row r="528" spans="3:5" x14ac:dyDescent="0.25">
      <c r="C528" s="53"/>
      <c r="E528" s="53"/>
    </row>
    <row r="529" spans="3:5" x14ac:dyDescent="0.25">
      <c r="C529" s="53"/>
      <c r="E529" s="53"/>
    </row>
    <row r="530" spans="3:5" x14ac:dyDescent="0.25">
      <c r="C530" s="53"/>
      <c r="E530" s="53"/>
    </row>
    <row r="531" spans="3:5" x14ac:dyDescent="0.25">
      <c r="C531" s="53"/>
      <c r="E531" s="53"/>
    </row>
    <row r="532" spans="3:5" x14ac:dyDescent="0.25">
      <c r="C532" s="53"/>
      <c r="E532" s="53"/>
    </row>
    <row r="533" spans="3:5" x14ac:dyDescent="0.25">
      <c r="C533" s="53"/>
      <c r="E533" s="53"/>
    </row>
    <row r="534" spans="3:5" x14ac:dyDescent="0.25">
      <c r="C534" s="53"/>
      <c r="E534" s="53"/>
    </row>
    <row r="535" spans="3:5" x14ac:dyDescent="0.25">
      <c r="C535" s="53"/>
      <c r="E535" s="53"/>
    </row>
    <row r="536" spans="3:5" x14ac:dyDescent="0.25">
      <c r="C536" s="53"/>
      <c r="E536" s="53"/>
    </row>
    <row r="537" spans="3:5" x14ac:dyDescent="0.25">
      <c r="C537" s="53"/>
      <c r="E537" s="53"/>
    </row>
    <row r="538" spans="3:5" x14ac:dyDescent="0.25">
      <c r="C538" s="53"/>
      <c r="E538" s="53"/>
    </row>
    <row r="539" spans="3:5" x14ac:dyDescent="0.25">
      <c r="C539" s="53"/>
      <c r="E539" s="53"/>
    </row>
    <row r="540" spans="3:5" x14ac:dyDescent="0.25">
      <c r="C540" s="53"/>
      <c r="E540" s="53"/>
    </row>
    <row r="541" spans="3:5" x14ac:dyDescent="0.25">
      <c r="C541" s="53"/>
      <c r="E541" s="53"/>
    </row>
    <row r="542" spans="3:5" x14ac:dyDescent="0.25">
      <c r="C542" s="53"/>
      <c r="E542" s="53"/>
    </row>
    <row r="543" spans="3:5" x14ac:dyDescent="0.25">
      <c r="C543" s="53"/>
      <c r="E543" s="53"/>
    </row>
    <row r="544" spans="3:5" x14ac:dyDescent="0.25">
      <c r="C544" s="53"/>
      <c r="E544" s="53"/>
    </row>
    <row r="545" spans="3:5" x14ac:dyDescent="0.25">
      <c r="C545" s="53"/>
      <c r="E545" s="53"/>
    </row>
    <row r="546" spans="3:5" x14ac:dyDescent="0.25">
      <c r="C546" s="53"/>
      <c r="E546" s="53"/>
    </row>
    <row r="547" spans="3:5" x14ac:dyDescent="0.25">
      <c r="C547" s="53"/>
      <c r="E547" s="53"/>
    </row>
    <row r="548" spans="3:5" x14ac:dyDescent="0.25">
      <c r="C548" s="53"/>
      <c r="E548" s="53"/>
    </row>
    <row r="549" spans="3:5" x14ac:dyDescent="0.25">
      <c r="C549" s="53"/>
      <c r="E549" s="53"/>
    </row>
    <row r="550" spans="3:5" x14ac:dyDescent="0.25">
      <c r="C550" s="53"/>
      <c r="E550" s="53"/>
    </row>
    <row r="551" spans="3:5" x14ac:dyDescent="0.25">
      <c r="C551" s="53"/>
      <c r="E551" s="53"/>
    </row>
    <row r="552" spans="3:5" x14ac:dyDescent="0.25">
      <c r="C552" s="53"/>
      <c r="E552" s="53"/>
    </row>
    <row r="553" spans="3:5" x14ac:dyDescent="0.25">
      <c r="C553" s="53"/>
      <c r="E553" s="53"/>
    </row>
    <row r="554" spans="3:5" x14ac:dyDescent="0.25">
      <c r="C554" s="53"/>
      <c r="E554" s="53"/>
    </row>
    <row r="555" spans="3:5" x14ac:dyDescent="0.25">
      <c r="C555" s="53"/>
      <c r="E555" s="53"/>
    </row>
    <row r="556" spans="3:5" x14ac:dyDescent="0.25">
      <c r="C556" s="53"/>
      <c r="E556" s="53"/>
    </row>
    <row r="557" spans="3:5" x14ac:dyDescent="0.25">
      <c r="C557" s="53"/>
      <c r="E557" s="53"/>
    </row>
    <row r="558" spans="3:5" x14ac:dyDescent="0.25">
      <c r="C558" s="53"/>
      <c r="E558" s="53"/>
    </row>
    <row r="559" spans="3:5" x14ac:dyDescent="0.25">
      <c r="C559" s="53"/>
      <c r="E559" s="53"/>
    </row>
    <row r="560" spans="3:5" x14ac:dyDescent="0.25">
      <c r="C560" s="53"/>
      <c r="E560" s="53"/>
    </row>
    <row r="561" spans="3:5" x14ac:dyDescent="0.25">
      <c r="C561" s="53"/>
      <c r="E561" s="53"/>
    </row>
    <row r="562" spans="3:5" x14ac:dyDescent="0.25">
      <c r="C562" s="53"/>
      <c r="E562" s="53"/>
    </row>
    <row r="563" spans="3:5" x14ac:dyDescent="0.25">
      <c r="C563" s="53"/>
      <c r="E563" s="53"/>
    </row>
    <row r="564" spans="3:5" x14ac:dyDescent="0.25">
      <c r="C564" s="53"/>
      <c r="E564" s="53"/>
    </row>
    <row r="565" spans="3:5" x14ac:dyDescent="0.25">
      <c r="C565" s="53"/>
      <c r="E565" s="53"/>
    </row>
    <row r="566" spans="3:5" x14ac:dyDescent="0.25">
      <c r="C566" s="53"/>
      <c r="E566" s="53"/>
    </row>
    <row r="567" spans="3:5" x14ac:dyDescent="0.25">
      <c r="C567" s="53"/>
      <c r="E567" s="53"/>
    </row>
    <row r="568" spans="3:5" x14ac:dyDescent="0.25">
      <c r="C568" s="53"/>
      <c r="E568" s="53"/>
    </row>
    <row r="569" spans="3:5" x14ac:dyDescent="0.25">
      <c r="C569" s="53"/>
      <c r="E569" s="53"/>
    </row>
    <row r="570" spans="3:5" x14ac:dyDescent="0.25">
      <c r="C570" s="53"/>
      <c r="E570" s="53"/>
    </row>
    <row r="571" spans="3:5" x14ac:dyDescent="0.25">
      <c r="C571" s="53"/>
      <c r="E571" s="53"/>
    </row>
    <row r="572" spans="3:5" x14ac:dyDescent="0.25">
      <c r="C572" s="53"/>
      <c r="E572" s="53"/>
    </row>
    <row r="573" spans="3:5" x14ac:dyDescent="0.25">
      <c r="C573" s="53"/>
      <c r="E573" s="53"/>
    </row>
    <row r="574" spans="3:5" x14ac:dyDescent="0.25">
      <c r="C574" s="53"/>
      <c r="E574" s="53"/>
    </row>
    <row r="575" spans="3:5" x14ac:dyDescent="0.25">
      <c r="C575" s="53"/>
      <c r="E575" s="53"/>
    </row>
    <row r="576" spans="3:5" x14ac:dyDescent="0.25">
      <c r="C576" s="53"/>
      <c r="E576" s="53"/>
    </row>
    <row r="577" spans="3:5" x14ac:dyDescent="0.25">
      <c r="C577" s="53"/>
      <c r="E577" s="53"/>
    </row>
    <row r="578" spans="3:5" x14ac:dyDescent="0.25">
      <c r="C578" s="53"/>
      <c r="E578" s="53"/>
    </row>
    <row r="579" spans="3:5" x14ac:dyDescent="0.25">
      <c r="C579" s="53"/>
      <c r="E579" s="53"/>
    </row>
    <row r="580" spans="3:5" x14ac:dyDescent="0.25">
      <c r="C580" s="53"/>
      <c r="E580" s="53"/>
    </row>
    <row r="581" spans="3:5" x14ac:dyDescent="0.25">
      <c r="C581" s="53"/>
      <c r="E581" s="53"/>
    </row>
    <row r="582" spans="3:5" x14ac:dyDescent="0.25">
      <c r="C582" s="53"/>
      <c r="E582" s="53"/>
    </row>
    <row r="583" spans="3:5" x14ac:dyDescent="0.25">
      <c r="C583" s="53"/>
      <c r="E583" s="53"/>
    </row>
    <row r="584" spans="3:5" x14ac:dyDescent="0.25">
      <c r="C584" s="53"/>
      <c r="E584" s="53"/>
    </row>
    <row r="585" spans="3:5" x14ac:dyDescent="0.25">
      <c r="C585" s="53"/>
      <c r="E585" s="53"/>
    </row>
    <row r="586" spans="3:5" x14ac:dyDescent="0.25">
      <c r="C586" s="53"/>
      <c r="E586" s="53"/>
    </row>
    <row r="587" spans="3:5" x14ac:dyDescent="0.25">
      <c r="C587" s="53"/>
      <c r="E587" s="53"/>
    </row>
    <row r="588" spans="3:5" x14ac:dyDescent="0.25">
      <c r="C588" s="53"/>
      <c r="E588" s="53"/>
    </row>
    <row r="589" spans="3:5" x14ac:dyDescent="0.25">
      <c r="C589" s="53"/>
      <c r="E589" s="53"/>
    </row>
    <row r="590" spans="3:5" x14ac:dyDescent="0.25">
      <c r="C590" s="53"/>
      <c r="E590" s="53"/>
    </row>
    <row r="591" spans="3:5" x14ac:dyDescent="0.25">
      <c r="C591" s="53"/>
      <c r="E591" s="53"/>
    </row>
    <row r="592" spans="3:5" x14ac:dyDescent="0.25">
      <c r="C592" s="53"/>
      <c r="E592" s="53"/>
    </row>
    <row r="593" spans="3:5" x14ac:dyDescent="0.25">
      <c r="C593" s="53"/>
      <c r="E593" s="53"/>
    </row>
    <row r="594" spans="3:5" x14ac:dyDescent="0.25">
      <c r="C594" s="53"/>
      <c r="E594" s="53"/>
    </row>
    <row r="595" spans="3:5" x14ac:dyDescent="0.25">
      <c r="C595" s="53"/>
      <c r="E595" s="53"/>
    </row>
    <row r="596" spans="3:5" x14ac:dyDescent="0.25">
      <c r="C596" s="53"/>
      <c r="E596" s="53"/>
    </row>
    <row r="597" spans="3:5" x14ac:dyDescent="0.25">
      <c r="C597" s="53"/>
      <c r="E597" s="53"/>
    </row>
    <row r="598" spans="3:5" x14ac:dyDescent="0.25">
      <c r="C598" s="53"/>
      <c r="E598" s="53"/>
    </row>
    <row r="599" spans="3:5" x14ac:dyDescent="0.25">
      <c r="C599" s="53"/>
      <c r="E599" s="53"/>
    </row>
    <row r="600" spans="3:5" x14ac:dyDescent="0.25">
      <c r="C600" s="53"/>
      <c r="E600" s="53"/>
    </row>
    <row r="601" spans="3:5" x14ac:dyDescent="0.25">
      <c r="C601" s="53"/>
      <c r="E601" s="53"/>
    </row>
    <row r="602" spans="3:5" x14ac:dyDescent="0.25">
      <c r="C602" s="53"/>
      <c r="E602" s="53"/>
    </row>
    <row r="603" spans="3:5" x14ac:dyDescent="0.25">
      <c r="C603" s="53"/>
      <c r="E603" s="53"/>
    </row>
    <row r="604" spans="3:5" x14ac:dyDescent="0.25">
      <c r="C604" s="53"/>
      <c r="E604" s="53"/>
    </row>
    <row r="605" spans="3:5" x14ac:dyDescent="0.25">
      <c r="C605" s="53"/>
      <c r="E605" s="53"/>
    </row>
    <row r="606" spans="3:5" x14ac:dyDescent="0.25">
      <c r="C606" s="53"/>
      <c r="E606" s="53"/>
    </row>
    <row r="607" spans="3:5" x14ac:dyDescent="0.25">
      <c r="C607" s="53"/>
      <c r="E607" s="53"/>
    </row>
    <row r="608" spans="3:5" x14ac:dyDescent="0.25">
      <c r="C608" s="53"/>
      <c r="E608" s="53"/>
    </row>
    <row r="609" spans="3:5" x14ac:dyDescent="0.25">
      <c r="C609" s="53"/>
      <c r="E609" s="53"/>
    </row>
    <row r="610" spans="3:5" x14ac:dyDescent="0.25">
      <c r="C610" s="53"/>
      <c r="E610" s="53"/>
    </row>
    <row r="611" spans="3:5" x14ac:dyDescent="0.25">
      <c r="C611" s="53"/>
      <c r="E611" s="53"/>
    </row>
    <row r="612" spans="3:5" x14ac:dyDescent="0.25">
      <c r="C612" s="53"/>
      <c r="E612" s="53"/>
    </row>
    <row r="613" spans="3:5" x14ac:dyDescent="0.25">
      <c r="C613" s="53"/>
      <c r="E613" s="53"/>
    </row>
    <row r="614" spans="3:5" x14ac:dyDescent="0.25">
      <c r="C614" s="53"/>
      <c r="E614" s="53"/>
    </row>
    <row r="615" spans="3:5" x14ac:dyDescent="0.25">
      <c r="C615" s="53"/>
      <c r="E615" s="53"/>
    </row>
    <row r="616" spans="3:5" x14ac:dyDescent="0.25">
      <c r="C616" s="53"/>
      <c r="E616" s="53"/>
    </row>
    <row r="617" spans="3:5" x14ac:dyDescent="0.25">
      <c r="C617" s="53"/>
      <c r="E617" s="53"/>
    </row>
    <row r="618" spans="3:5" x14ac:dyDescent="0.25">
      <c r="C618" s="53"/>
      <c r="E618" s="53"/>
    </row>
    <row r="619" spans="3:5" x14ac:dyDescent="0.25">
      <c r="C619" s="53"/>
      <c r="E619" s="53"/>
    </row>
    <row r="620" spans="3:5" x14ac:dyDescent="0.25">
      <c r="C620" s="53"/>
      <c r="E620" s="53"/>
    </row>
    <row r="621" spans="3:5" x14ac:dyDescent="0.25">
      <c r="C621" s="53"/>
      <c r="E621" s="53"/>
    </row>
    <row r="622" spans="3:5" x14ac:dyDescent="0.25">
      <c r="C622" s="53"/>
      <c r="E622" s="53"/>
    </row>
    <row r="623" spans="3:5" x14ac:dyDescent="0.25">
      <c r="C623" s="53"/>
      <c r="E623" s="53"/>
    </row>
    <row r="624" spans="3:5" x14ac:dyDescent="0.25">
      <c r="C624" s="53"/>
      <c r="E624" s="53"/>
    </row>
    <row r="625" spans="3:5" x14ac:dyDescent="0.25">
      <c r="C625" s="53"/>
      <c r="E625" s="53"/>
    </row>
    <row r="626" spans="3:5" x14ac:dyDescent="0.25">
      <c r="C626" s="53"/>
      <c r="E626" s="53"/>
    </row>
    <row r="627" spans="3:5" x14ac:dyDescent="0.25">
      <c r="C627" s="53"/>
      <c r="E627" s="53"/>
    </row>
    <row r="628" spans="3:5" x14ac:dyDescent="0.25">
      <c r="C628" s="53"/>
      <c r="E628" s="53"/>
    </row>
    <row r="629" spans="3:5" x14ac:dyDescent="0.25">
      <c r="C629" s="53"/>
      <c r="E629" s="53"/>
    </row>
    <row r="630" spans="3:5" x14ac:dyDescent="0.25">
      <c r="C630" s="53"/>
      <c r="E630" s="53"/>
    </row>
    <row r="631" spans="3:5" x14ac:dyDescent="0.25">
      <c r="C631" s="53"/>
      <c r="E631" s="53"/>
    </row>
    <row r="632" spans="3:5" x14ac:dyDescent="0.25">
      <c r="C632" s="53"/>
      <c r="E632" s="53"/>
    </row>
    <row r="633" spans="3:5" x14ac:dyDescent="0.25">
      <c r="C633" s="53"/>
      <c r="E633" s="53"/>
    </row>
    <row r="634" spans="3:5" x14ac:dyDescent="0.25">
      <c r="C634" s="53"/>
      <c r="E634" s="53"/>
    </row>
    <row r="635" spans="3:5" x14ac:dyDescent="0.25">
      <c r="C635" s="53"/>
      <c r="E635" s="53"/>
    </row>
    <row r="636" spans="3:5" x14ac:dyDescent="0.25">
      <c r="C636" s="53"/>
      <c r="E636" s="53"/>
    </row>
    <row r="637" spans="3:5" x14ac:dyDescent="0.25">
      <c r="C637" s="53"/>
      <c r="E637" s="53"/>
    </row>
    <row r="638" spans="3:5" x14ac:dyDescent="0.25">
      <c r="C638" s="53"/>
      <c r="E638" s="53"/>
    </row>
    <row r="639" spans="3:5" x14ac:dyDescent="0.25">
      <c r="C639" s="53"/>
      <c r="E639" s="53"/>
    </row>
    <row r="640" spans="3:5" x14ac:dyDescent="0.25">
      <c r="C640" s="53"/>
      <c r="E640" s="53"/>
    </row>
    <row r="641" spans="3:5" x14ac:dyDescent="0.25">
      <c r="C641" s="53"/>
      <c r="E641" s="53"/>
    </row>
    <row r="642" spans="3:5" x14ac:dyDescent="0.25">
      <c r="C642" s="53"/>
      <c r="E642" s="53"/>
    </row>
    <row r="643" spans="3:5" x14ac:dyDescent="0.25">
      <c r="C643" s="53"/>
      <c r="E643" s="53"/>
    </row>
    <row r="644" spans="3:5" x14ac:dyDescent="0.25">
      <c r="C644" s="53"/>
      <c r="E644" s="53"/>
    </row>
    <row r="645" spans="3:5" x14ac:dyDescent="0.25">
      <c r="C645" s="53"/>
      <c r="E645" s="53"/>
    </row>
    <row r="646" spans="3:5" x14ac:dyDescent="0.25">
      <c r="C646" s="53"/>
      <c r="E646" s="53"/>
    </row>
    <row r="647" spans="3:5" x14ac:dyDescent="0.25">
      <c r="C647" s="53"/>
      <c r="E647" s="53"/>
    </row>
    <row r="648" spans="3:5" x14ac:dyDescent="0.25">
      <c r="C648" s="53"/>
      <c r="E648" s="53"/>
    </row>
    <row r="649" spans="3:5" x14ac:dyDescent="0.25">
      <c r="C649" s="53"/>
      <c r="E649" s="53"/>
    </row>
    <row r="650" spans="3:5" x14ac:dyDescent="0.25">
      <c r="C650" s="53"/>
      <c r="E650" s="53"/>
    </row>
    <row r="651" spans="3:5" x14ac:dyDescent="0.25">
      <c r="C651" s="53"/>
      <c r="E651" s="53"/>
    </row>
    <row r="652" spans="3:5" x14ac:dyDescent="0.25">
      <c r="C652" s="53"/>
      <c r="E652" s="53"/>
    </row>
    <row r="653" spans="3:5" x14ac:dyDescent="0.25">
      <c r="C653" s="53"/>
      <c r="E653" s="53"/>
    </row>
    <row r="654" spans="3:5" x14ac:dyDescent="0.25">
      <c r="C654" s="53"/>
      <c r="E654" s="53"/>
    </row>
    <row r="655" spans="3:5" x14ac:dyDescent="0.25">
      <c r="C655" s="53"/>
      <c r="E655" s="53"/>
    </row>
    <row r="656" spans="3:5" x14ac:dyDescent="0.25">
      <c r="C656" s="53"/>
      <c r="E656" s="53"/>
    </row>
    <row r="657" spans="3:5" x14ac:dyDescent="0.25">
      <c r="C657" s="53"/>
      <c r="E657" s="53"/>
    </row>
    <row r="658" spans="3:5" x14ac:dyDescent="0.25">
      <c r="C658" s="53"/>
      <c r="E658" s="53"/>
    </row>
    <row r="659" spans="3:5" x14ac:dyDescent="0.25">
      <c r="C659" s="53"/>
      <c r="E659" s="53"/>
    </row>
    <row r="660" spans="3:5" x14ac:dyDescent="0.25">
      <c r="C660" s="53"/>
      <c r="E660" s="53"/>
    </row>
    <row r="661" spans="3:5" x14ac:dyDescent="0.25">
      <c r="C661" s="53"/>
      <c r="E661" s="53"/>
    </row>
    <row r="662" spans="3:5" x14ac:dyDescent="0.25">
      <c r="C662" s="53"/>
      <c r="E662" s="53"/>
    </row>
    <row r="663" spans="3:5" x14ac:dyDescent="0.25">
      <c r="C663" s="53"/>
      <c r="E663" s="53"/>
    </row>
    <row r="664" spans="3:5" x14ac:dyDescent="0.25">
      <c r="C664" s="53"/>
      <c r="E664" s="53"/>
    </row>
    <row r="665" spans="3:5" x14ac:dyDescent="0.25">
      <c r="C665" s="53"/>
      <c r="E665" s="53"/>
    </row>
    <row r="666" spans="3:5" x14ac:dyDescent="0.25">
      <c r="C666" s="53"/>
      <c r="E666" s="53"/>
    </row>
    <row r="667" spans="3:5" x14ac:dyDescent="0.25">
      <c r="C667" s="53"/>
      <c r="E667" s="53"/>
    </row>
    <row r="668" spans="3:5" x14ac:dyDescent="0.25">
      <c r="C668" s="53"/>
      <c r="E668" s="53"/>
    </row>
    <row r="669" spans="3:5" x14ac:dyDescent="0.25">
      <c r="C669" s="53"/>
      <c r="E669" s="53"/>
    </row>
    <row r="670" spans="3:5" x14ac:dyDescent="0.25">
      <c r="C670" s="53"/>
      <c r="E670" s="53"/>
    </row>
    <row r="671" spans="3:5" x14ac:dyDescent="0.25">
      <c r="C671" s="53"/>
      <c r="E671" s="53"/>
    </row>
    <row r="672" spans="3:5" x14ac:dyDescent="0.25">
      <c r="C672" s="53"/>
      <c r="E672" s="53"/>
    </row>
    <row r="673" spans="3:5" x14ac:dyDescent="0.25">
      <c r="C673" s="53"/>
      <c r="E673" s="53"/>
    </row>
    <row r="674" spans="3:5" x14ac:dyDescent="0.25">
      <c r="C674" s="53"/>
      <c r="E674" s="53"/>
    </row>
    <row r="675" spans="3:5" x14ac:dyDescent="0.25">
      <c r="C675" s="53"/>
      <c r="E675" s="53"/>
    </row>
    <row r="676" spans="3:5" x14ac:dyDescent="0.25">
      <c r="C676" s="53"/>
      <c r="E676" s="53"/>
    </row>
    <row r="677" spans="3:5" x14ac:dyDescent="0.25">
      <c r="C677" s="53"/>
      <c r="E677" s="53"/>
    </row>
    <row r="678" spans="3:5" x14ac:dyDescent="0.25">
      <c r="C678" s="53"/>
      <c r="E678" s="53"/>
    </row>
    <row r="679" spans="3:5" x14ac:dyDescent="0.25">
      <c r="C679" s="53"/>
      <c r="E679" s="53"/>
    </row>
    <row r="680" spans="3:5" x14ac:dyDescent="0.25">
      <c r="C680" s="53"/>
      <c r="E680" s="53"/>
    </row>
    <row r="681" spans="3:5" x14ac:dyDescent="0.25">
      <c r="C681" s="53"/>
      <c r="E681" s="53"/>
    </row>
    <row r="682" spans="3:5" x14ac:dyDescent="0.25">
      <c r="C682" s="53"/>
      <c r="E682" s="53"/>
    </row>
    <row r="683" spans="3:5" x14ac:dyDescent="0.25">
      <c r="C683" s="53"/>
      <c r="E683" s="53"/>
    </row>
    <row r="684" spans="3:5" x14ac:dyDescent="0.25">
      <c r="C684" s="53"/>
      <c r="E684" s="53"/>
    </row>
    <row r="685" spans="3:5" x14ac:dyDescent="0.25">
      <c r="C685" s="53"/>
      <c r="E685" s="53"/>
    </row>
    <row r="686" spans="3:5" x14ac:dyDescent="0.25">
      <c r="C686" s="53"/>
      <c r="E686" s="53"/>
    </row>
    <row r="687" spans="3:5" x14ac:dyDescent="0.25">
      <c r="C687" s="53"/>
      <c r="E687" s="53"/>
    </row>
    <row r="688" spans="3:5" x14ac:dyDescent="0.25">
      <c r="C688" s="53"/>
      <c r="E688" s="53"/>
    </row>
    <row r="689" spans="3:5" x14ac:dyDescent="0.25">
      <c r="C689" s="53"/>
      <c r="E689" s="53"/>
    </row>
    <row r="690" spans="3:5" x14ac:dyDescent="0.25">
      <c r="C690" s="53"/>
      <c r="E690" s="53"/>
    </row>
    <row r="691" spans="3:5" x14ac:dyDescent="0.25">
      <c r="C691" s="53"/>
      <c r="E691" s="53"/>
    </row>
    <row r="692" spans="3:5" x14ac:dyDescent="0.25">
      <c r="C692" s="53"/>
      <c r="E692" s="53"/>
    </row>
    <row r="693" spans="3:5" x14ac:dyDescent="0.25">
      <c r="C693" s="53"/>
      <c r="E693" s="53"/>
    </row>
    <row r="694" spans="3:5" x14ac:dyDescent="0.25">
      <c r="C694" s="53"/>
      <c r="E694" s="53"/>
    </row>
    <row r="695" spans="3:5" x14ac:dyDescent="0.25">
      <c r="C695" s="53"/>
      <c r="E695" s="53"/>
    </row>
    <row r="696" spans="3:5" x14ac:dyDescent="0.25">
      <c r="C696" s="53"/>
      <c r="E696" s="53"/>
    </row>
    <row r="697" spans="3:5" x14ac:dyDescent="0.25">
      <c r="C697" s="53"/>
      <c r="E697" s="53"/>
    </row>
    <row r="698" spans="3:5" x14ac:dyDescent="0.25">
      <c r="C698" s="53"/>
      <c r="E698" s="53"/>
    </row>
    <row r="699" spans="3:5" x14ac:dyDescent="0.25">
      <c r="C699" s="53"/>
      <c r="E699" s="53"/>
    </row>
    <row r="700" spans="3:5" x14ac:dyDescent="0.25">
      <c r="C700" s="53"/>
      <c r="E700" s="53"/>
    </row>
    <row r="701" spans="3:5" x14ac:dyDescent="0.25">
      <c r="C701" s="53"/>
      <c r="E701" s="53"/>
    </row>
    <row r="702" spans="3:5" x14ac:dyDescent="0.25">
      <c r="C702" s="53"/>
      <c r="E702" s="53"/>
    </row>
    <row r="703" spans="3:5" x14ac:dyDescent="0.25">
      <c r="C703" s="53"/>
      <c r="E703" s="53"/>
    </row>
    <row r="704" spans="3:5" x14ac:dyDescent="0.25">
      <c r="C704" s="53"/>
      <c r="E704" s="53"/>
    </row>
    <row r="705" spans="3:5" x14ac:dyDescent="0.25">
      <c r="C705" s="53"/>
      <c r="E705" s="53"/>
    </row>
    <row r="706" spans="3:5" x14ac:dyDescent="0.25">
      <c r="C706" s="53"/>
      <c r="E706" s="53"/>
    </row>
    <row r="707" spans="3:5" x14ac:dyDescent="0.25">
      <c r="C707" s="53"/>
      <c r="E707" s="53"/>
    </row>
    <row r="708" spans="3:5" x14ac:dyDescent="0.25">
      <c r="C708" s="53"/>
      <c r="E708" s="53"/>
    </row>
    <row r="709" spans="3:5" x14ac:dyDescent="0.25">
      <c r="C709" s="53"/>
      <c r="E709" s="53"/>
    </row>
    <row r="710" spans="3:5" x14ac:dyDescent="0.25">
      <c r="C710" s="53"/>
      <c r="E710" s="53"/>
    </row>
    <row r="711" spans="3:5" x14ac:dyDescent="0.25">
      <c r="C711" s="53"/>
      <c r="E711" s="53"/>
    </row>
    <row r="712" spans="3:5" x14ac:dyDescent="0.25">
      <c r="C712" s="53"/>
      <c r="E712" s="53"/>
    </row>
    <row r="713" spans="3:5" x14ac:dyDescent="0.25">
      <c r="C713" s="53"/>
      <c r="E713" s="53"/>
    </row>
    <row r="714" spans="3:5" x14ac:dyDescent="0.25">
      <c r="C714" s="53"/>
      <c r="E714" s="53"/>
    </row>
    <row r="715" spans="3:5" x14ac:dyDescent="0.25">
      <c r="C715" s="53"/>
      <c r="E715" s="53"/>
    </row>
    <row r="716" spans="3:5" x14ac:dyDescent="0.25">
      <c r="C716" s="53"/>
      <c r="E716" s="53"/>
    </row>
    <row r="717" spans="3:5" x14ac:dyDescent="0.25">
      <c r="C717" s="53"/>
      <c r="E717" s="53"/>
    </row>
    <row r="718" spans="3:5" x14ac:dyDescent="0.25">
      <c r="C718" s="53"/>
      <c r="E718" s="53"/>
    </row>
    <row r="719" spans="3:5" x14ac:dyDescent="0.25">
      <c r="C719" s="53"/>
      <c r="E719" s="53"/>
    </row>
    <row r="720" spans="3:5" x14ac:dyDescent="0.25">
      <c r="C720" s="53"/>
      <c r="E720" s="53"/>
    </row>
    <row r="721" spans="3:5" x14ac:dyDescent="0.25">
      <c r="C721" s="53"/>
      <c r="E721" s="53"/>
    </row>
    <row r="722" spans="3:5" x14ac:dyDescent="0.25">
      <c r="C722" s="53"/>
      <c r="E722" s="53"/>
    </row>
    <row r="723" spans="3:5" x14ac:dyDescent="0.25">
      <c r="C723" s="53"/>
      <c r="E723" s="53"/>
    </row>
    <row r="724" spans="3:5" x14ac:dyDescent="0.25">
      <c r="C724" s="53"/>
      <c r="E724" s="53"/>
    </row>
    <row r="725" spans="3:5" x14ac:dyDescent="0.25">
      <c r="C725" s="53"/>
      <c r="E725" s="53"/>
    </row>
    <row r="726" spans="3:5" x14ac:dyDescent="0.25">
      <c r="C726" s="53"/>
      <c r="E726" s="53"/>
    </row>
    <row r="727" spans="3:5" x14ac:dyDescent="0.25">
      <c r="C727" s="53"/>
      <c r="E727" s="53"/>
    </row>
    <row r="728" spans="3:5" x14ac:dyDescent="0.25">
      <c r="C728" s="53"/>
      <c r="E728" s="53"/>
    </row>
    <row r="729" spans="3:5" x14ac:dyDescent="0.25">
      <c r="C729" s="53"/>
      <c r="E729" s="53"/>
    </row>
    <row r="730" spans="3:5" x14ac:dyDescent="0.25">
      <c r="C730" s="53"/>
      <c r="E730" s="53"/>
    </row>
    <row r="731" spans="3:5" x14ac:dyDescent="0.25">
      <c r="C731" s="53"/>
      <c r="E731" s="53"/>
    </row>
    <row r="732" spans="3:5" x14ac:dyDescent="0.25">
      <c r="C732" s="53"/>
      <c r="E732" s="53"/>
    </row>
    <row r="733" spans="3:5" x14ac:dyDescent="0.25">
      <c r="C733" s="53"/>
      <c r="E733" s="53"/>
    </row>
    <row r="734" spans="3:5" x14ac:dyDescent="0.25">
      <c r="C734" s="53"/>
      <c r="E734" s="53"/>
    </row>
    <row r="735" spans="3:5" x14ac:dyDescent="0.25">
      <c r="C735" s="53"/>
      <c r="E735" s="53"/>
    </row>
    <row r="736" spans="3:5" x14ac:dyDescent="0.25">
      <c r="C736" s="53"/>
      <c r="E736" s="53"/>
    </row>
    <row r="737" spans="3:5" x14ac:dyDescent="0.25">
      <c r="C737" s="53"/>
      <c r="E737" s="53"/>
    </row>
    <row r="738" spans="3:5" x14ac:dyDescent="0.25">
      <c r="C738" s="53"/>
      <c r="E738" s="53"/>
    </row>
    <row r="739" spans="3:5" x14ac:dyDescent="0.25">
      <c r="C739" s="53"/>
      <c r="E739" s="53"/>
    </row>
    <row r="740" spans="3:5" x14ac:dyDescent="0.25">
      <c r="C740" s="53"/>
      <c r="E740" s="53"/>
    </row>
    <row r="741" spans="3:5" x14ac:dyDescent="0.25">
      <c r="C741" s="53"/>
      <c r="E741" s="53"/>
    </row>
    <row r="742" spans="3:5" x14ac:dyDescent="0.25">
      <c r="C742" s="53"/>
      <c r="E742" s="53"/>
    </row>
    <row r="743" spans="3:5" x14ac:dyDescent="0.25">
      <c r="C743" s="53"/>
      <c r="E743" s="53"/>
    </row>
    <row r="744" spans="3:5" x14ac:dyDescent="0.25">
      <c r="C744" s="53"/>
      <c r="E744" s="53"/>
    </row>
    <row r="745" spans="3:5" x14ac:dyDescent="0.25">
      <c r="C745" s="53"/>
      <c r="E745" s="53"/>
    </row>
    <row r="746" spans="3:5" x14ac:dyDescent="0.25">
      <c r="C746" s="53"/>
      <c r="E746" s="53"/>
    </row>
    <row r="747" spans="3:5" x14ac:dyDescent="0.25">
      <c r="C747" s="53"/>
      <c r="E747" s="53"/>
    </row>
    <row r="748" spans="3:5" x14ac:dyDescent="0.25">
      <c r="C748" s="53"/>
      <c r="E748" s="53"/>
    </row>
    <row r="749" spans="3:5" x14ac:dyDescent="0.25">
      <c r="C749" s="53"/>
      <c r="E749" s="53"/>
    </row>
    <row r="750" spans="3:5" x14ac:dyDescent="0.25">
      <c r="C750" s="53"/>
      <c r="E750" s="53"/>
    </row>
    <row r="751" spans="3:5" x14ac:dyDescent="0.25">
      <c r="C751" s="53"/>
      <c r="E751" s="53"/>
    </row>
    <row r="752" spans="3:5" x14ac:dyDescent="0.25">
      <c r="C752" s="53"/>
      <c r="E752" s="53"/>
    </row>
    <row r="753" spans="3:5" x14ac:dyDescent="0.25">
      <c r="C753" s="53"/>
      <c r="E753" s="53"/>
    </row>
    <row r="754" spans="3:5" x14ac:dyDescent="0.25">
      <c r="C754" s="53"/>
      <c r="E754" s="53"/>
    </row>
    <row r="755" spans="3:5" x14ac:dyDescent="0.25">
      <c r="C755" s="53"/>
      <c r="E755" s="53"/>
    </row>
    <row r="756" spans="3:5" x14ac:dyDescent="0.25">
      <c r="C756" s="53"/>
      <c r="E756" s="53"/>
    </row>
    <row r="757" spans="3:5" x14ac:dyDescent="0.25">
      <c r="C757" s="53"/>
      <c r="E757" s="53"/>
    </row>
    <row r="758" spans="3:5" x14ac:dyDescent="0.25">
      <c r="C758" s="53"/>
      <c r="E758" s="53"/>
    </row>
    <row r="759" spans="3:5" x14ac:dyDescent="0.25">
      <c r="C759" s="53"/>
      <c r="E759" s="53"/>
    </row>
    <row r="760" spans="3:5" x14ac:dyDescent="0.25">
      <c r="C760" s="53"/>
      <c r="E760" s="53"/>
    </row>
    <row r="761" spans="3:5" x14ac:dyDescent="0.25">
      <c r="C761" s="53"/>
      <c r="E761" s="53"/>
    </row>
    <row r="762" spans="3:5" x14ac:dyDescent="0.25">
      <c r="C762" s="53"/>
      <c r="E762" s="53"/>
    </row>
    <row r="763" spans="3:5" x14ac:dyDescent="0.25">
      <c r="C763" s="53"/>
      <c r="E763" s="53"/>
    </row>
    <row r="764" spans="3:5" x14ac:dyDescent="0.25">
      <c r="C764" s="53"/>
      <c r="E764" s="53"/>
    </row>
    <row r="765" spans="3:5" x14ac:dyDescent="0.25">
      <c r="C765" s="53"/>
      <c r="E765" s="53"/>
    </row>
    <row r="766" spans="3:5" x14ac:dyDescent="0.25">
      <c r="C766" s="53"/>
      <c r="E766" s="53"/>
    </row>
    <row r="767" spans="3:5" x14ac:dyDescent="0.25">
      <c r="C767" s="53"/>
      <c r="E767" s="53"/>
    </row>
    <row r="768" spans="3:5" x14ac:dyDescent="0.25">
      <c r="C768" s="53"/>
      <c r="E768" s="53"/>
    </row>
    <row r="769" spans="3:5" x14ac:dyDescent="0.25">
      <c r="C769" s="53"/>
      <c r="E769" s="53"/>
    </row>
    <row r="770" spans="3:5" x14ac:dyDescent="0.25">
      <c r="C770" s="53"/>
      <c r="E770" s="53"/>
    </row>
    <row r="771" spans="3:5" x14ac:dyDescent="0.25">
      <c r="C771" s="53"/>
      <c r="E771" s="53"/>
    </row>
    <row r="772" spans="3:5" x14ac:dyDescent="0.25">
      <c r="C772" s="53"/>
      <c r="E772" s="53"/>
    </row>
    <row r="773" spans="3:5" x14ac:dyDescent="0.25">
      <c r="C773" s="53"/>
      <c r="E773" s="53"/>
    </row>
    <row r="774" spans="3:5" x14ac:dyDescent="0.25">
      <c r="C774" s="53"/>
      <c r="E774" s="53"/>
    </row>
    <row r="775" spans="3:5" x14ac:dyDescent="0.25">
      <c r="C775" s="53"/>
      <c r="E775" s="53"/>
    </row>
    <row r="776" spans="3:5" x14ac:dyDescent="0.25">
      <c r="C776" s="53"/>
      <c r="E776" s="53"/>
    </row>
    <row r="777" spans="3:5" x14ac:dyDescent="0.25">
      <c r="C777" s="53"/>
      <c r="E777" s="53"/>
    </row>
    <row r="778" spans="3:5" x14ac:dyDescent="0.25">
      <c r="C778" s="53"/>
      <c r="E778" s="53"/>
    </row>
    <row r="779" spans="3:5" x14ac:dyDescent="0.25">
      <c r="C779" s="53"/>
      <c r="E779" s="53"/>
    </row>
    <row r="780" spans="3:5" x14ac:dyDescent="0.25">
      <c r="C780" s="53"/>
      <c r="E780" s="53"/>
    </row>
    <row r="781" spans="3:5" x14ac:dyDescent="0.25">
      <c r="C781" s="53"/>
      <c r="E781" s="53"/>
    </row>
    <row r="782" spans="3:5" x14ac:dyDescent="0.25">
      <c r="C782" s="53"/>
      <c r="E782" s="53"/>
    </row>
    <row r="783" spans="3:5" x14ac:dyDescent="0.25">
      <c r="C783" s="53"/>
      <c r="E783" s="53"/>
    </row>
    <row r="784" spans="3:5" x14ac:dyDescent="0.25">
      <c r="C784" s="53"/>
      <c r="E784" s="53"/>
    </row>
    <row r="785" spans="3:5" x14ac:dyDescent="0.25">
      <c r="C785" s="53"/>
      <c r="E785" s="53"/>
    </row>
    <row r="786" spans="3:5" x14ac:dyDescent="0.25">
      <c r="C786" s="53"/>
      <c r="E786" s="53"/>
    </row>
    <row r="787" spans="3:5" x14ac:dyDescent="0.25">
      <c r="C787" s="53"/>
      <c r="E787" s="53"/>
    </row>
    <row r="788" spans="3:5" x14ac:dyDescent="0.25">
      <c r="C788" s="53"/>
      <c r="E788" s="53"/>
    </row>
    <row r="789" spans="3:5" x14ac:dyDescent="0.25">
      <c r="C789" s="53"/>
      <c r="E789" s="53"/>
    </row>
    <row r="790" spans="3:5" x14ac:dyDescent="0.25">
      <c r="C790" s="53"/>
      <c r="E790" s="53"/>
    </row>
    <row r="791" spans="3:5" x14ac:dyDescent="0.25">
      <c r="C791" s="53"/>
      <c r="E791" s="53"/>
    </row>
    <row r="792" spans="3:5" x14ac:dyDescent="0.25">
      <c r="C792" s="53"/>
      <c r="E792" s="53"/>
    </row>
    <row r="793" spans="3:5" x14ac:dyDescent="0.25">
      <c r="C793" s="53"/>
      <c r="E793" s="53"/>
    </row>
    <row r="794" spans="3:5" x14ac:dyDescent="0.25">
      <c r="C794" s="53"/>
      <c r="E794" s="53"/>
    </row>
    <row r="795" spans="3:5" x14ac:dyDescent="0.25">
      <c r="C795" s="53"/>
      <c r="E795" s="53"/>
    </row>
    <row r="796" spans="3:5" x14ac:dyDescent="0.25">
      <c r="C796" s="53"/>
      <c r="E796" s="53"/>
    </row>
    <row r="797" spans="3:5" x14ac:dyDescent="0.25">
      <c r="C797" s="53"/>
      <c r="E797" s="53"/>
    </row>
    <row r="798" spans="3:5" x14ac:dyDescent="0.25">
      <c r="C798" s="53"/>
      <c r="E798" s="53"/>
    </row>
    <row r="799" spans="3:5" x14ac:dyDescent="0.25">
      <c r="C799" s="53"/>
      <c r="E799" s="53"/>
    </row>
    <row r="800" spans="3:5" x14ac:dyDescent="0.25">
      <c r="C800" s="53"/>
      <c r="E800" s="53"/>
    </row>
    <row r="801" spans="3:5" x14ac:dyDescent="0.25">
      <c r="C801" s="53"/>
      <c r="E801" s="53"/>
    </row>
    <row r="802" spans="3:5" x14ac:dyDescent="0.25">
      <c r="C802" s="53"/>
      <c r="E802" s="53"/>
    </row>
    <row r="803" spans="3:5" x14ac:dyDescent="0.25">
      <c r="C803" s="53"/>
      <c r="E803" s="53"/>
    </row>
    <row r="804" spans="3:5" x14ac:dyDescent="0.25">
      <c r="C804" s="53"/>
      <c r="E804" s="53"/>
    </row>
    <row r="805" spans="3:5" x14ac:dyDescent="0.25">
      <c r="C805" s="53"/>
      <c r="E805" s="53"/>
    </row>
    <row r="806" spans="3:5" x14ac:dyDescent="0.25">
      <c r="C806" s="53"/>
      <c r="E806" s="53"/>
    </row>
    <row r="807" spans="3:5" x14ac:dyDescent="0.25">
      <c r="C807" s="53"/>
      <c r="E807" s="53"/>
    </row>
    <row r="808" spans="3:5" x14ac:dyDescent="0.25">
      <c r="C808" s="53"/>
      <c r="E808" s="53"/>
    </row>
    <row r="809" spans="3:5" x14ac:dyDescent="0.25">
      <c r="C809" s="53"/>
      <c r="E809" s="53"/>
    </row>
    <row r="810" spans="3:5" x14ac:dyDescent="0.25">
      <c r="C810" s="53"/>
      <c r="E810" s="53"/>
    </row>
    <row r="811" spans="3:5" x14ac:dyDescent="0.25">
      <c r="C811" s="53"/>
      <c r="E811" s="53"/>
    </row>
    <row r="812" spans="3:5" x14ac:dyDescent="0.25">
      <c r="C812" s="53"/>
      <c r="E812" s="53"/>
    </row>
    <row r="813" spans="3:5" x14ac:dyDescent="0.25">
      <c r="C813" s="53"/>
      <c r="E813" s="53"/>
    </row>
    <row r="814" spans="3:5" x14ac:dyDescent="0.25">
      <c r="C814" s="53"/>
      <c r="E814" s="53"/>
    </row>
    <row r="815" spans="3:5" x14ac:dyDescent="0.25">
      <c r="C815" s="53"/>
      <c r="E815" s="53"/>
    </row>
    <row r="816" spans="3:5" x14ac:dyDescent="0.25">
      <c r="C816" s="53"/>
      <c r="E816" s="53"/>
    </row>
    <row r="817" spans="3:5" x14ac:dyDescent="0.25">
      <c r="C817" s="53"/>
      <c r="E817" s="53"/>
    </row>
    <row r="818" spans="3:5" x14ac:dyDescent="0.25">
      <c r="C818" s="53"/>
      <c r="E818" s="53"/>
    </row>
    <row r="819" spans="3:5" x14ac:dyDescent="0.25">
      <c r="C819" s="53"/>
      <c r="E819" s="53"/>
    </row>
    <row r="820" spans="3:5" x14ac:dyDescent="0.25">
      <c r="C820" s="53"/>
      <c r="E820" s="53"/>
    </row>
    <row r="821" spans="3:5" x14ac:dyDescent="0.25">
      <c r="C821" s="53"/>
      <c r="E821" s="53"/>
    </row>
    <row r="822" spans="3:5" x14ac:dyDescent="0.25">
      <c r="C822" s="53"/>
      <c r="E822" s="53"/>
    </row>
    <row r="823" spans="3:5" x14ac:dyDescent="0.25">
      <c r="C823" s="53"/>
      <c r="E823" s="53"/>
    </row>
    <row r="824" spans="3:5" x14ac:dyDescent="0.25">
      <c r="C824" s="53"/>
      <c r="E824" s="53"/>
    </row>
    <row r="825" spans="3:5" x14ac:dyDescent="0.25">
      <c r="C825" s="53"/>
      <c r="E825" s="53"/>
    </row>
    <row r="826" spans="3:5" x14ac:dyDescent="0.25">
      <c r="C826" s="53"/>
      <c r="E826" s="53"/>
    </row>
    <row r="827" spans="3:5" x14ac:dyDescent="0.25">
      <c r="C827" s="53"/>
      <c r="E827" s="53"/>
    </row>
    <row r="828" spans="3:5" x14ac:dyDescent="0.25">
      <c r="C828" s="53"/>
      <c r="E828" s="53"/>
    </row>
    <row r="829" spans="3:5" x14ac:dyDescent="0.25">
      <c r="C829" s="53"/>
      <c r="E829" s="53"/>
    </row>
    <row r="830" spans="3:5" x14ac:dyDescent="0.25">
      <c r="C830" s="53"/>
      <c r="E830" s="53"/>
    </row>
    <row r="831" spans="3:5" x14ac:dyDescent="0.25">
      <c r="C831" s="53"/>
      <c r="E831" s="53"/>
    </row>
    <row r="832" spans="3:5" x14ac:dyDescent="0.25">
      <c r="C832" s="53"/>
      <c r="E832" s="53"/>
    </row>
    <row r="833" spans="3:5" x14ac:dyDescent="0.25">
      <c r="C833" s="53"/>
      <c r="E833" s="53"/>
    </row>
    <row r="834" spans="3:5" x14ac:dyDescent="0.25">
      <c r="C834" s="53"/>
      <c r="E834" s="53"/>
    </row>
    <row r="835" spans="3:5" x14ac:dyDescent="0.25">
      <c r="C835" s="53"/>
      <c r="E835" s="53"/>
    </row>
    <row r="836" spans="3:5" x14ac:dyDescent="0.25">
      <c r="C836" s="53"/>
      <c r="E836" s="53"/>
    </row>
    <row r="837" spans="3:5" x14ac:dyDescent="0.25">
      <c r="C837" s="53"/>
      <c r="E837" s="53"/>
    </row>
    <row r="838" spans="3:5" x14ac:dyDescent="0.25">
      <c r="C838" s="53"/>
      <c r="E838" s="53"/>
    </row>
    <row r="839" spans="3:5" x14ac:dyDescent="0.25">
      <c r="C839" s="53"/>
      <c r="E839" s="53"/>
    </row>
    <row r="840" spans="3:5" x14ac:dyDescent="0.25">
      <c r="C840" s="53"/>
      <c r="E840" s="53"/>
    </row>
    <row r="841" spans="3:5" x14ac:dyDescent="0.25">
      <c r="C841" s="53"/>
      <c r="E841" s="53"/>
    </row>
    <row r="842" spans="3:5" x14ac:dyDescent="0.25">
      <c r="C842" s="53"/>
      <c r="E842" s="53"/>
    </row>
    <row r="843" spans="3:5" x14ac:dyDescent="0.25">
      <c r="C843" s="53"/>
      <c r="E843" s="53"/>
    </row>
    <row r="844" spans="3:5" x14ac:dyDescent="0.25">
      <c r="C844" s="53"/>
      <c r="E844" s="53"/>
    </row>
    <row r="845" spans="3:5" x14ac:dyDescent="0.25">
      <c r="C845" s="53"/>
      <c r="E845" s="53"/>
    </row>
    <row r="846" spans="3:5" x14ac:dyDescent="0.25">
      <c r="C846" s="53"/>
      <c r="E846" s="53"/>
    </row>
    <row r="847" spans="3:5" x14ac:dyDescent="0.25">
      <c r="C847" s="53"/>
      <c r="E847" s="53"/>
    </row>
    <row r="848" spans="3:5" x14ac:dyDescent="0.25">
      <c r="C848" s="53"/>
      <c r="E848" s="53"/>
    </row>
    <row r="849" spans="3:5" x14ac:dyDescent="0.25">
      <c r="C849" s="53"/>
      <c r="E849" s="53"/>
    </row>
    <row r="850" spans="3:5" x14ac:dyDescent="0.25">
      <c r="C850" s="53"/>
      <c r="E850" s="53"/>
    </row>
    <row r="851" spans="3:5" x14ac:dyDescent="0.25">
      <c r="C851" s="53"/>
      <c r="E851" s="53"/>
    </row>
    <row r="852" spans="3:5" x14ac:dyDescent="0.25">
      <c r="C852" s="53"/>
      <c r="E852" s="53"/>
    </row>
    <row r="853" spans="3:5" x14ac:dyDescent="0.25">
      <c r="C853" s="53"/>
      <c r="E853" s="53"/>
    </row>
    <row r="854" spans="3:5" x14ac:dyDescent="0.25">
      <c r="C854" s="53"/>
      <c r="E854" s="53"/>
    </row>
    <row r="855" spans="3:5" x14ac:dyDescent="0.25">
      <c r="C855" s="53"/>
      <c r="E855" s="53"/>
    </row>
    <row r="856" spans="3:5" x14ac:dyDescent="0.25">
      <c r="C856" s="53"/>
      <c r="E856" s="53"/>
    </row>
    <row r="857" spans="3:5" x14ac:dyDescent="0.25">
      <c r="C857" s="53"/>
      <c r="E857" s="53"/>
    </row>
    <row r="858" spans="3:5" x14ac:dyDescent="0.25">
      <c r="C858" s="53"/>
      <c r="E858" s="53"/>
    </row>
    <row r="859" spans="3:5" x14ac:dyDescent="0.25">
      <c r="C859" s="53"/>
      <c r="E859" s="53"/>
    </row>
    <row r="860" spans="3:5" x14ac:dyDescent="0.25">
      <c r="C860" s="53"/>
      <c r="E860" s="53"/>
    </row>
    <row r="861" spans="3:5" x14ac:dyDescent="0.25">
      <c r="C861" s="53"/>
      <c r="E861" s="53"/>
    </row>
    <row r="862" spans="3:5" x14ac:dyDescent="0.25">
      <c r="C862" s="53"/>
      <c r="E862" s="53"/>
    </row>
    <row r="863" spans="3:5" x14ac:dyDescent="0.25">
      <c r="C863" s="53"/>
      <c r="E863" s="53"/>
    </row>
    <row r="864" spans="3:5" x14ac:dyDescent="0.25">
      <c r="C864" s="53"/>
      <c r="E864" s="53"/>
    </row>
    <row r="865" spans="3:5" x14ac:dyDescent="0.25">
      <c r="C865" s="53"/>
      <c r="E865" s="53"/>
    </row>
    <row r="866" spans="3:5" x14ac:dyDescent="0.25">
      <c r="C866" s="53"/>
      <c r="E866" s="53"/>
    </row>
    <row r="867" spans="3:5" x14ac:dyDescent="0.25">
      <c r="C867" s="53"/>
      <c r="E867" s="53"/>
    </row>
    <row r="868" spans="3:5" x14ac:dyDescent="0.25">
      <c r="C868" s="53"/>
      <c r="E868" s="53"/>
    </row>
    <row r="869" spans="3:5" x14ac:dyDescent="0.25">
      <c r="C869" s="53"/>
      <c r="E869" s="53"/>
    </row>
    <row r="870" spans="3:5" x14ac:dyDescent="0.25">
      <c r="C870" s="53"/>
      <c r="E870" s="53"/>
    </row>
    <row r="871" spans="3:5" x14ac:dyDescent="0.25">
      <c r="C871" s="53"/>
      <c r="E871" s="53"/>
    </row>
    <row r="872" spans="3:5" x14ac:dyDescent="0.25">
      <c r="C872" s="53"/>
      <c r="E872" s="53"/>
    </row>
    <row r="873" spans="3:5" x14ac:dyDescent="0.25">
      <c r="C873" s="53"/>
      <c r="E873" s="53"/>
    </row>
    <row r="874" spans="3:5" x14ac:dyDescent="0.25">
      <c r="C874" s="53"/>
      <c r="E874" s="53"/>
    </row>
    <row r="875" spans="3:5" x14ac:dyDescent="0.25">
      <c r="C875" s="53"/>
      <c r="E875" s="53"/>
    </row>
    <row r="876" spans="3:5" x14ac:dyDescent="0.25">
      <c r="C876" s="53"/>
      <c r="E876" s="53"/>
    </row>
    <row r="877" spans="3:5" x14ac:dyDescent="0.25">
      <c r="C877" s="53"/>
      <c r="E877" s="53"/>
    </row>
    <row r="878" spans="3:5" x14ac:dyDescent="0.25">
      <c r="C878" s="53"/>
      <c r="E878" s="53"/>
    </row>
    <row r="879" spans="3:5" x14ac:dyDescent="0.25">
      <c r="C879" s="53"/>
      <c r="E879" s="53"/>
    </row>
    <row r="880" spans="3:5" x14ac:dyDescent="0.25">
      <c r="C880" s="53"/>
      <c r="E880" s="53"/>
    </row>
    <row r="881" spans="3:5" x14ac:dyDescent="0.25">
      <c r="C881" s="53"/>
      <c r="E881" s="53"/>
    </row>
    <row r="882" spans="3:5" x14ac:dyDescent="0.25">
      <c r="C882" s="53"/>
      <c r="E882" s="53"/>
    </row>
    <row r="883" spans="3:5" x14ac:dyDescent="0.25">
      <c r="C883" s="53"/>
      <c r="E883" s="53"/>
    </row>
    <row r="884" spans="3:5" x14ac:dyDescent="0.25">
      <c r="C884" s="53"/>
      <c r="E884" s="53"/>
    </row>
    <row r="885" spans="3:5" x14ac:dyDescent="0.25">
      <c r="C885" s="53"/>
      <c r="E885" s="53"/>
    </row>
    <row r="886" spans="3:5" x14ac:dyDescent="0.25">
      <c r="C886" s="53"/>
      <c r="E886" s="53"/>
    </row>
    <row r="887" spans="3:5" x14ac:dyDescent="0.25">
      <c r="C887" s="53"/>
      <c r="E887" s="53"/>
    </row>
    <row r="888" spans="3:5" x14ac:dyDescent="0.25">
      <c r="C888" s="53"/>
      <c r="E888" s="53"/>
    </row>
    <row r="889" spans="3:5" x14ac:dyDescent="0.25">
      <c r="C889" s="53"/>
      <c r="E889" s="53"/>
    </row>
    <row r="890" spans="3:5" x14ac:dyDescent="0.25">
      <c r="C890" s="53"/>
      <c r="E890" s="53"/>
    </row>
    <row r="891" spans="3:5" x14ac:dyDescent="0.25">
      <c r="C891" s="53"/>
      <c r="E891" s="53"/>
    </row>
    <row r="892" spans="3:5" x14ac:dyDescent="0.25">
      <c r="C892" s="53"/>
      <c r="E892" s="53"/>
    </row>
    <row r="893" spans="3:5" x14ac:dyDescent="0.25">
      <c r="C893" s="53"/>
      <c r="E893" s="53"/>
    </row>
    <row r="894" spans="3:5" x14ac:dyDescent="0.25">
      <c r="C894" s="53"/>
      <c r="E894" s="53"/>
    </row>
    <row r="895" spans="3:5" x14ac:dyDescent="0.25">
      <c r="C895" s="53"/>
      <c r="E895" s="53"/>
    </row>
    <row r="896" spans="3:5" x14ac:dyDescent="0.25">
      <c r="C896" s="53"/>
      <c r="E896" s="53"/>
    </row>
    <row r="897" spans="3:5" x14ac:dyDescent="0.25">
      <c r="C897" s="53"/>
      <c r="E897" s="53"/>
    </row>
    <row r="898" spans="3:5" x14ac:dyDescent="0.25">
      <c r="C898" s="53"/>
      <c r="E898" s="53"/>
    </row>
    <row r="899" spans="3:5" x14ac:dyDescent="0.25">
      <c r="C899" s="53"/>
      <c r="E899" s="53"/>
    </row>
    <row r="900" spans="3:5" x14ac:dyDescent="0.25">
      <c r="C900" s="53"/>
      <c r="E900" s="53"/>
    </row>
    <row r="901" spans="3:5" x14ac:dyDescent="0.25">
      <c r="C901" s="53"/>
      <c r="E901" s="53"/>
    </row>
    <row r="902" spans="3:5" x14ac:dyDescent="0.25">
      <c r="C902" s="53"/>
      <c r="E902" s="53"/>
    </row>
    <row r="903" spans="3:5" x14ac:dyDescent="0.25">
      <c r="C903" s="53"/>
      <c r="E903" s="53"/>
    </row>
    <row r="904" spans="3:5" x14ac:dyDescent="0.25">
      <c r="C904" s="53"/>
      <c r="E904" s="53"/>
    </row>
    <row r="905" spans="3:5" x14ac:dyDescent="0.25">
      <c r="C905" s="53"/>
      <c r="E905" s="53"/>
    </row>
    <row r="906" spans="3:5" x14ac:dyDescent="0.25">
      <c r="C906" s="53"/>
      <c r="E906" s="53"/>
    </row>
    <row r="907" spans="3:5" x14ac:dyDescent="0.25">
      <c r="C907" s="53"/>
      <c r="E907" s="53"/>
    </row>
    <row r="908" spans="3:5" x14ac:dyDescent="0.25">
      <c r="C908" s="53"/>
      <c r="E908" s="53"/>
    </row>
    <row r="909" spans="3:5" x14ac:dyDescent="0.25">
      <c r="C909" s="53"/>
      <c r="E909" s="53"/>
    </row>
    <row r="910" spans="3:5" x14ac:dyDescent="0.25">
      <c r="C910" s="53"/>
      <c r="E910" s="53"/>
    </row>
    <row r="911" spans="3:5" x14ac:dyDescent="0.25">
      <c r="C911" s="53"/>
      <c r="E911" s="53"/>
    </row>
    <row r="912" spans="3:5" x14ac:dyDescent="0.25">
      <c r="C912" s="53"/>
      <c r="E912" s="53"/>
    </row>
    <row r="913" spans="3:5" x14ac:dyDescent="0.25">
      <c r="C913" s="53"/>
      <c r="E913" s="53"/>
    </row>
    <row r="914" spans="3:5" x14ac:dyDescent="0.25">
      <c r="C914" s="53"/>
      <c r="E914" s="53"/>
    </row>
    <row r="915" spans="3:5" x14ac:dyDescent="0.25">
      <c r="C915" s="53"/>
      <c r="E915" s="53"/>
    </row>
    <row r="916" spans="3:5" x14ac:dyDescent="0.25">
      <c r="C916" s="53"/>
      <c r="E916" s="53"/>
    </row>
    <row r="917" spans="3:5" x14ac:dyDescent="0.25">
      <c r="C917" s="53"/>
      <c r="E917" s="53"/>
    </row>
    <row r="918" spans="3:5" x14ac:dyDescent="0.25">
      <c r="C918" s="53"/>
      <c r="E918" s="53"/>
    </row>
    <row r="919" spans="3:5" x14ac:dyDescent="0.25">
      <c r="C919" s="53"/>
      <c r="E919" s="53"/>
    </row>
    <row r="920" spans="3:5" x14ac:dyDescent="0.25">
      <c r="C920" s="53"/>
      <c r="E920" s="53"/>
    </row>
    <row r="921" spans="3:5" x14ac:dyDescent="0.25">
      <c r="C921" s="53"/>
      <c r="E921" s="53"/>
    </row>
    <row r="922" spans="3:5" x14ac:dyDescent="0.25">
      <c r="C922" s="53"/>
      <c r="E922" s="53"/>
    </row>
    <row r="923" spans="3:5" x14ac:dyDescent="0.25">
      <c r="C923" s="53"/>
      <c r="E923" s="53"/>
    </row>
    <row r="924" spans="3:5" x14ac:dyDescent="0.25">
      <c r="C924" s="53"/>
      <c r="E924" s="53"/>
    </row>
    <row r="925" spans="3:5" x14ac:dyDescent="0.25">
      <c r="C925" s="53"/>
      <c r="E925" s="53"/>
    </row>
    <row r="926" spans="3:5" x14ac:dyDescent="0.25">
      <c r="C926" s="53"/>
      <c r="E926" s="53"/>
    </row>
    <row r="927" spans="3:5" x14ac:dyDescent="0.25">
      <c r="C927" s="53"/>
      <c r="E927" s="53"/>
    </row>
    <row r="928" spans="3:5" x14ac:dyDescent="0.25">
      <c r="C928" s="53"/>
      <c r="E928" s="53"/>
    </row>
    <row r="929" spans="3:5" x14ac:dyDescent="0.25">
      <c r="C929" s="53"/>
      <c r="E929" s="53"/>
    </row>
    <row r="930" spans="3:5" x14ac:dyDescent="0.25">
      <c r="C930" s="53"/>
      <c r="E930" s="53"/>
    </row>
    <row r="931" spans="3:5" x14ac:dyDescent="0.25">
      <c r="C931" s="53"/>
      <c r="E931" s="53"/>
    </row>
    <row r="932" spans="3:5" x14ac:dyDescent="0.25">
      <c r="C932" s="53"/>
      <c r="E932" s="53"/>
    </row>
    <row r="933" spans="3:5" x14ac:dyDescent="0.25">
      <c r="C933" s="53"/>
      <c r="E933" s="53"/>
    </row>
    <row r="934" spans="3:5" x14ac:dyDescent="0.25">
      <c r="C934" s="53"/>
      <c r="E934" s="53"/>
    </row>
    <row r="935" spans="3:5" x14ac:dyDescent="0.25">
      <c r="C935" s="53"/>
      <c r="E935" s="53"/>
    </row>
    <row r="936" spans="3:5" x14ac:dyDescent="0.25">
      <c r="C936" s="53"/>
      <c r="E936" s="53"/>
    </row>
    <row r="937" spans="3:5" x14ac:dyDescent="0.25">
      <c r="C937" s="53"/>
      <c r="E937" s="53"/>
    </row>
    <row r="938" spans="3:5" x14ac:dyDescent="0.25">
      <c r="C938" s="53"/>
      <c r="E938" s="53"/>
    </row>
    <row r="939" spans="3:5" x14ac:dyDescent="0.25">
      <c r="C939" s="53"/>
      <c r="E939" s="53"/>
    </row>
    <row r="940" spans="3:5" x14ac:dyDescent="0.25">
      <c r="C940" s="53"/>
      <c r="E940" s="53"/>
    </row>
    <row r="941" spans="3:5" x14ac:dyDescent="0.25">
      <c r="C941" s="53"/>
      <c r="E941" s="53"/>
    </row>
    <row r="942" spans="3:5" x14ac:dyDescent="0.25">
      <c r="C942" s="53"/>
      <c r="E942" s="53"/>
    </row>
    <row r="943" spans="3:5" x14ac:dyDescent="0.25">
      <c r="C943" s="53"/>
      <c r="E943" s="53"/>
    </row>
    <row r="944" spans="3:5" x14ac:dyDescent="0.25">
      <c r="C944" s="53"/>
      <c r="E944" s="53"/>
    </row>
    <row r="945" spans="3:5" x14ac:dyDescent="0.25">
      <c r="C945" s="53"/>
      <c r="E945" s="53"/>
    </row>
    <row r="946" spans="3:5" x14ac:dyDescent="0.25">
      <c r="C946" s="53"/>
      <c r="E946" s="53"/>
    </row>
    <row r="947" spans="3:5" x14ac:dyDescent="0.25">
      <c r="C947" s="53"/>
      <c r="E947" s="53"/>
    </row>
    <row r="948" spans="3:5" x14ac:dyDescent="0.25">
      <c r="C948" s="53"/>
      <c r="E948" s="53"/>
    </row>
    <row r="949" spans="3:5" x14ac:dyDescent="0.25">
      <c r="C949" s="53"/>
      <c r="E949" s="53"/>
    </row>
    <row r="950" spans="3:5" x14ac:dyDescent="0.25">
      <c r="C950" s="53"/>
      <c r="E950" s="53"/>
    </row>
    <row r="951" spans="3:5" x14ac:dyDescent="0.25">
      <c r="C951" s="53"/>
      <c r="E951" s="53"/>
    </row>
    <row r="952" spans="3:5" x14ac:dyDescent="0.25">
      <c r="C952" s="53"/>
      <c r="E952" s="53"/>
    </row>
    <row r="953" spans="3:5" x14ac:dyDescent="0.25">
      <c r="C953" s="53"/>
      <c r="E953" s="53"/>
    </row>
    <row r="954" spans="3:5" x14ac:dyDescent="0.25">
      <c r="C954" s="53"/>
      <c r="E954" s="53"/>
    </row>
    <row r="955" spans="3:5" x14ac:dyDescent="0.25">
      <c r="C955" s="53"/>
      <c r="E955" s="53"/>
    </row>
    <row r="956" spans="3:5" x14ac:dyDescent="0.25">
      <c r="C956" s="53"/>
      <c r="E956" s="53"/>
    </row>
    <row r="957" spans="3:5" x14ac:dyDescent="0.25">
      <c r="C957" s="53"/>
      <c r="E957" s="53"/>
    </row>
    <row r="958" spans="3:5" x14ac:dyDescent="0.25">
      <c r="C958" s="53"/>
      <c r="E958" s="53"/>
    </row>
    <row r="959" spans="3:5" x14ac:dyDescent="0.25">
      <c r="C959" s="53"/>
      <c r="E959" s="53"/>
    </row>
    <row r="960" spans="3:5" x14ac:dyDescent="0.25">
      <c r="C960" s="53"/>
      <c r="E960" s="53"/>
    </row>
    <row r="961" spans="3:5" x14ac:dyDescent="0.25">
      <c r="C961" s="53"/>
      <c r="E961" s="53"/>
    </row>
    <row r="962" spans="3:5" x14ac:dyDescent="0.25">
      <c r="C962" s="53"/>
      <c r="E962" s="53"/>
    </row>
    <row r="963" spans="3:5" x14ac:dyDescent="0.25">
      <c r="C963" s="53"/>
      <c r="E963" s="53"/>
    </row>
    <row r="964" spans="3:5" x14ac:dyDescent="0.25">
      <c r="C964" s="53"/>
      <c r="E964" s="53"/>
    </row>
    <row r="965" spans="3:5" x14ac:dyDescent="0.25">
      <c r="C965" s="53"/>
      <c r="E965" s="53"/>
    </row>
    <row r="966" spans="3:5" x14ac:dyDescent="0.25">
      <c r="C966" s="53"/>
      <c r="E966" s="53"/>
    </row>
    <row r="967" spans="3:5" x14ac:dyDescent="0.25">
      <c r="C967" s="53"/>
      <c r="E967" s="53"/>
    </row>
    <row r="968" spans="3:5" x14ac:dyDescent="0.25">
      <c r="C968" s="53"/>
      <c r="E968" s="53"/>
    </row>
    <row r="969" spans="3:5" x14ac:dyDescent="0.25">
      <c r="C969" s="53"/>
      <c r="E969" s="53"/>
    </row>
    <row r="970" spans="3:5" x14ac:dyDescent="0.25">
      <c r="C970" s="53"/>
      <c r="E970" s="53"/>
    </row>
    <row r="971" spans="3:5" x14ac:dyDescent="0.25">
      <c r="C971" s="53"/>
      <c r="E971" s="53"/>
    </row>
    <row r="972" spans="3:5" x14ac:dyDescent="0.25">
      <c r="C972" s="53"/>
      <c r="E972" s="53"/>
    </row>
    <row r="973" spans="3:5" x14ac:dyDescent="0.25">
      <c r="C973" s="53"/>
      <c r="E973" s="53"/>
    </row>
    <row r="974" spans="3:5" x14ac:dyDescent="0.25">
      <c r="C974" s="53"/>
      <c r="E974" s="53"/>
    </row>
    <row r="975" spans="3:5" x14ac:dyDescent="0.25">
      <c r="C975" s="53"/>
      <c r="E975" s="53"/>
    </row>
    <row r="976" spans="3:5" x14ac:dyDescent="0.25">
      <c r="C976" s="53"/>
      <c r="E976" s="53"/>
    </row>
    <row r="977" spans="3:5" x14ac:dyDescent="0.25">
      <c r="C977" s="53"/>
      <c r="E977" s="53"/>
    </row>
    <row r="978" spans="3:5" x14ac:dyDescent="0.25">
      <c r="C978" s="53"/>
      <c r="E978" s="53"/>
    </row>
    <row r="979" spans="3:5" x14ac:dyDescent="0.25">
      <c r="C979" s="53"/>
      <c r="E979" s="53"/>
    </row>
    <row r="980" spans="3:5" x14ac:dyDescent="0.25">
      <c r="C980" s="53"/>
      <c r="E980" s="53"/>
    </row>
    <row r="981" spans="3:5" x14ac:dyDescent="0.25">
      <c r="C981" s="53"/>
      <c r="E981" s="53"/>
    </row>
    <row r="982" spans="3:5" x14ac:dyDescent="0.25">
      <c r="C982" s="53"/>
      <c r="E982" s="53"/>
    </row>
    <row r="983" spans="3:5" x14ac:dyDescent="0.25">
      <c r="C983" s="53"/>
      <c r="E983" s="53"/>
    </row>
    <row r="984" spans="3:5" x14ac:dyDescent="0.25">
      <c r="C984" s="53"/>
      <c r="E984" s="53"/>
    </row>
    <row r="985" spans="3:5" x14ac:dyDescent="0.25">
      <c r="C985" s="53"/>
      <c r="E985" s="53"/>
    </row>
    <row r="986" spans="3:5" x14ac:dyDescent="0.25">
      <c r="C986" s="53"/>
      <c r="E986" s="53"/>
    </row>
    <row r="987" spans="3:5" x14ac:dyDescent="0.25">
      <c r="C987" s="53"/>
      <c r="E987" s="53"/>
    </row>
    <row r="988" spans="3:5" x14ac:dyDescent="0.25">
      <c r="C988" s="53"/>
      <c r="E988" s="53"/>
    </row>
    <row r="989" spans="3:5" x14ac:dyDescent="0.25">
      <c r="C989" s="53"/>
      <c r="E989" s="53"/>
    </row>
    <row r="990" spans="3:5" x14ac:dyDescent="0.25">
      <c r="C990" s="53"/>
      <c r="E990" s="53"/>
    </row>
    <row r="991" spans="3:5" x14ac:dyDescent="0.25">
      <c r="C991" s="53"/>
      <c r="E991" s="53"/>
    </row>
    <row r="992" spans="3:5" x14ac:dyDescent="0.25">
      <c r="C992" s="53"/>
      <c r="E992" s="53"/>
    </row>
    <row r="993" spans="3:5" x14ac:dyDescent="0.25">
      <c r="C993" s="53"/>
      <c r="E993" s="53"/>
    </row>
    <row r="994" spans="3:5" x14ac:dyDescent="0.25">
      <c r="C994" s="53"/>
      <c r="E994" s="53"/>
    </row>
    <row r="995" spans="3:5" x14ac:dyDescent="0.25">
      <c r="C995" s="53"/>
      <c r="E995" s="53"/>
    </row>
    <row r="996" spans="3:5" x14ac:dyDescent="0.25">
      <c r="C996" s="53"/>
      <c r="E996" s="53"/>
    </row>
    <row r="997" spans="3:5" x14ac:dyDescent="0.25">
      <c r="C997" s="53"/>
      <c r="E997" s="53"/>
    </row>
    <row r="998" spans="3:5" x14ac:dyDescent="0.25">
      <c r="C998" s="53"/>
      <c r="E998" s="53"/>
    </row>
    <row r="999" spans="3:5" x14ac:dyDescent="0.25">
      <c r="C999" s="53"/>
      <c r="E999" s="53"/>
    </row>
    <row r="1000" spans="3:5" x14ac:dyDescent="0.25">
      <c r="C1000" s="53"/>
      <c r="E1000" s="53"/>
    </row>
    <row r="1001" spans="3:5" x14ac:dyDescent="0.25">
      <c r="C1001" s="53"/>
      <c r="E1001" s="53"/>
    </row>
    <row r="1002" spans="3:5" x14ac:dyDescent="0.25">
      <c r="C1002" s="53"/>
      <c r="E1002" s="53"/>
    </row>
    <row r="1003" spans="3:5" x14ac:dyDescent="0.25">
      <c r="C1003" s="53"/>
      <c r="E1003" s="53"/>
    </row>
    <row r="1004" spans="3:5" x14ac:dyDescent="0.25">
      <c r="C1004" s="53"/>
      <c r="E1004" s="53"/>
    </row>
    <row r="1005" spans="3:5" x14ac:dyDescent="0.25">
      <c r="C1005" s="53"/>
      <c r="E1005" s="53"/>
    </row>
    <row r="1006" spans="3:5" x14ac:dyDescent="0.25">
      <c r="C1006" s="53"/>
      <c r="E1006" s="53"/>
    </row>
    <row r="1007" spans="3:5" x14ac:dyDescent="0.25">
      <c r="C1007" s="53"/>
      <c r="E1007" s="53"/>
    </row>
    <row r="1008" spans="3:5" x14ac:dyDescent="0.25">
      <c r="C1008" s="53"/>
      <c r="E1008" s="53"/>
    </row>
    <row r="1009" spans="3:5" x14ac:dyDescent="0.25">
      <c r="C1009" s="53"/>
      <c r="E1009" s="53"/>
    </row>
    <row r="1010" spans="3:5" x14ac:dyDescent="0.25">
      <c r="C1010" s="53"/>
      <c r="E1010" s="53"/>
    </row>
    <row r="1011" spans="3:5" x14ac:dyDescent="0.25">
      <c r="C1011" s="53"/>
      <c r="E1011" s="53"/>
    </row>
    <row r="1012" spans="3:5" x14ac:dyDescent="0.25">
      <c r="C1012" s="53"/>
      <c r="E1012" s="53"/>
    </row>
    <row r="1013" spans="3:5" x14ac:dyDescent="0.25">
      <c r="C1013" s="53"/>
      <c r="E1013" s="53"/>
    </row>
    <row r="1014" spans="3:5" x14ac:dyDescent="0.25">
      <c r="C1014" s="53"/>
      <c r="E1014" s="53"/>
    </row>
    <row r="1015" spans="3:5" x14ac:dyDescent="0.25">
      <c r="C1015" s="53"/>
      <c r="E1015" s="53"/>
    </row>
    <row r="1016" spans="3:5" x14ac:dyDescent="0.25">
      <c r="C1016" s="53"/>
      <c r="E1016" s="53"/>
    </row>
    <row r="1017" spans="3:5" x14ac:dyDescent="0.25">
      <c r="C1017" s="53"/>
      <c r="E1017" s="53"/>
    </row>
    <row r="1018" spans="3:5" x14ac:dyDescent="0.25">
      <c r="C1018" s="53"/>
      <c r="E1018" s="53"/>
    </row>
    <row r="1019" spans="3:5" x14ac:dyDescent="0.25">
      <c r="C1019" s="53"/>
      <c r="E1019" s="53"/>
    </row>
    <row r="1020" spans="3:5" x14ac:dyDescent="0.25">
      <c r="C1020" s="53"/>
      <c r="E1020" s="53"/>
    </row>
    <row r="1021" spans="3:5" x14ac:dyDescent="0.25">
      <c r="C1021" s="53"/>
      <c r="E1021" s="53"/>
    </row>
    <row r="1022" spans="3:5" x14ac:dyDescent="0.25">
      <c r="C1022" s="53"/>
      <c r="E1022" s="53"/>
    </row>
    <row r="1023" spans="3:5" x14ac:dyDescent="0.25">
      <c r="C1023" s="53"/>
      <c r="E1023" s="53"/>
    </row>
    <row r="1024" spans="3:5" x14ac:dyDescent="0.25">
      <c r="C1024" s="53"/>
      <c r="E1024" s="53"/>
    </row>
    <row r="1025" spans="3:5" x14ac:dyDescent="0.25">
      <c r="C1025" s="53"/>
      <c r="E1025" s="53"/>
    </row>
    <row r="1026" spans="3:5" x14ac:dyDescent="0.25">
      <c r="C1026" s="53"/>
      <c r="E1026" s="53"/>
    </row>
    <row r="1027" spans="3:5" x14ac:dyDescent="0.25">
      <c r="C1027" s="53"/>
      <c r="E1027" s="53"/>
    </row>
    <row r="1028" spans="3:5" x14ac:dyDescent="0.25">
      <c r="C1028" s="53"/>
      <c r="E1028" s="53"/>
    </row>
    <row r="1029" spans="3:5" x14ac:dyDescent="0.25">
      <c r="C1029" s="53"/>
      <c r="E1029" s="53"/>
    </row>
    <row r="1030" spans="3:5" x14ac:dyDescent="0.25">
      <c r="C1030" s="53"/>
      <c r="E1030" s="53"/>
    </row>
    <row r="1031" spans="3:5" x14ac:dyDescent="0.25">
      <c r="C1031" s="53"/>
      <c r="E1031" s="53"/>
    </row>
    <row r="1032" spans="3:5" x14ac:dyDescent="0.25">
      <c r="C1032" s="53"/>
      <c r="E1032" s="53"/>
    </row>
    <row r="1033" spans="3:5" x14ac:dyDescent="0.25">
      <c r="C1033" s="53"/>
      <c r="E1033" s="53"/>
    </row>
    <row r="1034" spans="3:5" x14ac:dyDescent="0.25">
      <c r="C1034" s="53"/>
      <c r="E1034" s="53"/>
    </row>
    <row r="1035" spans="3:5" x14ac:dyDescent="0.25">
      <c r="C1035" s="53"/>
      <c r="E1035" s="53"/>
    </row>
    <row r="1036" spans="3:5" x14ac:dyDescent="0.25">
      <c r="C1036" s="53"/>
      <c r="E1036" s="53"/>
    </row>
    <row r="1037" spans="3:5" x14ac:dyDescent="0.25">
      <c r="C1037" s="53"/>
      <c r="E1037" s="53"/>
    </row>
    <row r="1038" spans="3:5" x14ac:dyDescent="0.25">
      <c r="C1038" s="53"/>
      <c r="E1038" s="53"/>
    </row>
    <row r="1039" spans="3:5" x14ac:dyDescent="0.25">
      <c r="C1039" s="53"/>
      <c r="E1039" s="53"/>
    </row>
    <row r="1040" spans="3:5" x14ac:dyDescent="0.25">
      <c r="C1040" s="53"/>
      <c r="E1040" s="53"/>
    </row>
    <row r="1041" spans="3:5" x14ac:dyDescent="0.25">
      <c r="C1041" s="53"/>
      <c r="E1041" s="53"/>
    </row>
    <row r="1042" spans="3:5" x14ac:dyDescent="0.25">
      <c r="C1042" s="53"/>
      <c r="E1042" s="53"/>
    </row>
    <row r="1043" spans="3:5" x14ac:dyDescent="0.25">
      <c r="C1043" s="53"/>
      <c r="E1043" s="53"/>
    </row>
    <row r="1044" spans="3:5" x14ac:dyDescent="0.25">
      <c r="C1044" s="53"/>
      <c r="E1044" s="53"/>
    </row>
    <row r="1045" spans="3:5" x14ac:dyDescent="0.25">
      <c r="C1045" s="53"/>
      <c r="E1045" s="53"/>
    </row>
    <row r="1046" spans="3:5" x14ac:dyDescent="0.25">
      <c r="C1046" s="53"/>
      <c r="E1046" s="53"/>
    </row>
    <row r="1047" spans="3:5" x14ac:dyDescent="0.25">
      <c r="C1047" s="53"/>
      <c r="E1047" s="53"/>
    </row>
    <row r="1048" spans="3:5" x14ac:dyDescent="0.25">
      <c r="C1048" s="53"/>
      <c r="E1048" s="53"/>
    </row>
    <row r="1049" spans="3:5" x14ac:dyDescent="0.25">
      <c r="C1049" s="53"/>
      <c r="E1049" s="53"/>
    </row>
    <row r="1050" spans="3:5" x14ac:dyDescent="0.25">
      <c r="C1050" s="53"/>
      <c r="E1050" s="53"/>
    </row>
    <row r="1051" spans="3:5" x14ac:dyDescent="0.25">
      <c r="C1051" s="53"/>
      <c r="E1051" s="53"/>
    </row>
    <row r="1052" spans="3:5" x14ac:dyDescent="0.25">
      <c r="C1052" s="53"/>
      <c r="E1052" s="53"/>
    </row>
    <row r="1053" spans="3:5" x14ac:dyDescent="0.25">
      <c r="C1053" s="53"/>
      <c r="E1053" s="53"/>
    </row>
    <row r="1054" spans="3:5" x14ac:dyDescent="0.25">
      <c r="C1054" s="53"/>
      <c r="E1054" s="53"/>
    </row>
    <row r="1055" spans="3:5" x14ac:dyDescent="0.25">
      <c r="C1055" s="53"/>
      <c r="E1055" s="53"/>
    </row>
    <row r="1056" spans="3:5" x14ac:dyDescent="0.25">
      <c r="C1056" s="53"/>
      <c r="E1056" s="53"/>
    </row>
    <row r="1057" spans="3:5" x14ac:dyDescent="0.25">
      <c r="C1057" s="53"/>
      <c r="E1057" s="53"/>
    </row>
    <row r="1058" spans="3:5" x14ac:dyDescent="0.25">
      <c r="C1058" s="53"/>
      <c r="E1058" s="53"/>
    </row>
    <row r="1059" spans="3:5" x14ac:dyDescent="0.25">
      <c r="C1059" s="53"/>
      <c r="E1059" s="53"/>
    </row>
    <row r="1060" spans="3:5" x14ac:dyDescent="0.25">
      <c r="C1060" s="53"/>
      <c r="E1060" s="53"/>
    </row>
    <row r="1061" spans="3:5" x14ac:dyDescent="0.25">
      <c r="C1061" s="53"/>
      <c r="E1061" s="53"/>
    </row>
    <row r="1062" spans="3:5" x14ac:dyDescent="0.25">
      <c r="C1062" s="53"/>
      <c r="E1062" s="53"/>
    </row>
    <row r="1063" spans="3:5" x14ac:dyDescent="0.25">
      <c r="C1063" s="53"/>
      <c r="E1063" s="53"/>
    </row>
    <row r="1064" spans="3:5" x14ac:dyDescent="0.25">
      <c r="C1064" s="53"/>
      <c r="E1064" s="53"/>
    </row>
    <row r="1065" spans="3:5" x14ac:dyDescent="0.25">
      <c r="C1065" s="53"/>
      <c r="E1065" s="53"/>
    </row>
    <row r="1066" spans="3:5" x14ac:dyDescent="0.25">
      <c r="C1066" s="53"/>
      <c r="E1066" s="53"/>
    </row>
    <row r="1067" spans="3:5" x14ac:dyDescent="0.25">
      <c r="C1067" s="53"/>
      <c r="E1067" s="53"/>
    </row>
    <row r="1068" spans="3:5" x14ac:dyDescent="0.25">
      <c r="C1068" s="53"/>
      <c r="E1068" s="53"/>
    </row>
    <row r="1069" spans="3:5" x14ac:dyDescent="0.25">
      <c r="C1069" s="53"/>
      <c r="E1069" s="53"/>
    </row>
    <row r="1070" spans="3:5" x14ac:dyDescent="0.25">
      <c r="C1070" s="53"/>
      <c r="E1070" s="53"/>
    </row>
    <row r="1071" spans="3:5" x14ac:dyDescent="0.25">
      <c r="C1071" s="53"/>
      <c r="E1071" s="53"/>
    </row>
    <row r="1072" spans="3:5" x14ac:dyDescent="0.25">
      <c r="C1072" s="53"/>
      <c r="E1072" s="53"/>
    </row>
    <row r="1073" spans="3:5" x14ac:dyDescent="0.25">
      <c r="C1073" s="53"/>
      <c r="E1073" s="53"/>
    </row>
    <row r="1074" spans="3:5" x14ac:dyDescent="0.25">
      <c r="C1074" s="53"/>
      <c r="E1074" s="53"/>
    </row>
    <row r="1075" spans="3:5" x14ac:dyDescent="0.25">
      <c r="C1075" s="53"/>
      <c r="E1075" s="53"/>
    </row>
    <row r="1076" spans="3:5" x14ac:dyDescent="0.25">
      <c r="C1076" s="53"/>
      <c r="E1076" s="53"/>
    </row>
    <row r="1077" spans="3:5" x14ac:dyDescent="0.25">
      <c r="C1077" s="53"/>
      <c r="E1077" s="53"/>
    </row>
    <row r="1078" spans="3:5" x14ac:dyDescent="0.25">
      <c r="C1078" s="53"/>
      <c r="E1078" s="53"/>
    </row>
    <row r="1079" spans="3:5" x14ac:dyDescent="0.25">
      <c r="C1079" s="53"/>
      <c r="E1079" s="53"/>
    </row>
    <row r="1080" spans="3:5" x14ac:dyDescent="0.25">
      <c r="C1080" s="53"/>
      <c r="E1080" s="53"/>
    </row>
    <row r="1081" spans="3:5" x14ac:dyDescent="0.25">
      <c r="C1081" s="53"/>
      <c r="E1081" s="53"/>
    </row>
    <row r="1082" spans="3:5" x14ac:dyDescent="0.25">
      <c r="C1082" s="53"/>
      <c r="E1082" s="53"/>
    </row>
    <row r="1083" spans="3:5" x14ac:dyDescent="0.25">
      <c r="C1083" s="53"/>
      <c r="E1083" s="53"/>
    </row>
    <row r="1084" spans="3:5" x14ac:dyDescent="0.25">
      <c r="C1084" s="53"/>
      <c r="E1084" s="53"/>
    </row>
    <row r="1085" spans="3:5" x14ac:dyDescent="0.25">
      <c r="C1085" s="53"/>
      <c r="E1085" s="53"/>
    </row>
    <row r="1086" spans="3:5" x14ac:dyDescent="0.25">
      <c r="C1086" s="53"/>
      <c r="E1086" s="53"/>
    </row>
    <row r="1087" spans="3:5" x14ac:dyDescent="0.25">
      <c r="C1087" s="53"/>
      <c r="E1087" s="53"/>
    </row>
    <row r="1088" spans="3:5" x14ac:dyDescent="0.25">
      <c r="C1088" s="53"/>
      <c r="E1088" s="53"/>
    </row>
    <row r="1089" spans="3:5" x14ac:dyDescent="0.25">
      <c r="C1089" s="53"/>
      <c r="E1089" s="53"/>
    </row>
    <row r="1090" spans="3:5" x14ac:dyDescent="0.25">
      <c r="C1090" s="53"/>
      <c r="E1090" s="53"/>
    </row>
    <row r="1091" spans="3:5" x14ac:dyDescent="0.25">
      <c r="C1091" s="53"/>
      <c r="E1091" s="53"/>
    </row>
    <row r="1092" spans="3:5" x14ac:dyDescent="0.25">
      <c r="C1092" s="53"/>
      <c r="E1092" s="53"/>
    </row>
    <row r="1093" spans="3:5" x14ac:dyDescent="0.25">
      <c r="C1093" s="53"/>
      <c r="E1093" s="53"/>
    </row>
    <row r="1094" spans="3:5" x14ac:dyDescent="0.25">
      <c r="C1094" s="53"/>
      <c r="E1094" s="53"/>
    </row>
    <row r="1095" spans="3:5" x14ac:dyDescent="0.25">
      <c r="C1095" s="53"/>
      <c r="E1095" s="53"/>
    </row>
    <row r="1096" spans="3:5" x14ac:dyDescent="0.25">
      <c r="C1096" s="53"/>
      <c r="E1096" s="53"/>
    </row>
    <row r="1097" spans="3:5" x14ac:dyDescent="0.25">
      <c r="C1097" s="53"/>
      <c r="E1097" s="53"/>
    </row>
    <row r="1098" spans="3:5" x14ac:dyDescent="0.25">
      <c r="C1098" s="53"/>
      <c r="E1098" s="53"/>
    </row>
    <row r="1099" spans="3:5" x14ac:dyDescent="0.25">
      <c r="C1099" s="53"/>
      <c r="E1099" s="53"/>
    </row>
    <row r="1100" spans="3:5" x14ac:dyDescent="0.25">
      <c r="C1100" s="53"/>
      <c r="E1100" s="53"/>
    </row>
    <row r="1101" spans="3:5" x14ac:dyDescent="0.25">
      <c r="C1101" s="53"/>
      <c r="E1101" s="53"/>
    </row>
    <row r="1102" spans="3:5" x14ac:dyDescent="0.25">
      <c r="C1102" s="53"/>
      <c r="E1102" s="53"/>
    </row>
    <row r="1103" spans="3:5" x14ac:dyDescent="0.25">
      <c r="C1103" s="53"/>
      <c r="E1103" s="53"/>
    </row>
    <row r="1104" spans="3:5" x14ac:dyDescent="0.25">
      <c r="C1104" s="53"/>
      <c r="E1104" s="53"/>
    </row>
    <row r="1105" spans="3:5" x14ac:dyDescent="0.25">
      <c r="C1105" s="53"/>
      <c r="E1105" s="53"/>
    </row>
    <row r="1106" spans="3:5" x14ac:dyDescent="0.25">
      <c r="C1106" s="53"/>
      <c r="E1106" s="53"/>
    </row>
    <row r="1107" spans="3:5" x14ac:dyDescent="0.25">
      <c r="C1107" s="53"/>
      <c r="E1107" s="53"/>
    </row>
    <row r="1108" spans="3:5" x14ac:dyDescent="0.25">
      <c r="C1108" s="53"/>
      <c r="E1108" s="53"/>
    </row>
    <row r="1109" spans="3:5" x14ac:dyDescent="0.25">
      <c r="C1109" s="53"/>
      <c r="E1109" s="53"/>
    </row>
    <row r="1110" spans="3:5" x14ac:dyDescent="0.25">
      <c r="C1110" s="53"/>
      <c r="E1110" s="53"/>
    </row>
    <row r="1111" spans="3:5" x14ac:dyDescent="0.25">
      <c r="C1111" s="53"/>
      <c r="E1111" s="53"/>
    </row>
    <row r="1112" spans="3:5" x14ac:dyDescent="0.25">
      <c r="C1112" s="53"/>
      <c r="E1112" s="53"/>
    </row>
    <row r="1113" spans="3:5" x14ac:dyDescent="0.25">
      <c r="C1113" s="53"/>
      <c r="E1113" s="53"/>
    </row>
    <row r="1114" spans="3:5" x14ac:dyDescent="0.25">
      <c r="C1114" s="53"/>
      <c r="E1114" s="53"/>
    </row>
    <row r="1115" spans="3:5" x14ac:dyDescent="0.25">
      <c r="C1115" s="53"/>
      <c r="E1115" s="53"/>
    </row>
    <row r="1116" spans="3:5" x14ac:dyDescent="0.25">
      <c r="C1116" s="53"/>
      <c r="E1116" s="53"/>
    </row>
    <row r="1117" spans="3:5" x14ac:dyDescent="0.25">
      <c r="C1117" s="53"/>
      <c r="E1117" s="53"/>
    </row>
    <row r="1118" spans="3:5" x14ac:dyDescent="0.25">
      <c r="C1118" s="53"/>
      <c r="E1118" s="53"/>
    </row>
    <row r="1119" spans="3:5" x14ac:dyDescent="0.25">
      <c r="C1119" s="53"/>
      <c r="E1119" s="53"/>
    </row>
    <row r="1120" spans="3:5" x14ac:dyDescent="0.25">
      <c r="C1120" s="53"/>
      <c r="E1120" s="53"/>
    </row>
    <row r="1121" spans="3:5" x14ac:dyDescent="0.25">
      <c r="C1121" s="53"/>
      <c r="E1121" s="53"/>
    </row>
    <row r="1122" spans="3:5" x14ac:dyDescent="0.25">
      <c r="C1122" s="53"/>
      <c r="E1122" s="53"/>
    </row>
    <row r="1123" spans="3:5" x14ac:dyDescent="0.25">
      <c r="C1123" s="53"/>
      <c r="E1123" s="53"/>
    </row>
    <row r="1124" spans="3:5" x14ac:dyDescent="0.25">
      <c r="C1124" s="53"/>
      <c r="E1124" s="53"/>
    </row>
    <row r="1125" spans="3:5" x14ac:dyDescent="0.25">
      <c r="C1125" s="53"/>
      <c r="E1125" s="53"/>
    </row>
    <row r="1126" spans="3:5" x14ac:dyDescent="0.25">
      <c r="C1126" s="53"/>
      <c r="E1126" s="53"/>
    </row>
    <row r="1127" spans="3:5" x14ac:dyDescent="0.25">
      <c r="C1127" s="53"/>
      <c r="E1127" s="53"/>
    </row>
    <row r="1128" spans="3:5" x14ac:dyDescent="0.25">
      <c r="C1128" s="53"/>
      <c r="E1128" s="53"/>
    </row>
    <row r="1129" spans="3:5" x14ac:dyDescent="0.25">
      <c r="C1129" s="53"/>
      <c r="E1129" s="53"/>
    </row>
    <row r="1130" spans="3:5" x14ac:dyDescent="0.25">
      <c r="C1130" s="53"/>
      <c r="E1130" s="53"/>
    </row>
    <row r="1131" spans="3:5" x14ac:dyDescent="0.25">
      <c r="C1131" s="53"/>
      <c r="E1131" s="53"/>
    </row>
    <row r="1132" spans="3:5" x14ac:dyDescent="0.25">
      <c r="C1132" s="53"/>
      <c r="E1132" s="53"/>
    </row>
    <row r="1133" spans="3:5" x14ac:dyDescent="0.25">
      <c r="C1133" s="53"/>
      <c r="E1133" s="53"/>
    </row>
    <row r="1134" spans="3:5" x14ac:dyDescent="0.25">
      <c r="C1134" s="53"/>
      <c r="E1134" s="53"/>
    </row>
    <row r="1135" spans="3:5" x14ac:dyDescent="0.25">
      <c r="C1135" s="53"/>
      <c r="E1135" s="53"/>
    </row>
    <row r="1136" spans="3:5" x14ac:dyDescent="0.25">
      <c r="C1136" s="53"/>
      <c r="E1136" s="53"/>
    </row>
    <row r="1137" spans="3:5" x14ac:dyDescent="0.25">
      <c r="C1137" s="53"/>
      <c r="E1137" s="53"/>
    </row>
    <row r="1138" spans="3:5" x14ac:dyDescent="0.25">
      <c r="C1138" s="53"/>
      <c r="E1138" s="53"/>
    </row>
    <row r="1139" spans="3:5" x14ac:dyDescent="0.25">
      <c r="C1139" s="53"/>
      <c r="E1139" s="53"/>
    </row>
    <row r="1140" spans="3:5" x14ac:dyDescent="0.25">
      <c r="C1140" s="53"/>
      <c r="E1140" s="53"/>
    </row>
    <row r="1141" spans="3:5" x14ac:dyDescent="0.25">
      <c r="C1141" s="53"/>
      <c r="E1141" s="53"/>
    </row>
    <row r="1142" spans="3:5" x14ac:dyDescent="0.25">
      <c r="C1142" s="53"/>
      <c r="E1142" s="53"/>
    </row>
    <row r="1143" spans="3:5" x14ac:dyDescent="0.25">
      <c r="C1143" s="53"/>
      <c r="E1143" s="53"/>
    </row>
    <row r="1144" spans="3:5" x14ac:dyDescent="0.25">
      <c r="C1144" s="53"/>
      <c r="E1144" s="53"/>
    </row>
    <row r="1145" spans="3:5" x14ac:dyDescent="0.25">
      <c r="C1145" s="53"/>
      <c r="E1145" s="53"/>
    </row>
    <row r="1146" spans="3:5" x14ac:dyDescent="0.25">
      <c r="C1146" s="53"/>
      <c r="E1146" s="53"/>
    </row>
    <row r="1147" spans="3:5" x14ac:dyDescent="0.25">
      <c r="C1147" s="53"/>
      <c r="E1147" s="53"/>
    </row>
    <row r="1148" spans="3:5" x14ac:dyDescent="0.25">
      <c r="C1148" s="53"/>
      <c r="E1148" s="53"/>
    </row>
    <row r="1149" spans="3:5" x14ac:dyDescent="0.25">
      <c r="C1149" s="53"/>
      <c r="E1149" s="53"/>
    </row>
    <row r="1150" spans="3:5" x14ac:dyDescent="0.25">
      <c r="C1150" s="53"/>
      <c r="E1150" s="53"/>
    </row>
    <row r="1151" spans="3:5" x14ac:dyDescent="0.25">
      <c r="C1151" s="53"/>
      <c r="E1151" s="53"/>
    </row>
    <row r="1152" spans="3:5" x14ac:dyDescent="0.25">
      <c r="C1152" s="53"/>
      <c r="E1152" s="53"/>
    </row>
    <row r="1153" spans="3:5" x14ac:dyDescent="0.25">
      <c r="C1153" s="53"/>
      <c r="E1153" s="53"/>
    </row>
    <row r="1154" spans="3:5" x14ac:dyDescent="0.25">
      <c r="C1154" s="53"/>
      <c r="E1154" s="53"/>
    </row>
    <row r="1155" spans="3:5" x14ac:dyDescent="0.25">
      <c r="C1155" s="53"/>
      <c r="E1155" s="53"/>
    </row>
    <row r="1156" spans="3:5" x14ac:dyDescent="0.25">
      <c r="C1156" s="53"/>
      <c r="E1156" s="53"/>
    </row>
    <row r="1157" spans="3:5" x14ac:dyDescent="0.25">
      <c r="C1157" s="53"/>
      <c r="E1157" s="53"/>
    </row>
    <row r="1158" spans="3:5" x14ac:dyDescent="0.25">
      <c r="C1158" s="53"/>
      <c r="E1158" s="53"/>
    </row>
    <row r="1159" spans="3:5" x14ac:dyDescent="0.25">
      <c r="C1159" s="53"/>
      <c r="E1159" s="53"/>
    </row>
    <row r="1160" spans="3:5" x14ac:dyDescent="0.25">
      <c r="C1160" s="53"/>
      <c r="E1160" s="53"/>
    </row>
    <row r="1161" spans="3:5" x14ac:dyDescent="0.25">
      <c r="C1161" s="53"/>
      <c r="E1161" s="53"/>
    </row>
    <row r="1162" spans="3:5" x14ac:dyDescent="0.25">
      <c r="C1162" s="53"/>
      <c r="E1162" s="53"/>
    </row>
    <row r="1163" spans="3:5" x14ac:dyDescent="0.25">
      <c r="C1163" s="53"/>
      <c r="E1163" s="53"/>
    </row>
    <row r="1164" spans="3:5" x14ac:dyDescent="0.25">
      <c r="C1164" s="53"/>
      <c r="E1164" s="53"/>
    </row>
    <row r="1165" spans="3:5" x14ac:dyDescent="0.25">
      <c r="C1165" s="53"/>
      <c r="E1165" s="53"/>
    </row>
    <row r="1166" spans="3:5" x14ac:dyDescent="0.25">
      <c r="C1166" s="53"/>
      <c r="E1166" s="53"/>
    </row>
    <row r="1167" spans="3:5" x14ac:dyDescent="0.25">
      <c r="C1167" s="53"/>
      <c r="E1167" s="53"/>
    </row>
    <row r="1168" spans="3:5" x14ac:dyDescent="0.25">
      <c r="C1168" s="53"/>
      <c r="E1168" s="53"/>
    </row>
    <row r="1169" spans="3:5" x14ac:dyDescent="0.25">
      <c r="C1169" s="53"/>
      <c r="E1169" s="53"/>
    </row>
    <row r="1170" spans="3:5" x14ac:dyDescent="0.25">
      <c r="C1170" s="53"/>
      <c r="E1170" s="53"/>
    </row>
    <row r="1171" spans="3:5" x14ac:dyDescent="0.25">
      <c r="C1171" s="53"/>
      <c r="E1171" s="53"/>
    </row>
    <row r="1172" spans="3:5" x14ac:dyDescent="0.25">
      <c r="C1172" s="53"/>
      <c r="E1172" s="53"/>
    </row>
    <row r="1173" spans="3:5" x14ac:dyDescent="0.25">
      <c r="C1173" s="53"/>
      <c r="E1173" s="53"/>
    </row>
    <row r="1174" spans="3:5" x14ac:dyDescent="0.25">
      <c r="C1174" s="53"/>
      <c r="E1174" s="53"/>
    </row>
    <row r="1175" spans="3:5" x14ac:dyDescent="0.25">
      <c r="C1175" s="53"/>
      <c r="E1175" s="53"/>
    </row>
    <row r="1176" spans="3:5" x14ac:dyDescent="0.25">
      <c r="C1176" s="53"/>
      <c r="E1176" s="53"/>
    </row>
    <row r="1177" spans="3:5" x14ac:dyDescent="0.25">
      <c r="C1177" s="53"/>
      <c r="E1177" s="53"/>
    </row>
    <row r="1178" spans="3:5" x14ac:dyDescent="0.25">
      <c r="C1178" s="53"/>
      <c r="E1178" s="53"/>
    </row>
    <row r="1179" spans="3:5" x14ac:dyDescent="0.25">
      <c r="C1179" s="53"/>
      <c r="E1179" s="53"/>
    </row>
    <row r="1180" spans="3:5" x14ac:dyDescent="0.25">
      <c r="C1180" s="53"/>
      <c r="E1180" s="53"/>
    </row>
    <row r="1181" spans="3:5" x14ac:dyDescent="0.25">
      <c r="C1181" s="53"/>
      <c r="E1181" s="53"/>
    </row>
    <row r="1182" spans="3:5" x14ac:dyDescent="0.25">
      <c r="C1182" s="53"/>
      <c r="E1182" s="53"/>
    </row>
    <row r="1183" spans="3:5" x14ac:dyDescent="0.25">
      <c r="C1183" s="53"/>
      <c r="E1183" s="53"/>
    </row>
    <row r="1184" spans="3:5" x14ac:dyDescent="0.25">
      <c r="C1184" s="53"/>
      <c r="E1184" s="53"/>
    </row>
    <row r="1185" spans="3:5" x14ac:dyDescent="0.25">
      <c r="C1185" s="53"/>
      <c r="E1185" s="53"/>
    </row>
    <row r="1186" spans="3:5" x14ac:dyDescent="0.25">
      <c r="C1186" s="53"/>
      <c r="E1186" s="53"/>
    </row>
    <row r="1187" spans="3:5" x14ac:dyDescent="0.25">
      <c r="C1187" s="53"/>
      <c r="E1187" s="53"/>
    </row>
    <row r="1188" spans="3:5" x14ac:dyDescent="0.25">
      <c r="C1188" s="53"/>
      <c r="E1188" s="53"/>
    </row>
    <row r="1189" spans="3:5" x14ac:dyDescent="0.25">
      <c r="C1189" s="53"/>
      <c r="E1189" s="53"/>
    </row>
    <row r="1190" spans="3:5" x14ac:dyDescent="0.25">
      <c r="C1190" s="53"/>
      <c r="E1190" s="53"/>
    </row>
    <row r="1191" spans="3:5" x14ac:dyDescent="0.25">
      <c r="C1191" s="53"/>
      <c r="E1191" s="53"/>
    </row>
    <row r="1192" spans="3:5" x14ac:dyDescent="0.25">
      <c r="C1192" s="53"/>
      <c r="E1192" s="53"/>
    </row>
    <row r="1193" spans="3:5" x14ac:dyDescent="0.25">
      <c r="C1193" s="53"/>
      <c r="E1193" s="53"/>
    </row>
    <row r="1194" spans="3:5" x14ac:dyDescent="0.25">
      <c r="C1194" s="53"/>
      <c r="E1194" s="53"/>
    </row>
    <row r="1195" spans="3:5" x14ac:dyDescent="0.25">
      <c r="C1195" s="53"/>
      <c r="E1195" s="53"/>
    </row>
    <row r="1196" spans="3:5" x14ac:dyDescent="0.25">
      <c r="C1196" s="53"/>
      <c r="E1196" s="53"/>
    </row>
    <row r="1197" spans="3:5" x14ac:dyDescent="0.25">
      <c r="C1197" s="53"/>
      <c r="E1197" s="53"/>
    </row>
    <row r="1198" spans="3:5" x14ac:dyDescent="0.25">
      <c r="C1198" s="53"/>
      <c r="E1198" s="53"/>
    </row>
    <row r="1199" spans="3:5" x14ac:dyDescent="0.25">
      <c r="C1199" s="53"/>
      <c r="E1199" s="53"/>
    </row>
    <row r="1200" spans="3:5" x14ac:dyDescent="0.25">
      <c r="C1200" s="53"/>
      <c r="E1200" s="53"/>
    </row>
    <row r="1201" spans="3:5" x14ac:dyDescent="0.25">
      <c r="C1201" s="53"/>
      <c r="E1201" s="53"/>
    </row>
    <row r="1202" spans="3:5" x14ac:dyDescent="0.25">
      <c r="C1202" s="53"/>
      <c r="E1202" s="53"/>
    </row>
    <row r="1203" spans="3:5" x14ac:dyDescent="0.25">
      <c r="C1203" s="53"/>
      <c r="E1203" s="53"/>
    </row>
    <row r="1204" spans="3:5" x14ac:dyDescent="0.25">
      <c r="C1204" s="53"/>
      <c r="E1204" s="53"/>
    </row>
    <row r="1205" spans="3:5" x14ac:dyDescent="0.25">
      <c r="C1205" s="53"/>
      <c r="E1205" s="53"/>
    </row>
    <row r="1206" spans="3:5" x14ac:dyDescent="0.25">
      <c r="C1206" s="53"/>
      <c r="E1206" s="53"/>
    </row>
    <row r="1207" spans="3:5" x14ac:dyDescent="0.25">
      <c r="C1207" s="53"/>
      <c r="E1207" s="53"/>
    </row>
    <row r="1208" spans="3:5" x14ac:dyDescent="0.25">
      <c r="C1208" s="53"/>
      <c r="E1208" s="53"/>
    </row>
    <row r="1209" spans="3:5" x14ac:dyDescent="0.25">
      <c r="C1209" s="53"/>
      <c r="E1209" s="53"/>
    </row>
    <row r="1210" spans="3:5" x14ac:dyDescent="0.25">
      <c r="C1210" s="53"/>
      <c r="E1210" s="53"/>
    </row>
    <row r="1211" spans="3:5" x14ac:dyDescent="0.25">
      <c r="C1211" s="53"/>
      <c r="E1211" s="53"/>
    </row>
    <row r="1212" spans="3:5" x14ac:dyDescent="0.25">
      <c r="C1212" s="53"/>
      <c r="E1212" s="53"/>
    </row>
    <row r="1213" spans="3:5" x14ac:dyDescent="0.25">
      <c r="C1213" s="53"/>
      <c r="E1213" s="53"/>
    </row>
    <row r="1214" spans="3:5" x14ac:dyDescent="0.25">
      <c r="C1214" s="53"/>
      <c r="E1214" s="53"/>
    </row>
    <row r="1215" spans="3:5" x14ac:dyDescent="0.25">
      <c r="C1215" s="53"/>
      <c r="E1215" s="53"/>
    </row>
    <row r="1216" spans="3:5" x14ac:dyDescent="0.25">
      <c r="C1216" s="53"/>
      <c r="E1216" s="53"/>
    </row>
    <row r="1217" spans="3:5" x14ac:dyDescent="0.25">
      <c r="C1217" s="53"/>
      <c r="E1217" s="53"/>
    </row>
    <row r="1218" spans="3:5" x14ac:dyDescent="0.25">
      <c r="C1218" s="53"/>
      <c r="E1218" s="53"/>
    </row>
    <row r="1219" spans="3:5" x14ac:dyDescent="0.25">
      <c r="C1219" s="53"/>
      <c r="E1219" s="53"/>
    </row>
    <row r="1220" spans="3:5" x14ac:dyDescent="0.25">
      <c r="C1220" s="53"/>
      <c r="E1220" s="53"/>
    </row>
    <row r="1221" spans="3:5" x14ac:dyDescent="0.25">
      <c r="C1221" s="53"/>
      <c r="E1221" s="53"/>
    </row>
    <row r="1222" spans="3:5" x14ac:dyDescent="0.25">
      <c r="C1222" s="53"/>
      <c r="E1222" s="53"/>
    </row>
    <row r="1223" spans="3:5" x14ac:dyDescent="0.25">
      <c r="C1223" s="53"/>
      <c r="E1223" s="53"/>
    </row>
    <row r="1224" spans="3:5" x14ac:dyDescent="0.25">
      <c r="C1224" s="53"/>
      <c r="E1224" s="53"/>
    </row>
    <row r="1225" spans="3:5" x14ac:dyDescent="0.25">
      <c r="C1225" s="53"/>
      <c r="E1225" s="53"/>
    </row>
    <row r="1226" spans="3:5" x14ac:dyDescent="0.25">
      <c r="C1226" s="53"/>
      <c r="E1226" s="53"/>
    </row>
    <row r="1227" spans="3:5" x14ac:dyDescent="0.25">
      <c r="C1227" s="53"/>
      <c r="E1227" s="53"/>
    </row>
    <row r="1228" spans="3:5" x14ac:dyDescent="0.25">
      <c r="C1228" s="53"/>
      <c r="E1228" s="53"/>
    </row>
    <row r="1229" spans="3:5" x14ac:dyDescent="0.25">
      <c r="C1229" s="53"/>
      <c r="E1229" s="53"/>
    </row>
    <row r="1230" spans="3:5" x14ac:dyDescent="0.25">
      <c r="C1230" s="53"/>
      <c r="E1230" s="53"/>
    </row>
    <row r="1231" spans="3:5" x14ac:dyDescent="0.25">
      <c r="C1231" s="53"/>
      <c r="E1231" s="53"/>
    </row>
    <row r="1232" spans="3:5" x14ac:dyDescent="0.25">
      <c r="C1232" s="53"/>
      <c r="E1232" s="53"/>
    </row>
    <row r="1233" spans="3:5" x14ac:dyDescent="0.25">
      <c r="C1233" s="53"/>
      <c r="E1233" s="53"/>
    </row>
    <row r="1234" spans="3:5" x14ac:dyDescent="0.25">
      <c r="C1234" s="53"/>
      <c r="E1234" s="53"/>
    </row>
    <row r="1235" spans="3:5" x14ac:dyDescent="0.25">
      <c r="C1235" s="53"/>
      <c r="E1235" s="53"/>
    </row>
    <row r="1236" spans="3:5" x14ac:dyDescent="0.25">
      <c r="C1236" s="53"/>
      <c r="E1236" s="53"/>
    </row>
    <row r="1237" spans="3:5" x14ac:dyDescent="0.25">
      <c r="C1237" s="53"/>
      <c r="E1237" s="53"/>
    </row>
    <row r="1238" spans="3:5" x14ac:dyDescent="0.25">
      <c r="C1238" s="53"/>
      <c r="E1238" s="53"/>
    </row>
    <row r="1239" spans="3:5" x14ac:dyDescent="0.25">
      <c r="C1239" s="53"/>
      <c r="E1239" s="53"/>
    </row>
    <row r="1240" spans="3:5" x14ac:dyDescent="0.25">
      <c r="C1240" s="53"/>
      <c r="E1240" s="53"/>
    </row>
    <row r="1241" spans="3:5" x14ac:dyDescent="0.25">
      <c r="C1241" s="53"/>
      <c r="E1241" s="53"/>
    </row>
    <row r="1242" spans="3:5" x14ac:dyDescent="0.25">
      <c r="C1242" s="53"/>
      <c r="E1242" s="53"/>
    </row>
    <row r="1243" spans="3:5" x14ac:dyDescent="0.25">
      <c r="C1243" s="53"/>
      <c r="E1243" s="53"/>
    </row>
    <row r="1244" spans="3:5" x14ac:dyDescent="0.25">
      <c r="C1244" s="53"/>
      <c r="E1244" s="53"/>
    </row>
    <row r="1245" spans="3:5" x14ac:dyDescent="0.25">
      <c r="C1245" s="53"/>
      <c r="E1245" s="53"/>
    </row>
    <row r="1246" spans="3:5" x14ac:dyDescent="0.25">
      <c r="C1246" s="53"/>
      <c r="E1246" s="53"/>
    </row>
    <row r="1247" spans="3:5" x14ac:dyDescent="0.25">
      <c r="C1247" s="53"/>
      <c r="E1247" s="53"/>
    </row>
    <row r="1248" spans="3:5" x14ac:dyDescent="0.25">
      <c r="C1248" s="53"/>
      <c r="E1248" s="53"/>
    </row>
    <row r="1249" spans="3:5" x14ac:dyDescent="0.25">
      <c r="C1249" s="53"/>
      <c r="E1249" s="53"/>
    </row>
    <row r="1250" spans="3:5" x14ac:dyDescent="0.25">
      <c r="C1250" s="53"/>
      <c r="E1250" s="53"/>
    </row>
    <row r="1251" spans="3:5" x14ac:dyDescent="0.25">
      <c r="C1251" s="53"/>
      <c r="E1251" s="53"/>
    </row>
    <row r="1252" spans="3:5" x14ac:dyDescent="0.25">
      <c r="C1252" s="53"/>
      <c r="E1252" s="53"/>
    </row>
    <row r="1253" spans="3:5" x14ac:dyDescent="0.25">
      <c r="C1253" s="53"/>
      <c r="E1253" s="53"/>
    </row>
    <row r="1254" spans="3:5" x14ac:dyDescent="0.25">
      <c r="C1254" s="53"/>
      <c r="E1254" s="53"/>
    </row>
    <row r="1255" spans="3:5" x14ac:dyDescent="0.25">
      <c r="C1255" s="53"/>
      <c r="E1255" s="53"/>
    </row>
    <row r="1256" spans="3:5" x14ac:dyDescent="0.25">
      <c r="C1256" s="53"/>
      <c r="E1256" s="53"/>
    </row>
    <row r="1257" spans="3:5" x14ac:dyDescent="0.25">
      <c r="C1257" s="53"/>
      <c r="E1257" s="53"/>
    </row>
    <row r="1258" spans="3:5" x14ac:dyDescent="0.25">
      <c r="C1258" s="53"/>
      <c r="E1258" s="53"/>
    </row>
    <row r="1259" spans="3:5" x14ac:dyDescent="0.25">
      <c r="C1259" s="53"/>
      <c r="E1259" s="53"/>
    </row>
    <row r="1260" spans="3:5" x14ac:dyDescent="0.25">
      <c r="C1260" s="53"/>
      <c r="E1260" s="53"/>
    </row>
    <row r="1261" spans="3:5" x14ac:dyDescent="0.25">
      <c r="C1261" s="53"/>
      <c r="E1261" s="53"/>
    </row>
    <row r="1262" spans="3:5" x14ac:dyDescent="0.25">
      <c r="C1262" s="53"/>
      <c r="E1262" s="53"/>
    </row>
    <row r="1263" spans="3:5" x14ac:dyDescent="0.25">
      <c r="C1263" s="53"/>
      <c r="E1263" s="53"/>
    </row>
    <row r="1264" spans="3:5" x14ac:dyDescent="0.25">
      <c r="C1264" s="53"/>
      <c r="E1264" s="53"/>
    </row>
    <row r="1265" spans="3:5" x14ac:dyDescent="0.25">
      <c r="C1265" s="53"/>
      <c r="E1265" s="53"/>
    </row>
    <row r="1266" spans="3:5" x14ac:dyDescent="0.25">
      <c r="C1266" s="53"/>
      <c r="E1266" s="53"/>
    </row>
    <row r="1267" spans="3:5" x14ac:dyDescent="0.25">
      <c r="C1267" s="53"/>
      <c r="E1267" s="53"/>
    </row>
    <row r="1268" spans="3:5" x14ac:dyDescent="0.25">
      <c r="C1268" s="53"/>
      <c r="E1268" s="53"/>
    </row>
    <row r="1269" spans="3:5" x14ac:dyDescent="0.25">
      <c r="C1269" s="53"/>
      <c r="E1269" s="53"/>
    </row>
    <row r="1270" spans="3:5" x14ac:dyDescent="0.25">
      <c r="C1270" s="53"/>
      <c r="E1270" s="53"/>
    </row>
    <row r="1271" spans="3:5" x14ac:dyDescent="0.25">
      <c r="C1271" s="53"/>
      <c r="E1271" s="53"/>
    </row>
    <row r="1272" spans="3:5" x14ac:dyDescent="0.25">
      <c r="C1272" s="53"/>
      <c r="E1272" s="53"/>
    </row>
    <row r="1273" spans="3:5" x14ac:dyDescent="0.25">
      <c r="C1273" s="53"/>
      <c r="E1273" s="53"/>
    </row>
    <row r="1274" spans="3:5" x14ac:dyDescent="0.25">
      <c r="C1274" s="53"/>
      <c r="E1274" s="53"/>
    </row>
    <row r="1275" spans="3:5" x14ac:dyDescent="0.25">
      <c r="C1275" s="53"/>
      <c r="E1275" s="53"/>
    </row>
    <row r="1276" spans="3:5" x14ac:dyDescent="0.25">
      <c r="C1276" s="53"/>
      <c r="E1276" s="53"/>
    </row>
    <row r="1277" spans="3:5" x14ac:dyDescent="0.25">
      <c r="C1277" s="53"/>
      <c r="E1277" s="53"/>
    </row>
    <row r="1278" spans="3:5" x14ac:dyDescent="0.25">
      <c r="C1278" s="53"/>
      <c r="E1278" s="53"/>
    </row>
    <row r="1279" spans="3:5" x14ac:dyDescent="0.25">
      <c r="C1279" s="53"/>
      <c r="E1279" s="53"/>
    </row>
    <row r="1280" spans="3:5" x14ac:dyDescent="0.25">
      <c r="C1280" s="53"/>
      <c r="E1280" s="53"/>
    </row>
    <row r="1281" spans="3:5" x14ac:dyDescent="0.25">
      <c r="C1281" s="53"/>
      <c r="E1281" s="53"/>
    </row>
    <row r="1282" spans="3:5" x14ac:dyDescent="0.25">
      <c r="C1282" s="53"/>
      <c r="E1282" s="53"/>
    </row>
    <row r="1283" spans="3:5" x14ac:dyDescent="0.25">
      <c r="C1283" s="53"/>
      <c r="E1283" s="53"/>
    </row>
    <row r="1284" spans="3:5" x14ac:dyDescent="0.25">
      <c r="C1284" s="53"/>
      <c r="E1284" s="53"/>
    </row>
    <row r="1285" spans="3:5" x14ac:dyDescent="0.25">
      <c r="C1285" s="53"/>
      <c r="E1285" s="53"/>
    </row>
    <row r="1286" spans="3:5" x14ac:dyDescent="0.25">
      <c r="C1286" s="53"/>
      <c r="E1286" s="53"/>
    </row>
    <row r="1287" spans="3:5" x14ac:dyDescent="0.25">
      <c r="C1287" s="53"/>
      <c r="E1287" s="53"/>
    </row>
    <row r="1288" spans="3:5" x14ac:dyDescent="0.25">
      <c r="C1288" s="53"/>
      <c r="E1288" s="53"/>
    </row>
    <row r="1289" spans="3:5" x14ac:dyDescent="0.25">
      <c r="C1289" s="53"/>
      <c r="E1289" s="53"/>
    </row>
    <row r="1290" spans="3:5" x14ac:dyDescent="0.25">
      <c r="C1290" s="53"/>
      <c r="E1290" s="53"/>
    </row>
    <row r="1291" spans="3:5" x14ac:dyDescent="0.25">
      <c r="C1291" s="53"/>
      <c r="E1291" s="53"/>
    </row>
    <row r="1292" spans="3:5" x14ac:dyDescent="0.25">
      <c r="C1292" s="53"/>
      <c r="E1292" s="53"/>
    </row>
    <row r="1293" spans="3:5" x14ac:dyDescent="0.25">
      <c r="C1293" s="53"/>
      <c r="E1293" s="53"/>
    </row>
    <row r="1294" spans="3:5" x14ac:dyDescent="0.25">
      <c r="C1294" s="53"/>
      <c r="E1294" s="53"/>
    </row>
    <row r="1295" spans="3:5" x14ac:dyDescent="0.25">
      <c r="C1295" s="53"/>
      <c r="E1295" s="53"/>
    </row>
    <row r="1296" spans="3:5" x14ac:dyDescent="0.25">
      <c r="C1296" s="53"/>
      <c r="E1296" s="53"/>
    </row>
    <row r="1297" spans="3:5" x14ac:dyDescent="0.25">
      <c r="C1297" s="53"/>
      <c r="E1297" s="53"/>
    </row>
    <row r="1298" spans="3:5" x14ac:dyDescent="0.25">
      <c r="C1298" s="53"/>
      <c r="E1298" s="53"/>
    </row>
    <row r="1299" spans="3:5" x14ac:dyDescent="0.25">
      <c r="C1299" s="53"/>
      <c r="E1299" s="53"/>
    </row>
    <row r="1300" spans="3:5" x14ac:dyDescent="0.25">
      <c r="C1300" s="53"/>
      <c r="E1300" s="53"/>
    </row>
    <row r="1301" spans="3:5" x14ac:dyDescent="0.25">
      <c r="C1301" s="53"/>
      <c r="E1301" s="53"/>
    </row>
    <row r="1302" spans="3:5" x14ac:dyDescent="0.25">
      <c r="C1302" s="53"/>
      <c r="E1302" s="53"/>
    </row>
    <row r="1303" spans="3:5" x14ac:dyDescent="0.25">
      <c r="C1303" s="53"/>
      <c r="E1303" s="53"/>
    </row>
    <row r="1304" spans="3:5" x14ac:dyDescent="0.25">
      <c r="C1304" s="53"/>
      <c r="E1304" s="53"/>
    </row>
    <row r="1305" spans="3:5" x14ac:dyDescent="0.25">
      <c r="C1305" s="53"/>
      <c r="E1305" s="53"/>
    </row>
    <row r="1306" spans="3:5" x14ac:dyDescent="0.25">
      <c r="C1306" s="53"/>
      <c r="E1306" s="53"/>
    </row>
    <row r="1307" spans="3:5" x14ac:dyDescent="0.25">
      <c r="C1307" s="53"/>
      <c r="E1307" s="53"/>
    </row>
    <row r="1308" spans="3:5" x14ac:dyDescent="0.25">
      <c r="C1308" s="53"/>
      <c r="E1308" s="53"/>
    </row>
    <row r="1309" spans="3:5" x14ac:dyDescent="0.25">
      <c r="C1309" s="53"/>
      <c r="E1309" s="53"/>
    </row>
    <row r="1310" spans="3:5" x14ac:dyDescent="0.25">
      <c r="C1310" s="53"/>
      <c r="E1310" s="53"/>
    </row>
    <row r="1311" spans="3:5" x14ac:dyDescent="0.25">
      <c r="C1311" s="53"/>
      <c r="E1311" s="53"/>
    </row>
    <row r="1312" spans="3:5" x14ac:dyDescent="0.25">
      <c r="C1312" s="53"/>
      <c r="E1312" s="53"/>
    </row>
    <row r="1313" spans="3:5" x14ac:dyDescent="0.25">
      <c r="C1313" s="53"/>
      <c r="E1313" s="53"/>
    </row>
    <row r="1314" spans="3:5" x14ac:dyDescent="0.25">
      <c r="C1314" s="53"/>
      <c r="E1314" s="53"/>
    </row>
    <row r="1315" spans="3:5" x14ac:dyDescent="0.25">
      <c r="C1315" s="53"/>
      <c r="E1315" s="53"/>
    </row>
    <row r="1316" spans="3:5" x14ac:dyDescent="0.25">
      <c r="C1316" s="53"/>
      <c r="E1316" s="53"/>
    </row>
    <row r="1317" spans="3:5" x14ac:dyDescent="0.25">
      <c r="C1317" s="53"/>
      <c r="E1317" s="53"/>
    </row>
    <row r="1318" spans="3:5" x14ac:dyDescent="0.25">
      <c r="C1318" s="53"/>
      <c r="E1318" s="53"/>
    </row>
    <row r="1319" spans="3:5" x14ac:dyDescent="0.25">
      <c r="C1319" s="53"/>
      <c r="E1319" s="53"/>
    </row>
    <row r="1320" spans="3:5" x14ac:dyDescent="0.25">
      <c r="C1320" s="53"/>
      <c r="E1320" s="53"/>
    </row>
    <row r="1321" spans="3:5" x14ac:dyDescent="0.25">
      <c r="C1321" s="53"/>
      <c r="E1321" s="53"/>
    </row>
    <row r="1322" spans="3:5" x14ac:dyDescent="0.25">
      <c r="C1322" s="53"/>
      <c r="E1322" s="53"/>
    </row>
    <row r="1323" spans="3:5" x14ac:dyDescent="0.25">
      <c r="C1323" s="53"/>
      <c r="E1323" s="53"/>
    </row>
    <row r="1324" spans="3:5" x14ac:dyDescent="0.25">
      <c r="C1324" s="53"/>
      <c r="E1324" s="53"/>
    </row>
    <row r="1325" spans="3:5" x14ac:dyDescent="0.25">
      <c r="C1325" s="53"/>
      <c r="E1325" s="53"/>
    </row>
    <row r="1326" spans="3:5" x14ac:dyDescent="0.25">
      <c r="C1326" s="53"/>
      <c r="E1326" s="53"/>
    </row>
    <row r="1327" spans="3:5" x14ac:dyDescent="0.25">
      <c r="C1327" s="53"/>
      <c r="E1327" s="53"/>
    </row>
    <row r="1328" spans="3:5" x14ac:dyDescent="0.25">
      <c r="C1328" s="53"/>
      <c r="E1328" s="53"/>
    </row>
    <row r="1329" spans="3:5" x14ac:dyDescent="0.25">
      <c r="C1329" s="53"/>
      <c r="E1329" s="53"/>
    </row>
    <row r="1330" spans="3:5" x14ac:dyDescent="0.25">
      <c r="C1330" s="53"/>
      <c r="E1330" s="53"/>
    </row>
    <row r="1331" spans="3:5" x14ac:dyDescent="0.25">
      <c r="C1331" s="53"/>
      <c r="E1331" s="53"/>
    </row>
    <row r="1332" spans="3:5" x14ac:dyDescent="0.25">
      <c r="C1332" s="53"/>
      <c r="E1332" s="53"/>
    </row>
    <row r="1333" spans="3:5" x14ac:dyDescent="0.25">
      <c r="C1333" s="53"/>
      <c r="E1333" s="53"/>
    </row>
    <row r="1334" spans="3:5" x14ac:dyDescent="0.25">
      <c r="C1334" s="53"/>
      <c r="E1334" s="53"/>
    </row>
    <row r="1335" spans="3:5" x14ac:dyDescent="0.25">
      <c r="C1335" s="53"/>
      <c r="E1335" s="53"/>
    </row>
    <row r="1336" spans="3:5" x14ac:dyDescent="0.25">
      <c r="C1336" s="53"/>
      <c r="E1336" s="53"/>
    </row>
    <row r="1337" spans="3:5" x14ac:dyDescent="0.25">
      <c r="C1337" s="53"/>
      <c r="E1337" s="53"/>
    </row>
    <row r="1338" spans="3:5" x14ac:dyDescent="0.25">
      <c r="C1338" s="53"/>
      <c r="E1338" s="53"/>
    </row>
    <row r="1339" spans="3:5" x14ac:dyDescent="0.25">
      <c r="C1339" s="53"/>
      <c r="E1339" s="53"/>
    </row>
    <row r="1340" spans="3:5" x14ac:dyDescent="0.25">
      <c r="C1340" s="53"/>
      <c r="E1340" s="53"/>
    </row>
    <row r="1341" spans="3:5" x14ac:dyDescent="0.25">
      <c r="C1341" s="53"/>
      <c r="E1341" s="53"/>
    </row>
    <row r="1342" spans="3:5" x14ac:dyDescent="0.25">
      <c r="C1342" s="53"/>
      <c r="E1342" s="53"/>
    </row>
    <row r="1343" spans="3:5" x14ac:dyDescent="0.25">
      <c r="C1343" s="53"/>
      <c r="E1343" s="53"/>
    </row>
    <row r="1344" spans="3:5" x14ac:dyDescent="0.25">
      <c r="C1344" s="53"/>
      <c r="E1344" s="53"/>
    </row>
    <row r="1345" spans="3:5" x14ac:dyDescent="0.25">
      <c r="C1345" s="53"/>
      <c r="E1345" s="53"/>
    </row>
    <row r="1346" spans="3:5" x14ac:dyDescent="0.25">
      <c r="C1346" s="53"/>
      <c r="E1346" s="53"/>
    </row>
    <row r="1347" spans="3:5" x14ac:dyDescent="0.25">
      <c r="C1347" s="53"/>
      <c r="E1347" s="53"/>
    </row>
    <row r="1348" spans="3:5" x14ac:dyDescent="0.25">
      <c r="C1348" s="53"/>
      <c r="E1348" s="53"/>
    </row>
    <row r="1349" spans="3:5" x14ac:dyDescent="0.25">
      <c r="C1349" s="53"/>
      <c r="E1349" s="53"/>
    </row>
    <row r="1350" spans="3:5" x14ac:dyDescent="0.25">
      <c r="C1350" s="53"/>
      <c r="E1350" s="53"/>
    </row>
    <row r="1351" spans="3:5" x14ac:dyDescent="0.25">
      <c r="C1351" s="53"/>
      <c r="E1351" s="53"/>
    </row>
    <row r="1352" spans="3:5" x14ac:dyDescent="0.25">
      <c r="C1352" s="53"/>
      <c r="E1352" s="53"/>
    </row>
    <row r="1353" spans="3:5" x14ac:dyDescent="0.25">
      <c r="C1353" s="53"/>
      <c r="E1353" s="53"/>
    </row>
    <row r="1354" spans="3:5" x14ac:dyDescent="0.25">
      <c r="C1354" s="53"/>
      <c r="E1354" s="53"/>
    </row>
    <row r="1355" spans="3:5" x14ac:dyDescent="0.25">
      <c r="C1355" s="53"/>
      <c r="E1355" s="53"/>
    </row>
    <row r="1356" spans="3:5" x14ac:dyDescent="0.25">
      <c r="C1356" s="53"/>
      <c r="E1356" s="53"/>
    </row>
    <row r="1357" spans="3:5" x14ac:dyDescent="0.25">
      <c r="C1357" s="53"/>
      <c r="E1357" s="53"/>
    </row>
    <row r="1358" spans="3:5" x14ac:dyDescent="0.25">
      <c r="C1358" s="53"/>
      <c r="E1358" s="53"/>
    </row>
    <row r="1359" spans="3:5" x14ac:dyDescent="0.25">
      <c r="C1359" s="53"/>
      <c r="E1359" s="53"/>
    </row>
    <row r="1360" spans="3:5" x14ac:dyDescent="0.25">
      <c r="C1360" s="53"/>
      <c r="E1360" s="53"/>
    </row>
    <row r="1361" spans="3:5" x14ac:dyDescent="0.25">
      <c r="C1361" s="53"/>
      <c r="E1361" s="53"/>
    </row>
    <row r="1362" spans="3:5" x14ac:dyDescent="0.25">
      <c r="C1362" s="53"/>
      <c r="E1362" s="53"/>
    </row>
    <row r="1363" spans="3:5" x14ac:dyDescent="0.25">
      <c r="C1363" s="53"/>
      <c r="E1363" s="53"/>
    </row>
    <row r="1364" spans="3:5" x14ac:dyDescent="0.25">
      <c r="C1364" s="53"/>
      <c r="E1364" s="53"/>
    </row>
    <row r="1365" spans="3:5" x14ac:dyDescent="0.25">
      <c r="C1365" s="53"/>
      <c r="E1365" s="53"/>
    </row>
    <row r="1366" spans="3:5" x14ac:dyDescent="0.25">
      <c r="C1366" s="53"/>
      <c r="E1366" s="53"/>
    </row>
    <row r="1367" spans="3:5" x14ac:dyDescent="0.25">
      <c r="C1367" s="53"/>
      <c r="E1367" s="53"/>
    </row>
    <row r="1368" spans="3:5" x14ac:dyDescent="0.25">
      <c r="C1368" s="53"/>
      <c r="E1368" s="53"/>
    </row>
    <row r="1369" spans="3:5" x14ac:dyDescent="0.25">
      <c r="C1369" s="53"/>
      <c r="E1369" s="53"/>
    </row>
    <row r="1370" spans="3:5" x14ac:dyDescent="0.25">
      <c r="C1370" s="53"/>
      <c r="E1370" s="53"/>
    </row>
    <row r="1371" spans="3:5" x14ac:dyDescent="0.25">
      <c r="C1371" s="53"/>
      <c r="E1371" s="53"/>
    </row>
    <row r="1372" spans="3:5" x14ac:dyDescent="0.25">
      <c r="C1372" s="53"/>
      <c r="E1372" s="53"/>
    </row>
    <row r="1373" spans="3:5" x14ac:dyDescent="0.25">
      <c r="C1373" s="53"/>
      <c r="E1373" s="53"/>
    </row>
    <row r="1374" spans="3:5" x14ac:dyDescent="0.25">
      <c r="C1374" s="53"/>
      <c r="E1374" s="53"/>
    </row>
    <row r="1375" spans="3:5" x14ac:dyDescent="0.25">
      <c r="C1375" s="53"/>
      <c r="E1375" s="53"/>
    </row>
    <row r="1376" spans="3:5" x14ac:dyDescent="0.25">
      <c r="C1376" s="53"/>
      <c r="E1376" s="53"/>
    </row>
    <row r="1377" spans="3:5" x14ac:dyDescent="0.25">
      <c r="C1377" s="53"/>
      <c r="E1377" s="53"/>
    </row>
    <row r="1378" spans="3:5" x14ac:dyDescent="0.25">
      <c r="C1378" s="53"/>
      <c r="E1378" s="53"/>
    </row>
    <row r="1379" spans="3:5" x14ac:dyDescent="0.25">
      <c r="C1379" s="53"/>
      <c r="E1379" s="53"/>
    </row>
    <row r="1380" spans="3:5" x14ac:dyDescent="0.25">
      <c r="C1380" s="53"/>
      <c r="E1380" s="53"/>
    </row>
    <row r="1381" spans="3:5" x14ac:dyDescent="0.25">
      <c r="C1381" s="53"/>
      <c r="E1381" s="53"/>
    </row>
    <row r="1382" spans="3:5" x14ac:dyDescent="0.25">
      <c r="C1382" s="53"/>
      <c r="E1382" s="53"/>
    </row>
    <row r="1383" spans="3:5" x14ac:dyDescent="0.25">
      <c r="C1383" s="53"/>
      <c r="E1383" s="53"/>
    </row>
    <row r="1384" spans="3:5" x14ac:dyDescent="0.25">
      <c r="C1384" s="53"/>
      <c r="E1384" s="53"/>
    </row>
    <row r="1385" spans="3:5" x14ac:dyDescent="0.25">
      <c r="C1385" s="53"/>
      <c r="E1385" s="53"/>
    </row>
    <row r="1386" spans="3:5" x14ac:dyDescent="0.25">
      <c r="C1386" s="53"/>
      <c r="E1386" s="53"/>
    </row>
    <row r="1387" spans="3:5" x14ac:dyDescent="0.25">
      <c r="C1387" s="53"/>
      <c r="E1387" s="53"/>
    </row>
    <row r="1388" spans="3:5" x14ac:dyDescent="0.25">
      <c r="C1388" s="53"/>
      <c r="E1388" s="53"/>
    </row>
    <row r="1389" spans="3:5" x14ac:dyDescent="0.25">
      <c r="C1389" s="53"/>
      <c r="E1389" s="53"/>
    </row>
    <row r="1390" spans="3:5" x14ac:dyDescent="0.25">
      <c r="C1390" s="53"/>
      <c r="E1390" s="53"/>
    </row>
    <row r="1391" spans="3:5" x14ac:dyDescent="0.25">
      <c r="C1391" s="53"/>
      <c r="E1391" s="53"/>
    </row>
    <row r="1392" spans="3:5" x14ac:dyDescent="0.25">
      <c r="C1392" s="53"/>
      <c r="E1392" s="53"/>
    </row>
    <row r="1393" spans="3:5" x14ac:dyDescent="0.25">
      <c r="C1393" s="53"/>
      <c r="E1393" s="53"/>
    </row>
    <row r="1394" spans="3:5" x14ac:dyDescent="0.25">
      <c r="C1394" s="53"/>
      <c r="E1394" s="53"/>
    </row>
    <row r="1395" spans="3:5" x14ac:dyDescent="0.25">
      <c r="C1395" s="53"/>
      <c r="E1395" s="53"/>
    </row>
    <row r="1396" spans="3:5" x14ac:dyDescent="0.25">
      <c r="C1396" s="53"/>
      <c r="E1396" s="53"/>
    </row>
    <row r="1397" spans="3:5" x14ac:dyDescent="0.25">
      <c r="C1397" s="53"/>
      <c r="E1397" s="53"/>
    </row>
    <row r="1398" spans="3:5" x14ac:dyDescent="0.25">
      <c r="C1398" s="53"/>
      <c r="E1398" s="53"/>
    </row>
    <row r="1399" spans="3:5" x14ac:dyDescent="0.25">
      <c r="C1399" s="53"/>
      <c r="E1399" s="53"/>
    </row>
    <row r="1400" spans="3:5" x14ac:dyDescent="0.25">
      <c r="C1400" s="53"/>
      <c r="E1400" s="53"/>
    </row>
    <row r="1401" spans="3:5" x14ac:dyDescent="0.25">
      <c r="C1401" s="53"/>
      <c r="E1401" s="53"/>
    </row>
    <row r="1402" spans="3:5" x14ac:dyDescent="0.25">
      <c r="C1402" s="53"/>
      <c r="E1402" s="53"/>
    </row>
    <row r="1403" spans="3:5" x14ac:dyDescent="0.25">
      <c r="C1403" s="53"/>
      <c r="E1403" s="53"/>
    </row>
    <row r="1404" spans="3:5" x14ac:dyDescent="0.25">
      <c r="C1404" s="53"/>
      <c r="E1404" s="53"/>
    </row>
    <row r="1405" spans="3:5" x14ac:dyDescent="0.25">
      <c r="C1405" s="53"/>
      <c r="E1405" s="53"/>
    </row>
    <row r="1406" spans="3:5" x14ac:dyDescent="0.25">
      <c r="C1406" s="53"/>
      <c r="E1406" s="53"/>
    </row>
    <row r="1407" spans="3:5" x14ac:dyDescent="0.25">
      <c r="C1407" s="53"/>
      <c r="E1407" s="53"/>
    </row>
    <row r="1408" spans="3:5" x14ac:dyDescent="0.25">
      <c r="C1408" s="53"/>
      <c r="E1408" s="53"/>
    </row>
    <row r="1409" spans="3:5" x14ac:dyDescent="0.25">
      <c r="C1409" s="53"/>
      <c r="E1409" s="53"/>
    </row>
    <row r="1410" spans="3:5" x14ac:dyDescent="0.25">
      <c r="C1410" s="53"/>
      <c r="E1410" s="53"/>
    </row>
    <row r="1411" spans="3:5" x14ac:dyDescent="0.25">
      <c r="C1411" s="53"/>
      <c r="E1411" s="53"/>
    </row>
    <row r="1412" spans="3:5" x14ac:dyDescent="0.25">
      <c r="C1412" s="53"/>
      <c r="E1412" s="53"/>
    </row>
    <row r="1413" spans="3:5" x14ac:dyDescent="0.25">
      <c r="C1413" s="53"/>
      <c r="E1413" s="53"/>
    </row>
    <row r="1414" spans="3:5" x14ac:dyDescent="0.25">
      <c r="C1414" s="53"/>
      <c r="E1414" s="53"/>
    </row>
    <row r="1415" spans="3:5" x14ac:dyDescent="0.25">
      <c r="C1415" s="53"/>
      <c r="E1415" s="53"/>
    </row>
    <row r="1416" spans="3:5" x14ac:dyDescent="0.25">
      <c r="C1416" s="53"/>
      <c r="E1416" s="53"/>
    </row>
    <row r="1417" spans="3:5" x14ac:dyDescent="0.25">
      <c r="C1417" s="53"/>
      <c r="E1417" s="53"/>
    </row>
    <row r="1418" spans="3:5" x14ac:dyDescent="0.25">
      <c r="C1418" s="53"/>
      <c r="E1418" s="53"/>
    </row>
    <row r="1419" spans="3:5" x14ac:dyDescent="0.25">
      <c r="C1419" s="53"/>
      <c r="E1419" s="53"/>
    </row>
    <row r="1420" spans="3:5" x14ac:dyDescent="0.25">
      <c r="C1420" s="53"/>
      <c r="E1420" s="53"/>
    </row>
    <row r="1421" spans="3:5" x14ac:dyDescent="0.25">
      <c r="C1421" s="53"/>
      <c r="E1421" s="53"/>
    </row>
    <row r="1422" spans="3:5" x14ac:dyDescent="0.25">
      <c r="C1422" s="53"/>
      <c r="E1422" s="53"/>
    </row>
    <row r="1423" spans="3:5" x14ac:dyDescent="0.25">
      <c r="C1423" s="53"/>
      <c r="E1423" s="53"/>
    </row>
    <row r="1424" spans="3:5" x14ac:dyDescent="0.25">
      <c r="C1424" s="53"/>
      <c r="E1424" s="53"/>
    </row>
    <row r="1425" spans="3:5" x14ac:dyDescent="0.25">
      <c r="C1425" s="53"/>
      <c r="E1425" s="53"/>
    </row>
    <row r="1426" spans="3:5" x14ac:dyDescent="0.25">
      <c r="C1426" s="53"/>
      <c r="E1426" s="53"/>
    </row>
    <row r="1427" spans="3:5" x14ac:dyDescent="0.25">
      <c r="C1427" s="53"/>
      <c r="E1427" s="53"/>
    </row>
    <row r="1428" spans="3:5" x14ac:dyDescent="0.25">
      <c r="C1428" s="53"/>
      <c r="E1428" s="53"/>
    </row>
    <row r="1429" spans="3:5" x14ac:dyDescent="0.25">
      <c r="C1429" s="53"/>
      <c r="E1429" s="53"/>
    </row>
    <row r="1430" spans="3:5" x14ac:dyDescent="0.25">
      <c r="C1430" s="53"/>
      <c r="E1430" s="53"/>
    </row>
    <row r="1431" spans="3:5" x14ac:dyDescent="0.25">
      <c r="C1431" s="53"/>
      <c r="E1431" s="53"/>
    </row>
    <row r="1432" spans="3:5" x14ac:dyDescent="0.25">
      <c r="C1432" s="53"/>
      <c r="E1432" s="53"/>
    </row>
    <row r="1433" spans="3:5" x14ac:dyDescent="0.25">
      <c r="C1433" s="53"/>
      <c r="E1433" s="53"/>
    </row>
    <row r="1434" spans="3:5" x14ac:dyDescent="0.25">
      <c r="C1434" s="53"/>
      <c r="E1434" s="53"/>
    </row>
    <row r="1435" spans="3:5" x14ac:dyDescent="0.25">
      <c r="C1435" s="53"/>
      <c r="E1435" s="53"/>
    </row>
    <row r="1436" spans="3:5" x14ac:dyDescent="0.25">
      <c r="C1436" s="53"/>
      <c r="E1436" s="53"/>
    </row>
    <row r="1437" spans="3:5" x14ac:dyDescent="0.25">
      <c r="C1437" s="53"/>
      <c r="E1437" s="53"/>
    </row>
    <row r="1438" spans="3:5" x14ac:dyDescent="0.25">
      <c r="C1438" s="53"/>
      <c r="E1438" s="53"/>
    </row>
    <row r="1439" spans="3:5" x14ac:dyDescent="0.25">
      <c r="C1439" s="53"/>
      <c r="E1439" s="53"/>
    </row>
    <row r="1440" spans="3:5" x14ac:dyDescent="0.25">
      <c r="C1440" s="53"/>
      <c r="E1440" s="53"/>
    </row>
    <row r="1441" spans="3:5" x14ac:dyDescent="0.25">
      <c r="C1441" s="53"/>
      <c r="E1441" s="53"/>
    </row>
    <row r="1442" spans="3:5" x14ac:dyDescent="0.25">
      <c r="C1442" s="53"/>
      <c r="E1442" s="53"/>
    </row>
    <row r="1443" spans="3:5" x14ac:dyDescent="0.25">
      <c r="C1443" s="53"/>
      <c r="E1443" s="53"/>
    </row>
    <row r="1444" spans="3:5" x14ac:dyDescent="0.25">
      <c r="C1444" s="53"/>
      <c r="E1444" s="53"/>
    </row>
    <row r="1445" spans="3:5" x14ac:dyDescent="0.25">
      <c r="C1445" s="53"/>
      <c r="E1445" s="53"/>
    </row>
    <row r="1446" spans="3:5" x14ac:dyDescent="0.25">
      <c r="C1446" s="53"/>
      <c r="E1446" s="53"/>
    </row>
    <row r="1447" spans="3:5" x14ac:dyDescent="0.25">
      <c r="C1447" s="53"/>
      <c r="E1447" s="53"/>
    </row>
    <row r="1448" spans="3:5" x14ac:dyDescent="0.25">
      <c r="C1448" s="53"/>
      <c r="E1448" s="53"/>
    </row>
    <row r="1449" spans="3:5" x14ac:dyDescent="0.25">
      <c r="C1449" s="53"/>
      <c r="E1449" s="53"/>
    </row>
    <row r="1450" spans="3:5" x14ac:dyDescent="0.25">
      <c r="C1450" s="53"/>
      <c r="E1450" s="53"/>
    </row>
    <row r="1451" spans="3:5" x14ac:dyDescent="0.25">
      <c r="C1451" s="53"/>
      <c r="E1451" s="53"/>
    </row>
    <row r="1452" spans="3:5" x14ac:dyDescent="0.25">
      <c r="C1452" s="53"/>
      <c r="E1452" s="53"/>
    </row>
    <row r="1453" spans="3:5" x14ac:dyDescent="0.25">
      <c r="C1453" s="53"/>
      <c r="E1453" s="53"/>
    </row>
    <row r="1454" spans="3:5" x14ac:dyDescent="0.25">
      <c r="C1454" s="53"/>
      <c r="E1454" s="53"/>
    </row>
    <row r="1455" spans="3:5" x14ac:dyDescent="0.25">
      <c r="C1455" s="53"/>
      <c r="E1455" s="53"/>
    </row>
    <row r="1456" spans="3:5" x14ac:dyDescent="0.25">
      <c r="C1456" s="53"/>
      <c r="E1456" s="53"/>
    </row>
    <row r="1457" spans="3:5" x14ac:dyDescent="0.25">
      <c r="C1457" s="53"/>
      <c r="E1457" s="53"/>
    </row>
    <row r="1458" spans="3:5" x14ac:dyDescent="0.25">
      <c r="C1458" s="53"/>
      <c r="E1458" s="53"/>
    </row>
    <row r="1459" spans="3:5" x14ac:dyDescent="0.25">
      <c r="C1459" s="53"/>
      <c r="E1459" s="53"/>
    </row>
    <row r="1460" spans="3:5" x14ac:dyDescent="0.25">
      <c r="C1460" s="53"/>
      <c r="E1460" s="53"/>
    </row>
    <row r="1461" spans="3:5" x14ac:dyDescent="0.25">
      <c r="C1461" s="53"/>
      <c r="E1461" s="53"/>
    </row>
    <row r="1462" spans="3:5" x14ac:dyDescent="0.25">
      <c r="C1462" s="53"/>
      <c r="E1462" s="53"/>
    </row>
    <row r="1463" spans="3:5" x14ac:dyDescent="0.25">
      <c r="C1463" s="53"/>
      <c r="E1463" s="53"/>
    </row>
    <row r="1464" spans="3:5" x14ac:dyDescent="0.25">
      <c r="C1464" s="53"/>
      <c r="E1464" s="53"/>
    </row>
    <row r="1465" spans="3:5" x14ac:dyDescent="0.25">
      <c r="C1465" s="53"/>
      <c r="E1465" s="53"/>
    </row>
    <row r="1466" spans="3:5" x14ac:dyDescent="0.25">
      <c r="C1466" s="53"/>
      <c r="E1466" s="53"/>
    </row>
    <row r="1467" spans="3:5" x14ac:dyDescent="0.25">
      <c r="C1467" s="53"/>
      <c r="E1467" s="53"/>
    </row>
    <row r="1468" spans="3:5" x14ac:dyDescent="0.25">
      <c r="C1468" s="53"/>
      <c r="E1468" s="53"/>
    </row>
    <row r="1469" spans="3:5" x14ac:dyDescent="0.25">
      <c r="C1469" s="53"/>
      <c r="E1469" s="53"/>
    </row>
    <row r="1470" spans="3:5" x14ac:dyDescent="0.25">
      <c r="C1470" s="53"/>
      <c r="E1470" s="53"/>
    </row>
    <row r="1471" spans="3:5" x14ac:dyDescent="0.25">
      <c r="C1471" s="53"/>
      <c r="E1471" s="53"/>
    </row>
    <row r="1472" spans="3:5" x14ac:dyDescent="0.25">
      <c r="C1472" s="53"/>
      <c r="E1472" s="53"/>
    </row>
    <row r="1473" spans="3:5" x14ac:dyDescent="0.25">
      <c r="C1473" s="53"/>
      <c r="E1473" s="53"/>
    </row>
    <row r="1474" spans="3:5" x14ac:dyDescent="0.25">
      <c r="C1474" s="53"/>
      <c r="E1474" s="53"/>
    </row>
    <row r="1475" spans="3:5" x14ac:dyDescent="0.25">
      <c r="C1475" s="53"/>
      <c r="E1475" s="53"/>
    </row>
    <row r="1476" spans="3:5" x14ac:dyDescent="0.25">
      <c r="C1476" s="53"/>
      <c r="E1476" s="53"/>
    </row>
    <row r="1477" spans="3:5" x14ac:dyDescent="0.25">
      <c r="C1477" s="53"/>
      <c r="E1477" s="53"/>
    </row>
    <row r="1478" spans="3:5" x14ac:dyDescent="0.25">
      <c r="C1478" s="53"/>
      <c r="E1478" s="53"/>
    </row>
    <row r="1479" spans="3:5" x14ac:dyDescent="0.25">
      <c r="C1479" s="53"/>
      <c r="E1479" s="53"/>
    </row>
    <row r="1480" spans="3:5" x14ac:dyDescent="0.25">
      <c r="C1480" s="53"/>
      <c r="E1480" s="53"/>
    </row>
    <row r="1481" spans="3:5" x14ac:dyDescent="0.25">
      <c r="C1481" s="53"/>
      <c r="E1481" s="53"/>
    </row>
    <row r="1482" spans="3:5" x14ac:dyDescent="0.25">
      <c r="C1482" s="53"/>
      <c r="E1482" s="53"/>
    </row>
    <row r="1483" spans="3:5" x14ac:dyDescent="0.25">
      <c r="C1483" s="53"/>
      <c r="E1483" s="53"/>
    </row>
    <row r="1484" spans="3:5" x14ac:dyDescent="0.25">
      <c r="C1484" s="53"/>
      <c r="E1484" s="53"/>
    </row>
    <row r="1485" spans="3:5" x14ac:dyDescent="0.25">
      <c r="C1485" s="53"/>
      <c r="E1485" s="53"/>
    </row>
    <row r="1486" spans="3:5" x14ac:dyDescent="0.25">
      <c r="C1486" s="53"/>
      <c r="E1486" s="53"/>
    </row>
    <row r="1487" spans="3:5" x14ac:dyDescent="0.25">
      <c r="C1487" s="53"/>
      <c r="E1487" s="53"/>
    </row>
    <row r="1488" spans="3:5" x14ac:dyDescent="0.25">
      <c r="C1488" s="53"/>
      <c r="E1488" s="53"/>
    </row>
    <row r="1489" spans="3:5" x14ac:dyDescent="0.25">
      <c r="C1489" s="53"/>
      <c r="E1489" s="53"/>
    </row>
    <row r="1490" spans="3:5" x14ac:dyDescent="0.25">
      <c r="C1490" s="53"/>
      <c r="E1490" s="53"/>
    </row>
    <row r="1491" spans="3:5" x14ac:dyDescent="0.25">
      <c r="C1491" s="53"/>
      <c r="E1491" s="53"/>
    </row>
    <row r="1492" spans="3:5" x14ac:dyDescent="0.25">
      <c r="C1492" s="53"/>
      <c r="E1492" s="53"/>
    </row>
    <row r="1493" spans="3:5" x14ac:dyDescent="0.25">
      <c r="C1493" s="53"/>
      <c r="E1493" s="53"/>
    </row>
    <row r="1494" spans="3:5" x14ac:dyDescent="0.25">
      <c r="C1494" s="53"/>
      <c r="E1494" s="53"/>
    </row>
    <row r="1495" spans="3:5" x14ac:dyDescent="0.25">
      <c r="C1495" s="53"/>
      <c r="E1495" s="53"/>
    </row>
    <row r="1496" spans="3:5" x14ac:dyDescent="0.25">
      <c r="C1496" s="53"/>
      <c r="E1496" s="53"/>
    </row>
    <row r="1497" spans="3:5" x14ac:dyDescent="0.25">
      <c r="C1497" s="53"/>
      <c r="E1497" s="53"/>
    </row>
    <row r="1498" spans="3:5" x14ac:dyDescent="0.25">
      <c r="C1498" s="53"/>
      <c r="E1498" s="53"/>
    </row>
    <row r="1499" spans="3:5" x14ac:dyDescent="0.25">
      <c r="C1499" s="53"/>
      <c r="E1499" s="53"/>
    </row>
    <row r="1500" spans="3:5" x14ac:dyDescent="0.25">
      <c r="C1500" s="53"/>
      <c r="E1500" s="53"/>
    </row>
    <row r="1501" spans="3:5" x14ac:dyDescent="0.25">
      <c r="C1501" s="53"/>
      <c r="E1501" s="53"/>
    </row>
    <row r="1502" spans="3:5" x14ac:dyDescent="0.25">
      <c r="C1502" s="53"/>
      <c r="E1502" s="53"/>
    </row>
    <row r="1503" spans="3:5" x14ac:dyDescent="0.25">
      <c r="C1503" s="53"/>
      <c r="E1503" s="53"/>
    </row>
    <row r="1504" spans="3:5" x14ac:dyDescent="0.25">
      <c r="C1504" s="53"/>
      <c r="E1504" s="53"/>
    </row>
    <row r="1505" spans="3:5" x14ac:dyDescent="0.25">
      <c r="C1505" s="53"/>
      <c r="E1505" s="53"/>
    </row>
    <row r="1506" spans="3:5" x14ac:dyDescent="0.25">
      <c r="C1506" s="53"/>
      <c r="E1506" s="53"/>
    </row>
    <row r="1507" spans="3:5" x14ac:dyDescent="0.25">
      <c r="C1507" s="53"/>
      <c r="E1507" s="53"/>
    </row>
    <row r="1508" spans="3:5" x14ac:dyDescent="0.25">
      <c r="C1508" s="53"/>
      <c r="E1508" s="53"/>
    </row>
    <row r="1509" spans="3:5" x14ac:dyDescent="0.25">
      <c r="C1509" s="53"/>
      <c r="E1509" s="53"/>
    </row>
    <row r="1510" spans="3:5" x14ac:dyDescent="0.25">
      <c r="C1510" s="53"/>
      <c r="E1510" s="53"/>
    </row>
    <row r="1511" spans="3:5" x14ac:dyDescent="0.25">
      <c r="C1511" s="53"/>
      <c r="E1511" s="53"/>
    </row>
    <row r="1512" spans="3:5" x14ac:dyDescent="0.25">
      <c r="C1512" s="53"/>
      <c r="E1512" s="53"/>
    </row>
    <row r="1513" spans="3:5" x14ac:dyDescent="0.25">
      <c r="C1513" s="53"/>
      <c r="E1513" s="53"/>
    </row>
    <row r="1514" spans="3:5" x14ac:dyDescent="0.25">
      <c r="C1514" s="53"/>
      <c r="E1514" s="53"/>
    </row>
    <row r="1515" spans="3:5" x14ac:dyDescent="0.25">
      <c r="C1515" s="53"/>
      <c r="E1515" s="53"/>
    </row>
    <row r="1516" spans="3:5" x14ac:dyDescent="0.25">
      <c r="C1516" s="53"/>
      <c r="E1516" s="53"/>
    </row>
    <row r="1517" spans="3:5" x14ac:dyDescent="0.25">
      <c r="C1517" s="53"/>
      <c r="E1517" s="53"/>
    </row>
    <row r="1518" spans="3:5" x14ac:dyDescent="0.25">
      <c r="C1518" s="53"/>
      <c r="E1518" s="53"/>
    </row>
    <row r="1519" spans="3:5" x14ac:dyDescent="0.25">
      <c r="C1519" s="53"/>
      <c r="E1519" s="53"/>
    </row>
    <row r="1520" spans="3:5" x14ac:dyDescent="0.25">
      <c r="C1520" s="53"/>
      <c r="E1520" s="53"/>
    </row>
    <row r="1521" spans="3:5" x14ac:dyDescent="0.25">
      <c r="C1521" s="53"/>
      <c r="E1521" s="53"/>
    </row>
    <row r="1522" spans="3:5" x14ac:dyDescent="0.25">
      <c r="C1522" s="53"/>
      <c r="E1522" s="53"/>
    </row>
    <row r="1523" spans="3:5" x14ac:dyDescent="0.25">
      <c r="C1523" s="53"/>
      <c r="E1523" s="53"/>
    </row>
    <row r="1524" spans="3:5" x14ac:dyDescent="0.25">
      <c r="C1524" s="53"/>
      <c r="E1524" s="53"/>
    </row>
    <row r="1525" spans="3:5" x14ac:dyDescent="0.25">
      <c r="C1525" s="53"/>
      <c r="E1525" s="53"/>
    </row>
    <row r="1526" spans="3:5" x14ac:dyDescent="0.25">
      <c r="C1526" s="53"/>
      <c r="E1526" s="53"/>
    </row>
    <row r="1527" spans="3:5" x14ac:dyDescent="0.25">
      <c r="C1527" s="53"/>
      <c r="E1527" s="53"/>
    </row>
    <row r="1528" spans="3:5" x14ac:dyDescent="0.25">
      <c r="C1528" s="53"/>
      <c r="E1528" s="53"/>
    </row>
    <row r="1529" spans="3:5" x14ac:dyDescent="0.25">
      <c r="C1529" s="53"/>
      <c r="E1529" s="53"/>
    </row>
    <row r="1530" spans="3:5" x14ac:dyDescent="0.25">
      <c r="C1530" s="53"/>
      <c r="E1530" s="53"/>
    </row>
    <row r="1531" spans="3:5" x14ac:dyDescent="0.25">
      <c r="C1531" s="53"/>
      <c r="E1531" s="53"/>
    </row>
    <row r="1532" spans="3:5" x14ac:dyDescent="0.25">
      <c r="C1532" s="53"/>
      <c r="E1532" s="53"/>
    </row>
    <row r="1533" spans="3:5" x14ac:dyDescent="0.25">
      <c r="C1533" s="53"/>
      <c r="E1533" s="53"/>
    </row>
    <row r="1534" spans="3:5" x14ac:dyDescent="0.25">
      <c r="C1534" s="53"/>
      <c r="E1534" s="53"/>
    </row>
    <row r="1535" spans="3:5" x14ac:dyDescent="0.25">
      <c r="C1535" s="53"/>
      <c r="E1535" s="53"/>
    </row>
    <row r="1536" spans="3:5" x14ac:dyDescent="0.25">
      <c r="C1536" s="53"/>
      <c r="E1536" s="53"/>
    </row>
    <row r="1537" spans="3:5" x14ac:dyDescent="0.25">
      <c r="C1537" s="53"/>
      <c r="E1537" s="53"/>
    </row>
    <row r="1538" spans="3:5" x14ac:dyDescent="0.25">
      <c r="C1538" s="53"/>
      <c r="E1538" s="53"/>
    </row>
    <row r="1539" spans="3:5" x14ac:dyDescent="0.25">
      <c r="C1539" s="53"/>
      <c r="E1539" s="53"/>
    </row>
    <row r="1540" spans="3:5" x14ac:dyDescent="0.25">
      <c r="C1540" s="53"/>
      <c r="E1540" s="53"/>
    </row>
    <row r="1541" spans="3:5" x14ac:dyDescent="0.25">
      <c r="C1541" s="53"/>
      <c r="E1541" s="53"/>
    </row>
    <row r="1542" spans="3:5" x14ac:dyDescent="0.25">
      <c r="C1542" s="53"/>
      <c r="E1542" s="53"/>
    </row>
    <row r="1543" spans="3:5" x14ac:dyDescent="0.25">
      <c r="C1543" s="53"/>
      <c r="E1543" s="53"/>
    </row>
    <row r="1544" spans="3:5" x14ac:dyDescent="0.25">
      <c r="C1544" s="53"/>
      <c r="E1544" s="53"/>
    </row>
    <row r="1545" spans="3:5" x14ac:dyDescent="0.25">
      <c r="C1545" s="53"/>
      <c r="E1545" s="53"/>
    </row>
    <row r="1546" spans="3:5" x14ac:dyDescent="0.25">
      <c r="C1546" s="53"/>
      <c r="E1546" s="53"/>
    </row>
    <row r="1547" spans="3:5" x14ac:dyDescent="0.25">
      <c r="C1547" s="53"/>
      <c r="E1547" s="53"/>
    </row>
    <row r="1548" spans="3:5" x14ac:dyDescent="0.25">
      <c r="C1548" s="53"/>
      <c r="E1548" s="53"/>
    </row>
    <row r="1549" spans="3:5" x14ac:dyDescent="0.25">
      <c r="C1549" s="53"/>
      <c r="E1549" s="53"/>
    </row>
    <row r="1550" spans="3:5" x14ac:dyDescent="0.25">
      <c r="C1550" s="53"/>
      <c r="E1550" s="53"/>
    </row>
    <row r="1551" spans="3:5" x14ac:dyDescent="0.25">
      <c r="C1551" s="53"/>
      <c r="E1551" s="53"/>
    </row>
    <row r="1552" spans="3:5" x14ac:dyDescent="0.25">
      <c r="C1552" s="53"/>
      <c r="E1552" s="53"/>
    </row>
    <row r="1553" spans="3:5" x14ac:dyDescent="0.25">
      <c r="C1553" s="53"/>
      <c r="E1553" s="53"/>
    </row>
    <row r="1554" spans="3:5" x14ac:dyDescent="0.25">
      <c r="C1554" s="53"/>
      <c r="E1554" s="53"/>
    </row>
    <row r="1555" spans="3:5" x14ac:dyDescent="0.25">
      <c r="C1555" s="53"/>
      <c r="E1555" s="53"/>
    </row>
    <row r="1556" spans="3:5" x14ac:dyDescent="0.25">
      <c r="C1556" s="53"/>
      <c r="E1556" s="53"/>
    </row>
    <row r="1557" spans="3:5" x14ac:dyDescent="0.25">
      <c r="C1557" s="53"/>
      <c r="E1557" s="53"/>
    </row>
    <row r="1558" spans="3:5" x14ac:dyDescent="0.25">
      <c r="C1558" s="53"/>
      <c r="E1558" s="53"/>
    </row>
    <row r="1559" spans="3:5" x14ac:dyDescent="0.25">
      <c r="C1559" s="53"/>
      <c r="E1559" s="53"/>
    </row>
    <row r="1560" spans="3:5" x14ac:dyDescent="0.25">
      <c r="C1560" s="53"/>
      <c r="E1560" s="53"/>
    </row>
    <row r="1561" spans="3:5" x14ac:dyDescent="0.25">
      <c r="C1561" s="53"/>
      <c r="E1561" s="53"/>
    </row>
    <row r="1562" spans="3:5" x14ac:dyDescent="0.25">
      <c r="C1562" s="53"/>
      <c r="E1562" s="53"/>
    </row>
    <row r="1563" spans="3:5" x14ac:dyDescent="0.25">
      <c r="C1563" s="53"/>
      <c r="E1563" s="53"/>
    </row>
    <row r="1564" spans="3:5" x14ac:dyDescent="0.25">
      <c r="C1564" s="53"/>
      <c r="E1564" s="53"/>
    </row>
    <row r="1565" spans="3:5" x14ac:dyDescent="0.25">
      <c r="C1565" s="53"/>
      <c r="E1565" s="53"/>
    </row>
    <row r="1566" spans="3:5" x14ac:dyDescent="0.25">
      <c r="C1566" s="53"/>
      <c r="E1566" s="53"/>
    </row>
    <row r="1567" spans="3:5" x14ac:dyDescent="0.25">
      <c r="C1567" s="53"/>
      <c r="E1567" s="53"/>
    </row>
    <row r="1568" spans="3:5" x14ac:dyDescent="0.25">
      <c r="C1568" s="53"/>
      <c r="E1568" s="53"/>
    </row>
    <row r="1569" spans="3:5" x14ac:dyDescent="0.25">
      <c r="C1569" s="53"/>
      <c r="E1569" s="53"/>
    </row>
    <row r="1570" spans="3:5" x14ac:dyDescent="0.25">
      <c r="C1570" s="53"/>
      <c r="E1570" s="53"/>
    </row>
    <row r="1571" spans="3:5" x14ac:dyDescent="0.25">
      <c r="C1571" s="53"/>
      <c r="E1571" s="53"/>
    </row>
    <row r="1572" spans="3:5" x14ac:dyDescent="0.25">
      <c r="C1572" s="53"/>
      <c r="E1572" s="53"/>
    </row>
    <row r="1573" spans="3:5" x14ac:dyDescent="0.25">
      <c r="C1573" s="53"/>
      <c r="E1573" s="53"/>
    </row>
    <row r="1574" spans="3:5" x14ac:dyDescent="0.25">
      <c r="C1574" s="53"/>
      <c r="E1574" s="53"/>
    </row>
    <row r="1575" spans="3:5" x14ac:dyDescent="0.25">
      <c r="C1575" s="53"/>
      <c r="E1575" s="53"/>
    </row>
    <row r="1576" spans="3:5" x14ac:dyDescent="0.25">
      <c r="C1576" s="53"/>
      <c r="E1576" s="53"/>
    </row>
    <row r="1577" spans="3:5" x14ac:dyDescent="0.25">
      <c r="C1577" s="53"/>
      <c r="E1577" s="53"/>
    </row>
    <row r="1578" spans="3:5" x14ac:dyDescent="0.25">
      <c r="C1578" s="53"/>
      <c r="E1578" s="53"/>
    </row>
    <row r="1579" spans="3:5" x14ac:dyDescent="0.25">
      <c r="C1579" s="53"/>
      <c r="E1579" s="53"/>
    </row>
    <row r="1580" spans="3:5" x14ac:dyDescent="0.25">
      <c r="C1580" s="53"/>
      <c r="E1580" s="53"/>
    </row>
    <row r="1581" spans="3:5" x14ac:dyDescent="0.25">
      <c r="C1581" s="53"/>
      <c r="E1581" s="53"/>
    </row>
    <row r="1582" spans="3:5" x14ac:dyDescent="0.25">
      <c r="C1582" s="53"/>
      <c r="E1582" s="53"/>
    </row>
    <row r="1583" spans="3:5" x14ac:dyDescent="0.25">
      <c r="C1583" s="53"/>
      <c r="E1583" s="53"/>
    </row>
    <row r="1584" spans="3:5" x14ac:dyDescent="0.25">
      <c r="C1584" s="53"/>
      <c r="E1584" s="53"/>
    </row>
    <row r="1585" spans="3:5" x14ac:dyDescent="0.25">
      <c r="C1585" s="53"/>
      <c r="E1585" s="53"/>
    </row>
    <row r="1586" spans="3:5" x14ac:dyDescent="0.25">
      <c r="C1586" s="53"/>
      <c r="E1586" s="53"/>
    </row>
    <row r="1587" spans="3:5" x14ac:dyDescent="0.25">
      <c r="C1587" s="53"/>
      <c r="E1587" s="53"/>
    </row>
    <row r="1588" spans="3:5" x14ac:dyDescent="0.25">
      <c r="C1588" s="53"/>
      <c r="E1588" s="53"/>
    </row>
    <row r="1589" spans="3:5" x14ac:dyDescent="0.25">
      <c r="C1589" s="53"/>
      <c r="E1589" s="53"/>
    </row>
    <row r="1590" spans="3:5" x14ac:dyDescent="0.25">
      <c r="C1590" s="53"/>
      <c r="E1590" s="53"/>
    </row>
    <row r="1591" spans="3:5" x14ac:dyDescent="0.25">
      <c r="C1591" s="53"/>
      <c r="E1591" s="53"/>
    </row>
    <row r="1592" spans="3:5" x14ac:dyDescent="0.25">
      <c r="C1592" s="53"/>
      <c r="E1592" s="53"/>
    </row>
    <row r="1593" spans="3:5" x14ac:dyDescent="0.25">
      <c r="C1593" s="53"/>
      <c r="E1593" s="53"/>
    </row>
    <row r="1594" spans="3:5" x14ac:dyDescent="0.25">
      <c r="C1594" s="53"/>
      <c r="E1594" s="53"/>
    </row>
    <row r="1595" spans="3:5" x14ac:dyDescent="0.25">
      <c r="C1595" s="53"/>
      <c r="E1595" s="53"/>
    </row>
    <row r="1596" spans="3:5" x14ac:dyDescent="0.25">
      <c r="C1596" s="53"/>
      <c r="E1596" s="53"/>
    </row>
    <row r="1597" spans="3:5" x14ac:dyDescent="0.25">
      <c r="C1597" s="53"/>
      <c r="E1597" s="53"/>
    </row>
    <row r="1598" spans="3:5" x14ac:dyDescent="0.25">
      <c r="C1598" s="53"/>
      <c r="E1598" s="53"/>
    </row>
    <row r="1599" spans="3:5" x14ac:dyDescent="0.25">
      <c r="C1599" s="53"/>
      <c r="E1599" s="53"/>
    </row>
    <row r="1600" spans="3:5" x14ac:dyDescent="0.25">
      <c r="C1600" s="53"/>
      <c r="E1600" s="53"/>
    </row>
    <row r="1601" spans="3:5" x14ac:dyDescent="0.25">
      <c r="C1601" s="53"/>
      <c r="E1601" s="53"/>
    </row>
    <row r="1602" spans="3:5" x14ac:dyDescent="0.25">
      <c r="C1602" s="53"/>
      <c r="E1602" s="53"/>
    </row>
    <row r="1603" spans="3:5" x14ac:dyDescent="0.25">
      <c r="C1603" s="53"/>
      <c r="E1603" s="53"/>
    </row>
    <row r="1604" spans="3:5" x14ac:dyDescent="0.25">
      <c r="C1604" s="53"/>
      <c r="E1604" s="53"/>
    </row>
    <row r="1605" spans="3:5" x14ac:dyDescent="0.25">
      <c r="C1605" s="53"/>
      <c r="E1605" s="53"/>
    </row>
    <row r="1606" spans="3:5" x14ac:dyDescent="0.25">
      <c r="C1606" s="53"/>
      <c r="E1606" s="53"/>
    </row>
    <row r="1607" spans="3:5" x14ac:dyDescent="0.25">
      <c r="C1607" s="53"/>
      <c r="E1607" s="53"/>
    </row>
    <row r="1608" spans="3:5" x14ac:dyDescent="0.25">
      <c r="C1608" s="53"/>
      <c r="E1608" s="53"/>
    </row>
    <row r="1609" spans="3:5" x14ac:dyDescent="0.25">
      <c r="C1609" s="53"/>
      <c r="E1609" s="53"/>
    </row>
    <row r="1610" spans="3:5" x14ac:dyDescent="0.25">
      <c r="C1610" s="53"/>
      <c r="E1610" s="53"/>
    </row>
    <row r="1611" spans="3:5" x14ac:dyDescent="0.25">
      <c r="C1611" s="53"/>
      <c r="E1611" s="53"/>
    </row>
    <row r="1612" spans="3:5" x14ac:dyDescent="0.25">
      <c r="C1612" s="53"/>
    </row>
  </sheetData>
  <phoneticPr fontId="2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工作表</vt:lpstr>
      </vt:variant>
      <vt:variant>
        <vt:i4>7</vt:i4>
      </vt:variant>
      <vt:variant>
        <vt:lpstr>圖表</vt:lpstr>
      </vt:variant>
      <vt:variant>
        <vt:i4>1</vt:i4>
      </vt:variant>
      <vt:variant>
        <vt:lpstr>已命名的範圍</vt:lpstr>
      </vt:variant>
      <vt:variant>
        <vt:i4>1</vt:i4>
      </vt:variant>
    </vt:vector>
  </HeadingPairs>
  <TitlesOfParts>
    <vt:vector size="9" baseType="lpstr">
      <vt:lpstr>近月選</vt:lpstr>
      <vt:lpstr>遠月選</vt:lpstr>
      <vt:lpstr>次遠月選</vt:lpstr>
      <vt:lpstr>週選</vt:lpstr>
      <vt:lpstr>結算日</vt:lpstr>
      <vt:lpstr>波動率儲存</vt:lpstr>
      <vt:lpstr>cp</vt:lpstr>
      <vt:lpstr>Chart1</vt:lpstr>
      <vt:lpstr>結算日!holidaySchedule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廖昱霖</dc:creator>
  <cp:lastModifiedBy>廖昱霖</cp:lastModifiedBy>
  <dcterms:created xsi:type="dcterms:W3CDTF">2020-04-09T09:31:17Z</dcterms:created>
  <dcterms:modified xsi:type="dcterms:W3CDTF">2020-12-21T01:21:10Z</dcterms:modified>
</cp:coreProperties>
</file>